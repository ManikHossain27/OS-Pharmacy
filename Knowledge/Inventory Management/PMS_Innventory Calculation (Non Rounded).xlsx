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ik\Documents\PMS\"/>
    </mc:Choice>
  </mc:AlternateContent>
  <xr:revisionPtr revIDLastSave="0" documentId="8_{7520EC61-D6F5-470E-945B-402346B8E2E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efault Mode" sheetId="1" r:id="rId1"/>
    <sheet name="TP per vat mode" sheetId="3" r:id="rId2"/>
    <sheet name="Opening Stock" sheetId="6" r:id="rId3"/>
    <sheet name="Suppli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9" i="6" l="1"/>
  <c r="AK9" i="6"/>
  <c r="AJ11" i="6"/>
  <c r="AK11" i="6"/>
  <c r="AJ12" i="6"/>
  <c r="AK12" i="6"/>
  <c r="AJ13" i="6"/>
  <c r="AK13" i="6"/>
  <c r="AJ14" i="6"/>
  <c r="AK14" i="6"/>
  <c r="AJ15" i="6"/>
  <c r="AK15" i="6"/>
  <c r="AJ16" i="6"/>
  <c r="AK16" i="6"/>
  <c r="AJ17" i="6"/>
  <c r="AK17" i="6"/>
  <c r="AJ18" i="6"/>
  <c r="AK18" i="6"/>
  <c r="AJ19" i="6"/>
  <c r="AK19" i="6"/>
  <c r="AJ20" i="6"/>
  <c r="AK20" i="6"/>
  <c r="AJ21" i="6"/>
  <c r="AK21" i="6"/>
  <c r="AJ22" i="6"/>
  <c r="AK22" i="6"/>
  <c r="AJ23" i="6"/>
  <c r="AK23" i="6"/>
  <c r="AJ24" i="6"/>
  <c r="AK24" i="6"/>
  <c r="AJ25" i="6"/>
  <c r="AK25" i="6"/>
  <c r="AJ26" i="6"/>
  <c r="AK26" i="6"/>
  <c r="AJ27" i="6"/>
  <c r="AK27" i="6"/>
  <c r="AJ28" i="6"/>
  <c r="AK28" i="6"/>
  <c r="AJ29" i="6"/>
  <c r="AK29" i="6"/>
  <c r="AJ30" i="6"/>
  <c r="AK30" i="6"/>
  <c r="AJ31" i="6"/>
  <c r="AK31" i="6"/>
  <c r="AJ32" i="6"/>
  <c r="AK32" i="6"/>
  <c r="AJ33" i="6"/>
  <c r="AK33" i="6"/>
  <c r="AJ34" i="6"/>
  <c r="AK34" i="6"/>
  <c r="AJ35" i="6"/>
  <c r="AK35" i="6"/>
  <c r="AJ36" i="6"/>
  <c r="AK36" i="6"/>
  <c r="AJ37" i="6"/>
  <c r="AK37" i="6"/>
  <c r="AJ38" i="6"/>
  <c r="AK38" i="6"/>
  <c r="AJ39" i="6"/>
  <c r="AK39" i="6"/>
  <c r="AJ40" i="6"/>
  <c r="AK40" i="6"/>
  <c r="AJ41" i="6"/>
  <c r="AK41" i="6"/>
  <c r="AJ42" i="6"/>
  <c r="AK42" i="6"/>
  <c r="AJ43" i="6"/>
  <c r="AK43" i="6"/>
  <c r="AJ44" i="6"/>
  <c r="AK44" i="6"/>
  <c r="AJ45" i="6"/>
  <c r="AK45" i="6"/>
  <c r="AJ46" i="6"/>
  <c r="AK46" i="6"/>
  <c r="AJ47" i="6"/>
  <c r="AK47" i="6"/>
  <c r="AJ48" i="6"/>
  <c r="AK48" i="6"/>
  <c r="AJ49" i="6"/>
  <c r="AK49" i="6"/>
  <c r="AJ50" i="6"/>
  <c r="AK50" i="6"/>
  <c r="AJ51" i="6"/>
  <c r="AK51" i="6"/>
  <c r="AJ52" i="6"/>
  <c r="AK52" i="6"/>
  <c r="AJ53" i="6"/>
  <c r="AK53" i="6"/>
  <c r="AJ54" i="6"/>
  <c r="AK54" i="6"/>
  <c r="AJ55" i="6"/>
  <c r="AK55" i="6"/>
  <c r="AJ56" i="6"/>
  <c r="AK56" i="6"/>
  <c r="AJ57" i="6"/>
  <c r="AK57" i="6"/>
  <c r="AJ58" i="6"/>
  <c r="AK58" i="6"/>
  <c r="AJ59" i="6"/>
  <c r="AK59" i="6"/>
  <c r="AJ60" i="6"/>
  <c r="AK60" i="6"/>
  <c r="AJ61" i="6"/>
  <c r="AK61" i="6"/>
  <c r="AJ62" i="6"/>
  <c r="AK62" i="6"/>
  <c r="AJ63" i="6"/>
  <c r="AK63" i="6"/>
  <c r="AJ64" i="6"/>
  <c r="AK64" i="6"/>
  <c r="AJ65" i="6"/>
  <c r="AK65" i="6"/>
  <c r="AJ66" i="6"/>
  <c r="AK66" i="6"/>
  <c r="AJ67" i="6"/>
  <c r="AK67" i="6"/>
  <c r="AJ68" i="6"/>
  <c r="AK68" i="6"/>
  <c r="AJ69" i="6"/>
  <c r="AK69" i="6"/>
  <c r="AJ70" i="6"/>
  <c r="AK70" i="6"/>
  <c r="AJ71" i="6"/>
  <c r="AK71" i="6"/>
  <c r="AJ72" i="6"/>
  <c r="AK72" i="6"/>
  <c r="AJ73" i="6"/>
  <c r="AK73" i="6"/>
  <c r="AJ74" i="6"/>
  <c r="AK74" i="6"/>
  <c r="AJ75" i="6"/>
  <c r="AK75" i="6"/>
  <c r="AJ76" i="6"/>
  <c r="AK76" i="6"/>
  <c r="AJ77" i="6"/>
  <c r="AK77" i="6"/>
  <c r="AJ78" i="6"/>
  <c r="AK78" i="6"/>
  <c r="AJ79" i="6"/>
  <c r="AK79" i="6"/>
  <c r="AJ80" i="6"/>
  <c r="AK80" i="6"/>
  <c r="AJ81" i="6"/>
  <c r="AK81" i="6"/>
  <c r="AJ82" i="6"/>
  <c r="AK82" i="6"/>
  <c r="AJ83" i="6"/>
  <c r="AK83" i="6"/>
  <c r="AJ84" i="6"/>
  <c r="AK84" i="6"/>
  <c r="AJ85" i="6"/>
  <c r="AK85" i="6"/>
  <c r="AJ86" i="6"/>
  <c r="AK86" i="6"/>
  <c r="AJ87" i="6"/>
  <c r="AK87" i="6"/>
  <c r="AJ88" i="6"/>
  <c r="AK88" i="6"/>
  <c r="AJ89" i="6"/>
  <c r="AK89" i="6"/>
  <c r="AJ90" i="6"/>
  <c r="AK90" i="6"/>
  <c r="AJ91" i="6"/>
  <c r="AK91" i="6"/>
  <c r="AJ92" i="6"/>
  <c r="AK92" i="6"/>
  <c r="AJ93" i="6"/>
  <c r="AK93" i="6"/>
  <c r="AJ94" i="6"/>
  <c r="AK94" i="6"/>
  <c r="AJ95" i="6"/>
  <c r="AK95" i="6"/>
  <c r="AJ96" i="6"/>
  <c r="AK96" i="6"/>
  <c r="AJ97" i="6"/>
  <c r="AK97" i="6"/>
  <c r="AJ98" i="6"/>
  <c r="AK98" i="6"/>
  <c r="AJ99" i="6"/>
  <c r="AK99" i="6"/>
  <c r="AJ100" i="6"/>
  <c r="AK100" i="6"/>
  <c r="AJ101" i="6"/>
  <c r="AK101" i="6"/>
  <c r="AJ102" i="6"/>
  <c r="AK102" i="6"/>
  <c r="AJ103" i="6"/>
  <c r="AK103" i="6"/>
  <c r="AJ104" i="6"/>
  <c r="AK104" i="6"/>
  <c r="AJ105" i="6"/>
  <c r="AK105" i="6"/>
  <c r="AJ106" i="6"/>
  <c r="AK106" i="6"/>
  <c r="AJ107" i="6"/>
  <c r="AK107" i="6"/>
  <c r="AJ108" i="6"/>
  <c r="AK108" i="6"/>
  <c r="AJ109" i="6"/>
  <c r="AK109" i="6"/>
  <c r="AJ110" i="6"/>
  <c r="AK110" i="6"/>
  <c r="AJ111" i="6"/>
  <c r="AK111" i="6"/>
  <c r="AJ112" i="6"/>
  <c r="AK112" i="6"/>
  <c r="AJ113" i="6"/>
  <c r="AK113" i="6"/>
  <c r="AJ114" i="6"/>
  <c r="AK114" i="6"/>
  <c r="AJ115" i="6"/>
  <c r="AK115" i="6"/>
  <c r="AJ116" i="6"/>
  <c r="AK116" i="6"/>
  <c r="AJ117" i="6"/>
  <c r="AK117" i="6"/>
  <c r="AJ118" i="6"/>
  <c r="AK118" i="6"/>
  <c r="AJ119" i="6"/>
  <c r="AK119" i="6"/>
  <c r="AJ120" i="6"/>
  <c r="AK120" i="6"/>
  <c r="AJ121" i="6"/>
  <c r="AK121" i="6"/>
  <c r="AJ122" i="6"/>
  <c r="AK122" i="6"/>
  <c r="AJ123" i="6"/>
  <c r="AK123" i="6"/>
  <c r="AJ124" i="6"/>
  <c r="AK124" i="6"/>
  <c r="AJ125" i="6"/>
  <c r="AK125" i="6"/>
  <c r="AJ126" i="6"/>
  <c r="AK126" i="6"/>
  <c r="AJ127" i="6"/>
  <c r="AK127" i="6"/>
  <c r="AJ128" i="6"/>
  <c r="AK128" i="6"/>
  <c r="AJ129" i="6"/>
  <c r="AK129" i="6"/>
  <c r="AJ130" i="6"/>
  <c r="AK130" i="6"/>
  <c r="AJ131" i="6"/>
  <c r="AK131" i="6"/>
  <c r="AJ132" i="6"/>
  <c r="AK132" i="6"/>
  <c r="AJ133" i="6"/>
  <c r="AK133" i="6"/>
  <c r="AJ134" i="6"/>
  <c r="AK134" i="6"/>
  <c r="AJ135" i="6"/>
  <c r="AK135" i="6"/>
  <c r="AJ136" i="6"/>
  <c r="AK136" i="6"/>
  <c r="AJ137" i="6"/>
  <c r="AK137" i="6"/>
  <c r="AJ138" i="6"/>
  <c r="AK138" i="6"/>
  <c r="AJ139" i="6"/>
  <c r="AK139" i="6"/>
  <c r="AJ140" i="6"/>
  <c r="AK140" i="6"/>
  <c r="AJ141" i="6"/>
  <c r="AK141" i="6"/>
  <c r="AJ142" i="6"/>
  <c r="AK142" i="6"/>
  <c r="AJ143" i="6"/>
  <c r="AK143" i="6"/>
  <c r="AJ144" i="6"/>
  <c r="AK144" i="6"/>
  <c r="AJ145" i="6"/>
  <c r="AK145" i="6"/>
  <c r="AJ146" i="6"/>
  <c r="AK146" i="6"/>
  <c r="AJ147" i="6"/>
  <c r="AK147" i="6"/>
  <c r="AJ148" i="6"/>
  <c r="AK148" i="6"/>
  <c r="AJ149" i="6"/>
  <c r="AK149" i="6"/>
  <c r="AJ150" i="6"/>
  <c r="AK150" i="6"/>
  <c r="AJ151" i="6"/>
  <c r="AK151" i="6"/>
  <c r="AJ152" i="6"/>
  <c r="AK152" i="6"/>
  <c r="AJ153" i="6"/>
  <c r="AK153" i="6"/>
  <c r="AJ154" i="6"/>
  <c r="AK154" i="6"/>
  <c r="AJ155" i="6"/>
  <c r="AK155" i="6"/>
  <c r="AJ156" i="6"/>
  <c r="AK156" i="6"/>
  <c r="AJ157" i="6"/>
  <c r="AK157" i="6"/>
  <c r="AJ158" i="6"/>
  <c r="AK158" i="6"/>
  <c r="AJ159" i="6"/>
  <c r="AK159" i="6"/>
  <c r="AJ160" i="6"/>
  <c r="AK160" i="6"/>
  <c r="AJ161" i="6"/>
  <c r="AK161" i="6"/>
  <c r="AJ162" i="6"/>
  <c r="AK162" i="6"/>
  <c r="AJ163" i="6"/>
  <c r="AK163" i="6"/>
  <c r="AJ164" i="6"/>
  <c r="AK164" i="6"/>
  <c r="AJ165" i="6"/>
  <c r="AK165" i="6"/>
  <c r="AJ166" i="6"/>
  <c r="AK166" i="6"/>
  <c r="AJ167" i="6"/>
  <c r="AK167" i="6"/>
  <c r="AJ168" i="6"/>
  <c r="AK168" i="6"/>
  <c r="AJ169" i="6"/>
  <c r="AK169" i="6"/>
  <c r="AJ170" i="6"/>
  <c r="AK170" i="6"/>
  <c r="AJ171" i="6"/>
  <c r="AK171" i="6"/>
  <c r="AJ172" i="6"/>
  <c r="AK172" i="6"/>
  <c r="AJ173" i="6"/>
  <c r="AK173" i="6"/>
  <c r="AJ174" i="6"/>
  <c r="AK174" i="6"/>
  <c r="AJ175" i="6"/>
  <c r="AK175" i="6"/>
  <c r="AJ176" i="6"/>
  <c r="AK176" i="6"/>
  <c r="AJ177" i="6"/>
  <c r="AK177" i="6"/>
  <c r="AJ178" i="6"/>
  <c r="AK178" i="6"/>
  <c r="AJ179" i="6"/>
  <c r="AK179" i="6"/>
  <c r="AJ180" i="6"/>
  <c r="AK180" i="6"/>
  <c r="AJ181" i="6"/>
  <c r="AK181" i="6"/>
  <c r="AJ182" i="6"/>
  <c r="AK182" i="6"/>
  <c r="AJ183" i="6"/>
  <c r="AK183" i="6"/>
  <c r="AJ184" i="6"/>
  <c r="AK184" i="6"/>
  <c r="AJ185" i="6"/>
  <c r="AK185" i="6"/>
  <c r="AJ186" i="6"/>
  <c r="AK186" i="6"/>
  <c r="AJ187" i="6"/>
  <c r="AK187" i="6"/>
  <c r="AJ188" i="6"/>
  <c r="AK188" i="6"/>
  <c r="AJ189" i="6"/>
  <c r="AK189" i="6"/>
  <c r="AJ190" i="6"/>
  <c r="AK190" i="6"/>
  <c r="AJ191" i="6"/>
  <c r="AK191" i="6"/>
  <c r="AJ192" i="6"/>
  <c r="AK192" i="6"/>
  <c r="AJ193" i="6"/>
  <c r="AK193" i="6"/>
  <c r="AJ194" i="6"/>
  <c r="AK194" i="6"/>
  <c r="AJ195" i="6"/>
  <c r="AK195" i="6"/>
  <c r="AJ196" i="6"/>
  <c r="AK196" i="6"/>
  <c r="AJ197" i="6"/>
  <c r="AK197" i="6"/>
  <c r="AJ198" i="6"/>
  <c r="AK198" i="6"/>
  <c r="AJ199" i="6"/>
  <c r="AK199" i="6"/>
  <c r="AJ200" i="6"/>
  <c r="AK200" i="6"/>
  <c r="AJ201" i="6"/>
  <c r="AK201" i="6"/>
  <c r="AJ202" i="6"/>
  <c r="AK202" i="6"/>
  <c r="AJ203" i="6"/>
  <c r="AK203" i="6"/>
  <c r="AJ204" i="6"/>
  <c r="AK204" i="6"/>
  <c r="AJ205" i="6"/>
  <c r="AK205" i="6"/>
  <c r="AJ206" i="6"/>
  <c r="AK206" i="6"/>
  <c r="AJ207" i="6"/>
  <c r="AK207" i="6"/>
  <c r="AJ208" i="6"/>
  <c r="AK208" i="6"/>
  <c r="AJ209" i="6"/>
  <c r="AK209" i="6"/>
  <c r="AJ210" i="6"/>
  <c r="AK210" i="6"/>
  <c r="AJ211" i="6"/>
  <c r="AK211" i="6"/>
  <c r="AJ212" i="6"/>
  <c r="AK212" i="6"/>
  <c r="AJ213" i="6"/>
  <c r="AK213" i="6"/>
  <c r="AJ214" i="6"/>
  <c r="AK214" i="6"/>
  <c r="AJ215" i="6"/>
  <c r="AK215" i="6"/>
  <c r="AJ216" i="6"/>
  <c r="AK216" i="6"/>
  <c r="AJ217" i="6"/>
  <c r="AK217" i="6"/>
  <c r="AJ218" i="6"/>
  <c r="AK218" i="6"/>
  <c r="AJ219" i="6"/>
  <c r="AK219" i="6"/>
  <c r="AJ220" i="6"/>
  <c r="AK220" i="6"/>
  <c r="AJ221" i="6"/>
  <c r="AK221" i="6"/>
  <c r="AJ222" i="6"/>
  <c r="AK222" i="6"/>
  <c r="AJ223" i="6"/>
  <c r="AK223" i="6"/>
  <c r="AJ224" i="6"/>
  <c r="AK224" i="6"/>
  <c r="AJ225" i="6"/>
  <c r="AK225" i="6"/>
  <c r="AJ226" i="6"/>
  <c r="AK226" i="6"/>
  <c r="AJ227" i="6"/>
  <c r="AK227" i="6"/>
  <c r="AJ228" i="6"/>
  <c r="AK228" i="6"/>
  <c r="AJ229" i="6"/>
  <c r="AK229" i="6"/>
  <c r="AJ230" i="6"/>
  <c r="AK230" i="6"/>
  <c r="AJ231" i="6"/>
  <c r="AK231" i="6"/>
  <c r="AJ232" i="6"/>
  <c r="AK232" i="6"/>
  <c r="AJ233" i="6"/>
  <c r="AK233" i="6"/>
  <c r="AJ234" i="6"/>
  <c r="AK234" i="6"/>
  <c r="AJ235" i="6"/>
  <c r="AK235" i="6"/>
  <c r="AJ236" i="6"/>
  <c r="AK236" i="6"/>
  <c r="AJ237" i="6"/>
  <c r="AK237" i="6"/>
  <c r="AJ238" i="6"/>
  <c r="AK238" i="6"/>
  <c r="AJ239" i="6"/>
  <c r="AK239" i="6"/>
  <c r="AJ240" i="6"/>
  <c r="AK240" i="6"/>
  <c r="AJ241" i="6"/>
  <c r="AK241" i="6"/>
  <c r="AJ242" i="6"/>
  <c r="AK242" i="6"/>
  <c r="AJ243" i="6"/>
  <c r="AK243" i="6"/>
  <c r="AJ244" i="6"/>
  <c r="AK244" i="6"/>
  <c r="AJ245" i="6"/>
  <c r="AK245" i="6"/>
  <c r="AJ246" i="6"/>
  <c r="AK246" i="6"/>
  <c r="AJ247" i="6"/>
  <c r="AK247" i="6"/>
  <c r="AJ248" i="6"/>
  <c r="AK248" i="6"/>
  <c r="AJ249" i="6"/>
  <c r="AK249" i="6"/>
  <c r="AJ250" i="6"/>
  <c r="AK250" i="6"/>
  <c r="AJ251" i="6"/>
  <c r="AK251" i="6"/>
  <c r="AJ252" i="6"/>
  <c r="AK252" i="6"/>
  <c r="AJ253" i="6"/>
  <c r="AK253" i="6"/>
  <c r="AJ254" i="6"/>
  <c r="AK254" i="6"/>
  <c r="AJ255" i="6"/>
  <c r="AK255" i="6"/>
  <c r="AJ256" i="6"/>
  <c r="AK256" i="6"/>
  <c r="AJ257" i="6"/>
  <c r="AK257" i="6"/>
  <c r="AJ258" i="6"/>
  <c r="AK258" i="6"/>
  <c r="AJ259" i="6"/>
  <c r="AK259" i="6"/>
  <c r="AJ260" i="6"/>
  <c r="AK260" i="6"/>
  <c r="AJ261" i="6"/>
  <c r="AK261" i="6"/>
  <c r="AJ262" i="6"/>
  <c r="AK262" i="6"/>
  <c r="AJ263" i="6"/>
  <c r="AK263" i="6"/>
  <c r="AJ264" i="6"/>
  <c r="AK264" i="6"/>
  <c r="AJ265" i="6"/>
  <c r="AK265" i="6"/>
  <c r="AJ266" i="6"/>
  <c r="AK266" i="6"/>
  <c r="AJ267" i="6"/>
  <c r="AK267" i="6"/>
  <c r="AJ268" i="6"/>
  <c r="AK268" i="6"/>
  <c r="AJ269" i="6"/>
  <c r="AK269" i="6"/>
  <c r="AJ270" i="6"/>
  <c r="AK270" i="6"/>
  <c r="AJ271" i="6"/>
  <c r="AK271" i="6"/>
  <c r="AJ272" i="6"/>
  <c r="AK272" i="6"/>
  <c r="AJ273" i="6"/>
  <c r="AK273" i="6"/>
  <c r="AJ274" i="6"/>
  <c r="AK274" i="6"/>
  <c r="AJ275" i="6"/>
  <c r="AK275" i="6"/>
  <c r="AJ276" i="6"/>
  <c r="AK276" i="6"/>
  <c r="AJ277" i="6"/>
  <c r="AK277" i="6"/>
  <c r="AJ278" i="6"/>
  <c r="AK278" i="6"/>
  <c r="AJ279" i="6"/>
  <c r="AK279" i="6"/>
  <c r="AJ280" i="6"/>
  <c r="AK280" i="6"/>
  <c r="AJ281" i="6"/>
  <c r="AK281" i="6"/>
  <c r="AJ282" i="6"/>
  <c r="AK282" i="6"/>
  <c r="AJ283" i="6"/>
  <c r="AK283" i="6"/>
  <c r="AJ284" i="6"/>
  <c r="AK284" i="6"/>
  <c r="AJ285" i="6"/>
  <c r="AK285" i="6"/>
  <c r="AJ286" i="6"/>
  <c r="AK286" i="6"/>
  <c r="AJ287" i="6"/>
  <c r="AK287" i="6"/>
  <c r="AJ288" i="6"/>
  <c r="AK288" i="6"/>
  <c r="AJ289" i="6"/>
  <c r="AK289" i="6"/>
  <c r="AJ290" i="6"/>
  <c r="AK290" i="6"/>
  <c r="AJ291" i="6"/>
  <c r="AK291" i="6"/>
  <c r="AJ292" i="6"/>
  <c r="AK292" i="6"/>
  <c r="AJ293" i="6"/>
  <c r="AK293" i="6"/>
  <c r="AJ294" i="6"/>
  <c r="AK294" i="6"/>
  <c r="AJ295" i="6"/>
  <c r="AK295" i="6"/>
  <c r="AJ296" i="6"/>
  <c r="AK296" i="6"/>
  <c r="AJ297" i="6"/>
  <c r="AK297" i="6"/>
  <c r="AJ298" i="6"/>
  <c r="AK298" i="6"/>
  <c r="AJ299" i="6"/>
  <c r="AK299" i="6"/>
  <c r="AJ300" i="6"/>
  <c r="AK300" i="6"/>
  <c r="AJ301" i="6"/>
  <c r="AK301" i="6"/>
  <c r="AJ302" i="6"/>
  <c r="AK302" i="6"/>
  <c r="AJ303" i="6"/>
  <c r="AK303" i="6"/>
  <c r="AJ304" i="6"/>
  <c r="AK304" i="6"/>
  <c r="AJ305" i="6"/>
  <c r="AK305" i="6"/>
  <c r="AJ306" i="6"/>
  <c r="AK306" i="6"/>
  <c r="AJ307" i="6"/>
  <c r="AK307" i="6"/>
  <c r="AJ308" i="6"/>
  <c r="AK308" i="6"/>
  <c r="AJ309" i="6"/>
  <c r="AK309" i="6"/>
  <c r="AJ310" i="6"/>
  <c r="AK310" i="6"/>
  <c r="AJ311" i="6"/>
  <c r="AK311" i="6"/>
  <c r="AJ312" i="6"/>
  <c r="AK312" i="6"/>
  <c r="AJ313" i="6"/>
  <c r="AK313" i="6"/>
  <c r="AJ314" i="6"/>
  <c r="AK314" i="6"/>
  <c r="AJ315" i="6"/>
  <c r="AK315" i="6"/>
  <c r="AJ316" i="6"/>
  <c r="AK316" i="6"/>
  <c r="AJ317" i="6"/>
  <c r="AK317" i="6"/>
  <c r="AJ318" i="6"/>
  <c r="AK318" i="6"/>
  <c r="AJ319" i="6"/>
  <c r="AK319" i="6"/>
  <c r="AJ320" i="6"/>
  <c r="AK320" i="6"/>
  <c r="AJ321" i="6"/>
  <c r="AK321" i="6"/>
  <c r="AJ322" i="6"/>
  <c r="AK322" i="6"/>
  <c r="AJ323" i="6"/>
  <c r="AK323" i="6"/>
  <c r="AJ324" i="6"/>
  <c r="AK324" i="6"/>
  <c r="AJ325" i="6"/>
  <c r="AK325" i="6"/>
  <c r="AJ326" i="6"/>
  <c r="AK326" i="6"/>
  <c r="AJ327" i="6"/>
  <c r="AK327" i="6"/>
  <c r="AJ328" i="6"/>
  <c r="AK328" i="6"/>
  <c r="AJ329" i="6"/>
  <c r="AK329" i="6"/>
  <c r="AJ330" i="6"/>
  <c r="AK330" i="6"/>
  <c r="AJ331" i="6"/>
  <c r="AK331" i="6"/>
  <c r="AJ332" i="6"/>
  <c r="AK332" i="6"/>
  <c r="AJ333" i="6"/>
  <c r="AK333" i="6"/>
  <c r="AJ334" i="6"/>
  <c r="AK334" i="6"/>
  <c r="AJ335" i="6"/>
  <c r="AK335" i="6"/>
  <c r="AJ336" i="6"/>
  <c r="AK336" i="6"/>
  <c r="AJ337" i="6"/>
  <c r="AK337" i="6"/>
  <c r="AJ338" i="6"/>
  <c r="AK338" i="6"/>
  <c r="AJ339" i="6"/>
  <c r="AK339" i="6"/>
  <c r="AJ340" i="6"/>
  <c r="AK340" i="6"/>
  <c r="AJ341" i="6"/>
  <c r="AK341" i="6"/>
  <c r="AJ342" i="6"/>
  <c r="AK342" i="6"/>
  <c r="AJ343" i="6"/>
  <c r="AK343" i="6"/>
  <c r="AJ344" i="6"/>
  <c r="AK344" i="6"/>
  <c r="AJ345" i="6"/>
  <c r="AK345" i="6"/>
  <c r="AJ346" i="6"/>
  <c r="AK346" i="6"/>
  <c r="AJ347" i="6"/>
  <c r="AK347" i="6"/>
  <c r="AJ348" i="6"/>
  <c r="AK348" i="6"/>
  <c r="AJ349" i="6"/>
  <c r="AK349" i="6"/>
  <c r="AJ350" i="6"/>
  <c r="AK350" i="6"/>
  <c r="AJ351" i="6"/>
  <c r="AK351" i="6"/>
  <c r="AJ352" i="6"/>
  <c r="AK352" i="6"/>
  <c r="AJ353" i="6"/>
  <c r="AK353" i="6"/>
  <c r="AJ354" i="6"/>
  <c r="AK354" i="6"/>
  <c r="AJ355" i="6"/>
  <c r="AK355" i="6"/>
  <c r="AJ356" i="6"/>
  <c r="AK356" i="6"/>
  <c r="AJ357" i="6"/>
  <c r="AK357" i="6"/>
  <c r="AJ358" i="6"/>
  <c r="AK358" i="6"/>
  <c r="AJ359" i="6"/>
  <c r="AK359" i="6"/>
  <c r="AJ360" i="6"/>
  <c r="AK360" i="6"/>
  <c r="AJ361" i="6"/>
  <c r="AK361" i="6"/>
  <c r="AJ362" i="6"/>
  <c r="AK362" i="6"/>
  <c r="AJ363" i="6"/>
  <c r="AK363" i="6"/>
  <c r="AJ364" i="6"/>
  <c r="AK364" i="6"/>
  <c r="AJ365" i="6"/>
  <c r="AK365" i="6"/>
  <c r="AJ366" i="6"/>
  <c r="AK366" i="6"/>
  <c r="AJ367" i="6"/>
  <c r="AK367" i="6"/>
  <c r="AJ368" i="6"/>
  <c r="AK368" i="6"/>
  <c r="AJ369" i="6"/>
  <c r="AK369" i="6"/>
  <c r="AJ370" i="6"/>
  <c r="AK370" i="6"/>
  <c r="AJ371" i="6"/>
  <c r="AK371" i="6"/>
  <c r="AJ372" i="6"/>
  <c r="AK372" i="6"/>
  <c r="AJ373" i="6"/>
  <c r="AK373" i="6"/>
  <c r="AJ374" i="6"/>
  <c r="AK374" i="6"/>
  <c r="AJ375" i="6"/>
  <c r="AK375" i="6"/>
  <c r="AJ376" i="6"/>
  <c r="AK376" i="6"/>
  <c r="AJ377" i="6"/>
  <c r="AK377" i="6"/>
  <c r="AJ378" i="6"/>
  <c r="AK378" i="6"/>
  <c r="AJ379" i="6"/>
  <c r="AK379" i="6"/>
  <c r="AJ380" i="6"/>
  <c r="AK380" i="6"/>
  <c r="AJ381" i="6"/>
  <c r="AK381" i="6"/>
  <c r="AJ382" i="6"/>
  <c r="AK382" i="6"/>
  <c r="AJ383" i="6"/>
  <c r="AK383" i="6"/>
  <c r="AJ384" i="6"/>
  <c r="AK384" i="6"/>
  <c r="AJ385" i="6"/>
  <c r="AK385" i="6"/>
  <c r="AJ386" i="6"/>
  <c r="AK386" i="6"/>
  <c r="AJ387" i="6"/>
  <c r="AK387" i="6"/>
  <c r="AJ388" i="6"/>
  <c r="AK388" i="6"/>
  <c r="AJ389" i="6"/>
  <c r="AK389" i="6"/>
  <c r="AJ390" i="6"/>
  <c r="AK390" i="6"/>
  <c r="AJ391" i="6"/>
  <c r="AK391" i="6"/>
  <c r="AJ392" i="6"/>
  <c r="AK392" i="6"/>
  <c r="AJ393" i="6"/>
  <c r="AK393" i="6"/>
  <c r="AJ394" i="6"/>
  <c r="AK394" i="6"/>
  <c r="AJ395" i="6"/>
  <c r="AK395" i="6"/>
  <c r="AJ396" i="6"/>
  <c r="AK396" i="6"/>
  <c r="AJ397" i="6"/>
  <c r="AK397" i="6"/>
  <c r="AJ398" i="6"/>
  <c r="AK398" i="6"/>
  <c r="AJ399" i="6"/>
  <c r="AK399" i="6"/>
  <c r="AJ400" i="6"/>
  <c r="AK400" i="6"/>
  <c r="AJ401" i="6"/>
  <c r="AK401" i="6"/>
  <c r="AJ402" i="6"/>
  <c r="AK402" i="6"/>
  <c r="AJ403" i="6"/>
  <c r="AK403" i="6"/>
  <c r="AJ404" i="6"/>
  <c r="AK404" i="6"/>
  <c r="AJ405" i="6"/>
  <c r="AK405" i="6"/>
  <c r="AJ406" i="6"/>
  <c r="AK406" i="6"/>
  <c r="AJ407" i="6"/>
  <c r="AK407" i="6"/>
  <c r="AJ408" i="6"/>
  <c r="AK408" i="6"/>
  <c r="AJ409" i="6"/>
  <c r="AK409" i="6"/>
  <c r="AJ410" i="6"/>
  <c r="AK410" i="6"/>
  <c r="AJ411" i="6"/>
  <c r="AK411" i="6"/>
  <c r="AJ412" i="6"/>
  <c r="AK412" i="6"/>
  <c r="AJ413" i="6"/>
  <c r="AK413" i="6"/>
  <c r="AJ414" i="6"/>
  <c r="AK414" i="6"/>
  <c r="AJ415" i="6"/>
  <c r="AK415" i="6"/>
  <c r="AJ416" i="6"/>
  <c r="AK416" i="6"/>
  <c r="AJ417" i="6"/>
  <c r="AK417" i="6"/>
  <c r="AJ418" i="6"/>
  <c r="AK418" i="6"/>
  <c r="AJ419" i="6"/>
  <c r="AK419" i="6"/>
  <c r="AJ420" i="6"/>
  <c r="AK420" i="6"/>
  <c r="AJ421" i="6"/>
  <c r="AK421" i="6"/>
  <c r="AJ422" i="6"/>
  <c r="AK422" i="6"/>
  <c r="AJ423" i="6"/>
  <c r="AK423" i="6"/>
  <c r="AJ424" i="6"/>
  <c r="AK424" i="6"/>
  <c r="AJ425" i="6"/>
  <c r="AK425" i="6"/>
  <c r="AJ426" i="6"/>
  <c r="AK426" i="6"/>
  <c r="AJ427" i="6"/>
  <c r="AK427" i="6"/>
  <c r="AJ428" i="6"/>
  <c r="AK428" i="6"/>
  <c r="AJ429" i="6"/>
  <c r="AK429" i="6"/>
  <c r="AJ430" i="6"/>
  <c r="AK430" i="6"/>
  <c r="AJ431" i="6"/>
  <c r="AK431" i="6"/>
  <c r="AJ432" i="6"/>
  <c r="AK432" i="6"/>
  <c r="AJ433" i="6"/>
  <c r="AK433" i="6"/>
  <c r="AJ434" i="6"/>
  <c r="AK434" i="6"/>
  <c r="AJ435" i="6"/>
  <c r="AK435" i="6"/>
  <c r="AJ436" i="6"/>
  <c r="AK436" i="6"/>
  <c r="AJ437" i="6"/>
  <c r="AK437" i="6"/>
  <c r="AJ438" i="6"/>
  <c r="AK438" i="6"/>
  <c r="AJ439" i="6"/>
  <c r="AK439" i="6"/>
  <c r="AJ440" i="6"/>
  <c r="AK440" i="6"/>
  <c r="AJ441" i="6"/>
  <c r="AK441" i="6"/>
  <c r="AJ442" i="6"/>
  <c r="AK442" i="6"/>
  <c r="AJ443" i="6"/>
  <c r="AK443" i="6"/>
  <c r="AJ444" i="6"/>
  <c r="AK444" i="6"/>
  <c r="AJ445" i="6"/>
  <c r="AK445" i="6"/>
  <c r="AJ446" i="6"/>
  <c r="AK446" i="6"/>
  <c r="AJ447" i="6"/>
  <c r="AK447" i="6"/>
  <c r="AJ448" i="6"/>
  <c r="AK448" i="6"/>
  <c r="AJ449" i="6"/>
  <c r="AK449" i="6"/>
  <c r="AJ450" i="6"/>
  <c r="AK450" i="6"/>
  <c r="AJ451" i="6"/>
  <c r="AK451" i="6"/>
  <c r="AJ452" i="6"/>
  <c r="AK452" i="6"/>
  <c r="AJ453" i="6"/>
  <c r="AK453" i="6"/>
  <c r="AJ454" i="6"/>
  <c r="AK454" i="6"/>
  <c r="AJ455" i="6"/>
  <c r="AK455" i="6"/>
  <c r="AJ456" i="6"/>
  <c r="AK456" i="6"/>
  <c r="AJ457" i="6"/>
  <c r="AK457" i="6"/>
  <c r="AJ458" i="6"/>
  <c r="AK458" i="6"/>
  <c r="AJ459" i="6"/>
  <c r="AK459" i="6"/>
  <c r="AJ460" i="6"/>
  <c r="AK460" i="6"/>
  <c r="AJ461" i="6"/>
  <c r="AK461" i="6"/>
  <c r="AJ462" i="6"/>
  <c r="AK462" i="6"/>
  <c r="AJ463" i="6"/>
  <c r="AK463" i="6"/>
  <c r="AJ464" i="6"/>
  <c r="AK464" i="6"/>
  <c r="AJ465" i="6"/>
  <c r="AK465" i="6"/>
  <c r="AJ466" i="6"/>
  <c r="AK466" i="6"/>
  <c r="AJ467" i="6"/>
  <c r="AK467" i="6"/>
  <c r="AJ468" i="6"/>
  <c r="AK468" i="6"/>
  <c r="AJ469" i="6"/>
  <c r="AK469" i="6"/>
  <c r="AJ470" i="6"/>
  <c r="AK470" i="6"/>
  <c r="AJ471" i="6"/>
  <c r="AK471" i="6"/>
  <c r="AJ472" i="6"/>
  <c r="AK472" i="6"/>
  <c r="AJ473" i="6"/>
  <c r="AK473" i="6"/>
  <c r="AJ474" i="6"/>
  <c r="AK474" i="6"/>
  <c r="AJ475" i="6"/>
  <c r="AK475" i="6"/>
  <c r="AJ476" i="6"/>
  <c r="AK476" i="6"/>
  <c r="AJ477" i="6"/>
  <c r="AK477" i="6"/>
  <c r="AJ478" i="6"/>
  <c r="AK478" i="6"/>
  <c r="AJ479" i="6"/>
  <c r="AK479" i="6"/>
  <c r="AJ480" i="6"/>
  <c r="AK480" i="6"/>
  <c r="AJ481" i="6"/>
  <c r="AK481" i="6"/>
  <c r="AJ482" i="6"/>
  <c r="AK482" i="6"/>
  <c r="AJ483" i="6"/>
  <c r="AK483" i="6"/>
  <c r="AJ484" i="6"/>
  <c r="AK484" i="6"/>
  <c r="AJ485" i="6"/>
  <c r="AK485" i="6"/>
  <c r="AJ486" i="6"/>
  <c r="AK486" i="6"/>
  <c r="AJ487" i="6"/>
  <c r="AK487" i="6"/>
  <c r="AJ488" i="6"/>
  <c r="AK488" i="6"/>
  <c r="AJ489" i="6"/>
  <c r="AK489" i="6"/>
  <c r="AJ490" i="6"/>
  <c r="AK490" i="6"/>
  <c r="AJ491" i="6"/>
  <c r="AK491" i="6"/>
  <c r="AJ492" i="6"/>
  <c r="AK492" i="6"/>
  <c r="AJ493" i="6"/>
  <c r="AK493" i="6"/>
  <c r="AJ494" i="6"/>
  <c r="AK494" i="6"/>
  <c r="AJ495" i="6"/>
  <c r="AK495" i="6"/>
  <c r="AJ496" i="6"/>
  <c r="AK496" i="6"/>
  <c r="AJ497" i="6"/>
  <c r="AK497" i="6"/>
  <c r="AJ498" i="6"/>
  <c r="AK498" i="6"/>
  <c r="AJ499" i="6"/>
  <c r="AK499" i="6"/>
  <c r="AJ500" i="6"/>
  <c r="AK500" i="6"/>
  <c r="AJ501" i="6"/>
  <c r="AK501" i="6"/>
  <c r="AJ502" i="6"/>
  <c r="AK502" i="6"/>
  <c r="AJ503" i="6"/>
  <c r="AK503" i="6"/>
  <c r="AJ504" i="6"/>
  <c r="AK504" i="6"/>
  <c r="AJ505" i="6"/>
  <c r="AK505" i="6"/>
  <c r="AJ506" i="6"/>
  <c r="AK506" i="6"/>
  <c r="AJ507" i="6"/>
  <c r="AK507" i="6"/>
  <c r="AJ508" i="6"/>
  <c r="AK508" i="6"/>
  <c r="AJ509" i="6"/>
  <c r="AK509" i="6"/>
  <c r="AJ510" i="6"/>
  <c r="AK510" i="6"/>
  <c r="AJ511" i="6"/>
  <c r="AK511" i="6"/>
  <c r="AJ512" i="6"/>
  <c r="AK512" i="6"/>
  <c r="AJ513" i="6"/>
  <c r="AK513" i="6"/>
  <c r="AJ514" i="6"/>
  <c r="AK514" i="6"/>
  <c r="AJ515" i="6"/>
  <c r="AK515" i="6"/>
  <c r="AJ516" i="6"/>
  <c r="AK516" i="6"/>
  <c r="AJ517" i="6"/>
  <c r="AK517" i="6"/>
  <c r="AJ518" i="6"/>
  <c r="AK518" i="6"/>
  <c r="AJ519" i="6"/>
  <c r="AK519" i="6"/>
  <c r="AJ520" i="6"/>
  <c r="AK520" i="6"/>
  <c r="AJ521" i="6"/>
  <c r="AK521" i="6"/>
  <c r="AJ522" i="6"/>
  <c r="AK522" i="6"/>
  <c r="AJ523" i="6"/>
  <c r="AK523" i="6"/>
  <c r="AJ524" i="6"/>
  <c r="AK524" i="6"/>
  <c r="AJ525" i="6"/>
  <c r="AK525" i="6"/>
  <c r="AJ526" i="6"/>
  <c r="AK526" i="6"/>
  <c r="AJ527" i="6"/>
  <c r="AK527" i="6"/>
  <c r="AJ528" i="6"/>
  <c r="AK528" i="6"/>
  <c r="AJ529" i="6"/>
  <c r="AK529" i="6"/>
  <c r="AJ530" i="6"/>
  <c r="AK530" i="6"/>
  <c r="AJ531" i="6"/>
  <c r="AK531" i="6"/>
  <c r="AJ532" i="6"/>
  <c r="AK532" i="6"/>
  <c r="AJ533" i="6"/>
  <c r="AK533" i="6"/>
  <c r="AJ534" i="6"/>
  <c r="AK534" i="6"/>
  <c r="AJ535" i="6"/>
  <c r="AK535" i="6"/>
  <c r="AJ536" i="6"/>
  <c r="AK536" i="6"/>
  <c r="AJ537" i="6"/>
  <c r="AK537" i="6"/>
  <c r="AJ538" i="6"/>
  <c r="AK538" i="6"/>
  <c r="AJ539" i="6"/>
  <c r="AK539" i="6"/>
  <c r="AJ540" i="6"/>
  <c r="AK540" i="6"/>
  <c r="AJ541" i="6"/>
  <c r="AK541" i="6"/>
  <c r="AJ542" i="6"/>
  <c r="AK542" i="6"/>
  <c r="AJ543" i="6"/>
  <c r="AK543" i="6"/>
  <c r="AJ544" i="6"/>
  <c r="AK544" i="6"/>
  <c r="AJ545" i="6"/>
  <c r="AK545" i="6"/>
  <c r="AJ546" i="6"/>
  <c r="AK546" i="6"/>
  <c r="AJ547" i="6"/>
  <c r="AK547" i="6"/>
  <c r="AJ548" i="6"/>
  <c r="AK548" i="6"/>
  <c r="AJ549" i="6"/>
  <c r="AK549" i="6"/>
  <c r="AJ550" i="6"/>
  <c r="AK550" i="6"/>
  <c r="AJ551" i="6"/>
  <c r="AK551" i="6"/>
  <c r="AJ552" i="6"/>
  <c r="AK552" i="6"/>
  <c r="AJ553" i="6"/>
  <c r="AK553" i="6"/>
  <c r="AJ554" i="6"/>
  <c r="AK554" i="6"/>
  <c r="AJ555" i="6"/>
  <c r="AK555" i="6"/>
  <c r="AJ556" i="6"/>
  <c r="AK556" i="6"/>
  <c r="AJ557" i="6"/>
  <c r="AK557" i="6"/>
  <c r="AJ558" i="6"/>
  <c r="AK558" i="6"/>
  <c r="AJ559" i="6"/>
  <c r="AK559" i="6"/>
  <c r="AJ560" i="6"/>
  <c r="AK560" i="6"/>
  <c r="AJ561" i="6"/>
  <c r="AK561" i="6"/>
  <c r="AJ562" i="6"/>
  <c r="AK562" i="6"/>
  <c r="AJ563" i="6"/>
  <c r="AK563" i="6"/>
  <c r="AJ564" i="6"/>
  <c r="AK564" i="6"/>
  <c r="AJ565" i="6"/>
  <c r="AK565" i="6"/>
  <c r="AJ566" i="6"/>
  <c r="AK566" i="6"/>
  <c r="AJ567" i="6"/>
  <c r="AK567" i="6"/>
  <c r="AJ568" i="6"/>
  <c r="AK568" i="6"/>
  <c r="AJ569" i="6"/>
  <c r="AK569" i="6"/>
  <c r="AJ570" i="6"/>
  <c r="AK570" i="6"/>
  <c r="AJ571" i="6"/>
  <c r="AK571" i="6"/>
  <c r="AJ572" i="6"/>
  <c r="AK572" i="6"/>
  <c r="AJ573" i="6"/>
  <c r="AK573" i="6"/>
  <c r="AJ574" i="6"/>
  <c r="AK574" i="6"/>
  <c r="AJ575" i="6"/>
  <c r="AK575" i="6"/>
  <c r="AJ576" i="6"/>
  <c r="AK576" i="6"/>
  <c r="AJ577" i="6"/>
  <c r="AK577" i="6"/>
  <c r="AJ578" i="6"/>
  <c r="AK578" i="6"/>
  <c r="AJ579" i="6"/>
  <c r="AK579" i="6"/>
  <c r="AJ580" i="6"/>
  <c r="AK580" i="6"/>
  <c r="AJ581" i="6"/>
  <c r="AK581" i="6"/>
  <c r="AJ582" i="6"/>
  <c r="AK582" i="6"/>
  <c r="AJ583" i="6"/>
  <c r="AK583" i="6"/>
  <c r="AJ584" i="6"/>
  <c r="AK584" i="6"/>
  <c r="AJ585" i="6"/>
  <c r="AK585" i="6"/>
  <c r="AJ586" i="6"/>
  <c r="AK586" i="6"/>
  <c r="AJ587" i="6"/>
  <c r="AK587" i="6"/>
  <c r="AJ588" i="6"/>
  <c r="AK588" i="6"/>
  <c r="AJ589" i="6"/>
  <c r="AK589" i="6"/>
  <c r="AJ590" i="6"/>
  <c r="AK590" i="6"/>
  <c r="AJ591" i="6"/>
  <c r="AK591" i="6"/>
  <c r="AJ592" i="6"/>
  <c r="AK592" i="6"/>
  <c r="AJ593" i="6"/>
  <c r="AK593" i="6"/>
  <c r="AJ594" i="6"/>
  <c r="AK594" i="6"/>
  <c r="AJ595" i="6"/>
  <c r="AK595" i="6"/>
  <c r="AJ596" i="6"/>
  <c r="AK596" i="6"/>
  <c r="AJ597" i="6"/>
  <c r="AK597" i="6"/>
  <c r="AJ598" i="6"/>
  <c r="AK598" i="6"/>
  <c r="AJ599" i="6"/>
  <c r="AK599" i="6"/>
  <c r="AJ600" i="6"/>
  <c r="AK600" i="6"/>
  <c r="AJ601" i="6"/>
  <c r="AK601" i="6"/>
  <c r="AJ602" i="6"/>
  <c r="AK602" i="6"/>
  <c r="AJ603" i="6"/>
  <c r="AK603" i="6"/>
  <c r="AJ604" i="6"/>
  <c r="AK604" i="6"/>
  <c r="AJ605" i="6"/>
  <c r="AK605" i="6"/>
  <c r="AJ606" i="6"/>
  <c r="AK606" i="6"/>
  <c r="AJ607" i="6"/>
  <c r="AK607" i="6"/>
  <c r="AJ608" i="6"/>
  <c r="AK608" i="6"/>
  <c r="AJ609" i="6"/>
  <c r="AK609" i="6"/>
  <c r="AJ610" i="6"/>
  <c r="AK610" i="6"/>
  <c r="AJ611" i="6"/>
  <c r="AK611" i="6"/>
  <c r="AJ612" i="6"/>
  <c r="AK612" i="6"/>
  <c r="AJ613" i="6"/>
  <c r="AK613" i="6"/>
  <c r="AJ614" i="6"/>
  <c r="AK614" i="6"/>
  <c r="AJ615" i="6"/>
  <c r="AK615" i="6"/>
  <c r="AJ616" i="6"/>
  <c r="AK616" i="6"/>
  <c r="AJ617" i="6"/>
  <c r="AK617" i="6"/>
  <c r="AJ618" i="6"/>
  <c r="AK618" i="6"/>
  <c r="AJ619" i="6"/>
  <c r="AK619" i="6"/>
  <c r="AJ620" i="6"/>
  <c r="AK620" i="6"/>
  <c r="AJ621" i="6"/>
  <c r="AK621" i="6"/>
  <c r="AJ622" i="6"/>
  <c r="AK622" i="6"/>
  <c r="AJ623" i="6"/>
  <c r="AK623" i="6"/>
  <c r="AJ624" i="6"/>
  <c r="AK624" i="6"/>
  <c r="AJ625" i="6"/>
  <c r="AK625" i="6"/>
  <c r="AJ626" i="6"/>
  <c r="AK626" i="6"/>
  <c r="AJ627" i="6"/>
  <c r="AK627" i="6"/>
  <c r="AJ628" i="6"/>
  <c r="AK628" i="6"/>
  <c r="AJ629" i="6"/>
  <c r="AK629" i="6"/>
  <c r="AJ630" i="6"/>
  <c r="AK630" i="6"/>
  <c r="AJ631" i="6"/>
  <c r="AK631" i="6"/>
  <c r="AJ632" i="6"/>
  <c r="AK632" i="6"/>
  <c r="AJ633" i="6"/>
  <c r="AK633" i="6"/>
  <c r="AJ634" i="6"/>
  <c r="AK634" i="6"/>
  <c r="AJ635" i="6"/>
  <c r="AK635" i="6"/>
  <c r="AJ636" i="6"/>
  <c r="AK636" i="6"/>
  <c r="AJ637" i="6"/>
  <c r="AK637" i="6"/>
  <c r="AJ638" i="6"/>
  <c r="AK638" i="6"/>
  <c r="AJ639" i="6"/>
  <c r="AK639" i="6"/>
  <c r="AJ640" i="6"/>
  <c r="AK640" i="6"/>
  <c r="AJ641" i="6"/>
  <c r="AK641" i="6"/>
  <c r="AJ642" i="6"/>
  <c r="AK642" i="6"/>
  <c r="AJ643" i="6"/>
  <c r="AK643" i="6"/>
  <c r="AJ644" i="6"/>
  <c r="AK644" i="6"/>
  <c r="AJ645" i="6"/>
  <c r="AK645" i="6"/>
  <c r="AJ646" i="6"/>
  <c r="AK646" i="6"/>
  <c r="AJ647" i="6"/>
  <c r="AK647" i="6"/>
  <c r="AJ648" i="6"/>
  <c r="AK648" i="6"/>
  <c r="AJ649" i="6"/>
  <c r="AK649" i="6"/>
  <c r="AJ650" i="6"/>
  <c r="AK650" i="6"/>
  <c r="AJ651" i="6"/>
  <c r="AK651" i="6"/>
  <c r="AJ652" i="6"/>
  <c r="AK652" i="6"/>
  <c r="AJ653" i="6"/>
  <c r="AK653" i="6"/>
  <c r="AJ654" i="6"/>
  <c r="AK654" i="6"/>
  <c r="AJ655" i="6"/>
  <c r="AK655" i="6"/>
  <c r="AJ656" i="6"/>
  <c r="AK656" i="6"/>
  <c r="AJ657" i="6"/>
  <c r="AK657" i="6"/>
  <c r="AJ658" i="6"/>
  <c r="AK658" i="6"/>
  <c r="AJ659" i="6"/>
  <c r="AK659" i="6"/>
  <c r="AJ660" i="6"/>
  <c r="AK660" i="6"/>
  <c r="AJ661" i="6"/>
  <c r="AK661" i="6"/>
  <c r="AJ662" i="6"/>
  <c r="AK662" i="6"/>
  <c r="AJ663" i="6"/>
  <c r="AK663" i="6"/>
  <c r="AJ664" i="6"/>
  <c r="AK664" i="6"/>
  <c r="AJ665" i="6"/>
  <c r="AK665" i="6"/>
  <c r="AJ666" i="6"/>
  <c r="AK666" i="6"/>
  <c r="AJ667" i="6"/>
  <c r="AK667" i="6"/>
  <c r="AJ668" i="6"/>
  <c r="AK668" i="6"/>
  <c r="AJ669" i="6"/>
  <c r="AK669" i="6"/>
  <c r="AJ670" i="6"/>
  <c r="AK670" i="6"/>
  <c r="AJ671" i="6"/>
  <c r="AK671" i="6"/>
  <c r="AJ672" i="6"/>
  <c r="AK672" i="6"/>
  <c r="AJ673" i="6"/>
  <c r="AK673" i="6"/>
  <c r="AJ674" i="6"/>
  <c r="AK674" i="6"/>
  <c r="AJ675" i="6"/>
  <c r="AK675" i="6"/>
  <c r="AJ676" i="6"/>
  <c r="AK676" i="6"/>
  <c r="AJ677" i="6"/>
  <c r="AK677" i="6"/>
  <c r="AJ678" i="6"/>
  <c r="AK678" i="6"/>
  <c r="AJ679" i="6"/>
  <c r="AK679" i="6"/>
  <c r="AJ680" i="6"/>
  <c r="AK680" i="6"/>
  <c r="AJ681" i="6"/>
  <c r="AK681" i="6"/>
  <c r="AJ682" i="6"/>
  <c r="AK682" i="6"/>
  <c r="AJ683" i="6"/>
  <c r="AK683" i="6"/>
  <c r="AJ684" i="6"/>
  <c r="AK684" i="6"/>
  <c r="AJ685" i="6"/>
  <c r="AK685" i="6"/>
  <c r="AJ686" i="6"/>
  <c r="AK686" i="6"/>
  <c r="AJ687" i="6"/>
  <c r="AK687" i="6"/>
  <c r="AJ688" i="6"/>
  <c r="AK688" i="6"/>
  <c r="AJ689" i="6"/>
  <c r="AK689" i="6"/>
  <c r="AJ690" i="6"/>
  <c r="AK690" i="6"/>
  <c r="AJ691" i="6"/>
  <c r="AK691" i="6"/>
  <c r="AJ692" i="6"/>
  <c r="AK692" i="6"/>
  <c r="AJ693" i="6"/>
  <c r="AK693" i="6"/>
  <c r="AJ694" i="6"/>
  <c r="AK694" i="6"/>
  <c r="AJ695" i="6"/>
  <c r="AK695" i="6"/>
  <c r="AJ696" i="6"/>
  <c r="AK696" i="6"/>
  <c r="AJ697" i="6"/>
  <c r="AK697" i="6"/>
  <c r="AJ698" i="6"/>
  <c r="AK698" i="6"/>
  <c r="AJ699" i="6"/>
  <c r="AK699" i="6"/>
  <c r="AJ700" i="6"/>
  <c r="AK700" i="6"/>
  <c r="AJ701" i="6"/>
  <c r="AK701" i="6"/>
  <c r="AJ702" i="6"/>
  <c r="AK702" i="6"/>
  <c r="AJ703" i="6"/>
  <c r="AK703" i="6"/>
  <c r="AJ704" i="6"/>
  <c r="AK704" i="6"/>
  <c r="AJ705" i="6"/>
  <c r="AK705" i="6"/>
  <c r="AJ706" i="6"/>
  <c r="AK706" i="6"/>
  <c r="AJ707" i="6"/>
  <c r="AK707" i="6"/>
  <c r="AJ708" i="6"/>
  <c r="AK708" i="6"/>
  <c r="AJ709" i="6"/>
  <c r="AK709" i="6"/>
  <c r="AJ710" i="6"/>
  <c r="AK710" i="6"/>
  <c r="AJ711" i="6"/>
  <c r="AK711" i="6"/>
  <c r="AJ712" i="6"/>
  <c r="AK712" i="6"/>
  <c r="AJ713" i="6"/>
  <c r="AK713" i="6"/>
  <c r="AJ714" i="6"/>
  <c r="AK714" i="6"/>
  <c r="AJ715" i="6"/>
  <c r="AK715" i="6"/>
  <c r="AJ716" i="6"/>
  <c r="AK716" i="6"/>
  <c r="AJ717" i="6"/>
  <c r="AK717" i="6"/>
  <c r="AJ718" i="6"/>
  <c r="AK718" i="6"/>
  <c r="AJ719" i="6"/>
  <c r="AK719" i="6"/>
  <c r="AJ720" i="6"/>
  <c r="AK720" i="6"/>
  <c r="AJ721" i="6"/>
  <c r="AK721" i="6"/>
  <c r="AJ722" i="6"/>
  <c r="AK722" i="6"/>
  <c r="AJ723" i="6"/>
  <c r="AK723" i="6"/>
  <c r="AJ724" i="6"/>
  <c r="AK724" i="6"/>
  <c r="AJ725" i="6"/>
  <c r="AK725" i="6"/>
  <c r="AJ726" i="6"/>
  <c r="AK726" i="6"/>
  <c r="AJ727" i="6"/>
  <c r="AK727" i="6"/>
  <c r="AJ728" i="6"/>
  <c r="AK728" i="6"/>
  <c r="AJ729" i="6"/>
  <c r="AK729" i="6"/>
  <c r="AJ730" i="6"/>
  <c r="AK730" i="6"/>
  <c r="AJ731" i="6"/>
  <c r="AK731" i="6"/>
  <c r="AJ732" i="6"/>
  <c r="AK732" i="6"/>
  <c r="AJ733" i="6"/>
  <c r="AK733" i="6"/>
  <c r="AJ734" i="6"/>
  <c r="AK734" i="6"/>
  <c r="AJ735" i="6"/>
  <c r="AK735" i="6"/>
  <c r="AJ736" i="6"/>
  <c r="AK736" i="6"/>
  <c r="AJ737" i="6"/>
  <c r="AK737" i="6"/>
  <c r="AJ738" i="6"/>
  <c r="AK738" i="6"/>
  <c r="AJ739" i="6"/>
  <c r="AK739" i="6"/>
  <c r="AJ740" i="6"/>
  <c r="AK740" i="6"/>
  <c r="AJ741" i="6"/>
  <c r="AK741" i="6"/>
  <c r="AJ742" i="6"/>
  <c r="AK742" i="6"/>
  <c r="AJ743" i="6"/>
  <c r="AK743" i="6"/>
  <c r="AJ744" i="6"/>
  <c r="AK744" i="6"/>
  <c r="AJ745" i="6"/>
  <c r="AK745" i="6"/>
  <c r="AJ746" i="6"/>
  <c r="AK746" i="6"/>
  <c r="AJ747" i="6"/>
  <c r="AK747" i="6"/>
  <c r="AJ748" i="6"/>
  <c r="AK748" i="6"/>
  <c r="AJ749" i="6"/>
  <c r="AK749" i="6"/>
  <c r="AJ750" i="6"/>
  <c r="AK750" i="6"/>
  <c r="AJ751" i="6"/>
  <c r="AK751" i="6"/>
  <c r="AJ752" i="6"/>
  <c r="AK752" i="6"/>
  <c r="AJ753" i="6"/>
  <c r="AK753" i="6"/>
  <c r="AJ754" i="6"/>
  <c r="AK754" i="6"/>
  <c r="AJ755" i="6"/>
  <c r="AK755" i="6"/>
  <c r="AJ756" i="6"/>
  <c r="AK756" i="6"/>
  <c r="AJ757" i="6"/>
  <c r="AK757" i="6"/>
  <c r="AJ758" i="6"/>
  <c r="AK758" i="6"/>
  <c r="AJ759" i="6"/>
  <c r="AK759" i="6"/>
  <c r="AJ760" i="6"/>
  <c r="AK760" i="6"/>
  <c r="AJ761" i="6"/>
  <c r="AK761" i="6"/>
  <c r="AJ762" i="6"/>
  <c r="AK762" i="6"/>
  <c r="AJ763" i="6"/>
  <c r="AK763" i="6"/>
  <c r="AJ764" i="6"/>
  <c r="AK764" i="6"/>
  <c r="AJ765" i="6"/>
  <c r="AK765" i="6"/>
  <c r="AJ766" i="6"/>
  <c r="AK766" i="6"/>
  <c r="AJ767" i="6"/>
  <c r="AK767" i="6"/>
  <c r="AJ768" i="6"/>
  <c r="AK768" i="6"/>
  <c r="AJ769" i="6"/>
  <c r="AK769" i="6"/>
  <c r="AJ770" i="6"/>
  <c r="AK770" i="6"/>
  <c r="AJ771" i="6"/>
  <c r="AK771" i="6"/>
  <c r="AJ772" i="6"/>
  <c r="AK772" i="6"/>
  <c r="AJ773" i="6"/>
  <c r="AK773" i="6"/>
  <c r="AJ774" i="6"/>
  <c r="AK774" i="6"/>
  <c r="AJ775" i="6"/>
  <c r="AK775" i="6"/>
  <c r="AJ776" i="6"/>
  <c r="AK776" i="6"/>
  <c r="AJ777" i="6"/>
  <c r="AK777" i="6"/>
  <c r="AJ778" i="6"/>
  <c r="AK778" i="6"/>
  <c r="AJ779" i="6"/>
  <c r="AK779" i="6"/>
  <c r="AJ780" i="6"/>
  <c r="AK780" i="6"/>
  <c r="AJ781" i="6"/>
  <c r="AK781" i="6"/>
  <c r="AJ782" i="6"/>
  <c r="AK782" i="6"/>
  <c r="AJ783" i="6"/>
  <c r="AK783" i="6"/>
  <c r="AJ784" i="6"/>
  <c r="AK784" i="6"/>
  <c r="AJ785" i="6"/>
  <c r="AK785" i="6"/>
  <c r="AJ786" i="6"/>
  <c r="AK786" i="6"/>
  <c r="AJ787" i="6"/>
  <c r="AK787" i="6"/>
  <c r="AJ788" i="6"/>
  <c r="AK788" i="6"/>
  <c r="AJ789" i="6"/>
  <c r="AK789" i="6"/>
  <c r="AJ790" i="6"/>
  <c r="AK790" i="6"/>
  <c r="AJ791" i="6"/>
  <c r="AK791" i="6"/>
  <c r="AJ792" i="6"/>
  <c r="AK792" i="6"/>
  <c r="AJ793" i="6"/>
  <c r="AK793" i="6"/>
  <c r="AJ794" i="6"/>
  <c r="AK794" i="6"/>
  <c r="AJ795" i="6"/>
  <c r="AK795" i="6"/>
  <c r="AJ796" i="6"/>
  <c r="AK796" i="6"/>
  <c r="AJ797" i="6"/>
  <c r="AK797" i="6"/>
  <c r="AJ798" i="6"/>
  <c r="AK798" i="6"/>
  <c r="AJ799" i="6"/>
  <c r="AK799" i="6"/>
  <c r="AJ800" i="6"/>
  <c r="AK800" i="6"/>
  <c r="AJ801" i="6"/>
  <c r="AK801" i="6"/>
  <c r="AJ802" i="6"/>
  <c r="AK802" i="6"/>
  <c r="AJ803" i="6"/>
  <c r="AK803" i="6"/>
  <c r="AJ804" i="6"/>
  <c r="AK804" i="6"/>
  <c r="AJ805" i="6"/>
  <c r="AK805" i="6"/>
  <c r="AJ806" i="6"/>
  <c r="AK806" i="6"/>
  <c r="AJ807" i="6"/>
  <c r="AK807" i="6"/>
  <c r="AJ808" i="6"/>
  <c r="AK808" i="6"/>
  <c r="AJ809" i="6"/>
  <c r="AK809" i="6"/>
  <c r="AJ810" i="6"/>
  <c r="AK810" i="6"/>
  <c r="AJ811" i="6"/>
  <c r="AK811" i="6"/>
  <c r="AJ812" i="6"/>
  <c r="AK812" i="6"/>
  <c r="AJ813" i="6"/>
  <c r="AK813" i="6"/>
  <c r="AJ814" i="6"/>
  <c r="AK814" i="6"/>
  <c r="AJ815" i="6"/>
  <c r="AK815" i="6"/>
  <c r="AJ816" i="6"/>
  <c r="AK816" i="6"/>
  <c r="AJ817" i="6"/>
  <c r="AK817" i="6"/>
  <c r="AJ818" i="6"/>
  <c r="AK818" i="6"/>
  <c r="AJ819" i="6"/>
  <c r="AK819" i="6"/>
  <c r="AJ820" i="6"/>
  <c r="AK820" i="6"/>
  <c r="AJ821" i="6"/>
  <c r="AK821" i="6"/>
  <c r="AJ822" i="6"/>
  <c r="AK822" i="6"/>
  <c r="AJ823" i="6"/>
  <c r="AK823" i="6"/>
  <c r="AJ824" i="6"/>
  <c r="AK824" i="6"/>
  <c r="AJ825" i="6"/>
  <c r="AK825" i="6"/>
  <c r="AJ826" i="6"/>
  <c r="AK826" i="6"/>
  <c r="AJ827" i="6"/>
  <c r="AK827" i="6"/>
  <c r="AJ828" i="6"/>
  <c r="AK828" i="6"/>
  <c r="AJ829" i="6"/>
  <c r="AK829" i="6"/>
  <c r="AJ830" i="6"/>
  <c r="AK830" i="6"/>
  <c r="AJ831" i="6"/>
  <c r="AK831" i="6"/>
  <c r="AJ832" i="6"/>
  <c r="AK832" i="6"/>
  <c r="AJ833" i="6"/>
  <c r="AK833" i="6"/>
  <c r="AJ834" i="6"/>
  <c r="AK834" i="6"/>
  <c r="AJ835" i="6"/>
  <c r="AK835" i="6"/>
  <c r="AJ836" i="6"/>
  <c r="AK836" i="6"/>
  <c r="AJ837" i="6"/>
  <c r="AK837" i="6"/>
  <c r="AJ838" i="6"/>
  <c r="AK838" i="6"/>
  <c r="AJ839" i="6"/>
  <c r="AK839" i="6"/>
  <c r="AJ840" i="6"/>
  <c r="AK840" i="6"/>
  <c r="AJ841" i="6"/>
  <c r="AK841" i="6"/>
  <c r="AJ842" i="6"/>
  <c r="AK842" i="6"/>
  <c r="AJ843" i="6"/>
  <c r="AK843" i="6"/>
  <c r="AJ844" i="6"/>
  <c r="AK844" i="6"/>
  <c r="AJ845" i="6"/>
  <c r="AK845" i="6"/>
  <c r="AJ846" i="6"/>
  <c r="AK846" i="6"/>
  <c r="AJ847" i="6"/>
  <c r="AK847" i="6"/>
  <c r="AJ848" i="6"/>
  <c r="AK848" i="6"/>
  <c r="AJ849" i="6"/>
  <c r="AK849" i="6"/>
  <c r="AJ850" i="6"/>
  <c r="AK850" i="6"/>
  <c r="AJ851" i="6"/>
  <c r="AK851" i="6"/>
  <c r="AJ852" i="6"/>
  <c r="AK852" i="6"/>
  <c r="AJ853" i="6"/>
  <c r="AK853" i="6"/>
  <c r="AJ854" i="6"/>
  <c r="AK854" i="6"/>
  <c r="AJ855" i="6"/>
  <c r="AK855" i="6"/>
  <c r="AJ856" i="6"/>
  <c r="AK856" i="6"/>
  <c r="AJ857" i="6"/>
  <c r="AK857" i="6"/>
  <c r="AJ858" i="6"/>
  <c r="AK858" i="6"/>
  <c r="AJ859" i="6"/>
  <c r="AK859" i="6"/>
  <c r="AJ860" i="6"/>
  <c r="AK860" i="6"/>
  <c r="AJ861" i="6"/>
  <c r="AK861" i="6"/>
  <c r="AJ862" i="6"/>
  <c r="AK862" i="6"/>
  <c r="AJ863" i="6"/>
  <c r="AK863" i="6"/>
  <c r="AJ864" i="6"/>
  <c r="AK864" i="6"/>
  <c r="AJ865" i="6"/>
  <c r="AK865" i="6"/>
  <c r="AJ866" i="6"/>
  <c r="AK866" i="6"/>
  <c r="AJ867" i="6"/>
  <c r="AK867" i="6"/>
  <c r="AJ868" i="6"/>
  <c r="AK868" i="6"/>
  <c r="AJ869" i="6"/>
  <c r="AK869" i="6"/>
  <c r="AJ870" i="6"/>
  <c r="AK870" i="6"/>
  <c r="AJ871" i="6"/>
  <c r="AK871" i="6"/>
  <c r="AJ872" i="6"/>
  <c r="AK872" i="6"/>
  <c r="AJ873" i="6"/>
  <c r="AK873" i="6"/>
  <c r="AJ874" i="6"/>
  <c r="AK874" i="6"/>
  <c r="AJ875" i="6"/>
  <c r="AK875" i="6"/>
  <c r="AJ876" i="6"/>
  <c r="AK876" i="6"/>
  <c r="AJ877" i="6"/>
  <c r="AK877" i="6"/>
  <c r="AJ878" i="6"/>
  <c r="AK878" i="6"/>
  <c r="AJ879" i="6"/>
  <c r="AK879" i="6"/>
  <c r="AJ880" i="6"/>
  <c r="AK880" i="6"/>
  <c r="AJ881" i="6"/>
  <c r="AK881" i="6"/>
  <c r="AJ882" i="6"/>
  <c r="AK882" i="6"/>
  <c r="AJ883" i="6"/>
  <c r="AK883" i="6"/>
  <c r="AJ884" i="6"/>
  <c r="AK884" i="6"/>
  <c r="AJ885" i="6"/>
  <c r="AK885" i="6"/>
  <c r="AJ886" i="6"/>
  <c r="AK886" i="6"/>
  <c r="AJ887" i="6"/>
  <c r="AK887" i="6"/>
  <c r="AJ888" i="6"/>
  <c r="AK888" i="6"/>
  <c r="AJ889" i="6"/>
  <c r="AK889" i="6"/>
  <c r="AJ890" i="6"/>
  <c r="AK890" i="6"/>
  <c r="AJ891" i="6"/>
  <c r="AK891" i="6"/>
  <c r="AJ892" i="6"/>
  <c r="AK892" i="6"/>
  <c r="AJ893" i="6"/>
  <c r="AK893" i="6"/>
  <c r="AJ894" i="6"/>
  <c r="AK894" i="6"/>
  <c r="AJ895" i="6"/>
  <c r="AK895" i="6"/>
  <c r="AJ896" i="6"/>
  <c r="AK896" i="6"/>
  <c r="AJ897" i="6"/>
  <c r="AK897" i="6"/>
  <c r="AJ898" i="6"/>
  <c r="AK898" i="6"/>
  <c r="AJ899" i="6"/>
  <c r="AK899" i="6"/>
  <c r="AJ900" i="6"/>
  <c r="AK900" i="6"/>
  <c r="AJ901" i="6"/>
  <c r="AK901" i="6"/>
  <c r="AJ902" i="6"/>
  <c r="AK902" i="6"/>
  <c r="AJ903" i="6"/>
  <c r="AK903" i="6"/>
  <c r="AJ904" i="6"/>
  <c r="AK904" i="6"/>
  <c r="AJ905" i="6"/>
  <c r="AK905" i="6"/>
  <c r="AJ906" i="6"/>
  <c r="AK906" i="6"/>
  <c r="AJ907" i="6"/>
  <c r="AK907" i="6"/>
  <c r="AJ908" i="6"/>
  <c r="AK908" i="6"/>
  <c r="AJ909" i="6"/>
  <c r="AK909" i="6"/>
  <c r="AJ910" i="6"/>
  <c r="AK910" i="6"/>
  <c r="AJ911" i="6"/>
  <c r="AK911" i="6"/>
  <c r="AJ912" i="6"/>
  <c r="AK912" i="6"/>
  <c r="AJ913" i="6"/>
  <c r="AK913" i="6"/>
  <c r="AJ914" i="6"/>
  <c r="AK914" i="6"/>
  <c r="AJ915" i="6"/>
  <c r="AK915" i="6"/>
  <c r="AJ916" i="6"/>
  <c r="AK916" i="6"/>
  <c r="AJ917" i="6"/>
  <c r="AK917" i="6"/>
  <c r="AJ918" i="6"/>
  <c r="AK918" i="6"/>
  <c r="AJ919" i="6"/>
  <c r="AK919" i="6"/>
  <c r="AJ920" i="6"/>
  <c r="AK920" i="6"/>
  <c r="AJ921" i="6"/>
  <c r="AK921" i="6"/>
  <c r="AJ922" i="6"/>
  <c r="AK922" i="6"/>
  <c r="AJ923" i="6"/>
  <c r="AK923" i="6"/>
  <c r="AJ924" i="6"/>
  <c r="AK924" i="6"/>
  <c r="AJ925" i="6"/>
  <c r="AK925" i="6"/>
  <c r="AJ926" i="6"/>
  <c r="AK926" i="6"/>
  <c r="AJ927" i="6"/>
  <c r="AK927" i="6"/>
  <c r="AJ928" i="6"/>
  <c r="AK928" i="6"/>
  <c r="AJ929" i="6"/>
  <c r="AK929" i="6"/>
  <c r="AJ930" i="6"/>
  <c r="AK930" i="6"/>
  <c r="AJ931" i="6"/>
  <c r="AK931" i="6"/>
  <c r="AJ932" i="6"/>
  <c r="AK932" i="6"/>
  <c r="AJ933" i="6"/>
  <c r="AK933" i="6"/>
  <c r="AJ934" i="6"/>
  <c r="AK934" i="6"/>
  <c r="AJ935" i="6"/>
  <c r="AK935" i="6"/>
  <c r="AJ936" i="6"/>
  <c r="AK936" i="6"/>
  <c r="AJ937" i="6"/>
  <c r="AK937" i="6"/>
  <c r="AJ938" i="6"/>
  <c r="AK938" i="6"/>
  <c r="AJ939" i="6"/>
  <c r="AK939" i="6"/>
  <c r="AJ940" i="6"/>
  <c r="AK940" i="6"/>
  <c r="AJ941" i="6"/>
  <c r="AK941" i="6"/>
  <c r="AJ942" i="6"/>
  <c r="AK942" i="6"/>
  <c r="AJ943" i="6"/>
  <c r="AK943" i="6"/>
  <c r="AJ944" i="6"/>
  <c r="AK944" i="6"/>
  <c r="AJ945" i="6"/>
  <c r="AK945" i="6"/>
  <c r="AJ946" i="6"/>
  <c r="AK946" i="6"/>
  <c r="AJ947" i="6"/>
  <c r="AK947" i="6"/>
  <c r="AJ948" i="6"/>
  <c r="AK948" i="6"/>
  <c r="AJ949" i="6"/>
  <c r="AK949" i="6"/>
  <c r="AJ950" i="6"/>
  <c r="AK950" i="6"/>
  <c r="AJ951" i="6"/>
  <c r="AK951" i="6"/>
  <c r="AJ952" i="6"/>
  <c r="AK952" i="6"/>
  <c r="AJ953" i="6"/>
  <c r="AK953" i="6"/>
  <c r="AJ954" i="6"/>
  <c r="AK954" i="6"/>
  <c r="AJ955" i="6"/>
  <c r="AK955" i="6"/>
  <c r="AJ956" i="6"/>
  <c r="AK956" i="6"/>
  <c r="AJ957" i="6"/>
  <c r="AK957" i="6"/>
  <c r="AJ958" i="6"/>
  <c r="AK958" i="6"/>
  <c r="AJ959" i="6"/>
  <c r="AK959" i="6"/>
  <c r="AJ960" i="6"/>
  <c r="AK960" i="6"/>
  <c r="AJ961" i="6"/>
  <c r="AK961" i="6"/>
  <c r="AJ962" i="6"/>
  <c r="AK962" i="6"/>
  <c r="AJ963" i="6"/>
  <c r="AK963" i="6"/>
  <c r="AJ964" i="6"/>
  <c r="AK964" i="6"/>
  <c r="AJ965" i="6"/>
  <c r="AK965" i="6"/>
  <c r="AJ966" i="6"/>
  <c r="AK966" i="6"/>
  <c r="AJ967" i="6"/>
  <c r="AK967" i="6"/>
  <c r="AJ968" i="6"/>
  <c r="AK968" i="6"/>
  <c r="AJ969" i="6"/>
  <c r="AK969" i="6"/>
  <c r="AJ970" i="6"/>
  <c r="AK970" i="6"/>
  <c r="AJ971" i="6"/>
  <c r="AK971" i="6"/>
  <c r="AJ972" i="6"/>
  <c r="AK972" i="6"/>
  <c r="AJ973" i="6"/>
  <c r="AK973" i="6"/>
  <c r="AJ974" i="6"/>
  <c r="AK974" i="6"/>
  <c r="AJ975" i="6"/>
  <c r="AK975" i="6"/>
  <c r="AJ976" i="6"/>
  <c r="AK976" i="6"/>
  <c r="AJ977" i="6"/>
  <c r="AK977" i="6"/>
  <c r="AJ978" i="6"/>
  <c r="AK978" i="6"/>
  <c r="AJ979" i="6"/>
  <c r="AK979" i="6"/>
  <c r="AJ980" i="6"/>
  <c r="AK980" i="6"/>
  <c r="AJ981" i="6"/>
  <c r="AK981" i="6"/>
  <c r="AJ982" i="6"/>
  <c r="AK982" i="6"/>
  <c r="AJ983" i="6"/>
  <c r="AK983" i="6"/>
  <c r="AJ984" i="6"/>
  <c r="AK984" i="6"/>
  <c r="AJ985" i="6"/>
  <c r="AK985" i="6"/>
  <c r="AJ986" i="6"/>
  <c r="AK986" i="6"/>
  <c r="AJ987" i="6"/>
  <c r="AK987" i="6"/>
  <c r="AJ988" i="6"/>
  <c r="AK988" i="6"/>
  <c r="AJ989" i="6"/>
  <c r="AK989" i="6"/>
  <c r="AJ990" i="6"/>
  <c r="AK990" i="6"/>
  <c r="AJ991" i="6"/>
  <c r="AK991" i="6"/>
  <c r="AJ992" i="6"/>
  <c r="AK992" i="6"/>
  <c r="AJ993" i="6"/>
  <c r="AK993" i="6"/>
  <c r="AJ994" i="6"/>
  <c r="AK994" i="6"/>
  <c r="AJ995" i="6"/>
  <c r="AK995" i="6"/>
  <c r="AJ996" i="6"/>
  <c r="AK996" i="6"/>
  <c r="AJ997" i="6"/>
  <c r="AK997" i="6"/>
  <c r="AJ998" i="6"/>
  <c r="AK998" i="6"/>
  <c r="AJ999" i="6"/>
  <c r="AK999" i="6"/>
  <c r="AJ1000" i="6"/>
  <c r="AK1000" i="6"/>
  <c r="AJ1001" i="6"/>
  <c r="AK1001" i="6"/>
  <c r="AJ1002" i="6"/>
  <c r="AK1002" i="6"/>
  <c r="AJ1003" i="6"/>
  <c r="AK1003" i="6"/>
  <c r="AJ1004" i="6"/>
  <c r="AK1004" i="6"/>
  <c r="AJ1005" i="6"/>
  <c r="AK1005" i="6"/>
  <c r="AJ1006" i="6"/>
  <c r="AK1006" i="6"/>
  <c r="AJ1007" i="6"/>
  <c r="AK1007" i="6"/>
  <c r="AD9" i="6"/>
  <c r="AD10" i="6"/>
  <c r="AK10" i="6" s="1"/>
  <c r="AD11" i="6"/>
  <c r="AE11" i="6" s="1"/>
  <c r="AD12" i="6"/>
  <c r="AE12" i="6" s="1"/>
  <c r="AD13" i="6"/>
  <c r="AE13" i="6" s="1"/>
  <c r="AD14" i="6"/>
  <c r="AE14" i="6" s="1"/>
  <c r="AD15" i="6"/>
  <c r="AE15" i="6" s="1"/>
  <c r="AD16" i="6"/>
  <c r="AE16" i="6" s="1"/>
  <c r="AD17" i="6"/>
  <c r="AE17" i="6" s="1"/>
  <c r="AD18" i="6"/>
  <c r="AE18" i="6" s="1"/>
  <c r="AD19" i="6"/>
  <c r="AE19" i="6" s="1"/>
  <c r="AD20" i="6"/>
  <c r="AE20" i="6" s="1"/>
  <c r="AD21" i="6"/>
  <c r="AE21" i="6" s="1"/>
  <c r="AD22" i="6"/>
  <c r="AE22" i="6" s="1"/>
  <c r="AD23" i="6"/>
  <c r="AE23" i="6" s="1"/>
  <c r="AD24" i="6"/>
  <c r="AE24" i="6" s="1"/>
  <c r="AD25" i="6"/>
  <c r="AE25" i="6" s="1"/>
  <c r="AD26" i="6"/>
  <c r="AE26" i="6" s="1"/>
  <c r="AD27" i="6"/>
  <c r="AE27" i="6" s="1"/>
  <c r="AD28" i="6"/>
  <c r="AE28" i="6" s="1"/>
  <c r="AD29" i="6"/>
  <c r="AE29" i="6" s="1"/>
  <c r="AD30" i="6"/>
  <c r="AE30" i="6" s="1"/>
  <c r="AD31" i="6"/>
  <c r="AE31" i="6" s="1"/>
  <c r="AD32" i="6"/>
  <c r="AE32" i="6" s="1"/>
  <c r="AD33" i="6"/>
  <c r="AE33" i="6" s="1"/>
  <c r="AD34" i="6"/>
  <c r="AE34" i="6" s="1"/>
  <c r="AD35" i="6"/>
  <c r="AE35" i="6" s="1"/>
  <c r="AD36" i="6"/>
  <c r="AE36" i="6" s="1"/>
  <c r="AD37" i="6"/>
  <c r="AE37" i="6" s="1"/>
  <c r="AD38" i="6"/>
  <c r="AE38" i="6" s="1"/>
  <c r="AD39" i="6"/>
  <c r="AE39" i="6" s="1"/>
  <c r="AD40" i="6"/>
  <c r="AE40" i="6" s="1"/>
  <c r="AD41" i="6"/>
  <c r="AE41" i="6" s="1"/>
  <c r="AD42" i="6"/>
  <c r="AE42" i="6" s="1"/>
  <c r="AD43" i="6"/>
  <c r="AE43" i="6" s="1"/>
  <c r="AD44" i="6"/>
  <c r="AE44" i="6" s="1"/>
  <c r="AD45" i="6"/>
  <c r="AE45" i="6" s="1"/>
  <c r="AD46" i="6"/>
  <c r="AE46" i="6" s="1"/>
  <c r="AD47" i="6"/>
  <c r="AE47" i="6" s="1"/>
  <c r="AD48" i="6"/>
  <c r="AE48" i="6" s="1"/>
  <c r="AD49" i="6"/>
  <c r="AE49" i="6" s="1"/>
  <c r="AD50" i="6"/>
  <c r="AE50" i="6" s="1"/>
  <c r="AD51" i="6"/>
  <c r="AE51" i="6" s="1"/>
  <c r="AD52" i="6"/>
  <c r="AE52" i="6" s="1"/>
  <c r="AD53" i="6"/>
  <c r="AE53" i="6" s="1"/>
  <c r="AD54" i="6"/>
  <c r="AE54" i="6" s="1"/>
  <c r="AD55" i="6"/>
  <c r="AE55" i="6" s="1"/>
  <c r="AD56" i="6"/>
  <c r="AE56" i="6" s="1"/>
  <c r="AD57" i="6"/>
  <c r="AE57" i="6" s="1"/>
  <c r="AD58" i="6"/>
  <c r="AE58" i="6" s="1"/>
  <c r="AD59" i="6"/>
  <c r="AE59" i="6" s="1"/>
  <c r="AD60" i="6"/>
  <c r="AE60" i="6" s="1"/>
  <c r="AD61" i="6"/>
  <c r="AE61" i="6" s="1"/>
  <c r="AD62" i="6"/>
  <c r="AE62" i="6" s="1"/>
  <c r="AD63" i="6"/>
  <c r="AE63" i="6" s="1"/>
  <c r="AD64" i="6"/>
  <c r="AE64" i="6" s="1"/>
  <c r="AD65" i="6"/>
  <c r="AE65" i="6" s="1"/>
  <c r="AD66" i="6"/>
  <c r="AE66" i="6" s="1"/>
  <c r="AD67" i="6"/>
  <c r="AE67" i="6" s="1"/>
  <c r="AD68" i="6"/>
  <c r="AE68" i="6" s="1"/>
  <c r="AD69" i="6"/>
  <c r="AE69" i="6" s="1"/>
  <c r="AD70" i="6"/>
  <c r="AE70" i="6" s="1"/>
  <c r="AD71" i="6"/>
  <c r="AE71" i="6" s="1"/>
  <c r="AD72" i="6"/>
  <c r="AE72" i="6" s="1"/>
  <c r="AD73" i="6"/>
  <c r="AE73" i="6" s="1"/>
  <c r="AD74" i="6"/>
  <c r="AE74" i="6" s="1"/>
  <c r="AD75" i="6"/>
  <c r="AE75" i="6" s="1"/>
  <c r="AD76" i="6"/>
  <c r="AE76" i="6" s="1"/>
  <c r="AD77" i="6"/>
  <c r="AE77" i="6" s="1"/>
  <c r="AD78" i="6"/>
  <c r="AE78" i="6" s="1"/>
  <c r="AD79" i="6"/>
  <c r="AE79" i="6" s="1"/>
  <c r="AD80" i="6"/>
  <c r="AE80" i="6" s="1"/>
  <c r="AD81" i="6"/>
  <c r="AE81" i="6" s="1"/>
  <c r="AD82" i="6"/>
  <c r="AE82" i="6" s="1"/>
  <c r="AD83" i="6"/>
  <c r="AE83" i="6" s="1"/>
  <c r="AD84" i="6"/>
  <c r="AE84" i="6" s="1"/>
  <c r="AD85" i="6"/>
  <c r="AE85" i="6" s="1"/>
  <c r="AD86" i="6"/>
  <c r="AE86" i="6" s="1"/>
  <c r="AD87" i="6"/>
  <c r="AE87" i="6" s="1"/>
  <c r="AD88" i="6"/>
  <c r="AE88" i="6" s="1"/>
  <c r="AD89" i="6"/>
  <c r="AE89" i="6" s="1"/>
  <c r="AD90" i="6"/>
  <c r="AE90" i="6" s="1"/>
  <c r="AD91" i="6"/>
  <c r="AE91" i="6" s="1"/>
  <c r="AD92" i="6"/>
  <c r="AE92" i="6" s="1"/>
  <c r="AD93" i="6"/>
  <c r="AE93" i="6" s="1"/>
  <c r="AD94" i="6"/>
  <c r="AE94" i="6" s="1"/>
  <c r="AD95" i="6"/>
  <c r="AE95" i="6" s="1"/>
  <c r="AD96" i="6"/>
  <c r="AE96" i="6" s="1"/>
  <c r="AD97" i="6"/>
  <c r="AE97" i="6" s="1"/>
  <c r="AD98" i="6"/>
  <c r="AE98" i="6" s="1"/>
  <c r="AD99" i="6"/>
  <c r="AE99" i="6" s="1"/>
  <c r="AD100" i="6"/>
  <c r="AE100" i="6" s="1"/>
  <c r="AD101" i="6"/>
  <c r="AE101" i="6" s="1"/>
  <c r="AD102" i="6"/>
  <c r="AE102" i="6" s="1"/>
  <c r="AD103" i="6"/>
  <c r="AE103" i="6" s="1"/>
  <c r="AD104" i="6"/>
  <c r="AE104" i="6" s="1"/>
  <c r="AD105" i="6"/>
  <c r="AE105" i="6" s="1"/>
  <c r="AD106" i="6"/>
  <c r="AE106" i="6" s="1"/>
  <c r="AD107" i="6"/>
  <c r="AE107" i="6" s="1"/>
  <c r="AD108" i="6"/>
  <c r="AE108" i="6" s="1"/>
  <c r="AD109" i="6"/>
  <c r="AE109" i="6" s="1"/>
  <c r="AD110" i="6"/>
  <c r="AE110" i="6" s="1"/>
  <c r="AD111" i="6"/>
  <c r="AE111" i="6" s="1"/>
  <c r="AD112" i="6"/>
  <c r="AE112" i="6" s="1"/>
  <c r="AD113" i="6"/>
  <c r="AE113" i="6" s="1"/>
  <c r="AD114" i="6"/>
  <c r="AE114" i="6" s="1"/>
  <c r="AD115" i="6"/>
  <c r="AE115" i="6" s="1"/>
  <c r="AD116" i="6"/>
  <c r="AE116" i="6" s="1"/>
  <c r="AD117" i="6"/>
  <c r="AE117" i="6" s="1"/>
  <c r="AD118" i="6"/>
  <c r="AE118" i="6" s="1"/>
  <c r="AD119" i="6"/>
  <c r="AE119" i="6" s="1"/>
  <c r="AD120" i="6"/>
  <c r="AE120" i="6" s="1"/>
  <c r="AD121" i="6"/>
  <c r="AE121" i="6" s="1"/>
  <c r="AD122" i="6"/>
  <c r="AE122" i="6" s="1"/>
  <c r="AD123" i="6"/>
  <c r="AE123" i="6" s="1"/>
  <c r="AD124" i="6"/>
  <c r="AE124" i="6" s="1"/>
  <c r="AD125" i="6"/>
  <c r="AE125" i="6" s="1"/>
  <c r="AD126" i="6"/>
  <c r="AE126" i="6" s="1"/>
  <c r="AD127" i="6"/>
  <c r="AE127" i="6" s="1"/>
  <c r="AD128" i="6"/>
  <c r="AE128" i="6" s="1"/>
  <c r="AD129" i="6"/>
  <c r="AE129" i="6" s="1"/>
  <c r="AD130" i="6"/>
  <c r="AE130" i="6" s="1"/>
  <c r="AD131" i="6"/>
  <c r="AE131" i="6" s="1"/>
  <c r="AD132" i="6"/>
  <c r="AE132" i="6" s="1"/>
  <c r="AD133" i="6"/>
  <c r="AE133" i="6" s="1"/>
  <c r="AD134" i="6"/>
  <c r="AE134" i="6" s="1"/>
  <c r="AD135" i="6"/>
  <c r="AE135" i="6" s="1"/>
  <c r="AD136" i="6"/>
  <c r="AE136" i="6" s="1"/>
  <c r="AD137" i="6"/>
  <c r="AE137" i="6" s="1"/>
  <c r="AD138" i="6"/>
  <c r="AE138" i="6" s="1"/>
  <c r="AD139" i="6"/>
  <c r="AE139" i="6" s="1"/>
  <c r="AD140" i="6"/>
  <c r="AE140" i="6" s="1"/>
  <c r="AD141" i="6"/>
  <c r="AE141" i="6" s="1"/>
  <c r="AD142" i="6"/>
  <c r="AE142" i="6" s="1"/>
  <c r="AD143" i="6"/>
  <c r="AE143" i="6" s="1"/>
  <c r="AD144" i="6"/>
  <c r="AE144" i="6" s="1"/>
  <c r="AD145" i="6"/>
  <c r="AE145" i="6" s="1"/>
  <c r="AD146" i="6"/>
  <c r="AE146" i="6" s="1"/>
  <c r="AD147" i="6"/>
  <c r="AE147" i="6" s="1"/>
  <c r="AD148" i="6"/>
  <c r="AE148" i="6" s="1"/>
  <c r="AD149" i="6"/>
  <c r="AE149" i="6" s="1"/>
  <c r="AD150" i="6"/>
  <c r="AE150" i="6" s="1"/>
  <c r="AD151" i="6"/>
  <c r="AE151" i="6" s="1"/>
  <c r="AD152" i="6"/>
  <c r="AE152" i="6" s="1"/>
  <c r="AD153" i="6"/>
  <c r="AE153" i="6" s="1"/>
  <c r="AD154" i="6"/>
  <c r="AE154" i="6" s="1"/>
  <c r="AD155" i="6"/>
  <c r="AE155" i="6" s="1"/>
  <c r="AD156" i="6"/>
  <c r="AE156" i="6" s="1"/>
  <c r="AD157" i="6"/>
  <c r="AE157" i="6" s="1"/>
  <c r="AD158" i="6"/>
  <c r="AE158" i="6" s="1"/>
  <c r="AD159" i="6"/>
  <c r="AE159" i="6" s="1"/>
  <c r="AD160" i="6"/>
  <c r="AE160" i="6" s="1"/>
  <c r="AD161" i="6"/>
  <c r="AE161" i="6" s="1"/>
  <c r="AD162" i="6"/>
  <c r="AE162" i="6" s="1"/>
  <c r="AD163" i="6"/>
  <c r="AE163" i="6" s="1"/>
  <c r="AD164" i="6"/>
  <c r="AE164" i="6" s="1"/>
  <c r="AD165" i="6"/>
  <c r="AE165" i="6" s="1"/>
  <c r="AD166" i="6"/>
  <c r="AE166" i="6" s="1"/>
  <c r="AD167" i="6"/>
  <c r="AE167" i="6" s="1"/>
  <c r="AD168" i="6"/>
  <c r="AE168" i="6" s="1"/>
  <c r="AD169" i="6"/>
  <c r="AE169" i="6" s="1"/>
  <c r="AD170" i="6"/>
  <c r="AE170" i="6" s="1"/>
  <c r="AD171" i="6"/>
  <c r="AE171" i="6" s="1"/>
  <c r="AD172" i="6"/>
  <c r="AE172" i="6" s="1"/>
  <c r="AD173" i="6"/>
  <c r="AE173" i="6" s="1"/>
  <c r="AD174" i="6"/>
  <c r="AE174" i="6" s="1"/>
  <c r="AD175" i="6"/>
  <c r="AE175" i="6" s="1"/>
  <c r="AD176" i="6"/>
  <c r="AE176" i="6" s="1"/>
  <c r="AD177" i="6"/>
  <c r="AE177" i="6" s="1"/>
  <c r="AD178" i="6"/>
  <c r="AE178" i="6" s="1"/>
  <c r="AD179" i="6"/>
  <c r="AE179" i="6" s="1"/>
  <c r="AD180" i="6"/>
  <c r="AE180" i="6" s="1"/>
  <c r="AD181" i="6"/>
  <c r="AE181" i="6" s="1"/>
  <c r="AD182" i="6"/>
  <c r="AE182" i="6" s="1"/>
  <c r="AD183" i="6"/>
  <c r="AE183" i="6" s="1"/>
  <c r="AD184" i="6"/>
  <c r="AE184" i="6" s="1"/>
  <c r="AD185" i="6"/>
  <c r="AE185" i="6" s="1"/>
  <c r="AD186" i="6"/>
  <c r="AE186" i="6" s="1"/>
  <c r="AD187" i="6"/>
  <c r="AE187" i="6" s="1"/>
  <c r="AD188" i="6"/>
  <c r="AE188" i="6" s="1"/>
  <c r="AD189" i="6"/>
  <c r="AE189" i="6" s="1"/>
  <c r="AD190" i="6"/>
  <c r="AE190" i="6" s="1"/>
  <c r="AD191" i="6"/>
  <c r="AE191" i="6" s="1"/>
  <c r="AD192" i="6"/>
  <c r="AE192" i="6" s="1"/>
  <c r="AD193" i="6"/>
  <c r="AE193" i="6" s="1"/>
  <c r="AD194" i="6"/>
  <c r="AE194" i="6" s="1"/>
  <c r="AD195" i="6"/>
  <c r="AE195" i="6" s="1"/>
  <c r="AD196" i="6"/>
  <c r="AE196" i="6" s="1"/>
  <c r="AD197" i="6"/>
  <c r="AE197" i="6" s="1"/>
  <c r="AD198" i="6"/>
  <c r="AE198" i="6" s="1"/>
  <c r="AD199" i="6"/>
  <c r="AE199" i="6" s="1"/>
  <c r="AD200" i="6"/>
  <c r="AE200" i="6" s="1"/>
  <c r="AD201" i="6"/>
  <c r="AE201" i="6" s="1"/>
  <c r="AD202" i="6"/>
  <c r="AE202" i="6" s="1"/>
  <c r="AD203" i="6"/>
  <c r="AE203" i="6" s="1"/>
  <c r="AD204" i="6"/>
  <c r="AE204" i="6" s="1"/>
  <c r="AD205" i="6"/>
  <c r="AE205" i="6" s="1"/>
  <c r="AD206" i="6"/>
  <c r="AE206" i="6" s="1"/>
  <c r="AD207" i="6"/>
  <c r="AE207" i="6" s="1"/>
  <c r="AD208" i="6"/>
  <c r="AE208" i="6" s="1"/>
  <c r="AD209" i="6"/>
  <c r="AE209" i="6" s="1"/>
  <c r="AD210" i="6"/>
  <c r="AE210" i="6" s="1"/>
  <c r="AD211" i="6"/>
  <c r="AE211" i="6" s="1"/>
  <c r="AD212" i="6"/>
  <c r="AE212" i="6" s="1"/>
  <c r="AD213" i="6"/>
  <c r="AE213" i="6" s="1"/>
  <c r="AD214" i="6"/>
  <c r="AE214" i="6" s="1"/>
  <c r="AD215" i="6"/>
  <c r="AE215" i="6" s="1"/>
  <c r="AD216" i="6"/>
  <c r="AE216" i="6" s="1"/>
  <c r="AD217" i="6"/>
  <c r="AE217" i="6" s="1"/>
  <c r="AD218" i="6"/>
  <c r="AE218" i="6" s="1"/>
  <c r="AD219" i="6"/>
  <c r="AE219" i="6" s="1"/>
  <c r="AD220" i="6"/>
  <c r="AE220" i="6" s="1"/>
  <c r="AD221" i="6"/>
  <c r="AE221" i="6" s="1"/>
  <c r="AD222" i="6"/>
  <c r="AE222" i="6" s="1"/>
  <c r="AD223" i="6"/>
  <c r="AE223" i="6" s="1"/>
  <c r="AD224" i="6"/>
  <c r="AE224" i="6" s="1"/>
  <c r="AD225" i="6"/>
  <c r="AE225" i="6" s="1"/>
  <c r="AD226" i="6"/>
  <c r="AE226" i="6" s="1"/>
  <c r="AD227" i="6"/>
  <c r="AE227" i="6" s="1"/>
  <c r="AD228" i="6"/>
  <c r="AE228" i="6" s="1"/>
  <c r="AD229" i="6"/>
  <c r="AE229" i="6" s="1"/>
  <c r="AD230" i="6"/>
  <c r="AE230" i="6" s="1"/>
  <c r="AD231" i="6"/>
  <c r="AE231" i="6" s="1"/>
  <c r="AD232" i="6"/>
  <c r="AE232" i="6" s="1"/>
  <c r="AD233" i="6"/>
  <c r="AE233" i="6" s="1"/>
  <c r="AD234" i="6"/>
  <c r="AE234" i="6" s="1"/>
  <c r="AD235" i="6"/>
  <c r="AE235" i="6" s="1"/>
  <c r="AD236" i="6"/>
  <c r="AE236" i="6" s="1"/>
  <c r="AD237" i="6"/>
  <c r="AE237" i="6" s="1"/>
  <c r="AD238" i="6"/>
  <c r="AE238" i="6" s="1"/>
  <c r="AD239" i="6"/>
  <c r="AE239" i="6" s="1"/>
  <c r="AD240" i="6"/>
  <c r="AE240" i="6" s="1"/>
  <c r="AD241" i="6"/>
  <c r="AE241" i="6" s="1"/>
  <c r="AD242" i="6"/>
  <c r="AE242" i="6" s="1"/>
  <c r="AD243" i="6"/>
  <c r="AE243" i="6" s="1"/>
  <c r="AD244" i="6"/>
  <c r="AE244" i="6" s="1"/>
  <c r="AD245" i="6"/>
  <c r="AE245" i="6" s="1"/>
  <c r="AD246" i="6"/>
  <c r="AE246" i="6" s="1"/>
  <c r="AD247" i="6"/>
  <c r="AE247" i="6" s="1"/>
  <c r="AD248" i="6"/>
  <c r="AE248" i="6" s="1"/>
  <c r="AD249" i="6"/>
  <c r="AE249" i="6" s="1"/>
  <c r="AD250" i="6"/>
  <c r="AE250" i="6" s="1"/>
  <c r="AD251" i="6"/>
  <c r="AE251" i="6" s="1"/>
  <c r="AD252" i="6"/>
  <c r="AE252" i="6" s="1"/>
  <c r="AD253" i="6"/>
  <c r="AE253" i="6" s="1"/>
  <c r="AD254" i="6"/>
  <c r="AE254" i="6" s="1"/>
  <c r="AD255" i="6"/>
  <c r="AE255" i="6" s="1"/>
  <c r="AD256" i="6"/>
  <c r="AE256" i="6" s="1"/>
  <c r="AD257" i="6"/>
  <c r="AE257" i="6" s="1"/>
  <c r="AD258" i="6"/>
  <c r="AE258" i="6" s="1"/>
  <c r="AD259" i="6"/>
  <c r="AE259" i="6" s="1"/>
  <c r="AD260" i="6"/>
  <c r="AE260" i="6" s="1"/>
  <c r="AD261" i="6"/>
  <c r="AE261" i="6" s="1"/>
  <c r="AD262" i="6"/>
  <c r="AE262" i="6" s="1"/>
  <c r="AD263" i="6"/>
  <c r="AE263" i="6" s="1"/>
  <c r="AD264" i="6"/>
  <c r="AE264" i="6" s="1"/>
  <c r="AD265" i="6"/>
  <c r="AE265" i="6" s="1"/>
  <c r="AD266" i="6"/>
  <c r="AE266" i="6" s="1"/>
  <c r="AD267" i="6"/>
  <c r="AE267" i="6" s="1"/>
  <c r="AD268" i="6"/>
  <c r="AE268" i="6" s="1"/>
  <c r="AD269" i="6"/>
  <c r="AE269" i="6" s="1"/>
  <c r="AD270" i="6"/>
  <c r="AE270" i="6" s="1"/>
  <c r="AD271" i="6"/>
  <c r="AE271" i="6" s="1"/>
  <c r="AD272" i="6"/>
  <c r="AE272" i="6" s="1"/>
  <c r="AD273" i="6"/>
  <c r="AE273" i="6" s="1"/>
  <c r="AD274" i="6"/>
  <c r="AE274" i="6" s="1"/>
  <c r="AD275" i="6"/>
  <c r="AE275" i="6" s="1"/>
  <c r="AD276" i="6"/>
  <c r="AE276" i="6" s="1"/>
  <c r="AD277" i="6"/>
  <c r="AE277" i="6" s="1"/>
  <c r="AD278" i="6"/>
  <c r="AE278" i="6" s="1"/>
  <c r="AD279" i="6"/>
  <c r="AE279" i="6" s="1"/>
  <c r="AD280" i="6"/>
  <c r="AE280" i="6" s="1"/>
  <c r="AD281" i="6"/>
  <c r="AE281" i="6" s="1"/>
  <c r="AD282" i="6"/>
  <c r="AE282" i="6" s="1"/>
  <c r="AD283" i="6"/>
  <c r="AE283" i="6" s="1"/>
  <c r="AD284" i="6"/>
  <c r="AE284" i="6" s="1"/>
  <c r="AD285" i="6"/>
  <c r="AE285" i="6" s="1"/>
  <c r="AD286" i="6"/>
  <c r="AE286" i="6" s="1"/>
  <c r="AD287" i="6"/>
  <c r="AE287" i="6" s="1"/>
  <c r="AD288" i="6"/>
  <c r="AE288" i="6" s="1"/>
  <c r="AD289" i="6"/>
  <c r="AE289" i="6" s="1"/>
  <c r="AD290" i="6"/>
  <c r="AE290" i="6" s="1"/>
  <c r="AD291" i="6"/>
  <c r="AE291" i="6" s="1"/>
  <c r="AD292" i="6"/>
  <c r="AE292" i="6" s="1"/>
  <c r="AD293" i="6"/>
  <c r="AE293" i="6" s="1"/>
  <c r="AD294" i="6"/>
  <c r="AE294" i="6" s="1"/>
  <c r="AD295" i="6"/>
  <c r="AE295" i="6" s="1"/>
  <c r="AD296" i="6"/>
  <c r="AE296" i="6" s="1"/>
  <c r="AD297" i="6"/>
  <c r="AE297" i="6" s="1"/>
  <c r="AD298" i="6"/>
  <c r="AE298" i="6" s="1"/>
  <c r="AD299" i="6"/>
  <c r="AE299" i="6" s="1"/>
  <c r="AD300" i="6"/>
  <c r="AE300" i="6" s="1"/>
  <c r="AD301" i="6"/>
  <c r="AE301" i="6" s="1"/>
  <c r="AD302" i="6"/>
  <c r="AE302" i="6" s="1"/>
  <c r="AD303" i="6"/>
  <c r="AE303" i="6" s="1"/>
  <c r="AD304" i="6"/>
  <c r="AE304" i="6" s="1"/>
  <c r="AD305" i="6"/>
  <c r="AE305" i="6" s="1"/>
  <c r="AD306" i="6"/>
  <c r="AE306" i="6" s="1"/>
  <c r="AD307" i="6"/>
  <c r="AE307" i="6" s="1"/>
  <c r="AD308" i="6"/>
  <c r="AE308" i="6" s="1"/>
  <c r="AD309" i="6"/>
  <c r="AE309" i="6" s="1"/>
  <c r="AD310" i="6"/>
  <c r="AE310" i="6" s="1"/>
  <c r="AD311" i="6"/>
  <c r="AE311" i="6" s="1"/>
  <c r="AD312" i="6"/>
  <c r="AE312" i="6" s="1"/>
  <c r="AD313" i="6"/>
  <c r="AE313" i="6" s="1"/>
  <c r="AD314" i="6"/>
  <c r="AE314" i="6" s="1"/>
  <c r="AD315" i="6"/>
  <c r="AE315" i="6" s="1"/>
  <c r="AD316" i="6"/>
  <c r="AE316" i="6" s="1"/>
  <c r="AD317" i="6"/>
  <c r="AE317" i="6" s="1"/>
  <c r="AD318" i="6"/>
  <c r="AE318" i="6" s="1"/>
  <c r="AD319" i="6"/>
  <c r="AE319" i="6" s="1"/>
  <c r="AD320" i="6"/>
  <c r="AE320" i="6" s="1"/>
  <c r="AD321" i="6"/>
  <c r="AE321" i="6" s="1"/>
  <c r="AD322" i="6"/>
  <c r="AE322" i="6" s="1"/>
  <c r="AD323" i="6"/>
  <c r="AE323" i="6" s="1"/>
  <c r="AD324" i="6"/>
  <c r="AE324" i="6" s="1"/>
  <c r="AD325" i="6"/>
  <c r="AE325" i="6" s="1"/>
  <c r="AD326" i="6"/>
  <c r="AE326" i="6" s="1"/>
  <c r="AD327" i="6"/>
  <c r="AE327" i="6" s="1"/>
  <c r="AD328" i="6"/>
  <c r="AE328" i="6" s="1"/>
  <c r="AD329" i="6"/>
  <c r="AE329" i="6" s="1"/>
  <c r="AD330" i="6"/>
  <c r="AE330" i="6" s="1"/>
  <c r="AD331" i="6"/>
  <c r="AE331" i="6" s="1"/>
  <c r="AD332" i="6"/>
  <c r="AE332" i="6" s="1"/>
  <c r="AD333" i="6"/>
  <c r="AE333" i="6" s="1"/>
  <c r="AD334" i="6"/>
  <c r="AE334" i="6" s="1"/>
  <c r="AD335" i="6"/>
  <c r="AE335" i="6" s="1"/>
  <c r="AD336" i="6"/>
  <c r="AE336" i="6" s="1"/>
  <c r="AD337" i="6"/>
  <c r="AE337" i="6" s="1"/>
  <c r="AD338" i="6"/>
  <c r="AE338" i="6" s="1"/>
  <c r="AD339" i="6"/>
  <c r="AE339" i="6" s="1"/>
  <c r="AD340" i="6"/>
  <c r="AE340" i="6" s="1"/>
  <c r="AD341" i="6"/>
  <c r="AE341" i="6" s="1"/>
  <c r="AD342" i="6"/>
  <c r="AE342" i="6" s="1"/>
  <c r="AD343" i="6"/>
  <c r="AE343" i="6" s="1"/>
  <c r="AD344" i="6"/>
  <c r="AE344" i="6" s="1"/>
  <c r="AD345" i="6"/>
  <c r="AE345" i="6" s="1"/>
  <c r="AD346" i="6"/>
  <c r="AE346" i="6" s="1"/>
  <c r="AD347" i="6"/>
  <c r="AE347" i="6" s="1"/>
  <c r="AD348" i="6"/>
  <c r="AE348" i="6" s="1"/>
  <c r="AD349" i="6"/>
  <c r="AE349" i="6" s="1"/>
  <c r="AD350" i="6"/>
  <c r="AE350" i="6" s="1"/>
  <c r="AD351" i="6"/>
  <c r="AE351" i="6" s="1"/>
  <c r="AD352" i="6"/>
  <c r="AE352" i="6" s="1"/>
  <c r="AD353" i="6"/>
  <c r="AE353" i="6" s="1"/>
  <c r="AD354" i="6"/>
  <c r="AE354" i="6" s="1"/>
  <c r="AD355" i="6"/>
  <c r="AE355" i="6" s="1"/>
  <c r="AD356" i="6"/>
  <c r="AE356" i="6" s="1"/>
  <c r="AD357" i="6"/>
  <c r="AE357" i="6" s="1"/>
  <c r="AD358" i="6"/>
  <c r="AE358" i="6" s="1"/>
  <c r="AD359" i="6"/>
  <c r="AE359" i="6" s="1"/>
  <c r="AD360" i="6"/>
  <c r="AE360" i="6" s="1"/>
  <c r="AD361" i="6"/>
  <c r="AE361" i="6" s="1"/>
  <c r="AD362" i="6"/>
  <c r="AE362" i="6" s="1"/>
  <c r="AD363" i="6"/>
  <c r="AE363" i="6" s="1"/>
  <c r="AD364" i="6"/>
  <c r="AE364" i="6" s="1"/>
  <c r="AD365" i="6"/>
  <c r="AE365" i="6" s="1"/>
  <c r="AD366" i="6"/>
  <c r="AE366" i="6" s="1"/>
  <c r="AD367" i="6"/>
  <c r="AE367" i="6" s="1"/>
  <c r="AD368" i="6"/>
  <c r="AE368" i="6" s="1"/>
  <c r="AD369" i="6"/>
  <c r="AE369" i="6" s="1"/>
  <c r="AD370" i="6"/>
  <c r="AE370" i="6" s="1"/>
  <c r="AD371" i="6"/>
  <c r="AE371" i="6" s="1"/>
  <c r="AD372" i="6"/>
  <c r="AE372" i="6" s="1"/>
  <c r="AD373" i="6"/>
  <c r="AE373" i="6" s="1"/>
  <c r="AD374" i="6"/>
  <c r="AE374" i="6" s="1"/>
  <c r="AD375" i="6"/>
  <c r="AE375" i="6" s="1"/>
  <c r="AD376" i="6"/>
  <c r="AE376" i="6" s="1"/>
  <c r="AD377" i="6"/>
  <c r="AE377" i="6" s="1"/>
  <c r="AD378" i="6"/>
  <c r="AE378" i="6" s="1"/>
  <c r="AD379" i="6"/>
  <c r="AE379" i="6" s="1"/>
  <c r="AD380" i="6"/>
  <c r="AE380" i="6" s="1"/>
  <c r="AD381" i="6"/>
  <c r="AE381" i="6" s="1"/>
  <c r="AD382" i="6"/>
  <c r="AE382" i="6" s="1"/>
  <c r="AD383" i="6"/>
  <c r="AE383" i="6" s="1"/>
  <c r="AD384" i="6"/>
  <c r="AE384" i="6" s="1"/>
  <c r="AD385" i="6"/>
  <c r="AE385" i="6" s="1"/>
  <c r="AD386" i="6"/>
  <c r="AE386" i="6" s="1"/>
  <c r="AD387" i="6"/>
  <c r="AE387" i="6" s="1"/>
  <c r="AD388" i="6"/>
  <c r="AE388" i="6" s="1"/>
  <c r="AD389" i="6"/>
  <c r="AE389" i="6" s="1"/>
  <c r="AD390" i="6"/>
  <c r="AE390" i="6" s="1"/>
  <c r="AD391" i="6"/>
  <c r="AE391" i="6" s="1"/>
  <c r="AD392" i="6"/>
  <c r="AE392" i="6" s="1"/>
  <c r="AD393" i="6"/>
  <c r="AE393" i="6" s="1"/>
  <c r="AD394" i="6"/>
  <c r="AE394" i="6" s="1"/>
  <c r="AD395" i="6"/>
  <c r="AE395" i="6" s="1"/>
  <c r="AD396" i="6"/>
  <c r="AE396" i="6" s="1"/>
  <c r="AD397" i="6"/>
  <c r="AE397" i="6" s="1"/>
  <c r="AD398" i="6"/>
  <c r="AE398" i="6" s="1"/>
  <c r="AD399" i="6"/>
  <c r="AE399" i="6" s="1"/>
  <c r="AD400" i="6"/>
  <c r="AE400" i="6" s="1"/>
  <c r="AD401" i="6"/>
  <c r="AE401" i="6" s="1"/>
  <c r="AD402" i="6"/>
  <c r="AE402" i="6" s="1"/>
  <c r="AD403" i="6"/>
  <c r="AE403" i="6" s="1"/>
  <c r="AD404" i="6"/>
  <c r="AE404" i="6" s="1"/>
  <c r="AD405" i="6"/>
  <c r="AE405" i="6" s="1"/>
  <c r="AD406" i="6"/>
  <c r="AE406" i="6" s="1"/>
  <c r="AD407" i="6"/>
  <c r="AE407" i="6" s="1"/>
  <c r="AD408" i="6"/>
  <c r="AE408" i="6" s="1"/>
  <c r="AD409" i="6"/>
  <c r="AE409" i="6" s="1"/>
  <c r="AD410" i="6"/>
  <c r="AE410" i="6" s="1"/>
  <c r="AD411" i="6"/>
  <c r="AE411" i="6" s="1"/>
  <c r="AD412" i="6"/>
  <c r="AE412" i="6" s="1"/>
  <c r="AD413" i="6"/>
  <c r="AE413" i="6" s="1"/>
  <c r="AD414" i="6"/>
  <c r="AE414" i="6" s="1"/>
  <c r="AD415" i="6"/>
  <c r="AE415" i="6" s="1"/>
  <c r="AD416" i="6"/>
  <c r="AE416" i="6" s="1"/>
  <c r="AD417" i="6"/>
  <c r="AE417" i="6" s="1"/>
  <c r="AD418" i="6"/>
  <c r="AE418" i="6" s="1"/>
  <c r="AD419" i="6"/>
  <c r="AE419" i="6" s="1"/>
  <c r="AD420" i="6"/>
  <c r="AE420" i="6" s="1"/>
  <c r="AD421" i="6"/>
  <c r="AE421" i="6" s="1"/>
  <c r="AD422" i="6"/>
  <c r="AE422" i="6" s="1"/>
  <c r="AD423" i="6"/>
  <c r="AE423" i="6" s="1"/>
  <c r="AD424" i="6"/>
  <c r="AE424" i="6" s="1"/>
  <c r="AD425" i="6"/>
  <c r="AE425" i="6" s="1"/>
  <c r="AD426" i="6"/>
  <c r="AE426" i="6" s="1"/>
  <c r="AD427" i="6"/>
  <c r="AE427" i="6" s="1"/>
  <c r="AD428" i="6"/>
  <c r="AE428" i="6" s="1"/>
  <c r="AD429" i="6"/>
  <c r="AE429" i="6" s="1"/>
  <c r="AD430" i="6"/>
  <c r="AE430" i="6" s="1"/>
  <c r="AD431" i="6"/>
  <c r="AE431" i="6" s="1"/>
  <c r="AD432" i="6"/>
  <c r="AE432" i="6" s="1"/>
  <c r="AD433" i="6"/>
  <c r="AE433" i="6" s="1"/>
  <c r="AD434" i="6"/>
  <c r="AE434" i="6" s="1"/>
  <c r="AD435" i="6"/>
  <c r="AE435" i="6" s="1"/>
  <c r="AD436" i="6"/>
  <c r="AE436" i="6" s="1"/>
  <c r="AD437" i="6"/>
  <c r="AE437" i="6" s="1"/>
  <c r="AD438" i="6"/>
  <c r="AE438" i="6" s="1"/>
  <c r="AD439" i="6"/>
  <c r="AE439" i="6" s="1"/>
  <c r="AD440" i="6"/>
  <c r="AE440" i="6" s="1"/>
  <c r="AD441" i="6"/>
  <c r="AE441" i="6" s="1"/>
  <c r="AD442" i="6"/>
  <c r="AE442" i="6" s="1"/>
  <c r="AD443" i="6"/>
  <c r="AE443" i="6" s="1"/>
  <c r="AD444" i="6"/>
  <c r="AE444" i="6" s="1"/>
  <c r="AD445" i="6"/>
  <c r="AE445" i="6" s="1"/>
  <c r="AD446" i="6"/>
  <c r="AE446" i="6" s="1"/>
  <c r="AD447" i="6"/>
  <c r="AE447" i="6" s="1"/>
  <c r="AD448" i="6"/>
  <c r="AE448" i="6" s="1"/>
  <c r="AD449" i="6"/>
  <c r="AE449" i="6" s="1"/>
  <c r="AD450" i="6"/>
  <c r="AE450" i="6" s="1"/>
  <c r="AD451" i="6"/>
  <c r="AE451" i="6" s="1"/>
  <c r="AD452" i="6"/>
  <c r="AE452" i="6" s="1"/>
  <c r="AD453" i="6"/>
  <c r="AE453" i="6" s="1"/>
  <c r="AD454" i="6"/>
  <c r="AE454" i="6" s="1"/>
  <c r="AD455" i="6"/>
  <c r="AE455" i="6" s="1"/>
  <c r="AD456" i="6"/>
  <c r="AE456" i="6" s="1"/>
  <c r="AD457" i="6"/>
  <c r="AE457" i="6" s="1"/>
  <c r="AD458" i="6"/>
  <c r="AE458" i="6" s="1"/>
  <c r="AD459" i="6"/>
  <c r="AE459" i="6" s="1"/>
  <c r="AD460" i="6"/>
  <c r="AE460" i="6" s="1"/>
  <c r="AD461" i="6"/>
  <c r="AE461" i="6" s="1"/>
  <c r="AD462" i="6"/>
  <c r="AE462" i="6" s="1"/>
  <c r="AD463" i="6"/>
  <c r="AE463" i="6" s="1"/>
  <c r="AD464" i="6"/>
  <c r="AE464" i="6" s="1"/>
  <c r="AD465" i="6"/>
  <c r="AE465" i="6" s="1"/>
  <c r="AD466" i="6"/>
  <c r="AE466" i="6" s="1"/>
  <c r="AD467" i="6"/>
  <c r="AE467" i="6" s="1"/>
  <c r="AD468" i="6"/>
  <c r="AE468" i="6" s="1"/>
  <c r="AD469" i="6"/>
  <c r="AE469" i="6" s="1"/>
  <c r="AD470" i="6"/>
  <c r="AE470" i="6" s="1"/>
  <c r="AD471" i="6"/>
  <c r="AE471" i="6" s="1"/>
  <c r="AD472" i="6"/>
  <c r="AE472" i="6" s="1"/>
  <c r="AD473" i="6"/>
  <c r="AE473" i="6" s="1"/>
  <c r="AD474" i="6"/>
  <c r="AE474" i="6" s="1"/>
  <c r="AD475" i="6"/>
  <c r="AE475" i="6" s="1"/>
  <c r="AD476" i="6"/>
  <c r="AE476" i="6" s="1"/>
  <c r="AD477" i="6"/>
  <c r="AE477" i="6" s="1"/>
  <c r="AD478" i="6"/>
  <c r="AE478" i="6" s="1"/>
  <c r="AD479" i="6"/>
  <c r="AE479" i="6" s="1"/>
  <c r="AD480" i="6"/>
  <c r="AE480" i="6" s="1"/>
  <c r="AD481" i="6"/>
  <c r="AE481" i="6" s="1"/>
  <c r="AD482" i="6"/>
  <c r="AE482" i="6" s="1"/>
  <c r="AD483" i="6"/>
  <c r="AE483" i="6" s="1"/>
  <c r="AD484" i="6"/>
  <c r="AE484" i="6" s="1"/>
  <c r="AD485" i="6"/>
  <c r="AE485" i="6" s="1"/>
  <c r="AD486" i="6"/>
  <c r="AE486" i="6" s="1"/>
  <c r="AD487" i="6"/>
  <c r="AE487" i="6" s="1"/>
  <c r="AD488" i="6"/>
  <c r="AE488" i="6" s="1"/>
  <c r="AD489" i="6"/>
  <c r="AE489" i="6" s="1"/>
  <c r="AD490" i="6"/>
  <c r="AE490" i="6" s="1"/>
  <c r="AD491" i="6"/>
  <c r="AE491" i="6" s="1"/>
  <c r="AD492" i="6"/>
  <c r="AE492" i="6" s="1"/>
  <c r="AD493" i="6"/>
  <c r="AE493" i="6" s="1"/>
  <c r="AD494" i="6"/>
  <c r="AE494" i="6" s="1"/>
  <c r="AD495" i="6"/>
  <c r="AE495" i="6" s="1"/>
  <c r="AD496" i="6"/>
  <c r="AE496" i="6" s="1"/>
  <c r="AD497" i="6"/>
  <c r="AE497" i="6" s="1"/>
  <c r="AD498" i="6"/>
  <c r="AE498" i="6" s="1"/>
  <c r="AD499" i="6"/>
  <c r="AE499" i="6" s="1"/>
  <c r="AD500" i="6"/>
  <c r="AE500" i="6" s="1"/>
  <c r="AD501" i="6"/>
  <c r="AE501" i="6" s="1"/>
  <c r="AD502" i="6"/>
  <c r="AE502" i="6" s="1"/>
  <c r="AD503" i="6"/>
  <c r="AE503" i="6" s="1"/>
  <c r="AD504" i="6"/>
  <c r="AE504" i="6" s="1"/>
  <c r="AD505" i="6"/>
  <c r="AE505" i="6" s="1"/>
  <c r="AD506" i="6"/>
  <c r="AE506" i="6" s="1"/>
  <c r="AD507" i="6"/>
  <c r="AE507" i="6" s="1"/>
  <c r="AD508" i="6"/>
  <c r="AE508" i="6" s="1"/>
  <c r="AD509" i="6"/>
  <c r="AE509" i="6" s="1"/>
  <c r="AD510" i="6"/>
  <c r="AE510" i="6" s="1"/>
  <c r="AD511" i="6"/>
  <c r="AE511" i="6" s="1"/>
  <c r="AD512" i="6"/>
  <c r="AE512" i="6" s="1"/>
  <c r="AD513" i="6"/>
  <c r="AE513" i="6" s="1"/>
  <c r="AD514" i="6"/>
  <c r="AE514" i="6" s="1"/>
  <c r="AD515" i="6"/>
  <c r="AE515" i="6" s="1"/>
  <c r="AD516" i="6"/>
  <c r="AE516" i="6" s="1"/>
  <c r="AD517" i="6"/>
  <c r="AE517" i="6" s="1"/>
  <c r="AD518" i="6"/>
  <c r="AE518" i="6" s="1"/>
  <c r="AD519" i="6"/>
  <c r="AE519" i="6" s="1"/>
  <c r="AD520" i="6"/>
  <c r="AE520" i="6" s="1"/>
  <c r="AD521" i="6"/>
  <c r="AE521" i="6" s="1"/>
  <c r="AD522" i="6"/>
  <c r="AE522" i="6" s="1"/>
  <c r="AD523" i="6"/>
  <c r="AE523" i="6" s="1"/>
  <c r="AD524" i="6"/>
  <c r="AE524" i="6" s="1"/>
  <c r="AD525" i="6"/>
  <c r="AE525" i="6" s="1"/>
  <c r="AD526" i="6"/>
  <c r="AE526" i="6" s="1"/>
  <c r="AD527" i="6"/>
  <c r="AE527" i="6" s="1"/>
  <c r="AD528" i="6"/>
  <c r="AE528" i="6" s="1"/>
  <c r="AD529" i="6"/>
  <c r="AE529" i="6" s="1"/>
  <c r="AD530" i="6"/>
  <c r="AE530" i="6" s="1"/>
  <c r="AD531" i="6"/>
  <c r="AE531" i="6" s="1"/>
  <c r="AD532" i="6"/>
  <c r="AE532" i="6" s="1"/>
  <c r="AD533" i="6"/>
  <c r="AE533" i="6" s="1"/>
  <c r="AD534" i="6"/>
  <c r="AE534" i="6" s="1"/>
  <c r="AD535" i="6"/>
  <c r="AE535" i="6" s="1"/>
  <c r="AD536" i="6"/>
  <c r="AE536" i="6" s="1"/>
  <c r="AD537" i="6"/>
  <c r="AE537" i="6" s="1"/>
  <c r="AD538" i="6"/>
  <c r="AE538" i="6" s="1"/>
  <c r="AD539" i="6"/>
  <c r="AE539" i="6" s="1"/>
  <c r="AD540" i="6"/>
  <c r="AE540" i="6" s="1"/>
  <c r="AD541" i="6"/>
  <c r="AE541" i="6" s="1"/>
  <c r="AD542" i="6"/>
  <c r="AE542" i="6" s="1"/>
  <c r="AD543" i="6"/>
  <c r="AE543" i="6" s="1"/>
  <c r="AD544" i="6"/>
  <c r="AE544" i="6" s="1"/>
  <c r="AD545" i="6"/>
  <c r="AE545" i="6" s="1"/>
  <c r="AD546" i="6"/>
  <c r="AE546" i="6" s="1"/>
  <c r="AD547" i="6"/>
  <c r="AE547" i="6" s="1"/>
  <c r="AD548" i="6"/>
  <c r="AE548" i="6" s="1"/>
  <c r="AD549" i="6"/>
  <c r="AE549" i="6" s="1"/>
  <c r="AD550" i="6"/>
  <c r="AE550" i="6" s="1"/>
  <c r="AD551" i="6"/>
  <c r="AE551" i="6" s="1"/>
  <c r="AD552" i="6"/>
  <c r="AE552" i="6" s="1"/>
  <c r="AD553" i="6"/>
  <c r="AE553" i="6" s="1"/>
  <c r="AD554" i="6"/>
  <c r="AE554" i="6" s="1"/>
  <c r="AD555" i="6"/>
  <c r="AE555" i="6" s="1"/>
  <c r="AD556" i="6"/>
  <c r="AE556" i="6" s="1"/>
  <c r="AD557" i="6"/>
  <c r="AE557" i="6" s="1"/>
  <c r="AD558" i="6"/>
  <c r="AE558" i="6" s="1"/>
  <c r="AD559" i="6"/>
  <c r="AE559" i="6" s="1"/>
  <c r="AD560" i="6"/>
  <c r="AE560" i="6" s="1"/>
  <c r="AD561" i="6"/>
  <c r="AE561" i="6" s="1"/>
  <c r="AD562" i="6"/>
  <c r="AE562" i="6" s="1"/>
  <c r="AD563" i="6"/>
  <c r="AE563" i="6" s="1"/>
  <c r="AD564" i="6"/>
  <c r="AE564" i="6" s="1"/>
  <c r="AD565" i="6"/>
  <c r="AE565" i="6" s="1"/>
  <c r="AD566" i="6"/>
  <c r="AE566" i="6" s="1"/>
  <c r="AD567" i="6"/>
  <c r="AE567" i="6" s="1"/>
  <c r="AD568" i="6"/>
  <c r="AE568" i="6" s="1"/>
  <c r="AD569" i="6"/>
  <c r="AE569" i="6" s="1"/>
  <c r="AD570" i="6"/>
  <c r="AE570" i="6" s="1"/>
  <c r="AD571" i="6"/>
  <c r="AE571" i="6" s="1"/>
  <c r="AD572" i="6"/>
  <c r="AE572" i="6" s="1"/>
  <c r="AD573" i="6"/>
  <c r="AE573" i="6" s="1"/>
  <c r="AD574" i="6"/>
  <c r="AE574" i="6" s="1"/>
  <c r="AD575" i="6"/>
  <c r="AE575" i="6" s="1"/>
  <c r="AD576" i="6"/>
  <c r="AE576" i="6" s="1"/>
  <c r="AD577" i="6"/>
  <c r="AE577" i="6" s="1"/>
  <c r="AD578" i="6"/>
  <c r="AE578" i="6" s="1"/>
  <c r="AD579" i="6"/>
  <c r="AE579" i="6" s="1"/>
  <c r="AD580" i="6"/>
  <c r="AE580" i="6" s="1"/>
  <c r="AD581" i="6"/>
  <c r="AE581" i="6" s="1"/>
  <c r="AD582" i="6"/>
  <c r="AE582" i="6" s="1"/>
  <c r="AD583" i="6"/>
  <c r="AE583" i="6" s="1"/>
  <c r="AD584" i="6"/>
  <c r="AE584" i="6" s="1"/>
  <c r="AD585" i="6"/>
  <c r="AE585" i="6" s="1"/>
  <c r="AD586" i="6"/>
  <c r="AE586" i="6" s="1"/>
  <c r="AD587" i="6"/>
  <c r="AE587" i="6" s="1"/>
  <c r="AD588" i="6"/>
  <c r="AE588" i="6" s="1"/>
  <c r="AD589" i="6"/>
  <c r="AE589" i="6" s="1"/>
  <c r="AD590" i="6"/>
  <c r="AE590" i="6" s="1"/>
  <c r="AD591" i="6"/>
  <c r="AE591" i="6" s="1"/>
  <c r="AD592" i="6"/>
  <c r="AE592" i="6" s="1"/>
  <c r="AD593" i="6"/>
  <c r="AE593" i="6" s="1"/>
  <c r="AD594" i="6"/>
  <c r="AE594" i="6" s="1"/>
  <c r="AD595" i="6"/>
  <c r="AE595" i="6" s="1"/>
  <c r="AD596" i="6"/>
  <c r="AE596" i="6" s="1"/>
  <c r="AD597" i="6"/>
  <c r="AE597" i="6" s="1"/>
  <c r="AD598" i="6"/>
  <c r="AE598" i="6" s="1"/>
  <c r="AD599" i="6"/>
  <c r="AE599" i="6" s="1"/>
  <c r="AD600" i="6"/>
  <c r="AE600" i="6" s="1"/>
  <c r="AD601" i="6"/>
  <c r="AE601" i="6" s="1"/>
  <c r="AD602" i="6"/>
  <c r="AE602" i="6" s="1"/>
  <c r="AD603" i="6"/>
  <c r="AE603" i="6" s="1"/>
  <c r="AD604" i="6"/>
  <c r="AE604" i="6" s="1"/>
  <c r="AD605" i="6"/>
  <c r="AE605" i="6" s="1"/>
  <c r="AD606" i="6"/>
  <c r="AE606" i="6" s="1"/>
  <c r="AD607" i="6"/>
  <c r="AE607" i="6" s="1"/>
  <c r="AD608" i="6"/>
  <c r="AE608" i="6" s="1"/>
  <c r="AD609" i="6"/>
  <c r="AE609" i="6" s="1"/>
  <c r="AD610" i="6"/>
  <c r="AE610" i="6" s="1"/>
  <c r="AD611" i="6"/>
  <c r="AE611" i="6" s="1"/>
  <c r="AD612" i="6"/>
  <c r="AE612" i="6" s="1"/>
  <c r="AD613" i="6"/>
  <c r="AE613" i="6" s="1"/>
  <c r="AD614" i="6"/>
  <c r="AE614" i="6" s="1"/>
  <c r="AD615" i="6"/>
  <c r="AE615" i="6" s="1"/>
  <c r="AD616" i="6"/>
  <c r="AE616" i="6" s="1"/>
  <c r="AD617" i="6"/>
  <c r="AE617" i="6" s="1"/>
  <c r="AD618" i="6"/>
  <c r="AE618" i="6" s="1"/>
  <c r="AD619" i="6"/>
  <c r="AE619" i="6" s="1"/>
  <c r="AD620" i="6"/>
  <c r="AE620" i="6" s="1"/>
  <c r="AD621" i="6"/>
  <c r="AE621" i="6" s="1"/>
  <c r="AD622" i="6"/>
  <c r="AE622" i="6" s="1"/>
  <c r="AD623" i="6"/>
  <c r="AE623" i="6" s="1"/>
  <c r="AD624" i="6"/>
  <c r="AE624" i="6" s="1"/>
  <c r="AD625" i="6"/>
  <c r="AE625" i="6" s="1"/>
  <c r="AD626" i="6"/>
  <c r="AE626" i="6" s="1"/>
  <c r="AD627" i="6"/>
  <c r="AE627" i="6" s="1"/>
  <c r="AD628" i="6"/>
  <c r="AE628" i="6" s="1"/>
  <c r="AD629" i="6"/>
  <c r="AE629" i="6" s="1"/>
  <c r="AD630" i="6"/>
  <c r="AE630" i="6" s="1"/>
  <c r="AD631" i="6"/>
  <c r="AE631" i="6" s="1"/>
  <c r="AD632" i="6"/>
  <c r="AE632" i="6" s="1"/>
  <c r="AD633" i="6"/>
  <c r="AE633" i="6" s="1"/>
  <c r="AD634" i="6"/>
  <c r="AE634" i="6" s="1"/>
  <c r="AD635" i="6"/>
  <c r="AE635" i="6" s="1"/>
  <c r="AD636" i="6"/>
  <c r="AE636" i="6" s="1"/>
  <c r="AD637" i="6"/>
  <c r="AE637" i="6" s="1"/>
  <c r="AD638" i="6"/>
  <c r="AE638" i="6" s="1"/>
  <c r="AD639" i="6"/>
  <c r="AE639" i="6" s="1"/>
  <c r="AD640" i="6"/>
  <c r="AE640" i="6" s="1"/>
  <c r="AD641" i="6"/>
  <c r="AE641" i="6" s="1"/>
  <c r="AD642" i="6"/>
  <c r="AE642" i="6" s="1"/>
  <c r="AD643" i="6"/>
  <c r="AE643" i="6" s="1"/>
  <c r="AD644" i="6"/>
  <c r="AE644" i="6" s="1"/>
  <c r="AD645" i="6"/>
  <c r="AE645" i="6" s="1"/>
  <c r="AD646" i="6"/>
  <c r="AE646" i="6" s="1"/>
  <c r="AD647" i="6"/>
  <c r="AE647" i="6" s="1"/>
  <c r="AD648" i="6"/>
  <c r="AE648" i="6" s="1"/>
  <c r="AD649" i="6"/>
  <c r="AE649" i="6" s="1"/>
  <c r="AD650" i="6"/>
  <c r="AE650" i="6" s="1"/>
  <c r="AD651" i="6"/>
  <c r="AE651" i="6" s="1"/>
  <c r="AD652" i="6"/>
  <c r="AE652" i="6" s="1"/>
  <c r="AD653" i="6"/>
  <c r="AE653" i="6" s="1"/>
  <c r="AD654" i="6"/>
  <c r="AE654" i="6" s="1"/>
  <c r="AD655" i="6"/>
  <c r="AE655" i="6" s="1"/>
  <c r="AD656" i="6"/>
  <c r="AE656" i="6" s="1"/>
  <c r="AD657" i="6"/>
  <c r="AE657" i="6" s="1"/>
  <c r="AD658" i="6"/>
  <c r="AE658" i="6" s="1"/>
  <c r="AD659" i="6"/>
  <c r="AE659" i="6" s="1"/>
  <c r="AD660" i="6"/>
  <c r="AE660" i="6" s="1"/>
  <c r="AD661" i="6"/>
  <c r="AE661" i="6" s="1"/>
  <c r="AD662" i="6"/>
  <c r="AE662" i="6" s="1"/>
  <c r="AD663" i="6"/>
  <c r="AE663" i="6" s="1"/>
  <c r="AD664" i="6"/>
  <c r="AE664" i="6" s="1"/>
  <c r="AD665" i="6"/>
  <c r="AE665" i="6" s="1"/>
  <c r="AD666" i="6"/>
  <c r="AE666" i="6" s="1"/>
  <c r="AD667" i="6"/>
  <c r="AE667" i="6" s="1"/>
  <c r="AD668" i="6"/>
  <c r="AE668" i="6" s="1"/>
  <c r="AD669" i="6"/>
  <c r="AE669" i="6" s="1"/>
  <c r="AD670" i="6"/>
  <c r="AE670" i="6" s="1"/>
  <c r="AD671" i="6"/>
  <c r="AE671" i="6" s="1"/>
  <c r="AD672" i="6"/>
  <c r="AE672" i="6" s="1"/>
  <c r="AD673" i="6"/>
  <c r="AE673" i="6" s="1"/>
  <c r="AD674" i="6"/>
  <c r="AE674" i="6" s="1"/>
  <c r="AD675" i="6"/>
  <c r="AE675" i="6" s="1"/>
  <c r="AD676" i="6"/>
  <c r="AE676" i="6" s="1"/>
  <c r="AD677" i="6"/>
  <c r="AE677" i="6" s="1"/>
  <c r="AD678" i="6"/>
  <c r="AE678" i="6" s="1"/>
  <c r="AD679" i="6"/>
  <c r="AE679" i="6" s="1"/>
  <c r="AD680" i="6"/>
  <c r="AE680" i="6" s="1"/>
  <c r="AD681" i="6"/>
  <c r="AE681" i="6" s="1"/>
  <c r="AD682" i="6"/>
  <c r="AE682" i="6" s="1"/>
  <c r="AD683" i="6"/>
  <c r="AE683" i="6" s="1"/>
  <c r="AD684" i="6"/>
  <c r="AE684" i="6" s="1"/>
  <c r="AD685" i="6"/>
  <c r="AE685" i="6" s="1"/>
  <c r="AD686" i="6"/>
  <c r="AE686" i="6" s="1"/>
  <c r="AD687" i="6"/>
  <c r="AE687" i="6" s="1"/>
  <c r="AD688" i="6"/>
  <c r="AE688" i="6" s="1"/>
  <c r="AD689" i="6"/>
  <c r="AE689" i="6" s="1"/>
  <c r="AD690" i="6"/>
  <c r="AE690" i="6" s="1"/>
  <c r="AD691" i="6"/>
  <c r="AE691" i="6" s="1"/>
  <c r="AD692" i="6"/>
  <c r="AE692" i="6" s="1"/>
  <c r="AD693" i="6"/>
  <c r="AE693" i="6" s="1"/>
  <c r="AD694" i="6"/>
  <c r="AE694" i="6" s="1"/>
  <c r="AD695" i="6"/>
  <c r="AE695" i="6" s="1"/>
  <c r="AD696" i="6"/>
  <c r="AE696" i="6" s="1"/>
  <c r="AD697" i="6"/>
  <c r="AE697" i="6" s="1"/>
  <c r="AD698" i="6"/>
  <c r="AE698" i="6" s="1"/>
  <c r="AD699" i="6"/>
  <c r="AE699" i="6" s="1"/>
  <c r="AD700" i="6"/>
  <c r="AE700" i="6" s="1"/>
  <c r="AD701" i="6"/>
  <c r="AE701" i="6" s="1"/>
  <c r="AD702" i="6"/>
  <c r="AE702" i="6" s="1"/>
  <c r="AD703" i="6"/>
  <c r="AE703" i="6" s="1"/>
  <c r="AD704" i="6"/>
  <c r="AE704" i="6" s="1"/>
  <c r="AD705" i="6"/>
  <c r="AE705" i="6" s="1"/>
  <c r="AD706" i="6"/>
  <c r="AE706" i="6" s="1"/>
  <c r="AD707" i="6"/>
  <c r="AE707" i="6" s="1"/>
  <c r="AD708" i="6"/>
  <c r="AE708" i="6" s="1"/>
  <c r="AD709" i="6"/>
  <c r="AE709" i="6" s="1"/>
  <c r="AD710" i="6"/>
  <c r="AE710" i="6" s="1"/>
  <c r="AD711" i="6"/>
  <c r="AE711" i="6" s="1"/>
  <c r="AD712" i="6"/>
  <c r="AE712" i="6" s="1"/>
  <c r="AD713" i="6"/>
  <c r="AE713" i="6" s="1"/>
  <c r="AD714" i="6"/>
  <c r="AE714" i="6" s="1"/>
  <c r="AD715" i="6"/>
  <c r="AE715" i="6" s="1"/>
  <c r="AD716" i="6"/>
  <c r="AE716" i="6" s="1"/>
  <c r="AD717" i="6"/>
  <c r="AE717" i="6" s="1"/>
  <c r="AD718" i="6"/>
  <c r="AE718" i="6" s="1"/>
  <c r="AD719" i="6"/>
  <c r="AE719" i="6" s="1"/>
  <c r="AD720" i="6"/>
  <c r="AE720" i="6" s="1"/>
  <c r="AD721" i="6"/>
  <c r="AE721" i="6" s="1"/>
  <c r="AD722" i="6"/>
  <c r="AE722" i="6" s="1"/>
  <c r="AD723" i="6"/>
  <c r="AE723" i="6" s="1"/>
  <c r="AD724" i="6"/>
  <c r="AE724" i="6" s="1"/>
  <c r="AD725" i="6"/>
  <c r="AE725" i="6" s="1"/>
  <c r="AD726" i="6"/>
  <c r="AE726" i="6" s="1"/>
  <c r="AD727" i="6"/>
  <c r="AE727" i="6" s="1"/>
  <c r="AD728" i="6"/>
  <c r="AE728" i="6" s="1"/>
  <c r="AD729" i="6"/>
  <c r="AE729" i="6" s="1"/>
  <c r="AD730" i="6"/>
  <c r="AE730" i="6" s="1"/>
  <c r="AD731" i="6"/>
  <c r="AE731" i="6" s="1"/>
  <c r="AD732" i="6"/>
  <c r="AE732" i="6" s="1"/>
  <c r="AD733" i="6"/>
  <c r="AE733" i="6" s="1"/>
  <c r="AD734" i="6"/>
  <c r="AE734" i="6" s="1"/>
  <c r="AD735" i="6"/>
  <c r="AE735" i="6" s="1"/>
  <c r="AD736" i="6"/>
  <c r="AE736" i="6" s="1"/>
  <c r="AD737" i="6"/>
  <c r="AE737" i="6" s="1"/>
  <c r="AD738" i="6"/>
  <c r="AE738" i="6" s="1"/>
  <c r="AD739" i="6"/>
  <c r="AE739" i="6" s="1"/>
  <c r="AD740" i="6"/>
  <c r="AE740" i="6" s="1"/>
  <c r="AD741" i="6"/>
  <c r="AE741" i="6" s="1"/>
  <c r="AD742" i="6"/>
  <c r="AE742" i="6" s="1"/>
  <c r="AD743" i="6"/>
  <c r="AE743" i="6" s="1"/>
  <c r="AD744" i="6"/>
  <c r="AE744" i="6" s="1"/>
  <c r="AD745" i="6"/>
  <c r="AE745" i="6" s="1"/>
  <c r="AD746" i="6"/>
  <c r="AE746" i="6" s="1"/>
  <c r="AD747" i="6"/>
  <c r="AE747" i="6" s="1"/>
  <c r="AD748" i="6"/>
  <c r="AE748" i="6" s="1"/>
  <c r="AD749" i="6"/>
  <c r="AE749" i="6" s="1"/>
  <c r="AD750" i="6"/>
  <c r="AE750" i="6" s="1"/>
  <c r="AD751" i="6"/>
  <c r="AE751" i="6" s="1"/>
  <c r="AD752" i="6"/>
  <c r="AE752" i="6" s="1"/>
  <c r="AD753" i="6"/>
  <c r="AE753" i="6" s="1"/>
  <c r="AD754" i="6"/>
  <c r="AE754" i="6" s="1"/>
  <c r="AD755" i="6"/>
  <c r="AE755" i="6" s="1"/>
  <c r="AD756" i="6"/>
  <c r="AE756" i="6" s="1"/>
  <c r="AD757" i="6"/>
  <c r="AE757" i="6" s="1"/>
  <c r="AD758" i="6"/>
  <c r="AE758" i="6" s="1"/>
  <c r="AD759" i="6"/>
  <c r="AE759" i="6" s="1"/>
  <c r="AD760" i="6"/>
  <c r="AE760" i="6" s="1"/>
  <c r="AD761" i="6"/>
  <c r="AE761" i="6" s="1"/>
  <c r="AD762" i="6"/>
  <c r="AE762" i="6" s="1"/>
  <c r="AD763" i="6"/>
  <c r="AE763" i="6" s="1"/>
  <c r="AD764" i="6"/>
  <c r="AE764" i="6" s="1"/>
  <c r="AD765" i="6"/>
  <c r="AE765" i="6" s="1"/>
  <c r="AD766" i="6"/>
  <c r="AE766" i="6" s="1"/>
  <c r="AD767" i="6"/>
  <c r="AE767" i="6" s="1"/>
  <c r="AD768" i="6"/>
  <c r="AE768" i="6" s="1"/>
  <c r="AD769" i="6"/>
  <c r="AE769" i="6" s="1"/>
  <c r="AD770" i="6"/>
  <c r="AE770" i="6" s="1"/>
  <c r="AD771" i="6"/>
  <c r="AE771" i="6" s="1"/>
  <c r="AD772" i="6"/>
  <c r="AE772" i="6" s="1"/>
  <c r="AD773" i="6"/>
  <c r="AE773" i="6" s="1"/>
  <c r="AD774" i="6"/>
  <c r="AE774" i="6" s="1"/>
  <c r="AD775" i="6"/>
  <c r="AE775" i="6" s="1"/>
  <c r="AD776" i="6"/>
  <c r="AE776" i="6" s="1"/>
  <c r="AD777" i="6"/>
  <c r="AE777" i="6" s="1"/>
  <c r="AD778" i="6"/>
  <c r="AE778" i="6" s="1"/>
  <c r="AD779" i="6"/>
  <c r="AE779" i="6" s="1"/>
  <c r="AD780" i="6"/>
  <c r="AE780" i="6" s="1"/>
  <c r="AD781" i="6"/>
  <c r="AE781" i="6" s="1"/>
  <c r="AD782" i="6"/>
  <c r="AE782" i="6" s="1"/>
  <c r="AD783" i="6"/>
  <c r="AE783" i="6" s="1"/>
  <c r="AD784" i="6"/>
  <c r="AE784" i="6" s="1"/>
  <c r="AD785" i="6"/>
  <c r="AE785" i="6" s="1"/>
  <c r="AD786" i="6"/>
  <c r="AE786" i="6" s="1"/>
  <c r="AD787" i="6"/>
  <c r="AE787" i="6" s="1"/>
  <c r="AD788" i="6"/>
  <c r="AE788" i="6" s="1"/>
  <c r="AD789" i="6"/>
  <c r="AE789" i="6" s="1"/>
  <c r="AD790" i="6"/>
  <c r="AE790" i="6" s="1"/>
  <c r="AD791" i="6"/>
  <c r="AE791" i="6" s="1"/>
  <c r="AD792" i="6"/>
  <c r="AE792" i="6" s="1"/>
  <c r="AD793" i="6"/>
  <c r="AE793" i="6" s="1"/>
  <c r="AD794" i="6"/>
  <c r="AE794" i="6" s="1"/>
  <c r="AD795" i="6"/>
  <c r="AE795" i="6" s="1"/>
  <c r="AD796" i="6"/>
  <c r="AE796" i="6" s="1"/>
  <c r="AD797" i="6"/>
  <c r="AE797" i="6" s="1"/>
  <c r="AD798" i="6"/>
  <c r="AE798" i="6" s="1"/>
  <c r="AD799" i="6"/>
  <c r="AE799" i="6" s="1"/>
  <c r="AD800" i="6"/>
  <c r="AE800" i="6" s="1"/>
  <c r="AD801" i="6"/>
  <c r="AE801" i="6" s="1"/>
  <c r="AD802" i="6"/>
  <c r="AE802" i="6" s="1"/>
  <c r="AD803" i="6"/>
  <c r="AE803" i="6" s="1"/>
  <c r="AD804" i="6"/>
  <c r="AE804" i="6" s="1"/>
  <c r="AD805" i="6"/>
  <c r="AE805" i="6" s="1"/>
  <c r="AD806" i="6"/>
  <c r="AE806" i="6" s="1"/>
  <c r="AD807" i="6"/>
  <c r="AE807" i="6" s="1"/>
  <c r="AD808" i="6"/>
  <c r="AE808" i="6" s="1"/>
  <c r="AD809" i="6"/>
  <c r="AE809" i="6" s="1"/>
  <c r="AD810" i="6"/>
  <c r="AE810" i="6" s="1"/>
  <c r="AD811" i="6"/>
  <c r="AE811" i="6" s="1"/>
  <c r="AD812" i="6"/>
  <c r="AE812" i="6" s="1"/>
  <c r="AD813" i="6"/>
  <c r="AE813" i="6" s="1"/>
  <c r="AD814" i="6"/>
  <c r="AE814" i="6" s="1"/>
  <c r="AD815" i="6"/>
  <c r="AE815" i="6" s="1"/>
  <c r="AD816" i="6"/>
  <c r="AE816" i="6" s="1"/>
  <c r="AD817" i="6"/>
  <c r="AE817" i="6" s="1"/>
  <c r="AD818" i="6"/>
  <c r="AE818" i="6" s="1"/>
  <c r="AD819" i="6"/>
  <c r="AE819" i="6" s="1"/>
  <c r="AD820" i="6"/>
  <c r="AE820" i="6" s="1"/>
  <c r="AD821" i="6"/>
  <c r="AE821" i="6" s="1"/>
  <c r="AD822" i="6"/>
  <c r="AE822" i="6" s="1"/>
  <c r="AD823" i="6"/>
  <c r="AE823" i="6" s="1"/>
  <c r="AD824" i="6"/>
  <c r="AE824" i="6" s="1"/>
  <c r="AD825" i="6"/>
  <c r="AE825" i="6" s="1"/>
  <c r="AD826" i="6"/>
  <c r="AE826" i="6" s="1"/>
  <c r="AD827" i="6"/>
  <c r="AE827" i="6" s="1"/>
  <c r="AD828" i="6"/>
  <c r="AE828" i="6" s="1"/>
  <c r="AD829" i="6"/>
  <c r="AE829" i="6" s="1"/>
  <c r="AD830" i="6"/>
  <c r="AE830" i="6" s="1"/>
  <c r="AD831" i="6"/>
  <c r="AE831" i="6" s="1"/>
  <c r="AD832" i="6"/>
  <c r="AE832" i="6" s="1"/>
  <c r="AD833" i="6"/>
  <c r="AE833" i="6" s="1"/>
  <c r="AD834" i="6"/>
  <c r="AE834" i="6" s="1"/>
  <c r="AD835" i="6"/>
  <c r="AE835" i="6" s="1"/>
  <c r="AD836" i="6"/>
  <c r="AE836" i="6" s="1"/>
  <c r="AD837" i="6"/>
  <c r="AE837" i="6" s="1"/>
  <c r="AD838" i="6"/>
  <c r="AE838" i="6" s="1"/>
  <c r="AD839" i="6"/>
  <c r="AE839" i="6" s="1"/>
  <c r="AD840" i="6"/>
  <c r="AE840" i="6" s="1"/>
  <c r="AD841" i="6"/>
  <c r="AE841" i="6" s="1"/>
  <c r="AD842" i="6"/>
  <c r="AE842" i="6" s="1"/>
  <c r="AD843" i="6"/>
  <c r="AE843" i="6" s="1"/>
  <c r="AD844" i="6"/>
  <c r="AE844" i="6" s="1"/>
  <c r="AD845" i="6"/>
  <c r="AE845" i="6" s="1"/>
  <c r="AD846" i="6"/>
  <c r="AE846" i="6" s="1"/>
  <c r="AD847" i="6"/>
  <c r="AE847" i="6" s="1"/>
  <c r="AD848" i="6"/>
  <c r="AE848" i="6" s="1"/>
  <c r="AD849" i="6"/>
  <c r="AE849" i="6" s="1"/>
  <c r="AD850" i="6"/>
  <c r="AE850" i="6" s="1"/>
  <c r="AD851" i="6"/>
  <c r="AE851" i="6" s="1"/>
  <c r="AD852" i="6"/>
  <c r="AE852" i="6" s="1"/>
  <c r="AD853" i="6"/>
  <c r="AE853" i="6" s="1"/>
  <c r="AD854" i="6"/>
  <c r="AE854" i="6" s="1"/>
  <c r="AD855" i="6"/>
  <c r="AE855" i="6" s="1"/>
  <c r="AD856" i="6"/>
  <c r="AE856" i="6" s="1"/>
  <c r="AD857" i="6"/>
  <c r="AE857" i="6" s="1"/>
  <c r="AD858" i="6"/>
  <c r="AE858" i="6" s="1"/>
  <c r="AD859" i="6"/>
  <c r="AE859" i="6" s="1"/>
  <c r="AD860" i="6"/>
  <c r="AE860" i="6" s="1"/>
  <c r="AD861" i="6"/>
  <c r="AE861" i="6" s="1"/>
  <c r="AD862" i="6"/>
  <c r="AE862" i="6" s="1"/>
  <c r="AD863" i="6"/>
  <c r="AE863" i="6" s="1"/>
  <c r="AD864" i="6"/>
  <c r="AE864" i="6" s="1"/>
  <c r="AD865" i="6"/>
  <c r="AE865" i="6" s="1"/>
  <c r="AD866" i="6"/>
  <c r="AE866" i="6" s="1"/>
  <c r="AD867" i="6"/>
  <c r="AE867" i="6" s="1"/>
  <c r="AD868" i="6"/>
  <c r="AE868" i="6" s="1"/>
  <c r="AD869" i="6"/>
  <c r="AE869" i="6" s="1"/>
  <c r="AD870" i="6"/>
  <c r="AE870" i="6" s="1"/>
  <c r="AD871" i="6"/>
  <c r="AE871" i="6" s="1"/>
  <c r="AD872" i="6"/>
  <c r="AE872" i="6" s="1"/>
  <c r="AD873" i="6"/>
  <c r="AE873" i="6" s="1"/>
  <c r="AD874" i="6"/>
  <c r="AE874" i="6" s="1"/>
  <c r="AD875" i="6"/>
  <c r="AE875" i="6" s="1"/>
  <c r="AD876" i="6"/>
  <c r="AE876" i="6" s="1"/>
  <c r="AD877" i="6"/>
  <c r="AE877" i="6" s="1"/>
  <c r="AD878" i="6"/>
  <c r="AE878" i="6" s="1"/>
  <c r="AD879" i="6"/>
  <c r="AE879" i="6" s="1"/>
  <c r="AD880" i="6"/>
  <c r="AE880" i="6" s="1"/>
  <c r="AD881" i="6"/>
  <c r="AE881" i="6" s="1"/>
  <c r="AD882" i="6"/>
  <c r="AE882" i="6" s="1"/>
  <c r="AD883" i="6"/>
  <c r="AE883" i="6" s="1"/>
  <c r="AD884" i="6"/>
  <c r="AE884" i="6" s="1"/>
  <c r="AD885" i="6"/>
  <c r="AE885" i="6" s="1"/>
  <c r="AD886" i="6"/>
  <c r="AE886" i="6" s="1"/>
  <c r="AD887" i="6"/>
  <c r="AE887" i="6" s="1"/>
  <c r="AD888" i="6"/>
  <c r="AE888" i="6" s="1"/>
  <c r="AD889" i="6"/>
  <c r="AE889" i="6" s="1"/>
  <c r="AD890" i="6"/>
  <c r="AE890" i="6" s="1"/>
  <c r="AD891" i="6"/>
  <c r="AE891" i="6" s="1"/>
  <c r="AD892" i="6"/>
  <c r="AE892" i="6" s="1"/>
  <c r="AD893" i="6"/>
  <c r="AE893" i="6" s="1"/>
  <c r="AD894" i="6"/>
  <c r="AE894" i="6" s="1"/>
  <c r="AD895" i="6"/>
  <c r="AE895" i="6" s="1"/>
  <c r="AD896" i="6"/>
  <c r="AE896" i="6" s="1"/>
  <c r="AD897" i="6"/>
  <c r="AE897" i="6" s="1"/>
  <c r="AD898" i="6"/>
  <c r="AE898" i="6" s="1"/>
  <c r="AD899" i="6"/>
  <c r="AE899" i="6" s="1"/>
  <c r="AD900" i="6"/>
  <c r="AE900" i="6" s="1"/>
  <c r="AD901" i="6"/>
  <c r="AE901" i="6" s="1"/>
  <c r="AD902" i="6"/>
  <c r="AE902" i="6" s="1"/>
  <c r="AD903" i="6"/>
  <c r="AE903" i="6" s="1"/>
  <c r="AD904" i="6"/>
  <c r="AE904" i="6" s="1"/>
  <c r="AD905" i="6"/>
  <c r="AE905" i="6" s="1"/>
  <c r="AD906" i="6"/>
  <c r="AE906" i="6" s="1"/>
  <c r="AD907" i="6"/>
  <c r="AE907" i="6" s="1"/>
  <c r="AD908" i="6"/>
  <c r="AE908" i="6" s="1"/>
  <c r="AD909" i="6"/>
  <c r="AE909" i="6" s="1"/>
  <c r="AD910" i="6"/>
  <c r="AE910" i="6" s="1"/>
  <c r="AD911" i="6"/>
  <c r="AE911" i="6" s="1"/>
  <c r="AD912" i="6"/>
  <c r="AE912" i="6" s="1"/>
  <c r="AD913" i="6"/>
  <c r="AE913" i="6" s="1"/>
  <c r="AD914" i="6"/>
  <c r="AE914" i="6" s="1"/>
  <c r="AD915" i="6"/>
  <c r="AE915" i="6" s="1"/>
  <c r="AD916" i="6"/>
  <c r="AE916" i="6" s="1"/>
  <c r="AD917" i="6"/>
  <c r="AE917" i="6" s="1"/>
  <c r="AD918" i="6"/>
  <c r="AE918" i="6" s="1"/>
  <c r="AD919" i="6"/>
  <c r="AE919" i="6" s="1"/>
  <c r="AD920" i="6"/>
  <c r="AE920" i="6" s="1"/>
  <c r="AD921" i="6"/>
  <c r="AE921" i="6" s="1"/>
  <c r="AD922" i="6"/>
  <c r="AE922" i="6" s="1"/>
  <c r="AD923" i="6"/>
  <c r="AE923" i="6" s="1"/>
  <c r="AD924" i="6"/>
  <c r="AE924" i="6" s="1"/>
  <c r="AD925" i="6"/>
  <c r="AE925" i="6" s="1"/>
  <c r="AD926" i="6"/>
  <c r="AE926" i="6" s="1"/>
  <c r="AD927" i="6"/>
  <c r="AE927" i="6" s="1"/>
  <c r="AD928" i="6"/>
  <c r="AE928" i="6" s="1"/>
  <c r="AD929" i="6"/>
  <c r="AE929" i="6" s="1"/>
  <c r="AD930" i="6"/>
  <c r="AE930" i="6" s="1"/>
  <c r="AD931" i="6"/>
  <c r="AE931" i="6" s="1"/>
  <c r="AD932" i="6"/>
  <c r="AE932" i="6" s="1"/>
  <c r="AD933" i="6"/>
  <c r="AE933" i="6" s="1"/>
  <c r="AD934" i="6"/>
  <c r="AE934" i="6" s="1"/>
  <c r="AD935" i="6"/>
  <c r="AE935" i="6" s="1"/>
  <c r="AD936" i="6"/>
  <c r="AE936" i="6" s="1"/>
  <c r="AD937" i="6"/>
  <c r="AE937" i="6" s="1"/>
  <c r="AD938" i="6"/>
  <c r="AE938" i="6" s="1"/>
  <c r="AD939" i="6"/>
  <c r="AE939" i="6" s="1"/>
  <c r="AD940" i="6"/>
  <c r="AE940" i="6" s="1"/>
  <c r="AD941" i="6"/>
  <c r="AE941" i="6" s="1"/>
  <c r="AD942" i="6"/>
  <c r="AE942" i="6" s="1"/>
  <c r="AD943" i="6"/>
  <c r="AE943" i="6" s="1"/>
  <c r="AD944" i="6"/>
  <c r="AE944" i="6" s="1"/>
  <c r="AD945" i="6"/>
  <c r="AE945" i="6" s="1"/>
  <c r="AD946" i="6"/>
  <c r="AE946" i="6" s="1"/>
  <c r="AD947" i="6"/>
  <c r="AE947" i="6" s="1"/>
  <c r="AD948" i="6"/>
  <c r="AE948" i="6" s="1"/>
  <c r="AD949" i="6"/>
  <c r="AE949" i="6" s="1"/>
  <c r="AD950" i="6"/>
  <c r="AE950" i="6" s="1"/>
  <c r="AD951" i="6"/>
  <c r="AE951" i="6" s="1"/>
  <c r="AD952" i="6"/>
  <c r="AE952" i="6" s="1"/>
  <c r="AD953" i="6"/>
  <c r="AE953" i="6" s="1"/>
  <c r="AD954" i="6"/>
  <c r="AE954" i="6" s="1"/>
  <c r="AD955" i="6"/>
  <c r="AE955" i="6" s="1"/>
  <c r="AD956" i="6"/>
  <c r="AE956" i="6" s="1"/>
  <c r="AD957" i="6"/>
  <c r="AE957" i="6" s="1"/>
  <c r="AD958" i="6"/>
  <c r="AE958" i="6" s="1"/>
  <c r="AD959" i="6"/>
  <c r="AE959" i="6" s="1"/>
  <c r="AD960" i="6"/>
  <c r="AE960" i="6" s="1"/>
  <c r="AD961" i="6"/>
  <c r="AE961" i="6" s="1"/>
  <c r="AD962" i="6"/>
  <c r="AE962" i="6" s="1"/>
  <c r="AD963" i="6"/>
  <c r="AE963" i="6" s="1"/>
  <c r="AD964" i="6"/>
  <c r="AE964" i="6" s="1"/>
  <c r="AD965" i="6"/>
  <c r="AE965" i="6" s="1"/>
  <c r="AD966" i="6"/>
  <c r="AE966" i="6" s="1"/>
  <c r="AD967" i="6"/>
  <c r="AE967" i="6" s="1"/>
  <c r="AD968" i="6"/>
  <c r="AE968" i="6" s="1"/>
  <c r="AD969" i="6"/>
  <c r="AE969" i="6" s="1"/>
  <c r="AD970" i="6"/>
  <c r="AE970" i="6" s="1"/>
  <c r="AD971" i="6"/>
  <c r="AE971" i="6" s="1"/>
  <c r="AD972" i="6"/>
  <c r="AE972" i="6" s="1"/>
  <c r="AD973" i="6"/>
  <c r="AE973" i="6" s="1"/>
  <c r="AD974" i="6"/>
  <c r="AE974" i="6" s="1"/>
  <c r="AD975" i="6"/>
  <c r="AE975" i="6" s="1"/>
  <c r="AD976" i="6"/>
  <c r="AE976" i="6" s="1"/>
  <c r="AD977" i="6"/>
  <c r="AE977" i="6" s="1"/>
  <c r="AD978" i="6"/>
  <c r="AE978" i="6" s="1"/>
  <c r="AD979" i="6"/>
  <c r="AE979" i="6" s="1"/>
  <c r="AD980" i="6"/>
  <c r="AE980" i="6" s="1"/>
  <c r="AD981" i="6"/>
  <c r="AE981" i="6" s="1"/>
  <c r="AD982" i="6"/>
  <c r="AE982" i="6" s="1"/>
  <c r="AD983" i="6"/>
  <c r="AE983" i="6" s="1"/>
  <c r="AD984" i="6"/>
  <c r="AE984" i="6" s="1"/>
  <c r="AD985" i="6"/>
  <c r="AE985" i="6" s="1"/>
  <c r="AD986" i="6"/>
  <c r="AE986" i="6" s="1"/>
  <c r="AD987" i="6"/>
  <c r="AE987" i="6" s="1"/>
  <c r="AD988" i="6"/>
  <c r="AE988" i="6" s="1"/>
  <c r="AD989" i="6"/>
  <c r="AE989" i="6" s="1"/>
  <c r="AD990" i="6"/>
  <c r="AE990" i="6" s="1"/>
  <c r="AD991" i="6"/>
  <c r="AE991" i="6" s="1"/>
  <c r="AD992" i="6"/>
  <c r="AE992" i="6" s="1"/>
  <c r="AD993" i="6"/>
  <c r="AE993" i="6" s="1"/>
  <c r="AD994" i="6"/>
  <c r="AE994" i="6" s="1"/>
  <c r="AD995" i="6"/>
  <c r="AE995" i="6" s="1"/>
  <c r="AD996" i="6"/>
  <c r="AE996" i="6" s="1"/>
  <c r="AD997" i="6"/>
  <c r="AE997" i="6" s="1"/>
  <c r="AD998" i="6"/>
  <c r="AE998" i="6" s="1"/>
  <c r="AD999" i="6"/>
  <c r="AE999" i="6" s="1"/>
  <c r="AD1000" i="6"/>
  <c r="AE1000" i="6" s="1"/>
  <c r="AD1001" i="6"/>
  <c r="AE1001" i="6" s="1"/>
  <c r="AD1002" i="6"/>
  <c r="AE1002" i="6" s="1"/>
  <c r="AD1003" i="6"/>
  <c r="AE1003" i="6" s="1"/>
  <c r="AD1004" i="6"/>
  <c r="AE1004" i="6" s="1"/>
  <c r="AD1005" i="6"/>
  <c r="AE1005" i="6" s="1"/>
  <c r="AD1006" i="6"/>
  <c r="AE1006" i="6" s="1"/>
  <c r="AD1007" i="6"/>
  <c r="AE1007" i="6" s="1"/>
  <c r="AD8" i="6"/>
  <c r="AK8" i="6" s="1"/>
  <c r="AL9" i="3"/>
  <c r="AM9" i="3"/>
  <c r="AL11" i="3"/>
  <c r="AM11" i="3"/>
  <c r="AL12" i="3"/>
  <c r="AM12" i="3"/>
  <c r="AL13" i="3"/>
  <c r="AM13" i="3"/>
  <c r="AL14" i="3"/>
  <c r="AM14" i="3"/>
  <c r="AL15" i="3"/>
  <c r="AM15" i="3"/>
  <c r="AL16" i="3"/>
  <c r="AM16" i="3"/>
  <c r="AL17" i="3"/>
  <c r="AM17" i="3"/>
  <c r="AL18" i="3"/>
  <c r="AM18" i="3"/>
  <c r="AL19" i="3"/>
  <c r="AM19" i="3"/>
  <c r="AL20" i="3"/>
  <c r="AM20" i="3"/>
  <c r="AL21" i="3"/>
  <c r="AM21" i="3"/>
  <c r="AL22" i="3"/>
  <c r="AM22" i="3"/>
  <c r="AL23" i="3"/>
  <c r="AM23" i="3"/>
  <c r="AL24" i="3"/>
  <c r="AM24" i="3"/>
  <c r="AL25" i="3"/>
  <c r="AM25" i="3"/>
  <c r="AL26" i="3"/>
  <c r="AM26" i="3"/>
  <c r="AL27" i="3"/>
  <c r="AM27" i="3"/>
  <c r="AL28" i="3"/>
  <c r="AM28" i="3"/>
  <c r="AL29" i="3"/>
  <c r="AM29" i="3"/>
  <c r="AL30" i="3"/>
  <c r="AM30" i="3"/>
  <c r="AL31" i="3"/>
  <c r="AM31" i="3"/>
  <c r="AL32" i="3"/>
  <c r="AM32" i="3"/>
  <c r="AL33" i="3"/>
  <c r="AM33" i="3"/>
  <c r="AL34" i="3"/>
  <c r="AM34" i="3"/>
  <c r="AL35" i="3"/>
  <c r="AM35" i="3"/>
  <c r="AL36" i="3"/>
  <c r="AM36" i="3"/>
  <c r="AL37" i="3"/>
  <c r="AM37" i="3"/>
  <c r="AL38" i="3"/>
  <c r="AM38" i="3"/>
  <c r="AL39" i="3"/>
  <c r="AM39" i="3"/>
  <c r="AL40" i="3"/>
  <c r="AM40" i="3"/>
  <c r="AL41" i="3"/>
  <c r="AM41" i="3"/>
  <c r="AL42" i="3"/>
  <c r="AM42" i="3"/>
  <c r="AL43" i="3"/>
  <c r="AM43" i="3"/>
  <c r="AL44" i="3"/>
  <c r="AM44" i="3"/>
  <c r="AL45" i="3"/>
  <c r="AM45" i="3"/>
  <c r="AL46" i="3"/>
  <c r="AM46" i="3"/>
  <c r="AL47" i="3"/>
  <c r="AM47" i="3"/>
  <c r="AL48" i="3"/>
  <c r="AM48" i="3"/>
  <c r="AL49" i="3"/>
  <c r="AM49" i="3"/>
  <c r="AL50" i="3"/>
  <c r="AM50" i="3"/>
  <c r="AL51" i="3"/>
  <c r="AM51" i="3"/>
  <c r="AL52" i="3"/>
  <c r="AM52" i="3"/>
  <c r="AL53" i="3"/>
  <c r="AM53" i="3"/>
  <c r="AL54" i="3"/>
  <c r="AM54" i="3"/>
  <c r="AL55" i="3"/>
  <c r="AM55" i="3"/>
  <c r="AL56" i="3"/>
  <c r="AM56" i="3"/>
  <c r="AL57" i="3"/>
  <c r="AM57" i="3"/>
  <c r="AL58" i="3"/>
  <c r="AM58" i="3"/>
  <c r="AL59" i="3"/>
  <c r="AM59" i="3"/>
  <c r="AL60" i="3"/>
  <c r="AM60" i="3"/>
  <c r="AL61" i="3"/>
  <c r="AM61" i="3"/>
  <c r="AL62" i="3"/>
  <c r="AM62" i="3"/>
  <c r="AL63" i="3"/>
  <c r="AM63" i="3"/>
  <c r="AL64" i="3"/>
  <c r="AM64" i="3"/>
  <c r="AL65" i="3"/>
  <c r="AM65" i="3"/>
  <c r="AL66" i="3"/>
  <c r="AM66" i="3"/>
  <c r="AL67" i="3"/>
  <c r="AM67" i="3"/>
  <c r="AL68" i="3"/>
  <c r="AM68" i="3"/>
  <c r="AL69" i="3"/>
  <c r="AM69" i="3"/>
  <c r="AL70" i="3"/>
  <c r="AM70" i="3"/>
  <c r="AL71" i="3"/>
  <c r="AM71" i="3"/>
  <c r="AL72" i="3"/>
  <c r="AM72" i="3"/>
  <c r="AL73" i="3"/>
  <c r="AM73" i="3"/>
  <c r="AL74" i="3"/>
  <c r="AM74" i="3"/>
  <c r="AL75" i="3"/>
  <c r="AM75" i="3"/>
  <c r="AL76" i="3"/>
  <c r="AM76" i="3"/>
  <c r="AL77" i="3"/>
  <c r="AM77" i="3"/>
  <c r="AL78" i="3"/>
  <c r="AM78" i="3"/>
  <c r="AL79" i="3"/>
  <c r="AM79" i="3"/>
  <c r="AL80" i="3"/>
  <c r="AM80" i="3"/>
  <c r="AL81" i="3"/>
  <c r="AM81" i="3"/>
  <c r="AL82" i="3"/>
  <c r="AM82" i="3"/>
  <c r="AL83" i="3"/>
  <c r="AM83" i="3"/>
  <c r="AL84" i="3"/>
  <c r="AM84" i="3"/>
  <c r="AL85" i="3"/>
  <c r="AM85" i="3"/>
  <c r="AL86" i="3"/>
  <c r="AM86" i="3"/>
  <c r="AL87" i="3"/>
  <c r="AM87" i="3"/>
  <c r="AL88" i="3"/>
  <c r="AM88" i="3"/>
  <c r="AL89" i="3"/>
  <c r="AM89" i="3"/>
  <c r="AL90" i="3"/>
  <c r="AM90" i="3"/>
  <c r="AL91" i="3"/>
  <c r="AM91" i="3"/>
  <c r="AL92" i="3"/>
  <c r="AM92" i="3"/>
  <c r="AL93" i="3"/>
  <c r="AM93" i="3"/>
  <c r="AL94" i="3"/>
  <c r="AM94" i="3"/>
  <c r="AL95" i="3"/>
  <c r="AM95" i="3"/>
  <c r="AL96" i="3"/>
  <c r="AM96" i="3"/>
  <c r="AL97" i="3"/>
  <c r="AM97" i="3"/>
  <c r="AL98" i="3"/>
  <c r="AM98" i="3"/>
  <c r="AL99" i="3"/>
  <c r="AM99" i="3"/>
  <c r="AL100" i="3"/>
  <c r="AM100" i="3"/>
  <c r="AL101" i="3"/>
  <c r="AM101" i="3"/>
  <c r="AL102" i="3"/>
  <c r="AM102" i="3"/>
  <c r="AL103" i="3"/>
  <c r="AM103" i="3"/>
  <c r="AL104" i="3"/>
  <c r="AM104" i="3"/>
  <c r="AL105" i="3"/>
  <c r="AM105" i="3"/>
  <c r="AL106" i="3"/>
  <c r="AM106" i="3"/>
  <c r="AL107" i="3"/>
  <c r="AM107" i="3"/>
  <c r="AL108" i="3"/>
  <c r="AM108" i="3"/>
  <c r="AL109" i="3"/>
  <c r="AM109" i="3"/>
  <c r="AL110" i="3"/>
  <c r="AM110" i="3"/>
  <c r="AL111" i="3"/>
  <c r="AM111" i="3"/>
  <c r="AL112" i="3"/>
  <c r="AM112" i="3"/>
  <c r="AL113" i="3"/>
  <c r="AM113" i="3"/>
  <c r="AL114" i="3"/>
  <c r="AM114" i="3"/>
  <c r="AL115" i="3"/>
  <c r="AM115" i="3"/>
  <c r="AL116" i="3"/>
  <c r="AM116" i="3"/>
  <c r="AL117" i="3"/>
  <c r="AM117" i="3"/>
  <c r="AL118" i="3"/>
  <c r="AM118" i="3"/>
  <c r="AL119" i="3"/>
  <c r="AM119" i="3"/>
  <c r="AL120" i="3"/>
  <c r="AM120" i="3"/>
  <c r="AL121" i="3"/>
  <c r="AM121" i="3"/>
  <c r="AL122" i="3"/>
  <c r="AM122" i="3"/>
  <c r="AL123" i="3"/>
  <c r="AM123" i="3"/>
  <c r="AL124" i="3"/>
  <c r="AM124" i="3"/>
  <c r="AL125" i="3"/>
  <c r="AM125" i="3"/>
  <c r="AL126" i="3"/>
  <c r="AM126" i="3"/>
  <c r="AL127" i="3"/>
  <c r="AM127" i="3"/>
  <c r="AL128" i="3"/>
  <c r="AM128" i="3"/>
  <c r="AL129" i="3"/>
  <c r="AM129" i="3"/>
  <c r="AL130" i="3"/>
  <c r="AM130" i="3"/>
  <c r="AL131" i="3"/>
  <c r="AM131" i="3"/>
  <c r="AL132" i="3"/>
  <c r="AM132" i="3"/>
  <c r="AL133" i="3"/>
  <c r="AM133" i="3"/>
  <c r="AL134" i="3"/>
  <c r="AM134" i="3"/>
  <c r="AL135" i="3"/>
  <c r="AM135" i="3"/>
  <c r="AL136" i="3"/>
  <c r="AM136" i="3"/>
  <c r="AL137" i="3"/>
  <c r="AM137" i="3"/>
  <c r="AL138" i="3"/>
  <c r="AM138" i="3"/>
  <c r="AL139" i="3"/>
  <c r="AM139" i="3"/>
  <c r="AL140" i="3"/>
  <c r="AM140" i="3"/>
  <c r="AL141" i="3"/>
  <c r="AM141" i="3"/>
  <c r="AL142" i="3"/>
  <c r="AM142" i="3"/>
  <c r="AL143" i="3"/>
  <c r="AM143" i="3"/>
  <c r="AL144" i="3"/>
  <c r="AM144" i="3"/>
  <c r="AL145" i="3"/>
  <c r="AM145" i="3"/>
  <c r="AL146" i="3"/>
  <c r="AM146" i="3"/>
  <c r="AL147" i="3"/>
  <c r="AM147" i="3"/>
  <c r="AL148" i="3"/>
  <c r="AM148" i="3"/>
  <c r="AL149" i="3"/>
  <c r="AM149" i="3"/>
  <c r="AL150" i="3"/>
  <c r="AM150" i="3"/>
  <c r="AL151" i="3"/>
  <c r="AM151" i="3"/>
  <c r="AL152" i="3"/>
  <c r="AM152" i="3"/>
  <c r="AL153" i="3"/>
  <c r="AM153" i="3"/>
  <c r="AL154" i="3"/>
  <c r="AM154" i="3"/>
  <c r="AL155" i="3"/>
  <c r="AM155" i="3"/>
  <c r="AL156" i="3"/>
  <c r="AM156" i="3"/>
  <c r="AL157" i="3"/>
  <c r="AM157" i="3"/>
  <c r="AL158" i="3"/>
  <c r="AM158" i="3"/>
  <c r="AL159" i="3"/>
  <c r="AM159" i="3"/>
  <c r="AL160" i="3"/>
  <c r="AM160" i="3"/>
  <c r="AL161" i="3"/>
  <c r="AM161" i="3"/>
  <c r="AL162" i="3"/>
  <c r="AM162" i="3"/>
  <c r="AL163" i="3"/>
  <c r="AM163" i="3"/>
  <c r="AL164" i="3"/>
  <c r="AM164" i="3"/>
  <c r="AL165" i="3"/>
  <c r="AM165" i="3"/>
  <c r="AL166" i="3"/>
  <c r="AM166" i="3"/>
  <c r="AL167" i="3"/>
  <c r="AM167" i="3"/>
  <c r="AL168" i="3"/>
  <c r="AM168" i="3"/>
  <c r="AL169" i="3"/>
  <c r="AM169" i="3"/>
  <c r="AL170" i="3"/>
  <c r="AM170" i="3"/>
  <c r="AL171" i="3"/>
  <c r="AM171" i="3"/>
  <c r="AL172" i="3"/>
  <c r="AM172" i="3"/>
  <c r="AL173" i="3"/>
  <c r="AM173" i="3"/>
  <c r="AL174" i="3"/>
  <c r="AM174" i="3"/>
  <c r="AL175" i="3"/>
  <c r="AM175" i="3"/>
  <c r="AL176" i="3"/>
  <c r="AM176" i="3"/>
  <c r="AL177" i="3"/>
  <c r="AM177" i="3"/>
  <c r="AL178" i="3"/>
  <c r="AM178" i="3"/>
  <c r="AL179" i="3"/>
  <c r="AM179" i="3"/>
  <c r="AL180" i="3"/>
  <c r="AM180" i="3"/>
  <c r="AL181" i="3"/>
  <c r="AM181" i="3"/>
  <c r="AL182" i="3"/>
  <c r="AM182" i="3"/>
  <c r="AL183" i="3"/>
  <c r="AM183" i="3"/>
  <c r="AL184" i="3"/>
  <c r="AM184" i="3"/>
  <c r="AL185" i="3"/>
  <c r="AM185" i="3"/>
  <c r="AL186" i="3"/>
  <c r="AM186" i="3"/>
  <c r="AL187" i="3"/>
  <c r="AM187" i="3"/>
  <c r="AL188" i="3"/>
  <c r="AM188" i="3"/>
  <c r="AL189" i="3"/>
  <c r="AM189" i="3"/>
  <c r="AL190" i="3"/>
  <c r="AM190" i="3"/>
  <c r="AL191" i="3"/>
  <c r="AM191" i="3"/>
  <c r="AL192" i="3"/>
  <c r="AM192" i="3"/>
  <c r="AL193" i="3"/>
  <c r="AM193" i="3"/>
  <c r="AL194" i="3"/>
  <c r="AM194" i="3"/>
  <c r="AL195" i="3"/>
  <c r="AM195" i="3"/>
  <c r="AL196" i="3"/>
  <c r="AM196" i="3"/>
  <c r="AL197" i="3"/>
  <c r="AM197" i="3"/>
  <c r="AL198" i="3"/>
  <c r="AM198" i="3"/>
  <c r="AL199" i="3"/>
  <c r="AM199" i="3"/>
  <c r="AL200" i="3"/>
  <c r="AM200" i="3"/>
  <c r="AL201" i="3"/>
  <c r="AM201" i="3"/>
  <c r="AL202" i="3"/>
  <c r="AM202" i="3"/>
  <c r="AL203" i="3"/>
  <c r="AM203" i="3"/>
  <c r="AL204" i="3"/>
  <c r="AM204" i="3"/>
  <c r="AL205" i="3"/>
  <c r="AM205" i="3"/>
  <c r="AL206" i="3"/>
  <c r="AM206" i="3"/>
  <c r="AL207" i="3"/>
  <c r="AM207" i="3"/>
  <c r="AL208" i="3"/>
  <c r="AM208" i="3"/>
  <c r="AL209" i="3"/>
  <c r="AM209" i="3"/>
  <c r="AL210" i="3"/>
  <c r="AM210" i="3"/>
  <c r="AL211" i="3"/>
  <c r="AM211" i="3"/>
  <c r="AL212" i="3"/>
  <c r="AM212" i="3"/>
  <c r="AL213" i="3"/>
  <c r="AM213" i="3"/>
  <c r="AL214" i="3"/>
  <c r="AM214" i="3"/>
  <c r="AL215" i="3"/>
  <c r="AM215" i="3"/>
  <c r="AL216" i="3"/>
  <c r="AM216" i="3"/>
  <c r="AL217" i="3"/>
  <c r="AM217" i="3"/>
  <c r="AL218" i="3"/>
  <c r="AM218" i="3"/>
  <c r="AL219" i="3"/>
  <c r="AM219" i="3"/>
  <c r="AL220" i="3"/>
  <c r="AM220" i="3"/>
  <c r="AL221" i="3"/>
  <c r="AM221" i="3"/>
  <c r="AL222" i="3"/>
  <c r="AM222" i="3"/>
  <c r="AL223" i="3"/>
  <c r="AM223" i="3"/>
  <c r="AL224" i="3"/>
  <c r="AM224" i="3"/>
  <c r="AL225" i="3"/>
  <c r="AM225" i="3"/>
  <c r="AL226" i="3"/>
  <c r="AM226" i="3"/>
  <c r="AL227" i="3"/>
  <c r="AM227" i="3"/>
  <c r="AL228" i="3"/>
  <c r="AM228" i="3"/>
  <c r="AL229" i="3"/>
  <c r="AM229" i="3"/>
  <c r="AL230" i="3"/>
  <c r="AM230" i="3"/>
  <c r="AL231" i="3"/>
  <c r="AM231" i="3"/>
  <c r="AL232" i="3"/>
  <c r="AM232" i="3"/>
  <c r="AL233" i="3"/>
  <c r="AM233" i="3"/>
  <c r="AL234" i="3"/>
  <c r="AM234" i="3"/>
  <c r="AL235" i="3"/>
  <c r="AM235" i="3"/>
  <c r="AL236" i="3"/>
  <c r="AM236" i="3"/>
  <c r="AL237" i="3"/>
  <c r="AM237" i="3"/>
  <c r="AL238" i="3"/>
  <c r="AM238" i="3"/>
  <c r="AL239" i="3"/>
  <c r="AM239" i="3"/>
  <c r="AL240" i="3"/>
  <c r="AM240" i="3"/>
  <c r="AL241" i="3"/>
  <c r="AM241" i="3"/>
  <c r="AL242" i="3"/>
  <c r="AM242" i="3"/>
  <c r="AL243" i="3"/>
  <c r="AM243" i="3"/>
  <c r="AL244" i="3"/>
  <c r="AM244" i="3"/>
  <c r="AL245" i="3"/>
  <c r="AM245" i="3"/>
  <c r="AL246" i="3"/>
  <c r="AM246" i="3"/>
  <c r="AL247" i="3"/>
  <c r="AM247" i="3"/>
  <c r="AL248" i="3"/>
  <c r="AM248" i="3"/>
  <c r="AL249" i="3"/>
  <c r="AM249" i="3"/>
  <c r="AL250" i="3"/>
  <c r="AM250" i="3"/>
  <c r="AL251" i="3"/>
  <c r="AM251" i="3"/>
  <c r="AL252" i="3"/>
  <c r="AM252" i="3"/>
  <c r="AL253" i="3"/>
  <c r="AM253" i="3"/>
  <c r="AL254" i="3"/>
  <c r="AM254" i="3"/>
  <c r="AL255" i="3"/>
  <c r="AM255" i="3"/>
  <c r="AL256" i="3"/>
  <c r="AM256" i="3"/>
  <c r="AL257" i="3"/>
  <c r="AM257" i="3"/>
  <c r="AL258" i="3"/>
  <c r="AM258" i="3"/>
  <c r="AL259" i="3"/>
  <c r="AM259" i="3"/>
  <c r="AL260" i="3"/>
  <c r="AM260" i="3"/>
  <c r="AL261" i="3"/>
  <c r="AM261" i="3"/>
  <c r="AL262" i="3"/>
  <c r="AM262" i="3"/>
  <c r="AL263" i="3"/>
  <c r="AM263" i="3"/>
  <c r="AL264" i="3"/>
  <c r="AM264" i="3"/>
  <c r="AL265" i="3"/>
  <c r="AM265" i="3"/>
  <c r="AL266" i="3"/>
  <c r="AM266" i="3"/>
  <c r="AL267" i="3"/>
  <c r="AM267" i="3"/>
  <c r="AL268" i="3"/>
  <c r="AM268" i="3"/>
  <c r="AL269" i="3"/>
  <c r="AM269" i="3"/>
  <c r="AL270" i="3"/>
  <c r="AM270" i="3"/>
  <c r="AL271" i="3"/>
  <c r="AM271" i="3"/>
  <c r="AL272" i="3"/>
  <c r="AM272" i="3"/>
  <c r="AL273" i="3"/>
  <c r="AM273" i="3"/>
  <c r="AL274" i="3"/>
  <c r="AM274" i="3"/>
  <c r="AL275" i="3"/>
  <c r="AM275" i="3"/>
  <c r="AL276" i="3"/>
  <c r="AM276" i="3"/>
  <c r="AL277" i="3"/>
  <c r="AM277" i="3"/>
  <c r="AL278" i="3"/>
  <c r="AM278" i="3"/>
  <c r="AL279" i="3"/>
  <c r="AM279" i="3"/>
  <c r="AL280" i="3"/>
  <c r="AM280" i="3"/>
  <c r="AL281" i="3"/>
  <c r="AM281" i="3"/>
  <c r="AL282" i="3"/>
  <c r="AM282" i="3"/>
  <c r="AL283" i="3"/>
  <c r="AM283" i="3"/>
  <c r="AL284" i="3"/>
  <c r="AM284" i="3"/>
  <c r="AL285" i="3"/>
  <c r="AM285" i="3"/>
  <c r="AL286" i="3"/>
  <c r="AM286" i="3"/>
  <c r="AL287" i="3"/>
  <c r="AM287" i="3"/>
  <c r="AL288" i="3"/>
  <c r="AM288" i="3"/>
  <c r="AL289" i="3"/>
  <c r="AM289" i="3"/>
  <c r="AL290" i="3"/>
  <c r="AM290" i="3"/>
  <c r="AL291" i="3"/>
  <c r="AM291" i="3"/>
  <c r="AL292" i="3"/>
  <c r="AM292" i="3"/>
  <c r="AL293" i="3"/>
  <c r="AM293" i="3"/>
  <c r="AL294" i="3"/>
  <c r="AM294" i="3"/>
  <c r="AL295" i="3"/>
  <c r="AM295" i="3"/>
  <c r="AL296" i="3"/>
  <c r="AM296" i="3"/>
  <c r="AL297" i="3"/>
  <c r="AM297" i="3"/>
  <c r="AL298" i="3"/>
  <c r="AM298" i="3"/>
  <c r="AL299" i="3"/>
  <c r="AM299" i="3"/>
  <c r="AL300" i="3"/>
  <c r="AM300" i="3"/>
  <c r="AL301" i="3"/>
  <c r="AM301" i="3"/>
  <c r="AL302" i="3"/>
  <c r="AM302" i="3"/>
  <c r="AL303" i="3"/>
  <c r="AM303" i="3"/>
  <c r="AL304" i="3"/>
  <c r="AM304" i="3"/>
  <c r="AL305" i="3"/>
  <c r="AM305" i="3"/>
  <c r="AL306" i="3"/>
  <c r="AM306" i="3"/>
  <c r="AL307" i="3"/>
  <c r="AM307" i="3"/>
  <c r="AL308" i="3"/>
  <c r="AM308" i="3"/>
  <c r="AL309" i="3"/>
  <c r="AM309" i="3"/>
  <c r="AL310" i="3"/>
  <c r="AM310" i="3"/>
  <c r="AL311" i="3"/>
  <c r="AM311" i="3"/>
  <c r="AL312" i="3"/>
  <c r="AM312" i="3"/>
  <c r="AL313" i="3"/>
  <c r="AM313" i="3"/>
  <c r="AL314" i="3"/>
  <c r="AM314" i="3"/>
  <c r="AL315" i="3"/>
  <c r="AM315" i="3"/>
  <c r="AL316" i="3"/>
  <c r="AM316" i="3"/>
  <c r="AL317" i="3"/>
  <c r="AM317" i="3"/>
  <c r="AL318" i="3"/>
  <c r="AM318" i="3"/>
  <c r="AL319" i="3"/>
  <c r="AM319" i="3"/>
  <c r="AL320" i="3"/>
  <c r="AM320" i="3"/>
  <c r="AL321" i="3"/>
  <c r="AM321" i="3"/>
  <c r="AL322" i="3"/>
  <c r="AM322" i="3"/>
  <c r="AL323" i="3"/>
  <c r="AM323" i="3"/>
  <c r="AL324" i="3"/>
  <c r="AM324" i="3"/>
  <c r="AL325" i="3"/>
  <c r="AM325" i="3"/>
  <c r="AL326" i="3"/>
  <c r="AM326" i="3"/>
  <c r="AL327" i="3"/>
  <c r="AM327" i="3"/>
  <c r="AL328" i="3"/>
  <c r="AM328" i="3"/>
  <c r="AL329" i="3"/>
  <c r="AM329" i="3"/>
  <c r="AL330" i="3"/>
  <c r="AM330" i="3"/>
  <c r="AL331" i="3"/>
  <c r="AM331" i="3"/>
  <c r="AL332" i="3"/>
  <c r="AM332" i="3"/>
  <c r="AL333" i="3"/>
  <c r="AM333" i="3"/>
  <c r="AL334" i="3"/>
  <c r="AM334" i="3"/>
  <c r="AL335" i="3"/>
  <c r="AM335" i="3"/>
  <c r="AL336" i="3"/>
  <c r="AM336" i="3"/>
  <c r="AL337" i="3"/>
  <c r="AM337" i="3"/>
  <c r="AL338" i="3"/>
  <c r="AM338" i="3"/>
  <c r="AL339" i="3"/>
  <c r="AM339" i="3"/>
  <c r="AL340" i="3"/>
  <c r="AM340" i="3"/>
  <c r="AL341" i="3"/>
  <c r="AM341" i="3"/>
  <c r="AL342" i="3"/>
  <c r="AM342" i="3"/>
  <c r="AL343" i="3"/>
  <c r="AM343" i="3"/>
  <c r="AL344" i="3"/>
  <c r="AM344" i="3"/>
  <c r="AL345" i="3"/>
  <c r="AM345" i="3"/>
  <c r="AL346" i="3"/>
  <c r="AM346" i="3"/>
  <c r="AL347" i="3"/>
  <c r="AM347" i="3"/>
  <c r="AL348" i="3"/>
  <c r="AM348" i="3"/>
  <c r="AL349" i="3"/>
  <c r="AM349" i="3"/>
  <c r="AL350" i="3"/>
  <c r="AM350" i="3"/>
  <c r="AL351" i="3"/>
  <c r="AM351" i="3"/>
  <c r="AL352" i="3"/>
  <c r="AM352" i="3"/>
  <c r="AL353" i="3"/>
  <c r="AM353" i="3"/>
  <c r="AL354" i="3"/>
  <c r="AM354" i="3"/>
  <c r="AL355" i="3"/>
  <c r="AM355" i="3"/>
  <c r="AL356" i="3"/>
  <c r="AM356" i="3"/>
  <c r="AL357" i="3"/>
  <c r="AM357" i="3"/>
  <c r="AL358" i="3"/>
  <c r="AM358" i="3"/>
  <c r="AL359" i="3"/>
  <c r="AM359" i="3"/>
  <c r="AL360" i="3"/>
  <c r="AM360" i="3"/>
  <c r="AL361" i="3"/>
  <c r="AM361" i="3"/>
  <c r="AL362" i="3"/>
  <c r="AM362" i="3"/>
  <c r="AL363" i="3"/>
  <c r="AM363" i="3"/>
  <c r="AL364" i="3"/>
  <c r="AM364" i="3"/>
  <c r="AL365" i="3"/>
  <c r="AM365" i="3"/>
  <c r="AL366" i="3"/>
  <c r="AM366" i="3"/>
  <c r="AL367" i="3"/>
  <c r="AM367" i="3"/>
  <c r="AL368" i="3"/>
  <c r="AM368" i="3"/>
  <c r="AL369" i="3"/>
  <c r="AM369" i="3"/>
  <c r="AL370" i="3"/>
  <c r="AM370" i="3"/>
  <c r="AL371" i="3"/>
  <c r="AM371" i="3"/>
  <c r="AL372" i="3"/>
  <c r="AM372" i="3"/>
  <c r="AL373" i="3"/>
  <c r="AM373" i="3"/>
  <c r="AL374" i="3"/>
  <c r="AM374" i="3"/>
  <c r="AL375" i="3"/>
  <c r="AM375" i="3"/>
  <c r="AL376" i="3"/>
  <c r="AM376" i="3"/>
  <c r="AL377" i="3"/>
  <c r="AM377" i="3"/>
  <c r="AL378" i="3"/>
  <c r="AM378" i="3"/>
  <c r="AL379" i="3"/>
  <c r="AM379" i="3"/>
  <c r="AL380" i="3"/>
  <c r="AM380" i="3"/>
  <c r="AL381" i="3"/>
  <c r="AM381" i="3"/>
  <c r="AL382" i="3"/>
  <c r="AM382" i="3"/>
  <c r="AL383" i="3"/>
  <c r="AM383" i="3"/>
  <c r="AL384" i="3"/>
  <c r="AM384" i="3"/>
  <c r="AL385" i="3"/>
  <c r="AM385" i="3"/>
  <c r="AL386" i="3"/>
  <c r="AM386" i="3"/>
  <c r="AL387" i="3"/>
  <c r="AM387" i="3"/>
  <c r="AL388" i="3"/>
  <c r="AM388" i="3"/>
  <c r="AL389" i="3"/>
  <c r="AM389" i="3"/>
  <c r="AL390" i="3"/>
  <c r="AM390" i="3"/>
  <c r="AL391" i="3"/>
  <c r="AM391" i="3"/>
  <c r="AL392" i="3"/>
  <c r="AM392" i="3"/>
  <c r="AL393" i="3"/>
  <c r="AM393" i="3"/>
  <c r="AL394" i="3"/>
  <c r="AM394" i="3"/>
  <c r="AL395" i="3"/>
  <c r="AM395" i="3"/>
  <c r="AL396" i="3"/>
  <c r="AM396" i="3"/>
  <c r="AL397" i="3"/>
  <c r="AM397" i="3"/>
  <c r="AL398" i="3"/>
  <c r="AM398" i="3"/>
  <c r="AL399" i="3"/>
  <c r="AM399" i="3"/>
  <c r="AL400" i="3"/>
  <c r="AM400" i="3"/>
  <c r="AL401" i="3"/>
  <c r="AM401" i="3"/>
  <c r="AL402" i="3"/>
  <c r="AM402" i="3"/>
  <c r="AL403" i="3"/>
  <c r="AM403" i="3"/>
  <c r="AL404" i="3"/>
  <c r="AM404" i="3"/>
  <c r="AL405" i="3"/>
  <c r="AM405" i="3"/>
  <c r="AL406" i="3"/>
  <c r="AM406" i="3"/>
  <c r="AL407" i="3"/>
  <c r="AM407" i="3"/>
  <c r="AL408" i="3"/>
  <c r="AM408" i="3"/>
  <c r="AL409" i="3"/>
  <c r="AM409" i="3"/>
  <c r="AL410" i="3"/>
  <c r="AM410" i="3"/>
  <c r="AL411" i="3"/>
  <c r="AM411" i="3"/>
  <c r="AL412" i="3"/>
  <c r="AM412" i="3"/>
  <c r="AL413" i="3"/>
  <c r="AM413" i="3"/>
  <c r="AL414" i="3"/>
  <c r="AM414" i="3"/>
  <c r="AL415" i="3"/>
  <c r="AM415" i="3"/>
  <c r="AL416" i="3"/>
  <c r="AM416" i="3"/>
  <c r="AL417" i="3"/>
  <c r="AM417" i="3"/>
  <c r="AL418" i="3"/>
  <c r="AM418" i="3"/>
  <c r="AL419" i="3"/>
  <c r="AM419" i="3"/>
  <c r="AL420" i="3"/>
  <c r="AM420" i="3"/>
  <c r="AL421" i="3"/>
  <c r="AM421" i="3"/>
  <c r="AL422" i="3"/>
  <c r="AM422" i="3"/>
  <c r="AL423" i="3"/>
  <c r="AM423" i="3"/>
  <c r="AL424" i="3"/>
  <c r="AM424" i="3"/>
  <c r="AL425" i="3"/>
  <c r="AM425" i="3"/>
  <c r="AL426" i="3"/>
  <c r="AM426" i="3"/>
  <c r="AL427" i="3"/>
  <c r="AM427" i="3"/>
  <c r="AL428" i="3"/>
  <c r="AM428" i="3"/>
  <c r="AL429" i="3"/>
  <c r="AM429" i="3"/>
  <c r="AL430" i="3"/>
  <c r="AM430" i="3"/>
  <c r="AL431" i="3"/>
  <c r="AM431" i="3"/>
  <c r="AL432" i="3"/>
  <c r="AM432" i="3"/>
  <c r="AL433" i="3"/>
  <c r="AM433" i="3"/>
  <c r="AL434" i="3"/>
  <c r="AM434" i="3"/>
  <c r="AL435" i="3"/>
  <c r="AM435" i="3"/>
  <c r="AL436" i="3"/>
  <c r="AM436" i="3"/>
  <c r="AL437" i="3"/>
  <c r="AM437" i="3"/>
  <c r="AL438" i="3"/>
  <c r="AM438" i="3"/>
  <c r="AL439" i="3"/>
  <c r="AM439" i="3"/>
  <c r="AL440" i="3"/>
  <c r="AM440" i="3"/>
  <c r="AL441" i="3"/>
  <c r="AM441" i="3"/>
  <c r="AL442" i="3"/>
  <c r="AM442" i="3"/>
  <c r="AL443" i="3"/>
  <c r="AM443" i="3"/>
  <c r="AL444" i="3"/>
  <c r="AM444" i="3"/>
  <c r="AL445" i="3"/>
  <c r="AM445" i="3"/>
  <c r="AL446" i="3"/>
  <c r="AM446" i="3"/>
  <c r="AL447" i="3"/>
  <c r="AM447" i="3"/>
  <c r="AL448" i="3"/>
  <c r="AM448" i="3"/>
  <c r="AL449" i="3"/>
  <c r="AM449" i="3"/>
  <c r="AL450" i="3"/>
  <c r="AM450" i="3"/>
  <c r="AL451" i="3"/>
  <c r="AM451" i="3"/>
  <c r="AL452" i="3"/>
  <c r="AM452" i="3"/>
  <c r="AL453" i="3"/>
  <c r="AM453" i="3"/>
  <c r="AL454" i="3"/>
  <c r="AM454" i="3"/>
  <c r="AL455" i="3"/>
  <c r="AM455" i="3"/>
  <c r="AL456" i="3"/>
  <c r="AM456" i="3"/>
  <c r="AL457" i="3"/>
  <c r="AM457" i="3"/>
  <c r="AL458" i="3"/>
  <c r="AM458" i="3"/>
  <c r="AL459" i="3"/>
  <c r="AM459" i="3"/>
  <c r="AL460" i="3"/>
  <c r="AM460" i="3"/>
  <c r="AL461" i="3"/>
  <c r="AM461" i="3"/>
  <c r="AL462" i="3"/>
  <c r="AM462" i="3"/>
  <c r="AL463" i="3"/>
  <c r="AM463" i="3"/>
  <c r="AL464" i="3"/>
  <c r="AM464" i="3"/>
  <c r="AL465" i="3"/>
  <c r="AM465" i="3"/>
  <c r="AL466" i="3"/>
  <c r="AM466" i="3"/>
  <c r="AL467" i="3"/>
  <c r="AM467" i="3"/>
  <c r="AL468" i="3"/>
  <c r="AM468" i="3"/>
  <c r="AL469" i="3"/>
  <c r="AM469" i="3"/>
  <c r="AL470" i="3"/>
  <c r="AM470" i="3"/>
  <c r="AL471" i="3"/>
  <c r="AM471" i="3"/>
  <c r="AL472" i="3"/>
  <c r="AM472" i="3"/>
  <c r="AL473" i="3"/>
  <c r="AM473" i="3"/>
  <c r="AL474" i="3"/>
  <c r="AM474" i="3"/>
  <c r="AL475" i="3"/>
  <c r="AM475" i="3"/>
  <c r="AL476" i="3"/>
  <c r="AM476" i="3"/>
  <c r="AL477" i="3"/>
  <c r="AM477" i="3"/>
  <c r="AL478" i="3"/>
  <c r="AM478" i="3"/>
  <c r="AL479" i="3"/>
  <c r="AM479" i="3"/>
  <c r="AL480" i="3"/>
  <c r="AM480" i="3"/>
  <c r="AL481" i="3"/>
  <c r="AM481" i="3"/>
  <c r="AL482" i="3"/>
  <c r="AM482" i="3"/>
  <c r="AL483" i="3"/>
  <c r="AM483" i="3"/>
  <c r="AL484" i="3"/>
  <c r="AM484" i="3"/>
  <c r="AL485" i="3"/>
  <c r="AM485" i="3"/>
  <c r="AL486" i="3"/>
  <c r="AM486" i="3"/>
  <c r="AL487" i="3"/>
  <c r="AM487" i="3"/>
  <c r="AL488" i="3"/>
  <c r="AM488" i="3"/>
  <c r="AL489" i="3"/>
  <c r="AM489" i="3"/>
  <c r="AL490" i="3"/>
  <c r="AM490" i="3"/>
  <c r="AL491" i="3"/>
  <c r="AM491" i="3"/>
  <c r="AL492" i="3"/>
  <c r="AM492" i="3"/>
  <c r="AL493" i="3"/>
  <c r="AM493" i="3"/>
  <c r="AL494" i="3"/>
  <c r="AM494" i="3"/>
  <c r="AL495" i="3"/>
  <c r="AM495" i="3"/>
  <c r="AL496" i="3"/>
  <c r="AM496" i="3"/>
  <c r="AL497" i="3"/>
  <c r="AM497" i="3"/>
  <c r="AL498" i="3"/>
  <c r="AM498" i="3"/>
  <c r="AL499" i="3"/>
  <c r="AM499" i="3"/>
  <c r="AL500" i="3"/>
  <c r="AM500" i="3"/>
  <c r="AL501" i="3"/>
  <c r="AM501" i="3"/>
  <c r="AL502" i="3"/>
  <c r="AM502" i="3"/>
  <c r="AL503" i="3"/>
  <c r="AM503" i="3"/>
  <c r="AL504" i="3"/>
  <c r="AM504" i="3"/>
  <c r="AL505" i="3"/>
  <c r="AM505" i="3"/>
  <c r="AL506" i="3"/>
  <c r="AM506" i="3"/>
  <c r="AL507" i="3"/>
  <c r="AM507" i="3"/>
  <c r="AL508" i="3"/>
  <c r="AM508" i="3"/>
  <c r="AL509" i="3"/>
  <c r="AM509" i="3"/>
  <c r="AL510" i="3"/>
  <c r="AM510" i="3"/>
  <c r="AL511" i="3"/>
  <c r="AM511" i="3"/>
  <c r="AL512" i="3"/>
  <c r="AM512" i="3"/>
  <c r="AL513" i="3"/>
  <c r="AM513" i="3"/>
  <c r="AL514" i="3"/>
  <c r="AM514" i="3"/>
  <c r="AL515" i="3"/>
  <c r="AM515" i="3"/>
  <c r="AL516" i="3"/>
  <c r="AM516" i="3"/>
  <c r="AL517" i="3"/>
  <c r="AM517" i="3"/>
  <c r="AL518" i="3"/>
  <c r="AM518" i="3"/>
  <c r="AL519" i="3"/>
  <c r="AM519" i="3"/>
  <c r="AL520" i="3"/>
  <c r="AM520" i="3"/>
  <c r="AL521" i="3"/>
  <c r="AM521" i="3"/>
  <c r="AL522" i="3"/>
  <c r="AM522" i="3"/>
  <c r="AL523" i="3"/>
  <c r="AM523" i="3"/>
  <c r="AL524" i="3"/>
  <c r="AM524" i="3"/>
  <c r="AL525" i="3"/>
  <c r="AM525" i="3"/>
  <c r="AL526" i="3"/>
  <c r="AM526" i="3"/>
  <c r="AL527" i="3"/>
  <c r="AM527" i="3"/>
  <c r="AL528" i="3"/>
  <c r="AM528" i="3"/>
  <c r="AL529" i="3"/>
  <c r="AM529" i="3"/>
  <c r="AL530" i="3"/>
  <c r="AM530" i="3"/>
  <c r="AL531" i="3"/>
  <c r="AM531" i="3"/>
  <c r="AL532" i="3"/>
  <c r="AM532" i="3"/>
  <c r="AL533" i="3"/>
  <c r="AM533" i="3"/>
  <c r="AL534" i="3"/>
  <c r="AM534" i="3"/>
  <c r="AL535" i="3"/>
  <c r="AM535" i="3"/>
  <c r="AL536" i="3"/>
  <c r="AM536" i="3"/>
  <c r="AL537" i="3"/>
  <c r="AM537" i="3"/>
  <c r="AL538" i="3"/>
  <c r="AM538" i="3"/>
  <c r="AL539" i="3"/>
  <c r="AM539" i="3"/>
  <c r="AL540" i="3"/>
  <c r="AM540" i="3"/>
  <c r="AL541" i="3"/>
  <c r="AM541" i="3"/>
  <c r="AL542" i="3"/>
  <c r="AM542" i="3"/>
  <c r="AL543" i="3"/>
  <c r="AM543" i="3"/>
  <c r="AL544" i="3"/>
  <c r="AM544" i="3"/>
  <c r="AL545" i="3"/>
  <c r="AM545" i="3"/>
  <c r="AL546" i="3"/>
  <c r="AM546" i="3"/>
  <c r="AL547" i="3"/>
  <c r="AM547" i="3"/>
  <c r="AL548" i="3"/>
  <c r="AM548" i="3"/>
  <c r="AL549" i="3"/>
  <c r="AM549" i="3"/>
  <c r="AL550" i="3"/>
  <c r="AM550" i="3"/>
  <c r="AL551" i="3"/>
  <c r="AM551" i="3"/>
  <c r="AL552" i="3"/>
  <c r="AM552" i="3"/>
  <c r="AL553" i="3"/>
  <c r="AM553" i="3"/>
  <c r="AL554" i="3"/>
  <c r="AM554" i="3"/>
  <c r="AL555" i="3"/>
  <c r="AM555" i="3"/>
  <c r="AL556" i="3"/>
  <c r="AM556" i="3"/>
  <c r="AL557" i="3"/>
  <c r="AM557" i="3"/>
  <c r="AL558" i="3"/>
  <c r="AM558" i="3"/>
  <c r="AL559" i="3"/>
  <c r="AM559" i="3"/>
  <c r="AL560" i="3"/>
  <c r="AM560" i="3"/>
  <c r="AL561" i="3"/>
  <c r="AM561" i="3"/>
  <c r="AL562" i="3"/>
  <c r="AM562" i="3"/>
  <c r="AL563" i="3"/>
  <c r="AM563" i="3"/>
  <c r="AL564" i="3"/>
  <c r="AM564" i="3"/>
  <c r="AL565" i="3"/>
  <c r="AM565" i="3"/>
  <c r="AL566" i="3"/>
  <c r="AM566" i="3"/>
  <c r="AL567" i="3"/>
  <c r="AM567" i="3"/>
  <c r="AL568" i="3"/>
  <c r="AM568" i="3"/>
  <c r="AL569" i="3"/>
  <c r="AM569" i="3"/>
  <c r="AL570" i="3"/>
  <c r="AM570" i="3"/>
  <c r="AL571" i="3"/>
  <c r="AM571" i="3"/>
  <c r="AL572" i="3"/>
  <c r="AM572" i="3"/>
  <c r="AL573" i="3"/>
  <c r="AM573" i="3"/>
  <c r="AL574" i="3"/>
  <c r="AM574" i="3"/>
  <c r="AL575" i="3"/>
  <c r="AM575" i="3"/>
  <c r="AL576" i="3"/>
  <c r="AM576" i="3"/>
  <c r="AL577" i="3"/>
  <c r="AM577" i="3"/>
  <c r="AL578" i="3"/>
  <c r="AM578" i="3"/>
  <c r="AL579" i="3"/>
  <c r="AM579" i="3"/>
  <c r="AL580" i="3"/>
  <c r="AM580" i="3"/>
  <c r="AL581" i="3"/>
  <c r="AM581" i="3"/>
  <c r="AL582" i="3"/>
  <c r="AM582" i="3"/>
  <c r="AL583" i="3"/>
  <c r="AM583" i="3"/>
  <c r="AL584" i="3"/>
  <c r="AM584" i="3"/>
  <c r="AL585" i="3"/>
  <c r="AM585" i="3"/>
  <c r="AL586" i="3"/>
  <c r="AM586" i="3"/>
  <c r="AL587" i="3"/>
  <c r="AM587" i="3"/>
  <c r="AL588" i="3"/>
  <c r="AM588" i="3"/>
  <c r="AL589" i="3"/>
  <c r="AM589" i="3"/>
  <c r="AL590" i="3"/>
  <c r="AM590" i="3"/>
  <c r="AL591" i="3"/>
  <c r="AM591" i="3"/>
  <c r="AL592" i="3"/>
  <c r="AM592" i="3"/>
  <c r="AL593" i="3"/>
  <c r="AM593" i="3"/>
  <c r="AL594" i="3"/>
  <c r="AM594" i="3"/>
  <c r="AL595" i="3"/>
  <c r="AM595" i="3"/>
  <c r="AL596" i="3"/>
  <c r="AM596" i="3"/>
  <c r="AL597" i="3"/>
  <c r="AM597" i="3"/>
  <c r="AL598" i="3"/>
  <c r="AM598" i="3"/>
  <c r="AL599" i="3"/>
  <c r="AM599" i="3"/>
  <c r="AL600" i="3"/>
  <c r="AM600" i="3"/>
  <c r="AL601" i="3"/>
  <c r="AM601" i="3"/>
  <c r="AL602" i="3"/>
  <c r="AM602" i="3"/>
  <c r="AL603" i="3"/>
  <c r="AM603" i="3"/>
  <c r="AL604" i="3"/>
  <c r="AM604" i="3"/>
  <c r="AL605" i="3"/>
  <c r="AM605" i="3"/>
  <c r="AL606" i="3"/>
  <c r="AM606" i="3"/>
  <c r="AL607" i="3"/>
  <c r="AM607" i="3"/>
  <c r="AL608" i="3"/>
  <c r="AM608" i="3"/>
  <c r="AL609" i="3"/>
  <c r="AM609" i="3"/>
  <c r="AL610" i="3"/>
  <c r="AM610" i="3"/>
  <c r="AL611" i="3"/>
  <c r="AM611" i="3"/>
  <c r="AL612" i="3"/>
  <c r="AM612" i="3"/>
  <c r="AL613" i="3"/>
  <c r="AM613" i="3"/>
  <c r="AL614" i="3"/>
  <c r="AM614" i="3"/>
  <c r="AL615" i="3"/>
  <c r="AM615" i="3"/>
  <c r="AL616" i="3"/>
  <c r="AM616" i="3"/>
  <c r="AL617" i="3"/>
  <c r="AM617" i="3"/>
  <c r="AL618" i="3"/>
  <c r="AM618" i="3"/>
  <c r="AL619" i="3"/>
  <c r="AM619" i="3"/>
  <c r="AL620" i="3"/>
  <c r="AM620" i="3"/>
  <c r="AL621" i="3"/>
  <c r="AM621" i="3"/>
  <c r="AL622" i="3"/>
  <c r="AM622" i="3"/>
  <c r="AL623" i="3"/>
  <c r="AM623" i="3"/>
  <c r="AL624" i="3"/>
  <c r="AM624" i="3"/>
  <c r="AL625" i="3"/>
  <c r="AM625" i="3"/>
  <c r="AL626" i="3"/>
  <c r="AM626" i="3"/>
  <c r="AL627" i="3"/>
  <c r="AM627" i="3"/>
  <c r="AL628" i="3"/>
  <c r="AM628" i="3"/>
  <c r="AL629" i="3"/>
  <c r="AM629" i="3"/>
  <c r="AL630" i="3"/>
  <c r="AM630" i="3"/>
  <c r="AL631" i="3"/>
  <c r="AM631" i="3"/>
  <c r="AL632" i="3"/>
  <c r="AM632" i="3"/>
  <c r="AL633" i="3"/>
  <c r="AM633" i="3"/>
  <c r="AL634" i="3"/>
  <c r="AM634" i="3"/>
  <c r="AL635" i="3"/>
  <c r="AM635" i="3"/>
  <c r="AL636" i="3"/>
  <c r="AM636" i="3"/>
  <c r="AL637" i="3"/>
  <c r="AM637" i="3"/>
  <c r="AL638" i="3"/>
  <c r="AM638" i="3"/>
  <c r="AL639" i="3"/>
  <c r="AM639" i="3"/>
  <c r="AL640" i="3"/>
  <c r="AM640" i="3"/>
  <c r="AL641" i="3"/>
  <c r="AM641" i="3"/>
  <c r="AL642" i="3"/>
  <c r="AM642" i="3"/>
  <c r="AL643" i="3"/>
  <c r="AM643" i="3"/>
  <c r="AL644" i="3"/>
  <c r="AM644" i="3"/>
  <c r="AL645" i="3"/>
  <c r="AM645" i="3"/>
  <c r="AL646" i="3"/>
  <c r="AM646" i="3"/>
  <c r="AL647" i="3"/>
  <c r="AM647" i="3"/>
  <c r="AL648" i="3"/>
  <c r="AM648" i="3"/>
  <c r="AL649" i="3"/>
  <c r="AM649" i="3"/>
  <c r="AL650" i="3"/>
  <c r="AM650" i="3"/>
  <c r="AL651" i="3"/>
  <c r="AM651" i="3"/>
  <c r="AL652" i="3"/>
  <c r="AM652" i="3"/>
  <c r="AL653" i="3"/>
  <c r="AM653" i="3"/>
  <c r="AL654" i="3"/>
  <c r="AM654" i="3"/>
  <c r="AL655" i="3"/>
  <c r="AM655" i="3"/>
  <c r="AL656" i="3"/>
  <c r="AM656" i="3"/>
  <c r="AL657" i="3"/>
  <c r="AM657" i="3"/>
  <c r="AL658" i="3"/>
  <c r="AM658" i="3"/>
  <c r="AL659" i="3"/>
  <c r="AM659" i="3"/>
  <c r="AL660" i="3"/>
  <c r="AM660" i="3"/>
  <c r="AL661" i="3"/>
  <c r="AM661" i="3"/>
  <c r="AL662" i="3"/>
  <c r="AM662" i="3"/>
  <c r="AL663" i="3"/>
  <c r="AM663" i="3"/>
  <c r="AL664" i="3"/>
  <c r="AM664" i="3"/>
  <c r="AL665" i="3"/>
  <c r="AM665" i="3"/>
  <c r="AL666" i="3"/>
  <c r="AM666" i="3"/>
  <c r="AL667" i="3"/>
  <c r="AM667" i="3"/>
  <c r="AL668" i="3"/>
  <c r="AM668" i="3"/>
  <c r="AL669" i="3"/>
  <c r="AM669" i="3"/>
  <c r="AL670" i="3"/>
  <c r="AM670" i="3"/>
  <c r="AL671" i="3"/>
  <c r="AM671" i="3"/>
  <c r="AL672" i="3"/>
  <c r="AM672" i="3"/>
  <c r="AL673" i="3"/>
  <c r="AM673" i="3"/>
  <c r="AL674" i="3"/>
  <c r="AM674" i="3"/>
  <c r="AL675" i="3"/>
  <c r="AM675" i="3"/>
  <c r="AL676" i="3"/>
  <c r="AM676" i="3"/>
  <c r="AL677" i="3"/>
  <c r="AM677" i="3"/>
  <c r="AL678" i="3"/>
  <c r="AM678" i="3"/>
  <c r="AL679" i="3"/>
  <c r="AM679" i="3"/>
  <c r="AL680" i="3"/>
  <c r="AM680" i="3"/>
  <c r="AL681" i="3"/>
  <c r="AM681" i="3"/>
  <c r="AL682" i="3"/>
  <c r="AM682" i="3"/>
  <c r="AL683" i="3"/>
  <c r="AM683" i="3"/>
  <c r="AL684" i="3"/>
  <c r="AM684" i="3"/>
  <c r="AL685" i="3"/>
  <c r="AM685" i="3"/>
  <c r="AL686" i="3"/>
  <c r="AM686" i="3"/>
  <c r="AL687" i="3"/>
  <c r="AM687" i="3"/>
  <c r="AL688" i="3"/>
  <c r="AM688" i="3"/>
  <c r="AL689" i="3"/>
  <c r="AM689" i="3"/>
  <c r="AL690" i="3"/>
  <c r="AM690" i="3"/>
  <c r="AL691" i="3"/>
  <c r="AM691" i="3"/>
  <c r="AL692" i="3"/>
  <c r="AM692" i="3"/>
  <c r="AL693" i="3"/>
  <c r="AM693" i="3"/>
  <c r="AL694" i="3"/>
  <c r="AM694" i="3"/>
  <c r="AL695" i="3"/>
  <c r="AM695" i="3"/>
  <c r="AL696" i="3"/>
  <c r="AM696" i="3"/>
  <c r="AL697" i="3"/>
  <c r="AM697" i="3"/>
  <c r="AL698" i="3"/>
  <c r="AM698" i="3"/>
  <c r="AL699" i="3"/>
  <c r="AM699" i="3"/>
  <c r="AL700" i="3"/>
  <c r="AM700" i="3"/>
  <c r="AL701" i="3"/>
  <c r="AM701" i="3"/>
  <c r="AL702" i="3"/>
  <c r="AM702" i="3"/>
  <c r="AL703" i="3"/>
  <c r="AM703" i="3"/>
  <c r="AL704" i="3"/>
  <c r="AM704" i="3"/>
  <c r="AL705" i="3"/>
  <c r="AM705" i="3"/>
  <c r="AL706" i="3"/>
  <c r="AM706" i="3"/>
  <c r="AL707" i="3"/>
  <c r="AM707" i="3"/>
  <c r="AL708" i="3"/>
  <c r="AM708" i="3"/>
  <c r="AL709" i="3"/>
  <c r="AM709" i="3"/>
  <c r="AL710" i="3"/>
  <c r="AM710" i="3"/>
  <c r="AL711" i="3"/>
  <c r="AM711" i="3"/>
  <c r="AL712" i="3"/>
  <c r="AM712" i="3"/>
  <c r="AL713" i="3"/>
  <c r="AM713" i="3"/>
  <c r="AL714" i="3"/>
  <c r="AM714" i="3"/>
  <c r="AL715" i="3"/>
  <c r="AM715" i="3"/>
  <c r="AL716" i="3"/>
  <c r="AM716" i="3"/>
  <c r="AL717" i="3"/>
  <c r="AM717" i="3"/>
  <c r="AL718" i="3"/>
  <c r="AM718" i="3"/>
  <c r="AL719" i="3"/>
  <c r="AM719" i="3"/>
  <c r="AL720" i="3"/>
  <c r="AM720" i="3"/>
  <c r="AL721" i="3"/>
  <c r="AM721" i="3"/>
  <c r="AL722" i="3"/>
  <c r="AM722" i="3"/>
  <c r="AL723" i="3"/>
  <c r="AM723" i="3"/>
  <c r="AL724" i="3"/>
  <c r="AM724" i="3"/>
  <c r="AL725" i="3"/>
  <c r="AM725" i="3"/>
  <c r="AL726" i="3"/>
  <c r="AM726" i="3"/>
  <c r="AL727" i="3"/>
  <c r="AM727" i="3"/>
  <c r="AL728" i="3"/>
  <c r="AM728" i="3"/>
  <c r="AL729" i="3"/>
  <c r="AM729" i="3"/>
  <c r="AL730" i="3"/>
  <c r="AM730" i="3"/>
  <c r="AL731" i="3"/>
  <c r="AM731" i="3"/>
  <c r="AL732" i="3"/>
  <c r="AM732" i="3"/>
  <c r="AL733" i="3"/>
  <c r="AM733" i="3"/>
  <c r="AL734" i="3"/>
  <c r="AM734" i="3"/>
  <c r="AL735" i="3"/>
  <c r="AM735" i="3"/>
  <c r="AL736" i="3"/>
  <c r="AM736" i="3"/>
  <c r="AL737" i="3"/>
  <c r="AM737" i="3"/>
  <c r="AL738" i="3"/>
  <c r="AM738" i="3"/>
  <c r="AL739" i="3"/>
  <c r="AM739" i="3"/>
  <c r="AL740" i="3"/>
  <c r="AM740" i="3"/>
  <c r="AL741" i="3"/>
  <c r="AM741" i="3"/>
  <c r="AL742" i="3"/>
  <c r="AM742" i="3"/>
  <c r="AL743" i="3"/>
  <c r="AM743" i="3"/>
  <c r="AL744" i="3"/>
  <c r="AM744" i="3"/>
  <c r="AL745" i="3"/>
  <c r="AM745" i="3"/>
  <c r="AL746" i="3"/>
  <c r="AM746" i="3"/>
  <c r="AL747" i="3"/>
  <c r="AM747" i="3"/>
  <c r="AL748" i="3"/>
  <c r="AM748" i="3"/>
  <c r="AL749" i="3"/>
  <c r="AM749" i="3"/>
  <c r="AL750" i="3"/>
  <c r="AM750" i="3"/>
  <c r="AL751" i="3"/>
  <c r="AM751" i="3"/>
  <c r="AL752" i="3"/>
  <c r="AM752" i="3"/>
  <c r="AL753" i="3"/>
  <c r="AM753" i="3"/>
  <c r="AL754" i="3"/>
  <c r="AM754" i="3"/>
  <c r="AL755" i="3"/>
  <c r="AM755" i="3"/>
  <c r="AL756" i="3"/>
  <c r="AM756" i="3"/>
  <c r="AL757" i="3"/>
  <c r="AM757" i="3"/>
  <c r="AL758" i="3"/>
  <c r="AM758" i="3"/>
  <c r="AL759" i="3"/>
  <c r="AM759" i="3"/>
  <c r="AL760" i="3"/>
  <c r="AM760" i="3"/>
  <c r="AL761" i="3"/>
  <c r="AM761" i="3"/>
  <c r="AL762" i="3"/>
  <c r="AM762" i="3"/>
  <c r="AL763" i="3"/>
  <c r="AM763" i="3"/>
  <c r="AL764" i="3"/>
  <c r="AM764" i="3"/>
  <c r="AL765" i="3"/>
  <c r="AM765" i="3"/>
  <c r="AL766" i="3"/>
  <c r="AM766" i="3"/>
  <c r="AL767" i="3"/>
  <c r="AM767" i="3"/>
  <c r="AL768" i="3"/>
  <c r="AM768" i="3"/>
  <c r="AL769" i="3"/>
  <c r="AM769" i="3"/>
  <c r="AL770" i="3"/>
  <c r="AM770" i="3"/>
  <c r="AL771" i="3"/>
  <c r="AM771" i="3"/>
  <c r="AL772" i="3"/>
  <c r="AM772" i="3"/>
  <c r="AL773" i="3"/>
  <c r="AM773" i="3"/>
  <c r="AL774" i="3"/>
  <c r="AM774" i="3"/>
  <c r="AL775" i="3"/>
  <c r="AM775" i="3"/>
  <c r="AL776" i="3"/>
  <c r="AM776" i="3"/>
  <c r="AL777" i="3"/>
  <c r="AM777" i="3"/>
  <c r="AL778" i="3"/>
  <c r="AM778" i="3"/>
  <c r="AL779" i="3"/>
  <c r="AM779" i="3"/>
  <c r="AL780" i="3"/>
  <c r="AM780" i="3"/>
  <c r="AL781" i="3"/>
  <c r="AM781" i="3"/>
  <c r="AL782" i="3"/>
  <c r="AM782" i="3"/>
  <c r="AL783" i="3"/>
  <c r="AM783" i="3"/>
  <c r="AL784" i="3"/>
  <c r="AM784" i="3"/>
  <c r="AL785" i="3"/>
  <c r="AM785" i="3"/>
  <c r="AL786" i="3"/>
  <c r="AM786" i="3"/>
  <c r="AL787" i="3"/>
  <c r="AM787" i="3"/>
  <c r="AL788" i="3"/>
  <c r="AM788" i="3"/>
  <c r="AL789" i="3"/>
  <c r="AM789" i="3"/>
  <c r="AL790" i="3"/>
  <c r="AM790" i="3"/>
  <c r="AL791" i="3"/>
  <c r="AM791" i="3"/>
  <c r="AL792" i="3"/>
  <c r="AM792" i="3"/>
  <c r="AL793" i="3"/>
  <c r="AM793" i="3"/>
  <c r="AL794" i="3"/>
  <c r="AM794" i="3"/>
  <c r="AL795" i="3"/>
  <c r="AM795" i="3"/>
  <c r="AL796" i="3"/>
  <c r="AM796" i="3"/>
  <c r="AL797" i="3"/>
  <c r="AM797" i="3"/>
  <c r="AL798" i="3"/>
  <c r="AM798" i="3"/>
  <c r="AL799" i="3"/>
  <c r="AM799" i="3"/>
  <c r="AL800" i="3"/>
  <c r="AM800" i="3"/>
  <c r="AL801" i="3"/>
  <c r="AM801" i="3"/>
  <c r="AL802" i="3"/>
  <c r="AM802" i="3"/>
  <c r="AL803" i="3"/>
  <c r="AM803" i="3"/>
  <c r="AL804" i="3"/>
  <c r="AM804" i="3"/>
  <c r="AL805" i="3"/>
  <c r="AM805" i="3"/>
  <c r="AL806" i="3"/>
  <c r="AM806" i="3"/>
  <c r="AL807" i="3"/>
  <c r="AM807" i="3"/>
  <c r="AL808" i="3"/>
  <c r="AM808" i="3"/>
  <c r="AL809" i="3"/>
  <c r="AM809" i="3"/>
  <c r="AL810" i="3"/>
  <c r="AM810" i="3"/>
  <c r="AL811" i="3"/>
  <c r="AM811" i="3"/>
  <c r="AL812" i="3"/>
  <c r="AM812" i="3"/>
  <c r="AL813" i="3"/>
  <c r="AM813" i="3"/>
  <c r="AL814" i="3"/>
  <c r="AM814" i="3"/>
  <c r="AL815" i="3"/>
  <c r="AM815" i="3"/>
  <c r="AL816" i="3"/>
  <c r="AM816" i="3"/>
  <c r="AL817" i="3"/>
  <c r="AM817" i="3"/>
  <c r="AL818" i="3"/>
  <c r="AM818" i="3"/>
  <c r="AL819" i="3"/>
  <c r="AM819" i="3"/>
  <c r="AL820" i="3"/>
  <c r="AM820" i="3"/>
  <c r="AL821" i="3"/>
  <c r="AM821" i="3"/>
  <c r="AL822" i="3"/>
  <c r="AM822" i="3"/>
  <c r="AL823" i="3"/>
  <c r="AM823" i="3"/>
  <c r="AL824" i="3"/>
  <c r="AM824" i="3"/>
  <c r="AL825" i="3"/>
  <c r="AM825" i="3"/>
  <c r="AL826" i="3"/>
  <c r="AM826" i="3"/>
  <c r="AL827" i="3"/>
  <c r="AM827" i="3"/>
  <c r="AL828" i="3"/>
  <c r="AM828" i="3"/>
  <c r="AL829" i="3"/>
  <c r="AM829" i="3"/>
  <c r="AL830" i="3"/>
  <c r="AM830" i="3"/>
  <c r="AL831" i="3"/>
  <c r="AM831" i="3"/>
  <c r="AL832" i="3"/>
  <c r="AM832" i="3"/>
  <c r="AL833" i="3"/>
  <c r="AM833" i="3"/>
  <c r="AL834" i="3"/>
  <c r="AM834" i="3"/>
  <c r="AL835" i="3"/>
  <c r="AM835" i="3"/>
  <c r="AL836" i="3"/>
  <c r="AM836" i="3"/>
  <c r="AL837" i="3"/>
  <c r="AM837" i="3"/>
  <c r="AL838" i="3"/>
  <c r="AM838" i="3"/>
  <c r="AL839" i="3"/>
  <c r="AM839" i="3"/>
  <c r="AL840" i="3"/>
  <c r="AM840" i="3"/>
  <c r="AL841" i="3"/>
  <c r="AM841" i="3"/>
  <c r="AL842" i="3"/>
  <c r="AM842" i="3"/>
  <c r="AL843" i="3"/>
  <c r="AM843" i="3"/>
  <c r="AL844" i="3"/>
  <c r="AM844" i="3"/>
  <c r="AL845" i="3"/>
  <c r="AM845" i="3"/>
  <c r="AL846" i="3"/>
  <c r="AM846" i="3"/>
  <c r="AL847" i="3"/>
  <c r="AM847" i="3"/>
  <c r="AL848" i="3"/>
  <c r="AM848" i="3"/>
  <c r="AL849" i="3"/>
  <c r="AM849" i="3"/>
  <c r="AL850" i="3"/>
  <c r="AM850" i="3"/>
  <c r="AL851" i="3"/>
  <c r="AM851" i="3"/>
  <c r="AL852" i="3"/>
  <c r="AM852" i="3"/>
  <c r="AL853" i="3"/>
  <c r="AM853" i="3"/>
  <c r="AL854" i="3"/>
  <c r="AM854" i="3"/>
  <c r="AL855" i="3"/>
  <c r="AM855" i="3"/>
  <c r="AL856" i="3"/>
  <c r="AM856" i="3"/>
  <c r="AL857" i="3"/>
  <c r="AM857" i="3"/>
  <c r="AL858" i="3"/>
  <c r="AM858" i="3"/>
  <c r="AL859" i="3"/>
  <c r="AM859" i="3"/>
  <c r="AL860" i="3"/>
  <c r="AM860" i="3"/>
  <c r="AL861" i="3"/>
  <c r="AM861" i="3"/>
  <c r="AL862" i="3"/>
  <c r="AM862" i="3"/>
  <c r="AL863" i="3"/>
  <c r="AM863" i="3"/>
  <c r="AL864" i="3"/>
  <c r="AM864" i="3"/>
  <c r="AL865" i="3"/>
  <c r="AM865" i="3"/>
  <c r="AL866" i="3"/>
  <c r="AM866" i="3"/>
  <c r="AL867" i="3"/>
  <c r="AM867" i="3"/>
  <c r="AL868" i="3"/>
  <c r="AM868" i="3"/>
  <c r="AL869" i="3"/>
  <c r="AM869" i="3"/>
  <c r="AL870" i="3"/>
  <c r="AM870" i="3"/>
  <c r="AL871" i="3"/>
  <c r="AM871" i="3"/>
  <c r="AL872" i="3"/>
  <c r="AM872" i="3"/>
  <c r="AL873" i="3"/>
  <c r="AM873" i="3"/>
  <c r="AL874" i="3"/>
  <c r="AM874" i="3"/>
  <c r="AL875" i="3"/>
  <c r="AM875" i="3"/>
  <c r="AL876" i="3"/>
  <c r="AM876" i="3"/>
  <c r="AL877" i="3"/>
  <c r="AM877" i="3"/>
  <c r="AL878" i="3"/>
  <c r="AM878" i="3"/>
  <c r="AL879" i="3"/>
  <c r="AM879" i="3"/>
  <c r="AL880" i="3"/>
  <c r="AM880" i="3"/>
  <c r="AL881" i="3"/>
  <c r="AM881" i="3"/>
  <c r="AL882" i="3"/>
  <c r="AM882" i="3"/>
  <c r="AL883" i="3"/>
  <c r="AM883" i="3"/>
  <c r="AL884" i="3"/>
  <c r="AM884" i="3"/>
  <c r="AL885" i="3"/>
  <c r="AM885" i="3"/>
  <c r="AL886" i="3"/>
  <c r="AM886" i="3"/>
  <c r="AL887" i="3"/>
  <c r="AM887" i="3"/>
  <c r="AL888" i="3"/>
  <c r="AM888" i="3"/>
  <c r="AL889" i="3"/>
  <c r="AM889" i="3"/>
  <c r="AL890" i="3"/>
  <c r="AM890" i="3"/>
  <c r="AL891" i="3"/>
  <c r="AM891" i="3"/>
  <c r="AL892" i="3"/>
  <c r="AM892" i="3"/>
  <c r="AL893" i="3"/>
  <c r="AM893" i="3"/>
  <c r="AL894" i="3"/>
  <c r="AM894" i="3"/>
  <c r="AL895" i="3"/>
  <c r="AM895" i="3"/>
  <c r="AL896" i="3"/>
  <c r="AM896" i="3"/>
  <c r="AL897" i="3"/>
  <c r="AM897" i="3"/>
  <c r="AL898" i="3"/>
  <c r="AM898" i="3"/>
  <c r="AL899" i="3"/>
  <c r="AM899" i="3"/>
  <c r="AL900" i="3"/>
  <c r="AM900" i="3"/>
  <c r="AL901" i="3"/>
  <c r="AM901" i="3"/>
  <c r="AL902" i="3"/>
  <c r="AM902" i="3"/>
  <c r="AL903" i="3"/>
  <c r="AM903" i="3"/>
  <c r="AL904" i="3"/>
  <c r="AM904" i="3"/>
  <c r="AL905" i="3"/>
  <c r="AM905" i="3"/>
  <c r="AL906" i="3"/>
  <c r="AM906" i="3"/>
  <c r="AL907" i="3"/>
  <c r="AM907" i="3"/>
  <c r="AL908" i="3"/>
  <c r="AM908" i="3"/>
  <c r="AL909" i="3"/>
  <c r="AM909" i="3"/>
  <c r="AL910" i="3"/>
  <c r="AM910" i="3"/>
  <c r="AL911" i="3"/>
  <c r="AM911" i="3"/>
  <c r="AL912" i="3"/>
  <c r="AM912" i="3"/>
  <c r="AL913" i="3"/>
  <c r="AM913" i="3"/>
  <c r="AL914" i="3"/>
  <c r="AM914" i="3"/>
  <c r="AL915" i="3"/>
  <c r="AM915" i="3"/>
  <c r="AL916" i="3"/>
  <c r="AM916" i="3"/>
  <c r="AL917" i="3"/>
  <c r="AM917" i="3"/>
  <c r="AL918" i="3"/>
  <c r="AM918" i="3"/>
  <c r="AL919" i="3"/>
  <c r="AM919" i="3"/>
  <c r="AL920" i="3"/>
  <c r="AM920" i="3"/>
  <c r="AL921" i="3"/>
  <c r="AM921" i="3"/>
  <c r="AL922" i="3"/>
  <c r="AM922" i="3"/>
  <c r="AL923" i="3"/>
  <c r="AM923" i="3"/>
  <c r="AL924" i="3"/>
  <c r="AM924" i="3"/>
  <c r="AL925" i="3"/>
  <c r="AM925" i="3"/>
  <c r="AL926" i="3"/>
  <c r="AM926" i="3"/>
  <c r="AL927" i="3"/>
  <c r="AM927" i="3"/>
  <c r="AL928" i="3"/>
  <c r="AM928" i="3"/>
  <c r="AL929" i="3"/>
  <c r="AM929" i="3"/>
  <c r="AL930" i="3"/>
  <c r="AM930" i="3"/>
  <c r="AL931" i="3"/>
  <c r="AM931" i="3"/>
  <c r="AL932" i="3"/>
  <c r="AM932" i="3"/>
  <c r="AL933" i="3"/>
  <c r="AM933" i="3"/>
  <c r="AL934" i="3"/>
  <c r="AM934" i="3"/>
  <c r="AL935" i="3"/>
  <c r="AM935" i="3"/>
  <c r="AL936" i="3"/>
  <c r="AM936" i="3"/>
  <c r="AL937" i="3"/>
  <c r="AM937" i="3"/>
  <c r="AL938" i="3"/>
  <c r="AM938" i="3"/>
  <c r="AL939" i="3"/>
  <c r="AM939" i="3"/>
  <c r="AL940" i="3"/>
  <c r="AM940" i="3"/>
  <c r="AL941" i="3"/>
  <c r="AM941" i="3"/>
  <c r="AL942" i="3"/>
  <c r="AM942" i="3"/>
  <c r="AL943" i="3"/>
  <c r="AM943" i="3"/>
  <c r="AL944" i="3"/>
  <c r="AM944" i="3"/>
  <c r="AL945" i="3"/>
  <c r="AM945" i="3"/>
  <c r="AL946" i="3"/>
  <c r="AM946" i="3"/>
  <c r="AL947" i="3"/>
  <c r="AM947" i="3"/>
  <c r="AL948" i="3"/>
  <c r="AM948" i="3"/>
  <c r="AL949" i="3"/>
  <c r="AM949" i="3"/>
  <c r="AL950" i="3"/>
  <c r="AM950" i="3"/>
  <c r="AL951" i="3"/>
  <c r="AM951" i="3"/>
  <c r="AL952" i="3"/>
  <c r="AM952" i="3"/>
  <c r="AL953" i="3"/>
  <c r="AM953" i="3"/>
  <c r="AL954" i="3"/>
  <c r="AM954" i="3"/>
  <c r="AL955" i="3"/>
  <c r="AM955" i="3"/>
  <c r="AL956" i="3"/>
  <c r="AM956" i="3"/>
  <c r="AL957" i="3"/>
  <c r="AM957" i="3"/>
  <c r="AL958" i="3"/>
  <c r="AM958" i="3"/>
  <c r="AL959" i="3"/>
  <c r="AM959" i="3"/>
  <c r="AL960" i="3"/>
  <c r="AM960" i="3"/>
  <c r="AL961" i="3"/>
  <c r="AM961" i="3"/>
  <c r="AL962" i="3"/>
  <c r="AM962" i="3"/>
  <c r="AL963" i="3"/>
  <c r="AM963" i="3"/>
  <c r="AL964" i="3"/>
  <c r="AM964" i="3"/>
  <c r="AL965" i="3"/>
  <c r="AM965" i="3"/>
  <c r="AL966" i="3"/>
  <c r="AM966" i="3"/>
  <c r="AL967" i="3"/>
  <c r="AM967" i="3"/>
  <c r="AL968" i="3"/>
  <c r="AM968" i="3"/>
  <c r="AL969" i="3"/>
  <c r="AM969" i="3"/>
  <c r="AL970" i="3"/>
  <c r="AM970" i="3"/>
  <c r="AL971" i="3"/>
  <c r="AM971" i="3"/>
  <c r="AL972" i="3"/>
  <c r="AM972" i="3"/>
  <c r="AL973" i="3"/>
  <c r="AM973" i="3"/>
  <c r="AL974" i="3"/>
  <c r="AM974" i="3"/>
  <c r="AL975" i="3"/>
  <c r="AM975" i="3"/>
  <c r="AL976" i="3"/>
  <c r="AM976" i="3"/>
  <c r="AL977" i="3"/>
  <c r="AM977" i="3"/>
  <c r="AL978" i="3"/>
  <c r="AM978" i="3"/>
  <c r="AL979" i="3"/>
  <c r="AM979" i="3"/>
  <c r="AL980" i="3"/>
  <c r="AM980" i="3"/>
  <c r="AL981" i="3"/>
  <c r="AM981" i="3"/>
  <c r="AL982" i="3"/>
  <c r="AM982" i="3"/>
  <c r="AL983" i="3"/>
  <c r="AM983" i="3"/>
  <c r="AL984" i="3"/>
  <c r="AM984" i="3"/>
  <c r="AL985" i="3"/>
  <c r="AM985" i="3"/>
  <c r="AL986" i="3"/>
  <c r="AM986" i="3"/>
  <c r="AL987" i="3"/>
  <c r="AM987" i="3"/>
  <c r="AL988" i="3"/>
  <c r="AM988" i="3"/>
  <c r="AL989" i="3"/>
  <c r="AM989" i="3"/>
  <c r="AL990" i="3"/>
  <c r="AM990" i="3"/>
  <c r="AL991" i="3"/>
  <c r="AM991" i="3"/>
  <c r="AL992" i="3"/>
  <c r="AM992" i="3"/>
  <c r="AL993" i="3"/>
  <c r="AM993" i="3"/>
  <c r="AL994" i="3"/>
  <c r="AM994" i="3"/>
  <c r="AL995" i="3"/>
  <c r="AM995" i="3"/>
  <c r="AL996" i="3"/>
  <c r="AM996" i="3"/>
  <c r="AL997" i="3"/>
  <c r="AM997" i="3"/>
  <c r="AL998" i="3"/>
  <c r="AM998" i="3"/>
  <c r="AL999" i="3"/>
  <c r="AM999" i="3"/>
  <c r="AL1000" i="3"/>
  <c r="AM1000" i="3"/>
  <c r="AL1001" i="3"/>
  <c r="AM1001" i="3"/>
  <c r="AL1002" i="3"/>
  <c r="AM1002" i="3"/>
  <c r="AL1003" i="3"/>
  <c r="AM1003" i="3"/>
  <c r="AL1004" i="3"/>
  <c r="AM1004" i="3"/>
  <c r="AL1005" i="3"/>
  <c r="AM1005" i="3"/>
  <c r="AL1006" i="3"/>
  <c r="AM1006" i="3"/>
  <c r="AL1007" i="3"/>
  <c r="AM1007" i="3"/>
  <c r="AL8" i="3"/>
  <c r="AM8" i="3"/>
  <c r="AF9" i="3"/>
  <c r="AF10" i="3"/>
  <c r="AM10" i="3" s="1"/>
  <c r="AF11" i="3"/>
  <c r="AG11" i="3" s="1"/>
  <c r="AF12" i="3"/>
  <c r="AG12" i="3" s="1"/>
  <c r="AF13" i="3"/>
  <c r="AG13" i="3" s="1"/>
  <c r="AF14" i="3"/>
  <c r="AG14" i="3" s="1"/>
  <c r="AF15" i="3"/>
  <c r="AG15" i="3" s="1"/>
  <c r="AF16" i="3"/>
  <c r="AG16" i="3" s="1"/>
  <c r="AF17" i="3"/>
  <c r="AG17" i="3" s="1"/>
  <c r="AF18" i="3"/>
  <c r="AG18" i="3" s="1"/>
  <c r="AF19" i="3"/>
  <c r="AG19" i="3" s="1"/>
  <c r="AF20" i="3"/>
  <c r="AG20" i="3" s="1"/>
  <c r="AF21" i="3"/>
  <c r="AG21" i="3" s="1"/>
  <c r="AF22" i="3"/>
  <c r="AG22" i="3" s="1"/>
  <c r="AF23" i="3"/>
  <c r="AG23" i="3" s="1"/>
  <c r="AF24" i="3"/>
  <c r="AG24" i="3" s="1"/>
  <c r="AF25" i="3"/>
  <c r="AG25" i="3" s="1"/>
  <c r="AF26" i="3"/>
  <c r="AG26" i="3" s="1"/>
  <c r="AF27" i="3"/>
  <c r="AG27" i="3" s="1"/>
  <c r="AF28" i="3"/>
  <c r="AG28" i="3" s="1"/>
  <c r="AF29" i="3"/>
  <c r="AG29" i="3" s="1"/>
  <c r="AF30" i="3"/>
  <c r="AG30" i="3" s="1"/>
  <c r="AF31" i="3"/>
  <c r="AG31" i="3" s="1"/>
  <c r="AF32" i="3"/>
  <c r="AG32" i="3" s="1"/>
  <c r="AF33" i="3"/>
  <c r="AG33" i="3" s="1"/>
  <c r="AF34" i="3"/>
  <c r="AG34" i="3" s="1"/>
  <c r="AF35" i="3"/>
  <c r="AG35" i="3" s="1"/>
  <c r="AF36" i="3"/>
  <c r="AG36" i="3" s="1"/>
  <c r="AF37" i="3"/>
  <c r="AG37" i="3" s="1"/>
  <c r="AF38" i="3"/>
  <c r="AG38" i="3" s="1"/>
  <c r="AF39" i="3"/>
  <c r="AG39" i="3" s="1"/>
  <c r="AF40" i="3"/>
  <c r="AG40" i="3" s="1"/>
  <c r="AF41" i="3"/>
  <c r="AG41" i="3" s="1"/>
  <c r="AF42" i="3"/>
  <c r="AG42" i="3" s="1"/>
  <c r="AF43" i="3"/>
  <c r="AG43" i="3" s="1"/>
  <c r="AF44" i="3"/>
  <c r="AG44" i="3" s="1"/>
  <c r="AF45" i="3"/>
  <c r="AG45" i="3" s="1"/>
  <c r="AF46" i="3"/>
  <c r="AG46" i="3" s="1"/>
  <c r="AF47" i="3"/>
  <c r="AG47" i="3" s="1"/>
  <c r="AF48" i="3"/>
  <c r="AG48" i="3" s="1"/>
  <c r="AF49" i="3"/>
  <c r="AG49" i="3" s="1"/>
  <c r="AF50" i="3"/>
  <c r="AG50" i="3" s="1"/>
  <c r="AF51" i="3"/>
  <c r="AG51" i="3" s="1"/>
  <c r="AF52" i="3"/>
  <c r="AG52" i="3" s="1"/>
  <c r="AF53" i="3"/>
  <c r="AG53" i="3" s="1"/>
  <c r="AF54" i="3"/>
  <c r="AG54" i="3" s="1"/>
  <c r="AF55" i="3"/>
  <c r="AG55" i="3" s="1"/>
  <c r="AF56" i="3"/>
  <c r="AG56" i="3" s="1"/>
  <c r="AF57" i="3"/>
  <c r="AG57" i="3" s="1"/>
  <c r="AF58" i="3"/>
  <c r="AG58" i="3" s="1"/>
  <c r="AF59" i="3"/>
  <c r="AG59" i="3" s="1"/>
  <c r="AF60" i="3"/>
  <c r="AG60" i="3" s="1"/>
  <c r="AF61" i="3"/>
  <c r="AG61" i="3" s="1"/>
  <c r="AF62" i="3"/>
  <c r="AG62" i="3" s="1"/>
  <c r="AF63" i="3"/>
  <c r="AG63" i="3" s="1"/>
  <c r="AF64" i="3"/>
  <c r="AG64" i="3" s="1"/>
  <c r="AF65" i="3"/>
  <c r="AG65" i="3" s="1"/>
  <c r="AF66" i="3"/>
  <c r="AG66" i="3" s="1"/>
  <c r="AF67" i="3"/>
  <c r="AG67" i="3" s="1"/>
  <c r="AF68" i="3"/>
  <c r="AG68" i="3" s="1"/>
  <c r="AF69" i="3"/>
  <c r="AG69" i="3" s="1"/>
  <c r="AF70" i="3"/>
  <c r="AG70" i="3" s="1"/>
  <c r="AF71" i="3"/>
  <c r="AG71" i="3" s="1"/>
  <c r="AF72" i="3"/>
  <c r="AG72" i="3" s="1"/>
  <c r="AF73" i="3"/>
  <c r="AG73" i="3" s="1"/>
  <c r="AF74" i="3"/>
  <c r="AG74" i="3" s="1"/>
  <c r="AF75" i="3"/>
  <c r="AG75" i="3" s="1"/>
  <c r="AF76" i="3"/>
  <c r="AG76" i="3" s="1"/>
  <c r="AF77" i="3"/>
  <c r="AG77" i="3" s="1"/>
  <c r="AF78" i="3"/>
  <c r="AG78" i="3" s="1"/>
  <c r="AF79" i="3"/>
  <c r="AG79" i="3" s="1"/>
  <c r="AF80" i="3"/>
  <c r="AG80" i="3" s="1"/>
  <c r="AF81" i="3"/>
  <c r="AG81" i="3" s="1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G240" i="3" s="1"/>
  <c r="AF241" i="3"/>
  <c r="AG241" i="3" s="1"/>
  <c r="AF242" i="3"/>
  <c r="AG242" i="3" s="1"/>
  <c r="AF243" i="3"/>
  <c r="AG243" i="3" s="1"/>
  <c r="AF244" i="3"/>
  <c r="AG244" i="3" s="1"/>
  <c r="AF245" i="3"/>
  <c r="AG245" i="3" s="1"/>
  <c r="AF246" i="3"/>
  <c r="AG246" i="3" s="1"/>
  <c r="AF247" i="3"/>
  <c r="AG247" i="3" s="1"/>
  <c r="AF248" i="3"/>
  <c r="AG248" i="3" s="1"/>
  <c r="AF249" i="3"/>
  <c r="AG249" i="3" s="1"/>
  <c r="AF250" i="3"/>
  <c r="AG250" i="3" s="1"/>
  <c r="AF251" i="3"/>
  <c r="AG251" i="3" s="1"/>
  <c r="AF252" i="3"/>
  <c r="AG252" i="3" s="1"/>
  <c r="AF253" i="3"/>
  <c r="AG253" i="3" s="1"/>
  <c r="AF254" i="3"/>
  <c r="AG254" i="3" s="1"/>
  <c r="AF255" i="3"/>
  <c r="AG255" i="3" s="1"/>
  <c r="AF256" i="3"/>
  <c r="AG256" i="3" s="1"/>
  <c r="AF257" i="3"/>
  <c r="AG257" i="3" s="1"/>
  <c r="AF258" i="3"/>
  <c r="AG258" i="3" s="1"/>
  <c r="AF259" i="3"/>
  <c r="AG259" i="3" s="1"/>
  <c r="AF260" i="3"/>
  <c r="AG260" i="3" s="1"/>
  <c r="AF261" i="3"/>
  <c r="AG261" i="3" s="1"/>
  <c r="AF262" i="3"/>
  <c r="AG262" i="3" s="1"/>
  <c r="AF263" i="3"/>
  <c r="AG263" i="3" s="1"/>
  <c r="AF264" i="3"/>
  <c r="AG264" i="3" s="1"/>
  <c r="AF265" i="3"/>
  <c r="AG265" i="3" s="1"/>
  <c r="AF266" i="3"/>
  <c r="AG266" i="3" s="1"/>
  <c r="AF267" i="3"/>
  <c r="AG267" i="3" s="1"/>
  <c r="AF268" i="3"/>
  <c r="AG268" i="3" s="1"/>
  <c r="AF269" i="3"/>
  <c r="AG269" i="3" s="1"/>
  <c r="AF270" i="3"/>
  <c r="AG270" i="3" s="1"/>
  <c r="AF271" i="3"/>
  <c r="AG271" i="3" s="1"/>
  <c r="AF272" i="3"/>
  <c r="AG272" i="3" s="1"/>
  <c r="AF273" i="3"/>
  <c r="AG273" i="3" s="1"/>
  <c r="AF274" i="3"/>
  <c r="AG274" i="3" s="1"/>
  <c r="AF275" i="3"/>
  <c r="AG275" i="3" s="1"/>
  <c r="AF276" i="3"/>
  <c r="AG276" i="3" s="1"/>
  <c r="AF277" i="3"/>
  <c r="AG277" i="3" s="1"/>
  <c r="AF278" i="3"/>
  <c r="AG278" i="3" s="1"/>
  <c r="AF279" i="3"/>
  <c r="AG279" i="3" s="1"/>
  <c r="AF280" i="3"/>
  <c r="AG280" i="3" s="1"/>
  <c r="AF281" i="3"/>
  <c r="AG281" i="3" s="1"/>
  <c r="AF282" i="3"/>
  <c r="AG282" i="3" s="1"/>
  <c r="AF283" i="3"/>
  <c r="AG283" i="3" s="1"/>
  <c r="AF284" i="3"/>
  <c r="AG284" i="3" s="1"/>
  <c r="AF285" i="3"/>
  <c r="AG285" i="3" s="1"/>
  <c r="AF286" i="3"/>
  <c r="AG286" i="3" s="1"/>
  <c r="AF287" i="3"/>
  <c r="AG287" i="3" s="1"/>
  <c r="AF288" i="3"/>
  <c r="AG288" i="3" s="1"/>
  <c r="AF289" i="3"/>
  <c r="AG289" i="3" s="1"/>
  <c r="AF290" i="3"/>
  <c r="AG290" i="3" s="1"/>
  <c r="AF291" i="3"/>
  <c r="AG291" i="3" s="1"/>
  <c r="AF292" i="3"/>
  <c r="AG292" i="3" s="1"/>
  <c r="AF293" i="3"/>
  <c r="AG293" i="3" s="1"/>
  <c r="AF294" i="3"/>
  <c r="AG294" i="3" s="1"/>
  <c r="AF295" i="3"/>
  <c r="AG295" i="3" s="1"/>
  <c r="AF296" i="3"/>
  <c r="AG296" i="3" s="1"/>
  <c r="AF297" i="3"/>
  <c r="AG297" i="3" s="1"/>
  <c r="AF298" i="3"/>
  <c r="AG298" i="3" s="1"/>
  <c r="AF299" i="3"/>
  <c r="AG299" i="3" s="1"/>
  <c r="AF300" i="3"/>
  <c r="AG300" i="3" s="1"/>
  <c r="AF301" i="3"/>
  <c r="AG301" i="3" s="1"/>
  <c r="AF302" i="3"/>
  <c r="AG302" i="3" s="1"/>
  <c r="AF303" i="3"/>
  <c r="AG303" i="3" s="1"/>
  <c r="AF304" i="3"/>
  <c r="AG304" i="3" s="1"/>
  <c r="AF305" i="3"/>
  <c r="AG305" i="3" s="1"/>
  <c r="AF306" i="3"/>
  <c r="AG306" i="3" s="1"/>
  <c r="AF307" i="3"/>
  <c r="AG307" i="3" s="1"/>
  <c r="AF308" i="3"/>
  <c r="AG308" i="3" s="1"/>
  <c r="AF309" i="3"/>
  <c r="AG309" i="3" s="1"/>
  <c r="AF310" i="3"/>
  <c r="AG310" i="3" s="1"/>
  <c r="AF311" i="3"/>
  <c r="AG311" i="3" s="1"/>
  <c r="AF312" i="3"/>
  <c r="AG312" i="3" s="1"/>
  <c r="AF313" i="3"/>
  <c r="AG313" i="3" s="1"/>
  <c r="AF314" i="3"/>
  <c r="AG314" i="3" s="1"/>
  <c r="AF315" i="3"/>
  <c r="AG315" i="3" s="1"/>
  <c r="AF316" i="3"/>
  <c r="AG316" i="3" s="1"/>
  <c r="AF317" i="3"/>
  <c r="AG317" i="3" s="1"/>
  <c r="AF318" i="3"/>
  <c r="AG318" i="3" s="1"/>
  <c r="AF319" i="3"/>
  <c r="AG319" i="3" s="1"/>
  <c r="AF320" i="3"/>
  <c r="AG320" i="3" s="1"/>
  <c r="AF321" i="3"/>
  <c r="AG321" i="3" s="1"/>
  <c r="AF322" i="3"/>
  <c r="AG322" i="3" s="1"/>
  <c r="AF323" i="3"/>
  <c r="AG323" i="3" s="1"/>
  <c r="AF324" i="3"/>
  <c r="AG324" i="3" s="1"/>
  <c r="AF325" i="3"/>
  <c r="AG325" i="3" s="1"/>
  <c r="AF326" i="3"/>
  <c r="AG326" i="3" s="1"/>
  <c r="AF327" i="3"/>
  <c r="AG327" i="3" s="1"/>
  <c r="AF328" i="3"/>
  <c r="AG328" i="3" s="1"/>
  <c r="AF329" i="3"/>
  <c r="AG329" i="3" s="1"/>
  <c r="AF330" i="3"/>
  <c r="AG330" i="3" s="1"/>
  <c r="AF331" i="3"/>
  <c r="AG331" i="3" s="1"/>
  <c r="AF332" i="3"/>
  <c r="AG332" i="3" s="1"/>
  <c r="AF333" i="3"/>
  <c r="AG333" i="3" s="1"/>
  <c r="AF334" i="3"/>
  <c r="AG334" i="3" s="1"/>
  <c r="AF335" i="3"/>
  <c r="AG335" i="3" s="1"/>
  <c r="AF336" i="3"/>
  <c r="AG336" i="3" s="1"/>
  <c r="AF337" i="3"/>
  <c r="AG337" i="3" s="1"/>
  <c r="AF338" i="3"/>
  <c r="AG338" i="3" s="1"/>
  <c r="AF339" i="3"/>
  <c r="AG339" i="3" s="1"/>
  <c r="AF340" i="3"/>
  <c r="AG340" i="3" s="1"/>
  <c r="AF341" i="3"/>
  <c r="AG341" i="3" s="1"/>
  <c r="AF342" i="3"/>
  <c r="AG342" i="3" s="1"/>
  <c r="AF343" i="3"/>
  <c r="AG343" i="3" s="1"/>
  <c r="AF344" i="3"/>
  <c r="AG344" i="3" s="1"/>
  <c r="AF345" i="3"/>
  <c r="AG345" i="3" s="1"/>
  <c r="AF346" i="3"/>
  <c r="AG346" i="3" s="1"/>
  <c r="AF347" i="3"/>
  <c r="AG347" i="3" s="1"/>
  <c r="AF348" i="3"/>
  <c r="AG348" i="3" s="1"/>
  <c r="AF349" i="3"/>
  <c r="AG349" i="3" s="1"/>
  <c r="AF350" i="3"/>
  <c r="AG350" i="3" s="1"/>
  <c r="AF351" i="3"/>
  <c r="AG351" i="3" s="1"/>
  <c r="AF352" i="3"/>
  <c r="AG352" i="3" s="1"/>
  <c r="AF353" i="3"/>
  <c r="AG353" i="3" s="1"/>
  <c r="AF354" i="3"/>
  <c r="AG354" i="3" s="1"/>
  <c r="AF355" i="3"/>
  <c r="AG355" i="3" s="1"/>
  <c r="AF356" i="3"/>
  <c r="AG356" i="3" s="1"/>
  <c r="AF357" i="3"/>
  <c r="AG357" i="3" s="1"/>
  <c r="AF358" i="3"/>
  <c r="AG358" i="3" s="1"/>
  <c r="AF359" i="3"/>
  <c r="AG359" i="3" s="1"/>
  <c r="AF360" i="3"/>
  <c r="AG360" i="3" s="1"/>
  <c r="AF361" i="3"/>
  <c r="AG361" i="3" s="1"/>
  <c r="AF362" i="3"/>
  <c r="AG362" i="3" s="1"/>
  <c r="AF363" i="3"/>
  <c r="AG363" i="3" s="1"/>
  <c r="AF364" i="3"/>
  <c r="AG364" i="3" s="1"/>
  <c r="AF365" i="3"/>
  <c r="AG365" i="3" s="1"/>
  <c r="AF366" i="3"/>
  <c r="AG366" i="3" s="1"/>
  <c r="AF367" i="3"/>
  <c r="AG367" i="3" s="1"/>
  <c r="AF368" i="3"/>
  <c r="AG368" i="3" s="1"/>
  <c r="AF369" i="3"/>
  <c r="AG369" i="3" s="1"/>
  <c r="AF370" i="3"/>
  <c r="AG370" i="3" s="1"/>
  <c r="AF371" i="3"/>
  <c r="AG371" i="3" s="1"/>
  <c r="AF372" i="3"/>
  <c r="AG372" i="3" s="1"/>
  <c r="AF373" i="3"/>
  <c r="AG373" i="3" s="1"/>
  <c r="AF374" i="3"/>
  <c r="AG374" i="3" s="1"/>
  <c r="AF375" i="3"/>
  <c r="AG375" i="3" s="1"/>
  <c r="AF376" i="3"/>
  <c r="AG376" i="3" s="1"/>
  <c r="AF377" i="3"/>
  <c r="AG377" i="3" s="1"/>
  <c r="AF378" i="3"/>
  <c r="AG378" i="3" s="1"/>
  <c r="AF379" i="3"/>
  <c r="AG379" i="3" s="1"/>
  <c r="AF380" i="3"/>
  <c r="AG380" i="3" s="1"/>
  <c r="AF381" i="3"/>
  <c r="AG381" i="3" s="1"/>
  <c r="AF382" i="3"/>
  <c r="AG382" i="3" s="1"/>
  <c r="AF383" i="3"/>
  <c r="AG383" i="3" s="1"/>
  <c r="AF384" i="3"/>
  <c r="AG384" i="3" s="1"/>
  <c r="AF385" i="3"/>
  <c r="AG385" i="3" s="1"/>
  <c r="AF386" i="3"/>
  <c r="AG386" i="3" s="1"/>
  <c r="AF387" i="3"/>
  <c r="AG387" i="3" s="1"/>
  <c r="AF388" i="3"/>
  <c r="AG388" i="3" s="1"/>
  <c r="AF389" i="3"/>
  <c r="AG389" i="3" s="1"/>
  <c r="AF390" i="3"/>
  <c r="AG390" i="3" s="1"/>
  <c r="AF391" i="3"/>
  <c r="AG391" i="3" s="1"/>
  <c r="AF392" i="3"/>
  <c r="AG392" i="3" s="1"/>
  <c r="AF393" i="3"/>
  <c r="AG393" i="3" s="1"/>
  <c r="AF394" i="3"/>
  <c r="AG394" i="3" s="1"/>
  <c r="AF395" i="3"/>
  <c r="AG395" i="3" s="1"/>
  <c r="AF396" i="3"/>
  <c r="AG396" i="3" s="1"/>
  <c r="AF397" i="3"/>
  <c r="AG397" i="3" s="1"/>
  <c r="AF398" i="3"/>
  <c r="AG398" i="3" s="1"/>
  <c r="AF399" i="3"/>
  <c r="AG399" i="3" s="1"/>
  <c r="AF400" i="3"/>
  <c r="AG400" i="3" s="1"/>
  <c r="AF401" i="3"/>
  <c r="AG401" i="3" s="1"/>
  <c r="AF402" i="3"/>
  <c r="AG402" i="3" s="1"/>
  <c r="AF403" i="3"/>
  <c r="AG403" i="3" s="1"/>
  <c r="AF404" i="3"/>
  <c r="AG404" i="3" s="1"/>
  <c r="AF405" i="3"/>
  <c r="AG405" i="3" s="1"/>
  <c r="AF406" i="3"/>
  <c r="AG406" i="3" s="1"/>
  <c r="AF407" i="3"/>
  <c r="AG407" i="3" s="1"/>
  <c r="AF408" i="3"/>
  <c r="AG408" i="3" s="1"/>
  <c r="AF409" i="3"/>
  <c r="AG409" i="3" s="1"/>
  <c r="AF410" i="3"/>
  <c r="AG410" i="3" s="1"/>
  <c r="AF411" i="3"/>
  <c r="AG411" i="3" s="1"/>
  <c r="AF412" i="3"/>
  <c r="AG412" i="3" s="1"/>
  <c r="AF413" i="3"/>
  <c r="AG413" i="3" s="1"/>
  <c r="AF414" i="3"/>
  <c r="AG414" i="3" s="1"/>
  <c r="AF415" i="3"/>
  <c r="AG415" i="3" s="1"/>
  <c r="AF416" i="3"/>
  <c r="AG416" i="3" s="1"/>
  <c r="AF417" i="3"/>
  <c r="AG417" i="3" s="1"/>
  <c r="AF418" i="3"/>
  <c r="AG418" i="3" s="1"/>
  <c r="AF419" i="3"/>
  <c r="AG419" i="3" s="1"/>
  <c r="AF420" i="3"/>
  <c r="AG420" i="3" s="1"/>
  <c r="AF421" i="3"/>
  <c r="AG421" i="3" s="1"/>
  <c r="AF422" i="3"/>
  <c r="AG422" i="3" s="1"/>
  <c r="AF423" i="3"/>
  <c r="AG423" i="3" s="1"/>
  <c r="AF424" i="3"/>
  <c r="AG424" i="3" s="1"/>
  <c r="AF425" i="3"/>
  <c r="AG425" i="3" s="1"/>
  <c r="AF426" i="3"/>
  <c r="AG426" i="3" s="1"/>
  <c r="AF427" i="3"/>
  <c r="AG427" i="3" s="1"/>
  <c r="AF428" i="3"/>
  <c r="AG428" i="3" s="1"/>
  <c r="AF429" i="3"/>
  <c r="AG429" i="3" s="1"/>
  <c r="AF430" i="3"/>
  <c r="AG430" i="3" s="1"/>
  <c r="AF431" i="3"/>
  <c r="AG431" i="3" s="1"/>
  <c r="AF432" i="3"/>
  <c r="AG432" i="3" s="1"/>
  <c r="AF433" i="3"/>
  <c r="AG433" i="3" s="1"/>
  <c r="AF434" i="3"/>
  <c r="AG434" i="3" s="1"/>
  <c r="AF435" i="3"/>
  <c r="AG435" i="3" s="1"/>
  <c r="AF436" i="3"/>
  <c r="AG436" i="3" s="1"/>
  <c r="AF437" i="3"/>
  <c r="AG437" i="3" s="1"/>
  <c r="AF438" i="3"/>
  <c r="AG438" i="3" s="1"/>
  <c r="AF439" i="3"/>
  <c r="AG439" i="3" s="1"/>
  <c r="AF440" i="3"/>
  <c r="AG440" i="3" s="1"/>
  <c r="AF441" i="3"/>
  <c r="AG441" i="3" s="1"/>
  <c r="AF442" i="3"/>
  <c r="AG442" i="3" s="1"/>
  <c r="AF443" i="3"/>
  <c r="AG443" i="3" s="1"/>
  <c r="AF444" i="3"/>
  <c r="AG444" i="3" s="1"/>
  <c r="AF445" i="3"/>
  <c r="AG445" i="3" s="1"/>
  <c r="AF446" i="3"/>
  <c r="AG446" i="3" s="1"/>
  <c r="AF447" i="3"/>
  <c r="AG447" i="3" s="1"/>
  <c r="AF448" i="3"/>
  <c r="AG448" i="3" s="1"/>
  <c r="AF449" i="3"/>
  <c r="AG449" i="3" s="1"/>
  <c r="AF450" i="3"/>
  <c r="AG450" i="3" s="1"/>
  <c r="AF451" i="3"/>
  <c r="AG451" i="3" s="1"/>
  <c r="AF452" i="3"/>
  <c r="AG452" i="3" s="1"/>
  <c r="AF453" i="3"/>
  <c r="AG453" i="3" s="1"/>
  <c r="AF454" i="3"/>
  <c r="AG454" i="3" s="1"/>
  <c r="AF455" i="3"/>
  <c r="AG455" i="3" s="1"/>
  <c r="AF456" i="3"/>
  <c r="AG456" i="3" s="1"/>
  <c r="AF457" i="3"/>
  <c r="AG457" i="3" s="1"/>
  <c r="AF458" i="3"/>
  <c r="AG458" i="3" s="1"/>
  <c r="AF459" i="3"/>
  <c r="AG459" i="3" s="1"/>
  <c r="AF460" i="3"/>
  <c r="AG460" i="3" s="1"/>
  <c r="AF461" i="3"/>
  <c r="AG461" i="3" s="1"/>
  <c r="AF462" i="3"/>
  <c r="AG462" i="3" s="1"/>
  <c r="AF463" i="3"/>
  <c r="AG463" i="3" s="1"/>
  <c r="AF464" i="3"/>
  <c r="AG464" i="3" s="1"/>
  <c r="AF465" i="3"/>
  <c r="AG465" i="3" s="1"/>
  <c r="AF466" i="3"/>
  <c r="AG466" i="3" s="1"/>
  <c r="AF467" i="3"/>
  <c r="AG467" i="3" s="1"/>
  <c r="AF468" i="3"/>
  <c r="AG468" i="3" s="1"/>
  <c r="AF469" i="3"/>
  <c r="AG469" i="3" s="1"/>
  <c r="AF470" i="3"/>
  <c r="AG470" i="3" s="1"/>
  <c r="AF471" i="3"/>
  <c r="AG471" i="3" s="1"/>
  <c r="AF472" i="3"/>
  <c r="AG472" i="3" s="1"/>
  <c r="AF473" i="3"/>
  <c r="AG473" i="3" s="1"/>
  <c r="AF474" i="3"/>
  <c r="AG474" i="3" s="1"/>
  <c r="AF475" i="3"/>
  <c r="AG475" i="3" s="1"/>
  <c r="AF476" i="3"/>
  <c r="AG476" i="3" s="1"/>
  <c r="AF477" i="3"/>
  <c r="AG477" i="3" s="1"/>
  <c r="AF478" i="3"/>
  <c r="AG478" i="3" s="1"/>
  <c r="AF479" i="3"/>
  <c r="AG479" i="3" s="1"/>
  <c r="AF480" i="3"/>
  <c r="AG480" i="3" s="1"/>
  <c r="AF481" i="3"/>
  <c r="AG481" i="3" s="1"/>
  <c r="AF482" i="3"/>
  <c r="AG482" i="3" s="1"/>
  <c r="AF483" i="3"/>
  <c r="AG483" i="3" s="1"/>
  <c r="AF484" i="3"/>
  <c r="AG484" i="3" s="1"/>
  <c r="AF485" i="3"/>
  <c r="AG485" i="3" s="1"/>
  <c r="AF486" i="3"/>
  <c r="AG486" i="3" s="1"/>
  <c r="AF487" i="3"/>
  <c r="AG487" i="3" s="1"/>
  <c r="AF488" i="3"/>
  <c r="AG488" i="3" s="1"/>
  <c r="AF489" i="3"/>
  <c r="AG489" i="3" s="1"/>
  <c r="AF490" i="3"/>
  <c r="AG490" i="3" s="1"/>
  <c r="AF491" i="3"/>
  <c r="AG491" i="3" s="1"/>
  <c r="AF492" i="3"/>
  <c r="AG492" i="3" s="1"/>
  <c r="AF493" i="3"/>
  <c r="AG493" i="3" s="1"/>
  <c r="AF494" i="3"/>
  <c r="AG494" i="3" s="1"/>
  <c r="AF495" i="3"/>
  <c r="AG495" i="3" s="1"/>
  <c r="AF496" i="3"/>
  <c r="AG496" i="3" s="1"/>
  <c r="AF497" i="3"/>
  <c r="AG497" i="3" s="1"/>
  <c r="AF498" i="3"/>
  <c r="AG498" i="3" s="1"/>
  <c r="AF499" i="3"/>
  <c r="AG499" i="3" s="1"/>
  <c r="AF500" i="3"/>
  <c r="AG500" i="3" s="1"/>
  <c r="AF501" i="3"/>
  <c r="AG501" i="3" s="1"/>
  <c r="AF502" i="3"/>
  <c r="AG502" i="3" s="1"/>
  <c r="AF503" i="3"/>
  <c r="AG503" i="3" s="1"/>
  <c r="AF504" i="3"/>
  <c r="AG504" i="3" s="1"/>
  <c r="AF505" i="3"/>
  <c r="AG505" i="3" s="1"/>
  <c r="AF506" i="3"/>
  <c r="AG506" i="3" s="1"/>
  <c r="AF507" i="3"/>
  <c r="AG507" i="3" s="1"/>
  <c r="AF508" i="3"/>
  <c r="AG508" i="3" s="1"/>
  <c r="AF509" i="3"/>
  <c r="AG509" i="3" s="1"/>
  <c r="AF510" i="3"/>
  <c r="AG510" i="3" s="1"/>
  <c r="AF511" i="3"/>
  <c r="AG511" i="3" s="1"/>
  <c r="AF512" i="3"/>
  <c r="AG512" i="3" s="1"/>
  <c r="AF513" i="3"/>
  <c r="AG513" i="3" s="1"/>
  <c r="AF514" i="3"/>
  <c r="AG514" i="3" s="1"/>
  <c r="AF515" i="3"/>
  <c r="AG515" i="3" s="1"/>
  <c r="AF516" i="3"/>
  <c r="AG516" i="3" s="1"/>
  <c r="AF517" i="3"/>
  <c r="AG517" i="3" s="1"/>
  <c r="AF518" i="3"/>
  <c r="AG518" i="3" s="1"/>
  <c r="AF519" i="3"/>
  <c r="AG519" i="3" s="1"/>
  <c r="AF520" i="3"/>
  <c r="AG520" i="3" s="1"/>
  <c r="AF521" i="3"/>
  <c r="AG521" i="3" s="1"/>
  <c r="AF522" i="3"/>
  <c r="AG522" i="3" s="1"/>
  <c r="AF523" i="3"/>
  <c r="AG523" i="3" s="1"/>
  <c r="AF524" i="3"/>
  <c r="AG524" i="3" s="1"/>
  <c r="AF525" i="3"/>
  <c r="AG525" i="3" s="1"/>
  <c r="AF526" i="3"/>
  <c r="AG526" i="3" s="1"/>
  <c r="AF527" i="3"/>
  <c r="AG527" i="3" s="1"/>
  <c r="AF528" i="3"/>
  <c r="AG528" i="3" s="1"/>
  <c r="AF529" i="3"/>
  <c r="AG529" i="3" s="1"/>
  <c r="AF530" i="3"/>
  <c r="AG530" i="3" s="1"/>
  <c r="AF531" i="3"/>
  <c r="AG531" i="3" s="1"/>
  <c r="AF532" i="3"/>
  <c r="AG532" i="3" s="1"/>
  <c r="AF533" i="3"/>
  <c r="AG533" i="3" s="1"/>
  <c r="AF534" i="3"/>
  <c r="AG534" i="3" s="1"/>
  <c r="AF535" i="3"/>
  <c r="AG535" i="3" s="1"/>
  <c r="AF536" i="3"/>
  <c r="AG536" i="3" s="1"/>
  <c r="AF537" i="3"/>
  <c r="AG537" i="3" s="1"/>
  <c r="AF538" i="3"/>
  <c r="AG538" i="3" s="1"/>
  <c r="AF539" i="3"/>
  <c r="AG539" i="3" s="1"/>
  <c r="AF540" i="3"/>
  <c r="AG540" i="3" s="1"/>
  <c r="AF541" i="3"/>
  <c r="AG541" i="3" s="1"/>
  <c r="AF542" i="3"/>
  <c r="AG542" i="3" s="1"/>
  <c r="AF543" i="3"/>
  <c r="AG543" i="3" s="1"/>
  <c r="AF544" i="3"/>
  <c r="AG544" i="3" s="1"/>
  <c r="AF545" i="3"/>
  <c r="AG545" i="3" s="1"/>
  <c r="AF546" i="3"/>
  <c r="AG546" i="3" s="1"/>
  <c r="AF547" i="3"/>
  <c r="AG547" i="3" s="1"/>
  <c r="AF548" i="3"/>
  <c r="AG548" i="3" s="1"/>
  <c r="AF549" i="3"/>
  <c r="AG549" i="3" s="1"/>
  <c r="AF550" i="3"/>
  <c r="AG550" i="3" s="1"/>
  <c r="AF551" i="3"/>
  <c r="AG551" i="3" s="1"/>
  <c r="AF552" i="3"/>
  <c r="AG552" i="3" s="1"/>
  <c r="AF553" i="3"/>
  <c r="AG553" i="3" s="1"/>
  <c r="AF554" i="3"/>
  <c r="AG554" i="3" s="1"/>
  <c r="AF555" i="3"/>
  <c r="AG555" i="3" s="1"/>
  <c r="AF556" i="3"/>
  <c r="AG556" i="3" s="1"/>
  <c r="AF557" i="3"/>
  <c r="AG557" i="3" s="1"/>
  <c r="AF558" i="3"/>
  <c r="AG558" i="3" s="1"/>
  <c r="AF559" i="3"/>
  <c r="AG559" i="3" s="1"/>
  <c r="AF560" i="3"/>
  <c r="AG560" i="3" s="1"/>
  <c r="AF561" i="3"/>
  <c r="AG561" i="3" s="1"/>
  <c r="AF562" i="3"/>
  <c r="AG562" i="3" s="1"/>
  <c r="AF563" i="3"/>
  <c r="AG563" i="3" s="1"/>
  <c r="AF564" i="3"/>
  <c r="AG564" i="3" s="1"/>
  <c r="AF565" i="3"/>
  <c r="AG565" i="3" s="1"/>
  <c r="AF566" i="3"/>
  <c r="AG566" i="3" s="1"/>
  <c r="AF567" i="3"/>
  <c r="AG567" i="3" s="1"/>
  <c r="AF568" i="3"/>
  <c r="AG568" i="3" s="1"/>
  <c r="AF569" i="3"/>
  <c r="AG569" i="3" s="1"/>
  <c r="AF570" i="3"/>
  <c r="AG570" i="3" s="1"/>
  <c r="AF571" i="3"/>
  <c r="AG571" i="3" s="1"/>
  <c r="AF572" i="3"/>
  <c r="AG572" i="3" s="1"/>
  <c r="AF573" i="3"/>
  <c r="AG573" i="3" s="1"/>
  <c r="AF574" i="3"/>
  <c r="AG574" i="3" s="1"/>
  <c r="AF575" i="3"/>
  <c r="AG575" i="3" s="1"/>
  <c r="AF576" i="3"/>
  <c r="AG576" i="3" s="1"/>
  <c r="AF577" i="3"/>
  <c r="AG577" i="3" s="1"/>
  <c r="AF578" i="3"/>
  <c r="AG578" i="3" s="1"/>
  <c r="AF579" i="3"/>
  <c r="AG579" i="3" s="1"/>
  <c r="AF580" i="3"/>
  <c r="AG580" i="3" s="1"/>
  <c r="AF581" i="3"/>
  <c r="AG581" i="3" s="1"/>
  <c r="AF582" i="3"/>
  <c r="AG582" i="3" s="1"/>
  <c r="AF583" i="3"/>
  <c r="AG583" i="3" s="1"/>
  <c r="AF584" i="3"/>
  <c r="AG584" i="3" s="1"/>
  <c r="AF585" i="3"/>
  <c r="AG585" i="3" s="1"/>
  <c r="AF586" i="3"/>
  <c r="AG586" i="3" s="1"/>
  <c r="AF587" i="3"/>
  <c r="AG587" i="3" s="1"/>
  <c r="AF588" i="3"/>
  <c r="AG588" i="3" s="1"/>
  <c r="AF589" i="3"/>
  <c r="AG589" i="3" s="1"/>
  <c r="AF590" i="3"/>
  <c r="AG590" i="3" s="1"/>
  <c r="AF591" i="3"/>
  <c r="AG591" i="3" s="1"/>
  <c r="AF592" i="3"/>
  <c r="AG592" i="3" s="1"/>
  <c r="AF593" i="3"/>
  <c r="AG593" i="3" s="1"/>
  <c r="AF594" i="3"/>
  <c r="AG594" i="3" s="1"/>
  <c r="AF595" i="3"/>
  <c r="AG595" i="3" s="1"/>
  <c r="AF596" i="3"/>
  <c r="AG596" i="3" s="1"/>
  <c r="AF597" i="3"/>
  <c r="AG597" i="3" s="1"/>
  <c r="AF598" i="3"/>
  <c r="AG598" i="3" s="1"/>
  <c r="AF599" i="3"/>
  <c r="AG599" i="3" s="1"/>
  <c r="AF600" i="3"/>
  <c r="AG600" i="3" s="1"/>
  <c r="AF601" i="3"/>
  <c r="AG601" i="3" s="1"/>
  <c r="AF602" i="3"/>
  <c r="AG602" i="3" s="1"/>
  <c r="AF603" i="3"/>
  <c r="AG603" i="3" s="1"/>
  <c r="AF604" i="3"/>
  <c r="AG604" i="3" s="1"/>
  <c r="AF605" i="3"/>
  <c r="AG605" i="3" s="1"/>
  <c r="AF606" i="3"/>
  <c r="AG606" i="3" s="1"/>
  <c r="AF607" i="3"/>
  <c r="AG607" i="3" s="1"/>
  <c r="AF608" i="3"/>
  <c r="AG608" i="3" s="1"/>
  <c r="AF609" i="3"/>
  <c r="AG609" i="3" s="1"/>
  <c r="AF610" i="3"/>
  <c r="AG610" i="3" s="1"/>
  <c r="AF611" i="3"/>
  <c r="AG611" i="3" s="1"/>
  <c r="AF612" i="3"/>
  <c r="AG612" i="3" s="1"/>
  <c r="AF613" i="3"/>
  <c r="AG613" i="3" s="1"/>
  <c r="AF614" i="3"/>
  <c r="AG614" i="3" s="1"/>
  <c r="AF615" i="3"/>
  <c r="AG615" i="3" s="1"/>
  <c r="AF616" i="3"/>
  <c r="AG616" i="3" s="1"/>
  <c r="AF617" i="3"/>
  <c r="AG617" i="3" s="1"/>
  <c r="AF618" i="3"/>
  <c r="AG618" i="3" s="1"/>
  <c r="AF619" i="3"/>
  <c r="AG619" i="3" s="1"/>
  <c r="AF620" i="3"/>
  <c r="AG620" i="3" s="1"/>
  <c r="AF621" i="3"/>
  <c r="AG621" i="3" s="1"/>
  <c r="AF622" i="3"/>
  <c r="AG622" i="3" s="1"/>
  <c r="AF623" i="3"/>
  <c r="AG623" i="3" s="1"/>
  <c r="AF624" i="3"/>
  <c r="AG624" i="3" s="1"/>
  <c r="AF625" i="3"/>
  <c r="AG625" i="3" s="1"/>
  <c r="AF626" i="3"/>
  <c r="AG626" i="3" s="1"/>
  <c r="AF627" i="3"/>
  <c r="AG627" i="3" s="1"/>
  <c r="AF628" i="3"/>
  <c r="AG628" i="3" s="1"/>
  <c r="AF629" i="3"/>
  <c r="AG629" i="3" s="1"/>
  <c r="AF630" i="3"/>
  <c r="AG630" i="3" s="1"/>
  <c r="AF631" i="3"/>
  <c r="AG631" i="3" s="1"/>
  <c r="AF632" i="3"/>
  <c r="AG632" i="3" s="1"/>
  <c r="AF633" i="3"/>
  <c r="AG633" i="3" s="1"/>
  <c r="AF634" i="3"/>
  <c r="AG634" i="3" s="1"/>
  <c r="AF635" i="3"/>
  <c r="AG635" i="3" s="1"/>
  <c r="AF636" i="3"/>
  <c r="AG636" i="3" s="1"/>
  <c r="AF637" i="3"/>
  <c r="AG637" i="3" s="1"/>
  <c r="AF638" i="3"/>
  <c r="AG638" i="3" s="1"/>
  <c r="AF639" i="3"/>
  <c r="AG639" i="3" s="1"/>
  <c r="AF640" i="3"/>
  <c r="AG640" i="3" s="1"/>
  <c r="AF641" i="3"/>
  <c r="AG641" i="3" s="1"/>
  <c r="AF642" i="3"/>
  <c r="AG642" i="3" s="1"/>
  <c r="AF643" i="3"/>
  <c r="AG643" i="3" s="1"/>
  <c r="AF644" i="3"/>
  <c r="AG644" i="3" s="1"/>
  <c r="AF645" i="3"/>
  <c r="AG645" i="3" s="1"/>
  <c r="AF646" i="3"/>
  <c r="AG646" i="3" s="1"/>
  <c r="AF647" i="3"/>
  <c r="AG647" i="3" s="1"/>
  <c r="AF648" i="3"/>
  <c r="AG648" i="3" s="1"/>
  <c r="AF649" i="3"/>
  <c r="AG649" i="3" s="1"/>
  <c r="AF650" i="3"/>
  <c r="AG650" i="3" s="1"/>
  <c r="AF651" i="3"/>
  <c r="AG651" i="3" s="1"/>
  <c r="AF652" i="3"/>
  <c r="AG652" i="3" s="1"/>
  <c r="AF653" i="3"/>
  <c r="AG653" i="3" s="1"/>
  <c r="AF654" i="3"/>
  <c r="AG654" i="3" s="1"/>
  <c r="AF655" i="3"/>
  <c r="AG655" i="3" s="1"/>
  <c r="AF656" i="3"/>
  <c r="AG656" i="3" s="1"/>
  <c r="AF657" i="3"/>
  <c r="AG657" i="3" s="1"/>
  <c r="AF658" i="3"/>
  <c r="AG658" i="3" s="1"/>
  <c r="AF659" i="3"/>
  <c r="AG659" i="3" s="1"/>
  <c r="AF660" i="3"/>
  <c r="AG660" i="3" s="1"/>
  <c r="AF661" i="3"/>
  <c r="AG661" i="3" s="1"/>
  <c r="AF662" i="3"/>
  <c r="AG662" i="3" s="1"/>
  <c r="AF663" i="3"/>
  <c r="AG663" i="3" s="1"/>
  <c r="AF664" i="3"/>
  <c r="AG664" i="3" s="1"/>
  <c r="AF665" i="3"/>
  <c r="AG665" i="3" s="1"/>
  <c r="AF666" i="3"/>
  <c r="AG666" i="3" s="1"/>
  <c r="AF667" i="3"/>
  <c r="AG667" i="3" s="1"/>
  <c r="AF668" i="3"/>
  <c r="AG668" i="3" s="1"/>
  <c r="AF669" i="3"/>
  <c r="AG669" i="3" s="1"/>
  <c r="AF670" i="3"/>
  <c r="AG670" i="3" s="1"/>
  <c r="AF671" i="3"/>
  <c r="AG671" i="3" s="1"/>
  <c r="AF672" i="3"/>
  <c r="AG672" i="3" s="1"/>
  <c r="AF673" i="3"/>
  <c r="AG673" i="3" s="1"/>
  <c r="AF674" i="3"/>
  <c r="AG674" i="3" s="1"/>
  <c r="AF675" i="3"/>
  <c r="AG675" i="3" s="1"/>
  <c r="AF676" i="3"/>
  <c r="AG676" i="3" s="1"/>
  <c r="AF677" i="3"/>
  <c r="AG677" i="3" s="1"/>
  <c r="AF678" i="3"/>
  <c r="AG678" i="3" s="1"/>
  <c r="AF679" i="3"/>
  <c r="AG679" i="3" s="1"/>
  <c r="AF680" i="3"/>
  <c r="AG680" i="3" s="1"/>
  <c r="AF681" i="3"/>
  <c r="AG681" i="3" s="1"/>
  <c r="AF682" i="3"/>
  <c r="AG682" i="3" s="1"/>
  <c r="AF683" i="3"/>
  <c r="AG683" i="3" s="1"/>
  <c r="AF684" i="3"/>
  <c r="AG684" i="3" s="1"/>
  <c r="AF685" i="3"/>
  <c r="AG685" i="3" s="1"/>
  <c r="AF686" i="3"/>
  <c r="AG686" i="3" s="1"/>
  <c r="AF687" i="3"/>
  <c r="AG687" i="3" s="1"/>
  <c r="AF688" i="3"/>
  <c r="AG688" i="3" s="1"/>
  <c r="AF689" i="3"/>
  <c r="AG689" i="3" s="1"/>
  <c r="AF690" i="3"/>
  <c r="AG690" i="3" s="1"/>
  <c r="AF691" i="3"/>
  <c r="AG691" i="3" s="1"/>
  <c r="AF692" i="3"/>
  <c r="AG692" i="3" s="1"/>
  <c r="AF693" i="3"/>
  <c r="AG693" i="3" s="1"/>
  <c r="AF694" i="3"/>
  <c r="AG694" i="3" s="1"/>
  <c r="AF695" i="3"/>
  <c r="AG695" i="3" s="1"/>
  <c r="AF696" i="3"/>
  <c r="AG696" i="3" s="1"/>
  <c r="AF697" i="3"/>
  <c r="AG697" i="3" s="1"/>
  <c r="AF698" i="3"/>
  <c r="AG698" i="3" s="1"/>
  <c r="AF699" i="3"/>
  <c r="AG699" i="3" s="1"/>
  <c r="AF700" i="3"/>
  <c r="AG700" i="3" s="1"/>
  <c r="AF701" i="3"/>
  <c r="AG701" i="3" s="1"/>
  <c r="AF702" i="3"/>
  <c r="AG702" i="3" s="1"/>
  <c r="AF703" i="3"/>
  <c r="AG703" i="3" s="1"/>
  <c r="AF704" i="3"/>
  <c r="AG704" i="3" s="1"/>
  <c r="AF705" i="3"/>
  <c r="AG705" i="3" s="1"/>
  <c r="AF706" i="3"/>
  <c r="AG706" i="3" s="1"/>
  <c r="AF707" i="3"/>
  <c r="AG707" i="3" s="1"/>
  <c r="AF708" i="3"/>
  <c r="AG708" i="3" s="1"/>
  <c r="AF709" i="3"/>
  <c r="AG709" i="3" s="1"/>
  <c r="AF710" i="3"/>
  <c r="AG710" i="3" s="1"/>
  <c r="AF711" i="3"/>
  <c r="AG711" i="3" s="1"/>
  <c r="AF712" i="3"/>
  <c r="AG712" i="3" s="1"/>
  <c r="AF713" i="3"/>
  <c r="AG713" i="3" s="1"/>
  <c r="AF714" i="3"/>
  <c r="AG714" i="3" s="1"/>
  <c r="AF715" i="3"/>
  <c r="AG715" i="3" s="1"/>
  <c r="AF716" i="3"/>
  <c r="AG716" i="3" s="1"/>
  <c r="AF717" i="3"/>
  <c r="AG717" i="3" s="1"/>
  <c r="AF718" i="3"/>
  <c r="AG718" i="3" s="1"/>
  <c r="AF719" i="3"/>
  <c r="AG719" i="3" s="1"/>
  <c r="AF720" i="3"/>
  <c r="AG720" i="3" s="1"/>
  <c r="AF721" i="3"/>
  <c r="AG721" i="3" s="1"/>
  <c r="AF722" i="3"/>
  <c r="AG722" i="3" s="1"/>
  <c r="AF723" i="3"/>
  <c r="AG723" i="3" s="1"/>
  <c r="AF724" i="3"/>
  <c r="AG724" i="3" s="1"/>
  <c r="AF725" i="3"/>
  <c r="AG725" i="3" s="1"/>
  <c r="AF726" i="3"/>
  <c r="AG726" i="3" s="1"/>
  <c r="AF727" i="3"/>
  <c r="AG727" i="3" s="1"/>
  <c r="AF728" i="3"/>
  <c r="AG728" i="3" s="1"/>
  <c r="AF729" i="3"/>
  <c r="AG729" i="3" s="1"/>
  <c r="AF730" i="3"/>
  <c r="AG730" i="3" s="1"/>
  <c r="AF731" i="3"/>
  <c r="AG731" i="3" s="1"/>
  <c r="AF732" i="3"/>
  <c r="AG732" i="3" s="1"/>
  <c r="AF733" i="3"/>
  <c r="AG733" i="3" s="1"/>
  <c r="AF734" i="3"/>
  <c r="AG734" i="3" s="1"/>
  <c r="AF735" i="3"/>
  <c r="AG735" i="3" s="1"/>
  <c r="AF736" i="3"/>
  <c r="AG736" i="3" s="1"/>
  <c r="AF737" i="3"/>
  <c r="AG737" i="3" s="1"/>
  <c r="AF738" i="3"/>
  <c r="AG738" i="3" s="1"/>
  <c r="AF739" i="3"/>
  <c r="AG739" i="3" s="1"/>
  <c r="AF740" i="3"/>
  <c r="AG740" i="3" s="1"/>
  <c r="AF741" i="3"/>
  <c r="AG741" i="3" s="1"/>
  <c r="AF742" i="3"/>
  <c r="AG742" i="3" s="1"/>
  <c r="AF743" i="3"/>
  <c r="AG743" i="3" s="1"/>
  <c r="AF744" i="3"/>
  <c r="AG744" i="3" s="1"/>
  <c r="AF745" i="3"/>
  <c r="AG745" i="3" s="1"/>
  <c r="AF746" i="3"/>
  <c r="AG746" i="3" s="1"/>
  <c r="AF747" i="3"/>
  <c r="AG747" i="3" s="1"/>
  <c r="AF748" i="3"/>
  <c r="AG748" i="3" s="1"/>
  <c r="AF749" i="3"/>
  <c r="AG749" i="3" s="1"/>
  <c r="AF750" i="3"/>
  <c r="AG750" i="3" s="1"/>
  <c r="AF751" i="3"/>
  <c r="AG751" i="3" s="1"/>
  <c r="AF752" i="3"/>
  <c r="AG752" i="3" s="1"/>
  <c r="AF753" i="3"/>
  <c r="AG753" i="3" s="1"/>
  <c r="AF754" i="3"/>
  <c r="AG754" i="3" s="1"/>
  <c r="AF755" i="3"/>
  <c r="AG755" i="3" s="1"/>
  <c r="AF756" i="3"/>
  <c r="AG756" i="3" s="1"/>
  <c r="AF757" i="3"/>
  <c r="AG757" i="3" s="1"/>
  <c r="AF758" i="3"/>
  <c r="AG758" i="3" s="1"/>
  <c r="AF759" i="3"/>
  <c r="AG759" i="3" s="1"/>
  <c r="AF760" i="3"/>
  <c r="AG760" i="3" s="1"/>
  <c r="AF761" i="3"/>
  <c r="AG761" i="3" s="1"/>
  <c r="AF762" i="3"/>
  <c r="AG762" i="3" s="1"/>
  <c r="AF763" i="3"/>
  <c r="AG763" i="3" s="1"/>
  <c r="AF764" i="3"/>
  <c r="AG764" i="3" s="1"/>
  <c r="AF765" i="3"/>
  <c r="AG765" i="3" s="1"/>
  <c r="AF766" i="3"/>
  <c r="AG766" i="3" s="1"/>
  <c r="AF767" i="3"/>
  <c r="AG767" i="3" s="1"/>
  <c r="AF768" i="3"/>
  <c r="AG768" i="3" s="1"/>
  <c r="AF769" i="3"/>
  <c r="AG769" i="3" s="1"/>
  <c r="AF770" i="3"/>
  <c r="AG770" i="3" s="1"/>
  <c r="AF771" i="3"/>
  <c r="AG771" i="3" s="1"/>
  <c r="AF772" i="3"/>
  <c r="AG772" i="3" s="1"/>
  <c r="AF773" i="3"/>
  <c r="AG773" i="3" s="1"/>
  <c r="AF774" i="3"/>
  <c r="AG774" i="3" s="1"/>
  <c r="AF775" i="3"/>
  <c r="AG775" i="3" s="1"/>
  <c r="AF776" i="3"/>
  <c r="AG776" i="3" s="1"/>
  <c r="AF777" i="3"/>
  <c r="AG777" i="3" s="1"/>
  <c r="AF778" i="3"/>
  <c r="AG778" i="3" s="1"/>
  <c r="AF779" i="3"/>
  <c r="AG779" i="3" s="1"/>
  <c r="AF780" i="3"/>
  <c r="AG780" i="3" s="1"/>
  <c r="AF781" i="3"/>
  <c r="AG781" i="3" s="1"/>
  <c r="AF782" i="3"/>
  <c r="AG782" i="3" s="1"/>
  <c r="AF783" i="3"/>
  <c r="AG783" i="3" s="1"/>
  <c r="AF784" i="3"/>
  <c r="AG784" i="3" s="1"/>
  <c r="AF785" i="3"/>
  <c r="AG785" i="3" s="1"/>
  <c r="AF786" i="3"/>
  <c r="AG786" i="3" s="1"/>
  <c r="AF787" i="3"/>
  <c r="AG787" i="3" s="1"/>
  <c r="AF788" i="3"/>
  <c r="AG788" i="3" s="1"/>
  <c r="AF789" i="3"/>
  <c r="AG789" i="3" s="1"/>
  <c r="AF790" i="3"/>
  <c r="AG790" i="3" s="1"/>
  <c r="AF791" i="3"/>
  <c r="AG791" i="3" s="1"/>
  <c r="AF792" i="3"/>
  <c r="AG792" i="3" s="1"/>
  <c r="AF793" i="3"/>
  <c r="AG793" i="3" s="1"/>
  <c r="AF794" i="3"/>
  <c r="AG794" i="3" s="1"/>
  <c r="AF795" i="3"/>
  <c r="AG795" i="3" s="1"/>
  <c r="AF796" i="3"/>
  <c r="AG796" i="3" s="1"/>
  <c r="AF797" i="3"/>
  <c r="AG797" i="3" s="1"/>
  <c r="AF798" i="3"/>
  <c r="AG798" i="3" s="1"/>
  <c r="AF799" i="3"/>
  <c r="AG799" i="3" s="1"/>
  <c r="AF800" i="3"/>
  <c r="AG800" i="3" s="1"/>
  <c r="AF801" i="3"/>
  <c r="AG801" i="3" s="1"/>
  <c r="AF802" i="3"/>
  <c r="AG802" i="3" s="1"/>
  <c r="AF803" i="3"/>
  <c r="AG803" i="3" s="1"/>
  <c r="AF804" i="3"/>
  <c r="AG804" i="3" s="1"/>
  <c r="AF805" i="3"/>
  <c r="AG805" i="3" s="1"/>
  <c r="AF806" i="3"/>
  <c r="AG806" i="3" s="1"/>
  <c r="AF807" i="3"/>
  <c r="AG807" i="3" s="1"/>
  <c r="AF808" i="3"/>
  <c r="AG808" i="3" s="1"/>
  <c r="AF809" i="3"/>
  <c r="AG809" i="3" s="1"/>
  <c r="AF810" i="3"/>
  <c r="AG810" i="3" s="1"/>
  <c r="AF811" i="3"/>
  <c r="AG811" i="3" s="1"/>
  <c r="AF812" i="3"/>
  <c r="AG812" i="3" s="1"/>
  <c r="AF813" i="3"/>
  <c r="AG813" i="3" s="1"/>
  <c r="AF814" i="3"/>
  <c r="AG814" i="3" s="1"/>
  <c r="AF815" i="3"/>
  <c r="AG815" i="3" s="1"/>
  <c r="AF816" i="3"/>
  <c r="AG816" i="3" s="1"/>
  <c r="AF817" i="3"/>
  <c r="AG817" i="3" s="1"/>
  <c r="AF818" i="3"/>
  <c r="AG818" i="3" s="1"/>
  <c r="AF819" i="3"/>
  <c r="AG819" i="3" s="1"/>
  <c r="AF820" i="3"/>
  <c r="AG820" i="3" s="1"/>
  <c r="AF821" i="3"/>
  <c r="AG821" i="3" s="1"/>
  <c r="AF822" i="3"/>
  <c r="AG822" i="3" s="1"/>
  <c r="AF823" i="3"/>
  <c r="AG823" i="3" s="1"/>
  <c r="AF824" i="3"/>
  <c r="AG824" i="3" s="1"/>
  <c r="AF825" i="3"/>
  <c r="AG825" i="3" s="1"/>
  <c r="AF826" i="3"/>
  <c r="AG826" i="3" s="1"/>
  <c r="AF827" i="3"/>
  <c r="AG827" i="3" s="1"/>
  <c r="AF828" i="3"/>
  <c r="AG828" i="3" s="1"/>
  <c r="AF829" i="3"/>
  <c r="AG829" i="3" s="1"/>
  <c r="AF830" i="3"/>
  <c r="AG830" i="3" s="1"/>
  <c r="AF831" i="3"/>
  <c r="AG831" i="3" s="1"/>
  <c r="AF832" i="3"/>
  <c r="AG832" i="3" s="1"/>
  <c r="AF833" i="3"/>
  <c r="AG833" i="3" s="1"/>
  <c r="AF834" i="3"/>
  <c r="AG834" i="3" s="1"/>
  <c r="AF835" i="3"/>
  <c r="AG835" i="3" s="1"/>
  <c r="AF836" i="3"/>
  <c r="AG836" i="3" s="1"/>
  <c r="AF837" i="3"/>
  <c r="AG837" i="3" s="1"/>
  <c r="AF838" i="3"/>
  <c r="AG838" i="3" s="1"/>
  <c r="AF839" i="3"/>
  <c r="AG839" i="3" s="1"/>
  <c r="AF840" i="3"/>
  <c r="AG840" i="3" s="1"/>
  <c r="AF841" i="3"/>
  <c r="AG841" i="3" s="1"/>
  <c r="AF842" i="3"/>
  <c r="AG842" i="3" s="1"/>
  <c r="AF843" i="3"/>
  <c r="AG843" i="3" s="1"/>
  <c r="AF844" i="3"/>
  <c r="AG844" i="3" s="1"/>
  <c r="AF845" i="3"/>
  <c r="AG845" i="3" s="1"/>
  <c r="AF846" i="3"/>
  <c r="AG846" i="3" s="1"/>
  <c r="AF847" i="3"/>
  <c r="AG847" i="3" s="1"/>
  <c r="AF848" i="3"/>
  <c r="AG848" i="3" s="1"/>
  <c r="AF849" i="3"/>
  <c r="AG849" i="3" s="1"/>
  <c r="AF850" i="3"/>
  <c r="AG850" i="3" s="1"/>
  <c r="AF851" i="3"/>
  <c r="AG851" i="3" s="1"/>
  <c r="AF852" i="3"/>
  <c r="AG852" i="3" s="1"/>
  <c r="AF853" i="3"/>
  <c r="AG853" i="3" s="1"/>
  <c r="AF854" i="3"/>
  <c r="AG854" i="3" s="1"/>
  <c r="AF855" i="3"/>
  <c r="AG855" i="3" s="1"/>
  <c r="AF856" i="3"/>
  <c r="AG856" i="3" s="1"/>
  <c r="AF857" i="3"/>
  <c r="AG857" i="3" s="1"/>
  <c r="AF858" i="3"/>
  <c r="AG858" i="3" s="1"/>
  <c r="AF859" i="3"/>
  <c r="AG859" i="3" s="1"/>
  <c r="AF860" i="3"/>
  <c r="AG860" i="3" s="1"/>
  <c r="AF861" i="3"/>
  <c r="AG861" i="3" s="1"/>
  <c r="AF862" i="3"/>
  <c r="AG862" i="3" s="1"/>
  <c r="AF863" i="3"/>
  <c r="AG863" i="3" s="1"/>
  <c r="AF864" i="3"/>
  <c r="AG864" i="3" s="1"/>
  <c r="AF865" i="3"/>
  <c r="AG865" i="3" s="1"/>
  <c r="AF866" i="3"/>
  <c r="AG866" i="3" s="1"/>
  <c r="AF867" i="3"/>
  <c r="AG867" i="3" s="1"/>
  <c r="AF868" i="3"/>
  <c r="AG868" i="3" s="1"/>
  <c r="AF869" i="3"/>
  <c r="AG869" i="3" s="1"/>
  <c r="AF870" i="3"/>
  <c r="AG870" i="3" s="1"/>
  <c r="AF871" i="3"/>
  <c r="AG871" i="3" s="1"/>
  <c r="AF872" i="3"/>
  <c r="AG872" i="3" s="1"/>
  <c r="AF873" i="3"/>
  <c r="AG873" i="3" s="1"/>
  <c r="AF874" i="3"/>
  <c r="AG874" i="3" s="1"/>
  <c r="AF875" i="3"/>
  <c r="AG875" i="3" s="1"/>
  <c r="AF876" i="3"/>
  <c r="AG876" i="3" s="1"/>
  <c r="AF877" i="3"/>
  <c r="AG877" i="3" s="1"/>
  <c r="AF878" i="3"/>
  <c r="AG878" i="3" s="1"/>
  <c r="AF879" i="3"/>
  <c r="AG879" i="3" s="1"/>
  <c r="AF880" i="3"/>
  <c r="AG880" i="3" s="1"/>
  <c r="AF881" i="3"/>
  <c r="AG881" i="3" s="1"/>
  <c r="AF882" i="3"/>
  <c r="AG882" i="3" s="1"/>
  <c r="AF883" i="3"/>
  <c r="AG883" i="3" s="1"/>
  <c r="AF884" i="3"/>
  <c r="AG884" i="3" s="1"/>
  <c r="AF885" i="3"/>
  <c r="AG885" i="3" s="1"/>
  <c r="AF886" i="3"/>
  <c r="AG886" i="3" s="1"/>
  <c r="AF887" i="3"/>
  <c r="AG887" i="3" s="1"/>
  <c r="AF888" i="3"/>
  <c r="AG888" i="3" s="1"/>
  <c r="AF889" i="3"/>
  <c r="AG889" i="3" s="1"/>
  <c r="AF890" i="3"/>
  <c r="AG890" i="3" s="1"/>
  <c r="AF891" i="3"/>
  <c r="AG891" i="3" s="1"/>
  <c r="AF892" i="3"/>
  <c r="AG892" i="3" s="1"/>
  <c r="AF893" i="3"/>
  <c r="AG893" i="3" s="1"/>
  <c r="AF894" i="3"/>
  <c r="AG894" i="3" s="1"/>
  <c r="AF895" i="3"/>
  <c r="AG895" i="3" s="1"/>
  <c r="AF896" i="3"/>
  <c r="AG896" i="3" s="1"/>
  <c r="AF897" i="3"/>
  <c r="AG897" i="3" s="1"/>
  <c r="AF898" i="3"/>
  <c r="AG898" i="3" s="1"/>
  <c r="AF899" i="3"/>
  <c r="AG899" i="3" s="1"/>
  <c r="AF900" i="3"/>
  <c r="AG900" i="3" s="1"/>
  <c r="AF901" i="3"/>
  <c r="AG901" i="3" s="1"/>
  <c r="AF902" i="3"/>
  <c r="AG902" i="3" s="1"/>
  <c r="AF903" i="3"/>
  <c r="AG903" i="3" s="1"/>
  <c r="AF904" i="3"/>
  <c r="AG904" i="3" s="1"/>
  <c r="AF905" i="3"/>
  <c r="AG905" i="3" s="1"/>
  <c r="AF906" i="3"/>
  <c r="AG906" i="3" s="1"/>
  <c r="AF907" i="3"/>
  <c r="AG907" i="3" s="1"/>
  <c r="AF908" i="3"/>
  <c r="AG908" i="3" s="1"/>
  <c r="AF909" i="3"/>
  <c r="AG909" i="3" s="1"/>
  <c r="AF910" i="3"/>
  <c r="AG910" i="3" s="1"/>
  <c r="AF911" i="3"/>
  <c r="AG911" i="3" s="1"/>
  <c r="AF912" i="3"/>
  <c r="AG912" i="3" s="1"/>
  <c r="AF913" i="3"/>
  <c r="AG913" i="3" s="1"/>
  <c r="AF914" i="3"/>
  <c r="AG914" i="3" s="1"/>
  <c r="AF915" i="3"/>
  <c r="AG915" i="3" s="1"/>
  <c r="AF916" i="3"/>
  <c r="AG916" i="3" s="1"/>
  <c r="AF917" i="3"/>
  <c r="AG917" i="3" s="1"/>
  <c r="AF918" i="3"/>
  <c r="AG918" i="3" s="1"/>
  <c r="AF919" i="3"/>
  <c r="AG919" i="3" s="1"/>
  <c r="AF920" i="3"/>
  <c r="AG920" i="3" s="1"/>
  <c r="AF921" i="3"/>
  <c r="AG921" i="3" s="1"/>
  <c r="AF922" i="3"/>
  <c r="AG922" i="3" s="1"/>
  <c r="AF923" i="3"/>
  <c r="AG923" i="3" s="1"/>
  <c r="AF924" i="3"/>
  <c r="AG924" i="3" s="1"/>
  <c r="AF925" i="3"/>
  <c r="AG925" i="3" s="1"/>
  <c r="AF926" i="3"/>
  <c r="AG926" i="3" s="1"/>
  <c r="AF927" i="3"/>
  <c r="AG927" i="3" s="1"/>
  <c r="AF928" i="3"/>
  <c r="AG928" i="3" s="1"/>
  <c r="AF929" i="3"/>
  <c r="AG929" i="3" s="1"/>
  <c r="AF930" i="3"/>
  <c r="AG930" i="3" s="1"/>
  <c r="AF931" i="3"/>
  <c r="AG931" i="3" s="1"/>
  <c r="AF932" i="3"/>
  <c r="AG932" i="3" s="1"/>
  <c r="AF933" i="3"/>
  <c r="AG933" i="3" s="1"/>
  <c r="AF934" i="3"/>
  <c r="AG934" i="3" s="1"/>
  <c r="AF935" i="3"/>
  <c r="AG935" i="3" s="1"/>
  <c r="AF936" i="3"/>
  <c r="AG936" i="3" s="1"/>
  <c r="AF937" i="3"/>
  <c r="AG937" i="3" s="1"/>
  <c r="AF938" i="3"/>
  <c r="AG938" i="3" s="1"/>
  <c r="AF939" i="3"/>
  <c r="AG939" i="3" s="1"/>
  <c r="AF940" i="3"/>
  <c r="AG940" i="3" s="1"/>
  <c r="AF941" i="3"/>
  <c r="AG941" i="3" s="1"/>
  <c r="AF942" i="3"/>
  <c r="AG942" i="3" s="1"/>
  <c r="AF943" i="3"/>
  <c r="AG943" i="3" s="1"/>
  <c r="AF944" i="3"/>
  <c r="AG944" i="3" s="1"/>
  <c r="AF945" i="3"/>
  <c r="AG945" i="3" s="1"/>
  <c r="AF946" i="3"/>
  <c r="AG946" i="3" s="1"/>
  <c r="AF947" i="3"/>
  <c r="AG947" i="3" s="1"/>
  <c r="AF948" i="3"/>
  <c r="AG948" i="3" s="1"/>
  <c r="AF949" i="3"/>
  <c r="AG949" i="3" s="1"/>
  <c r="AF950" i="3"/>
  <c r="AG950" i="3" s="1"/>
  <c r="AF951" i="3"/>
  <c r="AG951" i="3" s="1"/>
  <c r="AF952" i="3"/>
  <c r="AG952" i="3" s="1"/>
  <c r="AF953" i="3"/>
  <c r="AG953" i="3" s="1"/>
  <c r="AF954" i="3"/>
  <c r="AG954" i="3" s="1"/>
  <c r="AF955" i="3"/>
  <c r="AG955" i="3" s="1"/>
  <c r="AF956" i="3"/>
  <c r="AG956" i="3" s="1"/>
  <c r="AF957" i="3"/>
  <c r="AG957" i="3" s="1"/>
  <c r="AF958" i="3"/>
  <c r="AG958" i="3" s="1"/>
  <c r="AF959" i="3"/>
  <c r="AG959" i="3" s="1"/>
  <c r="AF960" i="3"/>
  <c r="AG960" i="3" s="1"/>
  <c r="AF961" i="3"/>
  <c r="AG961" i="3" s="1"/>
  <c r="AF962" i="3"/>
  <c r="AG962" i="3" s="1"/>
  <c r="AF963" i="3"/>
  <c r="AG963" i="3" s="1"/>
  <c r="AF964" i="3"/>
  <c r="AG964" i="3" s="1"/>
  <c r="AF965" i="3"/>
  <c r="AG965" i="3" s="1"/>
  <c r="AF966" i="3"/>
  <c r="AG966" i="3" s="1"/>
  <c r="AF967" i="3"/>
  <c r="AG967" i="3" s="1"/>
  <c r="AF968" i="3"/>
  <c r="AG968" i="3" s="1"/>
  <c r="AF969" i="3"/>
  <c r="AG969" i="3" s="1"/>
  <c r="AF970" i="3"/>
  <c r="AG970" i="3" s="1"/>
  <c r="AF971" i="3"/>
  <c r="AG971" i="3" s="1"/>
  <c r="AF972" i="3"/>
  <c r="AG972" i="3" s="1"/>
  <c r="AF973" i="3"/>
  <c r="AG973" i="3" s="1"/>
  <c r="AF974" i="3"/>
  <c r="AG974" i="3" s="1"/>
  <c r="AF975" i="3"/>
  <c r="AG975" i="3" s="1"/>
  <c r="AF976" i="3"/>
  <c r="AG976" i="3" s="1"/>
  <c r="AF977" i="3"/>
  <c r="AG977" i="3" s="1"/>
  <c r="AF978" i="3"/>
  <c r="AG978" i="3" s="1"/>
  <c r="AF979" i="3"/>
  <c r="AG979" i="3" s="1"/>
  <c r="AF980" i="3"/>
  <c r="AG980" i="3" s="1"/>
  <c r="AF981" i="3"/>
  <c r="AG981" i="3" s="1"/>
  <c r="AF982" i="3"/>
  <c r="AG982" i="3" s="1"/>
  <c r="AF983" i="3"/>
  <c r="AG983" i="3" s="1"/>
  <c r="AF984" i="3"/>
  <c r="AG984" i="3" s="1"/>
  <c r="AF985" i="3"/>
  <c r="AG985" i="3" s="1"/>
  <c r="AF986" i="3"/>
  <c r="AG986" i="3" s="1"/>
  <c r="AF987" i="3"/>
  <c r="AG987" i="3" s="1"/>
  <c r="AF988" i="3"/>
  <c r="AG988" i="3" s="1"/>
  <c r="AF989" i="3"/>
  <c r="AG989" i="3" s="1"/>
  <c r="AF990" i="3"/>
  <c r="AG990" i="3" s="1"/>
  <c r="AF991" i="3"/>
  <c r="AG991" i="3" s="1"/>
  <c r="AF992" i="3"/>
  <c r="AG992" i="3" s="1"/>
  <c r="AF993" i="3"/>
  <c r="AG993" i="3" s="1"/>
  <c r="AF994" i="3"/>
  <c r="AG994" i="3" s="1"/>
  <c r="AF995" i="3"/>
  <c r="AG995" i="3" s="1"/>
  <c r="AF996" i="3"/>
  <c r="AG996" i="3" s="1"/>
  <c r="AF997" i="3"/>
  <c r="AG997" i="3" s="1"/>
  <c r="AF998" i="3"/>
  <c r="AG998" i="3" s="1"/>
  <c r="AF999" i="3"/>
  <c r="AG999" i="3" s="1"/>
  <c r="AF1000" i="3"/>
  <c r="AG1000" i="3" s="1"/>
  <c r="AF1001" i="3"/>
  <c r="AG1001" i="3" s="1"/>
  <c r="AF1002" i="3"/>
  <c r="AG1002" i="3" s="1"/>
  <c r="AF1003" i="3"/>
  <c r="AG1003" i="3" s="1"/>
  <c r="AF1004" i="3"/>
  <c r="AG1004" i="3" s="1"/>
  <c r="AF1005" i="3"/>
  <c r="AG1005" i="3" s="1"/>
  <c r="AF1006" i="3"/>
  <c r="AG1006" i="3" s="1"/>
  <c r="AF1007" i="3"/>
  <c r="AG1007" i="3" s="1"/>
  <c r="AF8" i="3"/>
  <c r="AC11" i="1"/>
  <c r="AD11" i="1" s="1"/>
  <c r="AC8" i="1"/>
  <c r="AC9" i="1"/>
  <c r="AC12" i="1"/>
  <c r="AC13" i="1"/>
  <c r="AC14" i="1"/>
  <c r="AC15" i="1"/>
  <c r="AC16" i="1"/>
  <c r="AC17" i="1"/>
  <c r="AC18" i="1"/>
  <c r="AD18" i="1" s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8" i="1"/>
  <c r="AJ9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3" i="1"/>
  <c r="AI12" i="1"/>
  <c r="AI9" i="1"/>
  <c r="AI8" i="1"/>
  <c r="AD12" i="1"/>
  <c r="AD13" i="1"/>
  <c r="AD14" i="1"/>
  <c r="AD15" i="1"/>
  <c r="AD16" i="1"/>
  <c r="AD17" i="1"/>
  <c r="AF17" i="1" s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D10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O14" i="6"/>
  <c r="O11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O9" i="6"/>
  <c r="O10" i="6"/>
  <c r="O12" i="6"/>
  <c r="O13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8" i="6"/>
  <c r="P8" i="6"/>
  <c r="X8" i="6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H97" i="3"/>
  <c r="AI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A1007" i="6"/>
  <c r="AA1006" i="6"/>
  <c r="AA1005" i="6"/>
  <c r="AA1004" i="6"/>
  <c r="AA1003" i="6"/>
  <c r="AA1002" i="6"/>
  <c r="AA1001" i="6"/>
  <c r="AA1000" i="6"/>
  <c r="AA999" i="6"/>
  <c r="AA998" i="6"/>
  <c r="AA997" i="6"/>
  <c r="AA996" i="6"/>
  <c r="AA995" i="6"/>
  <c r="AA994" i="6"/>
  <c r="AA993" i="6"/>
  <c r="AA992" i="6"/>
  <c r="AA991" i="6"/>
  <c r="AA990" i="6"/>
  <c r="AA989" i="6"/>
  <c r="AA988" i="6"/>
  <c r="AA987" i="6"/>
  <c r="AA986" i="6"/>
  <c r="AA985" i="6"/>
  <c r="AA984" i="6"/>
  <c r="AA983" i="6"/>
  <c r="AA982" i="6"/>
  <c r="AA981" i="6"/>
  <c r="AA980" i="6"/>
  <c r="AA979" i="6"/>
  <c r="AA978" i="6"/>
  <c r="AA977" i="6"/>
  <c r="AA976" i="6"/>
  <c r="AA975" i="6"/>
  <c r="AA974" i="6"/>
  <c r="AA973" i="6"/>
  <c r="AA972" i="6"/>
  <c r="AA971" i="6"/>
  <c r="AA970" i="6"/>
  <c r="AA969" i="6"/>
  <c r="AA968" i="6"/>
  <c r="AA967" i="6"/>
  <c r="AA966" i="6"/>
  <c r="AA965" i="6"/>
  <c r="AA964" i="6"/>
  <c r="AA963" i="6"/>
  <c r="AA962" i="6"/>
  <c r="AA961" i="6"/>
  <c r="AA960" i="6"/>
  <c r="AA959" i="6"/>
  <c r="AA958" i="6"/>
  <c r="AA957" i="6"/>
  <c r="AA956" i="6"/>
  <c r="AA955" i="6"/>
  <c r="AA954" i="6"/>
  <c r="AA953" i="6"/>
  <c r="AA952" i="6"/>
  <c r="AA951" i="6"/>
  <c r="AA950" i="6"/>
  <c r="AA949" i="6"/>
  <c r="AA948" i="6"/>
  <c r="AA947" i="6"/>
  <c r="AA946" i="6"/>
  <c r="AA945" i="6"/>
  <c r="AA944" i="6"/>
  <c r="AA943" i="6"/>
  <c r="AA942" i="6"/>
  <c r="AA941" i="6"/>
  <c r="AA940" i="6"/>
  <c r="AA939" i="6"/>
  <c r="AA938" i="6"/>
  <c r="AA937" i="6"/>
  <c r="AA936" i="6"/>
  <c r="AA935" i="6"/>
  <c r="AA934" i="6"/>
  <c r="AA933" i="6"/>
  <c r="AA932" i="6"/>
  <c r="AA931" i="6"/>
  <c r="AA930" i="6"/>
  <c r="AA929" i="6"/>
  <c r="AA928" i="6"/>
  <c r="AA927" i="6"/>
  <c r="AA926" i="6"/>
  <c r="AA925" i="6"/>
  <c r="AA924" i="6"/>
  <c r="AA923" i="6"/>
  <c r="AA922" i="6"/>
  <c r="AA921" i="6"/>
  <c r="AA920" i="6"/>
  <c r="AA919" i="6"/>
  <c r="AA918" i="6"/>
  <c r="AA917" i="6"/>
  <c r="AA916" i="6"/>
  <c r="AA915" i="6"/>
  <c r="AA914" i="6"/>
  <c r="AA913" i="6"/>
  <c r="AA912" i="6"/>
  <c r="AA911" i="6"/>
  <c r="AA910" i="6"/>
  <c r="AA909" i="6"/>
  <c r="AA908" i="6"/>
  <c r="AA907" i="6"/>
  <c r="AA906" i="6"/>
  <c r="AA905" i="6"/>
  <c r="AA904" i="6"/>
  <c r="AA903" i="6"/>
  <c r="AA902" i="6"/>
  <c r="AA901" i="6"/>
  <c r="AA900" i="6"/>
  <c r="AA899" i="6"/>
  <c r="AA898" i="6"/>
  <c r="AA897" i="6"/>
  <c r="AA896" i="6"/>
  <c r="AA895" i="6"/>
  <c r="AA894" i="6"/>
  <c r="AA893" i="6"/>
  <c r="AA892" i="6"/>
  <c r="AA891" i="6"/>
  <c r="AA890" i="6"/>
  <c r="AA889" i="6"/>
  <c r="AA888" i="6"/>
  <c r="AA887" i="6"/>
  <c r="AA886" i="6"/>
  <c r="AA885" i="6"/>
  <c r="AA884" i="6"/>
  <c r="AA883" i="6"/>
  <c r="AA882" i="6"/>
  <c r="AA881" i="6"/>
  <c r="AA880" i="6"/>
  <c r="AA879" i="6"/>
  <c r="AA878" i="6"/>
  <c r="AA877" i="6"/>
  <c r="AA876" i="6"/>
  <c r="AA875" i="6"/>
  <c r="AA874" i="6"/>
  <c r="AA873" i="6"/>
  <c r="AA872" i="6"/>
  <c r="AA871" i="6"/>
  <c r="AA870" i="6"/>
  <c r="AA869" i="6"/>
  <c r="AA868" i="6"/>
  <c r="AA867" i="6"/>
  <c r="AA866" i="6"/>
  <c r="AA865" i="6"/>
  <c r="AA864" i="6"/>
  <c r="AA863" i="6"/>
  <c r="AA862" i="6"/>
  <c r="AA861" i="6"/>
  <c r="AA860" i="6"/>
  <c r="AA859" i="6"/>
  <c r="AA858" i="6"/>
  <c r="AA857" i="6"/>
  <c r="AA856" i="6"/>
  <c r="AA855" i="6"/>
  <c r="AA854" i="6"/>
  <c r="AA853" i="6"/>
  <c r="AA852" i="6"/>
  <c r="AA851" i="6"/>
  <c r="AA850" i="6"/>
  <c r="AA849" i="6"/>
  <c r="AA848" i="6"/>
  <c r="AA847" i="6"/>
  <c r="AA846" i="6"/>
  <c r="AA845" i="6"/>
  <c r="AA844" i="6"/>
  <c r="AA843" i="6"/>
  <c r="AA842" i="6"/>
  <c r="AA841" i="6"/>
  <c r="AA840" i="6"/>
  <c r="AA839" i="6"/>
  <c r="AA838" i="6"/>
  <c r="AA837" i="6"/>
  <c r="AA836" i="6"/>
  <c r="AA835" i="6"/>
  <c r="AA834" i="6"/>
  <c r="AA833" i="6"/>
  <c r="AA832" i="6"/>
  <c r="AA831" i="6"/>
  <c r="AA830" i="6"/>
  <c r="AA829" i="6"/>
  <c r="AA828" i="6"/>
  <c r="AA827" i="6"/>
  <c r="AA826" i="6"/>
  <c r="AA825" i="6"/>
  <c r="AA824" i="6"/>
  <c r="AA823" i="6"/>
  <c r="AA822" i="6"/>
  <c r="AA821" i="6"/>
  <c r="AA820" i="6"/>
  <c r="AA819" i="6"/>
  <c r="AA818" i="6"/>
  <c r="AA817" i="6"/>
  <c r="AA816" i="6"/>
  <c r="AA815" i="6"/>
  <c r="AA814" i="6"/>
  <c r="AA813" i="6"/>
  <c r="AA812" i="6"/>
  <c r="AA811" i="6"/>
  <c r="AA810" i="6"/>
  <c r="AA809" i="6"/>
  <c r="AA808" i="6"/>
  <c r="AA807" i="6"/>
  <c r="AA806" i="6"/>
  <c r="AA805" i="6"/>
  <c r="AA804" i="6"/>
  <c r="AA803" i="6"/>
  <c r="AA802" i="6"/>
  <c r="AA801" i="6"/>
  <c r="AA800" i="6"/>
  <c r="AA799" i="6"/>
  <c r="AA798" i="6"/>
  <c r="AA797" i="6"/>
  <c r="AA796" i="6"/>
  <c r="AA795" i="6"/>
  <c r="AA794" i="6"/>
  <c r="AA793" i="6"/>
  <c r="AA792" i="6"/>
  <c r="AA791" i="6"/>
  <c r="AA790" i="6"/>
  <c r="AA789" i="6"/>
  <c r="AA788" i="6"/>
  <c r="AA787" i="6"/>
  <c r="AA786" i="6"/>
  <c r="AA785" i="6"/>
  <c r="AA784" i="6"/>
  <c r="AA783" i="6"/>
  <c r="AA782" i="6"/>
  <c r="AA781" i="6"/>
  <c r="AA780" i="6"/>
  <c r="AA779" i="6"/>
  <c r="AA778" i="6"/>
  <c r="AA777" i="6"/>
  <c r="AA776" i="6"/>
  <c r="AA775" i="6"/>
  <c r="AA774" i="6"/>
  <c r="AA773" i="6"/>
  <c r="AA772" i="6"/>
  <c r="AA771" i="6"/>
  <c r="AA770" i="6"/>
  <c r="AA769" i="6"/>
  <c r="AA768" i="6"/>
  <c r="AA767" i="6"/>
  <c r="AA766" i="6"/>
  <c r="AA765" i="6"/>
  <c r="AA764" i="6"/>
  <c r="AA763" i="6"/>
  <c r="AA762" i="6"/>
  <c r="AA761" i="6"/>
  <c r="AA760" i="6"/>
  <c r="AA759" i="6"/>
  <c r="AA758" i="6"/>
  <c r="AA757" i="6"/>
  <c r="AA756" i="6"/>
  <c r="AA755" i="6"/>
  <c r="AA754" i="6"/>
  <c r="AA753" i="6"/>
  <c r="AA752" i="6"/>
  <c r="AA751" i="6"/>
  <c r="AA750" i="6"/>
  <c r="AA749" i="6"/>
  <c r="AA748" i="6"/>
  <c r="AA747" i="6"/>
  <c r="AA746" i="6"/>
  <c r="AA745" i="6"/>
  <c r="AA744" i="6"/>
  <c r="AA743" i="6"/>
  <c r="AA742" i="6"/>
  <c r="AA741" i="6"/>
  <c r="AA740" i="6"/>
  <c r="AA739" i="6"/>
  <c r="AA738" i="6"/>
  <c r="AA737" i="6"/>
  <c r="AA736" i="6"/>
  <c r="AA735" i="6"/>
  <c r="AA734" i="6"/>
  <c r="AA733" i="6"/>
  <c r="AA732" i="6"/>
  <c r="AA731" i="6"/>
  <c r="AA730" i="6"/>
  <c r="AA729" i="6"/>
  <c r="AA728" i="6"/>
  <c r="AA727" i="6"/>
  <c r="AA726" i="6"/>
  <c r="AA725" i="6"/>
  <c r="AA724" i="6"/>
  <c r="AA723" i="6"/>
  <c r="AA722" i="6"/>
  <c r="AA721" i="6"/>
  <c r="AA720" i="6"/>
  <c r="AA719" i="6"/>
  <c r="AA718" i="6"/>
  <c r="AA717" i="6"/>
  <c r="AA716" i="6"/>
  <c r="AA715" i="6"/>
  <c r="AA714" i="6"/>
  <c r="AA713" i="6"/>
  <c r="AA712" i="6"/>
  <c r="AA711" i="6"/>
  <c r="AA710" i="6"/>
  <c r="AA709" i="6"/>
  <c r="AA708" i="6"/>
  <c r="AA707" i="6"/>
  <c r="AA706" i="6"/>
  <c r="AA705" i="6"/>
  <c r="AA704" i="6"/>
  <c r="AA703" i="6"/>
  <c r="AA702" i="6"/>
  <c r="AA701" i="6"/>
  <c r="AA700" i="6"/>
  <c r="AA699" i="6"/>
  <c r="AA698" i="6"/>
  <c r="AA697" i="6"/>
  <c r="AA696" i="6"/>
  <c r="AA695" i="6"/>
  <c r="AA694" i="6"/>
  <c r="AA693" i="6"/>
  <c r="AA692" i="6"/>
  <c r="AA691" i="6"/>
  <c r="AA690" i="6"/>
  <c r="AA689" i="6"/>
  <c r="AA688" i="6"/>
  <c r="AA687" i="6"/>
  <c r="AA686" i="6"/>
  <c r="AA685" i="6"/>
  <c r="AA684" i="6"/>
  <c r="AA683" i="6"/>
  <c r="AA682" i="6"/>
  <c r="AA681" i="6"/>
  <c r="AA680" i="6"/>
  <c r="AA679" i="6"/>
  <c r="AA678" i="6"/>
  <c r="AA677" i="6"/>
  <c r="AA676" i="6"/>
  <c r="AA675" i="6"/>
  <c r="AA674" i="6"/>
  <c r="AA673" i="6"/>
  <c r="AA672" i="6"/>
  <c r="AA671" i="6"/>
  <c r="AA670" i="6"/>
  <c r="AA669" i="6"/>
  <c r="AA668" i="6"/>
  <c r="AA667" i="6"/>
  <c r="AA666" i="6"/>
  <c r="AA665" i="6"/>
  <c r="AA664" i="6"/>
  <c r="AA663" i="6"/>
  <c r="AA662" i="6"/>
  <c r="AA661" i="6"/>
  <c r="AA660" i="6"/>
  <c r="AA659" i="6"/>
  <c r="AA658" i="6"/>
  <c r="AA657" i="6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AA621" i="6"/>
  <c r="AA620" i="6"/>
  <c r="AA619" i="6"/>
  <c r="AA618" i="6"/>
  <c r="AA617" i="6"/>
  <c r="AA616" i="6"/>
  <c r="AA615" i="6"/>
  <c r="AA614" i="6"/>
  <c r="AA613" i="6"/>
  <c r="AA612" i="6"/>
  <c r="AA611" i="6"/>
  <c r="AA610" i="6"/>
  <c r="AA609" i="6"/>
  <c r="AA608" i="6"/>
  <c r="AA607" i="6"/>
  <c r="AA606" i="6"/>
  <c r="AA605" i="6"/>
  <c r="AA604" i="6"/>
  <c r="AA603" i="6"/>
  <c r="AA602" i="6"/>
  <c r="AA601" i="6"/>
  <c r="AA600" i="6"/>
  <c r="AA599" i="6"/>
  <c r="AA598" i="6"/>
  <c r="AA597" i="6"/>
  <c r="AA596" i="6"/>
  <c r="AA595" i="6"/>
  <c r="AA594" i="6"/>
  <c r="AA593" i="6"/>
  <c r="AA592" i="6"/>
  <c r="AA591" i="6"/>
  <c r="AA590" i="6"/>
  <c r="AA589" i="6"/>
  <c r="AA588" i="6"/>
  <c r="AA587" i="6"/>
  <c r="AA586" i="6"/>
  <c r="AA585" i="6"/>
  <c r="AA584" i="6"/>
  <c r="AA583" i="6"/>
  <c r="AA582" i="6"/>
  <c r="AA581" i="6"/>
  <c r="AA580" i="6"/>
  <c r="AA579" i="6"/>
  <c r="AA578" i="6"/>
  <c r="AA577" i="6"/>
  <c r="AA576" i="6"/>
  <c r="AA575" i="6"/>
  <c r="AA574" i="6"/>
  <c r="AA573" i="6"/>
  <c r="AA572" i="6"/>
  <c r="AA571" i="6"/>
  <c r="AA570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AA534" i="6"/>
  <c r="AA533" i="6"/>
  <c r="AA532" i="6"/>
  <c r="AA531" i="6"/>
  <c r="AA530" i="6"/>
  <c r="AA529" i="6"/>
  <c r="AA528" i="6"/>
  <c r="AA527" i="6"/>
  <c r="AA526" i="6"/>
  <c r="AA525" i="6"/>
  <c r="AA524" i="6"/>
  <c r="AA523" i="6"/>
  <c r="AA522" i="6"/>
  <c r="AA521" i="6"/>
  <c r="AA520" i="6"/>
  <c r="AA519" i="6"/>
  <c r="AA518" i="6"/>
  <c r="AA517" i="6"/>
  <c r="AA516" i="6"/>
  <c r="AA515" i="6"/>
  <c r="AA514" i="6"/>
  <c r="AA513" i="6"/>
  <c r="AA512" i="6"/>
  <c r="AA511" i="6"/>
  <c r="AA510" i="6"/>
  <c r="AA509" i="6"/>
  <c r="AA508" i="6"/>
  <c r="AA507" i="6"/>
  <c r="AA506" i="6"/>
  <c r="AA505" i="6"/>
  <c r="AA504" i="6"/>
  <c r="AA503" i="6"/>
  <c r="AA502" i="6"/>
  <c r="AA501" i="6"/>
  <c r="AA500" i="6"/>
  <c r="AA499" i="6"/>
  <c r="AA498" i="6"/>
  <c r="AA497" i="6"/>
  <c r="AA496" i="6"/>
  <c r="AA495" i="6"/>
  <c r="AA494" i="6"/>
  <c r="AA493" i="6"/>
  <c r="AA492" i="6"/>
  <c r="AA491" i="6"/>
  <c r="AA490" i="6"/>
  <c r="AA489" i="6"/>
  <c r="AA488" i="6"/>
  <c r="AA487" i="6"/>
  <c r="AA486" i="6"/>
  <c r="AA485" i="6"/>
  <c r="AA484" i="6"/>
  <c r="AA483" i="6"/>
  <c r="AA482" i="6"/>
  <c r="AA481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AA445" i="6"/>
  <c r="AA444" i="6"/>
  <c r="AA443" i="6"/>
  <c r="AA442" i="6"/>
  <c r="AA441" i="6"/>
  <c r="AA440" i="6"/>
  <c r="AA439" i="6"/>
  <c r="AA438" i="6"/>
  <c r="AA437" i="6"/>
  <c r="AA436" i="6"/>
  <c r="AA435" i="6"/>
  <c r="AA434" i="6"/>
  <c r="AA433" i="6"/>
  <c r="AA432" i="6"/>
  <c r="AA431" i="6"/>
  <c r="AA430" i="6"/>
  <c r="AA429" i="6"/>
  <c r="AA428" i="6"/>
  <c r="AA427" i="6"/>
  <c r="AA426" i="6"/>
  <c r="AA425" i="6"/>
  <c r="AA424" i="6"/>
  <c r="AA423" i="6"/>
  <c r="AA422" i="6"/>
  <c r="AA421" i="6"/>
  <c r="AA420" i="6"/>
  <c r="AA419" i="6"/>
  <c r="AA418" i="6"/>
  <c r="AA417" i="6"/>
  <c r="AA416" i="6"/>
  <c r="AA415" i="6"/>
  <c r="AA414" i="6"/>
  <c r="AA413" i="6"/>
  <c r="AA412" i="6"/>
  <c r="AA411" i="6"/>
  <c r="AA410" i="6"/>
  <c r="AA409" i="6"/>
  <c r="AA408" i="6"/>
  <c r="AA407" i="6"/>
  <c r="AA406" i="6"/>
  <c r="AA405" i="6"/>
  <c r="AA404" i="6"/>
  <c r="AA403" i="6"/>
  <c r="AA402" i="6"/>
  <c r="AA401" i="6"/>
  <c r="AA400" i="6"/>
  <c r="AA399" i="6"/>
  <c r="AA398" i="6"/>
  <c r="AA397" i="6"/>
  <c r="AA396" i="6"/>
  <c r="AA395" i="6"/>
  <c r="AA394" i="6"/>
  <c r="AA393" i="6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AA357" i="6"/>
  <c r="AA356" i="6"/>
  <c r="AA355" i="6"/>
  <c r="AA354" i="6"/>
  <c r="AA353" i="6"/>
  <c r="AA352" i="6"/>
  <c r="AA351" i="6"/>
  <c r="AA350" i="6"/>
  <c r="AA349" i="6"/>
  <c r="AA348" i="6"/>
  <c r="AA347" i="6"/>
  <c r="AA346" i="6"/>
  <c r="AA345" i="6"/>
  <c r="AA344" i="6"/>
  <c r="AA343" i="6"/>
  <c r="AA342" i="6"/>
  <c r="AA341" i="6"/>
  <c r="AA340" i="6"/>
  <c r="AA339" i="6"/>
  <c r="AA338" i="6"/>
  <c r="AA337" i="6"/>
  <c r="AA336" i="6"/>
  <c r="AA335" i="6"/>
  <c r="AA334" i="6"/>
  <c r="AA333" i="6"/>
  <c r="AA332" i="6"/>
  <c r="AA331" i="6"/>
  <c r="AA330" i="6"/>
  <c r="AA329" i="6"/>
  <c r="AA328" i="6"/>
  <c r="AA327" i="6"/>
  <c r="AA326" i="6"/>
  <c r="AA325" i="6"/>
  <c r="AA324" i="6"/>
  <c r="AA323" i="6"/>
  <c r="AA322" i="6"/>
  <c r="AA321" i="6"/>
  <c r="AA320" i="6"/>
  <c r="AA319" i="6"/>
  <c r="AA318" i="6"/>
  <c r="AA317" i="6"/>
  <c r="AA316" i="6"/>
  <c r="AA315" i="6"/>
  <c r="AA314" i="6"/>
  <c r="AA313" i="6"/>
  <c r="AA312" i="6"/>
  <c r="AA311" i="6"/>
  <c r="AA310" i="6"/>
  <c r="AA309" i="6"/>
  <c r="AA308" i="6"/>
  <c r="AA307" i="6"/>
  <c r="AA306" i="6"/>
  <c r="AA305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R1007" i="6"/>
  <c r="S1007" i="6" s="1"/>
  <c r="R1006" i="6"/>
  <c r="S1006" i="6" s="1"/>
  <c r="R1005" i="6"/>
  <c r="S1005" i="6" s="1"/>
  <c r="R1004" i="6"/>
  <c r="S1004" i="6" s="1"/>
  <c r="R1003" i="6"/>
  <c r="S1003" i="6" s="1"/>
  <c r="R1002" i="6"/>
  <c r="S1002" i="6" s="1"/>
  <c r="R1001" i="6"/>
  <c r="S1001" i="6" s="1"/>
  <c r="R1000" i="6"/>
  <c r="S1000" i="6" s="1"/>
  <c r="R999" i="6"/>
  <c r="S999" i="6" s="1"/>
  <c r="R998" i="6"/>
  <c r="S998" i="6" s="1"/>
  <c r="R997" i="6"/>
  <c r="S997" i="6" s="1"/>
  <c r="R996" i="6"/>
  <c r="S996" i="6" s="1"/>
  <c r="R995" i="6"/>
  <c r="S995" i="6" s="1"/>
  <c r="R994" i="6"/>
  <c r="S994" i="6" s="1"/>
  <c r="R993" i="6"/>
  <c r="S993" i="6" s="1"/>
  <c r="R992" i="6"/>
  <c r="S992" i="6" s="1"/>
  <c r="R991" i="6"/>
  <c r="S991" i="6" s="1"/>
  <c r="R990" i="6"/>
  <c r="S990" i="6" s="1"/>
  <c r="R989" i="6"/>
  <c r="S989" i="6" s="1"/>
  <c r="R988" i="6"/>
  <c r="S988" i="6" s="1"/>
  <c r="R987" i="6"/>
  <c r="S987" i="6" s="1"/>
  <c r="R986" i="6"/>
  <c r="S986" i="6" s="1"/>
  <c r="R985" i="6"/>
  <c r="S985" i="6" s="1"/>
  <c r="R984" i="6"/>
  <c r="S984" i="6" s="1"/>
  <c r="R983" i="6"/>
  <c r="S983" i="6" s="1"/>
  <c r="R982" i="6"/>
  <c r="S982" i="6" s="1"/>
  <c r="R981" i="6"/>
  <c r="S981" i="6" s="1"/>
  <c r="R980" i="6"/>
  <c r="S980" i="6" s="1"/>
  <c r="R979" i="6"/>
  <c r="S979" i="6" s="1"/>
  <c r="R978" i="6"/>
  <c r="S978" i="6" s="1"/>
  <c r="R977" i="6"/>
  <c r="S977" i="6" s="1"/>
  <c r="R976" i="6"/>
  <c r="S976" i="6" s="1"/>
  <c r="R975" i="6"/>
  <c r="S975" i="6" s="1"/>
  <c r="R974" i="6"/>
  <c r="S974" i="6" s="1"/>
  <c r="R973" i="6"/>
  <c r="S973" i="6" s="1"/>
  <c r="R972" i="6"/>
  <c r="S972" i="6" s="1"/>
  <c r="R971" i="6"/>
  <c r="S971" i="6" s="1"/>
  <c r="R970" i="6"/>
  <c r="S970" i="6" s="1"/>
  <c r="R969" i="6"/>
  <c r="S969" i="6" s="1"/>
  <c r="R968" i="6"/>
  <c r="S968" i="6" s="1"/>
  <c r="R967" i="6"/>
  <c r="S967" i="6" s="1"/>
  <c r="R966" i="6"/>
  <c r="S966" i="6" s="1"/>
  <c r="R965" i="6"/>
  <c r="S965" i="6" s="1"/>
  <c r="R964" i="6"/>
  <c r="S964" i="6" s="1"/>
  <c r="R963" i="6"/>
  <c r="S963" i="6" s="1"/>
  <c r="R962" i="6"/>
  <c r="S962" i="6" s="1"/>
  <c r="R961" i="6"/>
  <c r="S961" i="6" s="1"/>
  <c r="R960" i="6"/>
  <c r="S960" i="6" s="1"/>
  <c r="R959" i="6"/>
  <c r="S959" i="6" s="1"/>
  <c r="R958" i="6"/>
  <c r="S958" i="6" s="1"/>
  <c r="R957" i="6"/>
  <c r="S957" i="6" s="1"/>
  <c r="R956" i="6"/>
  <c r="S956" i="6" s="1"/>
  <c r="R955" i="6"/>
  <c r="S955" i="6" s="1"/>
  <c r="R954" i="6"/>
  <c r="S954" i="6" s="1"/>
  <c r="R953" i="6"/>
  <c r="S953" i="6" s="1"/>
  <c r="R952" i="6"/>
  <c r="S952" i="6" s="1"/>
  <c r="R951" i="6"/>
  <c r="S951" i="6" s="1"/>
  <c r="R950" i="6"/>
  <c r="S950" i="6" s="1"/>
  <c r="R949" i="6"/>
  <c r="S949" i="6" s="1"/>
  <c r="R948" i="6"/>
  <c r="S948" i="6" s="1"/>
  <c r="R947" i="6"/>
  <c r="S947" i="6" s="1"/>
  <c r="R946" i="6"/>
  <c r="S946" i="6" s="1"/>
  <c r="R945" i="6"/>
  <c r="S945" i="6" s="1"/>
  <c r="R944" i="6"/>
  <c r="S944" i="6" s="1"/>
  <c r="R943" i="6"/>
  <c r="S943" i="6" s="1"/>
  <c r="R942" i="6"/>
  <c r="S942" i="6" s="1"/>
  <c r="R941" i="6"/>
  <c r="S941" i="6" s="1"/>
  <c r="R940" i="6"/>
  <c r="S940" i="6" s="1"/>
  <c r="R939" i="6"/>
  <c r="S939" i="6" s="1"/>
  <c r="R938" i="6"/>
  <c r="S938" i="6" s="1"/>
  <c r="R937" i="6"/>
  <c r="S937" i="6" s="1"/>
  <c r="R936" i="6"/>
  <c r="S936" i="6" s="1"/>
  <c r="R935" i="6"/>
  <c r="S935" i="6" s="1"/>
  <c r="R934" i="6"/>
  <c r="S934" i="6" s="1"/>
  <c r="R933" i="6"/>
  <c r="S933" i="6" s="1"/>
  <c r="R932" i="6"/>
  <c r="S932" i="6" s="1"/>
  <c r="R931" i="6"/>
  <c r="S931" i="6" s="1"/>
  <c r="R930" i="6"/>
  <c r="S930" i="6" s="1"/>
  <c r="R929" i="6"/>
  <c r="S929" i="6" s="1"/>
  <c r="R928" i="6"/>
  <c r="S928" i="6" s="1"/>
  <c r="R927" i="6"/>
  <c r="S927" i="6" s="1"/>
  <c r="R926" i="6"/>
  <c r="S926" i="6" s="1"/>
  <c r="R925" i="6"/>
  <c r="S925" i="6" s="1"/>
  <c r="R924" i="6"/>
  <c r="S924" i="6" s="1"/>
  <c r="R923" i="6"/>
  <c r="S923" i="6" s="1"/>
  <c r="R922" i="6"/>
  <c r="S922" i="6" s="1"/>
  <c r="R921" i="6"/>
  <c r="S921" i="6" s="1"/>
  <c r="R920" i="6"/>
  <c r="S920" i="6" s="1"/>
  <c r="R919" i="6"/>
  <c r="S919" i="6" s="1"/>
  <c r="R918" i="6"/>
  <c r="S918" i="6" s="1"/>
  <c r="R917" i="6"/>
  <c r="S917" i="6" s="1"/>
  <c r="R916" i="6"/>
  <c r="S916" i="6" s="1"/>
  <c r="R915" i="6"/>
  <c r="S915" i="6" s="1"/>
  <c r="R914" i="6"/>
  <c r="S914" i="6" s="1"/>
  <c r="R913" i="6"/>
  <c r="S913" i="6" s="1"/>
  <c r="R912" i="6"/>
  <c r="S912" i="6" s="1"/>
  <c r="R911" i="6"/>
  <c r="S911" i="6" s="1"/>
  <c r="R910" i="6"/>
  <c r="S910" i="6" s="1"/>
  <c r="R909" i="6"/>
  <c r="S909" i="6" s="1"/>
  <c r="R908" i="6"/>
  <c r="S908" i="6" s="1"/>
  <c r="R907" i="6"/>
  <c r="S907" i="6" s="1"/>
  <c r="R906" i="6"/>
  <c r="S906" i="6" s="1"/>
  <c r="R905" i="6"/>
  <c r="S905" i="6" s="1"/>
  <c r="R904" i="6"/>
  <c r="S904" i="6" s="1"/>
  <c r="R903" i="6"/>
  <c r="S903" i="6" s="1"/>
  <c r="R902" i="6"/>
  <c r="S902" i="6" s="1"/>
  <c r="R901" i="6"/>
  <c r="S901" i="6" s="1"/>
  <c r="R900" i="6"/>
  <c r="S900" i="6" s="1"/>
  <c r="R899" i="6"/>
  <c r="S899" i="6" s="1"/>
  <c r="R898" i="6"/>
  <c r="S898" i="6" s="1"/>
  <c r="R897" i="6"/>
  <c r="S897" i="6" s="1"/>
  <c r="R896" i="6"/>
  <c r="S896" i="6" s="1"/>
  <c r="R895" i="6"/>
  <c r="S895" i="6" s="1"/>
  <c r="R894" i="6"/>
  <c r="S894" i="6" s="1"/>
  <c r="R893" i="6"/>
  <c r="S893" i="6" s="1"/>
  <c r="R892" i="6"/>
  <c r="S892" i="6" s="1"/>
  <c r="R891" i="6"/>
  <c r="S891" i="6" s="1"/>
  <c r="R890" i="6"/>
  <c r="S890" i="6" s="1"/>
  <c r="R889" i="6"/>
  <c r="S889" i="6" s="1"/>
  <c r="R888" i="6"/>
  <c r="S888" i="6" s="1"/>
  <c r="R887" i="6"/>
  <c r="S887" i="6" s="1"/>
  <c r="R886" i="6"/>
  <c r="S886" i="6" s="1"/>
  <c r="R885" i="6"/>
  <c r="S885" i="6" s="1"/>
  <c r="R884" i="6"/>
  <c r="S884" i="6" s="1"/>
  <c r="R883" i="6"/>
  <c r="S883" i="6" s="1"/>
  <c r="R882" i="6"/>
  <c r="S882" i="6" s="1"/>
  <c r="R881" i="6"/>
  <c r="S881" i="6" s="1"/>
  <c r="R880" i="6"/>
  <c r="S880" i="6" s="1"/>
  <c r="R879" i="6"/>
  <c r="S879" i="6" s="1"/>
  <c r="R878" i="6"/>
  <c r="S878" i="6" s="1"/>
  <c r="R877" i="6"/>
  <c r="S877" i="6" s="1"/>
  <c r="R876" i="6"/>
  <c r="S876" i="6" s="1"/>
  <c r="R875" i="6"/>
  <c r="S875" i="6" s="1"/>
  <c r="R874" i="6"/>
  <c r="S874" i="6" s="1"/>
  <c r="R873" i="6"/>
  <c r="S873" i="6" s="1"/>
  <c r="R872" i="6"/>
  <c r="S872" i="6" s="1"/>
  <c r="R871" i="6"/>
  <c r="S871" i="6" s="1"/>
  <c r="R870" i="6"/>
  <c r="S870" i="6" s="1"/>
  <c r="R869" i="6"/>
  <c r="S869" i="6" s="1"/>
  <c r="R868" i="6"/>
  <c r="S868" i="6" s="1"/>
  <c r="R867" i="6"/>
  <c r="S867" i="6" s="1"/>
  <c r="R866" i="6"/>
  <c r="S866" i="6" s="1"/>
  <c r="R865" i="6"/>
  <c r="S865" i="6" s="1"/>
  <c r="R864" i="6"/>
  <c r="S864" i="6" s="1"/>
  <c r="R863" i="6"/>
  <c r="S863" i="6" s="1"/>
  <c r="R862" i="6"/>
  <c r="S862" i="6" s="1"/>
  <c r="R861" i="6"/>
  <c r="S861" i="6" s="1"/>
  <c r="R860" i="6"/>
  <c r="S860" i="6" s="1"/>
  <c r="R859" i="6"/>
  <c r="S859" i="6" s="1"/>
  <c r="R858" i="6"/>
  <c r="S858" i="6" s="1"/>
  <c r="R857" i="6"/>
  <c r="S857" i="6" s="1"/>
  <c r="R856" i="6"/>
  <c r="S856" i="6" s="1"/>
  <c r="R855" i="6"/>
  <c r="S855" i="6" s="1"/>
  <c r="R854" i="6"/>
  <c r="S854" i="6" s="1"/>
  <c r="R853" i="6"/>
  <c r="S853" i="6" s="1"/>
  <c r="R852" i="6"/>
  <c r="S852" i="6" s="1"/>
  <c r="R851" i="6"/>
  <c r="S851" i="6" s="1"/>
  <c r="R850" i="6"/>
  <c r="S850" i="6" s="1"/>
  <c r="R849" i="6"/>
  <c r="S849" i="6" s="1"/>
  <c r="R848" i="6"/>
  <c r="S848" i="6" s="1"/>
  <c r="R847" i="6"/>
  <c r="S847" i="6" s="1"/>
  <c r="R846" i="6"/>
  <c r="S846" i="6" s="1"/>
  <c r="R845" i="6"/>
  <c r="S845" i="6" s="1"/>
  <c r="R844" i="6"/>
  <c r="S844" i="6" s="1"/>
  <c r="R843" i="6"/>
  <c r="S843" i="6" s="1"/>
  <c r="R842" i="6"/>
  <c r="S842" i="6" s="1"/>
  <c r="R841" i="6"/>
  <c r="S841" i="6" s="1"/>
  <c r="R840" i="6"/>
  <c r="S840" i="6" s="1"/>
  <c r="R839" i="6"/>
  <c r="S839" i="6" s="1"/>
  <c r="R838" i="6"/>
  <c r="S838" i="6" s="1"/>
  <c r="R837" i="6"/>
  <c r="S837" i="6" s="1"/>
  <c r="R836" i="6"/>
  <c r="S836" i="6" s="1"/>
  <c r="R835" i="6"/>
  <c r="S835" i="6" s="1"/>
  <c r="R834" i="6"/>
  <c r="S834" i="6" s="1"/>
  <c r="R833" i="6"/>
  <c r="S833" i="6" s="1"/>
  <c r="R832" i="6"/>
  <c r="S832" i="6" s="1"/>
  <c r="R831" i="6"/>
  <c r="S831" i="6" s="1"/>
  <c r="R830" i="6"/>
  <c r="S830" i="6" s="1"/>
  <c r="R829" i="6"/>
  <c r="S829" i="6" s="1"/>
  <c r="R828" i="6"/>
  <c r="S828" i="6" s="1"/>
  <c r="R827" i="6"/>
  <c r="S827" i="6" s="1"/>
  <c r="R826" i="6"/>
  <c r="S826" i="6" s="1"/>
  <c r="R825" i="6"/>
  <c r="S825" i="6" s="1"/>
  <c r="R824" i="6"/>
  <c r="S824" i="6" s="1"/>
  <c r="R823" i="6"/>
  <c r="S823" i="6" s="1"/>
  <c r="R822" i="6"/>
  <c r="S822" i="6" s="1"/>
  <c r="R821" i="6"/>
  <c r="S821" i="6" s="1"/>
  <c r="R820" i="6"/>
  <c r="S820" i="6" s="1"/>
  <c r="R819" i="6"/>
  <c r="S819" i="6" s="1"/>
  <c r="R818" i="6"/>
  <c r="S818" i="6" s="1"/>
  <c r="R817" i="6"/>
  <c r="S817" i="6" s="1"/>
  <c r="R816" i="6"/>
  <c r="S816" i="6" s="1"/>
  <c r="R815" i="6"/>
  <c r="S815" i="6" s="1"/>
  <c r="R814" i="6"/>
  <c r="S814" i="6" s="1"/>
  <c r="R813" i="6"/>
  <c r="S813" i="6" s="1"/>
  <c r="R812" i="6"/>
  <c r="S812" i="6" s="1"/>
  <c r="R811" i="6"/>
  <c r="S811" i="6" s="1"/>
  <c r="R810" i="6"/>
  <c r="S810" i="6" s="1"/>
  <c r="R809" i="6"/>
  <c r="S809" i="6" s="1"/>
  <c r="R808" i="6"/>
  <c r="S808" i="6" s="1"/>
  <c r="R807" i="6"/>
  <c r="S807" i="6" s="1"/>
  <c r="R806" i="6"/>
  <c r="S806" i="6" s="1"/>
  <c r="R805" i="6"/>
  <c r="S805" i="6" s="1"/>
  <c r="R804" i="6"/>
  <c r="S804" i="6" s="1"/>
  <c r="R803" i="6"/>
  <c r="S803" i="6" s="1"/>
  <c r="R802" i="6"/>
  <c r="S802" i="6" s="1"/>
  <c r="R801" i="6"/>
  <c r="S801" i="6" s="1"/>
  <c r="R800" i="6"/>
  <c r="S800" i="6" s="1"/>
  <c r="R799" i="6"/>
  <c r="S799" i="6" s="1"/>
  <c r="R798" i="6"/>
  <c r="S798" i="6" s="1"/>
  <c r="R797" i="6"/>
  <c r="S797" i="6" s="1"/>
  <c r="R796" i="6"/>
  <c r="S796" i="6" s="1"/>
  <c r="R795" i="6"/>
  <c r="S795" i="6" s="1"/>
  <c r="R794" i="6"/>
  <c r="S794" i="6" s="1"/>
  <c r="R793" i="6"/>
  <c r="S793" i="6" s="1"/>
  <c r="R792" i="6"/>
  <c r="S792" i="6" s="1"/>
  <c r="R791" i="6"/>
  <c r="S791" i="6" s="1"/>
  <c r="R790" i="6"/>
  <c r="S790" i="6" s="1"/>
  <c r="R789" i="6"/>
  <c r="S789" i="6" s="1"/>
  <c r="R788" i="6"/>
  <c r="S788" i="6" s="1"/>
  <c r="R787" i="6"/>
  <c r="S787" i="6" s="1"/>
  <c r="R786" i="6"/>
  <c r="S786" i="6" s="1"/>
  <c r="R785" i="6"/>
  <c r="S785" i="6" s="1"/>
  <c r="R784" i="6"/>
  <c r="S784" i="6" s="1"/>
  <c r="R783" i="6"/>
  <c r="S783" i="6" s="1"/>
  <c r="R782" i="6"/>
  <c r="S782" i="6" s="1"/>
  <c r="R781" i="6"/>
  <c r="S781" i="6" s="1"/>
  <c r="R780" i="6"/>
  <c r="S780" i="6" s="1"/>
  <c r="R779" i="6"/>
  <c r="S779" i="6" s="1"/>
  <c r="R778" i="6"/>
  <c r="S778" i="6" s="1"/>
  <c r="R777" i="6"/>
  <c r="S777" i="6" s="1"/>
  <c r="R776" i="6"/>
  <c r="S776" i="6" s="1"/>
  <c r="R775" i="6"/>
  <c r="S775" i="6" s="1"/>
  <c r="R774" i="6"/>
  <c r="S774" i="6" s="1"/>
  <c r="R773" i="6"/>
  <c r="S773" i="6" s="1"/>
  <c r="R772" i="6"/>
  <c r="S772" i="6" s="1"/>
  <c r="R771" i="6"/>
  <c r="S771" i="6" s="1"/>
  <c r="R770" i="6"/>
  <c r="S770" i="6" s="1"/>
  <c r="R769" i="6"/>
  <c r="S769" i="6" s="1"/>
  <c r="R768" i="6"/>
  <c r="S768" i="6" s="1"/>
  <c r="R767" i="6"/>
  <c r="S767" i="6" s="1"/>
  <c r="R766" i="6"/>
  <c r="S766" i="6" s="1"/>
  <c r="R765" i="6"/>
  <c r="S765" i="6" s="1"/>
  <c r="R764" i="6"/>
  <c r="S764" i="6" s="1"/>
  <c r="R763" i="6"/>
  <c r="S763" i="6" s="1"/>
  <c r="R762" i="6"/>
  <c r="S762" i="6" s="1"/>
  <c r="R761" i="6"/>
  <c r="S761" i="6" s="1"/>
  <c r="R760" i="6"/>
  <c r="S760" i="6" s="1"/>
  <c r="R759" i="6"/>
  <c r="S759" i="6" s="1"/>
  <c r="R758" i="6"/>
  <c r="S758" i="6" s="1"/>
  <c r="R757" i="6"/>
  <c r="S757" i="6" s="1"/>
  <c r="R756" i="6"/>
  <c r="S756" i="6" s="1"/>
  <c r="R755" i="6"/>
  <c r="S755" i="6" s="1"/>
  <c r="R754" i="6"/>
  <c r="S754" i="6" s="1"/>
  <c r="R753" i="6"/>
  <c r="S753" i="6" s="1"/>
  <c r="R752" i="6"/>
  <c r="S752" i="6" s="1"/>
  <c r="R751" i="6"/>
  <c r="S751" i="6" s="1"/>
  <c r="R750" i="6"/>
  <c r="S750" i="6" s="1"/>
  <c r="R749" i="6"/>
  <c r="S749" i="6" s="1"/>
  <c r="R748" i="6"/>
  <c r="S748" i="6" s="1"/>
  <c r="R747" i="6"/>
  <c r="S747" i="6" s="1"/>
  <c r="R746" i="6"/>
  <c r="S746" i="6" s="1"/>
  <c r="R745" i="6"/>
  <c r="S745" i="6" s="1"/>
  <c r="R744" i="6"/>
  <c r="S744" i="6" s="1"/>
  <c r="R743" i="6"/>
  <c r="S743" i="6" s="1"/>
  <c r="R742" i="6"/>
  <c r="S742" i="6" s="1"/>
  <c r="R741" i="6"/>
  <c r="S741" i="6" s="1"/>
  <c r="R740" i="6"/>
  <c r="S740" i="6" s="1"/>
  <c r="R739" i="6"/>
  <c r="S739" i="6" s="1"/>
  <c r="R738" i="6"/>
  <c r="S738" i="6" s="1"/>
  <c r="R737" i="6"/>
  <c r="S737" i="6" s="1"/>
  <c r="R736" i="6"/>
  <c r="S736" i="6" s="1"/>
  <c r="R735" i="6"/>
  <c r="S735" i="6" s="1"/>
  <c r="R734" i="6"/>
  <c r="S734" i="6" s="1"/>
  <c r="R733" i="6"/>
  <c r="S733" i="6" s="1"/>
  <c r="R732" i="6"/>
  <c r="S732" i="6" s="1"/>
  <c r="R731" i="6"/>
  <c r="S731" i="6" s="1"/>
  <c r="R730" i="6"/>
  <c r="S730" i="6" s="1"/>
  <c r="R729" i="6"/>
  <c r="S729" i="6" s="1"/>
  <c r="R728" i="6"/>
  <c r="S728" i="6" s="1"/>
  <c r="R727" i="6"/>
  <c r="S727" i="6" s="1"/>
  <c r="R726" i="6"/>
  <c r="S726" i="6" s="1"/>
  <c r="R725" i="6"/>
  <c r="S725" i="6" s="1"/>
  <c r="R724" i="6"/>
  <c r="S724" i="6" s="1"/>
  <c r="R723" i="6"/>
  <c r="S723" i="6" s="1"/>
  <c r="R722" i="6"/>
  <c r="S722" i="6" s="1"/>
  <c r="R721" i="6"/>
  <c r="S721" i="6" s="1"/>
  <c r="R720" i="6"/>
  <c r="S720" i="6" s="1"/>
  <c r="R719" i="6"/>
  <c r="S719" i="6" s="1"/>
  <c r="R718" i="6"/>
  <c r="S718" i="6" s="1"/>
  <c r="R717" i="6"/>
  <c r="S717" i="6" s="1"/>
  <c r="R716" i="6"/>
  <c r="S716" i="6" s="1"/>
  <c r="R715" i="6"/>
  <c r="S715" i="6" s="1"/>
  <c r="R714" i="6"/>
  <c r="S714" i="6" s="1"/>
  <c r="R713" i="6"/>
  <c r="S713" i="6" s="1"/>
  <c r="R712" i="6"/>
  <c r="S712" i="6" s="1"/>
  <c r="R711" i="6"/>
  <c r="S711" i="6" s="1"/>
  <c r="R710" i="6"/>
  <c r="S710" i="6" s="1"/>
  <c r="R709" i="6"/>
  <c r="S709" i="6" s="1"/>
  <c r="R708" i="6"/>
  <c r="S708" i="6" s="1"/>
  <c r="R707" i="6"/>
  <c r="S707" i="6" s="1"/>
  <c r="R706" i="6"/>
  <c r="S706" i="6" s="1"/>
  <c r="R705" i="6"/>
  <c r="S705" i="6" s="1"/>
  <c r="R704" i="6"/>
  <c r="S704" i="6" s="1"/>
  <c r="R703" i="6"/>
  <c r="S703" i="6" s="1"/>
  <c r="R702" i="6"/>
  <c r="S702" i="6" s="1"/>
  <c r="R701" i="6"/>
  <c r="S701" i="6" s="1"/>
  <c r="R700" i="6"/>
  <c r="S700" i="6" s="1"/>
  <c r="R699" i="6"/>
  <c r="S699" i="6" s="1"/>
  <c r="R698" i="6"/>
  <c r="S698" i="6" s="1"/>
  <c r="R697" i="6"/>
  <c r="S697" i="6" s="1"/>
  <c r="R696" i="6"/>
  <c r="S696" i="6" s="1"/>
  <c r="R695" i="6"/>
  <c r="S695" i="6" s="1"/>
  <c r="R694" i="6"/>
  <c r="S694" i="6" s="1"/>
  <c r="R693" i="6"/>
  <c r="S693" i="6" s="1"/>
  <c r="R692" i="6"/>
  <c r="S692" i="6" s="1"/>
  <c r="R691" i="6"/>
  <c r="S691" i="6" s="1"/>
  <c r="R690" i="6"/>
  <c r="S690" i="6" s="1"/>
  <c r="R689" i="6"/>
  <c r="S689" i="6" s="1"/>
  <c r="R688" i="6"/>
  <c r="S688" i="6" s="1"/>
  <c r="R687" i="6"/>
  <c r="S687" i="6" s="1"/>
  <c r="R686" i="6"/>
  <c r="S686" i="6" s="1"/>
  <c r="R685" i="6"/>
  <c r="S685" i="6" s="1"/>
  <c r="R684" i="6"/>
  <c r="S684" i="6" s="1"/>
  <c r="R683" i="6"/>
  <c r="S683" i="6" s="1"/>
  <c r="R682" i="6"/>
  <c r="S682" i="6" s="1"/>
  <c r="R681" i="6"/>
  <c r="S681" i="6" s="1"/>
  <c r="R680" i="6"/>
  <c r="S680" i="6" s="1"/>
  <c r="R679" i="6"/>
  <c r="S679" i="6" s="1"/>
  <c r="R678" i="6"/>
  <c r="S678" i="6" s="1"/>
  <c r="R677" i="6"/>
  <c r="S677" i="6" s="1"/>
  <c r="R676" i="6"/>
  <c r="S676" i="6" s="1"/>
  <c r="R675" i="6"/>
  <c r="S675" i="6" s="1"/>
  <c r="R674" i="6"/>
  <c r="S674" i="6" s="1"/>
  <c r="R673" i="6"/>
  <c r="S673" i="6" s="1"/>
  <c r="R672" i="6"/>
  <c r="S672" i="6" s="1"/>
  <c r="R671" i="6"/>
  <c r="S671" i="6" s="1"/>
  <c r="R670" i="6"/>
  <c r="S670" i="6" s="1"/>
  <c r="R669" i="6"/>
  <c r="S669" i="6" s="1"/>
  <c r="R668" i="6"/>
  <c r="S668" i="6" s="1"/>
  <c r="R667" i="6"/>
  <c r="S667" i="6" s="1"/>
  <c r="R666" i="6"/>
  <c r="S666" i="6" s="1"/>
  <c r="R665" i="6"/>
  <c r="S665" i="6" s="1"/>
  <c r="R664" i="6"/>
  <c r="S664" i="6" s="1"/>
  <c r="R663" i="6"/>
  <c r="S663" i="6" s="1"/>
  <c r="R662" i="6"/>
  <c r="S662" i="6" s="1"/>
  <c r="R661" i="6"/>
  <c r="S661" i="6" s="1"/>
  <c r="R660" i="6"/>
  <c r="S660" i="6" s="1"/>
  <c r="R659" i="6"/>
  <c r="S659" i="6" s="1"/>
  <c r="R658" i="6"/>
  <c r="S658" i="6" s="1"/>
  <c r="R657" i="6"/>
  <c r="S657" i="6" s="1"/>
  <c r="R656" i="6"/>
  <c r="S656" i="6" s="1"/>
  <c r="R655" i="6"/>
  <c r="S655" i="6" s="1"/>
  <c r="R654" i="6"/>
  <c r="S654" i="6" s="1"/>
  <c r="R653" i="6"/>
  <c r="S653" i="6" s="1"/>
  <c r="R652" i="6"/>
  <c r="S652" i="6" s="1"/>
  <c r="R651" i="6"/>
  <c r="S651" i="6" s="1"/>
  <c r="R650" i="6"/>
  <c r="S650" i="6" s="1"/>
  <c r="R649" i="6"/>
  <c r="S649" i="6" s="1"/>
  <c r="R648" i="6"/>
  <c r="S648" i="6" s="1"/>
  <c r="R647" i="6"/>
  <c r="S647" i="6" s="1"/>
  <c r="R646" i="6"/>
  <c r="S646" i="6" s="1"/>
  <c r="R645" i="6"/>
  <c r="S645" i="6" s="1"/>
  <c r="R644" i="6"/>
  <c r="S644" i="6" s="1"/>
  <c r="R643" i="6"/>
  <c r="S643" i="6" s="1"/>
  <c r="R642" i="6"/>
  <c r="S642" i="6" s="1"/>
  <c r="R641" i="6"/>
  <c r="S641" i="6" s="1"/>
  <c r="R640" i="6"/>
  <c r="S640" i="6" s="1"/>
  <c r="R639" i="6"/>
  <c r="S639" i="6" s="1"/>
  <c r="R638" i="6"/>
  <c r="S638" i="6" s="1"/>
  <c r="R637" i="6"/>
  <c r="S637" i="6" s="1"/>
  <c r="R636" i="6"/>
  <c r="S636" i="6" s="1"/>
  <c r="R635" i="6"/>
  <c r="S635" i="6" s="1"/>
  <c r="R634" i="6"/>
  <c r="S634" i="6" s="1"/>
  <c r="R633" i="6"/>
  <c r="S633" i="6" s="1"/>
  <c r="R632" i="6"/>
  <c r="S632" i="6" s="1"/>
  <c r="R631" i="6"/>
  <c r="S631" i="6" s="1"/>
  <c r="R630" i="6"/>
  <c r="S630" i="6" s="1"/>
  <c r="R629" i="6"/>
  <c r="S629" i="6" s="1"/>
  <c r="R628" i="6"/>
  <c r="S628" i="6" s="1"/>
  <c r="R627" i="6"/>
  <c r="S627" i="6" s="1"/>
  <c r="R626" i="6"/>
  <c r="S626" i="6" s="1"/>
  <c r="R625" i="6"/>
  <c r="S625" i="6" s="1"/>
  <c r="R624" i="6"/>
  <c r="S624" i="6" s="1"/>
  <c r="R623" i="6"/>
  <c r="S623" i="6" s="1"/>
  <c r="R622" i="6"/>
  <c r="S622" i="6" s="1"/>
  <c r="R621" i="6"/>
  <c r="S621" i="6" s="1"/>
  <c r="R620" i="6"/>
  <c r="S620" i="6" s="1"/>
  <c r="R619" i="6"/>
  <c r="S619" i="6" s="1"/>
  <c r="R618" i="6"/>
  <c r="S618" i="6" s="1"/>
  <c r="R617" i="6"/>
  <c r="S617" i="6" s="1"/>
  <c r="R616" i="6"/>
  <c r="S616" i="6" s="1"/>
  <c r="R615" i="6"/>
  <c r="S615" i="6" s="1"/>
  <c r="R614" i="6"/>
  <c r="S614" i="6" s="1"/>
  <c r="R613" i="6"/>
  <c r="S613" i="6" s="1"/>
  <c r="R612" i="6"/>
  <c r="S612" i="6" s="1"/>
  <c r="R611" i="6"/>
  <c r="S611" i="6" s="1"/>
  <c r="R610" i="6"/>
  <c r="S610" i="6" s="1"/>
  <c r="R609" i="6"/>
  <c r="S609" i="6" s="1"/>
  <c r="R608" i="6"/>
  <c r="S608" i="6" s="1"/>
  <c r="R607" i="6"/>
  <c r="S607" i="6" s="1"/>
  <c r="R606" i="6"/>
  <c r="S606" i="6" s="1"/>
  <c r="R605" i="6"/>
  <c r="S605" i="6" s="1"/>
  <c r="R604" i="6"/>
  <c r="S604" i="6" s="1"/>
  <c r="R603" i="6"/>
  <c r="S603" i="6" s="1"/>
  <c r="R602" i="6"/>
  <c r="S602" i="6" s="1"/>
  <c r="R601" i="6"/>
  <c r="S601" i="6" s="1"/>
  <c r="R600" i="6"/>
  <c r="S600" i="6" s="1"/>
  <c r="R599" i="6"/>
  <c r="S599" i="6" s="1"/>
  <c r="R598" i="6"/>
  <c r="S598" i="6" s="1"/>
  <c r="R597" i="6"/>
  <c r="S597" i="6" s="1"/>
  <c r="R596" i="6"/>
  <c r="S596" i="6" s="1"/>
  <c r="R595" i="6"/>
  <c r="S595" i="6" s="1"/>
  <c r="R594" i="6"/>
  <c r="S594" i="6" s="1"/>
  <c r="R593" i="6"/>
  <c r="S593" i="6" s="1"/>
  <c r="R592" i="6"/>
  <c r="S592" i="6" s="1"/>
  <c r="R591" i="6"/>
  <c r="S591" i="6" s="1"/>
  <c r="R590" i="6"/>
  <c r="S590" i="6" s="1"/>
  <c r="R589" i="6"/>
  <c r="S589" i="6" s="1"/>
  <c r="R588" i="6"/>
  <c r="S588" i="6" s="1"/>
  <c r="R587" i="6"/>
  <c r="S587" i="6" s="1"/>
  <c r="R586" i="6"/>
  <c r="S586" i="6" s="1"/>
  <c r="R585" i="6"/>
  <c r="S585" i="6" s="1"/>
  <c r="R584" i="6"/>
  <c r="S584" i="6" s="1"/>
  <c r="R583" i="6"/>
  <c r="S583" i="6" s="1"/>
  <c r="R582" i="6"/>
  <c r="S582" i="6" s="1"/>
  <c r="R581" i="6"/>
  <c r="S581" i="6" s="1"/>
  <c r="R580" i="6"/>
  <c r="S580" i="6" s="1"/>
  <c r="R579" i="6"/>
  <c r="S579" i="6" s="1"/>
  <c r="R578" i="6"/>
  <c r="S578" i="6" s="1"/>
  <c r="R577" i="6"/>
  <c r="S577" i="6" s="1"/>
  <c r="R576" i="6"/>
  <c r="S576" i="6" s="1"/>
  <c r="R575" i="6"/>
  <c r="S575" i="6" s="1"/>
  <c r="R574" i="6"/>
  <c r="S574" i="6" s="1"/>
  <c r="R573" i="6"/>
  <c r="S573" i="6" s="1"/>
  <c r="R572" i="6"/>
  <c r="S572" i="6" s="1"/>
  <c r="R571" i="6"/>
  <c r="S571" i="6" s="1"/>
  <c r="R570" i="6"/>
  <c r="S570" i="6" s="1"/>
  <c r="R569" i="6"/>
  <c r="S569" i="6" s="1"/>
  <c r="R568" i="6"/>
  <c r="S568" i="6" s="1"/>
  <c r="R567" i="6"/>
  <c r="S567" i="6" s="1"/>
  <c r="R566" i="6"/>
  <c r="S566" i="6" s="1"/>
  <c r="R565" i="6"/>
  <c r="S565" i="6" s="1"/>
  <c r="R564" i="6"/>
  <c r="S564" i="6" s="1"/>
  <c r="R563" i="6"/>
  <c r="S563" i="6" s="1"/>
  <c r="R562" i="6"/>
  <c r="S562" i="6" s="1"/>
  <c r="R561" i="6"/>
  <c r="S561" i="6" s="1"/>
  <c r="R560" i="6"/>
  <c r="S560" i="6" s="1"/>
  <c r="R559" i="6"/>
  <c r="S559" i="6" s="1"/>
  <c r="R558" i="6"/>
  <c r="S558" i="6" s="1"/>
  <c r="R557" i="6"/>
  <c r="S557" i="6" s="1"/>
  <c r="R556" i="6"/>
  <c r="S556" i="6" s="1"/>
  <c r="R555" i="6"/>
  <c r="S555" i="6" s="1"/>
  <c r="R554" i="6"/>
  <c r="S554" i="6" s="1"/>
  <c r="R553" i="6"/>
  <c r="S553" i="6" s="1"/>
  <c r="R552" i="6"/>
  <c r="S552" i="6" s="1"/>
  <c r="R551" i="6"/>
  <c r="S551" i="6" s="1"/>
  <c r="R550" i="6"/>
  <c r="S550" i="6" s="1"/>
  <c r="R549" i="6"/>
  <c r="S549" i="6" s="1"/>
  <c r="R548" i="6"/>
  <c r="S548" i="6" s="1"/>
  <c r="R547" i="6"/>
  <c r="S547" i="6" s="1"/>
  <c r="R546" i="6"/>
  <c r="S546" i="6" s="1"/>
  <c r="R545" i="6"/>
  <c r="S545" i="6" s="1"/>
  <c r="R544" i="6"/>
  <c r="S544" i="6" s="1"/>
  <c r="R543" i="6"/>
  <c r="S543" i="6" s="1"/>
  <c r="R542" i="6"/>
  <c r="S542" i="6" s="1"/>
  <c r="R541" i="6"/>
  <c r="S541" i="6" s="1"/>
  <c r="R540" i="6"/>
  <c r="S540" i="6" s="1"/>
  <c r="R539" i="6"/>
  <c r="S539" i="6" s="1"/>
  <c r="R538" i="6"/>
  <c r="S538" i="6" s="1"/>
  <c r="R537" i="6"/>
  <c r="S537" i="6" s="1"/>
  <c r="R536" i="6"/>
  <c r="S536" i="6" s="1"/>
  <c r="R535" i="6"/>
  <c r="S535" i="6" s="1"/>
  <c r="R534" i="6"/>
  <c r="S534" i="6" s="1"/>
  <c r="R533" i="6"/>
  <c r="S533" i="6" s="1"/>
  <c r="R532" i="6"/>
  <c r="S532" i="6" s="1"/>
  <c r="R531" i="6"/>
  <c r="S531" i="6" s="1"/>
  <c r="R530" i="6"/>
  <c r="S530" i="6" s="1"/>
  <c r="R529" i="6"/>
  <c r="S529" i="6" s="1"/>
  <c r="R528" i="6"/>
  <c r="S528" i="6" s="1"/>
  <c r="R527" i="6"/>
  <c r="S527" i="6" s="1"/>
  <c r="R526" i="6"/>
  <c r="S526" i="6" s="1"/>
  <c r="R525" i="6"/>
  <c r="S525" i="6" s="1"/>
  <c r="R524" i="6"/>
  <c r="S524" i="6" s="1"/>
  <c r="R523" i="6"/>
  <c r="S523" i="6" s="1"/>
  <c r="R522" i="6"/>
  <c r="S522" i="6" s="1"/>
  <c r="R521" i="6"/>
  <c r="S521" i="6" s="1"/>
  <c r="R520" i="6"/>
  <c r="S520" i="6" s="1"/>
  <c r="R519" i="6"/>
  <c r="S519" i="6" s="1"/>
  <c r="R518" i="6"/>
  <c r="S518" i="6" s="1"/>
  <c r="R517" i="6"/>
  <c r="S517" i="6" s="1"/>
  <c r="R516" i="6"/>
  <c r="S516" i="6" s="1"/>
  <c r="R515" i="6"/>
  <c r="S515" i="6" s="1"/>
  <c r="R514" i="6"/>
  <c r="S514" i="6" s="1"/>
  <c r="R513" i="6"/>
  <c r="S513" i="6" s="1"/>
  <c r="R512" i="6"/>
  <c r="S512" i="6" s="1"/>
  <c r="R511" i="6"/>
  <c r="S511" i="6" s="1"/>
  <c r="R510" i="6"/>
  <c r="S510" i="6" s="1"/>
  <c r="R509" i="6"/>
  <c r="S509" i="6" s="1"/>
  <c r="R508" i="6"/>
  <c r="S508" i="6" s="1"/>
  <c r="R507" i="6"/>
  <c r="S507" i="6" s="1"/>
  <c r="R506" i="6"/>
  <c r="S506" i="6" s="1"/>
  <c r="R505" i="6"/>
  <c r="S505" i="6" s="1"/>
  <c r="R504" i="6"/>
  <c r="S504" i="6" s="1"/>
  <c r="R503" i="6"/>
  <c r="S503" i="6" s="1"/>
  <c r="R502" i="6"/>
  <c r="S502" i="6" s="1"/>
  <c r="R501" i="6"/>
  <c r="S501" i="6" s="1"/>
  <c r="R500" i="6"/>
  <c r="S500" i="6" s="1"/>
  <c r="R499" i="6"/>
  <c r="S499" i="6" s="1"/>
  <c r="R498" i="6"/>
  <c r="S498" i="6" s="1"/>
  <c r="R497" i="6"/>
  <c r="S497" i="6" s="1"/>
  <c r="R496" i="6"/>
  <c r="S496" i="6" s="1"/>
  <c r="R495" i="6"/>
  <c r="S495" i="6" s="1"/>
  <c r="R494" i="6"/>
  <c r="S494" i="6" s="1"/>
  <c r="R493" i="6"/>
  <c r="S493" i="6" s="1"/>
  <c r="R492" i="6"/>
  <c r="S492" i="6" s="1"/>
  <c r="R491" i="6"/>
  <c r="S491" i="6" s="1"/>
  <c r="R490" i="6"/>
  <c r="S490" i="6" s="1"/>
  <c r="R489" i="6"/>
  <c r="S489" i="6" s="1"/>
  <c r="R488" i="6"/>
  <c r="S488" i="6" s="1"/>
  <c r="R487" i="6"/>
  <c r="S487" i="6" s="1"/>
  <c r="R486" i="6"/>
  <c r="S486" i="6" s="1"/>
  <c r="R485" i="6"/>
  <c r="S485" i="6" s="1"/>
  <c r="R484" i="6"/>
  <c r="S484" i="6" s="1"/>
  <c r="R483" i="6"/>
  <c r="S483" i="6" s="1"/>
  <c r="R482" i="6"/>
  <c r="S482" i="6" s="1"/>
  <c r="R481" i="6"/>
  <c r="S481" i="6" s="1"/>
  <c r="R480" i="6"/>
  <c r="S480" i="6" s="1"/>
  <c r="R479" i="6"/>
  <c r="S479" i="6" s="1"/>
  <c r="R478" i="6"/>
  <c r="S478" i="6" s="1"/>
  <c r="R477" i="6"/>
  <c r="S477" i="6" s="1"/>
  <c r="R476" i="6"/>
  <c r="S476" i="6" s="1"/>
  <c r="R475" i="6"/>
  <c r="S475" i="6" s="1"/>
  <c r="R474" i="6"/>
  <c r="S474" i="6" s="1"/>
  <c r="R473" i="6"/>
  <c r="S473" i="6" s="1"/>
  <c r="R472" i="6"/>
  <c r="S472" i="6" s="1"/>
  <c r="R471" i="6"/>
  <c r="S471" i="6" s="1"/>
  <c r="R470" i="6"/>
  <c r="S470" i="6" s="1"/>
  <c r="R469" i="6"/>
  <c r="S469" i="6" s="1"/>
  <c r="R468" i="6"/>
  <c r="S468" i="6" s="1"/>
  <c r="R467" i="6"/>
  <c r="S467" i="6" s="1"/>
  <c r="R466" i="6"/>
  <c r="S466" i="6" s="1"/>
  <c r="R465" i="6"/>
  <c r="S465" i="6" s="1"/>
  <c r="R464" i="6"/>
  <c r="S464" i="6" s="1"/>
  <c r="R463" i="6"/>
  <c r="S463" i="6" s="1"/>
  <c r="R462" i="6"/>
  <c r="S462" i="6" s="1"/>
  <c r="R461" i="6"/>
  <c r="S461" i="6" s="1"/>
  <c r="R460" i="6"/>
  <c r="S460" i="6" s="1"/>
  <c r="R459" i="6"/>
  <c r="S459" i="6" s="1"/>
  <c r="R458" i="6"/>
  <c r="S458" i="6" s="1"/>
  <c r="R457" i="6"/>
  <c r="S457" i="6" s="1"/>
  <c r="R456" i="6"/>
  <c r="S456" i="6" s="1"/>
  <c r="R455" i="6"/>
  <c r="S455" i="6" s="1"/>
  <c r="R454" i="6"/>
  <c r="S454" i="6" s="1"/>
  <c r="R453" i="6"/>
  <c r="S453" i="6" s="1"/>
  <c r="R452" i="6"/>
  <c r="S452" i="6" s="1"/>
  <c r="R451" i="6"/>
  <c r="S451" i="6" s="1"/>
  <c r="R450" i="6"/>
  <c r="S450" i="6" s="1"/>
  <c r="R449" i="6"/>
  <c r="S449" i="6" s="1"/>
  <c r="R448" i="6"/>
  <c r="S448" i="6" s="1"/>
  <c r="R447" i="6"/>
  <c r="S447" i="6" s="1"/>
  <c r="R446" i="6"/>
  <c r="S446" i="6" s="1"/>
  <c r="R445" i="6"/>
  <c r="S445" i="6" s="1"/>
  <c r="R444" i="6"/>
  <c r="S444" i="6" s="1"/>
  <c r="R443" i="6"/>
  <c r="S443" i="6" s="1"/>
  <c r="R442" i="6"/>
  <c r="S442" i="6" s="1"/>
  <c r="R441" i="6"/>
  <c r="S441" i="6" s="1"/>
  <c r="R440" i="6"/>
  <c r="S440" i="6" s="1"/>
  <c r="R439" i="6"/>
  <c r="S439" i="6" s="1"/>
  <c r="R438" i="6"/>
  <c r="S438" i="6" s="1"/>
  <c r="R437" i="6"/>
  <c r="S437" i="6" s="1"/>
  <c r="R436" i="6"/>
  <c r="S436" i="6" s="1"/>
  <c r="R435" i="6"/>
  <c r="S435" i="6" s="1"/>
  <c r="R434" i="6"/>
  <c r="S434" i="6" s="1"/>
  <c r="R433" i="6"/>
  <c r="S433" i="6" s="1"/>
  <c r="R432" i="6"/>
  <c r="S432" i="6" s="1"/>
  <c r="R431" i="6"/>
  <c r="S431" i="6" s="1"/>
  <c r="R430" i="6"/>
  <c r="S430" i="6" s="1"/>
  <c r="R429" i="6"/>
  <c r="S429" i="6" s="1"/>
  <c r="R428" i="6"/>
  <c r="S428" i="6" s="1"/>
  <c r="R427" i="6"/>
  <c r="S427" i="6" s="1"/>
  <c r="R426" i="6"/>
  <c r="S426" i="6" s="1"/>
  <c r="R425" i="6"/>
  <c r="S425" i="6" s="1"/>
  <c r="R424" i="6"/>
  <c r="S424" i="6" s="1"/>
  <c r="R423" i="6"/>
  <c r="S423" i="6" s="1"/>
  <c r="R422" i="6"/>
  <c r="S422" i="6" s="1"/>
  <c r="R421" i="6"/>
  <c r="S421" i="6" s="1"/>
  <c r="R420" i="6"/>
  <c r="S420" i="6" s="1"/>
  <c r="R419" i="6"/>
  <c r="S419" i="6" s="1"/>
  <c r="R418" i="6"/>
  <c r="S418" i="6" s="1"/>
  <c r="R417" i="6"/>
  <c r="S417" i="6" s="1"/>
  <c r="R416" i="6"/>
  <c r="S416" i="6" s="1"/>
  <c r="R415" i="6"/>
  <c r="S415" i="6" s="1"/>
  <c r="R414" i="6"/>
  <c r="S414" i="6" s="1"/>
  <c r="R413" i="6"/>
  <c r="S413" i="6" s="1"/>
  <c r="R412" i="6"/>
  <c r="S412" i="6" s="1"/>
  <c r="R411" i="6"/>
  <c r="S411" i="6" s="1"/>
  <c r="R410" i="6"/>
  <c r="S410" i="6" s="1"/>
  <c r="R409" i="6"/>
  <c r="S409" i="6" s="1"/>
  <c r="R408" i="6"/>
  <c r="S408" i="6" s="1"/>
  <c r="R407" i="6"/>
  <c r="S407" i="6" s="1"/>
  <c r="R406" i="6"/>
  <c r="S406" i="6" s="1"/>
  <c r="R405" i="6"/>
  <c r="S405" i="6" s="1"/>
  <c r="R404" i="6"/>
  <c r="S404" i="6" s="1"/>
  <c r="R403" i="6"/>
  <c r="S403" i="6" s="1"/>
  <c r="R402" i="6"/>
  <c r="S402" i="6" s="1"/>
  <c r="R401" i="6"/>
  <c r="S401" i="6" s="1"/>
  <c r="R400" i="6"/>
  <c r="S400" i="6" s="1"/>
  <c r="R399" i="6"/>
  <c r="S399" i="6" s="1"/>
  <c r="R398" i="6"/>
  <c r="S398" i="6" s="1"/>
  <c r="R397" i="6"/>
  <c r="S397" i="6" s="1"/>
  <c r="R396" i="6"/>
  <c r="S396" i="6" s="1"/>
  <c r="R395" i="6"/>
  <c r="S395" i="6" s="1"/>
  <c r="R394" i="6"/>
  <c r="S394" i="6" s="1"/>
  <c r="R393" i="6"/>
  <c r="S393" i="6" s="1"/>
  <c r="R392" i="6"/>
  <c r="S392" i="6" s="1"/>
  <c r="R391" i="6"/>
  <c r="S391" i="6" s="1"/>
  <c r="R390" i="6"/>
  <c r="S390" i="6" s="1"/>
  <c r="R389" i="6"/>
  <c r="S389" i="6" s="1"/>
  <c r="R388" i="6"/>
  <c r="S388" i="6" s="1"/>
  <c r="R387" i="6"/>
  <c r="S387" i="6" s="1"/>
  <c r="R386" i="6"/>
  <c r="S386" i="6" s="1"/>
  <c r="R385" i="6"/>
  <c r="S385" i="6" s="1"/>
  <c r="R384" i="6"/>
  <c r="S384" i="6" s="1"/>
  <c r="R383" i="6"/>
  <c r="S383" i="6" s="1"/>
  <c r="R382" i="6"/>
  <c r="S382" i="6" s="1"/>
  <c r="R381" i="6"/>
  <c r="S381" i="6" s="1"/>
  <c r="R380" i="6"/>
  <c r="S380" i="6" s="1"/>
  <c r="R379" i="6"/>
  <c r="S379" i="6" s="1"/>
  <c r="R378" i="6"/>
  <c r="S378" i="6" s="1"/>
  <c r="R377" i="6"/>
  <c r="S377" i="6" s="1"/>
  <c r="R376" i="6"/>
  <c r="S376" i="6" s="1"/>
  <c r="R375" i="6"/>
  <c r="S375" i="6" s="1"/>
  <c r="R374" i="6"/>
  <c r="S374" i="6" s="1"/>
  <c r="R373" i="6"/>
  <c r="S373" i="6" s="1"/>
  <c r="R372" i="6"/>
  <c r="S372" i="6" s="1"/>
  <c r="R371" i="6"/>
  <c r="S371" i="6" s="1"/>
  <c r="R370" i="6"/>
  <c r="S370" i="6" s="1"/>
  <c r="R369" i="6"/>
  <c r="S369" i="6" s="1"/>
  <c r="R368" i="6"/>
  <c r="S368" i="6" s="1"/>
  <c r="R367" i="6"/>
  <c r="S367" i="6" s="1"/>
  <c r="R366" i="6"/>
  <c r="S366" i="6" s="1"/>
  <c r="R365" i="6"/>
  <c r="S365" i="6" s="1"/>
  <c r="R364" i="6"/>
  <c r="S364" i="6" s="1"/>
  <c r="R363" i="6"/>
  <c r="S363" i="6" s="1"/>
  <c r="R362" i="6"/>
  <c r="S362" i="6" s="1"/>
  <c r="R361" i="6"/>
  <c r="S361" i="6" s="1"/>
  <c r="R360" i="6"/>
  <c r="S360" i="6" s="1"/>
  <c r="R359" i="6"/>
  <c r="S359" i="6" s="1"/>
  <c r="R358" i="6"/>
  <c r="S358" i="6" s="1"/>
  <c r="R357" i="6"/>
  <c r="S357" i="6" s="1"/>
  <c r="R356" i="6"/>
  <c r="S356" i="6" s="1"/>
  <c r="R355" i="6"/>
  <c r="S355" i="6" s="1"/>
  <c r="R354" i="6"/>
  <c r="S354" i="6" s="1"/>
  <c r="R353" i="6"/>
  <c r="S353" i="6" s="1"/>
  <c r="R352" i="6"/>
  <c r="S352" i="6" s="1"/>
  <c r="R351" i="6"/>
  <c r="S351" i="6" s="1"/>
  <c r="R350" i="6"/>
  <c r="S350" i="6" s="1"/>
  <c r="R349" i="6"/>
  <c r="S349" i="6" s="1"/>
  <c r="R348" i="6"/>
  <c r="S348" i="6" s="1"/>
  <c r="R347" i="6"/>
  <c r="S347" i="6" s="1"/>
  <c r="R346" i="6"/>
  <c r="S346" i="6" s="1"/>
  <c r="R345" i="6"/>
  <c r="S345" i="6" s="1"/>
  <c r="R344" i="6"/>
  <c r="S344" i="6" s="1"/>
  <c r="R343" i="6"/>
  <c r="S343" i="6" s="1"/>
  <c r="R342" i="6"/>
  <c r="S342" i="6" s="1"/>
  <c r="R341" i="6"/>
  <c r="S341" i="6" s="1"/>
  <c r="R340" i="6"/>
  <c r="S340" i="6" s="1"/>
  <c r="R339" i="6"/>
  <c r="S339" i="6" s="1"/>
  <c r="R338" i="6"/>
  <c r="S338" i="6" s="1"/>
  <c r="R337" i="6"/>
  <c r="S337" i="6" s="1"/>
  <c r="R336" i="6"/>
  <c r="S336" i="6" s="1"/>
  <c r="R335" i="6"/>
  <c r="S335" i="6" s="1"/>
  <c r="R334" i="6"/>
  <c r="S334" i="6" s="1"/>
  <c r="R333" i="6"/>
  <c r="S333" i="6" s="1"/>
  <c r="R332" i="6"/>
  <c r="S332" i="6" s="1"/>
  <c r="R331" i="6"/>
  <c r="S331" i="6" s="1"/>
  <c r="R330" i="6"/>
  <c r="S330" i="6" s="1"/>
  <c r="R329" i="6"/>
  <c r="S329" i="6" s="1"/>
  <c r="R328" i="6"/>
  <c r="S328" i="6" s="1"/>
  <c r="R327" i="6"/>
  <c r="S327" i="6" s="1"/>
  <c r="R326" i="6"/>
  <c r="S326" i="6" s="1"/>
  <c r="R325" i="6"/>
  <c r="S325" i="6" s="1"/>
  <c r="R324" i="6"/>
  <c r="S324" i="6" s="1"/>
  <c r="R323" i="6"/>
  <c r="S323" i="6" s="1"/>
  <c r="R322" i="6"/>
  <c r="S322" i="6" s="1"/>
  <c r="R321" i="6"/>
  <c r="S321" i="6" s="1"/>
  <c r="R320" i="6"/>
  <c r="S320" i="6" s="1"/>
  <c r="R319" i="6"/>
  <c r="S319" i="6" s="1"/>
  <c r="R318" i="6"/>
  <c r="S318" i="6" s="1"/>
  <c r="R317" i="6"/>
  <c r="S317" i="6" s="1"/>
  <c r="R316" i="6"/>
  <c r="S316" i="6" s="1"/>
  <c r="R315" i="6"/>
  <c r="S315" i="6" s="1"/>
  <c r="R314" i="6"/>
  <c r="S314" i="6" s="1"/>
  <c r="R313" i="6"/>
  <c r="S313" i="6" s="1"/>
  <c r="R312" i="6"/>
  <c r="S312" i="6" s="1"/>
  <c r="R311" i="6"/>
  <c r="S311" i="6" s="1"/>
  <c r="R310" i="6"/>
  <c r="S310" i="6" s="1"/>
  <c r="R309" i="6"/>
  <c r="S309" i="6" s="1"/>
  <c r="R308" i="6"/>
  <c r="S308" i="6" s="1"/>
  <c r="R307" i="6"/>
  <c r="S307" i="6" s="1"/>
  <c r="R306" i="6"/>
  <c r="S306" i="6" s="1"/>
  <c r="R305" i="6"/>
  <c r="S305" i="6" s="1"/>
  <c r="R304" i="6"/>
  <c r="S304" i="6" s="1"/>
  <c r="R303" i="6"/>
  <c r="S303" i="6" s="1"/>
  <c r="R302" i="6"/>
  <c r="S302" i="6" s="1"/>
  <c r="R301" i="6"/>
  <c r="S301" i="6" s="1"/>
  <c r="R300" i="6"/>
  <c r="S300" i="6" s="1"/>
  <c r="R299" i="6"/>
  <c r="S299" i="6" s="1"/>
  <c r="R298" i="6"/>
  <c r="S298" i="6" s="1"/>
  <c r="R297" i="6"/>
  <c r="S297" i="6" s="1"/>
  <c r="R296" i="6"/>
  <c r="S296" i="6" s="1"/>
  <c r="R295" i="6"/>
  <c r="S295" i="6" s="1"/>
  <c r="R294" i="6"/>
  <c r="S294" i="6" s="1"/>
  <c r="R293" i="6"/>
  <c r="S293" i="6" s="1"/>
  <c r="R292" i="6"/>
  <c r="S292" i="6" s="1"/>
  <c r="R291" i="6"/>
  <c r="S291" i="6" s="1"/>
  <c r="R290" i="6"/>
  <c r="S290" i="6" s="1"/>
  <c r="R289" i="6"/>
  <c r="S289" i="6" s="1"/>
  <c r="R288" i="6"/>
  <c r="S288" i="6" s="1"/>
  <c r="R287" i="6"/>
  <c r="S287" i="6" s="1"/>
  <c r="R286" i="6"/>
  <c r="S286" i="6" s="1"/>
  <c r="R285" i="6"/>
  <c r="S285" i="6" s="1"/>
  <c r="R284" i="6"/>
  <c r="S284" i="6" s="1"/>
  <c r="R283" i="6"/>
  <c r="S283" i="6" s="1"/>
  <c r="R282" i="6"/>
  <c r="S282" i="6" s="1"/>
  <c r="R281" i="6"/>
  <c r="S281" i="6" s="1"/>
  <c r="R280" i="6"/>
  <c r="S280" i="6" s="1"/>
  <c r="R279" i="6"/>
  <c r="S279" i="6" s="1"/>
  <c r="R278" i="6"/>
  <c r="S278" i="6" s="1"/>
  <c r="R277" i="6"/>
  <c r="S277" i="6" s="1"/>
  <c r="R276" i="6"/>
  <c r="S276" i="6" s="1"/>
  <c r="R275" i="6"/>
  <c r="S275" i="6" s="1"/>
  <c r="R274" i="6"/>
  <c r="S274" i="6" s="1"/>
  <c r="R273" i="6"/>
  <c r="S273" i="6" s="1"/>
  <c r="R272" i="6"/>
  <c r="S272" i="6" s="1"/>
  <c r="R271" i="6"/>
  <c r="S271" i="6" s="1"/>
  <c r="R270" i="6"/>
  <c r="S270" i="6" s="1"/>
  <c r="R269" i="6"/>
  <c r="S269" i="6" s="1"/>
  <c r="R268" i="6"/>
  <c r="S268" i="6" s="1"/>
  <c r="R267" i="6"/>
  <c r="S267" i="6" s="1"/>
  <c r="R266" i="6"/>
  <c r="S266" i="6" s="1"/>
  <c r="R265" i="6"/>
  <c r="S265" i="6" s="1"/>
  <c r="R264" i="6"/>
  <c r="S264" i="6" s="1"/>
  <c r="R263" i="6"/>
  <c r="S263" i="6" s="1"/>
  <c r="R262" i="6"/>
  <c r="S262" i="6" s="1"/>
  <c r="R261" i="6"/>
  <c r="S261" i="6" s="1"/>
  <c r="R260" i="6"/>
  <c r="S260" i="6" s="1"/>
  <c r="R259" i="6"/>
  <c r="S259" i="6" s="1"/>
  <c r="R258" i="6"/>
  <c r="S258" i="6" s="1"/>
  <c r="R257" i="6"/>
  <c r="S257" i="6" s="1"/>
  <c r="R256" i="6"/>
  <c r="S256" i="6" s="1"/>
  <c r="R255" i="6"/>
  <c r="S255" i="6" s="1"/>
  <c r="R254" i="6"/>
  <c r="S254" i="6" s="1"/>
  <c r="R253" i="6"/>
  <c r="S253" i="6" s="1"/>
  <c r="R252" i="6"/>
  <c r="S252" i="6" s="1"/>
  <c r="R251" i="6"/>
  <c r="S251" i="6" s="1"/>
  <c r="R250" i="6"/>
  <c r="S250" i="6" s="1"/>
  <c r="R249" i="6"/>
  <c r="S249" i="6" s="1"/>
  <c r="R248" i="6"/>
  <c r="S248" i="6" s="1"/>
  <c r="R247" i="6"/>
  <c r="S247" i="6" s="1"/>
  <c r="R246" i="6"/>
  <c r="S246" i="6" s="1"/>
  <c r="R245" i="6"/>
  <c r="S245" i="6" s="1"/>
  <c r="R244" i="6"/>
  <c r="S244" i="6" s="1"/>
  <c r="R243" i="6"/>
  <c r="S243" i="6" s="1"/>
  <c r="R242" i="6"/>
  <c r="S242" i="6" s="1"/>
  <c r="R241" i="6"/>
  <c r="S241" i="6" s="1"/>
  <c r="R240" i="6"/>
  <c r="S240" i="6" s="1"/>
  <c r="R239" i="6"/>
  <c r="S239" i="6" s="1"/>
  <c r="R238" i="6"/>
  <c r="S238" i="6" s="1"/>
  <c r="R237" i="6"/>
  <c r="S237" i="6" s="1"/>
  <c r="R236" i="6"/>
  <c r="S236" i="6" s="1"/>
  <c r="R235" i="6"/>
  <c r="S235" i="6" s="1"/>
  <c r="R234" i="6"/>
  <c r="S234" i="6" s="1"/>
  <c r="R233" i="6"/>
  <c r="S233" i="6" s="1"/>
  <c r="R232" i="6"/>
  <c r="S232" i="6" s="1"/>
  <c r="R231" i="6"/>
  <c r="S231" i="6" s="1"/>
  <c r="R230" i="6"/>
  <c r="S230" i="6" s="1"/>
  <c r="R229" i="6"/>
  <c r="S229" i="6" s="1"/>
  <c r="R228" i="6"/>
  <c r="S228" i="6" s="1"/>
  <c r="R227" i="6"/>
  <c r="S227" i="6" s="1"/>
  <c r="R226" i="6"/>
  <c r="S226" i="6" s="1"/>
  <c r="R225" i="6"/>
  <c r="S225" i="6" s="1"/>
  <c r="R224" i="6"/>
  <c r="S224" i="6" s="1"/>
  <c r="R223" i="6"/>
  <c r="S223" i="6" s="1"/>
  <c r="R222" i="6"/>
  <c r="S222" i="6" s="1"/>
  <c r="R221" i="6"/>
  <c r="S221" i="6" s="1"/>
  <c r="R220" i="6"/>
  <c r="S220" i="6" s="1"/>
  <c r="R219" i="6"/>
  <c r="S219" i="6" s="1"/>
  <c r="R218" i="6"/>
  <c r="S218" i="6" s="1"/>
  <c r="R217" i="6"/>
  <c r="S217" i="6" s="1"/>
  <c r="R216" i="6"/>
  <c r="S216" i="6" s="1"/>
  <c r="R215" i="6"/>
  <c r="S215" i="6" s="1"/>
  <c r="R214" i="6"/>
  <c r="S214" i="6" s="1"/>
  <c r="R213" i="6"/>
  <c r="S213" i="6" s="1"/>
  <c r="R212" i="6"/>
  <c r="S212" i="6" s="1"/>
  <c r="R211" i="6"/>
  <c r="S211" i="6" s="1"/>
  <c r="R210" i="6"/>
  <c r="S210" i="6" s="1"/>
  <c r="R209" i="6"/>
  <c r="S209" i="6" s="1"/>
  <c r="R208" i="6"/>
  <c r="S208" i="6" s="1"/>
  <c r="R207" i="6"/>
  <c r="S207" i="6" s="1"/>
  <c r="R206" i="6"/>
  <c r="S206" i="6" s="1"/>
  <c r="R205" i="6"/>
  <c r="S205" i="6" s="1"/>
  <c r="R204" i="6"/>
  <c r="S204" i="6" s="1"/>
  <c r="R203" i="6"/>
  <c r="S203" i="6" s="1"/>
  <c r="R202" i="6"/>
  <c r="S202" i="6" s="1"/>
  <c r="R201" i="6"/>
  <c r="S201" i="6" s="1"/>
  <c r="R200" i="6"/>
  <c r="S200" i="6" s="1"/>
  <c r="R199" i="6"/>
  <c r="S199" i="6" s="1"/>
  <c r="R198" i="6"/>
  <c r="S198" i="6" s="1"/>
  <c r="R197" i="6"/>
  <c r="S197" i="6" s="1"/>
  <c r="R196" i="6"/>
  <c r="S196" i="6" s="1"/>
  <c r="R195" i="6"/>
  <c r="S195" i="6" s="1"/>
  <c r="R194" i="6"/>
  <c r="S194" i="6" s="1"/>
  <c r="R193" i="6"/>
  <c r="S193" i="6" s="1"/>
  <c r="R192" i="6"/>
  <c r="S192" i="6" s="1"/>
  <c r="R191" i="6"/>
  <c r="S191" i="6" s="1"/>
  <c r="R190" i="6"/>
  <c r="S190" i="6" s="1"/>
  <c r="R189" i="6"/>
  <c r="S189" i="6" s="1"/>
  <c r="R188" i="6"/>
  <c r="S188" i="6" s="1"/>
  <c r="R187" i="6"/>
  <c r="S187" i="6" s="1"/>
  <c r="R186" i="6"/>
  <c r="S186" i="6" s="1"/>
  <c r="R185" i="6"/>
  <c r="S185" i="6" s="1"/>
  <c r="R184" i="6"/>
  <c r="S184" i="6" s="1"/>
  <c r="R183" i="6"/>
  <c r="S183" i="6" s="1"/>
  <c r="R182" i="6"/>
  <c r="S182" i="6" s="1"/>
  <c r="R181" i="6"/>
  <c r="S181" i="6" s="1"/>
  <c r="R180" i="6"/>
  <c r="S180" i="6" s="1"/>
  <c r="R179" i="6"/>
  <c r="S179" i="6" s="1"/>
  <c r="R178" i="6"/>
  <c r="S178" i="6" s="1"/>
  <c r="R177" i="6"/>
  <c r="S177" i="6" s="1"/>
  <c r="R176" i="6"/>
  <c r="S176" i="6" s="1"/>
  <c r="R175" i="6"/>
  <c r="S175" i="6" s="1"/>
  <c r="R174" i="6"/>
  <c r="S174" i="6" s="1"/>
  <c r="R173" i="6"/>
  <c r="S173" i="6" s="1"/>
  <c r="R172" i="6"/>
  <c r="S172" i="6" s="1"/>
  <c r="R171" i="6"/>
  <c r="S171" i="6" s="1"/>
  <c r="R170" i="6"/>
  <c r="S170" i="6" s="1"/>
  <c r="R169" i="6"/>
  <c r="S169" i="6" s="1"/>
  <c r="R168" i="6"/>
  <c r="S168" i="6" s="1"/>
  <c r="R167" i="6"/>
  <c r="S167" i="6" s="1"/>
  <c r="R166" i="6"/>
  <c r="S166" i="6" s="1"/>
  <c r="R165" i="6"/>
  <c r="S165" i="6" s="1"/>
  <c r="R164" i="6"/>
  <c r="S164" i="6" s="1"/>
  <c r="R163" i="6"/>
  <c r="S163" i="6" s="1"/>
  <c r="R162" i="6"/>
  <c r="S162" i="6" s="1"/>
  <c r="R161" i="6"/>
  <c r="S161" i="6" s="1"/>
  <c r="R160" i="6"/>
  <c r="S160" i="6" s="1"/>
  <c r="R159" i="6"/>
  <c r="S159" i="6" s="1"/>
  <c r="R158" i="6"/>
  <c r="S158" i="6" s="1"/>
  <c r="R157" i="6"/>
  <c r="S157" i="6" s="1"/>
  <c r="R156" i="6"/>
  <c r="S156" i="6" s="1"/>
  <c r="R155" i="6"/>
  <c r="S155" i="6" s="1"/>
  <c r="R154" i="6"/>
  <c r="S154" i="6" s="1"/>
  <c r="R153" i="6"/>
  <c r="S153" i="6" s="1"/>
  <c r="R152" i="6"/>
  <c r="S152" i="6" s="1"/>
  <c r="R151" i="6"/>
  <c r="S151" i="6" s="1"/>
  <c r="R150" i="6"/>
  <c r="S150" i="6" s="1"/>
  <c r="R149" i="6"/>
  <c r="S149" i="6" s="1"/>
  <c r="R148" i="6"/>
  <c r="S148" i="6" s="1"/>
  <c r="R147" i="6"/>
  <c r="S147" i="6" s="1"/>
  <c r="R146" i="6"/>
  <c r="S146" i="6" s="1"/>
  <c r="R145" i="6"/>
  <c r="S145" i="6" s="1"/>
  <c r="R144" i="6"/>
  <c r="S144" i="6" s="1"/>
  <c r="R143" i="6"/>
  <c r="S143" i="6" s="1"/>
  <c r="R142" i="6"/>
  <c r="S142" i="6" s="1"/>
  <c r="R141" i="6"/>
  <c r="S141" i="6" s="1"/>
  <c r="R140" i="6"/>
  <c r="S140" i="6" s="1"/>
  <c r="R139" i="6"/>
  <c r="S139" i="6" s="1"/>
  <c r="R138" i="6"/>
  <c r="S138" i="6" s="1"/>
  <c r="R137" i="6"/>
  <c r="S137" i="6" s="1"/>
  <c r="R136" i="6"/>
  <c r="S136" i="6" s="1"/>
  <c r="R135" i="6"/>
  <c r="S135" i="6" s="1"/>
  <c r="R134" i="6"/>
  <c r="S134" i="6" s="1"/>
  <c r="R133" i="6"/>
  <c r="S133" i="6" s="1"/>
  <c r="R132" i="6"/>
  <c r="S132" i="6" s="1"/>
  <c r="R131" i="6"/>
  <c r="S131" i="6" s="1"/>
  <c r="R130" i="6"/>
  <c r="S130" i="6" s="1"/>
  <c r="R129" i="6"/>
  <c r="S129" i="6" s="1"/>
  <c r="R128" i="6"/>
  <c r="S128" i="6" s="1"/>
  <c r="R127" i="6"/>
  <c r="S127" i="6" s="1"/>
  <c r="R126" i="6"/>
  <c r="S126" i="6" s="1"/>
  <c r="R125" i="6"/>
  <c r="S125" i="6" s="1"/>
  <c r="R124" i="6"/>
  <c r="S124" i="6" s="1"/>
  <c r="R123" i="6"/>
  <c r="S123" i="6" s="1"/>
  <c r="R122" i="6"/>
  <c r="S122" i="6" s="1"/>
  <c r="R121" i="6"/>
  <c r="S121" i="6" s="1"/>
  <c r="R120" i="6"/>
  <c r="S120" i="6" s="1"/>
  <c r="R119" i="6"/>
  <c r="S119" i="6" s="1"/>
  <c r="R118" i="6"/>
  <c r="S118" i="6" s="1"/>
  <c r="R117" i="6"/>
  <c r="S117" i="6" s="1"/>
  <c r="R116" i="6"/>
  <c r="S116" i="6" s="1"/>
  <c r="R115" i="6"/>
  <c r="S115" i="6" s="1"/>
  <c r="R114" i="6"/>
  <c r="S114" i="6" s="1"/>
  <c r="R113" i="6"/>
  <c r="S113" i="6" s="1"/>
  <c r="R112" i="6"/>
  <c r="S112" i="6" s="1"/>
  <c r="R111" i="6"/>
  <c r="S111" i="6" s="1"/>
  <c r="R110" i="6"/>
  <c r="S110" i="6" s="1"/>
  <c r="R109" i="6"/>
  <c r="S109" i="6" s="1"/>
  <c r="R108" i="6"/>
  <c r="S108" i="6" s="1"/>
  <c r="R107" i="6"/>
  <c r="S107" i="6" s="1"/>
  <c r="R106" i="6"/>
  <c r="S106" i="6" s="1"/>
  <c r="R105" i="6"/>
  <c r="S105" i="6" s="1"/>
  <c r="R104" i="6"/>
  <c r="S104" i="6" s="1"/>
  <c r="R103" i="6"/>
  <c r="S103" i="6" s="1"/>
  <c r="R102" i="6"/>
  <c r="S102" i="6" s="1"/>
  <c r="R101" i="6"/>
  <c r="S101" i="6" s="1"/>
  <c r="R100" i="6"/>
  <c r="S100" i="6" s="1"/>
  <c r="R99" i="6"/>
  <c r="S99" i="6" s="1"/>
  <c r="R98" i="6"/>
  <c r="S98" i="6" s="1"/>
  <c r="R97" i="6"/>
  <c r="S97" i="6" s="1"/>
  <c r="R96" i="6"/>
  <c r="S96" i="6" s="1"/>
  <c r="R95" i="6"/>
  <c r="S95" i="6" s="1"/>
  <c r="R94" i="6"/>
  <c r="S94" i="6" s="1"/>
  <c r="R93" i="6"/>
  <c r="S93" i="6" s="1"/>
  <c r="R92" i="6"/>
  <c r="S92" i="6" s="1"/>
  <c r="R91" i="6"/>
  <c r="S91" i="6" s="1"/>
  <c r="R90" i="6"/>
  <c r="S90" i="6" s="1"/>
  <c r="R89" i="6"/>
  <c r="S89" i="6" s="1"/>
  <c r="R88" i="6"/>
  <c r="S88" i="6" s="1"/>
  <c r="R87" i="6"/>
  <c r="S87" i="6" s="1"/>
  <c r="R86" i="6"/>
  <c r="S86" i="6" s="1"/>
  <c r="R85" i="6"/>
  <c r="S85" i="6" s="1"/>
  <c r="R84" i="6"/>
  <c r="S84" i="6" s="1"/>
  <c r="R83" i="6"/>
  <c r="S83" i="6" s="1"/>
  <c r="R82" i="6"/>
  <c r="S82" i="6" s="1"/>
  <c r="R81" i="6"/>
  <c r="S81" i="6" s="1"/>
  <c r="R80" i="6"/>
  <c r="S80" i="6" s="1"/>
  <c r="R79" i="6"/>
  <c r="S79" i="6" s="1"/>
  <c r="R78" i="6"/>
  <c r="S78" i="6" s="1"/>
  <c r="R77" i="6"/>
  <c r="S77" i="6" s="1"/>
  <c r="R76" i="6"/>
  <c r="S76" i="6" s="1"/>
  <c r="R75" i="6"/>
  <c r="S75" i="6" s="1"/>
  <c r="R74" i="6"/>
  <c r="S74" i="6" s="1"/>
  <c r="R73" i="6"/>
  <c r="S73" i="6" s="1"/>
  <c r="R72" i="6"/>
  <c r="S72" i="6" s="1"/>
  <c r="R71" i="6"/>
  <c r="S71" i="6" s="1"/>
  <c r="R70" i="6"/>
  <c r="S70" i="6" s="1"/>
  <c r="R69" i="6"/>
  <c r="S69" i="6" s="1"/>
  <c r="R68" i="6"/>
  <c r="S68" i="6" s="1"/>
  <c r="R67" i="6"/>
  <c r="S67" i="6" s="1"/>
  <c r="R66" i="6"/>
  <c r="S66" i="6" s="1"/>
  <c r="R65" i="6"/>
  <c r="S65" i="6" s="1"/>
  <c r="R64" i="6"/>
  <c r="S64" i="6" s="1"/>
  <c r="R63" i="6"/>
  <c r="S63" i="6" s="1"/>
  <c r="R62" i="6"/>
  <c r="S62" i="6" s="1"/>
  <c r="R61" i="6"/>
  <c r="S61" i="6" s="1"/>
  <c r="R60" i="6"/>
  <c r="S60" i="6" s="1"/>
  <c r="R59" i="6"/>
  <c r="S59" i="6" s="1"/>
  <c r="R58" i="6"/>
  <c r="S58" i="6" s="1"/>
  <c r="R57" i="6"/>
  <c r="S57" i="6" s="1"/>
  <c r="R56" i="6"/>
  <c r="S56" i="6" s="1"/>
  <c r="R55" i="6"/>
  <c r="S55" i="6" s="1"/>
  <c r="R54" i="6"/>
  <c r="S54" i="6" s="1"/>
  <c r="R53" i="6"/>
  <c r="S53" i="6" s="1"/>
  <c r="R52" i="6"/>
  <c r="S52" i="6" s="1"/>
  <c r="R51" i="6"/>
  <c r="S51" i="6" s="1"/>
  <c r="R50" i="6"/>
  <c r="S50" i="6" s="1"/>
  <c r="R49" i="6"/>
  <c r="S49" i="6" s="1"/>
  <c r="R48" i="6"/>
  <c r="S48" i="6" s="1"/>
  <c r="R47" i="6"/>
  <c r="S47" i="6" s="1"/>
  <c r="R46" i="6"/>
  <c r="S46" i="6" s="1"/>
  <c r="R45" i="6"/>
  <c r="S45" i="6" s="1"/>
  <c r="R44" i="6"/>
  <c r="S44" i="6" s="1"/>
  <c r="R43" i="6"/>
  <c r="S43" i="6" s="1"/>
  <c r="R42" i="6"/>
  <c r="S42" i="6" s="1"/>
  <c r="R41" i="6"/>
  <c r="S41" i="6" s="1"/>
  <c r="R40" i="6"/>
  <c r="S40" i="6" s="1"/>
  <c r="R39" i="6"/>
  <c r="S39" i="6" s="1"/>
  <c r="R38" i="6"/>
  <c r="S38" i="6" s="1"/>
  <c r="R37" i="6"/>
  <c r="S37" i="6" s="1"/>
  <c r="R36" i="6"/>
  <c r="S36" i="6" s="1"/>
  <c r="R35" i="6"/>
  <c r="S35" i="6" s="1"/>
  <c r="R34" i="6"/>
  <c r="S34" i="6" s="1"/>
  <c r="R33" i="6"/>
  <c r="S33" i="6" s="1"/>
  <c r="R32" i="6"/>
  <c r="S32" i="6" s="1"/>
  <c r="R31" i="6"/>
  <c r="S31" i="6" s="1"/>
  <c r="R30" i="6"/>
  <c r="S30" i="6" s="1"/>
  <c r="R29" i="6"/>
  <c r="S29" i="6" s="1"/>
  <c r="R28" i="6"/>
  <c r="S28" i="6" s="1"/>
  <c r="R27" i="6"/>
  <c r="S27" i="6" s="1"/>
  <c r="R26" i="6"/>
  <c r="S26" i="6" s="1"/>
  <c r="R25" i="6"/>
  <c r="S25" i="6" s="1"/>
  <c r="R24" i="6"/>
  <c r="S24" i="6" s="1"/>
  <c r="R23" i="6"/>
  <c r="S23" i="6" s="1"/>
  <c r="R22" i="6"/>
  <c r="S22" i="6" s="1"/>
  <c r="R21" i="6"/>
  <c r="S21" i="6" s="1"/>
  <c r="R20" i="6"/>
  <c r="S20" i="6" s="1"/>
  <c r="R19" i="6"/>
  <c r="S19" i="6" s="1"/>
  <c r="R18" i="6"/>
  <c r="S18" i="6" s="1"/>
  <c r="R17" i="6"/>
  <c r="S17" i="6" s="1"/>
  <c r="R16" i="6"/>
  <c r="S16" i="6" s="1"/>
  <c r="R15" i="6"/>
  <c r="S15" i="6" s="1"/>
  <c r="R14" i="6"/>
  <c r="S14" i="6" s="1"/>
  <c r="R13" i="6"/>
  <c r="S13" i="6" s="1"/>
  <c r="R12" i="6"/>
  <c r="S12" i="6" s="1"/>
  <c r="R11" i="6"/>
  <c r="S11" i="6" s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AC11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J8" i="3"/>
  <c r="J8" i="6"/>
  <c r="I11" i="6"/>
  <c r="I10" i="6"/>
  <c r="I9" i="6"/>
  <c r="J9" i="6" s="1"/>
  <c r="H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L1007" i="6"/>
  <c r="H1007" i="6"/>
  <c r="J1007" i="6"/>
  <c r="D1007" i="6"/>
  <c r="L1006" i="6"/>
  <c r="H1006" i="6"/>
  <c r="J1006" i="6"/>
  <c r="D1006" i="6"/>
  <c r="L1005" i="6"/>
  <c r="H1005" i="6"/>
  <c r="J1005" i="6"/>
  <c r="D1005" i="6"/>
  <c r="L1004" i="6"/>
  <c r="H1004" i="6"/>
  <c r="J1004" i="6"/>
  <c r="D1004" i="6"/>
  <c r="L1003" i="6"/>
  <c r="H1003" i="6"/>
  <c r="J1003" i="6"/>
  <c r="D1003" i="6"/>
  <c r="L1002" i="6"/>
  <c r="H1002" i="6"/>
  <c r="J1002" i="6"/>
  <c r="D1002" i="6"/>
  <c r="L1001" i="6"/>
  <c r="H1001" i="6"/>
  <c r="J1001" i="6"/>
  <c r="D1001" i="6"/>
  <c r="L1000" i="6"/>
  <c r="H1000" i="6"/>
  <c r="J1000" i="6"/>
  <c r="D1000" i="6"/>
  <c r="L999" i="6"/>
  <c r="H999" i="6"/>
  <c r="J999" i="6"/>
  <c r="D999" i="6"/>
  <c r="L998" i="6"/>
  <c r="H998" i="6"/>
  <c r="J998" i="6"/>
  <c r="D998" i="6"/>
  <c r="L997" i="6"/>
  <c r="H997" i="6"/>
  <c r="J997" i="6"/>
  <c r="D997" i="6"/>
  <c r="L996" i="6"/>
  <c r="H996" i="6"/>
  <c r="J996" i="6"/>
  <c r="D996" i="6"/>
  <c r="L995" i="6"/>
  <c r="H995" i="6"/>
  <c r="J995" i="6"/>
  <c r="D995" i="6"/>
  <c r="L994" i="6"/>
  <c r="H994" i="6"/>
  <c r="J994" i="6"/>
  <c r="D994" i="6"/>
  <c r="L993" i="6"/>
  <c r="H993" i="6"/>
  <c r="J993" i="6"/>
  <c r="D993" i="6"/>
  <c r="L992" i="6"/>
  <c r="H992" i="6"/>
  <c r="J992" i="6"/>
  <c r="D992" i="6"/>
  <c r="L991" i="6"/>
  <c r="H991" i="6"/>
  <c r="J991" i="6"/>
  <c r="D991" i="6"/>
  <c r="L990" i="6"/>
  <c r="H990" i="6"/>
  <c r="J990" i="6"/>
  <c r="D990" i="6"/>
  <c r="L989" i="6"/>
  <c r="H989" i="6"/>
  <c r="J989" i="6"/>
  <c r="D989" i="6"/>
  <c r="L988" i="6"/>
  <c r="H988" i="6"/>
  <c r="J988" i="6"/>
  <c r="D988" i="6"/>
  <c r="L987" i="6"/>
  <c r="H987" i="6"/>
  <c r="J987" i="6"/>
  <c r="D987" i="6"/>
  <c r="L986" i="6"/>
  <c r="H986" i="6"/>
  <c r="J986" i="6"/>
  <c r="D986" i="6"/>
  <c r="L985" i="6"/>
  <c r="H985" i="6"/>
  <c r="J985" i="6"/>
  <c r="D985" i="6"/>
  <c r="L984" i="6"/>
  <c r="H984" i="6"/>
  <c r="J984" i="6"/>
  <c r="D984" i="6"/>
  <c r="L983" i="6"/>
  <c r="H983" i="6"/>
  <c r="J983" i="6"/>
  <c r="D983" i="6"/>
  <c r="L982" i="6"/>
  <c r="H982" i="6"/>
  <c r="J982" i="6"/>
  <c r="D982" i="6"/>
  <c r="L981" i="6"/>
  <c r="H981" i="6"/>
  <c r="J981" i="6"/>
  <c r="D981" i="6"/>
  <c r="L980" i="6"/>
  <c r="H980" i="6"/>
  <c r="J980" i="6"/>
  <c r="D980" i="6"/>
  <c r="L979" i="6"/>
  <c r="H979" i="6"/>
  <c r="J979" i="6"/>
  <c r="D979" i="6"/>
  <c r="L978" i="6"/>
  <c r="H978" i="6"/>
  <c r="J978" i="6"/>
  <c r="D978" i="6"/>
  <c r="L977" i="6"/>
  <c r="H977" i="6"/>
  <c r="J977" i="6"/>
  <c r="D977" i="6"/>
  <c r="L976" i="6"/>
  <c r="H976" i="6"/>
  <c r="J976" i="6"/>
  <c r="D976" i="6"/>
  <c r="L975" i="6"/>
  <c r="H975" i="6"/>
  <c r="J975" i="6"/>
  <c r="D975" i="6"/>
  <c r="L974" i="6"/>
  <c r="H974" i="6"/>
  <c r="J974" i="6"/>
  <c r="D974" i="6"/>
  <c r="L973" i="6"/>
  <c r="H973" i="6"/>
  <c r="J973" i="6"/>
  <c r="D973" i="6"/>
  <c r="L972" i="6"/>
  <c r="H972" i="6"/>
  <c r="J972" i="6"/>
  <c r="D972" i="6"/>
  <c r="L971" i="6"/>
  <c r="H971" i="6"/>
  <c r="J971" i="6"/>
  <c r="D971" i="6"/>
  <c r="L970" i="6"/>
  <c r="H970" i="6"/>
  <c r="J970" i="6"/>
  <c r="D970" i="6"/>
  <c r="L969" i="6"/>
  <c r="H969" i="6"/>
  <c r="J969" i="6"/>
  <c r="D969" i="6"/>
  <c r="L968" i="6"/>
  <c r="H968" i="6"/>
  <c r="J968" i="6"/>
  <c r="D968" i="6"/>
  <c r="L967" i="6"/>
  <c r="H967" i="6"/>
  <c r="J967" i="6"/>
  <c r="D967" i="6"/>
  <c r="L966" i="6"/>
  <c r="H966" i="6"/>
  <c r="J966" i="6"/>
  <c r="D966" i="6"/>
  <c r="L965" i="6"/>
  <c r="H965" i="6"/>
  <c r="J965" i="6"/>
  <c r="D965" i="6"/>
  <c r="L964" i="6"/>
  <c r="H964" i="6"/>
  <c r="J964" i="6"/>
  <c r="D964" i="6"/>
  <c r="L963" i="6"/>
  <c r="H963" i="6"/>
  <c r="J963" i="6"/>
  <c r="D963" i="6"/>
  <c r="L962" i="6"/>
  <c r="H962" i="6"/>
  <c r="J962" i="6"/>
  <c r="D962" i="6"/>
  <c r="L961" i="6"/>
  <c r="H961" i="6"/>
  <c r="J961" i="6"/>
  <c r="D961" i="6"/>
  <c r="L960" i="6"/>
  <c r="H960" i="6"/>
  <c r="J960" i="6"/>
  <c r="D960" i="6"/>
  <c r="L959" i="6"/>
  <c r="H959" i="6"/>
  <c r="J959" i="6"/>
  <c r="D959" i="6"/>
  <c r="L958" i="6"/>
  <c r="H958" i="6"/>
  <c r="J958" i="6"/>
  <c r="D958" i="6"/>
  <c r="L957" i="6"/>
  <c r="H957" i="6"/>
  <c r="J957" i="6"/>
  <c r="D957" i="6"/>
  <c r="L956" i="6"/>
  <c r="H956" i="6"/>
  <c r="J956" i="6"/>
  <c r="D956" i="6"/>
  <c r="L955" i="6"/>
  <c r="H955" i="6"/>
  <c r="J955" i="6"/>
  <c r="D955" i="6"/>
  <c r="L954" i="6"/>
  <c r="H954" i="6"/>
  <c r="J954" i="6"/>
  <c r="D954" i="6"/>
  <c r="L953" i="6"/>
  <c r="H953" i="6"/>
  <c r="J953" i="6"/>
  <c r="D953" i="6"/>
  <c r="L952" i="6"/>
  <c r="H952" i="6"/>
  <c r="J952" i="6"/>
  <c r="D952" i="6"/>
  <c r="L951" i="6"/>
  <c r="H951" i="6"/>
  <c r="J951" i="6"/>
  <c r="D951" i="6"/>
  <c r="L950" i="6"/>
  <c r="H950" i="6"/>
  <c r="J950" i="6"/>
  <c r="D950" i="6"/>
  <c r="L949" i="6"/>
  <c r="H949" i="6"/>
  <c r="J949" i="6"/>
  <c r="D949" i="6"/>
  <c r="L948" i="6"/>
  <c r="H948" i="6"/>
  <c r="J948" i="6"/>
  <c r="D948" i="6"/>
  <c r="L947" i="6"/>
  <c r="H947" i="6"/>
  <c r="J947" i="6"/>
  <c r="D947" i="6"/>
  <c r="L946" i="6"/>
  <c r="H946" i="6"/>
  <c r="J946" i="6"/>
  <c r="D946" i="6"/>
  <c r="L945" i="6"/>
  <c r="H945" i="6"/>
  <c r="J945" i="6"/>
  <c r="D945" i="6"/>
  <c r="L944" i="6"/>
  <c r="H944" i="6"/>
  <c r="J944" i="6"/>
  <c r="D944" i="6"/>
  <c r="L943" i="6"/>
  <c r="H943" i="6"/>
  <c r="J943" i="6"/>
  <c r="D943" i="6"/>
  <c r="L942" i="6"/>
  <c r="H942" i="6"/>
  <c r="J942" i="6"/>
  <c r="D942" i="6"/>
  <c r="L941" i="6"/>
  <c r="H941" i="6"/>
  <c r="J941" i="6"/>
  <c r="D941" i="6"/>
  <c r="L940" i="6"/>
  <c r="H940" i="6"/>
  <c r="J940" i="6"/>
  <c r="D940" i="6"/>
  <c r="L939" i="6"/>
  <c r="H939" i="6"/>
  <c r="J939" i="6"/>
  <c r="D939" i="6"/>
  <c r="L938" i="6"/>
  <c r="H938" i="6"/>
  <c r="J938" i="6"/>
  <c r="D938" i="6"/>
  <c r="L937" i="6"/>
  <c r="H937" i="6"/>
  <c r="J937" i="6"/>
  <c r="D937" i="6"/>
  <c r="L936" i="6"/>
  <c r="H936" i="6"/>
  <c r="J936" i="6"/>
  <c r="D936" i="6"/>
  <c r="L935" i="6"/>
  <c r="H935" i="6"/>
  <c r="J935" i="6"/>
  <c r="D935" i="6"/>
  <c r="L934" i="6"/>
  <c r="H934" i="6"/>
  <c r="J934" i="6"/>
  <c r="D934" i="6"/>
  <c r="L933" i="6"/>
  <c r="H933" i="6"/>
  <c r="J933" i="6"/>
  <c r="D933" i="6"/>
  <c r="L932" i="6"/>
  <c r="H932" i="6"/>
  <c r="J932" i="6"/>
  <c r="D932" i="6"/>
  <c r="L931" i="6"/>
  <c r="H931" i="6"/>
  <c r="J931" i="6"/>
  <c r="D931" i="6"/>
  <c r="L930" i="6"/>
  <c r="H930" i="6"/>
  <c r="J930" i="6"/>
  <c r="D930" i="6"/>
  <c r="L929" i="6"/>
  <c r="H929" i="6"/>
  <c r="J929" i="6"/>
  <c r="D929" i="6"/>
  <c r="L928" i="6"/>
  <c r="H928" i="6"/>
  <c r="J928" i="6"/>
  <c r="D928" i="6"/>
  <c r="L927" i="6"/>
  <c r="H927" i="6"/>
  <c r="J927" i="6"/>
  <c r="D927" i="6"/>
  <c r="L926" i="6"/>
  <c r="H926" i="6"/>
  <c r="J926" i="6"/>
  <c r="D926" i="6"/>
  <c r="L925" i="6"/>
  <c r="H925" i="6"/>
  <c r="J925" i="6"/>
  <c r="D925" i="6"/>
  <c r="L924" i="6"/>
  <c r="H924" i="6"/>
  <c r="J924" i="6"/>
  <c r="D924" i="6"/>
  <c r="L923" i="6"/>
  <c r="H923" i="6"/>
  <c r="J923" i="6"/>
  <c r="D923" i="6"/>
  <c r="L922" i="6"/>
  <c r="H922" i="6"/>
  <c r="J922" i="6"/>
  <c r="D922" i="6"/>
  <c r="L921" i="6"/>
  <c r="H921" i="6"/>
  <c r="J921" i="6"/>
  <c r="D921" i="6"/>
  <c r="L920" i="6"/>
  <c r="H920" i="6"/>
  <c r="J920" i="6"/>
  <c r="D920" i="6"/>
  <c r="L919" i="6"/>
  <c r="H919" i="6"/>
  <c r="J919" i="6"/>
  <c r="D919" i="6"/>
  <c r="L918" i="6"/>
  <c r="H918" i="6"/>
  <c r="J918" i="6"/>
  <c r="D918" i="6"/>
  <c r="L917" i="6"/>
  <c r="H917" i="6"/>
  <c r="J917" i="6"/>
  <c r="D917" i="6"/>
  <c r="L916" i="6"/>
  <c r="H916" i="6"/>
  <c r="J916" i="6"/>
  <c r="D916" i="6"/>
  <c r="L915" i="6"/>
  <c r="H915" i="6"/>
  <c r="J915" i="6"/>
  <c r="D915" i="6"/>
  <c r="L914" i="6"/>
  <c r="H914" i="6"/>
  <c r="J914" i="6"/>
  <c r="D914" i="6"/>
  <c r="L913" i="6"/>
  <c r="H913" i="6"/>
  <c r="J913" i="6"/>
  <c r="D913" i="6"/>
  <c r="L912" i="6"/>
  <c r="H912" i="6"/>
  <c r="J912" i="6"/>
  <c r="D912" i="6"/>
  <c r="L911" i="6"/>
  <c r="H911" i="6"/>
  <c r="J911" i="6"/>
  <c r="D911" i="6"/>
  <c r="L910" i="6"/>
  <c r="H910" i="6"/>
  <c r="J910" i="6"/>
  <c r="D910" i="6"/>
  <c r="L909" i="6"/>
  <c r="H909" i="6"/>
  <c r="J909" i="6"/>
  <c r="D909" i="6"/>
  <c r="L908" i="6"/>
  <c r="H908" i="6"/>
  <c r="J908" i="6"/>
  <c r="D908" i="6"/>
  <c r="L907" i="6"/>
  <c r="H907" i="6"/>
  <c r="J907" i="6"/>
  <c r="D907" i="6"/>
  <c r="L906" i="6"/>
  <c r="H906" i="6"/>
  <c r="J906" i="6"/>
  <c r="D906" i="6"/>
  <c r="L905" i="6"/>
  <c r="H905" i="6"/>
  <c r="J905" i="6"/>
  <c r="D905" i="6"/>
  <c r="L904" i="6"/>
  <c r="H904" i="6"/>
  <c r="J904" i="6"/>
  <c r="D904" i="6"/>
  <c r="L903" i="6"/>
  <c r="H903" i="6"/>
  <c r="J903" i="6"/>
  <c r="D903" i="6"/>
  <c r="L902" i="6"/>
  <c r="H902" i="6"/>
  <c r="J902" i="6"/>
  <c r="D902" i="6"/>
  <c r="L901" i="6"/>
  <c r="H901" i="6"/>
  <c r="J901" i="6"/>
  <c r="D901" i="6"/>
  <c r="L900" i="6"/>
  <c r="H900" i="6"/>
  <c r="J900" i="6"/>
  <c r="D900" i="6"/>
  <c r="L899" i="6"/>
  <c r="H899" i="6"/>
  <c r="J899" i="6"/>
  <c r="D899" i="6"/>
  <c r="L898" i="6"/>
  <c r="H898" i="6"/>
  <c r="J898" i="6"/>
  <c r="D898" i="6"/>
  <c r="L897" i="6"/>
  <c r="H897" i="6"/>
  <c r="J897" i="6"/>
  <c r="D897" i="6"/>
  <c r="L896" i="6"/>
  <c r="H896" i="6"/>
  <c r="J896" i="6"/>
  <c r="D896" i="6"/>
  <c r="L895" i="6"/>
  <c r="H895" i="6"/>
  <c r="J895" i="6"/>
  <c r="D895" i="6"/>
  <c r="L894" i="6"/>
  <c r="H894" i="6"/>
  <c r="J894" i="6"/>
  <c r="D894" i="6"/>
  <c r="L893" i="6"/>
  <c r="H893" i="6"/>
  <c r="J893" i="6"/>
  <c r="D893" i="6"/>
  <c r="L892" i="6"/>
  <c r="H892" i="6"/>
  <c r="J892" i="6"/>
  <c r="D892" i="6"/>
  <c r="L891" i="6"/>
  <c r="H891" i="6"/>
  <c r="J891" i="6"/>
  <c r="D891" i="6"/>
  <c r="L890" i="6"/>
  <c r="H890" i="6"/>
  <c r="J890" i="6"/>
  <c r="D890" i="6"/>
  <c r="L889" i="6"/>
  <c r="H889" i="6"/>
  <c r="J889" i="6"/>
  <c r="D889" i="6"/>
  <c r="L888" i="6"/>
  <c r="H888" i="6"/>
  <c r="J888" i="6"/>
  <c r="D888" i="6"/>
  <c r="L887" i="6"/>
  <c r="H887" i="6"/>
  <c r="J887" i="6"/>
  <c r="D887" i="6"/>
  <c r="L886" i="6"/>
  <c r="H886" i="6"/>
  <c r="J886" i="6"/>
  <c r="D886" i="6"/>
  <c r="L885" i="6"/>
  <c r="H885" i="6"/>
  <c r="J885" i="6"/>
  <c r="D885" i="6"/>
  <c r="L884" i="6"/>
  <c r="H884" i="6"/>
  <c r="J884" i="6"/>
  <c r="D884" i="6"/>
  <c r="L883" i="6"/>
  <c r="H883" i="6"/>
  <c r="J883" i="6"/>
  <c r="D883" i="6"/>
  <c r="L882" i="6"/>
  <c r="H882" i="6"/>
  <c r="J882" i="6"/>
  <c r="D882" i="6"/>
  <c r="L881" i="6"/>
  <c r="H881" i="6"/>
  <c r="J881" i="6"/>
  <c r="D881" i="6"/>
  <c r="L880" i="6"/>
  <c r="H880" i="6"/>
  <c r="J880" i="6"/>
  <c r="D880" i="6"/>
  <c r="L879" i="6"/>
  <c r="H879" i="6"/>
  <c r="J879" i="6"/>
  <c r="D879" i="6"/>
  <c r="L878" i="6"/>
  <c r="H878" i="6"/>
  <c r="J878" i="6"/>
  <c r="D878" i="6"/>
  <c r="L877" i="6"/>
  <c r="H877" i="6"/>
  <c r="J877" i="6"/>
  <c r="D877" i="6"/>
  <c r="L876" i="6"/>
  <c r="H876" i="6"/>
  <c r="J876" i="6"/>
  <c r="D876" i="6"/>
  <c r="L875" i="6"/>
  <c r="H875" i="6"/>
  <c r="J875" i="6"/>
  <c r="D875" i="6"/>
  <c r="L874" i="6"/>
  <c r="H874" i="6"/>
  <c r="J874" i="6"/>
  <c r="D874" i="6"/>
  <c r="L873" i="6"/>
  <c r="H873" i="6"/>
  <c r="J873" i="6"/>
  <c r="D873" i="6"/>
  <c r="L872" i="6"/>
  <c r="H872" i="6"/>
  <c r="J872" i="6"/>
  <c r="D872" i="6"/>
  <c r="L871" i="6"/>
  <c r="H871" i="6"/>
  <c r="J871" i="6"/>
  <c r="D871" i="6"/>
  <c r="L870" i="6"/>
  <c r="H870" i="6"/>
  <c r="J870" i="6"/>
  <c r="D870" i="6"/>
  <c r="L869" i="6"/>
  <c r="H869" i="6"/>
  <c r="J869" i="6"/>
  <c r="D869" i="6"/>
  <c r="L868" i="6"/>
  <c r="H868" i="6"/>
  <c r="J868" i="6"/>
  <c r="D868" i="6"/>
  <c r="L867" i="6"/>
  <c r="H867" i="6"/>
  <c r="J867" i="6"/>
  <c r="D867" i="6"/>
  <c r="L866" i="6"/>
  <c r="H866" i="6"/>
  <c r="J866" i="6"/>
  <c r="D866" i="6"/>
  <c r="L865" i="6"/>
  <c r="H865" i="6"/>
  <c r="J865" i="6"/>
  <c r="D865" i="6"/>
  <c r="L864" i="6"/>
  <c r="H864" i="6"/>
  <c r="J864" i="6"/>
  <c r="D864" i="6"/>
  <c r="L863" i="6"/>
  <c r="H863" i="6"/>
  <c r="J863" i="6"/>
  <c r="D863" i="6"/>
  <c r="L862" i="6"/>
  <c r="H862" i="6"/>
  <c r="J862" i="6"/>
  <c r="D862" i="6"/>
  <c r="L861" i="6"/>
  <c r="H861" i="6"/>
  <c r="J861" i="6"/>
  <c r="D861" i="6"/>
  <c r="L860" i="6"/>
  <c r="H860" i="6"/>
  <c r="J860" i="6"/>
  <c r="D860" i="6"/>
  <c r="L859" i="6"/>
  <c r="H859" i="6"/>
  <c r="J859" i="6"/>
  <c r="D859" i="6"/>
  <c r="L858" i="6"/>
  <c r="H858" i="6"/>
  <c r="J858" i="6"/>
  <c r="D858" i="6"/>
  <c r="L857" i="6"/>
  <c r="H857" i="6"/>
  <c r="J857" i="6"/>
  <c r="D857" i="6"/>
  <c r="L856" i="6"/>
  <c r="H856" i="6"/>
  <c r="J856" i="6"/>
  <c r="D856" i="6"/>
  <c r="L855" i="6"/>
  <c r="H855" i="6"/>
  <c r="J855" i="6"/>
  <c r="D855" i="6"/>
  <c r="L854" i="6"/>
  <c r="H854" i="6"/>
  <c r="J854" i="6"/>
  <c r="D854" i="6"/>
  <c r="L853" i="6"/>
  <c r="H853" i="6"/>
  <c r="J853" i="6"/>
  <c r="D853" i="6"/>
  <c r="L852" i="6"/>
  <c r="H852" i="6"/>
  <c r="J852" i="6"/>
  <c r="D852" i="6"/>
  <c r="L851" i="6"/>
  <c r="H851" i="6"/>
  <c r="J851" i="6"/>
  <c r="D851" i="6"/>
  <c r="L850" i="6"/>
  <c r="H850" i="6"/>
  <c r="J850" i="6"/>
  <c r="D850" i="6"/>
  <c r="L849" i="6"/>
  <c r="H849" i="6"/>
  <c r="J849" i="6"/>
  <c r="D849" i="6"/>
  <c r="L848" i="6"/>
  <c r="H848" i="6"/>
  <c r="J848" i="6"/>
  <c r="D848" i="6"/>
  <c r="L847" i="6"/>
  <c r="H847" i="6"/>
  <c r="J847" i="6"/>
  <c r="D847" i="6"/>
  <c r="L846" i="6"/>
  <c r="H846" i="6"/>
  <c r="J846" i="6"/>
  <c r="D846" i="6"/>
  <c r="L845" i="6"/>
  <c r="H845" i="6"/>
  <c r="J845" i="6"/>
  <c r="D845" i="6"/>
  <c r="L844" i="6"/>
  <c r="H844" i="6"/>
  <c r="J844" i="6"/>
  <c r="D844" i="6"/>
  <c r="L843" i="6"/>
  <c r="H843" i="6"/>
  <c r="J843" i="6"/>
  <c r="D843" i="6"/>
  <c r="L842" i="6"/>
  <c r="H842" i="6"/>
  <c r="J842" i="6"/>
  <c r="D842" i="6"/>
  <c r="L841" i="6"/>
  <c r="H841" i="6"/>
  <c r="J841" i="6"/>
  <c r="D841" i="6"/>
  <c r="L840" i="6"/>
  <c r="H840" i="6"/>
  <c r="J840" i="6"/>
  <c r="D840" i="6"/>
  <c r="L839" i="6"/>
  <c r="H839" i="6"/>
  <c r="J839" i="6"/>
  <c r="D839" i="6"/>
  <c r="L838" i="6"/>
  <c r="H838" i="6"/>
  <c r="J838" i="6"/>
  <c r="D838" i="6"/>
  <c r="L837" i="6"/>
  <c r="H837" i="6"/>
  <c r="J837" i="6"/>
  <c r="D837" i="6"/>
  <c r="L836" i="6"/>
  <c r="H836" i="6"/>
  <c r="J836" i="6"/>
  <c r="D836" i="6"/>
  <c r="L835" i="6"/>
  <c r="H835" i="6"/>
  <c r="J835" i="6"/>
  <c r="D835" i="6"/>
  <c r="L834" i="6"/>
  <c r="H834" i="6"/>
  <c r="J834" i="6"/>
  <c r="D834" i="6"/>
  <c r="L833" i="6"/>
  <c r="H833" i="6"/>
  <c r="J833" i="6"/>
  <c r="D833" i="6"/>
  <c r="L832" i="6"/>
  <c r="H832" i="6"/>
  <c r="J832" i="6"/>
  <c r="D832" i="6"/>
  <c r="L831" i="6"/>
  <c r="H831" i="6"/>
  <c r="J831" i="6"/>
  <c r="D831" i="6"/>
  <c r="L830" i="6"/>
  <c r="H830" i="6"/>
  <c r="J830" i="6"/>
  <c r="D830" i="6"/>
  <c r="L829" i="6"/>
  <c r="H829" i="6"/>
  <c r="J829" i="6"/>
  <c r="D829" i="6"/>
  <c r="L828" i="6"/>
  <c r="H828" i="6"/>
  <c r="J828" i="6"/>
  <c r="D828" i="6"/>
  <c r="L827" i="6"/>
  <c r="H827" i="6"/>
  <c r="J827" i="6"/>
  <c r="D827" i="6"/>
  <c r="L826" i="6"/>
  <c r="H826" i="6"/>
  <c r="J826" i="6"/>
  <c r="D826" i="6"/>
  <c r="L825" i="6"/>
  <c r="H825" i="6"/>
  <c r="J825" i="6"/>
  <c r="D825" i="6"/>
  <c r="L824" i="6"/>
  <c r="H824" i="6"/>
  <c r="J824" i="6"/>
  <c r="D824" i="6"/>
  <c r="L823" i="6"/>
  <c r="H823" i="6"/>
  <c r="J823" i="6"/>
  <c r="D823" i="6"/>
  <c r="L822" i="6"/>
  <c r="H822" i="6"/>
  <c r="J822" i="6"/>
  <c r="D822" i="6"/>
  <c r="L821" i="6"/>
  <c r="H821" i="6"/>
  <c r="J821" i="6"/>
  <c r="D821" i="6"/>
  <c r="L820" i="6"/>
  <c r="H820" i="6"/>
  <c r="J820" i="6"/>
  <c r="D820" i="6"/>
  <c r="L819" i="6"/>
  <c r="H819" i="6"/>
  <c r="J819" i="6"/>
  <c r="D819" i="6"/>
  <c r="L818" i="6"/>
  <c r="H818" i="6"/>
  <c r="J818" i="6"/>
  <c r="D818" i="6"/>
  <c r="L817" i="6"/>
  <c r="H817" i="6"/>
  <c r="J817" i="6"/>
  <c r="D817" i="6"/>
  <c r="L816" i="6"/>
  <c r="H816" i="6"/>
  <c r="J816" i="6"/>
  <c r="D816" i="6"/>
  <c r="L815" i="6"/>
  <c r="H815" i="6"/>
  <c r="J815" i="6"/>
  <c r="D815" i="6"/>
  <c r="L814" i="6"/>
  <c r="H814" i="6"/>
  <c r="J814" i="6"/>
  <c r="D814" i="6"/>
  <c r="L813" i="6"/>
  <c r="H813" i="6"/>
  <c r="J813" i="6"/>
  <c r="D813" i="6"/>
  <c r="L812" i="6"/>
  <c r="H812" i="6"/>
  <c r="J812" i="6"/>
  <c r="D812" i="6"/>
  <c r="L811" i="6"/>
  <c r="H811" i="6"/>
  <c r="J811" i="6"/>
  <c r="D811" i="6"/>
  <c r="L810" i="6"/>
  <c r="H810" i="6"/>
  <c r="J810" i="6"/>
  <c r="D810" i="6"/>
  <c r="L809" i="6"/>
  <c r="H809" i="6"/>
  <c r="J809" i="6"/>
  <c r="D809" i="6"/>
  <c r="L808" i="6"/>
  <c r="H808" i="6"/>
  <c r="J808" i="6"/>
  <c r="D808" i="6"/>
  <c r="L807" i="6"/>
  <c r="H807" i="6"/>
  <c r="J807" i="6"/>
  <c r="D807" i="6"/>
  <c r="L806" i="6"/>
  <c r="H806" i="6"/>
  <c r="J806" i="6"/>
  <c r="D806" i="6"/>
  <c r="L805" i="6"/>
  <c r="H805" i="6"/>
  <c r="J805" i="6"/>
  <c r="D805" i="6"/>
  <c r="L804" i="6"/>
  <c r="H804" i="6"/>
  <c r="J804" i="6"/>
  <c r="D804" i="6"/>
  <c r="L803" i="6"/>
  <c r="H803" i="6"/>
  <c r="J803" i="6"/>
  <c r="D803" i="6"/>
  <c r="L802" i="6"/>
  <c r="H802" i="6"/>
  <c r="J802" i="6"/>
  <c r="D802" i="6"/>
  <c r="L801" i="6"/>
  <c r="H801" i="6"/>
  <c r="J801" i="6"/>
  <c r="D801" i="6"/>
  <c r="L800" i="6"/>
  <c r="H800" i="6"/>
  <c r="J800" i="6"/>
  <c r="D800" i="6"/>
  <c r="L799" i="6"/>
  <c r="H799" i="6"/>
  <c r="J799" i="6"/>
  <c r="D799" i="6"/>
  <c r="L798" i="6"/>
  <c r="H798" i="6"/>
  <c r="J798" i="6"/>
  <c r="D798" i="6"/>
  <c r="L797" i="6"/>
  <c r="H797" i="6"/>
  <c r="J797" i="6"/>
  <c r="D797" i="6"/>
  <c r="L796" i="6"/>
  <c r="H796" i="6"/>
  <c r="J796" i="6"/>
  <c r="D796" i="6"/>
  <c r="L795" i="6"/>
  <c r="H795" i="6"/>
  <c r="J795" i="6"/>
  <c r="D795" i="6"/>
  <c r="L794" i="6"/>
  <c r="H794" i="6"/>
  <c r="J794" i="6"/>
  <c r="D794" i="6"/>
  <c r="L793" i="6"/>
  <c r="H793" i="6"/>
  <c r="J793" i="6"/>
  <c r="D793" i="6"/>
  <c r="L792" i="6"/>
  <c r="H792" i="6"/>
  <c r="J792" i="6"/>
  <c r="D792" i="6"/>
  <c r="L791" i="6"/>
  <c r="H791" i="6"/>
  <c r="J791" i="6"/>
  <c r="D791" i="6"/>
  <c r="L790" i="6"/>
  <c r="H790" i="6"/>
  <c r="J790" i="6"/>
  <c r="D790" i="6"/>
  <c r="L789" i="6"/>
  <c r="H789" i="6"/>
  <c r="J789" i="6"/>
  <c r="D789" i="6"/>
  <c r="L788" i="6"/>
  <c r="H788" i="6"/>
  <c r="J788" i="6"/>
  <c r="D788" i="6"/>
  <c r="L787" i="6"/>
  <c r="H787" i="6"/>
  <c r="J787" i="6"/>
  <c r="D787" i="6"/>
  <c r="L786" i="6"/>
  <c r="H786" i="6"/>
  <c r="J786" i="6"/>
  <c r="D786" i="6"/>
  <c r="L785" i="6"/>
  <c r="H785" i="6"/>
  <c r="J785" i="6"/>
  <c r="D785" i="6"/>
  <c r="L784" i="6"/>
  <c r="H784" i="6"/>
  <c r="J784" i="6"/>
  <c r="D784" i="6"/>
  <c r="L783" i="6"/>
  <c r="H783" i="6"/>
  <c r="J783" i="6"/>
  <c r="D783" i="6"/>
  <c r="L782" i="6"/>
  <c r="H782" i="6"/>
  <c r="J782" i="6"/>
  <c r="D782" i="6"/>
  <c r="L781" i="6"/>
  <c r="H781" i="6"/>
  <c r="J781" i="6"/>
  <c r="D781" i="6"/>
  <c r="L780" i="6"/>
  <c r="H780" i="6"/>
  <c r="J780" i="6"/>
  <c r="D780" i="6"/>
  <c r="L779" i="6"/>
  <c r="H779" i="6"/>
  <c r="J779" i="6"/>
  <c r="D779" i="6"/>
  <c r="L778" i="6"/>
  <c r="H778" i="6"/>
  <c r="J778" i="6"/>
  <c r="D778" i="6"/>
  <c r="L777" i="6"/>
  <c r="H777" i="6"/>
  <c r="J777" i="6"/>
  <c r="D777" i="6"/>
  <c r="L776" i="6"/>
  <c r="H776" i="6"/>
  <c r="J776" i="6"/>
  <c r="D776" i="6"/>
  <c r="L775" i="6"/>
  <c r="H775" i="6"/>
  <c r="J775" i="6"/>
  <c r="D775" i="6"/>
  <c r="L774" i="6"/>
  <c r="H774" i="6"/>
  <c r="J774" i="6"/>
  <c r="D774" i="6"/>
  <c r="L773" i="6"/>
  <c r="H773" i="6"/>
  <c r="J773" i="6"/>
  <c r="D773" i="6"/>
  <c r="L772" i="6"/>
  <c r="H772" i="6"/>
  <c r="J772" i="6"/>
  <c r="D772" i="6"/>
  <c r="L771" i="6"/>
  <c r="H771" i="6"/>
  <c r="J771" i="6"/>
  <c r="D771" i="6"/>
  <c r="L770" i="6"/>
  <c r="H770" i="6"/>
  <c r="J770" i="6"/>
  <c r="D770" i="6"/>
  <c r="L769" i="6"/>
  <c r="H769" i="6"/>
  <c r="J769" i="6"/>
  <c r="D769" i="6"/>
  <c r="L768" i="6"/>
  <c r="H768" i="6"/>
  <c r="J768" i="6"/>
  <c r="D768" i="6"/>
  <c r="L767" i="6"/>
  <c r="H767" i="6"/>
  <c r="J767" i="6"/>
  <c r="D767" i="6"/>
  <c r="L766" i="6"/>
  <c r="H766" i="6"/>
  <c r="J766" i="6"/>
  <c r="D766" i="6"/>
  <c r="L765" i="6"/>
  <c r="H765" i="6"/>
  <c r="J765" i="6"/>
  <c r="D765" i="6"/>
  <c r="L764" i="6"/>
  <c r="H764" i="6"/>
  <c r="J764" i="6"/>
  <c r="D764" i="6"/>
  <c r="L763" i="6"/>
  <c r="H763" i="6"/>
  <c r="J763" i="6"/>
  <c r="D763" i="6"/>
  <c r="L762" i="6"/>
  <c r="H762" i="6"/>
  <c r="J762" i="6"/>
  <c r="D762" i="6"/>
  <c r="L761" i="6"/>
  <c r="H761" i="6"/>
  <c r="J761" i="6"/>
  <c r="D761" i="6"/>
  <c r="L760" i="6"/>
  <c r="H760" i="6"/>
  <c r="J760" i="6"/>
  <c r="D760" i="6"/>
  <c r="L759" i="6"/>
  <c r="H759" i="6"/>
  <c r="J759" i="6"/>
  <c r="D759" i="6"/>
  <c r="L758" i="6"/>
  <c r="H758" i="6"/>
  <c r="J758" i="6"/>
  <c r="D758" i="6"/>
  <c r="L757" i="6"/>
  <c r="H757" i="6"/>
  <c r="J757" i="6"/>
  <c r="D757" i="6"/>
  <c r="L756" i="6"/>
  <c r="H756" i="6"/>
  <c r="J756" i="6"/>
  <c r="D756" i="6"/>
  <c r="L755" i="6"/>
  <c r="H755" i="6"/>
  <c r="J755" i="6"/>
  <c r="D755" i="6"/>
  <c r="L754" i="6"/>
  <c r="H754" i="6"/>
  <c r="J754" i="6"/>
  <c r="D754" i="6"/>
  <c r="L753" i="6"/>
  <c r="H753" i="6"/>
  <c r="J753" i="6"/>
  <c r="D753" i="6"/>
  <c r="L752" i="6"/>
  <c r="H752" i="6"/>
  <c r="J752" i="6"/>
  <c r="D752" i="6"/>
  <c r="L751" i="6"/>
  <c r="H751" i="6"/>
  <c r="J751" i="6"/>
  <c r="D751" i="6"/>
  <c r="L750" i="6"/>
  <c r="H750" i="6"/>
  <c r="J750" i="6"/>
  <c r="D750" i="6"/>
  <c r="L749" i="6"/>
  <c r="H749" i="6"/>
  <c r="J749" i="6"/>
  <c r="D749" i="6"/>
  <c r="L748" i="6"/>
  <c r="H748" i="6"/>
  <c r="J748" i="6"/>
  <c r="D748" i="6"/>
  <c r="L747" i="6"/>
  <c r="H747" i="6"/>
  <c r="J747" i="6"/>
  <c r="D747" i="6"/>
  <c r="L746" i="6"/>
  <c r="H746" i="6"/>
  <c r="J746" i="6"/>
  <c r="D746" i="6"/>
  <c r="L745" i="6"/>
  <c r="H745" i="6"/>
  <c r="J745" i="6"/>
  <c r="D745" i="6"/>
  <c r="L744" i="6"/>
  <c r="H744" i="6"/>
  <c r="J744" i="6"/>
  <c r="D744" i="6"/>
  <c r="L743" i="6"/>
  <c r="H743" i="6"/>
  <c r="J743" i="6"/>
  <c r="D743" i="6"/>
  <c r="L742" i="6"/>
  <c r="H742" i="6"/>
  <c r="J742" i="6"/>
  <c r="D742" i="6"/>
  <c r="L741" i="6"/>
  <c r="H741" i="6"/>
  <c r="J741" i="6"/>
  <c r="D741" i="6"/>
  <c r="L740" i="6"/>
  <c r="H740" i="6"/>
  <c r="J740" i="6"/>
  <c r="D740" i="6"/>
  <c r="L739" i="6"/>
  <c r="H739" i="6"/>
  <c r="J739" i="6"/>
  <c r="D739" i="6"/>
  <c r="L738" i="6"/>
  <c r="H738" i="6"/>
  <c r="J738" i="6"/>
  <c r="D738" i="6"/>
  <c r="L737" i="6"/>
  <c r="H737" i="6"/>
  <c r="J737" i="6"/>
  <c r="D737" i="6"/>
  <c r="L736" i="6"/>
  <c r="H736" i="6"/>
  <c r="J736" i="6"/>
  <c r="D736" i="6"/>
  <c r="L735" i="6"/>
  <c r="H735" i="6"/>
  <c r="J735" i="6"/>
  <c r="D735" i="6"/>
  <c r="L734" i="6"/>
  <c r="H734" i="6"/>
  <c r="J734" i="6"/>
  <c r="D734" i="6"/>
  <c r="L733" i="6"/>
  <c r="H733" i="6"/>
  <c r="J733" i="6"/>
  <c r="D733" i="6"/>
  <c r="L732" i="6"/>
  <c r="H732" i="6"/>
  <c r="J732" i="6"/>
  <c r="D732" i="6"/>
  <c r="L731" i="6"/>
  <c r="H731" i="6"/>
  <c r="J731" i="6"/>
  <c r="D731" i="6"/>
  <c r="L730" i="6"/>
  <c r="H730" i="6"/>
  <c r="J730" i="6"/>
  <c r="D730" i="6"/>
  <c r="L729" i="6"/>
  <c r="H729" i="6"/>
  <c r="J729" i="6"/>
  <c r="D729" i="6"/>
  <c r="L728" i="6"/>
  <c r="H728" i="6"/>
  <c r="J728" i="6"/>
  <c r="D728" i="6"/>
  <c r="L727" i="6"/>
  <c r="H727" i="6"/>
  <c r="J727" i="6"/>
  <c r="D727" i="6"/>
  <c r="L726" i="6"/>
  <c r="H726" i="6"/>
  <c r="J726" i="6"/>
  <c r="D726" i="6"/>
  <c r="L725" i="6"/>
  <c r="H725" i="6"/>
  <c r="J725" i="6"/>
  <c r="D725" i="6"/>
  <c r="L724" i="6"/>
  <c r="H724" i="6"/>
  <c r="J724" i="6"/>
  <c r="D724" i="6"/>
  <c r="L723" i="6"/>
  <c r="H723" i="6"/>
  <c r="J723" i="6"/>
  <c r="D723" i="6"/>
  <c r="L722" i="6"/>
  <c r="H722" i="6"/>
  <c r="J722" i="6"/>
  <c r="D722" i="6"/>
  <c r="L721" i="6"/>
  <c r="H721" i="6"/>
  <c r="J721" i="6"/>
  <c r="D721" i="6"/>
  <c r="L720" i="6"/>
  <c r="H720" i="6"/>
  <c r="J720" i="6"/>
  <c r="D720" i="6"/>
  <c r="L719" i="6"/>
  <c r="H719" i="6"/>
  <c r="J719" i="6"/>
  <c r="D719" i="6"/>
  <c r="L718" i="6"/>
  <c r="H718" i="6"/>
  <c r="J718" i="6"/>
  <c r="D718" i="6"/>
  <c r="L717" i="6"/>
  <c r="H717" i="6"/>
  <c r="J717" i="6"/>
  <c r="D717" i="6"/>
  <c r="L716" i="6"/>
  <c r="H716" i="6"/>
  <c r="J716" i="6"/>
  <c r="D716" i="6"/>
  <c r="L715" i="6"/>
  <c r="H715" i="6"/>
  <c r="J715" i="6"/>
  <c r="D715" i="6"/>
  <c r="L714" i="6"/>
  <c r="H714" i="6"/>
  <c r="J714" i="6"/>
  <c r="D714" i="6"/>
  <c r="L713" i="6"/>
  <c r="H713" i="6"/>
  <c r="J713" i="6"/>
  <c r="D713" i="6"/>
  <c r="L712" i="6"/>
  <c r="H712" i="6"/>
  <c r="J712" i="6"/>
  <c r="D712" i="6"/>
  <c r="L711" i="6"/>
  <c r="H711" i="6"/>
  <c r="J711" i="6"/>
  <c r="D711" i="6"/>
  <c r="L710" i="6"/>
  <c r="H710" i="6"/>
  <c r="J710" i="6"/>
  <c r="D710" i="6"/>
  <c r="L709" i="6"/>
  <c r="H709" i="6"/>
  <c r="J709" i="6"/>
  <c r="D709" i="6"/>
  <c r="L708" i="6"/>
  <c r="H708" i="6"/>
  <c r="J708" i="6"/>
  <c r="D708" i="6"/>
  <c r="L707" i="6"/>
  <c r="H707" i="6"/>
  <c r="J707" i="6"/>
  <c r="D707" i="6"/>
  <c r="L706" i="6"/>
  <c r="H706" i="6"/>
  <c r="J706" i="6"/>
  <c r="D706" i="6"/>
  <c r="L705" i="6"/>
  <c r="H705" i="6"/>
  <c r="J705" i="6"/>
  <c r="D705" i="6"/>
  <c r="L704" i="6"/>
  <c r="H704" i="6"/>
  <c r="J704" i="6"/>
  <c r="D704" i="6"/>
  <c r="L703" i="6"/>
  <c r="H703" i="6"/>
  <c r="J703" i="6"/>
  <c r="D703" i="6"/>
  <c r="L702" i="6"/>
  <c r="H702" i="6"/>
  <c r="J702" i="6"/>
  <c r="D702" i="6"/>
  <c r="L701" i="6"/>
  <c r="H701" i="6"/>
  <c r="J701" i="6"/>
  <c r="D701" i="6"/>
  <c r="L700" i="6"/>
  <c r="H700" i="6"/>
  <c r="J700" i="6"/>
  <c r="D700" i="6"/>
  <c r="L699" i="6"/>
  <c r="H699" i="6"/>
  <c r="J699" i="6"/>
  <c r="D699" i="6"/>
  <c r="L698" i="6"/>
  <c r="H698" i="6"/>
  <c r="J698" i="6"/>
  <c r="D698" i="6"/>
  <c r="L697" i="6"/>
  <c r="H697" i="6"/>
  <c r="J697" i="6"/>
  <c r="D697" i="6"/>
  <c r="L696" i="6"/>
  <c r="H696" i="6"/>
  <c r="J696" i="6"/>
  <c r="D696" i="6"/>
  <c r="L695" i="6"/>
  <c r="H695" i="6"/>
  <c r="J695" i="6"/>
  <c r="D695" i="6"/>
  <c r="L694" i="6"/>
  <c r="H694" i="6"/>
  <c r="J694" i="6"/>
  <c r="D694" i="6"/>
  <c r="L693" i="6"/>
  <c r="H693" i="6"/>
  <c r="J693" i="6"/>
  <c r="D693" i="6"/>
  <c r="L692" i="6"/>
  <c r="H692" i="6"/>
  <c r="J692" i="6"/>
  <c r="D692" i="6"/>
  <c r="L691" i="6"/>
  <c r="H691" i="6"/>
  <c r="J691" i="6"/>
  <c r="D691" i="6"/>
  <c r="L690" i="6"/>
  <c r="H690" i="6"/>
  <c r="J690" i="6"/>
  <c r="D690" i="6"/>
  <c r="L689" i="6"/>
  <c r="H689" i="6"/>
  <c r="J689" i="6"/>
  <c r="D689" i="6"/>
  <c r="L688" i="6"/>
  <c r="H688" i="6"/>
  <c r="J688" i="6"/>
  <c r="D688" i="6"/>
  <c r="L687" i="6"/>
  <c r="H687" i="6"/>
  <c r="J687" i="6"/>
  <c r="D687" i="6"/>
  <c r="L686" i="6"/>
  <c r="H686" i="6"/>
  <c r="J686" i="6"/>
  <c r="D686" i="6"/>
  <c r="L685" i="6"/>
  <c r="H685" i="6"/>
  <c r="J685" i="6"/>
  <c r="D685" i="6"/>
  <c r="L684" i="6"/>
  <c r="H684" i="6"/>
  <c r="J684" i="6"/>
  <c r="D684" i="6"/>
  <c r="L683" i="6"/>
  <c r="H683" i="6"/>
  <c r="J683" i="6"/>
  <c r="D683" i="6"/>
  <c r="L682" i="6"/>
  <c r="H682" i="6"/>
  <c r="J682" i="6"/>
  <c r="D682" i="6"/>
  <c r="L681" i="6"/>
  <c r="H681" i="6"/>
  <c r="J681" i="6"/>
  <c r="D681" i="6"/>
  <c r="L680" i="6"/>
  <c r="H680" i="6"/>
  <c r="J680" i="6"/>
  <c r="D680" i="6"/>
  <c r="L679" i="6"/>
  <c r="H679" i="6"/>
  <c r="J679" i="6"/>
  <c r="D679" i="6"/>
  <c r="L678" i="6"/>
  <c r="H678" i="6"/>
  <c r="J678" i="6"/>
  <c r="D678" i="6"/>
  <c r="L677" i="6"/>
  <c r="H677" i="6"/>
  <c r="J677" i="6"/>
  <c r="D677" i="6"/>
  <c r="L676" i="6"/>
  <c r="H676" i="6"/>
  <c r="J676" i="6"/>
  <c r="D676" i="6"/>
  <c r="L675" i="6"/>
  <c r="H675" i="6"/>
  <c r="J675" i="6"/>
  <c r="D675" i="6"/>
  <c r="L674" i="6"/>
  <c r="H674" i="6"/>
  <c r="J674" i="6"/>
  <c r="D674" i="6"/>
  <c r="L673" i="6"/>
  <c r="H673" i="6"/>
  <c r="J673" i="6"/>
  <c r="D673" i="6"/>
  <c r="L672" i="6"/>
  <c r="H672" i="6"/>
  <c r="J672" i="6"/>
  <c r="D672" i="6"/>
  <c r="L671" i="6"/>
  <c r="H671" i="6"/>
  <c r="J671" i="6"/>
  <c r="D671" i="6"/>
  <c r="L670" i="6"/>
  <c r="H670" i="6"/>
  <c r="J670" i="6"/>
  <c r="D670" i="6"/>
  <c r="L669" i="6"/>
  <c r="H669" i="6"/>
  <c r="J669" i="6"/>
  <c r="D669" i="6"/>
  <c r="L668" i="6"/>
  <c r="H668" i="6"/>
  <c r="J668" i="6"/>
  <c r="D668" i="6"/>
  <c r="L667" i="6"/>
  <c r="H667" i="6"/>
  <c r="J667" i="6"/>
  <c r="D667" i="6"/>
  <c r="L666" i="6"/>
  <c r="H666" i="6"/>
  <c r="J666" i="6"/>
  <c r="D666" i="6"/>
  <c r="L665" i="6"/>
  <c r="H665" i="6"/>
  <c r="J665" i="6"/>
  <c r="D665" i="6"/>
  <c r="L664" i="6"/>
  <c r="H664" i="6"/>
  <c r="J664" i="6"/>
  <c r="D664" i="6"/>
  <c r="L663" i="6"/>
  <c r="H663" i="6"/>
  <c r="J663" i="6"/>
  <c r="D663" i="6"/>
  <c r="L662" i="6"/>
  <c r="H662" i="6"/>
  <c r="J662" i="6"/>
  <c r="D662" i="6"/>
  <c r="L661" i="6"/>
  <c r="H661" i="6"/>
  <c r="J661" i="6"/>
  <c r="D661" i="6"/>
  <c r="L660" i="6"/>
  <c r="H660" i="6"/>
  <c r="J660" i="6"/>
  <c r="D660" i="6"/>
  <c r="L659" i="6"/>
  <c r="H659" i="6"/>
  <c r="J659" i="6"/>
  <c r="D659" i="6"/>
  <c r="L658" i="6"/>
  <c r="H658" i="6"/>
  <c r="J658" i="6"/>
  <c r="D658" i="6"/>
  <c r="L657" i="6"/>
  <c r="H657" i="6"/>
  <c r="J657" i="6"/>
  <c r="D657" i="6"/>
  <c r="L656" i="6"/>
  <c r="H656" i="6"/>
  <c r="J656" i="6"/>
  <c r="D656" i="6"/>
  <c r="L655" i="6"/>
  <c r="H655" i="6"/>
  <c r="J655" i="6"/>
  <c r="D655" i="6"/>
  <c r="L654" i="6"/>
  <c r="H654" i="6"/>
  <c r="J654" i="6"/>
  <c r="D654" i="6"/>
  <c r="L653" i="6"/>
  <c r="H653" i="6"/>
  <c r="J653" i="6"/>
  <c r="D653" i="6"/>
  <c r="L652" i="6"/>
  <c r="H652" i="6"/>
  <c r="J652" i="6"/>
  <c r="D652" i="6"/>
  <c r="L651" i="6"/>
  <c r="H651" i="6"/>
  <c r="J651" i="6"/>
  <c r="D651" i="6"/>
  <c r="L650" i="6"/>
  <c r="H650" i="6"/>
  <c r="J650" i="6"/>
  <c r="D650" i="6"/>
  <c r="L649" i="6"/>
  <c r="H649" i="6"/>
  <c r="J649" i="6"/>
  <c r="D649" i="6"/>
  <c r="L648" i="6"/>
  <c r="H648" i="6"/>
  <c r="J648" i="6"/>
  <c r="D648" i="6"/>
  <c r="L647" i="6"/>
  <c r="H647" i="6"/>
  <c r="J647" i="6"/>
  <c r="D647" i="6"/>
  <c r="L646" i="6"/>
  <c r="H646" i="6"/>
  <c r="J646" i="6"/>
  <c r="D646" i="6"/>
  <c r="L645" i="6"/>
  <c r="H645" i="6"/>
  <c r="J645" i="6"/>
  <c r="D645" i="6"/>
  <c r="L644" i="6"/>
  <c r="H644" i="6"/>
  <c r="J644" i="6"/>
  <c r="D644" i="6"/>
  <c r="L643" i="6"/>
  <c r="H643" i="6"/>
  <c r="J643" i="6"/>
  <c r="D643" i="6"/>
  <c r="L642" i="6"/>
  <c r="H642" i="6"/>
  <c r="J642" i="6"/>
  <c r="D642" i="6"/>
  <c r="L641" i="6"/>
  <c r="H641" i="6"/>
  <c r="J641" i="6"/>
  <c r="D641" i="6"/>
  <c r="L640" i="6"/>
  <c r="H640" i="6"/>
  <c r="J640" i="6"/>
  <c r="D640" i="6"/>
  <c r="L639" i="6"/>
  <c r="H639" i="6"/>
  <c r="J639" i="6"/>
  <c r="D639" i="6"/>
  <c r="L638" i="6"/>
  <c r="H638" i="6"/>
  <c r="J638" i="6"/>
  <c r="D638" i="6"/>
  <c r="L637" i="6"/>
  <c r="H637" i="6"/>
  <c r="J637" i="6"/>
  <c r="D637" i="6"/>
  <c r="L636" i="6"/>
  <c r="H636" i="6"/>
  <c r="J636" i="6"/>
  <c r="D636" i="6"/>
  <c r="L635" i="6"/>
  <c r="H635" i="6"/>
  <c r="J635" i="6"/>
  <c r="D635" i="6"/>
  <c r="L634" i="6"/>
  <c r="H634" i="6"/>
  <c r="J634" i="6"/>
  <c r="D634" i="6"/>
  <c r="L633" i="6"/>
  <c r="H633" i="6"/>
  <c r="J633" i="6"/>
  <c r="D633" i="6"/>
  <c r="L632" i="6"/>
  <c r="H632" i="6"/>
  <c r="J632" i="6"/>
  <c r="D632" i="6"/>
  <c r="L631" i="6"/>
  <c r="H631" i="6"/>
  <c r="J631" i="6"/>
  <c r="D631" i="6"/>
  <c r="L630" i="6"/>
  <c r="H630" i="6"/>
  <c r="J630" i="6"/>
  <c r="D630" i="6"/>
  <c r="L629" i="6"/>
  <c r="H629" i="6"/>
  <c r="J629" i="6"/>
  <c r="D629" i="6"/>
  <c r="L628" i="6"/>
  <c r="H628" i="6"/>
  <c r="J628" i="6"/>
  <c r="D628" i="6"/>
  <c r="L627" i="6"/>
  <c r="H627" i="6"/>
  <c r="J627" i="6"/>
  <c r="D627" i="6"/>
  <c r="L626" i="6"/>
  <c r="H626" i="6"/>
  <c r="J626" i="6"/>
  <c r="D626" i="6"/>
  <c r="L625" i="6"/>
  <c r="H625" i="6"/>
  <c r="J625" i="6"/>
  <c r="D625" i="6"/>
  <c r="L624" i="6"/>
  <c r="H624" i="6"/>
  <c r="J624" i="6"/>
  <c r="D624" i="6"/>
  <c r="L623" i="6"/>
  <c r="H623" i="6"/>
  <c r="J623" i="6"/>
  <c r="D623" i="6"/>
  <c r="L622" i="6"/>
  <c r="H622" i="6"/>
  <c r="J622" i="6"/>
  <c r="D622" i="6"/>
  <c r="L621" i="6"/>
  <c r="H621" i="6"/>
  <c r="J621" i="6"/>
  <c r="D621" i="6"/>
  <c r="L620" i="6"/>
  <c r="H620" i="6"/>
  <c r="J620" i="6"/>
  <c r="D620" i="6"/>
  <c r="L619" i="6"/>
  <c r="H619" i="6"/>
  <c r="J619" i="6"/>
  <c r="D619" i="6"/>
  <c r="L618" i="6"/>
  <c r="H618" i="6"/>
  <c r="J618" i="6"/>
  <c r="D618" i="6"/>
  <c r="L617" i="6"/>
  <c r="H617" i="6"/>
  <c r="J617" i="6"/>
  <c r="D617" i="6"/>
  <c r="L616" i="6"/>
  <c r="H616" i="6"/>
  <c r="J616" i="6"/>
  <c r="D616" i="6"/>
  <c r="L615" i="6"/>
  <c r="H615" i="6"/>
  <c r="J615" i="6"/>
  <c r="D615" i="6"/>
  <c r="L614" i="6"/>
  <c r="H614" i="6"/>
  <c r="J614" i="6"/>
  <c r="D614" i="6"/>
  <c r="L613" i="6"/>
  <c r="H613" i="6"/>
  <c r="J613" i="6"/>
  <c r="D613" i="6"/>
  <c r="L612" i="6"/>
  <c r="H612" i="6"/>
  <c r="J612" i="6"/>
  <c r="D612" i="6"/>
  <c r="L611" i="6"/>
  <c r="H611" i="6"/>
  <c r="J611" i="6"/>
  <c r="D611" i="6"/>
  <c r="L610" i="6"/>
  <c r="H610" i="6"/>
  <c r="J610" i="6"/>
  <c r="D610" i="6"/>
  <c r="L609" i="6"/>
  <c r="H609" i="6"/>
  <c r="J609" i="6"/>
  <c r="D609" i="6"/>
  <c r="L608" i="6"/>
  <c r="H608" i="6"/>
  <c r="J608" i="6"/>
  <c r="D608" i="6"/>
  <c r="L607" i="6"/>
  <c r="H607" i="6"/>
  <c r="J607" i="6"/>
  <c r="D607" i="6"/>
  <c r="L606" i="6"/>
  <c r="H606" i="6"/>
  <c r="J606" i="6"/>
  <c r="D606" i="6"/>
  <c r="L605" i="6"/>
  <c r="H605" i="6"/>
  <c r="J605" i="6"/>
  <c r="D605" i="6"/>
  <c r="L604" i="6"/>
  <c r="H604" i="6"/>
  <c r="J604" i="6"/>
  <c r="D604" i="6"/>
  <c r="L603" i="6"/>
  <c r="H603" i="6"/>
  <c r="J603" i="6"/>
  <c r="D603" i="6"/>
  <c r="L602" i="6"/>
  <c r="H602" i="6"/>
  <c r="J602" i="6"/>
  <c r="D602" i="6"/>
  <c r="L601" i="6"/>
  <c r="H601" i="6"/>
  <c r="J601" i="6"/>
  <c r="D601" i="6"/>
  <c r="L600" i="6"/>
  <c r="H600" i="6"/>
  <c r="J600" i="6"/>
  <c r="D600" i="6"/>
  <c r="L599" i="6"/>
  <c r="H599" i="6"/>
  <c r="J599" i="6"/>
  <c r="D599" i="6"/>
  <c r="L598" i="6"/>
  <c r="H598" i="6"/>
  <c r="J598" i="6"/>
  <c r="D598" i="6"/>
  <c r="L597" i="6"/>
  <c r="H597" i="6"/>
  <c r="J597" i="6"/>
  <c r="D597" i="6"/>
  <c r="L596" i="6"/>
  <c r="H596" i="6"/>
  <c r="J596" i="6"/>
  <c r="D596" i="6"/>
  <c r="L595" i="6"/>
  <c r="H595" i="6"/>
  <c r="J595" i="6"/>
  <c r="D595" i="6"/>
  <c r="L594" i="6"/>
  <c r="H594" i="6"/>
  <c r="J594" i="6"/>
  <c r="D594" i="6"/>
  <c r="L593" i="6"/>
  <c r="H593" i="6"/>
  <c r="J593" i="6"/>
  <c r="D593" i="6"/>
  <c r="L592" i="6"/>
  <c r="H592" i="6"/>
  <c r="J592" i="6"/>
  <c r="D592" i="6"/>
  <c r="L591" i="6"/>
  <c r="H591" i="6"/>
  <c r="J591" i="6"/>
  <c r="D591" i="6"/>
  <c r="L590" i="6"/>
  <c r="H590" i="6"/>
  <c r="J590" i="6"/>
  <c r="D590" i="6"/>
  <c r="L589" i="6"/>
  <c r="H589" i="6"/>
  <c r="J589" i="6"/>
  <c r="D589" i="6"/>
  <c r="L588" i="6"/>
  <c r="H588" i="6"/>
  <c r="J588" i="6"/>
  <c r="D588" i="6"/>
  <c r="L587" i="6"/>
  <c r="H587" i="6"/>
  <c r="J587" i="6"/>
  <c r="D587" i="6"/>
  <c r="L586" i="6"/>
  <c r="H586" i="6"/>
  <c r="J586" i="6"/>
  <c r="D586" i="6"/>
  <c r="L585" i="6"/>
  <c r="H585" i="6"/>
  <c r="J585" i="6"/>
  <c r="D585" i="6"/>
  <c r="L584" i="6"/>
  <c r="H584" i="6"/>
  <c r="J584" i="6"/>
  <c r="D584" i="6"/>
  <c r="L583" i="6"/>
  <c r="H583" i="6"/>
  <c r="J583" i="6"/>
  <c r="D583" i="6"/>
  <c r="L582" i="6"/>
  <c r="H582" i="6"/>
  <c r="J582" i="6"/>
  <c r="D582" i="6"/>
  <c r="L581" i="6"/>
  <c r="H581" i="6"/>
  <c r="J581" i="6"/>
  <c r="D581" i="6"/>
  <c r="L580" i="6"/>
  <c r="H580" i="6"/>
  <c r="J580" i="6"/>
  <c r="D580" i="6"/>
  <c r="L579" i="6"/>
  <c r="H579" i="6"/>
  <c r="J579" i="6"/>
  <c r="D579" i="6"/>
  <c r="L578" i="6"/>
  <c r="H578" i="6"/>
  <c r="J578" i="6"/>
  <c r="D578" i="6"/>
  <c r="L577" i="6"/>
  <c r="H577" i="6"/>
  <c r="J577" i="6"/>
  <c r="D577" i="6"/>
  <c r="L576" i="6"/>
  <c r="H576" i="6"/>
  <c r="J576" i="6"/>
  <c r="D576" i="6"/>
  <c r="L575" i="6"/>
  <c r="H575" i="6"/>
  <c r="J575" i="6"/>
  <c r="D575" i="6"/>
  <c r="L574" i="6"/>
  <c r="H574" i="6"/>
  <c r="J574" i="6"/>
  <c r="D574" i="6"/>
  <c r="L573" i="6"/>
  <c r="H573" i="6"/>
  <c r="J573" i="6"/>
  <c r="D573" i="6"/>
  <c r="L572" i="6"/>
  <c r="H572" i="6"/>
  <c r="J572" i="6"/>
  <c r="D572" i="6"/>
  <c r="L571" i="6"/>
  <c r="H571" i="6"/>
  <c r="J571" i="6"/>
  <c r="D571" i="6"/>
  <c r="L570" i="6"/>
  <c r="H570" i="6"/>
  <c r="J570" i="6"/>
  <c r="D570" i="6"/>
  <c r="L569" i="6"/>
  <c r="H569" i="6"/>
  <c r="J569" i="6"/>
  <c r="D569" i="6"/>
  <c r="L568" i="6"/>
  <c r="H568" i="6"/>
  <c r="J568" i="6"/>
  <c r="D568" i="6"/>
  <c r="L567" i="6"/>
  <c r="H567" i="6"/>
  <c r="J567" i="6"/>
  <c r="D567" i="6"/>
  <c r="L566" i="6"/>
  <c r="H566" i="6"/>
  <c r="J566" i="6"/>
  <c r="D566" i="6"/>
  <c r="L565" i="6"/>
  <c r="H565" i="6"/>
  <c r="J565" i="6"/>
  <c r="D565" i="6"/>
  <c r="L564" i="6"/>
  <c r="H564" i="6"/>
  <c r="J564" i="6"/>
  <c r="D564" i="6"/>
  <c r="L563" i="6"/>
  <c r="H563" i="6"/>
  <c r="J563" i="6"/>
  <c r="D563" i="6"/>
  <c r="L562" i="6"/>
  <c r="H562" i="6"/>
  <c r="J562" i="6"/>
  <c r="D562" i="6"/>
  <c r="L561" i="6"/>
  <c r="H561" i="6"/>
  <c r="J561" i="6"/>
  <c r="D561" i="6"/>
  <c r="L560" i="6"/>
  <c r="H560" i="6"/>
  <c r="J560" i="6"/>
  <c r="D560" i="6"/>
  <c r="L559" i="6"/>
  <c r="H559" i="6"/>
  <c r="J559" i="6"/>
  <c r="D559" i="6"/>
  <c r="L558" i="6"/>
  <c r="H558" i="6"/>
  <c r="J558" i="6"/>
  <c r="D558" i="6"/>
  <c r="L557" i="6"/>
  <c r="H557" i="6"/>
  <c r="J557" i="6"/>
  <c r="D557" i="6"/>
  <c r="L556" i="6"/>
  <c r="H556" i="6"/>
  <c r="J556" i="6"/>
  <c r="D556" i="6"/>
  <c r="L555" i="6"/>
  <c r="H555" i="6"/>
  <c r="J555" i="6"/>
  <c r="D555" i="6"/>
  <c r="L554" i="6"/>
  <c r="H554" i="6"/>
  <c r="J554" i="6"/>
  <c r="D554" i="6"/>
  <c r="L553" i="6"/>
  <c r="H553" i="6"/>
  <c r="J553" i="6"/>
  <c r="D553" i="6"/>
  <c r="L552" i="6"/>
  <c r="H552" i="6"/>
  <c r="J552" i="6"/>
  <c r="D552" i="6"/>
  <c r="L551" i="6"/>
  <c r="H551" i="6"/>
  <c r="J551" i="6"/>
  <c r="D551" i="6"/>
  <c r="L550" i="6"/>
  <c r="H550" i="6"/>
  <c r="J550" i="6"/>
  <c r="D550" i="6"/>
  <c r="L549" i="6"/>
  <c r="H549" i="6"/>
  <c r="J549" i="6"/>
  <c r="D549" i="6"/>
  <c r="L548" i="6"/>
  <c r="H548" i="6"/>
  <c r="J548" i="6"/>
  <c r="D548" i="6"/>
  <c r="L547" i="6"/>
  <c r="H547" i="6"/>
  <c r="J547" i="6"/>
  <c r="D547" i="6"/>
  <c r="L546" i="6"/>
  <c r="H546" i="6"/>
  <c r="J546" i="6"/>
  <c r="D546" i="6"/>
  <c r="L545" i="6"/>
  <c r="H545" i="6"/>
  <c r="J545" i="6"/>
  <c r="D545" i="6"/>
  <c r="L544" i="6"/>
  <c r="H544" i="6"/>
  <c r="J544" i="6"/>
  <c r="D544" i="6"/>
  <c r="L543" i="6"/>
  <c r="H543" i="6"/>
  <c r="J543" i="6"/>
  <c r="D543" i="6"/>
  <c r="L542" i="6"/>
  <c r="H542" i="6"/>
  <c r="J542" i="6"/>
  <c r="D542" i="6"/>
  <c r="L541" i="6"/>
  <c r="H541" i="6"/>
  <c r="J541" i="6"/>
  <c r="D541" i="6"/>
  <c r="L540" i="6"/>
  <c r="H540" i="6"/>
  <c r="J540" i="6"/>
  <c r="D540" i="6"/>
  <c r="L539" i="6"/>
  <c r="H539" i="6"/>
  <c r="J539" i="6"/>
  <c r="D539" i="6"/>
  <c r="L538" i="6"/>
  <c r="H538" i="6"/>
  <c r="J538" i="6"/>
  <c r="D538" i="6"/>
  <c r="L537" i="6"/>
  <c r="H537" i="6"/>
  <c r="J537" i="6"/>
  <c r="D537" i="6"/>
  <c r="L536" i="6"/>
  <c r="H536" i="6"/>
  <c r="J536" i="6"/>
  <c r="D536" i="6"/>
  <c r="L535" i="6"/>
  <c r="H535" i="6"/>
  <c r="J535" i="6"/>
  <c r="D535" i="6"/>
  <c r="L534" i="6"/>
  <c r="H534" i="6"/>
  <c r="J534" i="6"/>
  <c r="D534" i="6"/>
  <c r="L533" i="6"/>
  <c r="H533" i="6"/>
  <c r="J533" i="6"/>
  <c r="D533" i="6"/>
  <c r="L532" i="6"/>
  <c r="H532" i="6"/>
  <c r="J532" i="6"/>
  <c r="D532" i="6"/>
  <c r="L531" i="6"/>
  <c r="H531" i="6"/>
  <c r="J531" i="6"/>
  <c r="D531" i="6"/>
  <c r="L530" i="6"/>
  <c r="H530" i="6"/>
  <c r="J530" i="6"/>
  <c r="D530" i="6"/>
  <c r="L529" i="6"/>
  <c r="H529" i="6"/>
  <c r="J529" i="6"/>
  <c r="D529" i="6"/>
  <c r="L528" i="6"/>
  <c r="H528" i="6"/>
  <c r="J528" i="6"/>
  <c r="D528" i="6"/>
  <c r="L527" i="6"/>
  <c r="H527" i="6"/>
  <c r="J527" i="6"/>
  <c r="D527" i="6"/>
  <c r="L526" i="6"/>
  <c r="H526" i="6"/>
  <c r="J526" i="6"/>
  <c r="D526" i="6"/>
  <c r="L525" i="6"/>
  <c r="H525" i="6"/>
  <c r="J525" i="6"/>
  <c r="D525" i="6"/>
  <c r="L524" i="6"/>
  <c r="H524" i="6"/>
  <c r="J524" i="6"/>
  <c r="D524" i="6"/>
  <c r="L523" i="6"/>
  <c r="H523" i="6"/>
  <c r="J523" i="6"/>
  <c r="D523" i="6"/>
  <c r="L522" i="6"/>
  <c r="H522" i="6"/>
  <c r="J522" i="6"/>
  <c r="D522" i="6"/>
  <c r="L521" i="6"/>
  <c r="H521" i="6"/>
  <c r="J521" i="6"/>
  <c r="D521" i="6"/>
  <c r="L520" i="6"/>
  <c r="H520" i="6"/>
  <c r="J520" i="6"/>
  <c r="D520" i="6"/>
  <c r="L519" i="6"/>
  <c r="H519" i="6"/>
  <c r="J519" i="6"/>
  <c r="D519" i="6"/>
  <c r="L518" i="6"/>
  <c r="H518" i="6"/>
  <c r="J518" i="6"/>
  <c r="D518" i="6"/>
  <c r="L517" i="6"/>
  <c r="H517" i="6"/>
  <c r="J517" i="6"/>
  <c r="D517" i="6"/>
  <c r="L516" i="6"/>
  <c r="H516" i="6"/>
  <c r="J516" i="6"/>
  <c r="D516" i="6"/>
  <c r="L515" i="6"/>
  <c r="H515" i="6"/>
  <c r="J515" i="6"/>
  <c r="D515" i="6"/>
  <c r="L514" i="6"/>
  <c r="H514" i="6"/>
  <c r="J514" i="6"/>
  <c r="D514" i="6"/>
  <c r="L513" i="6"/>
  <c r="H513" i="6"/>
  <c r="J513" i="6"/>
  <c r="D513" i="6"/>
  <c r="L512" i="6"/>
  <c r="H512" i="6"/>
  <c r="J512" i="6"/>
  <c r="D512" i="6"/>
  <c r="L511" i="6"/>
  <c r="H511" i="6"/>
  <c r="J511" i="6"/>
  <c r="D511" i="6"/>
  <c r="L510" i="6"/>
  <c r="H510" i="6"/>
  <c r="J510" i="6"/>
  <c r="D510" i="6"/>
  <c r="L509" i="6"/>
  <c r="H509" i="6"/>
  <c r="J509" i="6"/>
  <c r="D509" i="6"/>
  <c r="L508" i="6"/>
  <c r="H508" i="6"/>
  <c r="J508" i="6"/>
  <c r="D508" i="6"/>
  <c r="L507" i="6"/>
  <c r="H507" i="6"/>
  <c r="J507" i="6"/>
  <c r="D507" i="6"/>
  <c r="L506" i="6"/>
  <c r="H506" i="6"/>
  <c r="J506" i="6"/>
  <c r="D506" i="6"/>
  <c r="L505" i="6"/>
  <c r="H505" i="6"/>
  <c r="J505" i="6"/>
  <c r="D505" i="6"/>
  <c r="L504" i="6"/>
  <c r="H504" i="6"/>
  <c r="J504" i="6"/>
  <c r="D504" i="6"/>
  <c r="L503" i="6"/>
  <c r="H503" i="6"/>
  <c r="J503" i="6"/>
  <c r="D503" i="6"/>
  <c r="L502" i="6"/>
  <c r="H502" i="6"/>
  <c r="J502" i="6"/>
  <c r="D502" i="6"/>
  <c r="L501" i="6"/>
  <c r="H501" i="6"/>
  <c r="J501" i="6"/>
  <c r="D501" i="6"/>
  <c r="L500" i="6"/>
  <c r="H500" i="6"/>
  <c r="J500" i="6"/>
  <c r="D500" i="6"/>
  <c r="L499" i="6"/>
  <c r="H499" i="6"/>
  <c r="J499" i="6"/>
  <c r="D499" i="6"/>
  <c r="L498" i="6"/>
  <c r="H498" i="6"/>
  <c r="J498" i="6"/>
  <c r="D498" i="6"/>
  <c r="L497" i="6"/>
  <c r="H497" i="6"/>
  <c r="J497" i="6"/>
  <c r="D497" i="6"/>
  <c r="L496" i="6"/>
  <c r="H496" i="6"/>
  <c r="J496" i="6"/>
  <c r="D496" i="6"/>
  <c r="L495" i="6"/>
  <c r="H495" i="6"/>
  <c r="J495" i="6"/>
  <c r="D495" i="6"/>
  <c r="L494" i="6"/>
  <c r="H494" i="6"/>
  <c r="J494" i="6"/>
  <c r="D494" i="6"/>
  <c r="L493" i="6"/>
  <c r="H493" i="6"/>
  <c r="J493" i="6"/>
  <c r="D493" i="6"/>
  <c r="L492" i="6"/>
  <c r="H492" i="6"/>
  <c r="J492" i="6"/>
  <c r="D492" i="6"/>
  <c r="L491" i="6"/>
  <c r="H491" i="6"/>
  <c r="J491" i="6"/>
  <c r="D491" i="6"/>
  <c r="L490" i="6"/>
  <c r="H490" i="6"/>
  <c r="J490" i="6"/>
  <c r="D490" i="6"/>
  <c r="L489" i="6"/>
  <c r="H489" i="6"/>
  <c r="J489" i="6"/>
  <c r="D489" i="6"/>
  <c r="L488" i="6"/>
  <c r="H488" i="6"/>
  <c r="J488" i="6"/>
  <c r="D488" i="6"/>
  <c r="L487" i="6"/>
  <c r="H487" i="6"/>
  <c r="J487" i="6"/>
  <c r="D487" i="6"/>
  <c r="L486" i="6"/>
  <c r="H486" i="6"/>
  <c r="J486" i="6"/>
  <c r="D486" i="6"/>
  <c r="L485" i="6"/>
  <c r="H485" i="6"/>
  <c r="J485" i="6"/>
  <c r="D485" i="6"/>
  <c r="L484" i="6"/>
  <c r="H484" i="6"/>
  <c r="J484" i="6"/>
  <c r="D484" i="6"/>
  <c r="L483" i="6"/>
  <c r="H483" i="6"/>
  <c r="J483" i="6"/>
  <c r="D483" i="6"/>
  <c r="L482" i="6"/>
  <c r="H482" i="6"/>
  <c r="J482" i="6"/>
  <c r="D482" i="6"/>
  <c r="L481" i="6"/>
  <c r="H481" i="6"/>
  <c r="J481" i="6"/>
  <c r="D481" i="6"/>
  <c r="L480" i="6"/>
  <c r="H480" i="6"/>
  <c r="J480" i="6"/>
  <c r="D480" i="6"/>
  <c r="L479" i="6"/>
  <c r="H479" i="6"/>
  <c r="J479" i="6"/>
  <c r="D479" i="6"/>
  <c r="L478" i="6"/>
  <c r="H478" i="6"/>
  <c r="J478" i="6"/>
  <c r="D478" i="6"/>
  <c r="L477" i="6"/>
  <c r="H477" i="6"/>
  <c r="J477" i="6"/>
  <c r="D477" i="6"/>
  <c r="L476" i="6"/>
  <c r="H476" i="6"/>
  <c r="J476" i="6"/>
  <c r="D476" i="6"/>
  <c r="L475" i="6"/>
  <c r="H475" i="6"/>
  <c r="J475" i="6"/>
  <c r="D475" i="6"/>
  <c r="L474" i="6"/>
  <c r="H474" i="6"/>
  <c r="J474" i="6"/>
  <c r="D474" i="6"/>
  <c r="L473" i="6"/>
  <c r="H473" i="6"/>
  <c r="J473" i="6"/>
  <c r="D473" i="6"/>
  <c r="L472" i="6"/>
  <c r="H472" i="6"/>
  <c r="J472" i="6"/>
  <c r="D472" i="6"/>
  <c r="L471" i="6"/>
  <c r="H471" i="6"/>
  <c r="J471" i="6"/>
  <c r="D471" i="6"/>
  <c r="L470" i="6"/>
  <c r="H470" i="6"/>
  <c r="J470" i="6"/>
  <c r="D470" i="6"/>
  <c r="L469" i="6"/>
  <c r="H469" i="6"/>
  <c r="J469" i="6"/>
  <c r="D469" i="6"/>
  <c r="L468" i="6"/>
  <c r="H468" i="6"/>
  <c r="J468" i="6"/>
  <c r="D468" i="6"/>
  <c r="L467" i="6"/>
  <c r="H467" i="6"/>
  <c r="J467" i="6"/>
  <c r="D467" i="6"/>
  <c r="L466" i="6"/>
  <c r="H466" i="6"/>
  <c r="J466" i="6"/>
  <c r="D466" i="6"/>
  <c r="L465" i="6"/>
  <c r="H465" i="6"/>
  <c r="J465" i="6"/>
  <c r="D465" i="6"/>
  <c r="L464" i="6"/>
  <c r="H464" i="6"/>
  <c r="J464" i="6"/>
  <c r="D464" i="6"/>
  <c r="L463" i="6"/>
  <c r="H463" i="6"/>
  <c r="J463" i="6"/>
  <c r="D463" i="6"/>
  <c r="L462" i="6"/>
  <c r="H462" i="6"/>
  <c r="J462" i="6"/>
  <c r="D462" i="6"/>
  <c r="L461" i="6"/>
  <c r="H461" i="6"/>
  <c r="J461" i="6"/>
  <c r="D461" i="6"/>
  <c r="L460" i="6"/>
  <c r="H460" i="6"/>
  <c r="J460" i="6"/>
  <c r="D460" i="6"/>
  <c r="L459" i="6"/>
  <c r="H459" i="6"/>
  <c r="J459" i="6"/>
  <c r="D459" i="6"/>
  <c r="L458" i="6"/>
  <c r="H458" i="6"/>
  <c r="J458" i="6"/>
  <c r="D458" i="6"/>
  <c r="L457" i="6"/>
  <c r="H457" i="6"/>
  <c r="J457" i="6"/>
  <c r="D457" i="6"/>
  <c r="L456" i="6"/>
  <c r="H456" i="6"/>
  <c r="J456" i="6"/>
  <c r="D456" i="6"/>
  <c r="L455" i="6"/>
  <c r="H455" i="6"/>
  <c r="J455" i="6"/>
  <c r="D455" i="6"/>
  <c r="L454" i="6"/>
  <c r="H454" i="6"/>
  <c r="J454" i="6"/>
  <c r="D454" i="6"/>
  <c r="L453" i="6"/>
  <c r="H453" i="6"/>
  <c r="J453" i="6"/>
  <c r="D453" i="6"/>
  <c r="L452" i="6"/>
  <c r="H452" i="6"/>
  <c r="J452" i="6"/>
  <c r="D452" i="6"/>
  <c r="L451" i="6"/>
  <c r="H451" i="6"/>
  <c r="J451" i="6"/>
  <c r="D451" i="6"/>
  <c r="L450" i="6"/>
  <c r="H450" i="6"/>
  <c r="J450" i="6"/>
  <c r="D450" i="6"/>
  <c r="L449" i="6"/>
  <c r="H449" i="6"/>
  <c r="J449" i="6"/>
  <c r="D449" i="6"/>
  <c r="L448" i="6"/>
  <c r="H448" i="6"/>
  <c r="J448" i="6"/>
  <c r="D448" i="6"/>
  <c r="L447" i="6"/>
  <c r="H447" i="6"/>
  <c r="J447" i="6"/>
  <c r="D447" i="6"/>
  <c r="L446" i="6"/>
  <c r="H446" i="6"/>
  <c r="J446" i="6"/>
  <c r="D446" i="6"/>
  <c r="L445" i="6"/>
  <c r="H445" i="6"/>
  <c r="J445" i="6"/>
  <c r="D445" i="6"/>
  <c r="L444" i="6"/>
  <c r="H444" i="6"/>
  <c r="J444" i="6"/>
  <c r="D444" i="6"/>
  <c r="L443" i="6"/>
  <c r="H443" i="6"/>
  <c r="J443" i="6"/>
  <c r="D443" i="6"/>
  <c r="L442" i="6"/>
  <c r="H442" i="6"/>
  <c r="J442" i="6"/>
  <c r="D442" i="6"/>
  <c r="L441" i="6"/>
  <c r="H441" i="6"/>
  <c r="J441" i="6"/>
  <c r="D441" i="6"/>
  <c r="L440" i="6"/>
  <c r="H440" i="6"/>
  <c r="J440" i="6"/>
  <c r="D440" i="6"/>
  <c r="L439" i="6"/>
  <c r="H439" i="6"/>
  <c r="J439" i="6"/>
  <c r="D439" i="6"/>
  <c r="L438" i="6"/>
  <c r="H438" i="6"/>
  <c r="J438" i="6"/>
  <c r="D438" i="6"/>
  <c r="L437" i="6"/>
  <c r="H437" i="6"/>
  <c r="J437" i="6"/>
  <c r="D437" i="6"/>
  <c r="L436" i="6"/>
  <c r="H436" i="6"/>
  <c r="J436" i="6"/>
  <c r="D436" i="6"/>
  <c r="L435" i="6"/>
  <c r="H435" i="6"/>
  <c r="J435" i="6"/>
  <c r="D435" i="6"/>
  <c r="L434" i="6"/>
  <c r="H434" i="6"/>
  <c r="J434" i="6"/>
  <c r="D434" i="6"/>
  <c r="L433" i="6"/>
  <c r="H433" i="6"/>
  <c r="J433" i="6"/>
  <c r="D433" i="6"/>
  <c r="L432" i="6"/>
  <c r="H432" i="6"/>
  <c r="J432" i="6"/>
  <c r="D432" i="6"/>
  <c r="L431" i="6"/>
  <c r="H431" i="6"/>
  <c r="J431" i="6"/>
  <c r="D431" i="6"/>
  <c r="L430" i="6"/>
  <c r="H430" i="6"/>
  <c r="J430" i="6"/>
  <c r="D430" i="6"/>
  <c r="L429" i="6"/>
  <c r="H429" i="6"/>
  <c r="J429" i="6"/>
  <c r="D429" i="6"/>
  <c r="L428" i="6"/>
  <c r="H428" i="6"/>
  <c r="J428" i="6"/>
  <c r="D428" i="6"/>
  <c r="L427" i="6"/>
  <c r="H427" i="6"/>
  <c r="J427" i="6"/>
  <c r="D427" i="6"/>
  <c r="L426" i="6"/>
  <c r="H426" i="6"/>
  <c r="J426" i="6"/>
  <c r="D426" i="6"/>
  <c r="L425" i="6"/>
  <c r="H425" i="6"/>
  <c r="J425" i="6"/>
  <c r="D425" i="6"/>
  <c r="L424" i="6"/>
  <c r="H424" i="6"/>
  <c r="J424" i="6"/>
  <c r="D424" i="6"/>
  <c r="L423" i="6"/>
  <c r="H423" i="6"/>
  <c r="J423" i="6"/>
  <c r="D423" i="6"/>
  <c r="L422" i="6"/>
  <c r="H422" i="6"/>
  <c r="J422" i="6"/>
  <c r="D422" i="6"/>
  <c r="L421" i="6"/>
  <c r="H421" i="6"/>
  <c r="J421" i="6"/>
  <c r="D421" i="6"/>
  <c r="L420" i="6"/>
  <c r="H420" i="6"/>
  <c r="J420" i="6"/>
  <c r="D420" i="6"/>
  <c r="L419" i="6"/>
  <c r="H419" i="6"/>
  <c r="J419" i="6"/>
  <c r="D419" i="6"/>
  <c r="L418" i="6"/>
  <c r="H418" i="6"/>
  <c r="J418" i="6"/>
  <c r="D418" i="6"/>
  <c r="L417" i="6"/>
  <c r="H417" i="6"/>
  <c r="J417" i="6"/>
  <c r="D417" i="6"/>
  <c r="L416" i="6"/>
  <c r="H416" i="6"/>
  <c r="J416" i="6"/>
  <c r="D416" i="6"/>
  <c r="L415" i="6"/>
  <c r="H415" i="6"/>
  <c r="J415" i="6"/>
  <c r="D415" i="6"/>
  <c r="L414" i="6"/>
  <c r="H414" i="6"/>
  <c r="J414" i="6"/>
  <c r="D414" i="6"/>
  <c r="L413" i="6"/>
  <c r="H413" i="6"/>
  <c r="J413" i="6"/>
  <c r="D413" i="6"/>
  <c r="L412" i="6"/>
  <c r="H412" i="6"/>
  <c r="J412" i="6"/>
  <c r="D412" i="6"/>
  <c r="L411" i="6"/>
  <c r="H411" i="6"/>
  <c r="J411" i="6"/>
  <c r="D411" i="6"/>
  <c r="L410" i="6"/>
  <c r="H410" i="6"/>
  <c r="J410" i="6"/>
  <c r="D410" i="6"/>
  <c r="L409" i="6"/>
  <c r="H409" i="6"/>
  <c r="J409" i="6"/>
  <c r="D409" i="6"/>
  <c r="L408" i="6"/>
  <c r="H408" i="6"/>
  <c r="J408" i="6"/>
  <c r="D408" i="6"/>
  <c r="L407" i="6"/>
  <c r="H407" i="6"/>
  <c r="J407" i="6"/>
  <c r="D407" i="6"/>
  <c r="L406" i="6"/>
  <c r="H406" i="6"/>
  <c r="J406" i="6"/>
  <c r="D406" i="6"/>
  <c r="L405" i="6"/>
  <c r="H405" i="6"/>
  <c r="J405" i="6"/>
  <c r="D405" i="6"/>
  <c r="L404" i="6"/>
  <c r="H404" i="6"/>
  <c r="J404" i="6"/>
  <c r="D404" i="6"/>
  <c r="L403" i="6"/>
  <c r="H403" i="6"/>
  <c r="J403" i="6"/>
  <c r="D403" i="6"/>
  <c r="L402" i="6"/>
  <c r="H402" i="6"/>
  <c r="J402" i="6"/>
  <c r="D402" i="6"/>
  <c r="L401" i="6"/>
  <c r="H401" i="6"/>
  <c r="J401" i="6"/>
  <c r="D401" i="6"/>
  <c r="L400" i="6"/>
  <c r="H400" i="6"/>
  <c r="J400" i="6"/>
  <c r="D400" i="6"/>
  <c r="L399" i="6"/>
  <c r="H399" i="6"/>
  <c r="J399" i="6"/>
  <c r="D399" i="6"/>
  <c r="L398" i="6"/>
  <c r="H398" i="6"/>
  <c r="J398" i="6"/>
  <c r="D398" i="6"/>
  <c r="L397" i="6"/>
  <c r="H397" i="6"/>
  <c r="J397" i="6"/>
  <c r="D397" i="6"/>
  <c r="L396" i="6"/>
  <c r="H396" i="6"/>
  <c r="J396" i="6"/>
  <c r="D396" i="6"/>
  <c r="L395" i="6"/>
  <c r="H395" i="6"/>
  <c r="J395" i="6"/>
  <c r="D395" i="6"/>
  <c r="L394" i="6"/>
  <c r="H394" i="6"/>
  <c r="J394" i="6"/>
  <c r="D394" i="6"/>
  <c r="L393" i="6"/>
  <c r="H393" i="6"/>
  <c r="J393" i="6"/>
  <c r="D393" i="6"/>
  <c r="L392" i="6"/>
  <c r="H392" i="6"/>
  <c r="J392" i="6"/>
  <c r="D392" i="6"/>
  <c r="L391" i="6"/>
  <c r="H391" i="6"/>
  <c r="J391" i="6"/>
  <c r="D391" i="6"/>
  <c r="L390" i="6"/>
  <c r="H390" i="6"/>
  <c r="J390" i="6"/>
  <c r="D390" i="6"/>
  <c r="L389" i="6"/>
  <c r="H389" i="6"/>
  <c r="J389" i="6"/>
  <c r="D389" i="6"/>
  <c r="L388" i="6"/>
  <c r="H388" i="6"/>
  <c r="J388" i="6"/>
  <c r="D388" i="6"/>
  <c r="L387" i="6"/>
  <c r="H387" i="6"/>
  <c r="J387" i="6"/>
  <c r="D387" i="6"/>
  <c r="L386" i="6"/>
  <c r="H386" i="6"/>
  <c r="J386" i="6"/>
  <c r="D386" i="6"/>
  <c r="L385" i="6"/>
  <c r="H385" i="6"/>
  <c r="J385" i="6"/>
  <c r="D385" i="6"/>
  <c r="L384" i="6"/>
  <c r="H384" i="6"/>
  <c r="J384" i="6"/>
  <c r="D384" i="6"/>
  <c r="L383" i="6"/>
  <c r="H383" i="6"/>
  <c r="J383" i="6"/>
  <c r="D383" i="6"/>
  <c r="L382" i="6"/>
  <c r="H382" i="6"/>
  <c r="J382" i="6"/>
  <c r="D382" i="6"/>
  <c r="L381" i="6"/>
  <c r="H381" i="6"/>
  <c r="J381" i="6"/>
  <c r="D381" i="6"/>
  <c r="L380" i="6"/>
  <c r="H380" i="6"/>
  <c r="J380" i="6"/>
  <c r="D380" i="6"/>
  <c r="L379" i="6"/>
  <c r="H379" i="6"/>
  <c r="J379" i="6"/>
  <c r="D379" i="6"/>
  <c r="L378" i="6"/>
  <c r="H378" i="6"/>
  <c r="J378" i="6"/>
  <c r="D378" i="6"/>
  <c r="L377" i="6"/>
  <c r="H377" i="6"/>
  <c r="J377" i="6"/>
  <c r="D377" i="6"/>
  <c r="L376" i="6"/>
  <c r="H376" i="6"/>
  <c r="J376" i="6"/>
  <c r="D376" i="6"/>
  <c r="L375" i="6"/>
  <c r="H375" i="6"/>
  <c r="J375" i="6"/>
  <c r="D375" i="6"/>
  <c r="L374" i="6"/>
  <c r="H374" i="6"/>
  <c r="J374" i="6"/>
  <c r="D374" i="6"/>
  <c r="L373" i="6"/>
  <c r="H373" i="6"/>
  <c r="J373" i="6"/>
  <c r="D373" i="6"/>
  <c r="L372" i="6"/>
  <c r="H372" i="6"/>
  <c r="J372" i="6"/>
  <c r="D372" i="6"/>
  <c r="L371" i="6"/>
  <c r="H371" i="6"/>
  <c r="J371" i="6"/>
  <c r="D371" i="6"/>
  <c r="L370" i="6"/>
  <c r="H370" i="6"/>
  <c r="J370" i="6"/>
  <c r="D370" i="6"/>
  <c r="L369" i="6"/>
  <c r="H369" i="6"/>
  <c r="J369" i="6"/>
  <c r="D369" i="6"/>
  <c r="L368" i="6"/>
  <c r="H368" i="6"/>
  <c r="J368" i="6"/>
  <c r="D368" i="6"/>
  <c r="L367" i="6"/>
  <c r="H367" i="6"/>
  <c r="J367" i="6"/>
  <c r="D367" i="6"/>
  <c r="L366" i="6"/>
  <c r="H366" i="6"/>
  <c r="J366" i="6"/>
  <c r="D366" i="6"/>
  <c r="L365" i="6"/>
  <c r="H365" i="6"/>
  <c r="J365" i="6"/>
  <c r="D365" i="6"/>
  <c r="L364" i="6"/>
  <c r="H364" i="6"/>
  <c r="J364" i="6"/>
  <c r="D364" i="6"/>
  <c r="L363" i="6"/>
  <c r="H363" i="6"/>
  <c r="J363" i="6"/>
  <c r="D363" i="6"/>
  <c r="L362" i="6"/>
  <c r="H362" i="6"/>
  <c r="J362" i="6"/>
  <c r="D362" i="6"/>
  <c r="L361" i="6"/>
  <c r="H361" i="6"/>
  <c r="J361" i="6"/>
  <c r="D361" i="6"/>
  <c r="L360" i="6"/>
  <c r="H360" i="6"/>
  <c r="J360" i="6"/>
  <c r="D360" i="6"/>
  <c r="L359" i="6"/>
  <c r="H359" i="6"/>
  <c r="J359" i="6"/>
  <c r="D359" i="6"/>
  <c r="L358" i="6"/>
  <c r="H358" i="6"/>
  <c r="J358" i="6"/>
  <c r="D358" i="6"/>
  <c r="L357" i="6"/>
  <c r="H357" i="6"/>
  <c r="J357" i="6"/>
  <c r="D357" i="6"/>
  <c r="L356" i="6"/>
  <c r="H356" i="6"/>
  <c r="J356" i="6"/>
  <c r="D356" i="6"/>
  <c r="L355" i="6"/>
  <c r="H355" i="6"/>
  <c r="J355" i="6"/>
  <c r="D355" i="6"/>
  <c r="L354" i="6"/>
  <c r="H354" i="6"/>
  <c r="J354" i="6"/>
  <c r="D354" i="6"/>
  <c r="L353" i="6"/>
  <c r="H353" i="6"/>
  <c r="J353" i="6"/>
  <c r="D353" i="6"/>
  <c r="L352" i="6"/>
  <c r="H352" i="6"/>
  <c r="J352" i="6"/>
  <c r="D352" i="6"/>
  <c r="L351" i="6"/>
  <c r="H351" i="6"/>
  <c r="J351" i="6"/>
  <c r="D351" i="6"/>
  <c r="L350" i="6"/>
  <c r="H350" i="6"/>
  <c r="J350" i="6"/>
  <c r="D350" i="6"/>
  <c r="L349" i="6"/>
  <c r="H349" i="6"/>
  <c r="J349" i="6"/>
  <c r="D349" i="6"/>
  <c r="L348" i="6"/>
  <c r="H348" i="6"/>
  <c r="J348" i="6"/>
  <c r="D348" i="6"/>
  <c r="L347" i="6"/>
  <c r="H347" i="6"/>
  <c r="J347" i="6"/>
  <c r="D347" i="6"/>
  <c r="L346" i="6"/>
  <c r="H346" i="6"/>
  <c r="J346" i="6"/>
  <c r="D346" i="6"/>
  <c r="L345" i="6"/>
  <c r="H345" i="6"/>
  <c r="J345" i="6"/>
  <c r="D345" i="6"/>
  <c r="L344" i="6"/>
  <c r="H344" i="6"/>
  <c r="J344" i="6"/>
  <c r="D344" i="6"/>
  <c r="L343" i="6"/>
  <c r="H343" i="6"/>
  <c r="J343" i="6"/>
  <c r="D343" i="6"/>
  <c r="L342" i="6"/>
  <c r="H342" i="6"/>
  <c r="J342" i="6"/>
  <c r="D342" i="6"/>
  <c r="L341" i="6"/>
  <c r="H341" i="6"/>
  <c r="J341" i="6"/>
  <c r="D341" i="6"/>
  <c r="L340" i="6"/>
  <c r="H340" i="6"/>
  <c r="J340" i="6"/>
  <c r="D340" i="6"/>
  <c r="L339" i="6"/>
  <c r="H339" i="6"/>
  <c r="J339" i="6"/>
  <c r="D339" i="6"/>
  <c r="L338" i="6"/>
  <c r="H338" i="6"/>
  <c r="J338" i="6"/>
  <c r="D338" i="6"/>
  <c r="L337" i="6"/>
  <c r="H337" i="6"/>
  <c r="J337" i="6"/>
  <c r="D337" i="6"/>
  <c r="L336" i="6"/>
  <c r="H336" i="6"/>
  <c r="J336" i="6"/>
  <c r="D336" i="6"/>
  <c r="L335" i="6"/>
  <c r="H335" i="6"/>
  <c r="J335" i="6"/>
  <c r="D335" i="6"/>
  <c r="L334" i="6"/>
  <c r="H334" i="6"/>
  <c r="J334" i="6"/>
  <c r="D334" i="6"/>
  <c r="L333" i="6"/>
  <c r="H333" i="6"/>
  <c r="J333" i="6"/>
  <c r="D333" i="6"/>
  <c r="L332" i="6"/>
  <c r="H332" i="6"/>
  <c r="J332" i="6"/>
  <c r="D332" i="6"/>
  <c r="L331" i="6"/>
  <c r="H331" i="6"/>
  <c r="J331" i="6"/>
  <c r="D331" i="6"/>
  <c r="L330" i="6"/>
  <c r="H330" i="6"/>
  <c r="J330" i="6"/>
  <c r="D330" i="6"/>
  <c r="L329" i="6"/>
  <c r="H329" i="6"/>
  <c r="J329" i="6"/>
  <c r="D329" i="6"/>
  <c r="L328" i="6"/>
  <c r="H328" i="6"/>
  <c r="J328" i="6"/>
  <c r="D328" i="6"/>
  <c r="L327" i="6"/>
  <c r="H327" i="6"/>
  <c r="J327" i="6"/>
  <c r="D327" i="6"/>
  <c r="L326" i="6"/>
  <c r="H326" i="6"/>
  <c r="J326" i="6"/>
  <c r="D326" i="6"/>
  <c r="L325" i="6"/>
  <c r="H325" i="6"/>
  <c r="J325" i="6"/>
  <c r="D325" i="6"/>
  <c r="L324" i="6"/>
  <c r="H324" i="6"/>
  <c r="J324" i="6"/>
  <c r="D324" i="6"/>
  <c r="L323" i="6"/>
  <c r="H323" i="6"/>
  <c r="J323" i="6"/>
  <c r="D323" i="6"/>
  <c r="L322" i="6"/>
  <c r="H322" i="6"/>
  <c r="J322" i="6"/>
  <c r="D322" i="6"/>
  <c r="L321" i="6"/>
  <c r="H321" i="6"/>
  <c r="J321" i="6"/>
  <c r="D321" i="6"/>
  <c r="L320" i="6"/>
  <c r="H320" i="6"/>
  <c r="J320" i="6"/>
  <c r="D320" i="6"/>
  <c r="L319" i="6"/>
  <c r="H319" i="6"/>
  <c r="J319" i="6"/>
  <c r="D319" i="6"/>
  <c r="L318" i="6"/>
  <c r="H318" i="6"/>
  <c r="J318" i="6"/>
  <c r="D318" i="6"/>
  <c r="L317" i="6"/>
  <c r="H317" i="6"/>
  <c r="J317" i="6"/>
  <c r="D317" i="6"/>
  <c r="L316" i="6"/>
  <c r="H316" i="6"/>
  <c r="J316" i="6"/>
  <c r="D316" i="6"/>
  <c r="L315" i="6"/>
  <c r="H315" i="6"/>
  <c r="J315" i="6"/>
  <c r="D315" i="6"/>
  <c r="L314" i="6"/>
  <c r="H314" i="6"/>
  <c r="J314" i="6"/>
  <c r="D314" i="6"/>
  <c r="L313" i="6"/>
  <c r="H313" i="6"/>
  <c r="J313" i="6"/>
  <c r="D313" i="6"/>
  <c r="L312" i="6"/>
  <c r="H312" i="6"/>
  <c r="J312" i="6"/>
  <c r="D312" i="6"/>
  <c r="L311" i="6"/>
  <c r="H311" i="6"/>
  <c r="J311" i="6"/>
  <c r="D311" i="6"/>
  <c r="L310" i="6"/>
  <c r="H310" i="6"/>
  <c r="J310" i="6"/>
  <c r="D310" i="6"/>
  <c r="L309" i="6"/>
  <c r="H309" i="6"/>
  <c r="J309" i="6"/>
  <c r="D309" i="6"/>
  <c r="L308" i="6"/>
  <c r="H308" i="6"/>
  <c r="J308" i="6"/>
  <c r="D308" i="6"/>
  <c r="L307" i="6"/>
  <c r="H307" i="6"/>
  <c r="J307" i="6"/>
  <c r="D307" i="6"/>
  <c r="L306" i="6"/>
  <c r="H306" i="6"/>
  <c r="J306" i="6"/>
  <c r="D306" i="6"/>
  <c r="L305" i="6"/>
  <c r="H305" i="6"/>
  <c r="J305" i="6"/>
  <c r="D305" i="6"/>
  <c r="L304" i="6"/>
  <c r="H304" i="6"/>
  <c r="J304" i="6"/>
  <c r="D304" i="6"/>
  <c r="L303" i="6"/>
  <c r="H303" i="6"/>
  <c r="J303" i="6"/>
  <c r="D303" i="6"/>
  <c r="L302" i="6"/>
  <c r="H302" i="6"/>
  <c r="J302" i="6"/>
  <c r="D302" i="6"/>
  <c r="L301" i="6"/>
  <c r="H301" i="6"/>
  <c r="J301" i="6"/>
  <c r="D301" i="6"/>
  <c r="L300" i="6"/>
  <c r="H300" i="6"/>
  <c r="J300" i="6"/>
  <c r="D300" i="6"/>
  <c r="L299" i="6"/>
  <c r="H299" i="6"/>
  <c r="J299" i="6"/>
  <c r="D299" i="6"/>
  <c r="L298" i="6"/>
  <c r="H298" i="6"/>
  <c r="J298" i="6"/>
  <c r="D298" i="6"/>
  <c r="L297" i="6"/>
  <c r="H297" i="6"/>
  <c r="J297" i="6"/>
  <c r="D297" i="6"/>
  <c r="L296" i="6"/>
  <c r="H296" i="6"/>
  <c r="J296" i="6"/>
  <c r="D296" i="6"/>
  <c r="L295" i="6"/>
  <c r="H295" i="6"/>
  <c r="J295" i="6"/>
  <c r="D295" i="6"/>
  <c r="L294" i="6"/>
  <c r="H294" i="6"/>
  <c r="J294" i="6"/>
  <c r="D294" i="6"/>
  <c r="L293" i="6"/>
  <c r="H293" i="6"/>
  <c r="J293" i="6"/>
  <c r="D293" i="6"/>
  <c r="L292" i="6"/>
  <c r="H292" i="6"/>
  <c r="J292" i="6"/>
  <c r="D292" i="6"/>
  <c r="L291" i="6"/>
  <c r="H291" i="6"/>
  <c r="J291" i="6"/>
  <c r="D291" i="6"/>
  <c r="L290" i="6"/>
  <c r="H290" i="6"/>
  <c r="J290" i="6"/>
  <c r="D290" i="6"/>
  <c r="L289" i="6"/>
  <c r="H289" i="6"/>
  <c r="J289" i="6"/>
  <c r="D289" i="6"/>
  <c r="L288" i="6"/>
  <c r="H288" i="6"/>
  <c r="J288" i="6"/>
  <c r="D288" i="6"/>
  <c r="L287" i="6"/>
  <c r="H287" i="6"/>
  <c r="J287" i="6"/>
  <c r="D287" i="6"/>
  <c r="L286" i="6"/>
  <c r="H286" i="6"/>
  <c r="J286" i="6"/>
  <c r="D286" i="6"/>
  <c r="L285" i="6"/>
  <c r="H285" i="6"/>
  <c r="J285" i="6"/>
  <c r="D285" i="6"/>
  <c r="L284" i="6"/>
  <c r="H284" i="6"/>
  <c r="J284" i="6"/>
  <c r="D284" i="6"/>
  <c r="L283" i="6"/>
  <c r="H283" i="6"/>
  <c r="J283" i="6"/>
  <c r="D283" i="6"/>
  <c r="L282" i="6"/>
  <c r="H282" i="6"/>
  <c r="J282" i="6"/>
  <c r="D282" i="6"/>
  <c r="L281" i="6"/>
  <c r="H281" i="6"/>
  <c r="J281" i="6"/>
  <c r="D281" i="6"/>
  <c r="L280" i="6"/>
  <c r="H280" i="6"/>
  <c r="J280" i="6"/>
  <c r="D280" i="6"/>
  <c r="L279" i="6"/>
  <c r="H279" i="6"/>
  <c r="J279" i="6"/>
  <c r="D279" i="6"/>
  <c r="L278" i="6"/>
  <c r="H278" i="6"/>
  <c r="J278" i="6"/>
  <c r="D278" i="6"/>
  <c r="L277" i="6"/>
  <c r="H277" i="6"/>
  <c r="J277" i="6"/>
  <c r="D277" i="6"/>
  <c r="L276" i="6"/>
  <c r="H276" i="6"/>
  <c r="J276" i="6"/>
  <c r="D276" i="6"/>
  <c r="L275" i="6"/>
  <c r="H275" i="6"/>
  <c r="J275" i="6"/>
  <c r="D275" i="6"/>
  <c r="L274" i="6"/>
  <c r="H274" i="6"/>
  <c r="J274" i="6"/>
  <c r="D274" i="6"/>
  <c r="L273" i="6"/>
  <c r="H273" i="6"/>
  <c r="J273" i="6"/>
  <c r="D273" i="6"/>
  <c r="L272" i="6"/>
  <c r="H272" i="6"/>
  <c r="J272" i="6"/>
  <c r="D272" i="6"/>
  <c r="L271" i="6"/>
  <c r="H271" i="6"/>
  <c r="J271" i="6"/>
  <c r="D271" i="6"/>
  <c r="L270" i="6"/>
  <c r="H270" i="6"/>
  <c r="J270" i="6"/>
  <c r="D270" i="6"/>
  <c r="L269" i="6"/>
  <c r="H269" i="6"/>
  <c r="J269" i="6"/>
  <c r="D269" i="6"/>
  <c r="L268" i="6"/>
  <c r="H268" i="6"/>
  <c r="J268" i="6"/>
  <c r="D268" i="6"/>
  <c r="L267" i="6"/>
  <c r="H267" i="6"/>
  <c r="J267" i="6"/>
  <c r="D267" i="6"/>
  <c r="L266" i="6"/>
  <c r="H266" i="6"/>
  <c r="J266" i="6"/>
  <c r="D266" i="6"/>
  <c r="L265" i="6"/>
  <c r="H265" i="6"/>
  <c r="J265" i="6"/>
  <c r="D265" i="6"/>
  <c r="L264" i="6"/>
  <c r="H264" i="6"/>
  <c r="J264" i="6"/>
  <c r="D264" i="6"/>
  <c r="L263" i="6"/>
  <c r="H263" i="6"/>
  <c r="J263" i="6"/>
  <c r="D263" i="6"/>
  <c r="L262" i="6"/>
  <c r="H262" i="6"/>
  <c r="J262" i="6"/>
  <c r="D262" i="6"/>
  <c r="L261" i="6"/>
  <c r="H261" i="6"/>
  <c r="J261" i="6"/>
  <c r="D261" i="6"/>
  <c r="L260" i="6"/>
  <c r="H260" i="6"/>
  <c r="J260" i="6"/>
  <c r="D260" i="6"/>
  <c r="L259" i="6"/>
  <c r="H259" i="6"/>
  <c r="J259" i="6"/>
  <c r="D259" i="6"/>
  <c r="L258" i="6"/>
  <c r="H258" i="6"/>
  <c r="J258" i="6"/>
  <c r="D258" i="6"/>
  <c r="L257" i="6"/>
  <c r="H257" i="6"/>
  <c r="J257" i="6"/>
  <c r="D257" i="6"/>
  <c r="L256" i="6"/>
  <c r="H256" i="6"/>
  <c r="J256" i="6"/>
  <c r="D256" i="6"/>
  <c r="L255" i="6"/>
  <c r="H255" i="6"/>
  <c r="J255" i="6"/>
  <c r="D255" i="6"/>
  <c r="L254" i="6"/>
  <c r="H254" i="6"/>
  <c r="J254" i="6"/>
  <c r="D254" i="6"/>
  <c r="L253" i="6"/>
  <c r="H253" i="6"/>
  <c r="J253" i="6"/>
  <c r="D253" i="6"/>
  <c r="L252" i="6"/>
  <c r="H252" i="6"/>
  <c r="J252" i="6"/>
  <c r="D252" i="6"/>
  <c r="L251" i="6"/>
  <c r="H251" i="6"/>
  <c r="J251" i="6"/>
  <c r="D251" i="6"/>
  <c r="L250" i="6"/>
  <c r="H250" i="6"/>
  <c r="J250" i="6"/>
  <c r="D250" i="6"/>
  <c r="L249" i="6"/>
  <c r="H249" i="6"/>
  <c r="J249" i="6"/>
  <c r="D249" i="6"/>
  <c r="L248" i="6"/>
  <c r="H248" i="6"/>
  <c r="J248" i="6"/>
  <c r="D248" i="6"/>
  <c r="L247" i="6"/>
  <c r="H247" i="6"/>
  <c r="J247" i="6"/>
  <c r="D247" i="6"/>
  <c r="L246" i="6"/>
  <c r="H246" i="6"/>
  <c r="J246" i="6"/>
  <c r="D246" i="6"/>
  <c r="L245" i="6"/>
  <c r="H245" i="6"/>
  <c r="J245" i="6"/>
  <c r="D245" i="6"/>
  <c r="L244" i="6"/>
  <c r="H244" i="6"/>
  <c r="J244" i="6"/>
  <c r="D244" i="6"/>
  <c r="L243" i="6"/>
  <c r="H243" i="6"/>
  <c r="J243" i="6"/>
  <c r="D243" i="6"/>
  <c r="L242" i="6"/>
  <c r="H242" i="6"/>
  <c r="J242" i="6"/>
  <c r="D242" i="6"/>
  <c r="L241" i="6"/>
  <c r="H241" i="6"/>
  <c r="J241" i="6"/>
  <c r="D241" i="6"/>
  <c r="L240" i="6"/>
  <c r="H240" i="6"/>
  <c r="J240" i="6"/>
  <c r="D240" i="6"/>
  <c r="L239" i="6"/>
  <c r="H239" i="6"/>
  <c r="J239" i="6"/>
  <c r="D239" i="6"/>
  <c r="L238" i="6"/>
  <c r="H238" i="6"/>
  <c r="J238" i="6"/>
  <c r="D238" i="6"/>
  <c r="L237" i="6"/>
  <c r="H237" i="6"/>
  <c r="J237" i="6"/>
  <c r="D237" i="6"/>
  <c r="L236" i="6"/>
  <c r="H236" i="6"/>
  <c r="J236" i="6"/>
  <c r="D236" i="6"/>
  <c r="L235" i="6"/>
  <c r="H235" i="6"/>
  <c r="J235" i="6"/>
  <c r="D235" i="6"/>
  <c r="L234" i="6"/>
  <c r="H234" i="6"/>
  <c r="J234" i="6"/>
  <c r="D234" i="6"/>
  <c r="L233" i="6"/>
  <c r="H233" i="6"/>
  <c r="J233" i="6"/>
  <c r="D233" i="6"/>
  <c r="L232" i="6"/>
  <c r="H232" i="6"/>
  <c r="J232" i="6"/>
  <c r="D232" i="6"/>
  <c r="L231" i="6"/>
  <c r="H231" i="6"/>
  <c r="J231" i="6"/>
  <c r="D231" i="6"/>
  <c r="L230" i="6"/>
  <c r="H230" i="6"/>
  <c r="J230" i="6"/>
  <c r="D230" i="6"/>
  <c r="L229" i="6"/>
  <c r="H229" i="6"/>
  <c r="J229" i="6"/>
  <c r="D229" i="6"/>
  <c r="L228" i="6"/>
  <c r="H228" i="6"/>
  <c r="J228" i="6"/>
  <c r="D228" i="6"/>
  <c r="L227" i="6"/>
  <c r="H227" i="6"/>
  <c r="J227" i="6"/>
  <c r="D227" i="6"/>
  <c r="L226" i="6"/>
  <c r="H226" i="6"/>
  <c r="J226" i="6"/>
  <c r="D226" i="6"/>
  <c r="L225" i="6"/>
  <c r="H225" i="6"/>
  <c r="J225" i="6"/>
  <c r="D225" i="6"/>
  <c r="L224" i="6"/>
  <c r="H224" i="6"/>
  <c r="J224" i="6"/>
  <c r="D224" i="6"/>
  <c r="L223" i="6"/>
  <c r="H223" i="6"/>
  <c r="J223" i="6"/>
  <c r="D223" i="6"/>
  <c r="L222" i="6"/>
  <c r="H222" i="6"/>
  <c r="J222" i="6"/>
  <c r="D222" i="6"/>
  <c r="L221" i="6"/>
  <c r="H221" i="6"/>
  <c r="J221" i="6"/>
  <c r="D221" i="6"/>
  <c r="L220" i="6"/>
  <c r="H220" i="6"/>
  <c r="J220" i="6"/>
  <c r="D220" i="6"/>
  <c r="L219" i="6"/>
  <c r="H219" i="6"/>
  <c r="J219" i="6"/>
  <c r="D219" i="6"/>
  <c r="L218" i="6"/>
  <c r="H218" i="6"/>
  <c r="J218" i="6"/>
  <c r="D218" i="6"/>
  <c r="L217" i="6"/>
  <c r="H217" i="6"/>
  <c r="J217" i="6"/>
  <c r="D217" i="6"/>
  <c r="L216" i="6"/>
  <c r="H216" i="6"/>
  <c r="J216" i="6"/>
  <c r="D216" i="6"/>
  <c r="L215" i="6"/>
  <c r="H215" i="6"/>
  <c r="J215" i="6"/>
  <c r="D215" i="6"/>
  <c r="L214" i="6"/>
  <c r="H214" i="6"/>
  <c r="J214" i="6"/>
  <c r="D214" i="6"/>
  <c r="L213" i="6"/>
  <c r="H213" i="6"/>
  <c r="J213" i="6"/>
  <c r="D213" i="6"/>
  <c r="L212" i="6"/>
  <c r="H212" i="6"/>
  <c r="J212" i="6"/>
  <c r="D212" i="6"/>
  <c r="L211" i="6"/>
  <c r="H211" i="6"/>
  <c r="J211" i="6"/>
  <c r="D211" i="6"/>
  <c r="L210" i="6"/>
  <c r="H210" i="6"/>
  <c r="J210" i="6"/>
  <c r="D210" i="6"/>
  <c r="L209" i="6"/>
  <c r="H209" i="6"/>
  <c r="J209" i="6"/>
  <c r="D209" i="6"/>
  <c r="L208" i="6"/>
  <c r="H208" i="6"/>
  <c r="J208" i="6"/>
  <c r="D208" i="6"/>
  <c r="L207" i="6"/>
  <c r="H207" i="6"/>
  <c r="J207" i="6"/>
  <c r="D207" i="6"/>
  <c r="L206" i="6"/>
  <c r="H206" i="6"/>
  <c r="J206" i="6"/>
  <c r="D206" i="6"/>
  <c r="L205" i="6"/>
  <c r="H205" i="6"/>
  <c r="J205" i="6"/>
  <c r="D205" i="6"/>
  <c r="L204" i="6"/>
  <c r="H204" i="6"/>
  <c r="J204" i="6"/>
  <c r="D204" i="6"/>
  <c r="L203" i="6"/>
  <c r="H203" i="6"/>
  <c r="J203" i="6"/>
  <c r="D203" i="6"/>
  <c r="L202" i="6"/>
  <c r="H202" i="6"/>
  <c r="J202" i="6"/>
  <c r="D202" i="6"/>
  <c r="L201" i="6"/>
  <c r="H201" i="6"/>
  <c r="J201" i="6"/>
  <c r="D201" i="6"/>
  <c r="L200" i="6"/>
  <c r="H200" i="6"/>
  <c r="J200" i="6"/>
  <c r="D200" i="6"/>
  <c r="L199" i="6"/>
  <c r="H199" i="6"/>
  <c r="J199" i="6"/>
  <c r="D199" i="6"/>
  <c r="L198" i="6"/>
  <c r="H198" i="6"/>
  <c r="J198" i="6"/>
  <c r="D198" i="6"/>
  <c r="L197" i="6"/>
  <c r="H197" i="6"/>
  <c r="J197" i="6"/>
  <c r="D197" i="6"/>
  <c r="L196" i="6"/>
  <c r="H196" i="6"/>
  <c r="J196" i="6"/>
  <c r="D196" i="6"/>
  <c r="L195" i="6"/>
  <c r="H195" i="6"/>
  <c r="J195" i="6"/>
  <c r="D195" i="6"/>
  <c r="L194" i="6"/>
  <c r="H194" i="6"/>
  <c r="J194" i="6"/>
  <c r="D194" i="6"/>
  <c r="L193" i="6"/>
  <c r="H193" i="6"/>
  <c r="J193" i="6"/>
  <c r="D193" i="6"/>
  <c r="L192" i="6"/>
  <c r="H192" i="6"/>
  <c r="J192" i="6"/>
  <c r="D192" i="6"/>
  <c r="L191" i="6"/>
  <c r="H191" i="6"/>
  <c r="J191" i="6"/>
  <c r="D191" i="6"/>
  <c r="L190" i="6"/>
  <c r="H190" i="6"/>
  <c r="J190" i="6"/>
  <c r="D190" i="6"/>
  <c r="L189" i="6"/>
  <c r="H189" i="6"/>
  <c r="J189" i="6"/>
  <c r="D189" i="6"/>
  <c r="L188" i="6"/>
  <c r="H188" i="6"/>
  <c r="J188" i="6"/>
  <c r="D188" i="6"/>
  <c r="L187" i="6"/>
  <c r="H187" i="6"/>
  <c r="J187" i="6"/>
  <c r="D187" i="6"/>
  <c r="L186" i="6"/>
  <c r="H186" i="6"/>
  <c r="J186" i="6"/>
  <c r="D186" i="6"/>
  <c r="L185" i="6"/>
  <c r="H185" i="6"/>
  <c r="J185" i="6"/>
  <c r="D185" i="6"/>
  <c r="L184" i="6"/>
  <c r="H184" i="6"/>
  <c r="J184" i="6"/>
  <c r="D184" i="6"/>
  <c r="L183" i="6"/>
  <c r="H183" i="6"/>
  <c r="J183" i="6"/>
  <c r="D183" i="6"/>
  <c r="L182" i="6"/>
  <c r="H182" i="6"/>
  <c r="J182" i="6"/>
  <c r="D182" i="6"/>
  <c r="L181" i="6"/>
  <c r="H181" i="6"/>
  <c r="J181" i="6"/>
  <c r="D181" i="6"/>
  <c r="L180" i="6"/>
  <c r="H180" i="6"/>
  <c r="J180" i="6"/>
  <c r="D180" i="6"/>
  <c r="L179" i="6"/>
  <c r="H179" i="6"/>
  <c r="J179" i="6"/>
  <c r="D179" i="6"/>
  <c r="L178" i="6"/>
  <c r="H178" i="6"/>
  <c r="J178" i="6"/>
  <c r="D178" i="6"/>
  <c r="L177" i="6"/>
  <c r="H177" i="6"/>
  <c r="J177" i="6"/>
  <c r="D177" i="6"/>
  <c r="L176" i="6"/>
  <c r="H176" i="6"/>
  <c r="J176" i="6"/>
  <c r="D176" i="6"/>
  <c r="L175" i="6"/>
  <c r="H175" i="6"/>
  <c r="J175" i="6"/>
  <c r="D175" i="6"/>
  <c r="L174" i="6"/>
  <c r="H174" i="6"/>
  <c r="J174" i="6"/>
  <c r="D174" i="6"/>
  <c r="L173" i="6"/>
  <c r="H173" i="6"/>
  <c r="J173" i="6"/>
  <c r="D173" i="6"/>
  <c r="L172" i="6"/>
  <c r="H172" i="6"/>
  <c r="J172" i="6"/>
  <c r="D172" i="6"/>
  <c r="L171" i="6"/>
  <c r="H171" i="6"/>
  <c r="J171" i="6"/>
  <c r="D171" i="6"/>
  <c r="L170" i="6"/>
  <c r="H170" i="6"/>
  <c r="J170" i="6"/>
  <c r="D170" i="6"/>
  <c r="L169" i="6"/>
  <c r="H169" i="6"/>
  <c r="J169" i="6"/>
  <c r="D169" i="6"/>
  <c r="L168" i="6"/>
  <c r="H168" i="6"/>
  <c r="J168" i="6"/>
  <c r="D168" i="6"/>
  <c r="L167" i="6"/>
  <c r="H167" i="6"/>
  <c r="J167" i="6"/>
  <c r="D167" i="6"/>
  <c r="L166" i="6"/>
  <c r="H166" i="6"/>
  <c r="J166" i="6"/>
  <c r="D166" i="6"/>
  <c r="L165" i="6"/>
  <c r="H165" i="6"/>
  <c r="J165" i="6"/>
  <c r="D165" i="6"/>
  <c r="L164" i="6"/>
  <c r="H164" i="6"/>
  <c r="J164" i="6"/>
  <c r="D164" i="6"/>
  <c r="L163" i="6"/>
  <c r="H163" i="6"/>
  <c r="J163" i="6"/>
  <c r="D163" i="6"/>
  <c r="L162" i="6"/>
  <c r="H162" i="6"/>
  <c r="J162" i="6"/>
  <c r="D162" i="6"/>
  <c r="L161" i="6"/>
  <c r="H161" i="6"/>
  <c r="J161" i="6"/>
  <c r="D161" i="6"/>
  <c r="L160" i="6"/>
  <c r="H160" i="6"/>
  <c r="J160" i="6"/>
  <c r="D160" i="6"/>
  <c r="L159" i="6"/>
  <c r="H159" i="6"/>
  <c r="J159" i="6"/>
  <c r="D159" i="6"/>
  <c r="L158" i="6"/>
  <c r="H158" i="6"/>
  <c r="J158" i="6"/>
  <c r="D158" i="6"/>
  <c r="L157" i="6"/>
  <c r="H157" i="6"/>
  <c r="J157" i="6"/>
  <c r="D157" i="6"/>
  <c r="L156" i="6"/>
  <c r="H156" i="6"/>
  <c r="J156" i="6"/>
  <c r="D156" i="6"/>
  <c r="L155" i="6"/>
  <c r="H155" i="6"/>
  <c r="J155" i="6"/>
  <c r="D155" i="6"/>
  <c r="L154" i="6"/>
  <c r="H154" i="6"/>
  <c r="J154" i="6"/>
  <c r="D154" i="6"/>
  <c r="L153" i="6"/>
  <c r="H153" i="6"/>
  <c r="J153" i="6"/>
  <c r="D153" i="6"/>
  <c r="L152" i="6"/>
  <c r="H152" i="6"/>
  <c r="J152" i="6"/>
  <c r="D152" i="6"/>
  <c r="L151" i="6"/>
  <c r="H151" i="6"/>
  <c r="J151" i="6"/>
  <c r="D151" i="6"/>
  <c r="L150" i="6"/>
  <c r="H150" i="6"/>
  <c r="J150" i="6"/>
  <c r="D150" i="6"/>
  <c r="L149" i="6"/>
  <c r="H149" i="6"/>
  <c r="J149" i="6"/>
  <c r="D149" i="6"/>
  <c r="L148" i="6"/>
  <c r="H148" i="6"/>
  <c r="J148" i="6"/>
  <c r="D148" i="6"/>
  <c r="L147" i="6"/>
  <c r="H147" i="6"/>
  <c r="J147" i="6"/>
  <c r="D147" i="6"/>
  <c r="L146" i="6"/>
  <c r="H146" i="6"/>
  <c r="J146" i="6"/>
  <c r="D146" i="6"/>
  <c r="L145" i="6"/>
  <c r="H145" i="6"/>
  <c r="J145" i="6"/>
  <c r="D145" i="6"/>
  <c r="L144" i="6"/>
  <c r="H144" i="6"/>
  <c r="J144" i="6"/>
  <c r="D144" i="6"/>
  <c r="L143" i="6"/>
  <c r="H143" i="6"/>
  <c r="J143" i="6"/>
  <c r="D143" i="6"/>
  <c r="L142" i="6"/>
  <c r="H142" i="6"/>
  <c r="J142" i="6"/>
  <c r="D142" i="6"/>
  <c r="L141" i="6"/>
  <c r="H141" i="6"/>
  <c r="J141" i="6"/>
  <c r="D141" i="6"/>
  <c r="L140" i="6"/>
  <c r="H140" i="6"/>
  <c r="J140" i="6"/>
  <c r="D140" i="6"/>
  <c r="L139" i="6"/>
  <c r="H139" i="6"/>
  <c r="J139" i="6"/>
  <c r="D139" i="6"/>
  <c r="L138" i="6"/>
  <c r="H138" i="6"/>
  <c r="J138" i="6"/>
  <c r="D138" i="6"/>
  <c r="L137" i="6"/>
  <c r="H137" i="6"/>
  <c r="J137" i="6"/>
  <c r="D137" i="6"/>
  <c r="L136" i="6"/>
  <c r="H136" i="6"/>
  <c r="J136" i="6"/>
  <c r="D136" i="6"/>
  <c r="L135" i="6"/>
  <c r="H135" i="6"/>
  <c r="J135" i="6"/>
  <c r="D135" i="6"/>
  <c r="L134" i="6"/>
  <c r="H134" i="6"/>
  <c r="J134" i="6"/>
  <c r="D134" i="6"/>
  <c r="L133" i="6"/>
  <c r="H133" i="6"/>
  <c r="J133" i="6"/>
  <c r="D133" i="6"/>
  <c r="L132" i="6"/>
  <c r="H132" i="6"/>
  <c r="J132" i="6"/>
  <c r="D132" i="6"/>
  <c r="L131" i="6"/>
  <c r="H131" i="6"/>
  <c r="J131" i="6"/>
  <c r="D131" i="6"/>
  <c r="L130" i="6"/>
  <c r="H130" i="6"/>
  <c r="J130" i="6"/>
  <c r="D130" i="6"/>
  <c r="L129" i="6"/>
  <c r="H129" i="6"/>
  <c r="J129" i="6"/>
  <c r="D129" i="6"/>
  <c r="L128" i="6"/>
  <c r="H128" i="6"/>
  <c r="J128" i="6"/>
  <c r="D128" i="6"/>
  <c r="L127" i="6"/>
  <c r="H127" i="6"/>
  <c r="J127" i="6"/>
  <c r="D127" i="6"/>
  <c r="L126" i="6"/>
  <c r="H126" i="6"/>
  <c r="J126" i="6"/>
  <c r="D126" i="6"/>
  <c r="L125" i="6"/>
  <c r="H125" i="6"/>
  <c r="J125" i="6"/>
  <c r="D125" i="6"/>
  <c r="L124" i="6"/>
  <c r="H124" i="6"/>
  <c r="J124" i="6"/>
  <c r="D124" i="6"/>
  <c r="L123" i="6"/>
  <c r="H123" i="6"/>
  <c r="J123" i="6"/>
  <c r="D123" i="6"/>
  <c r="L122" i="6"/>
  <c r="H122" i="6"/>
  <c r="J122" i="6"/>
  <c r="D122" i="6"/>
  <c r="L121" i="6"/>
  <c r="H121" i="6"/>
  <c r="J121" i="6"/>
  <c r="D121" i="6"/>
  <c r="L120" i="6"/>
  <c r="H120" i="6"/>
  <c r="J120" i="6"/>
  <c r="D120" i="6"/>
  <c r="L119" i="6"/>
  <c r="H119" i="6"/>
  <c r="J119" i="6"/>
  <c r="D119" i="6"/>
  <c r="L118" i="6"/>
  <c r="H118" i="6"/>
  <c r="J118" i="6"/>
  <c r="D118" i="6"/>
  <c r="L117" i="6"/>
  <c r="H117" i="6"/>
  <c r="J117" i="6"/>
  <c r="D117" i="6"/>
  <c r="L116" i="6"/>
  <c r="H116" i="6"/>
  <c r="J116" i="6"/>
  <c r="D116" i="6"/>
  <c r="L115" i="6"/>
  <c r="H115" i="6"/>
  <c r="J115" i="6"/>
  <c r="D115" i="6"/>
  <c r="L114" i="6"/>
  <c r="H114" i="6"/>
  <c r="J114" i="6"/>
  <c r="D114" i="6"/>
  <c r="L113" i="6"/>
  <c r="H113" i="6"/>
  <c r="J113" i="6"/>
  <c r="D113" i="6"/>
  <c r="L112" i="6"/>
  <c r="H112" i="6"/>
  <c r="J112" i="6"/>
  <c r="D112" i="6"/>
  <c r="L111" i="6"/>
  <c r="H111" i="6"/>
  <c r="J111" i="6"/>
  <c r="D111" i="6"/>
  <c r="L110" i="6"/>
  <c r="H110" i="6"/>
  <c r="J110" i="6"/>
  <c r="D110" i="6"/>
  <c r="L109" i="6"/>
  <c r="H109" i="6"/>
  <c r="J109" i="6"/>
  <c r="D109" i="6"/>
  <c r="L108" i="6"/>
  <c r="H108" i="6"/>
  <c r="J108" i="6"/>
  <c r="D108" i="6"/>
  <c r="L107" i="6"/>
  <c r="H107" i="6"/>
  <c r="J107" i="6"/>
  <c r="D107" i="6"/>
  <c r="L106" i="6"/>
  <c r="H106" i="6"/>
  <c r="J106" i="6"/>
  <c r="D106" i="6"/>
  <c r="L105" i="6"/>
  <c r="H105" i="6"/>
  <c r="J105" i="6"/>
  <c r="D105" i="6"/>
  <c r="L104" i="6"/>
  <c r="H104" i="6"/>
  <c r="J104" i="6"/>
  <c r="D104" i="6"/>
  <c r="L103" i="6"/>
  <c r="H103" i="6"/>
  <c r="J103" i="6"/>
  <c r="D103" i="6"/>
  <c r="L102" i="6"/>
  <c r="H102" i="6"/>
  <c r="J102" i="6"/>
  <c r="D102" i="6"/>
  <c r="L101" i="6"/>
  <c r="H101" i="6"/>
  <c r="J101" i="6"/>
  <c r="D101" i="6"/>
  <c r="L100" i="6"/>
  <c r="H100" i="6"/>
  <c r="J100" i="6"/>
  <c r="D100" i="6"/>
  <c r="L99" i="6"/>
  <c r="H99" i="6"/>
  <c r="J99" i="6"/>
  <c r="D99" i="6"/>
  <c r="L98" i="6"/>
  <c r="H98" i="6"/>
  <c r="J98" i="6"/>
  <c r="D98" i="6"/>
  <c r="L97" i="6"/>
  <c r="H97" i="6"/>
  <c r="J97" i="6"/>
  <c r="D97" i="6"/>
  <c r="L96" i="6"/>
  <c r="H96" i="6"/>
  <c r="J96" i="6"/>
  <c r="D96" i="6"/>
  <c r="L95" i="6"/>
  <c r="H95" i="6"/>
  <c r="J95" i="6"/>
  <c r="D95" i="6"/>
  <c r="L94" i="6"/>
  <c r="H94" i="6"/>
  <c r="J94" i="6"/>
  <c r="D94" i="6"/>
  <c r="L93" i="6"/>
  <c r="H93" i="6"/>
  <c r="J93" i="6"/>
  <c r="D93" i="6"/>
  <c r="L92" i="6"/>
  <c r="H92" i="6"/>
  <c r="J92" i="6"/>
  <c r="D92" i="6"/>
  <c r="L91" i="6"/>
  <c r="H91" i="6"/>
  <c r="J91" i="6"/>
  <c r="D91" i="6"/>
  <c r="L90" i="6"/>
  <c r="H90" i="6"/>
  <c r="J90" i="6"/>
  <c r="D90" i="6"/>
  <c r="L89" i="6"/>
  <c r="H89" i="6"/>
  <c r="J89" i="6"/>
  <c r="D89" i="6"/>
  <c r="L88" i="6"/>
  <c r="H88" i="6"/>
  <c r="J88" i="6"/>
  <c r="D88" i="6"/>
  <c r="L87" i="6"/>
  <c r="H87" i="6"/>
  <c r="J87" i="6"/>
  <c r="D87" i="6"/>
  <c r="L86" i="6"/>
  <c r="H86" i="6"/>
  <c r="J86" i="6"/>
  <c r="D86" i="6"/>
  <c r="L85" i="6"/>
  <c r="H85" i="6"/>
  <c r="J85" i="6"/>
  <c r="D85" i="6"/>
  <c r="L84" i="6"/>
  <c r="H84" i="6"/>
  <c r="J84" i="6"/>
  <c r="D84" i="6"/>
  <c r="L83" i="6"/>
  <c r="H83" i="6"/>
  <c r="J83" i="6"/>
  <c r="D83" i="6"/>
  <c r="L82" i="6"/>
  <c r="H82" i="6"/>
  <c r="J82" i="6"/>
  <c r="D82" i="6"/>
  <c r="L81" i="6"/>
  <c r="H81" i="6"/>
  <c r="J81" i="6"/>
  <c r="D81" i="6"/>
  <c r="L80" i="6"/>
  <c r="H80" i="6"/>
  <c r="J80" i="6"/>
  <c r="D80" i="6"/>
  <c r="L79" i="6"/>
  <c r="H79" i="6"/>
  <c r="J79" i="6"/>
  <c r="D79" i="6"/>
  <c r="L78" i="6"/>
  <c r="H78" i="6"/>
  <c r="J78" i="6"/>
  <c r="D78" i="6"/>
  <c r="L77" i="6"/>
  <c r="H77" i="6"/>
  <c r="J77" i="6"/>
  <c r="D77" i="6"/>
  <c r="L76" i="6"/>
  <c r="H76" i="6"/>
  <c r="J76" i="6"/>
  <c r="D76" i="6"/>
  <c r="L75" i="6"/>
  <c r="H75" i="6"/>
  <c r="J75" i="6"/>
  <c r="D75" i="6"/>
  <c r="L74" i="6"/>
  <c r="H74" i="6"/>
  <c r="J74" i="6"/>
  <c r="D74" i="6"/>
  <c r="L73" i="6"/>
  <c r="H73" i="6"/>
  <c r="J73" i="6"/>
  <c r="D73" i="6"/>
  <c r="L72" i="6"/>
  <c r="H72" i="6"/>
  <c r="J72" i="6"/>
  <c r="D72" i="6"/>
  <c r="L71" i="6"/>
  <c r="H71" i="6"/>
  <c r="J71" i="6"/>
  <c r="D71" i="6"/>
  <c r="L70" i="6"/>
  <c r="H70" i="6"/>
  <c r="J70" i="6"/>
  <c r="D70" i="6"/>
  <c r="L69" i="6"/>
  <c r="H69" i="6"/>
  <c r="J69" i="6"/>
  <c r="D69" i="6"/>
  <c r="L68" i="6"/>
  <c r="H68" i="6"/>
  <c r="J68" i="6"/>
  <c r="D68" i="6"/>
  <c r="L67" i="6"/>
  <c r="H67" i="6"/>
  <c r="J67" i="6"/>
  <c r="D67" i="6"/>
  <c r="L66" i="6"/>
  <c r="H66" i="6"/>
  <c r="J66" i="6"/>
  <c r="D66" i="6"/>
  <c r="L65" i="6"/>
  <c r="H65" i="6"/>
  <c r="J65" i="6"/>
  <c r="D65" i="6"/>
  <c r="L64" i="6"/>
  <c r="H64" i="6"/>
  <c r="J64" i="6"/>
  <c r="D64" i="6"/>
  <c r="L63" i="6"/>
  <c r="H63" i="6"/>
  <c r="J63" i="6"/>
  <c r="D63" i="6"/>
  <c r="L62" i="6"/>
  <c r="H62" i="6"/>
  <c r="J62" i="6"/>
  <c r="D62" i="6"/>
  <c r="L61" i="6"/>
  <c r="H61" i="6"/>
  <c r="J61" i="6"/>
  <c r="D61" i="6"/>
  <c r="L60" i="6"/>
  <c r="H60" i="6"/>
  <c r="J60" i="6"/>
  <c r="D60" i="6"/>
  <c r="L59" i="6"/>
  <c r="H59" i="6"/>
  <c r="J59" i="6"/>
  <c r="D59" i="6"/>
  <c r="L58" i="6"/>
  <c r="H58" i="6"/>
  <c r="J58" i="6"/>
  <c r="D58" i="6"/>
  <c r="L57" i="6"/>
  <c r="H57" i="6"/>
  <c r="J57" i="6"/>
  <c r="D57" i="6"/>
  <c r="L56" i="6"/>
  <c r="H56" i="6"/>
  <c r="J56" i="6"/>
  <c r="D56" i="6"/>
  <c r="L55" i="6"/>
  <c r="H55" i="6"/>
  <c r="J55" i="6"/>
  <c r="D55" i="6"/>
  <c r="L54" i="6"/>
  <c r="H54" i="6"/>
  <c r="J54" i="6"/>
  <c r="D54" i="6"/>
  <c r="L53" i="6"/>
  <c r="H53" i="6"/>
  <c r="J53" i="6"/>
  <c r="D53" i="6"/>
  <c r="L52" i="6"/>
  <c r="H52" i="6"/>
  <c r="J52" i="6"/>
  <c r="D52" i="6"/>
  <c r="L51" i="6"/>
  <c r="H51" i="6"/>
  <c r="J51" i="6"/>
  <c r="D51" i="6"/>
  <c r="L50" i="6"/>
  <c r="H50" i="6"/>
  <c r="J50" i="6"/>
  <c r="D50" i="6"/>
  <c r="L49" i="6"/>
  <c r="H49" i="6"/>
  <c r="J49" i="6"/>
  <c r="D49" i="6"/>
  <c r="L48" i="6"/>
  <c r="H48" i="6"/>
  <c r="J48" i="6"/>
  <c r="D48" i="6"/>
  <c r="L47" i="6"/>
  <c r="H47" i="6"/>
  <c r="J47" i="6"/>
  <c r="D47" i="6"/>
  <c r="L46" i="6"/>
  <c r="H46" i="6"/>
  <c r="J46" i="6"/>
  <c r="D46" i="6"/>
  <c r="L45" i="6"/>
  <c r="H45" i="6"/>
  <c r="J45" i="6"/>
  <c r="D45" i="6"/>
  <c r="L44" i="6"/>
  <c r="H44" i="6"/>
  <c r="J44" i="6"/>
  <c r="D44" i="6"/>
  <c r="L43" i="6"/>
  <c r="H43" i="6"/>
  <c r="J43" i="6"/>
  <c r="D43" i="6"/>
  <c r="L42" i="6"/>
  <c r="H42" i="6"/>
  <c r="J42" i="6"/>
  <c r="D42" i="6"/>
  <c r="L41" i="6"/>
  <c r="H41" i="6"/>
  <c r="J41" i="6"/>
  <c r="D41" i="6"/>
  <c r="L40" i="6"/>
  <c r="H40" i="6"/>
  <c r="J40" i="6"/>
  <c r="D40" i="6"/>
  <c r="L39" i="6"/>
  <c r="H39" i="6"/>
  <c r="J39" i="6"/>
  <c r="D39" i="6"/>
  <c r="L38" i="6"/>
  <c r="H38" i="6"/>
  <c r="J38" i="6"/>
  <c r="D38" i="6"/>
  <c r="L37" i="6"/>
  <c r="H37" i="6"/>
  <c r="J37" i="6"/>
  <c r="D37" i="6"/>
  <c r="L36" i="6"/>
  <c r="H36" i="6"/>
  <c r="J36" i="6"/>
  <c r="D36" i="6"/>
  <c r="L35" i="6"/>
  <c r="H35" i="6"/>
  <c r="J35" i="6"/>
  <c r="D35" i="6"/>
  <c r="L34" i="6"/>
  <c r="H34" i="6"/>
  <c r="J34" i="6"/>
  <c r="D34" i="6"/>
  <c r="L33" i="6"/>
  <c r="H33" i="6"/>
  <c r="J33" i="6"/>
  <c r="D33" i="6"/>
  <c r="L32" i="6"/>
  <c r="H32" i="6"/>
  <c r="J32" i="6"/>
  <c r="D32" i="6"/>
  <c r="L31" i="6"/>
  <c r="H31" i="6"/>
  <c r="J31" i="6"/>
  <c r="D31" i="6"/>
  <c r="L30" i="6"/>
  <c r="H30" i="6"/>
  <c r="J30" i="6"/>
  <c r="D30" i="6"/>
  <c r="L29" i="6"/>
  <c r="H29" i="6"/>
  <c r="J29" i="6"/>
  <c r="D29" i="6"/>
  <c r="L28" i="6"/>
  <c r="H28" i="6"/>
  <c r="J28" i="6"/>
  <c r="D28" i="6"/>
  <c r="L27" i="6"/>
  <c r="H27" i="6"/>
  <c r="J27" i="6"/>
  <c r="D27" i="6"/>
  <c r="L26" i="6"/>
  <c r="H26" i="6"/>
  <c r="J26" i="6"/>
  <c r="D26" i="6"/>
  <c r="L25" i="6"/>
  <c r="H25" i="6"/>
  <c r="J25" i="6"/>
  <c r="D25" i="6"/>
  <c r="L24" i="6"/>
  <c r="H24" i="6"/>
  <c r="J24" i="6"/>
  <c r="D24" i="6"/>
  <c r="L23" i="6"/>
  <c r="H23" i="6"/>
  <c r="J23" i="6"/>
  <c r="D23" i="6"/>
  <c r="L22" i="6"/>
  <c r="H22" i="6"/>
  <c r="J22" i="6"/>
  <c r="D22" i="6"/>
  <c r="L21" i="6"/>
  <c r="H21" i="6"/>
  <c r="J21" i="6"/>
  <c r="D21" i="6"/>
  <c r="L20" i="6"/>
  <c r="H20" i="6"/>
  <c r="J20" i="6"/>
  <c r="D20" i="6"/>
  <c r="L19" i="6"/>
  <c r="H19" i="6"/>
  <c r="J19" i="6"/>
  <c r="D19" i="6"/>
  <c r="L18" i="6"/>
  <c r="H18" i="6"/>
  <c r="J18" i="6"/>
  <c r="D18" i="6"/>
  <c r="L17" i="6"/>
  <c r="H17" i="6"/>
  <c r="J17" i="6"/>
  <c r="D17" i="6"/>
  <c r="L16" i="6"/>
  <c r="H16" i="6"/>
  <c r="J16" i="6"/>
  <c r="D16" i="6"/>
  <c r="L15" i="6"/>
  <c r="H15" i="6"/>
  <c r="J15" i="6"/>
  <c r="D15" i="6"/>
  <c r="L14" i="6"/>
  <c r="H14" i="6"/>
  <c r="J14" i="6"/>
  <c r="D14" i="6"/>
  <c r="L13" i="6"/>
  <c r="H13" i="6"/>
  <c r="J13" i="6"/>
  <c r="D13" i="6"/>
  <c r="L12" i="6"/>
  <c r="H12" i="6"/>
  <c r="J12" i="6"/>
  <c r="D12" i="6"/>
  <c r="L11" i="6"/>
  <c r="H11" i="6"/>
  <c r="J11" i="6"/>
  <c r="D11" i="6"/>
  <c r="L10" i="6"/>
  <c r="H10" i="6"/>
  <c r="J10" i="6"/>
  <c r="D10" i="6"/>
  <c r="R10" i="6" s="1"/>
  <c r="L9" i="6"/>
  <c r="H9" i="6"/>
  <c r="D9" i="6"/>
  <c r="R9" i="6" s="1"/>
  <c r="L8" i="6"/>
  <c r="D8" i="6"/>
  <c r="Q5" i="6"/>
  <c r="B5" i="6"/>
  <c r="N2" i="6"/>
  <c r="AD3" i="6" s="1"/>
  <c r="J11" i="3"/>
  <c r="H21" i="3"/>
  <c r="K1007" i="1"/>
  <c r="I1007" i="1"/>
  <c r="G1007" i="1"/>
  <c r="D1007" i="1"/>
  <c r="K1006" i="1"/>
  <c r="I1006" i="1"/>
  <c r="G1006" i="1"/>
  <c r="D1006" i="1"/>
  <c r="K1005" i="1"/>
  <c r="I1005" i="1"/>
  <c r="G1005" i="1"/>
  <c r="D1005" i="1"/>
  <c r="K1004" i="1"/>
  <c r="I1004" i="1"/>
  <c r="G1004" i="1"/>
  <c r="D1004" i="1"/>
  <c r="K1003" i="1"/>
  <c r="I1003" i="1"/>
  <c r="G1003" i="1"/>
  <c r="D1003" i="1"/>
  <c r="K1002" i="1"/>
  <c r="I1002" i="1"/>
  <c r="G1002" i="1"/>
  <c r="D1002" i="1"/>
  <c r="K1001" i="1"/>
  <c r="I1001" i="1"/>
  <c r="G1001" i="1"/>
  <c r="D1001" i="1"/>
  <c r="K1000" i="1"/>
  <c r="I1000" i="1"/>
  <c r="G1000" i="1"/>
  <c r="D1000" i="1"/>
  <c r="K999" i="1"/>
  <c r="I999" i="1"/>
  <c r="G999" i="1"/>
  <c r="D999" i="1"/>
  <c r="K998" i="1"/>
  <c r="I998" i="1"/>
  <c r="G998" i="1"/>
  <c r="D998" i="1"/>
  <c r="K997" i="1"/>
  <c r="I997" i="1"/>
  <c r="G997" i="1"/>
  <c r="D997" i="1"/>
  <c r="K996" i="1"/>
  <c r="I996" i="1"/>
  <c r="G996" i="1"/>
  <c r="D996" i="1"/>
  <c r="K995" i="1"/>
  <c r="I995" i="1"/>
  <c r="G995" i="1"/>
  <c r="D995" i="1"/>
  <c r="K994" i="1"/>
  <c r="I994" i="1"/>
  <c r="G994" i="1"/>
  <c r="D994" i="1"/>
  <c r="K993" i="1"/>
  <c r="I993" i="1"/>
  <c r="G993" i="1"/>
  <c r="D993" i="1"/>
  <c r="K992" i="1"/>
  <c r="I992" i="1"/>
  <c r="G992" i="1"/>
  <c r="D992" i="1"/>
  <c r="K991" i="1"/>
  <c r="I991" i="1"/>
  <c r="G991" i="1"/>
  <c r="D991" i="1"/>
  <c r="K990" i="1"/>
  <c r="I990" i="1"/>
  <c r="G990" i="1"/>
  <c r="D990" i="1"/>
  <c r="K989" i="1"/>
  <c r="I989" i="1"/>
  <c r="G989" i="1"/>
  <c r="D989" i="1"/>
  <c r="K988" i="1"/>
  <c r="I988" i="1"/>
  <c r="G988" i="1"/>
  <c r="D988" i="1"/>
  <c r="K987" i="1"/>
  <c r="I987" i="1"/>
  <c r="G987" i="1"/>
  <c r="D987" i="1"/>
  <c r="K986" i="1"/>
  <c r="I986" i="1"/>
  <c r="G986" i="1"/>
  <c r="D986" i="1"/>
  <c r="K985" i="1"/>
  <c r="I985" i="1"/>
  <c r="G985" i="1"/>
  <c r="D985" i="1"/>
  <c r="K984" i="1"/>
  <c r="I984" i="1"/>
  <c r="G984" i="1"/>
  <c r="D984" i="1"/>
  <c r="K983" i="1"/>
  <c r="I983" i="1"/>
  <c r="G983" i="1"/>
  <c r="D983" i="1"/>
  <c r="K982" i="1"/>
  <c r="I982" i="1"/>
  <c r="G982" i="1"/>
  <c r="D982" i="1"/>
  <c r="K981" i="1"/>
  <c r="I981" i="1"/>
  <c r="G981" i="1"/>
  <c r="D981" i="1"/>
  <c r="K980" i="1"/>
  <c r="I980" i="1"/>
  <c r="G980" i="1"/>
  <c r="D980" i="1"/>
  <c r="K979" i="1"/>
  <c r="I979" i="1"/>
  <c r="G979" i="1"/>
  <c r="D979" i="1"/>
  <c r="K978" i="1"/>
  <c r="I978" i="1"/>
  <c r="G978" i="1"/>
  <c r="D978" i="1"/>
  <c r="K977" i="1"/>
  <c r="I977" i="1"/>
  <c r="G977" i="1"/>
  <c r="D977" i="1"/>
  <c r="K976" i="1"/>
  <c r="I976" i="1"/>
  <c r="G976" i="1"/>
  <c r="D976" i="1"/>
  <c r="K975" i="1"/>
  <c r="I975" i="1"/>
  <c r="G975" i="1"/>
  <c r="D975" i="1"/>
  <c r="K974" i="1"/>
  <c r="I974" i="1"/>
  <c r="G974" i="1"/>
  <c r="D974" i="1"/>
  <c r="K973" i="1"/>
  <c r="I973" i="1"/>
  <c r="G973" i="1"/>
  <c r="D973" i="1"/>
  <c r="K972" i="1"/>
  <c r="I972" i="1"/>
  <c r="G972" i="1"/>
  <c r="D972" i="1"/>
  <c r="K971" i="1"/>
  <c r="I971" i="1"/>
  <c r="G971" i="1"/>
  <c r="D971" i="1"/>
  <c r="K970" i="1"/>
  <c r="I970" i="1"/>
  <c r="G970" i="1"/>
  <c r="D970" i="1"/>
  <c r="K969" i="1"/>
  <c r="I969" i="1"/>
  <c r="G969" i="1"/>
  <c r="D969" i="1"/>
  <c r="K968" i="1"/>
  <c r="I968" i="1"/>
  <c r="G968" i="1"/>
  <c r="D968" i="1"/>
  <c r="K967" i="1"/>
  <c r="I967" i="1"/>
  <c r="G967" i="1"/>
  <c r="D967" i="1"/>
  <c r="K966" i="1"/>
  <c r="I966" i="1"/>
  <c r="G966" i="1"/>
  <c r="D966" i="1"/>
  <c r="K965" i="1"/>
  <c r="I965" i="1"/>
  <c r="G965" i="1"/>
  <c r="D965" i="1"/>
  <c r="K964" i="1"/>
  <c r="I964" i="1"/>
  <c r="G964" i="1"/>
  <c r="D964" i="1"/>
  <c r="K963" i="1"/>
  <c r="I963" i="1"/>
  <c r="G963" i="1"/>
  <c r="D963" i="1"/>
  <c r="K962" i="1"/>
  <c r="I962" i="1"/>
  <c r="G962" i="1"/>
  <c r="D962" i="1"/>
  <c r="K961" i="1"/>
  <c r="I961" i="1"/>
  <c r="G961" i="1"/>
  <c r="D961" i="1"/>
  <c r="K960" i="1"/>
  <c r="I960" i="1"/>
  <c r="G960" i="1"/>
  <c r="D960" i="1"/>
  <c r="K959" i="1"/>
  <c r="I959" i="1"/>
  <c r="G959" i="1"/>
  <c r="D959" i="1"/>
  <c r="K958" i="1"/>
  <c r="I958" i="1"/>
  <c r="G958" i="1"/>
  <c r="D958" i="1"/>
  <c r="K957" i="1"/>
  <c r="I957" i="1"/>
  <c r="G957" i="1"/>
  <c r="D957" i="1"/>
  <c r="K956" i="1"/>
  <c r="I956" i="1"/>
  <c r="G956" i="1"/>
  <c r="D956" i="1"/>
  <c r="K955" i="1"/>
  <c r="I955" i="1"/>
  <c r="G955" i="1"/>
  <c r="D955" i="1"/>
  <c r="K954" i="1"/>
  <c r="I954" i="1"/>
  <c r="G954" i="1"/>
  <c r="D954" i="1"/>
  <c r="K953" i="1"/>
  <c r="I953" i="1"/>
  <c r="G953" i="1"/>
  <c r="D953" i="1"/>
  <c r="K952" i="1"/>
  <c r="I952" i="1"/>
  <c r="G952" i="1"/>
  <c r="D952" i="1"/>
  <c r="K951" i="1"/>
  <c r="I951" i="1"/>
  <c r="G951" i="1"/>
  <c r="D951" i="1"/>
  <c r="K950" i="1"/>
  <c r="I950" i="1"/>
  <c r="G950" i="1"/>
  <c r="D950" i="1"/>
  <c r="K949" i="1"/>
  <c r="I949" i="1"/>
  <c r="G949" i="1"/>
  <c r="D949" i="1"/>
  <c r="K948" i="1"/>
  <c r="I948" i="1"/>
  <c r="G948" i="1"/>
  <c r="D948" i="1"/>
  <c r="K947" i="1"/>
  <c r="I947" i="1"/>
  <c r="G947" i="1"/>
  <c r="D947" i="1"/>
  <c r="K946" i="1"/>
  <c r="I946" i="1"/>
  <c r="G946" i="1"/>
  <c r="D946" i="1"/>
  <c r="K945" i="1"/>
  <c r="I945" i="1"/>
  <c r="G945" i="1"/>
  <c r="D945" i="1"/>
  <c r="K944" i="1"/>
  <c r="I944" i="1"/>
  <c r="G944" i="1"/>
  <c r="D944" i="1"/>
  <c r="K943" i="1"/>
  <c r="I943" i="1"/>
  <c r="G943" i="1"/>
  <c r="D943" i="1"/>
  <c r="K942" i="1"/>
  <c r="I942" i="1"/>
  <c r="G942" i="1"/>
  <c r="D942" i="1"/>
  <c r="K941" i="1"/>
  <c r="I941" i="1"/>
  <c r="G941" i="1"/>
  <c r="D941" i="1"/>
  <c r="K940" i="1"/>
  <c r="I940" i="1"/>
  <c r="G940" i="1"/>
  <c r="D940" i="1"/>
  <c r="K939" i="1"/>
  <c r="I939" i="1"/>
  <c r="G939" i="1"/>
  <c r="D939" i="1"/>
  <c r="K938" i="1"/>
  <c r="I938" i="1"/>
  <c r="G938" i="1"/>
  <c r="D938" i="1"/>
  <c r="K937" i="1"/>
  <c r="I937" i="1"/>
  <c r="G937" i="1"/>
  <c r="D937" i="1"/>
  <c r="K936" i="1"/>
  <c r="I936" i="1"/>
  <c r="G936" i="1"/>
  <c r="D936" i="1"/>
  <c r="K935" i="1"/>
  <c r="I935" i="1"/>
  <c r="G935" i="1"/>
  <c r="D935" i="1"/>
  <c r="K934" i="1"/>
  <c r="I934" i="1"/>
  <c r="G934" i="1"/>
  <c r="D934" i="1"/>
  <c r="K933" i="1"/>
  <c r="I933" i="1"/>
  <c r="G933" i="1"/>
  <c r="D933" i="1"/>
  <c r="K932" i="1"/>
  <c r="I932" i="1"/>
  <c r="G932" i="1"/>
  <c r="D932" i="1"/>
  <c r="K931" i="1"/>
  <c r="I931" i="1"/>
  <c r="G931" i="1"/>
  <c r="D931" i="1"/>
  <c r="K930" i="1"/>
  <c r="I930" i="1"/>
  <c r="G930" i="1"/>
  <c r="D930" i="1"/>
  <c r="K929" i="1"/>
  <c r="I929" i="1"/>
  <c r="G929" i="1"/>
  <c r="D929" i="1"/>
  <c r="K928" i="1"/>
  <c r="I928" i="1"/>
  <c r="G928" i="1"/>
  <c r="D928" i="1"/>
  <c r="K927" i="1"/>
  <c r="I927" i="1"/>
  <c r="G927" i="1"/>
  <c r="D927" i="1"/>
  <c r="K926" i="1"/>
  <c r="I926" i="1"/>
  <c r="G926" i="1"/>
  <c r="D926" i="1"/>
  <c r="K925" i="1"/>
  <c r="I925" i="1"/>
  <c r="G925" i="1"/>
  <c r="D925" i="1"/>
  <c r="K924" i="1"/>
  <c r="I924" i="1"/>
  <c r="G924" i="1"/>
  <c r="D924" i="1"/>
  <c r="K923" i="1"/>
  <c r="I923" i="1"/>
  <c r="G923" i="1"/>
  <c r="D923" i="1"/>
  <c r="K922" i="1"/>
  <c r="I922" i="1"/>
  <c r="G922" i="1"/>
  <c r="D922" i="1"/>
  <c r="K921" i="1"/>
  <c r="I921" i="1"/>
  <c r="G921" i="1"/>
  <c r="D921" i="1"/>
  <c r="K920" i="1"/>
  <c r="I920" i="1"/>
  <c r="G920" i="1"/>
  <c r="D920" i="1"/>
  <c r="K919" i="1"/>
  <c r="I919" i="1"/>
  <c r="G919" i="1"/>
  <c r="D919" i="1"/>
  <c r="K918" i="1"/>
  <c r="I918" i="1"/>
  <c r="G918" i="1"/>
  <c r="D918" i="1"/>
  <c r="K917" i="1"/>
  <c r="I917" i="1"/>
  <c r="G917" i="1"/>
  <c r="D917" i="1"/>
  <c r="K916" i="1"/>
  <c r="I916" i="1"/>
  <c r="G916" i="1"/>
  <c r="D916" i="1"/>
  <c r="K915" i="1"/>
  <c r="I915" i="1"/>
  <c r="G915" i="1"/>
  <c r="D915" i="1"/>
  <c r="K914" i="1"/>
  <c r="I914" i="1"/>
  <c r="G914" i="1"/>
  <c r="D914" i="1"/>
  <c r="K913" i="1"/>
  <c r="I913" i="1"/>
  <c r="G913" i="1"/>
  <c r="D913" i="1"/>
  <c r="K912" i="1"/>
  <c r="I912" i="1"/>
  <c r="G912" i="1"/>
  <c r="D912" i="1"/>
  <c r="K911" i="1"/>
  <c r="I911" i="1"/>
  <c r="G911" i="1"/>
  <c r="D911" i="1"/>
  <c r="K910" i="1"/>
  <c r="I910" i="1"/>
  <c r="G910" i="1"/>
  <c r="D910" i="1"/>
  <c r="K909" i="1"/>
  <c r="I909" i="1"/>
  <c r="G909" i="1"/>
  <c r="D909" i="1"/>
  <c r="K908" i="1"/>
  <c r="I908" i="1"/>
  <c r="G908" i="1"/>
  <c r="D908" i="1"/>
  <c r="K907" i="1"/>
  <c r="I907" i="1"/>
  <c r="G907" i="1"/>
  <c r="D907" i="1"/>
  <c r="K906" i="1"/>
  <c r="I906" i="1"/>
  <c r="G906" i="1"/>
  <c r="D906" i="1"/>
  <c r="K905" i="1"/>
  <c r="I905" i="1"/>
  <c r="G905" i="1"/>
  <c r="D905" i="1"/>
  <c r="K904" i="1"/>
  <c r="I904" i="1"/>
  <c r="G904" i="1"/>
  <c r="D904" i="1"/>
  <c r="K903" i="1"/>
  <c r="I903" i="1"/>
  <c r="G903" i="1"/>
  <c r="D903" i="1"/>
  <c r="K902" i="1"/>
  <c r="I902" i="1"/>
  <c r="G902" i="1"/>
  <c r="D902" i="1"/>
  <c r="K901" i="1"/>
  <c r="I901" i="1"/>
  <c r="G901" i="1"/>
  <c r="D901" i="1"/>
  <c r="K900" i="1"/>
  <c r="I900" i="1"/>
  <c r="G900" i="1"/>
  <c r="D900" i="1"/>
  <c r="K899" i="1"/>
  <c r="I899" i="1"/>
  <c r="G899" i="1"/>
  <c r="D899" i="1"/>
  <c r="K898" i="1"/>
  <c r="I898" i="1"/>
  <c r="G898" i="1"/>
  <c r="D898" i="1"/>
  <c r="K897" i="1"/>
  <c r="I897" i="1"/>
  <c r="G897" i="1"/>
  <c r="D897" i="1"/>
  <c r="K896" i="1"/>
  <c r="I896" i="1"/>
  <c r="G896" i="1"/>
  <c r="D896" i="1"/>
  <c r="K895" i="1"/>
  <c r="I895" i="1"/>
  <c r="G895" i="1"/>
  <c r="D895" i="1"/>
  <c r="K894" i="1"/>
  <c r="I894" i="1"/>
  <c r="G894" i="1"/>
  <c r="D894" i="1"/>
  <c r="K893" i="1"/>
  <c r="I893" i="1"/>
  <c r="G893" i="1"/>
  <c r="D893" i="1"/>
  <c r="K892" i="1"/>
  <c r="I892" i="1"/>
  <c r="G892" i="1"/>
  <c r="D892" i="1"/>
  <c r="K891" i="1"/>
  <c r="I891" i="1"/>
  <c r="G891" i="1"/>
  <c r="D891" i="1"/>
  <c r="K890" i="1"/>
  <c r="I890" i="1"/>
  <c r="G890" i="1"/>
  <c r="D890" i="1"/>
  <c r="K889" i="1"/>
  <c r="I889" i="1"/>
  <c r="G889" i="1"/>
  <c r="D889" i="1"/>
  <c r="K888" i="1"/>
  <c r="I888" i="1"/>
  <c r="G888" i="1"/>
  <c r="D888" i="1"/>
  <c r="K887" i="1"/>
  <c r="I887" i="1"/>
  <c r="G887" i="1"/>
  <c r="D887" i="1"/>
  <c r="K886" i="1"/>
  <c r="I886" i="1"/>
  <c r="G886" i="1"/>
  <c r="D886" i="1"/>
  <c r="K885" i="1"/>
  <c r="I885" i="1"/>
  <c r="G885" i="1"/>
  <c r="D885" i="1"/>
  <c r="K884" i="1"/>
  <c r="I884" i="1"/>
  <c r="G884" i="1"/>
  <c r="D884" i="1"/>
  <c r="K883" i="1"/>
  <c r="I883" i="1"/>
  <c r="G883" i="1"/>
  <c r="D883" i="1"/>
  <c r="K882" i="1"/>
  <c r="I882" i="1"/>
  <c r="G882" i="1"/>
  <c r="D882" i="1"/>
  <c r="K881" i="1"/>
  <c r="I881" i="1"/>
  <c r="G881" i="1"/>
  <c r="D881" i="1"/>
  <c r="K880" i="1"/>
  <c r="I880" i="1"/>
  <c r="G880" i="1"/>
  <c r="D880" i="1"/>
  <c r="K879" i="1"/>
  <c r="I879" i="1"/>
  <c r="G879" i="1"/>
  <c r="D879" i="1"/>
  <c r="K878" i="1"/>
  <c r="I878" i="1"/>
  <c r="G878" i="1"/>
  <c r="D878" i="1"/>
  <c r="K877" i="1"/>
  <c r="I877" i="1"/>
  <c r="G877" i="1"/>
  <c r="D877" i="1"/>
  <c r="K876" i="1"/>
  <c r="I876" i="1"/>
  <c r="G876" i="1"/>
  <c r="D876" i="1"/>
  <c r="K875" i="1"/>
  <c r="I875" i="1"/>
  <c r="G875" i="1"/>
  <c r="D875" i="1"/>
  <c r="K874" i="1"/>
  <c r="I874" i="1"/>
  <c r="G874" i="1"/>
  <c r="D874" i="1"/>
  <c r="K873" i="1"/>
  <c r="I873" i="1"/>
  <c r="G873" i="1"/>
  <c r="D873" i="1"/>
  <c r="K872" i="1"/>
  <c r="I872" i="1"/>
  <c r="G872" i="1"/>
  <c r="D872" i="1"/>
  <c r="K871" i="1"/>
  <c r="I871" i="1"/>
  <c r="G871" i="1"/>
  <c r="D871" i="1"/>
  <c r="K870" i="1"/>
  <c r="I870" i="1"/>
  <c r="G870" i="1"/>
  <c r="D870" i="1"/>
  <c r="K869" i="1"/>
  <c r="I869" i="1"/>
  <c r="G869" i="1"/>
  <c r="D869" i="1"/>
  <c r="K868" i="1"/>
  <c r="I868" i="1"/>
  <c r="G868" i="1"/>
  <c r="D868" i="1"/>
  <c r="K867" i="1"/>
  <c r="I867" i="1"/>
  <c r="G867" i="1"/>
  <c r="D867" i="1"/>
  <c r="K866" i="1"/>
  <c r="I866" i="1"/>
  <c r="G866" i="1"/>
  <c r="D866" i="1"/>
  <c r="K865" i="1"/>
  <c r="I865" i="1"/>
  <c r="G865" i="1"/>
  <c r="D865" i="1"/>
  <c r="K864" i="1"/>
  <c r="I864" i="1"/>
  <c r="G864" i="1"/>
  <c r="D864" i="1"/>
  <c r="K863" i="1"/>
  <c r="I863" i="1"/>
  <c r="G863" i="1"/>
  <c r="D863" i="1"/>
  <c r="K862" i="1"/>
  <c r="I862" i="1"/>
  <c r="G862" i="1"/>
  <c r="D862" i="1"/>
  <c r="K861" i="1"/>
  <c r="I861" i="1"/>
  <c r="G861" i="1"/>
  <c r="D861" i="1"/>
  <c r="K860" i="1"/>
  <c r="I860" i="1"/>
  <c r="G860" i="1"/>
  <c r="D860" i="1"/>
  <c r="K859" i="1"/>
  <c r="I859" i="1"/>
  <c r="G859" i="1"/>
  <c r="D859" i="1"/>
  <c r="K858" i="1"/>
  <c r="I858" i="1"/>
  <c r="G858" i="1"/>
  <c r="D858" i="1"/>
  <c r="K857" i="1"/>
  <c r="I857" i="1"/>
  <c r="G857" i="1"/>
  <c r="D857" i="1"/>
  <c r="K856" i="1"/>
  <c r="I856" i="1"/>
  <c r="G856" i="1"/>
  <c r="D856" i="1"/>
  <c r="K855" i="1"/>
  <c r="I855" i="1"/>
  <c r="G855" i="1"/>
  <c r="D855" i="1"/>
  <c r="K854" i="1"/>
  <c r="I854" i="1"/>
  <c r="G854" i="1"/>
  <c r="D854" i="1"/>
  <c r="K853" i="1"/>
  <c r="I853" i="1"/>
  <c r="G853" i="1"/>
  <c r="D853" i="1"/>
  <c r="K852" i="1"/>
  <c r="I852" i="1"/>
  <c r="G852" i="1"/>
  <c r="D852" i="1"/>
  <c r="K851" i="1"/>
  <c r="I851" i="1"/>
  <c r="G851" i="1"/>
  <c r="D851" i="1"/>
  <c r="K850" i="1"/>
  <c r="I850" i="1"/>
  <c r="G850" i="1"/>
  <c r="D850" i="1"/>
  <c r="K849" i="1"/>
  <c r="I849" i="1"/>
  <c r="G849" i="1"/>
  <c r="D849" i="1"/>
  <c r="K848" i="1"/>
  <c r="I848" i="1"/>
  <c r="G848" i="1"/>
  <c r="D848" i="1"/>
  <c r="K847" i="1"/>
  <c r="I847" i="1"/>
  <c r="G847" i="1"/>
  <c r="D847" i="1"/>
  <c r="K846" i="1"/>
  <c r="I846" i="1"/>
  <c r="G846" i="1"/>
  <c r="D846" i="1"/>
  <c r="K845" i="1"/>
  <c r="I845" i="1"/>
  <c r="G845" i="1"/>
  <c r="D845" i="1"/>
  <c r="K844" i="1"/>
  <c r="I844" i="1"/>
  <c r="G844" i="1"/>
  <c r="D844" i="1"/>
  <c r="K843" i="1"/>
  <c r="I843" i="1"/>
  <c r="G843" i="1"/>
  <c r="D843" i="1"/>
  <c r="K842" i="1"/>
  <c r="I842" i="1"/>
  <c r="G842" i="1"/>
  <c r="D842" i="1"/>
  <c r="K841" i="1"/>
  <c r="I841" i="1"/>
  <c r="G841" i="1"/>
  <c r="D841" i="1"/>
  <c r="K840" i="1"/>
  <c r="I840" i="1"/>
  <c r="G840" i="1"/>
  <c r="D840" i="1"/>
  <c r="K839" i="1"/>
  <c r="I839" i="1"/>
  <c r="G839" i="1"/>
  <c r="D839" i="1"/>
  <c r="K838" i="1"/>
  <c r="I838" i="1"/>
  <c r="G838" i="1"/>
  <c r="D838" i="1"/>
  <c r="K837" i="1"/>
  <c r="I837" i="1"/>
  <c r="G837" i="1"/>
  <c r="D837" i="1"/>
  <c r="K836" i="1"/>
  <c r="I836" i="1"/>
  <c r="G836" i="1"/>
  <c r="D836" i="1"/>
  <c r="K835" i="1"/>
  <c r="I835" i="1"/>
  <c r="G835" i="1"/>
  <c r="D835" i="1"/>
  <c r="K834" i="1"/>
  <c r="I834" i="1"/>
  <c r="G834" i="1"/>
  <c r="D834" i="1"/>
  <c r="K833" i="1"/>
  <c r="I833" i="1"/>
  <c r="G833" i="1"/>
  <c r="D833" i="1"/>
  <c r="K832" i="1"/>
  <c r="I832" i="1"/>
  <c r="G832" i="1"/>
  <c r="D832" i="1"/>
  <c r="K831" i="1"/>
  <c r="I831" i="1"/>
  <c r="G831" i="1"/>
  <c r="D831" i="1"/>
  <c r="K830" i="1"/>
  <c r="I830" i="1"/>
  <c r="G830" i="1"/>
  <c r="D830" i="1"/>
  <c r="K829" i="1"/>
  <c r="I829" i="1"/>
  <c r="G829" i="1"/>
  <c r="D829" i="1"/>
  <c r="K828" i="1"/>
  <c r="I828" i="1"/>
  <c r="G828" i="1"/>
  <c r="D828" i="1"/>
  <c r="K827" i="1"/>
  <c r="I827" i="1"/>
  <c r="G827" i="1"/>
  <c r="D827" i="1"/>
  <c r="K826" i="1"/>
  <c r="I826" i="1"/>
  <c r="G826" i="1"/>
  <c r="D826" i="1"/>
  <c r="K825" i="1"/>
  <c r="I825" i="1"/>
  <c r="G825" i="1"/>
  <c r="D825" i="1"/>
  <c r="K824" i="1"/>
  <c r="I824" i="1"/>
  <c r="G824" i="1"/>
  <c r="D824" i="1"/>
  <c r="K823" i="1"/>
  <c r="I823" i="1"/>
  <c r="G823" i="1"/>
  <c r="D823" i="1"/>
  <c r="K822" i="1"/>
  <c r="I822" i="1"/>
  <c r="G822" i="1"/>
  <c r="D822" i="1"/>
  <c r="K821" i="1"/>
  <c r="I821" i="1"/>
  <c r="G821" i="1"/>
  <c r="D821" i="1"/>
  <c r="K820" i="1"/>
  <c r="I820" i="1"/>
  <c r="G820" i="1"/>
  <c r="D820" i="1"/>
  <c r="K819" i="1"/>
  <c r="I819" i="1"/>
  <c r="G819" i="1"/>
  <c r="D819" i="1"/>
  <c r="K818" i="1"/>
  <c r="I818" i="1"/>
  <c r="G818" i="1"/>
  <c r="D818" i="1"/>
  <c r="K817" i="1"/>
  <c r="I817" i="1"/>
  <c r="G817" i="1"/>
  <c r="D817" i="1"/>
  <c r="K816" i="1"/>
  <c r="I816" i="1"/>
  <c r="G816" i="1"/>
  <c r="D816" i="1"/>
  <c r="K815" i="1"/>
  <c r="I815" i="1"/>
  <c r="G815" i="1"/>
  <c r="D815" i="1"/>
  <c r="K814" i="1"/>
  <c r="I814" i="1"/>
  <c r="G814" i="1"/>
  <c r="D814" i="1"/>
  <c r="K813" i="1"/>
  <c r="I813" i="1"/>
  <c r="G813" i="1"/>
  <c r="D813" i="1"/>
  <c r="K812" i="1"/>
  <c r="I812" i="1"/>
  <c r="G812" i="1"/>
  <c r="D812" i="1"/>
  <c r="K811" i="1"/>
  <c r="I811" i="1"/>
  <c r="G811" i="1"/>
  <c r="D811" i="1"/>
  <c r="K810" i="1"/>
  <c r="I810" i="1"/>
  <c r="G810" i="1"/>
  <c r="D810" i="1"/>
  <c r="K809" i="1"/>
  <c r="I809" i="1"/>
  <c r="G809" i="1"/>
  <c r="D809" i="1"/>
  <c r="K808" i="1"/>
  <c r="I808" i="1"/>
  <c r="G808" i="1"/>
  <c r="D808" i="1"/>
  <c r="K807" i="1"/>
  <c r="I807" i="1"/>
  <c r="G807" i="1"/>
  <c r="D807" i="1"/>
  <c r="K806" i="1"/>
  <c r="I806" i="1"/>
  <c r="G806" i="1"/>
  <c r="D806" i="1"/>
  <c r="K805" i="1"/>
  <c r="I805" i="1"/>
  <c r="G805" i="1"/>
  <c r="D805" i="1"/>
  <c r="K804" i="1"/>
  <c r="I804" i="1"/>
  <c r="G804" i="1"/>
  <c r="D804" i="1"/>
  <c r="K803" i="1"/>
  <c r="I803" i="1"/>
  <c r="G803" i="1"/>
  <c r="D803" i="1"/>
  <c r="K802" i="1"/>
  <c r="I802" i="1"/>
  <c r="G802" i="1"/>
  <c r="D802" i="1"/>
  <c r="K801" i="1"/>
  <c r="I801" i="1"/>
  <c r="G801" i="1"/>
  <c r="D801" i="1"/>
  <c r="K800" i="1"/>
  <c r="I800" i="1"/>
  <c r="G800" i="1"/>
  <c r="D800" i="1"/>
  <c r="K799" i="1"/>
  <c r="I799" i="1"/>
  <c r="G799" i="1"/>
  <c r="D799" i="1"/>
  <c r="K798" i="1"/>
  <c r="I798" i="1"/>
  <c r="G798" i="1"/>
  <c r="D798" i="1"/>
  <c r="K797" i="1"/>
  <c r="I797" i="1"/>
  <c r="G797" i="1"/>
  <c r="D797" i="1"/>
  <c r="K796" i="1"/>
  <c r="I796" i="1"/>
  <c r="G796" i="1"/>
  <c r="D796" i="1"/>
  <c r="K795" i="1"/>
  <c r="I795" i="1"/>
  <c r="G795" i="1"/>
  <c r="D795" i="1"/>
  <c r="K794" i="1"/>
  <c r="I794" i="1"/>
  <c r="G794" i="1"/>
  <c r="D794" i="1"/>
  <c r="K793" i="1"/>
  <c r="I793" i="1"/>
  <c r="G793" i="1"/>
  <c r="D793" i="1"/>
  <c r="K792" i="1"/>
  <c r="I792" i="1"/>
  <c r="G792" i="1"/>
  <c r="D792" i="1"/>
  <c r="K791" i="1"/>
  <c r="I791" i="1"/>
  <c r="G791" i="1"/>
  <c r="D791" i="1"/>
  <c r="K790" i="1"/>
  <c r="I790" i="1"/>
  <c r="G790" i="1"/>
  <c r="D790" i="1"/>
  <c r="K789" i="1"/>
  <c r="I789" i="1"/>
  <c r="G789" i="1"/>
  <c r="D789" i="1"/>
  <c r="K788" i="1"/>
  <c r="I788" i="1"/>
  <c r="G788" i="1"/>
  <c r="D788" i="1"/>
  <c r="K787" i="1"/>
  <c r="I787" i="1"/>
  <c r="G787" i="1"/>
  <c r="D787" i="1"/>
  <c r="K786" i="1"/>
  <c r="I786" i="1"/>
  <c r="G786" i="1"/>
  <c r="D786" i="1"/>
  <c r="K785" i="1"/>
  <c r="I785" i="1"/>
  <c r="G785" i="1"/>
  <c r="D785" i="1"/>
  <c r="K784" i="1"/>
  <c r="I784" i="1"/>
  <c r="G784" i="1"/>
  <c r="D784" i="1"/>
  <c r="K783" i="1"/>
  <c r="I783" i="1"/>
  <c r="G783" i="1"/>
  <c r="D783" i="1"/>
  <c r="K782" i="1"/>
  <c r="I782" i="1"/>
  <c r="G782" i="1"/>
  <c r="D782" i="1"/>
  <c r="K781" i="1"/>
  <c r="I781" i="1"/>
  <c r="G781" i="1"/>
  <c r="D781" i="1"/>
  <c r="K780" i="1"/>
  <c r="I780" i="1"/>
  <c r="G780" i="1"/>
  <c r="D780" i="1"/>
  <c r="K779" i="1"/>
  <c r="I779" i="1"/>
  <c r="G779" i="1"/>
  <c r="D779" i="1"/>
  <c r="K778" i="1"/>
  <c r="I778" i="1"/>
  <c r="G778" i="1"/>
  <c r="D778" i="1"/>
  <c r="K777" i="1"/>
  <c r="I777" i="1"/>
  <c r="G777" i="1"/>
  <c r="D777" i="1"/>
  <c r="K776" i="1"/>
  <c r="I776" i="1"/>
  <c r="G776" i="1"/>
  <c r="D776" i="1"/>
  <c r="K775" i="1"/>
  <c r="I775" i="1"/>
  <c r="G775" i="1"/>
  <c r="D775" i="1"/>
  <c r="K774" i="1"/>
  <c r="I774" i="1"/>
  <c r="G774" i="1"/>
  <c r="D774" i="1"/>
  <c r="K773" i="1"/>
  <c r="I773" i="1"/>
  <c r="G773" i="1"/>
  <c r="D773" i="1"/>
  <c r="K772" i="1"/>
  <c r="I772" i="1"/>
  <c r="G772" i="1"/>
  <c r="D772" i="1"/>
  <c r="K771" i="1"/>
  <c r="I771" i="1"/>
  <c r="G771" i="1"/>
  <c r="D771" i="1"/>
  <c r="K770" i="1"/>
  <c r="I770" i="1"/>
  <c r="G770" i="1"/>
  <c r="D770" i="1"/>
  <c r="K769" i="1"/>
  <c r="I769" i="1"/>
  <c r="G769" i="1"/>
  <c r="D769" i="1"/>
  <c r="K768" i="1"/>
  <c r="I768" i="1"/>
  <c r="G768" i="1"/>
  <c r="D768" i="1"/>
  <c r="K767" i="1"/>
  <c r="I767" i="1"/>
  <c r="G767" i="1"/>
  <c r="D767" i="1"/>
  <c r="K766" i="1"/>
  <c r="I766" i="1"/>
  <c r="G766" i="1"/>
  <c r="D766" i="1"/>
  <c r="K765" i="1"/>
  <c r="I765" i="1"/>
  <c r="G765" i="1"/>
  <c r="D765" i="1"/>
  <c r="K764" i="1"/>
  <c r="I764" i="1"/>
  <c r="G764" i="1"/>
  <c r="D764" i="1"/>
  <c r="K763" i="1"/>
  <c r="I763" i="1"/>
  <c r="G763" i="1"/>
  <c r="D763" i="1"/>
  <c r="K762" i="1"/>
  <c r="I762" i="1"/>
  <c r="G762" i="1"/>
  <c r="D762" i="1"/>
  <c r="K761" i="1"/>
  <c r="I761" i="1"/>
  <c r="G761" i="1"/>
  <c r="D761" i="1"/>
  <c r="K760" i="1"/>
  <c r="I760" i="1"/>
  <c r="G760" i="1"/>
  <c r="D760" i="1"/>
  <c r="K759" i="1"/>
  <c r="I759" i="1"/>
  <c r="G759" i="1"/>
  <c r="D759" i="1"/>
  <c r="K758" i="1"/>
  <c r="I758" i="1"/>
  <c r="G758" i="1"/>
  <c r="D758" i="1"/>
  <c r="K757" i="1"/>
  <c r="I757" i="1"/>
  <c r="G757" i="1"/>
  <c r="D757" i="1"/>
  <c r="K756" i="1"/>
  <c r="I756" i="1"/>
  <c r="G756" i="1"/>
  <c r="D756" i="1"/>
  <c r="K755" i="1"/>
  <c r="I755" i="1"/>
  <c r="G755" i="1"/>
  <c r="D755" i="1"/>
  <c r="K754" i="1"/>
  <c r="I754" i="1"/>
  <c r="G754" i="1"/>
  <c r="D754" i="1"/>
  <c r="K753" i="1"/>
  <c r="I753" i="1"/>
  <c r="G753" i="1"/>
  <c r="D753" i="1"/>
  <c r="K752" i="1"/>
  <c r="I752" i="1"/>
  <c r="G752" i="1"/>
  <c r="D752" i="1"/>
  <c r="K751" i="1"/>
  <c r="I751" i="1"/>
  <c r="G751" i="1"/>
  <c r="D751" i="1"/>
  <c r="K750" i="1"/>
  <c r="I750" i="1"/>
  <c r="G750" i="1"/>
  <c r="D750" i="1"/>
  <c r="K749" i="1"/>
  <c r="I749" i="1"/>
  <c r="G749" i="1"/>
  <c r="D749" i="1"/>
  <c r="K748" i="1"/>
  <c r="I748" i="1"/>
  <c r="G748" i="1"/>
  <c r="D748" i="1"/>
  <c r="K747" i="1"/>
  <c r="I747" i="1"/>
  <c r="G747" i="1"/>
  <c r="D747" i="1"/>
  <c r="K746" i="1"/>
  <c r="I746" i="1"/>
  <c r="G746" i="1"/>
  <c r="D746" i="1"/>
  <c r="K745" i="1"/>
  <c r="I745" i="1"/>
  <c r="G745" i="1"/>
  <c r="D745" i="1"/>
  <c r="K744" i="1"/>
  <c r="I744" i="1"/>
  <c r="G744" i="1"/>
  <c r="D744" i="1"/>
  <c r="K743" i="1"/>
  <c r="I743" i="1"/>
  <c r="G743" i="1"/>
  <c r="D743" i="1"/>
  <c r="K742" i="1"/>
  <c r="I742" i="1"/>
  <c r="G742" i="1"/>
  <c r="D742" i="1"/>
  <c r="K741" i="1"/>
  <c r="I741" i="1"/>
  <c r="G741" i="1"/>
  <c r="D741" i="1"/>
  <c r="K740" i="1"/>
  <c r="I740" i="1"/>
  <c r="G740" i="1"/>
  <c r="D740" i="1"/>
  <c r="K739" i="1"/>
  <c r="I739" i="1"/>
  <c r="G739" i="1"/>
  <c r="D739" i="1"/>
  <c r="K738" i="1"/>
  <c r="I738" i="1"/>
  <c r="G738" i="1"/>
  <c r="D738" i="1"/>
  <c r="K737" i="1"/>
  <c r="I737" i="1"/>
  <c r="G737" i="1"/>
  <c r="D737" i="1"/>
  <c r="K736" i="1"/>
  <c r="I736" i="1"/>
  <c r="G736" i="1"/>
  <c r="D736" i="1"/>
  <c r="K735" i="1"/>
  <c r="I735" i="1"/>
  <c r="G735" i="1"/>
  <c r="D735" i="1"/>
  <c r="K734" i="1"/>
  <c r="I734" i="1"/>
  <c r="G734" i="1"/>
  <c r="D734" i="1"/>
  <c r="K733" i="1"/>
  <c r="I733" i="1"/>
  <c r="G733" i="1"/>
  <c r="D733" i="1"/>
  <c r="K732" i="1"/>
  <c r="I732" i="1"/>
  <c r="G732" i="1"/>
  <c r="D732" i="1"/>
  <c r="K731" i="1"/>
  <c r="I731" i="1"/>
  <c r="G731" i="1"/>
  <c r="D731" i="1"/>
  <c r="K730" i="1"/>
  <c r="I730" i="1"/>
  <c r="G730" i="1"/>
  <c r="D730" i="1"/>
  <c r="K729" i="1"/>
  <c r="I729" i="1"/>
  <c r="G729" i="1"/>
  <c r="D729" i="1"/>
  <c r="K728" i="1"/>
  <c r="I728" i="1"/>
  <c r="G728" i="1"/>
  <c r="D728" i="1"/>
  <c r="K727" i="1"/>
  <c r="I727" i="1"/>
  <c r="G727" i="1"/>
  <c r="D727" i="1"/>
  <c r="K726" i="1"/>
  <c r="I726" i="1"/>
  <c r="G726" i="1"/>
  <c r="D726" i="1"/>
  <c r="K725" i="1"/>
  <c r="I725" i="1"/>
  <c r="G725" i="1"/>
  <c r="D725" i="1"/>
  <c r="K724" i="1"/>
  <c r="I724" i="1"/>
  <c r="G724" i="1"/>
  <c r="D724" i="1"/>
  <c r="K723" i="1"/>
  <c r="I723" i="1"/>
  <c r="G723" i="1"/>
  <c r="D723" i="1"/>
  <c r="K722" i="1"/>
  <c r="I722" i="1"/>
  <c r="G722" i="1"/>
  <c r="D722" i="1"/>
  <c r="K721" i="1"/>
  <c r="I721" i="1"/>
  <c r="G721" i="1"/>
  <c r="D721" i="1"/>
  <c r="K720" i="1"/>
  <c r="I720" i="1"/>
  <c r="G720" i="1"/>
  <c r="D720" i="1"/>
  <c r="K719" i="1"/>
  <c r="I719" i="1"/>
  <c r="G719" i="1"/>
  <c r="D719" i="1"/>
  <c r="K718" i="1"/>
  <c r="I718" i="1"/>
  <c r="G718" i="1"/>
  <c r="D718" i="1"/>
  <c r="K717" i="1"/>
  <c r="I717" i="1"/>
  <c r="G717" i="1"/>
  <c r="D717" i="1"/>
  <c r="K716" i="1"/>
  <c r="I716" i="1"/>
  <c r="G716" i="1"/>
  <c r="D716" i="1"/>
  <c r="K715" i="1"/>
  <c r="I715" i="1"/>
  <c r="G715" i="1"/>
  <c r="D715" i="1"/>
  <c r="K714" i="1"/>
  <c r="I714" i="1"/>
  <c r="G714" i="1"/>
  <c r="D714" i="1"/>
  <c r="K713" i="1"/>
  <c r="I713" i="1"/>
  <c r="G713" i="1"/>
  <c r="D713" i="1"/>
  <c r="K712" i="1"/>
  <c r="I712" i="1"/>
  <c r="G712" i="1"/>
  <c r="D712" i="1"/>
  <c r="K711" i="1"/>
  <c r="I711" i="1"/>
  <c r="G711" i="1"/>
  <c r="D711" i="1"/>
  <c r="K710" i="1"/>
  <c r="I710" i="1"/>
  <c r="G710" i="1"/>
  <c r="D710" i="1"/>
  <c r="K709" i="1"/>
  <c r="I709" i="1"/>
  <c r="G709" i="1"/>
  <c r="D709" i="1"/>
  <c r="K708" i="1"/>
  <c r="I708" i="1"/>
  <c r="G708" i="1"/>
  <c r="D708" i="1"/>
  <c r="K707" i="1"/>
  <c r="I707" i="1"/>
  <c r="G707" i="1"/>
  <c r="D707" i="1"/>
  <c r="K706" i="1"/>
  <c r="I706" i="1"/>
  <c r="G706" i="1"/>
  <c r="D706" i="1"/>
  <c r="K705" i="1"/>
  <c r="I705" i="1"/>
  <c r="G705" i="1"/>
  <c r="D705" i="1"/>
  <c r="K704" i="1"/>
  <c r="I704" i="1"/>
  <c r="G704" i="1"/>
  <c r="D704" i="1"/>
  <c r="K703" i="1"/>
  <c r="I703" i="1"/>
  <c r="G703" i="1"/>
  <c r="D703" i="1"/>
  <c r="K702" i="1"/>
  <c r="I702" i="1"/>
  <c r="G702" i="1"/>
  <c r="D702" i="1"/>
  <c r="K701" i="1"/>
  <c r="I701" i="1"/>
  <c r="G701" i="1"/>
  <c r="D701" i="1"/>
  <c r="K700" i="1"/>
  <c r="I700" i="1"/>
  <c r="G700" i="1"/>
  <c r="D700" i="1"/>
  <c r="K699" i="1"/>
  <c r="I699" i="1"/>
  <c r="G699" i="1"/>
  <c r="D699" i="1"/>
  <c r="K698" i="1"/>
  <c r="I698" i="1"/>
  <c r="G698" i="1"/>
  <c r="D698" i="1"/>
  <c r="K697" i="1"/>
  <c r="I697" i="1"/>
  <c r="G697" i="1"/>
  <c r="D697" i="1"/>
  <c r="K696" i="1"/>
  <c r="I696" i="1"/>
  <c r="G696" i="1"/>
  <c r="D696" i="1"/>
  <c r="K695" i="1"/>
  <c r="I695" i="1"/>
  <c r="G695" i="1"/>
  <c r="D695" i="1"/>
  <c r="K694" i="1"/>
  <c r="I694" i="1"/>
  <c r="G694" i="1"/>
  <c r="D694" i="1"/>
  <c r="K693" i="1"/>
  <c r="I693" i="1"/>
  <c r="G693" i="1"/>
  <c r="D693" i="1"/>
  <c r="K692" i="1"/>
  <c r="I692" i="1"/>
  <c r="G692" i="1"/>
  <c r="D692" i="1"/>
  <c r="K691" i="1"/>
  <c r="I691" i="1"/>
  <c r="G691" i="1"/>
  <c r="D691" i="1"/>
  <c r="K690" i="1"/>
  <c r="I690" i="1"/>
  <c r="G690" i="1"/>
  <c r="D690" i="1"/>
  <c r="K689" i="1"/>
  <c r="I689" i="1"/>
  <c r="G689" i="1"/>
  <c r="D689" i="1"/>
  <c r="K688" i="1"/>
  <c r="I688" i="1"/>
  <c r="G688" i="1"/>
  <c r="D688" i="1"/>
  <c r="K687" i="1"/>
  <c r="I687" i="1"/>
  <c r="G687" i="1"/>
  <c r="D687" i="1"/>
  <c r="K686" i="1"/>
  <c r="I686" i="1"/>
  <c r="G686" i="1"/>
  <c r="D686" i="1"/>
  <c r="K685" i="1"/>
  <c r="I685" i="1"/>
  <c r="G685" i="1"/>
  <c r="D685" i="1"/>
  <c r="K684" i="1"/>
  <c r="I684" i="1"/>
  <c r="G684" i="1"/>
  <c r="D684" i="1"/>
  <c r="K683" i="1"/>
  <c r="I683" i="1"/>
  <c r="G683" i="1"/>
  <c r="D683" i="1"/>
  <c r="K682" i="1"/>
  <c r="I682" i="1"/>
  <c r="G682" i="1"/>
  <c r="D682" i="1"/>
  <c r="K681" i="1"/>
  <c r="I681" i="1"/>
  <c r="G681" i="1"/>
  <c r="D681" i="1"/>
  <c r="K680" i="1"/>
  <c r="I680" i="1"/>
  <c r="G680" i="1"/>
  <c r="D680" i="1"/>
  <c r="K679" i="1"/>
  <c r="I679" i="1"/>
  <c r="G679" i="1"/>
  <c r="D679" i="1"/>
  <c r="K678" i="1"/>
  <c r="I678" i="1"/>
  <c r="G678" i="1"/>
  <c r="D678" i="1"/>
  <c r="K677" i="1"/>
  <c r="I677" i="1"/>
  <c r="G677" i="1"/>
  <c r="D677" i="1"/>
  <c r="K676" i="1"/>
  <c r="I676" i="1"/>
  <c r="G676" i="1"/>
  <c r="D676" i="1"/>
  <c r="K675" i="1"/>
  <c r="I675" i="1"/>
  <c r="G675" i="1"/>
  <c r="D675" i="1"/>
  <c r="K674" i="1"/>
  <c r="I674" i="1"/>
  <c r="G674" i="1"/>
  <c r="D674" i="1"/>
  <c r="K673" i="1"/>
  <c r="I673" i="1"/>
  <c r="G673" i="1"/>
  <c r="D673" i="1"/>
  <c r="K672" i="1"/>
  <c r="I672" i="1"/>
  <c r="G672" i="1"/>
  <c r="D672" i="1"/>
  <c r="K671" i="1"/>
  <c r="I671" i="1"/>
  <c r="G671" i="1"/>
  <c r="D671" i="1"/>
  <c r="K670" i="1"/>
  <c r="I670" i="1"/>
  <c r="G670" i="1"/>
  <c r="D670" i="1"/>
  <c r="K669" i="1"/>
  <c r="I669" i="1"/>
  <c r="G669" i="1"/>
  <c r="D669" i="1"/>
  <c r="K668" i="1"/>
  <c r="I668" i="1"/>
  <c r="G668" i="1"/>
  <c r="D668" i="1"/>
  <c r="K667" i="1"/>
  <c r="I667" i="1"/>
  <c r="G667" i="1"/>
  <c r="D667" i="1"/>
  <c r="K666" i="1"/>
  <c r="I666" i="1"/>
  <c r="G666" i="1"/>
  <c r="D666" i="1"/>
  <c r="K665" i="1"/>
  <c r="I665" i="1"/>
  <c r="G665" i="1"/>
  <c r="D665" i="1"/>
  <c r="K664" i="1"/>
  <c r="I664" i="1"/>
  <c r="G664" i="1"/>
  <c r="D664" i="1"/>
  <c r="K663" i="1"/>
  <c r="I663" i="1"/>
  <c r="G663" i="1"/>
  <c r="D663" i="1"/>
  <c r="K662" i="1"/>
  <c r="I662" i="1"/>
  <c r="G662" i="1"/>
  <c r="D662" i="1"/>
  <c r="K661" i="1"/>
  <c r="I661" i="1"/>
  <c r="G661" i="1"/>
  <c r="D661" i="1"/>
  <c r="K660" i="1"/>
  <c r="I660" i="1"/>
  <c r="G660" i="1"/>
  <c r="D660" i="1"/>
  <c r="K659" i="1"/>
  <c r="I659" i="1"/>
  <c r="G659" i="1"/>
  <c r="D659" i="1"/>
  <c r="K658" i="1"/>
  <c r="I658" i="1"/>
  <c r="G658" i="1"/>
  <c r="D658" i="1"/>
  <c r="K657" i="1"/>
  <c r="I657" i="1"/>
  <c r="G657" i="1"/>
  <c r="D657" i="1"/>
  <c r="K656" i="1"/>
  <c r="I656" i="1"/>
  <c r="G656" i="1"/>
  <c r="D656" i="1"/>
  <c r="K655" i="1"/>
  <c r="I655" i="1"/>
  <c r="G655" i="1"/>
  <c r="D655" i="1"/>
  <c r="K654" i="1"/>
  <c r="I654" i="1"/>
  <c r="G654" i="1"/>
  <c r="D654" i="1"/>
  <c r="K653" i="1"/>
  <c r="I653" i="1"/>
  <c r="G653" i="1"/>
  <c r="D653" i="1"/>
  <c r="K652" i="1"/>
  <c r="I652" i="1"/>
  <c r="G652" i="1"/>
  <c r="D652" i="1"/>
  <c r="K651" i="1"/>
  <c r="I651" i="1"/>
  <c r="G651" i="1"/>
  <c r="D651" i="1"/>
  <c r="K650" i="1"/>
  <c r="I650" i="1"/>
  <c r="G650" i="1"/>
  <c r="D650" i="1"/>
  <c r="K649" i="1"/>
  <c r="I649" i="1"/>
  <c r="G649" i="1"/>
  <c r="D649" i="1"/>
  <c r="K648" i="1"/>
  <c r="I648" i="1"/>
  <c r="G648" i="1"/>
  <c r="D648" i="1"/>
  <c r="K647" i="1"/>
  <c r="I647" i="1"/>
  <c r="G647" i="1"/>
  <c r="D647" i="1"/>
  <c r="K646" i="1"/>
  <c r="I646" i="1"/>
  <c r="G646" i="1"/>
  <c r="D646" i="1"/>
  <c r="K645" i="1"/>
  <c r="I645" i="1"/>
  <c r="G645" i="1"/>
  <c r="D645" i="1"/>
  <c r="K644" i="1"/>
  <c r="I644" i="1"/>
  <c r="G644" i="1"/>
  <c r="D644" i="1"/>
  <c r="K643" i="1"/>
  <c r="I643" i="1"/>
  <c r="G643" i="1"/>
  <c r="D643" i="1"/>
  <c r="K642" i="1"/>
  <c r="I642" i="1"/>
  <c r="G642" i="1"/>
  <c r="D642" i="1"/>
  <c r="K641" i="1"/>
  <c r="I641" i="1"/>
  <c r="G641" i="1"/>
  <c r="D641" i="1"/>
  <c r="K640" i="1"/>
  <c r="I640" i="1"/>
  <c r="G640" i="1"/>
  <c r="D640" i="1"/>
  <c r="K639" i="1"/>
  <c r="I639" i="1"/>
  <c r="G639" i="1"/>
  <c r="D639" i="1"/>
  <c r="K638" i="1"/>
  <c r="I638" i="1"/>
  <c r="G638" i="1"/>
  <c r="D638" i="1"/>
  <c r="K637" i="1"/>
  <c r="I637" i="1"/>
  <c r="G637" i="1"/>
  <c r="D637" i="1"/>
  <c r="K636" i="1"/>
  <c r="I636" i="1"/>
  <c r="G636" i="1"/>
  <c r="D636" i="1"/>
  <c r="K635" i="1"/>
  <c r="I635" i="1"/>
  <c r="G635" i="1"/>
  <c r="D635" i="1"/>
  <c r="K634" i="1"/>
  <c r="I634" i="1"/>
  <c r="G634" i="1"/>
  <c r="D634" i="1"/>
  <c r="K633" i="1"/>
  <c r="I633" i="1"/>
  <c r="G633" i="1"/>
  <c r="D633" i="1"/>
  <c r="K632" i="1"/>
  <c r="I632" i="1"/>
  <c r="G632" i="1"/>
  <c r="D632" i="1"/>
  <c r="K631" i="1"/>
  <c r="I631" i="1"/>
  <c r="G631" i="1"/>
  <c r="D631" i="1"/>
  <c r="K630" i="1"/>
  <c r="I630" i="1"/>
  <c r="G630" i="1"/>
  <c r="D630" i="1"/>
  <c r="K629" i="1"/>
  <c r="I629" i="1"/>
  <c r="G629" i="1"/>
  <c r="D629" i="1"/>
  <c r="K628" i="1"/>
  <c r="I628" i="1"/>
  <c r="G628" i="1"/>
  <c r="D628" i="1"/>
  <c r="K627" i="1"/>
  <c r="I627" i="1"/>
  <c r="G627" i="1"/>
  <c r="D627" i="1"/>
  <c r="K626" i="1"/>
  <c r="I626" i="1"/>
  <c r="G626" i="1"/>
  <c r="D626" i="1"/>
  <c r="K625" i="1"/>
  <c r="I625" i="1"/>
  <c r="G625" i="1"/>
  <c r="D625" i="1"/>
  <c r="K624" i="1"/>
  <c r="I624" i="1"/>
  <c r="G624" i="1"/>
  <c r="D624" i="1"/>
  <c r="K623" i="1"/>
  <c r="I623" i="1"/>
  <c r="G623" i="1"/>
  <c r="D623" i="1"/>
  <c r="K622" i="1"/>
  <c r="I622" i="1"/>
  <c r="G622" i="1"/>
  <c r="D622" i="1"/>
  <c r="K621" i="1"/>
  <c r="I621" i="1"/>
  <c r="G621" i="1"/>
  <c r="D621" i="1"/>
  <c r="K620" i="1"/>
  <c r="I620" i="1"/>
  <c r="G620" i="1"/>
  <c r="D620" i="1"/>
  <c r="K619" i="1"/>
  <c r="I619" i="1"/>
  <c r="G619" i="1"/>
  <c r="D619" i="1"/>
  <c r="K618" i="1"/>
  <c r="I618" i="1"/>
  <c r="G618" i="1"/>
  <c r="D618" i="1"/>
  <c r="K617" i="1"/>
  <c r="I617" i="1"/>
  <c r="G617" i="1"/>
  <c r="D617" i="1"/>
  <c r="K616" i="1"/>
  <c r="I616" i="1"/>
  <c r="G616" i="1"/>
  <c r="D616" i="1"/>
  <c r="K615" i="1"/>
  <c r="I615" i="1"/>
  <c r="G615" i="1"/>
  <c r="D615" i="1"/>
  <c r="K614" i="1"/>
  <c r="I614" i="1"/>
  <c r="G614" i="1"/>
  <c r="D614" i="1"/>
  <c r="K613" i="1"/>
  <c r="I613" i="1"/>
  <c r="G613" i="1"/>
  <c r="D613" i="1"/>
  <c r="K612" i="1"/>
  <c r="I612" i="1"/>
  <c r="G612" i="1"/>
  <c r="D612" i="1"/>
  <c r="K611" i="1"/>
  <c r="I611" i="1"/>
  <c r="G611" i="1"/>
  <c r="D611" i="1"/>
  <c r="K610" i="1"/>
  <c r="I610" i="1"/>
  <c r="G610" i="1"/>
  <c r="D610" i="1"/>
  <c r="K609" i="1"/>
  <c r="I609" i="1"/>
  <c r="G609" i="1"/>
  <c r="D609" i="1"/>
  <c r="K608" i="1"/>
  <c r="I608" i="1"/>
  <c r="G608" i="1"/>
  <c r="D608" i="1"/>
  <c r="K607" i="1"/>
  <c r="I607" i="1"/>
  <c r="G607" i="1"/>
  <c r="D607" i="1"/>
  <c r="K606" i="1"/>
  <c r="I606" i="1"/>
  <c r="G606" i="1"/>
  <c r="D606" i="1"/>
  <c r="K605" i="1"/>
  <c r="I605" i="1"/>
  <c r="G605" i="1"/>
  <c r="D605" i="1"/>
  <c r="K604" i="1"/>
  <c r="I604" i="1"/>
  <c r="G604" i="1"/>
  <c r="D604" i="1"/>
  <c r="K603" i="1"/>
  <c r="I603" i="1"/>
  <c r="G603" i="1"/>
  <c r="D603" i="1"/>
  <c r="K602" i="1"/>
  <c r="I602" i="1"/>
  <c r="G602" i="1"/>
  <c r="D602" i="1"/>
  <c r="K601" i="1"/>
  <c r="I601" i="1"/>
  <c r="G601" i="1"/>
  <c r="D601" i="1"/>
  <c r="K600" i="1"/>
  <c r="I600" i="1"/>
  <c r="G600" i="1"/>
  <c r="D600" i="1"/>
  <c r="K599" i="1"/>
  <c r="I599" i="1"/>
  <c r="G599" i="1"/>
  <c r="D599" i="1"/>
  <c r="K598" i="1"/>
  <c r="I598" i="1"/>
  <c r="G598" i="1"/>
  <c r="D598" i="1"/>
  <c r="K597" i="1"/>
  <c r="I597" i="1"/>
  <c r="G597" i="1"/>
  <c r="D597" i="1"/>
  <c r="K596" i="1"/>
  <c r="I596" i="1"/>
  <c r="G596" i="1"/>
  <c r="D596" i="1"/>
  <c r="K595" i="1"/>
  <c r="I595" i="1"/>
  <c r="G595" i="1"/>
  <c r="D595" i="1"/>
  <c r="K594" i="1"/>
  <c r="I594" i="1"/>
  <c r="G594" i="1"/>
  <c r="D594" i="1"/>
  <c r="K593" i="1"/>
  <c r="I593" i="1"/>
  <c r="G593" i="1"/>
  <c r="D593" i="1"/>
  <c r="K592" i="1"/>
  <c r="I592" i="1"/>
  <c r="G592" i="1"/>
  <c r="D592" i="1"/>
  <c r="K591" i="1"/>
  <c r="I591" i="1"/>
  <c r="G591" i="1"/>
  <c r="D591" i="1"/>
  <c r="K590" i="1"/>
  <c r="I590" i="1"/>
  <c r="G590" i="1"/>
  <c r="D590" i="1"/>
  <c r="K589" i="1"/>
  <c r="I589" i="1"/>
  <c r="G589" i="1"/>
  <c r="D589" i="1"/>
  <c r="K588" i="1"/>
  <c r="I588" i="1"/>
  <c r="G588" i="1"/>
  <c r="D588" i="1"/>
  <c r="K587" i="1"/>
  <c r="I587" i="1"/>
  <c r="G587" i="1"/>
  <c r="D587" i="1"/>
  <c r="K586" i="1"/>
  <c r="I586" i="1"/>
  <c r="G586" i="1"/>
  <c r="D586" i="1"/>
  <c r="K585" i="1"/>
  <c r="I585" i="1"/>
  <c r="G585" i="1"/>
  <c r="D585" i="1"/>
  <c r="K584" i="1"/>
  <c r="I584" i="1"/>
  <c r="G584" i="1"/>
  <c r="D584" i="1"/>
  <c r="K583" i="1"/>
  <c r="I583" i="1"/>
  <c r="G583" i="1"/>
  <c r="D583" i="1"/>
  <c r="K582" i="1"/>
  <c r="I582" i="1"/>
  <c r="G582" i="1"/>
  <c r="D582" i="1"/>
  <c r="K581" i="1"/>
  <c r="I581" i="1"/>
  <c r="G581" i="1"/>
  <c r="D581" i="1"/>
  <c r="K580" i="1"/>
  <c r="I580" i="1"/>
  <c r="G580" i="1"/>
  <c r="D580" i="1"/>
  <c r="K579" i="1"/>
  <c r="I579" i="1"/>
  <c r="G579" i="1"/>
  <c r="D579" i="1"/>
  <c r="K578" i="1"/>
  <c r="I578" i="1"/>
  <c r="G578" i="1"/>
  <c r="D578" i="1"/>
  <c r="K577" i="1"/>
  <c r="I577" i="1"/>
  <c r="G577" i="1"/>
  <c r="D577" i="1"/>
  <c r="K576" i="1"/>
  <c r="I576" i="1"/>
  <c r="G576" i="1"/>
  <c r="D576" i="1"/>
  <c r="K575" i="1"/>
  <c r="I575" i="1"/>
  <c r="G575" i="1"/>
  <c r="D575" i="1"/>
  <c r="K574" i="1"/>
  <c r="I574" i="1"/>
  <c r="G574" i="1"/>
  <c r="D574" i="1"/>
  <c r="K573" i="1"/>
  <c r="I573" i="1"/>
  <c r="G573" i="1"/>
  <c r="D573" i="1"/>
  <c r="K572" i="1"/>
  <c r="I572" i="1"/>
  <c r="G572" i="1"/>
  <c r="D572" i="1"/>
  <c r="K571" i="1"/>
  <c r="I571" i="1"/>
  <c r="G571" i="1"/>
  <c r="D571" i="1"/>
  <c r="K570" i="1"/>
  <c r="I570" i="1"/>
  <c r="G570" i="1"/>
  <c r="D570" i="1"/>
  <c r="K569" i="1"/>
  <c r="I569" i="1"/>
  <c r="G569" i="1"/>
  <c r="D569" i="1"/>
  <c r="K568" i="1"/>
  <c r="I568" i="1"/>
  <c r="G568" i="1"/>
  <c r="D568" i="1"/>
  <c r="K567" i="1"/>
  <c r="I567" i="1"/>
  <c r="G567" i="1"/>
  <c r="D567" i="1"/>
  <c r="K566" i="1"/>
  <c r="I566" i="1"/>
  <c r="G566" i="1"/>
  <c r="D566" i="1"/>
  <c r="K565" i="1"/>
  <c r="I565" i="1"/>
  <c r="G565" i="1"/>
  <c r="D565" i="1"/>
  <c r="K564" i="1"/>
  <c r="I564" i="1"/>
  <c r="G564" i="1"/>
  <c r="D564" i="1"/>
  <c r="K563" i="1"/>
  <c r="I563" i="1"/>
  <c r="G563" i="1"/>
  <c r="D563" i="1"/>
  <c r="K562" i="1"/>
  <c r="I562" i="1"/>
  <c r="G562" i="1"/>
  <c r="D562" i="1"/>
  <c r="K561" i="1"/>
  <c r="I561" i="1"/>
  <c r="G561" i="1"/>
  <c r="D561" i="1"/>
  <c r="K560" i="1"/>
  <c r="I560" i="1"/>
  <c r="G560" i="1"/>
  <c r="D560" i="1"/>
  <c r="K559" i="1"/>
  <c r="I559" i="1"/>
  <c r="G559" i="1"/>
  <c r="D559" i="1"/>
  <c r="K558" i="1"/>
  <c r="I558" i="1"/>
  <c r="G558" i="1"/>
  <c r="D558" i="1"/>
  <c r="K557" i="1"/>
  <c r="I557" i="1"/>
  <c r="G557" i="1"/>
  <c r="D557" i="1"/>
  <c r="K556" i="1"/>
  <c r="I556" i="1"/>
  <c r="G556" i="1"/>
  <c r="D556" i="1"/>
  <c r="K555" i="1"/>
  <c r="I555" i="1"/>
  <c r="G555" i="1"/>
  <c r="D555" i="1"/>
  <c r="K554" i="1"/>
  <c r="I554" i="1"/>
  <c r="G554" i="1"/>
  <c r="D554" i="1"/>
  <c r="K553" i="1"/>
  <c r="I553" i="1"/>
  <c r="G553" i="1"/>
  <c r="D553" i="1"/>
  <c r="K552" i="1"/>
  <c r="I552" i="1"/>
  <c r="G552" i="1"/>
  <c r="D552" i="1"/>
  <c r="K551" i="1"/>
  <c r="I551" i="1"/>
  <c r="G551" i="1"/>
  <c r="D551" i="1"/>
  <c r="K550" i="1"/>
  <c r="I550" i="1"/>
  <c r="G550" i="1"/>
  <c r="D550" i="1"/>
  <c r="K549" i="1"/>
  <c r="I549" i="1"/>
  <c r="G549" i="1"/>
  <c r="D549" i="1"/>
  <c r="K548" i="1"/>
  <c r="I548" i="1"/>
  <c r="G548" i="1"/>
  <c r="D548" i="1"/>
  <c r="K547" i="1"/>
  <c r="I547" i="1"/>
  <c r="G547" i="1"/>
  <c r="D547" i="1"/>
  <c r="K546" i="1"/>
  <c r="I546" i="1"/>
  <c r="G546" i="1"/>
  <c r="D546" i="1"/>
  <c r="K545" i="1"/>
  <c r="I545" i="1"/>
  <c r="G545" i="1"/>
  <c r="D545" i="1"/>
  <c r="K544" i="1"/>
  <c r="I544" i="1"/>
  <c r="G544" i="1"/>
  <c r="D544" i="1"/>
  <c r="K543" i="1"/>
  <c r="I543" i="1"/>
  <c r="G543" i="1"/>
  <c r="D543" i="1"/>
  <c r="K542" i="1"/>
  <c r="I542" i="1"/>
  <c r="G542" i="1"/>
  <c r="D542" i="1"/>
  <c r="K541" i="1"/>
  <c r="I541" i="1"/>
  <c r="G541" i="1"/>
  <c r="D541" i="1"/>
  <c r="K540" i="1"/>
  <c r="I540" i="1"/>
  <c r="G540" i="1"/>
  <c r="D540" i="1"/>
  <c r="K539" i="1"/>
  <c r="I539" i="1"/>
  <c r="G539" i="1"/>
  <c r="D539" i="1"/>
  <c r="K538" i="1"/>
  <c r="I538" i="1"/>
  <c r="G538" i="1"/>
  <c r="D538" i="1"/>
  <c r="K537" i="1"/>
  <c r="I537" i="1"/>
  <c r="G537" i="1"/>
  <c r="D537" i="1"/>
  <c r="K536" i="1"/>
  <c r="I536" i="1"/>
  <c r="G536" i="1"/>
  <c r="D536" i="1"/>
  <c r="K535" i="1"/>
  <c r="I535" i="1"/>
  <c r="G535" i="1"/>
  <c r="D535" i="1"/>
  <c r="K534" i="1"/>
  <c r="I534" i="1"/>
  <c r="G534" i="1"/>
  <c r="D534" i="1"/>
  <c r="K533" i="1"/>
  <c r="I533" i="1"/>
  <c r="G533" i="1"/>
  <c r="D533" i="1"/>
  <c r="K532" i="1"/>
  <c r="I532" i="1"/>
  <c r="G532" i="1"/>
  <c r="D532" i="1"/>
  <c r="K531" i="1"/>
  <c r="I531" i="1"/>
  <c r="G531" i="1"/>
  <c r="D531" i="1"/>
  <c r="K530" i="1"/>
  <c r="I530" i="1"/>
  <c r="G530" i="1"/>
  <c r="D530" i="1"/>
  <c r="K529" i="1"/>
  <c r="I529" i="1"/>
  <c r="G529" i="1"/>
  <c r="D529" i="1"/>
  <c r="K528" i="1"/>
  <c r="I528" i="1"/>
  <c r="G528" i="1"/>
  <c r="D528" i="1"/>
  <c r="K527" i="1"/>
  <c r="I527" i="1"/>
  <c r="G527" i="1"/>
  <c r="D527" i="1"/>
  <c r="K526" i="1"/>
  <c r="I526" i="1"/>
  <c r="G526" i="1"/>
  <c r="D526" i="1"/>
  <c r="K525" i="1"/>
  <c r="I525" i="1"/>
  <c r="G525" i="1"/>
  <c r="D525" i="1"/>
  <c r="K524" i="1"/>
  <c r="I524" i="1"/>
  <c r="G524" i="1"/>
  <c r="D524" i="1"/>
  <c r="K523" i="1"/>
  <c r="I523" i="1"/>
  <c r="G523" i="1"/>
  <c r="D523" i="1"/>
  <c r="K522" i="1"/>
  <c r="I522" i="1"/>
  <c r="G522" i="1"/>
  <c r="D522" i="1"/>
  <c r="K521" i="1"/>
  <c r="I521" i="1"/>
  <c r="G521" i="1"/>
  <c r="D521" i="1"/>
  <c r="K520" i="1"/>
  <c r="I520" i="1"/>
  <c r="G520" i="1"/>
  <c r="D520" i="1"/>
  <c r="K519" i="1"/>
  <c r="I519" i="1"/>
  <c r="G519" i="1"/>
  <c r="D519" i="1"/>
  <c r="K518" i="1"/>
  <c r="I518" i="1"/>
  <c r="G518" i="1"/>
  <c r="D518" i="1"/>
  <c r="K517" i="1"/>
  <c r="I517" i="1"/>
  <c r="G517" i="1"/>
  <c r="D517" i="1"/>
  <c r="K516" i="1"/>
  <c r="I516" i="1"/>
  <c r="G516" i="1"/>
  <c r="D516" i="1"/>
  <c r="K515" i="1"/>
  <c r="I515" i="1"/>
  <c r="G515" i="1"/>
  <c r="D515" i="1"/>
  <c r="K514" i="1"/>
  <c r="I514" i="1"/>
  <c r="G514" i="1"/>
  <c r="D514" i="1"/>
  <c r="K513" i="1"/>
  <c r="I513" i="1"/>
  <c r="G513" i="1"/>
  <c r="D513" i="1"/>
  <c r="K512" i="1"/>
  <c r="I512" i="1"/>
  <c r="G512" i="1"/>
  <c r="D512" i="1"/>
  <c r="K511" i="1"/>
  <c r="I511" i="1"/>
  <c r="G511" i="1"/>
  <c r="D511" i="1"/>
  <c r="K510" i="1"/>
  <c r="I510" i="1"/>
  <c r="G510" i="1"/>
  <c r="D510" i="1"/>
  <c r="K509" i="1"/>
  <c r="I509" i="1"/>
  <c r="G509" i="1"/>
  <c r="D509" i="1"/>
  <c r="K508" i="1"/>
  <c r="I508" i="1"/>
  <c r="G508" i="1"/>
  <c r="D508" i="1"/>
  <c r="K507" i="1"/>
  <c r="I507" i="1"/>
  <c r="G507" i="1"/>
  <c r="D507" i="1"/>
  <c r="K506" i="1"/>
  <c r="I506" i="1"/>
  <c r="G506" i="1"/>
  <c r="D506" i="1"/>
  <c r="K505" i="1"/>
  <c r="I505" i="1"/>
  <c r="G505" i="1"/>
  <c r="D505" i="1"/>
  <c r="K504" i="1"/>
  <c r="I504" i="1"/>
  <c r="G504" i="1"/>
  <c r="D504" i="1"/>
  <c r="K503" i="1"/>
  <c r="I503" i="1"/>
  <c r="G503" i="1"/>
  <c r="D503" i="1"/>
  <c r="K502" i="1"/>
  <c r="I502" i="1"/>
  <c r="G502" i="1"/>
  <c r="D502" i="1"/>
  <c r="K501" i="1"/>
  <c r="I501" i="1"/>
  <c r="G501" i="1"/>
  <c r="D501" i="1"/>
  <c r="K500" i="1"/>
  <c r="I500" i="1"/>
  <c r="G500" i="1"/>
  <c r="D500" i="1"/>
  <c r="K499" i="1"/>
  <c r="I499" i="1"/>
  <c r="G499" i="1"/>
  <c r="D499" i="1"/>
  <c r="K498" i="1"/>
  <c r="I498" i="1"/>
  <c r="G498" i="1"/>
  <c r="D498" i="1"/>
  <c r="K497" i="1"/>
  <c r="I497" i="1"/>
  <c r="G497" i="1"/>
  <c r="D497" i="1"/>
  <c r="K496" i="1"/>
  <c r="I496" i="1"/>
  <c r="G496" i="1"/>
  <c r="D496" i="1"/>
  <c r="K495" i="1"/>
  <c r="I495" i="1"/>
  <c r="G495" i="1"/>
  <c r="D495" i="1"/>
  <c r="K494" i="1"/>
  <c r="I494" i="1"/>
  <c r="G494" i="1"/>
  <c r="D494" i="1"/>
  <c r="K493" i="1"/>
  <c r="I493" i="1"/>
  <c r="G493" i="1"/>
  <c r="D493" i="1"/>
  <c r="K492" i="1"/>
  <c r="I492" i="1"/>
  <c r="G492" i="1"/>
  <c r="D492" i="1"/>
  <c r="K491" i="1"/>
  <c r="I491" i="1"/>
  <c r="G491" i="1"/>
  <c r="D491" i="1"/>
  <c r="K490" i="1"/>
  <c r="I490" i="1"/>
  <c r="G490" i="1"/>
  <c r="D490" i="1"/>
  <c r="K489" i="1"/>
  <c r="I489" i="1"/>
  <c r="G489" i="1"/>
  <c r="D489" i="1"/>
  <c r="K488" i="1"/>
  <c r="I488" i="1"/>
  <c r="G488" i="1"/>
  <c r="D488" i="1"/>
  <c r="K487" i="1"/>
  <c r="I487" i="1"/>
  <c r="G487" i="1"/>
  <c r="D487" i="1"/>
  <c r="K486" i="1"/>
  <c r="I486" i="1"/>
  <c r="G486" i="1"/>
  <c r="D486" i="1"/>
  <c r="K485" i="1"/>
  <c r="I485" i="1"/>
  <c r="G485" i="1"/>
  <c r="D485" i="1"/>
  <c r="K484" i="1"/>
  <c r="I484" i="1"/>
  <c r="G484" i="1"/>
  <c r="D484" i="1"/>
  <c r="K483" i="1"/>
  <c r="I483" i="1"/>
  <c r="G483" i="1"/>
  <c r="D483" i="1"/>
  <c r="K482" i="1"/>
  <c r="I482" i="1"/>
  <c r="G482" i="1"/>
  <c r="D482" i="1"/>
  <c r="K481" i="1"/>
  <c r="I481" i="1"/>
  <c r="G481" i="1"/>
  <c r="D481" i="1"/>
  <c r="K480" i="1"/>
  <c r="I480" i="1"/>
  <c r="G480" i="1"/>
  <c r="D480" i="1"/>
  <c r="K479" i="1"/>
  <c r="I479" i="1"/>
  <c r="G479" i="1"/>
  <c r="D479" i="1"/>
  <c r="K478" i="1"/>
  <c r="I478" i="1"/>
  <c r="G478" i="1"/>
  <c r="D478" i="1"/>
  <c r="K477" i="1"/>
  <c r="I477" i="1"/>
  <c r="G477" i="1"/>
  <c r="D477" i="1"/>
  <c r="K476" i="1"/>
  <c r="I476" i="1"/>
  <c r="G476" i="1"/>
  <c r="D476" i="1"/>
  <c r="K475" i="1"/>
  <c r="I475" i="1"/>
  <c r="G475" i="1"/>
  <c r="D475" i="1"/>
  <c r="K474" i="1"/>
  <c r="I474" i="1"/>
  <c r="G474" i="1"/>
  <c r="D474" i="1"/>
  <c r="K473" i="1"/>
  <c r="I473" i="1"/>
  <c r="G473" i="1"/>
  <c r="D473" i="1"/>
  <c r="K472" i="1"/>
  <c r="I472" i="1"/>
  <c r="G472" i="1"/>
  <c r="D472" i="1"/>
  <c r="K471" i="1"/>
  <c r="I471" i="1"/>
  <c r="G471" i="1"/>
  <c r="D471" i="1"/>
  <c r="K470" i="1"/>
  <c r="I470" i="1"/>
  <c r="G470" i="1"/>
  <c r="D470" i="1"/>
  <c r="K469" i="1"/>
  <c r="I469" i="1"/>
  <c r="G469" i="1"/>
  <c r="D469" i="1"/>
  <c r="K468" i="1"/>
  <c r="I468" i="1"/>
  <c r="G468" i="1"/>
  <c r="D468" i="1"/>
  <c r="K467" i="1"/>
  <c r="I467" i="1"/>
  <c r="G467" i="1"/>
  <c r="D467" i="1"/>
  <c r="K466" i="1"/>
  <c r="I466" i="1"/>
  <c r="G466" i="1"/>
  <c r="D466" i="1"/>
  <c r="K465" i="1"/>
  <c r="I465" i="1"/>
  <c r="G465" i="1"/>
  <c r="D465" i="1"/>
  <c r="K464" i="1"/>
  <c r="I464" i="1"/>
  <c r="G464" i="1"/>
  <c r="D464" i="1"/>
  <c r="K463" i="1"/>
  <c r="I463" i="1"/>
  <c r="G463" i="1"/>
  <c r="D463" i="1"/>
  <c r="K462" i="1"/>
  <c r="I462" i="1"/>
  <c r="G462" i="1"/>
  <c r="D462" i="1"/>
  <c r="K461" i="1"/>
  <c r="I461" i="1"/>
  <c r="G461" i="1"/>
  <c r="D461" i="1"/>
  <c r="K460" i="1"/>
  <c r="I460" i="1"/>
  <c r="G460" i="1"/>
  <c r="D460" i="1"/>
  <c r="K459" i="1"/>
  <c r="I459" i="1"/>
  <c r="G459" i="1"/>
  <c r="D459" i="1"/>
  <c r="K458" i="1"/>
  <c r="I458" i="1"/>
  <c r="G458" i="1"/>
  <c r="D458" i="1"/>
  <c r="K457" i="1"/>
  <c r="I457" i="1"/>
  <c r="G457" i="1"/>
  <c r="D457" i="1"/>
  <c r="K456" i="1"/>
  <c r="I456" i="1"/>
  <c r="G456" i="1"/>
  <c r="D456" i="1"/>
  <c r="K455" i="1"/>
  <c r="I455" i="1"/>
  <c r="G455" i="1"/>
  <c r="D455" i="1"/>
  <c r="K454" i="1"/>
  <c r="I454" i="1"/>
  <c r="G454" i="1"/>
  <c r="D454" i="1"/>
  <c r="K453" i="1"/>
  <c r="I453" i="1"/>
  <c r="G453" i="1"/>
  <c r="D453" i="1"/>
  <c r="K452" i="1"/>
  <c r="I452" i="1"/>
  <c r="G452" i="1"/>
  <c r="D452" i="1"/>
  <c r="K451" i="1"/>
  <c r="I451" i="1"/>
  <c r="G451" i="1"/>
  <c r="D451" i="1"/>
  <c r="K450" i="1"/>
  <c r="I450" i="1"/>
  <c r="G450" i="1"/>
  <c r="D450" i="1"/>
  <c r="K449" i="1"/>
  <c r="I449" i="1"/>
  <c r="G449" i="1"/>
  <c r="D449" i="1"/>
  <c r="K448" i="1"/>
  <c r="I448" i="1"/>
  <c r="G448" i="1"/>
  <c r="D448" i="1"/>
  <c r="K447" i="1"/>
  <c r="I447" i="1"/>
  <c r="G447" i="1"/>
  <c r="D447" i="1"/>
  <c r="K446" i="1"/>
  <c r="I446" i="1"/>
  <c r="G446" i="1"/>
  <c r="D446" i="1"/>
  <c r="K445" i="1"/>
  <c r="I445" i="1"/>
  <c r="G445" i="1"/>
  <c r="D445" i="1"/>
  <c r="K444" i="1"/>
  <c r="I444" i="1"/>
  <c r="G444" i="1"/>
  <c r="D444" i="1"/>
  <c r="K443" i="1"/>
  <c r="I443" i="1"/>
  <c r="G443" i="1"/>
  <c r="D443" i="1"/>
  <c r="K442" i="1"/>
  <c r="I442" i="1"/>
  <c r="G442" i="1"/>
  <c r="D442" i="1"/>
  <c r="K441" i="1"/>
  <c r="I441" i="1"/>
  <c r="G441" i="1"/>
  <c r="D441" i="1"/>
  <c r="K440" i="1"/>
  <c r="I440" i="1"/>
  <c r="G440" i="1"/>
  <c r="D440" i="1"/>
  <c r="K439" i="1"/>
  <c r="I439" i="1"/>
  <c r="G439" i="1"/>
  <c r="D439" i="1"/>
  <c r="K438" i="1"/>
  <c r="I438" i="1"/>
  <c r="G438" i="1"/>
  <c r="D438" i="1"/>
  <c r="K437" i="1"/>
  <c r="I437" i="1"/>
  <c r="G437" i="1"/>
  <c r="D437" i="1"/>
  <c r="K436" i="1"/>
  <c r="I436" i="1"/>
  <c r="G436" i="1"/>
  <c r="D436" i="1"/>
  <c r="K435" i="1"/>
  <c r="I435" i="1"/>
  <c r="G435" i="1"/>
  <c r="D435" i="1"/>
  <c r="K434" i="1"/>
  <c r="I434" i="1"/>
  <c r="G434" i="1"/>
  <c r="D434" i="1"/>
  <c r="K433" i="1"/>
  <c r="I433" i="1"/>
  <c r="G433" i="1"/>
  <c r="D433" i="1"/>
  <c r="K432" i="1"/>
  <c r="I432" i="1"/>
  <c r="G432" i="1"/>
  <c r="D432" i="1"/>
  <c r="K431" i="1"/>
  <c r="I431" i="1"/>
  <c r="G431" i="1"/>
  <c r="D431" i="1"/>
  <c r="K430" i="1"/>
  <c r="I430" i="1"/>
  <c r="G430" i="1"/>
  <c r="D430" i="1"/>
  <c r="K429" i="1"/>
  <c r="I429" i="1"/>
  <c r="G429" i="1"/>
  <c r="D429" i="1"/>
  <c r="K428" i="1"/>
  <c r="I428" i="1"/>
  <c r="G428" i="1"/>
  <c r="D428" i="1"/>
  <c r="K427" i="1"/>
  <c r="I427" i="1"/>
  <c r="G427" i="1"/>
  <c r="D427" i="1"/>
  <c r="K426" i="1"/>
  <c r="I426" i="1"/>
  <c r="G426" i="1"/>
  <c r="D426" i="1"/>
  <c r="K425" i="1"/>
  <c r="I425" i="1"/>
  <c r="G425" i="1"/>
  <c r="D425" i="1"/>
  <c r="K424" i="1"/>
  <c r="I424" i="1"/>
  <c r="G424" i="1"/>
  <c r="D424" i="1"/>
  <c r="K423" i="1"/>
  <c r="I423" i="1"/>
  <c r="G423" i="1"/>
  <c r="D423" i="1"/>
  <c r="K422" i="1"/>
  <c r="I422" i="1"/>
  <c r="G422" i="1"/>
  <c r="D422" i="1"/>
  <c r="K421" i="1"/>
  <c r="I421" i="1"/>
  <c r="G421" i="1"/>
  <c r="D421" i="1"/>
  <c r="K420" i="1"/>
  <c r="I420" i="1"/>
  <c r="G420" i="1"/>
  <c r="D420" i="1"/>
  <c r="K419" i="1"/>
  <c r="I419" i="1"/>
  <c r="G419" i="1"/>
  <c r="D419" i="1"/>
  <c r="K418" i="1"/>
  <c r="I418" i="1"/>
  <c r="G418" i="1"/>
  <c r="D418" i="1"/>
  <c r="K417" i="1"/>
  <c r="I417" i="1"/>
  <c r="G417" i="1"/>
  <c r="D417" i="1"/>
  <c r="K416" i="1"/>
  <c r="I416" i="1"/>
  <c r="G416" i="1"/>
  <c r="D416" i="1"/>
  <c r="K415" i="1"/>
  <c r="I415" i="1"/>
  <c r="G415" i="1"/>
  <c r="D415" i="1"/>
  <c r="K414" i="1"/>
  <c r="I414" i="1"/>
  <c r="G414" i="1"/>
  <c r="D414" i="1"/>
  <c r="K413" i="1"/>
  <c r="I413" i="1"/>
  <c r="G413" i="1"/>
  <c r="D413" i="1"/>
  <c r="K412" i="1"/>
  <c r="I412" i="1"/>
  <c r="G412" i="1"/>
  <c r="D412" i="1"/>
  <c r="K411" i="1"/>
  <c r="I411" i="1"/>
  <c r="G411" i="1"/>
  <c r="D411" i="1"/>
  <c r="K410" i="1"/>
  <c r="I410" i="1"/>
  <c r="G410" i="1"/>
  <c r="D410" i="1"/>
  <c r="K409" i="1"/>
  <c r="I409" i="1"/>
  <c r="G409" i="1"/>
  <c r="D409" i="1"/>
  <c r="K408" i="1"/>
  <c r="I408" i="1"/>
  <c r="G408" i="1"/>
  <c r="D408" i="1"/>
  <c r="K407" i="1"/>
  <c r="I407" i="1"/>
  <c r="G407" i="1"/>
  <c r="D407" i="1"/>
  <c r="K406" i="1"/>
  <c r="I406" i="1"/>
  <c r="G406" i="1"/>
  <c r="D406" i="1"/>
  <c r="K405" i="1"/>
  <c r="I405" i="1"/>
  <c r="G405" i="1"/>
  <c r="D405" i="1"/>
  <c r="K404" i="1"/>
  <c r="I404" i="1"/>
  <c r="G404" i="1"/>
  <c r="D404" i="1"/>
  <c r="K403" i="1"/>
  <c r="I403" i="1"/>
  <c r="G403" i="1"/>
  <c r="D403" i="1"/>
  <c r="K402" i="1"/>
  <c r="I402" i="1"/>
  <c r="G402" i="1"/>
  <c r="D402" i="1"/>
  <c r="K401" i="1"/>
  <c r="I401" i="1"/>
  <c r="G401" i="1"/>
  <c r="D401" i="1"/>
  <c r="K400" i="1"/>
  <c r="I400" i="1"/>
  <c r="G400" i="1"/>
  <c r="D400" i="1"/>
  <c r="K399" i="1"/>
  <c r="I399" i="1"/>
  <c r="G399" i="1"/>
  <c r="D399" i="1"/>
  <c r="K398" i="1"/>
  <c r="I398" i="1"/>
  <c r="G398" i="1"/>
  <c r="D398" i="1"/>
  <c r="K397" i="1"/>
  <c r="I397" i="1"/>
  <c r="G397" i="1"/>
  <c r="D397" i="1"/>
  <c r="K396" i="1"/>
  <c r="I396" i="1"/>
  <c r="G396" i="1"/>
  <c r="D396" i="1"/>
  <c r="K395" i="1"/>
  <c r="I395" i="1"/>
  <c r="G395" i="1"/>
  <c r="D395" i="1"/>
  <c r="K394" i="1"/>
  <c r="I394" i="1"/>
  <c r="G394" i="1"/>
  <c r="D394" i="1"/>
  <c r="K393" i="1"/>
  <c r="I393" i="1"/>
  <c r="G393" i="1"/>
  <c r="D393" i="1"/>
  <c r="K392" i="1"/>
  <c r="I392" i="1"/>
  <c r="G392" i="1"/>
  <c r="D392" i="1"/>
  <c r="K391" i="1"/>
  <c r="I391" i="1"/>
  <c r="G391" i="1"/>
  <c r="D391" i="1"/>
  <c r="K390" i="1"/>
  <c r="I390" i="1"/>
  <c r="G390" i="1"/>
  <c r="D390" i="1"/>
  <c r="K389" i="1"/>
  <c r="I389" i="1"/>
  <c r="G389" i="1"/>
  <c r="D389" i="1"/>
  <c r="K388" i="1"/>
  <c r="I388" i="1"/>
  <c r="G388" i="1"/>
  <c r="D388" i="1"/>
  <c r="K387" i="1"/>
  <c r="I387" i="1"/>
  <c r="G387" i="1"/>
  <c r="D387" i="1"/>
  <c r="K386" i="1"/>
  <c r="I386" i="1"/>
  <c r="G386" i="1"/>
  <c r="D386" i="1"/>
  <c r="K385" i="1"/>
  <c r="I385" i="1"/>
  <c r="G385" i="1"/>
  <c r="D385" i="1"/>
  <c r="K384" i="1"/>
  <c r="I384" i="1"/>
  <c r="G384" i="1"/>
  <c r="D384" i="1"/>
  <c r="K383" i="1"/>
  <c r="I383" i="1"/>
  <c r="G383" i="1"/>
  <c r="D383" i="1"/>
  <c r="K382" i="1"/>
  <c r="I382" i="1"/>
  <c r="G382" i="1"/>
  <c r="D382" i="1"/>
  <c r="K381" i="1"/>
  <c r="I381" i="1"/>
  <c r="G381" i="1"/>
  <c r="D381" i="1"/>
  <c r="K380" i="1"/>
  <c r="I380" i="1"/>
  <c r="G380" i="1"/>
  <c r="D380" i="1"/>
  <c r="K379" i="1"/>
  <c r="I379" i="1"/>
  <c r="G379" i="1"/>
  <c r="D379" i="1"/>
  <c r="K378" i="1"/>
  <c r="I378" i="1"/>
  <c r="G378" i="1"/>
  <c r="D378" i="1"/>
  <c r="K377" i="1"/>
  <c r="I377" i="1"/>
  <c r="G377" i="1"/>
  <c r="D377" i="1"/>
  <c r="K376" i="1"/>
  <c r="I376" i="1"/>
  <c r="G376" i="1"/>
  <c r="D376" i="1"/>
  <c r="K375" i="1"/>
  <c r="I375" i="1"/>
  <c r="G375" i="1"/>
  <c r="D375" i="1"/>
  <c r="K374" i="1"/>
  <c r="I374" i="1"/>
  <c r="G374" i="1"/>
  <c r="D374" i="1"/>
  <c r="K373" i="1"/>
  <c r="I373" i="1"/>
  <c r="G373" i="1"/>
  <c r="D373" i="1"/>
  <c r="K372" i="1"/>
  <c r="I372" i="1"/>
  <c r="G372" i="1"/>
  <c r="D372" i="1"/>
  <c r="K371" i="1"/>
  <c r="I371" i="1"/>
  <c r="G371" i="1"/>
  <c r="D371" i="1"/>
  <c r="K370" i="1"/>
  <c r="I370" i="1"/>
  <c r="G370" i="1"/>
  <c r="D370" i="1"/>
  <c r="K369" i="1"/>
  <c r="I369" i="1"/>
  <c r="G369" i="1"/>
  <c r="D369" i="1"/>
  <c r="K368" i="1"/>
  <c r="I368" i="1"/>
  <c r="G368" i="1"/>
  <c r="D368" i="1"/>
  <c r="K367" i="1"/>
  <c r="I367" i="1"/>
  <c r="G367" i="1"/>
  <c r="D367" i="1"/>
  <c r="K366" i="1"/>
  <c r="I366" i="1"/>
  <c r="G366" i="1"/>
  <c r="D366" i="1"/>
  <c r="K365" i="1"/>
  <c r="I365" i="1"/>
  <c r="G365" i="1"/>
  <c r="D365" i="1"/>
  <c r="K364" i="1"/>
  <c r="I364" i="1"/>
  <c r="G364" i="1"/>
  <c r="D364" i="1"/>
  <c r="K363" i="1"/>
  <c r="I363" i="1"/>
  <c r="G363" i="1"/>
  <c r="D363" i="1"/>
  <c r="K362" i="1"/>
  <c r="I362" i="1"/>
  <c r="G362" i="1"/>
  <c r="D362" i="1"/>
  <c r="K361" i="1"/>
  <c r="I361" i="1"/>
  <c r="G361" i="1"/>
  <c r="D361" i="1"/>
  <c r="K360" i="1"/>
  <c r="I360" i="1"/>
  <c r="G360" i="1"/>
  <c r="D360" i="1"/>
  <c r="K359" i="1"/>
  <c r="I359" i="1"/>
  <c r="G359" i="1"/>
  <c r="D359" i="1"/>
  <c r="K358" i="1"/>
  <c r="I358" i="1"/>
  <c r="G358" i="1"/>
  <c r="D358" i="1"/>
  <c r="K357" i="1"/>
  <c r="I357" i="1"/>
  <c r="G357" i="1"/>
  <c r="D357" i="1"/>
  <c r="K356" i="1"/>
  <c r="I356" i="1"/>
  <c r="G356" i="1"/>
  <c r="D356" i="1"/>
  <c r="K355" i="1"/>
  <c r="I355" i="1"/>
  <c r="G355" i="1"/>
  <c r="D355" i="1"/>
  <c r="K354" i="1"/>
  <c r="I354" i="1"/>
  <c r="G354" i="1"/>
  <c r="D354" i="1"/>
  <c r="K353" i="1"/>
  <c r="I353" i="1"/>
  <c r="G353" i="1"/>
  <c r="D353" i="1"/>
  <c r="K352" i="1"/>
  <c r="I352" i="1"/>
  <c r="G352" i="1"/>
  <c r="D352" i="1"/>
  <c r="K351" i="1"/>
  <c r="I351" i="1"/>
  <c r="G351" i="1"/>
  <c r="D351" i="1"/>
  <c r="K350" i="1"/>
  <c r="I350" i="1"/>
  <c r="G350" i="1"/>
  <c r="D350" i="1"/>
  <c r="K349" i="1"/>
  <c r="I349" i="1"/>
  <c r="G349" i="1"/>
  <c r="D349" i="1"/>
  <c r="K348" i="1"/>
  <c r="I348" i="1"/>
  <c r="G348" i="1"/>
  <c r="D348" i="1"/>
  <c r="K347" i="1"/>
  <c r="I347" i="1"/>
  <c r="G347" i="1"/>
  <c r="D347" i="1"/>
  <c r="K346" i="1"/>
  <c r="I346" i="1"/>
  <c r="G346" i="1"/>
  <c r="D346" i="1"/>
  <c r="K345" i="1"/>
  <c r="I345" i="1"/>
  <c r="G345" i="1"/>
  <c r="D345" i="1"/>
  <c r="K344" i="1"/>
  <c r="I344" i="1"/>
  <c r="G344" i="1"/>
  <c r="D344" i="1"/>
  <c r="K343" i="1"/>
  <c r="I343" i="1"/>
  <c r="G343" i="1"/>
  <c r="D343" i="1"/>
  <c r="K342" i="1"/>
  <c r="I342" i="1"/>
  <c r="G342" i="1"/>
  <c r="D342" i="1"/>
  <c r="K341" i="1"/>
  <c r="I341" i="1"/>
  <c r="G341" i="1"/>
  <c r="D341" i="1"/>
  <c r="K340" i="1"/>
  <c r="I340" i="1"/>
  <c r="G340" i="1"/>
  <c r="D340" i="1"/>
  <c r="K339" i="1"/>
  <c r="I339" i="1"/>
  <c r="G339" i="1"/>
  <c r="D339" i="1"/>
  <c r="K338" i="1"/>
  <c r="I338" i="1"/>
  <c r="G338" i="1"/>
  <c r="D338" i="1"/>
  <c r="K337" i="1"/>
  <c r="I337" i="1"/>
  <c r="G337" i="1"/>
  <c r="D337" i="1"/>
  <c r="K336" i="1"/>
  <c r="I336" i="1"/>
  <c r="G336" i="1"/>
  <c r="D336" i="1"/>
  <c r="K335" i="1"/>
  <c r="I335" i="1"/>
  <c r="G335" i="1"/>
  <c r="D335" i="1"/>
  <c r="K334" i="1"/>
  <c r="I334" i="1"/>
  <c r="G334" i="1"/>
  <c r="D334" i="1"/>
  <c r="K333" i="1"/>
  <c r="I333" i="1"/>
  <c r="G333" i="1"/>
  <c r="D333" i="1"/>
  <c r="K332" i="1"/>
  <c r="I332" i="1"/>
  <c r="G332" i="1"/>
  <c r="D332" i="1"/>
  <c r="K331" i="1"/>
  <c r="I331" i="1"/>
  <c r="G331" i="1"/>
  <c r="D331" i="1"/>
  <c r="K330" i="1"/>
  <c r="I330" i="1"/>
  <c r="G330" i="1"/>
  <c r="D330" i="1"/>
  <c r="K329" i="1"/>
  <c r="I329" i="1"/>
  <c r="G329" i="1"/>
  <c r="D329" i="1"/>
  <c r="K328" i="1"/>
  <c r="I328" i="1"/>
  <c r="G328" i="1"/>
  <c r="D328" i="1"/>
  <c r="K327" i="1"/>
  <c r="I327" i="1"/>
  <c r="G327" i="1"/>
  <c r="D327" i="1"/>
  <c r="K326" i="1"/>
  <c r="I326" i="1"/>
  <c r="G326" i="1"/>
  <c r="D326" i="1"/>
  <c r="K325" i="1"/>
  <c r="I325" i="1"/>
  <c r="G325" i="1"/>
  <c r="D325" i="1"/>
  <c r="K324" i="1"/>
  <c r="I324" i="1"/>
  <c r="G324" i="1"/>
  <c r="D324" i="1"/>
  <c r="K323" i="1"/>
  <c r="I323" i="1"/>
  <c r="G323" i="1"/>
  <c r="D323" i="1"/>
  <c r="K322" i="1"/>
  <c r="I322" i="1"/>
  <c r="G322" i="1"/>
  <c r="D322" i="1"/>
  <c r="K321" i="1"/>
  <c r="I321" i="1"/>
  <c r="G321" i="1"/>
  <c r="D321" i="1"/>
  <c r="K320" i="1"/>
  <c r="I320" i="1"/>
  <c r="G320" i="1"/>
  <c r="D320" i="1"/>
  <c r="K319" i="1"/>
  <c r="I319" i="1"/>
  <c r="G319" i="1"/>
  <c r="D319" i="1"/>
  <c r="K318" i="1"/>
  <c r="I318" i="1"/>
  <c r="G318" i="1"/>
  <c r="D318" i="1"/>
  <c r="K317" i="1"/>
  <c r="I317" i="1"/>
  <c r="G317" i="1"/>
  <c r="D317" i="1"/>
  <c r="K316" i="1"/>
  <c r="I316" i="1"/>
  <c r="G316" i="1"/>
  <c r="D316" i="1"/>
  <c r="K315" i="1"/>
  <c r="I315" i="1"/>
  <c r="G315" i="1"/>
  <c r="D315" i="1"/>
  <c r="K314" i="1"/>
  <c r="I314" i="1"/>
  <c r="G314" i="1"/>
  <c r="D314" i="1"/>
  <c r="K313" i="1"/>
  <c r="I313" i="1"/>
  <c r="G313" i="1"/>
  <c r="D313" i="1"/>
  <c r="K312" i="1"/>
  <c r="I312" i="1"/>
  <c r="G312" i="1"/>
  <c r="D312" i="1"/>
  <c r="K311" i="1"/>
  <c r="I311" i="1"/>
  <c r="G311" i="1"/>
  <c r="D311" i="1"/>
  <c r="K310" i="1"/>
  <c r="I310" i="1"/>
  <c r="G310" i="1"/>
  <c r="D310" i="1"/>
  <c r="K309" i="1"/>
  <c r="I309" i="1"/>
  <c r="G309" i="1"/>
  <c r="D309" i="1"/>
  <c r="K308" i="1"/>
  <c r="I308" i="1"/>
  <c r="G308" i="1"/>
  <c r="D308" i="1"/>
  <c r="K307" i="1"/>
  <c r="I307" i="1"/>
  <c r="G307" i="1"/>
  <c r="D307" i="1"/>
  <c r="K306" i="1"/>
  <c r="I306" i="1"/>
  <c r="G306" i="1"/>
  <c r="D306" i="1"/>
  <c r="K305" i="1"/>
  <c r="I305" i="1"/>
  <c r="G305" i="1"/>
  <c r="D305" i="1"/>
  <c r="K304" i="1"/>
  <c r="I304" i="1"/>
  <c r="G304" i="1"/>
  <c r="D304" i="1"/>
  <c r="K303" i="1"/>
  <c r="I303" i="1"/>
  <c r="G303" i="1"/>
  <c r="D303" i="1"/>
  <c r="K302" i="1"/>
  <c r="I302" i="1"/>
  <c r="G302" i="1"/>
  <c r="D302" i="1"/>
  <c r="K301" i="1"/>
  <c r="I301" i="1"/>
  <c r="G301" i="1"/>
  <c r="D301" i="1"/>
  <c r="K300" i="1"/>
  <c r="I300" i="1"/>
  <c r="G300" i="1"/>
  <c r="D300" i="1"/>
  <c r="K299" i="1"/>
  <c r="I299" i="1"/>
  <c r="G299" i="1"/>
  <c r="D299" i="1"/>
  <c r="K298" i="1"/>
  <c r="I298" i="1"/>
  <c r="G298" i="1"/>
  <c r="D298" i="1"/>
  <c r="K297" i="1"/>
  <c r="I297" i="1"/>
  <c r="G297" i="1"/>
  <c r="D297" i="1"/>
  <c r="K296" i="1"/>
  <c r="I296" i="1"/>
  <c r="G296" i="1"/>
  <c r="D296" i="1"/>
  <c r="K295" i="1"/>
  <c r="I295" i="1"/>
  <c r="G295" i="1"/>
  <c r="D295" i="1"/>
  <c r="K294" i="1"/>
  <c r="I294" i="1"/>
  <c r="G294" i="1"/>
  <c r="D294" i="1"/>
  <c r="K293" i="1"/>
  <c r="I293" i="1"/>
  <c r="G293" i="1"/>
  <c r="D293" i="1"/>
  <c r="K292" i="1"/>
  <c r="I292" i="1"/>
  <c r="G292" i="1"/>
  <c r="D292" i="1"/>
  <c r="K291" i="1"/>
  <c r="I291" i="1"/>
  <c r="G291" i="1"/>
  <c r="D291" i="1"/>
  <c r="K290" i="1"/>
  <c r="I290" i="1"/>
  <c r="G290" i="1"/>
  <c r="D290" i="1"/>
  <c r="K289" i="1"/>
  <c r="I289" i="1"/>
  <c r="G289" i="1"/>
  <c r="D289" i="1"/>
  <c r="K288" i="1"/>
  <c r="I288" i="1"/>
  <c r="G288" i="1"/>
  <c r="D288" i="1"/>
  <c r="K287" i="1"/>
  <c r="I287" i="1"/>
  <c r="G287" i="1"/>
  <c r="D287" i="1"/>
  <c r="K286" i="1"/>
  <c r="I286" i="1"/>
  <c r="G286" i="1"/>
  <c r="D286" i="1"/>
  <c r="K285" i="1"/>
  <c r="I285" i="1"/>
  <c r="G285" i="1"/>
  <c r="D285" i="1"/>
  <c r="K284" i="1"/>
  <c r="I284" i="1"/>
  <c r="G284" i="1"/>
  <c r="D284" i="1"/>
  <c r="K283" i="1"/>
  <c r="I283" i="1"/>
  <c r="G283" i="1"/>
  <c r="D283" i="1"/>
  <c r="K282" i="1"/>
  <c r="I282" i="1"/>
  <c r="G282" i="1"/>
  <c r="D282" i="1"/>
  <c r="K281" i="1"/>
  <c r="I281" i="1"/>
  <c r="G281" i="1"/>
  <c r="D281" i="1"/>
  <c r="K280" i="1"/>
  <c r="I280" i="1"/>
  <c r="G280" i="1"/>
  <c r="D280" i="1"/>
  <c r="K279" i="1"/>
  <c r="I279" i="1"/>
  <c r="G279" i="1"/>
  <c r="D279" i="1"/>
  <c r="K278" i="1"/>
  <c r="I278" i="1"/>
  <c r="G278" i="1"/>
  <c r="D278" i="1"/>
  <c r="K277" i="1"/>
  <c r="I277" i="1"/>
  <c r="G277" i="1"/>
  <c r="D277" i="1"/>
  <c r="K276" i="1"/>
  <c r="I276" i="1"/>
  <c r="G276" i="1"/>
  <c r="D276" i="1"/>
  <c r="K275" i="1"/>
  <c r="I275" i="1"/>
  <c r="G275" i="1"/>
  <c r="D275" i="1"/>
  <c r="K274" i="1"/>
  <c r="I274" i="1"/>
  <c r="G274" i="1"/>
  <c r="D274" i="1"/>
  <c r="K273" i="1"/>
  <c r="I273" i="1"/>
  <c r="G273" i="1"/>
  <c r="D273" i="1"/>
  <c r="K272" i="1"/>
  <c r="I272" i="1"/>
  <c r="G272" i="1"/>
  <c r="D272" i="1"/>
  <c r="K271" i="1"/>
  <c r="I271" i="1"/>
  <c r="G271" i="1"/>
  <c r="D271" i="1"/>
  <c r="K270" i="1"/>
  <c r="I270" i="1"/>
  <c r="G270" i="1"/>
  <c r="D270" i="1"/>
  <c r="K269" i="1"/>
  <c r="I269" i="1"/>
  <c r="G269" i="1"/>
  <c r="D269" i="1"/>
  <c r="K268" i="1"/>
  <c r="I268" i="1"/>
  <c r="G268" i="1"/>
  <c r="D268" i="1"/>
  <c r="K267" i="1"/>
  <c r="I267" i="1"/>
  <c r="G267" i="1"/>
  <c r="D267" i="1"/>
  <c r="K266" i="1"/>
  <c r="I266" i="1"/>
  <c r="G266" i="1"/>
  <c r="D266" i="1"/>
  <c r="K265" i="1"/>
  <c r="I265" i="1"/>
  <c r="G265" i="1"/>
  <c r="D265" i="1"/>
  <c r="K264" i="1"/>
  <c r="I264" i="1"/>
  <c r="G264" i="1"/>
  <c r="D264" i="1"/>
  <c r="K263" i="1"/>
  <c r="I263" i="1"/>
  <c r="G263" i="1"/>
  <c r="D263" i="1"/>
  <c r="K262" i="1"/>
  <c r="I262" i="1"/>
  <c r="G262" i="1"/>
  <c r="D262" i="1"/>
  <c r="K261" i="1"/>
  <c r="I261" i="1"/>
  <c r="G261" i="1"/>
  <c r="D261" i="1"/>
  <c r="K260" i="1"/>
  <c r="I260" i="1"/>
  <c r="G260" i="1"/>
  <c r="D260" i="1"/>
  <c r="K259" i="1"/>
  <c r="I259" i="1"/>
  <c r="G259" i="1"/>
  <c r="D259" i="1"/>
  <c r="K258" i="1"/>
  <c r="I258" i="1"/>
  <c r="G258" i="1"/>
  <c r="D258" i="1"/>
  <c r="K257" i="1"/>
  <c r="I257" i="1"/>
  <c r="G257" i="1"/>
  <c r="D257" i="1"/>
  <c r="K256" i="1"/>
  <c r="I256" i="1"/>
  <c r="G256" i="1"/>
  <c r="D256" i="1"/>
  <c r="K255" i="1"/>
  <c r="I255" i="1"/>
  <c r="G255" i="1"/>
  <c r="D255" i="1"/>
  <c r="K254" i="1"/>
  <c r="I254" i="1"/>
  <c r="G254" i="1"/>
  <c r="D254" i="1"/>
  <c r="K253" i="1"/>
  <c r="I253" i="1"/>
  <c r="G253" i="1"/>
  <c r="D253" i="1"/>
  <c r="K252" i="1"/>
  <c r="I252" i="1"/>
  <c r="G252" i="1"/>
  <c r="D252" i="1"/>
  <c r="K251" i="1"/>
  <c r="I251" i="1"/>
  <c r="G251" i="1"/>
  <c r="D251" i="1"/>
  <c r="K250" i="1"/>
  <c r="I250" i="1"/>
  <c r="G250" i="1"/>
  <c r="D250" i="1"/>
  <c r="K249" i="1"/>
  <c r="I249" i="1"/>
  <c r="G249" i="1"/>
  <c r="D249" i="1"/>
  <c r="K248" i="1"/>
  <c r="I248" i="1"/>
  <c r="G248" i="1"/>
  <c r="D248" i="1"/>
  <c r="K247" i="1"/>
  <c r="I247" i="1"/>
  <c r="G247" i="1"/>
  <c r="D247" i="1"/>
  <c r="K246" i="1"/>
  <c r="I246" i="1"/>
  <c r="G246" i="1"/>
  <c r="D246" i="1"/>
  <c r="K245" i="1"/>
  <c r="I245" i="1"/>
  <c r="G245" i="1"/>
  <c r="D245" i="1"/>
  <c r="K244" i="1"/>
  <c r="I244" i="1"/>
  <c r="G244" i="1"/>
  <c r="D244" i="1"/>
  <c r="K243" i="1"/>
  <c r="I243" i="1"/>
  <c r="G243" i="1"/>
  <c r="D243" i="1"/>
  <c r="K242" i="1"/>
  <c r="I242" i="1"/>
  <c r="G242" i="1"/>
  <c r="D242" i="1"/>
  <c r="K241" i="1"/>
  <c r="I241" i="1"/>
  <c r="G241" i="1"/>
  <c r="D241" i="1"/>
  <c r="K240" i="1"/>
  <c r="I240" i="1"/>
  <c r="G240" i="1"/>
  <c r="D240" i="1"/>
  <c r="K239" i="1"/>
  <c r="I239" i="1"/>
  <c r="G239" i="1"/>
  <c r="D239" i="1"/>
  <c r="K238" i="1"/>
  <c r="I238" i="1"/>
  <c r="G238" i="1"/>
  <c r="D238" i="1"/>
  <c r="K237" i="1"/>
  <c r="I237" i="1"/>
  <c r="G237" i="1"/>
  <c r="D237" i="1"/>
  <c r="K236" i="1"/>
  <c r="I236" i="1"/>
  <c r="G236" i="1"/>
  <c r="D236" i="1"/>
  <c r="K235" i="1"/>
  <c r="I235" i="1"/>
  <c r="G235" i="1"/>
  <c r="D235" i="1"/>
  <c r="K234" i="1"/>
  <c r="I234" i="1"/>
  <c r="G234" i="1"/>
  <c r="D234" i="1"/>
  <c r="K233" i="1"/>
  <c r="I233" i="1"/>
  <c r="G233" i="1"/>
  <c r="D233" i="1"/>
  <c r="K232" i="1"/>
  <c r="I232" i="1"/>
  <c r="G232" i="1"/>
  <c r="D232" i="1"/>
  <c r="K231" i="1"/>
  <c r="I231" i="1"/>
  <c r="G231" i="1"/>
  <c r="D231" i="1"/>
  <c r="K230" i="1"/>
  <c r="I230" i="1"/>
  <c r="G230" i="1"/>
  <c r="D230" i="1"/>
  <c r="K229" i="1"/>
  <c r="I229" i="1"/>
  <c r="G229" i="1"/>
  <c r="D229" i="1"/>
  <c r="K228" i="1"/>
  <c r="I228" i="1"/>
  <c r="G228" i="1"/>
  <c r="D228" i="1"/>
  <c r="K227" i="1"/>
  <c r="I227" i="1"/>
  <c r="G227" i="1"/>
  <c r="D227" i="1"/>
  <c r="K226" i="1"/>
  <c r="I226" i="1"/>
  <c r="G226" i="1"/>
  <c r="D226" i="1"/>
  <c r="K225" i="1"/>
  <c r="I225" i="1"/>
  <c r="G225" i="1"/>
  <c r="D225" i="1"/>
  <c r="K224" i="1"/>
  <c r="I224" i="1"/>
  <c r="G224" i="1"/>
  <c r="D224" i="1"/>
  <c r="K223" i="1"/>
  <c r="I223" i="1"/>
  <c r="G223" i="1"/>
  <c r="D223" i="1"/>
  <c r="K222" i="1"/>
  <c r="I222" i="1"/>
  <c r="G222" i="1"/>
  <c r="D222" i="1"/>
  <c r="K221" i="1"/>
  <c r="I221" i="1"/>
  <c r="G221" i="1"/>
  <c r="D221" i="1"/>
  <c r="K220" i="1"/>
  <c r="I220" i="1"/>
  <c r="G220" i="1"/>
  <c r="D220" i="1"/>
  <c r="K219" i="1"/>
  <c r="I219" i="1"/>
  <c r="G219" i="1"/>
  <c r="D219" i="1"/>
  <c r="K218" i="1"/>
  <c r="I218" i="1"/>
  <c r="G218" i="1"/>
  <c r="D218" i="1"/>
  <c r="K217" i="1"/>
  <c r="I217" i="1"/>
  <c r="G217" i="1"/>
  <c r="D217" i="1"/>
  <c r="K216" i="1"/>
  <c r="I216" i="1"/>
  <c r="G216" i="1"/>
  <c r="D216" i="1"/>
  <c r="K215" i="1"/>
  <c r="I215" i="1"/>
  <c r="G215" i="1"/>
  <c r="D215" i="1"/>
  <c r="K214" i="1"/>
  <c r="I214" i="1"/>
  <c r="G214" i="1"/>
  <c r="D214" i="1"/>
  <c r="K213" i="1"/>
  <c r="I213" i="1"/>
  <c r="G213" i="1"/>
  <c r="D213" i="1"/>
  <c r="K212" i="1"/>
  <c r="I212" i="1"/>
  <c r="G212" i="1"/>
  <c r="D212" i="1"/>
  <c r="K211" i="1"/>
  <c r="I211" i="1"/>
  <c r="G211" i="1"/>
  <c r="D211" i="1"/>
  <c r="K210" i="1"/>
  <c r="I210" i="1"/>
  <c r="G210" i="1"/>
  <c r="D210" i="1"/>
  <c r="K209" i="1"/>
  <c r="I209" i="1"/>
  <c r="G209" i="1"/>
  <c r="D209" i="1"/>
  <c r="K208" i="1"/>
  <c r="I208" i="1"/>
  <c r="G208" i="1"/>
  <c r="D208" i="1"/>
  <c r="K207" i="1"/>
  <c r="I207" i="1"/>
  <c r="G207" i="1"/>
  <c r="D207" i="1"/>
  <c r="K206" i="1"/>
  <c r="I206" i="1"/>
  <c r="G206" i="1"/>
  <c r="D206" i="1"/>
  <c r="K205" i="1"/>
  <c r="I205" i="1"/>
  <c r="G205" i="1"/>
  <c r="D205" i="1"/>
  <c r="K204" i="1"/>
  <c r="I204" i="1"/>
  <c r="G204" i="1"/>
  <c r="D204" i="1"/>
  <c r="K203" i="1"/>
  <c r="I203" i="1"/>
  <c r="G203" i="1"/>
  <c r="D203" i="1"/>
  <c r="K202" i="1"/>
  <c r="I202" i="1"/>
  <c r="G202" i="1"/>
  <c r="D202" i="1"/>
  <c r="K201" i="1"/>
  <c r="I201" i="1"/>
  <c r="G201" i="1"/>
  <c r="D201" i="1"/>
  <c r="K200" i="1"/>
  <c r="I200" i="1"/>
  <c r="G200" i="1"/>
  <c r="D200" i="1"/>
  <c r="K199" i="1"/>
  <c r="I199" i="1"/>
  <c r="G199" i="1"/>
  <c r="D199" i="1"/>
  <c r="K198" i="1"/>
  <c r="I198" i="1"/>
  <c r="G198" i="1"/>
  <c r="D198" i="1"/>
  <c r="K197" i="1"/>
  <c r="I197" i="1"/>
  <c r="G197" i="1"/>
  <c r="D197" i="1"/>
  <c r="K196" i="1"/>
  <c r="I196" i="1"/>
  <c r="G196" i="1"/>
  <c r="D196" i="1"/>
  <c r="K195" i="1"/>
  <c r="I195" i="1"/>
  <c r="G195" i="1"/>
  <c r="D195" i="1"/>
  <c r="K194" i="1"/>
  <c r="I194" i="1"/>
  <c r="G194" i="1"/>
  <c r="D194" i="1"/>
  <c r="K193" i="1"/>
  <c r="I193" i="1"/>
  <c r="G193" i="1"/>
  <c r="D193" i="1"/>
  <c r="K192" i="1"/>
  <c r="I192" i="1"/>
  <c r="G192" i="1"/>
  <c r="D192" i="1"/>
  <c r="K191" i="1"/>
  <c r="I191" i="1"/>
  <c r="G191" i="1"/>
  <c r="D191" i="1"/>
  <c r="K190" i="1"/>
  <c r="I190" i="1"/>
  <c r="G190" i="1"/>
  <c r="D190" i="1"/>
  <c r="K189" i="1"/>
  <c r="I189" i="1"/>
  <c r="G189" i="1"/>
  <c r="D189" i="1"/>
  <c r="K188" i="1"/>
  <c r="I188" i="1"/>
  <c r="G188" i="1"/>
  <c r="D188" i="1"/>
  <c r="K187" i="1"/>
  <c r="I187" i="1"/>
  <c r="G187" i="1"/>
  <c r="D187" i="1"/>
  <c r="K186" i="1"/>
  <c r="I186" i="1"/>
  <c r="G186" i="1"/>
  <c r="D186" i="1"/>
  <c r="K185" i="1"/>
  <c r="I185" i="1"/>
  <c r="G185" i="1"/>
  <c r="D185" i="1"/>
  <c r="K184" i="1"/>
  <c r="I184" i="1"/>
  <c r="G184" i="1"/>
  <c r="D184" i="1"/>
  <c r="K183" i="1"/>
  <c r="I183" i="1"/>
  <c r="G183" i="1"/>
  <c r="D183" i="1"/>
  <c r="K182" i="1"/>
  <c r="I182" i="1"/>
  <c r="G182" i="1"/>
  <c r="D182" i="1"/>
  <c r="K181" i="1"/>
  <c r="I181" i="1"/>
  <c r="G181" i="1"/>
  <c r="D181" i="1"/>
  <c r="K180" i="1"/>
  <c r="I180" i="1"/>
  <c r="G180" i="1"/>
  <c r="D180" i="1"/>
  <c r="K179" i="1"/>
  <c r="I179" i="1"/>
  <c r="G179" i="1"/>
  <c r="D179" i="1"/>
  <c r="K178" i="1"/>
  <c r="I178" i="1"/>
  <c r="G178" i="1"/>
  <c r="D178" i="1"/>
  <c r="K177" i="1"/>
  <c r="I177" i="1"/>
  <c r="G177" i="1"/>
  <c r="D177" i="1"/>
  <c r="K176" i="1"/>
  <c r="I176" i="1"/>
  <c r="G176" i="1"/>
  <c r="D176" i="1"/>
  <c r="K175" i="1"/>
  <c r="I175" i="1"/>
  <c r="G175" i="1"/>
  <c r="D175" i="1"/>
  <c r="K174" i="1"/>
  <c r="I174" i="1"/>
  <c r="G174" i="1"/>
  <c r="D174" i="1"/>
  <c r="K173" i="1"/>
  <c r="I173" i="1"/>
  <c r="G173" i="1"/>
  <c r="D173" i="1"/>
  <c r="K172" i="1"/>
  <c r="I172" i="1"/>
  <c r="G172" i="1"/>
  <c r="D172" i="1"/>
  <c r="K171" i="1"/>
  <c r="I171" i="1"/>
  <c r="G171" i="1"/>
  <c r="D171" i="1"/>
  <c r="K170" i="1"/>
  <c r="I170" i="1"/>
  <c r="G170" i="1"/>
  <c r="D170" i="1"/>
  <c r="K169" i="1"/>
  <c r="I169" i="1"/>
  <c r="G169" i="1"/>
  <c r="D169" i="1"/>
  <c r="K168" i="1"/>
  <c r="I168" i="1"/>
  <c r="G168" i="1"/>
  <c r="D168" i="1"/>
  <c r="K167" i="1"/>
  <c r="I167" i="1"/>
  <c r="G167" i="1"/>
  <c r="D167" i="1"/>
  <c r="K166" i="1"/>
  <c r="I166" i="1"/>
  <c r="G166" i="1"/>
  <c r="D166" i="1"/>
  <c r="K165" i="1"/>
  <c r="I165" i="1"/>
  <c r="G165" i="1"/>
  <c r="D165" i="1"/>
  <c r="K164" i="1"/>
  <c r="I164" i="1"/>
  <c r="G164" i="1"/>
  <c r="D164" i="1"/>
  <c r="K163" i="1"/>
  <c r="I163" i="1"/>
  <c r="G163" i="1"/>
  <c r="D163" i="1"/>
  <c r="K162" i="1"/>
  <c r="I162" i="1"/>
  <c r="G162" i="1"/>
  <c r="D162" i="1"/>
  <c r="K161" i="1"/>
  <c r="I161" i="1"/>
  <c r="G161" i="1"/>
  <c r="D161" i="1"/>
  <c r="K160" i="1"/>
  <c r="I160" i="1"/>
  <c r="G160" i="1"/>
  <c r="D160" i="1"/>
  <c r="K159" i="1"/>
  <c r="I159" i="1"/>
  <c r="G159" i="1"/>
  <c r="D159" i="1"/>
  <c r="K158" i="1"/>
  <c r="I158" i="1"/>
  <c r="G158" i="1"/>
  <c r="D158" i="1"/>
  <c r="K157" i="1"/>
  <c r="I157" i="1"/>
  <c r="G157" i="1"/>
  <c r="D157" i="1"/>
  <c r="K156" i="1"/>
  <c r="I156" i="1"/>
  <c r="G156" i="1"/>
  <c r="D156" i="1"/>
  <c r="K155" i="1"/>
  <c r="I155" i="1"/>
  <c r="G155" i="1"/>
  <c r="D155" i="1"/>
  <c r="K154" i="1"/>
  <c r="I154" i="1"/>
  <c r="G154" i="1"/>
  <c r="D154" i="1"/>
  <c r="K153" i="1"/>
  <c r="I153" i="1"/>
  <c r="G153" i="1"/>
  <c r="D153" i="1"/>
  <c r="K152" i="1"/>
  <c r="I152" i="1"/>
  <c r="G152" i="1"/>
  <c r="D152" i="1"/>
  <c r="K151" i="1"/>
  <c r="I151" i="1"/>
  <c r="G151" i="1"/>
  <c r="D151" i="1"/>
  <c r="K150" i="1"/>
  <c r="I150" i="1"/>
  <c r="G150" i="1"/>
  <c r="D150" i="1"/>
  <c r="K149" i="1"/>
  <c r="I149" i="1"/>
  <c r="G149" i="1"/>
  <c r="D149" i="1"/>
  <c r="K148" i="1"/>
  <c r="I148" i="1"/>
  <c r="G148" i="1"/>
  <c r="D148" i="1"/>
  <c r="K147" i="1"/>
  <c r="I147" i="1"/>
  <c r="G147" i="1"/>
  <c r="D147" i="1"/>
  <c r="K146" i="1"/>
  <c r="I146" i="1"/>
  <c r="G146" i="1"/>
  <c r="D146" i="1"/>
  <c r="K145" i="1"/>
  <c r="I145" i="1"/>
  <c r="G145" i="1"/>
  <c r="D145" i="1"/>
  <c r="K144" i="1"/>
  <c r="I144" i="1"/>
  <c r="G144" i="1"/>
  <c r="D144" i="1"/>
  <c r="K143" i="1"/>
  <c r="I143" i="1"/>
  <c r="G143" i="1"/>
  <c r="D143" i="1"/>
  <c r="K142" i="1"/>
  <c r="I142" i="1"/>
  <c r="G142" i="1"/>
  <c r="D142" i="1"/>
  <c r="K141" i="1"/>
  <c r="I141" i="1"/>
  <c r="G141" i="1"/>
  <c r="D141" i="1"/>
  <c r="K140" i="1"/>
  <c r="I140" i="1"/>
  <c r="G140" i="1"/>
  <c r="D140" i="1"/>
  <c r="K139" i="1"/>
  <c r="I139" i="1"/>
  <c r="G139" i="1"/>
  <c r="D139" i="1"/>
  <c r="K138" i="1"/>
  <c r="I138" i="1"/>
  <c r="G138" i="1"/>
  <c r="D138" i="1"/>
  <c r="K137" i="1"/>
  <c r="I137" i="1"/>
  <c r="G137" i="1"/>
  <c r="D137" i="1"/>
  <c r="K136" i="1"/>
  <c r="I136" i="1"/>
  <c r="G136" i="1"/>
  <c r="D136" i="1"/>
  <c r="K135" i="1"/>
  <c r="I135" i="1"/>
  <c r="G135" i="1"/>
  <c r="D135" i="1"/>
  <c r="K134" i="1"/>
  <c r="I134" i="1"/>
  <c r="G134" i="1"/>
  <c r="D134" i="1"/>
  <c r="K133" i="1"/>
  <c r="I133" i="1"/>
  <c r="G133" i="1"/>
  <c r="D133" i="1"/>
  <c r="K132" i="1"/>
  <c r="I132" i="1"/>
  <c r="G132" i="1"/>
  <c r="D132" i="1"/>
  <c r="K131" i="1"/>
  <c r="I131" i="1"/>
  <c r="G131" i="1"/>
  <c r="D131" i="1"/>
  <c r="K130" i="1"/>
  <c r="I130" i="1"/>
  <c r="G130" i="1"/>
  <c r="D130" i="1"/>
  <c r="K129" i="1"/>
  <c r="I129" i="1"/>
  <c r="G129" i="1"/>
  <c r="D129" i="1"/>
  <c r="K128" i="1"/>
  <c r="I128" i="1"/>
  <c r="G128" i="1"/>
  <c r="D128" i="1"/>
  <c r="K127" i="1"/>
  <c r="I127" i="1"/>
  <c r="G127" i="1"/>
  <c r="D127" i="1"/>
  <c r="K126" i="1"/>
  <c r="I126" i="1"/>
  <c r="G126" i="1"/>
  <c r="D126" i="1"/>
  <c r="K125" i="1"/>
  <c r="I125" i="1"/>
  <c r="G125" i="1"/>
  <c r="D125" i="1"/>
  <c r="K124" i="1"/>
  <c r="I124" i="1"/>
  <c r="G124" i="1"/>
  <c r="D124" i="1"/>
  <c r="K123" i="1"/>
  <c r="I123" i="1"/>
  <c r="G123" i="1"/>
  <c r="D123" i="1"/>
  <c r="K122" i="1"/>
  <c r="I122" i="1"/>
  <c r="G122" i="1"/>
  <c r="D122" i="1"/>
  <c r="K121" i="1"/>
  <c r="I121" i="1"/>
  <c r="G121" i="1"/>
  <c r="D121" i="1"/>
  <c r="K120" i="1"/>
  <c r="I120" i="1"/>
  <c r="G120" i="1"/>
  <c r="D120" i="1"/>
  <c r="K119" i="1"/>
  <c r="I119" i="1"/>
  <c r="G119" i="1"/>
  <c r="D119" i="1"/>
  <c r="K118" i="1"/>
  <c r="I118" i="1"/>
  <c r="G118" i="1"/>
  <c r="D118" i="1"/>
  <c r="K117" i="1"/>
  <c r="I117" i="1"/>
  <c r="G117" i="1"/>
  <c r="D117" i="1"/>
  <c r="K116" i="1"/>
  <c r="I116" i="1"/>
  <c r="G116" i="1"/>
  <c r="D116" i="1"/>
  <c r="K115" i="1"/>
  <c r="I115" i="1"/>
  <c r="G115" i="1"/>
  <c r="D115" i="1"/>
  <c r="K114" i="1"/>
  <c r="I114" i="1"/>
  <c r="G114" i="1"/>
  <c r="D114" i="1"/>
  <c r="K113" i="1"/>
  <c r="I113" i="1"/>
  <c r="G113" i="1"/>
  <c r="D113" i="1"/>
  <c r="K112" i="1"/>
  <c r="I112" i="1"/>
  <c r="G112" i="1"/>
  <c r="D112" i="1"/>
  <c r="K111" i="1"/>
  <c r="I111" i="1"/>
  <c r="G111" i="1"/>
  <c r="D111" i="1"/>
  <c r="K110" i="1"/>
  <c r="I110" i="1"/>
  <c r="G110" i="1"/>
  <c r="D110" i="1"/>
  <c r="K109" i="1"/>
  <c r="I109" i="1"/>
  <c r="G109" i="1"/>
  <c r="D109" i="1"/>
  <c r="K108" i="1"/>
  <c r="I108" i="1"/>
  <c r="G108" i="1"/>
  <c r="D108" i="1"/>
  <c r="K107" i="1"/>
  <c r="I107" i="1"/>
  <c r="G107" i="1"/>
  <c r="D107" i="1"/>
  <c r="K106" i="1"/>
  <c r="I106" i="1"/>
  <c r="G106" i="1"/>
  <c r="D106" i="1"/>
  <c r="K105" i="1"/>
  <c r="I105" i="1"/>
  <c r="G105" i="1"/>
  <c r="D105" i="1"/>
  <c r="K104" i="1"/>
  <c r="I104" i="1"/>
  <c r="G104" i="1"/>
  <c r="D104" i="1"/>
  <c r="K103" i="1"/>
  <c r="I103" i="1"/>
  <c r="G103" i="1"/>
  <c r="D103" i="1"/>
  <c r="K102" i="1"/>
  <c r="I102" i="1"/>
  <c r="G102" i="1"/>
  <c r="D102" i="1"/>
  <c r="K101" i="1"/>
  <c r="I101" i="1"/>
  <c r="G101" i="1"/>
  <c r="D101" i="1"/>
  <c r="K100" i="1"/>
  <c r="I100" i="1"/>
  <c r="G100" i="1"/>
  <c r="D100" i="1"/>
  <c r="K99" i="1"/>
  <c r="I99" i="1"/>
  <c r="G99" i="1"/>
  <c r="D99" i="1"/>
  <c r="K98" i="1"/>
  <c r="I98" i="1"/>
  <c r="G98" i="1"/>
  <c r="D98" i="1"/>
  <c r="K97" i="1"/>
  <c r="I97" i="1"/>
  <c r="G97" i="1"/>
  <c r="D97" i="1"/>
  <c r="K96" i="1"/>
  <c r="I96" i="1"/>
  <c r="G96" i="1"/>
  <c r="D96" i="1"/>
  <c r="K95" i="1"/>
  <c r="I95" i="1"/>
  <c r="G95" i="1"/>
  <c r="D95" i="1"/>
  <c r="K94" i="1"/>
  <c r="I94" i="1"/>
  <c r="G94" i="1"/>
  <c r="D94" i="1"/>
  <c r="K93" i="1"/>
  <c r="I93" i="1"/>
  <c r="G93" i="1"/>
  <c r="D93" i="1"/>
  <c r="K92" i="1"/>
  <c r="I92" i="1"/>
  <c r="G92" i="1"/>
  <c r="D92" i="1"/>
  <c r="K91" i="1"/>
  <c r="I91" i="1"/>
  <c r="G91" i="1"/>
  <c r="D91" i="1"/>
  <c r="K90" i="1"/>
  <c r="I90" i="1"/>
  <c r="G90" i="1"/>
  <c r="D90" i="1"/>
  <c r="K89" i="1"/>
  <c r="I89" i="1"/>
  <c r="G89" i="1"/>
  <c r="D89" i="1"/>
  <c r="K88" i="1"/>
  <c r="I88" i="1"/>
  <c r="G88" i="1"/>
  <c r="D88" i="1"/>
  <c r="K87" i="1"/>
  <c r="I87" i="1"/>
  <c r="G87" i="1"/>
  <c r="D87" i="1"/>
  <c r="K86" i="1"/>
  <c r="I86" i="1"/>
  <c r="G86" i="1"/>
  <c r="D86" i="1"/>
  <c r="K85" i="1"/>
  <c r="I85" i="1"/>
  <c r="G85" i="1"/>
  <c r="D85" i="1"/>
  <c r="K84" i="1"/>
  <c r="I84" i="1"/>
  <c r="G84" i="1"/>
  <c r="D84" i="1"/>
  <c r="K83" i="1"/>
  <c r="I83" i="1"/>
  <c r="G83" i="1"/>
  <c r="D83" i="1"/>
  <c r="K82" i="1"/>
  <c r="I82" i="1"/>
  <c r="G82" i="1"/>
  <c r="D82" i="1"/>
  <c r="K81" i="1"/>
  <c r="I81" i="1"/>
  <c r="G81" i="1"/>
  <c r="D81" i="1"/>
  <c r="K80" i="1"/>
  <c r="I80" i="1"/>
  <c r="G80" i="1"/>
  <c r="D80" i="1"/>
  <c r="K79" i="1"/>
  <c r="I79" i="1"/>
  <c r="G79" i="1"/>
  <c r="D79" i="1"/>
  <c r="K78" i="1"/>
  <c r="I78" i="1"/>
  <c r="G78" i="1"/>
  <c r="D78" i="1"/>
  <c r="K77" i="1"/>
  <c r="I77" i="1"/>
  <c r="G77" i="1"/>
  <c r="D77" i="1"/>
  <c r="K76" i="1"/>
  <c r="I76" i="1"/>
  <c r="G76" i="1"/>
  <c r="D76" i="1"/>
  <c r="K75" i="1"/>
  <c r="I75" i="1"/>
  <c r="G75" i="1"/>
  <c r="D75" i="1"/>
  <c r="K74" i="1"/>
  <c r="I74" i="1"/>
  <c r="G74" i="1"/>
  <c r="D74" i="1"/>
  <c r="K73" i="1"/>
  <c r="I73" i="1"/>
  <c r="G73" i="1"/>
  <c r="D73" i="1"/>
  <c r="K72" i="1"/>
  <c r="I72" i="1"/>
  <c r="G72" i="1"/>
  <c r="D72" i="1"/>
  <c r="K71" i="1"/>
  <c r="I71" i="1"/>
  <c r="G71" i="1"/>
  <c r="D71" i="1"/>
  <c r="K70" i="1"/>
  <c r="I70" i="1"/>
  <c r="G70" i="1"/>
  <c r="D70" i="1"/>
  <c r="K69" i="1"/>
  <c r="I69" i="1"/>
  <c r="G69" i="1"/>
  <c r="D69" i="1"/>
  <c r="K68" i="1"/>
  <c r="I68" i="1"/>
  <c r="G68" i="1"/>
  <c r="D68" i="1"/>
  <c r="K67" i="1"/>
  <c r="I67" i="1"/>
  <c r="G67" i="1"/>
  <c r="D67" i="1"/>
  <c r="K66" i="1"/>
  <c r="I66" i="1"/>
  <c r="G66" i="1"/>
  <c r="D66" i="1"/>
  <c r="K65" i="1"/>
  <c r="I65" i="1"/>
  <c r="G65" i="1"/>
  <c r="D65" i="1"/>
  <c r="K64" i="1"/>
  <c r="I64" i="1"/>
  <c r="G64" i="1"/>
  <c r="D64" i="1"/>
  <c r="K63" i="1"/>
  <c r="I63" i="1"/>
  <c r="G63" i="1"/>
  <c r="D63" i="1"/>
  <c r="K62" i="1"/>
  <c r="I62" i="1"/>
  <c r="G62" i="1"/>
  <c r="D62" i="1"/>
  <c r="K61" i="1"/>
  <c r="I61" i="1"/>
  <c r="G61" i="1"/>
  <c r="D61" i="1"/>
  <c r="K60" i="1"/>
  <c r="I60" i="1"/>
  <c r="G60" i="1"/>
  <c r="D60" i="1"/>
  <c r="K59" i="1"/>
  <c r="I59" i="1"/>
  <c r="G59" i="1"/>
  <c r="D59" i="1"/>
  <c r="K58" i="1"/>
  <c r="I58" i="1"/>
  <c r="G58" i="1"/>
  <c r="D58" i="1"/>
  <c r="K57" i="1"/>
  <c r="I57" i="1"/>
  <c r="G57" i="1"/>
  <c r="D57" i="1"/>
  <c r="K56" i="1"/>
  <c r="I56" i="1"/>
  <c r="G56" i="1"/>
  <c r="D56" i="1"/>
  <c r="K55" i="1"/>
  <c r="I55" i="1"/>
  <c r="G55" i="1"/>
  <c r="D55" i="1"/>
  <c r="K54" i="1"/>
  <c r="I54" i="1"/>
  <c r="G54" i="1"/>
  <c r="D54" i="1"/>
  <c r="K53" i="1"/>
  <c r="I53" i="1"/>
  <c r="G53" i="1"/>
  <c r="D53" i="1"/>
  <c r="K52" i="1"/>
  <c r="I52" i="1"/>
  <c r="G52" i="1"/>
  <c r="D52" i="1"/>
  <c r="K51" i="1"/>
  <c r="I51" i="1"/>
  <c r="G51" i="1"/>
  <c r="D51" i="1"/>
  <c r="K50" i="1"/>
  <c r="I50" i="1"/>
  <c r="G50" i="1"/>
  <c r="D50" i="1"/>
  <c r="K49" i="1"/>
  <c r="I49" i="1"/>
  <c r="G49" i="1"/>
  <c r="D49" i="1"/>
  <c r="K48" i="1"/>
  <c r="I48" i="1"/>
  <c r="G48" i="1"/>
  <c r="D48" i="1"/>
  <c r="K47" i="1"/>
  <c r="I47" i="1"/>
  <c r="G47" i="1"/>
  <c r="D47" i="1"/>
  <c r="K46" i="1"/>
  <c r="I46" i="1"/>
  <c r="G46" i="1"/>
  <c r="D46" i="1"/>
  <c r="K45" i="1"/>
  <c r="I45" i="1"/>
  <c r="G45" i="1"/>
  <c r="D45" i="1"/>
  <c r="K44" i="1"/>
  <c r="I44" i="1"/>
  <c r="G44" i="1"/>
  <c r="D44" i="1"/>
  <c r="K43" i="1"/>
  <c r="I43" i="1"/>
  <c r="G43" i="1"/>
  <c r="D43" i="1"/>
  <c r="K42" i="1"/>
  <c r="I42" i="1"/>
  <c r="G42" i="1"/>
  <c r="D42" i="1"/>
  <c r="K41" i="1"/>
  <c r="I41" i="1"/>
  <c r="G41" i="1"/>
  <c r="D41" i="1"/>
  <c r="K40" i="1"/>
  <c r="I40" i="1"/>
  <c r="G40" i="1"/>
  <c r="D40" i="1"/>
  <c r="K39" i="1"/>
  <c r="I39" i="1"/>
  <c r="G39" i="1"/>
  <c r="D39" i="1"/>
  <c r="K38" i="1"/>
  <c r="I38" i="1"/>
  <c r="G38" i="1"/>
  <c r="D38" i="1"/>
  <c r="K37" i="1"/>
  <c r="I37" i="1"/>
  <c r="G37" i="1"/>
  <c r="D37" i="1"/>
  <c r="K36" i="1"/>
  <c r="I36" i="1"/>
  <c r="G36" i="1"/>
  <c r="D36" i="1"/>
  <c r="K35" i="1"/>
  <c r="I35" i="1"/>
  <c r="G35" i="1"/>
  <c r="D35" i="1"/>
  <c r="K34" i="1"/>
  <c r="I34" i="1"/>
  <c r="G34" i="1"/>
  <c r="D34" i="1"/>
  <c r="K33" i="1"/>
  <c r="I33" i="1"/>
  <c r="G33" i="1"/>
  <c r="D33" i="1"/>
  <c r="K32" i="1"/>
  <c r="I32" i="1"/>
  <c r="G32" i="1"/>
  <c r="D32" i="1"/>
  <c r="K31" i="1"/>
  <c r="I31" i="1"/>
  <c r="G31" i="1"/>
  <c r="D31" i="1"/>
  <c r="K30" i="1"/>
  <c r="I30" i="1"/>
  <c r="G30" i="1"/>
  <c r="D30" i="1"/>
  <c r="K29" i="1"/>
  <c r="I29" i="1"/>
  <c r="G29" i="1"/>
  <c r="D29" i="1"/>
  <c r="K28" i="1"/>
  <c r="I28" i="1"/>
  <c r="G28" i="1"/>
  <c r="D28" i="1"/>
  <c r="K27" i="1"/>
  <c r="I27" i="1"/>
  <c r="G27" i="1"/>
  <c r="D27" i="1"/>
  <c r="K26" i="1"/>
  <c r="I26" i="1"/>
  <c r="G26" i="1"/>
  <c r="D26" i="1"/>
  <c r="K25" i="1"/>
  <c r="I25" i="1"/>
  <c r="G25" i="1"/>
  <c r="D25" i="1"/>
  <c r="K24" i="1"/>
  <c r="I24" i="1"/>
  <c r="G24" i="1"/>
  <c r="D24" i="1"/>
  <c r="K23" i="1"/>
  <c r="I23" i="1"/>
  <c r="G23" i="1"/>
  <c r="D23" i="1"/>
  <c r="K22" i="1"/>
  <c r="I22" i="1"/>
  <c r="G22" i="1"/>
  <c r="D22" i="1"/>
  <c r="K21" i="1"/>
  <c r="I21" i="1"/>
  <c r="G21" i="1"/>
  <c r="D21" i="1"/>
  <c r="K20" i="1"/>
  <c r="I20" i="1"/>
  <c r="G20" i="1"/>
  <c r="D20" i="1"/>
  <c r="K19" i="1"/>
  <c r="I19" i="1"/>
  <c r="G19" i="1"/>
  <c r="D19" i="1"/>
  <c r="K18" i="1"/>
  <c r="I18" i="1"/>
  <c r="G18" i="1"/>
  <c r="D18" i="1"/>
  <c r="K17" i="1"/>
  <c r="I17" i="1"/>
  <c r="G17" i="1"/>
  <c r="D17" i="1"/>
  <c r="K16" i="1"/>
  <c r="I16" i="1"/>
  <c r="G16" i="1"/>
  <c r="D16" i="1"/>
  <c r="K15" i="1"/>
  <c r="I15" i="1"/>
  <c r="G15" i="1"/>
  <c r="D15" i="1"/>
  <c r="K14" i="1"/>
  <c r="I14" i="1"/>
  <c r="G14" i="1"/>
  <c r="D14" i="1"/>
  <c r="K13" i="1"/>
  <c r="I13" i="1"/>
  <c r="G13" i="1"/>
  <c r="D13" i="1"/>
  <c r="K12" i="1"/>
  <c r="I12" i="1"/>
  <c r="G12" i="1"/>
  <c r="D12" i="1"/>
  <c r="K11" i="1"/>
  <c r="I11" i="1"/>
  <c r="G11" i="1"/>
  <c r="Z11" i="1" s="1"/>
  <c r="D11" i="1"/>
  <c r="K10" i="1"/>
  <c r="I10" i="1"/>
  <c r="G10" i="1"/>
  <c r="Z10" i="1" s="1"/>
  <c r="K9" i="1"/>
  <c r="I9" i="1"/>
  <c r="G9" i="1"/>
  <c r="D9" i="1"/>
  <c r="N8" i="1"/>
  <c r="K8" i="1"/>
  <c r="I8" i="1"/>
  <c r="G8" i="1"/>
  <c r="D8" i="1"/>
  <c r="P5" i="1"/>
  <c r="B5" i="1"/>
  <c r="M2" i="1"/>
  <c r="R1007" i="3"/>
  <c r="Q1007" i="3"/>
  <c r="N1007" i="3"/>
  <c r="L1007" i="3"/>
  <c r="J1007" i="3"/>
  <c r="H1007" i="3"/>
  <c r="I1007" i="3" s="1"/>
  <c r="G1007" i="3"/>
  <c r="D1007" i="3"/>
  <c r="R1006" i="3"/>
  <c r="Q1006" i="3"/>
  <c r="N1006" i="3"/>
  <c r="L1006" i="3"/>
  <c r="J1006" i="3"/>
  <c r="H1006" i="3"/>
  <c r="I1006" i="3" s="1"/>
  <c r="G1006" i="3"/>
  <c r="D1006" i="3"/>
  <c r="R1005" i="3"/>
  <c r="Q1005" i="3"/>
  <c r="N1005" i="3"/>
  <c r="L1005" i="3"/>
  <c r="J1005" i="3"/>
  <c r="H1005" i="3"/>
  <c r="I1005" i="3" s="1"/>
  <c r="G1005" i="3"/>
  <c r="D1005" i="3"/>
  <c r="R1004" i="3"/>
  <c r="Q1004" i="3"/>
  <c r="N1004" i="3"/>
  <c r="L1004" i="3"/>
  <c r="J1004" i="3"/>
  <c r="H1004" i="3"/>
  <c r="I1004" i="3" s="1"/>
  <c r="G1004" i="3"/>
  <c r="D1004" i="3"/>
  <c r="R1003" i="3"/>
  <c r="Q1003" i="3"/>
  <c r="N1003" i="3"/>
  <c r="L1003" i="3"/>
  <c r="J1003" i="3"/>
  <c r="H1003" i="3"/>
  <c r="I1003" i="3" s="1"/>
  <c r="G1003" i="3"/>
  <c r="D1003" i="3"/>
  <c r="R1002" i="3"/>
  <c r="Q1002" i="3"/>
  <c r="N1002" i="3"/>
  <c r="L1002" i="3"/>
  <c r="J1002" i="3"/>
  <c r="H1002" i="3"/>
  <c r="I1002" i="3" s="1"/>
  <c r="G1002" i="3"/>
  <c r="D1002" i="3"/>
  <c r="R1001" i="3"/>
  <c r="Q1001" i="3"/>
  <c r="N1001" i="3"/>
  <c r="L1001" i="3"/>
  <c r="J1001" i="3"/>
  <c r="H1001" i="3"/>
  <c r="I1001" i="3" s="1"/>
  <c r="G1001" i="3"/>
  <c r="D1001" i="3"/>
  <c r="R1000" i="3"/>
  <c r="Q1000" i="3"/>
  <c r="N1000" i="3"/>
  <c r="L1000" i="3"/>
  <c r="J1000" i="3"/>
  <c r="H1000" i="3"/>
  <c r="I1000" i="3" s="1"/>
  <c r="G1000" i="3"/>
  <c r="D1000" i="3"/>
  <c r="R999" i="3"/>
  <c r="Q999" i="3"/>
  <c r="N999" i="3"/>
  <c r="L999" i="3"/>
  <c r="J999" i="3"/>
  <c r="H999" i="3"/>
  <c r="I999" i="3" s="1"/>
  <c r="G999" i="3"/>
  <c r="D999" i="3"/>
  <c r="R998" i="3"/>
  <c r="Q998" i="3"/>
  <c r="N998" i="3"/>
  <c r="L998" i="3"/>
  <c r="J998" i="3"/>
  <c r="H998" i="3"/>
  <c r="I998" i="3" s="1"/>
  <c r="G998" i="3"/>
  <c r="D998" i="3"/>
  <c r="R997" i="3"/>
  <c r="Q997" i="3"/>
  <c r="N997" i="3"/>
  <c r="L997" i="3"/>
  <c r="J997" i="3"/>
  <c r="H997" i="3"/>
  <c r="I997" i="3" s="1"/>
  <c r="G997" i="3"/>
  <c r="D997" i="3"/>
  <c r="R996" i="3"/>
  <c r="Q996" i="3"/>
  <c r="N996" i="3"/>
  <c r="L996" i="3"/>
  <c r="J996" i="3"/>
  <c r="H996" i="3"/>
  <c r="I996" i="3" s="1"/>
  <c r="G996" i="3"/>
  <c r="D996" i="3"/>
  <c r="R995" i="3"/>
  <c r="Q995" i="3"/>
  <c r="N995" i="3"/>
  <c r="L995" i="3"/>
  <c r="J995" i="3"/>
  <c r="H995" i="3"/>
  <c r="I995" i="3" s="1"/>
  <c r="G995" i="3"/>
  <c r="D995" i="3"/>
  <c r="R994" i="3"/>
  <c r="Q994" i="3"/>
  <c r="N994" i="3"/>
  <c r="L994" i="3"/>
  <c r="J994" i="3"/>
  <c r="H994" i="3"/>
  <c r="I994" i="3" s="1"/>
  <c r="G994" i="3"/>
  <c r="D994" i="3"/>
  <c r="R993" i="3"/>
  <c r="Q993" i="3"/>
  <c r="N993" i="3"/>
  <c r="L993" i="3"/>
  <c r="J993" i="3"/>
  <c r="H993" i="3"/>
  <c r="I993" i="3" s="1"/>
  <c r="G993" i="3"/>
  <c r="D993" i="3"/>
  <c r="R992" i="3"/>
  <c r="Q992" i="3"/>
  <c r="N992" i="3"/>
  <c r="L992" i="3"/>
  <c r="J992" i="3"/>
  <c r="H992" i="3"/>
  <c r="I992" i="3" s="1"/>
  <c r="G992" i="3"/>
  <c r="D992" i="3"/>
  <c r="R991" i="3"/>
  <c r="Q991" i="3"/>
  <c r="N991" i="3"/>
  <c r="L991" i="3"/>
  <c r="J991" i="3"/>
  <c r="H991" i="3"/>
  <c r="I991" i="3" s="1"/>
  <c r="G991" i="3"/>
  <c r="D991" i="3"/>
  <c r="R990" i="3"/>
  <c r="Q990" i="3"/>
  <c r="N990" i="3"/>
  <c r="L990" i="3"/>
  <c r="J990" i="3"/>
  <c r="H990" i="3"/>
  <c r="I990" i="3" s="1"/>
  <c r="G990" i="3"/>
  <c r="D990" i="3"/>
  <c r="R989" i="3"/>
  <c r="Q989" i="3"/>
  <c r="N989" i="3"/>
  <c r="L989" i="3"/>
  <c r="J989" i="3"/>
  <c r="H989" i="3"/>
  <c r="I989" i="3" s="1"/>
  <c r="G989" i="3"/>
  <c r="D989" i="3"/>
  <c r="R988" i="3"/>
  <c r="Q988" i="3"/>
  <c r="N988" i="3"/>
  <c r="L988" i="3"/>
  <c r="J988" i="3"/>
  <c r="H988" i="3"/>
  <c r="I988" i="3" s="1"/>
  <c r="G988" i="3"/>
  <c r="D988" i="3"/>
  <c r="R987" i="3"/>
  <c r="Q987" i="3"/>
  <c r="N987" i="3"/>
  <c r="L987" i="3"/>
  <c r="J987" i="3"/>
  <c r="H987" i="3"/>
  <c r="I987" i="3" s="1"/>
  <c r="G987" i="3"/>
  <c r="D987" i="3"/>
  <c r="R986" i="3"/>
  <c r="Q986" i="3"/>
  <c r="N986" i="3"/>
  <c r="L986" i="3"/>
  <c r="J986" i="3"/>
  <c r="H986" i="3"/>
  <c r="I986" i="3" s="1"/>
  <c r="G986" i="3"/>
  <c r="D986" i="3"/>
  <c r="R985" i="3"/>
  <c r="Q985" i="3"/>
  <c r="N985" i="3"/>
  <c r="L985" i="3"/>
  <c r="J985" i="3"/>
  <c r="H985" i="3"/>
  <c r="I985" i="3" s="1"/>
  <c r="G985" i="3"/>
  <c r="D985" i="3"/>
  <c r="R984" i="3"/>
  <c r="Q984" i="3"/>
  <c r="N984" i="3"/>
  <c r="L984" i="3"/>
  <c r="J984" i="3"/>
  <c r="H984" i="3"/>
  <c r="I984" i="3" s="1"/>
  <c r="G984" i="3"/>
  <c r="D984" i="3"/>
  <c r="R983" i="3"/>
  <c r="Q983" i="3"/>
  <c r="N983" i="3"/>
  <c r="L983" i="3"/>
  <c r="J983" i="3"/>
  <c r="H983" i="3"/>
  <c r="I983" i="3" s="1"/>
  <c r="G983" i="3"/>
  <c r="D983" i="3"/>
  <c r="R982" i="3"/>
  <c r="Q982" i="3"/>
  <c r="N982" i="3"/>
  <c r="L982" i="3"/>
  <c r="J982" i="3"/>
  <c r="H982" i="3"/>
  <c r="I982" i="3" s="1"/>
  <c r="G982" i="3"/>
  <c r="D982" i="3"/>
  <c r="R981" i="3"/>
  <c r="Q981" i="3"/>
  <c r="N981" i="3"/>
  <c r="L981" i="3"/>
  <c r="J981" i="3"/>
  <c r="H981" i="3"/>
  <c r="I981" i="3" s="1"/>
  <c r="G981" i="3"/>
  <c r="D981" i="3"/>
  <c r="R980" i="3"/>
  <c r="Q980" i="3"/>
  <c r="N980" i="3"/>
  <c r="L980" i="3"/>
  <c r="J980" i="3"/>
  <c r="H980" i="3"/>
  <c r="I980" i="3" s="1"/>
  <c r="G980" i="3"/>
  <c r="D980" i="3"/>
  <c r="R979" i="3"/>
  <c r="Q979" i="3"/>
  <c r="N979" i="3"/>
  <c r="L979" i="3"/>
  <c r="J979" i="3"/>
  <c r="H979" i="3"/>
  <c r="I979" i="3" s="1"/>
  <c r="G979" i="3"/>
  <c r="D979" i="3"/>
  <c r="R978" i="3"/>
  <c r="Q978" i="3"/>
  <c r="N978" i="3"/>
  <c r="L978" i="3"/>
  <c r="J978" i="3"/>
  <c r="H978" i="3"/>
  <c r="I978" i="3" s="1"/>
  <c r="G978" i="3"/>
  <c r="D978" i="3"/>
  <c r="R977" i="3"/>
  <c r="Q977" i="3"/>
  <c r="N977" i="3"/>
  <c r="L977" i="3"/>
  <c r="J977" i="3"/>
  <c r="H977" i="3"/>
  <c r="I977" i="3" s="1"/>
  <c r="G977" i="3"/>
  <c r="D977" i="3"/>
  <c r="R976" i="3"/>
  <c r="Q976" i="3"/>
  <c r="N976" i="3"/>
  <c r="L976" i="3"/>
  <c r="J976" i="3"/>
  <c r="H976" i="3"/>
  <c r="I976" i="3" s="1"/>
  <c r="G976" i="3"/>
  <c r="D976" i="3"/>
  <c r="R975" i="3"/>
  <c r="Q975" i="3"/>
  <c r="N975" i="3"/>
  <c r="L975" i="3"/>
  <c r="J975" i="3"/>
  <c r="H975" i="3"/>
  <c r="I975" i="3" s="1"/>
  <c r="G975" i="3"/>
  <c r="D975" i="3"/>
  <c r="R974" i="3"/>
  <c r="Q974" i="3"/>
  <c r="N974" i="3"/>
  <c r="L974" i="3"/>
  <c r="J974" i="3"/>
  <c r="H974" i="3"/>
  <c r="I974" i="3" s="1"/>
  <c r="G974" i="3"/>
  <c r="D974" i="3"/>
  <c r="R973" i="3"/>
  <c r="Q973" i="3"/>
  <c r="N973" i="3"/>
  <c r="L973" i="3"/>
  <c r="J973" i="3"/>
  <c r="H973" i="3"/>
  <c r="I973" i="3" s="1"/>
  <c r="G973" i="3"/>
  <c r="D973" i="3"/>
  <c r="R972" i="3"/>
  <c r="Q972" i="3"/>
  <c r="N972" i="3"/>
  <c r="L972" i="3"/>
  <c r="J972" i="3"/>
  <c r="H972" i="3"/>
  <c r="I972" i="3" s="1"/>
  <c r="G972" i="3"/>
  <c r="D972" i="3"/>
  <c r="R971" i="3"/>
  <c r="Q971" i="3"/>
  <c r="N971" i="3"/>
  <c r="L971" i="3"/>
  <c r="J971" i="3"/>
  <c r="H971" i="3"/>
  <c r="I971" i="3" s="1"/>
  <c r="G971" i="3"/>
  <c r="D971" i="3"/>
  <c r="R970" i="3"/>
  <c r="Q970" i="3"/>
  <c r="N970" i="3"/>
  <c r="L970" i="3"/>
  <c r="J970" i="3"/>
  <c r="H970" i="3"/>
  <c r="I970" i="3" s="1"/>
  <c r="G970" i="3"/>
  <c r="D970" i="3"/>
  <c r="R969" i="3"/>
  <c r="Q969" i="3"/>
  <c r="N969" i="3"/>
  <c r="L969" i="3"/>
  <c r="J969" i="3"/>
  <c r="H969" i="3"/>
  <c r="I969" i="3" s="1"/>
  <c r="G969" i="3"/>
  <c r="D969" i="3"/>
  <c r="R968" i="3"/>
  <c r="Q968" i="3"/>
  <c r="N968" i="3"/>
  <c r="L968" i="3"/>
  <c r="J968" i="3"/>
  <c r="H968" i="3"/>
  <c r="I968" i="3" s="1"/>
  <c r="G968" i="3"/>
  <c r="D968" i="3"/>
  <c r="R967" i="3"/>
  <c r="Q967" i="3"/>
  <c r="N967" i="3"/>
  <c r="L967" i="3"/>
  <c r="J967" i="3"/>
  <c r="H967" i="3"/>
  <c r="I967" i="3" s="1"/>
  <c r="G967" i="3"/>
  <c r="D967" i="3"/>
  <c r="R966" i="3"/>
  <c r="Q966" i="3"/>
  <c r="N966" i="3"/>
  <c r="L966" i="3"/>
  <c r="J966" i="3"/>
  <c r="H966" i="3"/>
  <c r="I966" i="3" s="1"/>
  <c r="G966" i="3"/>
  <c r="D966" i="3"/>
  <c r="R965" i="3"/>
  <c r="Q965" i="3"/>
  <c r="N965" i="3"/>
  <c r="L965" i="3"/>
  <c r="J965" i="3"/>
  <c r="H965" i="3"/>
  <c r="I965" i="3" s="1"/>
  <c r="G965" i="3"/>
  <c r="D965" i="3"/>
  <c r="R964" i="3"/>
  <c r="Q964" i="3"/>
  <c r="N964" i="3"/>
  <c r="L964" i="3"/>
  <c r="J964" i="3"/>
  <c r="H964" i="3"/>
  <c r="I964" i="3" s="1"/>
  <c r="G964" i="3"/>
  <c r="D964" i="3"/>
  <c r="R963" i="3"/>
  <c r="Q963" i="3"/>
  <c r="N963" i="3"/>
  <c r="L963" i="3"/>
  <c r="J963" i="3"/>
  <c r="H963" i="3"/>
  <c r="I963" i="3" s="1"/>
  <c r="G963" i="3"/>
  <c r="D963" i="3"/>
  <c r="R962" i="3"/>
  <c r="Q962" i="3"/>
  <c r="N962" i="3"/>
  <c r="L962" i="3"/>
  <c r="J962" i="3"/>
  <c r="H962" i="3"/>
  <c r="I962" i="3" s="1"/>
  <c r="G962" i="3"/>
  <c r="D962" i="3"/>
  <c r="R961" i="3"/>
  <c r="Q961" i="3"/>
  <c r="N961" i="3"/>
  <c r="L961" i="3"/>
  <c r="J961" i="3"/>
  <c r="H961" i="3"/>
  <c r="I961" i="3" s="1"/>
  <c r="G961" i="3"/>
  <c r="D961" i="3"/>
  <c r="R960" i="3"/>
  <c r="Q960" i="3"/>
  <c r="N960" i="3"/>
  <c r="L960" i="3"/>
  <c r="J960" i="3"/>
  <c r="H960" i="3"/>
  <c r="I960" i="3" s="1"/>
  <c r="G960" i="3"/>
  <c r="D960" i="3"/>
  <c r="R959" i="3"/>
  <c r="Q959" i="3"/>
  <c r="N959" i="3"/>
  <c r="L959" i="3"/>
  <c r="J959" i="3"/>
  <c r="H959" i="3"/>
  <c r="I959" i="3" s="1"/>
  <c r="G959" i="3"/>
  <c r="D959" i="3"/>
  <c r="R958" i="3"/>
  <c r="Q958" i="3"/>
  <c r="N958" i="3"/>
  <c r="L958" i="3"/>
  <c r="J958" i="3"/>
  <c r="H958" i="3"/>
  <c r="I958" i="3" s="1"/>
  <c r="G958" i="3"/>
  <c r="D958" i="3"/>
  <c r="R957" i="3"/>
  <c r="Q957" i="3"/>
  <c r="N957" i="3"/>
  <c r="L957" i="3"/>
  <c r="J957" i="3"/>
  <c r="H957" i="3"/>
  <c r="I957" i="3" s="1"/>
  <c r="G957" i="3"/>
  <c r="D957" i="3"/>
  <c r="R956" i="3"/>
  <c r="Q956" i="3"/>
  <c r="N956" i="3"/>
  <c r="L956" i="3"/>
  <c r="J956" i="3"/>
  <c r="H956" i="3"/>
  <c r="I956" i="3" s="1"/>
  <c r="G956" i="3"/>
  <c r="D956" i="3"/>
  <c r="R955" i="3"/>
  <c r="Q955" i="3"/>
  <c r="N955" i="3"/>
  <c r="L955" i="3"/>
  <c r="J955" i="3"/>
  <c r="H955" i="3"/>
  <c r="I955" i="3" s="1"/>
  <c r="G955" i="3"/>
  <c r="D955" i="3"/>
  <c r="R954" i="3"/>
  <c r="Q954" i="3"/>
  <c r="N954" i="3"/>
  <c r="L954" i="3"/>
  <c r="J954" i="3"/>
  <c r="H954" i="3"/>
  <c r="I954" i="3" s="1"/>
  <c r="G954" i="3"/>
  <c r="D954" i="3"/>
  <c r="R953" i="3"/>
  <c r="Q953" i="3"/>
  <c r="N953" i="3"/>
  <c r="L953" i="3"/>
  <c r="J953" i="3"/>
  <c r="H953" i="3"/>
  <c r="I953" i="3" s="1"/>
  <c r="G953" i="3"/>
  <c r="D953" i="3"/>
  <c r="R952" i="3"/>
  <c r="Q952" i="3"/>
  <c r="N952" i="3"/>
  <c r="L952" i="3"/>
  <c r="J952" i="3"/>
  <c r="H952" i="3"/>
  <c r="I952" i="3" s="1"/>
  <c r="G952" i="3"/>
  <c r="D952" i="3"/>
  <c r="R951" i="3"/>
  <c r="Q951" i="3"/>
  <c r="N951" i="3"/>
  <c r="L951" i="3"/>
  <c r="J951" i="3"/>
  <c r="H951" i="3"/>
  <c r="I951" i="3" s="1"/>
  <c r="G951" i="3"/>
  <c r="D951" i="3"/>
  <c r="R950" i="3"/>
  <c r="Q950" i="3"/>
  <c r="N950" i="3"/>
  <c r="L950" i="3"/>
  <c r="J950" i="3"/>
  <c r="H950" i="3"/>
  <c r="I950" i="3" s="1"/>
  <c r="G950" i="3"/>
  <c r="D950" i="3"/>
  <c r="R949" i="3"/>
  <c r="Q949" i="3"/>
  <c r="N949" i="3"/>
  <c r="L949" i="3"/>
  <c r="J949" i="3"/>
  <c r="H949" i="3"/>
  <c r="I949" i="3" s="1"/>
  <c r="G949" i="3"/>
  <c r="D949" i="3"/>
  <c r="R948" i="3"/>
  <c r="Q948" i="3"/>
  <c r="N948" i="3"/>
  <c r="L948" i="3"/>
  <c r="J948" i="3"/>
  <c r="H948" i="3"/>
  <c r="I948" i="3" s="1"/>
  <c r="G948" i="3"/>
  <c r="D948" i="3"/>
  <c r="R947" i="3"/>
  <c r="Q947" i="3"/>
  <c r="N947" i="3"/>
  <c r="L947" i="3"/>
  <c r="J947" i="3"/>
  <c r="H947" i="3"/>
  <c r="I947" i="3" s="1"/>
  <c r="G947" i="3"/>
  <c r="D947" i="3"/>
  <c r="R946" i="3"/>
  <c r="Q946" i="3"/>
  <c r="N946" i="3"/>
  <c r="L946" i="3"/>
  <c r="J946" i="3"/>
  <c r="H946" i="3"/>
  <c r="I946" i="3" s="1"/>
  <c r="G946" i="3"/>
  <c r="D946" i="3"/>
  <c r="R945" i="3"/>
  <c r="Q945" i="3"/>
  <c r="N945" i="3"/>
  <c r="L945" i="3"/>
  <c r="J945" i="3"/>
  <c r="H945" i="3"/>
  <c r="I945" i="3" s="1"/>
  <c r="G945" i="3"/>
  <c r="D945" i="3"/>
  <c r="R944" i="3"/>
  <c r="Q944" i="3"/>
  <c r="N944" i="3"/>
  <c r="L944" i="3"/>
  <c r="J944" i="3"/>
  <c r="H944" i="3"/>
  <c r="I944" i="3" s="1"/>
  <c r="G944" i="3"/>
  <c r="D944" i="3"/>
  <c r="R943" i="3"/>
  <c r="Q943" i="3"/>
  <c r="N943" i="3"/>
  <c r="L943" i="3"/>
  <c r="J943" i="3"/>
  <c r="H943" i="3"/>
  <c r="I943" i="3" s="1"/>
  <c r="G943" i="3"/>
  <c r="D943" i="3"/>
  <c r="R942" i="3"/>
  <c r="Q942" i="3"/>
  <c r="N942" i="3"/>
  <c r="L942" i="3"/>
  <c r="J942" i="3"/>
  <c r="H942" i="3"/>
  <c r="I942" i="3" s="1"/>
  <c r="G942" i="3"/>
  <c r="D942" i="3"/>
  <c r="R941" i="3"/>
  <c r="Q941" i="3"/>
  <c r="N941" i="3"/>
  <c r="L941" i="3"/>
  <c r="J941" i="3"/>
  <c r="H941" i="3"/>
  <c r="I941" i="3" s="1"/>
  <c r="G941" i="3"/>
  <c r="D941" i="3"/>
  <c r="R940" i="3"/>
  <c r="Q940" i="3"/>
  <c r="N940" i="3"/>
  <c r="L940" i="3"/>
  <c r="J940" i="3"/>
  <c r="H940" i="3"/>
  <c r="I940" i="3" s="1"/>
  <c r="G940" i="3"/>
  <c r="D940" i="3"/>
  <c r="R939" i="3"/>
  <c r="Q939" i="3"/>
  <c r="N939" i="3"/>
  <c r="L939" i="3"/>
  <c r="J939" i="3"/>
  <c r="H939" i="3"/>
  <c r="I939" i="3" s="1"/>
  <c r="G939" i="3"/>
  <c r="D939" i="3"/>
  <c r="R938" i="3"/>
  <c r="Q938" i="3"/>
  <c r="N938" i="3"/>
  <c r="L938" i="3"/>
  <c r="J938" i="3"/>
  <c r="H938" i="3"/>
  <c r="I938" i="3" s="1"/>
  <c r="G938" i="3"/>
  <c r="D938" i="3"/>
  <c r="R937" i="3"/>
  <c r="Q937" i="3"/>
  <c r="N937" i="3"/>
  <c r="L937" i="3"/>
  <c r="J937" i="3"/>
  <c r="H937" i="3"/>
  <c r="I937" i="3" s="1"/>
  <c r="G937" i="3"/>
  <c r="D937" i="3"/>
  <c r="R936" i="3"/>
  <c r="Q936" i="3"/>
  <c r="N936" i="3"/>
  <c r="L936" i="3"/>
  <c r="J936" i="3"/>
  <c r="H936" i="3"/>
  <c r="I936" i="3" s="1"/>
  <c r="G936" i="3"/>
  <c r="D936" i="3"/>
  <c r="R935" i="3"/>
  <c r="Q935" i="3"/>
  <c r="N935" i="3"/>
  <c r="L935" i="3"/>
  <c r="J935" i="3"/>
  <c r="H935" i="3"/>
  <c r="I935" i="3" s="1"/>
  <c r="G935" i="3"/>
  <c r="D935" i="3"/>
  <c r="R934" i="3"/>
  <c r="Q934" i="3"/>
  <c r="N934" i="3"/>
  <c r="L934" i="3"/>
  <c r="J934" i="3"/>
  <c r="H934" i="3"/>
  <c r="I934" i="3" s="1"/>
  <c r="G934" i="3"/>
  <c r="D934" i="3"/>
  <c r="R933" i="3"/>
  <c r="Q933" i="3"/>
  <c r="N933" i="3"/>
  <c r="L933" i="3"/>
  <c r="J933" i="3"/>
  <c r="AC933" i="3" s="1"/>
  <c r="H933" i="3"/>
  <c r="I933" i="3" s="1"/>
  <c r="G933" i="3"/>
  <c r="D933" i="3"/>
  <c r="R932" i="3"/>
  <c r="Q932" i="3"/>
  <c r="N932" i="3"/>
  <c r="L932" i="3"/>
  <c r="J932" i="3"/>
  <c r="AC932" i="3" s="1"/>
  <c r="H932" i="3"/>
  <c r="I932" i="3" s="1"/>
  <c r="G932" i="3"/>
  <c r="D932" i="3"/>
  <c r="R931" i="3"/>
  <c r="Q931" i="3"/>
  <c r="N931" i="3"/>
  <c r="L931" i="3"/>
  <c r="J931" i="3"/>
  <c r="AC931" i="3" s="1"/>
  <c r="H931" i="3"/>
  <c r="I931" i="3" s="1"/>
  <c r="G931" i="3"/>
  <c r="D931" i="3"/>
  <c r="R930" i="3"/>
  <c r="Q930" i="3"/>
  <c r="N930" i="3"/>
  <c r="L930" i="3"/>
  <c r="J930" i="3"/>
  <c r="AC930" i="3" s="1"/>
  <c r="H930" i="3"/>
  <c r="I930" i="3" s="1"/>
  <c r="G930" i="3"/>
  <c r="D930" i="3"/>
  <c r="R929" i="3"/>
  <c r="Q929" i="3"/>
  <c r="N929" i="3"/>
  <c r="L929" i="3"/>
  <c r="J929" i="3"/>
  <c r="AC929" i="3" s="1"/>
  <c r="H929" i="3"/>
  <c r="I929" i="3" s="1"/>
  <c r="G929" i="3"/>
  <c r="D929" i="3"/>
  <c r="R928" i="3"/>
  <c r="Q928" i="3"/>
  <c r="N928" i="3"/>
  <c r="L928" i="3"/>
  <c r="J928" i="3"/>
  <c r="AC928" i="3" s="1"/>
  <c r="H928" i="3"/>
  <c r="I928" i="3" s="1"/>
  <c r="G928" i="3"/>
  <c r="D928" i="3"/>
  <c r="R927" i="3"/>
  <c r="Q927" i="3"/>
  <c r="N927" i="3"/>
  <c r="L927" i="3"/>
  <c r="J927" i="3"/>
  <c r="AC927" i="3" s="1"/>
  <c r="H927" i="3"/>
  <c r="I927" i="3" s="1"/>
  <c r="G927" i="3"/>
  <c r="D927" i="3"/>
  <c r="R926" i="3"/>
  <c r="Q926" i="3"/>
  <c r="N926" i="3"/>
  <c r="L926" i="3"/>
  <c r="J926" i="3"/>
  <c r="AC926" i="3" s="1"/>
  <c r="H926" i="3"/>
  <c r="I926" i="3" s="1"/>
  <c r="G926" i="3"/>
  <c r="D926" i="3"/>
  <c r="R925" i="3"/>
  <c r="Q925" i="3"/>
  <c r="N925" i="3"/>
  <c r="L925" i="3"/>
  <c r="J925" i="3"/>
  <c r="AC925" i="3" s="1"/>
  <c r="H925" i="3"/>
  <c r="I925" i="3" s="1"/>
  <c r="G925" i="3"/>
  <c r="D925" i="3"/>
  <c r="R924" i="3"/>
  <c r="Q924" i="3"/>
  <c r="N924" i="3"/>
  <c r="L924" i="3"/>
  <c r="J924" i="3"/>
  <c r="AC924" i="3" s="1"/>
  <c r="H924" i="3"/>
  <c r="I924" i="3" s="1"/>
  <c r="G924" i="3"/>
  <c r="D924" i="3"/>
  <c r="R923" i="3"/>
  <c r="Q923" i="3"/>
  <c r="N923" i="3"/>
  <c r="L923" i="3"/>
  <c r="J923" i="3"/>
  <c r="AC923" i="3" s="1"/>
  <c r="H923" i="3"/>
  <c r="I923" i="3" s="1"/>
  <c r="G923" i="3"/>
  <c r="D923" i="3"/>
  <c r="R922" i="3"/>
  <c r="Q922" i="3"/>
  <c r="N922" i="3"/>
  <c r="L922" i="3"/>
  <c r="J922" i="3"/>
  <c r="AC922" i="3" s="1"/>
  <c r="H922" i="3"/>
  <c r="I922" i="3" s="1"/>
  <c r="G922" i="3"/>
  <c r="D922" i="3"/>
  <c r="R921" i="3"/>
  <c r="Q921" i="3"/>
  <c r="N921" i="3"/>
  <c r="L921" i="3"/>
  <c r="J921" i="3"/>
  <c r="AC921" i="3" s="1"/>
  <c r="H921" i="3"/>
  <c r="I921" i="3" s="1"/>
  <c r="G921" i="3"/>
  <c r="D921" i="3"/>
  <c r="R920" i="3"/>
  <c r="Q920" i="3"/>
  <c r="N920" i="3"/>
  <c r="L920" i="3"/>
  <c r="J920" i="3"/>
  <c r="AC920" i="3" s="1"/>
  <c r="H920" i="3"/>
  <c r="I920" i="3" s="1"/>
  <c r="G920" i="3"/>
  <c r="D920" i="3"/>
  <c r="R919" i="3"/>
  <c r="Q919" i="3"/>
  <c r="N919" i="3"/>
  <c r="L919" i="3"/>
  <c r="J919" i="3"/>
  <c r="AC919" i="3" s="1"/>
  <c r="H919" i="3"/>
  <c r="I919" i="3" s="1"/>
  <c r="G919" i="3"/>
  <c r="D919" i="3"/>
  <c r="R918" i="3"/>
  <c r="Q918" i="3"/>
  <c r="N918" i="3"/>
  <c r="L918" i="3"/>
  <c r="J918" i="3"/>
  <c r="AC918" i="3" s="1"/>
  <c r="H918" i="3"/>
  <c r="I918" i="3" s="1"/>
  <c r="G918" i="3"/>
  <c r="D918" i="3"/>
  <c r="R917" i="3"/>
  <c r="Q917" i="3"/>
  <c r="N917" i="3"/>
  <c r="L917" i="3"/>
  <c r="J917" i="3"/>
  <c r="AC917" i="3" s="1"/>
  <c r="H917" i="3"/>
  <c r="I917" i="3" s="1"/>
  <c r="G917" i="3"/>
  <c r="D917" i="3"/>
  <c r="R916" i="3"/>
  <c r="Q916" i="3"/>
  <c r="N916" i="3"/>
  <c r="L916" i="3"/>
  <c r="J916" i="3"/>
  <c r="AC916" i="3" s="1"/>
  <c r="H916" i="3"/>
  <c r="I916" i="3" s="1"/>
  <c r="G916" i="3"/>
  <c r="D916" i="3"/>
  <c r="R915" i="3"/>
  <c r="Q915" i="3"/>
  <c r="N915" i="3"/>
  <c r="L915" i="3"/>
  <c r="J915" i="3"/>
  <c r="AC915" i="3" s="1"/>
  <c r="H915" i="3"/>
  <c r="I915" i="3" s="1"/>
  <c r="G915" i="3"/>
  <c r="D915" i="3"/>
  <c r="R914" i="3"/>
  <c r="Q914" i="3"/>
  <c r="N914" i="3"/>
  <c r="L914" i="3"/>
  <c r="J914" i="3"/>
  <c r="AC914" i="3" s="1"/>
  <c r="H914" i="3"/>
  <c r="I914" i="3" s="1"/>
  <c r="G914" i="3"/>
  <c r="D914" i="3"/>
  <c r="R913" i="3"/>
  <c r="Q913" i="3"/>
  <c r="N913" i="3"/>
  <c r="L913" i="3"/>
  <c r="J913" i="3"/>
  <c r="AC913" i="3" s="1"/>
  <c r="H913" i="3"/>
  <c r="I913" i="3" s="1"/>
  <c r="G913" i="3"/>
  <c r="D913" i="3"/>
  <c r="R912" i="3"/>
  <c r="Q912" i="3"/>
  <c r="N912" i="3"/>
  <c r="L912" i="3"/>
  <c r="J912" i="3"/>
  <c r="AC912" i="3" s="1"/>
  <c r="H912" i="3"/>
  <c r="I912" i="3" s="1"/>
  <c r="G912" i="3"/>
  <c r="D912" i="3"/>
  <c r="R911" i="3"/>
  <c r="Q911" i="3"/>
  <c r="N911" i="3"/>
  <c r="L911" i="3"/>
  <c r="J911" i="3"/>
  <c r="AC911" i="3" s="1"/>
  <c r="H911" i="3"/>
  <c r="I911" i="3" s="1"/>
  <c r="G911" i="3"/>
  <c r="D911" i="3"/>
  <c r="R910" i="3"/>
  <c r="Q910" i="3"/>
  <c r="N910" i="3"/>
  <c r="L910" i="3"/>
  <c r="J910" i="3"/>
  <c r="AC910" i="3" s="1"/>
  <c r="H910" i="3"/>
  <c r="I910" i="3" s="1"/>
  <c r="G910" i="3"/>
  <c r="D910" i="3"/>
  <c r="R909" i="3"/>
  <c r="Q909" i="3"/>
  <c r="N909" i="3"/>
  <c r="L909" i="3"/>
  <c r="J909" i="3"/>
  <c r="AC909" i="3" s="1"/>
  <c r="H909" i="3"/>
  <c r="I909" i="3" s="1"/>
  <c r="G909" i="3"/>
  <c r="D909" i="3"/>
  <c r="R908" i="3"/>
  <c r="Q908" i="3"/>
  <c r="N908" i="3"/>
  <c r="L908" i="3"/>
  <c r="J908" i="3"/>
  <c r="AC908" i="3" s="1"/>
  <c r="H908" i="3"/>
  <c r="I908" i="3" s="1"/>
  <c r="G908" i="3"/>
  <c r="D908" i="3"/>
  <c r="R907" i="3"/>
  <c r="Q907" i="3"/>
  <c r="N907" i="3"/>
  <c r="L907" i="3"/>
  <c r="J907" i="3"/>
  <c r="AC907" i="3" s="1"/>
  <c r="H907" i="3"/>
  <c r="I907" i="3" s="1"/>
  <c r="G907" i="3"/>
  <c r="D907" i="3"/>
  <c r="R906" i="3"/>
  <c r="Q906" i="3"/>
  <c r="N906" i="3"/>
  <c r="L906" i="3"/>
  <c r="J906" i="3"/>
  <c r="AC906" i="3" s="1"/>
  <c r="H906" i="3"/>
  <c r="I906" i="3" s="1"/>
  <c r="G906" i="3"/>
  <c r="D906" i="3"/>
  <c r="R905" i="3"/>
  <c r="Q905" i="3"/>
  <c r="N905" i="3"/>
  <c r="L905" i="3"/>
  <c r="J905" i="3"/>
  <c r="AC905" i="3" s="1"/>
  <c r="H905" i="3"/>
  <c r="I905" i="3" s="1"/>
  <c r="G905" i="3"/>
  <c r="D905" i="3"/>
  <c r="R904" i="3"/>
  <c r="Q904" i="3"/>
  <c r="N904" i="3"/>
  <c r="L904" i="3"/>
  <c r="J904" i="3"/>
  <c r="AC904" i="3" s="1"/>
  <c r="H904" i="3"/>
  <c r="I904" i="3" s="1"/>
  <c r="G904" i="3"/>
  <c r="D904" i="3"/>
  <c r="R903" i="3"/>
  <c r="Q903" i="3"/>
  <c r="N903" i="3"/>
  <c r="L903" i="3"/>
  <c r="J903" i="3"/>
  <c r="AC903" i="3" s="1"/>
  <c r="H903" i="3"/>
  <c r="I903" i="3" s="1"/>
  <c r="G903" i="3"/>
  <c r="D903" i="3"/>
  <c r="R902" i="3"/>
  <c r="Q902" i="3"/>
  <c r="N902" i="3"/>
  <c r="L902" i="3"/>
  <c r="J902" i="3"/>
  <c r="AC902" i="3" s="1"/>
  <c r="H902" i="3"/>
  <c r="I902" i="3" s="1"/>
  <c r="G902" i="3"/>
  <c r="D902" i="3"/>
  <c r="R901" i="3"/>
  <c r="Q901" i="3"/>
  <c r="N901" i="3"/>
  <c r="L901" i="3"/>
  <c r="J901" i="3"/>
  <c r="AC901" i="3" s="1"/>
  <c r="H901" i="3"/>
  <c r="I901" i="3" s="1"/>
  <c r="G901" i="3"/>
  <c r="D901" i="3"/>
  <c r="R900" i="3"/>
  <c r="Q900" i="3"/>
  <c r="N900" i="3"/>
  <c r="L900" i="3"/>
  <c r="J900" i="3"/>
  <c r="AC900" i="3" s="1"/>
  <c r="H900" i="3"/>
  <c r="I900" i="3" s="1"/>
  <c r="G900" i="3"/>
  <c r="D900" i="3"/>
  <c r="R899" i="3"/>
  <c r="Q899" i="3"/>
  <c r="N899" i="3"/>
  <c r="L899" i="3"/>
  <c r="J899" i="3"/>
  <c r="AC899" i="3" s="1"/>
  <c r="H899" i="3"/>
  <c r="I899" i="3" s="1"/>
  <c r="G899" i="3"/>
  <c r="D899" i="3"/>
  <c r="R898" i="3"/>
  <c r="Q898" i="3"/>
  <c r="N898" i="3"/>
  <c r="L898" i="3"/>
  <c r="J898" i="3"/>
  <c r="AC898" i="3" s="1"/>
  <c r="H898" i="3"/>
  <c r="I898" i="3" s="1"/>
  <c r="G898" i="3"/>
  <c r="D898" i="3"/>
  <c r="R897" i="3"/>
  <c r="Q897" i="3"/>
  <c r="N897" i="3"/>
  <c r="L897" i="3"/>
  <c r="J897" i="3"/>
  <c r="AC897" i="3" s="1"/>
  <c r="H897" i="3"/>
  <c r="I897" i="3" s="1"/>
  <c r="G897" i="3"/>
  <c r="D897" i="3"/>
  <c r="R896" i="3"/>
  <c r="Q896" i="3"/>
  <c r="N896" i="3"/>
  <c r="L896" i="3"/>
  <c r="J896" i="3"/>
  <c r="AC896" i="3" s="1"/>
  <c r="H896" i="3"/>
  <c r="I896" i="3" s="1"/>
  <c r="G896" i="3"/>
  <c r="D896" i="3"/>
  <c r="R895" i="3"/>
  <c r="Q895" i="3"/>
  <c r="N895" i="3"/>
  <c r="L895" i="3"/>
  <c r="J895" i="3"/>
  <c r="AC895" i="3" s="1"/>
  <c r="H895" i="3"/>
  <c r="I895" i="3" s="1"/>
  <c r="G895" i="3"/>
  <c r="D895" i="3"/>
  <c r="R894" i="3"/>
  <c r="Q894" i="3"/>
  <c r="N894" i="3"/>
  <c r="L894" i="3"/>
  <c r="J894" i="3"/>
  <c r="AC894" i="3" s="1"/>
  <c r="H894" i="3"/>
  <c r="I894" i="3" s="1"/>
  <c r="G894" i="3"/>
  <c r="D894" i="3"/>
  <c r="R893" i="3"/>
  <c r="Q893" i="3"/>
  <c r="N893" i="3"/>
  <c r="L893" i="3"/>
  <c r="J893" i="3"/>
  <c r="AC893" i="3" s="1"/>
  <c r="H893" i="3"/>
  <c r="I893" i="3" s="1"/>
  <c r="G893" i="3"/>
  <c r="D893" i="3"/>
  <c r="R892" i="3"/>
  <c r="Q892" i="3"/>
  <c r="N892" i="3"/>
  <c r="L892" i="3"/>
  <c r="J892" i="3"/>
  <c r="AC892" i="3" s="1"/>
  <c r="H892" i="3"/>
  <c r="I892" i="3" s="1"/>
  <c r="G892" i="3"/>
  <c r="D892" i="3"/>
  <c r="R891" i="3"/>
  <c r="Q891" i="3"/>
  <c r="N891" i="3"/>
  <c r="L891" i="3"/>
  <c r="J891" i="3"/>
  <c r="AC891" i="3" s="1"/>
  <c r="H891" i="3"/>
  <c r="I891" i="3" s="1"/>
  <c r="G891" i="3"/>
  <c r="D891" i="3"/>
  <c r="R890" i="3"/>
  <c r="Q890" i="3"/>
  <c r="N890" i="3"/>
  <c r="L890" i="3"/>
  <c r="J890" i="3"/>
  <c r="AC890" i="3" s="1"/>
  <c r="H890" i="3"/>
  <c r="I890" i="3" s="1"/>
  <c r="G890" i="3"/>
  <c r="D890" i="3"/>
  <c r="R889" i="3"/>
  <c r="Q889" i="3"/>
  <c r="N889" i="3"/>
  <c r="L889" i="3"/>
  <c r="J889" i="3"/>
  <c r="AC889" i="3" s="1"/>
  <c r="H889" i="3"/>
  <c r="I889" i="3" s="1"/>
  <c r="G889" i="3"/>
  <c r="D889" i="3"/>
  <c r="R888" i="3"/>
  <c r="Q888" i="3"/>
  <c r="N888" i="3"/>
  <c r="L888" i="3"/>
  <c r="J888" i="3"/>
  <c r="AC888" i="3" s="1"/>
  <c r="H888" i="3"/>
  <c r="I888" i="3" s="1"/>
  <c r="G888" i="3"/>
  <c r="D888" i="3"/>
  <c r="R887" i="3"/>
  <c r="Q887" i="3"/>
  <c r="N887" i="3"/>
  <c r="L887" i="3"/>
  <c r="J887" i="3"/>
  <c r="AC887" i="3" s="1"/>
  <c r="H887" i="3"/>
  <c r="I887" i="3" s="1"/>
  <c r="G887" i="3"/>
  <c r="D887" i="3"/>
  <c r="R886" i="3"/>
  <c r="Q886" i="3"/>
  <c r="N886" i="3"/>
  <c r="L886" i="3"/>
  <c r="J886" i="3"/>
  <c r="AC886" i="3" s="1"/>
  <c r="H886" i="3"/>
  <c r="I886" i="3" s="1"/>
  <c r="G886" i="3"/>
  <c r="D886" i="3"/>
  <c r="R885" i="3"/>
  <c r="Q885" i="3"/>
  <c r="N885" i="3"/>
  <c r="L885" i="3"/>
  <c r="J885" i="3"/>
  <c r="AC885" i="3" s="1"/>
  <c r="H885" i="3"/>
  <c r="I885" i="3" s="1"/>
  <c r="G885" i="3"/>
  <c r="D885" i="3"/>
  <c r="R884" i="3"/>
  <c r="Q884" i="3"/>
  <c r="N884" i="3"/>
  <c r="L884" i="3"/>
  <c r="J884" i="3"/>
  <c r="AC884" i="3" s="1"/>
  <c r="H884" i="3"/>
  <c r="I884" i="3" s="1"/>
  <c r="G884" i="3"/>
  <c r="D884" i="3"/>
  <c r="R883" i="3"/>
  <c r="Q883" i="3"/>
  <c r="N883" i="3"/>
  <c r="L883" i="3"/>
  <c r="J883" i="3"/>
  <c r="AC883" i="3" s="1"/>
  <c r="H883" i="3"/>
  <c r="I883" i="3" s="1"/>
  <c r="G883" i="3"/>
  <c r="D883" i="3"/>
  <c r="R882" i="3"/>
  <c r="Q882" i="3"/>
  <c r="N882" i="3"/>
  <c r="L882" i="3"/>
  <c r="J882" i="3"/>
  <c r="AC882" i="3" s="1"/>
  <c r="H882" i="3"/>
  <c r="I882" i="3" s="1"/>
  <c r="G882" i="3"/>
  <c r="D882" i="3"/>
  <c r="R881" i="3"/>
  <c r="Q881" i="3"/>
  <c r="N881" i="3"/>
  <c r="L881" i="3"/>
  <c r="J881" i="3"/>
  <c r="AC881" i="3" s="1"/>
  <c r="H881" i="3"/>
  <c r="I881" i="3" s="1"/>
  <c r="G881" i="3"/>
  <c r="D881" i="3"/>
  <c r="R880" i="3"/>
  <c r="Q880" i="3"/>
  <c r="N880" i="3"/>
  <c r="L880" i="3"/>
  <c r="J880" i="3"/>
  <c r="AC880" i="3" s="1"/>
  <c r="H880" i="3"/>
  <c r="I880" i="3" s="1"/>
  <c r="G880" i="3"/>
  <c r="D880" i="3"/>
  <c r="R879" i="3"/>
  <c r="Q879" i="3"/>
  <c r="N879" i="3"/>
  <c r="L879" i="3"/>
  <c r="J879" i="3"/>
  <c r="AC879" i="3" s="1"/>
  <c r="H879" i="3"/>
  <c r="I879" i="3" s="1"/>
  <c r="G879" i="3"/>
  <c r="D879" i="3"/>
  <c r="R878" i="3"/>
  <c r="Q878" i="3"/>
  <c r="N878" i="3"/>
  <c r="L878" i="3"/>
  <c r="J878" i="3"/>
  <c r="AC878" i="3" s="1"/>
  <c r="H878" i="3"/>
  <c r="I878" i="3" s="1"/>
  <c r="G878" i="3"/>
  <c r="D878" i="3"/>
  <c r="R877" i="3"/>
  <c r="Q877" i="3"/>
  <c r="N877" i="3"/>
  <c r="L877" i="3"/>
  <c r="J877" i="3"/>
  <c r="AC877" i="3" s="1"/>
  <c r="H877" i="3"/>
  <c r="I877" i="3" s="1"/>
  <c r="G877" i="3"/>
  <c r="D877" i="3"/>
  <c r="R876" i="3"/>
  <c r="Q876" i="3"/>
  <c r="N876" i="3"/>
  <c r="L876" i="3"/>
  <c r="J876" i="3"/>
  <c r="AC876" i="3" s="1"/>
  <c r="H876" i="3"/>
  <c r="I876" i="3" s="1"/>
  <c r="G876" i="3"/>
  <c r="D876" i="3"/>
  <c r="R875" i="3"/>
  <c r="Q875" i="3"/>
  <c r="N875" i="3"/>
  <c r="L875" i="3"/>
  <c r="J875" i="3"/>
  <c r="AC875" i="3" s="1"/>
  <c r="H875" i="3"/>
  <c r="I875" i="3" s="1"/>
  <c r="G875" i="3"/>
  <c r="D875" i="3"/>
  <c r="R874" i="3"/>
  <c r="Q874" i="3"/>
  <c r="N874" i="3"/>
  <c r="L874" i="3"/>
  <c r="J874" i="3"/>
  <c r="AC874" i="3" s="1"/>
  <c r="H874" i="3"/>
  <c r="I874" i="3" s="1"/>
  <c r="G874" i="3"/>
  <c r="D874" i="3"/>
  <c r="R873" i="3"/>
  <c r="Q873" i="3"/>
  <c r="N873" i="3"/>
  <c r="L873" i="3"/>
  <c r="J873" i="3"/>
  <c r="AC873" i="3" s="1"/>
  <c r="H873" i="3"/>
  <c r="I873" i="3" s="1"/>
  <c r="G873" i="3"/>
  <c r="D873" i="3"/>
  <c r="R872" i="3"/>
  <c r="Q872" i="3"/>
  <c r="N872" i="3"/>
  <c r="L872" i="3"/>
  <c r="J872" i="3"/>
  <c r="AC872" i="3" s="1"/>
  <c r="H872" i="3"/>
  <c r="I872" i="3" s="1"/>
  <c r="G872" i="3"/>
  <c r="D872" i="3"/>
  <c r="R871" i="3"/>
  <c r="Q871" i="3"/>
  <c r="N871" i="3"/>
  <c r="L871" i="3"/>
  <c r="J871" i="3"/>
  <c r="AC871" i="3" s="1"/>
  <c r="H871" i="3"/>
  <c r="I871" i="3" s="1"/>
  <c r="G871" i="3"/>
  <c r="D871" i="3"/>
  <c r="R870" i="3"/>
  <c r="Q870" i="3"/>
  <c r="N870" i="3"/>
  <c r="L870" i="3"/>
  <c r="J870" i="3"/>
  <c r="AC870" i="3" s="1"/>
  <c r="H870" i="3"/>
  <c r="I870" i="3" s="1"/>
  <c r="G870" i="3"/>
  <c r="D870" i="3"/>
  <c r="R869" i="3"/>
  <c r="Q869" i="3"/>
  <c r="N869" i="3"/>
  <c r="L869" i="3"/>
  <c r="J869" i="3"/>
  <c r="AC869" i="3" s="1"/>
  <c r="H869" i="3"/>
  <c r="I869" i="3" s="1"/>
  <c r="G869" i="3"/>
  <c r="D869" i="3"/>
  <c r="R868" i="3"/>
  <c r="Q868" i="3"/>
  <c r="N868" i="3"/>
  <c r="L868" i="3"/>
  <c r="J868" i="3"/>
  <c r="AC868" i="3" s="1"/>
  <c r="H868" i="3"/>
  <c r="I868" i="3" s="1"/>
  <c r="G868" i="3"/>
  <c r="D868" i="3"/>
  <c r="R867" i="3"/>
  <c r="Q867" i="3"/>
  <c r="N867" i="3"/>
  <c r="L867" i="3"/>
  <c r="J867" i="3"/>
  <c r="AC867" i="3" s="1"/>
  <c r="H867" i="3"/>
  <c r="I867" i="3" s="1"/>
  <c r="G867" i="3"/>
  <c r="D867" i="3"/>
  <c r="R866" i="3"/>
  <c r="Q866" i="3"/>
  <c r="N866" i="3"/>
  <c r="L866" i="3"/>
  <c r="J866" i="3"/>
  <c r="AC866" i="3" s="1"/>
  <c r="H866" i="3"/>
  <c r="I866" i="3" s="1"/>
  <c r="G866" i="3"/>
  <c r="D866" i="3"/>
  <c r="R865" i="3"/>
  <c r="Q865" i="3"/>
  <c r="N865" i="3"/>
  <c r="L865" i="3"/>
  <c r="J865" i="3"/>
  <c r="AC865" i="3" s="1"/>
  <c r="H865" i="3"/>
  <c r="I865" i="3" s="1"/>
  <c r="G865" i="3"/>
  <c r="D865" i="3"/>
  <c r="R864" i="3"/>
  <c r="Q864" i="3"/>
  <c r="N864" i="3"/>
  <c r="L864" i="3"/>
  <c r="J864" i="3"/>
  <c r="AC864" i="3" s="1"/>
  <c r="H864" i="3"/>
  <c r="I864" i="3" s="1"/>
  <c r="G864" i="3"/>
  <c r="D864" i="3"/>
  <c r="R863" i="3"/>
  <c r="Q863" i="3"/>
  <c r="N863" i="3"/>
  <c r="L863" i="3"/>
  <c r="J863" i="3"/>
  <c r="AC863" i="3" s="1"/>
  <c r="H863" i="3"/>
  <c r="I863" i="3" s="1"/>
  <c r="G863" i="3"/>
  <c r="D863" i="3"/>
  <c r="R862" i="3"/>
  <c r="Q862" i="3"/>
  <c r="N862" i="3"/>
  <c r="L862" i="3"/>
  <c r="J862" i="3"/>
  <c r="AC862" i="3" s="1"/>
  <c r="H862" i="3"/>
  <c r="I862" i="3" s="1"/>
  <c r="G862" i="3"/>
  <c r="D862" i="3"/>
  <c r="R861" i="3"/>
  <c r="Q861" i="3"/>
  <c r="N861" i="3"/>
  <c r="L861" i="3"/>
  <c r="J861" i="3"/>
  <c r="AC861" i="3" s="1"/>
  <c r="H861" i="3"/>
  <c r="I861" i="3" s="1"/>
  <c r="G861" i="3"/>
  <c r="D861" i="3"/>
  <c r="R860" i="3"/>
  <c r="Q860" i="3"/>
  <c r="N860" i="3"/>
  <c r="L860" i="3"/>
  <c r="J860" i="3"/>
  <c r="AC860" i="3" s="1"/>
  <c r="H860" i="3"/>
  <c r="I860" i="3" s="1"/>
  <c r="G860" i="3"/>
  <c r="D860" i="3"/>
  <c r="R859" i="3"/>
  <c r="Q859" i="3"/>
  <c r="N859" i="3"/>
  <c r="L859" i="3"/>
  <c r="J859" i="3"/>
  <c r="AC859" i="3" s="1"/>
  <c r="H859" i="3"/>
  <c r="I859" i="3" s="1"/>
  <c r="G859" i="3"/>
  <c r="D859" i="3"/>
  <c r="R858" i="3"/>
  <c r="Q858" i="3"/>
  <c r="N858" i="3"/>
  <c r="L858" i="3"/>
  <c r="J858" i="3"/>
  <c r="AC858" i="3" s="1"/>
  <c r="H858" i="3"/>
  <c r="I858" i="3" s="1"/>
  <c r="G858" i="3"/>
  <c r="D858" i="3"/>
  <c r="R857" i="3"/>
  <c r="Q857" i="3"/>
  <c r="N857" i="3"/>
  <c r="L857" i="3"/>
  <c r="J857" i="3"/>
  <c r="AC857" i="3" s="1"/>
  <c r="H857" i="3"/>
  <c r="I857" i="3" s="1"/>
  <c r="G857" i="3"/>
  <c r="D857" i="3"/>
  <c r="R856" i="3"/>
  <c r="Q856" i="3"/>
  <c r="N856" i="3"/>
  <c r="L856" i="3"/>
  <c r="J856" i="3"/>
  <c r="AC856" i="3" s="1"/>
  <c r="H856" i="3"/>
  <c r="I856" i="3" s="1"/>
  <c r="G856" i="3"/>
  <c r="D856" i="3"/>
  <c r="R855" i="3"/>
  <c r="Q855" i="3"/>
  <c r="N855" i="3"/>
  <c r="L855" i="3"/>
  <c r="J855" i="3"/>
  <c r="AC855" i="3" s="1"/>
  <c r="H855" i="3"/>
  <c r="I855" i="3" s="1"/>
  <c r="G855" i="3"/>
  <c r="D855" i="3"/>
  <c r="R854" i="3"/>
  <c r="Q854" i="3"/>
  <c r="N854" i="3"/>
  <c r="L854" i="3"/>
  <c r="J854" i="3"/>
  <c r="AC854" i="3" s="1"/>
  <c r="H854" i="3"/>
  <c r="I854" i="3" s="1"/>
  <c r="G854" i="3"/>
  <c r="D854" i="3"/>
  <c r="R853" i="3"/>
  <c r="Q853" i="3"/>
  <c r="N853" i="3"/>
  <c r="L853" i="3"/>
  <c r="J853" i="3"/>
  <c r="AC853" i="3" s="1"/>
  <c r="H853" i="3"/>
  <c r="I853" i="3" s="1"/>
  <c r="G853" i="3"/>
  <c r="D853" i="3"/>
  <c r="R852" i="3"/>
  <c r="Q852" i="3"/>
  <c r="N852" i="3"/>
  <c r="L852" i="3"/>
  <c r="J852" i="3"/>
  <c r="AC852" i="3" s="1"/>
  <c r="H852" i="3"/>
  <c r="I852" i="3" s="1"/>
  <c r="G852" i="3"/>
  <c r="D852" i="3"/>
  <c r="R851" i="3"/>
  <c r="Q851" i="3"/>
  <c r="N851" i="3"/>
  <c r="L851" i="3"/>
  <c r="J851" i="3"/>
  <c r="AC851" i="3" s="1"/>
  <c r="H851" i="3"/>
  <c r="I851" i="3" s="1"/>
  <c r="G851" i="3"/>
  <c r="D851" i="3"/>
  <c r="R850" i="3"/>
  <c r="Q850" i="3"/>
  <c r="N850" i="3"/>
  <c r="L850" i="3"/>
  <c r="J850" i="3"/>
  <c r="AC850" i="3" s="1"/>
  <c r="H850" i="3"/>
  <c r="I850" i="3" s="1"/>
  <c r="G850" i="3"/>
  <c r="D850" i="3"/>
  <c r="R849" i="3"/>
  <c r="Q849" i="3"/>
  <c r="N849" i="3"/>
  <c r="L849" i="3"/>
  <c r="J849" i="3"/>
  <c r="AC849" i="3" s="1"/>
  <c r="H849" i="3"/>
  <c r="I849" i="3" s="1"/>
  <c r="G849" i="3"/>
  <c r="D849" i="3"/>
  <c r="R848" i="3"/>
  <c r="Q848" i="3"/>
  <c r="N848" i="3"/>
  <c r="L848" i="3"/>
  <c r="J848" i="3"/>
  <c r="AC848" i="3" s="1"/>
  <c r="H848" i="3"/>
  <c r="I848" i="3" s="1"/>
  <c r="G848" i="3"/>
  <c r="D848" i="3"/>
  <c r="R847" i="3"/>
  <c r="Q847" i="3"/>
  <c r="N847" i="3"/>
  <c r="L847" i="3"/>
  <c r="J847" i="3"/>
  <c r="AC847" i="3" s="1"/>
  <c r="H847" i="3"/>
  <c r="I847" i="3" s="1"/>
  <c r="G847" i="3"/>
  <c r="D847" i="3"/>
  <c r="R846" i="3"/>
  <c r="Q846" i="3"/>
  <c r="N846" i="3"/>
  <c r="L846" i="3"/>
  <c r="J846" i="3"/>
  <c r="AC846" i="3" s="1"/>
  <c r="H846" i="3"/>
  <c r="I846" i="3" s="1"/>
  <c r="G846" i="3"/>
  <c r="D846" i="3"/>
  <c r="R845" i="3"/>
  <c r="Q845" i="3"/>
  <c r="N845" i="3"/>
  <c r="L845" i="3"/>
  <c r="J845" i="3"/>
  <c r="AC845" i="3" s="1"/>
  <c r="H845" i="3"/>
  <c r="I845" i="3" s="1"/>
  <c r="G845" i="3"/>
  <c r="D845" i="3"/>
  <c r="R844" i="3"/>
  <c r="Q844" i="3"/>
  <c r="N844" i="3"/>
  <c r="L844" i="3"/>
  <c r="J844" i="3"/>
  <c r="AC844" i="3" s="1"/>
  <c r="H844" i="3"/>
  <c r="I844" i="3" s="1"/>
  <c r="G844" i="3"/>
  <c r="D844" i="3"/>
  <c r="R843" i="3"/>
  <c r="Q843" i="3"/>
  <c r="N843" i="3"/>
  <c r="L843" i="3"/>
  <c r="J843" i="3"/>
  <c r="AC843" i="3" s="1"/>
  <c r="H843" i="3"/>
  <c r="I843" i="3" s="1"/>
  <c r="G843" i="3"/>
  <c r="D843" i="3"/>
  <c r="R842" i="3"/>
  <c r="Q842" i="3"/>
  <c r="N842" i="3"/>
  <c r="L842" i="3"/>
  <c r="J842" i="3"/>
  <c r="AC842" i="3" s="1"/>
  <c r="H842" i="3"/>
  <c r="I842" i="3" s="1"/>
  <c r="G842" i="3"/>
  <c r="D842" i="3"/>
  <c r="R841" i="3"/>
  <c r="Q841" i="3"/>
  <c r="N841" i="3"/>
  <c r="L841" i="3"/>
  <c r="J841" i="3"/>
  <c r="AC841" i="3" s="1"/>
  <c r="H841" i="3"/>
  <c r="I841" i="3" s="1"/>
  <c r="G841" i="3"/>
  <c r="D841" i="3"/>
  <c r="R840" i="3"/>
  <c r="Q840" i="3"/>
  <c r="N840" i="3"/>
  <c r="L840" i="3"/>
  <c r="J840" i="3"/>
  <c r="AC840" i="3" s="1"/>
  <c r="H840" i="3"/>
  <c r="I840" i="3" s="1"/>
  <c r="G840" i="3"/>
  <c r="D840" i="3"/>
  <c r="R839" i="3"/>
  <c r="Q839" i="3"/>
  <c r="N839" i="3"/>
  <c r="L839" i="3"/>
  <c r="J839" i="3"/>
  <c r="AC839" i="3" s="1"/>
  <c r="H839" i="3"/>
  <c r="I839" i="3" s="1"/>
  <c r="G839" i="3"/>
  <c r="D839" i="3"/>
  <c r="R838" i="3"/>
  <c r="Q838" i="3"/>
  <c r="N838" i="3"/>
  <c r="L838" i="3"/>
  <c r="J838" i="3"/>
  <c r="AC838" i="3" s="1"/>
  <c r="H838" i="3"/>
  <c r="I838" i="3" s="1"/>
  <c r="G838" i="3"/>
  <c r="D838" i="3"/>
  <c r="R837" i="3"/>
  <c r="Q837" i="3"/>
  <c r="N837" i="3"/>
  <c r="L837" i="3"/>
  <c r="J837" i="3"/>
  <c r="AC837" i="3" s="1"/>
  <c r="H837" i="3"/>
  <c r="I837" i="3" s="1"/>
  <c r="G837" i="3"/>
  <c r="D837" i="3"/>
  <c r="R836" i="3"/>
  <c r="Q836" i="3"/>
  <c r="N836" i="3"/>
  <c r="L836" i="3"/>
  <c r="J836" i="3"/>
  <c r="AC836" i="3" s="1"/>
  <c r="H836" i="3"/>
  <c r="I836" i="3" s="1"/>
  <c r="G836" i="3"/>
  <c r="D836" i="3"/>
  <c r="R835" i="3"/>
  <c r="Q835" i="3"/>
  <c r="N835" i="3"/>
  <c r="L835" i="3"/>
  <c r="J835" i="3"/>
  <c r="AC835" i="3" s="1"/>
  <c r="H835" i="3"/>
  <c r="I835" i="3" s="1"/>
  <c r="G835" i="3"/>
  <c r="D835" i="3"/>
  <c r="R834" i="3"/>
  <c r="Q834" i="3"/>
  <c r="N834" i="3"/>
  <c r="L834" i="3"/>
  <c r="J834" i="3"/>
  <c r="AC834" i="3" s="1"/>
  <c r="H834" i="3"/>
  <c r="I834" i="3" s="1"/>
  <c r="G834" i="3"/>
  <c r="D834" i="3"/>
  <c r="R833" i="3"/>
  <c r="Q833" i="3"/>
  <c r="N833" i="3"/>
  <c r="L833" i="3"/>
  <c r="J833" i="3"/>
  <c r="AC833" i="3" s="1"/>
  <c r="H833" i="3"/>
  <c r="I833" i="3" s="1"/>
  <c r="G833" i="3"/>
  <c r="D833" i="3"/>
  <c r="R832" i="3"/>
  <c r="Q832" i="3"/>
  <c r="N832" i="3"/>
  <c r="L832" i="3"/>
  <c r="J832" i="3"/>
  <c r="AC832" i="3" s="1"/>
  <c r="H832" i="3"/>
  <c r="I832" i="3" s="1"/>
  <c r="G832" i="3"/>
  <c r="D832" i="3"/>
  <c r="R831" i="3"/>
  <c r="Q831" i="3"/>
  <c r="N831" i="3"/>
  <c r="L831" i="3"/>
  <c r="J831" i="3"/>
  <c r="AC831" i="3" s="1"/>
  <c r="H831" i="3"/>
  <c r="I831" i="3" s="1"/>
  <c r="G831" i="3"/>
  <c r="D831" i="3"/>
  <c r="R830" i="3"/>
  <c r="Q830" i="3"/>
  <c r="N830" i="3"/>
  <c r="L830" i="3"/>
  <c r="J830" i="3"/>
  <c r="AC830" i="3" s="1"/>
  <c r="H830" i="3"/>
  <c r="I830" i="3" s="1"/>
  <c r="G830" i="3"/>
  <c r="D830" i="3"/>
  <c r="R829" i="3"/>
  <c r="Q829" i="3"/>
  <c r="N829" i="3"/>
  <c r="L829" i="3"/>
  <c r="J829" i="3"/>
  <c r="AC829" i="3" s="1"/>
  <c r="H829" i="3"/>
  <c r="I829" i="3" s="1"/>
  <c r="G829" i="3"/>
  <c r="D829" i="3"/>
  <c r="R828" i="3"/>
  <c r="Q828" i="3"/>
  <c r="N828" i="3"/>
  <c r="L828" i="3"/>
  <c r="J828" i="3"/>
  <c r="AC828" i="3" s="1"/>
  <c r="H828" i="3"/>
  <c r="I828" i="3" s="1"/>
  <c r="G828" i="3"/>
  <c r="D828" i="3"/>
  <c r="R827" i="3"/>
  <c r="Q827" i="3"/>
  <c r="N827" i="3"/>
  <c r="L827" i="3"/>
  <c r="J827" i="3"/>
  <c r="AC827" i="3" s="1"/>
  <c r="H827" i="3"/>
  <c r="I827" i="3" s="1"/>
  <c r="G827" i="3"/>
  <c r="D827" i="3"/>
  <c r="R826" i="3"/>
  <c r="Q826" i="3"/>
  <c r="N826" i="3"/>
  <c r="L826" i="3"/>
  <c r="J826" i="3"/>
  <c r="AC826" i="3" s="1"/>
  <c r="H826" i="3"/>
  <c r="I826" i="3" s="1"/>
  <c r="G826" i="3"/>
  <c r="D826" i="3"/>
  <c r="R825" i="3"/>
  <c r="Q825" i="3"/>
  <c r="N825" i="3"/>
  <c r="L825" i="3"/>
  <c r="J825" i="3"/>
  <c r="AC825" i="3" s="1"/>
  <c r="H825" i="3"/>
  <c r="I825" i="3" s="1"/>
  <c r="G825" i="3"/>
  <c r="D825" i="3"/>
  <c r="R824" i="3"/>
  <c r="Q824" i="3"/>
  <c r="N824" i="3"/>
  <c r="L824" i="3"/>
  <c r="J824" i="3"/>
  <c r="AC824" i="3" s="1"/>
  <c r="H824" i="3"/>
  <c r="I824" i="3" s="1"/>
  <c r="G824" i="3"/>
  <c r="D824" i="3"/>
  <c r="R823" i="3"/>
  <c r="Q823" i="3"/>
  <c r="N823" i="3"/>
  <c r="L823" i="3"/>
  <c r="J823" i="3"/>
  <c r="AC823" i="3" s="1"/>
  <c r="H823" i="3"/>
  <c r="I823" i="3" s="1"/>
  <c r="G823" i="3"/>
  <c r="D823" i="3"/>
  <c r="R822" i="3"/>
  <c r="Q822" i="3"/>
  <c r="N822" i="3"/>
  <c r="L822" i="3"/>
  <c r="J822" i="3"/>
  <c r="AC822" i="3" s="1"/>
  <c r="H822" i="3"/>
  <c r="I822" i="3" s="1"/>
  <c r="G822" i="3"/>
  <c r="D822" i="3"/>
  <c r="R821" i="3"/>
  <c r="Q821" i="3"/>
  <c r="N821" i="3"/>
  <c r="L821" i="3"/>
  <c r="J821" i="3"/>
  <c r="AC821" i="3" s="1"/>
  <c r="H821" i="3"/>
  <c r="I821" i="3" s="1"/>
  <c r="G821" i="3"/>
  <c r="D821" i="3"/>
  <c r="R820" i="3"/>
  <c r="Q820" i="3"/>
  <c r="N820" i="3"/>
  <c r="L820" i="3"/>
  <c r="J820" i="3"/>
  <c r="AC820" i="3" s="1"/>
  <c r="H820" i="3"/>
  <c r="I820" i="3" s="1"/>
  <c r="G820" i="3"/>
  <c r="D820" i="3"/>
  <c r="R819" i="3"/>
  <c r="Q819" i="3"/>
  <c r="N819" i="3"/>
  <c r="L819" i="3"/>
  <c r="J819" i="3"/>
  <c r="AC819" i="3" s="1"/>
  <c r="H819" i="3"/>
  <c r="I819" i="3" s="1"/>
  <c r="G819" i="3"/>
  <c r="D819" i="3"/>
  <c r="R818" i="3"/>
  <c r="Q818" i="3"/>
  <c r="N818" i="3"/>
  <c r="L818" i="3"/>
  <c r="J818" i="3"/>
  <c r="AC818" i="3" s="1"/>
  <c r="H818" i="3"/>
  <c r="I818" i="3" s="1"/>
  <c r="G818" i="3"/>
  <c r="D818" i="3"/>
  <c r="R817" i="3"/>
  <c r="Q817" i="3"/>
  <c r="N817" i="3"/>
  <c r="L817" i="3"/>
  <c r="J817" i="3"/>
  <c r="AC817" i="3" s="1"/>
  <c r="H817" i="3"/>
  <c r="I817" i="3" s="1"/>
  <c r="G817" i="3"/>
  <c r="D817" i="3"/>
  <c r="R816" i="3"/>
  <c r="Q816" i="3"/>
  <c r="N816" i="3"/>
  <c r="L816" i="3"/>
  <c r="J816" i="3"/>
  <c r="AC816" i="3" s="1"/>
  <c r="H816" i="3"/>
  <c r="I816" i="3" s="1"/>
  <c r="G816" i="3"/>
  <c r="D816" i="3"/>
  <c r="R815" i="3"/>
  <c r="Q815" i="3"/>
  <c r="N815" i="3"/>
  <c r="L815" i="3"/>
  <c r="J815" i="3"/>
  <c r="AC815" i="3" s="1"/>
  <c r="H815" i="3"/>
  <c r="I815" i="3" s="1"/>
  <c r="G815" i="3"/>
  <c r="D815" i="3"/>
  <c r="R814" i="3"/>
  <c r="Q814" i="3"/>
  <c r="N814" i="3"/>
  <c r="L814" i="3"/>
  <c r="J814" i="3"/>
  <c r="AC814" i="3" s="1"/>
  <c r="H814" i="3"/>
  <c r="I814" i="3" s="1"/>
  <c r="G814" i="3"/>
  <c r="D814" i="3"/>
  <c r="R813" i="3"/>
  <c r="Q813" i="3"/>
  <c r="N813" i="3"/>
  <c r="L813" i="3"/>
  <c r="J813" i="3"/>
  <c r="AC813" i="3" s="1"/>
  <c r="H813" i="3"/>
  <c r="I813" i="3" s="1"/>
  <c r="G813" i="3"/>
  <c r="D813" i="3"/>
  <c r="R812" i="3"/>
  <c r="Q812" i="3"/>
  <c r="N812" i="3"/>
  <c r="L812" i="3"/>
  <c r="J812" i="3"/>
  <c r="AC812" i="3" s="1"/>
  <c r="H812" i="3"/>
  <c r="I812" i="3" s="1"/>
  <c r="G812" i="3"/>
  <c r="D812" i="3"/>
  <c r="R811" i="3"/>
  <c r="Q811" i="3"/>
  <c r="N811" i="3"/>
  <c r="L811" i="3"/>
  <c r="J811" i="3"/>
  <c r="AC811" i="3" s="1"/>
  <c r="H811" i="3"/>
  <c r="I811" i="3" s="1"/>
  <c r="G811" i="3"/>
  <c r="D811" i="3"/>
  <c r="R810" i="3"/>
  <c r="Q810" i="3"/>
  <c r="N810" i="3"/>
  <c r="L810" i="3"/>
  <c r="J810" i="3"/>
  <c r="AC810" i="3" s="1"/>
  <c r="H810" i="3"/>
  <c r="I810" i="3" s="1"/>
  <c r="G810" i="3"/>
  <c r="D810" i="3"/>
  <c r="R809" i="3"/>
  <c r="Q809" i="3"/>
  <c r="N809" i="3"/>
  <c r="L809" i="3"/>
  <c r="J809" i="3"/>
  <c r="AC809" i="3" s="1"/>
  <c r="H809" i="3"/>
  <c r="I809" i="3" s="1"/>
  <c r="G809" i="3"/>
  <c r="D809" i="3"/>
  <c r="R808" i="3"/>
  <c r="Q808" i="3"/>
  <c r="N808" i="3"/>
  <c r="L808" i="3"/>
  <c r="J808" i="3"/>
  <c r="AC808" i="3" s="1"/>
  <c r="H808" i="3"/>
  <c r="I808" i="3" s="1"/>
  <c r="G808" i="3"/>
  <c r="D808" i="3"/>
  <c r="R807" i="3"/>
  <c r="Q807" i="3"/>
  <c r="N807" i="3"/>
  <c r="L807" i="3"/>
  <c r="J807" i="3"/>
  <c r="AC807" i="3" s="1"/>
  <c r="H807" i="3"/>
  <c r="I807" i="3" s="1"/>
  <c r="G807" i="3"/>
  <c r="D807" i="3"/>
  <c r="R806" i="3"/>
  <c r="Q806" i="3"/>
  <c r="N806" i="3"/>
  <c r="L806" i="3"/>
  <c r="J806" i="3"/>
  <c r="AC806" i="3" s="1"/>
  <c r="H806" i="3"/>
  <c r="I806" i="3" s="1"/>
  <c r="G806" i="3"/>
  <c r="D806" i="3"/>
  <c r="R805" i="3"/>
  <c r="Q805" i="3"/>
  <c r="N805" i="3"/>
  <c r="L805" i="3"/>
  <c r="J805" i="3"/>
  <c r="AC805" i="3" s="1"/>
  <c r="H805" i="3"/>
  <c r="I805" i="3" s="1"/>
  <c r="G805" i="3"/>
  <c r="D805" i="3"/>
  <c r="R804" i="3"/>
  <c r="Q804" i="3"/>
  <c r="N804" i="3"/>
  <c r="L804" i="3"/>
  <c r="J804" i="3"/>
  <c r="AC804" i="3" s="1"/>
  <c r="H804" i="3"/>
  <c r="I804" i="3" s="1"/>
  <c r="G804" i="3"/>
  <c r="D804" i="3"/>
  <c r="R803" i="3"/>
  <c r="Q803" i="3"/>
  <c r="N803" i="3"/>
  <c r="L803" i="3"/>
  <c r="J803" i="3"/>
  <c r="AC803" i="3" s="1"/>
  <c r="H803" i="3"/>
  <c r="I803" i="3" s="1"/>
  <c r="G803" i="3"/>
  <c r="D803" i="3"/>
  <c r="R802" i="3"/>
  <c r="Q802" i="3"/>
  <c r="N802" i="3"/>
  <c r="L802" i="3"/>
  <c r="J802" i="3"/>
  <c r="AC802" i="3" s="1"/>
  <c r="H802" i="3"/>
  <c r="I802" i="3" s="1"/>
  <c r="G802" i="3"/>
  <c r="D802" i="3"/>
  <c r="R801" i="3"/>
  <c r="Q801" i="3"/>
  <c r="N801" i="3"/>
  <c r="L801" i="3"/>
  <c r="J801" i="3"/>
  <c r="AC801" i="3" s="1"/>
  <c r="H801" i="3"/>
  <c r="I801" i="3" s="1"/>
  <c r="G801" i="3"/>
  <c r="D801" i="3"/>
  <c r="R800" i="3"/>
  <c r="Q800" i="3"/>
  <c r="N800" i="3"/>
  <c r="L800" i="3"/>
  <c r="J800" i="3"/>
  <c r="AC800" i="3" s="1"/>
  <c r="H800" i="3"/>
  <c r="I800" i="3" s="1"/>
  <c r="G800" i="3"/>
  <c r="D800" i="3"/>
  <c r="R799" i="3"/>
  <c r="Q799" i="3"/>
  <c r="N799" i="3"/>
  <c r="L799" i="3"/>
  <c r="J799" i="3"/>
  <c r="AC799" i="3" s="1"/>
  <c r="H799" i="3"/>
  <c r="I799" i="3" s="1"/>
  <c r="G799" i="3"/>
  <c r="D799" i="3"/>
  <c r="R798" i="3"/>
  <c r="Q798" i="3"/>
  <c r="N798" i="3"/>
  <c r="L798" i="3"/>
  <c r="J798" i="3"/>
  <c r="AC798" i="3" s="1"/>
  <c r="H798" i="3"/>
  <c r="I798" i="3" s="1"/>
  <c r="G798" i="3"/>
  <c r="D798" i="3"/>
  <c r="R797" i="3"/>
  <c r="Q797" i="3"/>
  <c r="N797" i="3"/>
  <c r="L797" i="3"/>
  <c r="J797" i="3"/>
  <c r="AC797" i="3" s="1"/>
  <c r="H797" i="3"/>
  <c r="I797" i="3" s="1"/>
  <c r="G797" i="3"/>
  <c r="D797" i="3"/>
  <c r="R796" i="3"/>
  <c r="Q796" i="3"/>
  <c r="N796" i="3"/>
  <c r="L796" i="3"/>
  <c r="J796" i="3"/>
  <c r="AC796" i="3" s="1"/>
  <c r="H796" i="3"/>
  <c r="I796" i="3" s="1"/>
  <c r="G796" i="3"/>
  <c r="D796" i="3"/>
  <c r="R795" i="3"/>
  <c r="Q795" i="3"/>
  <c r="N795" i="3"/>
  <c r="L795" i="3"/>
  <c r="J795" i="3"/>
  <c r="AC795" i="3" s="1"/>
  <c r="H795" i="3"/>
  <c r="I795" i="3" s="1"/>
  <c r="G795" i="3"/>
  <c r="D795" i="3"/>
  <c r="R794" i="3"/>
  <c r="Q794" i="3"/>
  <c r="N794" i="3"/>
  <c r="L794" i="3"/>
  <c r="J794" i="3"/>
  <c r="AC794" i="3" s="1"/>
  <c r="H794" i="3"/>
  <c r="I794" i="3" s="1"/>
  <c r="G794" i="3"/>
  <c r="D794" i="3"/>
  <c r="R793" i="3"/>
  <c r="Q793" i="3"/>
  <c r="N793" i="3"/>
  <c r="L793" i="3"/>
  <c r="J793" i="3"/>
  <c r="AC793" i="3" s="1"/>
  <c r="H793" i="3"/>
  <c r="I793" i="3" s="1"/>
  <c r="G793" i="3"/>
  <c r="D793" i="3"/>
  <c r="R792" i="3"/>
  <c r="Q792" i="3"/>
  <c r="N792" i="3"/>
  <c r="L792" i="3"/>
  <c r="J792" i="3"/>
  <c r="AC792" i="3" s="1"/>
  <c r="H792" i="3"/>
  <c r="I792" i="3" s="1"/>
  <c r="G792" i="3"/>
  <c r="D792" i="3"/>
  <c r="R791" i="3"/>
  <c r="Q791" i="3"/>
  <c r="N791" i="3"/>
  <c r="L791" i="3"/>
  <c r="J791" i="3"/>
  <c r="AC791" i="3" s="1"/>
  <c r="H791" i="3"/>
  <c r="I791" i="3" s="1"/>
  <c r="G791" i="3"/>
  <c r="D791" i="3"/>
  <c r="R790" i="3"/>
  <c r="Q790" i="3"/>
  <c r="N790" i="3"/>
  <c r="L790" i="3"/>
  <c r="J790" i="3"/>
  <c r="AC790" i="3" s="1"/>
  <c r="H790" i="3"/>
  <c r="I790" i="3" s="1"/>
  <c r="G790" i="3"/>
  <c r="D790" i="3"/>
  <c r="R789" i="3"/>
  <c r="Q789" i="3"/>
  <c r="N789" i="3"/>
  <c r="L789" i="3"/>
  <c r="J789" i="3"/>
  <c r="AC789" i="3" s="1"/>
  <c r="H789" i="3"/>
  <c r="I789" i="3" s="1"/>
  <c r="G789" i="3"/>
  <c r="D789" i="3"/>
  <c r="R788" i="3"/>
  <c r="Q788" i="3"/>
  <c r="N788" i="3"/>
  <c r="L788" i="3"/>
  <c r="J788" i="3"/>
  <c r="AC788" i="3" s="1"/>
  <c r="H788" i="3"/>
  <c r="I788" i="3" s="1"/>
  <c r="G788" i="3"/>
  <c r="D788" i="3"/>
  <c r="R787" i="3"/>
  <c r="Q787" i="3"/>
  <c r="N787" i="3"/>
  <c r="L787" i="3"/>
  <c r="J787" i="3"/>
  <c r="AC787" i="3" s="1"/>
  <c r="H787" i="3"/>
  <c r="I787" i="3" s="1"/>
  <c r="G787" i="3"/>
  <c r="D787" i="3"/>
  <c r="R786" i="3"/>
  <c r="Q786" i="3"/>
  <c r="N786" i="3"/>
  <c r="L786" i="3"/>
  <c r="J786" i="3"/>
  <c r="AC786" i="3" s="1"/>
  <c r="H786" i="3"/>
  <c r="I786" i="3" s="1"/>
  <c r="G786" i="3"/>
  <c r="D786" i="3"/>
  <c r="R785" i="3"/>
  <c r="Q785" i="3"/>
  <c r="N785" i="3"/>
  <c r="L785" i="3"/>
  <c r="J785" i="3"/>
  <c r="AC785" i="3" s="1"/>
  <c r="H785" i="3"/>
  <c r="I785" i="3" s="1"/>
  <c r="G785" i="3"/>
  <c r="D785" i="3"/>
  <c r="R784" i="3"/>
  <c r="Q784" i="3"/>
  <c r="N784" i="3"/>
  <c r="L784" i="3"/>
  <c r="J784" i="3"/>
  <c r="AC784" i="3" s="1"/>
  <c r="H784" i="3"/>
  <c r="I784" i="3" s="1"/>
  <c r="G784" i="3"/>
  <c r="D784" i="3"/>
  <c r="R783" i="3"/>
  <c r="Q783" i="3"/>
  <c r="N783" i="3"/>
  <c r="L783" i="3"/>
  <c r="J783" i="3"/>
  <c r="AC783" i="3" s="1"/>
  <c r="H783" i="3"/>
  <c r="I783" i="3" s="1"/>
  <c r="G783" i="3"/>
  <c r="D783" i="3"/>
  <c r="R782" i="3"/>
  <c r="Q782" i="3"/>
  <c r="N782" i="3"/>
  <c r="L782" i="3"/>
  <c r="J782" i="3"/>
  <c r="AC782" i="3" s="1"/>
  <c r="H782" i="3"/>
  <c r="I782" i="3" s="1"/>
  <c r="G782" i="3"/>
  <c r="D782" i="3"/>
  <c r="R781" i="3"/>
  <c r="Q781" i="3"/>
  <c r="N781" i="3"/>
  <c r="L781" i="3"/>
  <c r="J781" i="3"/>
  <c r="AC781" i="3" s="1"/>
  <c r="H781" i="3"/>
  <c r="I781" i="3" s="1"/>
  <c r="G781" i="3"/>
  <c r="D781" i="3"/>
  <c r="R780" i="3"/>
  <c r="Q780" i="3"/>
  <c r="N780" i="3"/>
  <c r="L780" i="3"/>
  <c r="J780" i="3"/>
  <c r="AC780" i="3" s="1"/>
  <c r="H780" i="3"/>
  <c r="I780" i="3" s="1"/>
  <c r="G780" i="3"/>
  <c r="D780" i="3"/>
  <c r="R779" i="3"/>
  <c r="Q779" i="3"/>
  <c r="N779" i="3"/>
  <c r="L779" i="3"/>
  <c r="J779" i="3"/>
  <c r="AC779" i="3" s="1"/>
  <c r="H779" i="3"/>
  <c r="I779" i="3" s="1"/>
  <c r="G779" i="3"/>
  <c r="D779" i="3"/>
  <c r="R778" i="3"/>
  <c r="Q778" i="3"/>
  <c r="N778" i="3"/>
  <c r="L778" i="3"/>
  <c r="J778" i="3"/>
  <c r="AC778" i="3" s="1"/>
  <c r="H778" i="3"/>
  <c r="I778" i="3" s="1"/>
  <c r="G778" i="3"/>
  <c r="D778" i="3"/>
  <c r="R777" i="3"/>
  <c r="Q777" i="3"/>
  <c r="N777" i="3"/>
  <c r="L777" i="3"/>
  <c r="J777" i="3"/>
  <c r="AC777" i="3" s="1"/>
  <c r="H777" i="3"/>
  <c r="I777" i="3" s="1"/>
  <c r="G777" i="3"/>
  <c r="D777" i="3"/>
  <c r="R776" i="3"/>
  <c r="Q776" i="3"/>
  <c r="N776" i="3"/>
  <c r="L776" i="3"/>
  <c r="J776" i="3"/>
  <c r="AC776" i="3" s="1"/>
  <c r="H776" i="3"/>
  <c r="I776" i="3" s="1"/>
  <c r="G776" i="3"/>
  <c r="D776" i="3"/>
  <c r="R775" i="3"/>
  <c r="Q775" i="3"/>
  <c r="N775" i="3"/>
  <c r="L775" i="3"/>
  <c r="J775" i="3"/>
  <c r="AC775" i="3" s="1"/>
  <c r="H775" i="3"/>
  <c r="I775" i="3" s="1"/>
  <c r="G775" i="3"/>
  <c r="D775" i="3"/>
  <c r="R774" i="3"/>
  <c r="Q774" i="3"/>
  <c r="N774" i="3"/>
  <c r="L774" i="3"/>
  <c r="J774" i="3"/>
  <c r="AC774" i="3" s="1"/>
  <c r="H774" i="3"/>
  <c r="I774" i="3" s="1"/>
  <c r="G774" i="3"/>
  <c r="D774" i="3"/>
  <c r="R773" i="3"/>
  <c r="Q773" i="3"/>
  <c r="N773" i="3"/>
  <c r="L773" i="3"/>
  <c r="J773" i="3"/>
  <c r="AC773" i="3" s="1"/>
  <c r="H773" i="3"/>
  <c r="I773" i="3" s="1"/>
  <c r="G773" i="3"/>
  <c r="D773" i="3"/>
  <c r="R772" i="3"/>
  <c r="Q772" i="3"/>
  <c r="N772" i="3"/>
  <c r="L772" i="3"/>
  <c r="J772" i="3"/>
  <c r="AC772" i="3" s="1"/>
  <c r="H772" i="3"/>
  <c r="I772" i="3" s="1"/>
  <c r="G772" i="3"/>
  <c r="D772" i="3"/>
  <c r="R771" i="3"/>
  <c r="Q771" i="3"/>
  <c r="N771" i="3"/>
  <c r="L771" i="3"/>
  <c r="J771" i="3"/>
  <c r="AC771" i="3" s="1"/>
  <c r="H771" i="3"/>
  <c r="I771" i="3" s="1"/>
  <c r="G771" i="3"/>
  <c r="D771" i="3"/>
  <c r="R770" i="3"/>
  <c r="Q770" i="3"/>
  <c r="N770" i="3"/>
  <c r="L770" i="3"/>
  <c r="J770" i="3"/>
  <c r="AC770" i="3" s="1"/>
  <c r="H770" i="3"/>
  <c r="I770" i="3" s="1"/>
  <c r="G770" i="3"/>
  <c r="D770" i="3"/>
  <c r="R769" i="3"/>
  <c r="Q769" i="3"/>
  <c r="N769" i="3"/>
  <c r="L769" i="3"/>
  <c r="J769" i="3"/>
  <c r="AC769" i="3" s="1"/>
  <c r="H769" i="3"/>
  <c r="I769" i="3" s="1"/>
  <c r="G769" i="3"/>
  <c r="D769" i="3"/>
  <c r="R768" i="3"/>
  <c r="Q768" i="3"/>
  <c r="N768" i="3"/>
  <c r="L768" i="3"/>
  <c r="J768" i="3"/>
  <c r="AC768" i="3" s="1"/>
  <c r="H768" i="3"/>
  <c r="I768" i="3" s="1"/>
  <c r="G768" i="3"/>
  <c r="D768" i="3"/>
  <c r="R767" i="3"/>
  <c r="Q767" i="3"/>
  <c r="N767" i="3"/>
  <c r="L767" i="3"/>
  <c r="J767" i="3"/>
  <c r="AC767" i="3" s="1"/>
  <c r="H767" i="3"/>
  <c r="I767" i="3" s="1"/>
  <c r="G767" i="3"/>
  <c r="D767" i="3"/>
  <c r="R766" i="3"/>
  <c r="Q766" i="3"/>
  <c r="N766" i="3"/>
  <c r="L766" i="3"/>
  <c r="J766" i="3"/>
  <c r="AC766" i="3" s="1"/>
  <c r="H766" i="3"/>
  <c r="I766" i="3" s="1"/>
  <c r="G766" i="3"/>
  <c r="D766" i="3"/>
  <c r="R765" i="3"/>
  <c r="Q765" i="3"/>
  <c r="N765" i="3"/>
  <c r="L765" i="3"/>
  <c r="J765" i="3"/>
  <c r="AC765" i="3" s="1"/>
  <c r="H765" i="3"/>
  <c r="I765" i="3" s="1"/>
  <c r="G765" i="3"/>
  <c r="D765" i="3"/>
  <c r="R764" i="3"/>
  <c r="Q764" i="3"/>
  <c r="N764" i="3"/>
  <c r="L764" i="3"/>
  <c r="J764" i="3"/>
  <c r="AC764" i="3" s="1"/>
  <c r="H764" i="3"/>
  <c r="I764" i="3" s="1"/>
  <c r="G764" i="3"/>
  <c r="D764" i="3"/>
  <c r="R763" i="3"/>
  <c r="Q763" i="3"/>
  <c r="N763" i="3"/>
  <c r="L763" i="3"/>
  <c r="J763" i="3"/>
  <c r="AC763" i="3" s="1"/>
  <c r="H763" i="3"/>
  <c r="I763" i="3" s="1"/>
  <c r="G763" i="3"/>
  <c r="D763" i="3"/>
  <c r="R762" i="3"/>
  <c r="Q762" i="3"/>
  <c r="N762" i="3"/>
  <c r="L762" i="3"/>
  <c r="J762" i="3"/>
  <c r="AC762" i="3" s="1"/>
  <c r="H762" i="3"/>
  <c r="I762" i="3" s="1"/>
  <c r="G762" i="3"/>
  <c r="D762" i="3"/>
  <c r="R761" i="3"/>
  <c r="Q761" i="3"/>
  <c r="N761" i="3"/>
  <c r="L761" i="3"/>
  <c r="J761" i="3"/>
  <c r="AC761" i="3" s="1"/>
  <c r="H761" i="3"/>
  <c r="I761" i="3" s="1"/>
  <c r="G761" i="3"/>
  <c r="D761" i="3"/>
  <c r="R760" i="3"/>
  <c r="Q760" i="3"/>
  <c r="N760" i="3"/>
  <c r="L760" i="3"/>
  <c r="J760" i="3"/>
  <c r="AC760" i="3" s="1"/>
  <c r="H760" i="3"/>
  <c r="I760" i="3" s="1"/>
  <c r="G760" i="3"/>
  <c r="D760" i="3"/>
  <c r="R759" i="3"/>
  <c r="Q759" i="3"/>
  <c r="N759" i="3"/>
  <c r="L759" i="3"/>
  <c r="J759" i="3"/>
  <c r="AC759" i="3" s="1"/>
  <c r="H759" i="3"/>
  <c r="I759" i="3" s="1"/>
  <c r="G759" i="3"/>
  <c r="D759" i="3"/>
  <c r="R758" i="3"/>
  <c r="Q758" i="3"/>
  <c r="N758" i="3"/>
  <c r="L758" i="3"/>
  <c r="J758" i="3"/>
  <c r="AC758" i="3" s="1"/>
  <c r="H758" i="3"/>
  <c r="I758" i="3" s="1"/>
  <c r="G758" i="3"/>
  <c r="D758" i="3"/>
  <c r="R757" i="3"/>
  <c r="Q757" i="3"/>
  <c r="N757" i="3"/>
  <c r="L757" i="3"/>
  <c r="J757" i="3"/>
  <c r="AC757" i="3" s="1"/>
  <c r="H757" i="3"/>
  <c r="I757" i="3" s="1"/>
  <c r="G757" i="3"/>
  <c r="D757" i="3"/>
  <c r="R756" i="3"/>
  <c r="Q756" i="3"/>
  <c r="N756" i="3"/>
  <c r="L756" i="3"/>
  <c r="J756" i="3"/>
  <c r="AC756" i="3" s="1"/>
  <c r="H756" i="3"/>
  <c r="I756" i="3" s="1"/>
  <c r="G756" i="3"/>
  <c r="D756" i="3"/>
  <c r="R755" i="3"/>
  <c r="Q755" i="3"/>
  <c r="N755" i="3"/>
  <c r="L755" i="3"/>
  <c r="J755" i="3"/>
  <c r="AC755" i="3" s="1"/>
  <c r="H755" i="3"/>
  <c r="I755" i="3" s="1"/>
  <c r="G755" i="3"/>
  <c r="D755" i="3"/>
  <c r="R754" i="3"/>
  <c r="Q754" i="3"/>
  <c r="N754" i="3"/>
  <c r="L754" i="3"/>
  <c r="J754" i="3"/>
  <c r="AC754" i="3" s="1"/>
  <c r="H754" i="3"/>
  <c r="I754" i="3" s="1"/>
  <c r="G754" i="3"/>
  <c r="D754" i="3"/>
  <c r="R753" i="3"/>
  <c r="Q753" i="3"/>
  <c r="N753" i="3"/>
  <c r="L753" i="3"/>
  <c r="J753" i="3"/>
  <c r="AC753" i="3" s="1"/>
  <c r="H753" i="3"/>
  <c r="I753" i="3" s="1"/>
  <c r="G753" i="3"/>
  <c r="D753" i="3"/>
  <c r="R752" i="3"/>
  <c r="Q752" i="3"/>
  <c r="N752" i="3"/>
  <c r="L752" i="3"/>
  <c r="J752" i="3"/>
  <c r="AC752" i="3" s="1"/>
  <c r="H752" i="3"/>
  <c r="I752" i="3" s="1"/>
  <c r="G752" i="3"/>
  <c r="D752" i="3"/>
  <c r="R751" i="3"/>
  <c r="Q751" i="3"/>
  <c r="N751" i="3"/>
  <c r="L751" i="3"/>
  <c r="J751" i="3"/>
  <c r="AC751" i="3" s="1"/>
  <c r="H751" i="3"/>
  <c r="I751" i="3" s="1"/>
  <c r="G751" i="3"/>
  <c r="D751" i="3"/>
  <c r="R750" i="3"/>
  <c r="Q750" i="3"/>
  <c r="N750" i="3"/>
  <c r="L750" i="3"/>
  <c r="J750" i="3"/>
  <c r="AC750" i="3" s="1"/>
  <c r="H750" i="3"/>
  <c r="I750" i="3" s="1"/>
  <c r="G750" i="3"/>
  <c r="D750" i="3"/>
  <c r="R749" i="3"/>
  <c r="Q749" i="3"/>
  <c r="N749" i="3"/>
  <c r="L749" i="3"/>
  <c r="J749" i="3"/>
  <c r="AC749" i="3" s="1"/>
  <c r="H749" i="3"/>
  <c r="I749" i="3" s="1"/>
  <c r="G749" i="3"/>
  <c r="D749" i="3"/>
  <c r="R748" i="3"/>
  <c r="Q748" i="3"/>
  <c r="N748" i="3"/>
  <c r="L748" i="3"/>
  <c r="J748" i="3"/>
  <c r="AC748" i="3" s="1"/>
  <c r="H748" i="3"/>
  <c r="I748" i="3" s="1"/>
  <c r="G748" i="3"/>
  <c r="D748" i="3"/>
  <c r="R747" i="3"/>
  <c r="Q747" i="3"/>
  <c r="N747" i="3"/>
  <c r="L747" i="3"/>
  <c r="J747" i="3"/>
  <c r="AC747" i="3" s="1"/>
  <c r="H747" i="3"/>
  <c r="I747" i="3" s="1"/>
  <c r="G747" i="3"/>
  <c r="D747" i="3"/>
  <c r="R746" i="3"/>
  <c r="Q746" i="3"/>
  <c r="N746" i="3"/>
  <c r="L746" i="3"/>
  <c r="J746" i="3"/>
  <c r="AC746" i="3" s="1"/>
  <c r="H746" i="3"/>
  <c r="I746" i="3" s="1"/>
  <c r="G746" i="3"/>
  <c r="D746" i="3"/>
  <c r="R745" i="3"/>
  <c r="Q745" i="3"/>
  <c r="N745" i="3"/>
  <c r="L745" i="3"/>
  <c r="J745" i="3"/>
  <c r="AC745" i="3" s="1"/>
  <c r="H745" i="3"/>
  <c r="I745" i="3" s="1"/>
  <c r="G745" i="3"/>
  <c r="D745" i="3"/>
  <c r="R744" i="3"/>
  <c r="Q744" i="3"/>
  <c r="N744" i="3"/>
  <c r="L744" i="3"/>
  <c r="J744" i="3"/>
  <c r="AC744" i="3" s="1"/>
  <c r="H744" i="3"/>
  <c r="I744" i="3" s="1"/>
  <c r="G744" i="3"/>
  <c r="D744" i="3"/>
  <c r="R743" i="3"/>
  <c r="Q743" i="3"/>
  <c r="N743" i="3"/>
  <c r="L743" i="3"/>
  <c r="J743" i="3"/>
  <c r="AC743" i="3" s="1"/>
  <c r="H743" i="3"/>
  <c r="I743" i="3" s="1"/>
  <c r="G743" i="3"/>
  <c r="D743" i="3"/>
  <c r="R742" i="3"/>
  <c r="Q742" i="3"/>
  <c r="N742" i="3"/>
  <c r="L742" i="3"/>
  <c r="J742" i="3"/>
  <c r="AC742" i="3" s="1"/>
  <c r="H742" i="3"/>
  <c r="I742" i="3" s="1"/>
  <c r="G742" i="3"/>
  <c r="D742" i="3"/>
  <c r="R741" i="3"/>
  <c r="Q741" i="3"/>
  <c r="N741" i="3"/>
  <c r="L741" i="3"/>
  <c r="J741" i="3"/>
  <c r="AC741" i="3" s="1"/>
  <c r="H741" i="3"/>
  <c r="I741" i="3" s="1"/>
  <c r="G741" i="3"/>
  <c r="D741" i="3"/>
  <c r="R740" i="3"/>
  <c r="Q740" i="3"/>
  <c r="N740" i="3"/>
  <c r="L740" i="3"/>
  <c r="J740" i="3"/>
  <c r="AC740" i="3" s="1"/>
  <c r="H740" i="3"/>
  <c r="I740" i="3" s="1"/>
  <c r="G740" i="3"/>
  <c r="D740" i="3"/>
  <c r="R739" i="3"/>
  <c r="Q739" i="3"/>
  <c r="N739" i="3"/>
  <c r="L739" i="3"/>
  <c r="J739" i="3"/>
  <c r="AC739" i="3" s="1"/>
  <c r="H739" i="3"/>
  <c r="I739" i="3" s="1"/>
  <c r="G739" i="3"/>
  <c r="D739" i="3"/>
  <c r="R738" i="3"/>
  <c r="Q738" i="3"/>
  <c r="N738" i="3"/>
  <c r="L738" i="3"/>
  <c r="J738" i="3"/>
  <c r="AC738" i="3" s="1"/>
  <c r="H738" i="3"/>
  <c r="I738" i="3" s="1"/>
  <c r="G738" i="3"/>
  <c r="D738" i="3"/>
  <c r="R737" i="3"/>
  <c r="Q737" i="3"/>
  <c r="N737" i="3"/>
  <c r="L737" i="3"/>
  <c r="J737" i="3"/>
  <c r="AC737" i="3" s="1"/>
  <c r="H737" i="3"/>
  <c r="I737" i="3" s="1"/>
  <c r="G737" i="3"/>
  <c r="D737" i="3"/>
  <c r="R736" i="3"/>
  <c r="Q736" i="3"/>
  <c r="N736" i="3"/>
  <c r="L736" i="3"/>
  <c r="J736" i="3"/>
  <c r="AC736" i="3" s="1"/>
  <c r="H736" i="3"/>
  <c r="I736" i="3" s="1"/>
  <c r="G736" i="3"/>
  <c r="D736" i="3"/>
  <c r="R735" i="3"/>
  <c r="Q735" i="3"/>
  <c r="N735" i="3"/>
  <c r="L735" i="3"/>
  <c r="J735" i="3"/>
  <c r="AC735" i="3" s="1"/>
  <c r="H735" i="3"/>
  <c r="I735" i="3" s="1"/>
  <c r="G735" i="3"/>
  <c r="D735" i="3"/>
  <c r="R734" i="3"/>
  <c r="Q734" i="3"/>
  <c r="N734" i="3"/>
  <c r="L734" i="3"/>
  <c r="J734" i="3"/>
  <c r="AC734" i="3" s="1"/>
  <c r="H734" i="3"/>
  <c r="I734" i="3" s="1"/>
  <c r="G734" i="3"/>
  <c r="D734" i="3"/>
  <c r="R733" i="3"/>
  <c r="Q733" i="3"/>
  <c r="N733" i="3"/>
  <c r="L733" i="3"/>
  <c r="J733" i="3"/>
  <c r="AC733" i="3" s="1"/>
  <c r="H733" i="3"/>
  <c r="I733" i="3" s="1"/>
  <c r="G733" i="3"/>
  <c r="D733" i="3"/>
  <c r="R732" i="3"/>
  <c r="Q732" i="3"/>
  <c r="N732" i="3"/>
  <c r="L732" i="3"/>
  <c r="J732" i="3"/>
  <c r="AC732" i="3" s="1"/>
  <c r="H732" i="3"/>
  <c r="I732" i="3" s="1"/>
  <c r="G732" i="3"/>
  <c r="D732" i="3"/>
  <c r="R731" i="3"/>
  <c r="Q731" i="3"/>
  <c r="N731" i="3"/>
  <c r="L731" i="3"/>
  <c r="J731" i="3"/>
  <c r="AC731" i="3" s="1"/>
  <c r="H731" i="3"/>
  <c r="I731" i="3" s="1"/>
  <c r="G731" i="3"/>
  <c r="D731" i="3"/>
  <c r="R730" i="3"/>
  <c r="Q730" i="3"/>
  <c r="N730" i="3"/>
  <c r="L730" i="3"/>
  <c r="J730" i="3"/>
  <c r="AC730" i="3" s="1"/>
  <c r="H730" i="3"/>
  <c r="I730" i="3" s="1"/>
  <c r="G730" i="3"/>
  <c r="D730" i="3"/>
  <c r="R729" i="3"/>
  <c r="Q729" i="3"/>
  <c r="N729" i="3"/>
  <c r="L729" i="3"/>
  <c r="J729" i="3"/>
  <c r="AC729" i="3" s="1"/>
  <c r="H729" i="3"/>
  <c r="I729" i="3" s="1"/>
  <c r="G729" i="3"/>
  <c r="D729" i="3"/>
  <c r="R728" i="3"/>
  <c r="Q728" i="3"/>
  <c r="N728" i="3"/>
  <c r="L728" i="3"/>
  <c r="J728" i="3"/>
  <c r="AC728" i="3" s="1"/>
  <c r="H728" i="3"/>
  <c r="I728" i="3" s="1"/>
  <c r="G728" i="3"/>
  <c r="D728" i="3"/>
  <c r="R727" i="3"/>
  <c r="Q727" i="3"/>
  <c r="N727" i="3"/>
  <c r="L727" i="3"/>
  <c r="J727" i="3"/>
  <c r="AC727" i="3" s="1"/>
  <c r="H727" i="3"/>
  <c r="I727" i="3" s="1"/>
  <c r="G727" i="3"/>
  <c r="D727" i="3"/>
  <c r="R726" i="3"/>
  <c r="Q726" i="3"/>
  <c r="N726" i="3"/>
  <c r="L726" i="3"/>
  <c r="J726" i="3"/>
  <c r="AC726" i="3" s="1"/>
  <c r="H726" i="3"/>
  <c r="I726" i="3" s="1"/>
  <c r="G726" i="3"/>
  <c r="D726" i="3"/>
  <c r="R725" i="3"/>
  <c r="Q725" i="3"/>
  <c r="N725" i="3"/>
  <c r="L725" i="3"/>
  <c r="J725" i="3"/>
  <c r="AC725" i="3" s="1"/>
  <c r="H725" i="3"/>
  <c r="I725" i="3" s="1"/>
  <c r="G725" i="3"/>
  <c r="D725" i="3"/>
  <c r="R724" i="3"/>
  <c r="Q724" i="3"/>
  <c r="N724" i="3"/>
  <c r="L724" i="3"/>
  <c r="J724" i="3"/>
  <c r="AC724" i="3" s="1"/>
  <c r="H724" i="3"/>
  <c r="I724" i="3" s="1"/>
  <c r="G724" i="3"/>
  <c r="D724" i="3"/>
  <c r="R723" i="3"/>
  <c r="Q723" i="3"/>
  <c r="N723" i="3"/>
  <c r="L723" i="3"/>
  <c r="J723" i="3"/>
  <c r="AC723" i="3" s="1"/>
  <c r="H723" i="3"/>
  <c r="I723" i="3" s="1"/>
  <c r="G723" i="3"/>
  <c r="D723" i="3"/>
  <c r="R722" i="3"/>
  <c r="Q722" i="3"/>
  <c r="N722" i="3"/>
  <c r="L722" i="3"/>
  <c r="J722" i="3"/>
  <c r="AC722" i="3" s="1"/>
  <c r="H722" i="3"/>
  <c r="I722" i="3" s="1"/>
  <c r="G722" i="3"/>
  <c r="D722" i="3"/>
  <c r="R721" i="3"/>
  <c r="Q721" i="3"/>
  <c r="N721" i="3"/>
  <c r="L721" i="3"/>
  <c r="J721" i="3"/>
  <c r="AC721" i="3" s="1"/>
  <c r="H721" i="3"/>
  <c r="I721" i="3" s="1"/>
  <c r="G721" i="3"/>
  <c r="D721" i="3"/>
  <c r="R720" i="3"/>
  <c r="Q720" i="3"/>
  <c r="N720" i="3"/>
  <c r="L720" i="3"/>
  <c r="J720" i="3"/>
  <c r="AC720" i="3" s="1"/>
  <c r="H720" i="3"/>
  <c r="I720" i="3" s="1"/>
  <c r="G720" i="3"/>
  <c r="D720" i="3"/>
  <c r="R719" i="3"/>
  <c r="Q719" i="3"/>
  <c r="N719" i="3"/>
  <c r="L719" i="3"/>
  <c r="J719" i="3"/>
  <c r="AC719" i="3" s="1"/>
  <c r="H719" i="3"/>
  <c r="I719" i="3" s="1"/>
  <c r="G719" i="3"/>
  <c r="D719" i="3"/>
  <c r="R718" i="3"/>
  <c r="Q718" i="3"/>
  <c r="N718" i="3"/>
  <c r="L718" i="3"/>
  <c r="J718" i="3"/>
  <c r="AC718" i="3" s="1"/>
  <c r="H718" i="3"/>
  <c r="I718" i="3" s="1"/>
  <c r="G718" i="3"/>
  <c r="D718" i="3"/>
  <c r="R717" i="3"/>
  <c r="Q717" i="3"/>
  <c r="N717" i="3"/>
  <c r="L717" i="3"/>
  <c r="J717" i="3"/>
  <c r="AC717" i="3" s="1"/>
  <c r="H717" i="3"/>
  <c r="I717" i="3" s="1"/>
  <c r="G717" i="3"/>
  <c r="D717" i="3"/>
  <c r="R716" i="3"/>
  <c r="Q716" i="3"/>
  <c r="N716" i="3"/>
  <c r="L716" i="3"/>
  <c r="J716" i="3"/>
  <c r="AC716" i="3" s="1"/>
  <c r="H716" i="3"/>
  <c r="I716" i="3" s="1"/>
  <c r="G716" i="3"/>
  <c r="D716" i="3"/>
  <c r="R715" i="3"/>
  <c r="Q715" i="3"/>
  <c r="N715" i="3"/>
  <c r="L715" i="3"/>
  <c r="J715" i="3"/>
  <c r="AC715" i="3" s="1"/>
  <c r="H715" i="3"/>
  <c r="I715" i="3" s="1"/>
  <c r="G715" i="3"/>
  <c r="D715" i="3"/>
  <c r="R714" i="3"/>
  <c r="Q714" i="3"/>
  <c r="N714" i="3"/>
  <c r="L714" i="3"/>
  <c r="J714" i="3"/>
  <c r="AC714" i="3" s="1"/>
  <c r="H714" i="3"/>
  <c r="I714" i="3" s="1"/>
  <c r="G714" i="3"/>
  <c r="D714" i="3"/>
  <c r="R713" i="3"/>
  <c r="Q713" i="3"/>
  <c r="N713" i="3"/>
  <c r="L713" i="3"/>
  <c r="J713" i="3"/>
  <c r="AC713" i="3" s="1"/>
  <c r="H713" i="3"/>
  <c r="I713" i="3" s="1"/>
  <c r="G713" i="3"/>
  <c r="D713" i="3"/>
  <c r="R712" i="3"/>
  <c r="Q712" i="3"/>
  <c r="N712" i="3"/>
  <c r="L712" i="3"/>
  <c r="J712" i="3"/>
  <c r="AC712" i="3" s="1"/>
  <c r="H712" i="3"/>
  <c r="I712" i="3" s="1"/>
  <c r="G712" i="3"/>
  <c r="D712" i="3"/>
  <c r="R711" i="3"/>
  <c r="Q711" i="3"/>
  <c r="N711" i="3"/>
  <c r="L711" i="3"/>
  <c r="J711" i="3"/>
  <c r="AC711" i="3" s="1"/>
  <c r="H711" i="3"/>
  <c r="I711" i="3" s="1"/>
  <c r="G711" i="3"/>
  <c r="D711" i="3"/>
  <c r="R710" i="3"/>
  <c r="Q710" i="3"/>
  <c r="N710" i="3"/>
  <c r="L710" i="3"/>
  <c r="J710" i="3"/>
  <c r="AC710" i="3" s="1"/>
  <c r="H710" i="3"/>
  <c r="I710" i="3" s="1"/>
  <c r="G710" i="3"/>
  <c r="D710" i="3"/>
  <c r="R709" i="3"/>
  <c r="Q709" i="3"/>
  <c r="N709" i="3"/>
  <c r="L709" i="3"/>
  <c r="J709" i="3"/>
  <c r="AC709" i="3" s="1"/>
  <c r="H709" i="3"/>
  <c r="I709" i="3" s="1"/>
  <c r="G709" i="3"/>
  <c r="D709" i="3"/>
  <c r="R708" i="3"/>
  <c r="Q708" i="3"/>
  <c r="N708" i="3"/>
  <c r="L708" i="3"/>
  <c r="J708" i="3"/>
  <c r="AC708" i="3" s="1"/>
  <c r="H708" i="3"/>
  <c r="I708" i="3" s="1"/>
  <c r="G708" i="3"/>
  <c r="D708" i="3"/>
  <c r="R707" i="3"/>
  <c r="Q707" i="3"/>
  <c r="N707" i="3"/>
  <c r="L707" i="3"/>
  <c r="J707" i="3"/>
  <c r="AC707" i="3" s="1"/>
  <c r="H707" i="3"/>
  <c r="I707" i="3" s="1"/>
  <c r="G707" i="3"/>
  <c r="D707" i="3"/>
  <c r="R706" i="3"/>
  <c r="Q706" i="3"/>
  <c r="N706" i="3"/>
  <c r="L706" i="3"/>
  <c r="J706" i="3"/>
  <c r="AC706" i="3" s="1"/>
  <c r="H706" i="3"/>
  <c r="I706" i="3" s="1"/>
  <c r="G706" i="3"/>
  <c r="D706" i="3"/>
  <c r="R705" i="3"/>
  <c r="Q705" i="3"/>
  <c r="N705" i="3"/>
  <c r="L705" i="3"/>
  <c r="J705" i="3"/>
  <c r="AC705" i="3" s="1"/>
  <c r="H705" i="3"/>
  <c r="I705" i="3" s="1"/>
  <c r="G705" i="3"/>
  <c r="D705" i="3"/>
  <c r="R704" i="3"/>
  <c r="Q704" i="3"/>
  <c r="N704" i="3"/>
  <c r="L704" i="3"/>
  <c r="J704" i="3"/>
  <c r="AC704" i="3" s="1"/>
  <c r="H704" i="3"/>
  <c r="I704" i="3" s="1"/>
  <c r="G704" i="3"/>
  <c r="D704" i="3"/>
  <c r="R703" i="3"/>
  <c r="Q703" i="3"/>
  <c r="N703" i="3"/>
  <c r="L703" i="3"/>
  <c r="J703" i="3"/>
  <c r="AC703" i="3" s="1"/>
  <c r="H703" i="3"/>
  <c r="I703" i="3" s="1"/>
  <c r="G703" i="3"/>
  <c r="D703" i="3"/>
  <c r="R702" i="3"/>
  <c r="Q702" i="3"/>
  <c r="N702" i="3"/>
  <c r="L702" i="3"/>
  <c r="J702" i="3"/>
  <c r="AC702" i="3" s="1"/>
  <c r="H702" i="3"/>
  <c r="I702" i="3" s="1"/>
  <c r="G702" i="3"/>
  <c r="D702" i="3"/>
  <c r="R701" i="3"/>
  <c r="Q701" i="3"/>
  <c r="N701" i="3"/>
  <c r="L701" i="3"/>
  <c r="J701" i="3"/>
  <c r="AC701" i="3" s="1"/>
  <c r="H701" i="3"/>
  <c r="I701" i="3" s="1"/>
  <c r="G701" i="3"/>
  <c r="D701" i="3"/>
  <c r="R700" i="3"/>
  <c r="Q700" i="3"/>
  <c r="N700" i="3"/>
  <c r="L700" i="3"/>
  <c r="J700" i="3"/>
  <c r="AC700" i="3" s="1"/>
  <c r="H700" i="3"/>
  <c r="I700" i="3" s="1"/>
  <c r="G700" i="3"/>
  <c r="D700" i="3"/>
  <c r="R699" i="3"/>
  <c r="Q699" i="3"/>
  <c r="N699" i="3"/>
  <c r="L699" i="3"/>
  <c r="J699" i="3"/>
  <c r="AC699" i="3" s="1"/>
  <c r="H699" i="3"/>
  <c r="I699" i="3" s="1"/>
  <c r="G699" i="3"/>
  <c r="D699" i="3"/>
  <c r="R698" i="3"/>
  <c r="Q698" i="3"/>
  <c r="N698" i="3"/>
  <c r="L698" i="3"/>
  <c r="J698" i="3"/>
  <c r="AC698" i="3" s="1"/>
  <c r="H698" i="3"/>
  <c r="I698" i="3" s="1"/>
  <c r="G698" i="3"/>
  <c r="D698" i="3"/>
  <c r="R697" i="3"/>
  <c r="Q697" i="3"/>
  <c r="N697" i="3"/>
  <c r="L697" i="3"/>
  <c r="J697" i="3"/>
  <c r="AC697" i="3" s="1"/>
  <c r="H697" i="3"/>
  <c r="I697" i="3" s="1"/>
  <c r="G697" i="3"/>
  <c r="D697" i="3"/>
  <c r="R696" i="3"/>
  <c r="Q696" i="3"/>
  <c r="N696" i="3"/>
  <c r="L696" i="3"/>
  <c r="J696" i="3"/>
  <c r="AC696" i="3" s="1"/>
  <c r="H696" i="3"/>
  <c r="I696" i="3" s="1"/>
  <c r="G696" i="3"/>
  <c r="D696" i="3"/>
  <c r="R695" i="3"/>
  <c r="Q695" i="3"/>
  <c r="N695" i="3"/>
  <c r="L695" i="3"/>
  <c r="J695" i="3"/>
  <c r="AC695" i="3" s="1"/>
  <c r="H695" i="3"/>
  <c r="I695" i="3" s="1"/>
  <c r="G695" i="3"/>
  <c r="D695" i="3"/>
  <c r="R694" i="3"/>
  <c r="Q694" i="3"/>
  <c r="N694" i="3"/>
  <c r="L694" i="3"/>
  <c r="J694" i="3"/>
  <c r="AC694" i="3" s="1"/>
  <c r="H694" i="3"/>
  <c r="I694" i="3" s="1"/>
  <c r="G694" i="3"/>
  <c r="D694" i="3"/>
  <c r="R693" i="3"/>
  <c r="Q693" i="3"/>
  <c r="N693" i="3"/>
  <c r="L693" i="3"/>
  <c r="J693" i="3"/>
  <c r="AC693" i="3" s="1"/>
  <c r="H693" i="3"/>
  <c r="I693" i="3" s="1"/>
  <c r="G693" i="3"/>
  <c r="D693" i="3"/>
  <c r="R692" i="3"/>
  <c r="Q692" i="3"/>
  <c r="N692" i="3"/>
  <c r="L692" i="3"/>
  <c r="J692" i="3"/>
  <c r="AC692" i="3" s="1"/>
  <c r="H692" i="3"/>
  <c r="I692" i="3" s="1"/>
  <c r="G692" i="3"/>
  <c r="D692" i="3"/>
  <c r="R691" i="3"/>
  <c r="Q691" i="3"/>
  <c r="N691" i="3"/>
  <c r="L691" i="3"/>
  <c r="J691" i="3"/>
  <c r="AC691" i="3" s="1"/>
  <c r="H691" i="3"/>
  <c r="I691" i="3" s="1"/>
  <c r="G691" i="3"/>
  <c r="D691" i="3"/>
  <c r="R690" i="3"/>
  <c r="Q690" i="3"/>
  <c r="N690" i="3"/>
  <c r="L690" i="3"/>
  <c r="J690" i="3"/>
  <c r="AC690" i="3" s="1"/>
  <c r="H690" i="3"/>
  <c r="I690" i="3" s="1"/>
  <c r="G690" i="3"/>
  <c r="D690" i="3"/>
  <c r="R689" i="3"/>
  <c r="Q689" i="3"/>
  <c r="N689" i="3"/>
  <c r="L689" i="3"/>
  <c r="J689" i="3"/>
  <c r="AC689" i="3" s="1"/>
  <c r="H689" i="3"/>
  <c r="I689" i="3" s="1"/>
  <c r="G689" i="3"/>
  <c r="D689" i="3"/>
  <c r="R688" i="3"/>
  <c r="Q688" i="3"/>
  <c r="N688" i="3"/>
  <c r="L688" i="3"/>
  <c r="J688" i="3"/>
  <c r="AC688" i="3" s="1"/>
  <c r="H688" i="3"/>
  <c r="I688" i="3" s="1"/>
  <c r="G688" i="3"/>
  <c r="D688" i="3"/>
  <c r="R687" i="3"/>
  <c r="Q687" i="3"/>
  <c r="N687" i="3"/>
  <c r="L687" i="3"/>
  <c r="J687" i="3"/>
  <c r="AC687" i="3" s="1"/>
  <c r="H687" i="3"/>
  <c r="I687" i="3" s="1"/>
  <c r="G687" i="3"/>
  <c r="D687" i="3"/>
  <c r="R686" i="3"/>
  <c r="Q686" i="3"/>
  <c r="N686" i="3"/>
  <c r="L686" i="3"/>
  <c r="J686" i="3"/>
  <c r="AC686" i="3" s="1"/>
  <c r="H686" i="3"/>
  <c r="I686" i="3" s="1"/>
  <c r="G686" i="3"/>
  <c r="D686" i="3"/>
  <c r="R685" i="3"/>
  <c r="Q685" i="3"/>
  <c r="N685" i="3"/>
  <c r="L685" i="3"/>
  <c r="J685" i="3"/>
  <c r="AC685" i="3" s="1"/>
  <c r="H685" i="3"/>
  <c r="I685" i="3" s="1"/>
  <c r="G685" i="3"/>
  <c r="D685" i="3"/>
  <c r="R684" i="3"/>
  <c r="Q684" i="3"/>
  <c r="N684" i="3"/>
  <c r="L684" i="3"/>
  <c r="J684" i="3"/>
  <c r="AC684" i="3" s="1"/>
  <c r="H684" i="3"/>
  <c r="I684" i="3" s="1"/>
  <c r="G684" i="3"/>
  <c r="D684" i="3"/>
  <c r="R683" i="3"/>
  <c r="Q683" i="3"/>
  <c r="N683" i="3"/>
  <c r="L683" i="3"/>
  <c r="J683" i="3"/>
  <c r="AC683" i="3" s="1"/>
  <c r="H683" i="3"/>
  <c r="I683" i="3" s="1"/>
  <c r="G683" i="3"/>
  <c r="D683" i="3"/>
  <c r="R682" i="3"/>
  <c r="Q682" i="3"/>
  <c r="N682" i="3"/>
  <c r="L682" i="3"/>
  <c r="J682" i="3"/>
  <c r="AC682" i="3" s="1"/>
  <c r="H682" i="3"/>
  <c r="I682" i="3" s="1"/>
  <c r="G682" i="3"/>
  <c r="D682" i="3"/>
  <c r="R681" i="3"/>
  <c r="Q681" i="3"/>
  <c r="N681" i="3"/>
  <c r="L681" i="3"/>
  <c r="J681" i="3"/>
  <c r="AC681" i="3" s="1"/>
  <c r="H681" i="3"/>
  <c r="I681" i="3" s="1"/>
  <c r="G681" i="3"/>
  <c r="D681" i="3"/>
  <c r="R680" i="3"/>
  <c r="Q680" i="3"/>
  <c r="N680" i="3"/>
  <c r="L680" i="3"/>
  <c r="J680" i="3"/>
  <c r="AC680" i="3" s="1"/>
  <c r="H680" i="3"/>
  <c r="I680" i="3" s="1"/>
  <c r="G680" i="3"/>
  <c r="D680" i="3"/>
  <c r="R679" i="3"/>
  <c r="Q679" i="3"/>
  <c r="N679" i="3"/>
  <c r="L679" i="3"/>
  <c r="J679" i="3"/>
  <c r="AC679" i="3" s="1"/>
  <c r="H679" i="3"/>
  <c r="I679" i="3" s="1"/>
  <c r="G679" i="3"/>
  <c r="D679" i="3"/>
  <c r="R678" i="3"/>
  <c r="Q678" i="3"/>
  <c r="N678" i="3"/>
  <c r="L678" i="3"/>
  <c r="J678" i="3"/>
  <c r="AC678" i="3" s="1"/>
  <c r="H678" i="3"/>
  <c r="I678" i="3" s="1"/>
  <c r="G678" i="3"/>
  <c r="D678" i="3"/>
  <c r="R677" i="3"/>
  <c r="Q677" i="3"/>
  <c r="N677" i="3"/>
  <c r="L677" i="3"/>
  <c r="J677" i="3"/>
  <c r="AC677" i="3" s="1"/>
  <c r="H677" i="3"/>
  <c r="I677" i="3" s="1"/>
  <c r="G677" i="3"/>
  <c r="D677" i="3"/>
  <c r="R676" i="3"/>
  <c r="Q676" i="3"/>
  <c r="N676" i="3"/>
  <c r="L676" i="3"/>
  <c r="J676" i="3"/>
  <c r="AC676" i="3" s="1"/>
  <c r="H676" i="3"/>
  <c r="I676" i="3" s="1"/>
  <c r="G676" i="3"/>
  <c r="D676" i="3"/>
  <c r="R675" i="3"/>
  <c r="Q675" i="3"/>
  <c r="N675" i="3"/>
  <c r="L675" i="3"/>
  <c r="J675" i="3"/>
  <c r="AC675" i="3" s="1"/>
  <c r="H675" i="3"/>
  <c r="I675" i="3" s="1"/>
  <c r="G675" i="3"/>
  <c r="D675" i="3"/>
  <c r="R674" i="3"/>
  <c r="Q674" i="3"/>
  <c r="N674" i="3"/>
  <c r="L674" i="3"/>
  <c r="J674" i="3"/>
  <c r="AC674" i="3" s="1"/>
  <c r="H674" i="3"/>
  <c r="I674" i="3" s="1"/>
  <c r="G674" i="3"/>
  <c r="D674" i="3"/>
  <c r="R673" i="3"/>
  <c r="Q673" i="3"/>
  <c r="N673" i="3"/>
  <c r="L673" i="3"/>
  <c r="J673" i="3"/>
  <c r="AC673" i="3" s="1"/>
  <c r="H673" i="3"/>
  <c r="I673" i="3" s="1"/>
  <c r="G673" i="3"/>
  <c r="D673" i="3"/>
  <c r="R672" i="3"/>
  <c r="Q672" i="3"/>
  <c r="N672" i="3"/>
  <c r="L672" i="3"/>
  <c r="J672" i="3"/>
  <c r="AC672" i="3" s="1"/>
  <c r="H672" i="3"/>
  <c r="I672" i="3" s="1"/>
  <c r="G672" i="3"/>
  <c r="D672" i="3"/>
  <c r="R671" i="3"/>
  <c r="Q671" i="3"/>
  <c r="N671" i="3"/>
  <c r="L671" i="3"/>
  <c r="J671" i="3"/>
  <c r="AC671" i="3" s="1"/>
  <c r="H671" i="3"/>
  <c r="I671" i="3" s="1"/>
  <c r="G671" i="3"/>
  <c r="D671" i="3"/>
  <c r="R670" i="3"/>
  <c r="Q670" i="3"/>
  <c r="N670" i="3"/>
  <c r="L670" i="3"/>
  <c r="J670" i="3"/>
  <c r="AC670" i="3" s="1"/>
  <c r="H670" i="3"/>
  <c r="I670" i="3" s="1"/>
  <c r="G670" i="3"/>
  <c r="D670" i="3"/>
  <c r="R669" i="3"/>
  <c r="Q669" i="3"/>
  <c r="N669" i="3"/>
  <c r="L669" i="3"/>
  <c r="J669" i="3"/>
  <c r="AC669" i="3" s="1"/>
  <c r="H669" i="3"/>
  <c r="I669" i="3" s="1"/>
  <c r="G669" i="3"/>
  <c r="D669" i="3"/>
  <c r="R668" i="3"/>
  <c r="Q668" i="3"/>
  <c r="N668" i="3"/>
  <c r="L668" i="3"/>
  <c r="J668" i="3"/>
  <c r="AC668" i="3" s="1"/>
  <c r="H668" i="3"/>
  <c r="I668" i="3" s="1"/>
  <c r="G668" i="3"/>
  <c r="D668" i="3"/>
  <c r="R667" i="3"/>
  <c r="Q667" i="3"/>
  <c r="N667" i="3"/>
  <c r="L667" i="3"/>
  <c r="J667" i="3"/>
  <c r="AC667" i="3" s="1"/>
  <c r="H667" i="3"/>
  <c r="I667" i="3" s="1"/>
  <c r="G667" i="3"/>
  <c r="D667" i="3"/>
  <c r="R666" i="3"/>
  <c r="Q666" i="3"/>
  <c r="N666" i="3"/>
  <c r="L666" i="3"/>
  <c r="J666" i="3"/>
  <c r="AC666" i="3" s="1"/>
  <c r="H666" i="3"/>
  <c r="I666" i="3" s="1"/>
  <c r="G666" i="3"/>
  <c r="D666" i="3"/>
  <c r="R665" i="3"/>
  <c r="Q665" i="3"/>
  <c r="N665" i="3"/>
  <c r="L665" i="3"/>
  <c r="J665" i="3"/>
  <c r="AC665" i="3" s="1"/>
  <c r="H665" i="3"/>
  <c r="I665" i="3" s="1"/>
  <c r="G665" i="3"/>
  <c r="D665" i="3"/>
  <c r="R664" i="3"/>
  <c r="Q664" i="3"/>
  <c r="N664" i="3"/>
  <c r="L664" i="3"/>
  <c r="J664" i="3"/>
  <c r="AC664" i="3" s="1"/>
  <c r="H664" i="3"/>
  <c r="I664" i="3" s="1"/>
  <c r="G664" i="3"/>
  <c r="D664" i="3"/>
  <c r="R663" i="3"/>
  <c r="Q663" i="3"/>
  <c r="N663" i="3"/>
  <c r="L663" i="3"/>
  <c r="J663" i="3"/>
  <c r="AC663" i="3" s="1"/>
  <c r="H663" i="3"/>
  <c r="I663" i="3" s="1"/>
  <c r="G663" i="3"/>
  <c r="D663" i="3"/>
  <c r="R662" i="3"/>
  <c r="Q662" i="3"/>
  <c r="N662" i="3"/>
  <c r="L662" i="3"/>
  <c r="J662" i="3"/>
  <c r="AC662" i="3" s="1"/>
  <c r="H662" i="3"/>
  <c r="I662" i="3" s="1"/>
  <c r="G662" i="3"/>
  <c r="D662" i="3"/>
  <c r="R661" i="3"/>
  <c r="Q661" i="3"/>
  <c r="N661" i="3"/>
  <c r="L661" i="3"/>
  <c r="J661" i="3"/>
  <c r="AC661" i="3" s="1"/>
  <c r="H661" i="3"/>
  <c r="I661" i="3" s="1"/>
  <c r="G661" i="3"/>
  <c r="D661" i="3"/>
  <c r="R660" i="3"/>
  <c r="Q660" i="3"/>
  <c r="N660" i="3"/>
  <c r="L660" i="3"/>
  <c r="J660" i="3"/>
  <c r="AC660" i="3" s="1"/>
  <c r="H660" i="3"/>
  <c r="I660" i="3" s="1"/>
  <c r="G660" i="3"/>
  <c r="D660" i="3"/>
  <c r="R659" i="3"/>
  <c r="Q659" i="3"/>
  <c r="N659" i="3"/>
  <c r="L659" i="3"/>
  <c r="J659" i="3"/>
  <c r="AC659" i="3" s="1"/>
  <c r="H659" i="3"/>
  <c r="I659" i="3" s="1"/>
  <c r="G659" i="3"/>
  <c r="D659" i="3"/>
  <c r="R658" i="3"/>
  <c r="Q658" i="3"/>
  <c r="N658" i="3"/>
  <c r="L658" i="3"/>
  <c r="J658" i="3"/>
  <c r="AC658" i="3" s="1"/>
  <c r="H658" i="3"/>
  <c r="I658" i="3" s="1"/>
  <c r="G658" i="3"/>
  <c r="D658" i="3"/>
  <c r="R657" i="3"/>
  <c r="Q657" i="3"/>
  <c r="N657" i="3"/>
  <c r="L657" i="3"/>
  <c r="J657" i="3"/>
  <c r="AC657" i="3" s="1"/>
  <c r="H657" i="3"/>
  <c r="I657" i="3" s="1"/>
  <c r="G657" i="3"/>
  <c r="D657" i="3"/>
  <c r="R656" i="3"/>
  <c r="Q656" i="3"/>
  <c r="N656" i="3"/>
  <c r="L656" i="3"/>
  <c r="J656" i="3"/>
  <c r="AC656" i="3" s="1"/>
  <c r="H656" i="3"/>
  <c r="I656" i="3" s="1"/>
  <c r="G656" i="3"/>
  <c r="D656" i="3"/>
  <c r="R655" i="3"/>
  <c r="Q655" i="3"/>
  <c r="N655" i="3"/>
  <c r="L655" i="3"/>
  <c r="J655" i="3"/>
  <c r="AC655" i="3" s="1"/>
  <c r="H655" i="3"/>
  <c r="I655" i="3" s="1"/>
  <c r="G655" i="3"/>
  <c r="D655" i="3"/>
  <c r="R654" i="3"/>
  <c r="Q654" i="3"/>
  <c r="N654" i="3"/>
  <c r="L654" i="3"/>
  <c r="J654" i="3"/>
  <c r="AC654" i="3" s="1"/>
  <c r="H654" i="3"/>
  <c r="I654" i="3" s="1"/>
  <c r="G654" i="3"/>
  <c r="D654" i="3"/>
  <c r="R653" i="3"/>
  <c r="Q653" i="3"/>
  <c r="N653" i="3"/>
  <c r="L653" i="3"/>
  <c r="J653" i="3"/>
  <c r="AC653" i="3" s="1"/>
  <c r="H653" i="3"/>
  <c r="I653" i="3" s="1"/>
  <c r="G653" i="3"/>
  <c r="D653" i="3"/>
  <c r="R652" i="3"/>
  <c r="Q652" i="3"/>
  <c r="N652" i="3"/>
  <c r="L652" i="3"/>
  <c r="J652" i="3"/>
  <c r="AC652" i="3" s="1"/>
  <c r="H652" i="3"/>
  <c r="I652" i="3" s="1"/>
  <c r="G652" i="3"/>
  <c r="D652" i="3"/>
  <c r="R651" i="3"/>
  <c r="Q651" i="3"/>
  <c r="N651" i="3"/>
  <c r="L651" i="3"/>
  <c r="J651" i="3"/>
  <c r="AC651" i="3" s="1"/>
  <c r="H651" i="3"/>
  <c r="I651" i="3" s="1"/>
  <c r="G651" i="3"/>
  <c r="D651" i="3"/>
  <c r="R650" i="3"/>
  <c r="Q650" i="3"/>
  <c r="N650" i="3"/>
  <c r="L650" i="3"/>
  <c r="J650" i="3"/>
  <c r="AC650" i="3" s="1"/>
  <c r="H650" i="3"/>
  <c r="I650" i="3" s="1"/>
  <c r="G650" i="3"/>
  <c r="D650" i="3"/>
  <c r="R649" i="3"/>
  <c r="Q649" i="3"/>
  <c r="N649" i="3"/>
  <c r="L649" i="3"/>
  <c r="J649" i="3"/>
  <c r="AC649" i="3" s="1"/>
  <c r="H649" i="3"/>
  <c r="I649" i="3" s="1"/>
  <c r="G649" i="3"/>
  <c r="D649" i="3"/>
  <c r="R648" i="3"/>
  <c r="Q648" i="3"/>
  <c r="N648" i="3"/>
  <c r="L648" i="3"/>
  <c r="J648" i="3"/>
  <c r="AC648" i="3" s="1"/>
  <c r="H648" i="3"/>
  <c r="I648" i="3" s="1"/>
  <c r="G648" i="3"/>
  <c r="D648" i="3"/>
  <c r="R647" i="3"/>
  <c r="Q647" i="3"/>
  <c r="N647" i="3"/>
  <c r="L647" i="3"/>
  <c r="J647" i="3"/>
  <c r="AC647" i="3" s="1"/>
  <c r="H647" i="3"/>
  <c r="I647" i="3" s="1"/>
  <c r="G647" i="3"/>
  <c r="D647" i="3"/>
  <c r="R646" i="3"/>
  <c r="Q646" i="3"/>
  <c r="N646" i="3"/>
  <c r="L646" i="3"/>
  <c r="J646" i="3"/>
  <c r="AC646" i="3" s="1"/>
  <c r="H646" i="3"/>
  <c r="I646" i="3" s="1"/>
  <c r="G646" i="3"/>
  <c r="D646" i="3"/>
  <c r="R645" i="3"/>
  <c r="Q645" i="3"/>
  <c r="N645" i="3"/>
  <c r="L645" i="3"/>
  <c r="J645" i="3"/>
  <c r="AC645" i="3" s="1"/>
  <c r="H645" i="3"/>
  <c r="I645" i="3" s="1"/>
  <c r="G645" i="3"/>
  <c r="D645" i="3"/>
  <c r="R644" i="3"/>
  <c r="Q644" i="3"/>
  <c r="N644" i="3"/>
  <c r="L644" i="3"/>
  <c r="J644" i="3"/>
  <c r="AC644" i="3" s="1"/>
  <c r="H644" i="3"/>
  <c r="I644" i="3" s="1"/>
  <c r="G644" i="3"/>
  <c r="D644" i="3"/>
  <c r="R643" i="3"/>
  <c r="Q643" i="3"/>
  <c r="N643" i="3"/>
  <c r="L643" i="3"/>
  <c r="J643" i="3"/>
  <c r="AC643" i="3" s="1"/>
  <c r="H643" i="3"/>
  <c r="I643" i="3" s="1"/>
  <c r="G643" i="3"/>
  <c r="D643" i="3"/>
  <c r="R642" i="3"/>
  <c r="Q642" i="3"/>
  <c r="N642" i="3"/>
  <c r="L642" i="3"/>
  <c r="J642" i="3"/>
  <c r="AC642" i="3" s="1"/>
  <c r="H642" i="3"/>
  <c r="I642" i="3" s="1"/>
  <c r="G642" i="3"/>
  <c r="D642" i="3"/>
  <c r="R641" i="3"/>
  <c r="Q641" i="3"/>
  <c r="N641" i="3"/>
  <c r="L641" i="3"/>
  <c r="J641" i="3"/>
  <c r="AC641" i="3" s="1"/>
  <c r="H641" i="3"/>
  <c r="I641" i="3" s="1"/>
  <c r="G641" i="3"/>
  <c r="D641" i="3"/>
  <c r="R640" i="3"/>
  <c r="Q640" i="3"/>
  <c r="N640" i="3"/>
  <c r="L640" i="3"/>
  <c r="J640" i="3"/>
  <c r="AC640" i="3" s="1"/>
  <c r="H640" i="3"/>
  <c r="I640" i="3" s="1"/>
  <c r="G640" i="3"/>
  <c r="D640" i="3"/>
  <c r="R639" i="3"/>
  <c r="Q639" i="3"/>
  <c r="N639" i="3"/>
  <c r="L639" i="3"/>
  <c r="J639" i="3"/>
  <c r="AC639" i="3" s="1"/>
  <c r="H639" i="3"/>
  <c r="I639" i="3" s="1"/>
  <c r="G639" i="3"/>
  <c r="D639" i="3"/>
  <c r="R638" i="3"/>
  <c r="Q638" i="3"/>
  <c r="N638" i="3"/>
  <c r="L638" i="3"/>
  <c r="J638" i="3"/>
  <c r="AC638" i="3" s="1"/>
  <c r="H638" i="3"/>
  <c r="I638" i="3" s="1"/>
  <c r="G638" i="3"/>
  <c r="D638" i="3"/>
  <c r="R637" i="3"/>
  <c r="Q637" i="3"/>
  <c r="N637" i="3"/>
  <c r="L637" i="3"/>
  <c r="J637" i="3"/>
  <c r="AC637" i="3" s="1"/>
  <c r="H637" i="3"/>
  <c r="I637" i="3" s="1"/>
  <c r="G637" i="3"/>
  <c r="D637" i="3"/>
  <c r="R636" i="3"/>
  <c r="Q636" i="3"/>
  <c r="N636" i="3"/>
  <c r="L636" i="3"/>
  <c r="J636" i="3"/>
  <c r="AC636" i="3" s="1"/>
  <c r="H636" i="3"/>
  <c r="I636" i="3" s="1"/>
  <c r="G636" i="3"/>
  <c r="D636" i="3"/>
  <c r="R635" i="3"/>
  <c r="Q635" i="3"/>
  <c r="N635" i="3"/>
  <c r="L635" i="3"/>
  <c r="J635" i="3"/>
  <c r="AC635" i="3" s="1"/>
  <c r="H635" i="3"/>
  <c r="I635" i="3" s="1"/>
  <c r="G635" i="3"/>
  <c r="D635" i="3"/>
  <c r="R634" i="3"/>
  <c r="Q634" i="3"/>
  <c r="N634" i="3"/>
  <c r="L634" i="3"/>
  <c r="J634" i="3"/>
  <c r="AC634" i="3" s="1"/>
  <c r="H634" i="3"/>
  <c r="I634" i="3" s="1"/>
  <c r="G634" i="3"/>
  <c r="D634" i="3"/>
  <c r="R633" i="3"/>
  <c r="Q633" i="3"/>
  <c r="N633" i="3"/>
  <c r="L633" i="3"/>
  <c r="J633" i="3"/>
  <c r="AC633" i="3" s="1"/>
  <c r="H633" i="3"/>
  <c r="I633" i="3" s="1"/>
  <c r="G633" i="3"/>
  <c r="D633" i="3"/>
  <c r="R632" i="3"/>
  <c r="Q632" i="3"/>
  <c r="N632" i="3"/>
  <c r="L632" i="3"/>
  <c r="J632" i="3"/>
  <c r="AC632" i="3" s="1"/>
  <c r="H632" i="3"/>
  <c r="I632" i="3" s="1"/>
  <c r="G632" i="3"/>
  <c r="D632" i="3"/>
  <c r="R631" i="3"/>
  <c r="Q631" i="3"/>
  <c r="N631" i="3"/>
  <c r="L631" i="3"/>
  <c r="J631" i="3"/>
  <c r="AC631" i="3" s="1"/>
  <c r="H631" i="3"/>
  <c r="I631" i="3" s="1"/>
  <c r="G631" i="3"/>
  <c r="D631" i="3"/>
  <c r="R630" i="3"/>
  <c r="Q630" i="3"/>
  <c r="N630" i="3"/>
  <c r="L630" i="3"/>
  <c r="J630" i="3"/>
  <c r="AC630" i="3" s="1"/>
  <c r="H630" i="3"/>
  <c r="I630" i="3" s="1"/>
  <c r="G630" i="3"/>
  <c r="D630" i="3"/>
  <c r="R629" i="3"/>
  <c r="Q629" i="3"/>
  <c r="N629" i="3"/>
  <c r="L629" i="3"/>
  <c r="J629" i="3"/>
  <c r="AC629" i="3" s="1"/>
  <c r="H629" i="3"/>
  <c r="I629" i="3" s="1"/>
  <c r="G629" i="3"/>
  <c r="D629" i="3"/>
  <c r="R628" i="3"/>
  <c r="Q628" i="3"/>
  <c r="N628" i="3"/>
  <c r="L628" i="3"/>
  <c r="J628" i="3"/>
  <c r="AC628" i="3" s="1"/>
  <c r="H628" i="3"/>
  <c r="I628" i="3" s="1"/>
  <c r="G628" i="3"/>
  <c r="D628" i="3"/>
  <c r="R627" i="3"/>
  <c r="Q627" i="3"/>
  <c r="N627" i="3"/>
  <c r="L627" i="3"/>
  <c r="J627" i="3"/>
  <c r="AC627" i="3" s="1"/>
  <c r="H627" i="3"/>
  <c r="I627" i="3" s="1"/>
  <c r="G627" i="3"/>
  <c r="D627" i="3"/>
  <c r="R626" i="3"/>
  <c r="Q626" i="3"/>
  <c r="N626" i="3"/>
  <c r="L626" i="3"/>
  <c r="J626" i="3"/>
  <c r="AC626" i="3" s="1"/>
  <c r="H626" i="3"/>
  <c r="I626" i="3" s="1"/>
  <c r="G626" i="3"/>
  <c r="D626" i="3"/>
  <c r="R625" i="3"/>
  <c r="Q625" i="3"/>
  <c r="N625" i="3"/>
  <c r="L625" i="3"/>
  <c r="J625" i="3"/>
  <c r="AC625" i="3" s="1"/>
  <c r="H625" i="3"/>
  <c r="I625" i="3" s="1"/>
  <c r="G625" i="3"/>
  <c r="D625" i="3"/>
  <c r="R624" i="3"/>
  <c r="Q624" i="3"/>
  <c r="N624" i="3"/>
  <c r="L624" i="3"/>
  <c r="J624" i="3"/>
  <c r="AC624" i="3" s="1"/>
  <c r="H624" i="3"/>
  <c r="I624" i="3" s="1"/>
  <c r="G624" i="3"/>
  <c r="D624" i="3"/>
  <c r="R623" i="3"/>
  <c r="Q623" i="3"/>
  <c r="N623" i="3"/>
  <c r="L623" i="3"/>
  <c r="J623" i="3"/>
  <c r="AC623" i="3" s="1"/>
  <c r="H623" i="3"/>
  <c r="I623" i="3" s="1"/>
  <c r="G623" i="3"/>
  <c r="D623" i="3"/>
  <c r="R622" i="3"/>
  <c r="Q622" i="3"/>
  <c r="N622" i="3"/>
  <c r="L622" i="3"/>
  <c r="J622" i="3"/>
  <c r="AC622" i="3" s="1"/>
  <c r="H622" i="3"/>
  <c r="I622" i="3" s="1"/>
  <c r="G622" i="3"/>
  <c r="D622" i="3"/>
  <c r="R621" i="3"/>
  <c r="Q621" i="3"/>
  <c r="N621" i="3"/>
  <c r="L621" i="3"/>
  <c r="J621" i="3"/>
  <c r="AC621" i="3" s="1"/>
  <c r="H621" i="3"/>
  <c r="I621" i="3" s="1"/>
  <c r="G621" i="3"/>
  <c r="D621" i="3"/>
  <c r="R620" i="3"/>
  <c r="Q620" i="3"/>
  <c r="N620" i="3"/>
  <c r="L620" i="3"/>
  <c r="J620" i="3"/>
  <c r="AC620" i="3" s="1"/>
  <c r="H620" i="3"/>
  <c r="I620" i="3" s="1"/>
  <c r="G620" i="3"/>
  <c r="D620" i="3"/>
  <c r="R619" i="3"/>
  <c r="Q619" i="3"/>
  <c r="N619" i="3"/>
  <c r="L619" i="3"/>
  <c r="J619" i="3"/>
  <c r="AC619" i="3" s="1"/>
  <c r="H619" i="3"/>
  <c r="I619" i="3" s="1"/>
  <c r="G619" i="3"/>
  <c r="D619" i="3"/>
  <c r="R618" i="3"/>
  <c r="Q618" i="3"/>
  <c r="N618" i="3"/>
  <c r="L618" i="3"/>
  <c r="J618" i="3"/>
  <c r="AC618" i="3" s="1"/>
  <c r="H618" i="3"/>
  <c r="I618" i="3" s="1"/>
  <c r="G618" i="3"/>
  <c r="D618" i="3"/>
  <c r="R617" i="3"/>
  <c r="Q617" i="3"/>
  <c r="N617" i="3"/>
  <c r="L617" i="3"/>
  <c r="J617" i="3"/>
  <c r="AC617" i="3" s="1"/>
  <c r="H617" i="3"/>
  <c r="I617" i="3" s="1"/>
  <c r="G617" i="3"/>
  <c r="D617" i="3"/>
  <c r="R616" i="3"/>
  <c r="Q616" i="3"/>
  <c r="N616" i="3"/>
  <c r="L616" i="3"/>
  <c r="J616" i="3"/>
  <c r="AC616" i="3" s="1"/>
  <c r="H616" i="3"/>
  <c r="I616" i="3" s="1"/>
  <c r="G616" i="3"/>
  <c r="D616" i="3"/>
  <c r="R615" i="3"/>
  <c r="Q615" i="3"/>
  <c r="N615" i="3"/>
  <c r="L615" i="3"/>
  <c r="J615" i="3"/>
  <c r="AC615" i="3" s="1"/>
  <c r="H615" i="3"/>
  <c r="I615" i="3" s="1"/>
  <c r="G615" i="3"/>
  <c r="D615" i="3"/>
  <c r="R614" i="3"/>
  <c r="Q614" i="3"/>
  <c r="N614" i="3"/>
  <c r="L614" i="3"/>
  <c r="J614" i="3"/>
  <c r="AC614" i="3" s="1"/>
  <c r="H614" i="3"/>
  <c r="I614" i="3" s="1"/>
  <c r="G614" i="3"/>
  <c r="D614" i="3"/>
  <c r="R613" i="3"/>
  <c r="Q613" i="3"/>
  <c r="N613" i="3"/>
  <c r="L613" i="3"/>
  <c r="J613" i="3"/>
  <c r="AC613" i="3" s="1"/>
  <c r="H613" i="3"/>
  <c r="I613" i="3" s="1"/>
  <c r="G613" i="3"/>
  <c r="D613" i="3"/>
  <c r="R612" i="3"/>
  <c r="Q612" i="3"/>
  <c r="N612" i="3"/>
  <c r="L612" i="3"/>
  <c r="J612" i="3"/>
  <c r="AC612" i="3" s="1"/>
  <c r="H612" i="3"/>
  <c r="I612" i="3" s="1"/>
  <c r="G612" i="3"/>
  <c r="D612" i="3"/>
  <c r="R611" i="3"/>
  <c r="Q611" i="3"/>
  <c r="N611" i="3"/>
  <c r="L611" i="3"/>
  <c r="J611" i="3"/>
  <c r="AC611" i="3" s="1"/>
  <c r="H611" i="3"/>
  <c r="I611" i="3" s="1"/>
  <c r="G611" i="3"/>
  <c r="D611" i="3"/>
  <c r="R610" i="3"/>
  <c r="Q610" i="3"/>
  <c r="N610" i="3"/>
  <c r="L610" i="3"/>
  <c r="J610" i="3"/>
  <c r="AC610" i="3" s="1"/>
  <c r="H610" i="3"/>
  <c r="I610" i="3" s="1"/>
  <c r="G610" i="3"/>
  <c r="D610" i="3"/>
  <c r="R609" i="3"/>
  <c r="Q609" i="3"/>
  <c r="N609" i="3"/>
  <c r="L609" i="3"/>
  <c r="J609" i="3"/>
  <c r="AC609" i="3" s="1"/>
  <c r="H609" i="3"/>
  <c r="I609" i="3" s="1"/>
  <c r="G609" i="3"/>
  <c r="D609" i="3"/>
  <c r="R608" i="3"/>
  <c r="Q608" i="3"/>
  <c r="N608" i="3"/>
  <c r="L608" i="3"/>
  <c r="J608" i="3"/>
  <c r="AC608" i="3" s="1"/>
  <c r="H608" i="3"/>
  <c r="I608" i="3" s="1"/>
  <c r="G608" i="3"/>
  <c r="D608" i="3"/>
  <c r="R607" i="3"/>
  <c r="Q607" i="3"/>
  <c r="N607" i="3"/>
  <c r="L607" i="3"/>
  <c r="J607" i="3"/>
  <c r="AC607" i="3" s="1"/>
  <c r="H607" i="3"/>
  <c r="I607" i="3" s="1"/>
  <c r="G607" i="3"/>
  <c r="D607" i="3"/>
  <c r="R606" i="3"/>
  <c r="Q606" i="3"/>
  <c r="N606" i="3"/>
  <c r="L606" i="3"/>
  <c r="J606" i="3"/>
  <c r="AC606" i="3" s="1"/>
  <c r="H606" i="3"/>
  <c r="I606" i="3" s="1"/>
  <c r="G606" i="3"/>
  <c r="D606" i="3"/>
  <c r="R605" i="3"/>
  <c r="Q605" i="3"/>
  <c r="N605" i="3"/>
  <c r="L605" i="3"/>
  <c r="J605" i="3"/>
  <c r="AC605" i="3" s="1"/>
  <c r="H605" i="3"/>
  <c r="I605" i="3" s="1"/>
  <c r="G605" i="3"/>
  <c r="D605" i="3"/>
  <c r="R604" i="3"/>
  <c r="Q604" i="3"/>
  <c r="N604" i="3"/>
  <c r="L604" i="3"/>
  <c r="J604" i="3"/>
  <c r="AC604" i="3" s="1"/>
  <c r="H604" i="3"/>
  <c r="I604" i="3" s="1"/>
  <c r="G604" i="3"/>
  <c r="D604" i="3"/>
  <c r="R603" i="3"/>
  <c r="Q603" i="3"/>
  <c r="N603" i="3"/>
  <c r="L603" i="3"/>
  <c r="J603" i="3"/>
  <c r="AC603" i="3" s="1"/>
  <c r="H603" i="3"/>
  <c r="I603" i="3" s="1"/>
  <c r="G603" i="3"/>
  <c r="D603" i="3"/>
  <c r="R602" i="3"/>
  <c r="Q602" i="3"/>
  <c r="N602" i="3"/>
  <c r="L602" i="3"/>
  <c r="J602" i="3"/>
  <c r="AC602" i="3" s="1"/>
  <c r="H602" i="3"/>
  <c r="I602" i="3" s="1"/>
  <c r="G602" i="3"/>
  <c r="D602" i="3"/>
  <c r="R601" i="3"/>
  <c r="Q601" i="3"/>
  <c r="N601" i="3"/>
  <c r="L601" i="3"/>
  <c r="J601" i="3"/>
  <c r="AC601" i="3" s="1"/>
  <c r="H601" i="3"/>
  <c r="I601" i="3" s="1"/>
  <c r="G601" i="3"/>
  <c r="D601" i="3"/>
  <c r="R600" i="3"/>
  <c r="Q600" i="3"/>
  <c r="N600" i="3"/>
  <c r="L600" i="3"/>
  <c r="J600" i="3"/>
  <c r="AC600" i="3" s="1"/>
  <c r="H600" i="3"/>
  <c r="I600" i="3" s="1"/>
  <c r="G600" i="3"/>
  <c r="D600" i="3"/>
  <c r="R599" i="3"/>
  <c r="Q599" i="3"/>
  <c r="N599" i="3"/>
  <c r="L599" i="3"/>
  <c r="J599" i="3"/>
  <c r="AC599" i="3" s="1"/>
  <c r="H599" i="3"/>
  <c r="I599" i="3" s="1"/>
  <c r="G599" i="3"/>
  <c r="D599" i="3"/>
  <c r="R598" i="3"/>
  <c r="Q598" i="3"/>
  <c r="N598" i="3"/>
  <c r="L598" i="3"/>
  <c r="J598" i="3"/>
  <c r="AC598" i="3" s="1"/>
  <c r="H598" i="3"/>
  <c r="I598" i="3" s="1"/>
  <c r="G598" i="3"/>
  <c r="D598" i="3"/>
  <c r="R597" i="3"/>
  <c r="Q597" i="3"/>
  <c r="N597" i="3"/>
  <c r="L597" i="3"/>
  <c r="J597" i="3"/>
  <c r="AC597" i="3" s="1"/>
  <c r="H597" i="3"/>
  <c r="I597" i="3" s="1"/>
  <c r="G597" i="3"/>
  <c r="D597" i="3"/>
  <c r="R596" i="3"/>
  <c r="Q596" i="3"/>
  <c r="N596" i="3"/>
  <c r="L596" i="3"/>
  <c r="J596" i="3"/>
  <c r="AC596" i="3" s="1"/>
  <c r="H596" i="3"/>
  <c r="I596" i="3" s="1"/>
  <c r="G596" i="3"/>
  <c r="D596" i="3"/>
  <c r="R595" i="3"/>
  <c r="Q595" i="3"/>
  <c r="N595" i="3"/>
  <c r="L595" i="3"/>
  <c r="J595" i="3"/>
  <c r="AC595" i="3" s="1"/>
  <c r="H595" i="3"/>
  <c r="I595" i="3" s="1"/>
  <c r="G595" i="3"/>
  <c r="D595" i="3"/>
  <c r="R594" i="3"/>
  <c r="Q594" i="3"/>
  <c r="N594" i="3"/>
  <c r="L594" i="3"/>
  <c r="J594" i="3"/>
  <c r="AC594" i="3" s="1"/>
  <c r="H594" i="3"/>
  <c r="I594" i="3" s="1"/>
  <c r="G594" i="3"/>
  <c r="D594" i="3"/>
  <c r="R593" i="3"/>
  <c r="Q593" i="3"/>
  <c r="N593" i="3"/>
  <c r="L593" i="3"/>
  <c r="J593" i="3"/>
  <c r="AC593" i="3" s="1"/>
  <c r="H593" i="3"/>
  <c r="I593" i="3" s="1"/>
  <c r="G593" i="3"/>
  <c r="D593" i="3"/>
  <c r="R592" i="3"/>
  <c r="Q592" i="3"/>
  <c r="N592" i="3"/>
  <c r="L592" i="3"/>
  <c r="J592" i="3"/>
  <c r="AC592" i="3" s="1"/>
  <c r="H592" i="3"/>
  <c r="I592" i="3" s="1"/>
  <c r="G592" i="3"/>
  <c r="D592" i="3"/>
  <c r="R591" i="3"/>
  <c r="Q591" i="3"/>
  <c r="N591" i="3"/>
  <c r="L591" i="3"/>
  <c r="J591" i="3"/>
  <c r="AC591" i="3" s="1"/>
  <c r="H591" i="3"/>
  <c r="I591" i="3" s="1"/>
  <c r="G591" i="3"/>
  <c r="D591" i="3"/>
  <c r="R590" i="3"/>
  <c r="Q590" i="3"/>
  <c r="N590" i="3"/>
  <c r="L590" i="3"/>
  <c r="J590" i="3"/>
  <c r="AC590" i="3" s="1"/>
  <c r="H590" i="3"/>
  <c r="I590" i="3" s="1"/>
  <c r="G590" i="3"/>
  <c r="D590" i="3"/>
  <c r="R589" i="3"/>
  <c r="Q589" i="3"/>
  <c r="N589" i="3"/>
  <c r="L589" i="3"/>
  <c r="J589" i="3"/>
  <c r="AC589" i="3" s="1"/>
  <c r="H589" i="3"/>
  <c r="I589" i="3" s="1"/>
  <c r="G589" i="3"/>
  <c r="D589" i="3"/>
  <c r="R588" i="3"/>
  <c r="Q588" i="3"/>
  <c r="N588" i="3"/>
  <c r="L588" i="3"/>
  <c r="J588" i="3"/>
  <c r="AC588" i="3" s="1"/>
  <c r="H588" i="3"/>
  <c r="I588" i="3" s="1"/>
  <c r="G588" i="3"/>
  <c r="D588" i="3"/>
  <c r="R587" i="3"/>
  <c r="Q587" i="3"/>
  <c r="N587" i="3"/>
  <c r="L587" i="3"/>
  <c r="J587" i="3"/>
  <c r="AC587" i="3" s="1"/>
  <c r="H587" i="3"/>
  <c r="I587" i="3" s="1"/>
  <c r="G587" i="3"/>
  <c r="D587" i="3"/>
  <c r="R586" i="3"/>
  <c r="Q586" i="3"/>
  <c r="N586" i="3"/>
  <c r="L586" i="3"/>
  <c r="J586" i="3"/>
  <c r="AC586" i="3" s="1"/>
  <c r="H586" i="3"/>
  <c r="I586" i="3" s="1"/>
  <c r="G586" i="3"/>
  <c r="D586" i="3"/>
  <c r="R585" i="3"/>
  <c r="Q585" i="3"/>
  <c r="N585" i="3"/>
  <c r="L585" i="3"/>
  <c r="J585" i="3"/>
  <c r="AC585" i="3" s="1"/>
  <c r="H585" i="3"/>
  <c r="I585" i="3" s="1"/>
  <c r="G585" i="3"/>
  <c r="D585" i="3"/>
  <c r="R584" i="3"/>
  <c r="Q584" i="3"/>
  <c r="N584" i="3"/>
  <c r="L584" i="3"/>
  <c r="J584" i="3"/>
  <c r="AC584" i="3" s="1"/>
  <c r="H584" i="3"/>
  <c r="I584" i="3" s="1"/>
  <c r="G584" i="3"/>
  <c r="D584" i="3"/>
  <c r="R583" i="3"/>
  <c r="Q583" i="3"/>
  <c r="N583" i="3"/>
  <c r="L583" i="3"/>
  <c r="J583" i="3"/>
  <c r="AC583" i="3" s="1"/>
  <c r="H583" i="3"/>
  <c r="I583" i="3" s="1"/>
  <c r="G583" i="3"/>
  <c r="D583" i="3"/>
  <c r="R582" i="3"/>
  <c r="Q582" i="3"/>
  <c r="N582" i="3"/>
  <c r="L582" i="3"/>
  <c r="J582" i="3"/>
  <c r="AC582" i="3" s="1"/>
  <c r="H582" i="3"/>
  <c r="I582" i="3" s="1"/>
  <c r="G582" i="3"/>
  <c r="D582" i="3"/>
  <c r="R581" i="3"/>
  <c r="Q581" i="3"/>
  <c r="N581" i="3"/>
  <c r="L581" i="3"/>
  <c r="J581" i="3"/>
  <c r="AC581" i="3" s="1"/>
  <c r="H581" i="3"/>
  <c r="I581" i="3" s="1"/>
  <c r="G581" i="3"/>
  <c r="D581" i="3"/>
  <c r="R580" i="3"/>
  <c r="Q580" i="3"/>
  <c r="N580" i="3"/>
  <c r="L580" i="3"/>
  <c r="J580" i="3"/>
  <c r="AC580" i="3" s="1"/>
  <c r="H580" i="3"/>
  <c r="I580" i="3" s="1"/>
  <c r="G580" i="3"/>
  <c r="D580" i="3"/>
  <c r="R579" i="3"/>
  <c r="Q579" i="3"/>
  <c r="N579" i="3"/>
  <c r="L579" i="3"/>
  <c r="J579" i="3"/>
  <c r="AC579" i="3" s="1"/>
  <c r="H579" i="3"/>
  <c r="I579" i="3" s="1"/>
  <c r="G579" i="3"/>
  <c r="D579" i="3"/>
  <c r="R578" i="3"/>
  <c r="Q578" i="3"/>
  <c r="N578" i="3"/>
  <c r="L578" i="3"/>
  <c r="J578" i="3"/>
  <c r="AC578" i="3" s="1"/>
  <c r="H578" i="3"/>
  <c r="I578" i="3" s="1"/>
  <c r="G578" i="3"/>
  <c r="D578" i="3"/>
  <c r="R577" i="3"/>
  <c r="Q577" i="3"/>
  <c r="N577" i="3"/>
  <c r="L577" i="3"/>
  <c r="J577" i="3"/>
  <c r="AC577" i="3" s="1"/>
  <c r="H577" i="3"/>
  <c r="I577" i="3" s="1"/>
  <c r="G577" i="3"/>
  <c r="D577" i="3"/>
  <c r="R576" i="3"/>
  <c r="Q576" i="3"/>
  <c r="N576" i="3"/>
  <c r="L576" i="3"/>
  <c r="J576" i="3"/>
  <c r="AC576" i="3" s="1"/>
  <c r="H576" i="3"/>
  <c r="I576" i="3" s="1"/>
  <c r="G576" i="3"/>
  <c r="D576" i="3"/>
  <c r="R575" i="3"/>
  <c r="Q575" i="3"/>
  <c r="N575" i="3"/>
  <c r="L575" i="3"/>
  <c r="J575" i="3"/>
  <c r="AC575" i="3" s="1"/>
  <c r="H575" i="3"/>
  <c r="I575" i="3" s="1"/>
  <c r="G575" i="3"/>
  <c r="D575" i="3"/>
  <c r="R574" i="3"/>
  <c r="Q574" i="3"/>
  <c r="N574" i="3"/>
  <c r="L574" i="3"/>
  <c r="J574" i="3"/>
  <c r="AC574" i="3" s="1"/>
  <c r="H574" i="3"/>
  <c r="I574" i="3" s="1"/>
  <c r="G574" i="3"/>
  <c r="D574" i="3"/>
  <c r="R573" i="3"/>
  <c r="Q573" i="3"/>
  <c r="N573" i="3"/>
  <c r="L573" i="3"/>
  <c r="J573" i="3"/>
  <c r="AC573" i="3" s="1"/>
  <c r="H573" i="3"/>
  <c r="I573" i="3" s="1"/>
  <c r="G573" i="3"/>
  <c r="D573" i="3"/>
  <c r="R572" i="3"/>
  <c r="Q572" i="3"/>
  <c r="N572" i="3"/>
  <c r="L572" i="3"/>
  <c r="J572" i="3"/>
  <c r="AC572" i="3" s="1"/>
  <c r="H572" i="3"/>
  <c r="I572" i="3" s="1"/>
  <c r="G572" i="3"/>
  <c r="D572" i="3"/>
  <c r="R571" i="3"/>
  <c r="Q571" i="3"/>
  <c r="N571" i="3"/>
  <c r="L571" i="3"/>
  <c r="J571" i="3"/>
  <c r="AC571" i="3" s="1"/>
  <c r="H571" i="3"/>
  <c r="I571" i="3" s="1"/>
  <c r="G571" i="3"/>
  <c r="D571" i="3"/>
  <c r="R570" i="3"/>
  <c r="Q570" i="3"/>
  <c r="N570" i="3"/>
  <c r="L570" i="3"/>
  <c r="J570" i="3"/>
  <c r="AC570" i="3" s="1"/>
  <c r="H570" i="3"/>
  <c r="I570" i="3" s="1"/>
  <c r="G570" i="3"/>
  <c r="D570" i="3"/>
  <c r="R569" i="3"/>
  <c r="Q569" i="3"/>
  <c r="N569" i="3"/>
  <c r="L569" i="3"/>
  <c r="J569" i="3"/>
  <c r="AC569" i="3" s="1"/>
  <c r="H569" i="3"/>
  <c r="I569" i="3" s="1"/>
  <c r="G569" i="3"/>
  <c r="D569" i="3"/>
  <c r="R568" i="3"/>
  <c r="Q568" i="3"/>
  <c r="N568" i="3"/>
  <c r="L568" i="3"/>
  <c r="J568" i="3"/>
  <c r="AC568" i="3" s="1"/>
  <c r="H568" i="3"/>
  <c r="I568" i="3" s="1"/>
  <c r="G568" i="3"/>
  <c r="D568" i="3"/>
  <c r="R567" i="3"/>
  <c r="Q567" i="3"/>
  <c r="N567" i="3"/>
  <c r="L567" i="3"/>
  <c r="J567" i="3"/>
  <c r="AC567" i="3" s="1"/>
  <c r="H567" i="3"/>
  <c r="I567" i="3" s="1"/>
  <c r="G567" i="3"/>
  <c r="D567" i="3"/>
  <c r="R566" i="3"/>
  <c r="Q566" i="3"/>
  <c r="N566" i="3"/>
  <c r="L566" i="3"/>
  <c r="J566" i="3"/>
  <c r="AC566" i="3" s="1"/>
  <c r="H566" i="3"/>
  <c r="I566" i="3" s="1"/>
  <c r="G566" i="3"/>
  <c r="D566" i="3"/>
  <c r="R565" i="3"/>
  <c r="Q565" i="3"/>
  <c r="N565" i="3"/>
  <c r="L565" i="3"/>
  <c r="J565" i="3"/>
  <c r="AC565" i="3" s="1"/>
  <c r="H565" i="3"/>
  <c r="I565" i="3" s="1"/>
  <c r="G565" i="3"/>
  <c r="D565" i="3"/>
  <c r="R564" i="3"/>
  <c r="Q564" i="3"/>
  <c r="N564" i="3"/>
  <c r="L564" i="3"/>
  <c r="J564" i="3"/>
  <c r="AC564" i="3" s="1"/>
  <c r="H564" i="3"/>
  <c r="I564" i="3" s="1"/>
  <c r="G564" i="3"/>
  <c r="D564" i="3"/>
  <c r="R563" i="3"/>
  <c r="Q563" i="3"/>
  <c r="N563" i="3"/>
  <c r="L563" i="3"/>
  <c r="J563" i="3"/>
  <c r="AC563" i="3" s="1"/>
  <c r="H563" i="3"/>
  <c r="I563" i="3" s="1"/>
  <c r="G563" i="3"/>
  <c r="D563" i="3"/>
  <c r="R562" i="3"/>
  <c r="Q562" i="3"/>
  <c r="N562" i="3"/>
  <c r="L562" i="3"/>
  <c r="J562" i="3"/>
  <c r="AC562" i="3" s="1"/>
  <c r="H562" i="3"/>
  <c r="I562" i="3" s="1"/>
  <c r="G562" i="3"/>
  <c r="D562" i="3"/>
  <c r="R561" i="3"/>
  <c r="Q561" i="3"/>
  <c r="N561" i="3"/>
  <c r="L561" i="3"/>
  <c r="J561" i="3"/>
  <c r="AC561" i="3" s="1"/>
  <c r="H561" i="3"/>
  <c r="I561" i="3" s="1"/>
  <c r="G561" i="3"/>
  <c r="D561" i="3"/>
  <c r="R560" i="3"/>
  <c r="Q560" i="3"/>
  <c r="N560" i="3"/>
  <c r="L560" i="3"/>
  <c r="J560" i="3"/>
  <c r="AC560" i="3" s="1"/>
  <c r="H560" i="3"/>
  <c r="I560" i="3" s="1"/>
  <c r="G560" i="3"/>
  <c r="D560" i="3"/>
  <c r="R559" i="3"/>
  <c r="Q559" i="3"/>
  <c r="N559" i="3"/>
  <c r="L559" i="3"/>
  <c r="J559" i="3"/>
  <c r="AC559" i="3" s="1"/>
  <c r="H559" i="3"/>
  <c r="I559" i="3" s="1"/>
  <c r="G559" i="3"/>
  <c r="D559" i="3"/>
  <c r="R558" i="3"/>
  <c r="Q558" i="3"/>
  <c r="N558" i="3"/>
  <c r="L558" i="3"/>
  <c r="J558" i="3"/>
  <c r="AC558" i="3" s="1"/>
  <c r="H558" i="3"/>
  <c r="I558" i="3" s="1"/>
  <c r="G558" i="3"/>
  <c r="D558" i="3"/>
  <c r="R557" i="3"/>
  <c r="Q557" i="3"/>
  <c r="N557" i="3"/>
  <c r="L557" i="3"/>
  <c r="J557" i="3"/>
  <c r="AC557" i="3" s="1"/>
  <c r="H557" i="3"/>
  <c r="I557" i="3" s="1"/>
  <c r="G557" i="3"/>
  <c r="D557" i="3"/>
  <c r="R556" i="3"/>
  <c r="Q556" i="3"/>
  <c r="N556" i="3"/>
  <c r="L556" i="3"/>
  <c r="J556" i="3"/>
  <c r="AC556" i="3" s="1"/>
  <c r="H556" i="3"/>
  <c r="I556" i="3" s="1"/>
  <c r="G556" i="3"/>
  <c r="D556" i="3"/>
  <c r="R555" i="3"/>
  <c r="Q555" i="3"/>
  <c r="N555" i="3"/>
  <c r="L555" i="3"/>
  <c r="J555" i="3"/>
  <c r="AC555" i="3" s="1"/>
  <c r="H555" i="3"/>
  <c r="I555" i="3" s="1"/>
  <c r="G555" i="3"/>
  <c r="D555" i="3"/>
  <c r="R554" i="3"/>
  <c r="Q554" i="3"/>
  <c r="N554" i="3"/>
  <c r="L554" i="3"/>
  <c r="J554" i="3"/>
  <c r="AC554" i="3" s="1"/>
  <c r="H554" i="3"/>
  <c r="I554" i="3" s="1"/>
  <c r="G554" i="3"/>
  <c r="D554" i="3"/>
  <c r="R553" i="3"/>
  <c r="Q553" i="3"/>
  <c r="N553" i="3"/>
  <c r="L553" i="3"/>
  <c r="J553" i="3"/>
  <c r="AC553" i="3" s="1"/>
  <c r="H553" i="3"/>
  <c r="I553" i="3" s="1"/>
  <c r="G553" i="3"/>
  <c r="D553" i="3"/>
  <c r="R552" i="3"/>
  <c r="Q552" i="3"/>
  <c r="N552" i="3"/>
  <c r="L552" i="3"/>
  <c r="J552" i="3"/>
  <c r="AC552" i="3" s="1"/>
  <c r="H552" i="3"/>
  <c r="I552" i="3" s="1"/>
  <c r="G552" i="3"/>
  <c r="D552" i="3"/>
  <c r="R551" i="3"/>
  <c r="Q551" i="3"/>
  <c r="N551" i="3"/>
  <c r="L551" i="3"/>
  <c r="J551" i="3"/>
  <c r="AC551" i="3" s="1"/>
  <c r="H551" i="3"/>
  <c r="I551" i="3" s="1"/>
  <c r="G551" i="3"/>
  <c r="D551" i="3"/>
  <c r="R550" i="3"/>
  <c r="Q550" i="3"/>
  <c r="N550" i="3"/>
  <c r="L550" i="3"/>
  <c r="J550" i="3"/>
  <c r="AC550" i="3" s="1"/>
  <c r="H550" i="3"/>
  <c r="I550" i="3" s="1"/>
  <c r="G550" i="3"/>
  <c r="D550" i="3"/>
  <c r="R549" i="3"/>
  <c r="Q549" i="3"/>
  <c r="N549" i="3"/>
  <c r="L549" i="3"/>
  <c r="J549" i="3"/>
  <c r="AC549" i="3" s="1"/>
  <c r="H549" i="3"/>
  <c r="I549" i="3" s="1"/>
  <c r="G549" i="3"/>
  <c r="D549" i="3"/>
  <c r="R548" i="3"/>
  <c r="Q548" i="3"/>
  <c r="N548" i="3"/>
  <c r="L548" i="3"/>
  <c r="J548" i="3"/>
  <c r="AC548" i="3" s="1"/>
  <c r="H548" i="3"/>
  <c r="I548" i="3" s="1"/>
  <c r="G548" i="3"/>
  <c r="D548" i="3"/>
  <c r="R547" i="3"/>
  <c r="Q547" i="3"/>
  <c r="N547" i="3"/>
  <c r="L547" i="3"/>
  <c r="J547" i="3"/>
  <c r="AC547" i="3" s="1"/>
  <c r="H547" i="3"/>
  <c r="I547" i="3" s="1"/>
  <c r="G547" i="3"/>
  <c r="D547" i="3"/>
  <c r="R546" i="3"/>
  <c r="Q546" i="3"/>
  <c r="N546" i="3"/>
  <c r="L546" i="3"/>
  <c r="J546" i="3"/>
  <c r="AC546" i="3" s="1"/>
  <c r="H546" i="3"/>
  <c r="I546" i="3" s="1"/>
  <c r="G546" i="3"/>
  <c r="D546" i="3"/>
  <c r="R545" i="3"/>
  <c r="Q545" i="3"/>
  <c r="N545" i="3"/>
  <c r="L545" i="3"/>
  <c r="J545" i="3"/>
  <c r="AC545" i="3" s="1"/>
  <c r="H545" i="3"/>
  <c r="I545" i="3" s="1"/>
  <c r="G545" i="3"/>
  <c r="D545" i="3"/>
  <c r="R544" i="3"/>
  <c r="Q544" i="3"/>
  <c r="N544" i="3"/>
  <c r="L544" i="3"/>
  <c r="J544" i="3"/>
  <c r="AC544" i="3" s="1"/>
  <c r="H544" i="3"/>
  <c r="I544" i="3" s="1"/>
  <c r="G544" i="3"/>
  <c r="D544" i="3"/>
  <c r="R543" i="3"/>
  <c r="Q543" i="3"/>
  <c r="N543" i="3"/>
  <c r="L543" i="3"/>
  <c r="J543" i="3"/>
  <c r="AC543" i="3" s="1"/>
  <c r="H543" i="3"/>
  <c r="I543" i="3" s="1"/>
  <c r="G543" i="3"/>
  <c r="D543" i="3"/>
  <c r="R542" i="3"/>
  <c r="Q542" i="3"/>
  <c r="N542" i="3"/>
  <c r="L542" i="3"/>
  <c r="J542" i="3"/>
  <c r="AC542" i="3" s="1"/>
  <c r="H542" i="3"/>
  <c r="I542" i="3" s="1"/>
  <c r="G542" i="3"/>
  <c r="D542" i="3"/>
  <c r="R541" i="3"/>
  <c r="Q541" i="3"/>
  <c r="N541" i="3"/>
  <c r="L541" i="3"/>
  <c r="J541" i="3"/>
  <c r="AC541" i="3" s="1"/>
  <c r="H541" i="3"/>
  <c r="I541" i="3" s="1"/>
  <c r="G541" i="3"/>
  <c r="D541" i="3"/>
  <c r="R540" i="3"/>
  <c r="Q540" i="3"/>
  <c r="N540" i="3"/>
  <c r="L540" i="3"/>
  <c r="J540" i="3"/>
  <c r="AC540" i="3" s="1"/>
  <c r="H540" i="3"/>
  <c r="I540" i="3" s="1"/>
  <c r="G540" i="3"/>
  <c r="D540" i="3"/>
  <c r="R539" i="3"/>
  <c r="Q539" i="3"/>
  <c r="N539" i="3"/>
  <c r="L539" i="3"/>
  <c r="J539" i="3"/>
  <c r="AC539" i="3" s="1"/>
  <c r="H539" i="3"/>
  <c r="I539" i="3" s="1"/>
  <c r="G539" i="3"/>
  <c r="D539" i="3"/>
  <c r="R538" i="3"/>
  <c r="Q538" i="3"/>
  <c r="N538" i="3"/>
  <c r="L538" i="3"/>
  <c r="J538" i="3"/>
  <c r="AC538" i="3" s="1"/>
  <c r="H538" i="3"/>
  <c r="I538" i="3" s="1"/>
  <c r="G538" i="3"/>
  <c r="D538" i="3"/>
  <c r="R537" i="3"/>
  <c r="Q537" i="3"/>
  <c r="N537" i="3"/>
  <c r="L537" i="3"/>
  <c r="J537" i="3"/>
  <c r="AC537" i="3" s="1"/>
  <c r="H537" i="3"/>
  <c r="I537" i="3" s="1"/>
  <c r="G537" i="3"/>
  <c r="D537" i="3"/>
  <c r="R536" i="3"/>
  <c r="Q536" i="3"/>
  <c r="N536" i="3"/>
  <c r="L536" i="3"/>
  <c r="J536" i="3"/>
  <c r="AC536" i="3" s="1"/>
  <c r="H536" i="3"/>
  <c r="I536" i="3" s="1"/>
  <c r="G536" i="3"/>
  <c r="D536" i="3"/>
  <c r="R535" i="3"/>
  <c r="Q535" i="3"/>
  <c r="N535" i="3"/>
  <c r="L535" i="3"/>
  <c r="J535" i="3"/>
  <c r="AC535" i="3" s="1"/>
  <c r="H535" i="3"/>
  <c r="I535" i="3" s="1"/>
  <c r="G535" i="3"/>
  <c r="D535" i="3"/>
  <c r="R534" i="3"/>
  <c r="Q534" i="3"/>
  <c r="N534" i="3"/>
  <c r="L534" i="3"/>
  <c r="J534" i="3"/>
  <c r="AC534" i="3" s="1"/>
  <c r="H534" i="3"/>
  <c r="I534" i="3" s="1"/>
  <c r="G534" i="3"/>
  <c r="D534" i="3"/>
  <c r="R533" i="3"/>
  <c r="Q533" i="3"/>
  <c r="N533" i="3"/>
  <c r="L533" i="3"/>
  <c r="J533" i="3"/>
  <c r="AC533" i="3" s="1"/>
  <c r="H533" i="3"/>
  <c r="I533" i="3" s="1"/>
  <c r="G533" i="3"/>
  <c r="D533" i="3"/>
  <c r="R532" i="3"/>
  <c r="Q532" i="3"/>
  <c r="N532" i="3"/>
  <c r="L532" i="3"/>
  <c r="J532" i="3"/>
  <c r="AC532" i="3" s="1"/>
  <c r="H532" i="3"/>
  <c r="I532" i="3" s="1"/>
  <c r="G532" i="3"/>
  <c r="D532" i="3"/>
  <c r="R531" i="3"/>
  <c r="Q531" i="3"/>
  <c r="N531" i="3"/>
  <c r="L531" i="3"/>
  <c r="J531" i="3"/>
  <c r="AC531" i="3" s="1"/>
  <c r="H531" i="3"/>
  <c r="I531" i="3" s="1"/>
  <c r="G531" i="3"/>
  <c r="D531" i="3"/>
  <c r="R530" i="3"/>
  <c r="Q530" i="3"/>
  <c r="N530" i="3"/>
  <c r="L530" i="3"/>
  <c r="J530" i="3"/>
  <c r="AC530" i="3" s="1"/>
  <c r="H530" i="3"/>
  <c r="I530" i="3" s="1"/>
  <c r="G530" i="3"/>
  <c r="D530" i="3"/>
  <c r="R529" i="3"/>
  <c r="Q529" i="3"/>
  <c r="N529" i="3"/>
  <c r="L529" i="3"/>
  <c r="J529" i="3"/>
  <c r="AC529" i="3" s="1"/>
  <c r="H529" i="3"/>
  <c r="I529" i="3" s="1"/>
  <c r="G529" i="3"/>
  <c r="D529" i="3"/>
  <c r="R528" i="3"/>
  <c r="Q528" i="3"/>
  <c r="N528" i="3"/>
  <c r="L528" i="3"/>
  <c r="J528" i="3"/>
  <c r="AC528" i="3" s="1"/>
  <c r="H528" i="3"/>
  <c r="I528" i="3" s="1"/>
  <c r="G528" i="3"/>
  <c r="D528" i="3"/>
  <c r="R527" i="3"/>
  <c r="Q527" i="3"/>
  <c r="N527" i="3"/>
  <c r="L527" i="3"/>
  <c r="J527" i="3"/>
  <c r="AC527" i="3" s="1"/>
  <c r="H527" i="3"/>
  <c r="I527" i="3" s="1"/>
  <c r="G527" i="3"/>
  <c r="D527" i="3"/>
  <c r="R526" i="3"/>
  <c r="Q526" i="3"/>
  <c r="N526" i="3"/>
  <c r="L526" i="3"/>
  <c r="J526" i="3"/>
  <c r="AC526" i="3" s="1"/>
  <c r="H526" i="3"/>
  <c r="I526" i="3" s="1"/>
  <c r="G526" i="3"/>
  <c r="D526" i="3"/>
  <c r="R525" i="3"/>
  <c r="Q525" i="3"/>
  <c r="N525" i="3"/>
  <c r="L525" i="3"/>
  <c r="J525" i="3"/>
  <c r="AC525" i="3" s="1"/>
  <c r="H525" i="3"/>
  <c r="I525" i="3" s="1"/>
  <c r="G525" i="3"/>
  <c r="D525" i="3"/>
  <c r="R524" i="3"/>
  <c r="Q524" i="3"/>
  <c r="N524" i="3"/>
  <c r="L524" i="3"/>
  <c r="J524" i="3"/>
  <c r="AC524" i="3" s="1"/>
  <c r="H524" i="3"/>
  <c r="I524" i="3" s="1"/>
  <c r="G524" i="3"/>
  <c r="D524" i="3"/>
  <c r="R523" i="3"/>
  <c r="Q523" i="3"/>
  <c r="N523" i="3"/>
  <c r="L523" i="3"/>
  <c r="J523" i="3"/>
  <c r="AC523" i="3" s="1"/>
  <c r="H523" i="3"/>
  <c r="I523" i="3" s="1"/>
  <c r="G523" i="3"/>
  <c r="D523" i="3"/>
  <c r="R522" i="3"/>
  <c r="Q522" i="3"/>
  <c r="N522" i="3"/>
  <c r="L522" i="3"/>
  <c r="J522" i="3"/>
  <c r="AC522" i="3" s="1"/>
  <c r="H522" i="3"/>
  <c r="I522" i="3" s="1"/>
  <c r="G522" i="3"/>
  <c r="D522" i="3"/>
  <c r="R521" i="3"/>
  <c r="Q521" i="3"/>
  <c r="N521" i="3"/>
  <c r="L521" i="3"/>
  <c r="J521" i="3"/>
  <c r="AC521" i="3" s="1"/>
  <c r="H521" i="3"/>
  <c r="I521" i="3" s="1"/>
  <c r="G521" i="3"/>
  <c r="D521" i="3"/>
  <c r="R520" i="3"/>
  <c r="Q520" i="3"/>
  <c r="N520" i="3"/>
  <c r="L520" i="3"/>
  <c r="J520" i="3"/>
  <c r="AC520" i="3" s="1"/>
  <c r="H520" i="3"/>
  <c r="I520" i="3" s="1"/>
  <c r="G520" i="3"/>
  <c r="D520" i="3"/>
  <c r="R519" i="3"/>
  <c r="Q519" i="3"/>
  <c r="N519" i="3"/>
  <c r="L519" i="3"/>
  <c r="J519" i="3"/>
  <c r="AC519" i="3" s="1"/>
  <c r="H519" i="3"/>
  <c r="I519" i="3" s="1"/>
  <c r="G519" i="3"/>
  <c r="D519" i="3"/>
  <c r="R518" i="3"/>
  <c r="Q518" i="3"/>
  <c r="N518" i="3"/>
  <c r="L518" i="3"/>
  <c r="J518" i="3"/>
  <c r="AC518" i="3" s="1"/>
  <c r="H518" i="3"/>
  <c r="I518" i="3" s="1"/>
  <c r="G518" i="3"/>
  <c r="D518" i="3"/>
  <c r="R517" i="3"/>
  <c r="Q517" i="3"/>
  <c r="N517" i="3"/>
  <c r="L517" i="3"/>
  <c r="J517" i="3"/>
  <c r="AC517" i="3" s="1"/>
  <c r="H517" i="3"/>
  <c r="I517" i="3" s="1"/>
  <c r="G517" i="3"/>
  <c r="D517" i="3"/>
  <c r="R516" i="3"/>
  <c r="Q516" i="3"/>
  <c r="N516" i="3"/>
  <c r="L516" i="3"/>
  <c r="J516" i="3"/>
  <c r="AC516" i="3" s="1"/>
  <c r="H516" i="3"/>
  <c r="I516" i="3" s="1"/>
  <c r="G516" i="3"/>
  <c r="D516" i="3"/>
  <c r="R515" i="3"/>
  <c r="Q515" i="3"/>
  <c r="N515" i="3"/>
  <c r="L515" i="3"/>
  <c r="J515" i="3"/>
  <c r="AC515" i="3" s="1"/>
  <c r="H515" i="3"/>
  <c r="I515" i="3" s="1"/>
  <c r="G515" i="3"/>
  <c r="D515" i="3"/>
  <c r="R514" i="3"/>
  <c r="Q514" i="3"/>
  <c r="N514" i="3"/>
  <c r="L514" i="3"/>
  <c r="J514" i="3"/>
  <c r="AC514" i="3" s="1"/>
  <c r="H514" i="3"/>
  <c r="I514" i="3" s="1"/>
  <c r="G514" i="3"/>
  <c r="D514" i="3"/>
  <c r="R513" i="3"/>
  <c r="Q513" i="3"/>
  <c r="N513" i="3"/>
  <c r="L513" i="3"/>
  <c r="J513" i="3"/>
  <c r="AC513" i="3" s="1"/>
  <c r="H513" i="3"/>
  <c r="I513" i="3" s="1"/>
  <c r="G513" i="3"/>
  <c r="D513" i="3"/>
  <c r="R512" i="3"/>
  <c r="Q512" i="3"/>
  <c r="N512" i="3"/>
  <c r="L512" i="3"/>
  <c r="J512" i="3"/>
  <c r="AC512" i="3" s="1"/>
  <c r="H512" i="3"/>
  <c r="I512" i="3" s="1"/>
  <c r="G512" i="3"/>
  <c r="D512" i="3"/>
  <c r="R511" i="3"/>
  <c r="Q511" i="3"/>
  <c r="N511" i="3"/>
  <c r="L511" i="3"/>
  <c r="J511" i="3"/>
  <c r="AC511" i="3" s="1"/>
  <c r="H511" i="3"/>
  <c r="I511" i="3" s="1"/>
  <c r="G511" i="3"/>
  <c r="D511" i="3"/>
  <c r="R510" i="3"/>
  <c r="Q510" i="3"/>
  <c r="N510" i="3"/>
  <c r="L510" i="3"/>
  <c r="J510" i="3"/>
  <c r="AC510" i="3" s="1"/>
  <c r="H510" i="3"/>
  <c r="I510" i="3" s="1"/>
  <c r="G510" i="3"/>
  <c r="D510" i="3"/>
  <c r="R509" i="3"/>
  <c r="Q509" i="3"/>
  <c r="N509" i="3"/>
  <c r="L509" i="3"/>
  <c r="J509" i="3"/>
  <c r="AC509" i="3" s="1"/>
  <c r="H509" i="3"/>
  <c r="I509" i="3" s="1"/>
  <c r="G509" i="3"/>
  <c r="D509" i="3"/>
  <c r="R508" i="3"/>
  <c r="Q508" i="3"/>
  <c r="N508" i="3"/>
  <c r="L508" i="3"/>
  <c r="J508" i="3"/>
  <c r="AC508" i="3" s="1"/>
  <c r="H508" i="3"/>
  <c r="I508" i="3" s="1"/>
  <c r="G508" i="3"/>
  <c r="D508" i="3"/>
  <c r="R507" i="3"/>
  <c r="Q507" i="3"/>
  <c r="N507" i="3"/>
  <c r="L507" i="3"/>
  <c r="J507" i="3"/>
  <c r="AC507" i="3" s="1"/>
  <c r="H507" i="3"/>
  <c r="I507" i="3" s="1"/>
  <c r="G507" i="3"/>
  <c r="D507" i="3"/>
  <c r="R506" i="3"/>
  <c r="Q506" i="3"/>
  <c r="N506" i="3"/>
  <c r="L506" i="3"/>
  <c r="J506" i="3"/>
  <c r="AC506" i="3" s="1"/>
  <c r="H506" i="3"/>
  <c r="I506" i="3" s="1"/>
  <c r="G506" i="3"/>
  <c r="D506" i="3"/>
  <c r="R505" i="3"/>
  <c r="Q505" i="3"/>
  <c r="N505" i="3"/>
  <c r="L505" i="3"/>
  <c r="J505" i="3"/>
  <c r="AC505" i="3" s="1"/>
  <c r="H505" i="3"/>
  <c r="I505" i="3" s="1"/>
  <c r="G505" i="3"/>
  <c r="D505" i="3"/>
  <c r="R504" i="3"/>
  <c r="Q504" i="3"/>
  <c r="N504" i="3"/>
  <c r="L504" i="3"/>
  <c r="J504" i="3"/>
  <c r="AC504" i="3" s="1"/>
  <c r="H504" i="3"/>
  <c r="I504" i="3" s="1"/>
  <c r="G504" i="3"/>
  <c r="D504" i="3"/>
  <c r="R503" i="3"/>
  <c r="Q503" i="3"/>
  <c r="N503" i="3"/>
  <c r="L503" i="3"/>
  <c r="J503" i="3"/>
  <c r="AC503" i="3" s="1"/>
  <c r="H503" i="3"/>
  <c r="I503" i="3" s="1"/>
  <c r="G503" i="3"/>
  <c r="D503" i="3"/>
  <c r="R502" i="3"/>
  <c r="Q502" i="3"/>
  <c r="N502" i="3"/>
  <c r="L502" i="3"/>
  <c r="J502" i="3"/>
  <c r="AC502" i="3" s="1"/>
  <c r="H502" i="3"/>
  <c r="I502" i="3" s="1"/>
  <c r="G502" i="3"/>
  <c r="D502" i="3"/>
  <c r="R501" i="3"/>
  <c r="Q501" i="3"/>
  <c r="N501" i="3"/>
  <c r="L501" i="3"/>
  <c r="J501" i="3"/>
  <c r="AC501" i="3" s="1"/>
  <c r="H501" i="3"/>
  <c r="I501" i="3" s="1"/>
  <c r="G501" i="3"/>
  <c r="D501" i="3"/>
  <c r="R500" i="3"/>
  <c r="Q500" i="3"/>
  <c r="N500" i="3"/>
  <c r="L500" i="3"/>
  <c r="J500" i="3"/>
  <c r="AC500" i="3" s="1"/>
  <c r="H500" i="3"/>
  <c r="I500" i="3" s="1"/>
  <c r="G500" i="3"/>
  <c r="D500" i="3"/>
  <c r="R499" i="3"/>
  <c r="Q499" i="3"/>
  <c r="N499" i="3"/>
  <c r="L499" i="3"/>
  <c r="J499" i="3"/>
  <c r="AC499" i="3" s="1"/>
  <c r="H499" i="3"/>
  <c r="I499" i="3" s="1"/>
  <c r="G499" i="3"/>
  <c r="D499" i="3"/>
  <c r="R498" i="3"/>
  <c r="Q498" i="3"/>
  <c r="N498" i="3"/>
  <c r="L498" i="3"/>
  <c r="J498" i="3"/>
  <c r="AC498" i="3" s="1"/>
  <c r="H498" i="3"/>
  <c r="I498" i="3" s="1"/>
  <c r="G498" i="3"/>
  <c r="D498" i="3"/>
  <c r="R497" i="3"/>
  <c r="Q497" i="3"/>
  <c r="N497" i="3"/>
  <c r="L497" i="3"/>
  <c r="J497" i="3"/>
  <c r="AC497" i="3" s="1"/>
  <c r="H497" i="3"/>
  <c r="I497" i="3" s="1"/>
  <c r="G497" i="3"/>
  <c r="D497" i="3"/>
  <c r="R496" i="3"/>
  <c r="Q496" i="3"/>
  <c r="N496" i="3"/>
  <c r="L496" i="3"/>
  <c r="J496" i="3"/>
  <c r="AC496" i="3" s="1"/>
  <c r="H496" i="3"/>
  <c r="I496" i="3" s="1"/>
  <c r="G496" i="3"/>
  <c r="D496" i="3"/>
  <c r="R495" i="3"/>
  <c r="Q495" i="3"/>
  <c r="N495" i="3"/>
  <c r="L495" i="3"/>
  <c r="J495" i="3"/>
  <c r="AC495" i="3" s="1"/>
  <c r="H495" i="3"/>
  <c r="I495" i="3" s="1"/>
  <c r="G495" i="3"/>
  <c r="D495" i="3"/>
  <c r="R494" i="3"/>
  <c r="Q494" i="3"/>
  <c r="N494" i="3"/>
  <c r="L494" i="3"/>
  <c r="J494" i="3"/>
  <c r="AC494" i="3" s="1"/>
  <c r="H494" i="3"/>
  <c r="I494" i="3" s="1"/>
  <c r="G494" i="3"/>
  <c r="D494" i="3"/>
  <c r="R493" i="3"/>
  <c r="Q493" i="3"/>
  <c r="N493" i="3"/>
  <c r="L493" i="3"/>
  <c r="J493" i="3"/>
  <c r="AC493" i="3" s="1"/>
  <c r="H493" i="3"/>
  <c r="I493" i="3" s="1"/>
  <c r="G493" i="3"/>
  <c r="D493" i="3"/>
  <c r="R492" i="3"/>
  <c r="Q492" i="3"/>
  <c r="N492" i="3"/>
  <c r="L492" i="3"/>
  <c r="J492" i="3"/>
  <c r="AC492" i="3" s="1"/>
  <c r="H492" i="3"/>
  <c r="I492" i="3" s="1"/>
  <c r="G492" i="3"/>
  <c r="D492" i="3"/>
  <c r="R491" i="3"/>
  <c r="Q491" i="3"/>
  <c r="N491" i="3"/>
  <c r="L491" i="3"/>
  <c r="J491" i="3"/>
  <c r="AC491" i="3" s="1"/>
  <c r="H491" i="3"/>
  <c r="I491" i="3" s="1"/>
  <c r="G491" i="3"/>
  <c r="D491" i="3"/>
  <c r="R490" i="3"/>
  <c r="Q490" i="3"/>
  <c r="N490" i="3"/>
  <c r="L490" i="3"/>
  <c r="J490" i="3"/>
  <c r="AC490" i="3" s="1"/>
  <c r="H490" i="3"/>
  <c r="I490" i="3" s="1"/>
  <c r="G490" i="3"/>
  <c r="D490" i="3"/>
  <c r="R489" i="3"/>
  <c r="Q489" i="3"/>
  <c r="N489" i="3"/>
  <c r="L489" i="3"/>
  <c r="J489" i="3"/>
  <c r="AC489" i="3" s="1"/>
  <c r="H489" i="3"/>
  <c r="I489" i="3" s="1"/>
  <c r="G489" i="3"/>
  <c r="D489" i="3"/>
  <c r="R488" i="3"/>
  <c r="Q488" i="3"/>
  <c r="N488" i="3"/>
  <c r="L488" i="3"/>
  <c r="J488" i="3"/>
  <c r="AC488" i="3" s="1"/>
  <c r="H488" i="3"/>
  <c r="I488" i="3" s="1"/>
  <c r="G488" i="3"/>
  <c r="D488" i="3"/>
  <c r="R487" i="3"/>
  <c r="Q487" i="3"/>
  <c r="N487" i="3"/>
  <c r="L487" i="3"/>
  <c r="J487" i="3"/>
  <c r="AC487" i="3" s="1"/>
  <c r="H487" i="3"/>
  <c r="I487" i="3" s="1"/>
  <c r="G487" i="3"/>
  <c r="D487" i="3"/>
  <c r="R486" i="3"/>
  <c r="Q486" i="3"/>
  <c r="N486" i="3"/>
  <c r="L486" i="3"/>
  <c r="J486" i="3"/>
  <c r="AC486" i="3" s="1"/>
  <c r="H486" i="3"/>
  <c r="I486" i="3" s="1"/>
  <c r="G486" i="3"/>
  <c r="D486" i="3"/>
  <c r="R485" i="3"/>
  <c r="Q485" i="3"/>
  <c r="N485" i="3"/>
  <c r="L485" i="3"/>
  <c r="J485" i="3"/>
  <c r="AC485" i="3" s="1"/>
  <c r="H485" i="3"/>
  <c r="I485" i="3" s="1"/>
  <c r="G485" i="3"/>
  <c r="D485" i="3"/>
  <c r="R484" i="3"/>
  <c r="Q484" i="3"/>
  <c r="N484" i="3"/>
  <c r="L484" i="3"/>
  <c r="J484" i="3"/>
  <c r="AC484" i="3" s="1"/>
  <c r="H484" i="3"/>
  <c r="I484" i="3" s="1"/>
  <c r="G484" i="3"/>
  <c r="D484" i="3"/>
  <c r="R483" i="3"/>
  <c r="Q483" i="3"/>
  <c r="N483" i="3"/>
  <c r="L483" i="3"/>
  <c r="J483" i="3"/>
  <c r="AC483" i="3" s="1"/>
  <c r="H483" i="3"/>
  <c r="I483" i="3" s="1"/>
  <c r="G483" i="3"/>
  <c r="D483" i="3"/>
  <c r="R482" i="3"/>
  <c r="Q482" i="3"/>
  <c r="N482" i="3"/>
  <c r="L482" i="3"/>
  <c r="J482" i="3"/>
  <c r="AC482" i="3" s="1"/>
  <c r="H482" i="3"/>
  <c r="I482" i="3" s="1"/>
  <c r="G482" i="3"/>
  <c r="D482" i="3"/>
  <c r="R481" i="3"/>
  <c r="Q481" i="3"/>
  <c r="N481" i="3"/>
  <c r="L481" i="3"/>
  <c r="J481" i="3"/>
  <c r="AC481" i="3" s="1"/>
  <c r="H481" i="3"/>
  <c r="I481" i="3" s="1"/>
  <c r="G481" i="3"/>
  <c r="D481" i="3"/>
  <c r="R480" i="3"/>
  <c r="Q480" i="3"/>
  <c r="N480" i="3"/>
  <c r="L480" i="3"/>
  <c r="J480" i="3"/>
  <c r="AC480" i="3" s="1"/>
  <c r="H480" i="3"/>
  <c r="I480" i="3" s="1"/>
  <c r="G480" i="3"/>
  <c r="D480" i="3"/>
  <c r="R479" i="3"/>
  <c r="Q479" i="3"/>
  <c r="N479" i="3"/>
  <c r="L479" i="3"/>
  <c r="J479" i="3"/>
  <c r="AC479" i="3" s="1"/>
  <c r="H479" i="3"/>
  <c r="I479" i="3" s="1"/>
  <c r="G479" i="3"/>
  <c r="D479" i="3"/>
  <c r="R478" i="3"/>
  <c r="Q478" i="3"/>
  <c r="N478" i="3"/>
  <c r="L478" i="3"/>
  <c r="J478" i="3"/>
  <c r="AC478" i="3" s="1"/>
  <c r="H478" i="3"/>
  <c r="I478" i="3" s="1"/>
  <c r="G478" i="3"/>
  <c r="D478" i="3"/>
  <c r="R477" i="3"/>
  <c r="Q477" i="3"/>
  <c r="N477" i="3"/>
  <c r="L477" i="3"/>
  <c r="J477" i="3"/>
  <c r="AC477" i="3" s="1"/>
  <c r="H477" i="3"/>
  <c r="I477" i="3" s="1"/>
  <c r="G477" i="3"/>
  <c r="D477" i="3"/>
  <c r="R476" i="3"/>
  <c r="Q476" i="3"/>
  <c r="N476" i="3"/>
  <c r="L476" i="3"/>
  <c r="J476" i="3"/>
  <c r="AC476" i="3" s="1"/>
  <c r="H476" i="3"/>
  <c r="I476" i="3" s="1"/>
  <c r="G476" i="3"/>
  <c r="D476" i="3"/>
  <c r="R475" i="3"/>
  <c r="Q475" i="3"/>
  <c r="N475" i="3"/>
  <c r="L475" i="3"/>
  <c r="J475" i="3"/>
  <c r="AC475" i="3" s="1"/>
  <c r="H475" i="3"/>
  <c r="I475" i="3" s="1"/>
  <c r="G475" i="3"/>
  <c r="D475" i="3"/>
  <c r="R474" i="3"/>
  <c r="Q474" i="3"/>
  <c r="N474" i="3"/>
  <c r="L474" i="3"/>
  <c r="J474" i="3"/>
  <c r="AC474" i="3" s="1"/>
  <c r="H474" i="3"/>
  <c r="I474" i="3" s="1"/>
  <c r="G474" i="3"/>
  <c r="D474" i="3"/>
  <c r="R473" i="3"/>
  <c r="Q473" i="3"/>
  <c r="N473" i="3"/>
  <c r="L473" i="3"/>
  <c r="J473" i="3"/>
  <c r="AC473" i="3" s="1"/>
  <c r="H473" i="3"/>
  <c r="I473" i="3" s="1"/>
  <c r="G473" i="3"/>
  <c r="D473" i="3"/>
  <c r="R472" i="3"/>
  <c r="Q472" i="3"/>
  <c r="N472" i="3"/>
  <c r="L472" i="3"/>
  <c r="J472" i="3"/>
  <c r="AC472" i="3" s="1"/>
  <c r="H472" i="3"/>
  <c r="I472" i="3" s="1"/>
  <c r="G472" i="3"/>
  <c r="D472" i="3"/>
  <c r="R471" i="3"/>
  <c r="Q471" i="3"/>
  <c r="N471" i="3"/>
  <c r="L471" i="3"/>
  <c r="J471" i="3"/>
  <c r="AC471" i="3" s="1"/>
  <c r="H471" i="3"/>
  <c r="I471" i="3" s="1"/>
  <c r="G471" i="3"/>
  <c r="D471" i="3"/>
  <c r="R470" i="3"/>
  <c r="Q470" i="3"/>
  <c r="N470" i="3"/>
  <c r="L470" i="3"/>
  <c r="J470" i="3"/>
  <c r="AC470" i="3" s="1"/>
  <c r="H470" i="3"/>
  <c r="I470" i="3" s="1"/>
  <c r="G470" i="3"/>
  <c r="D470" i="3"/>
  <c r="R469" i="3"/>
  <c r="Q469" i="3"/>
  <c r="N469" i="3"/>
  <c r="L469" i="3"/>
  <c r="J469" i="3"/>
  <c r="AC469" i="3" s="1"/>
  <c r="H469" i="3"/>
  <c r="I469" i="3" s="1"/>
  <c r="G469" i="3"/>
  <c r="D469" i="3"/>
  <c r="R468" i="3"/>
  <c r="Q468" i="3"/>
  <c r="N468" i="3"/>
  <c r="L468" i="3"/>
  <c r="J468" i="3"/>
  <c r="AC468" i="3" s="1"/>
  <c r="H468" i="3"/>
  <c r="I468" i="3" s="1"/>
  <c r="G468" i="3"/>
  <c r="D468" i="3"/>
  <c r="R467" i="3"/>
  <c r="Q467" i="3"/>
  <c r="N467" i="3"/>
  <c r="L467" i="3"/>
  <c r="J467" i="3"/>
  <c r="AC467" i="3" s="1"/>
  <c r="H467" i="3"/>
  <c r="I467" i="3" s="1"/>
  <c r="G467" i="3"/>
  <c r="D467" i="3"/>
  <c r="R466" i="3"/>
  <c r="Q466" i="3"/>
  <c r="N466" i="3"/>
  <c r="L466" i="3"/>
  <c r="J466" i="3"/>
  <c r="AC466" i="3" s="1"/>
  <c r="H466" i="3"/>
  <c r="I466" i="3" s="1"/>
  <c r="G466" i="3"/>
  <c r="D466" i="3"/>
  <c r="R465" i="3"/>
  <c r="Q465" i="3"/>
  <c r="N465" i="3"/>
  <c r="L465" i="3"/>
  <c r="J465" i="3"/>
  <c r="AC465" i="3" s="1"/>
  <c r="H465" i="3"/>
  <c r="I465" i="3" s="1"/>
  <c r="G465" i="3"/>
  <c r="D465" i="3"/>
  <c r="R464" i="3"/>
  <c r="Q464" i="3"/>
  <c r="N464" i="3"/>
  <c r="L464" i="3"/>
  <c r="J464" i="3"/>
  <c r="AC464" i="3" s="1"/>
  <c r="H464" i="3"/>
  <c r="I464" i="3" s="1"/>
  <c r="G464" i="3"/>
  <c r="D464" i="3"/>
  <c r="R463" i="3"/>
  <c r="Q463" i="3"/>
  <c r="N463" i="3"/>
  <c r="L463" i="3"/>
  <c r="J463" i="3"/>
  <c r="AC463" i="3" s="1"/>
  <c r="H463" i="3"/>
  <c r="I463" i="3" s="1"/>
  <c r="G463" i="3"/>
  <c r="D463" i="3"/>
  <c r="R462" i="3"/>
  <c r="Q462" i="3"/>
  <c r="N462" i="3"/>
  <c r="L462" i="3"/>
  <c r="J462" i="3"/>
  <c r="AC462" i="3" s="1"/>
  <c r="H462" i="3"/>
  <c r="I462" i="3" s="1"/>
  <c r="G462" i="3"/>
  <c r="D462" i="3"/>
  <c r="R461" i="3"/>
  <c r="Q461" i="3"/>
  <c r="N461" i="3"/>
  <c r="L461" i="3"/>
  <c r="J461" i="3"/>
  <c r="AC461" i="3" s="1"/>
  <c r="H461" i="3"/>
  <c r="I461" i="3" s="1"/>
  <c r="G461" i="3"/>
  <c r="D461" i="3"/>
  <c r="R460" i="3"/>
  <c r="Q460" i="3"/>
  <c r="N460" i="3"/>
  <c r="L460" i="3"/>
  <c r="J460" i="3"/>
  <c r="AC460" i="3" s="1"/>
  <c r="H460" i="3"/>
  <c r="I460" i="3" s="1"/>
  <c r="G460" i="3"/>
  <c r="D460" i="3"/>
  <c r="R459" i="3"/>
  <c r="Q459" i="3"/>
  <c r="N459" i="3"/>
  <c r="L459" i="3"/>
  <c r="J459" i="3"/>
  <c r="AC459" i="3" s="1"/>
  <c r="H459" i="3"/>
  <c r="I459" i="3" s="1"/>
  <c r="G459" i="3"/>
  <c r="D459" i="3"/>
  <c r="R458" i="3"/>
  <c r="Q458" i="3"/>
  <c r="N458" i="3"/>
  <c r="L458" i="3"/>
  <c r="J458" i="3"/>
  <c r="AC458" i="3" s="1"/>
  <c r="H458" i="3"/>
  <c r="I458" i="3" s="1"/>
  <c r="G458" i="3"/>
  <c r="D458" i="3"/>
  <c r="R457" i="3"/>
  <c r="Q457" i="3"/>
  <c r="N457" i="3"/>
  <c r="L457" i="3"/>
  <c r="J457" i="3"/>
  <c r="AC457" i="3" s="1"/>
  <c r="H457" i="3"/>
  <c r="I457" i="3" s="1"/>
  <c r="G457" i="3"/>
  <c r="D457" i="3"/>
  <c r="R456" i="3"/>
  <c r="Q456" i="3"/>
  <c r="N456" i="3"/>
  <c r="L456" i="3"/>
  <c r="J456" i="3"/>
  <c r="AC456" i="3" s="1"/>
  <c r="H456" i="3"/>
  <c r="I456" i="3" s="1"/>
  <c r="G456" i="3"/>
  <c r="D456" i="3"/>
  <c r="R455" i="3"/>
  <c r="Q455" i="3"/>
  <c r="N455" i="3"/>
  <c r="L455" i="3"/>
  <c r="J455" i="3"/>
  <c r="AC455" i="3" s="1"/>
  <c r="H455" i="3"/>
  <c r="I455" i="3" s="1"/>
  <c r="G455" i="3"/>
  <c r="D455" i="3"/>
  <c r="R454" i="3"/>
  <c r="Q454" i="3"/>
  <c r="N454" i="3"/>
  <c r="L454" i="3"/>
  <c r="J454" i="3"/>
  <c r="AC454" i="3" s="1"/>
  <c r="H454" i="3"/>
  <c r="I454" i="3" s="1"/>
  <c r="G454" i="3"/>
  <c r="D454" i="3"/>
  <c r="R453" i="3"/>
  <c r="Q453" i="3"/>
  <c r="N453" i="3"/>
  <c r="L453" i="3"/>
  <c r="J453" i="3"/>
  <c r="AC453" i="3" s="1"/>
  <c r="H453" i="3"/>
  <c r="I453" i="3" s="1"/>
  <c r="G453" i="3"/>
  <c r="D453" i="3"/>
  <c r="R452" i="3"/>
  <c r="Q452" i="3"/>
  <c r="N452" i="3"/>
  <c r="L452" i="3"/>
  <c r="J452" i="3"/>
  <c r="AC452" i="3" s="1"/>
  <c r="H452" i="3"/>
  <c r="I452" i="3" s="1"/>
  <c r="G452" i="3"/>
  <c r="D452" i="3"/>
  <c r="R451" i="3"/>
  <c r="Q451" i="3"/>
  <c r="N451" i="3"/>
  <c r="L451" i="3"/>
  <c r="J451" i="3"/>
  <c r="AC451" i="3" s="1"/>
  <c r="H451" i="3"/>
  <c r="I451" i="3" s="1"/>
  <c r="G451" i="3"/>
  <c r="D451" i="3"/>
  <c r="R450" i="3"/>
  <c r="Q450" i="3"/>
  <c r="N450" i="3"/>
  <c r="L450" i="3"/>
  <c r="J450" i="3"/>
  <c r="AC450" i="3" s="1"/>
  <c r="H450" i="3"/>
  <c r="I450" i="3" s="1"/>
  <c r="G450" i="3"/>
  <c r="D450" i="3"/>
  <c r="R449" i="3"/>
  <c r="Q449" i="3"/>
  <c r="N449" i="3"/>
  <c r="L449" i="3"/>
  <c r="J449" i="3"/>
  <c r="AC449" i="3" s="1"/>
  <c r="H449" i="3"/>
  <c r="I449" i="3" s="1"/>
  <c r="G449" i="3"/>
  <c r="D449" i="3"/>
  <c r="R448" i="3"/>
  <c r="Q448" i="3"/>
  <c r="N448" i="3"/>
  <c r="L448" i="3"/>
  <c r="J448" i="3"/>
  <c r="AC448" i="3" s="1"/>
  <c r="H448" i="3"/>
  <c r="I448" i="3" s="1"/>
  <c r="G448" i="3"/>
  <c r="D448" i="3"/>
  <c r="R447" i="3"/>
  <c r="Q447" i="3"/>
  <c r="N447" i="3"/>
  <c r="L447" i="3"/>
  <c r="J447" i="3"/>
  <c r="AC447" i="3" s="1"/>
  <c r="H447" i="3"/>
  <c r="I447" i="3" s="1"/>
  <c r="G447" i="3"/>
  <c r="D447" i="3"/>
  <c r="R446" i="3"/>
  <c r="Q446" i="3"/>
  <c r="N446" i="3"/>
  <c r="L446" i="3"/>
  <c r="J446" i="3"/>
  <c r="AC446" i="3" s="1"/>
  <c r="H446" i="3"/>
  <c r="I446" i="3" s="1"/>
  <c r="G446" i="3"/>
  <c r="D446" i="3"/>
  <c r="R445" i="3"/>
  <c r="Q445" i="3"/>
  <c r="N445" i="3"/>
  <c r="L445" i="3"/>
  <c r="J445" i="3"/>
  <c r="AC445" i="3" s="1"/>
  <c r="H445" i="3"/>
  <c r="I445" i="3" s="1"/>
  <c r="G445" i="3"/>
  <c r="D445" i="3"/>
  <c r="R444" i="3"/>
  <c r="Q444" i="3"/>
  <c r="N444" i="3"/>
  <c r="L444" i="3"/>
  <c r="J444" i="3"/>
  <c r="AC444" i="3" s="1"/>
  <c r="H444" i="3"/>
  <c r="I444" i="3" s="1"/>
  <c r="G444" i="3"/>
  <c r="D444" i="3"/>
  <c r="R443" i="3"/>
  <c r="Q443" i="3"/>
  <c r="N443" i="3"/>
  <c r="L443" i="3"/>
  <c r="J443" i="3"/>
  <c r="AC443" i="3" s="1"/>
  <c r="H443" i="3"/>
  <c r="I443" i="3" s="1"/>
  <c r="G443" i="3"/>
  <c r="D443" i="3"/>
  <c r="R442" i="3"/>
  <c r="Q442" i="3"/>
  <c r="N442" i="3"/>
  <c r="L442" i="3"/>
  <c r="J442" i="3"/>
  <c r="AC442" i="3" s="1"/>
  <c r="H442" i="3"/>
  <c r="I442" i="3" s="1"/>
  <c r="G442" i="3"/>
  <c r="D442" i="3"/>
  <c r="R441" i="3"/>
  <c r="Q441" i="3"/>
  <c r="N441" i="3"/>
  <c r="L441" i="3"/>
  <c r="J441" i="3"/>
  <c r="AC441" i="3" s="1"/>
  <c r="H441" i="3"/>
  <c r="I441" i="3" s="1"/>
  <c r="G441" i="3"/>
  <c r="D441" i="3"/>
  <c r="R440" i="3"/>
  <c r="Q440" i="3"/>
  <c r="N440" i="3"/>
  <c r="L440" i="3"/>
  <c r="J440" i="3"/>
  <c r="AC440" i="3" s="1"/>
  <c r="H440" i="3"/>
  <c r="I440" i="3" s="1"/>
  <c r="G440" i="3"/>
  <c r="D440" i="3"/>
  <c r="R439" i="3"/>
  <c r="Q439" i="3"/>
  <c r="N439" i="3"/>
  <c r="L439" i="3"/>
  <c r="J439" i="3"/>
  <c r="AC439" i="3" s="1"/>
  <c r="H439" i="3"/>
  <c r="I439" i="3" s="1"/>
  <c r="G439" i="3"/>
  <c r="D439" i="3"/>
  <c r="R438" i="3"/>
  <c r="Q438" i="3"/>
  <c r="N438" i="3"/>
  <c r="L438" i="3"/>
  <c r="J438" i="3"/>
  <c r="AC438" i="3" s="1"/>
  <c r="H438" i="3"/>
  <c r="I438" i="3" s="1"/>
  <c r="G438" i="3"/>
  <c r="D438" i="3"/>
  <c r="R437" i="3"/>
  <c r="Q437" i="3"/>
  <c r="N437" i="3"/>
  <c r="L437" i="3"/>
  <c r="J437" i="3"/>
  <c r="AC437" i="3" s="1"/>
  <c r="H437" i="3"/>
  <c r="I437" i="3" s="1"/>
  <c r="G437" i="3"/>
  <c r="D437" i="3"/>
  <c r="R436" i="3"/>
  <c r="Q436" i="3"/>
  <c r="N436" i="3"/>
  <c r="L436" i="3"/>
  <c r="J436" i="3"/>
  <c r="AC436" i="3" s="1"/>
  <c r="H436" i="3"/>
  <c r="I436" i="3" s="1"/>
  <c r="G436" i="3"/>
  <c r="D436" i="3"/>
  <c r="R435" i="3"/>
  <c r="Q435" i="3"/>
  <c r="N435" i="3"/>
  <c r="L435" i="3"/>
  <c r="J435" i="3"/>
  <c r="AC435" i="3" s="1"/>
  <c r="H435" i="3"/>
  <c r="I435" i="3" s="1"/>
  <c r="G435" i="3"/>
  <c r="D435" i="3"/>
  <c r="R434" i="3"/>
  <c r="Q434" i="3"/>
  <c r="N434" i="3"/>
  <c r="L434" i="3"/>
  <c r="J434" i="3"/>
  <c r="AC434" i="3" s="1"/>
  <c r="H434" i="3"/>
  <c r="I434" i="3" s="1"/>
  <c r="G434" i="3"/>
  <c r="D434" i="3"/>
  <c r="R433" i="3"/>
  <c r="Q433" i="3"/>
  <c r="N433" i="3"/>
  <c r="L433" i="3"/>
  <c r="J433" i="3"/>
  <c r="AC433" i="3" s="1"/>
  <c r="H433" i="3"/>
  <c r="I433" i="3" s="1"/>
  <c r="G433" i="3"/>
  <c r="D433" i="3"/>
  <c r="R432" i="3"/>
  <c r="Q432" i="3"/>
  <c r="N432" i="3"/>
  <c r="L432" i="3"/>
  <c r="J432" i="3"/>
  <c r="AC432" i="3" s="1"/>
  <c r="H432" i="3"/>
  <c r="I432" i="3" s="1"/>
  <c r="G432" i="3"/>
  <c r="D432" i="3"/>
  <c r="R431" i="3"/>
  <c r="Q431" i="3"/>
  <c r="N431" i="3"/>
  <c r="L431" i="3"/>
  <c r="J431" i="3"/>
  <c r="AC431" i="3" s="1"/>
  <c r="H431" i="3"/>
  <c r="I431" i="3" s="1"/>
  <c r="G431" i="3"/>
  <c r="D431" i="3"/>
  <c r="R430" i="3"/>
  <c r="Q430" i="3"/>
  <c r="N430" i="3"/>
  <c r="L430" i="3"/>
  <c r="J430" i="3"/>
  <c r="AC430" i="3" s="1"/>
  <c r="H430" i="3"/>
  <c r="I430" i="3" s="1"/>
  <c r="G430" i="3"/>
  <c r="D430" i="3"/>
  <c r="R429" i="3"/>
  <c r="Q429" i="3"/>
  <c r="N429" i="3"/>
  <c r="L429" i="3"/>
  <c r="J429" i="3"/>
  <c r="AC429" i="3" s="1"/>
  <c r="H429" i="3"/>
  <c r="I429" i="3" s="1"/>
  <c r="G429" i="3"/>
  <c r="D429" i="3"/>
  <c r="R428" i="3"/>
  <c r="Q428" i="3"/>
  <c r="N428" i="3"/>
  <c r="L428" i="3"/>
  <c r="J428" i="3"/>
  <c r="AC428" i="3" s="1"/>
  <c r="H428" i="3"/>
  <c r="I428" i="3" s="1"/>
  <c r="G428" i="3"/>
  <c r="D428" i="3"/>
  <c r="R427" i="3"/>
  <c r="Q427" i="3"/>
  <c r="N427" i="3"/>
  <c r="L427" i="3"/>
  <c r="J427" i="3"/>
  <c r="AC427" i="3" s="1"/>
  <c r="H427" i="3"/>
  <c r="I427" i="3" s="1"/>
  <c r="G427" i="3"/>
  <c r="D427" i="3"/>
  <c r="R426" i="3"/>
  <c r="Q426" i="3"/>
  <c r="N426" i="3"/>
  <c r="L426" i="3"/>
  <c r="J426" i="3"/>
  <c r="AC426" i="3" s="1"/>
  <c r="H426" i="3"/>
  <c r="I426" i="3" s="1"/>
  <c r="G426" i="3"/>
  <c r="D426" i="3"/>
  <c r="R425" i="3"/>
  <c r="Q425" i="3"/>
  <c r="N425" i="3"/>
  <c r="L425" i="3"/>
  <c r="J425" i="3"/>
  <c r="AC425" i="3" s="1"/>
  <c r="H425" i="3"/>
  <c r="I425" i="3" s="1"/>
  <c r="G425" i="3"/>
  <c r="D425" i="3"/>
  <c r="R424" i="3"/>
  <c r="Q424" i="3"/>
  <c r="N424" i="3"/>
  <c r="L424" i="3"/>
  <c r="J424" i="3"/>
  <c r="AC424" i="3" s="1"/>
  <c r="H424" i="3"/>
  <c r="I424" i="3" s="1"/>
  <c r="G424" i="3"/>
  <c r="D424" i="3"/>
  <c r="R423" i="3"/>
  <c r="Q423" i="3"/>
  <c r="N423" i="3"/>
  <c r="L423" i="3"/>
  <c r="J423" i="3"/>
  <c r="AC423" i="3" s="1"/>
  <c r="H423" i="3"/>
  <c r="I423" i="3" s="1"/>
  <c r="G423" i="3"/>
  <c r="D423" i="3"/>
  <c r="R422" i="3"/>
  <c r="Q422" i="3"/>
  <c r="N422" i="3"/>
  <c r="L422" i="3"/>
  <c r="J422" i="3"/>
  <c r="AC422" i="3" s="1"/>
  <c r="H422" i="3"/>
  <c r="I422" i="3" s="1"/>
  <c r="G422" i="3"/>
  <c r="D422" i="3"/>
  <c r="R421" i="3"/>
  <c r="Q421" i="3"/>
  <c r="N421" i="3"/>
  <c r="L421" i="3"/>
  <c r="J421" i="3"/>
  <c r="AC421" i="3" s="1"/>
  <c r="H421" i="3"/>
  <c r="I421" i="3" s="1"/>
  <c r="G421" i="3"/>
  <c r="D421" i="3"/>
  <c r="R420" i="3"/>
  <c r="Q420" i="3"/>
  <c r="N420" i="3"/>
  <c r="L420" i="3"/>
  <c r="J420" i="3"/>
  <c r="AC420" i="3" s="1"/>
  <c r="H420" i="3"/>
  <c r="I420" i="3" s="1"/>
  <c r="G420" i="3"/>
  <c r="D420" i="3"/>
  <c r="R419" i="3"/>
  <c r="Q419" i="3"/>
  <c r="N419" i="3"/>
  <c r="L419" i="3"/>
  <c r="J419" i="3"/>
  <c r="AC419" i="3" s="1"/>
  <c r="H419" i="3"/>
  <c r="I419" i="3" s="1"/>
  <c r="G419" i="3"/>
  <c r="D419" i="3"/>
  <c r="R418" i="3"/>
  <c r="Q418" i="3"/>
  <c r="N418" i="3"/>
  <c r="L418" i="3"/>
  <c r="J418" i="3"/>
  <c r="AC418" i="3" s="1"/>
  <c r="H418" i="3"/>
  <c r="I418" i="3" s="1"/>
  <c r="G418" i="3"/>
  <c r="D418" i="3"/>
  <c r="R417" i="3"/>
  <c r="Q417" i="3"/>
  <c r="N417" i="3"/>
  <c r="L417" i="3"/>
  <c r="J417" i="3"/>
  <c r="AC417" i="3" s="1"/>
  <c r="H417" i="3"/>
  <c r="I417" i="3" s="1"/>
  <c r="G417" i="3"/>
  <c r="D417" i="3"/>
  <c r="R416" i="3"/>
  <c r="Q416" i="3"/>
  <c r="N416" i="3"/>
  <c r="L416" i="3"/>
  <c r="J416" i="3"/>
  <c r="AC416" i="3" s="1"/>
  <c r="H416" i="3"/>
  <c r="I416" i="3" s="1"/>
  <c r="G416" i="3"/>
  <c r="D416" i="3"/>
  <c r="R415" i="3"/>
  <c r="Q415" i="3"/>
  <c r="N415" i="3"/>
  <c r="L415" i="3"/>
  <c r="J415" i="3"/>
  <c r="AC415" i="3" s="1"/>
  <c r="H415" i="3"/>
  <c r="I415" i="3" s="1"/>
  <c r="G415" i="3"/>
  <c r="D415" i="3"/>
  <c r="R414" i="3"/>
  <c r="Q414" i="3"/>
  <c r="N414" i="3"/>
  <c r="L414" i="3"/>
  <c r="J414" i="3"/>
  <c r="AC414" i="3" s="1"/>
  <c r="H414" i="3"/>
  <c r="I414" i="3" s="1"/>
  <c r="G414" i="3"/>
  <c r="D414" i="3"/>
  <c r="R413" i="3"/>
  <c r="Q413" i="3"/>
  <c r="N413" i="3"/>
  <c r="L413" i="3"/>
  <c r="J413" i="3"/>
  <c r="AC413" i="3" s="1"/>
  <c r="H413" i="3"/>
  <c r="I413" i="3" s="1"/>
  <c r="G413" i="3"/>
  <c r="D413" i="3"/>
  <c r="R412" i="3"/>
  <c r="Q412" i="3"/>
  <c r="N412" i="3"/>
  <c r="L412" i="3"/>
  <c r="J412" i="3"/>
  <c r="AC412" i="3" s="1"/>
  <c r="H412" i="3"/>
  <c r="I412" i="3" s="1"/>
  <c r="G412" i="3"/>
  <c r="D412" i="3"/>
  <c r="R411" i="3"/>
  <c r="Q411" i="3"/>
  <c r="N411" i="3"/>
  <c r="L411" i="3"/>
  <c r="J411" i="3"/>
  <c r="AC411" i="3" s="1"/>
  <c r="H411" i="3"/>
  <c r="I411" i="3" s="1"/>
  <c r="G411" i="3"/>
  <c r="D411" i="3"/>
  <c r="R410" i="3"/>
  <c r="Q410" i="3"/>
  <c r="N410" i="3"/>
  <c r="L410" i="3"/>
  <c r="J410" i="3"/>
  <c r="AC410" i="3" s="1"/>
  <c r="H410" i="3"/>
  <c r="I410" i="3" s="1"/>
  <c r="G410" i="3"/>
  <c r="D410" i="3"/>
  <c r="R409" i="3"/>
  <c r="Q409" i="3"/>
  <c r="N409" i="3"/>
  <c r="L409" i="3"/>
  <c r="J409" i="3"/>
  <c r="AC409" i="3" s="1"/>
  <c r="H409" i="3"/>
  <c r="I409" i="3" s="1"/>
  <c r="G409" i="3"/>
  <c r="D409" i="3"/>
  <c r="R408" i="3"/>
  <c r="Q408" i="3"/>
  <c r="N408" i="3"/>
  <c r="L408" i="3"/>
  <c r="J408" i="3"/>
  <c r="AC408" i="3" s="1"/>
  <c r="H408" i="3"/>
  <c r="I408" i="3" s="1"/>
  <c r="G408" i="3"/>
  <c r="D408" i="3"/>
  <c r="R407" i="3"/>
  <c r="Q407" i="3"/>
  <c r="N407" i="3"/>
  <c r="L407" i="3"/>
  <c r="J407" i="3"/>
  <c r="AC407" i="3" s="1"/>
  <c r="H407" i="3"/>
  <c r="I407" i="3" s="1"/>
  <c r="G407" i="3"/>
  <c r="D407" i="3"/>
  <c r="R406" i="3"/>
  <c r="Q406" i="3"/>
  <c r="N406" i="3"/>
  <c r="L406" i="3"/>
  <c r="J406" i="3"/>
  <c r="AC406" i="3" s="1"/>
  <c r="H406" i="3"/>
  <c r="I406" i="3" s="1"/>
  <c r="G406" i="3"/>
  <c r="D406" i="3"/>
  <c r="R405" i="3"/>
  <c r="Q405" i="3"/>
  <c r="N405" i="3"/>
  <c r="L405" i="3"/>
  <c r="J405" i="3"/>
  <c r="AC405" i="3" s="1"/>
  <c r="H405" i="3"/>
  <c r="I405" i="3" s="1"/>
  <c r="G405" i="3"/>
  <c r="D405" i="3"/>
  <c r="R404" i="3"/>
  <c r="Q404" i="3"/>
  <c r="N404" i="3"/>
  <c r="L404" i="3"/>
  <c r="J404" i="3"/>
  <c r="AC404" i="3" s="1"/>
  <c r="H404" i="3"/>
  <c r="I404" i="3" s="1"/>
  <c r="G404" i="3"/>
  <c r="D404" i="3"/>
  <c r="R403" i="3"/>
  <c r="Q403" i="3"/>
  <c r="N403" i="3"/>
  <c r="L403" i="3"/>
  <c r="J403" i="3"/>
  <c r="AC403" i="3" s="1"/>
  <c r="H403" i="3"/>
  <c r="I403" i="3" s="1"/>
  <c r="G403" i="3"/>
  <c r="D403" i="3"/>
  <c r="R402" i="3"/>
  <c r="Q402" i="3"/>
  <c r="N402" i="3"/>
  <c r="L402" i="3"/>
  <c r="J402" i="3"/>
  <c r="AC402" i="3" s="1"/>
  <c r="H402" i="3"/>
  <c r="I402" i="3" s="1"/>
  <c r="G402" i="3"/>
  <c r="D402" i="3"/>
  <c r="R401" i="3"/>
  <c r="Q401" i="3"/>
  <c r="N401" i="3"/>
  <c r="L401" i="3"/>
  <c r="J401" i="3"/>
  <c r="H401" i="3"/>
  <c r="I401" i="3" s="1"/>
  <c r="G401" i="3"/>
  <c r="D401" i="3"/>
  <c r="R400" i="3"/>
  <c r="Q400" i="3"/>
  <c r="N400" i="3"/>
  <c r="L400" i="3"/>
  <c r="J400" i="3"/>
  <c r="H400" i="3"/>
  <c r="I400" i="3" s="1"/>
  <c r="G400" i="3"/>
  <c r="D400" i="3"/>
  <c r="R399" i="3"/>
  <c r="Q399" i="3"/>
  <c r="N399" i="3"/>
  <c r="L399" i="3"/>
  <c r="J399" i="3"/>
  <c r="H399" i="3"/>
  <c r="I399" i="3" s="1"/>
  <c r="G399" i="3"/>
  <c r="D399" i="3"/>
  <c r="R398" i="3"/>
  <c r="Q398" i="3"/>
  <c r="N398" i="3"/>
  <c r="L398" i="3"/>
  <c r="J398" i="3"/>
  <c r="H398" i="3"/>
  <c r="I398" i="3" s="1"/>
  <c r="G398" i="3"/>
  <c r="D398" i="3"/>
  <c r="R397" i="3"/>
  <c r="Q397" i="3"/>
  <c r="N397" i="3"/>
  <c r="L397" i="3"/>
  <c r="J397" i="3"/>
  <c r="H397" i="3"/>
  <c r="I397" i="3" s="1"/>
  <c r="G397" i="3"/>
  <c r="D397" i="3"/>
  <c r="R396" i="3"/>
  <c r="Q396" i="3"/>
  <c r="N396" i="3"/>
  <c r="L396" i="3"/>
  <c r="J396" i="3"/>
  <c r="H396" i="3"/>
  <c r="I396" i="3" s="1"/>
  <c r="G396" i="3"/>
  <c r="D396" i="3"/>
  <c r="R395" i="3"/>
  <c r="Q395" i="3"/>
  <c r="N395" i="3"/>
  <c r="L395" i="3"/>
  <c r="J395" i="3"/>
  <c r="H395" i="3"/>
  <c r="I395" i="3" s="1"/>
  <c r="G395" i="3"/>
  <c r="D395" i="3"/>
  <c r="R394" i="3"/>
  <c r="Q394" i="3"/>
  <c r="N394" i="3"/>
  <c r="L394" i="3"/>
  <c r="J394" i="3"/>
  <c r="H394" i="3"/>
  <c r="I394" i="3" s="1"/>
  <c r="G394" i="3"/>
  <c r="D394" i="3"/>
  <c r="R393" i="3"/>
  <c r="Q393" i="3"/>
  <c r="N393" i="3"/>
  <c r="L393" i="3"/>
  <c r="J393" i="3"/>
  <c r="H393" i="3"/>
  <c r="I393" i="3" s="1"/>
  <c r="G393" i="3"/>
  <c r="D393" i="3"/>
  <c r="R392" i="3"/>
  <c r="Q392" i="3"/>
  <c r="N392" i="3"/>
  <c r="L392" i="3"/>
  <c r="J392" i="3"/>
  <c r="H392" i="3"/>
  <c r="I392" i="3" s="1"/>
  <c r="G392" i="3"/>
  <c r="D392" i="3"/>
  <c r="R391" i="3"/>
  <c r="Q391" i="3"/>
  <c r="N391" i="3"/>
  <c r="L391" i="3"/>
  <c r="J391" i="3"/>
  <c r="H391" i="3"/>
  <c r="I391" i="3" s="1"/>
  <c r="G391" i="3"/>
  <c r="D391" i="3"/>
  <c r="R390" i="3"/>
  <c r="Q390" i="3"/>
  <c r="N390" i="3"/>
  <c r="L390" i="3"/>
  <c r="J390" i="3"/>
  <c r="H390" i="3"/>
  <c r="I390" i="3" s="1"/>
  <c r="G390" i="3"/>
  <c r="D390" i="3"/>
  <c r="R389" i="3"/>
  <c r="Q389" i="3"/>
  <c r="N389" i="3"/>
  <c r="L389" i="3"/>
  <c r="J389" i="3"/>
  <c r="H389" i="3"/>
  <c r="I389" i="3" s="1"/>
  <c r="G389" i="3"/>
  <c r="D389" i="3"/>
  <c r="R388" i="3"/>
  <c r="Q388" i="3"/>
  <c r="N388" i="3"/>
  <c r="L388" i="3"/>
  <c r="J388" i="3"/>
  <c r="H388" i="3"/>
  <c r="I388" i="3" s="1"/>
  <c r="G388" i="3"/>
  <c r="D388" i="3"/>
  <c r="R387" i="3"/>
  <c r="Q387" i="3"/>
  <c r="N387" i="3"/>
  <c r="L387" i="3"/>
  <c r="J387" i="3"/>
  <c r="H387" i="3"/>
  <c r="I387" i="3" s="1"/>
  <c r="G387" i="3"/>
  <c r="D387" i="3"/>
  <c r="R386" i="3"/>
  <c r="Q386" i="3"/>
  <c r="N386" i="3"/>
  <c r="L386" i="3"/>
  <c r="J386" i="3"/>
  <c r="H386" i="3"/>
  <c r="I386" i="3" s="1"/>
  <c r="G386" i="3"/>
  <c r="D386" i="3"/>
  <c r="R385" i="3"/>
  <c r="Q385" i="3"/>
  <c r="N385" i="3"/>
  <c r="L385" i="3"/>
  <c r="J385" i="3"/>
  <c r="H385" i="3"/>
  <c r="I385" i="3" s="1"/>
  <c r="G385" i="3"/>
  <c r="D385" i="3"/>
  <c r="R384" i="3"/>
  <c r="Q384" i="3"/>
  <c r="N384" i="3"/>
  <c r="L384" i="3"/>
  <c r="J384" i="3"/>
  <c r="H384" i="3"/>
  <c r="I384" i="3" s="1"/>
  <c r="G384" i="3"/>
  <c r="D384" i="3"/>
  <c r="R383" i="3"/>
  <c r="Q383" i="3"/>
  <c r="N383" i="3"/>
  <c r="L383" i="3"/>
  <c r="J383" i="3"/>
  <c r="H383" i="3"/>
  <c r="I383" i="3" s="1"/>
  <c r="G383" i="3"/>
  <c r="D383" i="3"/>
  <c r="R382" i="3"/>
  <c r="Q382" i="3"/>
  <c r="N382" i="3"/>
  <c r="L382" i="3"/>
  <c r="J382" i="3"/>
  <c r="H382" i="3"/>
  <c r="I382" i="3" s="1"/>
  <c r="G382" i="3"/>
  <c r="D382" i="3"/>
  <c r="R381" i="3"/>
  <c r="Q381" i="3"/>
  <c r="N381" i="3"/>
  <c r="L381" i="3"/>
  <c r="J381" i="3"/>
  <c r="H381" i="3"/>
  <c r="I381" i="3" s="1"/>
  <c r="G381" i="3"/>
  <c r="D381" i="3"/>
  <c r="R380" i="3"/>
  <c r="Q380" i="3"/>
  <c r="N380" i="3"/>
  <c r="L380" i="3"/>
  <c r="J380" i="3"/>
  <c r="H380" i="3"/>
  <c r="I380" i="3" s="1"/>
  <c r="G380" i="3"/>
  <c r="D380" i="3"/>
  <c r="R379" i="3"/>
  <c r="Q379" i="3"/>
  <c r="N379" i="3"/>
  <c r="L379" i="3"/>
  <c r="J379" i="3"/>
  <c r="H379" i="3"/>
  <c r="I379" i="3" s="1"/>
  <c r="G379" i="3"/>
  <c r="D379" i="3"/>
  <c r="R378" i="3"/>
  <c r="Q378" i="3"/>
  <c r="N378" i="3"/>
  <c r="L378" i="3"/>
  <c r="J378" i="3"/>
  <c r="H378" i="3"/>
  <c r="I378" i="3" s="1"/>
  <c r="G378" i="3"/>
  <c r="D378" i="3"/>
  <c r="R377" i="3"/>
  <c r="Q377" i="3"/>
  <c r="N377" i="3"/>
  <c r="L377" i="3"/>
  <c r="J377" i="3"/>
  <c r="H377" i="3"/>
  <c r="I377" i="3" s="1"/>
  <c r="G377" i="3"/>
  <c r="D377" i="3"/>
  <c r="R376" i="3"/>
  <c r="Q376" i="3"/>
  <c r="N376" i="3"/>
  <c r="L376" i="3"/>
  <c r="J376" i="3"/>
  <c r="H376" i="3"/>
  <c r="I376" i="3" s="1"/>
  <c r="G376" i="3"/>
  <c r="D376" i="3"/>
  <c r="R375" i="3"/>
  <c r="Q375" i="3"/>
  <c r="N375" i="3"/>
  <c r="L375" i="3"/>
  <c r="J375" i="3"/>
  <c r="H375" i="3"/>
  <c r="I375" i="3" s="1"/>
  <c r="G375" i="3"/>
  <c r="D375" i="3"/>
  <c r="R374" i="3"/>
  <c r="Q374" i="3"/>
  <c r="N374" i="3"/>
  <c r="L374" i="3"/>
  <c r="J374" i="3"/>
  <c r="H374" i="3"/>
  <c r="I374" i="3" s="1"/>
  <c r="G374" i="3"/>
  <c r="D374" i="3"/>
  <c r="R373" i="3"/>
  <c r="Q373" i="3"/>
  <c r="N373" i="3"/>
  <c r="L373" i="3"/>
  <c r="J373" i="3"/>
  <c r="H373" i="3"/>
  <c r="I373" i="3" s="1"/>
  <c r="G373" i="3"/>
  <c r="D373" i="3"/>
  <c r="R372" i="3"/>
  <c r="Q372" i="3"/>
  <c r="N372" i="3"/>
  <c r="L372" i="3"/>
  <c r="J372" i="3"/>
  <c r="H372" i="3"/>
  <c r="I372" i="3" s="1"/>
  <c r="G372" i="3"/>
  <c r="D372" i="3"/>
  <c r="R371" i="3"/>
  <c r="Q371" i="3"/>
  <c r="N371" i="3"/>
  <c r="L371" i="3"/>
  <c r="J371" i="3"/>
  <c r="H371" i="3"/>
  <c r="I371" i="3" s="1"/>
  <c r="G371" i="3"/>
  <c r="D371" i="3"/>
  <c r="R370" i="3"/>
  <c r="Q370" i="3"/>
  <c r="N370" i="3"/>
  <c r="L370" i="3"/>
  <c r="J370" i="3"/>
  <c r="H370" i="3"/>
  <c r="I370" i="3" s="1"/>
  <c r="G370" i="3"/>
  <c r="D370" i="3"/>
  <c r="R369" i="3"/>
  <c r="Q369" i="3"/>
  <c r="N369" i="3"/>
  <c r="L369" i="3"/>
  <c r="J369" i="3"/>
  <c r="H369" i="3"/>
  <c r="I369" i="3" s="1"/>
  <c r="G369" i="3"/>
  <c r="D369" i="3"/>
  <c r="R368" i="3"/>
  <c r="Q368" i="3"/>
  <c r="N368" i="3"/>
  <c r="L368" i="3"/>
  <c r="J368" i="3"/>
  <c r="H368" i="3"/>
  <c r="I368" i="3" s="1"/>
  <c r="G368" i="3"/>
  <c r="D368" i="3"/>
  <c r="R367" i="3"/>
  <c r="Q367" i="3"/>
  <c r="N367" i="3"/>
  <c r="L367" i="3"/>
  <c r="J367" i="3"/>
  <c r="H367" i="3"/>
  <c r="I367" i="3" s="1"/>
  <c r="G367" i="3"/>
  <c r="D367" i="3"/>
  <c r="R366" i="3"/>
  <c r="Q366" i="3"/>
  <c r="N366" i="3"/>
  <c r="L366" i="3"/>
  <c r="J366" i="3"/>
  <c r="H366" i="3"/>
  <c r="I366" i="3" s="1"/>
  <c r="G366" i="3"/>
  <c r="D366" i="3"/>
  <c r="R365" i="3"/>
  <c r="Q365" i="3"/>
  <c r="N365" i="3"/>
  <c r="L365" i="3"/>
  <c r="J365" i="3"/>
  <c r="H365" i="3"/>
  <c r="I365" i="3" s="1"/>
  <c r="G365" i="3"/>
  <c r="D365" i="3"/>
  <c r="R364" i="3"/>
  <c r="Q364" i="3"/>
  <c r="N364" i="3"/>
  <c r="L364" i="3"/>
  <c r="J364" i="3"/>
  <c r="H364" i="3"/>
  <c r="I364" i="3" s="1"/>
  <c r="G364" i="3"/>
  <c r="D364" i="3"/>
  <c r="R363" i="3"/>
  <c r="Q363" i="3"/>
  <c r="N363" i="3"/>
  <c r="L363" i="3"/>
  <c r="J363" i="3"/>
  <c r="H363" i="3"/>
  <c r="I363" i="3" s="1"/>
  <c r="G363" i="3"/>
  <c r="D363" i="3"/>
  <c r="R362" i="3"/>
  <c r="Q362" i="3"/>
  <c r="N362" i="3"/>
  <c r="L362" i="3"/>
  <c r="J362" i="3"/>
  <c r="H362" i="3"/>
  <c r="I362" i="3" s="1"/>
  <c r="G362" i="3"/>
  <c r="D362" i="3"/>
  <c r="R361" i="3"/>
  <c r="Q361" i="3"/>
  <c r="N361" i="3"/>
  <c r="L361" i="3"/>
  <c r="J361" i="3"/>
  <c r="H361" i="3"/>
  <c r="I361" i="3" s="1"/>
  <c r="G361" i="3"/>
  <c r="D361" i="3"/>
  <c r="R360" i="3"/>
  <c r="Q360" i="3"/>
  <c r="N360" i="3"/>
  <c r="L360" i="3"/>
  <c r="J360" i="3"/>
  <c r="H360" i="3"/>
  <c r="I360" i="3" s="1"/>
  <c r="G360" i="3"/>
  <c r="D360" i="3"/>
  <c r="R359" i="3"/>
  <c r="Q359" i="3"/>
  <c r="N359" i="3"/>
  <c r="L359" i="3"/>
  <c r="J359" i="3"/>
  <c r="H359" i="3"/>
  <c r="I359" i="3" s="1"/>
  <c r="G359" i="3"/>
  <c r="D359" i="3"/>
  <c r="R358" i="3"/>
  <c r="Q358" i="3"/>
  <c r="N358" i="3"/>
  <c r="L358" i="3"/>
  <c r="J358" i="3"/>
  <c r="H358" i="3"/>
  <c r="I358" i="3" s="1"/>
  <c r="G358" i="3"/>
  <c r="D358" i="3"/>
  <c r="R357" i="3"/>
  <c r="Q357" i="3"/>
  <c r="N357" i="3"/>
  <c r="L357" i="3"/>
  <c r="J357" i="3"/>
  <c r="H357" i="3"/>
  <c r="I357" i="3" s="1"/>
  <c r="G357" i="3"/>
  <c r="D357" i="3"/>
  <c r="R356" i="3"/>
  <c r="Q356" i="3"/>
  <c r="N356" i="3"/>
  <c r="L356" i="3"/>
  <c r="J356" i="3"/>
  <c r="H356" i="3"/>
  <c r="I356" i="3" s="1"/>
  <c r="G356" i="3"/>
  <c r="D356" i="3"/>
  <c r="R355" i="3"/>
  <c r="Q355" i="3"/>
  <c r="N355" i="3"/>
  <c r="L355" i="3"/>
  <c r="J355" i="3"/>
  <c r="H355" i="3"/>
  <c r="I355" i="3" s="1"/>
  <c r="G355" i="3"/>
  <c r="D355" i="3"/>
  <c r="R354" i="3"/>
  <c r="Q354" i="3"/>
  <c r="N354" i="3"/>
  <c r="L354" i="3"/>
  <c r="J354" i="3"/>
  <c r="H354" i="3"/>
  <c r="I354" i="3" s="1"/>
  <c r="G354" i="3"/>
  <c r="D354" i="3"/>
  <c r="R353" i="3"/>
  <c r="Q353" i="3"/>
  <c r="N353" i="3"/>
  <c r="L353" i="3"/>
  <c r="J353" i="3"/>
  <c r="H353" i="3"/>
  <c r="I353" i="3" s="1"/>
  <c r="G353" i="3"/>
  <c r="D353" i="3"/>
  <c r="R352" i="3"/>
  <c r="Q352" i="3"/>
  <c r="N352" i="3"/>
  <c r="L352" i="3"/>
  <c r="J352" i="3"/>
  <c r="H352" i="3"/>
  <c r="I352" i="3" s="1"/>
  <c r="G352" i="3"/>
  <c r="D352" i="3"/>
  <c r="R351" i="3"/>
  <c r="Q351" i="3"/>
  <c r="N351" i="3"/>
  <c r="L351" i="3"/>
  <c r="J351" i="3"/>
  <c r="H351" i="3"/>
  <c r="I351" i="3" s="1"/>
  <c r="G351" i="3"/>
  <c r="D351" i="3"/>
  <c r="R350" i="3"/>
  <c r="Q350" i="3"/>
  <c r="N350" i="3"/>
  <c r="L350" i="3"/>
  <c r="J350" i="3"/>
  <c r="H350" i="3"/>
  <c r="I350" i="3" s="1"/>
  <c r="G350" i="3"/>
  <c r="D350" i="3"/>
  <c r="R349" i="3"/>
  <c r="Q349" i="3"/>
  <c r="N349" i="3"/>
  <c r="L349" i="3"/>
  <c r="J349" i="3"/>
  <c r="H349" i="3"/>
  <c r="I349" i="3" s="1"/>
  <c r="G349" i="3"/>
  <c r="D349" i="3"/>
  <c r="R348" i="3"/>
  <c r="Q348" i="3"/>
  <c r="N348" i="3"/>
  <c r="L348" i="3"/>
  <c r="J348" i="3"/>
  <c r="H348" i="3"/>
  <c r="I348" i="3" s="1"/>
  <c r="G348" i="3"/>
  <c r="D348" i="3"/>
  <c r="R347" i="3"/>
  <c r="Q347" i="3"/>
  <c r="N347" i="3"/>
  <c r="L347" i="3"/>
  <c r="J347" i="3"/>
  <c r="H347" i="3"/>
  <c r="I347" i="3" s="1"/>
  <c r="G347" i="3"/>
  <c r="D347" i="3"/>
  <c r="R346" i="3"/>
  <c r="Q346" i="3"/>
  <c r="N346" i="3"/>
  <c r="L346" i="3"/>
  <c r="J346" i="3"/>
  <c r="H346" i="3"/>
  <c r="I346" i="3" s="1"/>
  <c r="G346" i="3"/>
  <c r="D346" i="3"/>
  <c r="R345" i="3"/>
  <c r="Q345" i="3"/>
  <c r="N345" i="3"/>
  <c r="L345" i="3"/>
  <c r="J345" i="3"/>
  <c r="H345" i="3"/>
  <c r="I345" i="3" s="1"/>
  <c r="G345" i="3"/>
  <c r="D345" i="3"/>
  <c r="R344" i="3"/>
  <c r="Q344" i="3"/>
  <c r="N344" i="3"/>
  <c r="L344" i="3"/>
  <c r="J344" i="3"/>
  <c r="H344" i="3"/>
  <c r="I344" i="3" s="1"/>
  <c r="G344" i="3"/>
  <c r="D344" i="3"/>
  <c r="R343" i="3"/>
  <c r="Q343" i="3"/>
  <c r="N343" i="3"/>
  <c r="L343" i="3"/>
  <c r="J343" i="3"/>
  <c r="H343" i="3"/>
  <c r="I343" i="3" s="1"/>
  <c r="G343" i="3"/>
  <c r="D343" i="3"/>
  <c r="R342" i="3"/>
  <c r="Q342" i="3"/>
  <c r="N342" i="3"/>
  <c r="L342" i="3"/>
  <c r="J342" i="3"/>
  <c r="H342" i="3"/>
  <c r="I342" i="3" s="1"/>
  <c r="G342" i="3"/>
  <c r="D342" i="3"/>
  <c r="R341" i="3"/>
  <c r="Q341" i="3"/>
  <c r="N341" i="3"/>
  <c r="L341" i="3"/>
  <c r="J341" i="3"/>
  <c r="H341" i="3"/>
  <c r="I341" i="3" s="1"/>
  <c r="G341" i="3"/>
  <c r="D341" i="3"/>
  <c r="R340" i="3"/>
  <c r="Q340" i="3"/>
  <c r="N340" i="3"/>
  <c r="L340" i="3"/>
  <c r="J340" i="3"/>
  <c r="H340" i="3"/>
  <c r="I340" i="3" s="1"/>
  <c r="G340" i="3"/>
  <c r="D340" i="3"/>
  <c r="R339" i="3"/>
  <c r="Q339" i="3"/>
  <c r="N339" i="3"/>
  <c r="L339" i="3"/>
  <c r="J339" i="3"/>
  <c r="H339" i="3"/>
  <c r="I339" i="3" s="1"/>
  <c r="G339" i="3"/>
  <c r="D339" i="3"/>
  <c r="R338" i="3"/>
  <c r="Q338" i="3"/>
  <c r="N338" i="3"/>
  <c r="L338" i="3"/>
  <c r="J338" i="3"/>
  <c r="H338" i="3"/>
  <c r="I338" i="3" s="1"/>
  <c r="G338" i="3"/>
  <c r="D338" i="3"/>
  <c r="R337" i="3"/>
  <c r="Q337" i="3"/>
  <c r="N337" i="3"/>
  <c r="L337" i="3"/>
  <c r="J337" i="3"/>
  <c r="H337" i="3"/>
  <c r="I337" i="3" s="1"/>
  <c r="G337" i="3"/>
  <c r="D337" i="3"/>
  <c r="R336" i="3"/>
  <c r="Q336" i="3"/>
  <c r="N336" i="3"/>
  <c r="L336" i="3"/>
  <c r="J336" i="3"/>
  <c r="H336" i="3"/>
  <c r="I336" i="3" s="1"/>
  <c r="G336" i="3"/>
  <c r="D336" i="3"/>
  <c r="R335" i="3"/>
  <c r="Q335" i="3"/>
  <c r="N335" i="3"/>
  <c r="L335" i="3"/>
  <c r="J335" i="3"/>
  <c r="H335" i="3"/>
  <c r="I335" i="3" s="1"/>
  <c r="G335" i="3"/>
  <c r="D335" i="3"/>
  <c r="R334" i="3"/>
  <c r="Q334" i="3"/>
  <c r="N334" i="3"/>
  <c r="L334" i="3"/>
  <c r="J334" i="3"/>
  <c r="H334" i="3"/>
  <c r="I334" i="3" s="1"/>
  <c r="G334" i="3"/>
  <c r="D334" i="3"/>
  <c r="R333" i="3"/>
  <c r="Q333" i="3"/>
  <c r="N333" i="3"/>
  <c r="L333" i="3"/>
  <c r="J333" i="3"/>
  <c r="H333" i="3"/>
  <c r="I333" i="3" s="1"/>
  <c r="G333" i="3"/>
  <c r="D333" i="3"/>
  <c r="R332" i="3"/>
  <c r="Q332" i="3"/>
  <c r="N332" i="3"/>
  <c r="L332" i="3"/>
  <c r="J332" i="3"/>
  <c r="H332" i="3"/>
  <c r="I332" i="3" s="1"/>
  <c r="G332" i="3"/>
  <c r="D332" i="3"/>
  <c r="R331" i="3"/>
  <c r="Q331" i="3"/>
  <c r="N331" i="3"/>
  <c r="L331" i="3"/>
  <c r="J331" i="3"/>
  <c r="H331" i="3"/>
  <c r="I331" i="3" s="1"/>
  <c r="G331" i="3"/>
  <c r="D331" i="3"/>
  <c r="R330" i="3"/>
  <c r="Q330" i="3"/>
  <c r="N330" i="3"/>
  <c r="L330" i="3"/>
  <c r="J330" i="3"/>
  <c r="H330" i="3"/>
  <c r="I330" i="3" s="1"/>
  <c r="G330" i="3"/>
  <c r="D330" i="3"/>
  <c r="R329" i="3"/>
  <c r="Q329" i="3"/>
  <c r="N329" i="3"/>
  <c r="L329" i="3"/>
  <c r="J329" i="3"/>
  <c r="H329" i="3"/>
  <c r="I329" i="3" s="1"/>
  <c r="G329" i="3"/>
  <c r="D329" i="3"/>
  <c r="R328" i="3"/>
  <c r="Q328" i="3"/>
  <c r="N328" i="3"/>
  <c r="L328" i="3"/>
  <c r="J328" i="3"/>
  <c r="H328" i="3"/>
  <c r="I328" i="3" s="1"/>
  <c r="G328" i="3"/>
  <c r="D328" i="3"/>
  <c r="R327" i="3"/>
  <c r="Q327" i="3"/>
  <c r="N327" i="3"/>
  <c r="L327" i="3"/>
  <c r="J327" i="3"/>
  <c r="H327" i="3"/>
  <c r="I327" i="3" s="1"/>
  <c r="G327" i="3"/>
  <c r="D327" i="3"/>
  <c r="R326" i="3"/>
  <c r="Q326" i="3"/>
  <c r="N326" i="3"/>
  <c r="L326" i="3"/>
  <c r="J326" i="3"/>
  <c r="H326" i="3"/>
  <c r="I326" i="3" s="1"/>
  <c r="G326" i="3"/>
  <c r="D326" i="3"/>
  <c r="R325" i="3"/>
  <c r="Q325" i="3"/>
  <c r="N325" i="3"/>
  <c r="L325" i="3"/>
  <c r="J325" i="3"/>
  <c r="H325" i="3"/>
  <c r="I325" i="3" s="1"/>
  <c r="G325" i="3"/>
  <c r="D325" i="3"/>
  <c r="R324" i="3"/>
  <c r="Q324" i="3"/>
  <c r="N324" i="3"/>
  <c r="L324" i="3"/>
  <c r="J324" i="3"/>
  <c r="H324" i="3"/>
  <c r="I324" i="3" s="1"/>
  <c r="G324" i="3"/>
  <c r="D324" i="3"/>
  <c r="R323" i="3"/>
  <c r="Q323" i="3"/>
  <c r="N323" i="3"/>
  <c r="L323" i="3"/>
  <c r="J323" i="3"/>
  <c r="H323" i="3"/>
  <c r="I323" i="3" s="1"/>
  <c r="G323" i="3"/>
  <c r="D323" i="3"/>
  <c r="R322" i="3"/>
  <c r="Q322" i="3"/>
  <c r="N322" i="3"/>
  <c r="L322" i="3"/>
  <c r="J322" i="3"/>
  <c r="H322" i="3"/>
  <c r="I322" i="3" s="1"/>
  <c r="G322" i="3"/>
  <c r="D322" i="3"/>
  <c r="R321" i="3"/>
  <c r="Q321" i="3"/>
  <c r="N321" i="3"/>
  <c r="L321" i="3"/>
  <c r="J321" i="3"/>
  <c r="H321" i="3"/>
  <c r="I321" i="3" s="1"/>
  <c r="G321" i="3"/>
  <c r="D321" i="3"/>
  <c r="R320" i="3"/>
  <c r="Q320" i="3"/>
  <c r="N320" i="3"/>
  <c r="L320" i="3"/>
  <c r="J320" i="3"/>
  <c r="H320" i="3"/>
  <c r="I320" i="3" s="1"/>
  <c r="G320" i="3"/>
  <c r="D320" i="3"/>
  <c r="R319" i="3"/>
  <c r="Q319" i="3"/>
  <c r="N319" i="3"/>
  <c r="L319" i="3"/>
  <c r="J319" i="3"/>
  <c r="H319" i="3"/>
  <c r="I319" i="3" s="1"/>
  <c r="G319" i="3"/>
  <c r="D319" i="3"/>
  <c r="R318" i="3"/>
  <c r="Q318" i="3"/>
  <c r="N318" i="3"/>
  <c r="L318" i="3"/>
  <c r="J318" i="3"/>
  <c r="H318" i="3"/>
  <c r="I318" i="3" s="1"/>
  <c r="G318" i="3"/>
  <c r="D318" i="3"/>
  <c r="R317" i="3"/>
  <c r="Q317" i="3"/>
  <c r="N317" i="3"/>
  <c r="L317" i="3"/>
  <c r="J317" i="3"/>
  <c r="H317" i="3"/>
  <c r="I317" i="3" s="1"/>
  <c r="G317" i="3"/>
  <c r="D317" i="3"/>
  <c r="R316" i="3"/>
  <c r="Q316" i="3"/>
  <c r="N316" i="3"/>
  <c r="L316" i="3"/>
  <c r="J316" i="3"/>
  <c r="H316" i="3"/>
  <c r="I316" i="3" s="1"/>
  <c r="G316" i="3"/>
  <c r="D316" i="3"/>
  <c r="R315" i="3"/>
  <c r="Q315" i="3"/>
  <c r="N315" i="3"/>
  <c r="L315" i="3"/>
  <c r="J315" i="3"/>
  <c r="H315" i="3"/>
  <c r="I315" i="3" s="1"/>
  <c r="G315" i="3"/>
  <c r="D315" i="3"/>
  <c r="R314" i="3"/>
  <c r="Q314" i="3"/>
  <c r="N314" i="3"/>
  <c r="L314" i="3"/>
  <c r="J314" i="3"/>
  <c r="H314" i="3"/>
  <c r="I314" i="3" s="1"/>
  <c r="G314" i="3"/>
  <c r="D314" i="3"/>
  <c r="R313" i="3"/>
  <c r="Q313" i="3"/>
  <c r="N313" i="3"/>
  <c r="L313" i="3"/>
  <c r="J313" i="3"/>
  <c r="H313" i="3"/>
  <c r="I313" i="3" s="1"/>
  <c r="G313" i="3"/>
  <c r="D313" i="3"/>
  <c r="R312" i="3"/>
  <c r="Q312" i="3"/>
  <c r="N312" i="3"/>
  <c r="L312" i="3"/>
  <c r="J312" i="3"/>
  <c r="H312" i="3"/>
  <c r="I312" i="3" s="1"/>
  <c r="G312" i="3"/>
  <c r="D312" i="3"/>
  <c r="R311" i="3"/>
  <c r="Q311" i="3"/>
  <c r="N311" i="3"/>
  <c r="L311" i="3"/>
  <c r="J311" i="3"/>
  <c r="H311" i="3"/>
  <c r="I311" i="3" s="1"/>
  <c r="G311" i="3"/>
  <c r="D311" i="3"/>
  <c r="R310" i="3"/>
  <c r="Q310" i="3"/>
  <c r="N310" i="3"/>
  <c r="L310" i="3"/>
  <c r="J310" i="3"/>
  <c r="H310" i="3"/>
  <c r="I310" i="3" s="1"/>
  <c r="G310" i="3"/>
  <c r="D310" i="3"/>
  <c r="R309" i="3"/>
  <c r="Q309" i="3"/>
  <c r="N309" i="3"/>
  <c r="L309" i="3"/>
  <c r="J309" i="3"/>
  <c r="H309" i="3"/>
  <c r="I309" i="3" s="1"/>
  <c r="G309" i="3"/>
  <c r="D309" i="3"/>
  <c r="R308" i="3"/>
  <c r="Q308" i="3"/>
  <c r="N308" i="3"/>
  <c r="L308" i="3"/>
  <c r="J308" i="3"/>
  <c r="H308" i="3"/>
  <c r="I308" i="3" s="1"/>
  <c r="G308" i="3"/>
  <c r="D308" i="3"/>
  <c r="R307" i="3"/>
  <c r="Q307" i="3"/>
  <c r="N307" i="3"/>
  <c r="L307" i="3"/>
  <c r="J307" i="3"/>
  <c r="H307" i="3"/>
  <c r="I307" i="3" s="1"/>
  <c r="G307" i="3"/>
  <c r="D307" i="3"/>
  <c r="R306" i="3"/>
  <c r="Q306" i="3"/>
  <c r="N306" i="3"/>
  <c r="L306" i="3"/>
  <c r="J306" i="3"/>
  <c r="H306" i="3"/>
  <c r="I306" i="3" s="1"/>
  <c r="G306" i="3"/>
  <c r="D306" i="3"/>
  <c r="R305" i="3"/>
  <c r="Q305" i="3"/>
  <c r="N305" i="3"/>
  <c r="L305" i="3"/>
  <c r="J305" i="3"/>
  <c r="H305" i="3"/>
  <c r="I305" i="3" s="1"/>
  <c r="G305" i="3"/>
  <c r="D305" i="3"/>
  <c r="R304" i="3"/>
  <c r="Q304" i="3"/>
  <c r="N304" i="3"/>
  <c r="L304" i="3"/>
  <c r="J304" i="3"/>
  <c r="H304" i="3"/>
  <c r="I304" i="3" s="1"/>
  <c r="G304" i="3"/>
  <c r="D304" i="3"/>
  <c r="R303" i="3"/>
  <c r="Q303" i="3"/>
  <c r="N303" i="3"/>
  <c r="L303" i="3"/>
  <c r="J303" i="3"/>
  <c r="H303" i="3"/>
  <c r="I303" i="3" s="1"/>
  <c r="G303" i="3"/>
  <c r="D303" i="3"/>
  <c r="R302" i="3"/>
  <c r="Q302" i="3"/>
  <c r="N302" i="3"/>
  <c r="L302" i="3"/>
  <c r="J302" i="3"/>
  <c r="H302" i="3"/>
  <c r="I302" i="3" s="1"/>
  <c r="G302" i="3"/>
  <c r="D302" i="3"/>
  <c r="R301" i="3"/>
  <c r="Q301" i="3"/>
  <c r="N301" i="3"/>
  <c r="L301" i="3"/>
  <c r="J301" i="3"/>
  <c r="H301" i="3"/>
  <c r="I301" i="3" s="1"/>
  <c r="G301" i="3"/>
  <c r="D301" i="3"/>
  <c r="R300" i="3"/>
  <c r="Q300" i="3"/>
  <c r="N300" i="3"/>
  <c r="L300" i="3"/>
  <c r="J300" i="3"/>
  <c r="H300" i="3"/>
  <c r="I300" i="3" s="1"/>
  <c r="G300" i="3"/>
  <c r="D300" i="3"/>
  <c r="R299" i="3"/>
  <c r="Q299" i="3"/>
  <c r="N299" i="3"/>
  <c r="L299" i="3"/>
  <c r="J299" i="3"/>
  <c r="H299" i="3"/>
  <c r="I299" i="3" s="1"/>
  <c r="G299" i="3"/>
  <c r="D299" i="3"/>
  <c r="R298" i="3"/>
  <c r="Q298" i="3"/>
  <c r="N298" i="3"/>
  <c r="L298" i="3"/>
  <c r="J298" i="3"/>
  <c r="H298" i="3"/>
  <c r="I298" i="3" s="1"/>
  <c r="G298" i="3"/>
  <c r="D298" i="3"/>
  <c r="R297" i="3"/>
  <c r="Q297" i="3"/>
  <c r="N297" i="3"/>
  <c r="L297" i="3"/>
  <c r="J297" i="3"/>
  <c r="H297" i="3"/>
  <c r="I297" i="3" s="1"/>
  <c r="G297" i="3"/>
  <c r="D297" i="3"/>
  <c r="R296" i="3"/>
  <c r="Q296" i="3"/>
  <c r="N296" i="3"/>
  <c r="L296" i="3"/>
  <c r="J296" i="3"/>
  <c r="H296" i="3"/>
  <c r="I296" i="3" s="1"/>
  <c r="G296" i="3"/>
  <c r="D296" i="3"/>
  <c r="R295" i="3"/>
  <c r="Q295" i="3"/>
  <c r="N295" i="3"/>
  <c r="L295" i="3"/>
  <c r="J295" i="3"/>
  <c r="H295" i="3"/>
  <c r="I295" i="3" s="1"/>
  <c r="G295" i="3"/>
  <c r="D295" i="3"/>
  <c r="R294" i="3"/>
  <c r="Q294" i="3"/>
  <c r="N294" i="3"/>
  <c r="L294" i="3"/>
  <c r="J294" i="3"/>
  <c r="H294" i="3"/>
  <c r="I294" i="3" s="1"/>
  <c r="G294" i="3"/>
  <c r="D294" i="3"/>
  <c r="R293" i="3"/>
  <c r="Q293" i="3"/>
  <c r="N293" i="3"/>
  <c r="L293" i="3"/>
  <c r="J293" i="3"/>
  <c r="H293" i="3"/>
  <c r="I293" i="3" s="1"/>
  <c r="G293" i="3"/>
  <c r="D293" i="3"/>
  <c r="R292" i="3"/>
  <c r="Q292" i="3"/>
  <c r="N292" i="3"/>
  <c r="L292" i="3"/>
  <c r="J292" i="3"/>
  <c r="H292" i="3"/>
  <c r="I292" i="3" s="1"/>
  <c r="G292" i="3"/>
  <c r="D292" i="3"/>
  <c r="R291" i="3"/>
  <c r="Q291" i="3"/>
  <c r="N291" i="3"/>
  <c r="L291" i="3"/>
  <c r="J291" i="3"/>
  <c r="H291" i="3"/>
  <c r="I291" i="3" s="1"/>
  <c r="G291" i="3"/>
  <c r="D291" i="3"/>
  <c r="R290" i="3"/>
  <c r="Q290" i="3"/>
  <c r="N290" i="3"/>
  <c r="L290" i="3"/>
  <c r="J290" i="3"/>
  <c r="H290" i="3"/>
  <c r="I290" i="3" s="1"/>
  <c r="G290" i="3"/>
  <c r="D290" i="3"/>
  <c r="R289" i="3"/>
  <c r="Q289" i="3"/>
  <c r="N289" i="3"/>
  <c r="L289" i="3"/>
  <c r="J289" i="3"/>
  <c r="H289" i="3"/>
  <c r="I289" i="3" s="1"/>
  <c r="G289" i="3"/>
  <c r="D289" i="3"/>
  <c r="R288" i="3"/>
  <c r="Q288" i="3"/>
  <c r="N288" i="3"/>
  <c r="L288" i="3"/>
  <c r="J288" i="3"/>
  <c r="H288" i="3"/>
  <c r="I288" i="3" s="1"/>
  <c r="G288" i="3"/>
  <c r="D288" i="3"/>
  <c r="R287" i="3"/>
  <c r="Q287" i="3"/>
  <c r="N287" i="3"/>
  <c r="L287" i="3"/>
  <c r="J287" i="3"/>
  <c r="H287" i="3"/>
  <c r="I287" i="3" s="1"/>
  <c r="G287" i="3"/>
  <c r="D287" i="3"/>
  <c r="R286" i="3"/>
  <c r="Q286" i="3"/>
  <c r="N286" i="3"/>
  <c r="L286" i="3"/>
  <c r="J286" i="3"/>
  <c r="H286" i="3"/>
  <c r="I286" i="3" s="1"/>
  <c r="G286" i="3"/>
  <c r="D286" i="3"/>
  <c r="R285" i="3"/>
  <c r="Q285" i="3"/>
  <c r="N285" i="3"/>
  <c r="L285" i="3"/>
  <c r="J285" i="3"/>
  <c r="H285" i="3"/>
  <c r="I285" i="3" s="1"/>
  <c r="G285" i="3"/>
  <c r="D285" i="3"/>
  <c r="R284" i="3"/>
  <c r="Q284" i="3"/>
  <c r="N284" i="3"/>
  <c r="L284" i="3"/>
  <c r="J284" i="3"/>
  <c r="H284" i="3"/>
  <c r="I284" i="3" s="1"/>
  <c r="G284" i="3"/>
  <c r="D284" i="3"/>
  <c r="R283" i="3"/>
  <c r="Q283" i="3"/>
  <c r="N283" i="3"/>
  <c r="L283" i="3"/>
  <c r="J283" i="3"/>
  <c r="H283" i="3"/>
  <c r="I283" i="3" s="1"/>
  <c r="G283" i="3"/>
  <c r="D283" i="3"/>
  <c r="R282" i="3"/>
  <c r="Q282" i="3"/>
  <c r="N282" i="3"/>
  <c r="L282" i="3"/>
  <c r="J282" i="3"/>
  <c r="H282" i="3"/>
  <c r="I282" i="3" s="1"/>
  <c r="G282" i="3"/>
  <c r="D282" i="3"/>
  <c r="R281" i="3"/>
  <c r="Q281" i="3"/>
  <c r="N281" i="3"/>
  <c r="L281" i="3"/>
  <c r="J281" i="3"/>
  <c r="H281" i="3"/>
  <c r="I281" i="3" s="1"/>
  <c r="G281" i="3"/>
  <c r="D281" i="3"/>
  <c r="R280" i="3"/>
  <c r="Q280" i="3"/>
  <c r="N280" i="3"/>
  <c r="L280" i="3"/>
  <c r="J280" i="3"/>
  <c r="H280" i="3"/>
  <c r="I280" i="3" s="1"/>
  <c r="G280" i="3"/>
  <c r="D280" i="3"/>
  <c r="R279" i="3"/>
  <c r="Q279" i="3"/>
  <c r="N279" i="3"/>
  <c r="L279" i="3"/>
  <c r="J279" i="3"/>
  <c r="H279" i="3"/>
  <c r="I279" i="3" s="1"/>
  <c r="G279" i="3"/>
  <c r="D279" i="3"/>
  <c r="R278" i="3"/>
  <c r="Q278" i="3"/>
  <c r="N278" i="3"/>
  <c r="L278" i="3"/>
  <c r="J278" i="3"/>
  <c r="H278" i="3"/>
  <c r="I278" i="3" s="1"/>
  <c r="G278" i="3"/>
  <c r="D278" i="3"/>
  <c r="R277" i="3"/>
  <c r="Q277" i="3"/>
  <c r="N277" i="3"/>
  <c r="L277" i="3"/>
  <c r="J277" i="3"/>
  <c r="H277" i="3"/>
  <c r="I277" i="3" s="1"/>
  <c r="G277" i="3"/>
  <c r="D277" i="3"/>
  <c r="R276" i="3"/>
  <c r="Q276" i="3"/>
  <c r="N276" i="3"/>
  <c r="L276" i="3"/>
  <c r="J276" i="3"/>
  <c r="H276" i="3"/>
  <c r="I276" i="3" s="1"/>
  <c r="G276" i="3"/>
  <c r="D276" i="3"/>
  <c r="R275" i="3"/>
  <c r="Q275" i="3"/>
  <c r="N275" i="3"/>
  <c r="L275" i="3"/>
  <c r="J275" i="3"/>
  <c r="H275" i="3"/>
  <c r="I275" i="3" s="1"/>
  <c r="G275" i="3"/>
  <c r="D275" i="3"/>
  <c r="R274" i="3"/>
  <c r="Q274" i="3"/>
  <c r="N274" i="3"/>
  <c r="L274" i="3"/>
  <c r="J274" i="3"/>
  <c r="H274" i="3"/>
  <c r="I274" i="3" s="1"/>
  <c r="G274" i="3"/>
  <c r="D274" i="3"/>
  <c r="R273" i="3"/>
  <c r="Q273" i="3"/>
  <c r="N273" i="3"/>
  <c r="L273" i="3"/>
  <c r="J273" i="3"/>
  <c r="H273" i="3"/>
  <c r="I273" i="3" s="1"/>
  <c r="G273" i="3"/>
  <c r="D273" i="3"/>
  <c r="R272" i="3"/>
  <c r="Q272" i="3"/>
  <c r="N272" i="3"/>
  <c r="L272" i="3"/>
  <c r="J272" i="3"/>
  <c r="H272" i="3"/>
  <c r="I272" i="3" s="1"/>
  <c r="G272" i="3"/>
  <c r="D272" i="3"/>
  <c r="R271" i="3"/>
  <c r="Q271" i="3"/>
  <c r="N271" i="3"/>
  <c r="L271" i="3"/>
  <c r="J271" i="3"/>
  <c r="H271" i="3"/>
  <c r="I271" i="3" s="1"/>
  <c r="G271" i="3"/>
  <c r="D271" i="3"/>
  <c r="R270" i="3"/>
  <c r="Q270" i="3"/>
  <c r="N270" i="3"/>
  <c r="L270" i="3"/>
  <c r="J270" i="3"/>
  <c r="H270" i="3"/>
  <c r="I270" i="3" s="1"/>
  <c r="G270" i="3"/>
  <c r="D270" i="3"/>
  <c r="R269" i="3"/>
  <c r="Q269" i="3"/>
  <c r="N269" i="3"/>
  <c r="L269" i="3"/>
  <c r="J269" i="3"/>
  <c r="H269" i="3"/>
  <c r="I269" i="3" s="1"/>
  <c r="G269" i="3"/>
  <c r="D269" i="3"/>
  <c r="R268" i="3"/>
  <c r="Q268" i="3"/>
  <c r="N268" i="3"/>
  <c r="L268" i="3"/>
  <c r="J268" i="3"/>
  <c r="H268" i="3"/>
  <c r="I268" i="3" s="1"/>
  <c r="G268" i="3"/>
  <c r="D268" i="3"/>
  <c r="R267" i="3"/>
  <c r="Q267" i="3"/>
  <c r="N267" i="3"/>
  <c r="L267" i="3"/>
  <c r="J267" i="3"/>
  <c r="H267" i="3"/>
  <c r="I267" i="3" s="1"/>
  <c r="G267" i="3"/>
  <c r="D267" i="3"/>
  <c r="R266" i="3"/>
  <c r="Q266" i="3"/>
  <c r="N266" i="3"/>
  <c r="L266" i="3"/>
  <c r="J266" i="3"/>
  <c r="H266" i="3"/>
  <c r="I266" i="3" s="1"/>
  <c r="G266" i="3"/>
  <c r="D266" i="3"/>
  <c r="R265" i="3"/>
  <c r="Q265" i="3"/>
  <c r="N265" i="3"/>
  <c r="L265" i="3"/>
  <c r="J265" i="3"/>
  <c r="H265" i="3"/>
  <c r="I265" i="3" s="1"/>
  <c r="G265" i="3"/>
  <c r="D265" i="3"/>
  <c r="R264" i="3"/>
  <c r="Q264" i="3"/>
  <c r="N264" i="3"/>
  <c r="L264" i="3"/>
  <c r="J264" i="3"/>
  <c r="H264" i="3"/>
  <c r="I264" i="3" s="1"/>
  <c r="G264" i="3"/>
  <c r="D264" i="3"/>
  <c r="R263" i="3"/>
  <c r="Q263" i="3"/>
  <c r="N263" i="3"/>
  <c r="L263" i="3"/>
  <c r="J263" i="3"/>
  <c r="H263" i="3"/>
  <c r="I263" i="3" s="1"/>
  <c r="G263" i="3"/>
  <c r="D263" i="3"/>
  <c r="R262" i="3"/>
  <c r="Q262" i="3"/>
  <c r="N262" i="3"/>
  <c r="L262" i="3"/>
  <c r="J262" i="3"/>
  <c r="H262" i="3"/>
  <c r="I262" i="3" s="1"/>
  <c r="G262" i="3"/>
  <c r="D262" i="3"/>
  <c r="R261" i="3"/>
  <c r="Q261" i="3"/>
  <c r="N261" i="3"/>
  <c r="L261" i="3"/>
  <c r="J261" i="3"/>
  <c r="H261" i="3"/>
  <c r="I261" i="3" s="1"/>
  <c r="G261" i="3"/>
  <c r="D261" i="3"/>
  <c r="R260" i="3"/>
  <c r="Q260" i="3"/>
  <c r="N260" i="3"/>
  <c r="L260" i="3"/>
  <c r="J260" i="3"/>
  <c r="H260" i="3"/>
  <c r="I260" i="3" s="1"/>
  <c r="G260" i="3"/>
  <c r="D260" i="3"/>
  <c r="R259" i="3"/>
  <c r="Q259" i="3"/>
  <c r="N259" i="3"/>
  <c r="L259" i="3"/>
  <c r="J259" i="3"/>
  <c r="H259" i="3"/>
  <c r="I259" i="3" s="1"/>
  <c r="G259" i="3"/>
  <c r="D259" i="3"/>
  <c r="R258" i="3"/>
  <c r="Q258" i="3"/>
  <c r="N258" i="3"/>
  <c r="L258" i="3"/>
  <c r="J258" i="3"/>
  <c r="H258" i="3"/>
  <c r="I258" i="3" s="1"/>
  <c r="G258" i="3"/>
  <c r="D258" i="3"/>
  <c r="R257" i="3"/>
  <c r="Q257" i="3"/>
  <c r="N257" i="3"/>
  <c r="L257" i="3"/>
  <c r="J257" i="3"/>
  <c r="H257" i="3"/>
  <c r="I257" i="3" s="1"/>
  <c r="G257" i="3"/>
  <c r="D257" i="3"/>
  <c r="R256" i="3"/>
  <c r="Q256" i="3"/>
  <c r="N256" i="3"/>
  <c r="L256" i="3"/>
  <c r="J256" i="3"/>
  <c r="H256" i="3"/>
  <c r="I256" i="3" s="1"/>
  <c r="G256" i="3"/>
  <c r="D256" i="3"/>
  <c r="R255" i="3"/>
  <c r="Q255" i="3"/>
  <c r="N255" i="3"/>
  <c r="L255" i="3"/>
  <c r="J255" i="3"/>
  <c r="H255" i="3"/>
  <c r="I255" i="3" s="1"/>
  <c r="G255" i="3"/>
  <c r="D255" i="3"/>
  <c r="R254" i="3"/>
  <c r="Q254" i="3"/>
  <c r="N254" i="3"/>
  <c r="L254" i="3"/>
  <c r="J254" i="3"/>
  <c r="H254" i="3"/>
  <c r="I254" i="3" s="1"/>
  <c r="G254" i="3"/>
  <c r="D254" i="3"/>
  <c r="R253" i="3"/>
  <c r="Q253" i="3"/>
  <c r="N253" i="3"/>
  <c r="L253" i="3"/>
  <c r="J253" i="3"/>
  <c r="H253" i="3"/>
  <c r="I253" i="3" s="1"/>
  <c r="G253" i="3"/>
  <c r="D253" i="3"/>
  <c r="R252" i="3"/>
  <c r="Q252" i="3"/>
  <c r="N252" i="3"/>
  <c r="L252" i="3"/>
  <c r="J252" i="3"/>
  <c r="H252" i="3"/>
  <c r="I252" i="3" s="1"/>
  <c r="G252" i="3"/>
  <c r="D252" i="3"/>
  <c r="R251" i="3"/>
  <c r="Q251" i="3"/>
  <c r="N251" i="3"/>
  <c r="L251" i="3"/>
  <c r="J251" i="3"/>
  <c r="H251" i="3"/>
  <c r="I251" i="3" s="1"/>
  <c r="G251" i="3"/>
  <c r="D251" i="3"/>
  <c r="R250" i="3"/>
  <c r="Q250" i="3"/>
  <c r="N250" i="3"/>
  <c r="L250" i="3"/>
  <c r="J250" i="3"/>
  <c r="H250" i="3"/>
  <c r="I250" i="3" s="1"/>
  <c r="G250" i="3"/>
  <c r="D250" i="3"/>
  <c r="R249" i="3"/>
  <c r="Q249" i="3"/>
  <c r="N249" i="3"/>
  <c r="L249" i="3"/>
  <c r="J249" i="3"/>
  <c r="H249" i="3"/>
  <c r="I249" i="3" s="1"/>
  <c r="G249" i="3"/>
  <c r="D249" i="3"/>
  <c r="R248" i="3"/>
  <c r="Q248" i="3"/>
  <c r="N248" i="3"/>
  <c r="L248" i="3"/>
  <c r="J248" i="3"/>
  <c r="H248" i="3"/>
  <c r="I248" i="3" s="1"/>
  <c r="G248" i="3"/>
  <c r="D248" i="3"/>
  <c r="R247" i="3"/>
  <c r="Q247" i="3"/>
  <c r="N247" i="3"/>
  <c r="L247" i="3"/>
  <c r="J247" i="3"/>
  <c r="H247" i="3"/>
  <c r="I247" i="3" s="1"/>
  <c r="G247" i="3"/>
  <c r="D247" i="3"/>
  <c r="R246" i="3"/>
  <c r="Q246" i="3"/>
  <c r="N246" i="3"/>
  <c r="L246" i="3"/>
  <c r="J246" i="3"/>
  <c r="H246" i="3"/>
  <c r="I246" i="3" s="1"/>
  <c r="G246" i="3"/>
  <c r="D246" i="3"/>
  <c r="R245" i="3"/>
  <c r="Q245" i="3"/>
  <c r="N245" i="3"/>
  <c r="L245" i="3"/>
  <c r="J245" i="3"/>
  <c r="H245" i="3"/>
  <c r="I245" i="3" s="1"/>
  <c r="G245" i="3"/>
  <c r="D245" i="3"/>
  <c r="R244" i="3"/>
  <c r="Q244" i="3"/>
  <c r="N244" i="3"/>
  <c r="L244" i="3"/>
  <c r="J244" i="3"/>
  <c r="H244" i="3"/>
  <c r="I244" i="3" s="1"/>
  <c r="G244" i="3"/>
  <c r="D244" i="3"/>
  <c r="R243" i="3"/>
  <c r="Q243" i="3"/>
  <c r="N243" i="3"/>
  <c r="L243" i="3"/>
  <c r="J243" i="3"/>
  <c r="H243" i="3"/>
  <c r="I243" i="3" s="1"/>
  <c r="G243" i="3"/>
  <c r="D243" i="3"/>
  <c r="R242" i="3"/>
  <c r="Q242" i="3"/>
  <c r="N242" i="3"/>
  <c r="L242" i="3"/>
  <c r="J242" i="3"/>
  <c r="H242" i="3"/>
  <c r="I242" i="3" s="1"/>
  <c r="G242" i="3"/>
  <c r="D242" i="3"/>
  <c r="R241" i="3"/>
  <c r="Q241" i="3"/>
  <c r="N241" i="3"/>
  <c r="L241" i="3"/>
  <c r="J241" i="3"/>
  <c r="H241" i="3"/>
  <c r="I241" i="3" s="1"/>
  <c r="G241" i="3"/>
  <c r="D241" i="3"/>
  <c r="R240" i="3"/>
  <c r="Q240" i="3"/>
  <c r="N240" i="3"/>
  <c r="L240" i="3"/>
  <c r="J240" i="3"/>
  <c r="H240" i="3"/>
  <c r="I240" i="3" s="1"/>
  <c r="G240" i="3"/>
  <c r="D240" i="3"/>
  <c r="R239" i="3"/>
  <c r="Q239" i="3"/>
  <c r="N239" i="3"/>
  <c r="L239" i="3"/>
  <c r="J239" i="3"/>
  <c r="H239" i="3"/>
  <c r="I239" i="3" s="1"/>
  <c r="G239" i="3"/>
  <c r="D239" i="3"/>
  <c r="R238" i="3"/>
  <c r="Q238" i="3"/>
  <c r="N238" i="3"/>
  <c r="L238" i="3"/>
  <c r="J238" i="3"/>
  <c r="H238" i="3"/>
  <c r="I238" i="3" s="1"/>
  <c r="G238" i="3"/>
  <c r="D238" i="3"/>
  <c r="R237" i="3"/>
  <c r="Q237" i="3"/>
  <c r="N237" i="3"/>
  <c r="L237" i="3"/>
  <c r="J237" i="3"/>
  <c r="H237" i="3"/>
  <c r="I237" i="3" s="1"/>
  <c r="G237" i="3"/>
  <c r="D237" i="3"/>
  <c r="R236" i="3"/>
  <c r="Q236" i="3"/>
  <c r="N236" i="3"/>
  <c r="L236" i="3"/>
  <c r="J236" i="3"/>
  <c r="H236" i="3"/>
  <c r="I236" i="3" s="1"/>
  <c r="G236" i="3"/>
  <c r="D236" i="3"/>
  <c r="R235" i="3"/>
  <c r="Q235" i="3"/>
  <c r="N235" i="3"/>
  <c r="L235" i="3"/>
  <c r="J235" i="3"/>
  <c r="H235" i="3"/>
  <c r="I235" i="3" s="1"/>
  <c r="G235" i="3"/>
  <c r="D235" i="3"/>
  <c r="R234" i="3"/>
  <c r="Q234" i="3"/>
  <c r="N234" i="3"/>
  <c r="L234" i="3"/>
  <c r="J234" i="3"/>
  <c r="H234" i="3"/>
  <c r="I234" i="3" s="1"/>
  <c r="G234" i="3"/>
  <c r="D234" i="3"/>
  <c r="R233" i="3"/>
  <c r="Q233" i="3"/>
  <c r="N233" i="3"/>
  <c r="L233" i="3"/>
  <c r="J233" i="3"/>
  <c r="H233" i="3"/>
  <c r="I233" i="3" s="1"/>
  <c r="G233" i="3"/>
  <c r="D233" i="3"/>
  <c r="R232" i="3"/>
  <c r="Q232" i="3"/>
  <c r="N232" i="3"/>
  <c r="L232" i="3"/>
  <c r="J232" i="3"/>
  <c r="H232" i="3"/>
  <c r="I232" i="3" s="1"/>
  <c r="G232" i="3"/>
  <c r="D232" i="3"/>
  <c r="R231" i="3"/>
  <c r="Q231" i="3"/>
  <c r="N231" i="3"/>
  <c r="L231" i="3"/>
  <c r="J231" i="3"/>
  <c r="H231" i="3"/>
  <c r="I231" i="3" s="1"/>
  <c r="G231" i="3"/>
  <c r="D231" i="3"/>
  <c r="R230" i="3"/>
  <c r="Q230" i="3"/>
  <c r="N230" i="3"/>
  <c r="L230" i="3"/>
  <c r="J230" i="3"/>
  <c r="H230" i="3"/>
  <c r="I230" i="3" s="1"/>
  <c r="G230" i="3"/>
  <c r="D230" i="3"/>
  <c r="R229" i="3"/>
  <c r="Q229" i="3"/>
  <c r="N229" i="3"/>
  <c r="L229" i="3"/>
  <c r="J229" i="3"/>
  <c r="H229" i="3"/>
  <c r="I229" i="3" s="1"/>
  <c r="G229" i="3"/>
  <c r="D229" i="3"/>
  <c r="R228" i="3"/>
  <c r="Q228" i="3"/>
  <c r="N228" i="3"/>
  <c r="L228" i="3"/>
  <c r="J228" i="3"/>
  <c r="H228" i="3"/>
  <c r="I228" i="3" s="1"/>
  <c r="G228" i="3"/>
  <c r="D228" i="3"/>
  <c r="R227" i="3"/>
  <c r="Q227" i="3"/>
  <c r="N227" i="3"/>
  <c r="L227" i="3"/>
  <c r="J227" i="3"/>
  <c r="H227" i="3"/>
  <c r="I227" i="3" s="1"/>
  <c r="G227" i="3"/>
  <c r="D227" i="3"/>
  <c r="R226" i="3"/>
  <c r="Q226" i="3"/>
  <c r="N226" i="3"/>
  <c r="L226" i="3"/>
  <c r="J226" i="3"/>
  <c r="H226" i="3"/>
  <c r="I226" i="3" s="1"/>
  <c r="G226" i="3"/>
  <c r="D226" i="3"/>
  <c r="R225" i="3"/>
  <c r="Q225" i="3"/>
  <c r="N225" i="3"/>
  <c r="L225" i="3"/>
  <c r="J225" i="3"/>
  <c r="H225" i="3"/>
  <c r="I225" i="3" s="1"/>
  <c r="G225" i="3"/>
  <c r="D225" i="3"/>
  <c r="R224" i="3"/>
  <c r="Q224" i="3"/>
  <c r="N224" i="3"/>
  <c r="L224" i="3"/>
  <c r="J224" i="3"/>
  <c r="H224" i="3"/>
  <c r="I224" i="3" s="1"/>
  <c r="G224" i="3"/>
  <c r="D224" i="3"/>
  <c r="R223" i="3"/>
  <c r="Q223" i="3"/>
  <c r="N223" i="3"/>
  <c r="L223" i="3"/>
  <c r="J223" i="3"/>
  <c r="H223" i="3"/>
  <c r="I223" i="3" s="1"/>
  <c r="G223" i="3"/>
  <c r="D223" i="3"/>
  <c r="R222" i="3"/>
  <c r="Q222" i="3"/>
  <c r="N222" i="3"/>
  <c r="L222" i="3"/>
  <c r="J222" i="3"/>
  <c r="H222" i="3"/>
  <c r="I222" i="3" s="1"/>
  <c r="G222" i="3"/>
  <c r="D222" i="3"/>
  <c r="R221" i="3"/>
  <c r="Q221" i="3"/>
  <c r="N221" i="3"/>
  <c r="L221" i="3"/>
  <c r="J221" i="3"/>
  <c r="H221" i="3"/>
  <c r="I221" i="3" s="1"/>
  <c r="G221" i="3"/>
  <c r="D221" i="3"/>
  <c r="R220" i="3"/>
  <c r="Q220" i="3"/>
  <c r="N220" i="3"/>
  <c r="L220" i="3"/>
  <c r="J220" i="3"/>
  <c r="H220" i="3"/>
  <c r="I220" i="3" s="1"/>
  <c r="G220" i="3"/>
  <c r="D220" i="3"/>
  <c r="R219" i="3"/>
  <c r="Q219" i="3"/>
  <c r="N219" i="3"/>
  <c r="L219" i="3"/>
  <c r="J219" i="3"/>
  <c r="H219" i="3"/>
  <c r="I219" i="3" s="1"/>
  <c r="G219" i="3"/>
  <c r="D219" i="3"/>
  <c r="R218" i="3"/>
  <c r="Q218" i="3"/>
  <c r="N218" i="3"/>
  <c r="L218" i="3"/>
  <c r="J218" i="3"/>
  <c r="H218" i="3"/>
  <c r="I218" i="3" s="1"/>
  <c r="G218" i="3"/>
  <c r="D218" i="3"/>
  <c r="R217" i="3"/>
  <c r="Q217" i="3"/>
  <c r="N217" i="3"/>
  <c r="L217" i="3"/>
  <c r="J217" i="3"/>
  <c r="H217" i="3"/>
  <c r="I217" i="3" s="1"/>
  <c r="G217" i="3"/>
  <c r="D217" i="3"/>
  <c r="R216" i="3"/>
  <c r="Q216" i="3"/>
  <c r="N216" i="3"/>
  <c r="L216" i="3"/>
  <c r="J216" i="3"/>
  <c r="H216" i="3"/>
  <c r="I216" i="3" s="1"/>
  <c r="G216" i="3"/>
  <c r="D216" i="3"/>
  <c r="R215" i="3"/>
  <c r="Q215" i="3"/>
  <c r="N215" i="3"/>
  <c r="L215" i="3"/>
  <c r="J215" i="3"/>
  <c r="H215" i="3"/>
  <c r="I215" i="3" s="1"/>
  <c r="G215" i="3"/>
  <c r="D215" i="3"/>
  <c r="R214" i="3"/>
  <c r="Q214" i="3"/>
  <c r="N214" i="3"/>
  <c r="L214" i="3"/>
  <c r="J214" i="3"/>
  <c r="H214" i="3"/>
  <c r="I214" i="3" s="1"/>
  <c r="G214" i="3"/>
  <c r="D214" i="3"/>
  <c r="R213" i="3"/>
  <c r="Q213" i="3"/>
  <c r="N213" i="3"/>
  <c r="L213" i="3"/>
  <c r="J213" i="3"/>
  <c r="H213" i="3"/>
  <c r="I213" i="3" s="1"/>
  <c r="G213" i="3"/>
  <c r="D213" i="3"/>
  <c r="R212" i="3"/>
  <c r="Q212" i="3"/>
  <c r="N212" i="3"/>
  <c r="L212" i="3"/>
  <c r="J212" i="3"/>
  <c r="H212" i="3"/>
  <c r="I212" i="3" s="1"/>
  <c r="G212" i="3"/>
  <c r="D212" i="3"/>
  <c r="R211" i="3"/>
  <c r="Q211" i="3"/>
  <c r="N211" i="3"/>
  <c r="L211" i="3"/>
  <c r="J211" i="3"/>
  <c r="H211" i="3"/>
  <c r="I211" i="3" s="1"/>
  <c r="G211" i="3"/>
  <c r="D211" i="3"/>
  <c r="R210" i="3"/>
  <c r="Q210" i="3"/>
  <c r="N210" i="3"/>
  <c r="L210" i="3"/>
  <c r="J210" i="3"/>
  <c r="H210" i="3"/>
  <c r="I210" i="3" s="1"/>
  <c r="G210" i="3"/>
  <c r="D210" i="3"/>
  <c r="R209" i="3"/>
  <c r="Q209" i="3"/>
  <c r="N209" i="3"/>
  <c r="L209" i="3"/>
  <c r="J209" i="3"/>
  <c r="H209" i="3"/>
  <c r="I209" i="3" s="1"/>
  <c r="G209" i="3"/>
  <c r="D209" i="3"/>
  <c r="R208" i="3"/>
  <c r="Q208" i="3"/>
  <c r="N208" i="3"/>
  <c r="L208" i="3"/>
  <c r="J208" i="3"/>
  <c r="H208" i="3"/>
  <c r="I208" i="3" s="1"/>
  <c r="G208" i="3"/>
  <c r="D208" i="3"/>
  <c r="R207" i="3"/>
  <c r="Q207" i="3"/>
  <c r="N207" i="3"/>
  <c r="L207" i="3"/>
  <c r="J207" i="3"/>
  <c r="H207" i="3"/>
  <c r="I207" i="3" s="1"/>
  <c r="G207" i="3"/>
  <c r="D207" i="3"/>
  <c r="R206" i="3"/>
  <c r="Q206" i="3"/>
  <c r="N206" i="3"/>
  <c r="L206" i="3"/>
  <c r="J206" i="3"/>
  <c r="H206" i="3"/>
  <c r="I206" i="3" s="1"/>
  <c r="G206" i="3"/>
  <c r="D206" i="3"/>
  <c r="R205" i="3"/>
  <c r="Q205" i="3"/>
  <c r="N205" i="3"/>
  <c r="L205" i="3"/>
  <c r="J205" i="3"/>
  <c r="H205" i="3"/>
  <c r="I205" i="3" s="1"/>
  <c r="G205" i="3"/>
  <c r="D205" i="3"/>
  <c r="R204" i="3"/>
  <c r="Q204" i="3"/>
  <c r="N204" i="3"/>
  <c r="L204" i="3"/>
  <c r="J204" i="3"/>
  <c r="H204" i="3"/>
  <c r="I204" i="3" s="1"/>
  <c r="G204" i="3"/>
  <c r="D204" i="3"/>
  <c r="R203" i="3"/>
  <c r="Q203" i="3"/>
  <c r="N203" i="3"/>
  <c r="L203" i="3"/>
  <c r="J203" i="3"/>
  <c r="H203" i="3"/>
  <c r="I203" i="3" s="1"/>
  <c r="G203" i="3"/>
  <c r="D203" i="3"/>
  <c r="R202" i="3"/>
  <c r="Q202" i="3"/>
  <c r="N202" i="3"/>
  <c r="L202" i="3"/>
  <c r="J202" i="3"/>
  <c r="H202" i="3"/>
  <c r="I202" i="3" s="1"/>
  <c r="G202" i="3"/>
  <c r="D202" i="3"/>
  <c r="R201" i="3"/>
  <c r="Q201" i="3"/>
  <c r="N201" i="3"/>
  <c r="L201" i="3"/>
  <c r="J201" i="3"/>
  <c r="H201" i="3"/>
  <c r="I201" i="3" s="1"/>
  <c r="G201" i="3"/>
  <c r="D201" i="3"/>
  <c r="R200" i="3"/>
  <c r="Q200" i="3"/>
  <c r="N200" i="3"/>
  <c r="L200" i="3"/>
  <c r="J200" i="3"/>
  <c r="H200" i="3"/>
  <c r="I200" i="3" s="1"/>
  <c r="G200" i="3"/>
  <c r="D200" i="3"/>
  <c r="R199" i="3"/>
  <c r="Q199" i="3"/>
  <c r="N199" i="3"/>
  <c r="L199" i="3"/>
  <c r="J199" i="3"/>
  <c r="H199" i="3"/>
  <c r="I199" i="3" s="1"/>
  <c r="G199" i="3"/>
  <c r="D199" i="3"/>
  <c r="R198" i="3"/>
  <c r="Q198" i="3"/>
  <c r="N198" i="3"/>
  <c r="L198" i="3"/>
  <c r="J198" i="3"/>
  <c r="H198" i="3"/>
  <c r="I198" i="3" s="1"/>
  <c r="G198" i="3"/>
  <c r="D198" i="3"/>
  <c r="R197" i="3"/>
  <c r="Q197" i="3"/>
  <c r="N197" i="3"/>
  <c r="L197" i="3"/>
  <c r="J197" i="3"/>
  <c r="H197" i="3"/>
  <c r="I197" i="3" s="1"/>
  <c r="G197" i="3"/>
  <c r="D197" i="3"/>
  <c r="R196" i="3"/>
  <c r="Q196" i="3"/>
  <c r="N196" i="3"/>
  <c r="L196" i="3"/>
  <c r="J196" i="3"/>
  <c r="H196" i="3"/>
  <c r="I196" i="3" s="1"/>
  <c r="G196" i="3"/>
  <c r="D196" i="3"/>
  <c r="R195" i="3"/>
  <c r="Q195" i="3"/>
  <c r="N195" i="3"/>
  <c r="L195" i="3"/>
  <c r="J195" i="3"/>
  <c r="H195" i="3"/>
  <c r="I195" i="3" s="1"/>
  <c r="G195" i="3"/>
  <c r="D195" i="3"/>
  <c r="R194" i="3"/>
  <c r="Q194" i="3"/>
  <c r="N194" i="3"/>
  <c r="L194" i="3"/>
  <c r="J194" i="3"/>
  <c r="H194" i="3"/>
  <c r="I194" i="3" s="1"/>
  <c r="G194" i="3"/>
  <c r="D194" i="3"/>
  <c r="R193" i="3"/>
  <c r="Q193" i="3"/>
  <c r="N193" i="3"/>
  <c r="L193" i="3"/>
  <c r="J193" i="3"/>
  <c r="H193" i="3"/>
  <c r="I193" i="3" s="1"/>
  <c r="G193" i="3"/>
  <c r="D193" i="3"/>
  <c r="R192" i="3"/>
  <c r="Q192" i="3"/>
  <c r="N192" i="3"/>
  <c r="L192" i="3"/>
  <c r="J192" i="3"/>
  <c r="H192" i="3"/>
  <c r="I192" i="3" s="1"/>
  <c r="G192" i="3"/>
  <c r="D192" i="3"/>
  <c r="R191" i="3"/>
  <c r="Q191" i="3"/>
  <c r="N191" i="3"/>
  <c r="L191" i="3"/>
  <c r="J191" i="3"/>
  <c r="H191" i="3"/>
  <c r="I191" i="3" s="1"/>
  <c r="G191" i="3"/>
  <c r="D191" i="3"/>
  <c r="R190" i="3"/>
  <c r="Q190" i="3"/>
  <c r="N190" i="3"/>
  <c r="L190" i="3"/>
  <c r="J190" i="3"/>
  <c r="H190" i="3"/>
  <c r="I190" i="3" s="1"/>
  <c r="G190" i="3"/>
  <c r="D190" i="3"/>
  <c r="R189" i="3"/>
  <c r="Q189" i="3"/>
  <c r="N189" i="3"/>
  <c r="L189" i="3"/>
  <c r="J189" i="3"/>
  <c r="H189" i="3"/>
  <c r="I189" i="3" s="1"/>
  <c r="G189" i="3"/>
  <c r="D189" i="3"/>
  <c r="R188" i="3"/>
  <c r="Q188" i="3"/>
  <c r="N188" i="3"/>
  <c r="L188" i="3"/>
  <c r="J188" i="3"/>
  <c r="H188" i="3"/>
  <c r="I188" i="3" s="1"/>
  <c r="G188" i="3"/>
  <c r="D188" i="3"/>
  <c r="R187" i="3"/>
  <c r="Q187" i="3"/>
  <c r="N187" i="3"/>
  <c r="L187" i="3"/>
  <c r="J187" i="3"/>
  <c r="H187" i="3"/>
  <c r="I187" i="3" s="1"/>
  <c r="G187" i="3"/>
  <c r="D187" i="3"/>
  <c r="R186" i="3"/>
  <c r="Q186" i="3"/>
  <c r="N186" i="3"/>
  <c r="L186" i="3"/>
  <c r="J186" i="3"/>
  <c r="H186" i="3"/>
  <c r="I186" i="3" s="1"/>
  <c r="G186" i="3"/>
  <c r="D186" i="3"/>
  <c r="R185" i="3"/>
  <c r="Q185" i="3"/>
  <c r="N185" i="3"/>
  <c r="L185" i="3"/>
  <c r="J185" i="3"/>
  <c r="H185" i="3"/>
  <c r="I185" i="3" s="1"/>
  <c r="G185" i="3"/>
  <c r="D185" i="3"/>
  <c r="R184" i="3"/>
  <c r="Q184" i="3"/>
  <c r="N184" i="3"/>
  <c r="L184" i="3"/>
  <c r="J184" i="3"/>
  <c r="H184" i="3"/>
  <c r="I184" i="3" s="1"/>
  <c r="G184" i="3"/>
  <c r="D184" i="3"/>
  <c r="R183" i="3"/>
  <c r="Q183" i="3"/>
  <c r="N183" i="3"/>
  <c r="L183" i="3"/>
  <c r="J183" i="3"/>
  <c r="H183" i="3"/>
  <c r="I183" i="3" s="1"/>
  <c r="G183" i="3"/>
  <c r="D183" i="3"/>
  <c r="R182" i="3"/>
  <c r="Q182" i="3"/>
  <c r="N182" i="3"/>
  <c r="L182" i="3"/>
  <c r="J182" i="3"/>
  <c r="H182" i="3"/>
  <c r="I182" i="3" s="1"/>
  <c r="G182" i="3"/>
  <c r="D182" i="3"/>
  <c r="R181" i="3"/>
  <c r="Q181" i="3"/>
  <c r="N181" i="3"/>
  <c r="L181" i="3"/>
  <c r="J181" i="3"/>
  <c r="H181" i="3"/>
  <c r="I181" i="3" s="1"/>
  <c r="G181" i="3"/>
  <c r="D181" i="3"/>
  <c r="R180" i="3"/>
  <c r="Q180" i="3"/>
  <c r="N180" i="3"/>
  <c r="L180" i="3"/>
  <c r="J180" i="3"/>
  <c r="H180" i="3"/>
  <c r="I180" i="3" s="1"/>
  <c r="G180" i="3"/>
  <c r="D180" i="3"/>
  <c r="R179" i="3"/>
  <c r="Q179" i="3"/>
  <c r="N179" i="3"/>
  <c r="L179" i="3"/>
  <c r="J179" i="3"/>
  <c r="H179" i="3"/>
  <c r="I179" i="3" s="1"/>
  <c r="G179" i="3"/>
  <c r="D179" i="3"/>
  <c r="R178" i="3"/>
  <c r="Q178" i="3"/>
  <c r="N178" i="3"/>
  <c r="L178" i="3"/>
  <c r="J178" i="3"/>
  <c r="H178" i="3"/>
  <c r="I178" i="3" s="1"/>
  <c r="G178" i="3"/>
  <c r="D178" i="3"/>
  <c r="R177" i="3"/>
  <c r="Q177" i="3"/>
  <c r="N177" i="3"/>
  <c r="L177" i="3"/>
  <c r="J177" i="3"/>
  <c r="H177" i="3"/>
  <c r="I177" i="3" s="1"/>
  <c r="G177" i="3"/>
  <c r="D177" i="3"/>
  <c r="R176" i="3"/>
  <c r="Q176" i="3"/>
  <c r="N176" i="3"/>
  <c r="L176" i="3"/>
  <c r="J176" i="3"/>
  <c r="H176" i="3"/>
  <c r="I176" i="3" s="1"/>
  <c r="G176" i="3"/>
  <c r="D176" i="3"/>
  <c r="R175" i="3"/>
  <c r="Q175" i="3"/>
  <c r="N175" i="3"/>
  <c r="L175" i="3"/>
  <c r="J175" i="3"/>
  <c r="H175" i="3"/>
  <c r="I175" i="3" s="1"/>
  <c r="G175" i="3"/>
  <c r="D175" i="3"/>
  <c r="R174" i="3"/>
  <c r="Q174" i="3"/>
  <c r="N174" i="3"/>
  <c r="L174" i="3"/>
  <c r="J174" i="3"/>
  <c r="H174" i="3"/>
  <c r="I174" i="3" s="1"/>
  <c r="G174" i="3"/>
  <c r="D174" i="3"/>
  <c r="R173" i="3"/>
  <c r="Q173" i="3"/>
  <c r="N173" i="3"/>
  <c r="L173" i="3"/>
  <c r="J173" i="3"/>
  <c r="H173" i="3"/>
  <c r="I173" i="3" s="1"/>
  <c r="G173" i="3"/>
  <c r="D173" i="3"/>
  <c r="R172" i="3"/>
  <c r="Q172" i="3"/>
  <c r="N172" i="3"/>
  <c r="L172" i="3"/>
  <c r="J172" i="3"/>
  <c r="H172" i="3"/>
  <c r="I172" i="3" s="1"/>
  <c r="G172" i="3"/>
  <c r="D172" i="3"/>
  <c r="R171" i="3"/>
  <c r="Q171" i="3"/>
  <c r="N171" i="3"/>
  <c r="L171" i="3"/>
  <c r="J171" i="3"/>
  <c r="H171" i="3"/>
  <c r="I171" i="3" s="1"/>
  <c r="G171" i="3"/>
  <c r="D171" i="3"/>
  <c r="R170" i="3"/>
  <c r="Q170" i="3"/>
  <c r="N170" i="3"/>
  <c r="L170" i="3"/>
  <c r="J170" i="3"/>
  <c r="H170" i="3"/>
  <c r="I170" i="3" s="1"/>
  <c r="G170" i="3"/>
  <c r="D170" i="3"/>
  <c r="R169" i="3"/>
  <c r="Q169" i="3"/>
  <c r="N169" i="3"/>
  <c r="L169" i="3"/>
  <c r="J169" i="3"/>
  <c r="H169" i="3"/>
  <c r="I169" i="3" s="1"/>
  <c r="G169" i="3"/>
  <c r="D169" i="3"/>
  <c r="R168" i="3"/>
  <c r="Q168" i="3"/>
  <c r="N168" i="3"/>
  <c r="L168" i="3"/>
  <c r="J168" i="3"/>
  <c r="H168" i="3"/>
  <c r="I168" i="3" s="1"/>
  <c r="G168" i="3"/>
  <c r="D168" i="3"/>
  <c r="R167" i="3"/>
  <c r="Q167" i="3"/>
  <c r="N167" i="3"/>
  <c r="L167" i="3"/>
  <c r="J167" i="3"/>
  <c r="H167" i="3"/>
  <c r="I167" i="3" s="1"/>
  <c r="G167" i="3"/>
  <c r="D167" i="3"/>
  <c r="R166" i="3"/>
  <c r="Q166" i="3"/>
  <c r="N166" i="3"/>
  <c r="L166" i="3"/>
  <c r="J166" i="3"/>
  <c r="H166" i="3"/>
  <c r="I166" i="3" s="1"/>
  <c r="G166" i="3"/>
  <c r="D166" i="3"/>
  <c r="R165" i="3"/>
  <c r="Q165" i="3"/>
  <c r="N165" i="3"/>
  <c r="L165" i="3"/>
  <c r="J165" i="3"/>
  <c r="H165" i="3"/>
  <c r="I165" i="3" s="1"/>
  <c r="G165" i="3"/>
  <c r="D165" i="3"/>
  <c r="R164" i="3"/>
  <c r="Q164" i="3"/>
  <c r="N164" i="3"/>
  <c r="L164" i="3"/>
  <c r="J164" i="3"/>
  <c r="H164" i="3"/>
  <c r="I164" i="3" s="1"/>
  <c r="G164" i="3"/>
  <c r="D164" i="3"/>
  <c r="R163" i="3"/>
  <c r="Q163" i="3"/>
  <c r="N163" i="3"/>
  <c r="L163" i="3"/>
  <c r="J163" i="3"/>
  <c r="H163" i="3"/>
  <c r="I163" i="3" s="1"/>
  <c r="G163" i="3"/>
  <c r="D163" i="3"/>
  <c r="R162" i="3"/>
  <c r="Q162" i="3"/>
  <c r="N162" i="3"/>
  <c r="L162" i="3"/>
  <c r="J162" i="3"/>
  <c r="H162" i="3"/>
  <c r="I162" i="3" s="1"/>
  <c r="G162" i="3"/>
  <c r="D162" i="3"/>
  <c r="R161" i="3"/>
  <c r="Q161" i="3"/>
  <c r="N161" i="3"/>
  <c r="L161" i="3"/>
  <c r="J161" i="3"/>
  <c r="H161" i="3"/>
  <c r="I161" i="3" s="1"/>
  <c r="G161" i="3"/>
  <c r="D161" i="3"/>
  <c r="R160" i="3"/>
  <c r="Q160" i="3"/>
  <c r="N160" i="3"/>
  <c r="L160" i="3"/>
  <c r="J160" i="3"/>
  <c r="H160" i="3"/>
  <c r="I160" i="3" s="1"/>
  <c r="G160" i="3"/>
  <c r="D160" i="3"/>
  <c r="R159" i="3"/>
  <c r="Q159" i="3"/>
  <c r="N159" i="3"/>
  <c r="L159" i="3"/>
  <c r="J159" i="3"/>
  <c r="H159" i="3"/>
  <c r="I159" i="3" s="1"/>
  <c r="G159" i="3"/>
  <c r="D159" i="3"/>
  <c r="R158" i="3"/>
  <c r="Q158" i="3"/>
  <c r="N158" i="3"/>
  <c r="L158" i="3"/>
  <c r="J158" i="3"/>
  <c r="H158" i="3"/>
  <c r="I158" i="3" s="1"/>
  <c r="G158" i="3"/>
  <c r="D158" i="3"/>
  <c r="R157" i="3"/>
  <c r="Q157" i="3"/>
  <c r="N157" i="3"/>
  <c r="L157" i="3"/>
  <c r="J157" i="3"/>
  <c r="H157" i="3"/>
  <c r="I157" i="3" s="1"/>
  <c r="G157" i="3"/>
  <c r="D157" i="3"/>
  <c r="R156" i="3"/>
  <c r="Q156" i="3"/>
  <c r="N156" i="3"/>
  <c r="L156" i="3"/>
  <c r="J156" i="3"/>
  <c r="H156" i="3"/>
  <c r="I156" i="3" s="1"/>
  <c r="G156" i="3"/>
  <c r="D156" i="3"/>
  <c r="R155" i="3"/>
  <c r="Q155" i="3"/>
  <c r="N155" i="3"/>
  <c r="L155" i="3"/>
  <c r="J155" i="3"/>
  <c r="H155" i="3"/>
  <c r="I155" i="3" s="1"/>
  <c r="G155" i="3"/>
  <c r="D155" i="3"/>
  <c r="R154" i="3"/>
  <c r="Q154" i="3"/>
  <c r="N154" i="3"/>
  <c r="L154" i="3"/>
  <c r="J154" i="3"/>
  <c r="H154" i="3"/>
  <c r="I154" i="3" s="1"/>
  <c r="G154" i="3"/>
  <c r="D154" i="3"/>
  <c r="R153" i="3"/>
  <c r="Q153" i="3"/>
  <c r="N153" i="3"/>
  <c r="L153" i="3"/>
  <c r="J153" i="3"/>
  <c r="H153" i="3"/>
  <c r="I153" i="3" s="1"/>
  <c r="G153" i="3"/>
  <c r="D153" i="3"/>
  <c r="R152" i="3"/>
  <c r="Q152" i="3"/>
  <c r="N152" i="3"/>
  <c r="L152" i="3"/>
  <c r="J152" i="3"/>
  <c r="H152" i="3"/>
  <c r="I152" i="3" s="1"/>
  <c r="G152" i="3"/>
  <c r="D152" i="3"/>
  <c r="R151" i="3"/>
  <c r="Q151" i="3"/>
  <c r="N151" i="3"/>
  <c r="L151" i="3"/>
  <c r="J151" i="3"/>
  <c r="H151" i="3"/>
  <c r="I151" i="3" s="1"/>
  <c r="G151" i="3"/>
  <c r="D151" i="3"/>
  <c r="R150" i="3"/>
  <c r="Q150" i="3"/>
  <c r="N150" i="3"/>
  <c r="L150" i="3"/>
  <c r="J150" i="3"/>
  <c r="H150" i="3"/>
  <c r="I150" i="3" s="1"/>
  <c r="G150" i="3"/>
  <c r="D150" i="3"/>
  <c r="R149" i="3"/>
  <c r="Q149" i="3"/>
  <c r="N149" i="3"/>
  <c r="L149" i="3"/>
  <c r="J149" i="3"/>
  <c r="H149" i="3"/>
  <c r="I149" i="3" s="1"/>
  <c r="G149" i="3"/>
  <c r="D149" i="3"/>
  <c r="R148" i="3"/>
  <c r="Q148" i="3"/>
  <c r="N148" i="3"/>
  <c r="L148" i="3"/>
  <c r="J148" i="3"/>
  <c r="H148" i="3"/>
  <c r="I148" i="3" s="1"/>
  <c r="G148" i="3"/>
  <c r="D148" i="3"/>
  <c r="R147" i="3"/>
  <c r="Q147" i="3"/>
  <c r="N147" i="3"/>
  <c r="L147" i="3"/>
  <c r="J147" i="3"/>
  <c r="H147" i="3"/>
  <c r="I147" i="3" s="1"/>
  <c r="G147" i="3"/>
  <c r="D147" i="3"/>
  <c r="R146" i="3"/>
  <c r="Q146" i="3"/>
  <c r="N146" i="3"/>
  <c r="L146" i="3"/>
  <c r="J146" i="3"/>
  <c r="H146" i="3"/>
  <c r="I146" i="3" s="1"/>
  <c r="G146" i="3"/>
  <c r="D146" i="3"/>
  <c r="R145" i="3"/>
  <c r="Q145" i="3"/>
  <c r="N145" i="3"/>
  <c r="L145" i="3"/>
  <c r="J145" i="3"/>
  <c r="H145" i="3"/>
  <c r="I145" i="3" s="1"/>
  <c r="G145" i="3"/>
  <c r="D145" i="3"/>
  <c r="R144" i="3"/>
  <c r="Q144" i="3"/>
  <c r="N144" i="3"/>
  <c r="L144" i="3"/>
  <c r="J144" i="3"/>
  <c r="H144" i="3"/>
  <c r="I144" i="3" s="1"/>
  <c r="G144" i="3"/>
  <c r="D144" i="3"/>
  <c r="R143" i="3"/>
  <c r="Q143" i="3"/>
  <c r="N143" i="3"/>
  <c r="L143" i="3"/>
  <c r="J143" i="3"/>
  <c r="H143" i="3"/>
  <c r="I143" i="3" s="1"/>
  <c r="G143" i="3"/>
  <c r="D143" i="3"/>
  <c r="R142" i="3"/>
  <c r="Q142" i="3"/>
  <c r="N142" i="3"/>
  <c r="L142" i="3"/>
  <c r="J142" i="3"/>
  <c r="H142" i="3"/>
  <c r="I142" i="3" s="1"/>
  <c r="G142" i="3"/>
  <c r="D142" i="3"/>
  <c r="R141" i="3"/>
  <c r="Q141" i="3"/>
  <c r="N141" i="3"/>
  <c r="L141" i="3"/>
  <c r="J141" i="3"/>
  <c r="H141" i="3"/>
  <c r="I141" i="3" s="1"/>
  <c r="G141" i="3"/>
  <c r="D141" i="3"/>
  <c r="R140" i="3"/>
  <c r="Q140" i="3"/>
  <c r="N140" i="3"/>
  <c r="L140" i="3"/>
  <c r="J140" i="3"/>
  <c r="H140" i="3"/>
  <c r="I140" i="3" s="1"/>
  <c r="G140" i="3"/>
  <c r="D140" i="3"/>
  <c r="R139" i="3"/>
  <c r="Q139" i="3"/>
  <c r="N139" i="3"/>
  <c r="L139" i="3"/>
  <c r="J139" i="3"/>
  <c r="H139" i="3"/>
  <c r="I139" i="3" s="1"/>
  <c r="G139" i="3"/>
  <c r="D139" i="3"/>
  <c r="R138" i="3"/>
  <c r="Q138" i="3"/>
  <c r="N138" i="3"/>
  <c r="L138" i="3"/>
  <c r="J138" i="3"/>
  <c r="H138" i="3"/>
  <c r="I138" i="3" s="1"/>
  <c r="G138" i="3"/>
  <c r="D138" i="3"/>
  <c r="R137" i="3"/>
  <c r="Q137" i="3"/>
  <c r="N137" i="3"/>
  <c r="L137" i="3"/>
  <c r="J137" i="3"/>
  <c r="H137" i="3"/>
  <c r="I137" i="3" s="1"/>
  <c r="G137" i="3"/>
  <c r="D137" i="3"/>
  <c r="R136" i="3"/>
  <c r="Q136" i="3"/>
  <c r="N136" i="3"/>
  <c r="L136" i="3"/>
  <c r="J136" i="3"/>
  <c r="H136" i="3"/>
  <c r="I136" i="3" s="1"/>
  <c r="G136" i="3"/>
  <c r="D136" i="3"/>
  <c r="R135" i="3"/>
  <c r="Q135" i="3"/>
  <c r="N135" i="3"/>
  <c r="L135" i="3"/>
  <c r="J135" i="3"/>
  <c r="H135" i="3"/>
  <c r="I135" i="3" s="1"/>
  <c r="G135" i="3"/>
  <c r="D135" i="3"/>
  <c r="R134" i="3"/>
  <c r="Q134" i="3"/>
  <c r="N134" i="3"/>
  <c r="L134" i="3"/>
  <c r="J134" i="3"/>
  <c r="H134" i="3"/>
  <c r="I134" i="3" s="1"/>
  <c r="G134" i="3"/>
  <c r="D134" i="3"/>
  <c r="R133" i="3"/>
  <c r="Q133" i="3"/>
  <c r="N133" i="3"/>
  <c r="L133" i="3"/>
  <c r="J133" i="3"/>
  <c r="H133" i="3"/>
  <c r="I133" i="3" s="1"/>
  <c r="G133" i="3"/>
  <c r="D133" i="3"/>
  <c r="R132" i="3"/>
  <c r="Q132" i="3"/>
  <c r="N132" i="3"/>
  <c r="L132" i="3"/>
  <c r="J132" i="3"/>
  <c r="H132" i="3"/>
  <c r="I132" i="3" s="1"/>
  <c r="G132" i="3"/>
  <c r="D132" i="3"/>
  <c r="R131" i="3"/>
  <c r="Q131" i="3"/>
  <c r="N131" i="3"/>
  <c r="L131" i="3"/>
  <c r="J131" i="3"/>
  <c r="H131" i="3"/>
  <c r="I131" i="3" s="1"/>
  <c r="G131" i="3"/>
  <c r="D131" i="3"/>
  <c r="R130" i="3"/>
  <c r="Q130" i="3"/>
  <c r="N130" i="3"/>
  <c r="L130" i="3"/>
  <c r="J130" i="3"/>
  <c r="H130" i="3"/>
  <c r="I130" i="3" s="1"/>
  <c r="G130" i="3"/>
  <c r="D130" i="3"/>
  <c r="R129" i="3"/>
  <c r="Q129" i="3"/>
  <c r="N129" i="3"/>
  <c r="L129" i="3"/>
  <c r="J129" i="3"/>
  <c r="H129" i="3"/>
  <c r="I129" i="3" s="1"/>
  <c r="G129" i="3"/>
  <c r="D129" i="3"/>
  <c r="R128" i="3"/>
  <c r="Q128" i="3"/>
  <c r="N128" i="3"/>
  <c r="L128" i="3"/>
  <c r="J128" i="3"/>
  <c r="H128" i="3"/>
  <c r="I128" i="3" s="1"/>
  <c r="G128" i="3"/>
  <c r="D128" i="3"/>
  <c r="R127" i="3"/>
  <c r="Q127" i="3"/>
  <c r="N127" i="3"/>
  <c r="L127" i="3"/>
  <c r="J127" i="3"/>
  <c r="H127" i="3"/>
  <c r="I127" i="3" s="1"/>
  <c r="G127" i="3"/>
  <c r="D127" i="3"/>
  <c r="R126" i="3"/>
  <c r="Q126" i="3"/>
  <c r="N126" i="3"/>
  <c r="L126" i="3"/>
  <c r="J126" i="3"/>
  <c r="H126" i="3"/>
  <c r="I126" i="3" s="1"/>
  <c r="G126" i="3"/>
  <c r="D126" i="3"/>
  <c r="R125" i="3"/>
  <c r="Q125" i="3"/>
  <c r="N125" i="3"/>
  <c r="L125" i="3"/>
  <c r="J125" i="3"/>
  <c r="H125" i="3"/>
  <c r="I125" i="3" s="1"/>
  <c r="G125" i="3"/>
  <c r="D125" i="3"/>
  <c r="R124" i="3"/>
  <c r="Q124" i="3"/>
  <c r="N124" i="3"/>
  <c r="L124" i="3"/>
  <c r="J124" i="3"/>
  <c r="H124" i="3"/>
  <c r="I124" i="3" s="1"/>
  <c r="G124" i="3"/>
  <c r="D124" i="3"/>
  <c r="R123" i="3"/>
  <c r="Q123" i="3"/>
  <c r="N123" i="3"/>
  <c r="L123" i="3"/>
  <c r="J123" i="3"/>
  <c r="H123" i="3"/>
  <c r="I123" i="3" s="1"/>
  <c r="G123" i="3"/>
  <c r="D123" i="3"/>
  <c r="R122" i="3"/>
  <c r="Q122" i="3"/>
  <c r="N122" i="3"/>
  <c r="L122" i="3"/>
  <c r="J122" i="3"/>
  <c r="H122" i="3"/>
  <c r="I122" i="3" s="1"/>
  <c r="G122" i="3"/>
  <c r="D122" i="3"/>
  <c r="R121" i="3"/>
  <c r="Q121" i="3"/>
  <c r="N121" i="3"/>
  <c r="L121" i="3"/>
  <c r="J121" i="3"/>
  <c r="H121" i="3"/>
  <c r="I121" i="3" s="1"/>
  <c r="G121" i="3"/>
  <c r="D121" i="3"/>
  <c r="R120" i="3"/>
  <c r="Q120" i="3"/>
  <c r="N120" i="3"/>
  <c r="L120" i="3"/>
  <c r="J120" i="3"/>
  <c r="H120" i="3"/>
  <c r="I120" i="3" s="1"/>
  <c r="G120" i="3"/>
  <c r="D120" i="3"/>
  <c r="R119" i="3"/>
  <c r="Q119" i="3"/>
  <c r="N119" i="3"/>
  <c r="L119" i="3"/>
  <c r="J119" i="3"/>
  <c r="H119" i="3"/>
  <c r="I119" i="3" s="1"/>
  <c r="G119" i="3"/>
  <c r="D119" i="3"/>
  <c r="R118" i="3"/>
  <c r="Q118" i="3"/>
  <c r="N118" i="3"/>
  <c r="L118" i="3"/>
  <c r="J118" i="3"/>
  <c r="H118" i="3"/>
  <c r="I118" i="3" s="1"/>
  <c r="G118" i="3"/>
  <c r="D118" i="3"/>
  <c r="R117" i="3"/>
  <c r="Q117" i="3"/>
  <c r="N117" i="3"/>
  <c r="L117" i="3"/>
  <c r="J117" i="3"/>
  <c r="H117" i="3"/>
  <c r="I117" i="3" s="1"/>
  <c r="G117" i="3"/>
  <c r="D117" i="3"/>
  <c r="R116" i="3"/>
  <c r="Q116" i="3"/>
  <c r="N116" i="3"/>
  <c r="L116" i="3"/>
  <c r="J116" i="3"/>
  <c r="H116" i="3"/>
  <c r="I116" i="3" s="1"/>
  <c r="G116" i="3"/>
  <c r="D116" i="3"/>
  <c r="R115" i="3"/>
  <c r="Q115" i="3"/>
  <c r="N115" i="3"/>
  <c r="L115" i="3"/>
  <c r="J115" i="3"/>
  <c r="H115" i="3"/>
  <c r="I115" i="3" s="1"/>
  <c r="G115" i="3"/>
  <c r="D115" i="3"/>
  <c r="R114" i="3"/>
  <c r="Q114" i="3"/>
  <c r="N114" i="3"/>
  <c r="L114" i="3"/>
  <c r="J114" i="3"/>
  <c r="H114" i="3"/>
  <c r="I114" i="3" s="1"/>
  <c r="G114" i="3"/>
  <c r="D114" i="3"/>
  <c r="R113" i="3"/>
  <c r="Q113" i="3"/>
  <c r="N113" i="3"/>
  <c r="L113" i="3"/>
  <c r="J113" i="3"/>
  <c r="H113" i="3"/>
  <c r="I113" i="3" s="1"/>
  <c r="G113" i="3"/>
  <c r="D113" i="3"/>
  <c r="R112" i="3"/>
  <c r="Q112" i="3"/>
  <c r="N112" i="3"/>
  <c r="L112" i="3"/>
  <c r="J112" i="3"/>
  <c r="H112" i="3"/>
  <c r="I112" i="3" s="1"/>
  <c r="G112" i="3"/>
  <c r="D112" i="3"/>
  <c r="R111" i="3"/>
  <c r="Q111" i="3"/>
  <c r="N111" i="3"/>
  <c r="L111" i="3"/>
  <c r="J111" i="3"/>
  <c r="H111" i="3"/>
  <c r="I111" i="3" s="1"/>
  <c r="G111" i="3"/>
  <c r="D111" i="3"/>
  <c r="R110" i="3"/>
  <c r="Q110" i="3"/>
  <c r="N110" i="3"/>
  <c r="L110" i="3"/>
  <c r="J110" i="3"/>
  <c r="H110" i="3"/>
  <c r="I110" i="3" s="1"/>
  <c r="G110" i="3"/>
  <c r="D110" i="3"/>
  <c r="R109" i="3"/>
  <c r="Q109" i="3"/>
  <c r="N109" i="3"/>
  <c r="L109" i="3"/>
  <c r="J109" i="3"/>
  <c r="H109" i="3"/>
  <c r="I109" i="3" s="1"/>
  <c r="G109" i="3"/>
  <c r="D109" i="3"/>
  <c r="R108" i="3"/>
  <c r="Q108" i="3"/>
  <c r="N108" i="3"/>
  <c r="L108" i="3"/>
  <c r="J108" i="3"/>
  <c r="H108" i="3"/>
  <c r="I108" i="3" s="1"/>
  <c r="G108" i="3"/>
  <c r="D108" i="3"/>
  <c r="R107" i="3"/>
  <c r="Q107" i="3"/>
  <c r="N107" i="3"/>
  <c r="L107" i="3"/>
  <c r="J107" i="3"/>
  <c r="H107" i="3"/>
  <c r="I107" i="3" s="1"/>
  <c r="G107" i="3"/>
  <c r="D107" i="3"/>
  <c r="R106" i="3"/>
  <c r="Q106" i="3"/>
  <c r="N106" i="3"/>
  <c r="L106" i="3"/>
  <c r="J106" i="3"/>
  <c r="H106" i="3"/>
  <c r="I106" i="3" s="1"/>
  <c r="G106" i="3"/>
  <c r="D106" i="3"/>
  <c r="R105" i="3"/>
  <c r="Q105" i="3"/>
  <c r="N105" i="3"/>
  <c r="L105" i="3"/>
  <c r="J105" i="3"/>
  <c r="H105" i="3"/>
  <c r="I105" i="3" s="1"/>
  <c r="G105" i="3"/>
  <c r="D105" i="3"/>
  <c r="R104" i="3"/>
  <c r="Q104" i="3"/>
  <c r="N104" i="3"/>
  <c r="L104" i="3"/>
  <c r="J104" i="3"/>
  <c r="H104" i="3"/>
  <c r="I104" i="3" s="1"/>
  <c r="G104" i="3"/>
  <c r="D104" i="3"/>
  <c r="R103" i="3"/>
  <c r="Q103" i="3"/>
  <c r="N103" i="3"/>
  <c r="L103" i="3"/>
  <c r="J103" i="3"/>
  <c r="H103" i="3"/>
  <c r="I103" i="3" s="1"/>
  <c r="G103" i="3"/>
  <c r="D103" i="3"/>
  <c r="R102" i="3"/>
  <c r="Q102" i="3"/>
  <c r="N102" i="3"/>
  <c r="L102" i="3"/>
  <c r="J102" i="3"/>
  <c r="H102" i="3"/>
  <c r="I102" i="3" s="1"/>
  <c r="G102" i="3"/>
  <c r="D102" i="3"/>
  <c r="R101" i="3"/>
  <c r="Q101" i="3"/>
  <c r="N101" i="3"/>
  <c r="L101" i="3"/>
  <c r="J101" i="3"/>
  <c r="H101" i="3"/>
  <c r="I101" i="3" s="1"/>
  <c r="G101" i="3"/>
  <c r="D101" i="3"/>
  <c r="R100" i="3"/>
  <c r="Q100" i="3"/>
  <c r="N100" i="3"/>
  <c r="L100" i="3"/>
  <c r="J100" i="3"/>
  <c r="H100" i="3"/>
  <c r="I100" i="3" s="1"/>
  <c r="G100" i="3"/>
  <c r="D100" i="3"/>
  <c r="R99" i="3"/>
  <c r="Q99" i="3"/>
  <c r="N99" i="3"/>
  <c r="L99" i="3"/>
  <c r="J99" i="3"/>
  <c r="H99" i="3"/>
  <c r="I99" i="3" s="1"/>
  <c r="G99" i="3"/>
  <c r="D99" i="3"/>
  <c r="R98" i="3"/>
  <c r="Q98" i="3"/>
  <c r="N98" i="3"/>
  <c r="L98" i="3"/>
  <c r="J98" i="3"/>
  <c r="H98" i="3"/>
  <c r="I98" i="3" s="1"/>
  <c r="G98" i="3"/>
  <c r="D98" i="3"/>
  <c r="R97" i="3"/>
  <c r="Q97" i="3"/>
  <c r="N97" i="3"/>
  <c r="L97" i="3"/>
  <c r="J97" i="3"/>
  <c r="H97" i="3"/>
  <c r="I97" i="3" s="1"/>
  <c r="G97" i="3"/>
  <c r="D97" i="3"/>
  <c r="R96" i="3"/>
  <c r="Q96" i="3"/>
  <c r="N96" i="3"/>
  <c r="L96" i="3"/>
  <c r="J96" i="3"/>
  <c r="H96" i="3"/>
  <c r="I96" i="3" s="1"/>
  <c r="G96" i="3"/>
  <c r="D96" i="3"/>
  <c r="R95" i="3"/>
  <c r="Q95" i="3"/>
  <c r="N95" i="3"/>
  <c r="L95" i="3"/>
  <c r="J95" i="3"/>
  <c r="H95" i="3"/>
  <c r="I95" i="3" s="1"/>
  <c r="G95" i="3"/>
  <c r="D95" i="3"/>
  <c r="R94" i="3"/>
  <c r="Q94" i="3"/>
  <c r="N94" i="3"/>
  <c r="L94" i="3"/>
  <c r="J94" i="3"/>
  <c r="H94" i="3"/>
  <c r="I94" i="3" s="1"/>
  <c r="G94" i="3"/>
  <c r="D94" i="3"/>
  <c r="R93" i="3"/>
  <c r="Q93" i="3"/>
  <c r="N93" i="3"/>
  <c r="L93" i="3"/>
  <c r="J93" i="3"/>
  <c r="H93" i="3"/>
  <c r="I93" i="3" s="1"/>
  <c r="G93" i="3"/>
  <c r="D93" i="3"/>
  <c r="R92" i="3"/>
  <c r="Q92" i="3"/>
  <c r="N92" i="3"/>
  <c r="L92" i="3"/>
  <c r="J92" i="3"/>
  <c r="H92" i="3"/>
  <c r="I92" i="3" s="1"/>
  <c r="G92" i="3"/>
  <c r="D92" i="3"/>
  <c r="R91" i="3"/>
  <c r="Q91" i="3"/>
  <c r="N91" i="3"/>
  <c r="L91" i="3"/>
  <c r="J91" i="3"/>
  <c r="H91" i="3"/>
  <c r="I91" i="3" s="1"/>
  <c r="G91" i="3"/>
  <c r="D91" i="3"/>
  <c r="R90" i="3"/>
  <c r="Q90" i="3"/>
  <c r="N90" i="3"/>
  <c r="L90" i="3"/>
  <c r="J90" i="3"/>
  <c r="H90" i="3"/>
  <c r="I90" i="3" s="1"/>
  <c r="G90" i="3"/>
  <c r="D90" i="3"/>
  <c r="R89" i="3"/>
  <c r="Q89" i="3"/>
  <c r="N89" i="3"/>
  <c r="L89" i="3"/>
  <c r="J89" i="3"/>
  <c r="H89" i="3"/>
  <c r="I89" i="3" s="1"/>
  <c r="G89" i="3"/>
  <c r="D89" i="3"/>
  <c r="R88" i="3"/>
  <c r="Q88" i="3"/>
  <c r="N88" i="3"/>
  <c r="L88" i="3"/>
  <c r="J88" i="3"/>
  <c r="H88" i="3"/>
  <c r="I88" i="3" s="1"/>
  <c r="G88" i="3"/>
  <c r="D88" i="3"/>
  <c r="R87" i="3"/>
  <c r="Q87" i="3"/>
  <c r="N87" i="3"/>
  <c r="L87" i="3"/>
  <c r="J87" i="3"/>
  <c r="H87" i="3"/>
  <c r="I87" i="3" s="1"/>
  <c r="G87" i="3"/>
  <c r="D87" i="3"/>
  <c r="R86" i="3"/>
  <c r="Q86" i="3"/>
  <c r="N86" i="3"/>
  <c r="L86" i="3"/>
  <c r="J86" i="3"/>
  <c r="H86" i="3"/>
  <c r="I86" i="3" s="1"/>
  <c r="G86" i="3"/>
  <c r="D86" i="3"/>
  <c r="R85" i="3"/>
  <c r="Q85" i="3"/>
  <c r="N85" i="3"/>
  <c r="L85" i="3"/>
  <c r="J85" i="3"/>
  <c r="H85" i="3"/>
  <c r="I85" i="3" s="1"/>
  <c r="G85" i="3"/>
  <c r="D85" i="3"/>
  <c r="R84" i="3"/>
  <c r="Q84" i="3"/>
  <c r="N84" i="3"/>
  <c r="L84" i="3"/>
  <c r="J84" i="3"/>
  <c r="H84" i="3"/>
  <c r="I84" i="3" s="1"/>
  <c r="G84" i="3"/>
  <c r="D84" i="3"/>
  <c r="R83" i="3"/>
  <c r="Q83" i="3"/>
  <c r="N83" i="3"/>
  <c r="L83" i="3"/>
  <c r="J83" i="3"/>
  <c r="H83" i="3"/>
  <c r="I83" i="3" s="1"/>
  <c r="G83" i="3"/>
  <c r="D83" i="3"/>
  <c r="R82" i="3"/>
  <c r="Q82" i="3"/>
  <c r="N82" i="3"/>
  <c r="L82" i="3"/>
  <c r="J82" i="3"/>
  <c r="H82" i="3"/>
  <c r="I82" i="3" s="1"/>
  <c r="G82" i="3"/>
  <c r="D82" i="3"/>
  <c r="R81" i="3"/>
  <c r="Q81" i="3"/>
  <c r="N81" i="3"/>
  <c r="L81" i="3"/>
  <c r="J81" i="3"/>
  <c r="H81" i="3"/>
  <c r="I81" i="3" s="1"/>
  <c r="G81" i="3"/>
  <c r="D81" i="3"/>
  <c r="R80" i="3"/>
  <c r="Q80" i="3"/>
  <c r="N80" i="3"/>
  <c r="L80" i="3"/>
  <c r="J80" i="3"/>
  <c r="H80" i="3"/>
  <c r="I80" i="3" s="1"/>
  <c r="G80" i="3"/>
  <c r="D80" i="3"/>
  <c r="R79" i="3"/>
  <c r="Q79" i="3"/>
  <c r="N79" i="3"/>
  <c r="L79" i="3"/>
  <c r="J79" i="3"/>
  <c r="H79" i="3"/>
  <c r="I79" i="3" s="1"/>
  <c r="G79" i="3"/>
  <c r="D79" i="3"/>
  <c r="R78" i="3"/>
  <c r="Q78" i="3"/>
  <c r="N78" i="3"/>
  <c r="L78" i="3"/>
  <c r="J78" i="3"/>
  <c r="H78" i="3"/>
  <c r="I78" i="3" s="1"/>
  <c r="G78" i="3"/>
  <c r="D78" i="3"/>
  <c r="R77" i="3"/>
  <c r="Q77" i="3"/>
  <c r="N77" i="3"/>
  <c r="L77" i="3"/>
  <c r="J77" i="3"/>
  <c r="H77" i="3"/>
  <c r="I77" i="3" s="1"/>
  <c r="G77" i="3"/>
  <c r="D77" i="3"/>
  <c r="R76" i="3"/>
  <c r="Q76" i="3"/>
  <c r="N76" i="3"/>
  <c r="L76" i="3"/>
  <c r="J76" i="3"/>
  <c r="H76" i="3"/>
  <c r="I76" i="3" s="1"/>
  <c r="G76" i="3"/>
  <c r="D76" i="3"/>
  <c r="R75" i="3"/>
  <c r="Q75" i="3"/>
  <c r="N75" i="3"/>
  <c r="L75" i="3"/>
  <c r="J75" i="3"/>
  <c r="H75" i="3"/>
  <c r="I75" i="3" s="1"/>
  <c r="G75" i="3"/>
  <c r="D75" i="3"/>
  <c r="R74" i="3"/>
  <c r="Q74" i="3"/>
  <c r="N74" i="3"/>
  <c r="L74" i="3"/>
  <c r="J74" i="3"/>
  <c r="H74" i="3"/>
  <c r="I74" i="3" s="1"/>
  <c r="G74" i="3"/>
  <c r="D74" i="3"/>
  <c r="R73" i="3"/>
  <c r="Q73" i="3"/>
  <c r="N73" i="3"/>
  <c r="L73" i="3"/>
  <c r="J73" i="3"/>
  <c r="H73" i="3"/>
  <c r="I73" i="3" s="1"/>
  <c r="G73" i="3"/>
  <c r="D73" i="3"/>
  <c r="R72" i="3"/>
  <c r="Q72" i="3"/>
  <c r="N72" i="3"/>
  <c r="L72" i="3"/>
  <c r="J72" i="3"/>
  <c r="H72" i="3"/>
  <c r="I72" i="3" s="1"/>
  <c r="G72" i="3"/>
  <c r="D72" i="3"/>
  <c r="R71" i="3"/>
  <c r="Q71" i="3"/>
  <c r="N71" i="3"/>
  <c r="L71" i="3"/>
  <c r="J71" i="3"/>
  <c r="H71" i="3"/>
  <c r="I71" i="3" s="1"/>
  <c r="G71" i="3"/>
  <c r="D71" i="3"/>
  <c r="R70" i="3"/>
  <c r="Q70" i="3"/>
  <c r="N70" i="3"/>
  <c r="L70" i="3"/>
  <c r="J70" i="3"/>
  <c r="H70" i="3"/>
  <c r="I70" i="3" s="1"/>
  <c r="G70" i="3"/>
  <c r="D70" i="3"/>
  <c r="R69" i="3"/>
  <c r="Q69" i="3"/>
  <c r="N69" i="3"/>
  <c r="L69" i="3"/>
  <c r="J69" i="3"/>
  <c r="H69" i="3"/>
  <c r="I69" i="3" s="1"/>
  <c r="G69" i="3"/>
  <c r="D69" i="3"/>
  <c r="R68" i="3"/>
  <c r="Q68" i="3"/>
  <c r="N68" i="3"/>
  <c r="L68" i="3"/>
  <c r="J68" i="3"/>
  <c r="H68" i="3"/>
  <c r="I68" i="3" s="1"/>
  <c r="G68" i="3"/>
  <c r="D68" i="3"/>
  <c r="R67" i="3"/>
  <c r="Q67" i="3"/>
  <c r="N67" i="3"/>
  <c r="L67" i="3"/>
  <c r="J67" i="3"/>
  <c r="H67" i="3"/>
  <c r="I67" i="3" s="1"/>
  <c r="G67" i="3"/>
  <c r="D67" i="3"/>
  <c r="R66" i="3"/>
  <c r="Q66" i="3"/>
  <c r="N66" i="3"/>
  <c r="L66" i="3"/>
  <c r="J66" i="3"/>
  <c r="H66" i="3"/>
  <c r="I66" i="3" s="1"/>
  <c r="G66" i="3"/>
  <c r="D66" i="3"/>
  <c r="R65" i="3"/>
  <c r="Q65" i="3"/>
  <c r="N65" i="3"/>
  <c r="L65" i="3"/>
  <c r="J65" i="3"/>
  <c r="H65" i="3"/>
  <c r="I65" i="3" s="1"/>
  <c r="G65" i="3"/>
  <c r="D65" i="3"/>
  <c r="R64" i="3"/>
  <c r="Q64" i="3"/>
  <c r="N64" i="3"/>
  <c r="L64" i="3"/>
  <c r="J64" i="3"/>
  <c r="H64" i="3"/>
  <c r="I64" i="3" s="1"/>
  <c r="G64" i="3"/>
  <c r="D64" i="3"/>
  <c r="R63" i="3"/>
  <c r="Q63" i="3"/>
  <c r="N63" i="3"/>
  <c r="L63" i="3"/>
  <c r="J63" i="3"/>
  <c r="H63" i="3"/>
  <c r="I63" i="3" s="1"/>
  <c r="G63" i="3"/>
  <c r="D63" i="3"/>
  <c r="R62" i="3"/>
  <c r="Q62" i="3"/>
  <c r="N62" i="3"/>
  <c r="L62" i="3"/>
  <c r="J62" i="3"/>
  <c r="H62" i="3"/>
  <c r="I62" i="3" s="1"/>
  <c r="G62" i="3"/>
  <c r="D62" i="3"/>
  <c r="R61" i="3"/>
  <c r="Q61" i="3"/>
  <c r="N61" i="3"/>
  <c r="L61" i="3"/>
  <c r="J61" i="3"/>
  <c r="H61" i="3"/>
  <c r="I61" i="3" s="1"/>
  <c r="G61" i="3"/>
  <c r="D61" i="3"/>
  <c r="R60" i="3"/>
  <c r="Q60" i="3"/>
  <c r="N60" i="3"/>
  <c r="L60" i="3"/>
  <c r="J60" i="3"/>
  <c r="H60" i="3"/>
  <c r="I60" i="3" s="1"/>
  <c r="G60" i="3"/>
  <c r="D60" i="3"/>
  <c r="R59" i="3"/>
  <c r="Q59" i="3"/>
  <c r="N59" i="3"/>
  <c r="L59" i="3"/>
  <c r="J59" i="3"/>
  <c r="H59" i="3"/>
  <c r="I59" i="3" s="1"/>
  <c r="G59" i="3"/>
  <c r="D59" i="3"/>
  <c r="R58" i="3"/>
  <c r="Q58" i="3"/>
  <c r="N58" i="3"/>
  <c r="L58" i="3"/>
  <c r="J58" i="3"/>
  <c r="H58" i="3"/>
  <c r="I58" i="3" s="1"/>
  <c r="G58" i="3"/>
  <c r="D58" i="3"/>
  <c r="R57" i="3"/>
  <c r="Q57" i="3"/>
  <c r="N57" i="3"/>
  <c r="L57" i="3"/>
  <c r="J57" i="3"/>
  <c r="H57" i="3"/>
  <c r="I57" i="3" s="1"/>
  <c r="G57" i="3"/>
  <c r="D57" i="3"/>
  <c r="R56" i="3"/>
  <c r="Q56" i="3"/>
  <c r="N56" i="3"/>
  <c r="L56" i="3"/>
  <c r="J56" i="3"/>
  <c r="H56" i="3"/>
  <c r="I56" i="3" s="1"/>
  <c r="G56" i="3"/>
  <c r="D56" i="3"/>
  <c r="R55" i="3"/>
  <c r="Q55" i="3"/>
  <c r="N55" i="3"/>
  <c r="L55" i="3"/>
  <c r="J55" i="3"/>
  <c r="H55" i="3"/>
  <c r="I55" i="3" s="1"/>
  <c r="G55" i="3"/>
  <c r="D55" i="3"/>
  <c r="R54" i="3"/>
  <c r="Q54" i="3"/>
  <c r="N54" i="3"/>
  <c r="L54" i="3"/>
  <c r="J54" i="3"/>
  <c r="H54" i="3"/>
  <c r="I54" i="3" s="1"/>
  <c r="G54" i="3"/>
  <c r="D54" i="3"/>
  <c r="R53" i="3"/>
  <c r="Q53" i="3"/>
  <c r="N53" i="3"/>
  <c r="L53" i="3"/>
  <c r="J53" i="3"/>
  <c r="H53" i="3"/>
  <c r="I53" i="3" s="1"/>
  <c r="G53" i="3"/>
  <c r="D53" i="3"/>
  <c r="R52" i="3"/>
  <c r="Q52" i="3"/>
  <c r="N52" i="3"/>
  <c r="L52" i="3"/>
  <c r="J52" i="3"/>
  <c r="H52" i="3"/>
  <c r="I52" i="3" s="1"/>
  <c r="G52" i="3"/>
  <c r="D52" i="3"/>
  <c r="R51" i="3"/>
  <c r="Q51" i="3"/>
  <c r="N51" i="3"/>
  <c r="L51" i="3"/>
  <c r="J51" i="3"/>
  <c r="H51" i="3"/>
  <c r="I51" i="3" s="1"/>
  <c r="G51" i="3"/>
  <c r="D51" i="3"/>
  <c r="R50" i="3"/>
  <c r="Q50" i="3"/>
  <c r="N50" i="3"/>
  <c r="L50" i="3"/>
  <c r="J50" i="3"/>
  <c r="H50" i="3"/>
  <c r="I50" i="3" s="1"/>
  <c r="G50" i="3"/>
  <c r="D50" i="3"/>
  <c r="R49" i="3"/>
  <c r="Q49" i="3"/>
  <c r="N49" i="3"/>
  <c r="L49" i="3"/>
  <c r="J49" i="3"/>
  <c r="H49" i="3"/>
  <c r="I49" i="3" s="1"/>
  <c r="G49" i="3"/>
  <c r="D49" i="3"/>
  <c r="R48" i="3"/>
  <c r="Q48" i="3"/>
  <c r="N48" i="3"/>
  <c r="L48" i="3"/>
  <c r="J48" i="3"/>
  <c r="H48" i="3"/>
  <c r="I48" i="3" s="1"/>
  <c r="G48" i="3"/>
  <c r="D48" i="3"/>
  <c r="R47" i="3"/>
  <c r="Q47" i="3"/>
  <c r="N47" i="3"/>
  <c r="L47" i="3"/>
  <c r="J47" i="3"/>
  <c r="H47" i="3"/>
  <c r="I47" i="3" s="1"/>
  <c r="G47" i="3"/>
  <c r="D47" i="3"/>
  <c r="R46" i="3"/>
  <c r="Q46" i="3"/>
  <c r="N46" i="3"/>
  <c r="L46" i="3"/>
  <c r="J46" i="3"/>
  <c r="H46" i="3"/>
  <c r="I46" i="3" s="1"/>
  <c r="G46" i="3"/>
  <c r="D46" i="3"/>
  <c r="R45" i="3"/>
  <c r="Q45" i="3"/>
  <c r="N45" i="3"/>
  <c r="L45" i="3"/>
  <c r="J45" i="3"/>
  <c r="H45" i="3"/>
  <c r="I45" i="3" s="1"/>
  <c r="G45" i="3"/>
  <c r="D45" i="3"/>
  <c r="R44" i="3"/>
  <c r="Q44" i="3"/>
  <c r="N44" i="3"/>
  <c r="L44" i="3"/>
  <c r="J44" i="3"/>
  <c r="H44" i="3"/>
  <c r="I44" i="3" s="1"/>
  <c r="G44" i="3"/>
  <c r="D44" i="3"/>
  <c r="R43" i="3"/>
  <c r="Q43" i="3"/>
  <c r="N43" i="3"/>
  <c r="L43" i="3"/>
  <c r="J43" i="3"/>
  <c r="H43" i="3"/>
  <c r="I43" i="3" s="1"/>
  <c r="G43" i="3"/>
  <c r="D43" i="3"/>
  <c r="R42" i="3"/>
  <c r="Q42" i="3"/>
  <c r="N42" i="3"/>
  <c r="L42" i="3"/>
  <c r="J42" i="3"/>
  <c r="H42" i="3"/>
  <c r="I42" i="3" s="1"/>
  <c r="G42" i="3"/>
  <c r="D42" i="3"/>
  <c r="R41" i="3"/>
  <c r="Q41" i="3"/>
  <c r="N41" i="3"/>
  <c r="L41" i="3"/>
  <c r="J41" i="3"/>
  <c r="H41" i="3"/>
  <c r="I41" i="3" s="1"/>
  <c r="G41" i="3"/>
  <c r="D41" i="3"/>
  <c r="R40" i="3"/>
  <c r="Q40" i="3"/>
  <c r="N40" i="3"/>
  <c r="L40" i="3"/>
  <c r="J40" i="3"/>
  <c r="H40" i="3"/>
  <c r="I40" i="3" s="1"/>
  <c r="G40" i="3"/>
  <c r="D40" i="3"/>
  <c r="R39" i="3"/>
  <c r="Q39" i="3"/>
  <c r="N39" i="3"/>
  <c r="L39" i="3"/>
  <c r="J39" i="3"/>
  <c r="H39" i="3"/>
  <c r="I39" i="3" s="1"/>
  <c r="G39" i="3"/>
  <c r="D39" i="3"/>
  <c r="R38" i="3"/>
  <c r="Q38" i="3"/>
  <c r="N38" i="3"/>
  <c r="L38" i="3"/>
  <c r="J38" i="3"/>
  <c r="H38" i="3"/>
  <c r="I38" i="3" s="1"/>
  <c r="G38" i="3"/>
  <c r="D38" i="3"/>
  <c r="R37" i="3"/>
  <c r="Q37" i="3"/>
  <c r="N37" i="3"/>
  <c r="L37" i="3"/>
  <c r="J37" i="3"/>
  <c r="H37" i="3"/>
  <c r="I37" i="3" s="1"/>
  <c r="G37" i="3"/>
  <c r="D37" i="3"/>
  <c r="R36" i="3"/>
  <c r="Q36" i="3"/>
  <c r="N36" i="3"/>
  <c r="L36" i="3"/>
  <c r="J36" i="3"/>
  <c r="H36" i="3"/>
  <c r="I36" i="3" s="1"/>
  <c r="G36" i="3"/>
  <c r="D36" i="3"/>
  <c r="R35" i="3"/>
  <c r="Q35" i="3"/>
  <c r="N35" i="3"/>
  <c r="L35" i="3"/>
  <c r="J35" i="3"/>
  <c r="H35" i="3"/>
  <c r="I35" i="3" s="1"/>
  <c r="G35" i="3"/>
  <c r="D35" i="3"/>
  <c r="R34" i="3"/>
  <c r="Q34" i="3"/>
  <c r="N34" i="3"/>
  <c r="L34" i="3"/>
  <c r="J34" i="3"/>
  <c r="H34" i="3"/>
  <c r="I34" i="3" s="1"/>
  <c r="G34" i="3"/>
  <c r="D34" i="3"/>
  <c r="R33" i="3"/>
  <c r="Q33" i="3"/>
  <c r="N33" i="3"/>
  <c r="L33" i="3"/>
  <c r="J33" i="3"/>
  <c r="H33" i="3"/>
  <c r="I33" i="3" s="1"/>
  <c r="G33" i="3"/>
  <c r="D33" i="3"/>
  <c r="R32" i="3"/>
  <c r="Q32" i="3"/>
  <c r="N32" i="3"/>
  <c r="L32" i="3"/>
  <c r="J32" i="3"/>
  <c r="H32" i="3"/>
  <c r="I32" i="3" s="1"/>
  <c r="G32" i="3"/>
  <c r="D32" i="3"/>
  <c r="R31" i="3"/>
  <c r="Q31" i="3"/>
  <c r="N31" i="3"/>
  <c r="L31" i="3"/>
  <c r="J31" i="3"/>
  <c r="H31" i="3"/>
  <c r="I31" i="3" s="1"/>
  <c r="G31" i="3"/>
  <c r="D31" i="3"/>
  <c r="R30" i="3"/>
  <c r="Q30" i="3"/>
  <c r="N30" i="3"/>
  <c r="L30" i="3"/>
  <c r="J30" i="3"/>
  <c r="H30" i="3"/>
  <c r="I30" i="3" s="1"/>
  <c r="G30" i="3"/>
  <c r="D30" i="3"/>
  <c r="R29" i="3"/>
  <c r="Q29" i="3"/>
  <c r="N29" i="3"/>
  <c r="L29" i="3"/>
  <c r="J29" i="3"/>
  <c r="H29" i="3"/>
  <c r="I29" i="3" s="1"/>
  <c r="G29" i="3"/>
  <c r="D29" i="3"/>
  <c r="R28" i="3"/>
  <c r="Q28" i="3"/>
  <c r="N28" i="3"/>
  <c r="L28" i="3"/>
  <c r="J28" i="3"/>
  <c r="H28" i="3"/>
  <c r="I28" i="3" s="1"/>
  <c r="G28" i="3"/>
  <c r="D28" i="3"/>
  <c r="R27" i="3"/>
  <c r="Q27" i="3"/>
  <c r="N27" i="3"/>
  <c r="L27" i="3"/>
  <c r="J27" i="3"/>
  <c r="H27" i="3"/>
  <c r="I27" i="3" s="1"/>
  <c r="G27" i="3"/>
  <c r="D27" i="3"/>
  <c r="R26" i="3"/>
  <c r="Q26" i="3"/>
  <c r="N26" i="3"/>
  <c r="L26" i="3"/>
  <c r="J26" i="3"/>
  <c r="H26" i="3"/>
  <c r="I26" i="3" s="1"/>
  <c r="G26" i="3"/>
  <c r="D26" i="3"/>
  <c r="R25" i="3"/>
  <c r="Q25" i="3"/>
  <c r="N25" i="3"/>
  <c r="L25" i="3"/>
  <c r="J25" i="3"/>
  <c r="H25" i="3"/>
  <c r="I25" i="3" s="1"/>
  <c r="G25" i="3"/>
  <c r="D25" i="3"/>
  <c r="R24" i="3"/>
  <c r="Q24" i="3"/>
  <c r="N24" i="3"/>
  <c r="L24" i="3"/>
  <c r="J24" i="3"/>
  <c r="H24" i="3"/>
  <c r="I24" i="3" s="1"/>
  <c r="G24" i="3"/>
  <c r="D24" i="3"/>
  <c r="R23" i="3"/>
  <c r="Q23" i="3"/>
  <c r="N23" i="3"/>
  <c r="L23" i="3"/>
  <c r="J23" i="3"/>
  <c r="H23" i="3"/>
  <c r="I23" i="3" s="1"/>
  <c r="G23" i="3"/>
  <c r="D23" i="3"/>
  <c r="R22" i="3"/>
  <c r="Q22" i="3"/>
  <c r="N22" i="3"/>
  <c r="L22" i="3"/>
  <c r="J22" i="3"/>
  <c r="H22" i="3"/>
  <c r="I22" i="3" s="1"/>
  <c r="G22" i="3"/>
  <c r="D22" i="3"/>
  <c r="R21" i="3"/>
  <c r="Q21" i="3"/>
  <c r="N21" i="3"/>
  <c r="L21" i="3"/>
  <c r="J21" i="3"/>
  <c r="I21" i="3"/>
  <c r="G21" i="3"/>
  <c r="D21" i="3"/>
  <c r="R20" i="3"/>
  <c r="Q20" i="3"/>
  <c r="N20" i="3"/>
  <c r="L20" i="3"/>
  <c r="J20" i="3"/>
  <c r="H20" i="3"/>
  <c r="I20" i="3" s="1"/>
  <c r="G20" i="3"/>
  <c r="D20" i="3"/>
  <c r="R19" i="3"/>
  <c r="Q19" i="3"/>
  <c r="N19" i="3"/>
  <c r="L19" i="3"/>
  <c r="J19" i="3"/>
  <c r="H19" i="3"/>
  <c r="I19" i="3" s="1"/>
  <c r="G19" i="3"/>
  <c r="D19" i="3"/>
  <c r="R18" i="3"/>
  <c r="Q18" i="3"/>
  <c r="N18" i="3"/>
  <c r="L18" i="3"/>
  <c r="J18" i="3"/>
  <c r="H18" i="3"/>
  <c r="I18" i="3" s="1"/>
  <c r="G18" i="3"/>
  <c r="D18" i="3"/>
  <c r="R17" i="3"/>
  <c r="Q17" i="3"/>
  <c r="N17" i="3"/>
  <c r="L17" i="3"/>
  <c r="J17" i="3"/>
  <c r="H17" i="3"/>
  <c r="I17" i="3" s="1"/>
  <c r="G17" i="3"/>
  <c r="D17" i="3"/>
  <c r="R16" i="3"/>
  <c r="Q16" i="3"/>
  <c r="N16" i="3"/>
  <c r="L16" i="3"/>
  <c r="J16" i="3"/>
  <c r="H16" i="3"/>
  <c r="I16" i="3" s="1"/>
  <c r="G16" i="3"/>
  <c r="D16" i="3"/>
  <c r="R15" i="3"/>
  <c r="Q15" i="3"/>
  <c r="N15" i="3"/>
  <c r="L15" i="3"/>
  <c r="J15" i="3"/>
  <c r="H15" i="3"/>
  <c r="I15" i="3" s="1"/>
  <c r="G15" i="3"/>
  <c r="D15" i="3"/>
  <c r="R14" i="3"/>
  <c r="Q14" i="3"/>
  <c r="N14" i="3"/>
  <c r="L14" i="3"/>
  <c r="J14" i="3"/>
  <c r="H14" i="3"/>
  <c r="I14" i="3" s="1"/>
  <c r="G14" i="3"/>
  <c r="D14" i="3"/>
  <c r="R13" i="3"/>
  <c r="Q13" i="3"/>
  <c r="N13" i="3"/>
  <c r="L13" i="3"/>
  <c r="J13" i="3"/>
  <c r="H13" i="3"/>
  <c r="I13" i="3" s="1"/>
  <c r="G13" i="3"/>
  <c r="D13" i="3"/>
  <c r="R12" i="3"/>
  <c r="Q12" i="3"/>
  <c r="N12" i="3"/>
  <c r="L12" i="3"/>
  <c r="J12" i="3"/>
  <c r="H12" i="3"/>
  <c r="I12" i="3" s="1"/>
  <c r="G12" i="3"/>
  <c r="D12" i="3"/>
  <c r="R11" i="3"/>
  <c r="Q11" i="3"/>
  <c r="N11" i="3"/>
  <c r="L11" i="3"/>
  <c r="H11" i="3"/>
  <c r="I11" i="3" s="1"/>
  <c r="G11" i="3"/>
  <c r="D11" i="3"/>
  <c r="N10" i="3"/>
  <c r="L10" i="3"/>
  <c r="J10" i="3"/>
  <c r="H10" i="3"/>
  <c r="I10" i="3" s="1"/>
  <c r="G10" i="3"/>
  <c r="D10" i="3"/>
  <c r="N9" i="3"/>
  <c r="L9" i="3"/>
  <c r="J9" i="3"/>
  <c r="I9" i="3"/>
  <c r="G9" i="3"/>
  <c r="D9" i="3"/>
  <c r="Q8" i="3"/>
  <c r="N8" i="3"/>
  <c r="L8" i="3"/>
  <c r="G8" i="3"/>
  <c r="D8" i="3"/>
  <c r="S5" i="3"/>
  <c r="F5" i="3"/>
  <c r="B5" i="3"/>
  <c r="I3" i="3"/>
  <c r="M2" i="3"/>
  <c r="AE10" i="6" l="1"/>
  <c r="AE9" i="6"/>
  <c r="AC3" i="1"/>
  <c r="Z9" i="1"/>
  <c r="O9" i="1"/>
  <c r="M4" i="3"/>
  <c r="M3" i="3"/>
  <c r="AF3" i="3"/>
  <c r="AG26" i="6"/>
  <c r="AF26" i="6"/>
  <c r="AG27" i="6"/>
  <c r="AF27" i="6"/>
  <c r="AF28" i="6"/>
  <c r="AG28" i="6"/>
  <c r="AF29" i="6"/>
  <c r="AG29" i="6"/>
  <c r="AF30" i="6"/>
  <c r="AG30" i="6"/>
  <c r="AG32" i="6"/>
  <c r="AF32" i="6"/>
  <c r="AE99" i="1"/>
  <c r="AF99" i="1"/>
  <c r="AE246" i="1"/>
  <c r="AF246" i="1"/>
  <c r="AH27" i="6"/>
  <c r="AI27" i="6"/>
  <c r="AH30" i="6"/>
  <c r="AI30" i="6"/>
  <c r="AF50" i="6"/>
  <c r="AG50" i="6"/>
  <c r="AC10" i="3"/>
  <c r="AC8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C313" i="3"/>
  <c r="AC312" i="3"/>
  <c r="AC311" i="3"/>
  <c r="AC310" i="3"/>
  <c r="AC309" i="3"/>
  <c r="AC308" i="3"/>
  <c r="AC307" i="3"/>
  <c r="AC306" i="3"/>
  <c r="AC305" i="3"/>
  <c r="AC304" i="3"/>
  <c r="AC303" i="3"/>
  <c r="AC302" i="3"/>
  <c r="AC301" i="3"/>
  <c r="AC300" i="3"/>
  <c r="AC299" i="3"/>
  <c r="AC298" i="3"/>
  <c r="AC297" i="3"/>
  <c r="AC296" i="3"/>
  <c r="AC295" i="3"/>
  <c r="AC294" i="3"/>
  <c r="AC293" i="3"/>
  <c r="AC292" i="3"/>
  <c r="AC291" i="3"/>
  <c r="AC290" i="3"/>
  <c r="AC289" i="3"/>
  <c r="AC288" i="3"/>
  <c r="AC287" i="3"/>
  <c r="AC286" i="3"/>
  <c r="AC285" i="3"/>
  <c r="AC284" i="3"/>
  <c r="AC283" i="3"/>
  <c r="AC282" i="3"/>
  <c r="AC281" i="3"/>
  <c r="AC280" i="3"/>
  <c r="AC279" i="3"/>
  <c r="AC278" i="3"/>
  <c r="AC277" i="3"/>
  <c r="AC276" i="3"/>
  <c r="AC275" i="3"/>
  <c r="AC274" i="3"/>
  <c r="AC273" i="3"/>
  <c r="AC272" i="3"/>
  <c r="AC271" i="3"/>
  <c r="AC270" i="3"/>
  <c r="AC269" i="3"/>
  <c r="AC268" i="3"/>
  <c r="AC267" i="3"/>
  <c r="AC266" i="3"/>
  <c r="AC265" i="3"/>
  <c r="AC264" i="3"/>
  <c r="AC263" i="3"/>
  <c r="AC262" i="3"/>
  <c r="AC261" i="3"/>
  <c r="AC260" i="3"/>
  <c r="AC259" i="3"/>
  <c r="AC258" i="3"/>
  <c r="AC257" i="3"/>
  <c r="AC256" i="3"/>
  <c r="AC255" i="3"/>
  <c r="AC254" i="3"/>
  <c r="AC253" i="3"/>
  <c r="AC252" i="3"/>
  <c r="AC251" i="3"/>
  <c r="AC250" i="3"/>
  <c r="AC249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235" i="3"/>
  <c r="AC234" i="3"/>
  <c r="AC233" i="3"/>
  <c r="AC232" i="3"/>
  <c r="AC231" i="3"/>
  <c r="AC230" i="3"/>
  <c r="AC229" i="3"/>
  <c r="AC228" i="3"/>
  <c r="AC227" i="3"/>
  <c r="AC226" i="3"/>
  <c r="AC225" i="3"/>
  <c r="AC224" i="3"/>
  <c r="AC223" i="3"/>
  <c r="AC222" i="3"/>
  <c r="AC221" i="3"/>
  <c r="AC220" i="3"/>
  <c r="AC219" i="3"/>
  <c r="AC218" i="3"/>
  <c r="AC217" i="3"/>
  <c r="AC216" i="3"/>
  <c r="AC215" i="3"/>
  <c r="AC214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9" i="3"/>
  <c r="AH28" i="6"/>
  <c r="AI28" i="6"/>
  <c r="AH29" i="6"/>
  <c r="AI29" i="6"/>
  <c r="AF9" i="6"/>
  <c r="AG9" i="6"/>
  <c r="AG10" i="6"/>
  <c r="AF10" i="6"/>
  <c r="AJ10" i="6" s="1"/>
  <c r="AF11" i="6"/>
  <c r="AG11" i="6"/>
  <c r="AG12" i="6"/>
  <c r="AF12" i="6"/>
  <c r="AG13" i="6"/>
  <c r="AF13" i="6"/>
  <c r="AG14" i="6"/>
  <c r="AF14" i="6"/>
  <c r="AG15" i="6"/>
  <c r="AF15" i="6"/>
  <c r="AF16" i="6"/>
  <c r="AG16" i="6"/>
  <c r="AG17" i="6"/>
  <c r="AF17" i="6"/>
  <c r="AG18" i="6"/>
  <c r="AF18" i="6"/>
  <c r="AG19" i="6"/>
  <c r="AF19" i="6"/>
  <c r="AG20" i="6"/>
  <c r="AF20" i="6"/>
  <c r="AF21" i="6"/>
  <c r="AG21" i="6"/>
  <c r="AG22" i="6"/>
  <c r="AF22" i="6"/>
  <c r="AF23" i="6"/>
  <c r="AG23" i="6"/>
  <c r="AG24" i="6"/>
  <c r="AF24" i="6"/>
  <c r="AG25" i="6"/>
  <c r="AF25" i="6"/>
  <c r="AG31" i="6"/>
  <c r="AF31" i="6"/>
  <c r="AH32" i="6"/>
  <c r="AI32" i="6"/>
  <c r="AG33" i="6"/>
  <c r="AF33" i="6"/>
  <c r="AG34" i="6"/>
  <c r="AF34" i="6"/>
  <c r="AG35" i="6"/>
  <c r="AF35" i="6"/>
  <c r="AG36" i="6"/>
  <c r="AF36" i="6"/>
  <c r="AF37" i="6"/>
  <c r="AG37" i="6"/>
  <c r="AG38" i="6"/>
  <c r="AF38" i="6"/>
  <c r="AG39" i="6"/>
  <c r="AF39" i="6"/>
  <c r="AG40" i="6"/>
  <c r="AF40" i="6"/>
  <c r="AF41" i="6"/>
  <c r="AG41" i="6"/>
  <c r="AG42" i="6"/>
  <c r="AF42" i="6"/>
  <c r="AF43" i="6"/>
  <c r="AG43" i="6"/>
  <c r="AG44" i="6"/>
  <c r="AF44" i="6"/>
  <c r="AG45" i="6"/>
  <c r="AF45" i="6"/>
  <c r="AG46" i="6"/>
  <c r="AF46" i="6"/>
  <c r="AG47" i="6"/>
  <c r="AF47" i="6"/>
  <c r="AG48" i="6"/>
  <c r="AF48" i="6"/>
  <c r="AF49" i="6"/>
  <c r="AG49" i="6"/>
  <c r="AH50" i="6"/>
  <c r="AI50" i="6"/>
  <c r="AG51" i="6"/>
  <c r="AF51" i="6"/>
  <c r="AF52" i="6"/>
  <c r="AG52" i="6"/>
  <c r="AF53" i="6"/>
  <c r="AG53" i="6"/>
  <c r="AG54" i="6"/>
  <c r="AF54" i="6"/>
  <c r="AG55" i="6"/>
  <c r="AF55" i="6"/>
  <c r="AG56" i="6"/>
  <c r="AF56" i="6"/>
  <c r="AG57" i="6"/>
  <c r="AF57" i="6"/>
  <c r="AG58" i="6"/>
  <c r="AF58" i="6"/>
  <c r="AF59" i="6"/>
  <c r="AG59" i="6"/>
  <c r="AF60" i="6"/>
  <c r="AG60" i="6"/>
  <c r="AF61" i="6"/>
  <c r="AG61" i="6"/>
  <c r="AF62" i="6"/>
  <c r="AG62" i="6"/>
  <c r="AF63" i="6"/>
  <c r="AG63" i="6"/>
  <c r="AG64" i="6"/>
  <c r="AF64" i="6"/>
  <c r="AG65" i="6"/>
  <c r="AF65" i="6"/>
  <c r="AG66" i="6"/>
  <c r="AF66" i="6"/>
  <c r="AF67" i="6"/>
  <c r="AG67" i="6"/>
  <c r="AG68" i="6"/>
  <c r="AF68" i="6"/>
  <c r="AG69" i="6"/>
  <c r="AF69" i="6"/>
  <c r="AG70" i="6"/>
  <c r="AF70" i="6"/>
  <c r="AG71" i="6"/>
  <c r="AF71" i="6"/>
  <c r="AG72" i="6"/>
  <c r="AF72" i="6"/>
  <c r="AF73" i="6"/>
  <c r="AG73" i="6"/>
  <c r="AF74" i="6"/>
  <c r="AG74" i="6"/>
  <c r="AG75" i="6"/>
  <c r="AF75" i="6"/>
  <c r="AF76" i="6"/>
  <c r="AG76" i="6"/>
  <c r="AG77" i="6"/>
  <c r="AF77" i="6"/>
  <c r="AF78" i="6"/>
  <c r="AG78" i="6"/>
  <c r="AF79" i="6"/>
  <c r="AG79" i="6"/>
  <c r="AF80" i="6"/>
  <c r="AG80" i="6"/>
  <c r="AG81" i="6"/>
  <c r="AF81" i="6"/>
  <c r="AF82" i="6"/>
  <c r="AG82" i="6"/>
  <c r="AF83" i="6"/>
  <c r="AG83" i="6"/>
  <c r="AF84" i="6"/>
  <c r="AG84" i="6"/>
  <c r="AF85" i="6"/>
  <c r="AG85" i="6"/>
  <c r="AF86" i="6"/>
  <c r="AG86" i="6"/>
  <c r="AG87" i="6"/>
  <c r="AF87" i="6"/>
  <c r="AF88" i="6"/>
  <c r="AG88" i="6"/>
  <c r="AF89" i="6"/>
  <c r="AG89" i="6"/>
  <c r="AG90" i="6"/>
  <c r="AF90" i="6"/>
  <c r="AG91" i="6"/>
  <c r="AF91" i="6"/>
  <c r="AG92" i="6"/>
  <c r="AF92" i="6"/>
  <c r="AF93" i="6"/>
  <c r="AG93" i="6"/>
  <c r="AF94" i="6"/>
  <c r="AG94" i="6"/>
  <c r="AG95" i="6"/>
  <c r="AF95" i="6"/>
  <c r="AG96" i="6"/>
  <c r="AF96" i="6"/>
  <c r="AG97" i="6"/>
  <c r="AF97" i="6"/>
  <c r="AF98" i="6"/>
  <c r="AG98" i="6"/>
  <c r="AF99" i="6"/>
  <c r="AG99" i="6"/>
  <c r="AF100" i="6"/>
  <c r="AG100" i="6"/>
  <c r="AF101" i="6"/>
  <c r="AG101" i="6"/>
  <c r="AF102" i="6"/>
  <c r="AG102" i="6"/>
  <c r="AF103" i="6"/>
  <c r="AG103" i="6"/>
  <c r="AF104" i="6"/>
  <c r="AG104" i="6"/>
  <c r="AG105" i="6"/>
  <c r="AF105" i="6"/>
  <c r="AG106" i="6"/>
  <c r="AF106" i="6"/>
  <c r="AF107" i="6"/>
  <c r="AG107" i="6"/>
  <c r="AF108" i="6"/>
  <c r="AG108" i="6"/>
  <c r="AF109" i="6"/>
  <c r="AG109" i="6"/>
  <c r="AG110" i="6"/>
  <c r="AF110" i="6"/>
  <c r="AF111" i="6"/>
  <c r="AG111" i="6"/>
  <c r="AG112" i="6"/>
  <c r="AF112" i="6"/>
  <c r="AG113" i="6"/>
  <c r="AF113" i="6"/>
  <c r="AG114" i="6"/>
  <c r="AF114" i="6"/>
  <c r="AF115" i="6"/>
  <c r="AG115" i="6"/>
  <c r="AF116" i="6"/>
  <c r="AG116" i="6"/>
  <c r="AG117" i="6"/>
  <c r="AF117" i="6"/>
  <c r="AG118" i="6"/>
  <c r="AF118" i="6"/>
  <c r="AG119" i="6"/>
  <c r="AF119" i="6"/>
  <c r="AG120" i="6"/>
  <c r="AF120" i="6"/>
  <c r="AF121" i="6"/>
  <c r="AG121" i="6"/>
  <c r="AG122" i="6"/>
  <c r="AF122" i="6"/>
  <c r="AF123" i="6"/>
  <c r="AG123" i="6"/>
  <c r="AF124" i="6"/>
  <c r="AG124" i="6"/>
  <c r="AF125" i="6"/>
  <c r="AG125" i="6"/>
  <c r="AG126" i="6"/>
  <c r="AF126" i="6"/>
  <c r="AG127" i="6"/>
  <c r="AF127" i="6"/>
  <c r="AF128" i="6"/>
  <c r="AG128" i="6"/>
  <c r="AG129" i="6"/>
  <c r="AF129" i="6"/>
  <c r="AG130" i="6"/>
  <c r="AF130" i="6"/>
  <c r="AF131" i="6"/>
  <c r="AG131" i="6"/>
  <c r="AF132" i="6"/>
  <c r="AG132" i="6"/>
  <c r="AG133" i="6"/>
  <c r="AF133" i="6"/>
  <c r="AF134" i="6"/>
  <c r="AG134" i="6"/>
  <c r="AG135" i="6"/>
  <c r="AF135" i="6"/>
  <c r="AG136" i="6"/>
  <c r="AF136" i="6"/>
  <c r="AF137" i="6"/>
  <c r="AG137" i="6"/>
  <c r="AF138" i="6"/>
  <c r="AG138" i="6"/>
  <c r="AG139" i="6"/>
  <c r="AF139" i="6"/>
  <c r="AF140" i="6"/>
  <c r="AG140" i="6"/>
  <c r="AG141" i="6"/>
  <c r="AF141" i="6"/>
  <c r="AG142" i="6"/>
  <c r="AF142" i="6"/>
  <c r="AG143" i="6"/>
  <c r="AF143" i="6"/>
  <c r="AG144" i="6"/>
  <c r="AF144" i="6"/>
  <c r="AF145" i="6"/>
  <c r="AG145" i="6"/>
  <c r="AF146" i="6"/>
  <c r="AG146" i="6"/>
  <c r="AG147" i="6"/>
  <c r="AF147" i="6"/>
  <c r="AF148" i="6"/>
  <c r="AG148" i="6"/>
  <c r="AF149" i="6"/>
  <c r="AG149" i="6"/>
  <c r="AG150" i="6"/>
  <c r="AF150" i="6"/>
  <c r="AF151" i="6"/>
  <c r="AG151" i="6"/>
  <c r="AF152" i="6"/>
  <c r="AG152" i="6"/>
  <c r="AF153" i="6"/>
  <c r="AG153" i="6"/>
  <c r="AF154" i="6"/>
  <c r="AG154" i="6"/>
  <c r="AF155" i="6"/>
  <c r="AG155" i="6"/>
  <c r="AF156" i="6"/>
  <c r="AG156" i="6"/>
  <c r="AF157" i="6"/>
  <c r="AG157" i="6"/>
  <c r="AF158" i="6"/>
  <c r="AG158" i="6"/>
  <c r="AF159" i="6"/>
  <c r="AG159" i="6"/>
  <c r="AF160" i="6"/>
  <c r="AG160" i="6"/>
  <c r="AG161" i="6"/>
  <c r="AF161" i="6"/>
  <c r="AF162" i="6"/>
  <c r="AG162" i="6"/>
  <c r="AF163" i="6"/>
  <c r="AG163" i="6"/>
  <c r="AF164" i="6"/>
  <c r="AG164" i="6"/>
  <c r="AG165" i="6"/>
  <c r="AF165" i="6"/>
  <c r="AG166" i="6"/>
  <c r="AF166" i="6"/>
  <c r="AG167" i="6"/>
  <c r="AF167" i="6"/>
  <c r="AG168" i="6"/>
  <c r="AF168" i="6"/>
  <c r="AG169" i="6"/>
  <c r="AF169" i="6"/>
  <c r="AF170" i="6"/>
  <c r="AG170" i="6"/>
  <c r="AF171" i="6"/>
  <c r="AG171" i="6"/>
  <c r="AF172" i="6"/>
  <c r="AG172" i="6"/>
  <c r="AF173" i="6"/>
  <c r="AG173" i="6"/>
  <c r="AF174" i="6"/>
  <c r="AG174" i="6"/>
  <c r="AG175" i="6"/>
  <c r="AF175" i="6"/>
  <c r="AG176" i="6"/>
  <c r="AF176" i="6"/>
  <c r="AG177" i="6"/>
  <c r="AF177" i="6"/>
  <c r="AG178" i="6"/>
  <c r="AF178" i="6"/>
  <c r="AG179" i="6"/>
  <c r="AF179" i="6"/>
  <c r="AG180" i="6"/>
  <c r="AF180" i="6"/>
  <c r="AF181" i="6"/>
  <c r="AG181" i="6"/>
  <c r="AF182" i="6"/>
  <c r="AG182" i="6"/>
  <c r="AG183" i="6"/>
  <c r="AF183" i="6"/>
  <c r="AF184" i="6"/>
  <c r="AG184" i="6"/>
  <c r="AG185" i="6"/>
  <c r="AF185" i="6"/>
  <c r="AF186" i="6"/>
  <c r="AG186" i="6"/>
  <c r="AG187" i="6"/>
  <c r="AF187" i="6"/>
  <c r="AG188" i="6"/>
  <c r="AF188" i="6"/>
  <c r="AF189" i="6"/>
  <c r="AG189" i="6"/>
  <c r="AF190" i="6"/>
  <c r="AG190" i="6"/>
  <c r="AF191" i="6"/>
  <c r="AG191" i="6"/>
  <c r="AF192" i="6"/>
  <c r="AG192" i="6"/>
  <c r="AF193" i="6"/>
  <c r="AG193" i="6"/>
  <c r="AG194" i="6"/>
  <c r="AF194" i="6"/>
  <c r="AF195" i="6"/>
  <c r="AG195" i="6"/>
  <c r="AG196" i="6"/>
  <c r="AF196" i="6"/>
  <c r="AG197" i="6"/>
  <c r="AF197" i="6"/>
  <c r="AG198" i="6"/>
  <c r="AF198" i="6"/>
  <c r="AF199" i="6"/>
  <c r="AG199" i="6"/>
  <c r="AF200" i="6"/>
  <c r="AG200" i="6"/>
  <c r="AF201" i="6"/>
  <c r="AG201" i="6"/>
  <c r="AF202" i="6"/>
  <c r="AG202" i="6"/>
  <c r="AG203" i="6"/>
  <c r="AF203" i="6"/>
  <c r="AF204" i="6"/>
  <c r="AG204" i="6"/>
  <c r="AF205" i="6"/>
  <c r="AG205" i="6"/>
  <c r="AF206" i="6"/>
  <c r="AG206" i="6"/>
  <c r="AF207" i="6"/>
  <c r="AG207" i="6"/>
  <c r="AF208" i="6"/>
  <c r="AG208" i="6"/>
  <c r="AG209" i="6"/>
  <c r="AF209" i="6"/>
  <c r="AG210" i="6"/>
  <c r="AF210" i="6"/>
  <c r="AG211" i="6"/>
  <c r="AF211" i="6"/>
  <c r="AG212" i="6"/>
  <c r="AF212" i="6"/>
  <c r="AG213" i="6"/>
  <c r="AF213" i="6"/>
  <c r="AF214" i="6"/>
  <c r="AG214" i="6"/>
  <c r="AG215" i="6"/>
  <c r="AF215" i="6"/>
  <c r="AF216" i="6"/>
  <c r="AG216" i="6"/>
  <c r="AG217" i="6"/>
  <c r="AF217" i="6"/>
  <c r="AG218" i="6"/>
  <c r="AF218" i="6"/>
  <c r="AG219" i="6"/>
  <c r="AF219" i="6"/>
  <c r="AG220" i="6"/>
  <c r="AF220" i="6"/>
  <c r="AF221" i="6"/>
  <c r="AG221" i="6"/>
  <c r="AG222" i="6"/>
  <c r="AF222" i="6"/>
  <c r="AG223" i="6"/>
  <c r="AF223" i="6"/>
  <c r="AF224" i="6"/>
  <c r="AG224" i="6"/>
  <c r="AG225" i="6"/>
  <c r="AF225" i="6"/>
  <c r="AF226" i="6"/>
  <c r="AG226" i="6"/>
  <c r="AG227" i="6"/>
  <c r="AF227" i="6"/>
  <c r="AG228" i="6"/>
  <c r="AF228" i="6"/>
  <c r="AG229" i="6"/>
  <c r="AF229" i="6"/>
  <c r="AF230" i="6"/>
  <c r="AG230" i="6"/>
  <c r="AF231" i="6"/>
  <c r="AG231" i="6"/>
  <c r="AF232" i="6"/>
  <c r="AG232" i="6"/>
  <c r="AF233" i="6"/>
  <c r="AG233" i="6"/>
  <c r="AF234" i="6"/>
  <c r="AG234" i="6"/>
  <c r="AG235" i="6"/>
  <c r="AF235" i="6"/>
  <c r="AF236" i="6"/>
  <c r="AG236" i="6"/>
  <c r="AF237" i="6"/>
  <c r="AG237" i="6"/>
  <c r="AF238" i="6"/>
  <c r="AG238" i="6"/>
  <c r="AF239" i="6"/>
  <c r="AG239" i="6"/>
  <c r="AG240" i="6"/>
  <c r="AF240" i="6"/>
  <c r="AG241" i="6"/>
  <c r="AF241" i="6"/>
  <c r="AG242" i="6"/>
  <c r="AF242" i="6"/>
  <c r="AF243" i="6"/>
  <c r="AG243" i="6"/>
  <c r="AG244" i="6"/>
  <c r="AF244" i="6"/>
  <c r="AG245" i="6"/>
  <c r="AF245" i="6"/>
  <c r="AG246" i="6"/>
  <c r="AF246" i="6"/>
  <c r="AG247" i="6"/>
  <c r="AF247" i="6"/>
  <c r="AF248" i="6"/>
  <c r="AG248" i="6"/>
  <c r="AG249" i="6"/>
  <c r="AF249" i="6"/>
  <c r="AF250" i="6"/>
  <c r="AG250" i="6"/>
  <c r="AG251" i="6"/>
  <c r="AF251" i="6"/>
  <c r="AG252" i="6"/>
  <c r="AF252" i="6"/>
  <c r="AG253" i="6"/>
  <c r="AF253" i="6"/>
  <c r="AF254" i="6"/>
  <c r="AG254" i="6"/>
  <c r="AG255" i="6"/>
  <c r="AF255" i="6"/>
  <c r="AG256" i="6"/>
  <c r="AF256" i="6"/>
  <c r="AF257" i="6"/>
  <c r="AG257" i="6"/>
  <c r="AF258" i="6"/>
  <c r="AG258" i="6"/>
  <c r="AF259" i="6"/>
  <c r="AG259" i="6"/>
  <c r="AG260" i="6"/>
  <c r="AF260" i="6"/>
  <c r="AG261" i="6"/>
  <c r="AF261" i="6"/>
  <c r="AG262" i="6"/>
  <c r="AF262" i="6"/>
  <c r="AG263" i="6"/>
  <c r="AF263" i="6"/>
  <c r="AF264" i="6"/>
  <c r="AG264" i="6"/>
  <c r="AG265" i="6"/>
  <c r="AF265" i="6"/>
  <c r="AF266" i="6"/>
  <c r="AG266" i="6"/>
  <c r="AG267" i="6"/>
  <c r="AF267" i="6"/>
  <c r="AG268" i="6"/>
  <c r="AF268" i="6"/>
  <c r="AF269" i="6"/>
  <c r="AG269" i="6"/>
  <c r="AF270" i="6"/>
  <c r="AG270" i="6"/>
  <c r="AG271" i="6"/>
  <c r="AF271" i="6"/>
  <c r="AF272" i="6"/>
  <c r="AG272" i="6"/>
  <c r="AF273" i="6"/>
  <c r="AG273" i="6"/>
  <c r="AF274" i="6"/>
  <c r="AG274" i="6"/>
  <c r="AG275" i="6"/>
  <c r="AF275" i="6"/>
  <c r="AF276" i="6"/>
  <c r="AG276" i="6"/>
  <c r="AG277" i="6"/>
  <c r="AF277" i="6"/>
  <c r="AF278" i="6"/>
  <c r="AG278" i="6"/>
  <c r="AF279" i="6"/>
  <c r="AG279" i="6"/>
  <c r="AF280" i="6"/>
  <c r="AG280" i="6"/>
  <c r="AG281" i="6"/>
  <c r="AF281" i="6"/>
  <c r="AF282" i="6"/>
  <c r="AG282" i="6"/>
  <c r="AG283" i="6"/>
  <c r="AF283" i="6"/>
  <c r="AF284" i="6"/>
  <c r="AG284" i="6"/>
  <c r="AG285" i="6"/>
  <c r="AF285" i="6"/>
  <c r="AG286" i="6"/>
  <c r="AF286" i="6"/>
  <c r="AG287" i="6"/>
  <c r="AF287" i="6"/>
  <c r="AG288" i="6"/>
  <c r="AF288" i="6"/>
  <c r="AF289" i="6"/>
  <c r="AG289" i="6"/>
  <c r="AG290" i="6"/>
  <c r="AF290" i="6"/>
  <c r="AG291" i="6"/>
  <c r="AF291" i="6"/>
  <c r="AF292" i="6"/>
  <c r="AG292" i="6"/>
  <c r="AF293" i="6"/>
  <c r="AG293" i="6"/>
  <c r="AG294" i="6"/>
  <c r="AF294" i="6"/>
  <c r="AF295" i="6"/>
  <c r="AG295" i="6"/>
  <c r="AG296" i="6"/>
  <c r="AF296" i="6"/>
  <c r="AF297" i="6"/>
  <c r="AG297" i="6"/>
  <c r="AG298" i="6"/>
  <c r="AF298" i="6"/>
  <c r="AG299" i="6"/>
  <c r="AF299" i="6"/>
  <c r="AG300" i="6"/>
  <c r="AF300" i="6"/>
  <c r="AF301" i="6"/>
  <c r="AG301" i="6"/>
  <c r="AG302" i="6"/>
  <c r="AF302" i="6"/>
  <c r="AG303" i="6"/>
  <c r="AF303" i="6"/>
  <c r="AF304" i="6"/>
  <c r="AG304" i="6"/>
  <c r="AF305" i="6"/>
  <c r="AG305" i="6"/>
  <c r="AF306" i="6"/>
  <c r="AG306" i="6"/>
  <c r="AF307" i="6"/>
  <c r="AG307" i="6"/>
  <c r="AG308" i="6"/>
  <c r="AF308" i="6"/>
  <c r="AF309" i="6"/>
  <c r="AG309" i="6"/>
  <c r="AG310" i="6"/>
  <c r="AF310" i="6"/>
  <c r="AF311" i="6"/>
  <c r="AG311" i="6"/>
  <c r="AG312" i="6"/>
  <c r="AF312" i="6"/>
  <c r="AF313" i="6"/>
  <c r="AG313" i="6"/>
  <c r="AF314" i="6"/>
  <c r="AG314" i="6"/>
  <c r="AF315" i="6"/>
  <c r="AG315" i="6"/>
  <c r="AF316" i="6"/>
  <c r="AG316" i="6"/>
  <c r="AG317" i="6"/>
  <c r="AF317" i="6"/>
  <c r="AG318" i="6"/>
  <c r="AF318" i="6"/>
  <c r="AF319" i="6"/>
  <c r="AG319" i="6"/>
  <c r="AG320" i="6"/>
  <c r="AF320" i="6"/>
  <c r="AG321" i="6"/>
  <c r="AF321" i="6"/>
  <c r="AF322" i="6"/>
  <c r="AG322" i="6"/>
  <c r="AG323" i="6"/>
  <c r="AF323" i="6"/>
  <c r="AG324" i="6"/>
  <c r="AF324" i="6"/>
  <c r="AG325" i="6"/>
  <c r="AF325" i="6"/>
  <c r="AF326" i="6"/>
  <c r="AG326" i="6"/>
  <c r="AG327" i="6"/>
  <c r="AF327" i="6"/>
  <c r="AF328" i="6"/>
  <c r="AG328" i="6"/>
  <c r="AG329" i="6"/>
  <c r="AF329" i="6"/>
  <c r="AG330" i="6"/>
  <c r="AF330" i="6"/>
  <c r="AG331" i="6"/>
  <c r="AF331" i="6"/>
  <c r="AF332" i="6"/>
  <c r="AG332" i="6"/>
  <c r="AF333" i="6"/>
  <c r="AG333" i="6"/>
  <c r="AF334" i="6"/>
  <c r="AG334" i="6"/>
  <c r="AG335" i="6"/>
  <c r="AF335" i="6"/>
  <c r="AG336" i="6"/>
  <c r="AF336" i="6"/>
  <c r="AG337" i="6"/>
  <c r="AF337" i="6"/>
  <c r="AG338" i="6"/>
  <c r="AF338" i="6"/>
  <c r="AF339" i="6"/>
  <c r="AG339" i="6"/>
  <c r="AG340" i="6"/>
  <c r="AF340" i="6"/>
  <c r="AF341" i="6"/>
  <c r="AG341" i="6"/>
  <c r="AG342" i="6"/>
  <c r="AF342" i="6"/>
  <c r="AG343" i="6"/>
  <c r="AF343" i="6"/>
  <c r="AF344" i="6"/>
  <c r="AG344" i="6"/>
  <c r="AF345" i="6"/>
  <c r="AG345" i="6"/>
  <c r="AF346" i="6"/>
  <c r="AG346" i="6"/>
  <c r="AG347" i="6"/>
  <c r="AF347" i="6"/>
  <c r="AF348" i="6"/>
  <c r="AG348" i="6"/>
  <c r="AG349" i="6"/>
  <c r="AF349" i="6"/>
  <c r="AG350" i="6"/>
  <c r="AF350" i="6"/>
  <c r="AG351" i="6"/>
  <c r="AF351" i="6"/>
  <c r="AF352" i="6"/>
  <c r="AG352" i="6"/>
  <c r="AF353" i="6"/>
  <c r="AG353" i="6"/>
  <c r="AF354" i="6"/>
  <c r="AG354" i="6"/>
  <c r="AG355" i="6"/>
  <c r="AF355" i="6"/>
  <c r="AG356" i="6"/>
  <c r="AF356" i="6"/>
  <c r="AG357" i="6"/>
  <c r="AF357" i="6"/>
  <c r="AF358" i="6"/>
  <c r="AG358" i="6"/>
  <c r="AG359" i="6"/>
  <c r="AF359" i="6"/>
  <c r="AG360" i="6"/>
  <c r="AF360" i="6"/>
  <c r="AG361" i="6"/>
  <c r="AF361" i="6"/>
  <c r="AF362" i="6"/>
  <c r="AG362" i="6"/>
  <c r="AF363" i="6"/>
  <c r="AG363" i="6"/>
  <c r="AF364" i="6"/>
  <c r="AG364" i="6"/>
  <c r="AF365" i="6"/>
  <c r="AG365" i="6"/>
  <c r="AG366" i="6"/>
  <c r="AF366" i="6"/>
  <c r="AG367" i="6"/>
  <c r="AF367" i="6"/>
  <c r="AF368" i="6"/>
  <c r="AG368" i="6"/>
  <c r="AG369" i="6"/>
  <c r="AF369" i="6"/>
  <c r="AG370" i="6"/>
  <c r="AF370" i="6"/>
  <c r="AF371" i="6"/>
  <c r="AG371" i="6"/>
  <c r="AF372" i="6"/>
  <c r="AG372" i="6"/>
  <c r="AG373" i="6"/>
  <c r="AF373" i="6"/>
  <c r="AG374" i="6"/>
  <c r="AF374" i="6"/>
  <c r="AG375" i="6"/>
  <c r="AF375" i="6"/>
  <c r="AF376" i="6"/>
  <c r="AG376" i="6"/>
  <c r="AG377" i="6"/>
  <c r="AF377" i="6"/>
  <c r="AG378" i="6"/>
  <c r="AF378" i="6"/>
  <c r="AF379" i="6"/>
  <c r="AG379" i="6"/>
  <c r="AG380" i="6"/>
  <c r="AF380" i="6"/>
  <c r="AG381" i="6"/>
  <c r="AF381" i="6"/>
  <c r="AG382" i="6"/>
  <c r="AF382" i="6"/>
  <c r="AG383" i="6"/>
  <c r="AF383" i="6"/>
  <c r="AG384" i="6"/>
  <c r="AF384" i="6"/>
  <c r="AG385" i="6"/>
  <c r="AF385" i="6"/>
  <c r="AG386" i="6"/>
  <c r="AF386" i="6"/>
  <c r="AF387" i="6"/>
  <c r="AG387" i="6"/>
  <c r="AF388" i="6"/>
  <c r="AG388" i="6"/>
  <c r="AG389" i="6"/>
  <c r="AF389" i="6"/>
  <c r="AF390" i="6"/>
  <c r="AG390" i="6"/>
  <c r="AG391" i="6"/>
  <c r="AF391" i="6"/>
  <c r="AF392" i="6"/>
  <c r="AG392" i="6"/>
  <c r="AF393" i="6"/>
  <c r="AG393" i="6"/>
  <c r="AF394" i="6"/>
  <c r="AG394" i="6"/>
  <c r="AG395" i="6"/>
  <c r="AF395" i="6"/>
  <c r="AF396" i="6"/>
  <c r="AG396" i="6"/>
  <c r="AG397" i="6"/>
  <c r="AF397" i="6"/>
  <c r="AG398" i="6"/>
  <c r="AF398" i="6"/>
  <c r="AF399" i="6"/>
  <c r="AG399" i="6"/>
  <c r="AF400" i="6"/>
  <c r="AG400" i="6"/>
  <c r="AF401" i="6"/>
  <c r="AG401" i="6"/>
  <c r="AF402" i="6"/>
  <c r="AG402" i="6"/>
  <c r="AG403" i="6"/>
  <c r="AF403" i="6"/>
  <c r="AF404" i="6"/>
  <c r="AG404" i="6"/>
  <c r="AG405" i="6"/>
  <c r="AF405" i="6"/>
  <c r="AF406" i="6"/>
  <c r="AG406" i="6"/>
  <c r="AF407" i="6"/>
  <c r="AG407" i="6"/>
  <c r="AG408" i="6"/>
  <c r="AF408" i="6"/>
  <c r="AG409" i="6"/>
  <c r="AF409" i="6"/>
  <c r="AG410" i="6"/>
  <c r="AF410" i="6"/>
  <c r="AF411" i="6"/>
  <c r="AG411" i="6"/>
  <c r="AF412" i="6"/>
  <c r="AG412" i="6"/>
  <c r="AF413" i="6"/>
  <c r="AG413" i="6"/>
  <c r="AF414" i="6"/>
  <c r="AG414" i="6"/>
  <c r="AG415" i="6"/>
  <c r="AF415" i="6"/>
  <c r="AF416" i="6"/>
  <c r="AG416" i="6"/>
  <c r="AF417" i="6"/>
  <c r="AG417" i="6"/>
  <c r="AG418" i="6"/>
  <c r="AF418" i="6"/>
  <c r="AG419" i="6"/>
  <c r="AF419" i="6"/>
  <c r="AF420" i="6"/>
  <c r="AG420" i="6"/>
  <c r="AG421" i="6"/>
  <c r="AF421" i="6"/>
  <c r="AF422" i="6"/>
  <c r="AG422" i="6"/>
  <c r="AG423" i="6"/>
  <c r="AF423" i="6"/>
  <c r="AF424" i="6"/>
  <c r="AG424" i="6"/>
  <c r="AF425" i="6"/>
  <c r="AG425" i="6"/>
  <c r="AF426" i="6"/>
  <c r="AG426" i="6"/>
  <c r="AF427" i="6"/>
  <c r="AG427" i="6"/>
  <c r="AF428" i="6"/>
  <c r="AG428" i="6"/>
  <c r="AF429" i="6"/>
  <c r="AG429" i="6"/>
  <c r="AF430" i="6"/>
  <c r="AG430" i="6"/>
  <c r="AF431" i="6"/>
  <c r="AG431" i="6"/>
  <c r="AF432" i="6"/>
  <c r="AG432" i="6"/>
  <c r="AG433" i="6"/>
  <c r="AF433" i="6"/>
  <c r="AG434" i="6"/>
  <c r="AF434" i="6"/>
  <c r="AF435" i="6"/>
  <c r="AG435" i="6"/>
  <c r="AF436" i="6"/>
  <c r="AG436" i="6"/>
  <c r="AG437" i="6"/>
  <c r="AF437" i="6"/>
  <c r="AF438" i="6"/>
  <c r="AG438" i="6"/>
  <c r="AF439" i="6"/>
  <c r="AG439" i="6"/>
  <c r="AF440" i="6"/>
  <c r="AG440" i="6"/>
  <c r="AF441" i="6"/>
  <c r="AG441" i="6"/>
  <c r="AG442" i="6"/>
  <c r="AF442" i="6"/>
  <c r="AF443" i="6"/>
  <c r="AG443" i="6"/>
  <c r="AG444" i="6"/>
  <c r="AF444" i="6"/>
  <c r="AG445" i="6"/>
  <c r="AF445" i="6"/>
  <c r="AG446" i="6"/>
  <c r="AF446" i="6"/>
  <c r="AG447" i="6"/>
  <c r="AF447" i="6"/>
  <c r="AF448" i="6"/>
  <c r="AG448" i="6"/>
  <c r="AF449" i="6"/>
  <c r="AG449" i="6"/>
  <c r="AF450" i="6"/>
  <c r="AG450" i="6"/>
  <c r="AG451" i="6"/>
  <c r="AF451" i="6"/>
  <c r="AG452" i="6"/>
  <c r="AF452" i="6"/>
  <c r="AG453" i="6"/>
  <c r="AF453" i="6"/>
  <c r="AF454" i="6"/>
  <c r="AG454" i="6"/>
  <c r="AG455" i="6"/>
  <c r="AF455" i="6"/>
  <c r="AG456" i="6"/>
  <c r="AF456" i="6"/>
  <c r="AF457" i="6"/>
  <c r="AG457" i="6"/>
  <c r="AG458" i="6"/>
  <c r="AF458" i="6"/>
  <c r="AF459" i="6"/>
  <c r="AG459" i="6"/>
  <c r="AF460" i="6"/>
  <c r="AG460" i="6"/>
  <c r="AG461" i="6"/>
  <c r="AF461" i="6"/>
  <c r="AG462" i="6"/>
  <c r="AF462" i="6"/>
  <c r="AG463" i="6"/>
  <c r="AF463" i="6"/>
  <c r="AF464" i="6"/>
  <c r="AG464" i="6"/>
  <c r="AG465" i="6"/>
  <c r="AF465" i="6"/>
  <c r="AF466" i="6"/>
  <c r="AG466" i="6"/>
  <c r="AG467" i="6"/>
  <c r="AF467" i="6"/>
  <c r="AF468" i="6"/>
  <c r="AG468" i="6"/>
  <c r="AG469" i="6"/>
  <c r="AF469" i="6"/>
  <c r="AG470" i="6"/>
  <c r="AF470" i="6"/>
  <c r="AG471" i="6"/>
  <c r="AF471" i="6"/>
  <c r="AF472" i="6"/>
  <c r="AG472" i="6"/>
  <c r="AF473" i="6"/>
  <c r="AG473" i="6"/>
  <c r="AF474" i="6"/>
  <c r="AG474" i="6"/>
  <c r="AG475" i="6"/>
  <c r="AF475" i="6"/>
  <c r="AF476" i="6"/>
  <c r="AG476" i="6"/>
  <c r="AF477" i="6"/>
  <c r="AG477" i="6"/>
  <c r="AG478" i="6"/>
  <c r="AF478" i="6"/>
  <c r="AF479" i="6"/>
  <c r="AG479" i="6"/>
  <c r="AF480" i="6"/>
  <c r="AG480" i="6"/>
  <c r="AG481" i="6"/>
  <c r="AF481" i="6"/>
  <c r="AG482" i="6"/>
  <c r="AF482" i="6"/>
  <c r="AG483" i="6"/>
  <c r="AF483" i="6"/>
  <c r="AG484" i="6"/>
  <c r="AF484" i="6"/>
  <c r="AG485" i="6"/>
  <c r="AF485" i="6"/>
  <c r="AG486" i="6"/>
  <c r="AF486" i="6"/>
  <c r="AG487" i="6"/>
  <c r="AF487" i="6"/>
  <c r="AG488" i="6"/>
  <c r="AF488" i="6"/>
  <c r="AG489" i="6"/>
  <c r="AF489" i="6"/>
  <c r="AF490" i="6"/>
  <c r="AG490" i="6"/>
  <c r="AF491" i="6"/>
  <c r="AG491" i="6"/>
  <c r="AF492" i="6"/>
  <c r="AG492" i="6"/>
  <c r="AG493" i="6"/>
  <c r="AF493" i="6"/>
  <c r="AF494" i="6"/>
  <c r="AG494" i="6"/>
  <c r="AF495" i="6"/>
  <c r="AG495" i="6"/>
  <c r="AF496" i="6"/>
  <c r="AG496" i="6"/>
  <c r="AG497" i="6"/>
  <c r="AF497" i="6"/>
  <c r="AG498" i="6"/>
  <c r="AF498" i="6"/>
  <c r="AG499" i="6"/>
  <c r="AF499" i="6"/>
  <c r="AF500" i="6"/>
  <c r="AG500" i="6"/>
  <c r="AG501" i="6"/>
  <c r="AF501" i="6"/>
  <c r="AG502" i="6"/>
  <c r="AF502" i="6"/>
  <c r="AF503" i="6"/>
  <c r="AG503" i="6"/>
  <c r="AF504" i="6"/>
  <c r="AG504" i="6"/>
  <c r="AF505" i="6"/>
  <c r="AG505" i="6"/>
  <c r="AG506" i="6"/>
  <c r="AF506" i="6"/>
  <c r="AF507" i="6"/>
  <c r="AG507" i="6"/>
  <c r="AG508" i="6"/>
  <c r="AF508" i="6"/>
  <c r="AF509" i="6"/>
  <c r="AG509" i="6"/>
  <c r="AG510" i="6"/>
  <c r="AF510" i="6"/>
  <c r="AG511" i="6"/>
  <c r="AF511" i="6"/>
  <c r="AF512" i="6"/>
  <c r="AG512" i="6"/>
  <c r="AG513" i="6"/>
  <c r="AF513" i="6"/>
  <c r="AG514" i="6"/>
  <c r="AF514" i="6"/>
  <c r="AF515" i="6"/>
  <c r="AG515" i="6"/>
  <c r="AG516" i="6"/>
  <c r="AF516" i="6"/>
  <c r="AG517" i="6"/>
  <c r="AF517" i="6"/>
  <c r="AF518" i="6"/>
  <c r="AG518" i="6"/>
  <c r="AF519" i="6"/>
  <c r="AG519" i="6"/>
  <c r="AF520" i="6"/>
  <c r="AG520" i="6"/>
  <c r="AG521" i="6"/>
  <c r="AF521" i="6"/>
  <c r="AG522" i="6"/>
  <c r="AF522" i="6"/>
  <c r="AF523" i="6"/>
  <c r="AG523" i="6"/>
  <c r="AF524" i="6"/>
  <c r="AG524" i="6"/>
  <c r="AF525" i="6"/>
  <c r="AG525" i="6"/>
  <c r="AG526" i="6"/>
  <c r="AF526" i="6"/>
  <c r="AG527" i="6"/>
  <c r="AF527" i="6"/>
  <c r="AF528" i="6"/>
  <c r="AG528" i="6"/>
  <c r="AF529" i="6"/>
  <c r="AG529" i="6"/>
  <c r="AG530" i="6"/>
  <c r="AF530" i="6"/>
  <c r="AF531" i="6"/>
  <c r="AG531" i="6"/>
  <c r="AG532" i="6"/>
  <c r="AF532" i="6"/>
  <c r="AF533" i="6"/>
  <c r="AG533" i="6"/>
  <c r="AF534" i="6"/>
  <c r="AG534" i="6"/>
  <c r="AF535" i="6"/>
  <c r="AG535" i="6"/>
  <c r="AF536" i="6"/>
  <c r="AG536" i="6"/>
  <c r="AG537" i="6"/>
  <c r="AF537" i="6"/>
  <c r="AG538" i="6"/>
  <c r="AF538" i="6"/>
  <c r="AG539" i="6"/>
  <c r="AF539" i="6"/>
  <c r="AG540" i="6"/>
  <c r="AF540" i="6"/>
  <c r="AG541" i="6"/>
  <c r="AF541" i="6"/>
  <c r="AF542" i="6"/>
  <c r="AG542" i="6"/>
  <c r="AG543" i="6"/>
  <c r="AF543" i="6"/>
  <c r="AG544" i="6"/>
  <c r="AF544" i="6"/>
  <c r="AF545" i="6"/>
  <c r="AG545" i="6"/>
  <c r="AG546" i="6"/>
  <c r="AF546" i="6"/>
  <c r="AF547" i="6"/>
  <c r="AG547" i="6"/>
  <c r="AF548" i="6"/>
  <c r="AG548" i="6"/>
  <c r="AF549" i="6"/>
  <c r="AG549" i="6"/>
  <c r="AG550" i="6"/>
  <c r="AF550" i="6"/>
  <c r="AF551" i="6"/>
  <c r="AG551" i="6"/>
  <c r="AF552" i="6"/>
  <c r="AG552" i="6"/>
  <c r="AF553" i="6"/>
  <c r="AG553" i="6"/>
  <c r="AF554" i="6"/>
  <c r="AG554" i="6"/>
  <c r="AF555" i="6"/>
  <c r="AG555" i="6"/>
  <c r="AG556" i="6"/>
  <c r="AF556" i="6"/>
  <c r="AG557" i="6"/>
  <c r="AF557" i="6"/>
  <c r="AF558" i="6"/>
  <c r="AG558" i="6"/>
  <c r="AG559" i="6"/>
  <c r="AF559" i="6"/>
  <c r="AG560" i="6"/>
  <c r="AF560" i="6"/>
  <c r="AF561" i="6"/>
  <c r="AG561" i="6"/>
  <c r="AG562" i="6"/>
  <c r="AF562" i="6"/>
  <c r="AG563" i="6"/>
  <c r="AF563" i="6"/>
  <c r="AG564" i="6"/>
  <c r="AF564" i="6"/>
  <c r="AG565" i="6"/>
  <c r="AF565" i="6"/>
  <c r="AG566" i="6"/>
  <c r="AF566" i="6"/>
  <c r="AG567" i="6"/>
  <c r="AF567" i="6"/>
  <c r="AF568" i="6"/>
  <c r="AG568" i="6"/>
  <c r="AF569" i="6"/>
  <c r="AG569" i="6"/>
  <c r="AF570" i="6"/>
  <c r="AG570" i="6"/>
  <c r="AF571" i="6"/>
  <c r="AG571" i="6"/>
  <c r="AF572" i="6"/>
  <c r="AG572" i="6"/>
  <c r="AG573" i="6"/>
  <c r="AF573" i="6"/>
  <c r="AG574" i="6"/>
  <c r="AF574" i="6"/>
  <c r="AG575" i="6"/>
  <c r="AF575" i="6"/>
  <c r="AG576" i="6"/>
  <c r="AF576" i="6"/>
  <c r="AG577" i="6"/>
  <c r="AF577" i="6"/>
  <c r="AG578" i="6"/>
  <c r="AF578" i="6"/>
  <c r="AF579" i="6"/>
  <c r="AG579" i="6"/>
  <c r="AG580" i="6"/>
  <c r="AF580" i="6"/>
  <c r="AG581" i="6"/>
  <c r="AF581" i="6"/>
  <c r="AG582" i="6"/>
  <c r="AF582" i="6"/>
  <c r="AG583" i="6"/>
  <c r="AF583" i="6"/>
  <c r="AF584" i="6"/>
  <c r="AG584" i="6"/>
  <c r="AG585" i="6"/>
  <c r="AF585" i="6"/>
  <c r="AF586" i="6"/>
  <c r="AG586" i="6"/>
  <c r="AG587" i="6"/>
  <c r="AF587" i="6"/>
  <c r="AF588" i="6"/>
  <c r="AG588" i="6"/>
  <c r="AG589" i="6"/>
  <c r="AF589" i="6"/>
  <c r="AF590" i="6"/>
  <c r="AG590" i="6"/>
  <c r="AF591" i="6"/>
  <c r="AG591" i="6"/>
  <c r="AG592" i="6"/>
  <c r="AF592" i="6"/>
  <c r="AG593" i="6"/>
  <c r="AF593" i="6"/>
  <c r="AF594" i="6"/>
  <c r="AG594" i="6"/>
  <c r="AG595" i="6"/>
  <c r="AF595" i="6"/>
  <c r="AF596" i="6"/>
  <c r="AG596" i="6"/>
  <c r="AG597" i="6"/>
  <c r="AF597" i="6"/>
  <c r="AF598" i="6"/>
  <c r="AG598" i="6"/>
  <c r="AG599" i="6"/>
  <c r="AF599" i="6"/>
  <c r="AG600" i="6"/>
  <c r="AF600" i="6"/>
  <c r="AG601" i="6"/>
  <c r="AF601" i="6"/>
  <c r="AF602" i="6"/>
  <c r="AG602" i="6"/>
  <c r="AF603" i="6"/>
  <c r="AG603" i="6"/>
  <c r="AF604" i="6"/>
  <c r="AG604" i="6"/>
  <c r="AF605" i="6"/>
  <c r="AG605" i="6"/>
  <c r="AF606" i="6"/>
  <c r="AG606" i="6"/>
  <c r="AF607" i="6"/>
  <c r="AG607" i="6"/>
  <c r="AF608" i="6"/>
  <c r="AG608" i="6"/>
  <c r="AG609" i="6"/>
  <c r="AF609" i="6"/>
  <c r="AF610" i="6"/>
  <c r="AG610" i="6"/>
  <c r="AF611" i="6"/>
  <c r="AG611" i="6"/>
  <c r="AF612" i="6"/>
  <c r="AG612" i="6"/>
  <c r="AF613" i="6"/>
  <c r="AG613" i="6"/>
  <c r="AG614" i="6"/>
  <c r="AF614" i="6"/>
  <c r="AG615" i="6"/>
  <c r="AF615" i="6"/>
  <c r="AG616" i="6"/>
  <c r="AF616" i="6"/>
  <c r="AF617" i="6"/>
  <c r="AG617" i="6"/>
  <c r="AG618" i="6"/>
  <c r="AF618" i="6"/>
  <c r="AG619" i="6"/>
  <c r="AF619" i="6"/>
  <c r="AF620" i="6"/>
  <c r="AG620" i="6"/>
  <c r="AG621" i="6"/>
  <c r="AF621" i="6"/>
  <c r="AG622" i="6"/>
  <c r="AF622" i="6"/>
  <c r="AF623" i="6"/>
  <c r="AG623" i="6"/>
  <c r="AF624" i="6"/>
  <c r="AG624" i="6"/>
  <c r="AG625" i="6"/>
  <c r="AF625" i="6"/>
  <c r="AG626" i="6"/>
  <c r="AF626" i="6"/>
  <c r="AG627" i="6"/>
  <c r="AF627" i="6"/>
  <c r="AG628" i="6"/>
  <c r="AF628" i="6"/>
  <c r="AG629" i="6"/>
  <c r="AF629" i="6"/>
  <c r="AG630" i="6"/>
  <c r="AF630" i="6"/>
  <c r="AG631" i="6"/>
  <c r="AF631" i="6"/>
  <c r="AF632" i="6"/>
  <c r="AG632" i="6"/>
  <c r="AF633" i="6"/>
  <c r="AG633" i="6"/>
  <c r="AG634" i="6"/>
  <c r="AF634" i="6"/>
  <c r="AG635" i="6"/>
  <c r="AF635" i="6"/>
  <c r="AF636" i="6"/>
  <c r="AG636" i="6"/>
  <c r="AG637" i="6"/>
  <c r="AF637" i="6"/>
  <c r="AF638" i="6"/>
  <c r="AG638" i="6"/>
  <c r="AG639" i="6"/>
  <c r="AF639" i="6"/>
  <c r="AF640" i="6"/>
  <c r="AG640" i="6"/>
  <c r="AF641" i="6"/>
  <c r="AG641" i="6"/>
  <c r="AG642" i="6"/>
  <c r="AF642" i="6"/>
  <c r="AG643" i="6"/>
  <c r="AF643" i="6"/>
  <c r="AF644" i="6"/>
  <c r="AG644" i="6"/>
  <c r="AG645" i="6"/>
  <c r="AF645" i="6"/>
  <c r="AG646" i="6"/>
  <c r="AF646" i="6"/>
  <c r="AF647" i="6"/>
  <c r="AG647" i="6"/>
  <c r="AF648" i="6"/>
  <c r="AG648" i="6"/>
  <c r="AF649" i="6"/>
  <c r="AG649" i="6"/>
  <c r="AG650" i="6"/>
  <c r="AF650" i="6"/>
  <c r="AF651" i="6"/>
  <c r="AG651" i="6"/>
  <c r="AF652" i="6"/>
  <c r="AG652" i="6"/>
  <c r="AF653" i="6"/>
  <c r="AG653" i="6"/>
  <c r="AF654" i="6"/>
  <c r="AG654" i="6"/>
  <c r="AG655" i="6"/>
  <c r="AF655" i="6"/>
  <c r="AG656" i="6"/>
  <c r="AF656" i="6"/>
  <c r="AG657" i="6"/>
  <c r="AF657" i="6"/>
  <c r="AF658" i="6"/>
  <c r="AG658" i="6"/>
  <c r="AF659" i="6"/>
  <c r="AG659" i="6"/>
  <c r="AF660" i="6"/>
  <c r="AG660" i="6"/>
  <c r="AG661" i="6"/>
  <c r="AF661" i="6"/>
  <c r="AG662" i="6"/>
  <c r="AF662" i="6"/>
  <c r="AF663" i="6"/>
  <c r="AG663" i="6"/>
  <c r="AG664" i="6"/>
  <c r="AF664" i="6"/>
  <c r="AG665" i="6"/>
  <c r="AF665" i="6"/>
  <c r="AG666" i="6"/>
  <c r="AF666" i="6"/>
  <c r="AG667" i="6"/>
  <c r="AF667" i="6"/>
  <c r="AG668" i="6"/>
  <c r="AF668" i="6"/>
  <c r="AG669" i="6"/>
  <c r="AF669" i="6"/>
  <c r="AG670" i="6"/>
  <c r="AF670" i="6"/>
  <c r="AG671" i="6"/>
  <c r="AF671" i="6"/>
  <c r="AF672" i="6"/>
  <c r="AG672" i="6"/>
  <c r="AF673" i="6"/>
  <c r="AG673" i="6"/>
  <c r="AF674" i="6"/>
  <c r="AG674" i="6"/>
  <c r="AG675" i="6"/>
  <c r="AF675" i="6"/>
  <c r="AG676" i="6"/>
  <c r="AF676" i="6"/>
  <c r="AF677" i="6"/>
  <c r="AG677" i="6"/>
  <c r="AG678" i="6"/>
  <c r="AF678" i="6"/>
  <c r="AG679" i="6"/>
  <c r="AF679" i="6"/>
  <c r="AF680" i="6"/>
  <c r="AG680" i="6"/>
  <c r="AG681" i="6"/>
  <c r="AF681" i="6"/>
  <c r="AG682" i="6"/>
  <c r="AF682" i="6"/>
  <c r="AF683" i="6"/>
  <c r="AG683" i="6"/>
  <c r="AG684" i="6"/>
  <c r="AF684" i="6"/>
  <c r="AG685" i="6"/>
  <c r="AF685" i="6"/>
  <c r="AF686" i="6"/>
  <c r="AG686" i="6"/>
  <c r="AG687" i="6"/>
  <c r="AF687" i="6"/>
  <c r="AF688" i="6"/>
  <c r="AG688" i="6"/>
  <c r="AF689" i="6"/>
  <c r="AG689" i="6"/>
  <c r="AF690" i="6"/>
  <c r="AG690" i="6"/>
  <c r="AF691" i="6"/>
  <c r="AG691" i="6"/>
  <c r="AF692" i="6"/>
  <c r="AG692" i="6"/>
  <c r="AF693" i="6"/>
  <c r="AG693" i="6"/>
  <c r="AG694" i="6"/>
  <c r="AF694" i="6"/>
  <c r="AG695" i="6"/>
  <c r="AF695" i="6"/>
  <c r="AG696" i="6"/>
  <c r="AF696" i="6"/>
  <c r="AF697" i="6"/>
  <c r="AG697" i="6"/>
  <c r="AG698" i="6"/>
  <c r="AF698" i="6"/>
  <c r="AG699" i="6"/>
  <c r="AF699" i="6"/>
  <c r="AG700" i="6"/>
  <c r="AF700" i="6"/>
  <c r="AG701" i="6"/>
  <c r="AF701" i="6"/>
  <c r="AF702" i="6"/>
  <c r="AG702" i="6"/>
  <c r="AF703" i="6"/>
  <c r="AG703" i="6"/>
  <c r="AF704" i="6"/>
  <c r="AG704" i="6"/>
  <c r="AG705" i="6"/>
  <c r="AF705" i="6"/>
  <c r="AF706" i="6"/>
  <c r="AG706" i="6"/>
  <c r="AF707" i="6"/>
  <c r="AG707" i="6"/>
  <c r="AG708" i="6"/>
  <c r="AF708" i="6"/>
  <c r="AF709" i="6"/>
  <c r="AG709" i="6"/>
  <c r="AG710" i="6"/>
  <c r="AF710" i="6"/>
  <c r="AG711" i="6"/>
  <c r="AF711" i="6"/>
  <c r="AG712" i="6"/>
  <c r="AF712" i="6"/>
  <c r="AG713" i="6"/>
  <c r="AF713" i="6"/>
  <c r="AF714" i="6"/>
  <c r="AG714" i="6"/>
  <c r="AF715" i="6"/>
  <c r="AG715" i="6"/>
  <c r="AG716" i="6"/>
  <c r="AF716" i="6"/>
  <c r="AG717" i="6"/>
  <c r="AF717" i="6"/>
  <c r="AF718" i="6"/>
  <c r="AG718" i="6"/>
  <c r="AG719" i="6"/>
  <c r="AF719" i="6"/>
  <c r="AG720" i="6"/>
  <c r="AF720" i="6"/>
  <c r="AF721" i="6"/>
  <c r="AG721" i="6"/>
  <c r="AF722" i="6"/>
  <c r="AG722" i="6"/>
  <c r="AG723" i="6"/>
  <c r="AF723" i="6"/>
  <c r="AG724" i="6"/>
  <c r="AF724" i="6"/>
  <c r="AG725" i="6"/>
  <c r="AF725" i="6"/>
  <c r="AF726" i="6"/>
  <c r="AG726" i="6"/>
  <c r="AG727" i="6"/>
  <c r="AF727" i="6"/>
  <c r="AG728" i="6"/>
  <c r="AF728" i="6"/>
  <c r="AG729" i="6"/>
  <c r="AF729" i="6"/>
  <c r="AF730" i="6"/>
  <c r="AG730" i="6"/>
  <c r="AF731" i="6"/>
  <c r="AG731" i="6"/>
  <c r="AG732" i="6"/>
  <c r="AF732" i="6"/>
  <c r="AG733" i="6"/>
  <c r="AF733" i="6"/>
  <c r="AG734" i="6"/>
  <c r="AF734" i="6"/>
  <c r="AF735" i="6"/>
  <c r="AG735" i="6"/>
  <c r="AF736" i="6"/>
  <c r="AG736" i="6"/>
  <c r="AF737" i="6"/>
  <c r="AG737" i="6"/>
  <c r="AG738" i="6"/>
  <c r="AF738" i="6"/>
  <c r="AG739" i="6"/>
  <c r="AF739" i="6"/>
  <c r="AF740" i="6"/>
  <c r="AG740" i="6"/>
  <c r="AF741" i="6"/>
  <c r="AG741" i="6"/>
  <c r="AF742" i="6"/>
  <c r="AG742" i="6"/>
  <c r="AG743" i="6"/>
  <c r="AF743" i="6"/>
  <c r="AF744" i="6"/>
  <c r="AG744" i="6"/>
  <c r="AF745" i="6"/>
  <c r="AG745" i="6"/>
  <c r="AF746" i="6"/>
  <c r="AG746" i="6"/>
  <c r="AF747" i="6"/>
  <c r="AG747" i="6"/>
  <c r="AG748" i="6"/>
  <c r="AF748" i="6"/>
  <c r="AG749" i="6"/>
  <c r="AF749" i="6"/>
  <c r="AF750" i="6"/>
  <c r="AG750" i="6"/>
  <c r="AG751" i="6"/>
  <c r="AF751" i="6"/>
  <c r="AF752" i="6"/>
  <c r="AG752" i="6"/>
  <c r="AG753" i="6"/>
  <c r="AF753" i="6"/>
  <c r="AF754" i="6"/>
  <c r="AG754" i="6"/>
  <c r="AG755" i="6"/>
  <c r="AF755" i="6"/>
  <c r="AF756" i="6"/>
  <c r="AG756" i="6"/>
  <c r="AF757" i="6"/>
  <c r="AG757" i="6"/>
  <c r="AF758" i="6"/>
  <c r="AG758" i="6"/>
  <c r="AG759" i="6"/>
  <c r="AF759" i="6"/>
  <c r="AF760" i="6"/>
  <c r="AG760" i="6"/>
  <c r="AG761" i="6"/>
  <c r="AF761" i="6"/>
  <c r="AG762" i="6"/>
  <c r="AF762" i="6"/>
  <c r="AF763" i="6"/>
  <c r="AG763" i="6"/>
  <c r="AG764" i="6"/>
  <c r="AF764" i="6"/>
  <c r="AF765" i="6"/>
  <c r="AG765" i="6"/>
  <c r="AG766" i="6"/>
  <c r="AF766" i="6"/>
  <c r="AF767" i="6"/>
  <c r="AG767" i="6"/>
  <c r="AF768" i="6"/>
  <c r="AG768" i="6"/>
  <c r="AF769" i="6"/>
  <c r="AG769" i="6"/>
  <c r="AG770" i="6"/>
  <c r="AF770" i="6"/>
  <c r="AG771" i="6"/>
  <c r="AF771" i="6"/>
  <c r="AF772" i="6"/>
  <c r="AG772" i="6"/>
  <c r="AG773" i="6"/>
  <c r="AF773" i="6"/>
  <c r="AF774" i="6"/>
  <c r="AG774" i="6"/>
  <c r="AF775" i="6"/>
  <c r="AG775" i="6"/>
  <c r="AF776" i="6"/>
  <c r="AG776" i="6"/>
  <c r="AF777" i="6"/>
  <c r="AG777" i="6"/>
  <c r="AF778" i="6"/>
  <c r="AG778" i="6"/>
  <c r="AF779" i="6"/>
  <c r="AG779" i="6"/>
  <c r="AF780" i="6"/>
  <c r="AG780" i="6"/>
  <c r="AG781" i="6"/>
  <c r="AF781" i="6"/>
  <c r="AF782" i="6"/>
  <c r="AG782" i="6"/>
  <c r="AG783" i="6"/>
  <c r="AF783" i="6"/>
  <c r="AF784" i="6"/>
  <c r="AG784" i="6"/>
  <c r="AF785" i="6"/>
  <c r="AG785" i="6"/>
  <c r="AF786" i="6"/>
  <c r="AG786" i="6"/>
  <c r="AG787" i="6"/>
  <c r="AF787" i="6"/>
  <c r="AF788" i="6"/>
  <c r="AG788" i="6"/>
  <c r="AF789" i="6"/>
  <c r="AG789" i="6"/>
  <c r="AG790" i="6"/>
  <c r="AF790" i="6"/>
  <c r="AF791" i="6"/>
  <c r="AG791" i="6"/>
  <c r="AF792" i="6"/>
  <c r="AG792" i="6"/>
  <c r="AG793" i="6"/>
  <c r="AF793" i="6"/>
  <c r="AG794" i="6"/>
  <c r="AF794" i="6"/>
  <c r="AF795" i="6"/>
  <c r="AG795" i="6"/>
  <c r="AG796" i="6"/>
  <c r="AF796" i="6"/>
  <c r="AF797" i="6"/>
  <c r="AG797" i="6"/>
  <c r="AG798" i="6"/>
  <c r="AF798" i="6"/>
  <c r="AG799" i="6"/>
  <c r="AF799" i="6"/>
  <c r="AF800" i="6"/>
  <c r="AG800" i="6"/>
  <c r="AF801" i="6"/>
  <c r="AG801" i="6"/>
  <c r="AF802" i="6"/>
  <c r="AG802" i="6"/>
  <c r="AF803" i="6"/>
  <c r="AG803" i="6"/>
  <c r="AF804" i="6"/>
  <c r="AG804" i="6"/>
  <c r="AF805" i="6"/>
  <c r="AG805" i="6"/>
  <c r="AF806" i="6"/>
  <c r="AG806" i="6"/>
  <c r="AF807" i="6"/>
  <c r="AG807" i="6"/>
  <c r="AG808" i="6"/>
  <c r="AF808" i="6"/>
  <c r="AF809" i="6"/>
  <c r="AG809" i="6"/>
  <c r="AF810" i="6"/>
  <c r="AG810" i="6"/>
  <c r="AF811" i="6"/>
  <c r="AG811" i="6"/>
  <c r="AG812" i="6"/>
  <c r="AF812" i="6"/>
  <c r="AG813" i="6"/>
  <c r="AF813" i="6"/>
  <c r="AG814" i="6"/>
  <c r="AF814" i="6"/>
  <c r="AF815" i="6"/>
  <c r="AG815" i="6"/>
  <c r="AG816" i="6"/>
  <c r="AF816" i="6"/>
  <c r="AF817" i="6"/>
  <c r="AG817" i="6"/>
  <c r="AF818" i="6"/>
  <c r="AG818" i="6"/>
  <c r="AF819" i="6"/>
  <c r="AG819" i="6"/>
  <c r="AG820" i="6"/>
  <c r="AF820" i="6"/>
  <c r="AF821" i="6"/>
  <c r="AG821" i="6"/>
  <c r="AG822" i="6"/>
  <c r="AF822" i="6"/>
  <c r="AG823" i="6"/>
  <c r="AF823" i="6"/>
  <c r="AF824" i="6"/>
  <c r="AG824" i="6"/>
  <c r="AG825" i="6"/>
  <c r="AF825" i="6"/>
  <c r="AF826" i="6"/>
  <c r="AG826" i="6"/>
  <c r="AF827" i="6"/>
  <c r="AG827" i="6"/>
  <c r="AF828" i="6"/>
  <c r="AG828" i="6"/>
  <c r="AF829" i="6"/>
  <c r="AG829" i="6"/>
  <c r="AG830" i="6"/>
  <c r="AF830" i="6"/>
  <c r="AG831" i="6"/>
  <c r="AF831" i="6"/>
  <c r="AF832" i="6"/>
  <c r="AG832" i="6"/>
  <c r="AF833" i="6"/>
  <c r="AG833" i="6"/>
  <c r="AG834" i="6"/>
  <c r="AF834" i="6"/>
  <c r="AG835" i="6"/>
  <c r="AF835" i="6"/>
  <c r="AF836" i="6"/>
  <c r="AG836" i="6"/>
  <c r="AF837" i="6"/>
  <c r="AG837" i="6"/>
  <c r="AG838" i="6"/>
  <c r="AF838" i="6"/>
  <c r="AG839" i="6"/>
  <c r="AF839" i="6"/>
  <c r="AG840" i="6"/>
  <c r="AF840" i="6"/>
  <c r="AF841" i="6"/>
  <c r="AG841" i="6"/>
  <c r="AF842" i="6"/>
  <c r="AG842" i="6"/>
  <c r="AG843" i="6"/>
  <c r="AF843" i="6"/>
  <c r="AG844" i="6"/>
  <c r="AF844" i="6"/>
  <c r="AF845" i="6"/>
  <c r="AG845" i="6"/>
  <c r="AG846" i="6"/>
  <c r="AF846" i="6"/>
  <c r="AF847" i="6"/>
  <c r="AG847" i="6"/>
  <c r="AG848" i="6"/>
  <c r="AF848" i="6"/>
  <c r="AG849" i="6"/>
  <c r="AF849" i="6"/>
  <c r="AG850" i="6"/>
  <c r="AF850" i="6"/>
  <c r="AF851" i="6"/>
  <c r="AG851" i="6"/>
  <c r="AF852" i="6"/>
  <c r="AG852" i="6"/>
  <c r="AF853" i="6"/>
  <c r="AG853" i="6"/>
  <c r="AG854" i="6"/>
  <c r="AF854" i="6"/>
  <c r="AF855" i="6"/>
  <c r="AG855" i="6"/>
  <c r="AG856" i="6"/>
  <c r="AF856" i="6"/>
  <c r="AF857" i="6"/>
  <c r="AG857" i="6"/>
  <c r="AG858" i="6"/>
  <c r="AF858" i="6"/>
  <c r="AF859" i="6"/>
  <c r="AG859" i="6"/>
  <c r="AF860" i="6"/>
  <c r="AG860" i="6"/>
  <c r="AF861" i="6"/>
  <c r="AG861" i="6"/>
  <c r="AG862" i="6"/>
  <c r="AF862" i="6"/>
  <c r="AG863" i="6"/>
  <c r="AF863" i="6"/>
  <c r="AF864" i="6"/>
  <c r="AG864" i="6"/>
  <c r="AG865" i="6"/>
  <c r="AF865" i="6"/>
  <c r="AF866" i="6"/>
  <c r="AG866" i="6"/>
  <c r="AG867" i="6"/>
  <c r="AF867" i="6"/>
  <c r="AF868" i="6"/>
  <c r="AG868" i="6"/>
  <c r="AF869" i="6"/>
  <c r="AG869" i="6"/>
  <c r="AF870" i="6"/>
  <c r="AG870" i="6"/>
  <c r="AF871" i="6"/>
  <c r="AG871" i="6"/>
  <c r="AG872" i="6"/>
  <c r="AF872" i="6"/>
  <c r="AG873" i="6"/>
  <c r="AF873" i="6"/>
  <c r="AG874" i="6"/>
  <c r="AF874" i="6"/>
  <c r="AF875" i="6"/>
  <c r="AG875" i="6"/>
  <c r="AF876" i="6"/>
  <c r="AG876" i="6"/>
  <c r="AG877" i="6"/>
  <c r="AF877" i="6"/>
  <c r="AG878" i="6"/>
  <c r="AF878" i="6"/>
  <c r="AG879" i="6"/>
  <c r="AF879" i="6"/>
  <c r="AF880" i="6"/>
  <c r="AG880" i="6"/>
  <c r="AG881" i="6"/>
  <c r="AF881" i="6"/>
  <c r="AG882" i="6"/>
  <c r="AF882" i="6"/>
  <c r="AF883" i="6"/>
  <c r="AG883" i="6"/>
  <c r="AG884" i="6"/>
  <c r="AF884" i="6"/>
  <c r="AF885" i="6"/>
  <c r="AG885" i="6"/>
  <c r="AG886" i="6"/>
  <c r="AF886" i="6"/>
  <c r="AF887" i="6"/>
  <c r="AG887" i="6"/>
  <c r="AF888" i="6"/>
  <c r="AG888" i="6"/>
  <c r="AG889" i="6"/>
  <c r="AF889" i="6"/>
  <c r="AF890" i="6"/>
  <c r="AG890" i="6"/>
  <c r="AG891" i="6"/>
  <c r="AF891" i="6"/>
  <c r="AF892" i="6"/>
  <c r="AG892" i="6"/>
  <c r="AG893" i="6"/>
  <c r="AF893" i="6"/>
  <c r="AF894" i="6"/>
  <c r="AG894" i="6"/>
  <c r="AG895" i="6"/>
  <c r="AF895" i="6"/>
  <c r="AG896" i="6"/>
  <c r="AF896" i="6"/>
  <c r="AG897" i="6"/>
  <c r="AF897" i="6"/>
  <c r="AG898" i="6"/>
  <c r="AF898" i="6"/>
  <c r="AG899" i="6"/>
  <c r="AF899" i="6"/>
  <c r="AG900" i="6"/>
  <c r="AF900" i="6"/>
  <c r="AG901" i="6"/>
  <c r="AF901" i="6"/>
  <c r="AG902" i="6"/>
  <c r="AF902" i="6"/>
  <c r="AF903" i="6"/>
  <c r="AG903" i="6"/>
  <c r="AG904" i="6"/>
  <c r="AF904" i="6"/>
  <c r="AG905" i="6"/>
  <c r="AF905" i="6"/>
  <c r="AF906" i="6"/>
  <c r="AG906" i="6"/>
  <c r="AG907" i="6"/>
  <c r="AF907" i="6"/>
  <c r="AG908" i="6"/>
  <c r="AF908" i="6"/>
  <c r="AG909" i="6"/>
  <c r="AF909" i="6"/>
  <c r="AF910" i="6"/>
  <c r="AG910" i="6"/>
  <c r="AG911" i="6"/>
  <c r="AF911" i="6"/>
  <c r="AG912" i="6"/>
  <c r="AF912" i="6"/>
  <c r="AF913" i="6"/>
  <c r="AG913" i="6"/>
  <c r="AG914" i="6"/>
  <c r="AF914" i="6"/>
  <c r="AF915" i="6"/>
  <c r="AG915" i="6"/>
  <c r="AG916" i="6"/>
  <c r="AF916" i="6"/>
  <c r="AG917" i="6"/>
  <c r="AF917" i="6"/>
  <c r="AG918" i="6"/>
  <c r="AF918" i="6"/>
  <c r="AF919" i="6"/>
  <c r="AG919" i="6"/>
  <c r="AG920" i="6"/>
  <c r="AF920" i="6"/>
  <c r="AG921" i="6"/>
  <c r="AF921" i="6"/>
  <c r="AF922" i="6"/>
  <c r="AG922" i="6"/>
  <c r="AG923" i="6"/>
  <c r="AF923" i="6"/>
  <c r="AF924" i="6"/>
  <c r="AG924" i="6"/>
  <c r="AG925" i="6"/>
  <c r="AF925" i="6"/>
  <c r="AG926" i="6"/>
  <c r="AF926" i="6"/>
  <c r="AF927" i="6"/>
  <c r="AG927" i="6"/>
  <c r="AF928" i="6"/>
  <c r="AG928" i="6"/>
  <c r="AF929" i="6"/>
  <c r="AG929" i="6"/>
  <c r="AF930" i="6"/>
  <c r="AG930" i="6"/>
  <c r="AG931" i="6"/>
  <c r="AF931" i="6"/>
  <c r="AG932" i="6"/>
  <c r="AF932" i="6"/>
  <c r="AF933" i="6"/>
  <c r="AG933" i="6"/>
  <c r="AG934" i="6"/>
  <c r="AF934" i="6"/>
  <c r="AF935" i="6"/>
  <c r="AG935" i="6"/>
  <c r="AF936" i="6"/>
  <c r="AG936" i="6"/>
  <c r="AF937" i="6"/>
  <c r="AG937" i="6"/>
  <c r="AF938" i="6"/>
  <c r="AG938" i="6"/>
  <c r="AG939" i="6"/>
  <c r="AF939" i="6"/>
  <c r="AF940" i="6"/>
  <c r="AG940" i="6"/>
  <c r="AG941" i="6"/>
  <c r="AF941" i="6"/>
  <c r="AF942" i="6"/>
  <c r="AG942" i="6"/>
  <c r="AF943" i="6"/>
  <c r="AG943" i="6"/>
  <c r="AF944" i="6"/>
  <c r="AG944" i="6"/>
  <c r="AG945" i="6"/>
  <c r="AF945" i="6"/>
  <c r="AF946" i="6"/>
  <c r="AG946" i="6"/>
  <c r="AF947" i="6"/>
  <c r="AG947" i="6"/>
  <c r="AF948" i="6"/>
  <c r="AG948" i="6"/>
  <c r="AF949" i="6"/>
  <c r="AG949" i="6"/>
  <c r="AG950" i="6"/>
  <c r="AF950" i="6"/>
  <c r="AG951" i="6"/>
  <c r="AF951" i="6"/>
  <c r="AF952" i="6"/>
  <c r="AG952" i="6"/>
  <c r="AF953" i="6"/>
  <c r="AG953" i="6"/>
  <c r="AG954" i="6"/>
  <c r="AF954" i="6"/>
  <c r="AG955" i="6"/>
  <c r="AF955" i="6"/>
  <c r="AG956" i="6"/>
  <c r="AF956" i="6"/>
  <c r="AF957" i="6"/>
  <c r="AG957" i="6"/>
  <c r="AG958" i="6"/>
  <c r="AF958" i="6"/>
  <c r="AF959" i="6"/>
  <c r="AG959" i="6"/>
  <c r="AF960" i="6"/>
  <c r="AG960" i="6"/>
  <c r="AG961" i="6"/>
  <c r="AF961" i="6"/>
  <c r="AG962" i="6"/>
  <c r="AF962" i="6"/>
  <c r="AF963" i="6"/>
  <c r="AG963" i="6"/>
  <c r="AG964" i="6"/>
  <c r="AF964" i="6"/>
  <c r="AG965" i="6"/>
  <c r="AF965" i="6"/>
  <c r="AG966" i="6"/>
  <c r="AF966" i="6"/>
  <c r="AG967" i="6"/>
  <c r="AF967" i="6"/>
  <c r="AG968" i="6"/>
  <c r="AF968" i="6"/>
  <c r="AF969" i="6"/>
  <c r="AG969" i="6"/>
  <c r="AF970" i="6"/>
  <c r="AG970" i="6"/>
  <c r="AG971" i="6"/>
  <c r="AF971" i="6"/>
  <c r="AF972" i="6"/>
  <c r="AG972" i="6"/>
  <c r="AF973" i="6"/>
  <c r="AG973" i="6"/>
  <c r="AF974" i="6"/>
  <c r="AG974" i="6"/>
  <c r="AF975" i="6"/>
  <c r="AG975" i="6"/>
  <c r="AG976" i="6"/>
  <c r="AF976" i="6"/>
  <c r="AG977" i="6"/>
  <c r="AF977" i="6"/>
  <c r="AF978" i="6"/>
  <c r="AG978" i="6"/>
  <c r="AF979" i="6"/>
  <c r="AG979" i="6"/>
  <c r="AF980" i="6"/>
  <c r="AG980" i="6"/>
  <c r="AG981" i="6"/>
  <c r="AF981" i="6"/>
  <c r="AF982" i="6"/>
  <c r="AG982" i="6"/>
  <c r="AF983" i="6"/>
  <c r="AG983" i="6"/>
  <c r="AG984" i="6"/>
  <c r="AF984" i="6"/>
  <c r="AG985" i="6"/>
  <c r="AF985" i="6"/>
  <c r="AF986" i="6"/>
  <c r="AG986" i="6"/>
  <c r="AF987" i="6"/>
  <c r="AG987" i="6"/>
  <c r="AF988" i="6"/>
  <c r="AG988" i="6"/>
  <c r="AG989" i="6"/>
  <c r="AF989" i="6"/>
  <c r="AG990" i="6"/>
  <c r="AF990" i="6"/>
  <c r="AF991" i="6"/>
  <c r="AG991" i="6"/>
  <c r="AF992" i="6"/>
  <c r="AG992" i="6"/>
  <c r="AG993" i="6"/>
  <c r="AF993" i="6"/>
  <c r="AF994" i="6"/>
  <c r="AG994" i="6"/>
  <c r="AF995" i="6"/>
  <c r="AG995" i="6"/>
  <c r="AG996" i="6"/>
  <c r="AF996" i="6"/>
  <c r="AF997" i="6"/>
  <c r="AG997" i="6"/>
  <c r="AF998" i="6"/>
  <c r="AG998" i="6"/>
  <c r="AG999" i="6"/>
  <c r="AF999" i="6"/>
  <c r="AG1000" i="6"/>
  <c r="AF1000" i="6"/>
  <c r="AG1001" i="6"/>
  <c r="AF1001" i="6"/>
  <c r="AF1002" i="6"/>
  <c r="AG1002" i="6"/>
  <c r="AG1003" i="6"/>
  <c r="AF1003" i="6"/>
  <c r="AF1004" i="6"/>
  <c r="AG1004" i="6"/>
  <c r="AG1005" i="6"/>
  <c r="AF1005" i="6"/>
  <c r="AF1006" i="6"/>
  <c r="AG1006" i="6"/>
  <c r="AG1007" i="6"/>
  <c r="AF1007" i="6"/>
  <c r="AI11" i="3"/>
  <c r="AH11" i="3"/>
  <c r="AI12" i="3"/>
  <c r="AH12" i="3"/>
  <c r="AI13" i="3"/>
  <c r="AH13" i="3"/>
  <c r="AH14" i="3"/>
  <c r="AI14" i="3"/>
  <c r="AH15" i="3"/>
  <c r="AI15" i="3"/>
  <c r="AI16" i="3"/>
  <c r="AH16" i="3"/>
  <c r="AH17" i="3"/>
  <c r="AI17" i="3"/>
  <c r="AI18" i="3"/>
  <c r="AH18" i="3"/>
  <c r="AI19" i="3"/>
  <c r="AH19" i="3"/>
  <c r="AH20" i="3"/>
  <c r="AI20" i="3"/>
  <c r="AI21" i="3"/>
  <c r="AH21" i="3"/>
  <c r="AI22" i="3"/>
  <c r="AH22" i="3"/>
  <c r="AI23" i="3"/>
  <c r="AH23" i="3"/>
  <c r="AH24" i="3"/>
  <c r="AI24" i="3"/>
  <c r="AI25" i="3"/>
  <c r="AH25" i="3"/>
  <c r="AI26" i="3"/>
  <c r="AH26" i="3"/>
  <c r="AI27" i="3"/>
  <c r="AH27" i="3"/>
  <c r="AH28" i="3"/>
  <c r="AI28" i="3"/>
  <c r="AH29" i="3"/>
  <c r="AI29" i="3"/>
  <c r="AI30" i="3"/>
  <c r="AH30" i="3"/>
  <c r="AI31" i="3"/>
  <c r="AH31" i="3"/>
  <c r="AH32" i="3"/>
  <c r="AI32" i="3"/>
  <c r="AI33" i="3"/>
  <c r="AH33" i="3"/>
  <c r="AH34" i="3"/>
  <c r="AI34" i="3"/>
  <c r="AH35" i="3"/>
  <c r="AI35" i="3"/>
  <c r="AH36" i="3"/>
  <c r="AI36" i="3"/>
  <c r="AI37" i="3"/>
  <c r="AH37" i="3"/>
  <c r="AH38" i="3"/>
  <c r="AI38" i="3"/>
  <c r="AH39" i="3"/>
  <c r="AI39" i="3"/>
  <c r="AI40" i="3"/>
  <c r="AH40" i="3"/>
  <c r="AI41" i="3"/>
  <c r="AH41" i="3"/>
  <c r="AI42" i="3"/>
  <c r="AH42" i="3"/>
  <c r="AI43" i="3"/>
  <c r="AH43" i="3"/>
  <c r="AI44" i="3"/>
  <c r="AH44" i="3"/>
  <c r="AI45" i="3"/>
  <c r="AH45" i="3"/>
  <c r="AH46" i="3"/>
  <c r="AI46" i="3"/>
  <c r="AH47" i="3"/>
  <c r="AI47" i="3"/>
  <c r="AI48" i="3"/>
  <c r="AH48" i="3"/>
  <c r="AH49" i="3"/>
  <c r="AI49" i="3"/>
  <c r="AI50" i="3"/>
  <c r="AH50" i="3"/>
  <c r="AI51" i="3"/>
  <c r="AH51" i="3"/>
  <c r="AH52" i="3"/>
  <c r="AI52" i="3"/>
  <c r="AH53" i="3"/>
  <c r="AI53" i="3"/>
  <c r="AH54" i="3"/>
  <c r="AI54" i="3"/>
  <c r="AI55" i="3"/>
  <c r="AH55" i="3"/>
  <c r="AI56" i="3"/>
  <c r="AH56" i="3"/>
  <c r="AH57" i="3"/>
  <c r="AI57" i="3"/>
  <c r="AH58" i="3"/>
  <c r="AI58" i="3"/>
  <c r="AH59" i="3"/>
  <c r="AI59" i="3"/>
  <c r="AI60" i="3"/>
  <c r="AH60" i="3"/>
  <c r="AH61" i="3"/>
  <c r="AI61" i="3"/>
  <c r="AI62" i="3"/>
  <c r="AH62" i="3"/>
  <c r="AH63" i="3"/>
  <c r="AI63" i="3"/>
  <c r="AI64" i="3"/>
  <c r="AH64" i="3"/>
  <c r="AH65" i="3"/>
  <c r="AI65" i="3"/>
  <c r="AH66" i="3"/>
  <c r="AI66" i="3"/>
  <c r="AI67" i="3"/>
  <c r="AH67" i="3"/>
  <c r="AI68" i="3"/>
  <c r="AH68" i="3"/>
  <c r="AH69" i="3"/>
  <c r="AI69" i="3"/>
  <c r="AI70" i="3"/>
  <c r="AH70" i="3"/>
  <c r="AI71" i="3"/>
  <c r="AH71" i="3"/>
  <c r="AH72" i="3"/>
  <c r="AI72" i="3"/>
  <c r="AH73" i="3"/>
  <c r="AI73" i="3"/>
  <c r="AH74" i="3"/>
  <c r="AI74" i="3"/>
  <c r="AI75" i="3"/>
  <c r="AH75" i="3"/>
  <c r="AH76" i="3"/>
  <c r="AI76" i="3"/>
  <c r="AH77" i="3"/>
  <c r="AI77" i="3"/>
  <c r="AH78" i="3"/>
  <c r="AI78" i="3"/>
  <c r="AI79" i="3"/>
  <c r="AH79" i="3"/>
  <c r="AI80" i="3"/>
  <c r="AH80" i="3"/>
  <c r="AI81" i="3"/>
  <c r="AH81" i="3"/>
  <c r="AH82" i="3"/>
  <c r="AI82" i="3"/>
  <c r="AH83" i="3"/>
  <c r="AI83" i="3"/>
  <c r="AH84" i="3"/>
  <c r="AI84" i="3"/>
  <c r="AI85" i="3"/>
  <c r="AH85" i="3"/>
  <c r="AH86" i="3"/>
  <c r="AI86" i="3"/>
  <c r="AI87" i="3"/>
  <c r="AH87" i="3"/>
  <c r="AI88" i="3"/>
  <c r="AH88" i="3"/>
  <c r="AI89" i="3"/>
  <c r="AH89" i="3"/>
  <c r="AH90" i="3"/>
  <c r="AI90" i="3"/>
  <c r="AH91" i="3"/>
  <c r="AI91" i="3"/>
  <c r="AH92" i="3"/>
  <c r="AI92" i="3"/>
  <c r="AI93" i="3"/>
  <c r="AH93" i="3"/>
  <c r="AH94" i="3"/>
  <c r="AI94" i="3"/>
  <c r="AI95" i="3"/>
  <c r="AH95" i="3"/>
  <c r="AI96" i="3"/>
  <c r="AH96" i="3"/>
  <c r="AK97" i="3"/>
  <c r="AJ97" i="3"/>
  <c r="AH98" i="3"/>
  <c r="AI98" i="3"/>
  <c r="AI99" i="3"/>
  <c r="AH99" i="3"/>
  <c r="AH100" i="3"/>
  <c r="AI100" i="3"/>
  <c r="AH101" i="3"/>
  <c r="AI101" i="3"/>
  <c r="AI102" i="3"/>
  <c r="AH102" i="3"/>
  <c r="AH103" i="3"/>
  <c r="AI103" i="3"/>
  <c r="AH104" i="3"/>
  <c r="AI104" i="3"/>
  <c r="AI105" i="3"/>
  <c r="AH105" i="3"/>
  <c r="AI106" i="3"/>
  <c r="AH106" i="3"/>
  <c r="AI107" i="3"/>
  <c r="AH107" i="3"/>
  <c r="AH108" i="3"/>
  <c r="AI108" i="3"/>
  <c r="AI109" i="3"/>
  <c r="AH109" i="3"/>
  <c r="AH110" i="3"/>
  <c r="AI110" i="3"/>
  <c r="AI111" i="3"/>
  <c r="AH111" i="3"/>
  <c r="AI112" i="3"/>
  <c r="AH112" i="3"/>
  <c r="AH113" i="3"/>
  <c r="AI113" i="3"/>
  <c r="AI114" i="3"/>
  <c r="AH114" i="3"/>
  <c r="AH115" i="3"/>
  <c r="AI115" i="3"/>
  <c r="AI116" i="3"/>
  <c r="AH116" i="3"/>
  <c r="AI117" i="3"/>
  <c r="AH117" i="3"/>
  <c r="AI118" i="3"/>
  <c r="AH118" i="3"/>
  <c r="AI119" i="3"/>
  <c r="AH119" i="3"/>
  <c r="AI120" i="3"/>
  <c r="AH120" i="3"/>
  <c r="AH121" i="3"/>
  <c r="AI121" i="3"/>
  <c r="AH122" i="3"/>
  <c r="AI122" i="3"/>
  <c r="AI123" i="3"/>
  <c r="AH123" i="3"/>
  <c r="AH124" i="3"/>
  <c r="AI124" i="3"/>
  <c r="AI125" i="3"/>
  <c r="AH125" i="3"/>
  <c r="AI126" i="3"/>
  <c r="AH126" i="3"/>
  <c r="AI127" i="3"/>
  <c r="AH127" i="3"/>
  <c r="AI128" i="3"/>
  <c r="AH128" i="3"/>
  <c r="AH129" i="3"/>
  <c r="AI129" i="3"/>
  <c r="AH130" i="3"/>
  <c r="AI130" i="3"/>
  <c r="AI131" i="3"/>
  <c r="AH131" i="3"/>
  <c r="AI132" i="3"/>
  <c r="AH132" i="3"/>
  <c r="AH133" i="3"/>
  <c r="AI133" i="3"/>
  <c r="AI134" i="3"/>
  <c r="AH134" i="3"/>
  <c r="AI135" i="3"/>
  <c r="AH135" i="3"/>
  <c r="AI136" i="3"/>
  <c r="AH136" i="3"/>
  <c r="AH137" i="3"/>
  <c r="AI137" i="3"/>
  <c r="AI138" i="3"/>
  <c r="AH138" i="3"/>
  <c r="AH139" i="3"/>
  <c r="AI139" i="3"/>
  <c r="AI140" i="3"/>
  <c r="AH140" i="3"/>
  <c r="AI141" i="3"/>
  <c r="AH141" i="3"/>
  <c r="AI142" i="3"/>
  <c r="AH142" i="3"/>
  <c r="AI143" i="3"/>
  <c r="AH143" i="3"/>
  <c r="AH144" i="3"/>
  <c r="AI144" i="3"/>
  <c r="AI145" i="3"/>
  <c r="AH145" i="3"/>
  <c r="AH146" i="3"/>
  <c r="AI146" i="3"/>
  <c r="AI147" i="3"/>
  <c r="AH147" i="3"/>
  <c r="AH148" i="3"/>
  <c r="AI148" i="3"/>
  <c r="AI149" i="3"/>
  <c r="AH149" i="3"/>
  <c r="AI150" i="3"/>
  <c r="AH150" i="3"/>
  <c r="AI151" i="3"/>
  <c r="AH151" i="3"/>
  <c r="AH152" i="3"/>
  <c r="AI152" i="3"/>
  <c r="AI153" i="3"/>
  <c r="AH153" i="3"/>
  <c r="AI154" i="3"/>
  <c r="AH154" i="3"/>
  <c r="AH155" i="3"/>
  <c r="AI155" i="3"/>
  <c r="AI156" i="3"/>
  <c r="AH156" i="3"/>
  <c r="AI157" i="3"/>
  <c r="AH157" i="3"/>
  <c r="AI158" i="3"/>
  <c r="AH158" i="3"/>
  <c r="AI159" i="3"/>
  <c r="AH159" i="3"/>
  <c r="AI160" i="3"/>
  <c r="AH160" i="3"/>
  <c r="AH161" i="3"/>
  <c r="AI161" i="3"/>
  <c r="AH162" i="3"/>
  <c r="AI162" i="3"/>
  <c r="AI163" i="3"/>
  <c r="AH163" i="3"/>
  <c r="AI164" i="3"/>
  <c r="AH164" i="3"/>
  <c r="AH165" i="3"/>
  <c r="AI165" i="3"/>
  <c r="AH166" i="3"/>
  <c r="AI166" i="3"/>
  <c r="AH167" i="3"/>
  <c r="AI167" i="3"/>
  <c r="AH168" i="3"/>
  <c r="AI168" i="3"/>
  <c r="AI169" i="3"/>
  <c r="AH169" i="3"/>
  <c r="AH170" i="3"/>
  <c r="AI170" i="3"/>
  <c r="AH171" i="3"/>
  <c r="AI171" i="3"/>
  <c r="AI172" i="3"/>
  <c r="AH172" i="3"/>
  <c r="AI173" i="3"/>
  <c r="AH173" i="3"/>
  <c r="AI174" i="3"/>
  <c r="AH174" i="3"/>
  <c r="AH175" i="3"/>
  <c r="AI175" i="3"/>
  <c r="AH176" i="3"/>
  <c r="AI176" i="3"/>
  <c r="AI177" i="3"/>
  <c r="AH177" i="3"/>
  <c r="AI178" i="3"/>
  <c r="AH178" i="3"/>
  <c r="AI179" i="3"/>
  <c r="AH179" i="3"/>
  <c r="AH180" i="3"/>
  <c r="AI180" i="3"/>
  <c r="AI181" i="3"/>
  <c r="AH181" i="3"/>
  <c r="AI182" i="3"/>
  <c r="AH182" i="3"/>
  <c r="AI183" i="3"/>
  <c r="AH183" i="3"/>
  <c r="AI184" i="3"/>
  <c r="AH184" i="3"/>
  <c r="AI185" i="3"/>
  <c r="AH185" i="3"/>
  <c r="AH186" i="3"/>
  <c r="AI186" i="3"/>
  <c r="AI187" i="3"/>
  <c r="AH187" i="3"/>
  <c r="AH188" i="3"/>
  <c r="AI188" i="3"/>
  <c r="AH189" i="3"/>
  <c r="AI189" i="3"/>
  <c r="AI190" i="3"/>
  <c r="AH190" i="3"/>
  <c r="AI191" i="3"/>
  <c r="AH191" i="3"/>
  <c r="AH192" i="3"/>
  <c r="AI192" i="3"/>
  <c r="AH193" i="3"/>
  <c r="AI193" i="3"/>
  <c r="AH194" i="3"/>
  <c r="AI194" i="3"/>
  <c r="AI195" i="3"/>
  <c r="AH195" i="3"/>
  <c r="AH196" i="3"/>
  <c r="AI196" i="3"/>
  <c r="AI197" i="3"/>
  <c r="AH197" i="3"/>
  <c r="AH198" i="3"/>
  <c r="AI198" i="3"/>
  <c r="AI199" i="3"/>
  <c r="AH199" i="3"/>
  <c r="AI200" i="3"/>
  <c r="AH200" i="3"/>
  <c r="AH201" i="3"/>
  <c r="AI201" i="3"/>
  <c r="AI202" i="3"/>
  <c r="AH202" i="3"/>
  <c r="AH203" i="3"/>
  <c r="AI203" i="3"/>
  <c r="AI204" i="3"/>
  <c r="AH204" i="3"/>
  <c r="AI205" i="3"/>
  <c r="AH205" i="3"/>
  <c r="AI206" i="3"/>
  <c r="AH206" i="3"/>
  <c r="AH207" i="3"/>
  <c r="AI207" i="3"/>
  <c r="AH208" i="3"/>
  <c r="AI208" i="3"/>
  <c r="AI209" i="3"/>
  <c r="AH209" i="3"/>
  <c r="AH210" i="3"/>
  <c r="AI210" i="3"/>
  <c r="AH211" i="3"/>
  <c r="AI211" i="3"/>
  <c r="AH212" i="3"/>
  <c r="AI212" i="3"/>
  <c r="AI213" i="3"/>
  <c r="AH213" i="3"/>
  <c r="AI214" i="3"/>
  <c r="AH214" i="3"/>
  <c r="AI215" i="3"/>
  <c r="AH215" i="3"/>
  <c r="AH216" i="3"/>
  <c r="AI216" i="3"/>
  <c r="AI217" i="3"/>
  <c r="AH217" i="3"/>
  <c r="AH218" i="3"/>
  <c r="AI218" i="3"/>
  <c r="AI219" i="3"/>
  <c r="AH219" i="3"/>
  <c r="AH220" i="3"/>
  <c r="AI220" i="3"/>
  <c r="AH221" i="3"/>
  <c r="AI221" i="3"/>
  <c r="AH222" i="3"/>
  <c r="AI222" i="3"/>
  <c r="AI223" i="3"/>
  <c r="AH223" i="3"/>
  <c r="AH224" i="3"/>
  <c r="AI224" i="3"/>
  <c r="AI225" i="3"/>
  <c r="AH225" i="3"/>
  <c r="AI226" i="3"/>
  <c r="AH226" i="3"/>
  <c r="AI227" i="3"/>
  <c r="AH227" i="3"/>
  <c r="AH228" i="3"/>
  <c r="AI228" i="3"/>
  <c r="AI229" i="3"/>
  <c r="AH229" i="3"/>
  <c r="AH230" i="3"/>
  <c r="AI230" i="3"/>
  <c r="AH231" i="3"/>
  <c r="AI231" i="3"/>
  <c r="AI232" i="3"/>
  <c r="AH232" i="3"/>
  <c r="AH233" i="3"/>
  <c r="AI233" i="3"/>
  <c r="AI234" i="3"/>
  <c r="AH234" i="3"/>
  <c r="AH235" i="3"/>
  <c r="AI235" i="3"/>
  <c r="AI236" i="3"/>
  <c r="AH236" i="3"/>
  <c r="AH237" i="3"/>
  <c r="AI237" i="3"/>
  <c r="AI238" i="3"/>
  <c r="AH238" i="3"/>
  <c r="AH239" i="3"/>
  <c r="AI239" i="3"/>
  <c r="AH240" i="3"/>
  <c r="AI240" i="3"/>
  <c r="AI241" i="3"/>
  <c r="AH241" i="3"/>
  <c r="AI242" i="3"/>
  <c r="AH242" i="3"/>
  <c r="AI243" i="3"/>
  <c r="AH243" i="3"/>
  <c r="AH244" i="3"/>
  <c r="AI244" i="3"/>
  <c r="AH245" i="3"/>
  <c r="AI245" i="3"/>
  <c r="AI246" i="3"/>
  <c r="AH246" i="3"/>
  <c r="AH247" i="3"/>
  <c r="AI247" i="3"/>
  <c r="AI248" i="3"/>
  <c r="AH248" i="3"/>
  <c r="AH249" i="3"/>
  <c r="AI249" i="3"/>
  <c r="AI250" i="3"/>
  <c r="AH250" i="3"/>
  <c r="AH251" i="3"/>
  <c r="AI251" i="3"/>
  <c r="AI252" i="3"/>
  <c r="AH252" i="3"/>
  <c r="AH253" i="3"/>
  <c r="AI253" i="3"/>
  <c r="AI254" i="3"/>
  <c r="AH254" i="3"/>
  <c r="AH255" i="3"/>
  <c r="AI255" i="3"/>
  <c r="AI256" i="3"/>
  <c r="AH256" i="3"/>
  <c r="AI257" i="3"/>
  <c r="AH257" i="3"/>
  <c r="AI258" i="3"/>
  <c r="AH258" i="3"/>
  <c r="AI259" i="3"/>
  <c r="AH259" i="3"/>
  <c r="AI260" i="3"/>
  <c r="AH260" i="3"/>
  <c r="AH261" i="3"/>
  <c r="AI261" i="3"/>
  <c r="AI262" i="3"/>
  <c r="AH262" i="3"/>
  <c r="AI263" i="3"/>
  <c r="AH263" i="3"/>
  <c r="AI264" i="3"/>
  <c r="AH264" i="3"/>
  <c r="AI265" i="3"/>
  <c r="AH265" i="3"/>
  <c r="AI266" i="3"/>
  <c r="AH266" i="3"/>
  <c r="AH267" i="3"/>
  <c r="AI267" i="3"/>
  <c r="AI268" i="3"/>
  <c r="AH268" i="3"/>
  <c r="AI269" i="3"/>
  <c r="AH269" i="3"/>
  <c r="AH270" i="3"/>
  <c r="AI270" i="3"/>
  <c r="AH271" i="3"/>
  <c r="AI271" i="3"/>
  <c r="AH272" i="3"/>
  <c r="AI272" i="3"/>
  <c r="AI273" i="3"/>
  <c r="AH273" i="3"/>
  <c r="AH274" i="3"/>
  <c r="AI274" i="3"/>
  <c r="AI275" i="3"/>
  <c r="AH275" i="3"/>
  <c r="AH276" i="3"/>
  <c r="AI276" i="3"/>
  <c r="AI277" i="3"/>
  <c r="AH277" i="3"/>
  <c r="AH278" i="3"/>
  <c r="AI278" i="3"/>
  <c r="AH279" i="3"/>
  <c r="AI279" i="3"/>
  <c r="AH280" i="3"/>
  <c r="AI280" i="3"/>
  <c r="AI281" i="3"/>
  <c r="AH281" i="3"/>
  <c r="AI282" i="3"/>
  <c r="AH282" i="3"/>
  <c r="AI283" i="3"/>
  <c r="AH283" i="3"/>
  <c r="AH284" i="3"/>
  <c r="AI284" i="3"/>
  <c r="AI285" i="3"/>
  <c r="AH285" i="3"/>
  <c r="AH286" i="3"/>
  <c r="AI286" i="3"/>
  <c r="AI287" i="3"/>
  <c r="AH287" i="3"/>
  <c r="AI288" i="3"/>
  <c r="AH288" i="3"/>
  <c r="AI289" i="3"/>
  <c r="AH289" i="3"/>
  <c r="AI290" i="3"/>
  <c r="AH290" i="3"/>
  <c r="AH291" i="3"/>
  <c r="AI291" i="3"/>
  <c r="AI292" i="3"/>
  <c r="AH292" i="3"/>
  <c r="AH293" i="3"/>
  <c r="AI293" i="3"/>
  <c r="AI294" i="3"/>
  <c r="AH294" i="3"/>
  <c r="AH295" i="3"/>
  <c r="AI295" i="3"/>
  <c r="AH296" i="3"/>
  <c r="AI296" i="3"/>
  <c r="AI297" i="3"/>
  <c r="AH297" i="3"/>
  <c r="AH298" i="3"/>
  <c r="AI298" i="3"/>
  <c r="AH299" i="3"/>
  <c r="AI299" i="3"/>
  <c r="AI300" i="3"/>
  <c r="AH300" i="3"/>
  <c r="AH301" i="3"/>
  <c r="AI301" i="3"/>
  <c r="AI302" i="3"/>
  <c r="AH302" i="3"/>
  <c r="AI303" i="3"/>
  <c r="AH303" i="3"/>
  <c r="AH304" i="3"/>
  <c r="AI304" i="3"/>
  <c r="AI305" i="3"/>
  <c r="AH305" i="3"/>
  <c r="AH306" i="3"/>
  <c r="AI306" i="3"/>
  <c r="AH307" i="3"/>
  <c r="AI307" i="3"/>
  <c r="AI308" i="3"/>
  <c r="AH308" i="3"/>
  <c r="AI309" i="3"/>
  <c r="AH309" i="3"/>
  <c r="AI310" i="3"/>
  <c r="AH310" i="3"/>
  <c r="AI311" i="3"/>
  <c r="AH311" i="3"/>
  <c r="AI312" i="3"/>
  <c r="AH312" i="3"/>
  <c r="AI313" i="3"/>
  <c r="AH313" i="3"/>
  <c r="AI314" i="3"/>
  <c r="AH314" i="3"/>
  <c r="AI315" i="3"/>
  <c r="AH315" i="3"/>
  <c r="AI316" i="3"/>
  <c r="AH316" i="3"/>
  <c r="AI317" i="3"/>
  <c r="AH317" i="3"/>
  <c r="AH318" i="3"/>
  <c r="AI318" i="3"/>
  <c r="AH319" i="3"/>
  <c r="AI319" i="3"/>
  <c r="AH320" i="3"/>
  <c r="AI320" i="3"/>
  <c r="AI321" i="3"/>
  <c r="AH321" i="3"/>
  <c r="AH322" i="3"/>
  <c r="AI322" i="3"/>
  <c r="AI323" i="3"/>
  <c r="AH323" i="3"/>
  <c r="AI324" i="3"/>
  <c r="AH324" i="3"/>
  <c r="AI325" i="3"/>
  <c r="AH325" i="3"/>
  <c r="AH326" i="3"/>
  <c r="AI326" i="3"/>
  <c r="AI327" i="3"/>
  <c r="AH327" i="3"/>
  <c r="AH328" i="3"/>
  <c r="AI328" i="3"/>
  <c r="AI329" i="3"/>
  <c r="AH329" i="3"/>
  <c r="AI330" i="3"/>
  <c r="AH330" i="3"/>
  <c r="AI331" i="3"/>
  <c r="AH331" i="3"/>
  <c r="AH332" i="3"/>
  <c r="AI332" i="3"/>
  <c r="AH333" i="3"/>
  <c r="AI333" i="3"/>
  <c r="AI334" i="3"/>
  <c r="AH334" i="3"/>
  <c r="AI335" i="3"/>
  <c r="AH335" i="3"/>
  <c r="AI336" i="3"/>
  <c r="AH336" i="3"/>
  <c r="AH337" i="3"/>
  <c r="AI337" i="3"/>
  <c r="AH338" i="3"/>
  <c r="AI338" i="3"/>
  <c r="AI339" i="3"/>
  <c r="AH339" i="3"/>
  <c r="AH340" i="3"/>
  <c r="AI340" i="3"/>
  <c r="AH341" i="3"/>
  <c r="AI341" i="3"/>
  <c r="AH342" i="3"/>
  <c r="AI342" i="3"/>
  <c r="AI343" i="3"/>
  <c r="AH343" i="3"/>
  <c r="AH344" i="3"/>
  <c r="AI344" i="3"/>
  <c r="AI345" i="3"/>
  <c r="AH345" i="3"/>
  <c r="AI346" i="3"/>
  <c r="AH346" i="3"/>
  <c r="AI347" i="3"/>
  <c r="AH347" i="3"/>
  <c r="AH348" i="3"/>
  <c r="AI348" i="3"/>
  <c r="AI349" i="3"/>
  <c r="AH349" i="3"/>
  <c r="AI350" i="3"/>
  <c r="AH350" i="3"/>
  <c r="AI351" i="3"/>
  <c r="AH351" i="3"/>
  <c r="AI352" i="3"/>
  <c r="AH352" i="3"/>
  <c r="AI353" i="3"/>
  <c r="AH353" i="3"/>
  <c r="AI354" i="3"/>
  <c r="AH354" i="3"/>
  <c r="AI355" i="3"/>
  <c r="AH355" i="3"/>
  <c r="AI356" i="3"/>
  <c r="AH356" i="3"/>
  <c r="AI357" i="3"/>
  <c r="AH357" i="3"/>
  <c r="AH358" i="3"/>
  <c r="AI358" i="3"/>
  <c r="AI359" i="3"/>
  <c r="AH359" i="3"/>
  <c r="AH360" i="3"/>
  <c r="AI360" i="3"/>
  <c r="AI361" i="3"/>
  <c r="AH361" i="3"/>
  <c r="AH362" i="3"/>
  <c r="AI362" i="3"/>
  <c r="AI363" i="3"/>
  <c r="AH363" i="3"/>
  <c r="AI364" i="3"/>
  <c r="AH364" i="3"/>
  <c r="AI365" i="3"/>
  <c r="AH365" i="3"/>
  <c r="AH366" i="3"/>
  <c r="AI366" i="3"/>
  <c r="AH367" i="3"/>
  <c r="AI367" i="3"/>
  <c r="AH368" i="3"/>
  <c r="AI368" i="3"/>
  <c r="AI369" i="3"/>
  <c r="AH369" i="3"/>
  <c r="AH370" i="3"/>
  <c r="AI370" i="3"/>
  <c r="AH371" i="3"/>
  <c r="AI371" i="3"/>
  <c r="AI372" i="3"/>
  <c r="AH372" i="3"/>
  <c r="AI373" i="3"/>
  <c r="AH373" i="3"/>
  <c r="AI374" i="3"/>
  <c r="AH374" i="3"/>
  <c r="AH375" i="3"/>
  <c r="AI375" i="3"/>
  <c r="AH376" i="3"/>
  <c r="AI376" i="3"/>
  <c r="AI377" i="3"/>
  <c r="AH377" i="3"/>
  <c r="AI378" i="3"/>
  <c r="AH378" i="3"/>
  <c r="AH379" i="3"/>
  <c r="AI379" i="3"/>
  <c r="AI380" i="3"/>
  <c r="AH380" i="3"/>
  <c r="AI381" i="3"/>
  <c r="AH381" i="3"/>
  <c r="AI382" i="3"/>
  <c r="AH382" i="3"/>
  <c r="AH383" i="3"/>
  <c r="AI383" i="3"/>
  <c r="AI384" i="3"/>
  <c r="AH384" i="3"/>
  <c r="AH385" i="3"/>
  <c r="AI385" i="3"/>
  <c r="AI386" i="3"/>
  <c r="AH386" i="3"/>
  <c r="AH387" i="3"/>
  <c r="AI387" i="3"/>
  <c r="AH388" i="3"/>
  <c r="AI388" i="3"/>
  <c r="AH389" i="3"/>
  <c r="AI389" i="3"/>
  <c r="AI390" i="3"/>
  <c r="AH390" i="3"/>
  <c r="AI391" i="3"/>
  <c r="AH391" i="3"/>
  <c r="AH392" i="3"/>
  <c r="AI392" i="3"/>
  <c r="AH393" i="3"/>
  <c r="AI393" i="3"/>
  <c r="AI394" i="3"/>
  <c r="AH394" i="3"/>
  <c r="AH395" i="3"/>
  <c r="AI395" i="3"/>
  <c r="AI396" i="3"/>
  <c r="AH396" i="3"/>
  <c r="AH397" i="3"/>
  <c r="AI397" i="3"/>
  <c r="AI398" i="3"/>
  <c r="AH398" i="3"/>
  <c r="AI399" i="3"/>
  <c r="AH399" i="3"/>
  <c r="AH400" i="3"/>
  <c r="AI400" i="3"/>
  <c r="AH401" i="3"/>
  <c r="AI401" i="3"/>
  <c r="AH402" i="3"/>
  <c r="AI402" i="3"/>
  <c r="AI403" i="3"/>
  <c r="AH403" i="3"/>
  <c r="AH404" i="3"/>
  <c r="AI404" i="3"/>
  <c r="AI405" i="3"/>
  <c r="AH405" i="3"/>
  <c r="AI406" i="3"/>
  <c r="AH406" i="3"/>
  <c r="AH407" i="3"/>
  <c r="AI407" i="3"/>
  <c r="AI408" i="3"/>
  <c r="AH408" i="3"/>
  <c r="AI409" i="3"/>
  <c r="AH409" i="3"/>
  <c r="AI410" i="3"/>
  <c r="AH410" i="3"/>
  <c r="AH411" i="3"/>
  <c r="AI411" i="3"/>
  <c r="AI412" i="3"/>
  <c r="AH412" i="3"/>
  <c r="AI413" i="3"/>
  <c r="AH413" i="3"/>
  <c r="AI414" i="3"/>
  <c r="AH414" i="3"/>
  <c r="AI415" i="3"/>
  <c r="AH415" i="3"/>
  <c r="AI416" i="3"/>
  <c r="AH416" i="3"/>
  <c r="AI417" i="3"/>
  <c r="AH417" i="3"/>
  <c r="AI418" i="3"/>
  <c r="AH418" i="3"/>
  <c r="AI419" i="3"/>
  <c r="AH419" i="3"/>
  <c r="AH420" i="3"/>
  <c r="AI420" i="3"/>
  <c r="AH421" i="3"/>
  <c r="AI421" i="3"/>
  <c r="AI422" i="3"/>
  <c r="AH422" i="3"/>
  <c r="AI423" i="3"/>
  <c r="AH423" i="3"/>
  <c r="AI424" i="3"/>
  <c r="AH424" i="3"/>
  <c r="AI425" i="3"/>
  <c r="AH425" i="3"/>
  <c r="AH426" i="3"/>
  <c r="AI426" i="3"/>
  <c r="AI427" i="3"/>
  <c r="AH427" i="3"/>
  <c r="AI428" i="3"/>
  <c r="AH428" i="3"/>
  <c r="AH429" i="3"/>
  <c r="AI429" i="3"/>
  <c r="AI430" i="3"/>
  <c r="AH430" i="3"/>
  <c r="AI431" i="3"/>
  <c r="AH431" i="3"/>
  <c r="AI432" i="3"/>
  <c r="AH432" i="3"/>
  <c r="AI433" i="3"/>
  <c r="AH433" i="3"/>
  <c r="AI434" i="3"/>
  <c r="AH434" i="3"/>
  <c r="AI435" i="3"/>
  <c r="AH435" i="3"/>
  <c r="AH436" i="3"/>
  <c r="AI436" i="3"/>
  <c r="AI437" i="3"/>
  <c r="AH437" i="3"/>
  <c r="AI438" i="3"/>
  <c r="AH438" i="3"/>
  <c r="AI439" i="3"/>
  <c r="AH439" i="3"/>
  <c r="AH440" i="3"/>
  <c r="AI440" i="3"/>
  <c r="AI441" i="3"/>
  <c r="AH441" i="3"/>
  <c r="AH442" i="3"/>
  <c r="AI442" i="3"/>
  <c r="AH443" i="3"/>
  <c r="AI443" i="3"/>
  <c r="AI444" i="3"/>
  <c r="AH444" i="3"/>
  <c r="AI445" i="3"/>
  <c r="AH445" i="3"/>
  <c r="AI446" i="3"/>
  <c r="AH446" i="3"/>
  <c r="AH447" i="3"/>
  <c r="AI447" i="3"/>
  <c r="AI448" i="3"/>
  <c r="AH448" i="3"/>
  <c r="AI449" i="3"/>
  <c r="AH449" i="3"/>
  <c r="AH450" i="3"/>
  <c r="AI450" i="3"/>
  <c r="AH451" i="3"/>
  <c r="AI451" i="3"/>
  <c r="AI452" i="3"/>
  <c r="AH452" i="3"/>
  <c r="AH453" i="3"/>
  <c r="AI453" i="3"/>
  <c r="AI454" i="3"/>
  <c r="AH454" i="3"/>
  <c r="AI455" i="3"/>
  <c r="AH455" i="3"/>
  <c r="AI456" i="3"/>
  <c r="AH456" i="3"/>
  <c r="AH457" i="3"/>
  <c r="AI457" i="3"/>
  <c r="AH458" i="3"/>
  <c r="AI458" i="3"/>
  <c r="AH459" i="3"/>
  <c r="AI459" i="3"/>
  <c r="AI460" i="3"/>
  <c r="AH460" i="3"/>
  <c r="AH461" i="3"/>
  <c r="AI461" i="3"/>
  <c r="AI462" i="3"/>
  <c r="AH462" i="3"/>
  <c r="AH463" i="3"/>
  <c r="AI463" i="3"/>
  <c r="AI464" i="3"/>
  <c r="AH464" i="3"/>
  <c r="AI465" i="3"/>
  <c r="AH465" i="3"/>
  <c r="AH466" i="3"/>
  <c r="AI466" i="3"/>
  <c r="AI467" i="3"/>
  <c r="AH467" i="3"/>
  <c r="AH468" i="3"/>
  <c r="AI468" i="3"/>
  <c r="AH469" i="3"/>
  <c r="AI469" i="3"/>
  <c r="AI470" i="3"/>
  <c r="AH470" i="3"/>
  <c r="AI471" i="3"/>
  <c r="AH471" i="3"/>
  <c r="AH472" i="3"/>
  <c r="AI472" i="3"/>
  <c r="AH473" i="3"/>
  <c r="AI473" i="3"/>
  <c r="AI474" i="3"/>
  <c r="AH474" i="3"/>
  <c r="AH475" i="3"/>
  <c r="AI475" i="3"/>
  <c r="AH476" i="3"/>
  <c r="AI476" i="3"/>
  <c r="AH477" i="3"/>
  <c r="AI477" i="3"/>
  <c r="AH478" i="3"/>
  <c r="AI478" i="3"/>
  <c r="AI479" i="3"/>
  <c r="AH479" i="3"/>
  <c r="AH480" i="3"/>
  <c r="AI480" i="3"/>
  <c r="AH481" i="3"/>
  <c r="AI481" i="3"/>
  <c r="AH482" i="3"/>
  <c r="AI482" i="3"/>
  <c r="AH483" i="3"/>
  <c r="AI483" i="3"/>
  <c r="AH484" i="3"/>
  <c r="AI484" i="3"/>
  <c r="AH485" i="3"/>
  <c r="AI485" i="3"/>
  <c r="AI486" i="3"/>
  <c r="AH486" i="3"/>
  <c r="AI487" i="3"/>
  <c r="AH487" i="3"/>
  <c r="AI488" i="3"/>
  <c r="AH488" i="3"/>
  <c r="AI489" i="3"/>
  <c r="AH489" i="3"/>
  <c r="AI490" i="3"/>
  <c r="AH490" i="3"/>
  <c r="AI491" i="3"/>
  <c r="AH491" i="3"/>
  <c r="AH492" i="3"/>
  <c r="AI492" i="3"/>
  <c r="AI493" i="3"/>
  <c r="AH493" i="3"/>
  <c r="AH494" i="3"/>
  <c r="AI494" i="3"/>
  <c r="AH495" i="3"/>
  <c r="AI495" i="3"/>
  <c r="AI496" i="3"/>
  <c r="AH496" i="3"/>
  <c r="AH497" i="3"/>
  <c r="AI497" i="3"/>
  <c r="AI498" i="3"/>
  <c r="AH498" i="3"/>
  <c r="AI499" i="3"/>
  <c r="AH499" i="3"/>
  <c r="AI500" i="3"/>
  <c r="AH500" i="3"/>
  <c r="AI501" i="3"/>
  <c r="AH501" i="3"/>
  <c r="AI502" i="3"/>
  <c r="AH502" i="3"/>
  <c r="AI503" i="3"/>
  <c r="AH503" i="3"/>
  <c r="AH504" i="3"/>
  <c r="AI504" i="3"/>
  <c r="AH505" i="3"/>
  <c r="AI505" i="3"/>
  <c r="AH506" i="3"/>
  <c r="AI506" i="3"/>
  <c r="AI507" i="3"/>
  <c r="AH507" i="3"/>
  <c r="AH508" i="3"/>
  <c r="AI508" i="3"/>
  <c r="AI509" i="3"/>
  <c r="AH509" i="3"/>
  <c r="AH510" i="3"/>
  <c r="AI510" i="3"/>
  <c r="AH511" i="3"/>
  <c r="AI511" i="3"/>
  <c r="AH512" i="3"/>
  <c r="AI512" i="3"/>
  <c r="AH513" i="3"/>
  <c r="AI513" i="3"/>
  <c r="AH514" i="3"/>
  <c r="AI514" i="3"/>
  <c r="AI515" i="3"/>
  <c r="AH515" i="3"/>
  <c r="AI516" i="3"/>
  <c r="AH516" i="3"/>
  <c r="AH517" i="3"/>
  <c r="AI517" i="3"/>
  <c r="AI518" i="3"/>
  <c r="AH518" i="3"/>
  <c r="AH519" i="3"/>
  <c r="AI519" i="3"/>
  <c r="AH520" i="3"/>
  <c r="AI520" i="3"/>
  <c r="AH521" i="3"/>
  <c r="AI521" i="3"/>
  <c r="AI522" i="3"/>
  <c r="AH522" i="3"/>
  <c r="AH523" i="3"/>
  <c r="AI523" i="3"/>
  <c r="AI524" i="3"/>
  <c r="AH524" i="3"/>
  <c r="AH525" i="3"/>
  <c r="AI525" i="3"/>
  <c r="AH526" i="3"/>
  <c r="AI526" i="3"/>
  <c r="AI527" i="3"/>
  <c r="AH527" i="3"/>
  <c r="AH528" i="3"/>
  <c r="AI528" i="3"/>
  <c r="AI529" i="3"/>
  <c r="AH529" i="3"/>
  <c r="AH530" i="3"/>
  <c r="AI530" i="3"/>
  <c r="AH531" i="3"/>
  <c r="AI531" i="3"/>
  <c r="AI532" i="3"/>
  <c r="AH532" i="3"/>
  <c r="AI533" i="3"/>
  <c r="AH533" i="3"/>
  <c r="AI534" i="3"/>
  <c r="AH534" i="3"/>
  <c r="AH535" i="3"/>
  <c r="AI535" i="3"/>
  <c r="AH536" i="3"/>
  <c r="AI536" i="3"/>
  <c r="AH537" i="3"/>
  <c r="AI537" i="3"/>
  <c r="AI538" i="3"/>
  <c r="AH538" i="3"/>
  <c r="AI539" i="3"/>
  <c r="AH539" i="3"/>
  <c r="AH540" i="3"/>
  <c r="AI540" i="3"/>
  <c r="AI541" i="3"/>
  <c r="AH541" i="3"/>
  <c r="AH542" i="3"/>
  <c r="AI542" i="3"/>
  <c r="AH543" i="3"/>
  <c r="AI543" i="3"/>
  <c r="AI544" i="3"/>
  <c r="AH544" i="3"/>
  <c r="AH545" i="3"/>
  <c r="AI545" i="3"/>
  <c r="AI546" i="3"/>
  <c r="AH546" i="3"/>
  <c r="AI547" i="3"/>
  <c r="AH547" i="3"/>
  <c r="AI548" i="3"/>
  <c r="AH548" i="3"/>
  <c r="AI549" i="3"/>
  <c r="AH549" i="3"/>
  <c r="AI550" i="3"/>
  <c r="AH550" i="3"/>
  <c r="AH551" i="3"/>
  <c r="AI551" i="3"/>
  <c r="AH552" i="3"/>
  <c r="AI552" i="3"/>
  <c r="AH553" i="3"/>
  <c r="AI553" i="3"/>
  <c r="AI554" i="3"/>
  <c r="AH554" i="3"/>
  <c r="AH555" i="3"/>
  <c r="AI555" i="3"/>
  <c r="AI556" i="3"/>
  <c r="AH556" i="3"/>
  <c r="AH557" i="3"/>
  <c r="AI557" i="3"/>
  <c r="AI558" i="3"/>
  <c r="AH558" i="3"/>
  <c r="AI559" i="3"/>
  <c r="AH559" i="3"/>
  <c r="AH560" i="3"/>
  <c r="AI560" i="3"/>
  <c r="AI561" i="3"/>
  <c r="AH561" i="3"/>
  <c r="AI562" i="3"/>
  <c r="AH562" i="3"/>
  <c r="AH563" i="3"/>
  <c r="AI563" i="3"/>
  <c r="AI564" i="3"/>
  <c r="AH564" i="3"/>
  <c r="AH565" i="3"/>
  <c r="AI565" i="3"/>
  <c r="AH566" i="3"/>
  <c r="AI566" i="3"/>
  <c r="AI567" i="3"/>
  <c r="AH567" i="3"/>
  <c r="AI568" i="3"/>
  <c r="AH568" i="3"/>
  <c r="AI569" i="3"/>
  <c r="AH569" i="3"/>
  <c r="AH570" i="3"/>
  <c r="AI570" i="3"/>
  <c r="AI571" i="3"/>
  <c r="AH571" i="3"/>
  <c r="AH572" i="3"/>
  <c r="AI572" i="3"/>
  <c r="AH573" i="3"/>
  <c r="AI573" i="3"/>
  <c r="AI574" i="3"/>
  <c r="AH574" i="3"/>
  <c r="AH575" i="3"/>
  <c r="AI575" i="3"/>
  <c r="AH576" i="3"/>
  <c r="AI576" i="3"/>
  <c r="AI577" i="3"/>
  <c r="AH577" i="3"/>
  <c r="AH578" i="3"/>
  <c r="AI578" i="3"/>
  <c r="AH579" i="3"/>
  <c r="AI579" i="3"/>
  <c r="AI580" i="3"/>
  <c r="AH580" i="3"/>
  <c r="AI581" i="3"/>
  <c r="AH581" i="3"/>
  <c r="AI582" i="3"/>
  <c r="AH582" i="3"/>
  <c r="AI583" i="3"/>
  <c r="AH583" i="3"/>
  <c r="AI584" i="3"/>
  <c r="AH584" i="3"/>
  <c r="AI585" i="3"/>
  <c r="AH585" i="3"/>
  <c r="AI586" i="3"/>
  <c r="AH586" i="3"/>
  <c r="AI587" i="3"/>
  <c r="AH587" i="3"/>
  <c r="AI588" i="3"/>
  <c r="AH588" i="3"/>
  <c r="AI589" i="3"/>
  <c r="AH589" i="3"/>
  <c r="AH590" i="3"/>
  <c r="AI590" i="3"/>
  <c r="AH591" i="3"/>
  <c r="AI591" i="3"/>
  <c r="AH592" i="3"/>
  <c r="AI592" i="3"/>
  <c r="AH593" i="3"/>
  <c r="AI593" i="3"/>
  <c r="AI594" i="3"/>
  <c r="AH594" i="3"/>
  <c r="AH595" i="3"/>
  <c r="AI595" i="3"/>
  <c r="AI596" i="3"/>
  <c r="AH596" i="3"/>
  <c r="AH597" i="3"/>
  <c r="AI597" i="3"/>
  <c r="AH598" i="3"/>
  <c r="AI598" i="3"/>
  <c r="AH599" i="3"/>
  <c r="AI599" i="3"/>
  <c r="AI600" i="3"/>
  <c r="AH600" i="3"/>
  <c r="AI601" i="3"/>
  <c r="AH601" i="3"/>
  <c r="AH602" i="3"/>
  <c r="AI602" i="3"/>
  <c r="AH603" i="3"/>
  <c r="AI603" i="3"/>
  <c r="AI604" i="3"/>
  <c r="AH604" i="3"/>
  <c r="AI605" i="3"/>
  <c r="AH605" i="3"/>
  <c r="AI606" i="3"/>
  <c r="AH606" i="3"/>
  <c r="AH607" i="3"/>
  <c r="AI607" i="3"/>
  <c r="AH608" i="3"/>
  <c r="AI608" i="3"/>
  <c r="AH609" i="3"/>
  <c r="AI609" i="3"/>
  <c r="AI610" i="3"/>
  <c r="AH610" i="3"/>
  <c r="AH611" i="3"/>
  <c r="AI611" i="3"/>
  <c r="AI612" i="3"/>
  <c r="AH612" i="3"/>
  <c r="AH613" i="3"/>
  <c r="AI613" i="3"/>
  <c r="AH614" i="3"/>
  <c r="AI614" i="3"/>
  <c r="AH615" i="3"/>
  <c r="AI615" i="3"/>
  <c r="AI616" i="3"/>
  <c r="AH616" i="3"/>
  <c r="AI617" i="3"/>
  <c r="AH617" i="3"/>
  <c r="AI618" i="3"/>
  <c r="AH618" i="3"/>
  <c r="AI619" i="3"/>
  <c r="AH619" i="3"/>
  <c r="AI620" i="3"/>
  <c r="AH620" i="3"/>
  <c r="AI621" i="3"/>
  <c r="AH621" i="3"/>
  <c r="AI622" i="3"/>
  <c r="AH622" i="3"/>
  <c r="AH623" i="3"/>
  <c r="AI623" i="3"/>
  <c r="AI624" i="3"/>
  <c r="AH624" i="3"/>
  <c r="AH625" i="3"/>
  <c r="AI625" i="3"/>
  <c r="AI626" i="3"/>
  <c r="AH626" i="3"/>
  <c r="AI627" i="3"/>
  <c r="AH627" i="3"/>
  <c r="AI628" i="3"/>
  <c r="AH628" i="3"/>
  <c r="AI629" i="3"/>
  <c r="AH629" i="3"/>
  <c r="AH630" i="3"/>
  <c r="AI630" i="3"/>
  <c r="AI631" i="3"/>
  <c r="AH631" i="3"/>
  <c r="AI632" i="3"/>
  <c r="AH632" i="3"/>
  <c r="AI633" i="3"/>
  <c r="AH633" i="3"/>
  <c r="AI634" i="3"/>
  <c r="AH634" i="3"/>
  <c r="AI635" i="3"/>
  <c r="AH635" i="3"/>
  <c r="AH636" i="3"/>
  <c r="AI636" i="3"/>
  <c r="AI637" i="3"/>
  <c r="AH637" i="3"/>
  <c r="AH638" i="3"/>
  <c r="AI638" i="3"/>
  <c r="AI639" i="3"/>
  <c r="AH639" i="3"/>
  <c r="AH640" i="3"/>
  <c r="AI640" i="3"/>
  <c r="AI641" i="3"/>
  <c r="AH641" i="3"/>
  <c r="AI642" i="3"/>
  <c r="AH642" i="3"/>
  <c r="AH643" i="3"/>
  <c r="AI643" i="3"/>
  <c r="AH644" i="3"/>
  <c r="AI644" i="3"/>
  <c r="AI645" i="3"/>
  <c r="AH645" i="3"/>
  <c r="AH646" i="3"/>
  <c r="AI646" i="3"/>
  <c r="AH647" i="3"/>
  <c r="AI647" i="3"/>
  <c r="AH648" i="3"/>
  <c r="AI648" i="3"/>
  <c r="AH649" i="3"/>
  <c r="AI649" i="3"/>
  <c r="AI650" i="3"/>
  <c r="AH650" i="3"/>
  <c r="AI651" i="3"/>
  <c r="AH651" i="3"/>
  <c r="AH652" i="3"/>
  <c r="AI652" i="3"/>
  <c r="AH653" i="3"/>
  <c r="AI653" i="3"/>
  <c r="AH654" i="3"/>
  <c r="AI654" i="3"/>
  <c r="AI655" i="3"/>
  <c r="AH655" i="3"/>
  <c r="AI656" i="3"/>
  <c r="AH656" i="3"/>
  <c r="AI657" i="3"/>
  <c r="AH657" i="3"/>
  <c r="AI658" i="3"/>
  <c r="AH658" i="3"/>
  <c r="AI659" i="3"/>
  <c r="AH659" i="3"/>
  <c r="AI660" i="3"/>
  <c r="AH660" i="3"/>
  <c r="AI661" i="3"/>
  <c r="AH661" i="3"/>
  <c r="AH662" i="3"/>
  <c r="AI662" i="3"/>
  <c r="AI663" i="3"/>
  <c r="AH663" i="3"/>
  <c r="AH664" i="3"/>
  <c r="AI664" i="3"/>
  <c r="AH665" i="3"/>
  <c r="AI665" i="3"/>
  <c r="AH666" i="3"/>
  <c r="AI666" i="3"/>
  <c r="AH667" i="3"/>
  <c r="AI667" i="3"/>
  <c r="AI668" i="3"/>
  <c r="AH668" i="3"/>
  <c r="AH669" i="3"/>
  <c r="AI669" i="3"/>
  <c r="AH670" i="3"/>
  <c r="AI670" i="3"/>
  <c r="AH671" i="3"/>
  <c r="AI671" i="3"/>
  <c r="AI672" i="3"/>
  <c r="AH672" i="3"/>
  <c r="AI673" i="3"/>
  <c r="AH673" i="3"/>
  <c r="AI674" i="3"/>
  <c r="AH674" i="3"/>
  <c r="AI675" i="3"/>
  <c r="AH675" i="3"/>
  <c r="AH676" i="3"/>
  <c r="AI676" i="3"/>
  <c r="AI677" i="3"/>
  <c r="AH677" i="3"/>
  <c r="AH678" i="3"/>
  <c r="AI678" i="3"/>
  <c r="AI679" i="3"/>
  <c r="AH679" i="3"/>
  <c r="AI680" i="3"/>
  <c r="AH680" i="3"/>
  <c r="AI681" i="3"/>
  <c r="AH681" i="3"/>
  <c r="AH682" i="3"/>
  <c r="AI682" i="3"/>
  <c r="AH683" i="3"/>
  <c r="AI683" i="3"/>
  <c r="AI684" i="3"/>
  <c r="AH684" i="3"/>
  <c r="AH685" i="3"/>
  <c r="AI685" i="3"/>
  <c r="AH686" i="3"/>
  <c r="AI686" i="3"/>
  <c r="AH687" i="3"/>
  <c r="AI687" i="3"/>
  <c r="AI688" i="3"/>
  <c r="AH688" i="3"/>
  <c r="AH689" i="3"/>
  <c r="AI689" i="3"/>
  <c r="AI690" i="3"/>
  <c r="AH690" i="3"/>
  <c r="AI691" i="3"/>
  <c r="AH691" i="3"/>
  <c r="AH692" i="3"/>
  <c r="AI692" i="3"/>
  <c r="AI693" i="3"/>
  <c r="AH693" i="3"/>
  <c r="AH694" i="3"/>
  <c r="AI694" i="3"/>
  <c r="AH695" i="3"/>
  <c r="AI695" i="3"/>
  <c r="AH696" i="3"/>
  <c r="AI696" i="3"/>
  <c r="AH697" i="3"/>
  <c r="AI697" i="3"/>
  <c r="AH698" i="3"/>
  <c r="AI698" i="3"/>
  <c r="AH699" i="3"/>
  <c r="AI699" i="3"/>
  <c r="AI700" i="3"/>
  <c r="AH700" i="3"/>
  <c r="AH701" i="3"/>
  <c r="AI701" i="3"/>
  <c r="AH702" i="3"/>
  <c r="AI702" i="3"/>
  <c r="AI703" i="3"/>
  <c r="AH703" i="3"/>
  <c r="AH704" i="3"/>
  <c r="AI704" i="3"/>
  <c r="AI705" i="3"/>
  <c r="AH705" i="3"/>
  <c r="AH706" i="3"/>
  <c r="AI706" i="3"/>
  <c r="AH707" i="3"/>
  <c r="AI707" i="3"/>
  <c r="AH708" i="3"/>
  <c r="AI708" i="3"/>
  <c r="AH709" i="3"/>
  <c r="AI709" i="3"/>
  <c r="AI710" i="3"/>
  <c r="AH710" i="3"/>
  <c r="AI711" i="3"/>
  <c r="AH711" i="3"/>
  <c r="AH712" i="3"/>
  <c r="AI712" i="3"/>
  <c r="AH713" i="3"/>
  <c r="AI713" i="3"/>
  <c r="AH714" i="3"/>
  <c r="AI714" i="3"/>
  <c r="AH715" i="3"/>
  <c r="AI715" i="3"/>
  <c r="AI716" i="3"/>
  <c r="AH716" i="3"/>
  <c r="AH717" i="3"/>
  <c r="AI717" i="3"/>
  <c r="AH718" i="3"/>
  <c r="AI718" i="3"/>
  <c r="AH719" i="3"/>
  <c r="AI719" i="3"/>
  <c r="AH720" i="3"/>
  <c r="AI720" i="3"/>
  <c r="AH721" i="3"/>
  <c r="AI721" i="3"/>
  <c r="AH722" i="3"/>
  <c r="AI722" i="3"/>
  <c r="AI723" i="3"/>
  <c r="AH723" i="3"/>
  <c r="AI724" i="3"/>
  <c r="AH724" i="3"/>
  <c r="AI725" i="3"/>
  <c r="AH725" i="3"/>
  <c r="AH726" i="3"/>
  <c r="AI726" i="3"/>
  <c r="AH727" i="3"/>
  <c r="AI727" i="3"/>
  <c r="AI728" i="3"/>
  <c r="AH728" i="3"/>
  <c r="AI729" i="3"/>
  <c r="AH729" i="3"/>
  <c r="AI730" i="3"/>
  <c r="AH730" i="3"/>
  <c r="AH731" i="3"/>
  <c r="AI731" i="3"/>
  <c r="AH732" i="3"/>
  <c r="AI732" i="3"/>
  <c r="AI733" i="3"/>
  <c r="AH733" i="3"/>
  <c r="AH734" i="3"/>
  <c r="AI734" i="3"/>
  <c r="AI735" i="3"/>
  <c r="AH735" i="3"/>
  <c r="AH736" i="3"/>
  <c r="AI736" i="3"/>
  <c r="AI737" i="3"/>
  <c r="AH737" i="3"/>
  <c r="AH738" i="3"/>
  <c r="AI738" i="3"/>
  <c r="AH739" i="3"/>
  <c r="AI739" i="3"/>
  <c r="AI740" i="3"/>
  <c r="AH740" i="3"/>
  <c r="AH741" i="3"/>
  <c r="AI741" i="3"/>
  <c r="AH742" i="3"/>
  <c r="AI742" i="3"/>
  <c r="AI743" i="3"/>
  <c r="AH743" i="3"/>
  <c r="AI744" i="3"/>
  <c r="AH744" i="3"/>
  <c r="AH745" i="3"/>
  <c r="AI745" i="3"/>
  <c r="AH746" i="3"/>
  <c r="AI746" i="3"/>
  <c r="AI747" i="3"/>
  <c r="AH747" i="3"/>
  <c r="AI748" i="3"/>
  <c r="AH748" i="3"/>
  <c r="AH749" i="3"/>
  <c r="AI749" i="3"/>
  <c r="AI750" i="3"/>
  <c r="AH750" i="3"/>
  <c r="AI751" i="3"/>
  <c r="AH751" i="3"/>
  <c r="AI752" i="3"/>
  <c r="AH752" i="3"/>
  <c r="AH753" i="3"/>
  <c r="AI753" i="3"/>
  <c r="AH754" i="3"/>
  <c r="AI754" i="3"/>
  <c r="AH755" i="3"/>
  <c r="AI755" i="3"/>
  <c r="AI756" i="3"/>
  <c r="AH756" i="3"/>
  <c r="AI757" i="3"/>
  <c r="AH757" i="3"/>
  <c r="AI758" i="3"/>
  <c r="AH758" i="3"/>
  <c r="AI759" i="3"/>
  <c r="AH759" i="3"/>
  <c r="AI760" i="3"/>
  <c r="AH760" i="3"/>
  <c r="AI761" i="3"/>
  <c r="AH761" i="3"/>
  <c r="AH762" i="3"/>
  <c r="AI762" i="3"/>
  <c r="AI763" i="3"/>
  <c r="AH763" i="3"/>
  <c r="AH764" i="3"/>
  <c r="AI764" i="3"/>
  <c r="AI765" i="3"/>
  <c r="AH765" i="3"/>
  <c r="AH766" i="3"/>
  <c r="AI766" i="3"/>
  <c r="AH767" i="3"/>
  <c r="AI767" i="3"/>
  <c r="AH768" i="3"/>
  <c r="AI768" i="3"/>
  <c r="AI769" i="3"/>
  <c r="AH769" i="3"/>
  <c r="AH770" i="3"/>
  <c r="AI770" i="3"/>
  <c r="AI771" i="3"/>
  <c r="AH771" i="3"/>
  <c r="AH772" i="3"/>
  <c r="AI772" i="3"/>
  <c r="AH773" i="3"/>
  <c r="AI773" i="3"/>
  <c r="AI774" i="3"/>
  <c r="AH774" i="3"/>
  <c r="AI775" i="3"/>
  <c r="AH775" i="3"/>
  <c r="AI776" i="3"/>
  <c r="AH776" i="3"/>
  <c r="AI777" i="3"/>
  <c r="AH777" i="3"/>
  <c r="AI778" i="3"/>
  <c r="AH778" i="3"/>
  <c r="AI779" i="3"/>
  <c r="AH779" i="3"/>
  <c r="AH780" i="3"/>
  <c r="AI780" i="3"/>
  <c r="AI781" i="3"/>
  <c r="AH781" i="3"/>
  <c r="AI782" i="3"/>
  <c r="AH782" i="3"/>
  <c r="AI783" i="3"/>
  <c r="AH783" i="3"/>
  <c r="AH784" i="3"/>
  <c r="AI784" i="3"/>
  <c r="AI785" i="3"/>
  <c r="AH785" i="3"/>
  <c r="AI786" i="3"/>
  <c r="AH786" i="3"/>
  <c r="AH787" i="3"/>
  <c r="AI787" i="3"/>
  <c r="AH788" i="3"/>
  <c r="AI788" i="3"/>
  <c r="AI789" i="3"/>
  <c r="AH789" i="3"/>
  <c r="AI790" i="3"/>
  <c r="AH790" i="3"/>
  <c r="AI791" i="3"/>
  <c r="AH791" i="3"/>
  <c r="AH792" i="3"/>
  <c r="AI792" i="3"/>
  <c r="AH793" i="3"/>
  <c r="AI793" i="3"/>
  <c r="AH794" i="3"/>
  <c r="AI794" i="3"/>
  <c r="AI795" i="3"/>
  <c r="AH795" i="3"/>
  <c r="AI796" i="3"/>
  <c r="AH796" i="3"/>
  <c r="AI797" i="3"/>
  <c r="AH797" i="3"/>
  <c r="AI798" i="3"/>
  <c r="AH798" i="3"/>
  <c r="AI799" i="3"/>
  <c r="AH799" i="3"/>
  <c r="AH800" i="3"/>
  <c r="AI800" i="3"/>
  <c r="AH801" i="3"/>
  <c r="AI801" i="3"/>
  <c r="AH802" i="3"/>
  <c r="AI802" i="3"/>
  <c r="AH803" i="3"/>
  <c r="AI803" i="3"/>
  <c r="AI804" i="3"/>
  <c r="AH804" i="3"/>
  <c r="AH805" i="3"/>
  <c r="AI805" i="3"/>
  <c r="AI806" i="3"/>
  <c r="AH806" i="3"/>
  <c r="AH807" i="3"/>
  <c r="AI807" i="3"/>
  <c r="AH808" i="3"/>
  <c r="AI808" i="3"/>
  <c r="AI809" i="3"/>
  <c r="AH809" i="3"/>
  <c r="AH810" i="3"/>
  <c r="AI810" i="3"/>
  <c r="AI811" i="3"/>
  <c r="AH811" i="3"/>
  <c r="AH812" i="3"/>
  <c r="AI812" i="3"/>
  <c r="AH813" i="3"/>
  <c r="AI813" i="3"/>
  <c r="AI814" i="3"/>
  <c r="AH814" i="3"/>
  <c r="AI815" i="3"/>
  <c r="AH815" i="3"/>
  <c r="AH816" i="3"/>
  <c r="AI816" i="3"/>
  <c r="AI817" i="3"/>
  <c r="AH817" i="3"/>
  <c r="AH818" i="3"/>
  <c r="AI818" i="3"/>
  <c r="AI819" i="3"/>
  <c r="AH819" i="3"/>
  <c r="AH820" i="3"/>
  <c r="AI820" i="3"/>
  <c r="AI821" i="3"/>
  <c r="AH821" i="3"/>
  <c r="AI822" i="3"/>
  <c r="AH822" i="3"/>
  <c r="AI823" i="3"/>
  <c r="AH823" i="3"/>
  <c r="AH824" i="3"/>
  <c r="AI824" i="3"/>
  <c r="AH825" i="3"/>
  <c r="AI825" i="3"/>
  <c r="AH826" i="3"/>
  <c r="AI826" i="3"/>
  <c r="AH827" i="3"/>
  <c r="AI827" i="3"/>
  <c r="AI828" i="3"/>
  <c r="AH828" i="3"/>
  <c r="AH829" i="3"/>
  <c r="AI829" i="3"/>
  <c r="AH830" i="3"/>
  <c r="AI830" i="3"/>
  <c r="AH831" i="3"/>
  <c r="AI831" i="3"/>
  <c r="AI832" i="3"/>
  <c r="AH832" i="3"/>
  <c r="AI833" i="3"/>
  <c r="AH833" i="3"/>
  <c r="AI834" i="3"/>
  <c r="AH834" i="3"/>
  <c r="AH835" i="3"/>
  <c r="AI835" i="3"/>
  <c r="AH836" i="3"/>
  <c r="AI836" i="3"/>
  <c r="AH837" i="3"/>
  <c r="AI837" i="3"/>
  <c r="AH838" i="3"/>
  <c r="AI838" i="3"/>
  <c r="AI839" i="3"/>
  <c r="AH839" i="3"/>
  <c r="AI840" i="3"/>
  <c r="AH840" i="3"/>
  <c r="AI841" i="3"/>
  <c r="AH841" i="3"/>
  <c r="AH842" i="3"/>
  <c r="AI842" i="3"/>
  <c r="AH843" i="3"/>
  <c r="AI843" i="3"/>
  <c r="AH844" i="3"/>
  <c r="AI844" i="3"/>
  <c r="AI845" i="3"/>
  <c r="AH845" i="3"/>
  <c r="AH846" i="3"/>
  <c r="AI846" i="3"/>
  <c r="AH847" i="3"/>
  <c r="AI847" i="3"/>
  <c r="AH848" i="3"/>
  <c r="AI848" i="3"/>
  <c r="AH849" i="3"/>
  <c r="AI849" i="3"/>
  <c r="AH850" i="3"/>
  <c r="AI850" i="3"/>
  <c r="AH851" i="3"/>
  <c r="AI851" i="3"/>
  <c r="AI852" i="3"/>
  <c r="AH852" i="3"/>
  <c r="AH853" i="3"/>
  <c r="AI853" i="3"/>
  <c r="AI854" i="3"/>
  <c r="AH854" i="3"/>
  <c r="AI855" i="3"/>
  <c r="AH855" i="3"/>
  <c r="AI856" i="3"/>
  <c r="AH856" i="3"/>
  <c r="AI857" i="3"/>
  <c r="AH857" i="3"/>
  <c r="AI858" i="3"/>
  <c r="AH858" i="3"/>
  <c r="AI859" i="3"/>
  <c r="AH859" i="3"/>
  <c r="AI860" i="3"/>
  <c r="AH860" i="3"/>
  <c r="AI861" i="3"/>
  <c r="AH861" i="3"/>
  <c r="AI862" i="3"/>
  <c r="AH862" i="3"/>
  <c r="AH863" i="3"/>
  <c r="AI863" i="3"/>
  <c r="AH864" i="3"/>
  <c r="AI864" i="3"/>
  <c r="AH865" i="3"/>
  <c r="AI865" i="3"/>
  <c r="AI866" i="3"/>
  <c r="AH866" i="3"/>
  <c r="AH867" i="3"/>
  <c r="AI867" i="3"/>
  <c r="AI868" i="3"/>
  <c r="AH868" i="3"/>
  <c r="AH869" i="3"/>
  <c r="AI869" i="3"/>
  <c r="AH870" i="3"/>
  <c r="AI870" i="3"/>
  <c r="AH871" i="3"/>
  <c r="AI871" i="3"/>
  <c r="AH872" i="3"/>
  <c r="AI872" i="3"/>
  <c r="AH873" i="3"/>
  <c r="AI873" i="3"/>
  <c r="AH874" i="3"/>
  <c r="AI874" i="3"/>
  <c r="AI875" i="3"/>
  <c r="AH875" i="3"/>
  <c r="AI876" i="3"/>
  <c r="AH876" i="3"/>
  <c r="AI877" i="3"/>
  <c r="AH877" i="3"/>
  <c r="AI878" i="3"/>
  <c r="AH878" i="3"/>
  <c r="AH879" i="3"/>
  <c r="AI879" i="3"/>
  <c r="AH880" i="3"/>
  <c r="AI880" i="3"/>
  <c r="AI881" i="3"/>
  <c r="AH881" i="3"/>
  <c r="AH882" i="3"/>
  <c r="AI882" i="3"/>
  <c r="AI883" i="3"/>
  <c r="AH883" i="3"/>
  <c r="AH884" i="3"/>
  <c r="AI884" i="3"/>
  <c r="AI885" i="3"/>
  <c r="AH885" i="3"/>
  <c r="AH886" i="3"/>
  <c r="AI886" i="3"/>
  <c r="AI887" i="3"/>
  <c r="AH887" i="3"/>
  <c r="AI888" i="3"/>
  <c r="AH888" i="3"/>
  <c r="AI889" i="3"/>
  <c r="AH889" i="3"/>
  <c r="AH890" i="3"/>
  <c r="AI890" i="3"/>
  <c r="AH891" i="3"/>
  <c r="AI891" i="3"/>
  <c r="AI892" i="3"/>
  <c r="AH892" i="3"/>
  <c r="AI893" i="3"/>
  <c r="AH893" i="3"/>
  <c r="AI894" i="3"/>
  <c r="AH894" i="3"/>
  <c r="AH895" i="3"/>
  <c r="AI895" i="3"/>
  <c r="AI896" i="3"/>
  <c r="AH896" i="3"/>
  <c r="AH897" i="3"/>
  <c r="AI897" i="3"/>
  <c r="AH898" i="3"/>
  <c r="AI898" i="3"/>
  <c r="AI899" i="3"/>
  <c r="AH899" i="3"/>
  <c r="AI900" i="3"/>
  <c r="AH900" i="3"/>
  <c r="AI901" i="3"/>
  <c r="AH901" i="3"/>
  <c r="AH902" i="3"/>
  <c r="AI902" i="3"/>
  <c r="AI903" i="3"/>
  <c r="AH903" i="3"/>
  <c r="AI904" i="3"/>
  <c r="AH904" i="3"/>
  <c r="AI905" i="3"/>
  <c r="AH905" i="3"/>
  <c r="AH906" i="3"/>
  <c r="AI906" i="3"/>
  <c r="AI907" i="3"/>
  <c r="AH907" i="3"/>
  <c r="AH908" i="3"/>
  <c r="AI908" i="3"/>
  <c r="AI909" i="3"/>
  <c r="AH909" i="3"/>
  <c r="AH910" i="3"/>
  <c r="AI910" i="3"/>
  <c r="AI911" i="3"/>
  <c r="AH911" i="3"/>
  <c r="AH912" i="3"/>
  <c r="AI912" i="3"/>
  <c r="AI913" i="3"/>
  <c r="AH913" i="3"/>
  <c r="AI914" i="3"/>
  <c r="AH914" i="3"/>
  <c r="AI915" i="3"/>
  <c r="AH915" i="3"/>
  <c r="AI916" i="3"/>
  <c r="AH916" i="3"/>
  <c r="AI917" i="3"/>
  <c r="AH917" i="3"/>
  <c r="AI918" i="3"/>
  <c r="AH918" i="3"/>
  <c r="AI919" i="3"/>
  <c r="AH919" i="3"/>
  <c r="AI920" i="3"/>
  <c r="AH920" i="3"/>
  <c r="AH921" i="3"/>
  <c r="AI921" i="3"/>
  <c r="AI922" i="3"/>
  <c r="AH922" i="3"/>
  <c r="AH923" i="3"/>
  <c r="AI923" i="3"/>
  <c r="AH924" i="3"/>
  <c r="AI924" i="3"/>
  <c r="AI925" i="3"/>
  <c r="AH925" i="3"/>
  <c r="AI926" i="3"/>
  <c r="AH926" i="3"/>
  <c r="AI927" i="3"/>
  <c r="AH927" i="3"/>
  <c r="AI928" i="3"/>
  <c r="AH928" i="3"/>
  <c r="AH929" i="3"/>
  <c r="AI929" i="3"/>
  <c r="AI930" i="3"/>
  <c r="AH930" i="3"/>
  <c r="AH931" i="3"/>
  <c r="AI931" i="3"/>
  <c r="AH932" i="3"/>
  <c r="AI932" i="3"/>
  <c r="AI933" i="3"/>
  <c r="AH933" i="3"/>
  <c r="AH934" i="3"/>
  <c r="AI934" i="3"/>
  <c r="AI935" i="3"/>
  <c r="AH935" i="3"/>
  <c r="AI936" i="3"/>
  <c r="AH936" i="3"/>
  <c r="AH937" i="3"/>
  <c r="AI937" i="3"/>
  <c r="AH938" i="3"/>
  <c r="AI938" i="3"/>
  <c r="AH939" i="3"/>
  <c r="AI939" i="3"/>
  <c r="AI940" i="3"/>
  <c r="AH940" i="3"/>
  <c r="AH941" i="3"/>
  <c r="AI941" i="3"/>
  <c r="AI942" i="3"/>
  <c r="AH942" i="3"/>
  <c r="AI943" i="3"/>
  <c r="AH943" i="3"/>
  <c r="AH944" i="3"/>
  <c r="AI944" i="3"/>
  <c r="AI945" i="3"/>
  <c r="AH945" i="3"/>
  <c r="AH946" i="3"/>
  <c r="AI946" i="3"/>
  <c r="AH947" i="3"/>
  <c r="AI947" i="3"/>
  <c r="AH948" i="3"/>
  <c r="AI948" i="3"/>
  <c r="AH949" i="3"/>
  <c r="AI949" i="3"/>
  <c r="AI950" i="3"/>
  <c r="AH950" i="3"/>
  <c r="AI951" i="3"/>
  <c r="AH951" i="3"/>
  <c r="AI952" i="3"/>
  <c r="AH952" i="3"/>
  <c r="AI953" i="3"/>
  <c r="AH953" i="3"/>
  <c r="AH954" i="3"/>
  <c r="AI954" i="3"/>
  <c r="AI955" i="3"/>
  <c r="AH955" i="3"/>
  <c r="AH956" i="3"/>
  <c r="AI956" i="3"/>
  <c r="AH957" i="3"/>
  <c r="AI957" i="3"/>
  <c r="AH958" i="3"/>
  <c r="AI958" i="3"/>
  <c r="AH959" i="3"/>
  <c r="AI959" i="3"/>
  <c r="AI960" i="3"/>
  <c r="AH960" i="3"/>
  <c r="AH961" i="3"/>
  <c r="AI961" i="3"/>
  <c r="AI962" i="3"/>
  <c r="AH962" i="3"/>
  <c r="AI963" i="3"/>
  <c r="AH963" i="3"/>
  <c r="AH964" i="3"/>
  <c r="AI964" i="3"/>
  <c r="AI965" i="3"/>
  <c r="AH965" i="3"/>
  <c r="AH966" i="3"/>
  <c r="AI966" i="3"/>
  <c r="AH967" i="3"/>
  <c r="AI967" i="3"/>
  <c r="AH968" i="3"/>
  <c r="AI968" i="3"/>
  <c r="AH969" i="3"/>
  <c r="AI969" i="3"/>
  <c r="AH970" i="3"/>
  <c r="AI970" i="3"/>
  <c r="AH971" i="3"/>
  <c r="AI971" i="3"/>
  <c r="AH972" i="3"/>
  <c r="AI972" i="3"/>
  <c r="AH973" i="3"/>
  <c r="AI973" i="3"/>
  <c r="AH974" i="3"/>
  <c r="AI974" i="3"/>
  <c r="AI975" i="3"/>
  <c r="AH975" i="3"/>
  <c r="AI976" i="3"/>
  <c r="AH976" i="3"/>
  <c r="AI977" i="3"/>
  <c r="AH977" i="3"/>
  <c r="AI978" i="3"/>
  <c r="AH978" i="3"/>
  <c r="AI979" i="3"/>
  <c r="AH979" i="3"/>
  <c r="AH980" i="3"/>
  <c r="AI980" i="3"/>
  <c r="AI981" i="3"/>
  <c r="AH981" i="3"/>
  <c r="AH982" i="3"/>
  <c r="AI982" i="3"/>
  <c r="AI983" i="3"/>
  <c r="AH983" i="3"/>
  <c r="AH984" i="3"/>
  <c r="AI984" i="3"/>
  <c r="AH985" i="3"/>
  <c r="AI985" i="3"/>
  <c r="AI986" i="3"/>
  <c r="AH986" i="3"/>
  <c r="AH987" i="3"/>
  <c r="AI987" i="3"/>
  <c r="AH988" i="3"/>
  <c r="AI988" i="3"/>
  <c r="AH989" i="3"/>
  <c r="AI989" i="3"/>
  <c r="AH990" i="3"/>
  <c r="AI990" i="3"/>
  <c r="AI991" i="3"/>
  <c r="AH991" i="3"/>
  <c r="AI992" i="3"/>
  <c r="AH992" i="3"/>
  <c r="AI993" i="3"/>
  <c r="AH993" i="3"/>
  <c r="AI994" i="3"/>
  <c r="AH994" i="3"/>
  <c r="AH995" i="3"/>
  <c r="AI995" i="3"/>
  <c r="AH996" i="3"/>
  <c r="AI996" i="3"/>
  <c r="AH997" i="3"/>
  <c r="AI997" i="3"/>
  <c r="AI998" i="3"/>
  <c r="AH998" i="3"/>
  <c r="AH999" i="3"/>
  <c r="AI999" i="3"/>
  <c r="AH1000" i="3"/>
  <c r="AI1000" i="3"/>
  <c r="AI1001" i="3"/>
  <c r="AH1001" i="3"/>
  <c r="AI1002" i="3"/>
  <c r="AH1002" i="3"/>
  <c r="AI1003" i="3"/>
  <c r="AH1003" i="3"/>
  <c r="AI1004" i="3"/>
  <c r="AH1004" i="3"/>
  <c r="AI1005" i="3"/>
  <c r="AH1005" i="3"/>
  <c r="AH1006" i="3"/>
  <c r="AI1006" i="3"/>
  <c r="AH1007" i="3"/>
  <c r="AI1007" i="3"/>
  <c r="AF12" i="1"/>
  <c r="AE12" i="1"/>
  <c r="AE13" i="1"/>
  <c r="AF13" i="1"/>
  <c r="AF14" i="1"/>
  <c r="AE14" i="1"/>
  <c r="AE15" i="1"/>
  <c r="AF15" i="1"/>
  <c r="AG15" i="1" s="1"/>
  <c r="AE16" i="1"/>
  <c r="AF16" i="1"/>
  <c r="AE17" i="1"/>
  <c r="AE18" i="1"/>
  <c r="AF18" i="1" s="1"/>
  <c r="AE19" i="1"/>
  <c r="AF19" i="1"/>
  <c r="AE20" i="1"/>
  <c r="AF20" i="1"/>
  <c r="AE21" i="1"/>
  <c r="AF21" i="1"/>
  <c r="AF22" i="1"/>
  <c r="AE22" i="1"/>
  <c r="AF23" i="1"/>
  <c r="AE23" i="1"/>
  <c r="AF24" i="1"/>
  <c r="AE24" i="1"/>
  <c r="AE25" i="1"/>
  <c r="AF25" i="1"/>
  <c r="AE26" i="1"/>
  <c r="AF26" i="1"/>
  <c r="AF27" i="1"/>
  <c r="AE27" i="1"/>
  <c r="AF28" i="1"/>
  <c r="AE28" i="1"/>
  <c r="AF29" i="1"/>
  <c r="AE29" i="1"/>
  <c r="AE30" i="1"/>
  <c r="AF30" i="1"/>
  <c r="AF31" i="1"/>
  <c r="AE31" i="1"/>
  <c r="AE32" i="1"/>
  <c r="AF32" i="1"/>
  <c r="AE33" i="1"/>
  <c r="AF33" i="1"/>
  <c r="AF34" i="1"/>
  <c r="AE34" i="1"/>
  <c r="AF35" i="1"/>
  <c r="AE35" i="1"/>
  <c r="AF36" i="1"/>
  <c r="AE36" i="1"/>
  <c r="AF37" i="1"/>
  <c r="AE37" i="1"/>
  <c r="AF38" i="1"/>
  <c r="AE38" i="1"/>
  <c r="AE39" i="1"/>
  <c r="AF39" i="1"/>
  <c r="AE40" i="1"/>
  <c r="AF40" i="1"/>
  <c r="AE41" i="1"/>
  <c r="AF41" i="1"/>
  <c r="AF42" i="1"/>
  <c r="AE42" i="1"/>
  <c r="AF43" i="1"/>
  <c r="AE43" i="1"/>
  <c r="AE44" i="1"/>
  <c r="AF44" i="1"/>
  <c r="AE45" i="1"/>
  <c r="AF45" i="1"/>
  <c r="AF46" i="1"/>
  <c r="AE46" i="1"/>
  <c r="AE47" i="1"/>
  <c r="AF47" i="1"/>
  <c r="AF48" i="1"/>
  <c r="AE48" i="1"/>
  <c r="AE49" i="1"/>
  <c r="AF49" i="1"/>
  <c r="AF50" i="1"/>
  <c r="AE50" i="1"/>
  <c r="AE51" i="1"/>
  <c r="AF51" i="1"/>
  <c r="AE52" i="1"/>
  <c r="AF52" i="1"/>
  <c r="AE53" i="1"/>
  <c r="AF53" i="1"/>
  <c r="AF54" i="1"/>
  <c r="AE54" i="1"/>
  <c r="AF55" i="1"/>
  <c r="AE55" i="1"/>
  <c r="AE56" i="1"/>
  <c r="AF56" i="1"/>
  <c r="AE57" i="1"/>
  <c r="AF57" i="1"/>
  <c r="AF58" i="1"/>
  <c r="AE58" i="1"/>
  <c r="AF59" i="1"/>
  <c r="AE59" i="1"/>
  <c r="AE60" i="1"/>
  <c r="AF60" i="1"/>
  <c r="AE61" i="1"/>
  <c r="AF61" i="1"/>
  <c r="AE62" i="1"/>
  <c r="AF62" i="1"/>
  <c r="AF63" i="1"/>
  <c r="AE63" i="1"/>
  <c r="AF64" i="1"/>
  <c r="AE64" i="1"/>
  <c r="AF65" i="1"/>
  <c r="AE65" i="1"/>
  <c r="AF66" i="1"/>
  <c r="AE66" i="1"/>
  <c r="AF67" i="1"/>
  <c r="AE67" i="1"/>
  <c r="AE68" i="1"/>
  <c r="AF68" i="1"/>
  <c r="AF69" i="1"/>
  <c r="AE69" i="1"/>
  <c r="AE70" i="1"/>
  <c r="AF70" i="1"/>
  <c r="AE71" i="1"/>
  <c r="AF71" i="1"/>
  <c r="AF72" i="1"/>
  <c r="AE72" i="1"/>
  <c r="AE73" i="1"/>
  <c r="AF73" i="1"/>
  <c r="AE74" i="1"/>
  <c r="AF74" i="1"/>
  <c r="AF75" i="1"/>
  <c r="AE75" i="1"/>
  <c r="AF76" i="1"/>
  <c r="AE76" i="1"/>
  <c r="AE77" i="1"/>
  <c r="AF77" i="1"/>
  <c r="AE78" i="1"/>
  <c r="AF78" i="1"/>
  <c r="AF79" i="1"/>
  <c r="AE79" i="1"/>
  <c r="AE80" i="1"/>
  <c r="AF80" i="1"/>
  <c r="AE81" i="1"/>
  <c r="AF81" i="1"/>
  <c r="AF82" i="1"/>
  <c r="AE82" i="1"/>
  <c r="AE83" i="1"/>
  <c r="AF83" i="1"/>
  <c r="AF84" i="1"/>
  <c r="AE84" i="1"/>
  <c r="AE85" i="1"/>
  <c r="AF85" i="1"/>
  <c r="AF86" i="1"/>
  <c r="AE86" i="1"/>
  <c r="AF87" i="1"/>
  <c r="AE87" i="1"/>
  <c r="AF88" i="1"/>
  <c r="AE88" i="1"/>
  <c r="AE89" i="1"/>
  <c r="AF89" i="1"/>
  <c r="AF90" i="1"/>
  <c r="AE90" i="1"/>
  <c r="AE91" i="1"/>
  <c r="AF91" i="1"/>
  <c r="AF92" i="1"/>
  <c r="AE92" i="1"/>
  <c r="AF93" i="1"/>
  <c r="AE93" i="1"/>
  <c r="AF94" i="1"/>
  <c r="AE94" i="1"/>
  <c r="AE95" i="1"/>
  <c r="AF95" i="1"/>
  <c r="AE96" i="1"/>
  <c r="AF96" i="1"/>
  <c r="AE97" i="1"/>
  <c r="AF97" i="1"/>
  <c r="AE98" i="1"/>
  <c r="AF98" i="1"/>
  <c r="AF100" i="1"/>
  <c r="AE100" i="1"/>
  <c r="AF101" i="1"/>
  <c r="AE101" i="1"/>
  <c r="AE102" i="1"/>
  <c r="AF102" i="1"/>
  <c r="AE103" i="1"/>
  <c r="AF103" i="1"/>
  <c r="AE104" i="1"/>
  <c r="AF104" i="1"/>
  <c r="AE105" i="1"/>
  <c r="AF105" i="1"/>
  <c r="AE106" i="1"/>
  <c r="AF106" i="1"/>
  <c r="AF107" i="1"/>
  <c r="AE107" i="1"/>
  <c r="AF108" i="1"/>
  <c r="AE108" i="1"/>
  <c r="AF109" i="1"/>
  <c r="AE109" i="1"/>
  <c r="AE110" i="1"/>
  <c r="AF110" i="1"/>
  <c r="AF111" i="1"/>
  <c r="AE111" i="1"/>
  <c r="AE112" i="1"/>
  <c r="AF112" i="1"/>
  <c r="AF113" i="1"/>
  <c r="AE113" i="1"/>
  <c r="AF114" i="1"/>
  <c r="AE114" i="1"/>
  <c r="AE115" i="1"/>
  <c r="AF115" i="1"/>
  <c r="AF116" i="1"/>
  <c r="AE116" i="1"/>
  <c r="AE117" i="1"/>
  <c r="AF117" i="1"/>
  <c r="AE118" i="1"/>
  <c r="AF118" i="1"/>
  <c r="AF119" i="1"/>
  <c r="AE119" i="1"/>
  <c r="AF120" i="1"/>
  <c r="AE120" i="1"/>
  <c r="AE121" i="1"/>
  <c r="AF121" i="1"/>
  <c r="AE122" i="1"/>
  <c r="AF122" i="1"/>
  <c r="AE123" i="1"/>
  <c r="AF123" i="1"/>
  <c r="AF124" i="1"/>
  <c r="AE124" i="1"/>
  <c r="AE125" i="1"/>
  <c r="AF125" i="1"/>
  <c r="AF126" i="1"/>
  <c r="AE126" i="1"/>
  <c r="AF127" i="1"/>
  <c r="AE127" i="1"/>
  <c r="AF128" i="1"/>
  <c r="AE128" i="1"/>
  <c r="AE129" i="1"/>
  <c r="AF129" i="1"/>
  <c r="AF130" i="1"/>
  <c r="AE130" i="1"/>
  <c r="AF131" i="1"/>
  <c r="AE131" i="1"/>
  <c r="AF132" i="1"/>
  <c r="AE132" i="1"/>
  <c r="AF133" i="1"/>
  <c r="AE133" i="1"/>
  <c r="AE134" i="1"/>
  <c r="AF134" i="1"/>
  <c r="AF135" i="1"/>
  <c r="AE135" i="1"/>
  <c r="AE136" i="1"/>
  <c r="AF136" i="1"/>
  <c r="AE137" i="1"/>
  <c r="AF137" i="1"/>
  <c r="AE138" i="1"/>
  <c r="AF138" i="1"/>
  <c r="AF139" i="1"/>
  <c r="AE139" i="1"/>
  <c r="AE140" i="1"/>
  <c r="AF140" i="1"/>
  <c r="AF141" i="1"/>
  <c r="AE141" i="1"/>
  <c r="AF142" i="1"/>
  <c r="AE142" i="1"/>
  <c r="AF143" i="1"/>
  <c r="AE143" i="1"/>
  <c r="AF144" i="1"/>
  <c r="AE144" i="1"/>
  <c r="AF145" i="1"/>
  <c r="AE145" i="1"/>
  <c r="AE146" i="1"/>
  <c r="AF146" i="1"/>
  <c r="AE147" i="1"/>
  <c r="AF147" i="1"/>
  <c r="AE148" i="1"/>
  <c r="AF148" i="1"/>
  <c r="AF149" i="1"/>
  <c r="AE149" i="1"/>
  <c r="AF150" i="1"/>
  <c r="AE150" i="1"/>
  <c r="AE151" i="1"/>
  <c r="AF151" i="1"/>
  <c r="AF152" i="1"/>
  <c r="AE152" i="1"/>
  <c r="AF153" i="1"/>
  <c r="AE153" i="1"/>
  <c r="AE154" i="1"/>
  <c r="AF154" i="1"/>
  <c r="AF155" i="1"/>
  <c r="AE155" i="1"/>
  <c r="AF156" i="1"/>
  <c r="AE156" i="1"/>
  <c r="AE157" i="1"/>
  <c r="AF157" i="1"/>
  <c r="AE158" i="1"/>
  <c r="AF158" i="1"/>
  <c r="AE159" i="1"/>
  <c r="AF159" i="1"/>
  <c r="AF160" i="1"/>
  <c r="AE160" i="1"/>
  <c r="AE161" i="1"/>
  <c r="AF161" i="1"/>
  <c r="AF162" i="1"/>
  <c r="AE162" i="1"/>
  <c r="AF163" i="1"/>
  <c r="AE163" i="1"/>
  <c r="AE164" i="1"/>
  <c r="AF164" i="1"/>
  <c r="AF165" i="1"/>
  <c r="AE165" i="1"/>
  <c r="AF166" i="1"/>
  <c r="AE166" i="1"/>
  <c r="AE167" i="1"/>
  <c r="AF167" i="1"/>
  <c r="AE168" i="1"/>
  <c r="AF168" i="1"/>
  <c r="AE169" i="1"/>
  <c r="AF169" i="1"/>
  <c r="AE170" i="1"/>
  <c r="AF170" i="1"/>
  <c r="AE171" i="1"/>
  <c r="AF171" i="1"/>
  <c r="AE172" i="1"/>
  <c r="AF172" i="1"/>
  <c r="AF173" i="1"/>
  <c r="AE173" i="1"/>
  <c r="AF174" i="1"/>
  <c r="AE174" i="1"/>
  <c r="AE175" i="1"/>
  <c r="AF175" i="1"/>
  <c r="AE176" i="1"/>
  <c r="AF176" i="1"/>
  <c r="AF177" i="1"/>
  <c r="AE177" i="1"/>
  <c r="AE178" i="1"/>
  <c r="AF178" i="1"/>
  <c r="AE179" i="1"/>
  <c r="AF179" i="1"/>
  <c r="AE180" i="1"/>
  <c r="AF180" i="1"/>
  <c r="AE181" i="1"/>
  <c r="AF181" i="1"/>
  <c r="AE182" i="1"/>
  <c r="AF182" i="1"/>
  <c r="AF183" i="1"/>
  <c r="AE183" i="1"/>
  <c r="AE184" i="1"/>
  <c r="AF184" i="1"/>
  <c r="AF185" i="1"/>
  <c r="AE185" i="1"/>
  <c r="AF186" i="1"/>
  <c r="AE186" i="1"/>
  <c r="AF187" i="1"/>
  <c r="AE187" i="1"/>
  <c r="AF188" i="1"/>
  <c r="AE188" i="1"/>
  <c r="AE189" i="1"/>
  <c r="AF189" i="1"/>
  <c r="AF190" i="1"/>
  <c r="AE190" i="1"/>
  <c r="AE191" i="1"/>
  <c r="AF191" i="1"/>
  <c r="AF192" i="1"/>
  <c r="AE192" i="1"/>
  <c r="AF193" i="1"/>
  <c r="AE193" i="1"/>
  <c r="AE194" i="1"/>
  <c r="AF194" i="1"/>
  <c r="AE195" i="1"/>
  <c r="AF195" i="1"/>
  <c r="AE196" i="1"/>
  <c r="AF196" i="1"/>
  <c r="AE197" i="1"/>
  <c r="AF197" i="1"/>
  <c r="AE198" i="1"/>
  <c r="AF198" i="1"/>
  <c r="AE199" i="1"/>
  <c r="AF199" i="1"/>
  <c r="AE200" i="1"/>
  <c r="AF200" i="1"/>
  <c r="AE201" i="1"/>
  <c r="AF201" i="1"/>
  <c r="AF202" i="1"/>
  <c r="AE202" i="1"/>
  <c r="AE203" i="1"/>
  <c r="AF203" i="1"/>
  <c r="AE204" i="1"/>
  <c r="AF204" i="1"/>
  <c r="AF205" i="1"/>
  <c r="AE205" i="1"/>
  <c r="AF206" i="1"/>
  <c r="AE206" i="1"/>
  <c r="AF207" i="1"/>
  <c r="AE207" i="1"/>
  <c r="AF208" i="1"/>
  <c r="AE208" i="1"/>
  <c r="AE209" i="1"/>
  <c r="AF209" i="1"/>
  <c r="AE210" i="1"/>
  <c r="AF210" i="1"/>
  <c r="AE211" i="1"/>
  <c r="AF211" i="1"/>
  <c r="AF212" i="1"/>
  <c r="AE212" i="1"/>
  <c r="AF213" i="1"/>
  <c r="AE213" i="1"/>
  <c r="AF214" i="1"/>
  <c r="AE214" i="1"/>
  <c r="AE215" i="1"/>
  <c r="AF215" i="1"/>
  <c r="AE216" i="1"/>
  <c r="AF216" i="1"/>
  <c r="AF217" i="1"/>
  <c r="AE217" i="1"/>
  <c r="AF218" i="1"/>
  <c r="AE218" i="1"/>
  <c r="AE219" i="1"/>
  <c r="AF219" i="1"/>
  <c r="AF220" i="1"/>
  <c r="AE220" i="1"/>
  <c r="AE221" i="1"/>
  <c r="AF221" i="1"/>
  <c r="AF222" i="1"/>
  <c r="AE222" i="1"/>
  <c r="AE223" i="1"/>
  <c r="AF223" i="1"/>
  <c r="AF224" i="1"/>
  <c r="AE224" i="1"/>
  <c r="AF225" i="1"/>
  <c r="AE225" i="1"/>
  <c r="AF226" i="1"/>
  <c r="AE226" i="1"/>
  <c r="AE227" i="1"/>
  <c r="AF227" i="1"/>
  <c r="AF228" i="1"/>
  <c r="AE228" i="1"/>
  <c r="AF229" i="1"/>
  <c r="AE229" i="1"/>
  <c r="AE230" i="1"/>
  <c r="AF230" i="1"/>
  <c r="AF231" i="1"/>
  <c r="AE231" i="1"/>
  <c r="AF232" i="1"/>
  <c r="AE232" i="1"/>
  <c r="AF233" i="1"/>
  <c r="AE233" i="1"/>
  <c r="AF234" i="1"/>
  <c r="AE234" i="1"/>
  <c r="AE235" i="1"/>
  <c r="AF235" i="1"/>
  <c r="AF236" i="1"/>
  <c r="AE236" i="1"/>
  <c r="AE237" i="1"/>
  <c r="AF237" i="1"/>
  <c r="AE238" i="1"/>
  <c r="AF238" i="1"/>
  <c r="AE239" i="1"/>
  <c r="AF239" i="1"/>
  <c r="AF240" i="1"/>
  <c r="AE240" i="1"/>
  <c r="AE241" i="1"/>
  <c r="AF241" i="1"/>
  <c r="AF242" i="1"/>
  <c r="AE242" i="1"/>
  <c r="AF243" i="1"/>
  <c r="AE243" i="1"/>
  <c r="AF244" i="1"/>
  <c r="AE244" i="1"/>
  <c r="AF245" i="1"/>
  <c r="AE245" i="1"/>
  <c r="AH246" i="1"/>
  <c r="AG246" i="1"/>
  <c r="AF247" i="1"/>
  <c r="AE247" i="1"/>
  <c r="AE248" i="1"/>
  <c r="AF248" i="1"/>
  <c r="AE249" i="1"/>
  <c r="AF249" i="1"/>
  <c r="AE250" i="1"/>
  <c r="AF250" i="1"/>
  <c r="AF251" i="1"/>
  <c r="AE251" i="1"/>
  <c r="AF252" i="1"/>
  <c r="AE252" i="1"/>
  <c r="AF253" i="1"/>
  <c r="AE253" i="1"/>
  <c r="AF254" i="1"/>
  <c r="AE254" i="1"/>
  <c r="AE255" i="1"/>
  <c r="AF255" i="1"/>
  <c r="AF256" i="1"/>
  <c r="AE256" i="1"/>
  <c r="AF257" i="1"/>
  <c r="AE257" i="1"/>
  <c r="AF258" i="1"/>
  <c r="AE258" i="1"/>
  <c r="AE259" i="1"/>
  <c r="AF259" i="1"/>
  <c r="AF260" i="1"/>
  <c r="AE260" i="1"/>
  <c r="AE261" i="1"/>
  <c r="AF261" i="1"/>
  <c r="AE262" i="1"/>
  <c r="AF262" i="1"/>
  <c r="AF263" i="1"/>
  <c r="AE263" i="1"/>
  <c r="AE264" i="1"/>
  <c r="AF264" i="1"/>
  <c r="AF265" i="1"/>
  <c r="AE265" i="1"/>
  <c r="AF266" i="1"/>
  <c r="AE266" i="1"/>
  <c r="AF267" i="1"/>
  <c r="AE267" i="1"/>
  <c r="AE268" i="1"/>
  <c r="AF268" i="1"/>
  <c r="AF269" i="1"/>
  <c r="AE269" i="1"/>
  <c r="AF270" i="1"/>
  <c r="AE270" i="1"/>
  <c r="AE271" i="1"/>
  <c r="AF271" i="1"/>
  <c r="AE272" i="1"/>
  <c r="AF272" i="1"/>
  <c r="AE273" i="1"/>
  <c r="AF273" i="1"/>
  <c r="AE274" i="1"/>
  <c r="AF274" i="1"/>
  <c r="AE275" i="1"/>
  <c r="AF275" i="1"/>
  <c r="AE276" i="1"/>
  <c r="AF276" i="1"/>
  <c r="AF277" i="1"/>
  <c r="AE277" i="1"/>
  <c r="AE278" i="1"/>
  <c r="AF278" i="1"/>
  <c r="AE279" i="1"/>
  <c r="AF279" i="1"/>
  <c r="AE280" i="1"/>
  <c r="AF280" i="1"/>
  <c r="AE281" i="1"/>
  <c r="AF281" i="1"/>
  <c r="AF282" i="1"/>
  <c r="AE282" i="1"/>
  <c r="AE283" i="1"/>
  <c r="AF283" i="1"/>
  <c r="AE284" i="1"/>
  <c r="AF284" i="1"/>
  <c r="AE285" i="1"/>
  <c r="AF285" i="1"/>
  <c r="AF286" i="1"/>
  <c r="AE286" i="1"/>
  <c r="AE287" i="1"/>
  <c r="AF287" i="1"/>
  <c r="AE288" i="1"/>
  <c r="AF288" i="1"/>
  <c r="AF289" i="1"/>
  <c r="AE289" i="1"/>
  <c r="AF290" i="1"/>
  <c r="AE290" i="1"/>
  <c r="AE291" i="1"/>
  <c r="AF291" i="1"/>
  <c r="AE292" i="1"/>
  <c r="AF292" i="1"/>
  <c r="AE293" i="1"/>
  <c r="AF293" i="1"/>
  <c r="AF294" i="1"/>
  <c r="AE294" i="1"/>
  <c r="AF295" i="1"/>
  <c r="AE295" i="1"/>
  <c r="AF296" i="1"/>
  <c r="AE296" i="1"/>
  <c r="AE297" i="1"/>
  <c r="AF297" i="1"/>
  <c r="AE298" i="1"/>
  <c r="AF298" i="1"/>
  <c r="AE299" i="1"/>
  <c r="AF299" i="1"/>
  <c r="AF300" i="1"/>
  <c r="AE300" i="1"/>
  <c r="AE301" i="1"/>
  <c r="AF301" i="1"/>
  <c r="AF302" i="1"/>
  <c r="AE302" i="1"/>
  <c r="AF303" i="1"/>
  <c r="AE303" i="1"/>
  <c r="AE304" i="1"/>
  <c r="AF304" i="1"/>
  <c r="AE305" i="1"/>
  <c r="AF305" i="1"/>
  <c r="AF306" i="1"/>
  <c r="AE306" i="1"/>
  <c r="AE307" i="1"/>
  <c r="AF307" i="1"/>
  <c r="AE308" i="1"/>
  <c r="AF308" i="1"/>
  <c r="AE309" i="1"/>
  <c r="AF309" i="1"/>
  <c r="AF310" i="1"/>
  <c r="AE310" i="1"/>
  <c r="AE311" i="1"/>
  <c r="AF311" i="1"/>
  <c r="AF312" i="1"/>
  <c r="AE312" i="1"/>
  <c r="AF313" i="1"/>
  <c r="AE313" i="1"/>
  <c r="AE314" i="1"/>
  <c r="AF314" i="1"/>
  <c r="AF315" i="1"/>
  <c r="AE315" i="1"/>
  <c r="AF316" i="1"/>
  <c r="AE316" i="1"/>
  <c r="AE317" i="1"/>
  <c r="AF317" i="1"/>
  <c r="AF318" i="1"/>
  <c r="AE318" i="1"/>
  <c r="AE319" i="1"/>
  <c r="AF319" i="1"/>
  <c r="AF320" i="1"/>
  <c r="AE320" i="1"/>
  <c r="AE321" i="1"/>
  <c r="AF321" i="1"/>
  <c r="AE322" i="1"/>
  <c r="AF322" i="1"/>
  <c r="AE323" i="1"/>
  <c r="AF323" i="1"/>
  <c r="AE324" i="1"/>
  <c r="AF324" i="1"/>
  <c r="AF325" i="1"/>
  <c r="AE325" i="1"/>
  <c r="AE326" i="1"/>
  <c r="AF326" i="1"/>
  <c r="AE327" i="1"/>
  <c r="AF327" i="1"/>
  <c r="AF328" i="1"/>
  <c r="AE328" i="1"/>
  <c r="AF329" i="1"/>
  <c r="AE329" i="1"/>
  <c r="AF330" i="1"/>
  <c r="AE330" i="1"/>
  <c r="AF331" i="1"/>
  <c r="AE331" i="1"/>
  <c r="AF332" i="1"/>
  <c r="AE332" i="1"/>
  <c r="AE333" i="1"/>
  <c r="AF333" i="1"/>
  <c r="AE334" i="1"/>
  <c r="AF334" i="1"/>
  <c r="AF335" i="1"/>
  <c r="AE335" i="1"/>
  <c r="AF336" i="1"/>
  <c r="AE336" i="1"/>
  <c r="AE337" i="1"/>
  <c r="AF337" i="1"/>
  <c r="AE338" i="1"/>
  <c r="AF338" i="1"/>
  <c r="AF339" i="1"/>
  <c r="AE339" i="1"/>
  <c r="AF340" i="1"/>
  <c r="AE340" i="1"/>
  <c r="AE341" i="1"/>
  <c r="AF341" i="1"/>
  <c r="AE342" i="1"/>
  <c r="AF342" i="1"/>
  <c r="AF343" i="1"/>
  <c r="AE343" i="1"/>
  <c r="AF344" i="1"/>
  <c r="AE344" i="1"/>
  <c r="AF345" i="1"/>
  <c r="AE345" i="1"/>
  <c r="AF346" i="1"/>
  <c r="AE346" i="1"/>
  <c r="AE347" i="1"/>
  <c r="AF347" i="1"/>
  <c r="AF348" i="1"/>
  <c r="AE348" i="1"/>
  <c r="AE349" i="1"/>
  <c r="AF349" i="1"/>
  <c r="AF350" i="1"/>
  <c r="AE350" i="1"/>
  <c r="AF351" i="1"/>
  <c r="AE351" i="1"/>
  <c r="AE352" i="1"/>
  <c r="AF352" i="1"/>
  <c r="AE353" i="1"/>
  <c r="AF353" i="1"/>
  <c r="AF354" i="1"/>
  <c r="AE354" i="1"/>
  <c r="AF355" i="1"/>
  <c r="AE355" i="1"/>
  <c r="AE356" i="1"/>
  <c r="AF356" i="1"/>
  <c r="AF357" i="1"/>
  <c r="AE357" i="1"/>
  <c r="AF358" i="1"/>
  <c r="AE358" i="1"/>
  <c r="AF359" i="1"/>
  <c r="AE359" i="1"/>
  <c r="AF360" i="1"/>
  <c r="AE360" i="1"/>
  <c r="AE361" i="1"/>
  <c r="AF361" i="1"/>
  <c r="AE362" i="1"/>
  <c r="AF362" i="1"/>
  <c r="AE363" i="1"/>
  <c r="AF363" i="1"/>
  <c r="AE364" i="1"/>
  <c r="AF364" i="1"/>
  <c r="AE365" i="1"/>
  <c r="AF365" i="1"/>
  <c r="AF366" i="1"/>
  <c r="AE366" i="1"/>
  <c r="AF367" i="1"/>
  <c r="AE367" i="1"/>
  <c r="AF368" i="1"/>
  <c r="AE368" i="1"/>
  <c r="AE369" i="1"/>
  <c r="AF369" i="1"/>
  <c r="AF370" i="1"/>
  <c r="AE370" i="1"/>
  <c r="AE371" i="1"/>
  <c r="AF371" i="1"/>
  <c r="AF372" i="1"/>
  <c r="AE372" i="1"/>
  <c r="AE373" i="1"/>
  <c r="AF373" i="1"/>
  <c r="AF374" i="1"/>
  <c r="AE374" i="1"/>
  <c r="AE375" i="1"/>
  <c r="AF375" i="1"/>
  <c r="AE376" i="1"/>
  <c r="AF376" i="1"/>
  <c r="AF377" i="1"/>
  <c r="AE377" i="1"/>
  <c r="AE378" i="1"/>
  <c r="AF378" i="1"/>
  <c r="AF379" i="1"/>
  <c r="AE379" i="1"/>
  <c r="AE380" i="1"/>
  <c r="AF380" i="1"/>
  <c r="AE381" i="1"/>
  <c r="AF381" i="1"/>
  <c r="AE382" i="1"/>
  <c r="AF382" i="1"/>
  <c r="AE383" i="1"/>
  <c r="AF383" i="1"/>
  <c r="AE384" i="1"/>
  <c r="AF384" i="1"/>
  <c r="AF385" i="1"/>
  <c r="AE385" i="1"/>
  <c r="AE386" i="1"/>
  <c r="AF386" i="1"/>
  <c r="AF387" i="1"/>
  <c r="AE387" i="1"/>
  <c r="AF388" i="1"/>
  <c r="AE388" i="1"/>
  <c r="AF389" i="1"/>
  <c r="AE389" i="1"/>
  <c r="AF390" i="1"/>
  <c r="AE390" i="1"/>
  <c r="AF391" i="1"/>
  <c r="AE391" i="1"/>
  <c r="AF392" i="1"/>
  <c r="AE392" i="1"/>
  <c r="AE393" i="1"/>
  <c r="AF393" i="1"/>
  <c r="AE394" i="1"/>
  <c r="AF394" i="1"/>
  <c r="AF395" i="1"/>
  <c r="AE395" i="1"/>
  <c r="AF396" i="1"/>
  <c r="AE396" i="1"/>
  <c r="AE397" i="1"/>
  <c r="AF397" i="1"/>
  <c r="AE398" i="1"/>
  <c r="AF398" i="1"/>
  <c r="AF399" i="1"/>
  <c r="AE399" i="1"/>
  <c r="AE400" i="1"/>
  <c r="AF400" i="1"/>
  <c r="AF401" i="1"/>
  <c r="AE401" i="1"/>
  <c r="AF402" i="1"/>
  <c r="AE402" i="1"/>
  <c r="AF403" i="1"/>
  <c r="AE403" i="1"/>
  <c r="AE404" i="1"/>
  <c r="AF404" i="1"/>
  <c r="AE405" i="1"/>
  <c r="AF405" i="1"/>
  <c r="AF406" i="1"/>
  <c r="AE406" i="1"/>
  <c r="AF407" i="1"/>
  <c r="AE407" i="1"/>
  <c r="AF408" i="1"/>
  <c r="AE408" i="1"/>
  <c r="AE409" i="1"/>
  <c r="AF409" i="1"/>
  <c r="AE410" i="1"/>
  <c r="AF410" i="1"/>
  <c r="AE411" i="1"/>
  <c r="AF411" i="1"/>
  <c r="AE412" i="1"/>
  <c r="AF412" i="1"/>
  <c r="AF413" i="1"/>
  <c r="AE413" i="1"/>
  <c r="AF414" i="1"/>
  <c r="AE414" i="1"/>
  <c r="AF415" i="1"/>
  <c r="AE415" i="1"/>
  <c r="AE416" i="1"/>
  <c r="AF416" i="1"/>
  <c r="AE417" i="1"/>
  <c r="AF417" i="1"/>
  <c r="AF418" i="1"/>
  <c r="AE418" i="1"/>
  <c r="AE419" i="1"/>
  <c r="AF419" i="1"/>
  <c r="AF420" i="1"/>
  <c r="AE420" i="1"/>
  <c r="AF421" i="1"/>
  <c r="AE421" i="1"/>
  <c r="AE422" i="1"/>
  <c r="AF422" i="1"/>
  <c r="AF423" i="1"/>
  <c r="AE423" i="1"/>
  <c r="AF424" i="1"/>
  <c r="AE424" i="1"/>
  <c r="AF425" i="1"/>
  <c r="AE425" i="1"/>
  <c r="AF426" i="1"/>
  <c r="AE426" i="1"/>
  <c r="AF427" i="1"/>
  <c r="AE427" i="1"/>
  <c r="AF428" i="1"/>
  <c r="AE428" i="1"/>
  <c r="AE429" i="1"/>
  <c r="AF429" i="1"/>
  <c r="AF430" i="1"/>
  <c r="AE430" i="1"/>
  <c r="AE431" i="1"/>
  <c r="AF431" i="1"/>
  <c r="AF432" i="1"/>
  <c r="AE432" i="1"/>
  <c r="AF433" i="1"/>
  <c r="AE433" i="1"/>
  <c r="AE434" i="1"/>
  <c r="AF434" i="1"/>
  <c r="AE435" i="1"/>
  <c r="AF435" i="1"/>
  <c r="AE436" i="1"/>
  <c r="AF436" i="1"/>
  <c r="AE437" i="1"/>
  <c r="AF437" i="1"/>
  <c r="AF438" i="1"/>
  <c r="AE438" i="1"/>
  <c r="AE439" i="1"/>
  <c r="AF439" i="1"/>
  <c r="AF440" i="1"/>
  <c r="AE440" i="1"/>
  <c r="AE441" i="1"/>
  <c r="AF441" i="1"/>
  <c r="AF442" i="1"/>
  <c r="AE442" i="1"/>
  <c r="AF443" i="1"/>
  <c r="AE443" i="1"/>
  <c r="AE444" i="1"/>
  <c r="AF444" i="1"/>
  <c r="AF445" i="1"/>
  <c r="AE445" i="1"/>
  <c r="AF446" i="1"/>
  <c r="AE446" i="1"/>
  <c r="AF447" i="1"/>
  <c r="AE447" i="1"/>
  <c r="AE448" i="1"/>
  <c r="AF448" i="1"/>
  <c r="AE449" i="1"/>
  <c r="AF449" i="1"/>
  <c r="AE450" i="1"/>
  <c r="AF450" i="1"/>
  <c r="AF451" i="1"/>
  <c r="AE451" i="1"/>
  <c r="AF452" i="1"/>
  <c r="AE452" i="1"/>
  <c r="AF453" i="1"/>
  <c r="AE453" i="1"/>
  <c r="AF454" i="1"/>
  <c r="AE454" i="1"/>
  <c r="AE455" i="1"/>
  <c r="AF455" i="1"/>
  <c r="AE456" i="1"/>
  <c r="AF456" i="1"/>
  <c r="AF457" i="1"/>
  <c r="AE457" i="1"/>
  <c r="AF458" i="1"/>
  <c r="AE458" i="1"/>
  <c r="AF459" i="1"/>
  <c r="AE459" i="1"/>
  <c r="AE460" i="1"/>
  <c r="AF460" i="1"/>
  <c r="AF461" i="1"/>
  <c r="AE461" i="1"/>
  <c r="AE462" i="1"/>
  <c r="AF462" i="1"/>
  <c r="AF463" i="1"/>
  <c r="AE463" i="1"/>
  <c r="AF464" i="1"/>
  <c r="AE464" i="1"/>
  <c r="AF465" i="1"/>
  <c r="AE465" i="1"/>
  <c r="AE466" i="1"/>
  <c r="AF466" i="1"/>
  <c r="AF467" i="1"/>
  <c r="AE467" i="1"/>
  <c r="AE468" i="1"/>
  <c r="AF468" i="1"/>
  <c r="AF469" i="1"/>
  <c r="AE469" i="1"/>
  <c r="AE470" i="1"/>
  <c r="AF470" i="1"/>
  <c r="AF471" i="1"/>
  <c r="AE471" i="1"/>
  <c r="AE472" i="1"/>
  <c r="AF472" i="1"/>
  <c r="AF473" i="1"/>
  <c r="AE473" i="1"/>
  <c r="AF474" i="1"/>
  <c r="AE474" i="1"/>
  <c r="AF475" i="1"/>
  <c r="AE475" i="1"/>
  <c r="AF476" i="1"/>
  <c r="AE476" i="1"/>
  <c r="AE477" i="1"/>
  <c r="AF477" i="1"/>
  <c r="AE478" i="1"/>
  <c r="AF478" i="1"/>
  <c r="AE479" i="1"/>
  <c r="AF479" i="1"/>
  <c r="AF480" i="1"/>
  <c r="AE480" i="1"/>
  <c r="AF481" i="1"/>
  <c r="AE481" i="1"/>
  <c r="AE482" i="1"/>
  <c r="AF482" i="1"/>
  <c r="AE483" i="1"/>
  <c r="AF483" i="1"/>
  <c r="AE484" i="1"/>
  <c r="AF484" i="1"/>
  <c r="AF485" i="1"/>
  <c r="AE485" i="1"/>
  <c r="AE486" i="1"/>
  <c r="AF486" i="1"/>
  <c r="AE487" i="1"/>
  <c r="AF487" i="1"/>
  <c r="AE488" i="1"/>
  <c r="AF488" i="1"/>
  <c r="AF489" i="1"/>
  <c r="AE489" i="1"/>
  <c r="AF490" i="1"/>
  <c r="AE490" i="1"/>
  <c r="AF491" i="1"/>
  <c r="AE491" i="1"/>
  <c r="AE492" i="1"/>
  <c r="AF492" i="1"/>
  <c r="AF493" i="1"/>
  <c r="AE493" i="1"/>
  <c r="AE494" i="1"/>
  <c r="AF494" i="1"/>
  <c r="AE495" i="1"/>
  <c r="AF495" i="1"/>
  <c r="AF496" i="1"/>
  <c r="AE496" i="1"/>
  <c r="AE497" i="1"/>
  <c r="AF497" i="1"/>
  <c r="AE498" i="1"/>
  <c r="AF498" i="1"/>
  <c r="AF499" i="1"/>
  <c r="AE499" i="1"/>
  <c r="AE500" i="1"/>
  <c r="AF500" i="1"/>
  <c r="AE501" i="1"/>
  <c r="AF501" i="1"/>
  <c r="AF502" i="1"/>
  <c r="AE502" i="1"/>
  <c r="AE503" i="1"/>
  <c r="AF503" i="1"/>
  <c r="AE504" i="1"/>
  <c r="AF504" i="1"/>
  <c r="AF505" i="1"/>
  <c r="AE505" i="1"/>
  <c r="AE506" i="1"/>
  <c r="AF506" i="1"/>
  <c r="AF507" i="1"/>
  <c r="AE507" i="1"/>
  <c r="AF508" i="1"/>
  <c r="AE508" i="1"/>
  <c r="AF509" i="1"/>
  <c r="AE509" i="1"/>
  <c r="AF510" i="1"/>
  <c r="AE510" i="1"/>
  <c r="AF511" i="1"/>
  <c r="AE511" i="1"/>
  <c r="AE512" i="1"/>
  <c r="AF512" i="1"/>
  <c r="AE513" i="1"/>
  <c r="AF513" i="1"/>
  <c r="AF514" i="1"/>
  <c r="AE514" i="1"/>
  <c r="AE515" i="1"/>
  <c r="AF515" i="1"/>
  <c r="AE516" i="1"/>
  <c r="AF516" i="1"/>
  <c r="AF517" i="1"/>
  <c r="AE517" i="1"/>
  <c r="AE518" i="1"/>
  <c r="AF518" i="1"/>
  <c r="AE519" i="1"/>
  <c r="AF519" i="1"/>
  <c r="AE520" i="1"/>
  <c r="AF520" i="1"/>
  <c r="AE521" i="1"/>
  <c r="AF521" i="1"/>
  <c r="AF522" i="1"/>
  <c r="AE522" i="1"/>
  <c r="AE523" i="1"/>
  <c r="AF523" i="1"/>
  <c r="AE524" i="1"/>
  <c r="AF524" i="1"/>
  <c r="AE525" i="1"/>
  <c r="AF525" i="1"/>
  <c r="AF526" i="1"/>
  <c r="AE526" i="1"/>
  <c r="AE527" i="1"/>
  <c r="AF527" i="1"/>
  <c r="AE528" i="1"/>
  <c r="AF528" i="1"/>
  <c r="AF529" i="1"/>
  <c r="AE529" i="1"/>
  <c r="AE530" i="1"/>
  <c r="AF530" i="1"/>
  <c r="AF531" i="1"/>
  <c r="AE531" i="1"/>
  <c r="AF532" i="1"/>
  <c r="AE532" i="1"/>
  <c r="AF533" i="1"/>
  <c r="AE533" i="1"/>
  <c r="AE534" i="1"/>
  <c r="AF534" i="1"/>
  <c r="AF535" i="1"/>
  <c r="AE535" i="1"/>
  <c r="AE536" i="1"/>
  <c r="AF536" i="1"/>
  <c r="AE537" i="1"/>
  <c r="AF537" i="1"/>
  <c r="AE538" i="1"/>
  <c r="AF538" i="1"/>
  <c r="AE539" i="1"/>
  <c r="AF539" i="1"/>
  <c r="AF540" i="1"/>
  <c r="AE540" i="1"/>
  <c r="AE541" i="1"/>
  <c r="AF541" i="1"/>
  <c r="AF542" i="1"/>
  <c r="AE542" i="1"/>
  <c r="AF543" i="1"/>
  <c r="AE543" i="1"/>
  <c r="AE544" i="1"/>
  <c r="AF544" i="1"/>
  <c r="AF545" i="1"/>
  <c r="AE545" i="1"/>
  <c r="AE546" i="1"/>
  <c r="AF546" i="1"/>
  <c r="AE547" i="1"/>
  <c r="AF547" i="1"/>
  <c r="AF548" i="1"/>
  <c r="AE548" i="1"/>
  <c r="AF549" i="1"/>
  <c r="AE549" i="1"/>
  <c r="AF550" i="1"/>
  <c r="AE550" i="1"/>
  <c r="AE551" i="1"/>
  <c r="AF551" i="1"/>
  <c r="AF552" i="1"/>
  <c r="AE552" i="1"/>
  <c r="AE553" i="1"/>
  <c r="AF553" i="1"/>
  <c r="AF554" i="1"/>
  <c r="AE554" i="1"/>
  <c r="AE555" i="1"/>
  <c r="AF555" i="1"/>
  <c r="AE556" i="1"/>
  <c r="AF556" i="1"/>
  <c r="AE557" i="1"/>
  <c r="AF557" i="1"/>
  <c r="AF558" i="1"/>
  <c r="AE558" i="1"/>
  <c r="AE559" i="1"/>
  <c r="AF559" i="1"/>
  <c r="AF560" i="1"/>
  <c r="AE560" i="1"/>
  <c r="AF561" i="1"/>
  <c r="AE561" i="1"/>
  <c r="AE562" i="1"/>
  <c r="AF562" i="1"/>
  <c r="AE563" i="1"/>
  <c r="AF563" i="1"/>
  <c r="AE564" i="1"/>
  <c r="AF564" i="1"/>
  <c r="AF565" i="1"/>
  <c r="AE565" i="1"/>
  <c r="AE566" i="1"/>
  <c r="AF566" i="1"/>
  <c r="AE567" i="1"/>
  <c r="AF567" i="1"/>
  <c r="AE568" i="1"/>
  <c r="AF568" i="1"/>
  <c r="AE569" i="1"/>
  <c r="AF569" i="1"/>
  <c r="AF570" i="1"/>
  <c r="AE570" i="1"/>
  <c r="AE571" i="1"/>
  <c r="AF571" i="1"/>
  <c r="AE572" i="1"/>
  <c r="AF572" i="1"/>
  <c r="AF573" i="1"/>
  <c r="AE573" i="1"/>
  <c r="AE574" i="1"/>
  <c r="AF574" i="1"/>
  <c r="AF575" i="1"/>
  <c r="AE575" i="1"/>
  <c r="AF576" i="1"/>
  <c r="AE576" i="1"/>
  <c r="AF577" i="1"/>
  <c r="AE577" i="1"/>
  <c r="AE578" i="1"/>
  <c r="AF578" i="1"/>
  <c r="AE579" i="1"/>
  <c r="AF579" i="1"/>
  <c r="AF580" i="1"/>
  <c r="AE580" i="1"/>
  <c r="AF581" i="1"/>
  <c r="AE581" i="1"/>
  <c r="AE582" i="1"/>
  <c r="AF582" i="1"/>
  <c r="AE583" i="1"/>
  <c r="AF583" i="1"/>
  <c r="AE584" i="1"/>
  <c r="AF584" i="1"/>
  <c r="AF585" i="1"/>
  <c r="AE585" i="1"/>
  <c r="AE586" i="1"/>
  <c r="AF586" i="1"/>
  <c r="AE587" i="1"/>
  <c r="AF587" i="1"/>
  <c r="AF588" i="1"/>
  <c r="AE588" i="1"/>
  <c r="AE589" i="1"/>
  <c r="AF589" i="1"/>
  <c r="AE590" i="1"/>
  <c r="AF590" i="1"/>
  <c r="AF591" i="1"/>
  <c r="AE591" i="1"/>
  <c r="AE592" i="1"/>
  <c r="AF592" i="1"/>
  <c r="AE593" i="1"/>
  <c r="AF593" i="1"/>
  <c r="AF594" i="1"/>
  <c r="AE594" i="1"/>
  <c r="AE595" i="1"/>
  <c r="AF595" i="1"/>
  <c r="AF596" i="1"/>
  <c r="AE596" i="1"/>
  <c r="AE597" i="1"/>
  <c r="AF597" i="1"/>
  <c r="AE598" i="1"/>
  <c r="AF598" i="1"/>
  <c r="AF599" i="1"/>
  <c r="AE599" i="1"/>
  <c r="AE600" i="1"/>
  <c r="AF600" i="1"/>
  <c r="AF601" i="1"/>
  <c r="AE601" i="1"/>
  <c r="AE602" i="1"/>
  <c r="AF602" i="1"/>
  <c r="AF603" i="1"/>
  <c r="AE603" i="1"/>
  <c r="AF604" i="1"/>
  <c r="AE604" i="1"/>
  <c r="AF605" i="1"/>
  <c r="AE605" i="1"/>
  <c r="AF606" i="1"/>
  <c r="AE606" i="1"/>
  <c r="AE607" i="1"/>
  <c r="AF607" i="1"/>
  <c r="AE608" i="1"/>
  <c r="AF608" i="1"/>
  <c r="AE609" i="1"/>
  <c r="AF609" i="1"/>
  <c r="AE610" i="1"/>
  <c r="AF610" i="1"/>
  <c r="AE611" i="1"/>
  <c r="AF611" i="1"/>
  <c r="AF612" i="1"/>
  <c r="AE612" i="1"/>
  <c r="AE613" i="1"/>
  <c r="AF613" i="1"/>
  <c r="AF614" i="1"/>
  <c r="AE614" i="1"/>
  <c r="AE615" i="1"/>
  <c r="AF615" i="1"/>
  <c r="AE616" i="1"/>
  <c r="AF616" i="1"/>
  <c r="AE617" i="1"/>
  <c r="AF617" i="1"/>
  <c r="AE618" i="1"/>
  <c r="AF618" i="1"/>
  <c r="AF619" i="1"/>
  <c r="AE619" i="1"/>
  <c r="AF620" i="1"/>
  <c r="AE620" i="1"/>
  <c r="AF621" i="1"/>
  <c r="AE621" i="1"/>
  <c r="AF622" i="1"/>
  <c r="AE622" i="1"/>
  <c r="AF623" i="1"/>
  <c r="AE623" i="1"/>
  <c r="AE624" i="1"/>
  <c r="AF624" i="1"/>
  <c r="AF625" i="1"/>
  <c r="AE625" i="1"/>
  <c r="AF626" i="1"/>
  <c r="AE626" i="1"/>
  <c r="AF627" i="1"/>
  <c r="AE627" i="1"/>
  <c r="AF628" i="1"/>
  <c r="AE628" i="1"/>
  <c r="AE629" i="1"/>
  <c r="AF629" i="1"/>
  <c r="AE630" i="1"/>
  <c r="AF630" i="1"/>
  <c r="AE631" i="1"/>
  <c r="AF631" i="1"/>
  <c r="AE632" i="1"/>
  <c r="AF632" i="1"/>
  <c r="AF633" i="1"/>
  <c r="AE633" i="1"/>
  <c r="AF634" i="1"/>
  <c r="AE634" i="1"/>
  <c r="AE635" i="1"/>
  <c r="AF635" i="1"/>
  <c r="AE636" i="1"/>
  <c r="AF636" i="1"/>
  <c r="AF637" i="1"/>
  <c r="AE637" i="1"/>
  <c r="AE638" i="1"/>
  <c r="AF638" i="1"/>
  <c r="AE639" i="1"/>
  <c r="AF639" i="1"/>
  <c r="AF640" i="1"/>
  <c r="AE640" i="1"/>
  <c r="AE641" i="1"/>
  <c r="AF641" i="1"/>
  <c r="AF642" i="1"/>
  <c r="AE642" i="1"/>
  <c r="AF643" i="1"/>
  <c r="AE643" i="1"/>
  <c r="AE644" i="1"/>
  <c r="AF644" i="1"/>
  <c r="AF645" i="1"/>
  <c r="AE645" i="1"/>
  <c r="AF646" i="1"/>
  <c r="AE646" i="1"/>
  <c r="AF647" i="1"/>
  <c r="AE647" i="1"/>
  <c r="AF648" i="1"/>
  <c r="AE648" i="1"/>
  <c r="AF649" i="1"/>
  <c r="AE649" i="1"/>
  <c r="AE650" i="1"/>
  <c r="AF650" i="1"/>
  <c r="AF651" i="1"/>
  <c r="AE651" i="1"/>
  <c r="AF652" i="1"/>
  <c r="AE652" i="1"/>
  <c r="AE653" i="1"/>
  <c r="AF653" i="1"/>
  <c r="AE654" i="1"/>
  <c r="AF654" i="1"/>
  <c r="AE655" i="1"/>
  <c r="AF655" i="1"/>
  <c r="AF656" i="1"/>
  <c r="AE656" i="1"/>
  <c r="AE657" i="1"/>
  <c r="AF657" i="1"/>
  <c r="AF658" i="1"/>
  <c r="AE658" i="1"/>
  <c r="AE659" i="1"/>
  <c r="AF659" i="1"/>
  <c r="AF660" i="1"/>
  <c r="AE660" i="1"/>
  <c r="AF661" i="1"/>
  <c r="AE661" i="1"/>
  <c r="AE662" i="1"/>
  <c r="AF662" i="1"/>
  <c r="AF663" i="1"/>
  <c r="AE663" i="1"/>
  <c r="AE664" i="1"/>
  <c r="AF664" i="1"/>
  <c r="AF665" i="1"/>
  <c r="AE665" i="1"/>
  <c r="AF666" i="1"/>
  <c r="AE666" i="1"/>
  <c r="AF667" i="1"/>
  <c r="AE667" i="1"/>
  <c r="AE668" i="1"/>
  <c r="AF668" i="1"/>
  <c r="AE669" i="1"/>
  <c r="AF669" i="1"/>
  <c r="AE670" i="1"/>
  <c r="AF670" i="1"/>
  <c r="AE671" i="1"/>
  <c r="AF671" i="1"/>
  <c r="AE672" i="1"/>
  <c r="AF672" i="1"/>
  <c r="AE673" i="1"/>
  <c r="AF673" i="1"/>
  <c r="AE674" i="1"/>
  <c r="AF674" i="1"/>
  <c r="AE675" i="1"/>
  <c r="AF675" i="1"/>
  <c r="AF676" i="1"/>
  <c r="AE676" i="1"/>
  <c r="AE677" i="1"/>
  <c r="AF677" i="1"/>
  <c r="AF678" i="1"/>
  <c r="AE678" i="1"/>
  <c r="AF679" i="1"/>
  <c r="AE679" i="1"/>
  <c r="AE680" i="1"/>
  <c r="AF680" i="1"/>
  <c r="AF681" i="1"/>
  <c r="AE681" i="1"/>
  <c r="AE682" i="1"/>
  <c r="AF682" i="1"/>
  <c r="AE683" i="1"/>
  <c r="AF683" i="1"/>
  <c r="AF684" i="1"/>
  <c r="AE684" i="1"/>
  <c r="AF685" i="1"/>
  <c r="AE685" i="1"/>
  <c r="AF686" i="1"/>
  <c r="AE686" i="1"/>
  <c r="AE687" i="1"/>
  <c r="AF687" i="1"/>
  <c r="AF688" i="1"/>
  <c r="AE688" i="1"/>
  <c r="AE689" i="1"/>
  <c r="AF689" i="1"/>
  <c r="AF690" i="1"/>
  <c r="AE690" i="1"/>
  <c r="AE691" i="1"/>
  <c r="AF691" i="1"/>
  <c r="AE692" i="1"/>
  <c r="AF692" i="1"/>
  <c r="AE693" i="1"/>
  <c r="AF693" i="1"/>
  <c r="AE694" i="1"/>
  <c r="AF694" i="1"/>
  <c r="AF695" i="1"/>
  <c r="AE695" i="1"/>
  <c r="AF696" i="1"/>
  <c r="AE696" i="1"/>
  <c r="AF697" i="1"/>
  <c r="AE697" i="1"/>
  <c r="AF698" i="1"/>
  <c r="AE698" i="1"/>
  <c r="AF699" i="1"/>
  <c r="AE699" i="1"/>
  <c r="AF700" i="1"/>
  <c r="AE700" i="1"/>
  <c r="AF701" i="1"/>
  <c r="AE701" i="1"/>
  <c r="AE702" i="1"/>
  <c r="AF702" i="1"/>
  <c r="AF703" i="1"/>
  <c r="AE703" i="1"/>
  <c r="AE704" i="1"/>
  <c r="AF704" i="1"/>
  <c r="AF705" i="1"/>
  <c r="AE705" i="1"/>
  <c r="AE706" i="1"/>
  <c r="AF706" i="1"/>
  <c r="AF707" i="1"/>
  <c r="AE707" i="1"/>
  <c r="AE708" i="1"/>
  <c r="AF708" i="1"/>
  <c r="AF709" i="1"/>
  <c r="AE709" i="1"/>
  <c r="AF710" i="1"/>
  <c r="AE710" i="1"/>
  <c r="AF711" i="1"/>
  <c r="AE711" i="1"/>
  <c r="AF712" i="1"/>
  <c r="AE712" i="1"/>
  <c r="AF713" i="1"/>
  <c r="AE713" i="1"/>
  <c r="AE714" i="1"/>
  <c r="AF714" i="1"/>
  <c r="AE715" i="1"/>
  <c r="AF715" i="1"/>
  <c r="AF716" i="1"/>
  <c r="AE716" i="1"/>
  <c r="AE717" i="1"/>
  <c r="AF717" i="1"/>
  <c r="AE718" i="1"/>
  <c r="AF718" i="1"/>
  <c r="AF719" i="1"/>
  <c r="AE719" i="1"/>
  <c r="AE720" i="1"/>
  <c r="AF720" i="1"/>
  <c r="AF721" i="1"/>
  <c r="AE721" i="1"/>
  <c r="AF722" i="1"/>
  <c r="AE722" i="1"/>
  <c r="AF723" i="1"/>
  <c r="AE723" i="1"/>
  <c r="AF724" i="1"/>
  <c r="AE724" i="1"/>
  <c r="AE725" i="1"/>
  <c r="AF725" i="1"/>
  <c r="AF726" i="1"/>
  <c r="AE726" i="1"/>
  <c r="AE727" i="1"/>
  <c r="AF727" i="1"/>
  <c r="AE728" i="1"/>
  <c r="AF728" i="1"/>
  <c r="AF729" i="1"/>
  <c r="AE729" i="1"/>
  <c r="AE730" i="1"/>
  <c r="AF730" i="1"/>
  <c r="AF731" i="1"/>
  <c r="AE731" i="1"/>
  <c r="AF732" i="1"/>
  <c r="AE732" i="1"/>
  <c r="AF733" i="1"/>
  <c r="AE733" i="1"/>
  <c r="AF734" i="1"/>
  <c r="AE734" i="1"/>
  <c r="AF735" i="1"/>
  <c r="AE735" i="1"/>
  <c r="AE736" i="1"/>
  <c r="AF736" i="1"/>
  <c r="AF737" i="1"/>
  <c r="AE737" i="1"/>
  <c r="AE738" i="1"/>
  <c r="AF738" i="1"/>
  <c r="AE739" i="1"/>
  <c r="AF739" i="1"/>
  <c r="AF740" i="1"/>
  <c r="AE740" i="1"/>
  <c r="AE741" i="1"/>
  <c r="AF741" i="1"/>
  <c r="AF742" i="1"/>
  <c r="AE742" i="1"/>
  <c r="AE743" i="1"/>
  <c r="AF743" i="1"/>
  <c r="AF744" i="1"/>
  <c r="AE744" i="1"/>
  <c r="AF745" i="1"/>
  <c r="AE745" i="1"/>
  <c r="AE746" i="1"/>
  <c r="AF746" i="1"/>
  <c r="AF747" i="1"/>
  <c r="AE747" i="1"/>
  <c r="AF748" i="1"/>
  <c r="AE748" i="1"/>
  <c r="AF749" i="1"/>
  <c r="AE749" i="1"/>
  <c r="AE750" i="1"/>
  <c r="AF750" i="1"/>
  <c r="AF751" i="1"/>
  <c r="AE751" i="1"/>
  <c r="AE752" i="1"/>
  <c r="AF752" i="1"/>
  <c r="AF753" i="1"/>
  <c r="AE753" i="1"/>
  <c r="AF754" i="1"/>
  <c r="AE754" i="1"/>
  <c r="AF755" i="1"/>
  <c r="AE755" i="1"/>
  <c r="AF756" i="1"/>
  <c r="AE756" i="1"/>
  <c r="AE757" i="1"/>
  <c r="AF757" i="1"/>
  <c r="AF758" i="1"/>
  <c r="AE758" i="1"/>
  <c r="AF759" i="1"/>
  <c r="AE759" i="1"/>
  <c r="AF760" i="1"/>
  <c r="AE760" i="1"/>
  <c r="AF761" i="1"/>
  <c r="AE761" i="1"/>
  <c r="AE762" i="1"/>
  <c r="AF762" i="1"/>
  <c r="AE763" i="1"/>
  <c r="AF763" i="1"/>
  <c r="AE764" i="1"/>
  <c r="AF764" i="1"/>
  <c r="AE765" i="1"/>
  <c r="AF765" i="1"/>
  <c r="AF766" i="1"/>
  <c r="AE766" i="1"/>
  <c r="AE767" i="1"/>
  <c r="AF767" i="1"/>
  <c r="AE768" i="1"/>
  <c r="AF768" i="1"/>
  <c r="AF769" i="1"/>
  <c r="AE769" i="1"/>
  <c r="AF770" i="1"/>
  <c r="AE770" i="1"/>
  <c r="AE771" i="1"/>
  <c r="AF771" i="1"/>
  <c r="AE772" i="1"/>
  <c r="AF772" i="1"/>
  <c r="AF773" i="1"/>
  <c r="AE773" i="1"/>
  <c r="AE774" i="1"/>
  <c r="AF774" i="1"/>
  <c r="AF775" i="1"/>
  <c r="AE775" i="1"/>
  <c r="AF776" i="1"/>
  <c r="AE776" i="1"/>
  <c r="AF777" i="1"/>
  <c r="AE777" i="1"/>
  <c r="AE778" i="1"/>
  <c r="AF778" i="1"/>
  <c r="AF779" i="1"/>
  <c r="AE779" i="1"/>
  <c r="AF780" i="1"/>
  <c r="AE780" i="1"/>
  <c r="AF781" i="1"/>
  <c r="AE781" i="1"/>
  <c r="AF782" i="1"/>
  <c r="AE782" i="1"/>
  <c r="AF783" i="1"/>
  <c r="AE783" i="1"/>
  <c r="AE784" i="1"/>
  <c r="AF784" i="1"/>
  <c r="AE785" i="1"/>
  <c r="AF785" i="1"/>
  <c r="AF786" i="1"/>
  <c r="AE786" i="1"/>
  <c r="AF787" i="1"/>
  <c r="AE787" i="1"/>
  <c r="AE788" i="1"/>
  <c r="AF788" i="1"/>
  <c r="AE789" i="1"/>
  <c r="AF789" i="1"/>
  <c r="AE790" i="1"/>
  <c r="AF790" i="1"/>
  <c r="AF791" i="1"/>
  <c r="AE791" i="1"/>
  <c r="AF792" i="1"/>
  <c r="AE792" i="1"/>
  <c r="AF793" i="1"/>
  <c r="AE793" i="1"/>
  <c r="AF794" i="1"/>
  <c r="AE794" i="1"/>
  <c r="AE795" i="1"/>
  <c r="AF795" i="1"/>
  <c r="AE796" i="1"/>
  <c r="AF796" i="1"/>
  <c r="AF797" i="1"/>
  <c r="AE797" i="1"/>
  <c r="AE798" i="1"/>
  <c r="AF798" i="1"/>
  <c r="AE799" i="1"/>
  <c r="AF799" i="1"/>
  <c r="AF800" i="1"/>
  <c r="AE800" i="1"/>
  <c r="AF801" i="1"/>
  <c r="AE801" i="1"/>
  <c r="AF802" i="1"/>
  <c r="AE802" i="1"/>
  <c r="AF803" i="1"/>
  <c r="AE803" i="1"/>
  <c r="AE804" i="1"/>
  <c r="AF804" i="1"/>
  <c r="AE805" i="1"/>
  <c r="AF805" i="1"/>
  <c r="AF806" i="1"/>
  <c r="AE806" i="1"/>
  <c r="AF807" i="1"/>
  <c r="AE807" i="1"/>
  <c r="AE808" i="1"/>
  <c r="AF808" i="1"/>
  <c r="AF809" i="1"/>
  <c r="AE809" i="1"/>
  <c r="AE810" i="1"/>
  <c r="AF810" i="1"/>
  <c r="AE811" i="1"/>
  <c r="AF811" i="1"/>
  <c r="AF812" i="1"/>
  <c r="AE812" i="1"/>
  <c r="AF813" i="1"/>
  <c r="AE813" i="1"/>
  <c r="AE814" i="1"/>
  <c r="AF814" i="1"/>
  <c r="AE815" i="1"/>
  <c r="AF815" i="1"/>
  <c r="AF816" i="1"/>
  <c r="AE816" i="1"/>
  <c r="AF817" i="1"/>
  <c r="AE817" i="1"/>
  <c r="AE818" i="1"/>
  <c r="AF818" i="1"/>
  <c r="AE819" i="1"/>
  <c r="AF819" i="1"/>
  <c r="AE820" i="1"/>
  <c r="AF820" i="1"/>
  <c r="AE821" i="1"/>
  <c r="AF821" i="1"/>
  <c r="AE822" i="1"/>
  <c r="AF822" i="1"/>
  <c r="AE823" i="1"/>
  <c r="AF823" i="1"/>
  <c r="AE824" i="1"/>
  <c r="AF824" i="1"/>
  <c r="AF825" i="1"/>
  <c r="AE825" i="1"/>
  <c r="AF826" i="1"/>
  <c r="AE826" i="1"/>
  <c r="AE827" i="1"/>
  <c r="AF827" i="1"/>
  <c r="AF828" i="1"/>
  <c r="AE828" i="1"/>
  <c r="AE829" i="1"/>
  <c r="AF829" i="1"/>
  <c r="AE830" i="1"/>
  <c r="AF830" i="1"/>
  <c r="AF831" i="1"/>
  <c r="AE831" i="1"/>
  <c r="AF832" i="1"/>
  <c r="AE832" i="1"/>
  <c r="AE833" i="1"/>
  <c r="AF833" i="1"/>
  <c r="AF834" i="1"/>
  <c r="AE834" i="1"/>
  <c r="AF835" i="1"/>
  <c r="AE835" i="1"/>
  <c r="AF836" i="1"/>
  <c r="AE836" i="1"/>
  <c r="AF837" i="1"/>
  <c r="AE837" i="1"/>
  <c r="AF838" i="1"/>
  <c r="AE838" i="1"/>
  <c r="AE839" i="1"/>
  <c r="AF839" i="1"/>
  <c r="AF840" i="1"/>
  <c r="AE840" i="1"/>
  <c r="AE841" i="1"/>
  <c r="AF841" i="1"/>
  <c r="AF842" i="1"/>
  <c r="AE842" i="1"/>
  <c r="AE843" i="1"/>
  <c r="AF843" i="1"/>
  <c r="AF844" i="1"/>
  <c r="AE844" i="1"/>
  <c r="AF845" i="1"/>
  <c r="AE845" i="1"/>
  <c r="AE846" i="1"/>
  <c r="AF846" i="1"/>
  <c r="AE847" i="1"/>
  <c r="AF847" i="1"/>
  <c r="AF848" i="1"/>
  <c r="AE848" i="1"/>
  <c r="AF849" i="1"/>
  <c r="AE849" i="1"/>
  <c r="AF850" i="1"/>
  <c r="AE850" i="1"/>
  <c r="AF851" i="1"/>
  <c r="AE851" i="1"/>
  <c r="AF852" i="1"/>
  <c r="AE852" i="1"/>
  <c r="AE853" i="1"/>
  <c r="AF853" i="1"/>
  <c r="AF854" i="1"/>
  <c r="AE854" i="1"/>
  <c r="AE855" i="1"/>
  <c r="AF855" i="1"/>
  <c r="AE856" i="1"/>
  <c r="AF856" i="1"/>
  <c r="AE857" i="1"/>
  <c r="AF857" i="1"/>
  <c r="AF858" i="1"/>
  <c r="AE858" i="1"/>
  <c r="AE859" i="1"/>
  <c r="AF859" i="1"/>
  <c r="AE860" i="1"/>
  <c r="AF860" i="1"/>
  <c r="AE861" i="1"/>
  <c r="AF861" i="1"/>
  <c r="AF862" i="1"/>
  <c r="AE862" i="1"/>
  <c r="AE863" i="1"/>
  <c r="AF863" i="1"/>
  <c r="AE864" i="1"/>
  <c r="AF864" i="1"/>
  <c r="AE865" i="1"/>
  <c r="AF865" i="1"/>
  <c r="AF866" i="1"/>
  <c r="AE866" i="1"/>
  <c r="AF867" i="1"/>
  <c r="AE867" i="1"/>
  <c r="AF868" i="1"/>
  <c r="AE868" i="1"/>
  <c r="AF869" i="1"/>
  <c r="AE869" i="1"/>
  <c r="AE870" i="1"/>
  <c r="AF870" i="1"/>
  <c r="AE871" i="1"/>
  <c r="AF871" i="1"/>
  <c r="AE872" i="1"/>
  <c r="AF872" i="1"/>
  <c r="AF873" i="1"/>
  <c r="AE873" i="1"/>
  <c r="AE874" i="1"/>
  <c r="AF874" i="1"/>
  <c r="AF875" i="1"/>
  <c r="AE875" i="1"/>
  <c r="AF876" i="1"/>
  <c r="AE876" i="1"/>
  <c r="AF877" i="1"/>
  <c r="AE877" i="1"/>
  <c r="AE878" i="1"/>
  <c r="AF878" i="1"/>
  <c r="AE879" i="1"/>
  <c r="AF879" i="1"/>
  <c r="AF880" i="1"/>
  <c r="AE880" i="1"/>
  <c r="AE881" i="1"/>
  <c r="AF881" i="1"/>
  <c r="AE882" i="1"/>
  <c r="AF882" i="1"/>
  <c r="AE883" i="1"/>
  <c r="AF883" i="1"/>
  <c r="AE884" i="1"/>
  <c r="AF884" i="1"/>
  <c r="AE885" i="1"/>
  <c r="AF885" i="1"/>
  <c r="AF886" i="1"/>
  <c r="AE886" i="1"/>
  <c r="AF887" i="1"/>
  <c r="AE887" i="1"/>
  <c r="AF888" i="1"/>
  <c r="AE888" i="1"/>
  <c r="AE889" i="1"/>
  <c r="AF889" i="1"/>
  <c r="AE890" i="1"/>
  <c r="AF890" i="1"/>
  <c r="AE891" i="1"/>
  <c r="AF891" i="1"/>
  <c r="AF892" i="1"/>
  <c r="AE892" i="1"/>
  <c r="AF893" i="1"/>
  <c r="AE893" i="1"/>
  <c r="AF894" i="1"/>
  <c r="AE894" i="1"/>
  <c r="AE895" i="1"/>
  <c r="AF895" i="1"/>
  <c r="AE896" i="1"/>
  <c r="AF896" i="1"/>
  <c r="AF897" i="1"/>
  <c r="AE897" i="1"/>
  <c r="AF898" i="1"/>
  <c r="AE898" i="1"/>
  <c r="AE899" i="1"/>
  <c r="AF899" i="1"/>
  <c r="AE900" i="1"/>
  <c r="AF900" i="1"/>
  <c r="AF901" i="1"/>
  <c r="AE901" i="1"/>
  <c r="AE902" i="1"/>
  <c r="AF902" i="1"/>
  <c r="AF903" i="1"/>
  <c r="AE903" i="1"/>
  <c r="AF904" i="1"/>
  <c r="AE904" i="1"/>
  <c r="AF905" i="1"/>
  <c r="AE905" i="1"/>
  <c r="AE906" i="1"/>
  <c r="AF906" i="1"/>
  <c r="AF907" i="1"/>
  <c r="AE907" i="1"/>
  <c r="AF908" i="1"/>
  <c r="AE908" i="1"/>
  <c r="AF909" i="1"/>
  <c r="AE909" i="1"/>
  <c r="AE910" i="1"/>
  <c r="AF910" i="1"/>
  <c r="AF911" i="1"/>
  <c r="AE911" i="1"/>
  <c r="AF912" i="1"/>
  <c r="AE912" i="1"/>
  <c r="AE913" i="1"/>
  <c r="AF913" i="1"/>
  <c r="AE914" i="1"/>
  <c r="AF914" i="1"/>
  <c r="AE915" i="1"/>
  <c r="AF915" i="1"/>
  <c r="AE916" i="1"/>
  <c r="AF916" i="1"/>
  <c r="AF917" i="1"/>
  <c r="AE917" i="1"/>
  <c r="AE918" i="1"/>
  <c r="AF918" i="1"/>
  <c r="AE919" i="1"/>
  <c r="AF919" i="1"/>
  <c r="AF920" i="1"/>
  <c r="AE920" i="1"/>
  <c r="AF921" i="1"/>
  <c r="AE921" i="1"/>
  <c r="AF922" i="1"/>
  <c r="AE922" i="1"/>
  <c r="AF923" i="1"/>
  <c r="AE923" i="1"/>
  <c r="AF924" i="1"/>
  <c r="AE924" i="1"/>
  <c r="AE925" i="1"/>
  <c r="AF925" i="1"/>
  <c r="AE926" i="1"/>
  <c r="AF926" i="1"/>
  <c r="AE927" i="1"/>
  <c r="AF927" i="1"/>
  <c r="AF928" i="1"/>
  <c r="AE928" i="1"/>
  <c r="AE929" i="1"/>
  <c r="AF929" i="1"/>
  <c r="AE930" i="1"/>
  <c r="AF930" i="1"/>
  <c r="AE931" i="1"/>
  <c r="AF931" i="1"/>
  <c r="AF932" i="1"/>
  <c r="AE932" i="1"/>
  <c r="AE933" i="1"/>
  <c r="AF933" i="1"/>
  <c r="AE934" i="1"/>
  <c r="AF934" i="1"/>
  <c r="AF935" i="1"/>
  <c r="AE935" i="1"/>
  <c r="AF936" i="1"/>
  <c r="AE936" i="1"/>
  <c r="AE937" i="1"/>
  <c r="AF937" i="1"/>
  <c r="AE938" i="1"/>
  <c r="AF938" i="1"/>
  <c r="AE939" i="1"/>
  <c r="AF939" i="1"/>
  <c r="AF940" i="1"/>
  <c r="AE940" i="1"/>
  <c r="AE941" i="1"/>
  <c r="AF941" i="1"/>
  <c r="AE942" i="1"/>
  <c r="AF942" i="1"/>
  <c r="AF943" i="1"/>
  <c r="AE943" i="1"/>
  <c r="AE944" i="1"/>
  <c r="AF944" i="1"/>
  <c r="AF945" i="1"/>
  <c r="AE945" i="1"/>
  <c r="AF946" i="1"/>
  <c r="AE946" i="1"/>
  <c r="AF947" i="1"/>
  <c r="AE947" i="1"/>
  <c r="AF948" i="1"/>
  <c r="AE948" i="1"/>
  <c r="AF949" i="1"/>
  <c r="AE949" i="1"/>
  <c r="AE950" i="1"/>
  <c r="AF950" i="1"/>
  <c r="AF951" i="1"/>
  <c r="AE951" i="1"/>
  <c r="AF952" i="1"/>
  <c r="AE952" i="1"/>
  <c r="AE953" i="1"/>
  <c r="AF953" i="1"/>
  <c r="AF954" i="1"/>
  <c r="AE954" i="1"/>
  <c r="AE955" i="1"/>
  <c r="AF955" i="1"/>
  <c r="AF956" i="1"/>
  <c r="AE956" i="1"/>
  <c r="AE957" i="1"/>
  <c r="AF957" i="1"/>
  <c r="AF958" i="1"/>
  <c r="AE958" i="1"/>
  <c r="AF959" i="1"/>
  <c r="AE959" i="1"/>
  <c r="AE960" i="1"/>
  <c r="AF960" i="1"/>
  <c r="AF961" i="1"/>
  <c r="AE961" i="1"/>
  <c r="AE962" i="1"/>
  <c r="AF962" i="1"/>
  <c r="AE963" i="1"/>
  <c r="AF963" i="1"/>
  <c r="AE964" i="1"/>
  <c r="AF964" i="1"/>
  <c r="AF965" i="1"/>
  <c r="AE965" i="1"/>
  <c r="AF966" i="1"/>
  <c r="AE966" i="1"/>
  <c r="AE967" i="1"/>
  <c r="AF967" i="1"/>
  <c r="AE968" i="1"/>
  <c r="AF968" i="1"/>
  <c r="AE969" i="1"/>
  <c r="AF969" i="1"/>
  <c r="AF970" i="1"/>
  <c r="AE970" i="1"/>
  <c r="AF971" i="1"/>
  <c r="AE971" i="1"/>
  <c r="AF972" i="1"/>
  <c r="AE972" i="1"/>
  <c r="AF973" i="1"/>
  <c r="AE973" i="1"/>
  <c r="AE974" i="1"/>
  <c r="AF974" i="1"/>
  <c r="AF975" i="1"/>
  <c r="AE975" i="1"/>
  <c r="AE976" i="1"/>
  <c r="AF976" i="1"/>
  <c r="AF977" i="1"/>
  <c r="AE977" i="1"/>
  <c r="AE978" i="1"/>
  <c r="AF978" i="1"/>
  <c r="AF979" i="1"/>
  <c r="AE979" i="1"/>
  <c r="AF980" i="1"/>
  <c r="AE980" i="1"/>
  <c r="AF981" i="1"/>
  <c r="AE981" i="1"/>
  <c r="AF982" i="1"/>
  <c r="AE982" i="1"/>
  <c r="AE983" i="1"/>
  <c r="AF983" i="1"/>
  <c r="AE984" i="1"/>
  <c r="AF984" i="1"/>
  <c r="AE985" i="1"/>
  <c r="AF985" i="1"/>
  <c r="AE986" i="1"/>
  <c r="AF986" i="1"/>
  <c r="AE987" i="1"/>
  <c r="AF987" i="1"/>
  <c r="AF988" i="1"/>
  <c r="AE988" i="1"/>
  <c r="AE989" i="1"/>
  <c r="AF989" i="1"/>
  <c r="AF990" i="1"/>
  <c r="AE990" i="1"/>
  <c r="AE991" i="1"/>
  <c r="AF991" i="1"/>
  <c r="AE992" i="1"/>
  <c r="AF992" i="1"/>
  <c r="AF993" i="1"/>
  <c r="AE993" i="1"/>
  <c r="AF994" i="1"/>
  <c r="AE994" i="1"/>
  <c r="AF995" i="1"/>
  <c r="AE995" i="1"/>
  <c r="AE996" i="1"/>
  <c r="AF996" i="1"/>
  <c r="AE997" i="1"/>
  <c r="AF997" i="1"/>
  <c r="AF998" i="1"/>
  <c r="AE998" i="1"/>
  <c r="AF999" i="1"/>
  <c r="AE999" i="1"/>
  <c r="AF1000" i="1"/>
  <c r="AE1000" i="1"/>
  <c r="AE1001" i="1"/>
  <c r="AF1001" i="1"/>
  <c r="AE1002" i="1"/>
  <c r="AF1002" i="1"/>
  <c r="AE1003" i="1"/>
  <c r="AF1003" i="1"/>
  <c r="AF1004" i="1"/>
  <c r="AE1004" i="1"/>
  <c r="AF1005" i="1"/>
  <c r="AE1005" i="1"/>
  <c r="AF1006" i="1"/>
  <c r="AE1006" i="1"/>
  <c r="AE1007" i="1"/>
  <c r="AF1007" i="1"/>
  <c r="AA8" i="6"/>
  <c r="Z8" i="1"/>
  <c r="Z5" i="1" s="1"/>
  <c r="AA5" i="6"/>
  <c r="G3" i="3"/>
  <c r="D5" i="3"/>
  <c r="J4" i="6"/>
  <c r="I8" i="3"/>
  <c r="K1" i="3"/>
  <c r="H5" i="3"/>
  <c r="Z960" i="6"/>
  <c r="D5" i="6"/>
  <c r="Z548" i="6"/>
  <c r="Z253" i="6"/>
  <c r="Z1007" i="6"/>
  <c r="Z1006" i="6"/>
  <c r="Z1005" i="6"/>
  <c r="Z1004" i="6"/>
  <c r="Z1003" i="6"/>
  <c r="Z1002" i="6"/>
  <c r="Z1001" i="6"/>
  <c r="Z1000" i="6"/>
  <c r="Z999" i="6"/>
  <c r="Z998" i="6"/>
  <c r="Z997" i="6"/>
  <c r="Z996" i="6"/>
  <c r="Z995" i="6"/>
  <c r="Z994" i="6"/>
  <c r="Z993" i="6"/>
  <c r="Z992" i="6"/>
  <c r="Z991" i="6"/>
  <c r="Z990" i="6"/>
  <c r="Z989" i="6"/>
  <c r="Z988" i="6"/>
  <c r="Z987" i="6"/>
  <c r="Z986" i="6"/>
  <c r="Z985" i="6"/>
  <c r="Z984" i="6"/>
  <c r="Z983" i="6"/>
  <c r="Z982" i="6"/>
  <c r="Z981" i="6"/>
  <c r="Z980" i="6"/>
  <c r="Z979" i="6"/>
  <c r="Z978" i="6"/>
  <c r="Z977" i="6"/>
  <c r="Z976" i="6"/>
  <c r="Z975" i="6"/>
  <c r="Z974" i="6"/>
  <c r="Z973" i="6"/>
  <c r="Z972" i="6"/>
  <c r="Z971" i="6"/>
  <c r="Z970" i="6"/>
  <c r="Z969" i="6"/>
  <c r="Z968" i="6"/>
  <c r="Z967" i="6"/>
  <c r="Z966" i="6"/>
  <c r="Z965" i="6"/>
  <c r="Z964" i="6"/>
  <c r="Z963" i="6"/>
  <c r="Z962" i="6"/>
  <c r="Z961" i="6"/>
  <c r="U960" i="6"/>
  <c r="V960" i="6"/>
  <c r="T960" i="6"/>
  <c r="W960" i="6"/>
  <c r="Z959" i="6"/>
  <c r="Z958" i="6"/>
  <c r="Z957" i="6"/>
  <c r="Z956" i="6"/>
  <c r="Z955" i="6"/>
  <c r="Z954" i="6"/>
  <c r="Z953" i="6"/>
  <c r="Z952" i="6"/>
  <c r="Z951" i="6"/>
  <c r="Z950" i="6"/>
  <c r="Z949" i="6"/>
  <c r="Z948" i="6"/>
  <c r="Z947" i="6"/>
  <c r="Z946" i="6"/>
  <c r="Z945" i="6"/>
  <c r="Z944" i="6"/>
  <c r="Z943" i="6"/>
  <c r="Z942" i="6"/>
  <c r="Z941" i="6"/>
  <c r="Z940" i="6"/>
  <c r="Z939" i="6"/>
  <c r="Z938" i="6"/>
  <c r="Z937" i="6"/>
  <c r="Z936" i="6"/>
  <c r="Z935" i="6"/>
  <c r="Z934" i="6"/>
  <c r="Z933" i="6"/>
  <c r="Z932" i="6"/>
  <c r="Z931" i="6"/>
  <c r="Z930" i="6"/>
  <c r="Z929" i="6"/>
  <c r="Z928" i="6"/>
  <c r="Z927" i="6"/>
  <c r="Z926" i="6"/>
  <c r="Z925" i="6"/>
  <c r="Z924" i="6"/>
  <c r="Z923" i="6"/>
  <c r="Z922" i="6"/>
  <c r="Z921" i="6"/>
  <c r="Z920" i="6"/>
  <c r="Z919" i="6"/>
  <c r="Z918" i="6"/>
  <c r="Z917" i="6"/>
  <c r="Z916" i="6"/>
  <c r="Z915" i="6"/>
  <c r="Z914" i="6"/>
  <c r="Z913" i="6"/>
  <c r="Z912" i="6"/>
  <c r="Z911" i="6"/>
  <c r="Z910" i="6"/>
  <c r="Z909" i="6"/>
  <c r="Z908" i="6"/>
  <c r="Z907" i="6"/>
  <c r="Z906" i="6"/>
  <c r="Z905" i="6"/>
  <c r="Z904" i="6"/>
  <c r="Z903" i="6"/>
  <c r="Z902" i="6"/>
  <c r="Z901" i="6"/>
  <c r="Z900" i="6"/>
  <c r="Z899" i="6"/>
  <c r="Z898" i="6"/>
  <c r="Z897" i="6"/>
  <c r="Z896" i="6"/>
  <c r="Z895" i="6"/>
  <c r="Z894" i="6"/>
  <c r="Z893" i="6"/>
  <c r="Z892" i="6"/>
  <c r="Z891" i="6"/>
  <c r="Z890" i="6"/>
  <c r="Z889" i="6"/>
  <c r="Z888" i="6"/>
  <c r="Z887" i="6"/>
  <c r="Z886" i="6"/>
  <c r="Z885" i="6"/>
  <c r="Z884" i="6"/>
  <c r="Z883" i="6"/>
  <c r="Z882" i="6"/>
  <c r="Z881" i="6"/>
  <c r="Z880" i="6"/>
  <c r="Z879" i="6"/>
  <c r="Z878" i="6"/>
  <c r="Z877" i="6"/>
  <c r="Z876" i="6"/>
  <c r="Z875" i="6"/>
  <c r="Z874" i="6"/>
  <c r="Z873" i="6"/>
  <c r="Z872" i="6"/>
  <c r="Z871" i="6"/>
  <c r="Z870" i="6"/>
  <c r="Z869" i="6"/>
  <c r="Z868" i="6"/>
  <c r="Z867" i="6"/>
  <c r="Z866" i="6"/>
  <c r="Z865" i="6"/>
  <c r="Z864" i="6"/>
  <c r="Z863" i="6"/>
  <c r="Z862" i="6"/>
  <c r="Z861" i="6"/>
  <c r="Z860" i="6"/>
  <c r="Z859" i="6"/>
  <c r="Z858" i="6"/>
  <c r="Z857" i="6"/>
  <c r="Z856" i="6"/>
  <c r="Z855" i="6"/>
  <c r="Z854" i="6"/>
  <c r="Z853" i="6"/>
  <c r="Z852" i="6"/>
  <c r="Z851" i="6"/>
  <c r="Z850" i="6"/>
  <c r="Z849" i="6"/>
  <c r="Z848" i="6"/>
  <c r="Z847" i="6"/>
  <c r="Z846" i="6"/>
  <c r="Z845" i="6"/>
  <c r="Z844" i="6"/>
  <c r="Z843" i="6"/>
  <c r="Z842" i="6"/>
  <c r="Z841" i="6"/>
  <c r="Z840" i="6"/>
  <c r="Z839" i="6"/>
  <c r="Z838" i="6"/>
  <c r="Z837" i="6"/>
  <c r="Z836" i="6"/>
  <c r="Z835" i="6"/>
  <c r="Z834" i="6"/>
  <c r="Z833" i="6"/>
  <c r="Z832" i="6"/>
  <c r="Z831" i="6"/>
  <c r="Z830" i="6"/>
  <c r="Z829" i="6"/>
  <c r="Z828" i="6"/>
  <c r="Z827" i="6"/>
  <c r="Z826" i="6"/>
  <c r="Z825" i="6"/>
  <c r="Z824" i="6"/>
  <c r="Z823" i="6"/>
  <c r="Z822" i="6"/>
  <c r="Z821" i="6"/>
  <c r="Z820" i="6"/>
  <c r="Z819" i="6"/>
  <c r="Z818" i="6"/>
  <c r="Z817" i="6"/>
  <c r="Z816" i="6"/>
  <c r="Z815" i="6"/>
  <c r="Z814" i="6"/>
  <c r="Z813" i="6"/>
  <c r="Z812" i="6"/>
  <c r="Z811" i="6"/>
  <c r="Z810" i="6"/>
  <c r="Z809" i="6"/>
  <c r="Z808" i="6"/>
  <c r="Z807" i="6"/>
  <c r="Z806" i="6"/>
  <c r="Z805" i="6"/>
  <c r="Z804" i="6"/>
  <c r="Z803" i="6"/>
  <c r="Z802" i="6"/>
  <c r="Z801" i="6"/>
  <c r="Z800" i="6"/>
  <c r="Z799" i="6"/>
  <c r="Z798" i="6"/>
  <c r="Z797" i="6"/>
  <c r="Z796" i="6"/>
  <c r="Z795" i="6"/>
  <c r="Z794" i="6"/>
  <c r="Z793" i="6"/>
  <c r="Z792" i="6"/>
  <c r="Z791" i="6"/>
  <c r="Z790" i="6"/>
  <c r="Z789" i="6"/>
  <c r="Z788" i="6"/>
  <c r="Z787" i="6"/>
  <c r="Z786" i="6"/>
  <c r="Z785" i="6"/>
  <c r="Z784" i="6"/>
  <c r="Z783" i="6"/>
  <c r="Z782" i="6"/>
  <c r="Z781" i="6"/>
  <c r="Z780" i="6"/>
  <c r="Z779" i="6"/>
  <c r="Z778" i="6"/>
  <c r="Z777" i="6"/>
  <c r="Z776" i="6"/>
  <c r="Z775" i="6"/>
  <c r="Z774" i="6"/>
  <c r="Z773" i="6"/>
  <c r="Z772" i="6"/>
  <c r="Z771" i="6"/>
  <c r="Z770" i="6"/>
  <c r="Z769" i="6"/>
  <c r="Z768" i="6"/>
  <c r="Z767" i="6"/>
  <c r="Z766" i="6"/>
  <c r="Z765" i="6"/>
  <c r="Z764" i="6"/>
  <c r="Z763" i="6"/>
  <c r="Z762" i="6"/>
  <c r="Z761" i="6"/>
  <c r="Z760" i="6"/>
  <c r="Z759" i="6"/>
  <c r="Z758" i="6"/>
  <c r="Z757" i="6"/>
  <c r="Z756" i="6"/>
  <c r="Z755" i="6"/>
  <c r="Z754" i="6"/>
  <c r="Z753" i="6"/>
  <c r="Z752" i="6"/>
  <c r="Z751" i="6"/>
  <c r="Z750" i="6"/>
  <c r="Z749" i="6"/>
  <c r="Z748" i="6"/>
  <c r="Z747" i="6"/>
  <c r="Z746" i="6"/>
  <c r="Z745" i="6"/>
  <c r="Z744" i="6"/>
  <c r="Z743" i="6"/>
  <c r="Z742" i="6"/>
  <c r="Z741" i="6"/>
  <c r="Z740" i="6"/>
  <c r="Z739" i="6"/>
  <c r="Z738" i="6"/>
  <c r="Z737" i="6"/>
  <c r="Z736" i="6"/>
  <c r="Z735" i="6"/>
  <c r="Z734" i="6"/>
  <c r="Z733" i="6"/>
  <c r="Z732" i="6"/>
  <c r="Z731" i="6"/>
  <c r="Z730" i="6"/>
  <c r="Z729" i="6"/>
  <c r="Z728" i="6"/>
  <c r="Z727" i="6"/>
  <c r="Z726" i="6"/>
  <c r="Z725" i="6"/>
  <c r="Z724" i="6"/>
  <c r="Z723" i="6"/>
  <c r="Z722" i="6"/>
  <c r="Z721" i="6"/>
  <c r="Z720" i="6"/>
  <c r="Z719" i="6"/>
  <c r="Z718" i="6"/>
  <c r="Z717" i="6"/>
  <c r="Z716" i="6"/>
  <c r="Z715" i="6"/>
  <c r="Z714" i="6"/>
  <c r="Z713" i="6"/>
  <c r="Z712" i="6"/>
  <c r="Z711" i="6"/>
  <c r="Z710" i="6"/>
  <c r="Z709" i="6"/>
  <c r="Z708" i="6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U548" i="6"/>
  <c r="W548" i="6"/>
  <c r="T548" i="6"/>
  <c r="V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V253" i="6"/>
  <c r="T253" i="6"/>
  <c r="W253" i="6"/>
  <c r="U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L3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D5" i="1"/>
  <c r="Y540" i="1"/>
  <c r="R540" i="1"/>
  <c r="R283" i="1"/>
  <c r="Y283" i="1"/>
  <c r="Q10" i="3"/>
  <c r="Q9" i="3"/>
  <c r="U545" i="3"/>
  <c r="AB545" i="3"/>
  <c r="Y1007" i="1"/>
  <c r="R1007" i="1"/>
  <c r="R1006" i="1"/>
  <c r="Y1006" i="1"/>
  <c r="Y1005" i="1"/>
  <c r="R1005" i="1"/>
  <c r="Y1004" i="1"/>
  <c r="R1004" i="1"/>
  <c r="Y1003" i="1"/>
  <c r="R1003" i="1"/>
  <c r="Y1002" i="1"/>
  <c r="R1002" i="1"/>
  <c r="Y1001" i="1"/>
  <c r="R1001" i="1"/>
  <c r="Y1000" i="1"/>
  <c r="R1000" i="1"/>
  <c r="Y999" i="1"/>
  <c r="R999" i="1"/>
  <c r="Y998" i="1"/>
  <c r="R998" i="1"/>
  <c r="Y997" i="1"/>
  <c r="R997" i="1"/>
  <c r="R996" i="1"/>
  <c r="Y996" i="1"/>
  <c r="Y995" i="1"/>
  <c r="R995" i="1"/>
  <c r="Y994" i="1"/>
  <c r="R994" i="1"/>
  <c r="Y993" i="1"/>
  <c r="R993" i="1"/>
  <c r="Y992" i="1"/>
  <c r="R992" i="1"/>
  <c r="R991" i="1"/>
  <c r="Y991" i="1"/>
  <c r="Y990" i="1"/>
  <c r="R990" i="1"/>
  <c r="Y989" i="1"/>
  <c r="R989" i="1"/>
  <c r="R988" i="1"/>
  <c r="Y988" i="1"/>
  <c r="Y987" i="1"/>
  <c r="R987" i="1"/>
  <c r="Y986" i="1"/>
  <c r="R986" i="1"/>
  <c r="Y985" i="1"/>
  <c r="R985" i="1"/>
  <c r="R984" i="1"/>
  <c r="Y984" i="1"/>
  <c r="Y983" i="1"/>
  <c r="R983" i="1"/>
  <c r="R982" i="1"/>
  <c r="Y982" i="1"/>
  <c r="R981" i="1"/>
  <c r="Y981" i="1"/>
  <c r="Y980" i="1"/>
  <c r="R980" i="1"/>
  <c r="Y979" i="1"/>
  <c r="R979" i="1"/>
  <c r="R978" i="1"/>
  <c r="Y978" i="1"/>
  <c r="R977" i="1"/>
  <c r="Y977" i="1"/>
  <c r="R976" i="1"/>
  <c r="Y976" i="1"/>
  <c r="Y975" i="1"/>
  <c r="R975" i="1"/>
  <c r="Y974" i="1"/>
  <c r="R974" i="1"/>
  <c r="R973" i="1"/>
  <c r="Y973" i="1"/>
  <c r="Y972" i="1"/>
  <c r="R972" i="1"/>
  <c r="Y971" i="1"/>
  <c r="R971" i="1"/>
  <c r="R970" i="1"/>
  <c r="Y970" i="1"/>
  <c r="R969" i="1"/>
  <c r="Y969" i="1"/>
  <c r="R968" i="1"/>
  <c r="Y968" i="1"/>
  <c r="Y967" i="1"/>
  <c r="R967" i="1"/>
  <c r="R966" i="1"/>
  <c r="Y966" i="1"/>
  <c r="R965" i="1"/>
  <c r="Y965" i="1"/>
  <c r="Y964" i="1"/>
  <c r="R964" i="1"/>
  <c r="Y963" i="1"/>
  <c r="R963" i="1"/>
  <c r="R962" i="1"/>
  <c r="Y962" i="1"/>
  <c r="Y961" i="1"/>
  <c r="R961" i="1"/>
  <c r="Y960" i="1"/>
  <c r="R960" i="1"/>
  <c r="Y959" i="1"/>
  <c r="R959" i="1"/>
  <c r="Y958" i="1"/>
  <c r="R958" i="1"/>
  <c r="Y957" i="1"/>
  <c r="R957" i="1"/>
  <c r="R956" i="1"/>
  <c r="Y956" i="1"/>
  <c r="R955" i="1"/>
  <c r="Y955" i="1"/>
  <c r="Y954" i="1"/>
  <c r="R954" i="1"/>
  <c r="R953" i="1"/>
  <c r="Y953" i="1"/>
  <c r="R952" i="1"/>
  <c r="Y952" i="1"/>
  <c r="R951" i="1"/>
  <c r="Y951" i="1"/>
  <c r="Y950" i="1"/>
  <c r="R950" i="1"/>
  <c r="R949" i="1"/>
  <c r="Y949" i="1"/>
  <c r="Y948" i="1"/>
  <c r="R948" i="1"/>
  <c r="R947" i="1"/>
  <c r="Y947" i="1"/>
  <c r="Y946" i="1"/>
  <c r="R946" i="1"/>
  <c r="R945" i="1"/>
  <c r="Y945" i="1"/>
  <c r="Y944" i="1"/>
  <c r="R944" i="1"/>
  <c r="Y943" i="1"/>
  <c r="R943" i="1"/>
  <c r="R942" i="1"/>
  <c r="Y942" i="1"/>
  <c r="Y941" i="1"/>
  <c r="R941" i="1"/>
  <c r="Y940" i="1"/>
  <c r="R940" i="1"/>
  <c r="R939" i="1"/>
  <c r="Y939" i="1"/>
  <c r="R938" i="1"/>
  <c r="Y938" i="1"/>
  <c r="Y937" i="1"/>
  <c r="R937" i="1"/>
  <c r="Y936" i="1"/>
  <c r="R936" i="1"/>
  <c r="R935" i="1"/>
  <c r="Y935" i="1"/>
  <c r="Y934" i="1"/>
  <c r="R934" i="1"/>
  <c r="Y933" i="1"/>
  <c r="R933" i="1"/>
  <c r="R932" i="1"/>
  <c r="Y932" i="1"/>
  <c r="Y931" i="1"/>
  <c r="R931" i="1"/>
  <c r="R930" i="1"/>
  <c r="Y930" i="1"/>
  <c r="R929" i="1"/>
  <c r="Y929" i="1"/>
  <c r="Y928" i="1"/>
  <c r="R928" i="1"/>
  <c r="R927" i="1"/>
  <c r="Y927" i="1"/>
  <c r="R926" i="1"/>
  <c r="Y926" i="1"/>
  <c r="Y925" i="1"/>
  <c r="R925" i="1"/>
  <c r="R924" i="1"/>
  <c r="Y924" i="1"/>
  <c r="Y923" i="1"/>
  <c r="R923" i="1"/>
  <c r="R922" i="1"/>
  <c r="Y922" i="1"/>
  <c r="R921" i="1"/>
  <c r="Y921" i="1"/>
  <c r="R920" i="1"/>
  <c r="Y920" i="1"/>
  <c r="R919" i="1"/>
  <c r="Y919" i="1"/>
  <c r="Y918" i="1"/>
  <c r="R918" i="1"/>
  <c r="Y917" i="1"/>
  <c r="R917" i="1"/>
  <c r="R916" i="1"/>
  <c r="Y916" i="1"/>
  <c r="R915" i="1"/>
  <c r="Y915" i="1"/>
  <c r="Y914" i="1"/>
  <c r="R914" i="1"/>
  <c r="Y913" i="1"/>
  <c r="R913" i="1"/>
  <c r="R912" i="1"/>
  <c r="Y912" i="1"/>
  <c r="Y911" i="1"/>
  <c r="R911" i="1"/>
  <c r="R910" i="1"/>
  <c r="Y910" i="1"/>
  <c r="R909" i="1"/>
  <c r="Y909" i="1"/>
  <c r="R908" i="1"/>
  <c r="Y908" i="1"/>
  <c r="R907" i="1"/>
  <c r="Y907" i="1"/>
  <c r="R906" i="1"/>
  <c r="Y906" i="1"/>
  <c r="R905" i="1"/>
  <c r="Y905" i="1"/>
  <c r="Y904" i="1"/>
  <c r="R904" i="1"/>
  <c r="R903" i="1"/>
  <c r="Y903" i="1"/>
  <c r="Y902" i="1"/>
  <c r="R902" i="1"/>
  <c r="R901" i="1"/>
  <c r="Y901" i="1"/>
  <c r="R900" i="1"/>
  <c r="Y900" i="1"/>
  <c r="R899" i="1"/>
  <c r="Y899" i="1"/>
  <c r="R898" i="1"/>
  <c r="Y898" i="1"/>
  <c r="Y897" i="1"/>
  <c r="R897" i="1"/>
  <c r="R896" i="1"/>
  <c r="Y896" i="1"/>
  <c r="Y895" i="1"/>
  <c r="R895" i="1"/>
  <c r="Y894" i="1"/>
  <c r="R894" i="1"/>
  <c r="R893" i="1"/>
  <c r="Y893" i="1"/>
  <c r="R892" i="1"/>
  <c r="Y892" i="1"/>
  <c r="R891" i="1"/>
  <c r="Y891" i="1"/>
  <c r="Y890" i="1"/>
  <c r="R890" i="1"/>
  <c r="R889" i="1"/>
  <c r="Y889" i="1"/>
  <c r="R888" i="1"/>
  <c r="Y888" i="1"/>
  <c r="Y887" i="1"/>
  <c r="R887" i="1"/>
  <c r="Y886" i="1"/>
  <c r="R886" i="1"/>
  <c r="Y885" i="1"/>
  <c r="R885" i="1"/>
  <c r="Y884" i="1"/>
  <c r="R884" i="1"/>
  <c r="Y883" i="1"/>
  <c r="R883" i="1"/>
  <c r="Y882" i="1"/>
  <c r="R882" i="1"/>
  <c r="Y881" i="1"/>
  <c r="R881" i="1"/>
  <c r="Y880" i="1"/>
  <c r="R880" i="1"/>
  <c r="Y879" i="1"/>
  <c r="R879" i="1"/>
  <c r="Y878" i="1"/>
  <c r="R878" i="1"/>
  <c r="Y877" i="1"/>
  <c r="R877" i="1"/>
  <c r="Y876" i="1"/>
  <c r="R876" i="1"/>
  <c r="Y875" i="1"/>
  <c r="R875" i="1"/>
  <c r="Y874" i="1"/>
  <c r="R874" i="1"/>
  <c r="Y873" i="1"/>
  <c r="R873" i="1"/>
  <c r="Y872" i="1"/>
  <c r="R872" i="1"/>
  <c r="Y871" i="1"/>
  <c r="R871" i="1"/>
  <c r="Y870" i="1"/>
  <c r="R870" i="1"/>
  <c r="Y869" i="1"/>
  <c r="R869" i="1"/>
  <c r="Y868" i="1"/>
  <c r="R868" i="1"/>
  <c r="Y867" i="1"/>
  <c r="R867" i="1"/>
  <c r="Y866" i="1"/>
  <c r="R866" i="1"/>
  <c r="Y865" i="1"/>
  <c r="R865" i="1"/>
  <c r="Y864" i="1"/>
  <c r="R864" i="1"/>
  <c r="Y863" i="1"/>
  <c r="R863" i="1"/>
  <c r="Y862" i="1"/>
  <c r="R862" i="1"/>
  <c r="Y861" i="1"/>
  <c r="R861" i="1"/>
  <c r="Y860" i="1"/>
  <c r="R860" i="1"/>
  <c r="Y859" i="1"/>
  <c r="R859" i="1"/>
  <c r="Y858" i="1"/>
  <c r="R858" i="1"/>
  <c r="Y857" i="1"/>
  <c r="R857" i="1"/>
  <c r="Y856" i="1"/>
  <c r="R856" i="1"/>
  <c r="Y855" i="1"/>
  <c r="R855" i="1"/>
  <c r="Y854" i="1"/>
  <c r="R854" i="1"/>
  <c r="Y853" i="1"/>
  <c r="R853" i="1"/>
  <c r="Y852" i="1"/>
  <c r="R852" i="1"/>
  <c r="Y851" i="1"/>
  <c r="R851" i="1"/>
  <c r="Y850" i="1"/>
  <c r="R850" i="1"/>
  <c r="Y849" i="1"/>
  <c r="R849" i="1"/>
  <c r="Y848" i="1"/>
  <c r="R848" i="1"/>
  <c r="Y847" i="1"/>
  <c r="R847" i="1"/>
  <c r="Y846" i="1"/>
  <c r="R846" i="1"/>
  <c r="R845" i="1"/>
  <c r="Y845" i="1"/>
  <c r="R844" i="1"/>
  <c r="Y844" i="1"/>
  <c r="R843" i="1"/>
  <c r="Y843" i="1"/>
  <c r="Y842" i="1"/>
  <c r="R842" i="1"/>
  <c r="R841" i="1"/>
  <c r="Y841" i="1"/>
  <c r="Y840" i="1"/>
  <c r="R840" i="1"/>
  <c r="Y839" i="1"/>
  <c r="R839" i="1"/>
  <c r="Y838" i="1"/>
  <c r="R838" i="1"/>
  <c r="Y837" i="1"/>
  <c r="R837" i="1"/>
  <c r="Y836" i="1"/>
  <c r="R836" i="1"/>
  <c r="R835" i="1"/>
  <c r="Y835" i="1"/>
  <c r="Y834" i="1"/>
  <c r="R834" i="1"/>
  <c r="Y833" i="1"/>
  <c r="R833" i="1"/>
  <c r="R832" i="1"/>
  <c r="Y832" i="1"/>
  <c r="R831" i="1"/>
  <c r="Y831" i="1"/>
  <c r="Y830" i="1"/>
  <c r="R830" i="1"/>
  <c r="Y829" i="1"/>
  <c r="R829" i="1"/>
  <c r="R828" i="1"/>
  <c r="Y828" i="1"/>
  <c r="Y827" i="1"/>
  <c r="R827" i="1"/>
  <c r="R826" i="1"/>
  <c r="Y826" i="1"/>
  <c r="Y825" i="1"/>
  <c r="R825" i="1"/>
  <c r="R824" i="1"/>
  <c r="Y824" i="1"/>
  <c r="R823" i="1"/>
  <c r="Y823" i="1"/>
  <c r="R822" i="1"/>
  <c r="Y822" i="1"/>
  <c r="R821" i="1"/>
  <c r="Y821" i="1"/>
  <c r="R820" i="1"/>
  <c r="Y820" i="1"/>
  <c r="Y819" i="1"/>
  <c r="R819" i="1"/>
  <c r="Y818" i="1"/>
  <c r="R818" i="1"/>
  <c r="Y817" i="1"/>
  <c r="R817" i="1"/>
  <c r="R816" i="1"/>
  <c r="Y816" i="1"/>
  <c r="R815" i="1"/>
  <c r="Y815" i="1"/>
  <c r="R814" i="1"/>
  <c r="Y814" i="1"/>
  <c r="R813" i="1"/>
  <c r="Y813" i="1"/>
  <c r="Y812" i="1"/>
  <c r="R812" i="1"/>
  <c r="Y811" i="1"/>
  <c r="R811" i="1"/>
  <c r="R810" i="1"/>
  <c r="Y810" i="1"/>
  <c r="Y809" i="1"/>
  <c r="R809" i="1"/>
  <c r="Y808" i="1"/>
  <c r="R808" i="1"/>
  <c r="Y807" i="1"/>
  <c r="R807" i="1"/>
  <c r="Y806" i="1"/>
  <c r="R806" i="1"/>
  <c r="R805" i="1"/>
  <c r="Y805" i="1"/>
  <c r="Y804" i="1"/>
  <c r="R804" i="1"/>
  <c r="Y803" i="1"/>
  <c r="R803" i="1"/>
  <c r="Y802" i="1"/>
  <c r="R802" i="1"/>
  <c r="Y801" i="1"/>
  <c r="R801" i="1"/>
  <c r="R800" i="1"/>
  <c r="Y800" i="1"/>
  <c r="Y799" i="1"/>
  <c r="R799" i="1"/>
  <c r="Y798" i="1"/>
  <c r="R798" i="1"/>
  <c r="R797" i="1"/>
  <c r="Y797" i="1"/>
  <c r="Y796" i="1"/>
  <c r="R796" i="1"/>
  <c r="R795" i="1"/>
  <c r="Y795" i="1"/>
  <c r="Y794" i="1"/>
  <c r="R794" i="1"/>
  <c r="Y793" i="1"/>
  <c r="R793" i="1"/>
  <c r="Y792" i="1"/>
  <c r="R792" i="1"/>
  <c r="Y791" i="1"/>
  <c r="R791" i="1"/>
  <c r="R790" i="1"/>
  <c r="Y790" i="1"/>
  <c r="Y789" i="1"/>
  <c r="R789" i="1"/>
  <c r="R788" i="1"/>
  <c r="Y788" i="1"/>
  <c r="Y787" i="1"/>
  <c r="R787" i="1"/>
  <c r="R786" i="1"/>
  <c r="Y786" i="1"/>
  <c r="Y785" i="1"/>
  <c r="R785" i="1"/>
  <c r="R784" i="1"/>
  <c r="Y784" i="1"/>
  <c r="R783" i="1"/>
  <c r="Y783" i="1"/>
  <c r="Y782" i="1"/>
  <c r="R782" i="1"/>
  <c r="R781" i="1"/>
  <c r="Y781" i="1"/>
  <c r="Y780" i="1"/>
  <c r="R780" i="1"/>
  <c r="R779" i="1"/>
  <c r="Y779" i="1"/>
  <c r="Y778" i="1"/>
  <c r="R778" i="1"/>
  <c r="R777" i="1"/>
  <c r="Y777" i="1"/>
  <c r="Y776" i="1"/>
  <c r="R776" i="1"/>
  <c r="Y775" i="1"/>
  <c r="R775" i="1"/>
  <c r="R774" i="1"/>
  <c r="Y774" i="1"/>
  <c r="Y773" i="1"/>
  <c r="R773" i="1"/>
  <c r="R772" i="1"/>
  <c r="Y772" i="1"/>
  <c r="R771" i="1"/>
  <c r="Y771" i="1"/>
  <c r="Y770" i="1"/>
  <c r="R770" i="1"/>
  <c r="Y769" i="1"/>
  <c r="R769" i="1"/>
  <c r="Y768" i="1"/>
  <c r="R768" i="1"/>
  <c r="R767" i="1"/>
  <c r="Y767" i="1"/>
  <c r="R766" i="1"/>
  <c r="Y766" i="1"/>
  <c r="R765" i="1"/>
  <c r="Y765" i="1"/>
  <c r="R764" i="1"/>
  <c r="Y764" i="1"/>
  <c r="R763" i="1"/>
  <c r="Y763" i="1"/>
  <c r="Y762" i="1"/>
  <c r="R762" i="1"/>
  <c r="Y761" i="1"/>
  <c r="R761" i="1"/>
  <c r="Y760" i="1"/>
  <c r="R760" i="1"/>
  <c r="Y759" i="1"/>
  <c r="R759" i="1"/>
  <c r="Y758" i="1"/>
  <c r="R758" i="1"/>
  <c r="R757" i="1"/>
  <c r="Y757" i="1"/>
  <c r="R756" i="1"/>
  <c r="Y756" i="1"/>
  <c r="R755" i="1"/>
  <c r="Y755" i="1"/>
  <c r="Y754" i="1"/>
  <c r="R754" i="1"/>
  <c r="Y753" i="1"/>
  <c r="R753" i="1"/>
  <c r="Y752" i="1"/>
  <c r="R752" i="1"/>
  <c r="Y751" i="1"/>
  <c r="R751" i="1"/>
  <c r="Y750" i="1"/>
  <c r="R750" i="1"/>
  <c r="Y749" i="1"/>
  <c r="R749" i="1"/>
  <c r="R748" i="1"/>
  <c r="Y748" i="1"/>
  <c r="Y747" i="1"/>
  <c r="R747" i="1"/>
  <c r="Y746" i="1"/>
  <c r="R746" i="1"/>
  <c r="Y745" i="1"/>
  <c r="R745" i="1"/>
  <c r="Y744" i="1"/>
  <c r="R744" i="1"/>
  <c r="R743" i="1"/>
  <c r="Y743" i="1"/>
  <c r="Y742" i="1"/>
  <c r="R742" i="1"/>
  <c r="Y741" i="1"/>
  <c r="R741" i="1"/>
  <c r="R740" i="1"/>
  <c r="Y740" i="1"/>
  <c r="Y739" i="1"/>
  <c r="R739" i="1"/>
  <c r="Y738" i="1"/>
  <c r="R738" i="1"/>
  <c r="Y737" i="1"/>
  <c r="R737" i="1"/>
  <c r="Y736" i="1"/>
  <c r="R736" i="1"/>
  <c r="R735" i="1"/>
  <c r="Y735" i="1"/>
  <c r="R734" i="1"/>
  <c r="Y734" i="1"/>
  <c r="Y733" i="1"/>
  <c r="R733" i="1"/>
  <c r="Y732" i="1"/>
  <c r="R732" i="1"/>
  <c r="R731" i="1"/>
  <c r="Y731" i="1"/>
  <c r="Y730" i="1"/>
  <c r="R730" i="1"/>
  <c r="R729" i="1"/>
  <c r="Y729" i="1"/>
  <c r="Y728" i="1"/>
  <c r="R728" i="1"/>
  <c r="Y727" i="1"/>
  <c r="R727" i="1"/>
  <c r="R726" i="1"/>
  <c r="Y726" i="1"/>
  <c r="Y725" i="1"/>
  <c r="R725" i="1"/>
  <c r="R724" i="1"/>
  <c r="Y724" i="1"/>
  <c r="Y723" i="1"/>
  <c r="R723" i="1"/>
  <c r="Y722" i="1"/>
  <c r="R722" i="1"/>
  <c r="Y721" i="1"/>
  <c r="R721" i="1"/>
  <c r="R720" i="1"/>
  <c r="Y720" i="1"/>
  <c r="Y719" i="1"/>
  <c r="R719" i="1"/>
  <c r="Y718" i="1"/>
  <c r="R718" i="1"/>
  <c r="Y717" i="1"/>
  <c r="R717" i="1"/>
  <c r="Y716" i="1"/>
  <c r="R716" i="1"/>
  <c r="Y715" i="1"/>
  <c r="R715" i="1"/>
  <c r="R714" i="1"/>
  <c r="Y714" i="1"/>
  <c r="R713" i="1"/>
  <c r="Y713" i="1"/>
  <c r="Y712" i="1"/>
  <c r="R712" i="1"/>
  <c r="Y711" i="1"/>
  <c r="R711" i="1"/>
  <c r="R710" i="1"/>
  <c r="Y710" i="1"/>
  <c r="R709" i="1"/>
  <c r="Y709" i="1"/>
  <c r="Y708" i="1"/>
  <c r="R708" i="1"/>
  <c r="Y707" i="1"/>
  <c r="R707" i="1"/>
  <c r="R706" i="1"/>
  <c r="Y706" i="1"/>
  <c r="R705" i="1"/>
  <c r="Y705" i="1"/>
  <c r="Y704" i="1"/>
  <c r="R704" i="1"/>
  <c r="Y703" i="1"/>
  <c r="R703" i="1"/>
  <c r="R702" i="1"/>
  <c r="Y702" i="1"/>
  <c r="R701" i="1"/>
  <c r="Y701" i="1"/>
  <c r="Y700" i="1"/>
  <c r="R700" i="1"/>
  <c r="Y699" i="1"/>
  <c r="R699" i="1"/>
  <c r="R698" i="1"/>
  <c r="Y698" i="1"/>
  <c r="Y697" i="1"/>
  <c r="R697" i="1"/>
  <c r="R696" i="1"/>
  <c r="Y696" i="1"/>
  <c r="Y695" i="1"/>
  <c r="R695" i="1"/>
  <c r="Y694" i="1"/>
  <c r="R694" i="1"/>
  <c r="Y693" i="1"/>
  <c r="R693" i="1"/>
  <c r="Y692" i="1"/>
  <c r="R692" i="1"/>
  <c r="Y691" i="1"/>
  <c r="R691" i="1"/>
  <c r="R690" i="1"/>
  <c r="Y690" i="1"/>
  <c r="R689" i="1"/>
  <c r="Y689" i="1"/>
  <c r="R688" i="1"/>
  <c r="Y688" i="1"/>
  <c r="Y687" i="1"/>
  <c r="R687" i="1"/>
  <c r="Y686" i="1"/>
  <c r="R686" i="1"/>
  <c r="Y685" i="1"/>
  <c r="R685" i="1"/>
  <c r="Y684" i="1"/>
  <c r="R684" i="1"/>
  <c r="Y683" i="1"/>
  <c r="R683" i="1"/>
  <c r="Y682" i="1"/>
  <c r="R682" i="1"/>
  <c r="Y681" i="1"/>
  <c r="R681" i="1"/>
  <c r="Y680" i="1"/>
  <c r="R680" i="1"/>
  <c r="Y679" i="1"/>
  <c r="R679" i="1"/>
  <c r="R678" i="1"/>
  <c r="Y678" i="1"/>
  <c r="Y677" i="1"/>
  <c r="R677" i="1"/>
  <c r="Y676" i="1"/>
  <c r="R676" i="1"/>
  <c r="Y675" i="1"/>
  <c r="R675" i="1"/>
  <c r="Y674" i="1"/>
  <c r="R674" i="1"/>
  <c r="Y673" i="1"/>
  <c r="R673" i="1"/>
  <c r="R672" i="1"/>
  <c r="Y672" i="1"/>
  <c r="Y671" i="1"/>
  <c r="R671" i="1"/>
  <c r="Y670" i="1"/>
  <c r="R670" i="1"/>
  <c r="R669" i="1"/>
  <c r="Y669" i="1"/>
  <c r="R668" i="1"/>
  <c r="Y668" i="1"/>
  <c r="Y667" i="1"/>
  <c r="R667" i="1"/>
  <c r="R666" i="1"/>
  <c r="Y666" i="1"/>
  <c r="R665" i="1"/>
  <c r="Y665" i="1"/>
  <c r="Y664" i="1"/>
  <c r="R664" i="1"/>
  <c r="Y663" i="1"/>
  <c r="R663" i="1"/>
  <c r="Y662" i="1"/>
  <c r="R662" i="1"/>
  <c r="R661" i="1"/>
  <c r="Y661" i="1"/>
  <c r="Y660" i="1"/>
  <c r="R660" i="1"/>
  <c r="R659" i="1"/>
  <c r="Y659" i="1"/>
  <c r="Y658" i="1"/>
  <c r="R658" i="1"/>
  <c r="Y657" i="1"/>
  <c r="R657" i="1"/>
  <c r="Y656" i="1"/>
  <c r="R656" i="1"/>
  <c r="Y655" i="1"/>
  <c r="R655" i="1"/>
  <c r="R654" i="1"/>
  <c r="Y654" i="1"/>
  <c r="R653" i="1"/>
  <c r="Y653" i="1"/>
  <c r="R652" i="1"/>
  <c r="Y652" i="1"/>
  <c r="Y651" i="1"/>
  <c r="R651" i="1"/>
  <c r="R650" i="1"/>
  <c r="Y650" i="1"/>
  <c r="Y649" i="1"/>
  <c r="R649" i="1"/>
  <c r="R648" i="1"/>
  <c r="Y648" i="1"/>
  <c r="R647" i="1"/>
  <c r="Y647" i="1"/>
  <c r="R646" i="1"/>
  <c r="Y646" i="1"/>
  <c r="Y645" i="1"/>
  <c r="R645" i="1"/>
  <c r="R644" i="1"/>
  <c r="Y644" i="1"/>
  <c r="Y643" i="1"/>
  <c r="R643" i="1"/>
  <c r="Y642" i="1"/>
  <c r="R642" i="1"/>
  <c r="R641" i="1"/>
  <c r="Y641" i="1"/>
  <c r="R640" i="1"/>
  <c r="Y640" i="1"/>
  <c r="R639" i="1"/>
  <c r="Y639" i="1"/>
  <c r="Y638" i="1"/>
  <c r="R638" i="1"/>
  <c r="Y637" i="1"/>
  <c r="R637" i="1"/>
  <c r="Y636" i="1"/>
  <c r="R636" i="1"/>
  <c r="Y635" i="1"/>
  <c r="R635" i="1"/>
  <c r="Y634" i="1"/>
  <c r="R634" i="1"/>
  <c r="R633" i="1"/>
  <c r="Y633" i="1"/>
  <c r="R632" i="1"/>
  <c r="Y632" i="1"/>
  <c r="Y631" i="1"/>
  <c r="R631" i="1"/>
  <c r="Y630" i="1"/>
  <c r="R630" i="1"/>
  <c r="R629" i="1"/>
  <c r="Y629" i="1"/>
  <c r="R628" i="1"/>
  <c r="Y628" i="1"/>
  <c r="R627" i="1"/>
  <c r="Y627" i="1"/>
  <c r="Y626" i="1"/>
  <c r="R626" i="1"/>
  <c r="R625" i="1"/>
  <c r="Y625" i="1"/>
  <c r="Y624" i="1"/>
  <c r="R624" i="1"/>
  <c r="Y623" i="1"/>
  <c r="R623" i="1"/>
  <c r="R622" i="1"/>
  <c r="Y622" i="1"/>
  <c r="R621" i="1"/>
  <c r="Y621" i="1"/>
  <c r="R620" i="1"/>
  <c r="Y620" i="1"/>
  <c r="Y619" i="1"/>
  <c r="R619" i="1"/>
  <c r="R618" i="1"/>
  <c r="Y618" i="1"/>
  <c r="R617" i="1"/>
  <c r="Y617" i="1"/>
  <c r="Y616" i="1"/>
  <c r="R616" i="1"/>
  <c r="R615" i="1"/>
  <c r="Y615" i="1"/>
  <c r="Y614" i="1"/>
  <c r="R614" i="1"/>
  <c r="Y613" i="1"/>
  <c r="R613" i="1"/>
  <c r="Y612" i="1"/>
  <c r="R612" i="1"/>
  <c r="Y611" i="1"/>
  <c r="R611" i="1"/>
  <c r="Y610" i="1"/>
  <c r="R610" i="1"/>
  <c r="Y609" i="1"/>
  <c r="R609" i="1"/>
  <c r="Y608" i="1"/>
  <c r="R608" i="1"/>
  <c r="Y607" i="1"/>
  <c r="R607" i="1"/>
  <c r="Y606" i="1"/>
  <c r="R606" i="1"/>
  <c r="Y605" i="1"/>
  <c r="R605" i="1"/>
  <c r="R604" i="1"/>
  <c r="Y604" i="1"/>
  <c r="R603" i="1"/>
  <c r="Y603" i="1"/>
  <c r="Y602" i="1"/>
  <c r="R602" i="1"/>
  <c r="R601" i="1"/>
  <c r="Y601" i="1"/>
  <c r="Y600" i="1"/>
  <c r="R600" i="1"/>
  <c r="R599" i="1"/>
  <c r="Y599" i="1"/>
  <c r="R598" i="1"/>
  <c r="Y598" i="1"/>
  <c r="R597" i="1"/>
  <c r="Y597" i="1"/>
  <c r="R596" i="1"/>
  <c r="Y596" i="1"/>
  <c r="R595" i="1"/>
  <c r="Y595" i="1"/>
  <c r="Y594" i="1"/>
  <c r="R594" i="1"/>
  <c r="R593" i="1"/>
  <c r="Y593" i="1"/>
  <c r="R592" i="1"/>
  <c r="Y592" i="1"/>
  <c r="Y591" i="1"/>
  <c r="R591" i="1"/>
  <c r="Y590" i="1"/>
  <c r="R590" i="1"/>
  <c r="Y589" i="1"/>
  <c r="R589" i="1"/>
  <c r="Y588" i="1"/>
  <c r="R588" i="1"/>
  <c r="Y587" i="1"/>
  <c r="R587" i="1"/>
  <c r="Y586" i="1"/>
  <c r="R586" i="1"/>
  <c r="R585" i="1"/>
  <c r="Y585" i="1"/>
  <c r="Y584" i="1"/>
  <c r="R584" i="1"/>
  <c r="Y583" i="1"/>
  <c r="R583" i="1"/>
  <c r="Y582" i="1"/>
  <c r="R582" i="1"/>
  <c r="R581" i="1"/>
  <c r="Y581" i="1"/>
  <c r="R580" i="1"/>
  <c r="Y580" i="1"/>
  <c r="Y579" i="1"/>
  <c r="R579" i="1"/>
  <c r="Y578" i="1"/>
  <c r="R578" i="1"/>
  <c r="Y577" i="1"/>
  <c r="R577" i="1"/>
  <c r="R576" i="1"/>
  <c r="Y576" i="1"/>
  <c r="R575" i="1"/>
  <c r="Y575" i="1"/>
  <c r="R574" i="1"/>
  <c r="Y574" i="1"/>
  <c r="Y573" i="1"/>
  <c r="R573" i="1"/>
  <c r="R572" i="1"/>
  <c r="Y572" i="1"/>
  <c r="Y571" i="1"/>
  <c r="R571" i="1"/>
  <c r="Y570" i="1"/>
  <c r="R570" i="1"/>
  <c r="Y569" i="1"/>
  <c r="R569" i="1"/>
  <c r="R568" i="1"/>
  <c r="Y568" i="1"/>
  <c r="Y567" i="1"/>
  <c r="R567" i="1"/>
  <c r="R566" i="1"/>
  <c r="Y566" i="1"/>
  <c r="Y565" i="1"/>
  <c r="R565" i="1"/>
  <c r="R564" i="1"/>
  <c r="Y564" i="1"/>
  <c r="Y563" i="1"/>
  <c r="R563" i="1"/>
  <c r="Y562" i="1"/>
  <c r="R562" i="1"/>
  <c r="Y561" i="1"/>
  <c r="R561" i="1"/>
  <c r="Y560" i="1"/>
  <c r="R560" i="1"/>
  <c r="Y559" i="1"/>
  <c r="R559" i="1"/>
  <c r="Y558" i="1"/>
  <c r="R558" i="1"/>
  <c r="Y557" i="1"/>
  <c r="R557" i="1"/>
  <c r="Y556" i="1"/>
  <c r="R556" i="1"/>
  <c r="R555" i="1"/>
  <c r="Y555" i="1"/>
  <c r="R554" i="1"/>
  <c r="Y554" i="1"/>
  <c r="R553" i="1"/>
  <c r="Y553" i="1"/>
  <c r="R552" i="1"/>
  <c r="Y552" i="1"/>
  <c r="Y551" i="1"/>
  <c r="R551" i="1"/>
  <c r="R550" i="1"/>
  <c r="Y550" i="1"/>
  <c r="Y549" i="1"/>
  <c r="R549" i="1"/>
  <c r="R548" i="1"/>
  <c r="Y548" i="1"/>
  <c r="Y547" i="1"/>
  <c r="R547" i="1"/>
  <c r="R546" i="1"/>
  <c r="Y546" i="1"/>
  <c r="R545" i="1"/>
  <c r="Y545" i="1"/>
  <c r="Y544" i="1"/>
  <c r="R544" i="1"/>
  <c r="R543" i="1"/>
  <c r="Y543" i="1"/>
  <c r="R542" i="1"/>
  <c r="Y542" i="1"/>
  <c r="Y541" i="1"/>
  <c r="R541" i="1"/>
  <c r="R539" i="1"/>
  <c r="Y539" i="1"/>
  <c r="R538" i="1"/>
  <c r="Y538" i="1"/>
  <c r="R537" i="1"/>
  <c r="Y537" i="1"/>
  <c r="Y536" i="1"/>
  <c r="R536" i="1"/>
  <c r="Y535" i="1"/>
  <c r="R535" i="1"/>
  <c r="R534" i="1"/>
  <c r="Y534" i="1"/>
  <c r="Y533" i="1"/>
  <c r="R533" i="1"/>
  <c r="Y532" i="1"/>
  <c r="R532" i="1"/>
  <c r="Y531" i="1"/>
  <c r="R531" i="1"/>
  <c r="Y530" i="1"/>
  <c r="R530" i="1"/>
  <c r="R529" i="1"/>
  <c r="Y529" i="1"/>
  <c r="R528" i="1"/>
  <c r="Y528" i="1"/>
  <c r="Y527" i="1"/>
  <c r="R527" i="1"/>
  <c r="Y526" i="1"/>
  <c r="R526" i="1"/>
  <c r="R525" i="1"/>
  <c r="Y525" i="1"/>
  <c r="R524" i="1"/>
  <c r="Y524" i="1"/>
  <c r="Y523" i="1"/>
  <c r="R523" i="1"/>
  <c r="R522" i="1"/>
  <c r="Y522" i="1"/>
  <c r="Y521" i="1"/>
  <c r="R521" i="1"/>
  <c r="R520" i="1"/>
  <c r="Y520" i="1"/>
  <c r="R519" i="1"/>
  <c r="Y519" i="1"/>
  <c r="R518" i="1"/>
  <c r="Y518" i="1"/>
  <c r="Y517" i="1"/>
  <c r="R517" i="1"/>
  <c r="Y516" i="1"/>
  <c r="R516" i="1"/>
  <c r="R515" i="1"/>
  <c r="Y515" i="1"/>
  <c r="R514" i="1"/>
  <c r="Y514" i="1"/>
  <c r="Y513" i="1"/>
  <c r="R513" i="1"/>
  <c r="Y512" i="1"/>
  <c r="R512" i="1"/>
  <c r="R511" i="1"/>
  <c r="Y511" i="1"/>
  <c r="Y510" i="1"/>
  <c r="R510" i="1"/>
  <c r="R509" i="1"/>
  <c r="Y509" i="1"/>
  <c r="R508" i="1"/>
  <c r="Y508" i="1"/>
  <c r="Y507" i="1"/>
  <c r="R507" i="1"/>
  <c r="R506" i="1"/>
  <c r="Y506" i="1"/>
  <c r="R505" i="1"/>
  <c r="Y505" i="1"/>
  <c r="R504" i="1"/>
  <c r="Y504" i="1"/>
  <c r="R503" i="1"/>
  <c r="Y503" i="1"/>
  <c r="Y502" i="1"/>
  <c r="R502" i="1"/>
  <c r="R501" i="1"/>
  <c r="Y501" i="1"/>
  <c r="Y500" i="1"/>
  <c r="R500" i="1"/>
  <c r="R499" i="1"/>
  <c r="Y499" i="1"/>
  <c r="R498" i="1"/>
  <c r="Y498" i="1"/>
  <c r="Y497" i="1"/>
  <c r="R497" i="1"/>
  <c r="Y496" i="1"/>
  <c r="R496" i="1"/>
  <c r="Y495" i="1"/>
  <c r="R495" i="1"/>
  <c r="R494" i="1"/>
  <c r="Y494" i="1"/>
  <c r="R493" i="1"/>
  <c r="Y493" i="1"/>
  <c r="R492" i="1"/>
  <c r="Y492" i="1"/>
  <c r="R491" i="1"/>
  <c r="Y491" i="1"/>
  <c r="R490" i="1"/>
  <c r="Y490" i="1"/>
  <c r="Y489" i="1"/>
  <c r="R489" i="1"/>
  <c r="R488" i="1"/>
  <c r="Y488" i="1"/>
  <c r="Y487" i="1"/>
  <c r="R487" i="1"/>
  <c r="R486" i="1"/>
  <c r="Y486" i="1"/>
  <c r="Y485" i="1"/>
  <c r="R485" i="1"/>
  <c r="R484" i="1"/>
  <c r="Y484" i="1"/>
  <c r="Y483" i="1"/>
  <c r="R483" i="1"/>
  <c r="Y482" i="1"/>
  <c r="R482" i="1"/>
  <c r="Y481" i="1"/>
  <c r="R481" i="1"/>
  <c r="Y480" i="1"/>
  <c r="R480" i="1"/>
  <c r="Y479" i="1"/>
  <c r="R479" i="1"/>
  <c r="Y478" i="1"/>
  <c r="R478" i="1"/>
  <c r="R477" i="1"/>
  <c r="Y477" i="1"/>
  <c r="R476" i="1"/>
  <c r="Y476" i="1"/>
  <c r="Y475" i="1"/>
  <c r="R475" i="1"/>
  <c r="R474" i="1"/>
  <c r="Y474" i="1"/>
  <c r="R473" i="1"/>
  <c r="Y473" i="1"/>
  <c r="Y472" i="1"/>
  <c r="R472" i="1"/>
  <c r="R471" i="1"/>
  <c r="Y471" i="1"/>
  <c r="R470" i="1"/>
  <c r="Y470" i="1"/>
  <c r="R469" i="1"/>
  <c r="Y469" i="1"/>
  <c r="Y468" i="1"/>
  <c r="R468" i="1"/>
  <c r="Y467" i="1"/>
  <c r="R467" i="1"/>
  <c r="R466" i="1"/>
  <c r="Y466" i="1"/>
  <c r="R465" i="1"/>
  <c r="Y465" i="1"/>
  <c r="Y464" i="1"/>
  <c r="R464" i="1"/>
  <c r="R463" i="1"/>
  <c r="Y463" i="1"/>
  <c r="R462" i="1"/>
  <c r="Y462" i="1"/>
  <c r="R461" i="1"/>
  <c r="Y461" i="1"/>
  <c r="R460" i="1"/>
  <c r="Y460" i="1"/>
  <c r="Y459" i="1"/>
  <c r="R459" i="1"/>
  <c r="Y458" i="1"/>
  <c r="R458" i="1"/>
  <c r="R457" i="1"/>
  <c r="Y457" i="1"/>
  <c r="R456" i="1"/>
  <c r="Y456" i="1"/>
  <c r="Y455" i="1"/>
  <c r="R455" i="1"/>
  <c r="Y454" i="1"/>
  <c r="R454" i="1"/>
  <c r="Y453" i="1"/>
  <c r="R453" i="1"/>
  <c r="Y452" i="1"/>
  <c r="R452" i="1"/>
  <c r="R451" i="1"/>
  <c r="Y451" i="1"/>
  <c r="Y450" i="1"/>
  <c r="R450" i="1"/>
  <c r="Y449" i="1"/>
  <c r="R449" i="1"/>
  <c r="R448" i="1"/>
  <c r="Y448" i="1"/>
  <c r="Y447" i="1"/>
  <c r="R447" i="1"/>
  <c r="Y446" i="1"/>
  <c r="R446" i="1"/>
  <c r="R445" i="1"/>
  <c r="Y445" i="1"/>
  <c r="R444" i="1"/>
  <c r="Y444" i="1"/>
  <c r="R443" i="1"/>
  <c r="Y443" i="1"/>
  <c r="Y442" i="1"/>
  <c r="R442" i="1"/>
  <c r="R441" i="1"/>
  <c r="Y441" i="1"/>
  <c r="R440" i="1"/>
  <c r="Y440" i="1"/>
  <c r="R439" i="1"/>
  <c r="Y439" i="1"/>
  <c r="R438" i="1"/>
  <c r="Y438" i="1"/>
  <c r="R437" i="1"/>
  <c r="Y437" i="1"/>
  <c r="R436" i="1"/>
  <c r="Y436" i="1"/>
  <c r="Y435" i="1"/>
  <c r="R435" i="1"/>
  <c r="Y434" i="1"/>
  <c r="R434" i="1"/>
  <c r="R433" i="1"/>
  <c r="Y433" i="1"/>
  <c r="Y432" i="1"/>
  <c r="R432" i="1"/>
  <c r="R431" i="1"/>
  <c r="Y431" i="1"/>
  <c r="R430" i="1"/>
  <c r="Y430" i="1"/>
  <c r="R429" i="1"/>
  <c r="Y429" i="1"/>
  <c r="R428" i="1"/>
  <c r="Y428" i="1"/>
  <c r="Y427" i="1"/>
  <c r="R427" i="1"/>
  <c r="Y426" i="1"/>
  <c r="R426" i="1"/>
  <c r="Y425" i="1"/>
  <c r="R425" i="1"/>
  <c r="Y424" i="1"/>
  <c r="R424" i="1"/>
  <c r="R423" i="1"/>
  <c r="Y423" i="1"/>
  <c r="R422" i="1"/>
  <c r="Y422" i="1"/>
  <c r="R421" i="1"/>
  <c r="Y421" i="1"/>
  <c r="R420" i="1"/>
  <c r="Y420" i="1"/>
  <c r="R419" i="1"/>
  <c r="Y419" i="1"/>
  <c r="Y418" i="1"/>
  <c r="R418" i="1"/>
  <c r="R417" i="1"/>
  <c r="Y417" i="1"/>
  <c r="Y416" i="1"/>
  <c r="R416" i="1"/>
  <c r="R415" i="1"/>
  <c r="Y415" i="1"/>
  <c r="R414" i="1"/>
  <c r="Y414" i="1"/>
  <c r="R413" i="1"/>
  <c r="Y413" i="1"/>
  <c r="R412" i="1"/>
  <c r="Y412" i="1"/>
  <c r="Y411" i="1"/>
  <c r="R411" i="1"/>
  <c r="Y410" i="1"/>
  <c r="R410" i="1"/>
  <c r="R409" i="1"/>
  <c r="Y409" i="1"/>
  <c r="Y408" i="1"/>
  <c r="R408" i="1"/>
  <c r="Y407" i="1"/>
  <c r="R407" i="1"/>
  <c r="Y406" i="1"/>
  <c r="R406" i="1"/>
  <c r="Y405" i="1"/>
  <c r="R405" i="1"/>
  <c r="R404" i="1"/>
  <c r="Y404" i="1"/>
  <c r="Y403" i="1"/>
  <c r="R403" i="1"/>
  <c r="R402" i="1"/>
  <c r="Y402" i="1"/>
  <c r="R401" i="1"/>
  <c r="Y401" i="1"/>
  <c r="Y400" i="1"/>
  <c r="R400" i="1"/>
  <c r="R399" i="1"/>
  <c r="Y399" i="1"/>
  <c r="Y398" i="1"/>
  <c r="R398" i="1"/>
  <c r="Y397" i="1"/>
  <c r="R397" i="1"/>
  <c r="Y396" i="1"/>
  <c r="R396" i="1"/>
  <c r="R395" i="1"/>
  <c r="Y395" i="1"/>
  <c r="Y394" i="1"/>
  <c r="R394" i="1"/>
  <c r="Y393" i="1"/>
  <c r="R393" i="1"/>
  <c r="Y392" i="1"/>
  <c r="R392" i="1"/>
  <c r="R391" i="1"/>
  <c r="Y391" i="1"/>
  <c r="Y390" i="1"/>
  <c r="R390" i="1"/>
  <c r="R389" i="1"/>
  <c r="Y389" i="1"/>
  <c r="Y388" i="1"/>
  <c r="R388" i="1"/>
  <c r="Y387" i="1"/>
  <c r="R387" i="1"/>
  <c r="Y386" i="1"/>
  <c r="R386" i="1"/>
  <c r="R385" i="1"/>
  <c r="Y385" i="1"/>
  <c r="Y384" i="1"/>
  <c r="R384" i="1"/>
  <c r="Y383" i="1"/>
  <c r="R383" i="1"/>
  <c r="Y382" i="1"/>
  <c r="R382" i="1"/>
  <c r="R381" i="1"/>
  <c r="Y381" i="1"/>
  <c r="R380" i="1"/>
  <c r="Y380" i="1"/>
  <c r="R379" i="1"/>
  <c r="Y379" i="1"/>
  <c r="R378" i="1"/>
  <c r="Y378" i="1"/>
  <c r="Y377" i="1"/>
  <c r="R377" i="1"/>
  <c r="R376" i="1"/>
  <c r="Y376" i="1"/>
  <c r="Y375" i="1"/>
  <c r="R375" i="1"/>
  <c r="R374" i="1"/>
  <c r="Y374" i="1"/>
  <c r="Y373" i="1"/>
  <c r="R373" i="1"/>
  <c r="Y372" i="1"/>
  <c r="R372" i="1"/>
  <c r="R371" i="1"/>
  <c r="Y371" i="1"/>
  <c r="R370" i="1"/>
  <c r="Y370" i="1"/>
  <c r="R369" i="1"/>
  <c r="Y369" i="1"/>
  <c r="Y368" i="1"/>
  <c r="R368" i="1"/>
  <c r="Y367" i="1"/>
  <c r="R367" i="1"/>
  <c r="R366" i="1"/>
  <c r="Y366" i="1"/>
  <c r="Y365" i="1"/>
  <c r="R365" i="1"/>
  <c r="R364" i="1"/>
  <c r="Y364" i="1"/>
  <c r="R363" i="1"/>
  <c r="Y363" i="1"/>
  <c r="Y362" i="1"/>
  <c r="R362" i="1"/>
  <c r="Y361" i="1"/>
  <c r="R361" i="1"/>
  <c r="Y360" i="1"/>
  <c r="R360" i="1"/>
  <c r="Y359" i="1"/>
  <c r="R359" i="1"/>
  <c r="Y358" i="1"/>
  <c r="R358" i="1"/>
  <c r="Y357" i="1"/>
  <c r="R357" i="1"/>
  <c r="Y356" i="1"/>
  <c r="R356" i="1"/>
  <c r="R355" i="1"/>
  <c r="Y355" i="1"/>
  <c r="R354" i="1"/>
  <c r="Y354" i="1"/>
  <c r="R353" i="1"/>
  <c r="Y353" i="1"/>
  <c r="R352" i="1"/>
  <c r="Y352" i="1"/>
  <c r="R351" i="1"/>
  <c r="Y351" i="1"/>
  <c r="Y350" i="1"/>
  <c r="R350" i="1"/>
  <c r="Y349" i="1"/>
  <c r="R349" i="1"/>
  <c r="R348" i="1"/>
  <c r="Y348" i="1"/>
  <c r="Y347" i="1"/>
  <c r="R347" i="1"/>
  <c r="Y346" i="1"/>
  <c r="R346" i="1"/>
  <c r="R345" i="1"/>
  <c r="Y345" i="1"/>
  <c r="R344" i="1"/>
  <c r="Y344" i="1"/>
  <c r="R343" i="1"/>
  <c r="Y343" i="1"/>
  <c r="Y342" i="1"/>
  <c r="R342" i="1"/>
  <c r="Y341" i="1"/>
  <c r="R341" i="1"/>
  <c r="Y340" i="1"/>
  <c r="R340" i="1"/>
  <c r="R339" i="1"/>
  <c r="Y339" i="1"/>
  <c r="R338" i="1"/>
  <c r="Y338" i="1"/>
  <c r="R337" i="1"/>
  <c r="Y337" i="1"/>
  <c r="R336" i="1"/>
  <c r="Y336" i="1"/>
  <c r="R335" i="1"/>
  <c r="Y335" i="1"/>
  <c r="R334" i="1"/>
  <c r="Y334" i="1"/>
  <c r="R333" i="1"/>
  <c r="Y333" i="1"/>
  <c r="R332" i="1"/>
  <c r="Y332" i="1"/>
  <c r="Y331" i="1"/>
  <c r="R331" i="1"/>
  <c r="R330" i="1"/>
  <c r="Y330" i="1"/>
  <c r="Y329" i="1"/>
  <c r="R329" i="1"/>
  <c r="R328" i="1"/>
  <c r="Y328" i="1"/>
  <c r="Y327" i="1"/>
  <c r="R327" i="1"/>
  <c r="R326" i="1"/>
  <c r="Y326" i="1"/>
  <c r="Y325" i="1"/>
  <c r="R325" i="1"/>
  <c r="Y324" i="1"/>
  <c r="R324" i="1"/>
  <c r="Y323" i="1"/>
  <c r="R323" i="1"/>
  <c r="Y322" i="1"/>
  <c r="R322" i="1"/>
  <c r="R321" i="1"/>
  <c r="Y321" i="1"/>
  <c r="R320" i="1"/>
  <c r="Y320" i="1"/>
  <c r="R319" i="1"/>
  <c r="Y319" i="1"/>
  <c r="Y318" i="1"/>
  <c r="R318" i="1"/>
  <c r="R317" i="1"/>
  <c r="Y317" i="1"/>
  <c r="R316" i="1"/>
  <c r="Y316" i="1"/>
  <c r="Y315" i="1"/>
  <c r="R315" i="1"/>
  <c r="R314" i="1"/>
  <c r="Y314" i="1"/>
  <c r="Y313" i="1"/>
  <c r="R313" i="1"/>
  <c r="Y312" i="1"/>
  <c r="R312" i="1"/>
  <c r="R311" i="1"/>
  <c r="Y311" i="1"/>
  <c r="R310" i="1"/>
  <c r="Y310" i="1"/>
  <c r="Y309" i="1"/>
  <c r="R309" i="1"/>
  <c r="R308" i="1"/>
  <c r="Y308" i="1"/>
  <c r="Y307" i="1"/>
  <c r="R307" i="1"/>
  <c r="R306" i="1"/>
  <c r="Y306" i="1"/>
  <c r="Y305" i="1"/>
  <c r="R305" i="1"/>
  <c r="Y304" i="1"/>
  <c r="R304" i="1"/>
  <c r="R303" i="1"/>
  <c r="Y303" i="1"/>
  <c r="Y302" i="1"/>
  <c r="R302" i="1"/>
  <c r="Y301" i="1"/>
  <c r="R301" i="1"/>
  <c r="R300" i="1"/>
  <c r="Y300" i="1"/>
  <c r="R299" i="1"/>
  <c r="Y299" i="1"/>
  <c r="R298" i="1"/>
  <c r="Y298" i="1"/>
  <c r="R297" i="1"/>
  <c r="Y297" i="1"/>
  <c r="Y296" i="1"/>
  <c r="R296" i="1"/>
  <c r="Y295" i="1"/>
  <c r="R295" i="1"/>
  <c r="Y294" i="1"/>
  <c r="R294" i="1"/>
  <c r="R293" i="1"/>
  <c r="Y293" i="1"/>
  <c r="R292" i="1"/>
  <c r="Y292" i="1"/>
  <c r="R291" i="1"/>
  <c r="Y291" i="1"/>
  <c r="Y290" i="1"/>
  <c r="R290" i="1"/>
  <c r="R289" i="1"/>
  <c r="Y289" i="1"/>
  <c r="Y288" i="1"/>
  <c r="R288" i="1"/>
  <c r="Y287" i="1"/>
  <c r="R287" i="1"/>
  <c r="R286" i="1"/>
  <c r="Y286" i="1"/>
  <c r="R285" i="1"/>
  <c r="Y285" i="1"/>
  <c r="R284" i="1"/>
  <c r="Y284" i="1"/>
  <c r="I4" i="1"/>
  <c r="K3" i="1"/>
  <c r="S283" i="1"/>
  <c r="T283" i="1"/>
  <c r="U283" i="1"/>
  <c r="V283" i="1"/>
  <c r="Y282" i="1"/>
  <c r="R282" i="1"/>
  <c r="Y281" i="1"/>
  <c r="R281" i="1"/>
  <c r="R280" i="1"/>
  <c r="Y280" i="1"/>
  <c r="R279" i="1"/>
  <c r="Y279" i="1"/>
  <c r="Y278" i="1"/>
  <c r="R278" i="1"/>
  <c r="R277" i="1"/>
  <c r="Y277" i="1"/>
  <c r="R276" i="1"/>
  <c r="Y276" i="1"/>
  <c r="Y275" i="1"/>
  <c r="R275" i="1"/>
  <c r="R274" i="1"/>
  <c r="Y274" i="1"/>
  <c r="R273" i="1"/>
  <c r="Y273" i="1"/>
  <c r="Y272" i="1"/>
  <c r="R272" i="1"/>
  <c r="Y271" i="1"/>
  <c r="R271" i="1"/>
  <c r="R270" i="1"/>
  <c r="Y270" i="1"/>
  <c r="R269" i="1"/>
  <c r="Y269" i="1"/>
  <c r="R268" i="1"/>
  <c r="Y268" i="1"/>
  <c r="Y267" i="1"/>
  <c r="R267" i="1"/>
  <c r="R266" i="1"/>
  <c r="Y266" i="1"/>
  <c r="R265" i="1"/>
  <c r="Y265" i="1"/>
  <c r="R264" i="1"/>
  <c r="Y264" i="1"/>
  <c r="R263" i="1"/>
  <c r="Y263" i="1"/>
  <c r="R262" i="1"/>
  <c r="Y262" i="1"/>
  <c r="R261" i="1"/>
  <c r="Y261" i="1"/>
  <c r="Y260" i="1"/>
  <c r="R260" i="1"/>
  <c r="Y259" i="1"/>
  <c r="R259" i="1"/>
  <c r="R258" i="1"/>
  <c r="Y258" i="1"/>
  <c r="Y257" i="1"/>
  <c r="R257" i="1"/>
  <c r="R256" i="1"/>
  <c r="Y256" i="1"/>
  <c r="Y255" i="1"/>
  <c r="R255" i="1"/>
  <c r="Y254" i="1"/>
  <c r="R254" i="1"/>
  <c r="Y253" i="1"/>
  <c r="R253" i="1"/>
  <c r="Y252" i="1"/>
  <c r="R252" i="1"/>
  <c r="Y251" i="1"/>
  <c r="R251" i="1"/>
  <c r="Y250" i="1"/>
  <c r="R250" i="1"/>
  <c r="R249" i="1"/>
  <c r="Y249" i="1"/>
  <c r="R248" i="1"/>
  <c r="Y248" i="1"/>
  <c r="R247" i="1"/>
  <c r="Y247" i="1"/>
  <c r="Y246" i="1"/>
  <c r="R246" i="1"/>
  <c r="R245" i="1"/>
  <c r="Y245" i="1"/>
  <c r="Y244" i="1"/>
  <c r="R244" i="1"/>
  <c r="R243" i="1"/>
  <c r="Y243" i="1"/>
  <c r="Y242" i="1"/>
  <c r="R242" i="1"/>
  <c r="Y241" i="1"/>
  <c r="R241" i="1"/>
  <c r="Y240" i="1"/>
  <c r="R240" i="1"/>
  <c r="Y239" i="1"/>
  <c r="R239" i="1"/>
  <c r="Y238" i="1"/>
  <c r="R238" i="1"/>
  <c r="Y237" i="1"/>
  <c r="R237" i="1"/>
  <c r="Y236" i="1"/>
  <c r="R236" i="1"/>
  <c r="R235" i="1"/>
  <c r="Y235" i="1"/>
  <c r="Y234" i="1"/>
  <c r="R234" i="1"/>
  <c r="R233" i="1"/>
  <c r="Y233" i="1"/>
  <c r="Y232" i="1"/>
  <c r="R232" i="1"/>
  <c r="R231" i="1"/>
  <c r="Y231" i="1"/>
  <c r="R230" i="1"/>
  <c r="Y230" i="1"/>
  <c r="Y229" i="1"/>
  <c r="R229" i="1"/>
  <c r="Y228" i="1"/>
  <c r="R228" i="1"/>
  <c r="R227" i="1"/>
  <c r="Y227" i="1"/>
  <c r="Y226" i="1"/>
  <c r="R226" i="1"/>
  <c r="R225" i="1"/>
  <c r="Y225" i="1"/>
  <c r="R224" i="1"/>
  <c r="Y224" i="1"/>
  <c r="Y223" i="1"/>
  <c r="R223" i="1"/>
  <c r="Y222" i="1"/>
  <c r="R222" i="1"/>
  <c r="Y221" i="1"/>
  <c r="R221" i="1"/>
  <c r="Y220" i="1"/>
  <c r="R220" i="1"/>
  <c r="Y219" i="1"/>
  <c r="R219" i="1"/>
  <c r="W219" i="1"/>
  <c r="Y218" i="1"/>
  <c r="R218" i="1"/>
  <c r="W218" i="1"/>
  <c r="Y217" i="1"/>
  <c r="R217" i="1"/>
  <c r="W217" i="1"/>
  <c r="R216" i="1"/>
  <c r="Y216" i="1"/>
  <c r="W216" i="1"/>
  <c r="Y215" i="1"/>
  <c r="R215" i="1"/>
  <c r="W215" i="1"/>
  <c r="R214" i="1"/>
  <c r="Y214" i="1"/>
  <c r="W214" i="1"/>
  <c r="Y213" i="1"/>
  <c r="R213" i="1"/>
  <c r="W213" i="1"/>
  <c r="R212" i="1"/>
  <c r="Y212" i="1"/>
  <c r="W212" i="1"/>
  <c r="Y211" i="1"/>
  <c r="R211" i="1"/>
  <c r="W211" i="1"/>
  <c r="R210" i="1"/>
  <c r="Y210" i="1"/>
  <c r="W210" i="1"/>
  <c r="Y209" i="1"/>
  <c r="R209" i="1"/>
  <c r="W209" i="1"/>
  <c r="Y208" i="1"/>
  <c r="R208" i="1"/>
  <c r="W208" i="1"/>
  <c r="R207" i="1"/>
  <c r="Y207" i="1"/>
  <c r="W207" i="1"/>
  <c r="R206" i="1"/>
  <c r="Y206" i="1"/>
  <c r="W206" i="1"/>
  <c r="Y205" i="1"/>
  <c r="R205" i="1"/>
  <c r="W205" i="1"/>
  <c r="R204" i="1"/>
  <c r="Y204" i="1"/>
  <c r="W204" i="1"/>
  <c r="Y203" i="1"/>
  <c r="R203" i="1"/>
  <c r="W203" i="1"/>
  <c r="Y202" i="1"/>
  <c r="R202" i="1"/>
  <c r="W202" i="1"/>
  <c r="Y201" i="1"/>
  <c r="R201" i="1"/>
  <c r="W201" i="1"/>
  <c r="R200" i="1"/>
  <c r="Y200" i="1"/>
  <c r="W200" i="1"/>
  <c r="R199" i="1"/>
  <c r="Y199" i="1"/>
  <c r="W199" i="1"/>
  <c r="R198" i="1"/>
  <c r="Y198" i="1"/>
  <c r="W198" i="1"/>
  <c r="Y197" i="1"/>
  <c r="R197" i="1"/>
  <c r="W197" i="1"/>
  <c r="R196" i="1"/>
  <c r="Y196" i="1"/>
  <c r="W196" i="1"/>
  <c r="Y195" i="1"/>
  <c r="R195" i="1"/>
  <c r="W195" i="1"/>
  <c r="Y194" i="1"/>
  <c r="R194" i="1"/>
  <c r="W194" i="1"/>
  <c r="R193" i="1"/>
  <c r="Y193" i="1"/>
  <c r="W193" i="1"/>
  <c r="Y192" i="1"/>
  <c r="R192" i="1"/>
  <c r="W192" i="1"/>
  <c r="Y191" i="1"/>
  <c r="R191" i="1"/>
  <c r="W191" i="1"/>
  <c r="R190" i="1"/>
  <c r="Y190" i="1"/>
  <c r="W190" i="1"/>
  <c r="Y189" i="1"/>
  <c r="R189" i="1"/>
  <c r="W189" i="1"/>
  <c r="R188" i="1"/>
  <c r="Y188" i="1"/>
  <c r="W188" i="1"/>
  <c r="Y187" i="1"/>
  <c r="R187" i="1"/>
  <c r="W187" i="1"/>
  <c r="Y186" i="1"/>
  <c r="R186" i="1"/>
  <c r="W186" i="1"/>
  <c r="Y185" i="1"/>
  <c r="R185" i="1"/>
  <c r="W185" i="1"/>
  <c r="Y184" i="1"/>
  <c r="R184" i="1"/>
  <c r="W184" i="1"/>
  <c r="Y183" i="1"/>
  <c r="R183" i="1"/>
  <c r="W183" i="1"/>
  <c r="Y182" i="1"/>
  <c r="R182" i="1"/>
  <c r="W182" i="1"/>
  <c r="Y181" i="1"/>
  <c r="R181" i="1"/>
  <c r="W181" i="1"/>
  <c r="Y180" i="1"/>
  <c r="R180" i="1"/>
  <c r="W180" i="1"/>
  <c r="Y179" i="1"/>
  <c r="R179" i="1"/>
  <c r="W179" i="1"/>
  <c r="Y178" i="1"/>
  <c r="R178" i="1"/>
  <c r="W178" i="1"/>
  <c r="Y177" i="1"/>
  <c r="R177" i="1"/>
  <c r="W177" i="1"/>
  <c r="R176" i="1"/>
  <c r="Y176" i="1"/>
  <c r="W176" i="1"/>
  <c r="Y175" i="1"/>
  <c r="R175" i="1"/>
  <c r="W175" i="1"/>
  <c r="Y174" i="1"/>
  <c r="R174" i="1"/>
  <c r="W174" i="1"/>
  <c r="R173" i="1"/>
  <c r="Y173" i="1"/>
  <c r="W173" i="1"/>
  <c r="R172" i="1"/>
  <c r="Y172" i="1"/>
  <c r="W172" i="1"/>
  <c r="Y171" i="1"/>
  <c r="R171" i="1"/>
  <c r="W171" i="1"/>
  <c r="Y170" i="1"/>
  <c r="R170" i="1"/>
  <c r="W170" i="1"/>
  <c r="Y169" i="1"/>
  <c r="R169" i="1"/>
  <c r="W169" i="1"/>
  <c r="Y168" i="1"/>
  <c r="R168" i="1"/>
  <c r="W168" i="1"/>
  <c r="R167" i="1"/>
  <c r="Y167" i="1"/>
  <c r="W167" i="1"/>
  <c r="R166" i="1"/>
  <c r="Y166" i="1"/>
  <c r="W166" i="1"/>
  <c r="R165" i="1"/>
  <c r="Y165" i="1"/>
  <c r="W165" i="1"/>
  <c r="R164" i="1"/>
  <c r="Y164" i="1"/>
  <c r="W164" i="1"/>
  <c r="R163" i="1"/>
  <c r="Y163" i="1"/>
  <c r="W163" i="1"/>
  <c r="Y162" i="1"/>
  <c r="R162" i="1"/>
  <c r="W162" i="1"/>
  <c r="Y161" i="1"/>
  <c r="R161" i="1"/>
  <c r="W161" i="1"/>
  <c r="R160" i="1"/>
  <c r="Y160" i="1"/>
  <c r="W160" i="1"/>
  <c r="Y159" i="1"/>
  <c r="R159" i="1"/>
  <c r="W159" i="1"/>
  <c r="R158" i="1"/>
  <c r="Y158" i="1"/>
  <c r="W158" i="1"/>
  <c r="Y157" i="1"/>
  <c r="R157" i="1"/>
  <c r="W157" i="1"/>
  <c r="R156" i="1"/>
  <c r="Y156" i="1"/>
  <c r="W156" i="1"/>
  <c r="Y155" i="1"/>
  <c r="R155" i="1"/>
  <c r="W155" i="1"/>
  <c r="Y154" i="1"/>
  <c r="R154" i="1"/>
  <c r="W154" i="1"/>
  <c r="Y153" i="1"/>
  <c r="R153" i="1"/>
  <c r="W153" i="1"/>
  <c r="Y152" i="1"/>
  <c r="R152" i="1"/>
  <c r="W152" i="1"/>
  <c r="Y151" i="1"/>
  <c r="R151" i="1"/>
  <c r="W151" i="1"/>
  <c r="Y150" i="1"/>
  <c r="R150" i="1"/>
  <c r="W150" i="1"/>
  <c r="Y149" i="1"/>
  <c r="R149" i="1"/>
  <c r="W149" i="1"/>
  <c r="Y148" i="1"/>
  <c r="R148" i="1"/>
  <c r="W148" i="1"/>
  <c r="Y147" i="1"/>
  <c r="R147" i="1"/>
  <c r="W147" i="1"/>
  <c r="Y146" i="1"/>
  <c r="R146" i="1"/>
  <c r="W146" i="1"/>
  <c r="Y145" i="1"/>
  <c r="R145" i="1"/>
  <c r="W145" i="1"/>
  <c r="Y144" i="1"/>
  <c r="R144" i="1"/>
  <c r="W144" i="1"/>
  <c r="Y143" i="1"/>
  <c r="R143" i="1"/>
  <c r="W143" i="1"/>
  <c r="Y142" i="1"/>
  <c r="R142" i="1"/>
  <c r="W142" i="1"/>
  <c r="R141" i="1"/>
  <c r="Y141" i="1"/>
  <c r="W141" i="1"/>
  <c r="R140" i="1"/>
  <c r="Y140" i="1"/>
  <c r="W140" i="1"/>
  <c r="Y139" i="1"/>
  <c r="R139" i="1"/>
  <c r="W139" i="1"/>
  <c r="Y138" i="1"/>
  <c r="R138" i="1"/>
  <c r="W138" i="1"/>
  <c r="Y137" i="1"/>
  <c r="R137" i="1"/>
  <c r="W137" i="1"/>
  <c r="Y136" i="1"/>
  <c r="R136" i="1"/>
  <c r="W136" i="1"/>
  <c r="Y135" i="1"/>
  <c r="R135" i="1"/>
  <c r="W135" i="1"/>
  <c r="Y134" i="1"/>
  <c r="R134" i="1"/>
  <c r="W134" i="1"/>
  <c r="R133" i="1"/>
  <c r="Y133" i="1"/>
  <c r="W133" i="1"/>
  <c r="R132" i="1"/>
  <c r="Y132" i="1"/>
  <c r="W132" i="1"/>
  <c r="R131" i="1"/>
  <c r="Y131" i="1"/>
  <c r="W131" i="1"/>
  <c r="R130" i="1"/>
  <c r="Y130" i="1"/>
  <c r="W130" i="1"/>
  <c r="R129" i="1"/>
  <c r="Y129" i="1"/>
  <c r="W129" i="1"/>
  <c r="Y128" i="1"/>
  <c r="R128" i="1"/>
  <c r="W128" i="1"/>
  <c r="Y127" i="1"/>
  <c r="R127" i="1"/>
  <c r="W127" i="1"/>
  <c r="R126" i="1"/>
  <c r="Y126" i="1"/>
  <c r="W126" i="1"/>
  <c r="R125" i="1"/>
  <c r="Y125" i="1"/>
  <c r="W125" i="1"/>
  <c r="R124" i="1"/>
  <c r="Y124" i="1"/>
  <c r="W124" i="1"/>
  <c r="R123" i="1"/>
  <c r="Y123" i="1"/>
  <c r="W123" i="1"/>
  <c r="R122" i="1"/>
  <c r="Y122" i="1"/>
  <c r="W122" i="1"/>
  <c r="R121" i="1"/>
  <c r="Y121" i="1"/>
  <c r="W121" i="1"/>
  <c r="R120" i="1"/>
  <c r="Y120" i="1"/>
  <c r="W120" i="1"/>
  <c r="R119" i="1"/>
  <c r="Y119" i="1"/>
  <c r="W119" i="1"/>
  <c r="R118" i="1"/>
  <c r="Y118" i="1"/>
  <c r="W118" i="1"/>
  <c r="Y117" i="1"/>
  <c r="R117" i="1"/>
  <c r="W117" i="1"/>
  <c r="Y116" i="1"/>
  <c r="R116" i="1"/>
  <c r="W116" i="1"/>
  <c r="Y115" i="1"/>
  <c r="R115" i="1"/>
  <c r="W115" i="1"/>
  <c r="Y114" i="1"/>
  <c r="R114" i="1"/>
  <c r="W114" i="1"/>
  <c r="R113" i="1"/>
  <c r="Y113" i="1"/>
  <c r="W113" i="1"/>
  <c r="Y112" i="1"/>
  <c r="R112" i="1"/>
  <c r="W112" i="1"/>
  <c r="R111" i="1"/>
  <c r="Y111" i="1"/>
  <c r="W111" i="1"/>
  <c r="Y110" i="1"/>
  <c r="R110" i="1"/>
  <c r="W110" i="1"/>
  <c r="Y109" i="1"/>
  <c r="R109" i="1"/>
  <c r="Y108" i="1"/>
  <c r="R108" i="1"/>
  <c r="Y107" i="1"/>
  <c r="R107" i="1"/>
  <c r="R106" i="1"/>
  <c r="Y106" i="1"/>
  <c r="R105" i="1"/>
  <c r="Y105" i="1"/>
  <c r="Y104" i="1"/>
  <c r="R104" i="1"/>
  <c r="Y103" i="1"/>
  <c r="R103" i="1"/>
  <c r="Y102" i="1"/>
  <c r="R102" i="1"/>
  <c r="R101" i="1"/>
  <c r="Y101" i="1"/>
  <c r="R100" i="1"/>
  <c r="Y100" i="1"/>
  <c r="Y99" i="1"/>
  <c r="R99" i="1"/>
  <c r="R98" i="1"/>
  <c r="Y98" i="1"/>
  <c r="Y97" i="1"/>
  <c r="R97" i="1"/>
  <c r="Y96" i="1"/>
  <c r="R96" i="1"/>
  <c r="Y95" i="1"/>
  <c r="R95" i="1"/>
  <c r="Y94" i="1"/>
  <c r="R94" i="1"/>
  <c r="Y93" i="1"/>
  <c r="R93" i="1"/>
  <c r="Y92" i="1"/>
  <c r="R92" i="1"/>
  <c r="R91" i="1"/>
  <c r="Y91" i="1"/>
  <c r="Y90" i="1"/>
  <c r="R90" i="1"/>
  <c r="Y89" i="1"/>
  <c r="R89" i="1"/>
  <c r="Y88" i="1"/>
  <c r="R88" i="1"/>
  <c r="R87" i="1"/>
  <c r="Y87" i="1"/>
  <c r="Y86" i="1"/>
  <c r="R86" i="1"/>
  <c r="R85" i="1"/>
  <c r="Y85" i="1"/>
  <c r="R84" i="1"/>
  <c r="Y84" i="1"/>
  <c r="R83" i="1"/>
  <c r="Y83" i="1"/>
  <c r="R82" i="1"/>
  <c r="Y82" i="1"/>
  <c r="R81" i="1"/>
  <c r="Y81" i="1"/>
  <c r="R80" i="1"/>
  <c r="Y80" i="1"/>
  <c r="Y79" i="1"/>
  <c r="R79" i="1"/>
  <c r="Y78" i="1"/>
  <c r="R78" i="1"/>
  <c r="Y77" i="1"/>
  <c r="R77" i="1"/>
  <c r="R76" i="1"/>
  <c r="Y76" i="1"/>
  <c r="R75" i="1"/>
  <c r="Y75" i="1"/>
  <c r="R74" i="1"/>
  <c r="Y74" i="1"/>
  <c r="R73" i="1"/>
  <c r="Y73" i="1"/>
  <c r="R72" i="1"/>
  <c r="Y72" i="1"/>
  <c r="R71" i="1"/>
  <c r="Y71" i="1"/>
  <c r="Y70" i="1"/>
  <c r="R70" i="1"/>
  <c r="R69" i="1"/>
  <c r="Y69" i="1"/>
  <c r="R68" i="1"/>
  <c r="Y68" i="1"/>
  <c r="Y67" i="1"/>
  <c r="R67" i="1"/>
  <c r="R66" i="1"/>
  <c r="Y66" i="1"/>
  <c r="Y65" i="1"/>
  <c r="R65" i="1"/>
  <c r="R64" i="1"/>
  <c r="Y64" i="1"/>
  <c r="Y63" i="1"/>
  <c r="R63" i="1"/>
  <c r="R62" i="1"/>
  <c r="Y62" i="1"/>
  <c r="R61" i="1"/>
  <c r="Y61" i="1"/>
  <c r="R60" i="1"/>
  <c r="Y60" i="1"/>
  <c r="R59" i="1"/>
  <c r="Y59" i="1"/>
  <c r="R58" i="1"/>
  <c r="Y58" i="1"/>
  <c r="R57" i="1"/>
  <c r="Y57" i="1"/>
  <c r="Y56" i="1"/>
  <c r="R56" i="1"/>
  <c r="Y55" i="1"/>
  <c r="R55" i="1"/>
  <c r="Y54" i="1"/>
  <c r="R54" i="1"/>
  <c r="Y53" i="1"/>
  <c r="R53" i="1"/>
  <c r="Y52" i="1"/>
  <c r="R52" i="1"/>
  <c r="Y51" i="1"/>
  <c r="R51" i="1"/>
  <c r="R50" i="1"/>
  <c r="Y50" i="1"/>
  <c r="Y49" i="1"/>
  <c r="R49" i="1"/>
  <c r="Y48" i="1"/>
  <c r="R48" i="1"/>
  <c r="R47" i="1"/>
  <c r="Y47" i="1"/>
  <c r="Y46" i="1"/>
  <c r="R46" i="1"/>
  <c r="Y45" i="1"/>
  <c r="R45" i="1"/>
  <c r="Y44" i="1"/>
  <c r="R44" i="1"/>
  <c r="Y43" i="1"/>
  <c r="R43" i="1"/>
  <c r="Y42" i="1"/>
  <c r="R42" i="1"/>
  <c r="Y41" i="1"/>
  <c r="R41" i="1"/>
  <c r="R40" i="1"/>
  <c r="Y40" i="1"/>
  <c r="Y39" i="1"/>
  <c r="R39" i="1"/>
  <c r="R38" i="1"/>
  <c r="Y38" i="1"/>
  <c r="Y37" i="1"/>
  <c r="R37" i="1"/>
  <c r="Y36" i="1"/>
  <c r="R36" i="1"/>
  <c r="Y35" i="1"/>
  <c r="R35" i="1"/>
  <c r="R34" i="1"/>
  <c r="Y34" i="1"/>
  <c r="Y33" i="1"/>
  <c r="R33" i="1"/>
  <c r="R32" i="1"/>
  <c r="Y32" i="1"/>
  <c r="Y31" i="1"/>
  <c r="R31" i="1"/>
  <c r="R30" i="1"/>
  <c r="Y30" i="1"/>
  <c r="R29" i="1"/>
  <c r="Y29" i="1"/>
  <c r="Y28" i="1"/>
  <c r="R28" i="1"/>
  <c r="Y27" i="1"/>
  <c r="R27" i="1"/>
  <c r="R26" i="1"/>
  <c r="Y26" i="1"/>
  <c r="Y25" i="1"/>
  <c r="R25" i="1"/>
  <c r="R24" i="1"/>
  <c r="Y24" i="1"/>
  <c r="Y23" i="1"/>
  <c r="R23" i="1"/>
  <c r="R22" i="1"/>
  <c r="Y22" i="1"/>
  <c r="R21" i="1"/>
  <c r="Y21" i="1"/>
  <c r="R20" i="1"/>
  <c r="Y20" i="1"/>
  <c r="Y19" i="1"/>
  <c r="R19" i="1"/>
  <c r="Y18" i="1"/>
  <c r="R18" i="1"/>
  <c r="Y17" i="1"/>
  <c r="R17" i="1"/>
  <c r="R16" i="1"/>
  <c r="Y16" i="1"/>
  <c r="Y15" i="1"/>
  <c r="R15" i="1"/>
  <c r="Y14" i="1"/>
  <c r="R14" i="1"/>
  <c r="R13" i="1"/>
  <c r="Y13" i="1"/>
  <c r="R12" i="1"/>
  <c r="Y12" i="1"/>
  <c r="O8" i="1"/>
  <c r="U1007" i="3"/>
  <c r="AB1007" i="3"/>
  <c r="AB1006" i="3"/>
  <c r="U1006" i="3"/>
  <c r="AB1005" i="3"/>
  <c r="U1005" i="3"/>
  <c r="U1004" i="3"/>
  <c r="AB1004" i="3"/>
  <c r="AB1003" i="3"/>
  <c r="U1003" i="3"/>
  <c r="U1002" i="3"/>
  <c r="AB1002" i="3"/>
  <c r="AB1001" i="3"/>
  <c r="U1001" i="3"/>
  <c r="AB1000" i="3"/>
  <c r="U1000" i="3"/>
  <c r="AB999" i="3"/>
  <c r="U999" i="3"/>
  <c r="U998" i="3"/>
  <c r="AB998" i="3"/>
  <c r="U997" i="3"/>
  <c r="AB997" i="3"/>
  <c r="AB996" i="3"/>
  <c r="U996" i="3"/>
  <c r="U995" i="3"/>
  <c r="AB995" i="3"/>
  <c r="AB994" i="3"/>
  <c r="U994" i="3"/>
  <c r="AB993" i="3"/>
  <c r="U993" i="3"/>
  <c r="AB992" i="3"/>
  <c r="U992" i="3"/>
  <c r="AB991" i="3"/>
  <c r="U991" i="3"/>
  <c r="U990" i="3"/>
  <c r="AB990" i="3"/>
  <c r="U989" i="3"/>
  <c r="AB989" i="3"/>
  <c r="U988" i="3"/>
  <c r="AB988" i="3"/>
  <c r="AB987" i="3"/>
  <c r="U987" i="3"/>
  <c r="AB986" i="3"/>
  <c r="U986" i="3"/>
  <c r="AB985" i="3"/>
  <c r="U985" i="3"/>
  <c r="U984" i="3"/>
  <c r="AB984" i="3"/>
  <c r="AB983" i="3"/>
  <c r="U983" i="3"/>
  <c r="AB982" i="3"/>
  <c r="U982" i="3"/>
  <c r="AB981" i="3"/>
  <c r="U981" i="3"/>
  <c r="AB980" i="3"/>
  <c r="U980" i="3"/>
  <c r="U979" i="3"/>
  <c r="AB979" i="3"/>
  <c r="U978" i="3"/>
  <c r="AB978" i="3"/>
  <c r="U977" i="3"/>
  <c r="AB977" i="3"/>
  <c r="AB976" i="3"/>
  <c r="U976" i="3"/>
  <c r="U975" i="3"/>
  <c r="AB975" i="3"/>
  <c r="AB974" i="3"/>
  <c r="U974" i="3"/>
  <c r="AB973" i="3"/>
  <c r="U973" i="3"/>
  <c r="U972" i="3"/>
  <c r="AB972" i="3"/>
  <c r="AB971" i="3"/>
  <c r="U971" i="3"/>
  <c r="U970" i="3"/>
  <c r="AB970" i="3"/>
  <c r="AB969" i="3"/>
  <c r="U969" i="3"/>
  <c r="U968" i="3"/>
  <c r="AB968" i="3"/>
  <c r="AB967" i="3"/>
  <c r="U967" i="3"/>
  <c r="U966" i="3"/>
  <c r="AB966" i="3"/>
  <c r="AB965" i="3"/>
  <c r="U965" i="3"/>
  <c r="AB964" i="3"/>
  <c r="U964" i="3"/>
  <c r="AB963" i="3"/>
  <c r="U963" i="3"/>
  <c r="AB962" i="3"/>
  <c r="U962" i="3"/>
  <c r="U961" i="3"/>
  <c r="AB961" i="3"/>
  <c r="AB960" i="3"/>
  <c r="U960" i="3"/>
  <c r="AB959" i="3"/>
  <c r="U959" i="3"/>
  <c r="AB958" i="3"/>
  <c r="U958" i="3"/>
  <c r="AB957" i="3"/>
  <c r="U957" i="3"/>
  <c r="U956" i="3"/>
  <c r="AB956" i="3"/>
  <c r="U955" i="3"/>
  <c r="AB955" i="3"/>
  <c r="U954" i="3"/>
  <c r="AB954" i="3"/>
  <c r="AB953" i="3"/>
  <c r="U953" i="3"/>
  <c r="AB952" i="3"/>
  <c r="U952" i="3"/>
  <c r="AB951" i="3"/>
  <c r="U951" i="3"/>
  <c r="AB950" i="3"/>
  <c r="U950" i="3"/>
  <c r="AB949" i="3"/>
  <c r="U949" i="3"/>
  <c r="U948" i="3"/>
  <c r="AB948" i="3"/>
  <c r="AB947" i="3"/>
  <c r="U947" i="3"/>
  <c r="AB946" i="3"/>
  <c r="U946" i="3"/>
  <c r="U945" i="3"/>
  <c r="AB945" i="3"/>
  <c r="AB944" i="3"/>
  <c r="U944" i="3"/>
  <c r="AB943" i="3"/>
  <c r="U943" i="3"/>
  <c r="AB942" i="3"/>
  <c r="U942" i="3"/>
  <c r="U941" i="3"/>
  <c r="AB941" i="3"/>
  <c r="AB940" i="3"/>
  <c r="U940" i="3"/>
  <c r="AB939" i="3"/>
  <c r="U939" i="3"/>
  <c r="U938" i="3"/>
  <c r="AB938" i="3"/>
  <c r="U937" i="3"/>
  <c r="AB937" i="3"/>
  <c r="AB936" i="3"/>
  <c r="U936" i="3"/>
  <c r="U935" i="3"/>
  <c r="AB935" i="3"/>
  <c r="U934" i="3"/>
  <c r="AB934" i="3"/>
  <c r="AB933" i="3"/>
  <c r="U933" i="3"/>
  <c r="U932" i="3"/>
  <c r="AB932" i="3"/>
  <c r="U931" i="3"/>
  <c r="AB931" i="3"/>
  <c r="AB930" i="3"/>
  <c r="U930" i="3"/>
  <c r="AB929" i="3"/>
  <c r="U929" i="3"/>
  <c r="AB928" i="3"/>
  <c r="U928" i="3"/>
  <c r="AB927" i="3"/>
  <c r="U927" i="3"/>
  <c r="AB926" i="3"/>
  <c r="U926" i="3"/>
  <c r="U925" i="3"/>
  <c r="AB925" i="3"/>
  <c r="U924" i="3"/>
  <c r="AB924" i="3"/>
  <c r="AB923" i="3"/>
  <c r="U923" i="3"/>
  <c r="AB922" i="3"/>
  <c r="U922" i="3"/>
  <c r="U921" i="3"/>
  <c r="AB921" i="3"/>
  <c r="AB920" i="3"/>
  <c r="U920" i="3"/>
  <c r="U919" i="3"/>
  <c r="AB919" i="3"/>
  <c r="AB918" i="3"/>
  <c r="U918" i="3"/>
  <c r="AB917" i="3"/>
  <c r="U917" i="3"/>
  <c r="AB916" i="3"/>
  <c r="U916" i="3"/>
  <c r="U915" i="3"/>
  <c r="AB915" i="3"/>
  <c r="AB914" i="3"/>
  <c r="U914" i="3"/>
  <c r="U913" i="3"/>
  <c r="AB913" i="3"/>
  <c r="U912" i="3"/>
  <c r="AB912" i="3"/>
  <c r="U911" i="3"/>
  <c r="AB911" i="3"/>
  <c r="U910" i="3"/>
  <c r="AB910" i="3"/>
  <c r="U909" i="3"/>
  <c r="AB909" i="3"/>
  <c r="AB908" i="3"/>
  <c r="U908" i="3"/>
  <c r="U907" i="3"/>
  <c r="AB907" i="3"/>
  <c r="AB906" i="3"/>
  <c r="U906" i="3"/>
  <c r="U905" i="3"/>
  <c r="AB905" i="3"/>
  <c r="AB904" i="3"/>
  <c r="U904" i="3"/>
  <c r="U903" i="3"/>
  <c r="AB903" i="3"/>
  <c r="AB902" i="3"/>
  <c r="U902" i="3"/>
  <c r="AB901" i="3"/>
  <c r="U901" i="3"/>
  <c r="AB900" i="3"/>
  <c r="U900" i="3"/>
  <c r="AB899" i="3"/>
  <c r="U899" i="3"/>
  <c r="AB898" i="3"/>
  <c r="U898" i="3"/>
  <c r="U897" i="3"/>
  <c r="AB897" i="3"/>
  <c r="U896" i="3"/>
  <c r="AB896" i="3"/>
  <c r="U895" i="3"/>
  <c r="AB895" i="3"/>
  <c r="AB894" i="3"/>
  <c r="U894" i="3"/>
  <c r="U893" i="3"/>
  <c r="AB893" i="3"/>
  <c r="AB892" i="3"/>
  <c r="U892" i="3"/>
  <c r="U891" i="3"/>
  <c r="AB891" i="3"/>
  <c r="U890" i="3"/>
  <c r="AB890" i="3"/>
  <c r="U889" i="3"/>
  <c r="AB889" i="3"/>
  <c r="AB888" i="3"/>
  <c r="U888" i="3"/>
  <c r="AB887" i="3"/>
  <c r="U887" i="3"/>
  <c r="AB886" i="3"/>
  <c r="U886" i="3"/>
  <c r="U885" i="3"/>
  <c r="AB885" i="3"/>
  <c r="U884" i="3"/>
  <c r="AB884" i="3"/>
  <c r="U883" i="3"/>
  <c r="AB883" i="3"/>
  <c r="AB882" i="3"/>
  <c r="U882" i="3"/>
  <c r="AB881" i="3"/>
  <c r="U881" i="3"/>
  <c r="AB880" i="3"/>
  <c r="U880" i="3"/>
  <c r="U879" i="3"/>
  <c r="AB879" i="3"/>
  <c r="U878" i="3"/>
  <c r="AB878" i="3"/>
  <c r="AB877" i="3"/>
  <c r="U877" i="3"/>
  <c r="U876" i="3"/>
  <c r="AB876" i="3"/>
  <c r="U875" i="3"/>
  <c r="AB875" i="3"/>
  <c r="U874" i="3"/>
  <c r="AB874" i="3"/>
  <c r="AB873" i="3"/>
  <c r="U873" i="3"/>
  <c r="AB872" i="3"/>
  <c r="U872" i="3"/>
  <c r="AB871" i="3"/>
  <c r="U871" i="3"/>
  <c r="AB870" i="3"/>
  <c r="U870" i="3"/>
  <c r="AB869" i="3"/>
  <c r="U869" i="3"/>
  <c r="U868" i="3"/>
  <c r="AB868" i="3"/>
  <c r="U867" i="3"/>
  <c r="AB867" i="3"/>
  <c r="AB866" i="3"/>
  <c r="U866" i="3"/>
  <c r="AB865" i="3"/>
  <c r="U865" i="3"/>
  <c r="U864" i="3"/>
  <c r="AB864" i="3"/>
  <c r="AB863" i="3"/>
  <c r="U863" i="3"/>
  <c r="AB862" i="3"/>
  <c r="U862" i="3"/>
  <c r="AB861" i="3"/>
  <c r="U861" i="3"/>
  <c r="AB860" i="3"/>
  <c r="U860" i="3"/>
  <c r="AB859" i="3"/>
  <c r="U859" i="3"/>
  <c r="AB858" i="3"/>
  <c r="U858" i="3"/>
  <c r="U857" i="3"/>
  <c r="AB857" i="3"/>
  <c r="AB856" i="3"/>
  <c r="U856" i="3"/>
  <c r="AB855" i="3"/>
  <c r="U855" i="3"/>
  <c r="U854" i="3"/>
  <c r="AB854" i="3"/>
  <c r="AB853" i="3"/>
  <c r="U853" i="3"/>
  <c r="U852" i="3"/>
  <c r="AB852" i="3"/>
  <c r="AB851" i="3"/>
  <c r="U851" i="3"/>
  <c r="U850" i="3"/>
  <c r="AB850" i="3"/>
  <c r="U849" i="3"/>
  <c r="AB849" i="3"/>
  <c r="U848" i="3"/>
  <c r="AB848" i="3"/>
  <c r="U847" i="3"/>
  <c r="AB847" i="3"/>
  <c r="U846" i="3"/>
  <c r="AB846" i="3"/>
  <c r="U845" i="3"/>
  <c r="AB845" i="3"/>
  <c r="AB844" i="3"/>
  <c r="U844" i="3"/>
  <c r="U843" i="3"/>
  <c r="AB843" i="3"/>
  <c r="AB842" i="3"/>
  <c r="U842" i="3"/>
  <c r="AB841" i="3"/>
  <c r="U841" i="3"/>
  <c r="AB840" i="3"/>
  <c r="U840" i="3"/>
  <c r="AB839" i="3"/>
  <c r="U839" i="3"/>
  <c r="AB838" i="3"/>
  <c r="U838" i="3"/>
  <c r="U837" i="3"/>
  <c r="AB837" i="3"/>
  <c r="AB836" i="3"/>
  <c r="U836" i="3"/>
  <c r="U835" i="3"/>
  <c r="AB835" i="3"/>
  <c r="U834" i="3"/>
  <c r="AB834" i="3"/>
  <c r="U833" i="3"/>
  <c r="AB833" i="3"/>
  <c r="U832" i="3"/>
  <c r="AB832" i="3"/>
  <c r="U831" i="3"/>
  <c r="AB831" i="3"/>
  <c r="AB830" i="3"/>
  <c r="U830" i="3"/>
  <c r="U829" i="3"/>
  <c r="AB829" i="3"/>
  <c r="AB828" i="3"/>
  <c r="U828" i="3"/>
  <c r="AB827" i="3"/>
  <c r="U827" i="3"/>
  <c r="AB826" i="3"/>
  <c r="U826" i="3"/>
  <c r="AB825" i="3"/>
  <c r="U825" i="3"/>
  <c r="AB824" i="3"/>
  <c r="U824" i="3"/>
  <c r="AB823" i="3"/>
  <c r="U823" i="3"/>
  <c r="AB822" i="3"/>
  <c r="U822" i="3"/>
  <c r="AB821" i="3"/>
  <c r="U821" i="3"/>
  <c r="U820" i="3"/>
  <c r="AB820" i="3"/>
  <c r="AB819" i="3"/>
  <c r="U819" i="3"/>
  <c r="AB818" i="3"/>
  <c r="U818" i="3"/>
  <c r="AB817" i="3"/>
  <c r="U817" i="3"/>
  <c r="AB816" i="3"/>
  <c r="U816" i="3"/>
  <c r="AB815" i="3"/>
  <c r="U815" i="3"/>
  <c r="AB814" i="3"/>
  <c r="U814" i="3"/>
  <c r="AB813" i="3"/>
  <c r="U813" i="3"/>
  <c r="AB812" i="3"/>
  <c r="U812" i="3"/>
  <c r="U811" i="3"/>
  <c r="AB811" i="3"/>
  <c r="U810" i="3"/>
  <c r="AB810" i="3"/>
  <c r="AB809" i="3"/>
  <c r="U809" i="3"/>
  <c r="AB808" i="3"/>
  <c r="U808" i="3"/>
  <c r="U807" i="3"/>
  <c r="AB807" i="3"/>
  <c r="AB806" i="3"/>
  <c r="U806" i="3"/>
  <c r="U805" i="3"/>
  <c r="AB805" i="3"/>
  <c r="U804" i="3"/>
  <c r="AB804" i="3"/>
  <c r="AB803" i="3"/>
  <c r="U803" i="3"/>
  <c r="AB802" i="3"/>
  <c r="U802" i="3"/>
  <c r="AB801" i="3"/>
  <c r="U801" i="3"/>
  <c r="U800" i="3"/>
  <c r="AB800" i="3"/>
  <c r="U799" i="3"/>
  <c r="AB799" i="3"/>
  <c r="U798" i="3"/>
  <c r="AB798" i="3"/>
  <c r="AB797" i="3"/>
  <c r="U797" i="3"/>
  <c r="AB796" i="3"/>
  <c r="U796" i="3"/>
  <c r="U795" i="3"/>
  <c r="AB795" i="3"/>
  <c r="AB794" i="3"/>
  <c r="U794" i="3"/>
  <c r="U793" i="3"/>
  <c r="AB793" i="3"/>
  <c r="AB792" i="3"/>
  <c r="U792" i="3"/>
  <c r="AB791" i="3"/>
  <c r="U791" i="3"/>
  <c r="U790" i="3"/>
  <c r="AB790" i="3"/>
  <c r="U789" i="3"/>
  <c r="AB789" i="3"/>
  <c r="AB788" i="3"/>
  <c r="U788" i="3"/>
  <c r="AB787" i="3"/>
  <c r="U787" i="3"/>
  <c r="U786" i="3"/>
  <c r="AB786" i="3"/>
  <c r="AB785" i="3"/>
  <c r="U785" i="3"/>
  <c r="U784" i="3"/>
  <c r="AB784" i="3"/>
  <c r="U783" i="3"/>
  <c r="AB783" i="3"/>
  <c r="U782" i="3"/>
  <c r="AB782" i="3"/>
  <c r="U781" i="3"/>
  <c r="AB781" i="3"/>
  <c r="U780" i="3"/>
  <c r="AB780" i="3"/>
  <c r="AB779" i="3"/>
  <c r="U779" i="3"/>
  <c r="U778" i="3"/>
  <c r="AB778" i="3"/>
  <c r="AB777" i="3"/>
  <c r="U777" i="3"/>
  <c r="U776" i="3"/>
  <c r="AB776" i="3"/>
  <c r="AB775" i="3"/>
  <c r="U775" i="3"/>
  <c r="AB774" i="3"/>
  <c r="U774" i="3"/>
  <c r="AB773" i="3"/>
  <c r="U773" i="3"/>
  <c r="U772" i="3"/>
  <c r="AB772" i="3"/>
  <c r="AB771" i="3"/>
  <c r="U771" i="3"/>
  <c r="AB770" i="3"/>
  <c r="U770" i="3"/>
  <c r="AB769" i="3"/>
  <c r="U769" i="3"/>
  <c r="AB768" i="3"/>
  <c r="U768" i="3"/>
  <c r="AB767" i="3"/>
  <c r="U767" i="3"/>
  <c r="U766" i="3"/>
  <c r="AB766" i="3"/>
  <c r="AB765" i="3"/>
  <c r="U765" i="3"/>
  <c r="U764" i="3"/>
  <c r="AB764" i="3"/>
  <c r="U763" i="3"/>
  <c r="AB763" i="3"/>
  <c r="U762" i="3"/>
  <c r="AB762" i="3"/>
  <c r="U761" i="3"/>
  <c r="AB761" i="3"/>
  <c r="U760" i="3"/>
  <c r="AB760" i="3"/>
  <c r="AB759" i="3"/>
  <c r="U759" i="3"/>
  <c r="AB758" i="3"/>
  <c r="U758" i="3"/>
  <c r="U757" i="3"/>
  <c r="AB757" i="3"/>
  <c r="AB756" i="3"/>
  <c r="U756" i="3"/>
  <c r="U755" i="3"/>
  <c r="AB755" i="3"/>
  <c r="U754" i="3"/>
  <c r="AB754" i="3"/>
  <c r="U753" i="3"/>
  <c r="AB753" i="3"/>
  <c r="AB752" i="3"/>
  <c r="U752" i="3"/>
  <c r="AB751" i="3"/>
  <c r="U751" i="3"/>
  <c r="AB750" i="3"/>
  <c r="U750" i="3"/>
  <c r="AB749" i="3"/>
  <c r="U749" i="3"/>
  <c r="AB748" i="3"/>
  <c r="U748" i="3"/>
  <c r="AB747" i="3"/>
  <c r="U747" i="3"/>
  <c r="AB746" i="3"/>
  <c r="U746" i="3"/>
  <c r="AB745" i="3"/>
  <c r="U745" i="3"/>
  <c r="U744" i="3"/>
  <c r="AB744" i="3"/>
  <c r="AB743" i="3"/>
  <c r="U743" i="3"/>
  <c r="AB742" i="3"/>
  <c r="U742" i="3"/>
  <c r="AB741" i="3"/>
  <c r="U741" i="3"/>
  <c r="U740" i="3"/>
  <c r="AB740" i="3"/>
  <c r="AB739" i="3"/>
  <c r="U739" i="3"/>
  <c r="U738" i="3"/>
  <c r="AB738" i="3"/>
  <c r="U737" i="3"/>
  <c r="AB737" i="3"/>
  <c r="U736" i="3"/>
  <c r="AB736" i="3"/>
  <c r="U735" i="3"/>
  <c r="AB735" i="3"/>
  <c r="AB734" i="3"/>
  <c r="U734" i="3"/>
  <c r="AB733" i="3"/>
  <c r="U733" i="3"/>
  <c r="U732" i="3"/>
  <c r="AB732" i="3"/>
  <c r="AB731" i="3"/>
  <c r="U731" i="3"/>
  <c r="AB730" i="3"/>
  <c r="U730" i="3"/>
  <c r="AB729" i="3"/>
  <c r="U729" i="3"/>
  <c r="U728" i="3"/>
  <c r="AB728" i="3"/>
  <c r="AB727" i="3"/>
  <c r="U727" i="3"/>
  <c r="AB726" i="3"/>
  <c r="U726" i="3"/>
  <c r="U725" i="3"/>
  <c r="AB725" i="3"/>
  <c r="AB724" i="3"/>
  <c r="U724" i="3"/>
  <c r="AB723" i="3"/>
  <c r="U723" i="3"/>
  <c r="U722" i="3"/>
  <c r="AB722" i="3"/>
  <c r="U721" i="3"/>
  <c r="AB721" i="3"/>
  <c r="U720" i="3"/>
  <c r="AB720" i="3"/>
  <c r="U719" i="3"/>
  <c r="AB719" i="3"/>
  <c r="AB718" i="3"/>
  <c r="U718" i="3"/>
  <c r="U717" i="3"/>
  <c r="AB717" i="3"/>
  <c r="AB716" i="3"/>
  <c r="U716" i="3"/>
  <c r="AB715" i="3"/>
  <c r="U715" i="3"/>
  <c r="U714" i="3"/>
  <c r="AB714" i="3"/>
  <c r="AB713" i="3"/>
  <c r="U713" i="3"/>
  <c r="AB712" i="3"/>
  <c r="U712" i="3"/>
  <c r="U711" i="3"/>
  <c r="AB711" i="3"/>
  <c r="AB710" i="3"/>
  <c r="U710" i="3"/>
  <c r="U709" i="3"/>
  <c r="AB709" i="3"/>
  <c r="AB708" i="3"/>
  <c r="U708" i="3"/>
  <c r="AB707" i="3"/>
  <c r="U707" i="3"/>
  <c r="AB706" i="3"/>
  <c r="U706" i="3"/>
  <c r="AB705" i="3"/>
  <c r="U705" i="3"/>
  <c r="AB704" i="3"/>
  <c r="U704" i="3"/>
  <c r="U703" i="3"/>
  <c r="AB703" i="3"/>
  <c r="U702" i="3"/>
  <c r="AB702" i="3"/>
  <c r="U701" i="3"/>
  <c r="AB701" i="3"/>
  <c r="U700" i="3"/>
  <c r="AB700" i="3"/>
  <c r="AB699" i="3"/>
  <c r="U699" i="3"/>
  <c r="U698" i="3"/>
  <c r="AB698" i="3"/>
  <c r="U697" i="3"/>
  <c r="AB697" i="3"/>
  <c r="U696" i="3"/>
  <c r="AB696" i="3"/>
  <c r="AB695" i="3"/>
  <c r="U695" i="3"/>
  <c r="AB694" i="3"/>
  <c r="U694" i="3"/>
  <c r="AB693" i="3"/>
  <c r="U693" i="3"/>
  <c r="AB692" i="3"/>
  <c r="U692" i="3"/>
  <c r="AB691" i="3"/>
  <c r="U691" i="3"/>
  <c r="U690" i="3"/>
  <c r="AB690" i="3"/>
  <c r="U689" i="3"/>
  <c r="AB689" i="3"/>
  <c r="U688" i="3"/>
  <c r="AB688" i="3"/>
  <c r="U687" i="3"/>
  <c r="AB687" i="3"/>
  <c r="U686" i="3"/>
  <c r="AB686" i="3"/>
  <c r="U685" i="3"/>
  <c r="AB685" i="3"/>
  <c r="U684" i="3"/>
  <c r="AB684" i="3"/>
  <c r="AB683" i="3"/>
  <c r="U683" i="3"/>
  <c r="U682" i="3"/>
  <c r="AB682" i="3"/>
  <c r="U681" i="3"/>
  <c r="AB681" i="3"/>
  <c r="AB680" i="3"/>
  <c r="U680" i="3"/>
  <c r="AB679" i="3"/>
  <c r="U679" i="3"/>
  <c r="U678" i="3"/>
  <c r="AB678" i="3"/>
  <c r="U677" i="3"/>
  <c r="AB677" i="3"/>
  <c r="U676" i="3"/>
  <c r="AB676" i="3"/>
  <c r="AB675" i="3"/>
  <c r="U675" i="3"/>
  <c r="U674" i="3"/>
  <c r="AB674" i="3"/>
  <c r="U673" i="3"/>
  <c r="AB673" i="3"/>
  <c r="AB672" i="3"/>
  <c r="U672" i="3"/>
  <c r="U671" i="3"/>
  <c r="AB671" i="3"/>
  <c r="U670" i="3"/>
  <c r="AB670" i="3"/>
  <c r="U669" i="3"/>
  <c r="AB669" i="3"/>
  <c r="U668" i="3"/>
  <c r="AB668" i="3"/>
  <c r="U667" i="3"/>
  <c r="AB667" i="3"/>
  <c r="U666" i="3"/>
  <c r="AB666" i="3"/>
  <c r="AB665" i="3"/>
  <c r="U665" i="3"/>
  <c r="AB664" i="3"/>
  <c r="U664" i="3"/>
  <c r="U663" i="3"/>
  <c r="AB663" i="3"/>
  <c r="U662" i="3"/>
  <c r="AB662" i="3"/>
  <c r="AB661" i="3"/>
  <c r="U661" i="3"/>
  <c r="AB660" i="3"/>
  <c r="U660" i="3"/>
  <c r="AB659" i="3"/>
  <c r="U659" i="3"/>
  <c r="AB658" i="3"/>
  <c r="U658" i="3"/>
  <c r="AB657" i="3"/>
  <c r="U657" i="3"/>
  <c r="AB656" i="3"/>
  <c r="U656" i="3"/>
  <c r="U655" i="3"/>
  <c r="AB655" i="3"/>
  <c r="U654" i="3"/>
  <c r="AB654" i="3"/>
  <c r="AB653" i="3"/>
  <c r="U653" i="3"/>
  <c r="AB652" i="3"/>
  <c r="U652" i="3"/>
  <c r="AB651" i="3"/>
  <c r="U651" i="3"/>
  <c r="U650" i="3"/>
  <c r="AB650" i="3"/>
  <c r="AB649" i="3"/>
  <c r="U649" i="3"/>
  <c r="U648" i="3"/>
  <c r="AB648" i="3"/>
  <c r="U647" i="3"/>
  <c r="AB647" i="3"/>
  <c r="U646" i="3"/>
  <c r="AB646" i="3"/>
  <c r="AB645" i="3"/>
  <c r="U645" i="3"/>
  <c r="U644" i="3"/>
  <c r="AB644" i="3"/>
  <c r="AB643" i="3"/>
  <c r="U643" i="3"/>
  <c r="AB642" i="3"/>
  <c r="U642" i="3"/>
  <c r="U641" i="3"/>
  <c r="AB641" i="3"/>
  <c r="U640" i="3"/>
  <c r="AB640" i="3"/>
  <c r="U639" i="3"/>
  <c r="AB639" i="3"/>
  <c r="AB638" i="3"/>
  <c r="U638" i="3"/>
  <c r="U637" i="3"/>
  <c r="AB637" i="3"/>
  <c r="U636" i="3"/>
  <c r="AB636" i="3"/>
  <c r="U635" i="3"/>
  <c r="AB635" i="3"/>
  <c r="AB634" i="3"/>
  <c r="U634" i="3"/>
  <c r="U633" i="3"/>
  <c r="AB633" i="3"/>
  <c r="U632" i="3"/>
  <c r="AB632" i="3"/>
  <c r="AB631" i="3"/>
  <c r="U631" i="3"/>
  <c r="AB630" i="3"/>
  <c r="U630" i="3"/>
  <c r="AB629" i="3"/>
  <c r="U629" i="3"/>
  <c r="U628" i="3"/>
  <c r="AB628" i="3"/>
  <c r="U627" i="3"/>
  <c r="AB627" i="3"/>
  <c r="U626" i="3"/>
  <c r="AB626" i="3"/>
  <c r="U625" i="3"/>
  <c r="AB625" i="3"/>
  <c r="AB624" i="3"/>
  <c r="U624" i="3"/>
  <c r="AB623" i="3"/>
  <c r="U623" i="3"/>
  <c r="U622" i="3"/>
  <c r="AB622" i="3"/>
  <c r="AB621" i="3"/>
  <c r="U621" i="3"/>
  <c r="U620" i="3"/>
  <c r="AB620" i="3"/>
  <c r="AB619" i="3"/>
  <c r="U619" i="3"/>
  <c r="U618" i="3"/>
  <c r="AB618" i="3"/>
  <c r="AB617" i="3"/>
  <c r="U617" i="3"/>
  <c r="AB616" i="3"/>
  <c r="U616" i="3"/>
  <c r="AB615" i="3"/>
  <c r="U615" i="3"/>
  <c r="U614" i="3"/>
  <c r="AB614" i="3"/>
  <c r="U613" i="3"/>
  <c r="AB613" i="3"/>
  <c r="U612" i="3"/>
  <c r="AB612" i="3"/>
  <c r="AB611" i="3"/>
  <c r="U611" i="3"/>
  <c r="AB610" i="3"/>
  <c r="U610" i="3"/>
  <c r="U609" i="3"/>
  <c r="AB609" i="3"/>
  <c r="U608" i="3"/>
  <c r="AB608" i="3"/>
  <c r="AB607" i="3"/>
  <c r="U607" i="3"/>
  <c r="U606" i="3"/>
  <c r="AB606" i="3"/>
  <c r="AB605" i="3"/>
  <c r="U605" i="3"/>
  <c r="U604" i="3"/>
  <c r="AB604" i="3"/>
  <c r="AB603" i="3"/>
  <c r="U603" i="3"/>
  <c r="U602" i="3"/>
  <c r="AB602" i="3"/>
  <c r="U601" i="3"/>
  <c r="AB601" i="3"/>
  <c r="AB600" i="3"/>
  <c r="U600" i="3"/>
  <c r="U599" i="3"/>
  <c r="AB599" i="3"/>
  <c r="U598" i="3"/>
  <c r="AB598" i="3"/>
  <c r="U597" i="3"/>
  <c r="AB597" i="3"/>
  <c r="U596" i="3"/>
  <c r="AB596" i="3"/>
  <c r="AB595" i="3"/>
  <c r="U595" i="3"/>
  <c r="U594" i="3"/>
  <c r="AB594" i="3"/>
  <c r="AB593" i="3"/>
  <c r="U593" i="3"/>
  <c r="U592" i="3"/>
  <c r="AB592" i="3"/>
  <c r="AB591" i="3"/>
  <c r="U591" i="3"/>
  <c r="AB590" i="3"/>
  <c r="U590" i="3"/>
  <c r="AB589" i="3"/>
  <c r="U589" i="3"/>
  <c r="AB588" i="3"/>
  <c r="U588" i="3"/>
  <c r="AB587" i="3"/>
  <c r="U587" i="3"/>
  <c r="U586" i="3"/>
  <c r="AB586" i="3"/>
  <c r="U585" i="3"/>
  <c r="AB585" i="3"/>
  <c r="U584" i="3"/>
  <c r="AB584" i="3"/>
  <c r="AB583" i="3"/>
  <c r="U583" i="3"/>
  <c r="U582" i="3"/>
  <c r="AB582" i="3"/>
  <c r="U581" i="3"/>
  <c r="AB581" i="3"/>
  <c r="AB580" i="3"/>
  <c r="U580" i="3"/>
  <c r="AB579" i="3"/>
  <c r="U579" i="3"/>
  <c r="AB578" i="3"/>
  <c r="U578" i="3"/>
  <c r="AB577" i="3"/>
  <c r="U577" i="3"/>
  <c r="U576" i="3"/>
  <c r="AB576" i="3"/>
  <c r="AB575" i="3"/>
  <c r="U575" i="3"/>
  <c r="AB574" i="3"/>
  <c r="U574" i="3"/>
  <c r="U573" i="3"/>
  <c r="AB573" i="3"/>
  <c r="U572" i="3"/>
  <c r="AB572" i="3"/>
  <c r="AB571" i="3"/>
  <c r="U571" i="3"/>
  <c r="U570" i="3"/>
  <c r="AB570" i="3"/>
  <c r="U569" i="3"/>
  <c r="AB569" i="3"/>
  <c r="U568" i="3"/>
  <c r="AB568" i="3"/>
  <c r="U567" i="3"/>
  <c r="AB567" i="3"/>
  <c r="AB566" i="3"/>
  <c r="U566" i="3"/>
  <c r="AB565" i="3"/>
  <c r="U565" i="3"/>
  <c r="U564" i="3"/>
  <c r="AB564" i="3"/>
  <c r="AB563" i="3"/>
  <c r="U563" i="3"/>
  <c r="AB562" i="3"/>
  <c r="U562" i="3"/>
  <c r="U561" i="3"/>
  <c r="AB561" i="3"/>
  <c r="U560" i="3"/>
  <c r="AB560" i="3"/>
  <c r="AB559" i="3"/>
  <c r="U559" i="3"/>
  <c r="AB558" i="3"/>
  <c r="U558" i="3"/>
  <c r="AB557" i="3"/>
  <c r="U557" i="3"/>
  <c r="U556" i="3"/>
  <c r="AB556" i="3"/>
  <c r="U555" i="3"/>
  <c r="AB555" i="3"/>
  <c r="U554" i="3"/>
  <c r="AB554" i="3"/>
  <c r="AB553" i="3"/>
  <c r="U553" i="3"/>
  <c r="U552" i="3"/>
  <c r="AB552" i="3"/>
  <c r="U551" i="3"/>
  <c r="AB551" i="3"/>
  <c r="U550" i="3"/>
  <c r="AB550" i="3"/>
  <c r="AB549" i="3"/>
  <c r="U549" i="3"/>
  <c r="AB548" i="3"/>
  <c r="U548" i="3"/>
  <c r="AB547" i="3"/>
  <c r="U547" i="3"/>
  <c r="U546" i="3"/>
  <c r="AB546" i="3"/>
  <c r="AB544" i="3"/>
  <c r="U544" i="3"/>
  <c r="AB543" i="3"/>
  <c r="U543" i="3"/>
  <c r="U542" i="3"/>
  <c r="AB542" i="3"/>
  <c r="AB541" i="3"/>
  <c r="U541" i="3"/>
  <c r="AB540" i="3"/>
  <c r="U540" i="3"/>
  <c r="U539" i="3"/>
  <c r="AB539" i="3"/>
  <c r="U538" i="3"/>
  <c r="AB538" i="3"/>
  <c r="U537" i="3"/>
  <c r="AB537" i="3"/>
  <c r="AB536" i="3"/>
  <c r="U536" i="3"/>
  <c r="AB535" i="3"/>
  <c r="U535" i="3"/>
  <c r="AB534" i="3"/>
  <c r="U534" i="3"/>
  <c r="AB533" i="3"/>
  <c r="U533" i="3"/>
  <c r="U532" i="3"/>
  <c r="AB532" i="3"/>
  <c r="AB531" i="3"/>
  <c r="U531" i="3"/>
  <c r="U530" i="3"/>
  <c r="AB530" i="3"/>
  <c r="AB529" i="3"/>
  <c r="U529" i="3"/>
  <c r="AB528" i="3"/>
  <c r="U528" i="3"/>
  <c r="AB527" i="3"/>
  <c r="U527" i="3"/>
  <c r="U526" i="3"/>
  <c r="AB526" i="3"/>
  <c r="AB525" i="3"/>
  <c r="U525" i="3"/>
  <c r="AB524" i="3"/>
  <c r="U524" i="3"/>
  <c r="U523" i="3"/>
  <c r="AB523" i="3"/>
  <c r="AB522" i="3"/>
  <c r="U522" i="3"/>
  <c r="AB521" i="3"/>
  <c r="U521" i="3"/>
  <c r="AB520" i="3"/>
  <c r="U520" i="3"/>
  <c r="U519" i="3"/>
  <c r="AB519" i="3"/>
  <c r="AB518" i="3"/>
  <c r="U518" i="3"/>
  <c r="AB517" i="3"/>
  <c r="U517" i="3"/>
  <c r="AB516" i="3"/>
  <c r="U516" i="3"/>
  <c r="U515" i="3"/>
  <c r="AB515" i="3"/>
  <c r="AB514" i="3"/>
  <c r="U514" i="3"/>
  <c r="U513" i="3"/>
  <c r="AB513" i="3"/>
  <c r="AB512" i="3"/>
  <c r="U512" i="3"/>
  <c r="U511" i="3"/>
  <c r="AB511" i="3"/>
  <c r="AB510" i="3"/>
  <c r="U510" i="3"/>
  <c r="U509" i="3"/>
  <c r="AB509" i="3"/>
  <c r="AB508" i="3"/>
  <c r="U508" i="3"/>
  <c r="AB507" i="3"/>
  <c r="U507" i="3"/>
  <c r="AB506" i="3"/>
  <c r="U506" i="3"/>
  <c r="U505" i="3"/>
  <c r="AB505" i="3"/>
  <c r="U504" i="3"/>
  <c r="AB504" i="3"/>
  <c r="U503" i="3"/>
  <c r="AB503" i="3"/>
  <c r="AB502" i="3"/>
  <c r="U502" i="3"/>
  <c r="U501" i="3"/>
  <c r="AB501" i="3"/>
  <c r="U500" i="3"/>
  <c r="AB500" i="3"/>
  <c r="AB499" i="3"/>
  <c r="U499" i="3"/>
  <c r="AB498" i="3"/>
  <c r="U498" i="3"/>
  <c r="AB497" i="3"/>
  <c r="U497" i="3"/>
  <c r="AB496" i="3"/>
  <c r="U496" i="3"/>
  <c r="U495" i="3"/>
  <c r="AB495" i="3"/>
  <c r="U494" i="3"/>
  <c r="AB494" i="3"/>
  <c r="AB493" i="3"/>
  <c r="U493" i="3"/>
  <c r="AB492" i="3"/>
  <c r="U492" i="3"/>
  <c r="AB491" i="3"/>
  <c r="U491" i="3"/>
  <c r="U490" i="3"/>
  <c r="AB490" i="3"/>
  <c r="AB489" i="3"/>
  <c r="U489" i="3"/>
  <c r="U488" i="3"/>
  <c r="AB488" i="3"/>
  <c r="AB487" i="3"/>
  <c r="U487" i="3"/>
  <c r="AB486" i="3"/>
  <c r="U486" i="3"/>
  <c r="U485" i="3"/>
  <c r="AB485" i="3"/>
  <c r="U484" i="3"/>
  <c r="AB484" i="3"/>
  <c r="AB483" i="3"/>
  <c r="U483" i="3"/>
  <c r="U482" i="3"/>
  <c r="AB482" i="3"/>
  <c r="AB481" i="3"/>
  <c r="U481" i="3"/>
  <c r="AB480" i="3"/>
  <c r="U480" i="3"/>
  <c r="AB479" i="3"/>
  <c r="U479" i="3"/>
  <c r="U478" i="3"/>
  <c r="AB478" i="3"/>
  <c r="AB477" i="3"/>
  <c r="U477" i="3"/>
  <c r="U476" i="3"/>
  <c r="AB476" i="3"/>
  <c r="U475" i="3"/>
  <c r="AB475" i="3"/>
  <c r="U474" i="3"/>
  <c r="AB474" i="3"/>
  <c r="AB473" i="3"/>
  <c r="U473" i="3"/>
  <c r="U472" i="3"/>
  <c r="AB472" i="3"/>
  <c r="AB471" i="3"/>
  <c r="U471" i="3"/>
  <c r="U470" i="3"/>
  <c r="AB470" i="3"/>
  <c r="AB469" i="3"/>
  <c r="U469" i="3"/>
  <c r="AB468" i="3"/>
  <c r="U468" i="3"/>
  <c r="U467" i="3"/>
  <c r="AB467" i="3"/>
  <c r="U466" i="3"/>
  <c r="AB466" i="3"/>
  <c r="U465" i="3"/>
  <c r="AB465" i="3"/>
  <c r="U464" i="3"/>
  <c r="AB464" i="3"/>
  <c r="AB463" i="3"/>
  <c r="U463" i="3"/>
  <c r="U462" i="3"/>
  <c r="AB462" i="3"/>
  <c r="AB461" i="3"/>
  <c r="U461" i="3"/>
  <c r="AB460" i="3"/>
  <c r="U460" i="3"/>
  <c r="AB459" i="3"/>
  <c r="U459" i="3"/>
  <c r="AB458" i="3"/>
  <c r="U458" i="3"/>
  <c r="U457" i="3"/>
  <c r="AB457" i="3"/>
  <c r="AB456" i="3"/>
  <c r="U456" i="3"/>
  <c r="AB455" i="3"/>
  <c r="U455" i="3"/>
  <c r="U454" i="3"/>
  <c r="AB454" i="3"/>
  <c r="U453" i="3"/>
  <c r="AB453" i="3"/>
  <c r="AB452" i="3"/>
  <c r="U452" i="3"/>
  <c r="AB451" i="3"/>
  <c r="U451" i="3"/>
  <c r="AB450" i="3"/>
  <c r="U450" i="3"/>
  <c r="U449" i="3"/>
  <c r="AB449" i="3"/>
  <c r="AB448" i="3"/>
  <c r="U448" i="3"/>
  <c r="U447" i="3"/>
  <c r="AB447" i="3"/>
  <c r="U446" i="3"/>
  <c r="AB446" i="3"/>
  <c r="AB445" i="3"/>
  <c r="U445" i="3"/>
  <c r="AB444" i="3"/>
  <c r="U444" i="3"/>
  <c r="U443" i="3"/>
  <c r="AB443" i="3"/>
  <c r="U442" i="3"/>
  <c r="AB442" i="3"/>
  <c r="U441" i="3"/>
  <c r="AB441" i="3"/>
  <c r="AB440" i="3"/>
  <c r="U440" i="3"/>
  <c r="AB439" i="3"/>
  <c r="U439" i="3"/>
  <c r="AB438" i="3"/>
  <c r="U438" i="3"/>
  <c r="U437" i="3"/>
  <c r="AB437" i="3"/>
  <c r="AB436" i="3"/>
  <c r="U436" i="3"/>
  <c r="U435" i="3"/>
  <c r="AB435" i="3"/>
  <c r="AB434" i="3"/>
  <c r="U434" i="3"/>
  <c r="AB433" i="3"/>
  <c r="U433" i="3"/>
  <c r="AB432" i="3"/>
  <c r="U432" i="3"/>
  <c r="U431" i="3"/>
  <c r="AB431" i="3"/>
  <c r="AB430" i="3"/>
  <c r="U430" i="3"/>
  <c r="AB429" i="3"/>
  <c r="U429" i="3"/>
  <c r="AB428" i="3"/>
  <c r="U428" i="3"/>
  <c r="U427" i="3"/>
  <c r="AB427" i="3"/>
  <c r="AB426" i="3"/>
  <c r="U426" i="3"/>
  <c r="AB425" i="3"/>
  <c r="U425" i="3"/>
  <c r="AB424" i="3"/>
  <c r="U424" i="3"/>
  <c r="AB423" i="3"/>
  <c r="U423" i="3"/>
  <c r="AB422" i="3"/>
  <c r="U422" i="3"/>
  <c r="U421" i="3"/>
  <c r="AB421" i="3"/>
  <c r="U420" i="3"/>
  <c r="AB420" i="3"/>
  <c r="U419" i="3"/>
  <c r="AB419" i="3"/>
  <c r="AB418" i="3"/>
  <c r="U418" i="3"/>
  <c r="U417" i="3"/>
  <c r="AB417" i="3"/>
  <c r="AB416" i="3"/>
  <c r="U416" i="3"/>
  <c r="AB415" i="3"/>
  <c r="U415" i="3"/>
  <c r="U414" i="3"/>
  <c r="AB414" i="3"/>
  <c r="AB413" i="3"/>
  <c r="U413" i="3"/>
  <c r="U412" i="3"/>
  <c r="AB412" i="3"/>
  <c r="U411" i="3"/>
  <c r="AB411" i="3"/>
  <c r="U410" i="3"/>
  <c r="AB410" i="3"/>
  <c r="AB409" i="3"/>
  <c r="U409" i="3"/>
  <c r="AB408" i="3"/>
  <c r="U408" i="3"/>
  <c r="AB407" i="3"/>
  <c r="U407" i="3"/>
  <c r="U406" i="3"/>
  <c r="AB406" i="3"/>
  <c r="U405" i="3"/>
  <c r="AB405" i="3"/>
  <c r="U404" i="3"/>
  <c r="AB404" i="3"/>
  <c r="AB403" i="3"/>
  <c r="U403" i="3"/>
  <c r="U402" i="3"/>
  <c r="AB402" i="3"/>
  <c r="AB401" i="3"/>
  <c r="U401" i="3"/>
  <c r="AB400" i="3"/>
  <c r="U400" i="3"/>
  <c r="AB399" i="3"/>
  <c r="U399" i="3"/>
  <c r="AB398" i="3"/>
  <c r="U398" i="3"/>
  <c r="AB397" i="3"/>
  <c r="U397" i="3"/>
  <c r="AB396" i="3"/>
  <c r="U396" i="3"/>
  <c r="AB395" i="3"/>
  <c r="U395" i="3"/>
  <c r="U394" i="3"/>
  <c r="AB394" i="3"/>
  <c r="U393" i="3"/>
  <c r="AB393" i="3"/>
  <c r="U392" i="3"/>
  <c r="AB392" i="3"/>
  <c r="AB391" i="3"/>
  <c r="U391" i="3"/>
  <c r="AB390" i="3"/>
  <c r="U390" i="3"/>
  <c r="AB389" i="3"/>
  <c r="U389" i="3"/>
  <c r="U388" i="3"/>
  <c r="AB388" i="3"/>
  <c r="AB387" i="3"/>
  <c r="U387" i="3"/>
  <c r="AB386" i="3"/>
  <c r="U386" i="3"/>
  <c r="U385" i="3"/>
  <c r="AB385" i="3"/>
  <c r="AB384" i="3"/>
  <c r="U384" i="3"/>
  <c r="AB383" i="3"/>
  <c r="U383" i="3"/>
  <c r="AB382" i="3"/>
  <c r="U382" i="3"/>
  <c r="AB381" i="3"/>
  <c r="U381" i="3"/>
  <c r="AB380" i="3"/>
  <c r="U380" i="3"/>
  <c r="U379" i="3"/>
  <c r="AB379" i="3"/>
  <c r="U378" i="3"/>
  <c r="AB378" i="3"/>
  <c r="AB377" i="3"/>
  <c r="U377" i="3"/>
  <c r="AB376" i="3"/>
  <c r="U376" i="3"/>
  <c r="U375" i="3"/>
  <c r="AB375" i="3"/>
  <c r="AB374" i="3"/>
  <c r="U374" i="3"/>
  <c r="U373" i="3"/>
  <c r="AB373" i="3"/>
  <c r="AB372" i="3"/>
  <c r="U372" i="3"/>
  <c r="U371" i="3"/>
  <c r="AB371" i="3"/>
  <c r="U370" i="3"/>
  <c r="AB370" i="3"/>
  <c r="AB369" i="3"/>
  <c r="U369" i="3"/>
  <c r="U368" i="3"/>
  <c r="AB368" i="3"/>
  <c r="AB367" i="3"/>
  <c r="U367" i="3"/>
  <c r="AB366" i="3"/>
  <c r="U366" i="3"/>
  <c r="U365" i="3"/>
  <c r="AB365" i="3"/>
  <c r="U364" i="3"/>
  <c r="AB364" i="3"/>
  <c r="AB363" i="3"/>
  <c r="U363" i="3"/>
  <c r="U362" i="3"/>
  <c r="AB362" i="3"/>
  <c r="AB361" i="3"/>
  <c r="U361" i="3"/>
  <c r="U360" i="3"/>
  <c r="AB360" i="3"/>
  <c r="AB359" i="3"/>
  <c r="U359" i="3"/>
  <c r="U358" i="3"/>
  <c r="AB358" i="3"/>
  <c r="U357" i="3"/>
  <c r="AB357" i="3"/>
  <c r="U356" i="3"/>
  <c r="AB356" i="3"/>
  <c r="AB355" i="3"/>
  <c r="U355" i="3"/>
  <c r="AB354" i="3"/>
  <c r="U354" i="3"/>
  <c r="AB353" i="3"/>
  <c r="U353" i="3"/>
  <c r="AB352" i="3"/>
  <c r="U352" i="3"/>
  <c r="U351" i="3"/>
  <c r="AB351" i="3"/>
  <c r="U350" i="3"/>
  <c r="AB350" i="3"/>
  <c r="AB349" i="3"/>
  <c r="U349" i="3"/>
  <c r="AB348" i="3"/>
  <c r="U348" i="3"/>
  <c r="AB347" i="3"/>
  <c r="U347" i="3"/>
  <c r="U346" i="3"/>
  <c r="AB346" i="3"/>
  <c r="U345" i="3"/>
  <c r="AB345" i="3"/>
  <c r="AB344" i="3"/>
  <c r="U344" i="3"/>
  <c r="U343" i="3"/>
  <c r="AB343" i="3"/>
  <c r="AB342" i="3"/>
  <c r="U342" i="3"/>
  <c r="U341" i="3"/>
  <c r="AB341" i="3"/>
  <c r="AB340" i="3"/>
  <c r="U340" i="3"/>
  <c r="AB339" i="3"/>
  <c r="U339" i="3"/>
  <c r="U338" i="3"/>
  <c r="AB338" i="3"/>
  <c r="U337" i="3"/>
  <c r="AB337" i="3"/>
  <c r="U336" i="3"/>
  <c r="AB336" i="3"/>
  <c r="AB335" i="3"/>
  <c r="U335" i="3"/>
  <c r="U334" i="3"/>
  <c r="AB334" i="3"/>
  <c r="AB333" i="3"/>
  <c r="U333" i="3"/>
  <c r="AB332" i="3"/>
  <c r="U332" i="3"/>
  <c r="U331" i="3"/>
  <c r="AB331" i="3"/>
  <c r="U330" i="3"/>
  <c r="AB330" i="3"/>
  <c r="AB329" i="3"/>
  <c r="U329" i="3"/>
  <c r="U328" i="3"/>
  <c r="AB328" i="3"/>
  <c r="U327" i="3"/>
  <c r="AB327" i="3"/>
  <c r="U326" i="3"/>
  <c r="AB326" i="3"/>
  <c r="U325" i="3"/>
  <c r="AB325" i="3"/>
  <c r="U324" i="3"/>
  <c r="AB324" i="3"/>
  <c r="U323" i="3"/>
  <c r="AB323" i="3"/>
  <c r="U322" i="3"/>
  <c r="AB322" i="3"/>
  <c r="AB321" i="3"/>
  <c r="U321" i="3"/>
  <c r="U320" i="3"/>
  <c r="AB320" i="3"/>
  <c r="U319" i="3"/>
  <c r="AB319" i="3"/>
  <c r="U318" i="3"/>
  <c r="AB318" i="3"/>
  <c r="U317" i="3"/>
  <c r="AB317" i="3"/>
  <c r="U316" i="3"/>
  <c r="AB316" i="3"/>
  <c r="AB315" i="3"/>
  <c r="U315" i="3"/>
  <c r="AB314" i="3"/>
  <c r="U314" i="3"/>
  <c r="U313" i="3"/>
  <c r="AB313" i="3"/>
  <c r="U312" i="3"/>
  <c r="AB312" i="3"/>
  <c r="U311" i="3"/>
  <c r="AB311" i="3"/>
  <c r="U310" i="3"/>
  <c r="AB310" i="3"/>
  <c r="AB309" i="3"/>
  <c r="U309" i="3"/>
  <c r="AB308" i="3"/>
  <c r="U308" i="3"/>
  <c r="U307" i="3"/>
  <c r="AB307" i="3"/>
  <c r="AB306" i="3"/>
  <c r="U306" i="3"/>
  <c r="AB305" i="3"/>
  <c r="U305" i="3"/>
  <c r="AB304" i="3"/>
  <c r="U304" i="3"/>
  <c r="U303" i="3"/>
  <c r="AB303" i="3"/>
  <c r="AB302" i="3"/>
  <c r="U302" i="3"/>
  <c r="AB301" i="3"/>
  <c r="U301" i="3"/>
  <c r="AB300" i="3"/>
  <c r="U300" i="3"/>
  <c r="AB299" i="3"/>
  <c r="U299" i="3"/>
  <c r="U298" i="3"/>
  <c r="AB298" i="3"/>
  <c r="U297" i="3"/>
  <c r="AB297" i="3"/>
  <c r="U296" i="3"/>
  <c r="AB296" i="3"/>
  <c r="U295" i="3"/>
  <c r="AB295" i="3"/>
  <c r="U294" i="3"/>
  <c r="AB294" i="3"/>
  <c r="U293" i="3"/>
  <c r="AB293" i="3"/>
  <c r="U292" i="3"/>
  <c r="AB292" i="3"/>
  <c r="AB291" i="3"/>
  <c r="U291" i="3"/>
  <c r="U290" i="3"/>
  <c r="AB290" i="3"/>
  <c r="U289" i="3"/>
  <c r="AB289" i="3"/>
  <c r="U288" i="3"/>
  <c r="AB288" i="3"/>
  <c r="U287" i="3"/>
  <c r="AB287" i="3"/>
  <c r="AB286" i="3"/>
  <c r="U286" i="3"/>
  <c r="AB285" i="3"/>
  <c r="U285" i="3"/>
  <c r="AB284" i="3"/>
  <c r="U284" i="3"/>
  <c r="U283" i="3"/>
  <c r="AB283" i="3"/>
  <c r="U282" i="3"/>
  <c r="AB282" i="3"/>
  <c r="U281" i="3"/>
  <c r="AB281" i="3"/>
  <c r="AB280" i="3"/>
  <c r="U280" i="3"/>
  <c r="AB279" i="3"/>
  <c r="U279" i="3"/>
  <c r="AB278" i="3"/>
  <c r="U278" i="3"/>
  <c r="U277" i="3"/>
  <c r="AB277" i="3"/>
  <c r="AB276" i="3"/>
  <c r="U276" i="3"/>
  <c r="U275" i="3"/>
  <c r="AB275" i="3"/>
  <c r="U274" i="3"/>
  <c r="AB274" i="3"/>
  <c r="AB273" i="3"/>
  <c r="U273" i="3"/>
  <c r="U272" i="3"/>
  <c r="AB272" i="3"/>
  <c r="U271" i="3"/>
  <c r="AB271" i="3"/>
  <c r="U270" i="3"/>
  <c r="AB270" i="3"/>
  <c r="U269" i="3"/>
  <c r="AB269" i="3"/>
  <c r="U268" i="3"/>
  <c r="AB268" i="3"/>
  <c r="U267" i="3"/>
  <c r="AB267" i="3"/>
  <c r="AB266" i="3"/>
  <c r="U266" i="3"/>
  <c r="U265" i="3"/>
  <c r="AB265" i="3"/>
  <c r="AB264" i="3"/>
  <c r="U264" i="3"/>
  <c r="AB263" i="3"/>
  <c r="U263" i="3"/>
  <c r="AB262" i="3"/>
  <c r="U262" i="3"/>
  <c r="AB261" i="3"/>
  <c r="U261" i="3"/>
  <c r="AB260" i="3"/>
  <c r="U260" i="3"/>
  <c r="AB259" i="3"/>
  <c r="U259" i="3"/>
  <c r="AB258" i="3"/>
  <c r="U258" i="3"/>
  <c r="AB257" i="3"/>
  <c r="U257" i="3"/>
  <c r="U256" i="3"/>
  <c r="AB256" i="3"/>
  <c r="U255" i="3"/>
  <c r="AB255" i="3"/>
  <c r="U254" i="3"/>
  <c r="AB254" i="3"/>
  <c r="AB253" i="3"/>
  <c r="U253" i="3"/>
  <c r="AB252" i="3"/>
  <c r="U252" i="3"/>
  <c r="U251" i="3"/>
  <c r="AB251" i="3"/>
  <c r="U250" i="3"/>
  <c r="AB250" i="3"/>
  <c r="AB249" i="3"/>
  <c r="U249" i="3"/>
  <c r="AB248" i="3"/>
  <c r="U248" i="3"/>
  <c r="U247" i="3"/>
  <c r="AB247" i="3"/>
  <c r="AB246" i="3"/>
  <c r="U246" i="3"/>
  <c r="U245" i="3"/>
  <c r="AB245" i="3"/>
  <c r="U244" i="3"/>
  <c r="AB244" i="3"/>
  <c r="U243" i="3"/>
  <c r="AB243" i="3"/>
  <c r="U242" i="3"/>
  <c r="AB242" i="3"/>
  <c r="AB241" i="3"/>
  <c r="U241" i="3"/>
  <c r="U240" i="3"/>
  <c r="AB240" i="3"/>
  <c r="AB239" i="3"/>
  <c r="U239" i="3"/>
  <c r="AB238" i="3"/>
  <c r="U238" i="3"/>
  <c r="AB237" i="3"/>
  <c r="U237" i="3"/>
  <c r="U236" i="3"/>
  <c r="AB236" i="3"/>
  <c r="U235" i="3"/>
  <c r="AB235" i="3"/>
  <c r="U234" i="3"/>
  <c r="AB234" i="3"/>
  <c r="AB233" i="3"/>
  <c r="U233" i="3"/>
  <c r="U232" i="3"/>
  <c r="AB232" i="3"/>
  <c r="U231" i="3"/>
  <c r="AB231" i="3"/>
  <c r="U230" i="3"/>
  <c r="AB230" i="3"/>
  <c r="U229" i="3"/>
  <c r="AB229" i="3"/>
  <c r="AB228" i="3"/>
  <c r="U228" i="3"/>
  <c r="U227" i="3"/>
  <c r="AB227" i="3"/>
  <c r="U226" i="3"/>
  <c r="AB226" i="3"/>
  <c r="AB225" i="3"/>
  <c r="U225" i="3"/>
  <c r="AB224" i="3"/>
  <c r="U224" i="3"/>
  <c r="U223" i="3"/>
  <c r="AB223" i="3"/>
  <c r="AB222" i="3"/>
  <c r="U222" i="3"/>
  <c r="U221" i="3"/>
  <c r="AB221" i="3"/>
  <c r="AB220" i="3"/>
  <c r="U220" i="3"/>
  <c r="U219" i="3"/>
  <c r="AB219" i="3"/>
  <c r="U218" i="3"/>
  <c r="AB218" i="3"/>
  <c r="AB217" i="3"/>
  <c r="U217" i="3"/>
  <c r="U216" i="3"/>
  <c r="AB216" i="3"/>
  <c r="U215" i="3"/>
  <c r="AB215" i="3"/>
  <c r="AB214" i="3"/>
  <c r="U214" i="3"/>
  <c r="U213" i="3"/>
  <c r="AB213" i="3"/>
  <c r="AB212" i="3"/>
  <c r="U212" i="3"/>
  <c r="U211" i="3"/>
  <c r="AB211" i="3"/>
  <c r="U210" i="3"/>
  <c r="AB210" i="3"/>
  <c r="AB209" i="3"/>
  <c r="U209" i="3"/>
  <c r="AB208" i="3"/>
  <c r="U208" i="3"/>
  <c r="AB207" i="3"/>
  <c r="U207" i="3"/>
  <c r="U206" i="3"/>
  <c r="AB206" i="3"/>
  <c r="U205" i="3"/>
  <c r="AB205" i="3"/>
  <c r="U204" i="3"/>
  <c r="AB204" i="3"/>
  <c r="AB203" i="3"/>
  <c r="U203" i="3"/>
  <c r="AB202" i="3"/>
  <c r="U202" i="3"/>
  <c r="U201" i="3"/>
  <c r="AB201" i="3"/>
  <c r="U200" i="3"/>
  <c r="AB200" i="3"/>
  <c r="U199" i="3"/>
  <c r="AB199" i="3"/>
  <c r="U198" i="3"/>
  <c r="AB198" i="3"/>
  <c r="U197" i="3"/>
  <c r="AB197" i="3"/>
  <c r="U196" i="3"/>
  <c r="AB196" i="3"/>
  <c r="U195" i="3"/>
  <c r="AB195" i="3"/>
  <c r="U194" i="3"/>
  <c r="AB194" i="3"/>
  <c r="U193" i="3"/>
  <c r="AB193" i="3"/>
  <c r="U192" i="3"/>
  <c r="AB192" i="3"/>
  <c r="U191" i="3"/>
  <c r="AB191" i="3"/>
  <c r="U190" i="3"/>
  <c r="AB190" i="3"/>
  <c r="AB189" i="3"/>
  <c r="U189" i="3"/>
  <c r="AB188" i="3"/>
  <c r="U188" i="3"/>
  <c r="AB187" i="3"/>
  <c r="U187" i="3"/>
  <c r="AB186" i="3"/>
  <c r="U186" i="3"/>
  <c r="AB185" i="3"/>
  <c r="U185" i="3"/>
  <c r="AB184" i="3"/>
  <c r="U184" i="3"/>
  <c r="U183" i="3"/>
  <c r="AB183" i="3"/>
  <c r="U182" i="3"/>
  <c r="AB182" i="3"/>
  <c r="U181" i="3"/>
  <c r="AB181" i="3"/>
  <c r="U180" i="3"/>
  <c r="AB180" i="3"/>
  <c r="U179" i="3"/>
  <c r="AB179" i="3"/>
  <c r="U178" i="3"/>
  <c r="AB178" i="3"/>
  <c r="AB177" i="3"/>
  <c r="U177" i="3"/>
  <c r="AB176" i="3"/>
  <c r="U176" i="3"/>
  <c r="AB175" i="3"/>
  <c r="U175" i="3"/>
  <c r="AB174" i="3"/>
  <c r="U174" i="3"/>
  <c r="AB173" i="3"/>
  <c r="U173" i="3"/>
  <c r="U172" i="3"/>
  <c r="AB172" i="3"/>
  <c r="U171" i="3"/>
  <c r="AB171" i="3"/>
  <c r="U170" i="3"/>
  <c r="AB170" i="3"/>
  <c r="AB169" i="3"/>
  <c r="U169" i="3"/>
  <c r="U168" i="3"/>
  <c r="AB168" i="3"/>
  <c r="AB167" i="3"/>
  <c r="U167" i="3"/>
  <c r="U166" i="3"/>
  <c r="AB166" i="3"/>
  <c r="U165" i="3"/>
  <c r="AB165" i="3"/>
  <c r="U164" i="3"/>
  <c r="AB164" i="3"/>
  <c r="U163" i="3"/>
  <c r="AB163" i="3"/>
  <c r="U162" i="3"/>
  <c r="AB162" i="3"/>
  <c r="AB161" i="3"/>
  <c r="U161" i="3"/>
  <c r="AB160" i="3"/>
  <c r="U160" i="3"/>
  <c r="AB159" i="3"/>
  <c r="U159" i="3"/>
  <c r="AB158" i="3"/>
  <c r="U158" i="3"/>
  <c r="U157" i="3"/>
  <c r="AB157" i="3"/>
  <c r="AB156" i="3"/>
  <c r="U156" i="3"/>
  <c r="U155" i="3"/>
  <c r="AB155" i="3"/>
  <c r="AB154" i="3"/>
  <c r="U154" i="3"/>
  <c r="AB153" i="3"/>
  <c r="U153" i="3"/>
  <c r="U152" i="3"/>
  <c r="AB152" i="3"/>
  <c r="AB151" i="3"/>
  <c r="U151" i="3"/>
  <c r="AB150" i="3"/>
  <c r="U150" i="3"/>
  <c r="AB149" i="3"/>
  <c r="U149" i="3"/>
  <c r="U148" i="3"/>
  <c r="AB148" i="3"/>
  <c r="U147" i="3"/>
  <c r="AB147" i="3"/>
  <c r="AB146" i="3"/>
  <c r="U146" i="3"/>
  <c r="AB145" i="3"/>
  <c r="U145" i="3"/>
  <c r="AB144" i="3"/>
  <c r="U144" i="3"/>
  <c r="AB143" i="3"/>
  <c r="U143" i="3"/>
  <c r="AB142" i="3"/>
  <c r="U142" i="3"/>
  <c r="U141" i="3"/>
  <c r="AB141" i="3"/>
  <c r="U140" i="3"/>
  <c r="AB140" i="3"/>
  <c r="AB139" i="3"/>
  <c r="U139" i="3"/>
  <c r="AB138" i="3"/>
  <c r="U138" i="3"/>
  <c r="U137" i="3"/>
  <c r="AB137" i="3"/>
  <c r="AB136" i="3"/>
  <c r="U136" i="3"/>
  <c r="AB135" i="3"/>
  <c r="U135" i="3"/>
  <c r="U134" i="3"/>
  <c r="AB134" i="3"/>
  <c r="AB133" i="3"/>
  <c r="U133" i="3"/>
  <c r="U132" i="3"/>
  <c r="AB132" i="3"/>
  <c r="U131" i="3"/>
  <c r="AB131" i="3"/>
  <c r="U130" i="3"/>
  <c r="AB130" i="3"/>
  <c r="U129" i="3"/>
  <c r="AB129" i="3"/>
  <c r="U128" i="3"/>
  <c r="AB128" i="3"/>
  <c r="AB127" i="3"/>
  <c r="U127" i="3"/>
  <c r="AB126" i="3"/>
  <c r="U126" i="3"/>
  <c r="U125" i="3"/>
  <c r="AB125" i="3"/>
  <c r="AB124" i="3"/>
  <c r="U124" i="3"/>
  <c r="U123" i="3"/>
  <c r="AB123" i="3"/>
  <c r="U122" i="3"/>
  <c r="AB122" i="3"/>
  <c r="AB121" i="3"/>
  <c r="U121" i="3"/>
  <c r="U120" i="3"/>
  <c r="AB120" i="3"/>
  <c r="U119" i="3"/>
  <c r="AB119" i="3"/>
  <c r="AB118" i="3"/>
  <c r="U118" i="3"/>
  <c r="AB117" i="3"/>
  <c r="U117" i="3"/>
  <c r="AB116" i="3"/>
  <c r="U116" i="3"/>
  <c r="AB115" i="3"/>
  <c r="U115" i="3"/>
  <c r="U114" i="3"/>
  <c r="AB114" i="3"/>
  <c r="U113" i="3"/>
  <c r="AB113" i="3"/>
  <c r="AB112" i="3"/>
  <c r="U112" i="3"/>
  <c r="AB111" i="3"/>
  <c r="U111" i="3"/>
  <c r="AB110" i="3"/>
  <c r="U110" i="3"/>
  <c r="U109" i="3"/>
  <c r="AB109" i="3"/>
  <c r="AB108" i="3"/>
  <c r="U108" i="3"/>
  <c r="U107" i="3"/>
  <c r="AB107" i="3"/>
  <c r="AB106" i="3"/>
  <c r="U106" i="3"/>
  <c r="U105" i="3"/>
  <c r="AB105" i="3"/>
  <c r="U104" i="3"/>
  <c r="AB104" i="3"/>
  <c r="U103" i="3"/>
  <c r="AB103" i="3"/>
  <c r="U102" i="3"/>
  <c r="AB102" i="3"/>
  <c r="U101" i="3"/>
  <c r="AB101" i="3"/>
  <c r="AB100" i="3"/>
  <c r="U100" i="3"/>
  <c r="U99" i="3"/>
  <c r="AB99" i="3"/>
  <c r="U98" i="3"/>
  <c r="AB98" i="3"/>
  <c r="AB97" i="3"/>
  <c r="U97" i="3"/>
  <c r="AB96" i="3"/>
  <c r="U96" i="3"/>
  <c r="AB95" i="3"/>
  <c r="U95" i="3"/>
  <c r="AB94" i="3"/>
  <c r="U94" i="3"/>
  <c r="AB93" i="3"/>
  <c r="U93" i="3"/>
  <c r="AB92" i="3"/>
  <c r="U92" i="3"/>
  <c r="AB91" i="3"/>
  <c r="U91" i="3"/>
  <c r="AB90" i="3"/>
  <c r="U90" i="3"/>
  <c r="AB89" i="3"/>
  <c r="U89" i="3"/>
  <c r="AB88" i="3"/>
  <c r="U88" i="3"/>
  <c r="AB87" i="3"/>
  <c r="U87" i="3"/>
  <c r="AB86" i="3"/>
  <c r="U86" i="3"/>
  <c r="AB85" i="3"/>
  <c r="U85" i="3"/>
  <c r="U84" i="3"/>
  <c r="AB84" i="3"/>
  <c r="U83" i="3"/>
  <c r="AB83" i="3"/>
  <c r="AB82" i="3"/>
  <c r="U82" i="3"/>
  <c r="U81" i="3"/>
  <c r="AB81" i="3"/>
  <c r="U80" i="3"/>
  <c r="AB80" i="3"/>
  <c r="AB79" i="3"/>
  <c r="U79" i="3"/>
  <c r="AB78" i="3"/>
  <c r="U78" i="3"/>
  <c r="AB77" i="3"/>
  <c r="U77" i="3"/>
  <c r="AB76" i="3"/>
  <c r="U76" i="3"/>
  <c r="AB75" i="3"/>
  <c r="U75" i="3"/>
  <c r="U74" i="3"/>
  <c r="AB74" i="3"/>
  <c r="AB73" i="3"/>
  <c r="U73" i="3"/>
  <c r="AB72" i="3"/>
  <c r="U72" i="3"/>
  <c r="U71" i="3"/>
  <c r="AB71" i="3"/>
  <c r="AB70" i="3"/>
  <c r="U70" i="3"/>
  <c r="AB69" i="3"/>
  <c r="U69" i="3"/>
  <c r="AB68" i="3"/>
  <c r="U68" i="3"/>
  <c r="AB67" i="3"/>
  <c r="U67" i="3"/>
  <c r="U66" i="3"/>
  <c r="AB66" i="3"/>
  <c r="U65" i="3"/>
  <c r="AB65" i="3"/>
  <c r="U64" i="3"/>
  <c r="AB64" i="3"/>
  <c r="AB63" i="3"/>
  <c r="U63" i="3"/>
  <c r="U62" i="3"/>
  <c r="AB62" i="3"/>
  <c r="AB61" i="3"/>
  <c r="U61" i="3"/>
  <c r="U60" i="3"/>
  <c r="AB60" i="3"/>
  <c r="U59" i="3"/>
  <c r="AB59" i="3"/>
  <c r="AB58" i="3"/>
  <c r="U58" i="3"/>
  <c r="U57" i="3"/>
  <c r="AB57" i="3"/>
  <c r="U56" i="3"/>
  <c r="AB56" i="3"/>
  <c r="AB55" i="3"/>
  <c r="U55" i="3"/>
  <c r="AB54" i="3"/>
  <c r="U54" i="3"/>
  <c r="AB53" i="3"/>
  <c r="U53" i="3"/>
  <c r="AB52" i="3"/>
  <c r="U52" i="3"/>
  <c r="AB51" i="3"/>
  <c r="U51" i="3"/>
  <c r="AB50" i="3"/>
  <c r="U50" i="3"/>
  <c r="U49" i="3"/>
  <c r="AB49" i="3"/>
  <c r="U48" i="3"/>
  <c r="AB48" i="3"/>
  <c r="AB47" i="3"/>
  <c r="U47" i="3"/>
  <c r="U46" i="3"/>
  <c r="AB46" i="3"/>
  <c r="U45" i="3"/>
  <c r="AB45" i="3"/>
  <c r="AB44" i="3"/>
  <c r="U44" i="3"/>
  <c r="U43" i="3"/>
  <c r="AB43" i="3"/>
  <c r="AB42" i="3"/>
  <c r="U42" i="3"/>
  <c r="AB41" i="3"/>
  <c r="U41" i="3"/>
  <c r="AB40" i="3"/>
  <c r="U40" i="3"/>
  <c r="U39" i="3"/>
  <c r="AB39" i="3"/>
  <c r="U38" i="3"/>
  <c r="AB38" i="3"/>
  <c r="AB37" i="3"/>
  <c r="U37" i="3"/>
  <c r="U36" i="3"/>
  <c r="AB36" i="3"/>
  <c r="AB35" i="3"/>
  <c r="U35" i="3"/>
  <c r="U34" i="3"/>
  <c r="AB34" i="3"/>
  <c r="U33" i="3"/>
  <c r="AB33" i="3"/>
  <c r="U32" i="3"/>
  <c r="AB32" i="3"/>
  <c r="AB31" i="3"/>
  <c r="U31" i="3"/>
  <c r="AB30" i="3"/>
  <c r="U30" i="3"/>
  <c r="AB29" i="3"/>
  <c r="U29" i="3"/>
  <c r="AB28" i="3"/>
  <c r="U28" i="3"/>
  <c r="AB27" i="3"/>
  <c r="U27" i="3"/>
  <c r="U26" i="3"/>
  <c r="AB26" i="3"/>
  <c r="AB25" i="3"/>
  <c r="U25" i="3"/>
  <c r="AB24" i="3"/>
  <c r="U24" i="3"/>
  <c r="U23" i="3"/>
  <c r="AB23" i="3"/>
  <c r="U22" i="3"/>
  <c r="AB22" i="3"/>
  <c r="AB21" i="3"/>
  <c r="U21" i="3"/>
  <c r="AB20" i="3"/>
  <c r="U20" i="3"/>
  <c r="AB19" i="3"/>
  <c r="U19" i="3"/>
  <c r="AB18" i="3"/>
  <c r="U18" i="3"/>
  <c r="U17" i="3"/>
  <c r="AB17" i="3"/>
  <c r="AB16" i="3"/>
  <c r="U16" i="3"/>
  <c r="AB15" i="3"/>
  <c r="U15" i="3"/>
  <c r="U14" i="3"/>
  <c r="AB14" i="3"/>
  <c r="AB13" i="3"/>
  <c r="U13" i="3"/>
  <c r="U12" i="3"/>
  <c r="AB12" i="3"/>
  <c r="AB11" i="3"/>
  <c r="U11" i="3"/>
  <c r="R10" i="3"/>
  <c r="R9" i="3"/>
  <c r="R8" i="3"/>
  <c r="AH99" i="1" l="1"/>
  <c r="AG99" i="1"/>
  <c r="W109" i="1"/>
  <c r="W220" i="1"/>
  <c r="W221" i="1"/>
  <c r="V540" i="1"/>
  <c r="U540" i="1"/>
  <c r="S540" i="1"/>
  <c r="T540" i="1"/>
  <c r="W108" i="1"/>
  <c r="W107" i="1"/>
  <c r="W106" i="1"/>
  <c r="W8" i="1"/>
  <c r="W105" i="1"/>
  <c r="W104" i="1"/>
  <c r="W103" i="1"/>
  <c r="W102" i="1"/>
  <c r="W101" i="1"/>
  <c r="W100" i="1"/>
  <c r="W99" i="1"/>
  <c r="W98" i="1"/>
  <c r="W97" i="1"/>
  <c r="W96" i="1"/>
  <c r="AI26" i="6"/>
  <c r="AH26" i="6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67" i="1"/>
  <c r="W66" i="1"/>
  <c r="W65" i="1"/>
  <c r="W64" i="1"/>
  <c r="W63" i="1"/>
  <c r="W62" i="1"/>
  <c r="W61" i="1"/>
  <c r="W60" i="1"/>
  <c r="W59" i="1"/>
  <c r="W77" i="1"/>
  <c r="W76" i="1"/>
  <c r="W75" i="1"/>
  <c r="W74" i="1"/>
  <c r="W73" i="1"/>
  <c r="W72" i="1"/>
  <c r="W71" i="1"/>
  <c r="W70" i="1"/>
  <c r="W69" i="1"/>
  <c r="W68" i="1"/>
  <c r="AI9" i="6"/>
  <c r="AH9" i="6"/>
  <c r="AI10" i="6"/>
  <c r="AH10" i="6"/>
  <c r="AI11" i="6"/>
  <c r="AH11" i="6"/>
  <c r="AH12" i="6"/>
  <c r="AI12" i="6"/>
  <c r="AI13" i="6"/>
  <c r="AH13" i="6"/>
  <c r="AH14" i="6"/>
  <c r="AI14" i="6"/>
  <c r="AH15" i="6"/>
  <c r="AI15" i="6"/>
  <c r="AI16" i="6"/>
  <c r="AH16" i="6"/>
  <c r="AH17" i="6"/>
  <c r="AI17" i="6"/>
  <c r="AH18" i="6"/>
  <c r="AI18" i="6"/>
  <c r="AI19" i="6"/>
  <c r="AH19" i="6"/>
  <c r="AH20" i="6"/>
  <c r="AI20" i="6"/>
  <c r="AH21" i="6"/>
  <c r="AI21" i="6"/>
  <c r="AH22" i="6"/>
  <c r="AI22" i="6"/>
  <c r="AI23" i="6"/>
  <c r="AH23" i="6"/>
  <c r="AH24" i="6"/>
  <c r="AI24" i="6"/>
  <c r="AI25" i="6"/>
  <c r="AH25" i="6"/>
  <c r="AI31" i="6"/>
  <c r="AH31" i="6"/>
  <c r="AI33" i="6"/>
  <c r="AH33" i="6"/>
  <c r="AI34" i="6"/>
  <c r="AH34" i="6"/>
  <c r="AI35" i="6"/>
  <c r="AH35" i="6"/>
  <c r="AI36" i="6"/>
  <c r="AH36" i="6"/>
  <c r="AI37" i="6"/>
  <c r="AH37" i="6"/>
  <c r="AH38" i="6"/>
  <c r="AI38" i="6"/>
  <c r="AH39" i="6"/>
  <c r="AI39" i="6"/>
  <c r="AH40" i="6"/>
  <c r="AI40" i="6"/>
  <c r="AH41" i="6"/>
  <c r="AI41" i="6"/>
  <c r="AH42" i="6"/>
  <c r="AI42" i="6"/>
  <c r="AI43" i="6"/>
  <c r="AH43" i="6"/>
  <c r="AI44" i="6"/>
  <c r="AH44" i="6"/>
  <c r="AH45" i="6"/>
  <c r="AI45" i="6"/>
  <c r="AH46" i="6"/>
  <c r="AI46" i="6"/>
  <c r="AH47" i="6"/>
  <c r="AI47" i="6"/>
  <c r="AH48" i="6"/>
  <c r="AI48" i="6"/>
  <c r="AI49" i="6"/>
  <c r="AH49" i="6"/>
  <c r="AH51" i="6"/>
  <c r="AI51" i="6"/>
  <c r="AI52" i="6"/>
  <c r="AH52" i="6"/>
  <c r="AI53" i="6"/>
  <c r="AH53" i="6"/>
  <c r="AI54" i="6"/>
  <c r="AH54" i="6"/>
  <c r="AH55" i="6"/>
  <c r="AI55" i="6"/>
  <c r="AH56" i="6"/>
  <c r="AI56" i="6"/>
  <c r="AH57" i="6"/>
  <c r="AI57" i="6"/>
  <c r="AH58" i="6"/>
  <c r="AI58" i="6"/>
  <c r="AH59" i="6"/>
  <c r="AI59" i="6"/>
  <c r="AI60" i="6"/>
  <c r="AH60" i="6"/>
  <c r="AI61" i="6"/>
  <c r="AH61" i="6"/>
  <c r="AH62" i="6"/>
  <c r="AI62" i="6"/>
  <c r="AH63" i="6"/>
  <c r="AI63" i="6"/>
  <c r="AH64" i="6"/>
  <c r="AI64" i="6"/>
  <c r="AI65" i="6"/>
  <c r="AH65" i="6"/>
  <c r="AI66" i="6"/>
  <c r="AH66" i="6"/>
  <c r="AH67" i="6"/>
  <c r="AI67" i="6"/>
  <c r="AH68" i="6"/>
  <c r="AI68" i="6"/>
  <c r="AH69" i="6"/>
  <c r="AI69" i="6"/>
  <c r="AI70" i="6"/>
  <c r="AH70" i="6"/>
  <c r="AI71" i="6"/>
  <c r="AH71" i="6"/>
  <c r="AH72" i="6"/>
  <c r="AI72" i="6"/>
  <c r="AI73" i="6"/>
  <c r="AH73" i="6"/>
  <c r="AH74" i="6"/>
  <c r="AI74" i="6"/>
  <c r="AH75" i="6"/>
  <c r="AI75" i="6"/>
  <c r="AH76" i="6"/>
  <c r="AI76" i="6"/>
  <c r="AH77" i="6"/>
  <c r="AI77" i="6"/>
  <c r="AH78" i="6"/>
  <c r="AI78" i="6"/>
  <c r="AH79" i="6"/>
  <c r="AI79" i="6"/>
  <c r="AI80" i="6"/>
  <c r="AH80" i="6"/>
  <c r="AH81" i="6"/>
  <c r="AI81" i="6"/>
  <c r="AH82" i="6"/>
  <c r="AI82" i="6"/>
  <c r="AH83" i="6"/>
  <c r="AI83" i="6"/>
  <c r="AI84" i="6"/>
  <c r="AH84" i="6"/>
  <c r="AI85" i="6"/>
  <c r="AH85" i="6"/>
  <c r="AH86" i="6"/>
  <c r="AI86" i="6"/>
  <c r="AH87" i="6"/>
  <c r="AI87" i="6"/>
  <c r="AH88" i="6"/>
  <c r="AI88" i="6"/>
  <c r="AH89" i="6"/>
  <c r="AI89" i="6"/>
  <c r="AH90" i="6"/>
  <c r="AI90" i="6"/>
  <c r="AI91" i="6"/>
  <c r="AH91" i="6"/>
  <c r="AH92" i="6"/>
  <c r="AI92" i="6"/>
  <c r="AH93" i="6"/>
  <c r="AI93" i="6"/>
  <c r="AI94" i="6"/>
  <c r="AH94" i="6"/>
  <c r="AH95" i="6"/>
  <c r="AI95" i="6"/>
  <c r="AH96" i="6"/>
  <c r="AI96" i="6"/>
  <c r="AH97" i="6"/>
  <c r="AI97" i="6"/>
  <c r="AI98" i="6"/>
  <c r="AH98" i="6"/>
  <c r="AH99" i="6"/>
  <c r="AI99" i="6"/>
  <c r="AI100" i="6"/>
  <c r="AH100" i="6"/>
  <c r="AI101" i="6"/>
  <c r="AH101" i="6"/>
  <c r="AH102" i="6"/>
  <c r="AI102" i="6"/>
  <c r="AH103" i="6"/>
  <c r="AI103" i="6"/>
  <c r="AI104" i="6"/>
  <c r="AH104" i="6"/>
  <c r="AH105" i="6"/>
  <c r="AI105" i="6"/>
  <c r="AI106" i="6"/>
  <c r="AH106" i="6"/>
  <c r="AH107" i="6"/>
  <c r="AI107" i="6"/>
  <c r="AI108" i="6"/>
  <c r="AH108" i="6"/>
  <c r="AH109" i="6"/>
  <c r="AI109" i="6"/>
  <c r="AH110" i="6"/>
  <c r="AI110" i="6"/>
  <c r="AI111" i="6"/>
  <c r="AH111" i="6"/>
  <c r="AH112" i="6"/>
  <c r="AI112" i="6"/>
  <c r="AH113" i="6"/>
  <c r="AI113" i="6"/>
  <c r="AH114" i="6"/>
  <c r="AI114" i="6"/>
  <c r="AH115" i="6"/>
  <c r="AI115" i="6"/>
  <c r="AH116" i="6"/>
  <c r="AI116" i="6"/>
  <c r="AI117" i="6"/>
  <c r="AH117" i="6"/>
  <c r="AH118" i="6"/>
  <c r="AI118" i="6"/>
  <c r="AH119" i="6"/>
  <c r="AI119" i="6"/>
  <c r="AH120" i="6"/>
  <c r="AI120" i="6"/>
  <c r="AH121" i="6"/>
  <c r="AI121" i="6"/>
  <c r="AI122" i="6"/>
  <c r="AH122" i="6"/>
  <c r="AH123" i="6"/>
  <c r="AI123" i="6"/>
  <c r="AH124" i="6"/>
  <c r="AI124" i="6"/>
  <c r="AH125" i="6"/>
  <c r="AI125" i="6"/>
  <c r="AH126" i="6"/>
  <c r="AI126" i="6"/>
  <c r="AH127" i="6"/>
  <c r="AI127" i="6"/>
  <c r="AH128" i="6"/>
  <c r="AI128" i="6"/>
  <c r="AI129" i="6"/>
  <c r="AH129" i="6"/>
  <c r="AH130" i="6"/>
  <c r="AI130" i="6"/>
  <c r="AH131" i="6"/>
  <c r="AI131" i="6"/>
  <c r="AH132" i="6"/>
  <c r="AI132" i="6"/>
  <c r="AH133" i="6"/>
  <c r="AI133" i="6"/>
  <c r="AI134" i="6"/>
  <c r="AH134" i="6"/>
  <c r="AH135" i="6"/>
  <c r="AI135" i="6"/>
  <c r="AH136" i="6"/>
  <c r="AI136" i="6"/>
  <c r="AI137" i="6"/>
  <c r="AH137" i="6"/>
  <c r="AH138" i="6"/>
  <c r="AI138" i="6"/>
  <c r="AH139" i="6"/>
  <c r="AI139" i="6"/>
  <c r="AH140" i="6"/>
  <c r="AI140" i="6"/>
  <c r="AH141" i="6"/>
  <c r="AI141" i="6"/>
  <c r="AH142" i="6"/>
  <c r="AI142" i="6"/>
  <c r="AI143" i="6"/>
  <c r="AH143" i="6"/>
  <c r="AH144" i="6"/>
  <c r="AI144" i="6"/>
  <c r="AI145" i="6"/>
  <c r="AH145" i="6"/>
  <c r="AH146" i="6"/>
  <c r="AI146" i="6"/>
  <c r="AI147" i="6"/>
  <c r="AH147" i="6"/>
  <c r="AH148" i="6"/>
  <c r="AI148" i="6"/>
  <c r="AH149" i="6"/>
  <c r="AI149" i="6"/>
  <c r="AI150" i="6"/>
  <c r="AH150" i="6"/>
  <c r="AH151" i="6"/>
  <c r="AI151" i="6"/>
  <c r="AH152" i="6"/>
  <c r="AI152" i="6"/>
  <c r="AI153" i="6"/>
  <c r="AH153" i="6"/>
  <c r="AI154" i="6"/>
  <c r="AH154" i="6"/>
  <c r="AI155" i="6"/>
  <c r="AH155" i="6"/>
  <c r="AH156" i="6"/>
  <c r="AI156" i="6"/>
  <c r="AH157" i="6"/>
  <c r="AI157" i="6"/>
  <c r="AH158" i="6"/>
  <c r="AI158" i="6"/>
  <c r="AH159" i="6"/>
  <c r="AI159" i="6"/>
  <c r="AI160" i="6"/>
  <c r="AH160" i="6"/>
  <c r="AH161" i="6"/>
  <c r="AI161" i="6"/>
  <c r="AH162" i="6"/>
  <c r="AI162" i="6"/>
  <c r="AI163" i="6"/>
  <c r="AH163" i="6"/>
  <c r="AH164" i="6"/>
  <c r="AI164" i="6"/>
  <c r="AI165" i="6"/>
  <c r="AH165" i="6"/>
  <c r="AI166" i="6"/>
  <c r="AH166" i="6"/>
  <c r="AI167" i="6"/>
  <c r="AH167" i="6"/>
  <c r="AI168" i="6"/>
  <c r="AH168" i="6"/>
  <c r="AH169" i="6"/>
  <c r="AI169" i="6"/>
  <c r="AH170" i="6"/>
  <c r="AI170" i="6"/>
  <c r="AH171" i="6"/>
  <c r="AI171" i="6"/>
  <c r="AH172" i="6"/>
  <c r="AI172" i="6"/>
  <c r="AH173" i="6"/>
  <c r="AI173" i="6"/>
  <c r="AI174" i="6"/>
  <c r="AH174" i="6"/>
  <c r="AH175" i="6"/>
  <c r="AI175" i="6"/>
  <c r="AH176" i="6"/>
  <c r="AI176" i="6"/>
  <c r="AH177" i="6"/>
  <c r="AI177" i="6"/>
  <c r="AI178" i="6"/>
  <c r="AH178" i="6"/>
  <c r="AI179" i="6"/>
  <c r="AH179" i="6"/>
  <c r="AI180" i="6"/>
  <c r="AH180" i="6"/>
  <c r="AH181" i="6"/>
  <c r="AI181" i="6"/>
  <c r="AH182" i="6"/>
  <c r="AI182" i="6"/>
  <c r="AH183" i="6"/>
  <c r="AI183" i="6"/>
  <c r="AI184" i="6"/>
  <c r="AH184" i="6"/>
  <c r="AH185" i="6"/>
  <c r="AI185" i="6"/>
  <c r="AH186" i="6"/>
  <c r="AI186" i="6"/>
  <c r="AH187" i="6"/>
  <c r="AI187" i="6"/>
  <c r="AH188" i="6"/>
  <c r="AI188" i="6"/>
  <c r="AI189" i="6"/>
  <c r="AH189" i="6"/>
  <c r="AH190" i="6"/>
  <c r="AI190" i="6"/>
  <c r="AH191" i="6"/>
  <c r="AI191" i="6"/>
  <c r="AH192" i="6"/>
  <c r="AI192" i="6"/>
  <c r="AI193" i="6"/>
  <c r="AH193" i="6"/>
  <c r="AH194" i="6"/>
  <c r="AI194" i="6"/>
  <c r="AH195" i="6"/>
  <c r="AI195" i="6"/>
  <c r="AH196" i="6"/>
  <c r="AI196" i="6"/>
  <c r="AH197" i="6"/>
  <c r="AI197" i="6"/>
  <c r="AH198" i="6"/>
  <c r="AI198" i="6"/>
  <c r="AH199" i="6"/>
  <c r="AI199" i="6"/>
  <c r="AH200" i="6"/>
  <c r="AI200" i="6"/>
  <c r="AH201" i="6"/>
  <c r="AI201" i="6"/>
  <c r="AH202" i="6"/>
  <c r="AI202" i="6"/>
  <c r="AH203" i="6"/>
  <c r="AI203" i="6"/>
  <c r="AH204" i="6"/>
  <c r="AI204" i="6"/>
  <c r="AH205" i="6"/>
  <c r="AI205" i="6"/>
  <c r="AI206" i="6"/>
  <c r="AH206" i="6"/>
  <c r="AI207" i="6"/>
  <c r="AH207" i="6"/>
  <c r="AI208" i="6"/>
  <c r="AH208" i="6"/>
  <c r="AH209" i="6"/>
  <c r="AI209" i="6"/>
  <c r="AH210" i="6"/>
  <c r="AI210" i="6"/>
  <c r="AI211" i="6"/>
  <c r="AH211" i="6"/>
  <c r="AH212" i="6"/>
  <c r="AI212" i="6"/>
  <c r="AH213" i="6"/>
  <c r="AI213" i="6"/>
  <c r="AH214" i="6"/>
  <c r="AI214" i="6"/>
  <c r="AH215" i="6"/>
  <c r="AI215" i="6"/>
  <c r="AH216" i="6"/>
  <c r="AI216" i="6"/>
  <c r="AH217" i="6"/>
  <c r="AI217" i="6"/>
  <c r="AH218" i="6"/>
  <c r="AI218" i="6"/>
  <c r="AH219" i="6"/>
  <c r="AI219" i="6"/>
  <c r="AH220" i="6"/>
  <c r="AI220" i="6"/>
  <c r="AI221" i="6"/>
  <c r="AH221" i="6"/>
  <c r="AI222" i="6"/>
  <c r="AH222" i="6"/>
  <c r="AH223" i="6"/>
  <c r="AI223" i="6"/>
  <c r="AI224" i="6"/>
  <c r="AH224" i="6"/>
  <c r="AH225" i="6"/>
  <c r="AI225" i="6"/>
  <c r="AH226" i="6"/>
  <c r="AI226" i="6"/>
  <c r="AI227" i="6"/>
  <c r="AH227" i="6"/>
  <c r="AI228" i="6"/>
  <c r="AH228" i="6"/>
  <c r="AH229" i="6"/>
  <c r="AI229" i="6"/>
  <c r="AI230" i="6"/>
  <c r="AH230" i="6"/>
  <c r="AH231" i="6"/>
  <c r="AI231" i="6"/>
  <c r="AH232" i="6"/>
  <c r="AI232" i="6"/>
  <c r="AH233" i="6"/>
  <c r="AI233" i="6"/>
  <c r="AH234" i="6"/>
  <c r="AI234" i="6"/>
  <c r="AH235" i="6"/>
  <c r="AI235" i="6"/>
  <c r="AH236" i="6"/>
  <c r="AI236" i="6"/>
  <c r="AH237" i="6"/>
  <c r="AI237" i="6"/>
  <c r="AH238" i="6"/>
  <c r="AI238" i="6"/>
  <c r="AH239" i="6"/>
  <c r="AI239" i="6"/>
  <c r="AH240" i="6"/>
  <c r="AI240" i="6"/>
  <c r="AH241" i="6"/>
  <c r="AI241" i="6"/>
  <c r="AH242" i="6"/>
  <c r="AI242" i="6"/>
  <c r="AH243" i="6"/>
  <c r="AI243" i="6"/>
  <c r="AI244" i="6"/>
  <c r="AH244" i="6"/>
  <c r="AI245" i="6"/>
  <c r="AH245" i="6"/>
  <c r="AI246" i="6"/>
  <c r="AH246" i="6"/>
  <c r="AI247" i="6"/>
  <c r="AH247" i="6"/>
  <c r="AH248" i="6"/>
  <c r="AI248" i="6"/>
  <c r="AH249" i="6"/>
  <c r="AI249" i="6"/>
  <c r="AI250" i="6"/>
  <c r="AH250" i="6"/>
  <c r="AH251" i="6"/>
  <c r="AI251" i="6"/>
  <c r="AH252" i="6"/>
  <c r="AI252" i="6"/>
  <c r="AI253" i="6"/>
  <c r="AH253" i="6"/>
  <c r="AH254" i="6"/>
  <c r="AI254" i="6"/>
  <c r="AH255" i="6"/>
  <c r="AI255" i="6"/>
  <c r="AI256" i="6"/>
  <c r="AH256" i="6"/>
  <c r="AH257" i="6"/>
  <c r="AI257" i="6"/>
  <c r="AH258" i="6"/>
  <c r="AI258" i="6"/>
  <c r="AI259" i="6"/>
  <c r="AH259" i="6"/>
  <c r="AH260" i="6"/>
  <c r="AI260" i="6"/>
  <c r="AH261" i="6"/>
  <c r="AI261" i="6"/>
  <c r="AH262" i="6"/>
  <c r="AI262" i="6"/>
  <c r="AH263" i="6"/>
  <c r="AI263" i="6"/>
  <c r="AH264" i="6"/>
  <c r="AI264" i="6"/>
  <c r="AH265" i="6"/>
  <c r="AI265" i="6"/>
  <c r="AH266" i="6"/>
  <c r="AI266" i="6"/>
  <c r="AH267" i="6"/>
  <c r="AI267" i="6"/>
  <c r="AI268" i="6"/>
  <c r="AH268" i="6"/>
  <c r="AH269" i="6"/>
  <c r="AI269" i="6"/>
  <c r="AH270" i="6"/>
  <c r="AI270" i="6"/>
  <c r="AH271" i="6"/>
  <c r="AI271" i="6"/>
  <c r="AH272" i="6"/>
  <c r="AI272" i="6"/>
  <c r="AI273" i="6"/>
  <c r="AH273" i="6"/>
  <c r="AH274" i="6"/>
  <c r="AI274" i="6"/>
  <c r="AI275" i="6"/>
  <c r="AH275" i="6"/>
  <c r="AI276" i="6"/>
  <c r="AH276" i="6"/>
  <c r="AH277" i="6"/>
  <c r="AI277" i="6"/>
  <c r="AH278" i="6"/>
  <c r="AI278" i="6"/>
  <c r="AI279" i="6"/>
  <c r="AH279" i="6"/>
  <c r="AH280" i="6"/>
  <c r="AI280" i="6"/>
  <c r="AI281" i="6"/>
  <c r="AH281" i="6"/>
  <c r="AH282" i="6"/>
  <c r="AI282" i="6"/>
  <c r="AH283" i="6"/>
  <c r="AI283" i="6"/>
  <c r="AH284" i="6"/>
  <c r="AI284" i="6"/>
  <c r="AI285" i="6"/>
  <c r="AH285" i="6"/>
  <c r="AI286" i="6"/>
  <c r="AH286" i="6"/>
  <c r="AH287" i="6"/>
  <c r="AI287" i="6"/>
  <c r="AH288" i="6"/>
  <c r="AI288" i="6"/>
  <c r="AI289" i="6"/>
  <c r="AH289" i="6"/>
  <c r="AI290" i="6"/>
  <c r="AH290" i="6"/>
  <c r="AH291" i="6"/>
  <c r="AI291" i="6"/>
  <c r="AH292" i="6"/>
  <c r="AI292" i="6"/>
  <c r="AH293" i="6"/>
  <c r="AI293" i="6"/>
  <c r="AH294" i="6"/>
  <c r="AI294" i="6"/>
  <c r="AH295" i="6"/>
  <c r="AI295" i="6"/>
  <c r="AI296" i="6"/>
  <c r="AH296" i="6"/>
  <c r="AH297" i="6"/>
  <c r="AI297" i="6"/>
  <c r="AI298" i="6"/>
  <c r="AH298" i="6"/>
  <c r="AI299" i="6"/>
  <c r="AH299" i="6"/>
  <c r="AI300" i="6"/>
  <c r="AH300" i="6"/>
  <c r="AH301" i="6"/>
  <c r="AI301" i="6"/>
  <c r="AI302" i="6"/>
  <c r="AH302" i="6"/>
  <c r="AH303" i="6"/>
  <c r="AI303" i="6"/>
  <c r="AH304" i="6"/>
  <c r="AI304" i="6"/>
  <c r="AH305" i="6"/>
  <c r="AI305" i="6"/>
  <c r="AI306" i="6"/>
  <c r="AH306" i="6"/>
  <c r="AH307" i="6"/>
  <c r="AI307" i="6"/>
  <c r="AI308" i="6"/>
  <c r="AH308" i="6"/>
  <c r="AI309" i="6"/>
  <c r="AH309" i="6"/>
  <c r="AH310" i="6"/>
  <c r="AI310" i="6"/>
  <c r="AH311" i="6"/>
  <c r="AI311" i="6"/>
  <c r="AI312" i="6"/>
  <c r="AH312" i="6"/>
  <c r="AH313" i="6"/>
  <c r="AI313" i="6"/>
  <c r="AH314" i="6"/>
  <c r="AI314" i="6"/>
  <c r="AH315" i="6"/>
  <c r="AI315" i="6"/>
  <c r="AH316" i="6"/>
  <c r="AI316" i="6"/>
  <c r="AI317" i="6"/>
  <c r="AH317" i="6"/>
  <c r="AI318" i="6"/>
  <c r="AH318" i="6"/>
  <c r="AI319" i="6"/>
  <c r="AH319" i="6"/>
  <c r="AH320" i="6"/>
  <c r="AI320" i="6"/>
  <c r="AI321" i="6"/>
  <c r="AH321" i="6"/>
  <c r="AI322" i="6"/>
  <c r="AH322" i="6"/>
  <c r="AI323" i="6"/>
  <c r="AH323" i="6"/>
  <c r="AI324" i="6"/>
  <c r="AH324" i="6"/>
  <c r="AH325" i="6"/>
  <c r="AI325" i="6"/>
  <c r="AH326" i="6"/>
  <c r="AI326" i="6"/>
  <c r="AH327" i="6"/>
  <c r="AI327" i="6"/>
  <c r="AH328" i="6"/>
  <c r="AI328" i="6"/>
  <c r="AH329" i="6"/>
  <c r="AI329" i="6"/>
  <c r="AI330" i="6"/>
  <c r="AH330" i="6"/>
  <c r="AH331" i="6"/>
  <c r="AI331" i="6"/>
  <c r="AH332" i="6"/>
  <c r="AI332" i="6"/>
  <c r="AH333" i="6"/>
  <c r="AI333" i="6"/>
  <c r="AH334" i="6"/>
  <c r="AI334" i="6"/>
  <c r="AH335" i="6"/>
  <c r="AI335" i="6"/>
  <c r="AI336" i="6"/>
  <c r="AH336" i="6"/>
  <c r="AI337" i="6"/>
  <c r="AH337" i="6"/>
  <c r="AH338" i="6"/>
  <c r="AI338" i="6"/>
  <c r="AI339" i="6"/>
  <c r="AH339" i="6"/>
  <c r="AH340" i="6"/>
  <c r="AI340" i="6"/>
  <c r="AH341" i="6"/>
  <c r="AI341" i="6"/>
  <c r="AH342" i="6"/>
  <c r="AI342" i="6"/>
  <c r="AH343" i="6"/>
  <c r="AI343" i="6"/>
  <c r="AH344" i="6"/>
  <c r="AI344" i="6"/>
  <c r="AH345" i="6"/>
  <c r="AI345" i="6"/>
  <c r="AH346" i="6"/>
  <c r="AI346" i="6"/>
  <c r="AH347" i="6"/>
  <c r="AI347" i="6"/>
  <c r="AI348" i="6"/>
  <c r="AH348" i="6"/>
  <c r="AI349" i="6"/>
  <c r="AH349" i="6"/>
  <c r="AI350" i="6"/>
  <c r="AH350" i="6"/>
  <c r="AH351" i="6"/>
  <c r="AI351" i="6"/>
  <c r="AI352" i="6"/>
  <c r="AH352" i="6"/>
  <c r="AH353" i="6"/>
  <c r="AI353" i="6"/>
  <c r="AH354" i="6"/>
  <c r="AI354" i="6"/>
  <c r="AI355" i="6"/>
  <c r="AH355" i="6"/>
  <c r="AH356" i="6"/>
  <c r="AI356" i="6"/>
  <c r="AI357" i="6"/>
  <c r="AH357" i="6"/>
  <c r="AI358" i="6"/>
  <c r="AH358" i="6"/>
  <c r="AI359" i="6"/>
  <c r="AH359" i="6"/>
  <c r="AH360" i="6"/>
  <c r="AI360" i="6"/>
  <c r="AH361" i="6"/>
  <c r="AI361" i="6"/>
  <c r="AH362" i="6"/>
  <c r="AI362" i="6"/>
  <c r="AI363" i="6"/>
  <c r="AH363" i="6"/>
  <c r="AH364" i="6"/>
  <c r="AI364" i="6"/>
  <c r="AH365" i="6"/>
  <c r="AI365" i="6"/>
  <c r="AH366" i="6"/>
  <c r="AI366" i="6"/>
  <c r="AI367" i="6"/>
  <c r="AH367" i="6"/>
  <c r="AH368" i="6"/>
  <c r="AI368" i="6"/>
  <c r="AI369" i="6"/>
  <c r="AH369" i="6"/>
  <c r="AI370" i="6"/>
  <c r="AH370" i="6"/>
  <c r="AH371" i="6"/>
  <c r="AI371" i="6"/>
  <c r="AI372" i="6"/>
  <c r="AH372" i="6"/>
  <c r="AH373" i="6"/>
  <c r="AI373" i="6"/>
  <c r="AI374" i="6"/>
  <c r="AH374" i="6"/>
  <c r="AI375" i="6"/>
  <c r="AH375" i="6"/>
  <c r="AH376" i="6"/>
  <c r="AI376" i="6"/>
  <c r="AH377" i="6"/>
  <c r="AI377" i="6"/>
  <c r="AH378" i="6"/>
  <c r="AI378" i="6"/>
  <c r="AH379" i="6"/>
  <c r="AI379" i="6"/>
  <c r="AI380" i="6"/>
  <c r="AH380" i="6"/>
  <c r="AH381" i="6"/>
  <c r="AI381" i="6"/>
  <c r="AH382" i="6"/>
  <c r="AI382" i="6"/>
  <c r="AH383" i="6"/>
  <c r="AI383" i="6"/>
  <c r="AH384" i="6"/>
  <c r="AI384" i="6"/>
  <c r="AI385" i="6"/>
  <c r="AH385" i="6"/>
  <c r="AH386" i="6"/>
  <c r="AI386" i="6"/>
  <c r="AH387" i="6"/>
  <c r="AI387" i="6"/>
  <c r="AH388" i="6"/>
  <c r="AI388" i="6"/>
  <c r="AH389" i="6"/>
  <c r="AI389" i="6"/>
  <c r="AI390" i="6"/>
  <c r="AH390" i="6"/>
  <c r="AH391" i="6"/>
  <c r="AI391" i="6"/>
  <c r="AI392" i="6"/>
  <c r="AH392" i="6"/>
  <c r="AH393" i="6"/>
  <c r="AI393" i="6"/>
  <c r="AI394" i="6"/>
  <c r="AH394" i="6"/>
  <c r="AH395" i="6"/>
  <c r="AI395" i="6"/>
  <c r="AH396" i="6"/>
  <c r="AI396" i="6"/>
  <c r="AH397" i="6"/>
  <c r="AI397" i="6"/>
  <c r="AH398" i="6"/>
  <c r="AI398" i="6"/>
  <c r="AI399" i="6"/>
  <c r="AH399" i="6"/>
  <c r="AI400" i="6"/>
  <c r="AH400" i="6"/>
  <c r="AH401" i="6"/>
  <c r="AI401" i="6"/>
  <c r="AI402" i="6"/>
  <c r="AH402" i="6"/>
  <c r="AI403" i="6"/>
  <c r="AH403" i="6"/>
  <c r="AH404" i="6"/>
  <c r="AI404" i="6"/>
  <c r="AI405" i="6"/>
  <c r="AH405" i="6"/>
  <c r="AH406" i="6"/>
  <c r="AI406" i="6"/>
  <c r="AH407" i="6"/>
  <c r="AI407" i="6"/>
  <c r="AH408" i="6"/>
  <c r="AI408" i="6"/>
  <c r="AH409" i="6"/>
  <c r="AI409" i="6"/>
  <c r="AI410" i="6"/>
  <c r="AH410" i="6"/>
  <c r="AI411" i="6"/>
  <c r="AH411" i="6"/>
  <c r="AI412" i="6"/>
  <c r="AH412" i="6"/>
  <c r="AI413" i="6"/>
  <c r="AH413" i="6"/>
  <c r="AI414" i="6"/>
  <c r="AH414" i="6"/>
  <c r="AI415" i="6"/>
  <c r="AH415" i="6"/>
  <c r="AI416" i="6"/>
  <c r="AH416" i="6"/>
  <c r="AH417" i="6"/>
  <c r="AI417" i="6"/>
  <c r="AH418" i="6"/>
  <c r="AI418" i="6"/>
  <c r="AI419" i="6"/>
  <c r="AH419" i="6"/>
  <c r="AH420" i="6"/>
  <c r="AI420" i="6"/>
  <c r="AI421" i="6"/>
  <c r="AH421" i="6"/>
  <c r="AH422" i="6"/>
  <c r="AI422" i="6"/>
  <c r="AI423" i="6"/>
  <c r="AH423" i="6"/>
  <c r="AI424" i="6"/>
  <c r="AH424" i="6"/>
  <c r="AH425" i="6"/>
  <c r="AI425" i="6"/>
  <c r="AH426" i="6"/>
  <c r="AI426" i="6"/>
  <c r="AI427" i="6"/>
  <c r="AH427" i="6"/>
  <c r="AI428" i="6"/>
  <c r="AH428" i="6"/>
  <c r="AI429" i="6"/>
  <c r="AH429" i="6"/>
  <c r="AI430" i="6"/>
  <c r="AH430" i="6"/>
  <c r="AH431" i="6"/>
  <c r="AI431" i="6"/>
  <c r="AH432" i="6"/>
  <c r="AI432" i="6"/>
  <c r="AI433" i="6"/>
  <c r="AH433" i="6"/>
  <c r="AI434" i="6"/>
  <c r="AH434" i="6"/>
  <c r="AH435" i="6"/>
  <c r="AI435" i="6"/>
  <c r="AH436" i="6"/>
  <c r="AI436" i="6"/>
  <c r="AH437" i="6"/>
  <c r="AI437" i="6"/>
  <c r="AI438" i="6"/>
  <c r="AH438" i="6"/>
  <c r="AH439" i="6"/>
  <c r="AI439" i="6"/>
  <c r="AH440" i="6"/>
  <c r="AI440" i="6"/>
  <c r="AH441" i="6"/>
  <c r="AI441" i="6"/>
  <c r="AI442" i="6"/>
  <c r="AH442" i="6"/>
  <c r="AI443" i="6"/>
  <c r="AH443" i="6"/>
  <c r="AH444" i="6"/>
  <c r="AI444" i="6"/>
  <c r="AI445" i="6"/>
  <c r="AH445" i="6"/>
  <c r="AH446" i="6"/>
  <c r="AI446" i="6"/>
  <c r="AH447" i="6"/>
  <c r="AI447" i="6"/>
  <c r="AI448" i="6"/>
  <c r="AH448" i="6"/>
  <c r="AH449" i="6"/>
  <c r="AI449" i="6"/>
  <c r="AH450" i="6"/>
  <c r="AI450" i="6"/>
  <c r="AI451" i="6"/>
  <c r="AH451" i="6"/>
  <c r="AH452" i="6"/>
  <c r="AI452" i="6"/>
  <c r="AH453" i="6"/>
  <c r="AI453" i="6"/>
  <c r="AI454" i="6"/>
  <c r="AH454" i="6"/>
  <c r="AH455" i="6"/>
  <c r="AI455" i="6"/>
  <c r="AI456" i="6"/>
  <c r="AH456" i="6"/>
  <c r="AH457" i="6"/>
  <c r="AI457" i="6"/>
  <c r="AI458" i="6"/>
  <c r="AH458" i="6"/>
  <c r="AH459" i="6"/>
  <c r="AI459" i="6"/>
  <c r="AH460" i="6"/>
  <c r="AI460" i="6"/>
  <c r="AH461" i="6"/>
  <c r="AI461" i="6"/>
  <c r="AH462" i="6"/>
  <c r="AI462" i="6"/>
  <c r="AH463" i="6"/>
  <c r="AI463" i="6"/>
  <c r="AH464" i="6"/>
  <c r="AI464" i="6"/>
  <c r="AH465" i="6"/>
  <c r="AI465" i="6"/>
  <c r="AH466" i="6"/>
  <c r="AI466" i="6"/>
  <c r="AI467" i="6"/>
  <c r="AH467" i="6"/>
  <c r="AH468" i="6"/>
  <c r="AI468" i="6"/>
  <c r="AI469" i="6"/>
  <c r="AH469" i="6"/>
  <c r="AI470" i="6"/>
  <c r="AH470" i="6"/>
  <c r="AI471" i="6"/>
  <c r="AH471" i="6"/>
  <c r="AH472" i="6"/>
  <c r="AI472" i="6"/>
  <c r="AI473" i="6"/>
  <c r="AH473" i="6"/>
  <c r="AI474" i="6"/>
  <c r="AH474" i="6"/>
  <c r="AI475" i="6"/>
  <c r="AH475" i="6"/>
  <c r="AI476" i="6"/>
  <c r="AH476" i="6"/>
  <c r="AH477" i="6"/>
  <c r="AI477" i="6"/>
  <c r="AH478" i="6"/>
  <c r="AI478" i="6"/>
  <c r="AI479" i="6"/>
  <c r="AH479" i="6"/>
  <c r="AI480" i="6"/>
  <c r="AH480" i="6"/>
  <c r="AI481" i="6"/>
  <c r="AH481" i="6"/>
  <c r="AH482" i="6"/>
  <c r="AI482" i="6"/>
  <c r="AH483" i="6"/>
  <c r="AI483" i="6"/>
  <c r="AI484" i="6"/>
  <c r="AH484" i="6"/>
  <c r="AI485" i="6"/>
  <c r="AH485" i="6"/>
  <c r="AI486" i="6"/>
  <c r="AH486" i="6"/>
  <c r="AI487" i="6"/>
  <c r="AH487" i="6"/>
  <c r="AI488" i="6"/>
  <c r="AH488" i="6"/>
  <c r="AH489" i="6"/>
  <c r="AI489" i="6"/>
  <c r="AH490" i="6"/>
  <c r="AI490" i="6"/>
  <c r="AI491" i="6"/>
  <c r="AH491" i="6"/>
  <c r="AI492" i="6"/>
  <c r="AH492" i="6"/>
  <c r="AH493" i="6"/>
  <c r="AI493" i="6"/>
  <c r="AH494" i="6"/>
  <c r="AI494" i="6"/>
  <c r="AH495" i="6"/>
  <c r="AI495" i="6"/>
  <c r="AI496" i="6"/>
  <c r="AH496" i="6"/>
  <c r="AI497" i="6"/>
  <c r="AH497" i="6"/>
  <c r="AI498" i="6"/>
  <c r="AH498" i="6"/>
  <c r="AH499" i="6"/>
  <c r="AI499" i="6"/>
  <c r="AI500" i="6"/>
  <c r="AH500" i="6"/>
  <c r="AH501" i="6"/>
  <c r="AI501" i="6"/>
  <c r="AH502" i="6"/>
  <c r="AI502" i="6"/>
  <c r="AH503" i="6"/>
  <c r="AI503" i="6"/>
  <c r="AH504" i="6"/>
  <c r="AI504" i="6"/>
  <c r="AH505" i="6"/>
  <c r="AI505" i="6"/>
  <c r="AI506" i="6"/>
  <c r="AH506" i="6"/>
  <c r="AH507" i="6"/>
  <c r="AI507" i="6"/>
  <c r="AI508" i="6"/>
  <c r="AH508" i="6"/>
  <c r="AI509" i="6"/>
  <c r="AH509" i="6"/>
  <c r="AH510" i="6"/>
  <c r="AI510" i="6"/>
  <c r="AI511" i="6"/>
  <c r="AH511" i="6"/>
  <c r="AI512" i="6"/>
  <c r="AH512" i="6"/>
  <c r="AH513" i="6"/>
  <c r="AI513" i="6"/>
  <c r="AH514" i="6"/>
  <c r="AI514" i="6"/>
  <c r="AH515" i="6"/>
  <c r="AI515" i="6"/>
  <c r="AI516" i="6"/>
  <c r="AH516" i="6"/>
  <c r="AI517" i="6"/>
  <c r="AH517" i="6"/>
  <c r="AI518" i="6"/>
  <c r="AH518" i="6"/>
  <c r="AI519" i="6"/>
  <c r="AH519" i="6"/>
  <c r="AH520" i="6"/>
  <c r="AI520" i="6"/>
  <c r="AH521" i="6"/>
  <c r="AI521" i="6"/>
  <c r="AI522" i="6"/>
  <c r="AH522" i="6"/>
  <c r="AH523" i="6"/>
  <c r="AI523" i="6"/>
  <c r="AH524" i="6"/>
  <c r="AI524" i="6"/>
  <c r="AH525" i="6"/>
  <c r="AI525" i="6"/>
  <c r="AI526" i="6"/>
  <c r="AH526" i="6"/>
  <c r="AH527" i="6"/>
  <c r="AI527" i="6"/>
  <c r="AH528" i="6"/>
  <c r="AI528" i="6"/>
  <c r="AH529" i="6"/>
  <c r="AI529" i="6"/>
  <c r="AH530" i="6"/>
  <c r="AI530" i="6"/>
  <c r="AH531" i="6"/>
  <c r="AI531" i="6"/>
  <c r="AI532" i="6"/>
  <c r="AH532" i="6"/>
  <c r="AH533" i="6"/>
  <c r="AI533" i="6"/>
  <c r="AH534" i="6"/>
  <c r="AI534" i="6"/>
  <c r="AH535" i="6"/>
  <c r="AI535" i="6"/>
  <c r="AH536" i="6"/>
  <c r="AI536" i="6"/>
  <c r="AI537" i="6"/>
  <c r="AH537" i="6"/>
  <c r="AI538" i="6"/>
  <c r="AH538" i="6"/>
  <c r="AH539" i="6"/>
  <c r="AI539" i="6"/>
  <c r="AH540" i="6"/>
  <c r="AI540" i="6"/>
  <c r="AH541" i="6"/>
  <c r="AI541" i="6"/>
  <c r="AI542" i="6"/>
  <c r="AH542" i="6"/>
  <c r="AI543" i="6"/>
  <c r="AH543" i="6"/>
  <c r="AI544" i="6"/>
  <c r="AH544" i="6"/>
  <c r="AI545" i="6"/>
  <c r="AH545" i="6"/>
  <c r="AI546" i="6"/>
  <c r="AH546" i="6"/>
  <c r="AI547" i="6"/>
  <c r="AH547" i="6"/>
  <c r="AH548" i="6"/>
  <c r="AI548" i="6"/>
  <c r="AI549" i="6"/>
  <c r="AH549" i="6"/>
  <c r="AH550" i="6"/>
  <c r="AI550" i="6"/>
  <c r="AH551" i="6"/>
  <c r="AI551" i="6"/>
  <c r="AH552" i="6"/>
  <c r="AI552" i="6"/>
  <c r="AH553" i="6"/>
  <c r="AI553" i="6"/>
  <c r="AH554" i="6"/>
  <c r="AI554" i="6"/>
  <c r="AH555" i="6"/>
  <c r="AI555" i="6"/>
  <c r="AH556" i="6"/>
  <c r="AI556" i="6"/>
  <c r="AH557" i="6"/>
  <c r="AI557" i="6"/>
  <c r="AI558" i="6"/>
  <c r="AH558" i="6"/>
  <c r="AH559" i="6"/>
  <c r="AI559" i="6"/>
  <c r="AH560" i="6"/>
  <c r="AI560" i="6"/>
  <c r="AH561" i="6"/>
  <c r="AI561" i="6"/>
  <c r="AH562" i="6"/>
  <c r="AI562" i="6"/>
  <c r="AI563" i="6"/>
  <c r="AH563" i="6"/>
  <c r="AH564" i="6"/>
  <c r="AI564" i="6"/>
  <c r="AI565" i="6"/>
  <c r="AH565" i="6"/>
  <c r="AH566" i="6"/>
  <c r="AI566" i="6"/>
  <c r="AH567" i="6"/>
  <c r="AI567" i="6"/>
  <c r="AH568" i="6"/>
  <c r="AI568" i="6"/>
  <c r="AH569" i="6"/>
  <c r="AI569" i="6"/>
  <c r="AI570" i="6"/>
  <c r="AH570" i="6"/>
  <c r="AI571" i="6"/>
  <c r="AH571" i="6"/>
  <c r="AI572" i="6"/>
  <c r="AH572" i="6"/>
  <c r="AI573" i="6"/>
  <c r="AH573" i="6"/>
  <c r="AH574" i="6"/>
  <c r="AI574" i="6"/>
  <c r="AI575" i="6"/>
  <c r="AH575" i="6"/>
  <c r="AI576" i="6"/>
  <c r="AH576" i="6"/>
  <c r="AH577" i="6"/>
  <c r="AI577" i="6"/>
  <c r="AH578" i="6"/>
  <c r="AI578" i="6"/>
  <c r="AI579" i="6"/>
  <c r="AH579" i="6"/>
  <c r="AI580" i="6"/>
  <c r="AH580" i="6"/>
  <c r="AH581" i="6"/>
  <c r="AI581" i="6"/>
  <c r="AH582" i="6"/>
  <c r="AI582" i="6"/>
  <c r="AI583" i="6"/>
  <c r="AH583" i="6"/>
  <c r="AH584" i="6"/>
  <c r="AI584" i="6"/>
  <c r="AH585" i="6"/>
  <c r="AI585" i="6"/>
  <c r="AI586" i="6"/>
  <c r="AH586" i="6"/>
  <c r="AH587" i="6"/>
  <c r="AI587" i="6"/>
  <c r="AH588" i="6"/>
  <c r="AI588" i="6"/>
  <c r="AH589" i="6"/>
  <c r="AI589" i="6"/>
  <c r="AH590" i="6"/>
  <c r="AI590" i="6"/>
  <c r="AH591" i="6"/>
  <c r="AI591" i="6"/>
  <c r="AH592" i="6"/>
  <c r="AI592" i="6"/>
  <c r="AH593" i="6"/>
  <c r="AI593" i="6"/>
  <c r="AI594" i="6"/>
  <c r="AH594" i="6"/>
  <c r="AH595" i="6"/>
  <c r="AI595" i="6"/>
  <c r="AH596" i="6"/>
  <c r="AI596" i="6"/>
  <c r="AH597" i="6"/>
  <c r="AI597" i="6"/>
  <c r="AH598" i="6"/>
  <c r="AI598" i="6"/>
  <c r="AH599" i="6"/>
  <c r="AI599" i="6"/>
  <c r="AH600" i="6"/>
  <c r="AI600" i="6"/>
  <c r="AH601" i="6"/>
  <c r="AI601" i="6"/>
  <c r="AI602" i="6"/>
  <c r="AH602" i="6"/>
  <c r="AH603" i="6"/>
  <c r="AI603" i="6"/>
  <c r="AH604" i="6"/>
  <c r="AI604" i="6"/>
  <c r="AI605" i="6"/>
  <c r="AH605" i="6"/>
  <c r="AI606" i="6"/>
  <c r="AH606" i="6"/>
  <c r="AI607" i="6"/>
  <c r="AH607" i="6"/>
  <c r="AH608" i="6"/>
  <c r="AI608" i="6"/>
  <c r="AH609" i="6"/>
  <c r="AI609" i="6"/>
  <c r="AH610" i="6"/>
  <c r="AI610" i="6"/>
  <c r="AH611" i="6"/>
  <c r="AI611" i="6"/>
  <c r="AI612" i="6"/>
  <c r="AH612" i="6"/>
  <c r="AH613" i="6"/>
  <c r="AI613" i="6"/>
  <c r="AH614" i="6"/>
  <c r="AI614" i="6"/>
  <c r="AH615" i="6"/>
  <c r="AI615" i="6"/>
  <c r="AH616" i="6"/>
  <c r="AI616" i="6"/>
  <c r="AH617" i="6"/>
  <c r="AI617" i="6"/>
  <c r="AI618" i="6"/>
  <c r="AH618" i="6"/>
  <c r="AH619" i="6"/>
  <c r="AI619" i="6"/>
  <c r="AI620" i="6"/>
  <c r="AH620" i="6"/>
  <c r="AH621" i="6"/>
  <c r="AI621" i="6"/>
  <c r="AI622" i="6"/>
  <c r="AH622" i="6"/>
  <c r="AH623" i="6"/>
  <c r="AI623" i="6"/>
  <c r="AI624" i="6"/>
  <c r="AH624" i="6"/>
  <c r="AI625" i="6"/>
  <c r="AH625" i="6"/>
  <c r="AH626" i="6"/>
  <c r="AI626" i="6"/>
  <c r="AI627" i="6"/>
  <c r="AH627" i="6"/>
  <c r="AI628" i="6"/>
  <c r="AH628" i="6"/>
  <c r="AH629" i="6"/>
  <c r="AI629" i="6"/>
  <c r="AH630" i="6"/>
  <c r="AI630" i="6"/>
  <c r="AH631" i="6"/>
  <c r="AI631" i="6"/>
  <c r="AH632" i="6"/>
  <c r="AI632" i="6"/>
  <c r="AI633" i="6"/>
  <c r="AH633" i="6"/>
  <c r="AI634" i="6"/>
  <c r="AH634" i="6"/>
  <c r="AH635" i="6"/>
  <c r="AI635" i="6"/>
  <c r="AH636" i="6"/>
  <c r="AI636" i="6"/>
  <c r="AH637" i="6"/>
  <c r="AI637" i="6"/>
  <c r="AH638" i="6"/>
  <c r="AI638" i="6"/>
  <c r="AH639" i="6"/>
  <c r="AI639" i="6"/>
  <c r="AI640" i="6"/>
  <c r="AH640" i="6"/>
  <c r="AI641" i="6"/>
  <c r="AH641" i="6"/>
  <c r="AI642" i="6"/>
  <c r="AH642" i="6"/>
  <c r="AH643" i="6"/>
  <c r="AI643" i="6"/>
  <c r="AH644" i="6"/>
  <c r="AI644" i="6"/>
  <c r="AH645" i="6"/>
  <c r="AI645" i="6"/>
  <c r="AI646" i="6"/>
  <c r="AH646" i="6"/>
  <c r="AI647" i="6"/>
  <c r="AH647" i="6"/>
  <c r="AH648" i="6"/>
  <c r="AI648" i="6"/>
  <c r="AH649" i="6"/>
  <c r="AI649" i="6"/>
  <c r="AI650" i="6"/>
  <c r="AH650" i="6"/>
  <c r="AI651" i="6"/>
  <c r="AH651" i="6"/>
  <c r="AH652" i="6"/>
  <c r="AI652" i="6"/>
  <c r="AH653" i="6"/>
  <c r="AI653" i="6"/>
  <c r="AH654" i="6"/>
  <c r="AI654" i="6"/>
  <c r="AH655" i="6"/>
  <c r="AI655" i="6"/>
  <c r="AH656" i="6"/>
  <c r="AI656" i="6"/>
  <c r="AI657" i="6"/>
  <c r="AH657" i="6"/>
  <c r="AH658" i="6"/>
  <c r="AI658" i="6"/>
  <c r="AH659" i="6"/>
  <c r="AI659" i="6"/>
  <c r="AI660" i="6"/>
  <c r="AH660" i="6"/>
  <c r="AI661" i="6"/>
  <c r="AH661" i="6"/>
  <c r="AH662" i="6"/>
  <c r="AI662" i="6"/>
  <c r="AH663" i="6"/>
  <c r="AI663" i="6"/>
  <c r="AI664" i="6"/>
  <c r="AH664" i="6"/>
  <c r="AH665" i="6"/>
  <c r="AI665" i="6"/>
  <c r="AH666" i="6"/>
  <c r="AI666" i="6"/>
  <c r="AH667" i="6"/>
  <c r="AI667" i="6"/>
  <c r="AH668" i="6"/>
  <c r="AI668" i="6"/>
  <c r="AI669" i="6"/>
  <c r="AH669" i="6"/>
  <c r="AH670" i="6"/>
  <c r="AI670" i="6"/>
  <c r="AI671" i="6"/>
  <c r="AH671" i="6"/>
  <c r="AI672" i="6"/>
  <c r="AH672" i="6"/>
  <c r="AH673" i="6"/>
  <c r="AI673" i="6"/>
  <c r="AI674" i="6"/>
  <c r="AH674" i="6"/>
  <c r="AI675" i="6"/>
  <c r="AH675" i="6"/>
  <c r="AH676" i="6"/>
  <c r="AI676" i="6"/>
  <c r="AI677" i="6"/>
  <c r="AH677" i="6"/>
  <c r="AI678" i="6"/>
  <c r="AH678" i="6"/>
  <c r="AI679" i="6"/>
  <c r="AH679" i="6"/>
  <c r="AH680" i="6"/>
  <c r="AI680" i="6"/>
  <c r="AH681" i="6"/>
  <c r="AI681" i="6"/>
  <c r="AI682" i="6"/>
  <c r="AH682" i="6"/>
  <c r="AH683" i="6"/>
  <c r="AI683" i="6"/>
  <c r="AI684" i="6"/>
  <c r="AH684" i="6"/>
  <c r="AH685" i="6"/>
  <c r="AI685" i="6"/>
  <c r="AI686" i="6"/>
  <c r="AH686" i="6"/>
  <c r="AI687" i="6"/>
  <c r="AH687" i="6"/>
  <c r="AH688" i="6"/>
  <c r="AI688" i="6"/>
  <c r="AI689" i="6"/>
  <c r="AH689" i="6"/>
  <c r="AH690" i="6"/>
  <c r="AI690" i="6"/>
  <c r="AH691" i="6"/>
  <c r="AI691" i="6"/>
  <c r="AH692" i="6"/>
  <c r="AI692" i="6"/>
  <c r="AI693" i="6"/>
  <c r="AH693" i="6"/>
  <c r="AH694" i="6"/>
  <c r="AI694" i="6"/>
  <c r="AH695" i="6"/>
  <c r="AI695" i="6"/>
  <c r="AH696" i="6"/>
  <c r="AI696" i="6"/>
  <c r="AH697" i="6"/>
  <c r="AI697" i="6"/>
  <c r="AI698" i="6"/>
  <c r="AH698" i="6"/>
  <c r="AI699" i="6"/>
  <c r="AH699" i="6"/>
  <c r="AI700" i="6"/>
  <c r="AH700" i="6"/>
  <c r="AH701" i="6"/>
  <c r="AI701" i="6"/>
  <c r="AI702" i="6"/>
  <c r="AH702" i="6"/>
  <c r="AH703" i="6"/>
  <c r="AI703" i="6"/>
  <c r="AH704" i="6"/>
  <c r="AI704" i="6"/>
  <c r="AI705" i="6"/>
  <c r="AH705" i="6"/>
  <c r="AH706" i="6"/>
  <c r="AI706" i="6"/>
  <c r="AH707" i="6"/>
  <c r="AI707" i="6"/>
  <c r="AH708" i="6"/>
  <c r="AI708" i="6"/>
  <c r="AI709" i="6"/>
  <c r="AH709" i="6"/>
  <c r="AH710" i="6"/>
  <c r="AI710" i="6"/>
  <c r="AI711" i="6"/>
  <c r="AH711" i="6"/>
  <c r="AH712" i="6"/>
  <c r="AI712" i="6"/>
  <c r="AH713" i="6"/>
  <c r="AI713" i="6"/>
  <c r="AI714" i="6"/>
  <c r="AH714" i="6"/>
  <c r="AH715" i="6"/>
  <c r="AI715" i="6"/>
  <c r="AH716" i="6"/>
  <c r="AI716" i="6"/>
  <c r="AH717" i="6"/>
  <c r="AI717" i="6"/>
  <c r="AH718" i="6"/>
  <c r="AI718" i="6"/>
  <c r="AI719" i="6"/>
  <c r="AH719" i="6"/>
  <c r="AI720" i="6"/>
  <c r="AH720" i="6"/>
  <c r="AH721" i="6"/>
  <c r="AI721" i="6"/>
  <c r="AH722" i="6"/>
  <c r="AI722" i="6"/>
  <c r="AI723" i="6"/>
  <c r="AH723" i="6"/>
  <c r="AH724" i="6"/>
  <c r="AI724" i="6"/>
  <c r="AI725" i="6"/>
  <c r="AH725" i="6"/>
  <c r="AH726" i="6"/>
  <c r="AI726" i="6"/>
  <c r="AI727" i="6"/>
  <c r="AH727" i="6"/>
  <c r="AI728" i="6"/>
  <c r="AH728" i="6"/>
  <c r="AH729" i="6"/>
  <c r="AI729" i="6"/>
  <c r="AH730" i="6"/>
  <c r="AI730" i="6"/>
  <c r="AI731" i="6"/>
  <c r="AH731" i="6"/>
  <c r="AH732" i="6"/>
  <c r="AI732" i="6"/>
  <c r="AI733" i="6"/>
  <c r="AH733" i="6"/>
  <c r="AI734" i="6"/>
  <c r="AH734" i="6"/>
  <c r="AH735" i="6"/>
  <c r="AI735" i="6"/>
  <c r="AH736" i="6"/>
  <c r="AI736" i="6"/>
  <c r="AH737" i="6"/>
  <c r="AI737" i="6"/>
  <c r="AI738" i="6"/>
  <c r="AH738" i="6"/>
  <c r="AH739" i="6"/>
  <c r="AI739" i="6"/>
  <c r="AI740" i="6"/>
  <c r="AH740" i="6"/>
  <c r="AH741" i="6"/>
  <c r="AI741" i="6"/>
  <c r="AI742" i="6"/>
  <c r="AH742" i="6"/>
  <c r="AH743" i="6"/>
  <c r="AI743" i="6"/>
  <c r="AH744" i="6"/>
  <c r="AI744" i="6"/>
  <c r="AI745" i="6"/>
  <c r="AH745" i="6"/>
  <c r="AH746" i="6"/>
  <c r="AI746" i="6"/>
  <c r="AH747" i="6"/>
  <c r="AI747" i="6"/>
  <c r="AH748" i="6"/>
  <c r="AI748" i="6"/>
  <c r="AI749" i="6"/>
  <c r="AH749" i="6"/>
  <c r="AH750" i="6"/>
  <c r="AI750" i="6"/>
  <c r="AH751" i="6"/>
  <c r="AI751" i="6"/>
  <c r="AH752" i="6"/>
  <c r="AI752" i="6"/>
  <c r="AI753" i="6"/>
  <c r="AH753" i="6"/>
  <c r="AI754" i="6"/>
  <c r="AH754" i="6"/>
  <c r="AI755" i="6"/>
  <c r="AH755" i="6"/>
  <c r="AH756" i="6"/>
  <c r="AI756" i="6"/>
  <c r="AI757" i="6"/>
  <c r="AH757" i="6"/>
  <c r="AH758" i="6"/>
  <c r="AI758" i="6"/>
  <c r="AH759" i="6"/>
  <c r="AI759" i="6"/>
  <c r="AI760" i="6"/>
  <c r="AH760" i="6"/>
  <c r="AI761" i="6"/>
  <c r="AH761" i="6"/>
  <c r="AI762" i="6"/>
  <c r="AH762" i="6"/>
  <c r="AH763" i="6"/>
  <c r="AI763" i="6"/>
  <c r="AI764" i="6"/>
  <c r="AH764" i="6"/>
  <c r="AI765" i="6"/>
  <c r="AH765" i="6"/>
  <c r="AI766" i="6"/>
  <c r="AH766" i="6"/>
  <c r="AI767" i="6"/>
  <c r="AH767" i="6"/>
  <c r="AH768" i="6"/>
  <c r="AI768" i="6"/>
  <c r="AH769" i="6"/>
  <c r="AI769" i="6"/>
  <c r="AI770" i="6"/>
  <c r="AH770" i="6"/>
  <c r="AH771" i="6"/>
  <c r="AI771" i="6"/>
  <c r="AH772" i="6"/>
  <c r="AI772" i="6"/>
  <c r="AI773" i="6"/>
  <c r="AH773" i="6"/>
  <c r="AH774" i="6"/>
  <c r="AI774" i="6"/>
  <c r="AH775" i="6"/>
  <c r="AI775" i="6"/>
  <c r="AH776" i="6"/>
  <c r="AI776" i="6"/>
  <c r="AH777" i="6"/>
  <c r="AI777" i="6"/>
  <c r="AH778" i="6"/>
  <c r="AI778" i="6"/>
  <c r="AH779" i="6"/>
  <c r="AI779" i="6"/>
  <c r="AH780" i="6"/>
  <c r="AI780" i="6"/>
  <c r="AH781" i="6"/>
  <c r="AI781" i="6"/>
  <c r="AH782" i="6"/>
  <c r="AI782" i="6"/>
  <c r="AH783" i="6"/>
  <c r="AI783" i="6"/>
  <c r="AI784" i="6"/>
  <c r="AH784" i="6"/>
  <c r="AI785" i="6"/>
  <c r="AH785" i="6"/>
  <c r="AH786" i="6"/>
  <c r="AI786" i="6"/>
  <c r="AH787" i="6"/>
  <c r="AI787" i="6"/>
  <c r="AI788" i="6"/>
  <c r="AH788" i="6"/>
  <c r="AI789" i="6"/>
  <c r="AH789" i="6"/>
  <c r="AI790" i="6"/>
  <c r="AH790" i="6"/>
  <c r="AI791" i="6"/>
  <c r="AH791" i="6"/>
  <c r="AH792" i="6"/>
  <c r="AI792" i="6"/>
  <c r="AI793" i="6"/>
  <c r="AH793" i="6"/>
  <c r="AH794" i="6"/>
  <c r="AI794" i="6"/>
  <c r="AH795" i="6"/>
  <c r="AI795" i="6"/>
  <c r="AH796" i="6"/>
  <c r="AI796" i="6"/>
  <c r="AH797" i="6"/>
  <c r="AI797" i="6"/>
  <c r="AH798" i="6"/>
  <c r="AI798" i="6"/>
  <c r="AH799" i="6"/>
  <c r="AI799" i="6"/>
  <c r="AH800" i="6"/>
  <c r="AI800" i="6"/>
  <c r="AH801" i="6"/>
  <c r="AI801" i="6"/>
  <c r="AH802" i="6"/>
  <c r="AI802" i="6"/>
  <c r="AH803" i="6"/>
  <c r="AI803" i="6"/>
  <c r="AH804" i="6"/>
  <c r="AI804" i="6"/>
  <c r="AH805" i="6"/>
  <c r="AI805" i="6"/>
  <c r="AI806" i="6"/>
  <c r="AH806" i="6"/>
  <c r="AI807" i="6"/>
  <c r="AH807" i="6"/>
  <c r="AI808" i="6"/>
  <c r="AH808" i="6"/>
  <c r="AH809" i="6"/>
  <c r="AI809" i="6"/>
  <c r="AH810" i="6"/>
  <c r="AI810" i="6"/>
  <c r="AH811" i="6"/>
  <c r="AI811" i="6"/>
  <c r="AH812" i="6"/>
  <c r="AI812" i="6"/>
  <c r="AI813" i="6"/>
  <c r="AH813" i="6"/>
  <c r="AI814" i="6"/>
  <c r="AH814" i="6"/>
  <c r="AI815" i="6"/>
  <c r="AH815" i="6"/>
  <c r="AI816" i="6"/>
  <c r="AH816" i="6"/>
  <c r="AH817" i="6"/>
  <c r="AI817" i="6"/>
  <c r="AH818" i="6"/>
  <c r="AI818" i="6"/>
  <c r="AH819" i="6"/>
  <c r="AI819" i="6"/>
  <c r="AH820" i="6"/>
  <c r="AI820" i="6"/>
  <c r="AH821" i="6"/>
  <c r="AI821" i="6"/>
  <c r="AI822" i="6"/>
  <c r="AH822" i="6"/>
  <c r="AH823" i="6"/>
  <c r="AI823" i="6"/>
  <c r="AH824" i="6"/>
  <c r="AI824" i="6"/>
  <c r="AI825" i="6"/>
  <c r="AH825" i="6"/>
  <c r="AI826" i="6"/>
  <c r="AH826" i="6"/>
  <c r="AH827" i="6"/>
  <c r="AI827" i="6"/>
  <c r="AH828" i="6"/>
  <c r="AI828" i="6"/>
  <c r="AI829" i="6"/>
  <c r="AH829" i="6"/>
  <c r="AH830" i="6"/>
  <c r="AI830" i="6"/>
  <c r="AH831" i="6"/>
  <c r="AI831" i="6"/>
  <c r="AH832" i="6"/>
  <c r="AI832" i="6"/>
  <c r="AI833" i="6"/>
  <c r="AH833" i="6"/>
  <c r="AI834" i="6"/>
  <c r="AH834" i="6"/>
  <c r="AI835" i="6"/>
  <c r="AH835" i="6"/>
  <c r="AH836" i="6"/>
  <c r="AI836" i="6"/>
  <c r="AH837" i="6"/>
  <c r="AI837" i="6"/>
  <c r="AI838" i="6"/>
  <c r="AH838" i="6"/>
  <c r="AH839" i="6"/>
  <c r="AI839" i="6"/>
  <c r="AH840" i="6"/>
  <c r="AI840" i="6"/>
  <c r="AI841" i="6"/>
  <c r="AH841" i="6"/>
  <c r="AH842" i="6"/>
  <c r="AI842" i="6"/>
  <c r="AH843" i="6"/>
  <c r="AI843" i="6"/>
  <c r="AI844" i="6"/>
  <c r="AH844" i="6"/>
  <c r="AH845" i="6"/>
  <c r="AI845" i="6"/>
  <c r="AI846" i="6"/>
  <c r="AH846" i="6"/>
  <c r="AI847" i="6"/>
  <c r="AH847" i="6"/>
  <c r="AH848" i="6"/>
  <c r="AI848" i="6"/>
  <c r="AH849" i="6"/>
  <c r="AI849" i="6"/>
  <c r="AH850" i="6"/>
  <c r="AI850" i="6"/>
  <c r="AH851" i="6"/>
  <c r="AI851" i="6"/>
  <c r="AI852" i="6"/>
  <c r="AH852" i="6"/>
  <c r="AH853" i="6"/>
  <c r="AI853" i="6"/>
  <c r="AH854" i="6"/>
  <c r="AI854" i="6"/>
  <c r="AH855" i="6"/>
  <c r="AI855" i="6"/>
  <c r="AH856" i="6"/>
  <c r="AI856" i="6"/>
  <c r="AH857" i="6"/>
  <c r="AI857" i="6"/>
  <c r="AH858" i="6"/>
  <c r="AI858" i="6"/>
  <c r="AI859" i="6"/>
  <c r="AH859" i="6"/>
  <c r="AH860" i="6"/>
  <c r="AI860" i="6"/>
  <c r="AH861" i="6"/>
  <c r="AI861" i="6"/>
  <c r="AH862" i="6"/>
  <c r="AI862" i="6"/>
  <c r="AH863" i="6"/>
  <c r="AI863" i="6"/>
  <c r="AH864" i="6"/>
  <c r="AI864" i="6"/>
  <c r="AH865" i="6"/>
  <c r="AI865" i="6"/>
  <c r="AH866" i="6"/>
  <c r="AI866" i="6"/>
  <c r="AI867" i="6"/>
  <c r="AH867" i="6"/>
  <c r="AH868" i="6"/>
  <c r="AI868" i="6"/>
  <c r="AH869" i="6"/>
  <c r="AI869" i="6"/>
  <c r="AH870" i="6"/>
  <c r="AI870" i="6"/>
  <c r="AH871" i="6"/>
  <c r="AI871" i="6"/>
  <c r="AI872" i="6"/>
  <c r="AH872" i="6"/>
  <c r="AI873" i="6"/>
  <c r="AH873" i="6"/>
  <c r="AH874" i="6"/>
  <c r="AI874" i="6"/>
  <c r="AH875" i="6"/>
  <c r="AI875" i="6"/>
  <c r="AH876" i="6"/>
  <c r="AI876" i="6"/>
  <c r="AH877" i="6"/>
  <c r="AI877" i="6"/>
  <c r="AI878" i="6"/>
  <c r="AH878" i="6"/>
  <c r="AH879" i="6"/>
  <c r="AI879" i="6"/>
  <c r="AI880" i="6"/>
  <c r="AH880" i="6"/>
  <c r="AI881" i="6"/>
  <c r="AH881" i="6"/>
  <c r="AH882" i="6"/>
  <c r="AI882" i="6"/>
  <c r="AI883" i="6"/>
  <c r="AH883" i="6"/>
  <c r="AI884" i="6"/>
  <c r="AH884" i="6"/>
  <c r="AH885" i="6"/>
  <c r="AI885" i="6"/>
  <c r="AH886" i="6"/>
  <c r="AI886" i="6"/>
  <c r="AH887" i="6"/>
  <c r="AI887" i="6"/>
  <c r="AI888" i="6"/>
  <c r="AH888" i="6"/>
  <c r="AI889" i="6"/>
  <c r="AH889" i="6"/>
  <c r="AI890" i="6"/>
  <c r="AH890" i="6"/>
  <c r="AH891" i="6"/>
  <c r="AI891" i="6"/>
  <c r="AH892" i="6"/>
  <c r="AI892" i="6"/>
  <c r="AI893" i="6"/>
  <c r="AH893" i="6"/>
  <c r="AH894" i="6"/>
  <c r="AI894" i="6"/>
  <c r="AI895" i="6"/>
  <c r="AH895" i="6"/>
  <c r="AI896" i="6"/>
  <c r="AH896" i="6"/>
  <c r="AH897" i="6"/>
  <c r="AI897" i="6"/>
  <c r="AI898" i="6"/>
  <c r="AH898" i="6"/>
  <c r="AH899" i="6"/>
  <c r="AI899" i="6"/>
  <c r="AI900" i="6"/>
  <c r="AH900" i="6"/>
  <c r="AI901" i="6"/>
  <c r="AH901" i="6"/>
  <c r="AH902" i="6"/>
  <c r="AI902" i="6"/>
  <c r="AI903" i="6"/>
  <c r="AH903" i="6"/>
  <c r="AH904" i="6"/>
  <c r="AI904" i="6"/>
  <c r="AI905" i="6"/>
  <c r="AH905" i="6"/>
  <c r="AH906" i="6"/>
  <c r="AI906" i="6"/>
  <c r="AH907" i="6"/>
  <c r="AI907" i="6"/>
  <c r="AH908" i="6"/>
  <c r="AI908" i="6"/>
  <c r="AI909" i="6"/>
  <c r="AH909" i="6"/>
  <c r="AH910" i="6"/>
  <c r="AI910" i="6"/>
  <c r="AH911" i="6"/>
  <c r="AI911" i="6"/>
  <c r="AI912" i="6"/>
  <c r="AH912" i="6"/>
  <c r="AH913" i="6"/>
  <c r="AI913" i="6"/>
  <c r="AH914" i="6"/>
  <c r="AI914" i="6"/>
  <c r="AH915" i="6"/>
  <c r="AI915" i="6"/>
  <c r="AH916" i="6"/>
  <c r="AI916" i="6"/>
  <c r="AH917" i="6"/>
  <c r="AI917" i="6"/>
  <c r="AH918" i="6"/>
  <c r="AI918" i="6"/>
  <c r="AH919" i="6"/>
  <c r="AI919" i="6"/>
  <c r="AI920" i="6"/>
  <c r="AH920" i="6"/>
  <c r="AI921" i="6"/>
  <c r="AH921" i="6"/>
  <c r="AH922" i="6"/>
  <c r="AI922" i="6"/>
  <c r="AH923" i="6"/>
  <c r="AI923" i="6"/>
  <c r="AH924" i="6"/>
  <c r="AI924" i="6"/>
  <c r="AH925" i="6"/>
  <c r="AI925" i="6"/>
  <c r="AI926" i="6"/>
  <c r="AH926" i="6"/>
  <c r="AI927" i="6"/>
  <c r="AH927" i="6"/>
  <c r="AH928" i="6"/>
  <c r="AI928" i="6"/>
  <c r="AH929" i="6"/>
  <c r="AI929" i="6"/>
  <c r="AH930" i="6"/>
  <c r="AI930" i="6"/>
  <c r="AI931" i="6"/>
  <c r="AH931" i="6"/>
  <c r="AI932" i="6"/>
  <c r="AH932" i="6"/>
  <c r="AI933" i="6"/>
  <c r="AH933" i="6"/>
  <c r="AH934" i="6"/>
  <c r="AI934" i="6"/>
  <c r="AI935" i="6"/>
  <c r="AH935" i="6"/>
  <c r="AH936" i="6"/>
  <c r="AI936" i="6"/>
  <c r="AH937" i="6"/>
  <c r="AI937" i="6"/>
  <c r="AH938" i="6"/>
  <c r="AI938" i="6"/>
  <c r="AH939" i="6"/>
  <c r="AI939" i="6"/>
  <c r="AH940" i="6"/>
  <c r="AI940" i="6"/>
  <c r="AI941" i="6"/>
  <c r="AH941" i="6"/>
  <c r="AI942" i="6"/>
  <c r="AH942" i="6"/>
  <c r="AI943" i="6"/>
  <c r="AH943" i="6"/>
  <c r="AH944" i="6"/>
  <c r="AI944" i="6"/>
  <c r="AH945" i="6"/>
  <c r="AI945" i="6"/>
  <c r="AH946" i="6"/>
  <c r="AI946" i="6"/>
  <c r="AI947" i="6"/>
  <c r="AH947" i="6"/>
  <c r="AH948" i="6"/>
  <c r="AI948" i="6"/>
  <c r="AH949" i="6"/>
  <c r="AI949" i="6"/>
  <c r="AH950" i="6"/>
  <c r="AI950" i="6"/>
  <c r="AI951" i="6"/>
  <c r="AH951" i="6"/>
  <c r="AH952" i="6"/>
  <c r="AI952" i="6"/>
  <c r="AI953" i="6"/>
  <c r="AH953" i="6"/>
  <c r="AH954" i="6"/>
  <c r="AI954" i="6"/>
  <c r="AI955" i="6"/>
  <c r="AH955" i="6"/>
  <c r="AI956" i="6"/>
  <c r="AH956" i="6"/>
  <c r="AI957" i="6"/>
  <c r="AH957" i="6"/>
  <c r="AI958" i="6"/>
  <c r="AH958" i="6"/>
  <c r="AH959" i="6"/>
  <c r="AI959" i="6"/>
  <c r="AH960" i="6"/>
  <c r="AI960" i="6"/>
  <c r="AH961" i="6"/>
  <c r="AI961" i="6"/>
  <c r="AI962" i="6"/>
  <c r="AH962" i="6"/>
  <c r="AI963" i="6"/>
  <c r="AH963" i="6"/>
  <c r="AH964" i="6"/>
  <c r="AI964" i="6"/>
  <c r="AI965" i="6"/>
  <c r="AH965" i="6"/>
  <c r="AI966" i="6"/>
  <c r="AH966" i="6"/>
  <c r="AI967" i="6"/>
  <c r="AH967" i="6"/>
  <c r="AH968" i="6"/>
  <c r="AI968" i="6"/>
  <c r="AH969" i="6"/>
  <c r="AI969" i="6"/>
  <c r="AI970" i="6"/>
  <c r="AH970" i="6"/>
  <c r="AH971" i="6"/>
  <c r="AI971" i="6"/>
  <c r="AH972" i="6"/>
  <c r="AI972" i="6"/>
  <c r="AH973" i="6"/>
  <c r="AI973" i="6"/>
  <c r="AH974" i="6"/>
  <c r="AI974" i="6"/>
  <c r="AH975" i="6"/>
  <c r="AI975" i="6"/>
  <c r="AI976" i="6"/>
  <c r="AH976" i="6"/>
  <c r="AH977" i="6"/>
  <c r="AI977" i="6"/>
  <c r="AH978" i="6"/>
  <c r="AI978" i="6"/>
  <c r="AH979" i="6"/>
  <c r="AI979" i="6"/>
  <c r="AH980" i="6"/>
  <c r="AI980" i="6"/>
  <c r="AI981" i="6"/>
  <c r="AH981" i="6"/>
  <c r="AH982" i="6"/>
  <c r="AI982" i="6"/>
  <c r="AH983" i="6"/>
  <c r="AI983" i="6"/>
  <c r="AI984" i="6"/>
  <c r="AH984" i="6"/>
  <c r="AH985" i="6"/>
  <c r="AI985" i="6"/>
  <c r="AH986" i="6"/>
  <c r="AI986" i="6"/>
  <c r="AI987" i="6"/>
  <c r="AH987" i="6"/>
  <c r="AH988" i="6"/>
  <c r="AI988" i="6"/>
  <c r="AI989" i="6"/>
  <c r="AH989" i="6"/>
  <c r="AI990" i="6"/>
  <c r="AH990" i="6"/>
  <c r="AH991" i="6"/>
  <c r="AI991" i="6"/>
  <c r="AI992" i="6"/>
  <c r="AH992" i="6"/>
  <c r="AH993" i="6"/>
  <c r="AI993" i="6"/>
  <c r="AH994" i="6"/>
  <c r="AI994" i="6"/>
  <c r="AH995" i="6"/>
  <c r="AI995" i="6"/>
  <c r="AH996" i="6"/>
  <c r="AI996" i="6"/>
  <c r="AI997" i="6"/>
  <c r="AH997" i="6"/>
  <c r="AI998" i="6"/>
  <c r="AH998" i="6"/>
  <c r="AI999" i="6"/>
  <c r="AH999" i="6"/>
  <c r="AI1000" i="6"/>
  <c r="AH1000" i="6"/>
  <c r="AH1001" i="6"/>
  <c r="AI1001" i="6"/>
  <c r="AH1002" i="6"/>
  <c r="AI1002" i="6"/>
  <c r="AH1003" i="6"/>
  <c r="AI1003" i="6"/>
  <c r="AH1004" i="6"/>
  <c r="AI1004" i="6"/>
  <c r="AH1005" i="6"/>
  <c r="AI1005" i="6"/>
  <c r="AH1006" i="6"/>
  <c r="AI1006" i="6"/>
  <c r="AI1007" i="6"/>
  <c r="AH1007" i="6"/>
  <c r="AK11" i="3"/>
  <c r="AJ11" i="3"/>
  <c r="AK12" i="3"/>
  <c r="AJ12" i="3"/>
  <c r="AK13" i="3"/>
  <c r="AJ13" i="3"/>
  <c r="AK14" i="3"/>
  <c r="AJ14" i="3"/>
  <c r="AK15" i="3"/>
  <c r="AJ15" i="3"/>
  <c r="AJ16" i="3"/>
  <c r="AK16" i="3"/>
  <c r="AK17" i="3"/>
  <c r="AJ17" i="3"/>
  <c r="AJ18" i="3"/>
  <c r="AK18" i="3"/>
  <c r="AJ19" i="3"/>
  <c r="AK19" i="3"/>
  <c r="AK20" i="3"/>
  <c r="AJ20" i="3"/>
  <c r="AK21" i="3"/>
  <c r="AJ21" i="3"/>
  <c r="AJ22" i="3"/>
  <c r="AK22" i="3"/>
  <c r="AJ23" i="3"/>
  <c r="AK23" i="3"/>
  <c r="AK24" i="3"/>
  <c r="AJ24" i="3"/>
  <c r="AJ25" i="3"/>
  <c r="AK25" i="3"/>
  <c r="AK26" i="3"/>
  <c r="AJ26" i="3"/>
  <c r="AJ27" i="3"/>
  <c r="AK27" i="3"/>
  <c r="AJ28" i="3"/>
  <c r="AK28" i="3"/>
  <c r="AJ29" i="3"/>
  <c r="AK29" i="3"/>
  <c r="AJ30" i="3"/>
  <c r="AK30" i="3"/>
  <c r="AJ31" i="3"/>
  <c r="AK31" i="3"/>
  <c r="AJ32" i="3"/>
  <c r="AK32" i="3"/>
  <c r="AJ33" i="3"/>
  <c r="AK33" i="3"/>
  <c r="AJ34" i="3"/>
  <c r="AK34" i="3"/>
  <c r="AK35" i="3"/>
  <c r="AJ35" i="3"/>
  <c r="AJ36" i="3"/>
  <c r="AK36" i="3"/>
  <c r="AK37" i="3"/>
  <c r="AJ37" i="3"/>
  <c r="AK38" i="3"/>
  <c r="AJ38" i="3"/>
  <c r="AJ39" i="3"/>
  <c r="AK39" i="3"/>
  <c r="AJ40" i="3"/>
  <c r="AK40" i="3"/>
  <c r="AJ41" i="3"/>
  <c r="AK41" i="3"/>
  <c r="AK42" i="3"/>
  <c r="AJ42" i="3"/>
  <c r="AJ43" i="3"/>
  <c r="AK43" i="3"/>
  <c r="AJ44" i="3"/>
  <c r="AK44" i="3"/>
  <c r="AK45" i="3"/>
  <c r="AJ45" i="3"/>
  <c r="AJ46" i="3"/>
  <c r="AK46" i="3"/>
  <c r="AJ47" i="3"/>
  <c r="AK47" i="3"/>
  <c r="AK48" i="3"/>
  <c r="AJ48" i="3"/>
  <c r="AJ49" i="3"/>
  <c r="AK49" i="3"/>
  <c r="AK50" i="3"/>
  <c r="AJ50" i="3"/>
  <c r="AK51" i="3"/>
  <c r="AJ51" i="3"/>
  <c r="AK52" i="3"/>
  <c r="AJ52" i="3"/>
  <c r="AJ53" i="3"/>
  <c r="AK53" i="3"/>
  <c r="AK54" i="3"/>
  <c r="AJ54" i="3"/>
  <c r="AK55" i="3"/>
  <c r="AJ55" i="3"/>
  <c r="AJ56" i="3"/>
  <c r="AK56" i="3"/>
  <c r="AK57" i="3"/>
  <c r="AJ57" i="3"/>
  <c r="AJ58" i="3"/>
  <c r="AK58" i="3"/>
  <c r="AJ59" i="3"/>
  <c r="AK59" i="3"/>
  <c r="AJ60" i="3"/>
  <c r="AK60" i="3"/>
  <c r="AK61" i="3"/>
  <c r="AJ61" i="3"/>
  <c r="AK62" i="3"/>
  <c r="AJ62" i="3"/>
  <c r="AK63" i="3"/>
  <c r="AJ63" i="3"/>
  <c r="AK64" i="3"/>
  <c r="AJ64" i="3"/>
  <c r="AJ65" i="3"/>
  <c r="AK65" i="3"/>
  <c r="AJ66" i="3"/>
  <c r="AK66" i="3"/>
  <c r="AJ67" i="3"/>
  <c r="AK67" i="3"/>
  <c r="AJ68" i="3"/>
  <c r="AK68" i="3"/>
  <c r="AJ69" i="3"/>
  <c r="AK69" i="3"/>
  <c r="AK70" i="3"/>
  <c r="AJ70" i="3"/>
  <c r="AJ71" i="3"/>
  <c r="AK71" i="3"/>
  <c r="AK72" i="3"/>
  <c r="AJ72" i="3"/>
  <c r="AK73" i="3"/>
  <c r="AJ73" i="3"/>
  <c r="AK74" i="3"/>
  <c r="AJ74" i="3"/>
  <c r="AJ75" i="3"/>
  <c r="AK75" i="3"/>
  <c r="AJ76" i="3"/>
  <c r="AK76" i="3"/>
  <c r="AJ77" i="3"/>
  <c r="AK77" i="3"/>
  <c r="AJ78" i="3"/>
  <c r="AK78" i="3"/>
  <c r="AJ79" i="3"/>
  <c r="AK79" i="3"/>
  <c r="AK80" i="3"/>
  <c r="AJ80" i="3"/>
  <c r="AJ81" i="3"/>
  <c r="AK81" i="3"/>
  <c r="AJ82" i="3"/>
  <c r="AK82" i="3"/>
  <c r="AJ83" i="3"/>
  <c r="AK83" i="3"/>
  <c r="AJ84" i="3"/>
  <c r="AK84" i="3"/>
  <c r="AK85" i="3"/>
  <c r="AJ85" i="3"/>
  <c r="AJ86" i="3"/>
  <c r="AK86" i="3"/>
  <c r="AJ87" i="3"/>
  <c r="AK87" i="3"/>
  <c r="AJ88" i="3"/>
  <c r="AK88" i="3"/>
  <c r="AJ89" i="3"/>
  <c r="AK89" i="3"/>
  <c r="AJ90" i="3"/>
  <c r="AK90" i="3"/>
  <c r="AJ91" i="3"/>
  <c r="AK91" i="3"/>
  <c r="AK92" i="3"/>
  <c r="AJ92" i="3"/>
  <c r="AK93" i="3"/>
  <c r="AJ93" i="3"/>
  <c r="AJ94" i="3"/>
  <c r="AK94" i="3"/>
  <c r="AJ95" i="3"/>
  <c r="AK95" i="3"/>
  <c r="AJ96" i="3"/>
  <c r="AK96" i="3"/>
  <c r="AJ98" i="3"/>
  <c r="AK98" i="3"/>
  <c r="AK99" i="3"/>
  <c r="AJ99" i="3"/>
  <c r="AJ100" i="3"/>
  <c r="AK100" i="3"/>
  <c r="AJ101" i="3"/>
  <c r="AK101" i="3"/>
  <c r="AJ102" i="3"/>
  <c r="AK102" i="3"/>
  <c r="AJ103" i="3"/>
  <c r="AK103" i="3"/>
  <c r="AK104" i="3"/>
  <c r="AJ104" i="3"/>
  <c r="AJ105" i="3"/>
  <c r="AK105" i="3"/>
  <c r="AJ106" i="3"/>
  <c r="AK106" i="3"/>
  <c r="AJ107" i="3"/>
  <c r="AK107" i="3"/>
  <c r="AJ108" i="3"/>
  <c r="AK108" i="3"/>
  <c r="AK109" i="3"/>
  <c r="AJ109" i="3"/>
  <c r="AJ110" i="3"/>
  <c r="AK110" i="3"/>
  <c r="AK111" i="3"/>
  <c r="AJ111" i="3"/>
  <c r="AJ112" i="3"/>
  <c r="AK112" i="3"/>
  <c r="AJ113" i="3"/>
  <c r="AK113" i="3"/>
  <c r="AJ114" i="3"/>
  <c r="AK114" i="3"/>
  <c r="AJ115" i="3"/>
  <c r="AK115" i="3"/>
  <c r="AJ116" i="3"/>
  <c r="AK116" i="3"/>
  <c r="AJ117" i="3"/>
  <c r="AK117" i="3"/>
  <c r="AK118" i="3"/>
  <c r="AJ118" i="3"/>
  <c r="AJ119" i="3"/>
  <c r="AK119" i="3"/>
  <c r="AJ120" i="3"/>
  <c r="AK120" i="3"/>
  <c r="AK121" i="3"/>
  <c r="AJ121" i="3"/>
  <c r="AJ122" i="3"/>
  <c r="AK122" i="3"/>
  <c r="AJ123" i="3"/>
  <c r="AK123" i="3"/>
  <c r="AJ124" i="3"/>
  <c r="AK124" i="3"/>
  <c r="AK125" i="3"/>
  <c r="AJ125" i="3"/>
  <c r="AK126" i="3"/>
  <c r="AJ126" i="3"/>
  <c r="AK127" i="3"/>
  <c r="AJ127" i="3"/>
  <c r="AJ128" i="3"/>
  <c r="AK128" i="3"/>
  <c r="AJ129" i="3"/>
  <c r="AK129" i="3"/>
  <c r="AJ130" i="3"/>
  <c r="AK130" i="3"/>
  <c r="AJ131" i="3"/>
  <c r="AK131" i="3"/>
  <c r="AJ132" i="3"/>
  <c r="AK132" i="3"/>
  <c r="AJ133" i="3"/>
  <c r="AK133" i="3"/>
  <c r="AJ134" i="3"/>
  <c r="AK134" i="3"/>
  <c r="AJ135" i="3"/>
  <c r="AK135" i="3"/>
  <c r="AJ136" i="3"/>
  <c r="AK136" i="3"/>
  <c r="AK137" i="3"/>
  <c r="AJ137" i="3"/>
  <c r="AJ138" i="3"/>
  <c r="AK138" i="3"/>
  <c r="AK139" i="3"/>
  <c r="AJ139" i="3"/>
  <c r="AK140" i="3"/>
  <c r="AJ140" i="3"/>
  <c r="AJ141" i="3"/>
  <c r="AK141" i="3"/>
  <c r="AJ142" i="3"/>
  <c r="AK142" i="3"/>
  <c r="AK143" i="3"/>
  <c r="AJ143" i="3"/>
  <c r="AJ144" i="3"/>
  <c r="AK144" i="3"/>
  <c r="AK145" i="3"/>
  <c r="AJ145" i="3"/>
  <c r="AK146" i="3"/>
  <c r="AJ146" i="3"/>
  <c r="AJ147" i="3"/>
  <c r="AK147" i="3"/>
  <c r="AK148" i="3"/>
  <c r="AJ148" i="3"/>
  <c r="AK149" i="3"/>
  <c r="AJ149" i="3"/>
  <c r="AJ150" i="3"/>
  <c r="AK150" i="3"/>
  <c r="AK151" i="3"/>
  <c r="AJ151" i="3"/>
  <c r="AK152" i="3"/>
  <c r="AJ152" i="3"/>
  <c r="AJ153" i="3"/>
  <c r="AK153" i="3"/>
  <c r="AK154" i="3"/>
  <c r="AJ154" i="3"/>
  <c r="AK155" i="3"/>
  <c r="AJ155" i="3"/>
  <c r="AK156" i="3"/>
  <c r="AJ156" i="3"/>
  <c r="AJ157" i="3"/>
  <c r="AK157" i="3"/>
  <c r="AK158" i="3"/>
  <c r="AJ158" i="3"/>
  <c r="AK159" i="3"/>
  <c r="AJ159" i="3"/>
  <c r="AK160" i="3"/>
  <c r="AJ160" i="3"/>
  <c r="AK161" i="3"/>
  <c r="AJ161" i="3"/>
  <c r="AJ162" i="3"/>
  <c r="AK162" i="3"/>
  <c r="AK163" i="3"/>
  <c r="AJ163" i="3"/>
  <c r="AK164" i="3"/>
  <c r="AJ164" i="3"/>
  <c r="AJ165" i="3"/>
  <c r="AK165" i="3"/>
  <c r="AK166" i="3"/>
  <c r="AJ166" i="3"/>
  <c r="AK167" i="3"/>
  <c r="AJ167" i="3"/>
  <c r="AJ168" i="3"/>
  <c r="AK168" i="3"/>
  <c r="AJ169" i="3"/>
  <c r="AK169" i="3"/>
  <c r="AJ170" i="3"/>
  <c r="AK170" i="3"/>
  <c r="AK171" i="3"/>
  <c r="AJ171" i="3"/>
  <c r="AK172" i="3"/>
  <c r="AJ172" i="3"/>
  <c r="AK173" i="3"/>
  <c r="AJ173" i="3"/>
  <c r="AJ174" i="3"/>
  <c r="AK174" i="3"/>
  <c r="AJ175" i="3"/>
  <c r="AK175" i="3"/>
  <c r="AJ176" i="3"/>
  <c r="AK176" i="3"/>
  <c r="AK177" i="3"/>
  <c r="AJ177" i="3"/>
  <c r="AJ178" i="3"/>
  <c r="AK178" i="3"/>
  <c r="AJ179" i="3"/>
  <c r="AK179" i="3"/>
  <c r="AJ180" i="3"/>
  <c r="AK180" i="3"/>
  <c r="AK181" i="3"/>
  <c r="AJ181" i="3"/>
  <c r="AJ182" i="3"/>
  <c r="AK182" i="3"/>
  <c r="AK183" i="3"/>
  <c r="AJ183" i="3"/>
  <c r="AJ184" i="3"/>
  <c r="AK184" i="3"/>
  <c r="AK185" i="3"/>
  <c r="AJ185" i="3"/>
  <c r="AJ186" i="3"/>
  <c r="AK186" i="3"/>
  <c r="AJ187" i="3"/>
  <c r="AK187" i="3"/>
  <c r="AJ188" i="3"/>
  <c r="AK188" i="3"/>
  <c r="AK189" i="3"/>
  <c r="AJ189" i="3"/>
  <c r="AK190" i="3"/>
  <c r="AJ190" i="3"/>
  <c r="AJ191" i="3"/>
  <c r="AK191" i="3"/>
  <c r="AJ192" i="3"/>
  <c r="AK192" i="3"/>
  <c r="AK193" i="3"/>
  <c r="AJ193" i="3"/>
  <c r="AJ194" i="3"/>
  <c r="AK194" i="3"/>
  <c r="AK195" i="3"/>
  <c r="AJ195" i="3"/>
  <c r="AJ196" i="3"/>
  <c r="AK196" i="3"/>
  <c r="AK197" i="3"/>
  <c r="AJ197" i="3"/>
  <c r="AK198" i="3"/>
  <c r="AJ198" i="3"/>
  <c r="AK199" i="3"/>
  <c r="AJ199" i="3"/>
  <c r="AK200" i="3"/>
  <c r="AJ200" i="3"/>
  <c r="AJ201" i="3"/>
  <c r="AK201" i="3"/>
  <c r="AK202" i="3"/>
  <c r="AJ202" i="3"/>
  <c r="AK203" i="3"/>
  <c r="AJ203" i="3"/>
  <c r="AK204" i="3"/>
  <c r="AJ204" i="3"/>
  <c r="AK205" i="3"/>
  <c r="AJ205" i="3"/>
  <c r="AJ206" i="3"/>
  <c r="AK206" i="3"/>
  <c r="AJ207" i="3"/>
  <c r="AK207" i="3"/>
  <c r="AJ208" i="3"/>
  <c r="AK208" i="3"/>
  <c r="AK209" i="3"/>
  <c r="AJ209" i="3"/>
  <c r="AK210" i="3"/>
  <c r="AJ210" i="3"/>
  <c r="AK211" i="3"/>
  <c r="AJ211" i="3"/>
  <c r="AJ212" i="3"/>
  <c r="AK212" i="3"/>
  <c r="AJ213" i="3"/>
  <c r="AK213" i="3"/>
  <c r="AJ214" i="3"/>
  <c r="AK214" i="3"/>
  <c r="AJ215" i="3"/>
  <c r="AK215" i="3"/>
  <c r="AJ216" i="3"/>
  <c r="AK216" i="3"/>
  <c r="AJ217" i="3"/>
  <c r="AK217" i="3"/>
  <c r="AJ218" i="3"/>
  <c r="AK218" i="3"/>
  <c r="AK219" i="3"/>
  <c r="AJ219" i="3"/>
  <c r="AJ220" i="3"/>
  <c r="AK220" i="3"/>
  <c r="AK221" i="3"/>
  <c r="AJ221" i="3"/>
  <c r="AK222" i="3"/>
  <c r="AJ222" i="3"/>
  <c r="AJ223" i="3"/>
  <c r="AK223" i="3"/>
  <c r="AK224" i="3"/>
  <c r="AJ224" i="3"/>
  <c r="AJ225" i="3"/>
  <c r="AK225" i="3"/>
  <c r="AK226" i="3"/>
  <c r="AJ226" i="3"/>
  <c r="AK227" i="3"/>
  <c r="AJ227" i="3"/>
  <c r="AJ228" i="3"/>
  <c r="AK228" i="3"/>
  <c r="AJ229" i="3"/>
  <c r="AK229" i="3"/>
  <c r="AJ230" i="3"/>
  <c r="AK230" i="3"/>
  <c r="AK231" i="3"/>
  <c r="AJ231" i="3"/>
  <c r="AK232" i="3"/>
  <c r="AJ232" i="3"/>
  <c r="AK233" i="3"/>
  <c r="AJ233" i="3"/>
  <c r="AJ234" i="3"/>
  <c r="AK234" i="3"/>
  <c r="AK235" i="3"/>
  <c r="AJ235" i="3"/>
  <c r="AK236" i="3"/>
  <c r="AJ236" i="3"/>
  <c r="AK237" i="3"/>
  <c r="AJ237" i="3"/>
  <c r="AJ238" i="3"/>
  <c r="AK238" i="3"/>
  <c r="AK239" i="3"/>
  <c r="AJ239" i="3"/>
  <c r="AJ240" i="3"/>
  <c r="AK240" i="3"/>
  <c r="AJ241" i="3"/>
  <c r="AK241" i="3"/>
  <c r="AJ242" i="3"/>
  <c r="AK242" i="3"/>
  <c r="AK243" i="3"/>
  <c r="AJ243" i="3"/>
  <c r="AJ244" i="3"/>
  <c r="AK244" i="3"/>
  <c r="AK245" i="3"/>
  <c r="AJ245" i="3"/>
  <c r="AJ246" i="3"/>
  <c r="AK246" i="3"/>
  <c r="AJ247" i="3"/>
  <c r="AK247" i="3"/>
  <c r="AK248" i="3"/>
  <c r="AJ248" i="3"/>
  <c r="AK249" i="3"/>
  <c r="AJ249" i="3"/>
  <c r="AJ250" i="3"/>
  <c r="AK250" i="3"/>
  <c r="AK251" i="3"/>
  <c r="AJ251" i="3"/>
  <c r="AK252" i="3"/>
  <c r="AJ252" i="3"/>
  <c r="AK253" i="3"/>
  <c r="AJ253" i="3"/>
  <c r="AJ254" i="3"/>
  <c r="AK254" i="3"/>
  <c r="AK255" i="3"/>
  <c r="AJ255" i="3"/>
  <c r="AJ256" i="3"/>
  <c r="AK256" i="3"/>
  <c r="AK257" i="3"/>
  <c r="AJ257" i="3"/>
  <c r="AK258" i="3"/>
  <c r="AJ258" i="3"/>
  <c r="AJ259" i="3"/>
  <c r="AK259" i="3"/>
  <c r="AK260" i="3"/>
  <c r="AJ260" i="3"/>
  <c r="AJ261" i="3"/>
  <c r="AK261" i="3"/>
  <c r="AK262" i="3"/>
  <c r="AJ262" i="3"/>
  <c r="AJ263" i="3"/>
  <c r="AK263" i="3"/>
  <c r="AJ264" i="3"/>
  <c r="AK264" i="3"/>
  <c r="AK265" i="3"/>
  <c r="AJ265" i="3"/>
  <c r="AJ266" i="3"/>
  <c r="AK266" i="3"/>
  <c r="AJ267" i="3"/>
  <c r="AK267" i="3"/>
  <c r="AK268" i="3"/>
  <c r="AJ268" i="3"/>
  <c r="AK269" i="3"/>
  <c r="AJ269" i="3"/>
  <c r="AK270" i="3"/>
  <c r="AJ270" i="3"/>
  <c r="AJ271" i="3"/>
  <c r="AK271" i="3"/>
  <c r="AK272" i="3"/>
  <c r="AJ272" i="3"/>
  <c r="AK273" i="3"/>
  <c r="AJ273" i="3"/>
  <c r="AK274" i="3"/>
  <c r="AJ274" i="3"/>
  <c r="AJ275" i="3"/>
  <c r="AK275" i="3"/>
  <c r="AK276" i="3"/>
  <c r="AJ276" i="3"/>
  <c r="AK277" i="3"/>
  <c r="AJ277" i="3"/>
  <c r="AK278" i="3"/>
  <c r="AJ278" i="3"/>
  <c r="AJ279" i="3"/>
  <c r="AK279" i="3"/>
  <c r="AK280" i="3"/>
  <c r="AJ280" i="3"/>
  <c r="AK281" i="3"/>
  <c r="AJ281" i="3"/>
  <c r="AJ282" i="3"/>
  <c r="AK282" i="3"/>
  <c r="AK283" i="3"/>
  <c r="AJ283" i="3"/>
  <c r="AK284" i="3"/>
  <c r="AJ284" i="3"/>
  <c r="AJ285" i="3"/>
  <c r="AK285" i="3"/>
  <c r="AK286" i="3"/>
  <c r="AJ286" i="3"/>
  <c r="AK287" i="3"/>
  <c r="AJ287" i="3"/>
  <c r="AK288" i="3"/>
  <c r="AJ288" i="3"/>
  <c r="AJ289" i="3"/>
  <c r="AK289" i="3"/>
  <c r="AJ290" i="3"/>
  <c r="AK290" i="3"/>
  <c r="AJ291" i="3"/>
  <c r="AK291" i="3"/>
  <c r="AJ292" i="3"/>
  <c r="AK292" i="3"/>
  <c r="AK293" i="3"/>
  <c r="AJ293" i="3"/>
  <c r="AJ294" i="3"/>
  <c r="AK294" i="3"/>
  <c r="AJ295" i="3"/>
  <c r="AK295" i="3"/>
  <c r="AJ296" i="3"/>
  <c r="AK296" i="3"/>
  <c r="AK297" i="3"/>
  <c r="AJ297" i="3"/>
  <c r="AJ298" i="3"/>
  <c r="AK298" i="3"/>
  <c r="AJ299" i="3"/>
  <c r="AK299" i="3"/>
  <c r="AK300" i="3"/>
  <c r="AJ300" i="3"/>
  <c r="AK301" i="3"/>
  <c r="AJ301" i="3"/>
  <c r="AJ302" i="3"/>
  <c r="AK302" i="3"/>
  <c r="AJ303" i="3"/>
  <c r="AK303" i="3"/>
  <c r="AK304" i="3"/>
  <c r="AJ304" i="3"/>
  <c r="AJ305" i="3"/>
  <c r="AK305" i="3"/>
  <c r="AJ306" i="3"/>
  <c r="AK306" i="3"/>
  <c r="AJ307" i="3"/>
  <c r="AK307" i="3"/>
  <c r="AK308" i="3"/>
  <c r="AJ308" i="3"/>
  <c r="AK309" i="3"/>
  <c r="AJ309" i="3"/>
  <c r="AJ310" i="3"/>
  <c r="AK310" i="3"/>
  <c r="AJ311" i="3"/>
  <c r="AK311" i="3"/>
  <c r="AJ312" i="3"/>
  <c r="AK312" i="3"/>
  <c r="AK313" i="3"/>
  <c r="AJ313" i="3"/>
  <c r="AK314" i="3"/>
  <c r="AJ314" i="3"/>
  <c r="AJ315" i="3"/>
  <c r="AK315" i="3"/>
  <c r="AK316" i="3"/>
  <c r="AJ316" i="3"/>
  <c r="AK317" i="3"/>
  <c r="AJ317" i="3"/>
  <c r="AJ318" i="3"/>
  <c r="AK318" i="3"/>
  <c r="AK319" i="3"/>
  <c r="AJ319" i="3"/>
  <c r="AK320" i="3"/>
  <c r="AJ320" i="3"/>
  <c r="AK321" i="3"/>
  <c r="AJ321" i="3"/>
  <c r="AJ322" i="3"/>
  <c r="AK322" i="3"/>
  <c r="AK323" i="3"/>
  <c r="AJ323" i="3"/>
  <c r="AJ324" i="3"/>
  <c r="AK324" i="3"/>
  <c r="AK325" i="3"/>
  <c r="AJ325" i="3"/>
  <c r="AK326" i="3"/>
  <c r="AJ326" i="3"/>
  <c r="AK327" i="3"/>
  <c r="AJ327" i="3"/>
  <c r="AJ328" i="3"/>
  <c r="AK328" i="3"/>
  <c r="AJ329" i="3"/>
  <c r="AK329" i="3"/>
  <c r="AJ330" i="3"/>
  <c r="AK330" i="3"/>
  <c r="AK331" i="3"/>
  <c r="AJ331" i="3"/>
  <c r="AK332" i="3"/>
  <c r="AJ332" i="3"/>
  <c r="AJ333" i="3"/>
  <c r="AK333" i="3"/>
  <c r="AK334" i="3"/>
  <c r="AJ334" i="3"/>
  <c r="AK335" i="3"/>
  <c r="AJ335" i="3"/>
  <c r="AK336" i="3"/>
  <c r="AJ336" i="3"/>
  <c r="AJ337" i="3"/>
  <c r="AK337" i="3"/>
  <c r="AJ338" i="3"/>
  <c r="AK338" i="3"/>
  <c r="AJ339" i="3"/>
  <c r="AK339" i="3"/>
  <c r="AJ340" i="3"/>
  <c r="AK340" i="3"/>
  <c r="AK341" i="3"/>
  <c r="AJ341" i="3"/>
  <c r="AJ342" i="3"/>
  <c r="AK342" i="3"/>
  <c r="AK343" i="3"/>
  <c r="AJ343" i="3"/>
  <c r="AJ344" i="3"/>
  <c r="AK344" i="3"/>
  <c r="AK345" i="3"/>
  <c r="AJ345" i="3"/>
  <c r="AJ346" i="3"/>
  <c r="AK346" i="3"/>
  <c r="AJ347" i="3"/>
  <c r="AK347" i="3"/>
  <c r="AK348" i="3"/>
  <c r="AJ348" i="3"/>
  <c r="AK349" i="3"/>
  <c r="AJ349" i="3"/>
  <c r="AK350" i="3"/>
  <c r="AJ350" i="3"/>
  <c r="AK351" i="3"/>
  <c r="AJ351" i="3"/>
  <c r="AK352" i="3"/>
  <c r="AJ352" i="3"/>
  <c r="AK353" i="3"/>
  <c r="AJ353" i="3"/>
  <c r="AJ354" i="3"/>
  <c r="AK354" i="3"/>
  <c r="AK355" i="3"/>
  <c r="AJ355" i="3"/>
  <c r="AJ356" i="3"/>
  <c r="AK356" i="3"/>
  <c r="AJ357" i="3"/>
  <c r="AK357" i="3"/>
  <c r="AJ358" i="3"/>
  <c r="AK358" i="3"/>
  <c r="AK359" i="3"/>
  <c r="AJ359" i="3"/>
  <c r="AJ360" i="3"/>
  <c r="AK360" i="3"/>
  <c r="AJ361" i="3"/>
  <c r="AK361" i="3"/>
  <c r="AK362" i="3"/>
  <c r="AJ362" i="3"/>
  <c r="AJ363" i="3"/>
  <c r="AK363" i="3"/>
  <c r="AK364" i="3"/>
  <c r="AJ364" i="3"/>
  <c r="AJ365" i="3"/>
  <c r="AK365" i="3"/>
  <c r="AK366" i="3"/>
  <c r="AJ366" i="3"/>
  <c r="AJ367" i="3"/>
  <c r="AK367" i="3"/>
  <c r="AJ368" i="3"/>
  <c r="AK368" i="3"/>
  <c r="AK369" i="3"/>
  <c r="AJ369" i="3"/>
  <c r="AK370" i="3"/>
  <c r="AJ370" i="3"/>
  <c r="AJ371" i="3"/>
  <c r="AK371" i="3"/>
  <c r="AJ372" i="3"/>
  <c r="AK372" i="3"/>
  <c r="AJ373" i="3"/>
  <c r="AK373" i="3"/>
  <c r="AK374" i="3"/>
  <c r="AJ374" i="3"/>
  <c r="AJ375" i="3"/>
  <c r="AK375" i="3"/>
  <c r="AK376" i="3"/>
  <c r="AJ376" i="3"/>
  <c r="AJ377" i="3"/>
  <c r="AK377" i="3"/>
  <c r="AJ378" i="3"/>
  <c r="AK378" i="3"/>
  <c r="AJ379" i="3"/>
  <c r="AK379" i="3"/>
  <c r="AJ380" i="3"/>
  <c r="AK380" i="3"/>
  <c r="AK381" i="3"/>
  <c r="AJ381" i="3"/>
  <c r="AJ382" i="3"/>
  <c r="AK382" i="3"/>
  <c r="AK383" i="3"/>
  <c r="AJ383" i="3"/>
  <c r="AK384" i="3"/>
  <c r="AJ384" i="3"/>
  <c r="AJ385" i="3"/>
  <c r="AK385" i="3"/>
  <c r="AK386" i="3"/>
  <c r="AJ386" i="3"/>
  <c r="AK387" i="3"/>
  <c r="AJ387" i="3"/>
  <c r="AJ388" i="3"/>
  <c r="AK388" i="3"/>
  <c r="AK389" i="3"/>
  <c r="AJ389" i="3"/>
  <c r="AJ390" i="3"/>
  <c r="AK390" i="3"/>
  <c r="AK391" i="3"/>
  <c r="AJ391" i="3"/>
  <c r="AJ392" i="3"/>
  <c r="AK392" i="3"/>
  <c r="AJ393" i="3"/>
  <c r="AK393" i="3"/>
  <c r="AK394" i="3"/>
  <c r="AJ394" i="3"/>
  <c r="AK395" i="3"/>
  <c r="AJ395" i="3"/>
  <c r="AK396" i="3"/>
  <c r="AJ396" i="3"/>
  <c r="AK397" i="3"/>
  <c r="AJ397" i="3"/>
  <c r="AJ398" i="3"/>
  <c r="AK398" i="3"/>
  <c r="AK399" i="3"/>
  <c r="AJ399" i="3"/>
  <c r="AJ400" i="3"/>
  <c r="AK400" i="3"/>
  <c r="AJ401" i="3"/>
  <c r="AK401" i="3"/>
  <c r="AJ402" i="3"/>
  <c r="AK402" i="3"/>
  <c r="AK403" i="3"/>
  <c r="AJ403" i="3"/>
  <c r="AJ404" i="3"/>
  <c r="AK404" i="3"/>
  <c r="AK405" i="3"/>
  <c r="AJ405" i="3"/>
  <c r="AJ406" i="3"/>
  <c r="AK406" i="3"/>
  <c r="AK407" i="3"/>
  <c r="AJ407" i="3"/>
  <c r="AJ408" i="3"/>
  <c r="AK408" i="3"/>
  <c r="AJ409" i="3"/>
  <c r="AK409" i="3"/>
  <c r="AK410" i="3"/>
  <c r="AJ410" i="3"/>
  <c r="AK411" i="3"/>
  <c r="AJ411" i="3"/>
  <c r="AJ412" i="3"/>
  <c r="AK412" i="3"/>
  <c r="AK413" i="3"/>
  <c r="AJ413" i="3"/>
  <c r="AJ414" i="3"/>
  <c r="AK414" i="3"/>
  <c r="AK415" i="3"/>
  <c r="AJ415" i="3"/>
  <c r="AK416" i="3"/>
  <c r="AJ416" i="3"/>
  <c r="AJ417" i="3"/>
  <c r="AK417" i="3"/>
  <c r="AJ418" i="3"/>
  <c r="AK418" i="3"/>
  <c r="AJ419" i="3"/>
  <c r="AK419" i="3"/>
  <c r="AK420" i="3"/>
  <c r="AJ420" i="3"/>
  <c r="AK421" i="3"/>
  <c r="AJ421" i="3"/>
  <c r="AK422" i="3"/>
  <c r="AJ422" i="3"/>
  <c r="AJ423" i="3"/>
  <c r="AK423" i="3"/>
  <c r="AJ424" i="3"/>
  <c r="AK424" i="3"/>
  <c r="AK425" i="3"/>
  <c r="AJ425" i="3"/>
  <c r="AJ426" i="3"/>
  <c r="AK426" i="3"/>
  <c r="AJ427" i="3"/>
  <c r="AK427" i="3"/>
  <c r="AK428" i="3"/>
  <c r="AJ428" i="3"/>
  <c r="AJ429" i="3"/>
  <c r="AK429" i="3"/>
  <c r="AJ430" i="3"/>
  <c r="AK430" i="3"/>
  <c r="AK431" i="3"/>
  <c r="AJ431" i="3"/>
  <c r="AJ432" i="3"/>
  <c r="AK432" i="3"/>
  <c r="AJ433" i="3"/>
  <c r="AK433" i="3"/>
  <c r="AJ434" i="3"/>
  <c r="AK434" i="3"/>
  <c r="AK435" i="3"/>
  <c r="AJ435" i="3"/>
  <c r="AK436" i="3"/>
  <c r="AJ436" i="3"/>
  <c r="AJ437" i="3"/>
  <c r="AK437" i="3"/>
  <c r="AJ438" i="3"/>
  <c r="AK438" i="3"/>
  <c r="AJ439" i="3"/>
  <c r="AK439" i="3"/>
  <c r="AJ440" i="3"/>
  <c r="AK440" i="3"/>
  <c r="AK441" i="3"/>
  <c r="AJ441" i="3"/>
  <c r="AK442" i="3"/>
  <c r="AJ442" i="3"/>
  <c r="AJ443" i="3"/>
  <c r="AK443" i="3"/>
  <c r="AK444" i="3"/>
  <c r="AJ444" i="3"/>
  <c r="AJ445" i="3"/>
  <c r="AK445" i="3"/>
  <c r="AK446" i="3"/>
  <c r="AJ446" i="3"/>
  <c r="AK447" i="3"/>
  <c r="AJ447" i="3"/>
  <c r="AK448" i="3"/>
  <c r="AJ448" i="3"/>
  <c r="AK449" i="3"/>
  <c r="AJ449" i="3"/>
  <c r="AK450" i="3"/>
  <c r="AJ450" i="3"/>
  <c r="AK451" i="3"/>
  <c r="AJ451" i="3"/>
  <c r="AK452" i="3"/>
  <c r="AJ452" i="3"/>
  <c r="AJ453" i="3"/>
  <c r="AK453" i="3"/>
  <c r="AK454" i="3"/>
  <c r="AJ454" i="3"/>
  <c r="AK455" i="3"/>
  <c r="AJ455" i="3"/>
  <c r="AJ456" i="3"/>
  <c r="AK456" i="3"/>
  <c r="AK457" i="3"/>
  <c r="AJ457" i="3"/>
  <c r="AJ458" i="3"/>
  <c r="AK458" i="3"/>
  <c r="AJ459" i="3"/>
  <c r="AK459" i="3"/>
  <c r="AJ460" i="3"/>
  <c r="AK460" i="3"/>
  <c r="AK461" i="3"/>
  <c r="AJ461" i="3"/>
  <c r="AK462" i="3"/>
  <c r="AJ462" i="3"/>
  <c r="AJ463" i="3"/>
  <c r="AK463" i="3"/>
  <c r="AJ464" i="3"/>
  <c r="AK464" i="3"/>
  <c r="AK465" i="3"/>
  <c r="AJ465" i="3"/>
  <c r="AJ466" i="3"/>
  <c r="AK466" i="3"/>
  <c r="AJ467" i="3"/>
  <c r="AK467" i="3"/>
  <c r="AK468" i="3"/>
  <c r="AJ468" i="3"/>
  <c r="AK469" i="3"/>
  <c r="AJ469" i="3"/>
  <c r="AK470" i="3"/>
  <c r="AJ470" i="3"/>
  <c r="AK471" i="3"/>
  <c r="AJ471" i="3"/>
  <c r="AK472" i="3"/>
  <c r="AJ472" i="3"/>
  <c r="AK473" i="3"/>
  <c r="AJ473" i="3"/>
  <c r="AK474" i="3"/>
  <c r="AJ474" i="3"/>
  <c r="AJ475" i="3"/>
  <c r="AK475" i="3"/>
  <c r="AJ476" i="3"/>
  <c r="AK476" i="3"/>
  <c r="AK477" i="3"/>
  <c r="AJ477" i="3"/>
  <c r="AK478" i="3"/>
  <c r="AJ478" i="3"/>
  <c r="AK479" i="3"/>
  <c r="AJ479" i="3"/>
  <c r="AK480" i="3"/>
  <c r="AJ480" i="3"/>
  <c r="AJ481" i="3"/>
  <c r="AK481" i="3"/>
  <c r="AK482" i="3"/>
  <c r="AJ482" i="3"/>
  <c r="AJ483" i="3"/>
  <c r="AK483" i="3"/>
  <c r="AJ484" i="3"/>
  <c r="AK484" i="3"/>
  <c r="AK485" i="3"/>
  <c r="AJ485" i="3"/>
  <c r="AK486" i="3"/>
  <c r="AJ486" i="3"/>
  <c r="AK487" i="3"/>
  <c r="AJ487" i="3"/>
  <c r="AJ488" i="3"/>
  <c r="AK488" i="3"/>
  <c r="AK489" i="3"/>
  <c r="AJ489" i="3"/>
  <c r="AJ490" i="3"/>
  <c r="AK490" i="3"/>
  <c r="AJ491" i="3"/>
  <c r="AK491" i="3"/>
  <c r="AK492" i="3"/>
  <c r="AJ492" i="3"/>
  <c r="AK493" i="3"/>
  <c r="AJ493" i="3"/>
  <c r="AK494" i="3"/>
  <c r="AJ494" i="3"/>
  <c r="AK495" i="3"/>
  <c r="AJ495" i="3"/>
  <c r="AJ496" i="3"/>
  <c r="AK496" i="3"/>
  <c r="AK497" i="3"/>
  <c r="AJ497" i="3"/>
  <c r="AJ498" i="3"/>
  <c r="AK498" i="3"/>
  <c r="AJ499" i="3"/>
  <c r="AK499" i="3"/>
  <c r="AK500" i="3"/>
  <c r="AJ500" i="3"/>
  <c r="AK501" i="3"/>
  <c r="AJ501" i="3"/>
  <c r="AK502" i="3"/>
  <c r="AJ502" i="3"/>
  <c r="AK503" i="3"/>
  <c r="AJ503" i="3"/>
  <c r="AK504" i="3"/>
  <c r="AJ504" i="3"/>
  <c r="AK505" i="3"/>
  <c r="AJ505" i="3"/>
  <c r="AJ506" i="3"/>
  <c r="AK506" i="3"/>
  <c r="AJ507" i="3"/>
  <c r="AK507" i="3"/>
  <c r="AK508" i="3"/>
  <c r="AJ508" i="3"/>
  <c r="AJ509" i="3"/>
  <c r="AK509" i="3"/>
  <c r="AK510" i="3"/>
  <c r="AJ510" i="3"/>
  <c r="AJ511" i="3"/>
  <c r="AK511" i="3"/>
  <c r="AK512" i="3"/>
  <c r="AJ512" i="3"/>
  <c r="AJ513" i="3"/>
  <c r="AK513" i="3"/>
  <c r="AJ514" i="3"/>
  <c r="AK514" i="3"/>
  <c r="AK515" i="3"/>
  <c r="AJ515" i="3"/>
  <c r="AJ516" i="3"/>
  <c r="AK516" i="3"/>
  <c r="AK517" i="3"/>
  <c r="AJ517" i="3"/>
  <c r="AJ518" i="3"/>
  <c r="AK518" i="3"/>
  <c r="AJ519" i="3"/>
  <c r="AK519" i="3"/>
  <c r="AJ520" i="3"/>
  <c r="AK520" i="3"/>
  <c r="AK521" i="3"/>
  <c r="AJ521" i="3"/>
  <c r="AK522" i="3"/>
  <c r="AJ522" i="3"/>
  <c r="AJ523" i="3"/>
  <c r="AK523" i="3"/>
  <c r="AK524" i="3"/>
  <c r="AJ524" i="3"/>
  <c r="AJ525" i="3"/>
  <c r="AK525" i="3"/>
  <c r="AK526" i="3"/>
  <c r="AJ526" i="3"/>
  <c r="AJ527" i="3"/>
  <c r="AK527" i="3"/>
  <c r="AK528" i="3"/>
  <c r="AJ528" i="3"/>
  <c r="AJ529" i="3"/>
  <c r="AK529" i="3"/>
  <c r="AJ530" i="3"/>
  <c r="AK530" i="3"/>
  <c r="AJ531" i="3"/>
  <c r="AK531" i="3"/>
  <c r="AJ532" i="3"/>
  <c r="AK532" i="3"/>
  <c r="AK533" i="3"/>
  <c r="AJ533" i="3"/>
  <c r="AJ534" i="3"/>
  <c r="AK534" i="3"/>
  <c r="AJ535" i="3"/>
  <c r="AK535" i="3"/>
  <c r="AJ536" i="3"/>
  <c r="AK536" i="3"/>
  <c r="AJ537" i="3"/>
  <c r="AK537" i="3"/>
  <c r="AK538" i="3"/>
  <c r="AJ538" i="3"/>
  <c r="AJ539" i="3"/>
  <c r="AK539" i="3"/>
  <c r="AJ540" i="3"/>
  <c r="AK540" i="3"/>
  <c r="AJ541" i="3"/>
  <c r="AK541" i="3"/>
  <c r="AK542" i="3"/>
  <c r="AJ542" i="3"/>
  <c r="AJ543" i="3"/>
  <c r="AK543" i="3"/>
  <c r="AK544" i="3"/>
  <c r="AJ544" i="3"/>
  <c r="AK545" i="3"/>
  <c r="AJ545" i="3"/>
  <c r="AJ546" i="3"/>
  <c r="AK546" i="3"/>
  <c r="AK547" i="3"/>
  <c r="AJ547" i="3"/>
  <c r="AJ548" i="3"/>
  <c r="AK548" i="3"/>
  <c r="AJ549" i="3"/>
  <c r="AK549" i="3"/>
  <c r="AK550" i="3"/>
  <c r="AJ550" i="3"/>
  <c r="AK551" i="3"/>
  <c r="AJ551" i="3"/>
  <c r="AJ552" i="3"/>
  <c r="AK552" i="3"/>
  <c r="AJ553" i="3"/>
  <c r="AK553" i="3"/>
  <c r="AJ554" i="3"/>
  <c r="AK554" i="3"/>
  <c r="AK555" i="3"/>
  <c r="AJ555" i="3"/>
  <c r="AK556" i="3"/>
  <c r="AJ556" i="3"/>
  <c r="AJ557" i="3"/>
  <c r="AK557" i="3"/>
  <c r="AJ558" i="3"/>
  <c r="AK558" i="3"/>
  <c r="AK559" i="3"/>
  <c r="AJ559" i="3"/>
  <c r="AJ560" i="3"/>
  <c r="AK560" i="3"/>
  <c r="AK561" i="3"/>
  <c r="AJ561" i="3"/>
  <c r="AJ562" i="3"/>
  <c r="AK562" i="3"/>
  <c r="AJ563" i="3"/>
  <c r="AK563" i="3"/>
  <c r="AJ564" i="3"/>
  <c r="AK564" i="3"/>
  <c r="AJ565" i="3"/>
  <c r="AK565" i="3"/>
  <c r="AK566" i="3"/>
  <c r="AJ566" i="3"/>
  <c r="AK567" i="3"/>
  <c r="AJ567" i="3"/>
  <c r="AK568" i="3"/>
  <c r="AJ568" i="3"/>
  <c r="AK569" i="3"/>
  <c r="AJ569" i="3"/>
  <c r="AJ570" i="3"/>
  <c r="AK570" i="3"/>
  <c r="AK571" i="3"/>
  <c r="AJ571" i="3"/>
  <c r="AK572" i="3"/>
  <c r="AJ572" i="3"/>
  <c r="AK573" i="3"/>
  <c r="AJ573" i="3"/>
  <c r="AK574" i="3"/>
  <c r="AJ574" i="3"/>
  <c r="AK575" i="3"/>
  <c r="AJ575" i="3"/>
  <c r="AK576" i="3"/>
  <c r="AJ576" i="3"/>
  <c r="AK577" i="3"/>
  <c r="AJ577" i="3"/>
  <c r="AK578" i="3"/>
  <c r="AJ578" i="3"/>
  <c r="AJ579" i="3"/>
  <c r="AK579" i="3"/>
  <c r="AJ580" i="3"/>
  <c r="AK580" i="3"/>
  <c r="AJ581" i="3"/>
  <c r="AK581" i="3"/>
  <c r="AJ582" i="3"/>
  <c r="AK582" i="3"/>
  <c r="AJ583" i="3"/>
  <c r="AK583" i="3"/>
  <c r="AK584" i="3"/>
  <c r="AJ584" i="3"/>
  <c r="AJ585" i="3"/>
  <c r="AK585" i="3"/>
  <c r="AK586" i="3"/>
  <c r="AJ586" i="3"/>
  <c r="AK587" i="3"/>
  <c r="AJ587" i="3"/>
  <c r="AK588" i="3"/>
  <c r="AJ588" i="3"/>
  <c r="AK589" i="3"/>
  <c r="AJ589" i="3"/>
  <c r="AJ590" i="3"/>
  <c r="AK590" i="3"/>
  <c r="AJ591" i="3"/>
  <c r="AK591" i="3"/>
  <c r="AJ592" i="3"/>
  <c r="AK592" i="3"/>
  <c r="AJ593" i="3"/>
  <c r="AK593" i="3"/>
  <c r="AK594" i="3"/>
  <c r="AJ594" i="3"/>
  <c r="AK595" i="3"/>
  <c r="AJ595" i="3"/>
  <c r="AK596" i="3"/>
  <c r="AJ596" i="3"/>
  <c r="AK597" i="3"/>
  <c r="AJ597" i="3"/>
  <c r="AJ598" i="3"/>
  <c r="AK598" i="3"/>
  <c r="AK599" i="3"/>
  <c r="AJ599" i="3"/>
  <c r="AK600" i="3"/>
  <c r="AJ600" i="3"/>
  <c r="AK601" i="3"/>
  <c r="AJ601" i="3"/>
  <c r="AK602" i="3"/>
  <c r="AJ602" i="3"/>
  <c r="AJ603" i="3"/>
  <c r="AK603" i="3"/>
  <c r="AK604" i="3"/>
  <c r="AJ604" i="3"/>
  <c r="AK605" i="3"/>
  <c r="AJ605" i="3"/>
  <c r="AK606" i="3"/>
  <c r="AJ606" i="3"/>
  <c r="AJ607" i="3"/>
  <c r="AK607" i="3"/>
  <c r="AJ608" i="3"/>
  <c r="AK608" i="3"/>
  <c r="AJ609" i="3"/>
  <c r="AK609" i="3"/>
  <c r="AK610" i="3"/>
  <c r="AJ610" i="3"/>
  <c r="AJ611" i="3"/>
  <c r="AK611" i="3"/>
  <c r="AK612" i="3"/>
  <c r="AJ612" i="3"/>
  <c r="AK613" i="3"/>
  <c r="AJ613" i="3"/>
  <c r="AK614" i="3"/>
  <c r="AJ614" i="3"/>
  <c r="AJ615" i="3"/>
  <c r="AK615" i="3"/>
  <c r="AJ616" i="3"/>
  <c r="AK616" i="3"/>
  <c r="AK617" i="3"/>
  <c r="AJ617" i="3"/>
  <c r="AK618" i="3"/>
  <c r="AJ618" i="3"/>
  <c r="AJ619" i="3"/>
  <c r="AK619" i="3"/>
  <c r="AK620" i="3"/>
  <c r="AJ620" i="3"/>
  <c r="AJ621" i="3"/>
  <c r="AK621" i="3"/>
  <c r="AK622" i="3"/>
  <c r="AJ622" i="3"/>
  <c r="AJ623" i="3"/>
  <c r="AK623" i="3"/>
  <c r="AK624" i="3"/>
  <c r="AJ624" i="3"/>
  <c r="AK625" i="3"/>
  <c r="AJ625" i="3"/>
  <c r="AK626" i="3"/>
  <c r="AJ626" i="3"/>
  <c r="AK627" i="3"/>
  <c r="AJ627" i="3"/>
  <c r="AJ628" i="3"/>
  <c r="AK628" i="3"/>
  <c r="AJ629" i="3"/>
  <c r="AK629" i="3"/>
  <c r="AK630" i="3"/>
  <c r="AJ630" i="3"/>
  <c r="AK631" i="3"/>
  <c r="AJ631" i="3"/>
  <c r="AK632" i="3"/>
  <c r="AJ632" i="3"/>
  <c r="AK633" i="3"/>
  <c r="AJ633" i="3"/>
  <c r="AJ634" i="3"/>
  <c r="AK634" i="3"/>
  <c r="AK635" i="3"/>
  <c r="AJ635" i="3"/>
  <c r="AJ636" i="3"/>
  <c r="AK636" i="3"/>
  <c r="AK637" i="3"/>
  <c r="AJ637" i="3"/>
  <c r="AJ638" i="3"/>
  <c r="AK638" i="3"/>
  <c r="AJ639" i="3"/>
  <c r="AK639" i="3"/>
  <c r="AK640" i="3"/>
  <c r="AJ640" i="3"/>
  <c r="AJ641" i="3"/>
  <c r="AK641" i="3"/>
  <c r="AK642" i="3"/>
  <c r="AJ642" i="3"/>
  <c r="AJ643" i="3"/>
  <c r="AK643" i="3"/>
  <c r="AJ644" i="3"/>
  <c r="AK644" i="3"/>
  <c r="AK645" i="3"/>
  <c r="AJ645" i="3"/>
  <c r="AK646" i="3"/>
  <c r="AJ646" i="3"/>
  <c r="AJ647" i="3"/>
  <c r="AK647" i="3"/>
  <c r="AK648" i="3"/>
  <c r="AJ648" i="3"/>
  <c r="AJ649" i="3"/>
  <c r="AK649" i="3"/>
  <c r="AJ650" i="3"/>
  <c r="AK650" i="3"/>
  <c r="AK651" i="3"/>
  <c r="AJ651" i="3"/>
  <c r="AK652" i="3"/>
  <c r="AJ652" i="3"/>
  <c r="AK653" i="3"/>
  <c r="AJ653" i="3"/>
  <c r="AJ654" i="3"/>
  <c r="AK654" i="3"/>
  <c r="AK655" i="3"/>
  <c r="AJ655" i="3"/>
  <c r="AJ656" i="3"/>
  <c r="AK656" i="3"/>
  <c r="AJ657" i="3"/>
  <c r="AK657" i="3"/>
  <c r="AJ658" i="3"/>
  <c r="AK658" i="3"/>
  <c r="AK659" i="3"/>
  <c r="AJ659" i="3"/>
  <c r="AK660" i="3"/>
  <c r="AJ660" i="3"/>
  <c r="AK661" i="3"/>
  <c r="AJ661" i="3"/>
  <c r="AJ662" i="3"/>
  <c r="AK662" i="3"/>
  <c r="AJ663" i="3"/>
  <c r="AK663" i="3"/>
  <c r="AK664" i="3"/>
  <c r="AJ664" i="3"/>
  <c r="AJ665" i="3"/>
  <c r="AK665" i="3"/>
  <c r="AJ666" i="3"/>
  <c r="AK666" i="3"/>
  <c r="AJ667" i="3"/>
  <c r="AK667" i="3"/>
  <c r="AK668" i="3"/>
  <c r="AJ668" i="3"/>
  <c r="AJ669" i="3"/>
  <c r="AK669" i="3"/>
  <c r="AK670" i="3"/>
  <c r="AJ670" i="3"/>
  <c r="AK671" i="3"/>
  <c r="AJ671" i="3"/>
  <c r="AK672" i="3"/>
  <c r="AJ672" i="3"/>
  <c r="AK673" i="3"/>
  <c r="AJ673" i="3"/>
  <c r="AK674" i="3"/>
  <c r="AJ674" i="3"/>
  <c r="AJ675" i="3"/>
  <c r="AK675" i="3"/>
  <c r="AK676" i="3"/>
  <c r="AJ676" i="3"/>
  <c r="AK677" i="3"/>
  <c r="AJ677" i="3"/>
  <c r="AK678" i="3"/>
  <c r="AJ678" i="3"/>
  <c r="AJ679" i="3"/>
  <c r="AK679" i="3"/>
  <c r="AJ680" i="3"/>
  <c r="AK680" i="3"/>
  <c r="AK681" i="3"/>
  <c r="AJ681" i="3"/>
  <c r="AJ682" i="3"/>
  <c r="AK682" i="3"/>
  <c r="AK683" i="3"/>
  <c r="AJ683" i="3"/>
  <c r="AJ684" i="3"/>
  <c r="AK684" i="3"/>
  <c r="AK685" i="3"/>
  <c r="AJ685" i="3"/>
  <c r="AJ686" i="3"/>
  <c r="AK686" i="3"/>
  <c r="AK687" i="3"/>
  <c r="AJ687" i="3"/>
  <c r="AK688" i="3"/>
  <c r="AJ688" i="3"/>
  <c r="AJ689" i="3"/>
  <c r="AK689" i="3"/>
  <c r="AJ690" i="3"/>
  <c r="AK690" i="3"/>
  <c r="AJ691" i="3"/>
  <c r="AK691" i="3"/>
  <c r="AJ692" i="3"/>
  <c r="AK692" i="3"/>
  <c r="AK693" i="3"/>
  <c r="AJ693" i="3"/>
  <c r="AJ694" i="3"/>
  <c r="AK694" i="3"/>
  <c r="AJ695" i="3"/>
  <c r="AK695" i="3"/>
  <c r="AJ696" i="3"/>
  <c r="AK696" i="3"/>
  <c r="AJ697" i="3"/>
  <c r="AK697" i="3"/>
  <c r="AK698" i="3"/>
  <c r="AJ698" i="3"/>
  <c r="AJ699" i="3"/>
  <c r="AK699" i="3"/>
  <c r="AK700" i="3"/>
  <c r="AJ700" i="3"/>
  <c r="AJ701" i="3"/>
  <c r="AK701" i="3"/>
  <c r="AK702" i="3"/>
  <c r="AJ702" i="3"/>
  <c r="AJ703" i="3"/>
  <c r="AK703" i="3"/>
  <c r="AJ704" i="3"/>
  <c r="AK704" i="3"/>
  <c r="AJ705" i="3"/>
  <c r="AK705" i="3"/>
  <c r="AK706" i="3"/>
  <c r="AJ706" i="3"/>
  <c r="AJ707" i="3"/>
  <c r="AK707" i="3"/>
  <c r="AK708" i="3"/>
  <c r="AJ708" i="3"/>
  <c r="AJ709" i="3"/>
  <c r="AK709" i="3"/>
  <c r="AJ710" i="3"/>
  <c r="AK710" i="3"/>
  <c r="AJ711" i="3"/>
  <c r="AK711" i="3"/>
  <c r="AK712" i="3"/>
  <c r="AJ712" i="3"/>
  <c r="AJ713" i="3"/>
  <c r="AK713" i="3"/>
  <c r="AK714" i="3"/>
  <c r="AJ714" i="3"/>
  <c r="AK715" i="3"/>
  <c r="AJ715" i="3"/>
  <c r="AJ716" i="3"/>
  <c r="AK716" i="3"/>
  <c r="AJ717" i="3"/>
  <c r="AK717" i="3"/>
  <c r="AK718" i="3"/>
  <c r="AJ718" i="3"/>
  <c r="AJ719" i="3"/>
  <c r="AK719" i="3"/>
  <c r="AJ720" i="3"/>
  <c r="AK720" i="3"/>
  <c r="AK721" i="3"/>
  <c r="AJ721" i="3"/>
  <c r="AJ722" i="3"/>
  <c r="AK722" i="3"/>
  <c r="AJ723" i="3"/>
  <c r="AK723" i="3"/>
  <c r="AK724" i="3"/>
  <c r="AJ724" i="3"/>
  <c r="AJ725" i="3"/>
  <c r="AK725" i="3"/>
  <c r="AJ726" i="3"/>
  <c r="AK726" i="3"/>
  <c r="AJ727" i="3"/>
  <c r="AK727" i="3"/>
  <c r="AJ728" i="3"/>
  <c r="AK728" i="3"/>
  <c r="AK729" i="3"/>
  <c r="AJ729" i="3"/>
  <c r="AJ730" i="3"/>
  <c r="AK730" i="3"/>
  <c r="AK731" i="3"/>
  <c r="AJ731" i="3"/>
  <c r="AJ732" i="3"/>
  <c r="AK732" i="3"/>
  <c r="AK733" i="3"/>
  <c r="AJ733" i="3"/>
  <c r="AJ734" i="3"/>
  <c r="AK734" i="3"/>
  <c r="AK735" i="3"/>
  <c r="AJ735" i="3"/>
  <c r="AJ736" i="3"/>
  <c r="AK736" i="3"/>
  <c r="AJ737" i="3"/>
  <c r="AK737" i="3"/>
  <c r="AJ738" i="3"/>
  <c r="AK738" i="3"/>
  <c r="AK739" i="3"/>
  <c r="AJ739" i="3"/>
  <c r="AJ740" i="3"/>
  <c r="AK740" i="3"/>
  <c r="AK741" i="3"/>
  <c r="AJ741" i="3"/>
  <c r="AK742" i="3"/>
  <c r="AJ742" i="3"/>
  <c r="AK743" i="3"/>
  <c r="AJ743" i="3"/>
  <c r="AK744" i="3"/>
  <c r="AJ744" i="3"/>
  <c r="AJ745" i="3"/>
  <c r="AK745" i="3"/>
  <c r="AK746" i="3"/>
  <c r="AJ746" i="3"/>
  <c r="AK747" i="3"/>
  <c r="AJ747" i="3"/>
  <c r="AK748" i="3"/>
  <c r="AJ748" i="3"/>
  <c r="AK749" i="3"/>
  <c r="AJ749" i="3"/>
  <c r="AK750" i="3"/>
  <c r="AJ750" i="3"/>
  <c r="AJ751" i="3"/>
  <c r="AK751" i="3"/>
  <c r="AJ752" i="3"/>
  <c r="AK752" i="3"/>
  <c r="AJ753" i="3"/>
  <c r="AK753" i="3"/>
  <c r="AK754" i="3"/>
  <c r="AJ754" i="3"/>
  <c r="AK755" i="3"/>
  <c r="AJ755" i="3"/>
  <c r="AK756" i="3"/>
  <c r="AJ756" i="3"/>
  <c r="AK757" i="3"/>
  <c r="AJ757" i="3"/>
  <c r="AK758" i="3"/>
  <c r="AJ758" i="3"/>
  <c r="AK759" i="3"/>
  <c r="AJ759" i="3"/>
  <c r="AJ760" i="3"/>
  <c r="AK760" i="3"/>
  <c r="AK761" i="3"/>
  <c r="AJ761" i="3"/>
  <c r="AJ762" i="3"/>
  <c r="AK762" i="3"/>
  <c r="AK763" i="3"/>
  <c r="AJ763" i="3"/>
  <c r="AK764" i="3"/>
  <c r="AJ764" i="3"/>
  <c r="AJ765" i="3"/>
  <c r="AK765" i="3"/>
  <c r="AJ766" i="3"/>
  <c r="AK766" i="3"/>
  <c r="AJ767" i="3"/>
  <c r="AK767" i="3"/>
  <c r="AK768" i="3"/>
  <c r="AJ768" i="3"/>
  <c r="AJ769" i="3"/>
  <c r="AK769" i="3"/>
  <c r="AJ770" i="3"/>
  <c r="AK770" i="3"/>
  <c r="AK771" i="3"/>
  <c r="AJ771" i="3"/>
  <c r="AJ772" i="3"/>
  <c r="AK772" i="3"/>
  <c r="AJ773" i="3"/>
  <c r="AK773" i="3"/>
  <c r="AK774" i="3"/>
  <c r="AJ774" i="3"/>
  <c r="AJ775" i="3"/>
  <c r="AK775" i="3"/>
  <c r="AJ776" i="3"/>
  <c r="AK776" i="3"/>
  <c r="AJ777" i="3"/>
  <c r="AK777" i="3"/>
  <c r="AJ778" i="3"/>
  <c r="AK778" i="3"/>
  <c r="AJ779" i="3"/>
  <c r="AK779" i="3"/>
  <c r="AK780" i="3"/>
  <c r="AJ780" i="3"/>
  <c r="AJ781" i="3"/>
  <c r="AK781" i="3"/>
  <c r="AJ782" i="3"/>
  <c r="AK782" i="3"/>
  <c r="AJ783" i="3"/>
  <c r="AK783" i="3"/>
  <c r="AK784" i="3"/>
  <c r="AJ784" i="3"/>
  <c r="AK785" i="3"/>
  <c r="AJ785" i="3"/>
  <c r="AK786" i="3"/>
  <c r="AJ786" i="3"/>
  <c r="AJ787" i="3"/>
  <c r="AK787" i="3"/>
  <c r="AJ788" i="3"/>
  <c r="AK788" i="3"/>
  <c r="AJ789" i="3"/>
  <c r="AK789" i="3"/>
  <c r="AJ790" i="3"/>
  <c r="AK790" i="3"/>
  <c r="AJ791" i="3"/>
  <c r="AK791" i="3"/>
  <c r="AK792" i="3"/>
  <c r="AJ792" i="3"/>
  <c r="AK793" i="3"/>
  <c r="AJ793" i="3"/>
  <c r="AK794" i="3"/>
  <c r="AJ794" i="3"/>
  <c r="AK795" i="3"/>
  <c r="AJ795" i="3"/>
  <c r="AJ796" i="3"/>
  <c r="AK796" i="3"/>
  <c r="AK797" i="3"/>
  <c r="AJ797" i="3"/>
  <c r="AJ798" i="3"/>
  <c r="AK798" i="3"/>
  <c r="AJ799" i="3"/>
  <c r="AK799" i="3"/>
  <c r="AJ800" i="3"/>
  <c r="AK800" i="3"/>
  <c r="AK801" i="3"/>
  <c r="AJ801" i="3"/>
  <c r="AK802" i="3"/>
  <c r="AJ802" i="3"/>
  <c r="AJ803" i="3"/>
  <c r="AK803" i="3"/>
  <c r="AK804" i="3"/>
  <c r="AJ804" i="3"/>
  <c r="AJ805" i="3"/>
  <c r="AK805" i="3"/>
  <c r="AK806" i="3"/>
  <c r="AJ806" i="3"/>
  <c r="AK807" i="3"/>
  <c r="AJ807" i="3"/>
  <c r="AJ808" i="3"/>
  <c r="AK808" i="3"/>
  <c r="AK809" i="3"/>
  <c r="AJ809" i="3"/>
  <c r="AJ810" i="3"/>
  <c r="AK810" i="3"/>
  <c r="AJ811" i="3"/>
  <c r="AK811" i="3"/>
  <c r="AJ812" i="3"/>
  <c r="AK812" i="3"/>
  <c r="AK813" i="3"/>
  <c r="AJ813" i="3"/>
  <c r="AK814" i="3"/>
  <c r="AJ814" i="3"/>
  <c r="AJ815" i="3"/>
  <c r="AK815" i="3"/>
  <c r="AJ816" i="3"/>
  <c r="AK816" i="3"/>
  <c r="AK817" i="3"/>
  <c r="AJ817" i="3"/>
  <c r="AJ818" i="3"/>
  <c r="AK818" i="3"/>
  <c r="AJ819" i="3"/>
  <c r="AK819" i="3"/>
  <c r="AJ820" i="3"/>
  <c r="AK820" i="3"/>
  <c r="AK821" i="3"/>
  <c r="AJ821" i="3"/>
  <c r="AK822" i="3"/>
  <c r="AJ822" i="3"/>
  <c r="AK823" i="3"/>
  <c r="AJ823" i="3"/>
  <c r="AK824" i="3"/>
  <c r="AJ824" i="3"/>
  <c r="AJ825" i="3"/>
  <c r="AK825" i="3"/>
  <c r="AK826" i="3"/>
  <c r="AJ826" i="3"/>
  <c r="AJ827" i="3"/>
  <c r="AK827" i="3"/>
  <c r="AK828" i="3"/>
  <c r="AJ828" i="3"/>
  <c r="AJ829" i="3"/>
  <c r="AK829" i="3"/>
  <c r="AJ830" i="3"/>
  <c r="AK830" i="3"/>
  <c r="AJ831" i="3"/>
  <c r="AK831" i="3"/>
  <c r="AK832" i="3"/>
  <c r="AJ832" i="3"/>
  <c r="AJ833" i="3"/>
  <c r="AK833" i="3"/>
  <c r="AK834" i="3"/>
  <c r="AJ834" i="3"/>
  <c r="AJ835" i="3"/>
  <c r="AK835" i="3"/>
  <c r="AK836" i="3"/>
  <c r="AJ836" i="3"/>
  <c r="AK837" i="3"/>
  <c r="AJ837" i="3"/>
  <c r="AJ838" i="3"/>
  <c r="AK838" i="3"/>
  <c r="AK839" i="3"/>
  <c r="AJ839" i="3"/>
  <c r="AJ840" i="3"/>
  <c r="AK840" i="3"/>
  <c r="AJ841" i="3"/>
  <c r="AK841" i="3"/>
  <c r="AK842" i="3"/>
  <c r="AJ842" i="3"/>
  <c r="AK843" i="3"/>
  <c r="AJ843" i="3"/>
  <c r="AJ844" i="3"/>
  <c r="AK844" i="3"/>
  <c r="AJ845" i="3"/>
  <c r="AK845" i="3"/>
  <c r="AK846" i="3"/>
  <c r="AJ846" i="3"/>
  <c r="AK847" i="3"/>
  <c r="AJ847" i="3"/>
  <c r="AK848" i="3"/>
  <c r="AJ848" i="3"/>
  <c r="AJ849" i="3"/>
  <c r="AK849" i="3"/>
  <c r="AJ850" i="3"/>
  <c r="AK850" i="3"/>
  <c r="AJ851" i="3"/>
  <c r="AK851" i="3"/>
  <c r="AK852" i="3"/>
  <c r="AJ852" i="3"/>
  <c r="AK853" i="3"/>
  <c r="AJ853" i="3"/>
  <c r="AJ854" i="3"/>
  <c r="AK854" i="3"/>
  <c r="AK855" i="3"/>
  <c r="AJ855" i="3"/>
  <c r="AK856" i="3"/>
  <c r="AJ856" i="3"/>
  <c r="AJ857" i="3"/>
  <c r="AK857" i="3"/>
  <c r="AK858" i="3"/>
  <c r="AJ858" i="3"/>
  <c r="AJ859" i="3"/>
  <c r="AK859" i="3"/>
  <c r="AK860" i="3"/>
  <c r="AJ860" i="3"/>
  <c r="AJ861" i="3"/>
  <c r="AK861" i="3"/>
  <c r="AJ862" i="3"/>
  <c r="AK862" i="3"/>
  <c r="AJ863" i="3"/>
  <c r="AK863" i="3"/>
  <c r="AJ864" i="3"/>
  <c r="AK864" i="3"/>
  <c r="AJ865" i="3"/>
  <c r="AK865" i="3"/>
  <c r="AK866" i="3"/>
  <c r="AJ866" i="3"/>
  <c r="AK867" i="3"/>
  <c r="AJ867" i="3"/>
  <c r="AJ868" i="3"/>
  <c r="AK868" i="3"/>
  <c r="AJ869" i="3"/>
  <c r="AK869" i="3"/>
  <c r="AJ870" i="3"/>
  <c r="AK870" i="3"/>
  <c r="AK871" i="3"/>
  <c r="AJ871" i="3"/>
  <c r="AK872" i="3"/>
  <c r="AJ872" i="3"/>
  <c r="AK873" i="3"/>
  <c r="AJ873" i="3"/>
  <c r="AJ874" i="3"/>
  <c r="AK874" i="3"/>
  <c r="AK875" i="3"/>
  <c r="AJ875" i="3"/>
  <c r="AK876" i="3"/>
  <c r="AJ876" i="3"/>
  <c r="AK877" i="3"/>
  <c r="AJ877" i="3"/>
  <c r="AJ878" i="3"/>
  <c r="AK878" i="3"/>
  <c r="AJ879" i="3"/>
  <c r="AK879" i="3"/>
  <c r="AJ880" i="3"/>
  <c r="AK880" i="3"/>
  <c r="AJ881" i="3"/>
  <c r="AK881" i="3"/>
  <c r="AJ882" i="3"/>
  <c r="AK882" i="3"/>
  <c r="AK883" i="3"/>
  <c r="AJ883" i="3"/>
  <c r="AJ884" i="3"/>
  <c r="AK884" i="3"/>
  <c r="AK885" i="3"/>
  <c r="AJ885" i="3"/>
  <c r="AK886" i="3"/>
  <c r="AJ886" i="3"/>
  <c r="AK887" i="3"/>
  <c r="AJ887" i="3"/>
  <c r="AJ888" i="3"/>
  <c r="AK888" i="3"/>
  <c r="AK889" i="3"/>
  <c r="AJ889" i="3"/>
  <c r="AJ890" i="3"/>
  <c r="AK890" i="3"/>
  <c r="AK891" i="3"/>
  <c r="AJ891" i="3"/>
  <c r="AJ892" i="3"/>
  <c r="AK892" i="3"/>
  <c r="AK893" i="3"/>
  <c r="AJ893" i="3"/>
  <c r="AK894" i="3"/>
  <c r="AJ894" i="3"/>
  <c r="AK895" i="3"/>
  <c r="AJ895" i="3"/>
  <c r="AK896" i="3"/>
  <c r="AJ896" i="3"/>
  <c r="AJ897" i="3"/>
  <c r="AK897" i="3"/>
  <c r="AJ898" i="3"/>
  <c r="AK898" i="3"/>
  <c r="AJ899" i="3"/>
  <c r="AK899" i="3"/>
  <c r="AJ900" i="3"/>
  <c r="AK900" i="3"/>
  <c r="AJ901" i="3"/>
  <c r="AK901" i="3"/>
  <c r="AK902" i="3"/>
  <c r="AJ902" i="3"/>
  <c r="AJ903" i="3"/>
  <c r="AK903" i="3"/>
  <c r="AJ904" i="3"/>
  <c r="AK904" i="3"/>
  <c r="AK905" i="3"/>
  <c r="AJ905" i="3"/>
  <c r="AJ906" i="3"/>
  <c r="AK906" i="3"/>
  <c r="AK907" i="3"/>
  <c r="AJ907" i="3"/>
  <c r="AJ908" i="3"/>
  <c r="AK908" i="3"/>
  <c r="AJ909" i="3"/>
  <c r="AK909" i="3"/>
  <c r="AJ910" i="3"/>
  <c r="AK910" i="3"/>
  <c r="AJ911" i="3"/>
  <c r="AK911" i="3"/>
  <c r="AJ912" i="3"/>
  <c r="AK912" i="3"/>
  <c r="AK913" i="3"/>
  <c r="AJ913" i="3"/>
  <c r="AK914" i="3"/>
  <c r="AJ914" i="3"/>
  <c r="AJ915" i="3"/>
  <c r="AK915" i="3"/>
  <c r="AJ916" i="3"/>
  <c r="AK916" i="3"/>
  <c r="AJ917" i="3"/>
  <c r="AK917" i="3"/>
  <c r="AJ918" i="3"/>
  <c r="AK918" i="3"/>
  <c r="AK919" i="3"/>
  <c r="AJ919" i="3"/>
  <c r="AK920" i="3"/>
  <c r="AJ920" i="3"/>
  <c r="AJ921" i="3"/>
  <c r="AK921" i="3"/>
  <c r="AJ922" i="3"/>
  <c r="AK922" i="3"/>
  <c r="AJ923" i="3"/>
  <c r="AK923" i="3"/>
  <c r="AK924" i="3"/>
  <c r="AJ924" i="3"/>
  <c r="AK925" i="3"/>
  <c r="AJ925" i="3"/>
  <c r="AK926" i="3"/>
  <c r="AJ926" i="3"/>
  <c r="AK927" i="3"/>
  <c r="AJ927" i="3"/>
  <c r="AK928" i="3"/>
  <c r="AJ928" i="3"/>
  <c r="AK929" i="3"/>
  <c r="AJ929" i="3"/>
  <c r="AK930" i="3"/>
  <c r="AJ930" i="3"/>
  <c r="AJ931" i="3"/>
  <c r="AK931" i="3"/>
  <c r="AK932" i="3"/>
  <c r="AJ932" i="3"/>
  <c r="AK933" i="3"/>
  <c r="AJ933" i="3"/>
  <c r="AJ934" i="3"/>
  <c r="AK934" i="3"/>
  <c r="AK935" i="3"/>
  <c r="AJ935" i="3"/>
  <c r="AJ936" i="3"/>
  <c r="AK936" i="3"/>
  <c r="AJ937" i="3"/>
  <c r="AK937" i="3"/>
  <c r="AK938" i="3"/>
  <c r="AJ938" i="3"/>
  <c r="AK939" i="3"/>
  <c r="AJ939" i="3"/>
  <c r="AK940" i="3"/>
  <c r="AJ940" i="3"/>
  <c r="AK941" i="3"/>
  <c r="AJ941" i="3"/>
  <c r="AK942" i="3"/>
  <c r="AJ942" i="3"/>
  <c r="AJ943" i="3"/>
  <c r="AK943" i="3"/>
  <c r="AJ944" i="3"/>
  <c r="AK944" i="3"/>
  <c r="AJ945" i="3"/>
  <c r="AK945" i="3"/>
  <c r="AJ946" i="3"/>
  <c r="AK946" i="3"/>
  <c r="AJ947" i="3"/>
  <c r="AK947" i="3"/>
  <c r="AJ948" i="3"/>
  <c r="AK948" i="3"/>
  <c r="AK949" i="3"/>
  <c r="AJ949" i="3"/>
  <c r="AK950" i="3"/>
  <c r="AJ950" i="3"/>
  <c r="AJ951" i="3"/>
  <c r="AK951" i="3"/>
  <c r="AK952" i="3"/>
  <c r="AJ952" i="3"/>
  <c r="AJ953" i="3"/>
  <c r="AK953" i="3"/>
  <c r="AK954" i="3"/>
  <c r="AJ954" i="3"/>
  <c r="AK955" i="3"/>
  <c r="AJ955" i="3"/>
  <c r="AK956" i="3"/>
  <c r="AJ956" i="3"/>
  <c r="AJ957" i="3"/>
  <c r="AK957" i="3"/>
  <c r="AK958" i="3"/>
  <c r="AJ958" i="3"/>
  <c r="AJ959" i="3"/>
  <c r="AK959" i="3"/>
  <c r="AJ960" i="3"/>
  <c r="AK960" i="3"/>
  <c r="AK961" i="3"/>
  <c r="AJ961" i="3"/>
  <c r="AK962" i="3"/>
  <c r="AJ962" i="3"/>
  <c r="AJ963" i="3"/>
  <c r="AK963" i="3"/>
  <c r="AK964" i="3"/>
  <c r="AJ964" i="3"/>
  <c r="AK965" i="3"/>
  <c r="AJ965" i="3"/>
  <c r="AK966" i="3"/>
  <c r="AJ966" i="3"/>
  <c r="AJ967" i="3"/>
  <c r="AK967" i="3"/>
  <c r="AJ968" i="3"/>
  <c r="AK968" i="3"/>
  <c r="AJ969" i="3"/>
  <c r="AK969" i="3"/>
  <c r="AK970" i="3"/>
  <c r="AJ970" i="3"/>
  <c r="AJ971" i="3"/>
  <c r="AK971" i="3"/>
  <c r="AK972" i="3"/>
  <c r="AJ972" i="3"/>
  <c r="AJ973" i="3"/>
  <c r="AK973" i="3"/>
  <c r="AK974" i="3"/>
  <c r="AJ974" i="3"/>
  <c r="AK975" i="3"/>
  <c r="AJ975" i="3"/>
  <c r="AK976" i="3"/>
  <c r="AJ976" i="3"/>
  <c r="AJ977" i="3"/>
  <c r="AK977" i="3"/>
  <c r="AJ978" i="3"/>
  <c r="AK978" i="3"/>
  <c r="AJ979" i="3"/>
  <c r="AK979" i="3"/>
  <c r="AK980" i="3"/>
  <c r="AJ980" i="3"/>
  <c r="AK981" i="3"/>
  <c r="AJ981" i="3"/>
  <c r="AJ982" i="3"/>
  <c r="AK982" i="3"/>
  <c r="AJ983" i="3"/>
  <c r="AK983" i="3"/>
  <c r="AK984" i="3"/>
  <c r="AJ984" i="3"/>
  <c r="AJ985" i="3"/>
  <c r="AK985" i="3"/>
  <c r="AK986" i="3"/>
  <c r="AJ986" i="3"/>
  <c r="AJ987" i="3"/>
  <c r="AK987" i="3"/>
  <c r="AK988" i="3"/>
  <c r="AJ988" i="3"/>
  <c r="AK989" i="3"/>
  <c r="AJ989" i="3"/>
  <c r="AK990" i="3"/>
  <c r="AJ990" i="3"/>
  <c r="AJ991" i="3"/>
  <c r="AK991" i="3"/>
  <c r="AJ992" i="3"/>
  <c r="AK992" i="3"/>
  <c r="AJ993" i="3"/>
  <c r="AK993" i="3"/>
  <c r="AJ994" i="3"/>
  <c r="AK994" i="3"/>
  <c r="AK995" i="3"/>
  <c r="AJ995" i="3"/>
  <c r="AK996" i="3"/>
  <c r="AJ996" i="3"/>
  <c r="AK997" i="3"/>
  <c r="AJ997" i="3"/>
  <c r="AJ998" i="3"/>
  <c r="AK998" i="3"/>
  <c r="AK999" i="3"/>
  <c r="AJ999" i="3"/>
  <c r="AJ1000" i="3"/>
  <c r="AK1000" i="3"/>
  <c r="AJ1001" i="3"/>
  <c r="AK1001" i="3"/>
  <c r="AJ1002" i="3"/>
  <c r="AK1002" i="3"/>
  <c r="AJ1003" i="3"/>
  <c r="AK1003" i="3"/>
  <c r="AJ1004" i="3"/>
  <c r="AK1004" i="3"/>
  <c r="AJ1005" i="3"/>
  <c r="AK1005" i="3"/>
  <c r="AJ1006" i="3"/>
  <c r="AK1006" i="3"/>
  <c r="AK1007" i="3"/>
  <c r="AJ1007" i="3"/>
  <c r="AH12" i="1"/>
  <c r="AG12" i="1"/>
  <c r="AH13" i="1"/>
  <c r="AG13" i="1"/>
  <c r="AG14" i="1"/>
  <c r="AH14" i="1"/>
  <c r="AH15" i="1"/>
  <c r="AH16" i="1"/>
  <c r="AG16" i="1"/>
  <c r="AH17" i="1"/>
  <c r="AG17" i="1" s="1"/>
  <c r="AH18" i="1"/>
  <c r="AG18" i="1" s="1"/>
  <c r="AG19" i="1"/>
  <c r="AH19" i="1"/>
  <c r="AG20" i="1"/>
  <c r="AH20" i="1"/>
  <c r="AG21" i="1"/>
  <c r="AH21" i="1"/>
  <c r="AG22" i="1"/>
  <c r="AH22" i="1"/>
  <c r="AG23" i="1"/>
  <c r="AH23" i="1"/>
  <c r="AH24" i="1"/>
  <c r="AG24" i="1"/>
  <c r="AG25" i="1"/>
  <c r="AH25" i="1"/>
  <c r="AH26" i="1"/>
  <c r="AG26" i="1"/>
  <c r="AG27" i="1"/>
  <c r="AH27" i="1"/>
  <c r="AH28" i="1"/>
  <c r="AG28" i="1"/>
  <c r="AG29" i="1"/>
  <c r="AH29" i="1"/>
  <c r="AG30" i="1"/>
  <c r="AH30" i="1"/>
  <c r="AH31" i="1"/>
  <c r="AG31" i="1"/>
  <c r="AH32" i="1"/>
  <c r="AG32" i="1"/>
  <c r="AG33" i="1"/>
  <c r="AH33" i="1"/>
  <c r="AH34" i="1"/>
  <c r="AG34" i="1"/>
  <c r="AH35" i="1"/>
  <c r="AG35" i="1"/>
  <c r="AG36" i="1"/>
  <c r="AH36" i="1"/>
  <c r="AG37" i="1"/>
  <c r="AH37" i="1"/>
  <c r="AH38" i="1"/>
  <c r="AG38" i="1"/>
  <c r="AH39" i="1"/>
  <c r="AG39" i="1"/>
  <c r="AH40" i="1"/>
  <c r="AG40" i="1"/>
  <c r="AG41" i="1"/>
  <c r="AH41" i="1"/>
  <c r="AG42" i="1"/>
  <c r="AH42" i="1"/>
  <c r="AG43" i="1"/>
  <c r="AH43" i="1"/>
  <c r="AH44" i="1"/>
  <c r="AG44" i="1"/>
  <c r="AG45" i="1"/>
  <c r="AH45" i="1"/>
  <c r="AH46" i="1"/>
  <c r="AG46" i="1"/>
  <c r="AG47" i="1"/>
  <c r="AH47" i="1"/>
  <c r="AG48" i="1"/>
  <c r="AH48" i="1"/>
  <c r="AH49" i="1"/>
  <c r="AG49" i="1"/>
  <c r="AG50" i="1"/>
  <c r="AH50" i="1"/>
  <c r="AH51" i="1"/>
  <c r="AG51" i="1"/>
  <c r="AH52" i="1"/>
  <c r="AG52" i="1"/>
  <c r="AH53" i="1"/>
  <c r="AG53" i="1"/>
  <c r="AH54" i="1"/>
  <c r="AG54" i="1"/>
  <c r="AG55" i="1"/>
  <c r="AH55" i="1"/>
  <c r="AG56" i="1"/>
  <c r="AH56" i="1"/>
  <c r="AH57" i="1"/>
  <c r="AG57" i="1"/>
  <c r="AG58" i="1"/>
  <c r="AH58" i="1"/>
  <c r="AH59" i="1"/>
  <c r="AG59" i="1"/>
  <c r="AG60" i="1"/>
  <c r="AH60" i="1"/>
  <c r="AG61" i="1"/>
  <c r="AH61" i="1"/>
  <c r="AH62" i="1"/>
  <c r="AG62" i="1"/>
  <c r="AG63" i="1"/>
  <c r="AH63" i="1"/>
  <c r="AG64" i="1"/>
  <c r="AH64" i="1"/>
  <c r="AH65" i="1"/>
  <c r="AG65" i="1"/>
  <c r="AH66" i="1"/>
  <c r="AG66" i="1"/>
  <c r="AG67" i="1"/>
  <c r="AH67" i="1"/>
  <c r="AG68" i="1"/>
  <c r="AH68" i="1"/>
  <c r="AG69" i="1"/>
  <c r="AH69" i="1"/>
  <c r="AH70" i="1"/>
  <c r="AG70" i="1"/>
  <c r="AG71" i="1"/>
  <c r="AH71" i="1"/>
  <c r="AG72" i="1"/>
  <c r="AH72" i="1"/>
  <c r="AH73" i="1"/>
  <c r="AG73" i="1"/>
  <c r="AH74" i="1"/>
  <c r="AG74" i="1"/>
  <c r="AG75" i="1"/>
  <c r="AH75" i="1"/>
  <c r="AH76" i="1"/>
  <c r="AG76" i="1"/>
  <c r="AG77" i="1"/>
  <c r="AH77" i="1"/>
  <c r="AH78" i="1"/>
  <c r="AG78" i="1"/>
  <c r="AG79" i="1"/>
  <c r="AH79" i="1"/>
  <c r="AG80" i="1"/>
  <c r="AH80" i="1"/>
  <c r="AH81" i="1"/>
  <c r="AG81" i="1"/>
  <c r="AH82" i="1"/>
  <c r="AG82" i="1"/>
  <c r="AH83" i="1"/>
  <c r="AG83" i="1"/>
  <c r="AH84" i="1"/>
  <c r="AG84" i="1"/>
  <c r="AG85" i="1"/>
  <c r="AH85" i="1"/>
  <c r="AG86" i="1"/>
  <c r="AH86" i="1"/>
  <c r="AG87" i="1"/>
  <c r="AH87" i="1"/>
  <c r="AH88" i="1"/>
  <c r="AG88" i="1"/>
  <c r="AH89" i="1"/>
  <c r="AG89" i="1"/>
  <c r="AG90" i="1"/>
  <c r="AH90" i="1"/>
  <c r="AG91" i="1"/>
  <c r="AH91" i="1"/>
  <c r="AH92" i="1"/>
  <c r="AG92" i="1"/>
  <c r="AH93" i="1"/>
  <c r="AG93" i="1"/>
  <c r="AG94" i="1"/>
  <c r="AH94" i="1"/>
  <c r="AH95" i="1"/>
  <c r="AG95" i="1"/>
  <c r="AG96" i="1"/>
  <c r="AH96" i="1"/>
  <c r="AH97" i="1"/>
  <c r="AG97" i="1"/>
  <c r="AH98" i="1"/>
  <c r="AG98" i="1"/>
  <c r="AH100" i="1"/>
  <c r="AG100" i="1"/>
  <c r="AG101" i="1"/>
  <c r="AH101" i="1"/>
  <c r="AG102" i="1"/>
  <c r="AH102" i="1"/>
  <c r="AG103" i="1"/>
  <c r="AH103" i="1"/>
  <c r="AG104" i="1"/>
  <c r="AH104" i="1"/>
  <c r="AH105" i="1"/>
  <c r="AG105" i="1"/>
  <c r="AG106" i="1"/>
  <c r="AH106" i="1"/>
  <c r="AH107" i="1"/>
  <c r="AG107" i="1"/>
  <c r="AH108" i="1"/>
  <c r="AG108" i="1"/>
  <c r="AG109" i="1"/>
  <c r="AH109" i="1"/>
  <c r="AH110" i="1"/>
  <c r="AG110" i="1"/>
  <c r="AG111" i="1"/>
  <c r="AH111" i="1"/>
  <c r="AH112" i="1"/>
  <c r="AG112" i="1"/>
  <c r="AG113" i="1"/>
  <c r="AH113" i="1"/>
  <c r="AG114" i="1"/>
  <c r="AH114" i="1"/>
  <c r="AH115" i="1"/>
  <c r="AG115" i="1"/>
  <c r="AG116" i="1"/>
  <c r="AH116" i="1"/>
  <c r="AG117" i="1"/>
  <c r="AH117" i="1"/>
  <c r="AG118" i="1"/>
  <c r="AH118" i="1"/>
  <c r="AH119" i="1"/>
  <c r="AG119" i="1"/>
  <c r="AH120" i="1"/>
  <c r="AG120" i="1"/>
  <c r="AG121" i="1"/>
  <c r="AH121" i="1"/>
  <c r="AH122" i="1"/>
  <c r="AG122" i="1"/>
  <c r="AH123" i="1"/>
  <c r="AG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H131" i="1"/>
  <c r="AG131" i="1"/>
  <c r="AG132" i="1"/>
  <c r="AH132" i="1"/>
  <c r="AH133" i="1"/>
  <c r="AG133" i="1"/>
  <c r="AH134" i="1"/>
  <c r="AG134" i="1"/>
  <c r="AG135" i="1"/>
  <c r="AH135" i="1"/>
  <c r="AH136" i="1"/>
  <c r="AG136" i="1"/>
  <c r="AH137" i="1"/>
  <c r="AG137" i="1"/>
  <c r="AG138" i="1"/>
  <c r="AH138" i="1"/>
  <c r="AH139" i="1"/>
  <c r="AG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H149" i="1"/>
  <c r="AG149" i="1"/>
  <c r="AG150" i="1"/>
  <c r="AH150" i="1"/>
  <c r="AH151" i="1"/>
  <c r="AG151" i="1"/>
  <c r="AH152" i="1"/>
  <c r="AG152" i="1"/>
  <c r="AH153" i="1"/>
  <c r="AG153" i="1"/>
  <c r="AG154" i="1"/>
  <c r="AH154" i="1"/>
  <c r="AH155" i="1"/>
  <c r="AG155" i="1"/>
  <c r="AH156" i="1"/>
  <c r="AG156" i="1"/>
  <c r="AG157" i="1"/>
  <c r="AH157" i="1"/>
  <c r="AG158" i="1"/>
  <c r="AH158" i="1"/>
  <c r="AG159" i="1"/>
  <c r="AH159" i="1"/>
  <c r="AG160" i="1"/>
  <c r="AH160" i="1"/>
  <c r="AH161" i="1"/>
  <c r="AG161" i="1"/>
  <c r="AH162" i="1"/>
  <c r="AG162" i="1"/>
  <c r="AH163" i="1"/>
  <c r="AG163" i="1"/>
  <c r="AH164" i="1"/>
  <c r="AG164" i="1"/>
  <c r="AG165" i="1"/>
  <c r="AH165" i="1"/>
  <c r="AH166" i="1"/>
  <c r="AG166" i="1"/>
  <c r="AH167" i="1"/>
  <c r="AG167" i="1"/>
  <c r="AG168" i="1"/>
  <c r="AH168" i="1"/>
  <c r="AH169" i="1"/>
  <c r="AG169" i="1"/>
  <c r="AG170" i="1"/>
  <c r="AH170" i="1"/>
  <c r="AG171" i="1"/>
  <c r="AH171" i="1"/>
  <c r="AH172" i="1"/>
  <c r="AG172" i="1"/>
  <c r="AG173" i="1"/>
  <c r="AH173" i="1"/>
  <c r="AG174" i="1"/>
  <c r="AH174" i="1"/>
  <c r="AH175" i="1"/>
  <c r="AG175" i="1"/>
  <c r="AG176" i="1"/>
  <c r="AH176" i="1"/>
  <c r="AH177" i="1"/>
  <c r="AG177" i="1"/>
  <c r="AG178" i="1"/>
  <c r="AH178" i="1"/>
  <c r="AH179" i="1"/>
  <c r="AG179" i="1"/>
  <c r="AH180" i="1"/>
  <c r="AG180" i="1"/>
  <c r="AG181" i="1"/>
  <c r="AH181" i="1"/>
  <c r="AH182" i="1"/>
  <c r="AG182" i="1"/>
  <c r="AH183" i="1"/>
  <c r="AG183" i="1"/>
  <c r="AG184" i="1"/>
  <c r="AH184" i="1"/>
  <c r="AH185" i="1"/>
  <c r="AG185" i="1"/>
  <c r="AH186" i="1"/>
  <c r="AG186" i="1"/>
  <c r="AH187" i="1"/>
  <c r="AG187" i="1"/>
  <c r="AG188" i="1"/>
  <c r="AH188" i="1"/>
  <c r="AG189" i="1"/>
  <c r="AH189" i="1"/>
  <c r="AH190" i="1"/>
  <c r="AG190" i="1"/>
  <c r="AG191" i="1"/>
  <c r="AH191" i="1"/>
  <c r="AG192" i="1"/>
  <c r="AH192" i="1"/>
  <c r="AH193" i="1"/>
  <c r="AG193" i="1"/>
  <c r="AH194" i="1"/>
  <c r="AG194" i="1"/>
  <c r="AH195" i="1"/>
  <c r="AG195" i="1"/>
  <c r="AG196" i="1"/>
  <c r="AH196" i="1"/>
  <c r="AH197" i="1"/>
  <c r="AG197" i="1"/>
  <c r="AH198" i="1"/>
  <c r="AG198" i="1"/>
  <c r="AH199" i="1"/>
  <c r="AG199" i="1"/>
  <c r="AG200" i="1"/>
  <c r="AH200" i="1"/>
  <c r="AH201" i="1"/>
  <c r="AG201" i="1"/>
  <c r="AH202" i="1"/>
  <c r="AG202" i="1"/>
  <c r="AH203" i="1"/>
  <c r="AG203" i="1"/>
  <c r="AG204" i="1"/>
  <c r="AH204" i="1"/>
  <c r="AG205" i="1"/>
  <c r="AH205" i="1"/>
  <c r="AH206" i="1"/>
  <c r="AG206" i="1"/>
  <c r="AG207" i="1"/>
  <c r="AH207" i="1"/>
  <c r="AG208" i="1"/>
  <c r="AH208" i="1"/>
  <c r="AH209" i="1"/>
  <c r="AG209" i="1"/>
  <c r="AH210" i="1"/>
  <c r="AG210" i="1"/>
  <c r="AG211" i="1"/>
  <c r="AH211" i="1"/>
  <c r="AG212" i="1"/>
  <c r="AH212" i="1"/>
  <c r="AG213" i="1"/>
  <c r="AH213" i="1"/>
  <c r="AG214" i="1"/>
  <c r="AH214" i="1"/>
  <c r="AG215" i="1"/>
  <c r="AH215" i="1"/>
  <c r="AH216" i="1"/>
  <c r="AG216" i="1"/>
  <c r="AH217" i="1"/>
  <c r="AG217" i="1"/>
  <c r="AG218" i="1"/>
  <c r="AH218" i="1"/>
  <c r="AG219" i="1"/>
  <c r="AH219" i="1"/>
  <c r="AH220" i="1"/>
  <c r="AG220" i="1"/>
  <c r="AG221" i="1"/>
  <c r="AH221" i="1"/>
  <c r="AH222" i="1"/>
  <c r="AG222" i="1"/>
  <c r="AH223" i="1"/>
  <c r="AG223" i="1"/>
  <c r="AG224" i="1"/>
  <c r="AH224" i="1"/>
  <c r="AH225" i="1"/>
  <c r="AG225" i="1"/>
  <c r="AG226" i="1"/>
  <c r="AH226" i="1"/>
  <c r="AG227" i="1"/>
  <c r="AH227" i="1"/>
  <c r="AG228" i="1"/>
  <c r="AH228" i="1"/>
  <c r="AG229" i="1"/>
  <c r="AH229" i="1"/>
  <c r="AG230" i="1"/>
  <c r="AH230" i="1"/>
  <c r="AH231" i="1"/>
  <c r="AG231" i="1"/>
  <c r="AG232" i="1"/>
  <c r="AH232" i="1"/>
  <c r="AG233" i="1"/>
  <c r="AH233" i="1"/>
  <c r="AG234" i="1"/>
  <c r="AH234" i="1"/>
  <c r="AH235" i="1"/>
  <c r="AG235" i="1"/>
  <c r="AH236" i="1"/>
  <c r="AG236" i="1"/>
  <c r="AG237" i="1"/>
  <c r="AH237" i="1"/>
  <c r="AG238" i="1"/>
  <c r="AH238" i="1"/>
  <c r="AH239" i="1"/>
  <c r="AG239" i="1"/>
  <c r="AH240" i="1"/>
  <c r="AG240" i="1"/>
  <c r="AH241" i="1"/>
  <c r="AG241" i="1"/>
  <c r="AG242" i="1"/>
  <c r="AH242" i="1"/>
  <c r="AH243" i="1"/>
  <c r="AG243" i="1"/>
  <c r="AG244" i="1"/>
  <c r="AH244" i="1"/>
  <c r="AH245" i="1"/>
  <c r="AG245" i="1"/>
  <c r="AG247" i="1"/>
  <c r="AH247" i="1"/>
  <c r="AH248" i="1"/>
  <c r="AG248" i="1"/>
  <c r="AH249" i="1"/>
  <c r="AG249" i="1"/>
  <c r="AH250" i="1"/>
  <c r="AG250" i="1"/>
  <c r="AG251" i="1"/>
  <c r="AH251" i="1"/>
  <c r="AG252" i="1"/>
  <c r="AH252" i="1"/>
  <c r="AG253" i="1"/>
  <c r="AH253" i="1"/>
  <c r="AH254" i="1"/>
  <c r="AG254" i="1"/>
  <c r="AG255" i="1"/>
  <c r="AH255" i="1"/>
  <c r="AG256" i="1"/>
  <c r="AH256" i="1"/>
  <c r="AG257" i="1"/>
  <c r="AH257" i="1"/>
  <c r="AH258" i="1"/>
  <c r="AG258" i="1"/>
  <c r="AH259" i="1"/>
  <c r="AG259" i="1"/>
  <c r="AH260" i="1"/>
  <c r="AG260" i="1"/>
  <c r="AH261" i="1"/>
  <c r="AG261" i="1"/>
  <c r="AG262" i="1"/>
  <c r="AH262" i="1"/>
  <c r="AG263" i="1"/>
  <c r="AH263" i="1"/>
  <c r="AG264" i="1"/>
  <c r="AH264" i="1"/>
  <c r="AH265" i="1"/>
  <c r="AG265" i="1"/>
  <c r="AG266" i="1"/>
  <c r="AH266" i="1"/>
  <c r="AG267" i="1"/>
  <c r="AH267" i="1"/>
  <c r="AG268" i="1"/>
  <c r="AH268" i="1"/>
  <c r="AG269" i="1"/>
  <c r="AH269" i="1"/>
  <c r="AH270" i="1"/>
  <c r="AG270" i="1"/>
  <c r="AG271" i="1"/>
  <c r="AH271" i="1"/>
  <c r="AH272" i="1"/>
  <c r="AG272" i="1"/>
  <c r="AG273" i="1"/>
  <c r="AH273" i="1"/>
  <c r="AG274" i="1"/>
  <c r="AH274" i="1"/>
  <c r="AH275" i="1"/>
  <c r="AG275" i="1"/>
  <c r="AH276" i="1"/>
  <c r="AG276" i="1"/>
  <c r="AH277" i="1"/>
  <c r="AG277" i="1"/>
  <c r="AG278" i="1"/>
  <c r="AH278" i="1"/>
  <c r="AG279" i="1"/>
  <c r="AH279" i="1"/>
  <c r="AH280" i="1"/>
  <c r="AG280" i="1"/>
  <c r="AG281" i="1"/>
  <c r="AH281" i="1"/>
  <c r="AG282" i="1"/>
  <c r="AH282" i="1"/>
  <c r="AG283" i="1"/>
  <c r="AH283" i="1"/>
  <c r="AH284" i="1"/>
  <c r="AG284" i="1"/>
  <c r="AH285" i="1"/>
  <c r="AG285" i="1"/>
  <c r="AH286" i="1"/>
  <c r="AG286" i="1"/>
  <c r="AH287" i="1"/>
  <c r="AG287" i="1"/>
  <c r="AG288" i="1"/>
  <c r="AH288" i="1"/>
  <c r="AH289" i="1"/>
  <c r="AG289" i="1"/>
  <c r="AG290" i="1"/>
  <c r="AH290" i="1"/>
  <c r="AG291" i="1"/>
  <c r="AH291" i="1"/>
  <c r="AH292" i="1"/>
  <c r="AG292" i="1"/>
  <c r="AH293" i="1"/>
  <c r="AG293" i="1"/>
  <c r="AG294" i="1"/>
  <c r="AH294" i="1"/>
  <c r="AH295" i="1"/>
  <c r="AG295" i="1"/>
  <c r="AG296" i="1"/>
  <c r="AH296" i="1"/>
  <c r="AH297" i="1"/>
  <c r="AG297" i="1"/>
  <c r="AG298" i="1"/>
  <c r="AH298" i="1"/>
  <c r="AG299" i="1"/>
  <c r="AH299" i="1"/>
  <c r="AG300" i="1"/>
  <c r="AH300" i="1"/>
  <c r="AH301" i="1"/>
  <c r="AG301" i="1"/>
  <c r="AG302" i="1"/>
  <c r="AH302" i="1"/>
  <c r="AH303" i="1"/>
  <c r="AG303" i="1"/>
  <c r="AH304" i="1"/>
  <c r="AG304" i="1"/>
  <c r="AG305" i="1"/>
  <c r="AH305" i="1"/>
  <c r="AH306" i="1"/>
  <c r="AG306" i="1"/>
  <c r="AG307" i="1"/>
  <c r="AH307" i="1"/>
  <c r="AH308" i="1"/>
  <c r="AG308" i="1"/>
  <c r="AH309" i="1"/>
  <c r="AG309" i="1"/>
  <c r="AH310" i="1"/>
  <c r="AG310" i="1"/>
  <c r="AG311" i="1"/>
  <c r="AH311" i="1"/>
  <c r="AG312" i="1"/>
  <c r="AH312" i="1"/>
  <c r="AH313" i="1"/>
  <c r="AG313" i="1"/>
  <c r="AG314" i="1"/>
  <c r="AH314" i="1"/>
  <c r="AH315" i="1"/>
  <c r="AG315" i="1"/>
  <c r="AH316" i="1"/>
  <c r="AG316" i="1"/>
  <c r="AG317" i="1"/>
  <c r="AH317" i="1"/>
  <c r="AG318" i="1"/>
  <c r="AH318" i="1"/>
  <c r="AG319" i="1"/>
  <c r="AH319" i="1"/>
  <c r="AH320" i="1"/>
  <c r="AG320" i="1"/>
  <c r="AH321" i="1"/>
  <c r="AG321" i="1"/>
  <c r="AG322" i="1"/>
  <c r="AH322" i="1"/>
  <c r="AH323" i="1"/>
  <c r="AG323" i="1"/>
  <c r="AG324" i="1"/>
  <c r="AH324" i="1"/>
  <c r="AG325" i="1"/>
  <c r="AH325" i="1"/>
  <c r="AH326" i="1"/>
  <c r="AG326" i="1"/>
  <c r="AG327" i="1"/>
  <c r="AH327" i="1"/>
  <c r="AH328" i="1"/>
  <c r="AG328" i="1"/>
  <c r="AG329" i="1"/>
  <c r="AH329" i="1"/>
  <c r="AG330" i="1"/>
  <c r="AH330" i="1"/>
  <c r="AH331" i="1"/>
  <c r="AG331" i="1"/>
  <c r="AG332" i="1"/>
  <c r="AH332" i="1"/>
  <c r="AH333" i="1"/>
  <c r="AG333" i="1"/>
  <c r="AH334" i="1"/>
  <c r="AG334" i="1"/>
  <c r="AG335" i="1"/>
  <c r="AH335" i="1"/>
  <c r="AH336" i="1"/>
  <c r="AG336" i="1"/>
  <c r="AG337" i="1"/>
  <c r="AH337" i="1"/>
  <c r="AH338" i="1"/>
  <c r="AG338" i="1"/>
  <c r="AH339" i="1"/>
  <c r="AG339" i="1"/>
  <c r="AG340" i="1"/>
  <c r="AH340" i="1"/>
  <c r="AH341" i="1"/>
  <c r="AG341" i="1"/>
  <c r="AG342" i="1"/>
  <c r="AH342" i="1"/>
  <c r="AG343" i="1"/>
  <c r="AH343" i="1"/>
  <c r="AG344" i="1"/>
  <c r="AH344" i="1"/>
  <c r="AH345" i="1"/>
  <c r="AG345" i="1"/>
  <c r="AH346" i="1"/>
  <c r="AG346" i="1"/>
  <c r="AG347" i="1"/>
  <c r="AH347" i="1"/>
  <c r="AG348" i="1"/>
  <c r="AH348" i="1"/>
  <c r="AH349" i="1"/>
  <c r="AG349" i="1"/>
  <c r="AG350" i="1"/>
  <c r="AH350" i="1"/>
  <c r="AG351" i="1"/>
  <c r="AH351" i="1"/>
  <c r="AH352" i="1"/>
  <c r="AG352" i="1"/>
  <c r="AG353" i="1"/>
  <c r="AH353" i="1"/>
  <c r="AG354" i="1"/>
  <c r="AH354" i="1"/>
  <c r="AH355" i="1"/>
  <c r="AG355" i="1"/>
  <c r="AH356" i="1"/>
  <c r="AG356" i="1"/>
  <c r="AG357" i="1"/>
  <c r="AH357" i="1"/>
  <c r="AG358" i="1"/>
  <c r="AH358" i="1"/>
  <c r="AH359" i="1"/>
  <c r="AG359" i="1"/>
  <c r="AH360" i="1"/>
  <c r="AG360" i="1"/>
  <c r="AG361" i="1"/>
  <c r="AH361" i="1"/>
  <c r="AH362" i="1"/>
  <c r="AG362" i="1"/>
  <c r="AH363" i="1"/>
  <c r="AG363" i="1"/>
  <c r="AG364" i="1"/>
  <c r="AH364" i="1"/>
  <c r="AG365" i="1"/>
  <c r="AH365" i="1"/>
  <c r="AG366" i="1"/>
  <c r="AH366" i="1"/>
  <c r="AH367" i="1"/>
  <c r="AG367" i="1"/>
  <c r="AH368" i="1"/>
  <c r="AG368" i="1"/>
  <c r="AG369" i="1"/>
  <c r="AH369" i="1"/>
  <c r="AH370" i="1"/>
  <c r="AG370" i="1"/>
  <c r="AH371" i="1"/>
  <c r="AG371" i="1"/>
  <c r="AG372" i="1"/>
  <c r="AH372" i="1"/>
  <c r="AG373" i="1"/>
  <c r="AH373" i="1"/>
  <c r="AG374" i="1"/>
  <c r="AH374" i="1"/>
  <c r="AG375" i="1"/>
  <c r="AH375" i="1"/>
  <c r="AH376" i="1"/>
  <c r="AG376" i="1"/>
  <c r="AH377" i="1"/>
  <c r="AG377" i="1"/>
  <c r="AG378" i="1"/>
  <c r="AH378" i="1"/>
  <c r="AG379" i="1"/>
  <c r="AH379" i="1"/>
  <c r="AG380" i="1"/>
  <c r="AH380" i="1"/>
  <c r="AH381" i="1"/>
  <c r="AG381" i="1"/>
  <c r="AH382" i="1"/>
  <c r="AG382" i="1"/>
  <c r="AG383" i="1"/>
  <c r="AH383" i="1"/>
  <c r="AH384" i="1"/>
  <c r="AG384" i="1"/>
  <c r="AG385" i="1"/>
  <c r="AH385" i="1"/>
  <c r="AH386" i="1"/>
  <c r="AG386" i="1"/>
  <c r="AG387" i="1"/>
  <c r="AH387" i="1"/>
  <c r="AH388" i="1"/>
  <c r="AG388" i="1"/>
  <c r="AH389" i="1"/>
  <c r="AG389" i="1"/>
  <c r="AG390" i="1"/>
  <c r="AH390" i="1"/>
  <c r="AG391" i="1"/>
  <c r="AH391" i="1"/>
  <c r="AH392" i="1"/>
  <c r="AG392" i="1"/>
  <c r="AG393" i="1"/>
  <c r="AH393" i="1"/>
  <c r="AG394" i="1"/>
  <c r="AH394" i="1"/>
  <c r="AG395" i="1"/>
  <c r="AH395" i="1"/>
  <c r="AH396" i="1"/>
  <c r="AG396" i="1"/>
  <c r="AH397" i="1"/>
  <c r="AG397" i="1"/>
  <c r="AH398" i="1"/>
  <c r="AG398" i="1"/>
  <c r="AH399" i="1"/>
  <c r="AG399" i="1"/>
  <c r="AH400" i="1"/>
  <c r="AG400" i="1"/>
  <c r="AG401" i="1"/>
  <c r="AH401" i="1"/>
  <c r="AG402" i="1"/>
  <c r="AH402" i="1"/>
  <c r="AH403" i="1"/>
  <c r="AG403" i="1"/>
  <c r="AG404" i="1"/>
  <c r="AH404" i="1"/>
  <c r="AG405" i="1"/>
  <c r="AH405" i="1"/>
  <c r="AH406" i="1"/>
  <c r="AG406" i="1"/>
  <c r="AH407" i="1"/>
  <c r="AG407" i="1"/>
  <c r="AH408" i="1"/>
  <c r="AG408" i="1"/>
  <c r="AH409" i="1"/>
  <c r="AG409" i="1"/>
  <c r="AG410" i="1"/>
  <c r="AH410" i="1"/>
  <c r="AG411" i="1"/>
  <c r="AH411" i="1"/>
  <c r="AG412" i="1"/>
  <c r="AH412" i="1"/>
  <c r="AH413" i="1"/>
  <c r="AG413" i="1"/>
  <c r="AG414" i="1"/>
  <c r="AH414" i="1"/>
  <c r="AH415" i="1"/>
  <c r="AG415" i="1"/>
  <c r="AH416" i="1"/>
  <c r="AG416" i="1"/>
  <c r="AH417" i="1"/>
  <c r="AG417" i="1"/>
  <c r="AG418" i="1"/>
  <c r="AH418" i="1"/>
  <c r="AH419" i="1"/>
  <c r="AG419" i="1"/>
  <c r="AG420" i="1"/>
  <c r="AH420" i="1"/>
  <c r="AG421" i="1"/>
  <c r="AH421" i="1"/>
  <c r="AH422" i="1"/>
  <c r="AG422" i="1"/>
  <c r="AH423" i="1"/>
  <c r="AG423" i="1"/>
  <c r="AG424" i="1"/>
  <c r="AH424" i="1"/>
  <c r="AG425" i="1"/>
  <c r="AH425" i="1"/>
  <c r="AG426" i="1"/>
  <c r="AH426" i="1"/>
  <c r="AH427" i="1"/>
  <c r="AG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H434" i="1"/>
  <c r="AG434" i="1"/>
  <c r="AH435" i="1"/>
  <c r="AG435" i="1"/>
  <c r="AH436" i="1"/>
  <c r="AG436" i="1"/>
  <c r="AH437" i="1"/>
  <c r="AG437" i="1"/>
  <c r="AH438" i="1"/>
  <c r="AG438" i="1"/>
  <c r="AG439" i="1"/>
  <c r="AH439" i="1"/>
  <c r="AG440" i="1"/>
  <c r="AH440" i="1"/>
  <c r="AG441" i="1"/>
  <c r="AH441" i="1"/>
  <c r="AH442" i="1"/>
  <c r="AG442" i="1"/>
  <c r="AG443" i="1"/>
  <c r="AH443" i="1"/>
  <c r="AH444" i="1"/>
  <c r="AG444" i="1"/>
  <c r="AH445" i="1"/>
  <c r="AG445" i="1"/>
  <c r="AG446" i="1"/>
  <c r="AH446" i="1"/>
  <c r="AH447" i="1"/>
  <c r="AG447" i="1"/>
  <c r="AG448" i="1"/>
  <c r="AH448" i="1"/>
  <c r="AG449" i="1"/>
  <c r="AH449" i="1"/>
  <c r="AH450" i="1"/>
  <c r="AG450" i="1"/>
  <c r="AG451" i="1"/>
  <c r="AH451" i="1"/>
  <c r="AG452" i="1"/>
  <c r="AH452" i="1"/>
  <c r="AG453" i="1"/>
  <c r="AH453" i="1"/>
  <c r="AG454" i="1"/>
  <c r="AH454" i="1"/>
  <c r="AH455" i="1"/>
  <c r="AG455" i="1"/>
  <c r="AG456" i="1"/>
  <c r="AH456" i="1"/>
  <c r="AH457" i="1"/>
  <c r="AG457" i="1"/>
  <c r="AH458" i="1"/>
  <c r="AG458" i="1"/>
  <c r="AH459" i="1"/>
  <c r="AG459" i="1"/>
  <c r="AH460" i="1"/>
  <c r="AG460" i="1"/>
  <c r="AG461" i="1"/>
  <c r="AH461" i="1"/>
  <c r="AG462" i="1"/>
  <c r="AH462" i="1"/>
  <c r="AG463" i="1"/>
  <c r="AH463" i="1"/>
  <c r="AG464" i="1"/>
  <c r="AH464" i="1"/>
  <c r="AG465" i="1"/>
  <c r="AH465" i="1"/>
  <c r="AH466" i="1"/>
  <c r="AG466" i="1"/>
  <c r="AH467" i="1"/>
  <c r="AG467" i="1"/>
  <c r="AG468" i="1"/>
  <c r="AH468" i="1"/>
  <c r="AH469" i="1"/>
  <c r="AG469" i="1"/>
  <c r="AG470" i="1"/>
  <c r="AH470" i="1"/>
  <c r="AG471" i="1"/>
  <c r="AH471" i="1"/>
  <c r="AG472" i="1"/>
  <c r="AH472" i="1"/>
  <c r="AG473" i="1"/>
  <c r="AH473" i="1"/>
  <c r="AH474" i="1"/>
  <c r="AG474" i="1"/>
  <c r="AH475" i="1"/>
  <c r="AG475" i="1"/>
  <c r="AG476" i="1"/>
  <c r="AH476" i="1"/>
  <c r="AH477" i="1"/>
  <c r="AG477" i="1"/>
  <c r="AH478" i="1"/>
  <c r="AG478" i="1"/>
  <c r="AG479" i="1"/>
  <c r="AH479" i="1"/>
  <c r="AG480" i="1"/>
  <c r="AH480" i="1"/>
  <c r="AH481" i="1"/>
  <c r="AG481" i="1"/>
  <c r="AG482" i="1"/>
  <c r="AH482" i="1"/>
  <c r="AH483" i="1"/>
  <c r="AG483" i="1"/>
  <c r="AG484" i="1"/>
  <c r="AH484" i="1"/>
  <c r="AH485" i="1"/>
  <c r="AG485" i="1"/>
  <c r="AG486" i="1"/>
  <c r="AH486" i="1"/>
  <c r="AH487" i="1"/>
  <c r="AG487" i="1"/>
  <c r="AG488" i="1"/>
  <c r="AH488" i="1"/>
  <c r="AH489" i="1"/>
  <c r="AG489" i="1"/>
  <c r="AH490" i="1"/>
  <c r="AG490" i="1"/>
  <c r="AH491" i="1"/>
  <c r="AG491" i="1"/>
  <c r="AH492" i="1"/>
  <c r="AG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H501" i="1"/>
  <c r="AG501" i="1"/>
  <c r="AH502" i="1"/>
  <c r="AG502" i="1"/>
  <c r="AH503" i="1"/>
  <c r="AG503" i="1"/>
  <c r="AH504" i="1"/>
  <c r="AG504" i="1"/>
  <c r="AG505" i="1"/>
  <c r="AH505" i="1"/>
  <c r="AH506" i="1"/>
  <c r="AG506" i="1"/>
  <c r="AG507" i="1"/>
  <c r="AH507" i="1"/>
  <c r="AH508" i="1"/>
  <c r="AG508" i="1"/>
  <c r="AH509" i="1"/>
  <c r="AG509" i="1"/>
  <c r="AG510" i="1"/>
  <c r="AH510" i="1"/>
  <c r="AH511" i="1"/>
  <c r="AG511" i="1"/>
  <c r="AH512" i="1"/>
  <c r="AG512" i="1"/>
  <c r="AG513" i="1"/>
  <c r="AH513" i="1"/>
  <c r="AH514" i="1"/>
  <c r="AG514" i="1"/>
  <c r="AH515" i="1"/>
  <c r="AG515" i="1"/>
  <c r="AG516" i="1"/>
  <c r="AH516" i="1"/>
  <c r="AG517" i="1"/>
  <c r="AH517" i="1"/>
  <c r="AG518" i="1"/>
  <c r="AH518" i="1"/>
  <c r="AG519" i="1"/>
  <c r="AH519" i="1"/>
  <c r="AH520" i="1"/>
  <c r="AG520" i="1"/>
  <c r="AG521" i="1"/>
  <c r="AH521" i="1"/>
  <c r="AH522" i="1"/>
  <c r="AG522" i="1"/>
  <c r="AH523" i="1"/>
  <c r="AG523" i="1"/>
  <c r="AH524" i="1"/>
  <c r="AG524" i="1"/>
  <c r="AH525" i="1"/>
  <c r="AG525" i="1"/>
  <c r="AG526" i="1"/>
  <c r="AH526" i="1"/>
  <c r="AG527" i="1"/>
  <c r="AH527" i="1"/>
  <c r="AH528" i="1"/>
  <c r="AG528" i="1"/>
  <c r="AG529" i="1"/>
  <c r="AH529" i="1"/>
  <c r="AH530" i="1"/>
  <c r="AG530" i="1"/>
  <c r="AH531" i="1"/>
  <c r="AG531" i="1"/>
  <c r="AH532" i="1"/>
  <c r="AG532" i="1"/>
  <c r="AG533" i="1"/>
  <c r="AH533" i="1"/>
  <c r="AH534" i="1"/>
  <c r="AG534" i="1"/>
  <c r="AH535" i="1"/>
  <c r="AG535" i="1"/>
  <c r="AH536" i="1"/>
  <c r="AG536" i="1"/>
  <c r="AH537" i="1"/>
  <c r="AG537" i="1"/>
  <c r="AG538" i="1"/>
  <c r="AH538" i="1"/>
  <c r="AG539" i="1"/>
  <c r="AH539" i="1"/>
  <c r="AH540" i="1"/>
  <c r="AG540" i="1"/>
  <c r="AG541" i="1"/>
  <c r="AH541" i="1"/>
  <c r="AG542" i="1"/>
  <c r="AH542" i="1"/>
  <c r="AG543" i="1"/>
  <c r="AH543" i="1"/>
  <c r="AH544" i="1"/>
  <c r="AG544" i="1"/>
  <c r="AG545" i="1"/>
  <c r="AH545" i="1"/>
  <c r="AH546" i="1"/>
  <c r="AG546" i="1"/>
  <c r="AG547" i="1"/>
  <c r="AH547" i="1"/>
  <c r="AG548" i="1"/>
  <c r="AH548" i="1"/>
  <c r="AH549" i="1"/>
  <c r="AG549" i="1"/>
  <c r="AH550" i="1"/>
  <c r="AG550" i="1"/>
  <c r="AH551" i="1"/>
  <c r="AG551" i="1"/>
  <c r="AG552" i="1"/>
  <c r="AH552" i="1"/>
  <c r="AH553" i="1"/>
  <c r="AG553" i="1"/>
  <c r="AH554" i="1"/>
  <c r="AG554" i="1"/>
  <c r="AH555" i="1"/>
  <c r="AG555" i="1"/>
  <c r="AH556" i="1"/>
  <c r="AG556" i="1"/>
  <c r="AG557" i="1"/>
  <c r="AH557" i="1"/>
  <c r="AG558" i="1"/>
  <c r="AH558" i="1"/>
  <c r="AG559" i="1"/>
  <c r="AH559" i="1"/>
  <c r="AH560" i="1"/>
  <c r="AG560" i="1"/>
  <c r="AG561" i="1"/>
  <c r="AH561" i="1"/>
  <c r="AG562" i="1"/>
  <c r="AH562" i="1"/>
  <c r="AH563" i="1"/>
  <c r="AG563" i="1"/>
  <c r="AG564" i="1"/>
  <c r="AH564" i="1"/>
  <c r="AH565" i="1"/>
  <c r="AG565" i="1"/>
  <c r="AG566" i="1"/>
  <c r="AH566" i="1"/>
  <c r="AG567" i="1"/>
  <c r="AH567" i="1"/>
  <c r="AH568" i="1"/>
  <c r="AG568" i="1"/>
  <c r="AG569" i="1"/>
  <c r="AH569" i="1"/>
  <c r="AG570" i="1"/>
  <c r="AH570" i="1"/>
  <c r="AG571" i="1"/>
  <c r="AH571" i="1"/>
  <c r="AH572" i="1"/>
  <c r="AG572" i="1"/>
  <c r="AG573" i="1"/>
  <c r="AH573" i="1"/>
  <c r="AH574" i="1"/>
  <c r="AG574" i="1"/>
  <c r="AG575" i="1"/>
  <c r="AH575" i="1"/>
  <c r="AH576" i="1"/>
  <c r="AG576" i="1"/>
  <c r="AG577" i="1"/>
  <c r="AH577" i="1"/>
  <c r="AH578" i="1"/>
  <c r="AG578" i="1"/>
  <c r="AG579" i="1"/>
  <c r="AH579" i="1"/>
  <c r="AG580" i="1"/>
  <c r="AH580" i="1"/>
  <c r="AG581" i="1"/>
  <c r="AH581" i="1"/>
  <c r="AH582" i="1"/>
  <c r="AG582" i="1"/>
  <c r="AG583" i="1"/>
  <c r="AH583" i="1"/>
  <c r="AG584" i="1"/>
  <c r="AH584" i="1"/>
  <c r="AH585" i="1"/>
  <c r="AG585" i="1"/>
  <c r="AH586" i="1"/>
  <c r="AG586" i="1"/>
  <c r="AG587" i="1"/>
  <c r="AH587" i="1"/>
  <c r="AH588" i="1"/>
  <c r="AG588" i="1"/>
  <c r="AG589" i="1"/>
  <c r="AH589" i="1"/>
  <c r="AG590" i="1"/>
  <c r="AH590" i="1"/>
  <c r="AG591" i="1"/>
  <c r="AH591" i="1"/>
  <c r="AG592" i="1"/>
  <c r="AH592" i="1"/>
  <c r="AG593" i="1"/>
  <c r="AH593" i="1"/>
  <c r="AH594" i="1"/>
  <c r="AG594" i="1"/>
  <c r="AG595" i="1"/>
  <c r="AH595" i="1"/>
  <c r="AH596" i="1"/>
  <c r="AG596" i="1"/>
  <c r="AH597" i="1"/>
  <c r="AG597" i="1"/>
  <c r="AG598" i="1"/>
  <c r="AH598" i="1"/>
  <c r="AG599" i="1"/>
  <c r="AH599" i="1"/>
  <c r="AG600" i="1"/>
  <c r="AH600" i="1"/>
  <c r="AG601" i="1"/>
  <c r="AH601" i="1"/>
  <c r="AH602" i="1"/>
  <c r="AG602" i="1"/>
  <c r="AH603" i="1"/>
  <c r="AG603" i="1"/>
  <c r="AG604" i="1"/>
  <c r="AH604" i="1"/>
  <c r="AH605" i="1"/>
  <c r="AG605" i="1"/>
  <c r="AG606" i="1"/>
  <c r="AH606" i="1"/>
  <c r="AH607" i="1"/>
  <c r="AG607" i="1"/>
  <c r="AG608" i="1"/>
  <c r="AH608" i="1"/>
  <c r="AH609" i="1"/>
  <c r="AG609" i="1"/>
  <c r="AG610" i="1"/>
  <c r="AH610" i="1"/>
  <c r="AH611" i="1"/>
  <c r="AG611" i="1"/>
  <c r="AH612" i="1"/>
  <c r="AG612" i="1"/>
  <c r="AH613" i="1"/>
  <c r="AG613" i="1"/>
  <c r="AG614" i="1"/>
  <c r="AH614" i="1"/>
  <c r="AG615" i="1"/>
  <c r="AH615" i="1"/>
  <c r="AH616" i="1"/>
  <c r="AG616" i="1"/>
  <c r="AG617" i="1"/>
  <c r="AH617" i="1"/>
  <c r="AH618" i="1"/>
  <c r="AG618" i="1"/>
  <c r="AG619" i="1"/>
  <c r="AH619" i="1"/>
  <c r="AG620" i="1"/>
  <c r="AH620" i="1"/>
  <c r="AG621" i="1"/>
  <c r="AH621" i="1"/>
  <c r="AH622" i="1"/>
  <c r="AG622" i="1"/>
  <c r="AH623" i="1"/>
  <c r="AG623" i="1"/>
  <c r="AH624" i="1"/>
  <c r="AG624" i="1"/>
  <c r="AH625" i="1"/>
  <c r="AG625" i="1"/>
  <c r="AG626" i="1"/>
  <c r="AH626" i="1"/>
  <c r="AH627" i="1"/>
  <c r="AG627" i="1"/>
  <c r="AG628" i="1"/>
  <c r="AH628" i="1"/>
  <c r="AH629" i="1"/>
  <c r="AG629" i="1"/>
  <c r="AH630" i="1"/>
  <c r="AG630" i="1"/>
  <c r="AH631" i="1"/>
  <c r="AG631" i="1"/>
  <c r="AG632" i="1"/>
  <c r="AH632" i="1"/>
  <c r="AH633" i="1"/>
  <c r="AG633" i="1"/>
  <c r="AH634" i="1"/>
  <c r="AG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H641" i="1"/>
  <c r="AG641" i="1"/>
  <c r="AG642" i="1"/>
  <c r="AH642" i="1"/>
  <c r="AH643" i="1"/>
  <c r="AG643" i="1"/>
  <c r="AH644" i="1"/>
  <c r="AG644" i="1"/>
  <c r="AH645" i="1"/>
  <c r="AG645" i="1"/>
  <c r="AG646" i="1"/>
  <c r="AH646" i="1"/>
  <c r="AG647" i="1"/>
  <c r="AH647" i="1"/>
  <c r="AH648" i="1"/>
  <c r="AG648" i="1"/>
  <c r="AH649" i="1"/>
  <c r="AG649" i="1"/>
  <c r="AG650" i="1"/>
  <c r="AH650" i="1"/>
  <c r="AH651" i="1"/>
  <c r="AG651" i="1"/>
  <c r="AH652" i="1"/>
  <c r="AG652" i="1"/>
  <c r="AG653" i="1"/>
  <c r="AH653" i="1"/>
  <c r="AG654" i="1"/>
  <c r="AH654" i="1"/>
  <c r="AG655" i="1"/>
  <c r="AH655" i="1"/>
  <c r="AH656" i="1"/>
  <c r="AG656" i="1"/>
  <c r="AH657" i="1"/>
  <c r="AG657" i="1"/>
  <c r="AG658" i="1"/>
  <c r="AH658" i="1"/>
  <c r="AH659" i="1"/>
  <c r="AG659" i="1"/>
  <c r="AH660" i="1"/>
  <c r="AG660" i="1"/>
  <c r="AH661" i="1"/>
  <c r="AG661" i="1"/>
  <c r="AH662" i="1"/>
  <c r="AG662" i="1"/>
  <c r="AG663" i="1"/>
  <c r="AH663" i="1"/>
  <c r="AH664" i="1"/>
  <c r="AG664" i="1"/>
  <c r="AG665" i="1"/>
  <c r="AH665" i="1"/>
  <c r="AG666" i="1"/>
  <c r="AH666" i="1"/>
  <c r="AG667" i="1"/>
  <c r="AH667" i="1"/>
  <c r="AH668" i="1"/>
  <c r="AG668" i="1"/>
  <c r="AG669" i="1"/>
  <c r="AH669" i="1"/>
  <c r="AH670" i="1"/>
  <c r="AG670" i="1"/>
  <c r="AG671" i="1"/>
  <c r="AH671" i="1"/>
  <c r="AG672" i="1"/>
  <c r="AH672" i="1"/>
  <c r="AH673" i="1"/>
  <c r="AG673" i="1"/>
  <c r="AG674" i="1"/>
  <c r="AH674" i="1"/>
  <c r="AH675" i="1"/>
  <c r="AG675" i="1"/>
  <c r="AH676" i="1"/>
  <c r="AG676" i="1"/>
  <c r="AG677" i="1"/>
  <c r="AH677" i="1"/>
  <c r="AG678" i="1"/>
  <c r="AH678" i="1"/>
  <c r="AH679" i="1"/>
  <c r="AG679" i="1"/>
  <c r="AG680" i="1"/>
  <c r="AH680" i="1"/>
  <c r="AG681" i="1"/>
  <c r="AH681" i="1"/>
  <c r="AH682" i="1"/>
  <c r="AG682" i="1"/>
  <c r="AG683" i="1"/>
  <c r="AH683" i="1"/>
  <c r="AG684" i="1"/>
  <c r="AH684" i="1"/>
  <c r="AH685" i="1"/>
  <c r="AG685" i="1"/>
  <c r="AG686" i="1"/>
  <c r="AH686" i="1"/>
  <c r="AG687" i="1"/>
  <c r="AH687" i="1"/>
  <c r="AH688" i="1"/>
  <c r="AG688" i="1"/>
  <c r="AG689" i="1"/>
  <c r="AH689" i="1"/>
  <c r="AH690" i="1"/>
  <c r="AG690" i="1"/>
  <c r="AG691" i="1"/>
  <c r="AH691" i="1"/>
  <c r="AH692" i="1"/>
  <c r="AG692" i="1"/>
  <c r="AH693" i="1"/>
  <c r="AG693" i="1"/>
  <c r="AH694" i="1"/>
  <c r="AG694" i="1"/>
  <c r="AH695" i="1"/>
  <c r="AG695" i="1"/>
  <c r="AH696" i="1"/>
  <c r="AG696" i="1"/>
  <c r="AH697" i="1"/>
  <c r="AG697" i="1"/>
  <c r="AH698" i="1"/>
  <c r="AG698" i="1"/>
  <c r="AH699" i="1"/>
  <c r="AG699" i="1"/>
  <c r="AH700" i="1"/>
  <c r="AG700" i="1"/>
  <c r="AG701" i="1"/>
  <c r="AH701" i="1"/>
  <c r="AH702" i="1"/>
  <c r="AG702" i="1"/>
  <c r="AG703" i="1"/>
  <c r="AH703" i="1"/>
  <c r="AG704" i="1"/>
  <c r="AH704" i="1"/>
  <c r="AG705" i="1"/>
  <c r="AH705" i="1"/>
  <c r="AG706" i="1"/>
  <c r="AH706" i="1"/>
  <c r="AG707" i="1"/>
  <c r="AH707" i="1"/>
  <c r="AH708" i="1"/>
  <c r="AG708" i="1"/>
  <c r="AH709" i="1"/>
  <c r="AG709" i="1"/>
  <c r="AH710" i="1"/>
  <c r="AG710" i="1"/>
  <c r="AG711" i="1"/>
  <c r="AH711" i="1"/>
  <c r="AH712" i="1"/>
  <c r="AG712" i="1"/>
  <c r="AH713" i="1"/>
  <c r="AG713" i="1"/>
  <c r="AH714" i="1"/>
  <c r="AG714" i="1"/>
  <c r="AH715" i="1"/>
  <c r="AG715" i="1"/>
  <c r="AH716" i="1"/>
  <c r="AG716" i="1"/>
  <c r="AG717" i="1"/>
  <c r="AH717" i="1"/>
  <c r="AG718" i="1"/>
  <c r="AH718" i="1"/>
  <c r="AH719" i="1"/>
  <c r="AG719" i="1"/>
  <c r="AH720" i="1"/>
  <c r="AG720" i="1"/>
  <c r="AG721" i="1"/>
  <c r="AH721" i="1"/>
  <c r="AG722" i="1"/>
  <c r="AH722" i="1"/>
  <c r="AH723" i="1"/>
  <c r="AG723" i="1"/>
  <c r="AG724" i="1"/>
  <c r="AH724" i="1"/>
  <c r="AG725" i="1"/>
  <c r="AH725" i="1"/>
  <c r="AG726" i="1"/>
  <c r="AH726" i="1"/>
  <c r="AG727" i="1"/>
  <c r="AH727" i="1"/>
  <c r="AG728" i="1"/>
  <c r="AH728" i="1"/>
  <c r="AH729" i="1"/>
  <c r="AG729" i="1"/>
  <c r="AG730" i="1"/>
  <c r="AH730" i="1"/>
  <c r="AG731" i="1"/>
  <c r="AH731" i="1"/>
  <c r="AG732" i="1"/>
  <c r="AH732" i="1"/>
  <c r="AG733" i="1"/>
  <c r="AH733" i="1"/>
  <c r="AH734" i="1"/>
  <c r="AG734" i="1"/>
  <c r="AG735" i="1"/>
  <c r="AH735" i="1"/>
  <c r="AH736" i="1"/>
  <c r="AG736" i="1"/>
  <c r="AG737" i="1"/>
  <c r="AH737" i="1"/>
  <c r="AG738" i="1"/>
  <c r="AH738" i="1"/>
  <c r="AG739" i="1"/>
  <c r="AH739" i="1"/>
  <c r="AH740" i="1"/>
  <c r="AG740" i="1"/>
  <c r="AG741" i="1"/>
  <c r="AH741" i="1"/>
  <c r="AH742" i="1"/>
  <c r="AG742" i="1"/>
  <c r="AH743" i="1"/>
  <c r="AG743" i="1"/>
  <c r="AH744" i="1"/>
  <c r="AG744" i="1"/>
  <c r="AG745" i="1"/>
  <c r="AH745" i="1"/>
  <c r="AG746" i="1"/>
  <c r="AH746" i="1"/>
  <c r="AH747" i="1"/>
  <c r="AG747" i="1"/>
  <c r="AH748" i="1"/>
  <c r="AG748" i="1"/>
  <c r="AG749" i="1"/>
  <c r="AH749" i="1"/>
  <c r="AH750" i="1"/>
  <c r="AG750" i="1"/>
  <c r="AH751" i="1"/>
  <c r="AG751" i="1"/>
  <c r="AG752" i="1"/>
  <c r="AH752" i="1"/>
  <c r="AH753" i="1"/>
  <c r="AG753" i="1"/>
  <c r="AG754" i="1"/>
  <c r="AH754" i="1"/>
  <c r="AG755" i="1"/>
  <c r="AH755" i="1"/>
  <c r="AG756" i="1"/>
  <c r="AH756" i="1"/>
  <c r="AH757" i="1"/>
  <c r="AG757" i="1"/>
  <c r="AH758" i="1"/>
  <c r="AG758" i="1"/>
  <c r="AG759" i="1"/>
  <c r="AH759" i="1"/>
  <c r="AH760" i="1"/>
  <c r="AG760" i="1"/>
  <c r="AH761" i="1"/>
  <c r="AG761" i="1"/>
  <c r="AH762" i="1"/>
  <c r="AG762" i="1"/>
  <c r="AH763" i="1"/>
  <c r="AG763" i="1"/>
  <c r="AG764" i="1"/>
  <c r="AH764" i="1"/>
  <c r="AH765" i="1"/>
  <c r="AG765" i="1"/>
  <c r="AG766" i="1"/>
  <c r="AH766" i="1"/>
  <c r="AG767" i="1"/>
  <c r="AH767" i="1"/>
  <c r="AG768" i="1"/>
  <c r="AH768" i="1"/>
  <c r="AG769" i="1"/>
  <c r="AH769" i="1"/>
  <c r="AG770" i="1"/>
  <c r="AH770" i="1"/>
  <c r="AH771" i="1"/>
  <c r="AG771" i="1"/>
  <c r="AH772" i="1"/>
  <c r="AG772" i="1"/>
  <c r="AH773" i="1"/>
  <c r="AG773" i="1"/>
  <c r="AH774" i="1"/>
  <c r="AG774" i="1"/>
  <c r="AG775" i="1"/>
  <c r="AH775" i="1"/>
  <c r="AH776" i="1"/>
  <c r="AG776" i="1"/>
  <c r="AH777" i="1"/>
  <c r="AG777" i="1"/>
  <c r="AG778" i="1"/>
  <c r="AH778" i="1"/>
  <c r="AH779" i="1"/>
  <c r="AG779" i="1"/>
  <c r="AG780" i="1"/>
  <c r="AH780" i="1"/>
  <c r="AH781" i="1"/>
  <c r="AG781" i="1"/>
  <c r="AH782" i="1"/>
  <c r="AG782" i="1"/>
  <c r="AG783" i="1"/>
  <c r="AH783" i="1"/>
  <c r="AG784" i="1"/>
  <c r="AH784" i="1"/>
  <c r="AG785" i="1"/>
  <c r="AH785" i="1"/>
  <c r="AH786" i="1"/>
  <c r="AG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H795" i="1"/>
  <c r="AG795" i="1"/>
  <c r="AH796" i="1"/>
  <c r="AG796" i="1"/>
  <c r="AG797" i="1"/>
  <c r="AH797" i="1"/>
  <c r="AG798" i="1"/>
  <c r="AH798" i="1"/>
  <c r="AG799" i="1"/>
  <c r="AH799" i="1"/>
  <c r="AH800" i="1"/>
  <c r="AG800" i="1"/>
  <c r="AG801" i="1"/>
  <c r="AH801" i="1"/>
  <c r="AH802" i="1"/>
  <c r="AG802" i="1"/>
  <c r="AH803" i="1"/>
  <c r="AG803" i="1"/>
  <c r="AG804" i="1"/>
  <c r="AH804" i="1"/>
  <c r="AH805" i="1"/>
  <c r="AG805" i="1"/>
  <c r="AH806" i="1"/>
  <c r="AG806" i="1"/>
  <c r="AG807" i="1"/>
  <c r="AH807" i="1"/>
  <c r="AH808" i="1"/>
  <c r="AG808" i="1"/>
  <c r="AG809" i="1"/>
  <c r="AH809" i="1"/>
  <c r="AG810" i="1"/>
  <c r="AH810" i="1"/>
  <c r="AH811" i="1"/>
  <c r="AG811" i="1"/>
  <c r="AG812" i="1"/>
  <c r="AH812" i="1"/>
  <c r="AG813" i="1"/>
  <c r="AH813" i="1"/>
  <c r="AH814" i="1"/>
  <c r="AG814" i="1"/>
  <c r="AG815" i="1"/>
  <c r="AH815" i="1"/>
  <c r="AH816" i="1"/>
  <c r="AG816" i="1"/>
  <c r="AG817" i="1"/>
  <c r="AH817" i="1"/>
  <c r="AH818" i="1"/>
  <c r="AG818" i="1"/>
  <c r="AG819" i="1"/>
  <c r="AH819" i="1"/>
  <c r="AH820" i="1"/>
  <c r="AG820" i="1"/>
  <c r="AG821" i="1"/>
  <c r="AH821" i="1"/>
  <c r="AG822" i="1"/>
  <c r="AH822" i="1"/>
  <c r="AG823" i="1"/>
  <c r="AH823" i="1"/>
  <c r="AG824" i="1"/>
  <c r="AH824" i="1"/>
  <c r="AH825" i="1"/>
  <c r="AG825" i="1"/>
  <c r="AG826" i="1"/>
  <c r="AH826" i="1"/>
  <c r="AH827" i="1"/>
  <c r="AG827" i="1"/>
  <c r="AG828" i="1"/>
  <c r="AH828" i="1"/>
  <c r="AH829" i="1"/>
  <c r="AG829" i="1"/>
  <c r="AG830" i="1"/>
  <c r="AH830" i="1"/>
  <c r="AG831" i="1"/>
  <c r="AH831" i="1"/>
  <c r="AG832" i="1"/>
  <c r="AH832" i="1"/>
  <c r="AG833" i="1"/>
  <c r="AH833" i="1"/>
  <c r="AG834" i="1"/>
  <c r="AH834" i="1"/>
  <c r="AH835" i="1"/>
  <c r="AG835" i="1"/>
  <c r="AG836" i="1"/>
  <c r="AH836" i="1"/>
  <c r="AH837" i="1"/>
  <c r="AG837" i="1"/>
  <c r="AH838" i="1"/>
  <c r="AG838" i="1"/>
  <c r="AH839" i="1"/>
  <c r="AG839" i="1"/>
  <c r="AH840" i="1"/>
  <c r="AG840" i="1"/>
  <c r="AH841" i="1"/>
  <c r="AG841" i="1"/>
  <c r="AG842" i="1"/>
  <c r="AH842" i="1"/>
  <c r="AH843" i="1"/>
  <c r="AG843" i="1"/>
  <c r="AH844" i="1"/>
  <c r="AG844" i="1"/>
  <c r="AH845" i="1"/>
  <c r="AG845" i="1"/>
  <c r="AG846" i="1"/>
  <c r="AH846" i="1"/>
  <c r="AG847" i="1"/>
  <c r="AH847" i="1"/>
  <c r="AH848" i="1"/>
  <c r="AG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H855" i="1"/>
  <c r="AG855" i="1"/>
  <c r="AH856" i="1"/>
  <c r="AG856" i="1"/>
  <c r="AH857" i="1"/>
  <c r="AG857" i="1"/>
  <c r="AG858" i="1"/>
  <c r="AH858" i="1"/>
  <c r="AH859" i="1"/>
  <c r="AG859" i="1"/>
  <c r="AH860" i="1"/>
  <c r="AG860" i="1"/>
  <c r="AH861" i="1"/>
  <c r="AG861" i="1"/>
  <c r="AH862" i="1"/>
  <c r="AG862" i="1"/>
  <c r="AG863" i="1"/>
  <c r="AH863" i="1"/>
  <c r="AG864" i="1"/>
  <c r="AH864" i="1"/>
  <c r="AG865" i="1"/>
  <c r="AH865" i="1"/>
  <c r="AH866" i="1"/>
  <c r="AG866" i="1"/>
  <c r="AG867" i="1"/>
  <c r="AH867" i="1"/>
  <c r="AH868" i="1"/>
  <c r="AG868" i="1"/>
  <c r="AH869" i="1"/>
  <c r="AG869" i="1"/>
  <c r="AG870" i="1"/>
  <c r="AH870" i="1"/>
  <c r="AH871" i="1"/>
  <c r="AG871" i="1"/>
  <c r="AH872" i="1"/>
  <c r="AG872" i="1"/>
  <c r="AH873" i="1"/>
  <c r="AG873" i="1"/>
  <c r="AG874" i="1"/>
  <c r="AH874" i="1"/>
  <c r="AG875" i="1"/>
  <c r="AH875" i="1"/>
  <c r="AH876" i="1"/>
  <c r="AG876" i="1"/>
  <c r="AH877" i="1"/>
  <c r="AG877" i="1"/>
  <c r="AH878" i="1"/>
  <c r="AG878" i="1"/>
  <c r="AH879" i="1"/>
  <c r="AG879" i="1"/>
  <c r="AH880" i="1"/>
  <c r="AG880" i="1"/>
  <c r="AH881" i="1"/>
  <c r="AG881" i="1"/>
  <c r="AG882" i="1"/>
  <c r="AH882" i="1"/>
  <c r="AG883" i="1"/>
  <c r="AH883" i="1"/>
  <c r="AH884" i="1"/>
  <c r="AG884" i="1"/>
  <c r="AH885" i="1"/>
  <c r="AG885" i="1"/>
  <c r="AG886" i="1"/>
  <c r="AH886" i="1"/>
  <c r="AH887" i="1"/>
  <c r="AG887" i="1"/>
  <c r="AG888" i="1"/>
  <c r="AH888" i="1"/>
  <c r="AG889" i="1"/>
  <c r="AH889" i="1"/>
  <c r="AG890" i="1"/>
  <c r="AH890" i="1"/>
  <c r="AH891" i="1"/>
  <c r="AG891" i="1"/>
  <c r="AG892" i="1"/>
  <c r="AH892" i="1"/>
  <c r="AG893" i="1"/>
  <c r="AH893" i="1"/>
  <c r="AH894" i="1"/>
  <c r="AG894" i="1"/>
  <c r="AH895" i="1"/>
  <c r="AG895" i="1"/>
  <c r="AH896" i="1"/>
  <c r="AG896" i="1"/>
  <c r="AH897" i="1"/>
  <c r="AG897" i="1"/>
  <c r="AG898" i="1"/>
  <c r="AH898" i="1"/>
  <c r="AH899" i="1"/>
  <c r="AG899" i="1"/>
  <c r="AH900" i="1"/>
  <c r="AG900" i="1"/>
  <c r="AG901" i="1"/>
  <c r="AH901" i="1"/>
  <c r="AH902" i="1"/>
  <c r="AG902" i="1"/>
  <c r="AH903" i="1"/>
  <c r="AG903" i="1"/>
  <c r="AG904" i="1"/>
  <c r="AH904" i="1"/>
  <c r="AG905" i="1"/>
  <c r="AH905" i="1"/>
  <c r="AH906" i="1"/>
  <c r="AG906" i="1"/>
  <c r="AH907" i="1"/>
  <c r="AG907" i="1"/>
  <c r="AH908" i="1"/>
  <c r="AG908" i="1"/>
  <c r="AG909" i="1"/>
  <c r="AH909" i="1"/>
  <c r="AH910" i="1"/>
  <c r="AG910" i="1"/>
  <c r="AH911" i="1"/>
  <c r="AG911" i="1"/>
  <c r="AH912" i="1"/>
  <c r="AG912" i="1"/>
  <c r="AH913" i="1"/>
  <c r="AG913" i="1"/>
  <c r="AG914" i="1"/>
  <c r="AH914" i="1"/>
  <c r="AH915" i="1"/>
  <c r="AG915" i="1"/>
  <c r="AH916" i="1"/>
  <c r="AG916" i="1"/>
  <c r="AH917" i="1"/>
  <c r="AG917" i="1"/>
  <c r="AH918" i="1"/>
  <c r="AG918" i="1"/>
  <c r="AG919" i="1"/>
  <c r="AH919" i="1"/>
  <c r="AG920" i="1"/>
  <c r="AH920" i="1"/>
  <c r="AH921" i="1"/>
  <c r="AG921" i="1"/>
  <c r="AG922" i="1"/>
  <c r="AH922" i="1"/>
  <c r="AG923" i="1"/>
  <c r="AH923" i="1"/>
  <c r="AH924" i="1"/>
  <c r="AG924" i="1"/>
  <c r="AH925" i="1"/>
  <c r="AG925" i="1"/>
  <c r="AH926" i="1"/>
  <c r="AG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H933" i="1"/>
  <c r="AG933" i="1"/>
  <c r="AH934" i="1"/>
  <c r="AG934" i="1"/>
  <c r="AG935" i="1"/>
  <c r="AH935" i="1"/>
  <c r="AG936" i="1"/>
  <c r="AH936" i="1"/>
  <c r="AH937" i="1"/>
  <c r="AG937" i="1"/>
  <c r="AH938" i="1"/>
  <c r="AG938" i="1"/>
  <c r="AG939" i="1"/>
  <c r="AH939" i="1"/>
  <c r="AG940" i="1"/>
  <c r="AH940" i="1"/>
  <c r="AG941" i="1"/>
  <c r="AH941" i="1"/>
  <c r="AH942" i="1"/>
  <c r="AG942" i="1"/>
  <c r="AH943" i="1"/>
  <c r="AG943" i="1"/>
  <c r="AG944" i="1"/>
  <c r="AH944" i="1"/>
  <c r="AG945" i="1"/>
  <c r="AH945" i="1"/>
  <c r="AH946" i="1"/>
  <c r="AG946" i="1"/>
  <c r="AG947" i="1"/>
  <c r="AH947" i="1"/>
  <c r="AH948" i="1"/>
  <c r="AG948" i="1"/>
  <c r="AG949" i="1"/>
  <c r="AH949" i="1"/>
  <c r="AG950" i="1"/>
  <c r="AH950" i="1"/>
  <c r="AG951" i="1"/>
  <c r="AH951" i="1"/>
  <c r="AH952" i="1"/>
  <c r="AG952" i="1"/>
  <c r="AH953" i="1"/>
  <c r="AG953" i="1"/>
  <c r="AG954" i="1"/>
  <c r="AH954" i="1"/>
  <c r="AG955" i="1"/>
  <c r="AH955" i="1"/>
  <c r="AH956" i="1"/>
  <c r="AG956" i="1"/>
  <c r="AG957" i="1"/>
  <c r="AH957" i="1"/>
  <c r="AH958" i="1"/>
  <c r="AG958" i="1"/>
  <c r="AH959" i="1"/>
  <c r="AG959" i="1"/>
  <c r="AH960" i="1"/>
  <c r="AG960" i="1"/>
  <c r="AH961" i="1"/>
  <c r="AG961" i="1"/>
  <c r="AH962" i="1"/>
  <c r="AG962" i="1"/>
  <c r="AG963" i="1"/>
  <c r="AH963" i="1"/>
  <c r="AH964" i="1"/>
  <c r="AG964" i="1"/>
  <c r="AG965" i="1"/>
  <c r="AH965" i="1"/>
  <c r="AH966" i="1"/>
  <c r="AG966" i="1"/>
  <c r="AH967" i="1"/>
  <c r="AG967" i="1"/>
  <c r="AH968" i="1"/>
  <c r="AG968" i="1"/>
  <c r="AH969" i="1"/>
  <c r="AG969" i="1"/>
  <c r="AG970" i="1"/>
  <c r="AH970" i="1"/>
  <c r="AH971" i="1"/>
  <c r="AG971" i="1"/>
  <c r="AH972" i="1"/>
  <c r="AG972" i="1"/>
  <c r="AH973" i="1"/>
  <c r="AG973" i="1"/>
  <c r="AH974" i="1"/>
  <c r="AG974" i="1"/>
  <c r="AH975" i="1"/>
  <c r="AG975" i="1"/>
  <c r="AG976" i="1"/>
  <c r="AH976" i="1"/>
  <c r="AH977" i="1"/>
  <c r="AG977" i="1"/>
  <c r="AH978" i="1"/>
  <c r="AG978" i="1"/>
  <c r="AH979" i="1"/>
  <c r="AG979" i="1"/>
  <c r="AH980" i="1"/>
  <c r="AG980" i="1"/>
  <c r="AH981" i="1"/>
  <c r="AG981" i="1"/>
  <c r="AH982" i="1"/>
  <c r="AG982" i="1"/>
  <c r="AH983" i="1"/>
  <c r="AG983" i="1"/>
  <c r="AH984" i="1"/>
  <c r="AG984" i="1"/>
  <c r="AG985" i="1"/>
  <c r="AH985" i="1"/>
  <c r="AG986" i="1"/>
  <c r="AH986" i="1"/>
  <c r="AG987" i="1"/>
  <c r="AH987" i="1"/>
  <c r="AG988" i="1"/>
  <c r="AH988" i="1"/>
  <c r="AG989" i="1"/>
  <c r="AH989" i="1"/>
  <c r="AH990" i="1"/>
  <c r="AG990" i="1"/>
  <c r="AG991" i="1"/>
  <c r="AH991" i="1"/>
  <c r="AH992" i="1"/>
  <c r="AG992" i="1"/>
  <c r="AH993" i="1"/>
  <c r="AG993" i="1"/>
  <c r="AG994" i="1"/>
  <c r="AH994" i="1"/>
  <c r="AG995" i="1"/>
  <c r="AH995" i="1"/>
  <c r="AG996" i="1"/>
  <c r="AH996" i="1"/>
  <c r="AH997" i="1"/>
  <c r="AG997" i="1"/>
  <c r="AG998" i="1"/>
  <c r="AH998" i="1"/>
  <c r="AG999" i="1"/>
  <c r="AH999" i="1"/>
  <c r="AH1000" i="1"/>
  <c r="AG1000" i="1"/>
  <c r="AH1001" i="1"/>
  <c r="AG1001" i="1"/>
  <c r="AG1002" i="1"/>
  <c r="AH1002" i="1"/>
  <c r="AG1003" i="1"/>
  <c r="AH1003" i="1"/>
  <c r="AH1004" i="1"/>
  <c r="AG1004" i="1"/>
  <c r="AG1005" i="1"/>
  <c r="AH1005" i="1"/>
  <c r="AG1006" i="1"/>
  <c r="AH1006" i="1"/>
  <c r="AG1007" i="1"/>
  <c r="AH1007" i="1"/>
  <c r="X108" i="6"/>
  <c r="X106" i="6"/>
  <c r="X101" i="6"/>
  <c r="X116" i="6"/>
  <c r="X107" i="6"/>
  <c r="X102" i="6"/>
  <c r="X115" i="6"/>
  <c r="X112" i="6"/>
  <c r="X105" i="6"/>
  <c r="X113" i="6"/>
  <c r="X110" i="6"/>
  <c r="X109" i="6"/>
  <c r="X104" i="6"/>
  <c r="X100" i="6"/>
  <c r="X98" i="6"/>
  <c r="X117" i="6"/>
  <c r="X114" i="6"/>
  <c r="X111" i="6"/>
  <c r="X103" i="6"/>
  <c r="X99" i="6"/>
  <c r="X19" i="6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Z614" i="3"/>
  <c r="Z972" i="3"/>
  <c r="Z966" i="3"/>
  <c r="Z965" i="3"/>
  <c r="Z961" i="3"/>
  <c r="Z956" i="3"/>
  <c r="Z955" i="3"/>
  <c r="Z952" i="3"/>
  <c r="Z950" i="3"/>
  <c r="Z946" i="3"/>
  <c r="Z939" i="3"/>
  <c r="Z938" i="3"/>
  <c r="Z932" i="3"/>
  <c r="Z928" i="3"/>
  <c r="Z924" i="3"/>
  <c r="Z920" i="3"/>
  <c r="Z919" i="3"/>
  <c r="Z918" i="3"/>
  <c r="Z914" i="3"/>
  <c r="Z911" i="3"/>
  <c r="Z907" i="3"/>
  <c r="Z904" i="3"/>
  <c r="Z903" i="3"/>
  <c r="Z902" i="3"/>
  <c r="Z898" i="3"/>
  <c r="Z897" i="3"/>
  <c r="Z894" i="3"/>
  <c r="Z889" i="3"/>
  <c r="Z881" i="3"/>
  <c r="Z877" i="3"/>
  <c r="Z875" i="3"/>
  <c r="Z872" i="3"/>
  <c r="Z867" i="3"/>
  <c r="Z861" i="3"/>
  <c r="Z856" i="3"/>
  <c r="Z845" i="3"/>
  <c r="Z844" i="3"/>
  <c r="Z840" i="3"/>
  <c r="Z832" i="3"/>
  <c r="Z825" i="3"/>
  <c r="Z820" i="3"/>
  <c r="Z817" i="3"/>
  <c r="Z813" i="3"/>
  <c r="Z800" i="3"/>
  <c r="Z790" i="3"/>
  <c r="Z789" i="3"/>
  <c r="Z786" i="3"/>
  <c r="Z781" i="3"/>
  <c r="Z778" i="3"/>
  <c r="Z776" i="3"/>
  <c r="Z775" i="3"/>
  <c r="Z772" i="3"/>
  <c r="Z757" i="3"/>
  <c r="Z742" i="3"/>
  <c r="Z740" i="3"/>
  <c r="Z736" i="3"/>
  <c r="Z734" i="3"/>
  <c r="Z667" i="3"/>
  <c r="Z657" i="3"/>
  <c r="Z652" i="3"/>
  <c r="Z646" i="3"/>
  <c r="Z642" i="3"/>
  <c r="Z641" i="3"/>
  <c r="Z640" i="3"/>
  <c r="Z627" i="3"/>
  <c r="Z618" i="3"/>
  <c r="Z617" i="3"/>
  <c r="Z611" i="3"/>
  <c r="Z606" i="3"/>
  <c r="Z596" i="3"/>
  <c r="Z595" i="3"/>
  <c r="Z590" i="3"/>
  <c r="Z589" i="3"/>
  <c r="Z588" i="3"/>
  <c r="Z583" i="3"/>
  <c r="Z577" i="3"/>
  <c r="Z573" i="3"/>
  <c r="Z548" i="3"/>
  <c r="Z547" i="3"/>
  <c r="Z542" i="3"/>
  <c r="Z541" i="3"/>
  <c r="Z540" i="3"/>
  <c r="Z535" i="3"/>
  <c r="Z527" i="3"/>
  <c r="Z526" i="3"/>
  <c r="Z525" i="3"/>
  <c r="Z524" i="3"/>
  <c r="Z523" i="3"/>
  <c r="Z518" i="3"/>
  <c r="Z517" i="3"/>
  <c r="Z516" i="3"/>
  <c r="Z512" i="3"/>
  <c r="Z511" i="3"/>
  <c r="Z503" i="3"/>
  <c r="Z501" i="3"/>
  <c r="Z497" i="3"/>
  <c r="Z492" i="3"/>
  <c r="Z491" i="3"/>
  <c r="Z487" i="3"/>
  <c r="Z486" i="3"/>
  <c r="Z482" i="3"/>
  <c r="Z473" i="3"/>
  <c r="Z472" i="3"/>
  <c r="Z467" i="3"/>
  <c r="Z466" i="3"/>
  <c r="Z453" i="3"/>
  <c r="Z448" i="3"/>
  <c r="Z447" i="3"/>
  <c r="Z442" i="3"/>
  <c r="Z436" i="3"/>
  <c r="Z434" i="3"/>
  <c r="Z433" i="3"/>
  <c r="Z428" i="3"/>
  <c r="Z427" i="3"/>
  <c r="Z425" i="3"/>
  <c r="Z421" i="3"/>
  <c r="Z412" i="3"/>
  <c r="Z411" i="3"/>
  <c r="Z407" i="3"/>
  <c r="Z406" i="3"/>
  <c r="Z405" i="3"/>
  <c r="Z389" i="3"/>
  <c r="Z388" i="3"/>
  <c r="Z383" i="3"/>
  <c r="Z378" i="3"/>
  <c r="Z236" i="3"/>
  <c r="Z235" i="3"/>
  <c r="Z224" i="3"/>
  <c r="Z208" i="3"/>
  <c r="Z202" i="3"/>
  <c r="Z189" i="3"/>
  <c r="Z188" i="3"/>
  <c r="Z187" i="3"/>
  <c r="Z181" i="3"/>
  <c r="Z176" i="3"/>
  <c r="Z169" i="3"/>
  <c r="Z168" i="3"/>
  <c r="Z160" i="3"/>
  <c r="Z158" i="3"/>
  <c r="Z152" i="3"/>
  <c r="Z147" i="3"/>
  <c r="Z145" i="3"/>
  <c r="Z140" i="3"/>
  <c r="Z139" i="3"/>
  <c r="Z133" i="3"/>
  <c r="Z132" i="3"/>
  <c r="Z131" i="3"/>
  <c r="Z130" i="3"/>
  <c r="Z119" i="3"/>
  <c r="Z118" i="3"/>
  <c r="Z108" i="3"/>
  <c r="Z107" i="3"/>
  <c r="Z83" i="3"/>
  <c r="Z82" i="3"/>
  <c r="Z74" i="3"/>
  <c r="Z58" i="3"/>
  <c r="Z42" i="3"/>
  <c r="Z41" i="3"/>
  <c r="Z33" i="3"/>
  <c r="Z32" i="3"/>
  <c r="Z31" i="3"/>
  <c r="Z10" i="3"/>
  <c r="Z1003" i="3"/>
  <c r="Z1000" i="3"/>
  <c r="Z996" i="3"/>
  <c r="Z993" i="3"/>
  <c r="Z990" i="3"/>
  <c r="Z984" i="3"/>
  <c r="Z983" i="3"/>
  <c r="Z981" i="3"/>
  <c r="Z978" i="3"/>
  <c r="Z977" i="3"/>
  <c r="Z974" i="3"/>
  <c r="Z973" i="3"/>
  <c r="Z967" i="3"/>
  <c r="Z963" i="3"/>
  <c r="Z962" i="3"/>
  <c r="Z958" i="3"/>
  <c r="Z941" i="3"/>
  <c r="Z937" i="3"/>
  <c r="Z930" i="3"/>
  <c r="Z926" i="3"/>
  <c r="Z922" i="3"/>
  <c r="Z917" i="3"/>
  <c r="Z916" i="3"/>
  <c r="Z913" i="3"/>
  <c r="Z912" i="3"/>
  <c r="Z892" i="3"/>
  <c r="Z891" i="3"/>
  <c r="Z890" i="3"/>
  <c r="Z887" i="3"/>
  <c r="Z886" i="3"/>
  <c r="Z885" i="3"/>
  <c r="Z882" i="3"/>
  <c r="Z874" i="3"/>
  <c r="Z870" i="3"/>
  <c r="Z869" i="3"/>
  <c r="Z868" i="3"/>
  <c r="Z865" i="3"/>
  <c r="Z864" i="3"/>
  <c r="Z860" i="3"/>
  <c r="Z859" i="3"/>
  <c r="Z858" i="3"/>
  <c r="Z855" i="3"/>
  <c r="Z854" i="3"/>
  <c r="Z851" i="3"/>
  <c r="Z843" i="3"/>
  <c r="Z839" i="3"/>
  <c r="Z838" i="3"/>
  <c r="Z837" i="3"/>
  <c r="Z834" i="3"/>
  <c r="Z830" i="3"/>
  <c r="Z829" i="3"/>
  <c r="Z822" i="3"/>
  <c r="Z821" i="3"/>
  <c r="Z819" i="3"/>
  <c r="Z816" i="3"/>
  <c r="Z815" i="3"/>
  <c r="Z814" i="3"/>
  <c r="Z810" i="3"/>
  <c r="Z809" i="3"/>
  <c r="Z806" i="3"/>
  <c r="Z805" i="3"/>
  <c r="Z798" i="3"/>
  <c r="Z797" i="3"/>
  <c r="Z793" i="3"/>
  <c r="Z785" i="3"/>
  <c r="Z777" i="3"/>
  <c r="Z770" i="3"/>
  <c r="Z769" i="3"/>
  <c r="Z768" i="3"/>
  <c r="Z764" i="3"/>
  <c r="Z761" i="3"/>
  <c r="Z760" i="3"/>
  <c r="Z754" i="3"/>
  <c r="Z753" i="3"/>
  <c r="Z749" i="3"/>
  <c r="Z748" i="3"/>
  <c r="Z746" i="3"/>
  <c r="Z743" i="3"/>
  <c r="Z739" i="3"/>
  <c r="Z735" i="3"/>
  <c r="Z671" i="3"/>
  <c r="Z670" i="3"/>
  <c r="Z669" i="3"/>
  <c r="Z668" i="3"/>
  <c r="Z664" i="3"/>
  <c r="Z661" i="3"/>
  <c r="Z656" i="3"/>
  <c r="Z655" i="3"/>
  <c r="Z651" i="3"/>
  <c r="Z650" i="3"/>
  <c r="Z645" i="3"/>
  <c r="Z633" i="3"/>
  <c r="Z628" i="3"/>
  <c r="Z623" i="3"/>
  <c r="Z622" i="3"/>
  <c r="Z621" i="3"/>
  <c r="Z615" i="3"/>
  <c r="Z605" i="3"/>
  <c r="Z598" i="3"/>
  <c r="Z594" i="3"/>
  <c r="Z584" i="3"/>
  <c r="Z580" i="3"/>
  <c r="Z579" i="3"/>
  <c r="Z578" i="3"/>
  <c r="Z574" i="3"/>
  <c r="Z563" i="3"/>
  <c r="Z553" i="3"/>
  <c r="Z552" i="3"/>
  <c r="Z551" i="3"/>
  <c r="Z12" i="3"/>
  <c r="Z537" i="3"/>
  <c r="Z531" i="3"/>
  <c r="Z513" i="3"/>
  <c r="Z508" i="3"/>
  <c r="Z507" i="3"/>
  <c r="Z502" i="3"/>
  <c r="Z500" i="3"/>
  <c r="Z496" i="3"/>
  <c r="Z495" i="3"/>
  <c r="Z490" i="3"/>
  <c r="Z485" i="3"/>
  <c r="Z484" i="3"/>
  <c r="Z479" i="3"/>
  <c r="Z475" i="3"/>
  <c r="Z474" i="3"/>
  <c r="Z470" i="3"/>
  <c r="Z460" i="3"/>
  <c r="Z454" i="3"/>
  <c r="Z450" i="3"/>
  <c r="Z441" i="3"/>
  <c r="Z437" i="3"/>
  <c r="Z432" i="3"/>
  <c r="Z431" i="3"/>
  <c r="Z417" i="3"/>
  <c r="Z416" i="3"/>
  <c r="Z415" i="3"/>
  <c r="Z414" i="3"/>
  <c r="Z413" i="3"/>
  <c r="Z400" i="3"/>
  <c r="Z395" i="3"/>
  <c r="Z394" i="3"/>
  <c r="Z393" i="3"/>
  <c r="Z392" i="3"/>
  <c r="Z377" i="3"/>
  <c r="Z376" i="3"/>
  <c r="Z245" i="3"/>
  <c r="Z233" i="3"/>
  <c r="Z227" i="3"/>
  <c r="Z225" i="3"/>
  <c r="Z215" i="3"/>
  <c r="Z186" i="3"/>
  <c r="Z185" i="3"/>
  <c r="Z184" i="3"/>
  <c r="Z183" i="3"/>
  <c r="Z134" i="3"/>
  <c r="Z128" i="3"/>
  <c r="Z127" i="3"/>
  <c r="Z126" i="3"/>
  <c r="Z124" i="3"/>
  <c r="Z123" i="3"/>
  <c r="Z121" i="3"/>
  <c r="Z116" i="3"/>
  <c r="Z109" i="3"/>
  <c r="Z102" i="3"/>
  <c r="Z87" i="3"/>
  <c r="Z79" i="3"/>
  <c r="Z73" i="3"/>
  <c r="Z67" i="3"/>
  <c r="Z66" i="3"/>
  <c r="Z51" i="3"/>
  <c r="Z43" i="3"/>
  <c r="Z26" i="3"/>
  <c r="Z25" i="3"/>
  <c r="Z24" i="3"/>
  <c r="Z16" i="3"/>
  <c r="Z15" i="3"/>
  <c r="Z14" i="3"/>
  <c r="Z9" i="3"/>
  <c r="Z8" i="3"/>
  <c r="Z1006" i="3"/>
  <c r="Z1005" i="3"/>
  <c r="Z1001" i="3"/>
  <c r="Z994" i="3"/>
  <c r="Z987" i="3"/>
  <c r="Z985" i="3"/>
  <c r="Z982" i="3"/>
  <c r="Z975" i="3"/>
  <c r="Z971" i="3"/>
  <c r="Z968" i="3"/>
  <c r="Z959" i="3"/>
  <c r="Z954" i="3"/>
  <c r="Z951" i="3"/>
  <c r="Z945" i="3"/>
  <c r="Z944" i="3"/>
  <c r="Z943" i="3"/>
  <c r="Z942" i="3"/>
  <c r="Z936" i="3"/>
  <c r="Z935" i="3"/>
  <c r="Z934" i="3"/>
  <c r="Z931" i="3"/>
  <c r="Z927" i="3"/>
  <c r="Z921" i="3"/>
  <c r="Z910" i="3"/>
  <c r="Z909" i="3"/>
  <c r="Z906" i="3"/>
  <c r="Z900" i="3"/>
  <c r="Z899" i="3"/>
  <c r="Z893" i="3"/>
  <c r="Z883" i="3"/>
  <c r="Z880" i="3"/>
  <c r="Z876" i="3"/>
  <c r="Z873" i="3"/>
  <c r="Z866" i="3"/>
  <c r="Z863" i="3"/>
  <c r="Z853" i="3"/>
  <c r="Z852" i="3"/>
  <c r="Z846" i="3"/>
  <c r="Z842" i="3"/>
  <c r="Z841" i="3"/>
  <c r="Z835" i="3"/>
  <c r="Z831" i="3"/>
  <c r="Z826" i="3"/>
  <c r="Z818" i="3"/>
  <c r="Z811" i="3"/>
  <c r="Z801" i="3"/>
  <c r="Z799" i="3"/>
  <c r="Z796" i="3"/>
  <c r="Z792" i="3"/>
  <c r="Z788" i="3"/>
  <c r="Z787" i="3"/>
  <c r="Z784" i="3"/>
  <c r="Z782" i="3"/>
  <c r="Z780" i="3"/>
  <c r="Z779" i="3"/>
  <c r="Z774" i="3"/>
  <c r="Z773" i="3"/>
  <c r="Z766" i="3"/>
  <c r="Z763" i="3"/>
  <c r="Z762" i="3"/>
  <c r="Z759" i="3"/>
  <c r="Z758" i="3"/>
  <c r="Z756" i="3"/>
  <c r="Z752" i="3"/>
  <c r="Z741" i="3"/>
  <c r="Z738" i="3"/>
  <c r="Z737" i="3"/>
  <c r="Z733" i="3"/>
  <c r="Z665" i="3"/>
  <c r="Z660" i="3"/>
  <c r="Z659" i="3"/>
  <c r="Z647" i="3"/>
  <c r="Z637" i="3"/>
  <c r="Z636" i="3"/>
  <c r="Z629" i="3"/>
  <c r="Z625" i="3"/>
  <c r="Z624" i="3"/>
  <c r="Z620" i="3"/>
  <c r="Z619" i="3"/>
  <c r="Z613" i="3"/>
  <c r="Z610" i="3"/>
  <c r="Z609" i="3"/>
  <c r="Z608" i="3"/>
  <c r="Z603" i="3"/>
  <c r="Z602" i="3"/>
  <c r="Z597" i="3"/>
  <c r="Z593" i="3"/>
  <c r="Z581" i="3"/>
  <c r="Z576" i="3"/>
  <c r="Z572" i="3"/>
  <c r="Z571" i="3"/>
  <c r="Z567" i="3"/>
  <c r="Z566" i="3"/>
  <c r="Z562" i="3"/>
  <c r="Z561" i="3"/>
  <c r="Z560" i="3"/>
  <c r="Z549" i="3"/>
  <c r="Z544" i="3"/>
  <c r="Z539" i="3"/>
  <c r="Z534" i="3"/>
  <c r="Z530" i="3"/>
  <c r="Z529" i="3"/>
  <c r="Z522" i="3"/>
  <c r="Z521" i="3"/>
  <c r="Z520" i="3"/>
  <c r="Z519" i="3"/>
  <c r="Z515" i="3"/>
  <c r="Z510" i="3"/>
  <c r="Z506" i="3"/>
  <c r="Z493" i="3"/>
  <c r="Z481" i="3"/>
  <c r="Z477" i="3"/>
  <c r="Z468" i="3"/>
  <c r="Z464" i="3"/>
  <c r="Z459" i="3"/>
  <c r="Z458" i="3"/>
  <c r="Z452" i="3"/>
  <c r="Z440" i="3"/>
  <c r="Z435" i="3"/>
  <c r="Z426" i="3"/>
  <c r="Z419" i="3"/>
  <c r="Z418" i="3"/>
  <c r="Z410" i="3"/>
  <c r="Z403" i="3"/>
  <c r="Z398" i="3"/>
  <c r="Z397" i="3"/>
  <c r="Z382" i="3"/>
  <c r="Z381" i="3"/>
  <c r="Z373" i="3"/>
  <c r="Z244" i="3"/>
  <c r="Z239" i="3"/>
  <c r="Z237" i="3"/>
  <c r="Z231" i="3"/>
  <c r="Z226" i="3"/>
  <c r="Z222" i="3"/>
  <c r="Z221" i="3"/>
  <c r="Z220" i="3"/>
  <c r="Z206" i="3"/>
  <c r="Z201" i="3"/>
  <c r="Z200" i="3"/>
  <c r="Z167" i="3"/>
  <c r="Z156" i="3"/>
  <c r="Z155" i="3"/>
  <c r="Z150" i="3"/>
  <c r="Z142" i="3"/>
  <c r="Z136" i="3"/>
  <c r="Z135" i="3"/>
  <c r="Z125" i="3"/>
  <c r="Z111" i="3"/>
  <c r="Z105" i="3"/>
  <c r="Z96" i="3"/>
  <c r="Z95" i="3"/>
  <c r="Z86" i="3"/>
  <c r="Z85" i="3"/>
  <c r="Z80" i="3"/>
  <c r="Z71" i="3"/>
  <c r="Z70" i="3"/>
  <c r="Z69" i="3"/>
  <c r="Z60" i="3"/>
  <c r="Z59" i="3"/>
  <c r="Z45" i="3"/>
  <c r="Z40" i="3"/>
  <c r="Z39" i="3"/>
  <c r="Z38" i="3"/>
  <c r="Z37" i="3"/>
  <c r="Z36" i="3"/>
  <c r="Z27" i="3"/>
  <c r="Z21" i="3"/>
  <c r="Z20" i="3"/>
  <c r="Z19" i="3"/>
  <c r="Z13" i="3"/>
  <c r="Z1007" i="3"/>
  <c r="Z1004" i="3"/>
  <c r="Z1002" i="3"/>
  <c r="Z999" i="3"/>
  <c r="Z998" i="3"/>
  <c r="Z997" i="3"/>
  <c r="Z995" i="3"/>
  <c r="Z992" i="3"/>
  <c r="Z991" i="3"/>
  <c r="Z989" i="3"/>
  <c r="Z988" i="3"/>
  <c r="Z986" i="3"/>
  <c r="Z980" i="3"/>
  <c r="Z979" i="3"/>
  <c r="Z976" i="3"/>
  <c r="Z970" i="3"/>
  <c r="Z969" i="3"/>
  <c r="Z964" i="3"/>
  <c r="Z960" i="3"/>
  <c r="Z957" i="3"/>
  <c r="Z953" i="3"/>
  <c r="Z949" i="3"/>
  <c r="Z948" i="3"/>
  <c r="Z947" i="3"/>
  <c r="Z940" i="3"/>
  <c r="Z933" i="3"/>
  <c r="Z929" i="3"/>
  <c r="Z925" i="3"/>
  <c r="Z923" i="3"/>
  <c r="Z915" i="3"/>
  <c r="Z908" i="3"/>
  <c r="Z905" i="3"/>
  <c r="Z901" i="3"/>
  <c r="Z896" i="3"/>
  <c r="Z895" i="3"/>
  <c r="Z888" i="3"/>
  <c r="Z884" i="3"/>
  <c r="Z879" i="3"/>
  <c r="Z878" i="3"/>
  <c r="Z871" i="3"/>
  <c r="Z862" i="3"/>
  <c r="Z857" i="3"/>
  <c r="Z850" i="3"/>
  <c r="Z849" i="3"/>
  <c r="Z848" i="3"/>
  <c r="Z847" i="3"/>
  <c r="Z836" i="3"/>
  <c r="Z833" i="3"/>
  <c r="Z828" i="3"/>
  <c r="Z827" i="3"/>
  <c r="Z824" i="3"/>
  <c r="Z823" i="3"/>
  <c r="Z812" i="3"/>
  <c r="Z808" i="3"/>
  <c r="Z807" i="3"/>
  <c r="Z804" i="3"/>
  <c r="Z803" i="3"/>
  <c r="Z802" i="3"/>
  <c r="Z795" i="3"/>
  <c r="Z794" i="3"/>
  <c r="Z791" i="3"/>
  <c r="Z783" i="3"/>
  <c r="Z771" i="3"/>
  <c r="Z767" i="3"/>
  <c r="Z765" i="3"/>
  <c r="Z755" i="3"/>
  <c r="Z751" i="3"/>
  <c r="Z750" i="3"/>
  <c r="Z747" i="3"/>
  <c r="Z745" i="3"/>
  <c r="Z744" i="3"/>
  <c r="Z663" i="3"/>
  <c r="Z658" i="3"/>
  <c r="Z653" i="3"/>
  <c r="Z643" i="3"/>
  <c r="Z632" i="3"/>
  <c r="Z631" i="3"/>
  <c r="Z630" i="3"/>
  <c r="Z616" i="3"/>
  <c r="Z607" i="3"/>
  <c r="Z601" i="3"/>
  <c r="Z592" i="3"/>
  <c r="Z591" i="3"/>
  <c r="Z585" i="3"/>
  <c r="Z575" i="3"/>
  <c r="Z568" i="3"/>
  <c r="Z559" i="3"/>
  <c r="Z558" i="3"/>
  <c r="Z557" i="3"/>
  <c r="Z556" i="3"/>
  <c r="Z555" i="3"/>
  <c r="Z554" i="3"/>
  <c r="Z550" i="3"/>
  <c r="Z546" i="3"/>
  <c r="Z545" i="3"/>
  <c r="Z536" i="3"/>
  <c r="Z509" i="3"/>
  <c r="Z505" i="3"/>
  <c r="Z504" i="3"/>
  <c r="Z494" i="3"/>
  <c r="Z480" i="3"/>
  <c r="Z478" i="3"/>
  <c r="Z469" i="3"/>
  <c r="Z461" i="3"/>
  <c r="Z455" i="3"/>
  <c r="Z449" i="3"/>
  <c r="Z439" i="3"/>
  <c r="Z438" i="3"/>
  <c r="Z429" i="3"/>
  <c r="Z424" i="3"/>
  <c r="Z423" i="3"/>
  <c r="Z422" i="3"/>
  <c r="Z408" i="3"/>
  <c r="Z402" i="3"/>
  <c r="Z401" i="3"/>
  <c r="Z396" i="3"/>
  <c r="Z391" i="3"/>
  <c r="Z390" i="3"/>
  <c r="Z372" i="3"/>
  <c r="Z371" i="3"/>
  <c r="Z243" i="3"/>
  <c r="Z238" i="3"/>
  <c r="Z232" i="3"/>
  <c r="Z230" i="3"/>
  <c r="Z219" i="3"/>
  <c r="Z218" i="3"/>
  <c r="Z217" i="3"/>
  <c r="Z216" i="3"/>
  <c r="Z196" i="3"/>
  <c r="Z195" i="3"/>
  <c r="Z194" i="3"/>
  <c r="Z178" i="3"/>
  <c r="Z170" i="3"/>
  <c r="Z165" i="3"/>
  <c r="Z159" i="3"/>
  <c r="Z154" i="3"/>
  <c r="Z149" i="3"/>
  <c r="Z148" i="3"/>
  <c r="Z144" i="3"/>
  <c r="Z138" i="3"/>
  <c r="Z120" i="3"/>
  <c r="Z115" i="3"/>
  <c r="Z114" i="3"/>
  <c r="Z113" i="3"/>
  <c r="Z101" i="3"/>
  <c r="Z100" i="3"/>
  <c r="Z99" i="3"/>
  <c r="Z88" i="3"/>
  <c r="Z77" i="3"/>
  <c r="Z76" i="3"/>
  <c r="Z75" i="3"/>
  <c r="Z68" i="3"/>
  <c r="Z57" i="3"/>
  <c r="Z30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66" i="3"/>
  <c r="Z662" i="3"/>
  <c r="Z654" i="3"/>
  <c r="Z649" i="3"/>
  <c r="Z648" i="3"/>
  <c r="Z644" i="3"/>
  <c r="Z639" i="3"/>
  <c r="Z638" i="3"/>
  <c r="Z635" i="3"/>
  <c r="Z634" i="3"/>
  <c r="Z626" i="3"/>
  <c r="Z612" i="3"/>
  <c r="Z604" i="3"/>
  <c r="Z600" i="3"/>
  <c r="Z599" i="3"/>
  <c r="Z587" i="3"/>
  <c r="Z586" i="3"/>
  <c r="Z582" i="3"/>
  <c r="Z570" i="3"/>
  <c r="Z569" i="3"/>
  <c r="Z565" i="3"/>
  <c r="Z564" i="3"/>
  <c r="Z543" i="3"/>
  <c r="Z538" i="3"/>
  <c r="Z533" i="3"/>
  <c r="Z532" i="3"/>
  <c r="Z528" i="3"/>
  <c r="Z514" i="3"/>
  <c r="Z499" i="3"/>
  <c r="Z498" i="3"/>
  <c r="Z489" i="3"/>
  <c r="Z488" i="3"/>
  <c r="Z483" i="3"/>
  <c r="Z476" i="3"/>
  <c r="Z471" i="3"/>
  <c r="Z465" i="3"/>
  <c r="Z463" i="3"/>
  <c r="Z462" i="3"/>
  <c r="Z457" i="3"/>
  <c r="Z456" i="3"/>
  <c r="Z451" i="3"/>
  <c r="Z446" i="3"/>
  <c r="Z445" i="3"/>
  <c r="Z444" i="3"/>
  <c r="Z443" i="3"/>
  <c r="Z430" i="3"/>
  <c r="Z420" i="3"/>
  <c r="Z409" i="3"/>
  <c r="Z404" i="3"/>
  <c r="Z399" i="3"/>
  <c r="Z387" i="3"/>
  <c r="Z386" i="3"/>
  <c r="Z385" i="3"/>
  <c r="Z384" i="3"/>
  <c r="Z380" i="3"/>
  <c r="Z379" i="3"/>
  <c r="Z375" i="3"/>
  <c r="Z374" i="3"/>
  <c r="Z248" i="3"/>
  <c r="Z247" i="3"/>
  <c r="Z246" i="3"/>
  <c r="Z240" i="3"/>
  <c r="Z234" i="3"/>
  <c r="Z228" i="3"/>
  <c r="Z223" i="3"/>
  <c r="Z212" i="3"/>
  <c r="Z211" i="3"/>
  <c r="Z210" i="3"/>
  <c r="Z209" i="3"/>
  <c r="Z203" i="3"/>
  <c r="Z197" i="3"/>
  <c r="Z192" i="3"/>
  <c r="Z191" i="3"/>
  <c r="Z190" i="3"/>
  <c r="Z180" i="3"/>
  <c r="Z177" i="3"/>
  <c r="Z166" i="3"/>
  <c r="Z164" i="3"/>
  <c r="Z163" i="3"/>
  <c r="Z162" i="3"/>
  <c r="Z143" i="3"/>
  <c r="Z137" i="3"/>
  <c r="Z117" i="3"/>
  <c r="Z110" i="3"/>
  <c r="Z104" i="3"/>
  <c r="Z103" i="3"/>
  <c r="Z98" i="3"/>
  <c r="Z97" i="3"/>
  <c r="Z90" i="3"/>
  <c r="Z89" i="3"/>
  <c r="Z84" i="3"/>
  <c r="Z78" i="3"/>
  <c r="Z72" i="3"/>
  <c r="Z61" i="3"/>
  <c r="Z55" i="3"/>
  <c r="Z50" i="3"/>
  <c r="Z49" i="3"/>
  <c r="Z48" i="3"/>
  <c r="Z47" i="3"/>
  <c r="Z46" i="3"/>
  <c r="Z44" i="3"/>
  <c r="Z35" i="3"/>
  <c r="Z29" i="3"/>
  <c r="Z28" i="3"/>
  <c r="Z22" i="3"/>
  <c r="Z17" i="3"/>
  <c r="Z1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2" i="3"/>
  <c r="Z241" i="3"/>
  <c r="Z229" i="3"/>
  <c r="Z214" i="3"/>
  <c r="Z213" i="3"/>
  <c r="Z207" i="3"/>
  <c r="Z205" i="3"/>
  <c r="Z204" i="3"/>
  <c r="Z199" i="3"/>
  <c r="Z198" i="3"/>
  <c r="Z193" i="3"/>
  <c r="Z182" i="3"/>
  <c r="Z179" i="3"/>
  <c r="Z175" i="3"/>
  <c r="Z174" i="3"/>
  <c r="Z173" i="3"/>
  <c r="Z172" i="3"/>
  <c r="Z171" i="3"/>
  <c r="Z161" i="3"/>
  <c r="Z157" i="3"/>
  <c r="Z153" i="3"/>
  <c r="Z151" i="3"/>
  <c r="Z146" i="3"/>
  <c r="Z141" i="3"/>
  <c r="Z129" i="3"/>
  <c r="Z122" i="3"/>
  <c r="Z112" i="3"/>
  <c r="Z106" i="3"/>
  <c r="Z94" i="3"/>
  <c r="Z93" i="3"/>
  <c r="Z92" i="3"/>
  <c r="Z91" i="3"/>
  <c r="Z81" i="3"/>
  <c r="Z65" i="3"/>
  <c r="Z64" i="3"/>
  <c r="Z63" i="3"/>
  <c r="Z62" i="3"/>
  <c r="Z56" i="3"/>
  <c r="Z54" i="3"/>
  <c r="Z53" i="3"/>
  <c r="Z52" i="3"/>
  <c r="Z34" i="3"/>
  <c r="Z23" i="3"/>
  <c r="Z18" i="3"/>
  <c r="X545" i="3"/>
  <c r="W545" i="3"/>
  <c r="V545" i="3"/>
  <c r="Y545" i="3"/>
  <c r="X120" i="6"/>
  <c r="X118" i="6"/>
  <c r="X121" i="6"/>
  <c r="X122" i="6"/>
  <c r="X119" i="6"/>
  <c r="X123" i="6"/>
  <c r="X124" i="6"/>
  <c r="X125" i="6"/>
  <c r="X134" i="6"/>
  <c r="X133" i="6"/>
  <c r="X130" i="6"/>
  <c r="X126" i="6"/>
  <c r="X131" i="6"/>
  <c r="X128" i="6"/>
  <c r="X127" i="6"/>
  <c r="X132" i="6"/>
  <c r="X129" i="6"/>
  <c r="X135" i="6"/>
  <c r="X142" i="6"/>
  <c r="X139" i="6"/>
  <c r="X138" i="6"/>
  <c r="X137" i="6"/>
  <c r="X136" i="6"/>
  <c r="X140" i="6"/>
  <c r="X141" i="6"/>
  <c r="X145" i="6"/>
  <c r="X144" i="6"/>
  <c r="X146" i="6"/>
  <c r="X143" i="6"/>
  <c r="X150" i="6"/>
  <c r="X148" i="6"/>
  <c r="X149" i="6"/>
  <c r="X147" i="6"/>
  <c r="X97" i="6"/>
  <c r="X96" i="6"/>
  <c r="X95" i="6"/>
  <c r="X94" i="6"/>
  <c r="X155" i="6"/>
  <c r="X93" i="6"/>
  <c r="X92" i="6"/>
  <c r="X91" i="6"/>
  <c r="X90" i="6"/>
  <c r="X89" i="6"/>
  <c r="X88" i="6"/>
  <c r="X87" i="6"/>
  <c r="X86" i="6"/>
  <c r="X85" i="6"/>
  <c r="X84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8" i="6"/>
  <c r="X17" i="6"/>
  <c r="X16" i="6"/>
  <c r="X15" i="6"/>
  <c r="X14" i="6"/>
  <c r="X13" i="6"/>
  <c r="X12" i="6"/>
  <c r="X11" i="6"/>
  <c r="X10" i="6"/>
  <c r="X9" i="6"/>
  <c r="X154" i="6"/>
  <c r="X151" i="6"/>
  <c r="X153" i="6"/>
  <c r="X152" i="6"/>
  <c r="T1007" i="6"/>
  <c r="U1007" i="6"/>
  <c r="V1007" i="6"/>
  <c r="W1007" i="6"/>
  <c r="T1006" i="6"/>
  <c r="U1006" i="6"/>
  <c r="V1006" i="6"/>
  <c r="W1006" i="6"/>
  <c r="T1005" i="6"/>
  <c r="U1005" i="6"/>
  <c r="V1005" i="6"/>
  <c r="W1005" i="6"/>
  <c r="T1004" i="6"/>
  <c r="U1004" i="6"/>
  <c r="V1004" i="6"/>
  <c r="W1004" i="6"/>
  <c r="U1003" i="6"/>
  <c r="W1003" i="6"/>
  <c r="V1003" i="6"/>
  <c r="T1003" i="6"/>
  <c r="T1002" i="6"/>
  <c r="U1002" i="6"/>
  <c r="V1002" i="6"/>
  <c r="W1002" i="6"/>
  <c r="V1001" i="6"/>
  <c r="U1001" i="6"/>
  <c r="T1001" i="6"/>
  <c r="W1001" i="6"/>
  <c r="V1000" i="6"/>
  <c r="U1000" i="6"/>
  <c r="T1000" i="6"/>
  <c r="W1000" i="6"/>
  <c r="V999" i="6"/>
  <c r="T999" i="6"/>
  <c r="W999" i="6"/>
  <c r="U999" i="6"/>
  <c r="V998" i="6"/>
  <c r="T998" i="6"/>
  <c r="W998" i="6"/>
  <c r="U998" i="6"/>
  <c r="U997" i="6"/>
  <c r="W997" i="6"/>
  <c r="V997" i="6"/>
  <c r="T997" i="6"/>
  <c r="W996" i="6"/>
  <c r="T996" i="6"/>
  <c r="U996" i="6"/>
  <c r="V996" i="6"/>
  <c r="W995" i="6"/>
  <c r="T995" i="6"/>
  <c r="U995" i="6"/>
  <c r="V995" i="6"/>
  <c r="U994" i="6"/>
  <c r="V994" i="6"/>
  <c r="T994" i="6"/>
  <c r="W994" i="6"/>
  <c r="W993" i="6"/>
  <c r="U993" i="6"/>
  <c r="T993" i="6"/>
  <c r="V993" i="6"/>
  <c r="T992" i="6"/>
  <c r="W992" i="6"/>
  <c r="U992" i="6"/>
  <c r="V992" i="6"/>
  <c r="V991" i="6"/>
  <c r="T991" i="6"/>
  <c r="W991" i="6"/>
  <c r="U991" i="6"/>
  <c r="V990" i="6"/>
  <c r="T990" i="6"/>
  <c r="W990" i="6"/>
  <c r="U990" i="6"/>
  <c r="T989" i="6"/>
  <c r="V989" i="6"/>
  <c r="W989" i="6"/>
  <c r="U989" i="6"/>
  <c r="V988" i="6"/>
  <c r="U988" i="6"/>
  <c r="T988" i="6"/>
  <c r="W988" i="6"/>
  <c r="U987" i="6"/>
  <c r="V987" i="6"/>
  <c r="T987" i="6"/>
  <c r="W987" i="6"/>
  <c r="W986" i="6"/>
  <c r="T986" i="6"/>
  <c r="V986" i="6"/>
  <c r="U986" i="6"/>
  <c r="V985" i="6"/>
  <c r="U985" i="6"/>
  <c r="T985" i="6"/>
  <c r="W985" i="6"/>
  <c r="V984" i="6"/>
  <c r="T984" i="6"/>
  <c r="W984" i="6"/>
  <c r="U984" i="6"/>
  <c r="T983" i="6"/>
  <c r="U983" i="6"/>
  <c r="W983" i="6"/>
  <c r="V983" i="6"/>
  <c r="V982" i="6"/>
  <c r="U982" i="6"/>
  <c r="T982" i="6"/>
  <c r="W982" i="6"/>
  <c r="U981" i="6"/>
  <c r="T981" i="6"/>
  <c r="W981" i="6"/>
  <c r="V981" i="6"/>
  <c r="V980" i="6"/>
  <c r="U980" i="6"/>
  <c r="T980" i="6"/>
  <c r="W980" i="6"/>
  <c r="V979" i="6"/>
  <c r="T979" i="6"/>
  <c r="W979" i="6"/>
  <c r="U979" i="6"/>
  <c r="W978" i="6"/>
  <c r="U978" i="6"/>
  <c r="V978" i="6"/>
  <c r="T978" i="6"/>
  <c r="T977" i="6"/>
  <c r="V977" i="6"/>
  <c r="U977" i="6"/>
  <c r="W977" i="6"/>
  <c r="V976" i="6"/>
  <c r="T976" i="6"/>
  <c r="U976" i="6"/>
  <c r="W976" i="6"/>
  <c r="U975" i="6"/>
  <c r="T975" i="6"/>
  <c r="V975" i="6"/>
  <c r="W975" i="6"/>
  <c r="V974" i="6"/>
  <c r="T974" i="6"/>
  <c r="W974" i="6"/>
  <c r="U974" i="6"/>
  <c r="U973" i="6"/>
  <c r="W973" i="6"/>
  <c r="T973" i="6"/>
  <c r="V973" i="6"/>
  <c r="W972" i="6"/>
  <c r="U972" i="6"/>
  <c r="T972" i="6"/>
  <c r="V972" i="6"/>
  <c r="W971" i="6"/>
  <c r="U971" i="6"/>
  <c r="V971" i="6"/>
  <c r="T971" i="6"/>
  <c r="V970" i="6"/>
  <c r="T970" i="6"/>
  <c r="W970" i="6"/>
  <c r="U970" i="6"/>
  <c r="V969" i="6"/>
  <c r="U969" i="6"/>
  <c r="W969" i="6"/>
  <c r="T969" i="6"/>
  <c r="V968" i="6"/>
  <c r="U968" i="6"/>
  <c r="T968" i="6"/>
  <c r="W968" i="6"/>
  <c r="W967" i="6"/>
  <c r="U967" i="6"/>
  <c r="T967" i="6"/>
  <c r="V967" i="6"/>
  <c r="W966" i="6"/>
  <c r="U966" i="6"/>
  <c r="V966" i="6"/>
  <c r="T966" i="6"/>
  <c r="W965" i="6"/>
  <c r="U965" i="6"/>
  <c r="T965" i="6"/>
  <c r="V965" i="6"/>
  <c r="W964" i="6"/>
  <c r="V964" i="6"/>
  <c r="U964" i="6"/>
  <c r="T964" i="6"/>
  <c r="T963" i="6"/>
  <c r="W963" i="6"/>
  <c r="V963" i="6"/>
  <c r="U963" i="6"/>
  <c r="U962" i="6"/>
  <c r="T962" i="6"/>
  <c r="W962" i="6"/>
  <c r="V962" i="6"/>
  <c r="T961" i="6"/>
  <c r="W961" i="6"/>
  <c r="U961" i="6"/>
  <c r="V961" i="6"/>
  <c r="U959" i="6"/>
  <c r="T959" i="6"/>
  <c r="W959" i="6"/>
  <c r="V959" i="6"/>
  <c r="V958" i="6"/>
  <c r="T958" i="6"/>
  <c r="U958" i="6"/>
  <c r="W958" i="6"/>
  <c r="U957" i="6"/>
  <c r="T957" i="6"/>
  <c r="V957" i="6"/>
  <c r="W957" i="6"/>
  <c r="W956" i="6"/>
  <c r="T956" i="6"/>
  <c r="U956" i="6"/>
  <c r="V956" i="6"/>
  <c r="U955" i="6"/>
  <c r="V955" i="6"/>
  <c r="T955" i="6"/>
  <c r="W955" i="6"/>
  <c r="W954" i="6"/>
  <c r="V954" i="6"/>
  <c r="T954" i="6"/>
  <c r="U954" i="6"/>
  <c r="V953" i="6"/>
  <c r="W953" i="6"/>
  <c r="T953" i="6"/>
  <c r="U953" i="6"/>
  <c r="T952" i="6"/>
  <c r="U952" i="6"/>
  <c r="W952" i="6"/>
  <c r="V952" i="6"/>
  <c r="V951" i="6"/>
  <c r="T951" i="6"/>
  <c r="W951" i="6"/>
  <c r="U951" i="6"/>
  <c r="U950" i="6"/>
  <c r="T950" i="6"/>
  <c r="W950" i="6"/>
  <c r="V950" i="6"/>
  <c r="U949" i="6"/>
  <c r="T949" i="6"/>
  <c r="W949" i="6"/>
  <c r="V949" i="6"/>
  <c r="T948" i="6"/>
  <c r="W948" i="6"/>
  <c r="U948" i="6"/>
  <c r="V948" i="6"/>
  <c r="V947" i="6"/>
  <c r="T947" i="6"/>
  <c r="W947" i="6"/>
  <c r="U947" i="6"/>
  <c r="W946" i="6"/>
  <c r="U946" i="6"/>
  <c r="T946" i="6"/>
  <c r="V946" i="6"/>
  <c r="W945" i="6"/>
  <c r="T945" i="6"/>
  <c r="V945" i="6"/>
  <c r="U945" i="6"/>
  <c r="U944" i="6"/>
  <c r="W944" i="6"/>
  <c r="V944" i="6"/>
  <c r="T944" i="6"/>
  <c r="W943" i="6"/>
  <c r="U943" i="6"/>
  <c r="T943" i="6"/>
  <c r="V943" i="6"/>
  <c r="T942" i="6"/>
  <c r="U942" i="6"/>
  <c r="W942" i="6"/>
  <c r="V942" i="6"/>
  <c r="U941" i="6"/>
  <c r="T941" i="6"/>
  <c r="V941" i="6"/>
  <c r="W941" i="6"/>
  <c r="W940" i="6"/>
  <c r="U940" i="6"/>
  <c r="V940" i="6"/>
  <c r="T940" i="6"/>
  <c r="W939" i="6"/>
  <c r="T939" i="6"/>
  <c r="V939" i="6"/>
  <c r="U939" i="6"/>
  <c r="V938" i="6"/>
  <c r="T938" i="6"/>
  <c r="W938" i="6"/>
  <c r="U938" i="6"/>
  <c r="W937" i="6"/>
  <c r="U937" i="6"/>
  <c r="V937" i="6"/>
  <c r="T937" i="6"/>
  <c r="T936" i="6"/>
  <c r="V936" i="6"/>
  <c r="U936" i="6"/>
  <c r="W936" i="6"/>
  <c r="W935" i="6"/>
  <c r="U935" i="6"/>
  <c r="T935" i="6"/>
  <c r="V935" i="6"/>
  <c r="T934" i="6"/>
  <c r="W934" i="6"/>
  <c r="V934" i="6"/>
  <c r="U934" i="6"/>
  <c r="W933" i="6"/>
  <c r="T933" i="6"/>
  <c r="U933" i="6"/>
  <c r="V933" i="6"/>
  <c r="V932" i="6"/>
  <c r="T932" i="6"/>
  <c r="U932" i="6"/>
  <c r="W932" i="6"/>
  <c r="V931" i="6"/>
  <c r="U931" i="6"/>
  <c r="T931" i="6"/>
  <c r="W931" i="6"/>
  <c r="V930" i="6"/>
  <c r="U930" i="6"/>
  <c r="T930" i="6"/>
  <c r="W930" i="6"/>
  <c r="U929" i="6"/>
  <c r="W929" i="6"/>
  <c r="T929" i="6"/>
  <c r="V929" i="6"/>
  <c r="V928" i="6"/>
  <c r="T928" i="6"/>
  <c r="W928" i="6"/>
  <c r="U928" i="6"/>
  <c r="W927" i="6"/>
  <c r="U927" i="6"/>
  <c r="T927" i="6"/>
  <c r="V927" i="6"/>
  <c r="U926" i="6"/>
  <c r="T926" i="6"/>
  <c r="W926" i="6"/>
  <c r="V926" i="6"/>
  <c r="V925" i="6"/>
  <c r="U925" i="6"/>
  <c r="T925" i="6"/>
  <c r="W925" i="6"/>
  <c r="T924" i="6"/>
  <c r="W924" i="6"/>
  <c r="U924" i="6"/>
  <c r="V924" i="6"/>
  <c r="V923" i="6"/>
  <c r="W923" i="6"/>
  <c r="T923" i="6"/>
  <c r="U923" i="6"/>
  <c r="T922" i="6"/>
  <c r="U922" i="6"/>
  <c r="V922" i="6"/>
  <c r="W922" i="6"/>
  <c r="V921" i="6"/>
  <c r="U921" i="6"/>
  <c r="T921" i="6"/>
  <c r="W921" i="6"/>
  <c r="W920" i="6"/>
  <c r="T920" i="6"/>
  <c r="V920" i="6"/>
  <c r="U920" i="6"/>
  <c r="U919" i="6"/>
  <c r="W919" i="6"/>
  <c r="V919" i="6"/>
  <c r="T919" i="6"/>
  <c r="U918" i="6"/>
  <c r="T918" i="6"/>
  <c r="V918" i="6"/>
  <c r="W918" i="6"/>
  <c r="W917" i="6"/>
  <c r="U917" i="6"/>
  <c r="V917" i="6"/>
  <c r="T917" i="6"/>
  <c r="V916" i="6"/>
  <c r="T916" i="6"/>
  <c r="W916" i="6"/>
  <c r="U916" i="6"/>
  <c r="V915" i="6"/>
  <c r="U915" i="6"/>
  <c r="T915" i="6"/>
  <c r="W915" i="6"/>
  <c r="V914" i="6"/>
  <c r="U914" i="6"/>
  <c r="W914" i="6"/>
  <c r="T914" i="6"/>
  <c r="U913" i="6"/>
  <c r="W913" i="6"/>
  <c r="V913" i="6"/>
  <c r="T913" i="6"/>
  <c r="W912" i="6"/>
  <c r="V912" i="6"/>
  <c r="U912" i="6"/>
  <c r="T912" i="6"/>
  <c r="V911" i="6"/>
  <c r="U911" i="6"/>
  <c r="W911" i="6"/>
  <c r="T911" i="6"/>
  <c r="V910" i="6"/>
  <c r="U910" i="6"/>
  <c r="W910" i="6"/>
  <c r="T910" i="6"/>
  <c r="T909" i="6"/>
  <c r="V909" i="6"/>
  <c r="U909" i="6"/>
  <c r="W909" i="6"/>
  <c r="V908" i="6"/>
  <c r="T908" i="6"/>
  <c r="U908" i="6"/>
  <c r="W908" i="6"/>
  <c r="T907" i="6"/>
  <c r="W907" i="6"/>
  <c r="V907" i="6"/>
  <c r="U907" i="6"/>
  <c r="V906" i="6"/>
  <c r="W906" i="6"/>
  <c r="U906" i="6"/>
  <c r="T906" i="6"/>
  <c r="W905" i="6"/>
  <c r="U905" i="6"/>
  <c r="V905" i="6"/>
  <c r="T905" i="6"/>
  <c r="V904" i="6"/>
  <c r="W904" i="6"/>
  <c r="U904" i="6"/>
  <c r="T904" i="6"/>
  <c r="W903" i="6"/>
  <c r="U903" i="6"/>
  <c r="T903" i="6"/>
  <c r="V903" i="6"/>
  <c r="V902" i="6"/>
  <c r="T902" i="6"/>
  <c r="W902" i="6"/>
  <c r="U902" i="6"/>
  <c r="W901" i="6"/>
  <c r="U901" i="6"/>
  <c r="T901" i="6"/>
  <c r="V901" i="6"/>
  <c r="V900" i="6"/>
  <c r="T900" i="6"/>
  <c r="W900" i="6"/>
  <c r="U900" i="6"/>
  <c r="U899" i="6"/>
  <c r="V899" i="6"/>
  <c r="T899" i="6"/>
  <c r="W899" i="6"/>
  <c r="V898" i="6"/>
  <c r="U898" i="6"/>
  <c r="W898" i="6"/>
  <c r="T898" i="6"/>
  <c r="V897" i="6"/>
  <c r="W897" i="6"/>
  <c r="T897" i="6"/>
  <c r="U897" i="6"/>
  <c r="V896" i="6"/>
  <c r="U896" i="6"/>
  <c r="T896" i="6"/>
  <c r="W896" i="6"/>
  <c r="T895" i="6"/>
  <c r="U895" i="6"/>
  <c r="W895" i="6"/>
  <c r="V895" i="6"/>
  <c r="W894" i="6"/>
  <c r="V894" i="6"/>
  <c r="U894" i="6"/>
  <c r="T894" i="6"/>
  <c r="W893" i="6"/>
  <c r="V893" i="6"/>
  <c r="T893" i="6"/>
  <c r="U893" i="6"/>
  <c r="W892" i="6"/>
  <c r="U892" i="6"/>
  <c r="T892" i="6"/>
  <c r="V892" i="6"/>
  <c r="U891" i="6"/>
  <c r="T891" i="6"/>
  <c r="W891" i="6"/>
  <c r="V891" i="6"/>
  <c r="V890" i="6"/>
  <c r="T890" i="6"/>
  <c r="U890" i="6"/>
  <c r="W890" i="6"/>
  <c r="W889" i="6"/>
  <c r="T889" i="6"/>
  <c r="U889" i="6"/>
  <c r="V889" i="6"/>
  <c r="T888" i="6"/>
  <c r="U888" i="6"/>
  <c r="W888" i="6"/>
  <c r="V888" i="6"/>
  <c r="T887" i="6"/>
  <c r="W887" i="6"/>
  <c r="U887" i="6"/>
  <c r="V887" i="6"/>
  <c r="W886" i="6"/>
  <c r="U886" i="6"/>
  <c r="V886" i="6"/>
  <c r="T886" i="6"/>
  <c r="U885" i="6"/>
  <c r="T885" i="6"/>
  <c r="W885" i="6"/>
  <c r="V885" i="6"/>
  <c r="W884" i="6"/>
  <c r="T884" i="6"/>
  <c r="V884" i="6"/>
  <c r="U884" i="6"/>
  <c r="V883" i="6"/>
  <c r="U883" i="6"/>
  <c r="T883" i="6"/>
  <c r="W883" i="6"/>
  <c r="U882" i="6"/>
  <c r="V882" i="6"/>
  <c r="T882" i="6"/>
  <c r="W882" i="6"/>
  <c r="U881" i="6"/>
  <c r="T881" i="6"/>
  <c r="W881" i="6"/>
  <c r="V881" i="6"/>
  <c r="V880" i="6"/>
  <c r="T880" i="6"/>
  <c r="W880" i="6"/>
  <c r="U880" i="6"/>
  <c r="W879" i="6"/>
  <c r="V879" i="6"/>
  <c r="T879" i="6"/>
  <c r="U879" i="6"/>
  <c r="U878" i="6"/>
  <c r="V878" i="6"/>
  <c r="W878" i="6"/>
  <c r="T878" i="6"/>
  <c r="U877" i="6"/>
  <c r="V877" i="6"/>
  <c r="W877" i="6"/>
  <c r="T877" i="6"/>
  <c r="V876" i="6"/>
  <c r="T876" i="6"/>
  <c r="W876" i="6"/>
  <c r="U876" i="6"/>
  <c r="T875" i="6"/>
  <c r="W875" i="6"/>
  <c r="V875" i="6"/>
  <c r="U875" i="6"/>
  <c r="U874" i="6"/>
  <c r="V874" i="6"/>
  <c r="T874" i="6"/>
  <c r="W874" i="6"/>
  <c r="W873" i="6"/>
  <c r="T873" i="6"/>
  <c r="V873" i="6"/>
  <c r="U873" i="6"/>
  <c r="V872" i="6"/>
  <c r="U872" i="6"/>
  <c r="T872" i="6"/>
  <c r="W872" i="6"/>
  <c r="U871" i="6"/>
  <c r="V871" i="6"/>
  <c r="T871" i="6"/>
  <c r="W871" i="6"/>
  <c r="W870" i="6"/>
  <c r="V870" i="6"/>
  <c r="T870" i="6"/>
  <c r="U870" i="6"/>
  <c r="T869" i="6"/>
  <c r="U869" i="6"/>
  <c r="W869" i="6"/>
  <c r="V869" i="6"/>
  <c r="U868" i="6"/>
  <c r="V868" i="6"/>
  <c r="T868" i="6"/>
  <c r="W868" i="6"/>
  <c r="V867" i="6"/>
  <c r="U867" i="6"/>
  <c r="T867" i="6"/>
  <c r="W867" i="6"/>
  <c r="V866" i="6"/>
  <c r="U866" i="6"/>
  <c r="T866" i="6"/>
  <c r="W866" i="6"/>
  <c r="U865" i="6"/>
  <c r="W865" i="6"/>
  <c r="V865" i="6"/>
  <c r="T865" i="6"/>
  <c r="V864" i="6"/>
  <c r="U864" i="6"/>
  <c r="T864" i="6"/>
  <c r="W864" i="6"/>
  <c r="V863" i="6"/>
  <c r="U863" i="6"/>
  <c r="T863" i="6"/>
  <c r="W863" i="6"/>
  <c r="U862" i="6"/>
  <c r="V862" i="6"/>
  <c r="W862" i="6"/>
  <c r="T862" i="6"/>
  <c r="V861" i="6"/>
  <c r="W861" i="6"/>
  <c r="U861" i="6"/>
  <c r="T861" i="6"/>
  <c r="V860" i="6"/>
  <c r="U860" i="6"/>
  <c r="T860" i="6"/>
  <c r="W860" i="6"/>
  <c r="V859" i="6"/>
  <c r="U859" i="6"/>
  <c r="W859" i="6"/>
  <c r="T859" i="6"/>
  <c r="V858" i="6"/>
  <c r="T858" i="6"/>
  <c r="W858" i="6"/>
  <c r="U858" i="6"/>
  <c r="T857" i="6"/>
  <c r="W857" i="6"/>
  <c r="V857" i="6"/>
  <c r="U857" i="6"/>
  <c r="U856" i="6"/>
  <c r="W856" i="6"/>
  <c r="V856" i="6"/>
  <c r="T856" i="6"/>
  <c r="V855" i="6"/>
  <c r="U855" i="6"/>
  <c r="T855" i="6"/>
  <c r="W855" i="6"/>
  <c r="W854" i="6"/>
  <c r="T854" i="6"/>
  <c r="V854" i="6"/>
  <c r="U854" i="6"/>
  <c r="W853" i="6"/>
  <c r="T853" i="6"/>
  <c r="V853" i="6"/>
  <c r="U853" i="6"/>
  <c r="W852" i="6"/>
  <c r="T852" i="6"/>
  <c r="U852" i="6"/>
  <c r="V852" i="6"/>
  <c r="V851" i="6"/>
  <c r="W851" i="6"/>
  <c r="T851" i="6"/>
  <c r="U851" i="6"/>
  <c r="W850" i="6"/>
  <c r="U850" i="6"/>
  <c r="V850" i="6"/>
  <c r="T850" i="6"/>
  <c r="T849" i="6"/>
  <c r="W849" i="6"/>
  <c r="V849" i="6"/>
  <c r="U849" i="6"/>
  <c r="V848" i="6"/>
  <c r="T848" i="6"/>
  <c r="U848" i="6"/>
  <c r="W848" i="6"/>
  <c r="W847" i="6"/>
  <c r="T847" i="6"/>
  <c r="V847" i="6"/>
  <c r="U847" i="6"/>
  <c r="V846" i="6"/>
  <c r="U846" i="6"/>
  <c r="T846" i="6"/>
  <c r="W846" i="6"/>
  <c r="U845" i="6"/>
  <c r="V845" i="6"/>
  <c r="W845" i="6"/>
  <c r="T845" i="6"/>
  <c r="V844" i="6"/>
  <c r="T844" i="6"/>
  <c r="W844" i="6"/>
  <c r="U844" i="6"/>
  <c r="W843" i="6"/>
  <c r="U843" i="6"/>
  <c r="V843" i="6"/>
  <c r="T843" i="6"/>
  <c r="W842" i="6"/>
  <c r="U842" i="6"/>
  <c r="V842" i="6"/>
  <c r="T842" i="6"/>
  <c r="T841" i="6"/>
  <c r="V841" i="6"/>
  <c r="W841" i="6"/>
  <c r="U841" i="6"/>
  <c r="W840" i="6"/>
  <c r="U840" i="6"/>
  <c r="T840" i="6"/>
  <c r="V840" i="6"/>
  <c r="T839" i="6"/>
  <c r="U839" i="6"/>
  <c r="W839" i="6"/>
  <c r="V839" i="6"/>
  <c r="V838" i="6"/>
  <c r="T838" i="6"/>
  <c r="W838" i="6"/>
  <c r="U838" i="6"/>
  <c r="V837" i="6"/>
  <c r="W837" i="6"/>
  <c r="U837" i="6"/>
  <c r="T837" i="6"/>
  <c r="V836" i="6"/>
  <c r="U836" i="6"/>
  <c r="W836" i="6"/>
  <c r="T836" i="6"/>
  <c r="U835" i="6"/>
  <c r="W835" i="6"/>
  <c r="V835" i="6"/>
  <c r="T835" i="6"/>
  <c r="U834" i="6"/>
  <c r="V834" i="6"/>
  <c r="W834" i="6"/>
  <c r="T834" i="6"/>
  <c r="V833" i="6"/>
  <c r="U833" i="6"/>
  <c r="T833" i="6"/>
  <c r="W833" i="6"/>
  <c r="W832" i="6"/>
  <c r="U832" i="6"/>
  <c r="V832" i="6"/>
  <c r="T832" i="6"/>
  <c r="V831" i="6"/>
  <c r="T831" i="6"/>
  <c r="U831" i="6"/>
  <c r="W831" i="6"/>
  <c r="W830" i="6"/>
  <c r="T830" i="6"/>
  <c r="V830" i="6"/>
  <c r="U830" i="6"/>
  <c r="W829" i="6"/>
  <c r="U829" i="6"/>
  <c r="T829" i="6"/>
  <c r="V829" i="6"/>
  <c r="T828" i="6"/>
  <c r="W828" i="6"/>
  <c r="V828" i="6"/>
  <c r="U828" i="6"/>
  <c r="V827" i="6"/>
  <c r="T827" i="6"/>
  <c r="W827" i="6"/>
  <c r="U827" i="6"/>
  <c r="V826" i="6"/>
  <c r="U826" i="6"/>
  <c r="T826" i="6"/>
  <c r="W826" i="6"/>
  <c r="V825" i="6"/>
  <c r="T825" i="6"/>
  <c r="W825" i="6"/>
  <c r="U825" i="6"/>
  <c r="V824" i="6"/>
  <c r="W824" i="6"/>
  <c r="T824" i="6"/>
  <c r="U824" i="6"/>
  <c r="U823" i="6"/>
  <c r="V823" i="6"/>
  <c r="T823" i="6"/>
  <c r="W823" i="6"/>
  <c r="V822" i="6"/>
  <c r="T822" i="6"/>
  <c r="W822" i="6"/>
  <c r="U822" i="6"/>
  <c r="W821" i="6"/>
  <c r="U821" i="6"/>
  <c r="T821" i="6"/>
  <c r="V821" i="6"/>
  <c r="W820" i="6"/>
  <c r="T820" i="6"/>
  <c r="V820" i="6"/>
  <c r="U820" i="6"/>
  <c r="V819" i="6"/>
  <c r="T819" i="6"/>
  <c r="W819" i="6"/>
  <c r="U819" i="6"/>
  <c r="T818" i="6"/>
  <c r="W818" i="6"/>
  <c r="V818" i="6"/>
  <c r="U818" i="6"/>
  <c r="W817" i="6"/>
  <c r="V817" i="6"/>
  <c r="T817" i="6"/>
  <c r="U817" i="6"/>
  <c r="W816" i="6"/>
  <c r="U816" i="6"/>
  <c r="T816" i="6"/>
  <c r="V816" i="6"/>
  <c r="U815" i="6"/>
  <c r="T815" i="6"/>
  <c r="W815" i="6"/>
  <c r="V815" i="6"/>
  <c r="W814" i="6"/>
  <c r="V814" i="6"/>
  <c r="U814" i="6"/>
  <c r="T814" i="6"/>
  <c r="V813" i="6"/>
  <c r="T813" i="6"/>
  <c r="W813" i="6"/>
  <c r="U813" i="6"/>
  <c r="U812" i="6"/>
  <c r="V812" i="6"/>
  <c r="T812" i="6"/>
  <c r="W812" i="6"/>
  <c r="T811" i="6"/>
  <c r="V811" i="6"/>
  <c r="W811" i="6"/>
  <c r="U811" i="6"/>
  <c r="V810" i="6"/>
  <c r="W810" i="6"/>
  <c r="U810" i="6"/>
  <c r="T810" i="6"/>
  <c r="W809" i="6"/>
  <c r="T809" i="6"/>
  <c r="U809" i="6"/>
  <c r="V809" i="6"/>
  <c r="W808" i="6"/>
  <c r="T808" i="6"/>
  <c r="V808" i="6"/>
  <c r="U808" i="6"/>
  <c r="V807" i="6"/>
  <c r="U807" i="6"/>
  <c r="T807" i="6"/>
  <c r="W807" i="6"/>
  <c r="W806" i="6"/>
  <c r="T806" i="6"/>
  <c r="U806" i="6"/>
  <c r="V806" i="6"/>
  <c r="W805" i="6"/>
  <c r="T805" i="6"/>
  <c r="U805" i="6"/>
  <c r="V805" i="6"/>
  <c r="V804" i="6"/>
  <c r="U804" i="6"/>
  <c r="T804" i="6"/>
  <c r="W804" i="6"/>
  <c r="W803" i="6"/>
  <c r="U803" i="6"/>
  <c r="V803" i="6"/>
  <c r="T803" i="6"/>
  <c r="V802" i="6"/>
  <c r="T802" i="6"/>
  <c r="W802" i="6"/>
  <c r="U802" i="6"/>
  <c r="U801" i="6"/>
  <c r="V801" i="6"/>
  <c r="T801" i="6"/>
  <c r="W801" i="6"/>
  <c r="W800" i="6"/>
  <c r="V800" i="6"/>
  <c r="U800" i="6"/>
  <c r="T800" i="6"/>
  <c r="T799" i="6"/>
  <c r="W799" i="6"/>
  <c r="U799" i="6"/>
  <c r="V799" i="6"/>
  <c r="V798" i="6"/>
  <c r="U798" i="6"/>
  <c r="W798" i="6"/>
  <c r="T798" i="6"/>
  <c r="T797" i="6"/>
  <c r="U797" i="6"/>
  <c r="V797" i="6"/>
  <c r="W797" i="6"/>
  <c r="T796" i="6"/>
  <c r="W796" i="6"/>
  <c r="V796" i="6"/>
  <c r="U796" i="6"/>
  <c r="W795" i="6"/>
  <c r="V795" i="6"/>
  <c r="T795" i="6"/>
  <c r="U795" i="6"/>
  <c r="V794" i="6"/>
  <c r="T794" i="6"/>
  <c r="W794" i="6"/>
  <c r="U794" i="6"/>
  <c r="U793" i="6"/>
  <c r="T793" i="6"/>
  <c r="W793" i="6"/>
  <c r="V793" i="6"/>
  <c r="U792" i="6"/>
  <c r="T792" i="6"/>
  <c r="W792" i="6"/>
  <c r="V792" i="6"/>
  <c r="W791" i="6"/>
  <c r="V791" i="6"/>
  <c r="T791" i="6"/>
  <c r="U791" i="6"/>
  <c r="U790" i="6"/>
  <c r="T790" i="6"/>
  <c r="W790" i="6"/>
  <c r="V790" i="6"/>
  <c r="W789" i="6"/>
  <c r="T789" i="6"/>
  <c r="V789" i="6"/>
  <c r="U789" i="6"/>
  <c r="V788" i="6"/>
  <c r="W788" i="6"/>
  <c r="U788" i="6"/>
  <c r="T788" i="6"/>
  <c r="U787" i="6"/>
  <c r="V787" i="6"/>
  <c r="T787" i="6"/>
  <c r="W787" i="6"/>
  <c r="W786" i="6"/>
  <c r="V786" i="6"/>
  <c r="U786" i="6"/>
  <c r="T786" i="6"/>
  <c r="T785" i="6"/>
  <c r="W785" i="6"/>
  <c r="U785" i="6"/>
  <c r="V785" i="6"/>
  <c r="U784" i="6"/>
  <c r="W784" i="6"/>
  <c r="V784" i="6"/>
  <c r="T784" i="6"/>
  <c r="T783" i="6"/>
  <c r="U783" i="6"/>
  <c r="W783" i="6"/>
  <c r="V783" i="6"/>
  <c r="T782" i="6"/>
  <c r="V782" i="6"/>
  <c r="U782" i="6"/>
  <c r="W782" i="6"/>
  <c r="W781" i="6"/>
  <c r="V781" i="6"/>
  <c r="T781" i="6"/>
  <c r="U781" i="6"/>
  <c r="W780" i="6"/>
  <c r="T780" i="6"/>
  <c r="V780" i="6"/>
  <c r="U780" i="6"/>
  <c r="V779" i="6"/>
  <c r="T779" i="6"/>
  <c r="W779" i="6"/>
  <c r="U779" i="6"/>
  <c r="W778" i="6"/>
  <c r="T778" i="6"/>
  <c r="U778" i="6"/>
  <c r="V778" i="6"/>
  <c r="V777" i="6"/>
  <c r="T777" i="6"/>
  <c r="U777" i="6"/>
  <c r="W777" i="6"/>
  <c r="V776" i="6"/>
  <c r="U776" i="6"/>
  <c r="T776" i="6"/>
  <c r="W776" i="6"/>
  <c r="U775" i="6"/>
  <c r="W775" i="6"/>
  <c r="T775" i="6"/>
  <c r="V775" i="6"/>
  <c r="T774" i="6"/>
  <c r="U774" i="6"/>
  <c r="W774" i="6"/>
  <c r="V774" i="6"/>
  <c r="V773" i="6"/>
  <c r="W773" i="6"/>
  <c r="T773" i="6"/>
  <c r="U773" i="6"/>
  <c r="W772" i="6"/>
  <c r="V772" i="6"/>
  <c r="T772" i="6"/>
  <c r="U772" i="6"/>
  <c r="W771" i="6"/>
  <c r="U771" i="6"/>
  <c r="V771" i="6"/>
  <c r="T771" i="6"/>
  <c r="W770" i="6"/>
  <c r="U770" i="6"/>
  <c r="T770" i="6"/>
  <c r="V770" i="6"/>
  <c r="W769" i="6"/>
  <c r="V769" i="6"/>
  <c r="T769" i="6"/>
  <c r="U769" i="6"/>
  <c r="W768" i="6"/>
  <c r="U768" i="6"/>
  <c r="V768" i="6"/>
  <c r="T768" i="6"/>
  <c r="V767" i="6"/>
  <c r="U767" i="6"/>
  <c r="T767" i="6"/>
  <c r="W767" i="6"/>
  <c r="V766" i="6"/>
  <c r="T766" i="6"/>
  <c r="W766" i="6"/>
  <c r="U766" i="6"/>
  <c r="W765" i="6"/>
  <c r="U765" i="6"/>
  <c r="T765" i="6"/>
  <c r="V765" i="6"/>
  <c r="V764" i="6"/>
  <c r="U764" i="6"/>
  <c r="T764" i="6"/>
  <c r="W764" i="6"/>
  <c r="W763" i="6"/>
  <c r="V763" i="6"/>
  <c r="U763" i="6"/>
  <c r="T763" i="6"/>
  <c r="V762" i="6"/>
  <c r="T762" i="6"/>
  <c r="W762" i="6"/>
  <c r="U762" i="6"/>
  <c r="T761" i="6"/>
  <c r="W761" i="6"/>
  <c r="V761" i="6"/>
  <c r="U761" i="6"/>
  <c r="V760" i="6"/>
  <c r="W760" i="6"/>
  <c r="U760" i="6"/>
  <c r="T760" i="6"/>
  <c r="W759" i="6"/>
  <c r="U759" i="6"/>
  <c r="T759" i="6"/>
  <c r="V759" i="6"/>
  <c r="U758" i="6"/>
  <c r="T758" i="6"/>
  <c r="W758" i="6"/>
  <c r="V758" i="6"/>
  <c r="U757" i="6"/>
  <c r="V757" i="6"/>
  <c r="T757" i="6"/>
  <c r="W757" i="6"/>
  <c r="W756" i="6"/>
  <c r="V756" i="6"/>
  <c r="U756" i="6"/>
  <c r="T756" i="6"/>
  <c r="W755" i="6"/>
  <c r="T755" i="6"/>
  <c r="U755" i="6"/>
  <c r="V755" i="6"/>
  <c r="T754" i="6"/>
  <c r="W754" i="6"/>
  <c r="V754" i="6"/>
  <c r="U754" i="6"/>
  <c r="V753" i="6"/>
  <c r="W753" i="6"/>
  <c r="U753" i="6"/>
  <c r="T753" i="6"/>
  <c r="W752" i="6"/>
  <c r="V752" i="6"/>
  <c r="T752" i="6"/>
  <c r="U752" i="6"/>
  <c r="W751" i="6"/>
  <c r="V751" i="6"/>
  <c r="T751" i="6"/>
  <c r="U751" i="6"/>
  <c r="V750" i="6"/>
  <c r="W750" i="6"/>
  <c r="U750" i="6"/>
  <c r="T750" i="6"/>
  <c r="T749" i="6"/>
  <c r="W749" i="6"/>
  <c r="V749" i="6"/>
  <c r="U749" i="6"/>
  <c r="T748" i="6"/>
  <c r="W748" i="6"/>
  <c r="U748" i="6"/>
  <c r="V748" i="6"/>
  <c r="U747" i="6"/>
  <c r="V747" i="6"/>
  <c r="W747" i="6"/>
  <c r="T747" i="6"/>
  <c r="W746" i="6"/>
  <c r="U746" i="6"/>
  <c r="V746" i="6"/>
  <c r="T746" i="6"/>
  <c r="U745" i="6"/>
  <c r="V745" i="6"/>
  <c r="T745" i="6"/>
  <c r="W745" i="6"/>
  <c r="U744" i="6"/>
  <c r="T744" i="6"/>
  <c r="W744" i="6"/>
  <c r="V744" i="6"/>
  <c r="W743" i="6"/>
  <c r="U743" i="6"/>
  <c r="V743" i="6"/>
  <c r="T743" i="6"/>
  <c r="W742" i="6"/>
  <c r="U742" i="6"/>
  <c r="T742" i="6"/>
  <c r="V742" i="6"/>
  <c r="W741" i="6"/>
  <c r="T741" i="6"/>
  <c r="V741" i="6"/>
  <c r="U741" i="6"/>
  <c r="V740" i="6"/>
  <c r="U740" i="6"/>
  <c r="T740" i="6"/>
  <c r="W740" i="6"/>
  <c r="W739" i="6"/>
  <c r="T739" i="6"/>
  <c r="V739" i="6"/>
  <c r="U739" i="6"/>
  <c r="T738" i="6"/>
  <c r="U738" i="6"/>
  <c r="W738" i="6"/>
  <c r="V738" i="6"/>
  <c r="W737" i="6"/>
  <c r="T737" i="6"/>
  <c r="V737" i="6"/>
  <c r="U737" i="6"/>
  <c r="U736" i="6"/>
  <c r="T736" i="6"/>
  <c r="W736" i="6"/>
  <c r="V736" i="6"/>
  <c r="U735" i="6"/>
  <c r="T735" i="6"/>
  <c r="V735" i="6"/>
  <c r="W735" i="6"/>
  <c r="T734" i="6"/>
  <c r="U734" i="6"/>
  <c r="W734" i="6"/>
  <c r="V734" i="6"/>
  <c r="W733" i="6"/>
  <c r="T733" i="6"/>
  <c r="V733" i="6"/>
  <c r="U733" i="6"/>
  <c r="V732" i="6"/>
  <c r="T732" i="6"/>
  <c r="W732" i="6"/>
  <c r="U732" i="6"/>
  <c r="W731" i="6"/>
  <c r="U731" i="6"/>
  <c r="T731" i="6"/>
  <c r="V731" i="6"/>
  <c r="W730" i="6"/>
  <c r="T730" i="6"/>
  <c r="V730" i="6"/>
  <c r="U730" i="6"/>
  <c r="W729" i="6"/>
  <c r="T729" i="6"/>
  <c r="U729" i="6"/>
  <c r="V729" i="6"/>
  <c r="U728" i="6"/>
  <c r="W728" i="6"/>
  <c r="T728" i="6"/>
  <c r="V728" i="6"/>
  <c r="V727" i="6"/>
  <c r="T727" i="6"/>
  <c r="W727" i="6"/>
  <c r="U727" i="6"/>
  <c r="V726" i="6"/>
  <c r="W726" i="6"/>
  <c r="U726" i="6"/>
  <c r="T726" i="6"/>
  <c r="W725" i="6"/>
  <c r="U725" i="6"/>
  <c r="T725" i="6"/>
  <c r="V725" i="6"/>
  <c r="T724" i="6"/>
  <c r="W724" i="6"/>
  <c r="V724" i="6"/>
  <c r="U724" i="6"/>
  <c r="T723" i="6"/>
  <c r="W723" i="6"/>
  <c r="V723" i="6"/>
  <c r="U723" i="6"/>
  <c r="W722" i="6"/>
  <c r="U722" i="6"/>
  <c r="T722" i="6"/>
  <c r="V722" i="6"/>
  <c r="T721" i="6"/>
  <c r="W721" i="6"/>
  <c r="V721" i="6"/>
  <c r="U721" i="6"/>
  <c r="U720" i="6"/>
  <c r="T720" i="6"/>
  <c r="W720" i="6"/>
  <c r="V720" i="6"/>
  <c r="T719" i="6"/>
  <c r="W719" i="6"/>
  <c r="U719" i="6"/>
  <c r="V719" i="6"/>
  <c r="U718" i="6"/>
  <c r="T718" i="6"/>
  <c r="W718" i="6"/>
  <c r="V718" i="6"/>
  <c r="V717" i="6"/>
  <c r="T717" i="6"/>
  <c r="W717" i="6"/>
  <c r="U717" i="6"/>
  <c r="V716" i="6"/>
  <c r="T716" i="6"/>
  <c r="U716" i="6"/>
  <c r="W716" i="6"/>
  <c r="W715" i="6"/>
  <c r="U715" i="6"/>
  <c r="T715" i="6"/>
  <c r="V715" i="6"/>
  <c r="T714" i="6"/>
  <c r="W714" i="6"/>
  <c r="V714" i="6"/>
  <c r="U714" i="6"/>
  <c r="W713" i="6"/>
  <c r="V713" i="6"/>
  <c r="U713" i="6"/>
  <c r="T713" i="6"/>
  <c r="U712" i="6"/>
  <c r="V712" i="6"/>
  <c r="T712" i="6"/>
  <c r="W712" i="6"/>
  <c r="T711" i="6"/>
  <c r="W711" i="6"/>
  <c r="V711" i="6"/>
  <c r="U711" i="6"/>
  <c r="V710" i="6"/>
  <c r="T710" i="6"/>
  <c r="U710" i="6"/>
  <c r="W710" i="6"/>
  <c r="V709" i="6"/>
  <c r="U709" i="6"/>
  <c r="W709" i="6"/>
  <c r="T709" i="6"/>
  <c r="V708" i="6"/>
  <c r="T708" i="6"/>
  <c r="W708" i="6"/>
  <c r="U708" i="6"/>
  <c r="W707" i="6"/>
  <c r="V707" i="6"/>
  <c r="T707" i="6"/>
  <c r="U707" i="6"/>
  <c r="V706" i="6"/>
  <c r="T706" i="6"/>
  <c r="W706" i="6"/>
  <c r="U706" i="6"/>
  <c r="V705" i="6"/>
  <c r="T705" i="6"/>
  <c r="W705" i="6"/>
  <c r="U705" i="6"/>
  <c r="T704" i="6"/>
  <c r="U704" i="6"/>
  <c r="W704" i="6"/>
  <c r="V704" i="6"/>
  <c r="W703" i="6"/>
  <c r="U703" i="6"/>
  <c r="V703" i="6"/>
  <c r="T703" i="6"/>
  <c r="W702" i="6"/>
  <c r="U702" i="6"/>
  <c r="T702" i="6"/>
  <c r="V702" i="6"/>
  <c r="W701" i="6"/>
  <c r="V701" i="6"/>
  <c r="U701" i="6"/>
  <c r="T701" i="6"/>
  <c r="V700" i="6"/>
  <c r="W700" i="6"/>
  <c r="U700" i="6"/>
  <c r="T700" i="6"/>
  <c r="T699" i="6"/>
  <c r="V699" i="6"/>
  <c r="U699" i="6"/>
  <c r="W699" i="6"/>
  <c r="W698" i="6"/>
  <c r="U698" i="6"/>
  <c r="T698" i="6"/>
  <c r="V698" i="6"/>
  <c r="T697" i="6"/>
  <c r="W697" i="6"/>
  <c r="U697" i="6"/>
  <c r="V697" i="6"/>
  <c r="V696" i="6"/>
  <c r="U696" i="6"/>
  <c r="W696" i="6"/>
  <c r="T696" i="6"/>
  <c r="W695" i="6"/>
  <c r="V695" i="6"/>
  <c r="T695" i="6"/>
  <c r="U695" i="6"/>
  <c r="V694" i="6"/>
  <c r="T694" i="6"/>
  <c r="W694" i="6"/>
  <c r="U694" i="6"/>
  <c r="W693" i="6"/>
  <c r="U693" i="6"/>
  <c r="T693" i="6"/>
  <c r="V693" i="6"/>
  <c r="W692" i="6"/>
  <c r="T692" i="6"/>
  <c r="U692" i="6"/>
  <c r="V692" i="6"/>
  <c r="U691" i="6"/>
  <c r="V691" i="6"/>
  <c r="T691" i="6"/>
  <c r="W691" i="6"/>
  <c r="T690" i="6"/>
  <c r="V690" i="6"/>
  <c r="W690" i="6"/>
  <c r="U690" i="6"/>
  <c r="U689" i="6"/>
  <c r="W689" i="6"/>
  <c r="T689" i="6"/>
  <c r="V689" i="6"/>
  <c r="W688" i="6"/>
  <c r="V688" i="6"/>
  <c r="U688" i="6"/>
  <c r="T688" i="6"/>
  <c r="W687" i="6"/>
  <c r="V687" i="6"/>
  <c r="T687" i="6"/>
  <c r="U687" i="6"/>
  <c r="W686" i="6"/>
  <c r="T686" i="6"/>
  <c r="V686" i="6"/>
  <c r="U686" i="6"/>
  <c r="V685" i="6"/>
  <c r="T685" i="6"/>
  <c r="W685" i="6"/>
  <c r="U685" i="6"/>
  <c r="W684" i="6"/>
  <c r="U684" i="6"/>
  <c r="T684" i="6"/>
  <c r="V684" i="6"/>
  <c r="W683" i="6"/>
  <c r="T683" i="6"/>
  <c r="U683" i="6"/>
  <c r="V683" i="6"/>
  <c r="U682" i="6"/>
  <c r="T682" i="6"/>
  <c r="W682" i="6"/>
  <c r="V682" i="6"/>
  <c r="U681" i="6"/>
  <c r="T681" i="6"/>
  <c r="W681" i="6"/>
  <c r="V681" i="6"/>
  <c r="V680" i="6"/>
  <c r="U680" i="6"/>
  <c r="T680" i="6"/>
  <c r="W680" i="6"/>
  <c r="W679" i="6"/>
  <c r="U679" i="6"/>
  <c r="V679" i="6"/>
  <c r="T679" i="6"/>
  <c r="T678" i="6"/>
  <c r="W678" i="6"/>
  <c r="V678" i="6"/>
  <c r="U678" i="6"/>
  <c r="W677" i="6"/>
  <c r="U677" i="6"/>
  <c r="V677" i="6"/>
  <c r="T677" i="6"/>
  <c r="T676" i="6"/>
  <c r="U676" i="6"/>
  <c r="W676" i="6"/>
  <c r="V676" i="6"/>
  <c r="U675" i="6"/>
  <c r="T675" i="6"/>
  <c r="W675" i="6"/>
  <c r="V675" i="6"/>
  <c r="T674" i="6"/>
  <c r="W674" i="6"/>
  <c r="V674" i="6"/>
  <c r="U674" i="6"/>
  <c r="W673" i="6"/>
  <c r="U673" i="6"/>
  <c r="V673" i="6"/>
  <c r="T673" i="6"/>
  <c r="U672" i="6"/>
  <c r="T672" i="6"/>
  <c r="W672" i="6"/>
  <c r="V672" i="6"/>
  <c r="U671" i="6"/>
  <c r="T671" i="6"/>
  <c r="W671" i="6"/>
  <c r="V671" i="6"/>
  <c r="W670" i="6"/>
  <c r="T670" i="6"/>
  <c r="V670" i="6"/>
  <c r="U670" i="6"/>
  <c r="W669" i="6"/>
  <c r="V669" i="6"/>
  <c r="T669" i="6"/>
  <c r="U669" i="6"/>
  <c r="V668" i="6"/>
  <c r="T668" i="6"/>
  <c r="U668" i="6"/>
  <c r="W668" i="6"/>
  <c r="U667" i="6"/>
  <c r="T667" i="6"/>
  <c r="W667" i="6"/>
  <c r="V667" i="6"/>
  <c r="T666" i="6"/>
  <c r="U666" i="6"/>
  <c r="W666" i="6"/>
  <c r="V666" i="6"/>
  <c r="U665" i="6"/>
  <c r="T665" i="6"/>
  <c r="V665" i="6"/>
  <c r="W665" i="6"/>
  <c r="W664" i="6"/>
  <c r="V664" i="6"/>
  <c r="T664" i="6"/>
  <c r="U664" i="6"/>
  <c r="W663" i="6"/>
  <c r="T663" i="6"/>
  <c r="V663" i="6"/>
  <c r="U663" i="6"/>
  <c r="U662" i="6"/>
  <c r="T662" i="6"/>
  <c r="W662" i="6"/>
  <c r="V662" i="6"/>
  <c r="W661" i="6"/>
  <c r="V661" i="6"/>
  <c r="T661" i="6"/>
  <c r="U661" i="6"/>
  <c r="U660" i="6"/>
  <c r="V660" i="6"/>
  <c r="T660" i="6"/>
  <c r="W660" i="6"/>
  <c r="T659" i="6"/>
  <c r="W659" i="6"/>
  <c r="V659" i="6"/>
  <c r="U659" i="6"/>
  <c r="W658" i="6"/>
  <c r="V658" i="6"/>
  <c r="U658" i="6"/>
  <c r="T658" i="6"/>
  <c r="T657" i="6"/>
  <c r="W657" i="6"/>
  <c r="U657" i="6"/>
  <c r="V657" i="6"/>
  <c r="W656" i="6"/>
  <c r="T656" i="6"/>
  <c r="V656" i="6"/>
  <c r="U656" i="6"/>
  <c r="T655" i="6"/>
  <c r="V655" i="6"/>
  <c r="W655" i="6"/>
  <c r="U655" i="6"/>
  <c r="W654" i="6"/>
  <c r="U654" i="6"/>
  <c r="V654" i="6"/>
  <c r="T654" i="6"/>
  <c r="V653" i="6"/>
  <c r="T653" i="6"/>
  <c r="W653" i="6"/>
  <c r="U653" i="6"/>
  <c r="V652" i="6"/>
  <c r="W652" i="6"/>
  <c r="U652" i="6"/>
  <c r="T652" i="6"/>
  <c r="V651" i="6"/>
  <c r="W651" i="6"/>
  <c r="U651" i="6"/>
  <c r="T651" i="6"/>
  <c r="W650" i="6"/>
  <c r="U650" i="6"/>
  <c r="V650" i="6"/>
  <c r="T650" i="6"/>
  <c r="T649" i="6"/>
  <c r="V649" i="6"/>
  <c r="U649" i="6"/>
  <c r="W649" i="6"/>
  <c r="U648" i="6"/>
  <c r="W648" i="6"/>
  <c r="V648" i="6"/>
  <c r="T648" i="6"/>
  <c r="V647" i="6"/>
  <c r="U647" i="6"/>
  <c r="T647" i="6"/>
  <c r="W647" i="6"/>
  <c r="W646" i="6"/>
  <c r="U646" i="6"/>
  <c r="T646" i="6"/>
  <c r="V646" i="6"/>
  <c r="W645" i="6"/>
  <c r="V645" i="6"/>
  <c r="T645" i="6"/>
  <c r="U645" i="6"/>
  <c r="T644" i="6"/>
  <c r="V644" i="6"/>
  <c r="U644" i="6"/>
  <c r="W644" i="6"/>
  <c r="W643" i="6"/>
  <c r="U643" i="6"/>
  <c r="T643" i="6"/>
  <c r="V643" i="6"/>
  <c r="U642" i="6"/>
  <c r="V642" i="6"/>
  <c r="W642" i="6"/>
  <c r="T642" i="6"/>
  <c r="W641" i="6"/>
  <c r="V641" i="6"/>
  <c r="U641" i="6"/>
  <c r="T641" i="6"/>
  <c r="W640" i="6"/>
  <c r="V640" i="6"/>
  <c r="T640" i="6"/>
  <c r="U640" i="6"/>
  <c r="T639" i="6"/>
  <c r="W639" i="6"/>
  <c r="U639" i="6"/>
  <c r="V639" i="6"/>
  <c r="W638" i="6"/>
  <c r="V638" i="6"/>
  <c r="T638" i="6"/>
  <c r="U638" i="6"/>
  <c r="W637" i="6"/>
  <c r="V637" i="6"/>
  <c r="T637" i="6"/>
  <c r="U637" i="6"/>
  <c r="V636" i="6"/>
  <c r="U636" i="6"/>
  <c r="T636" i="6"/>
  <c r="W636" i="6"/>
  <c r="V635" i="6"/>
  <c r="U635" i="6"/>
  <c r="T635" i="6"/>
  <c r="W635" i="6"/>
  <c r="V634" i="6"/>
  <c r="W634" i="6"/>
  <c r="T634" i="6"/>
  <c r="U634" i="6"/>
  <c r="V633" i="6"/>
  <c r="T633" i="6"/>
  <c r="W633" i="6"/>
  <c r="U633" i="6"/>
  <c r="W632" i="6"/>
  <c r="V632" i="6"/>
  <c r="U632" i="6"/>
  <c r="T632" i="6"/>
  <c r="V631" i="6"/>
  <c r="U631" i="6"/>
  <c r="T631" i="6"/>
  <c r="W631" i="6"/>
  <c r="V630" i="6"/>
  <c r="T630" i="6"/>
  <c r="W630" i="6"/>
  <c r="U630" i="6"/>
  <c r="W629" i="6"/>
  <c r="T629" i="6"/>
  <c r="V629" i="6"/>
  <c r="U629" i="6"/>
  <c r="T628" i="6"/>
  <c r="W628" i="6"/>
  <c r="V628" i="6"/>
  <c r="U628" i="6"/>
  <c r="V627" i="6"/>
  <c r="T627" i="6"/>
  <c r="W627" i="6"/>
  <c r="U627" i="6"/>
  <c r="V626" i="6"/>
  <c r="T626" i="6"/>
  <c r="W626" i="6"/>
  <c r="U626" i="6"/>
  <c r="V625" i="6"/>
  <c r="U625" i="6"/>
  <c r="T625" i="6"/>
  <c r="W625" i="6"/>
  <c r="U624" i="6"/>
  <c r="T624" i="6"/>
  <c r="V624" i="6"/>
  <c r="W624" i="6"/>
  <c r="T623" i="6"/>
  <c r="U623" i="6"/>
  <c r="V623" i="6"/>
  <c r="W623" i="6"/>
  <c r="W622" i="6"/>
  <c r="U622" i="6"/>
  <c r="V622" i="6"/>
  <c r="T622" i="6"/>
  <c r="V621" i="6"/>
  <c r="T621" i="6"/>
  <c r="W621" i="6"/>
  <c r="U621" i="6"/>
  <c r="V620" i="6"/>
  <c r="U620" i="6"/>
  <c r="W620" i="6"/>
  <c r="T620" i="6"/>
  <c r="V619" i="6"/>
  <c r="W619" i="6"/>
  <c r="T619" i="6"/>
  <c r="U619" i="6"/>
  <c r="V618" i="6"/>
  <c r="U618" i="6"/>
  <c r="W618" i="6"/>
  <c r="T618" i="6"/>
  <c r="W617" i="6"/>
  <c r="U617" i="6"/>
  <c r="V617" i="6"/>
  <c r="T617" i="6"/>
  <c r="W616" i="6"/>
  <c r="V616" i="6"/>
  <c r="U616" i="6"/>
  <c r="T616" i="6"/>
  <c r="W615" i="6"/>
  <c r="T615" i="6"/>
  <c r="U615" i="6"/>
  <c r="V615" i="6"/>
  <c r="W614" i="6"/>
  <c r="U614" i="6"/>
  <c r="V614" i="6"/>
  <c r="T614" i="6"/>
  <c r="W613" i="6"/>
  <c r="V613" i="6"/>
  <c r="T613" i="6"/>
  <c r="U613" i="6"/>
  <c r="V612" i="6"/>
  <c r="U612" i="6"/>
  <c r="W612" i="6"/>
  <c r="T612" i="6"/>
  <c r="W611" i="6"/>
  <c r="U611" i="6"/>
  <c r="V611" i="6"/>
  <c r="T611" i="6"/>
  <c r="W610" i="6"/>
  <c r="V610" i="6"/>
  <c r="T610" i="6"/>
  <c r="U610" i="6"/>
  <c r="W609" i="6"/>
  <c r="T609" i="6"/>
  <c r="V609" i="6"/>
  <c r="U609" i="6"/>
  <c r="V608" i="6"/>
  <c r="U608" i="6"/>
  <c r="W608" i="6"/>
  <c r="T608" i="6"/>
  <c r="W607" i="6"/>
  <c r="V607" i="6"/>
  <c r="T607" i="6"/>
  <c r="U607" i="6"/>
  <c r="W606" i="6"/>
  <c r="T606" i="6"/>
  <c r="U606" i="6"/>
  <c r="V606" i="6"/>
  <c r="W605" i="6"/>
  <c r="U605" i="6"/>
  <c r="T605" i="6"/>
  <c r="V605" i="6"/>
  <c r="W604" i="6"/>
  <c r="U604" i="6"/>
  <c r="T604" i="6"/>
  <c r="V604" i="6"/>
  <c r="W603" i="6"/>
  <c r="U603" i="6"/>
  <c r="T603" i="6"/>
  <c r="V603" i="6"/>
  <c r="U602" i="6"/>
  <c r="V602" i="6"/>
  <c r="T602" i="6"/>
  <c r="W602" i="6"/>
  <c r="W601" i="6"/>
  <c r="V601" i="6"/>
  <c r="T601" i="6"/>
  <c r="U601" i="6"/>
  <c r="W600" i="6"/>
  <c r="V600" i="6"/>
  <c r="T600" i="6"/>
  <c r="U600" i="6"/>
  <c r="W599" i="6"/>
  <c r="U599" i="6"/>
  <c r="T599" i="6"/>
  <c r="V599" i="6"/>
  <c r="W598" i="6"/>
  <c r="T598" i="6"/>
  <c r="V598" i="6"/>
  <c r="U598" i="6"/>
  <c r="W597" i="6"/>
  <c r="V597" i="6"/>
  <c r="T597" i="6"/>
  <c r="U597" i="6"/>
  <c r="V596" i="6"/>
  <c r="U596" i="6"/>
  <c r="T596" i="6"/>
  <c r="W596" i="6"/>
  <c r="V595" i="6"/>
  <c r="T595" i="6"/>
  <c r="W595" i="6"/>
  <c r="U595" i="6"/>
  <c r="T594" i="6"/>
  <c r="V594" i="6"/>
  <c r="U594" i="6"/>
  <c r="W594" i="6"/>
  <c r="T593" i="6"/>
  <c r="U593" i="6"/>
  <c r="W593" i="6"/>
  <c r="V593" i="6"/>
  <c r="W592" i="6"/>
  <c r="V592" i="6"/>
  <c r="U592" i="6"/>
  <c r="T592" i="6"/>
  <c r="T591" i="6"/>
  <c r="W591" i="6"/>
  <c r="V591" i="6"/>
  <c r="U591" i="6"/>
  <c r="W590" i="6"/>
  <c r="U590" i="6"/>
  <c r="V590" i="6"/>
  <c r="T590" i="6"/>
  <c r="U589" i="6"/>
  <c r="T589" i="6"/>
  <c r="W589" i="6"/>
  <c r="V589" i="6"/>
  <c r="U588" i="6"/>
  <c r="W588" i="6"/>
  <c r="T588" i="6"/>
  <c r="V588" i="6"/>
  <c r="W587" i="6"/>
  <c r="U587" i="6"/>
  <c r="V587" i="6"/>
  <c r="T587" i="6"/>
  <c r="U586" i="6"/>
  <c r="T586" i="6"/>
  <c r="W586" i="6"/>
  <c r="V586" i="6"/>
  <c r="T585" i="6"/>
  <c r="W585" i="6"/>
  <c r="V585" i="6"/>
  <c r="U585" i="6"/>
  <c r="W584" i="6"/>
  <c r="V584" i="6"/>
  <c r="T584" i="6"/>
  <c r="U584" i="6"/>
  <c r="W583" i="6"/>
  <c r="T583" i="6"/>
  <c r="V583" i="6"/>
  <c r="U583" i="6"/>
  <c r="V582" i="6"/>
  <c r="T582" i="6"/>
  <c r="W582" i="6"/>
  <c r="U582" i="6"/>
  <c r="W581" i="6"/>
  <c r="T581" i="6"/>
  <c r="V581" i="6"/>
  <c r="U581" i="6"/>
  <c r="U580" i="6"/>
  <c r="V580" i="6"/>
  <c r="W580" i="6"/>
  <c r="T580" i="6"/>
  <c r="W579" i="6"/>
  <c r="T579" i="6"/>
  <c r="U579" i="6"/>
  <c r="V579" i="6"/>
  <c r="V578" i="6"/>
  <c r="T578" i="6"/>
  <c r="W578" i="6"/>
  <c r="U578" i="6"/>
  <c r="T577" i="6"/>
  <c r="W577" i="6"/>
  <c r="V577" i="6"/>
  <c r="U577" i="6"/>
  <c r="W576" i="6"/>
  <c r="U576" i="6"/>
  <c r="T576" i="6"/>
  <c r="V576" i="6"/>
  <c r="V575" i="6"/>
  <c r="U575" i="6"/>
  <c r="T575" i="6"/>
  <c r="W575" i="6"/>
  <c r="T574" i="6"/>
  <c r="W574" i="6"/>
  <c r="V574" i="6"/>
  <c r="U574" i="6"/>
  <c r="V573" i="6"/>
  <c r="T573" i="6"/>
  <c r="W573" i="6"/>
  <c r="U573" i="6"/>
  <c r="W572" i="6"/>
  <c r="V572" i="6"/>
  <c r="U572" i="6"/>
  <c r="T572" i="6"/>
  <c r="V571" i="6"/>
  <c r="T571" i="6"/>
  <c r="W571" i="6"/>
  <c r="U571" i="6"/>
  <c r="V570" i="6"/>
  <c r="T570" i="6"/>
  <c r="W570" i="6"/>
  <c r="U570" i="6"/>
  <c r="W569" i="6"/>
  <c r="T569" i="6"/>
  <c r="V569" i="6"/>
  <c r="U569" i="6"/>
  <c r="U568" i="6"/>
  <c r="W568" i="6"/>
  <c r="V568" i="6"/>
  <c r="T568" i="6"/>
  <c r="V567" i="6"/>
  <c r="U567" i="6"/>
  <c r="T567" i="6"/>
  <c r="W567" i="6"/>
  <c r="U566" i="6"/>
  <c r="V566" i="6"/>
  <c r="W566" i="6"/>
  <c r="T566" i="6"/>
  <c r="U565" i="6"/>
  <c r="W565" i="6"/>
  <c r="V565" i="6"/>
  <c r="T565" i="6"/>
  <c r="W564" i="6"/>
  <c r="V564" i="6"/>
  <c r="U564" i="6"/>
  <c r="T564" i="6"/>
  <c r="W563" i="6"/>
  <c r="V563" i="6"/>
  <c r="T563" i="6"/>
  <c r="U563" i="6"/>
  <c r="U562" i="6"/>
  <c r="T562" i="6"/>
  <c r="W562" i="6"/>
  <c r="V562" i="6"/>
  <c r="W561" i="6"/>
  <c r="T561" i="6"/>
  <c r="U561" i="6"/>
  <c r="V561" i="6"/>
  <c r="W560" i="6"/>
  <c r="U560" i="6"/>
  <c r="V560" i="6"/>
  <c r="T560" i="6"/>
  <c r="W559" i="6"/>
  <c r="U559" i="6"/>
  <c r="V559" i="6"/>
  <c r="T559" i="6"/>
  <c r="W558" i="6"/>
  <c r="U558" i="6"/>
  <c r="V558" i="6"/>
  <c r="T558" i="6"/>
  <c r="W557" i="6"/>
  <c r="T557" i="6"/>
  <c r="U557" i="6"/>
  <c r="V557" i="6"/>
  <c r="W556" i="6"/>
  <c r="V556" i="6"/>
  <c r="T556" i="6"/>
  <c r="U556" i="6"/>
  <c r="V555" i="6"/>
  <c r="U555" i="6"/>
  <c r="T555" i="6"/>
  <c r="W555" i="6"/>
  <c r="U554" i="6"/>
  <c r="T554" i="6"/>
  <c r="W554" i="6"/>
  <c r="V554" i="6"/>
  <c r="W553" i="6"/>
  <c r="V553" i="6"/>
  <c r="U553" i="6"/>
  <c r="T553" i="6"/>
  <c r="T552" i="6"/>
  <c r="W552" i="6"/>
  <c r="U552" i="6"/>
  <c r="V552" i="6"/>
  <c r="W551" i="6"/>
  <c r="T551" i="6"/>
  <c r="V551" i="6"/>
  <c r="U551" i="6"/>
  <c r="W550" i="6"/>
  <c r="T550" i="6"/>
  <c r="V550" i="6"/>
  <c r="U550" i="6"/>
  <c r="W549" i="6"/>
  <c r="T549" i="6"/>
  <c r="V549" i="6"/>
  <c r="U549" i="6"/>
  <c r="V547" i="6"/>
  <c r="U547" i="6"/>
  <c r="T547" i="6"/>
  <c r="W547" i="6"/>
  <c r="W546" i="6"/>
  <c r="T546" i="6"/>
  <c r="U546" i="6"/>
  <c r="V546" i="6"/>
  <c r="V545" i="6"/>
  <c r="U545" i="6"/>
  <c r="T545" i="6"/>
  <c r="W545" i="6"/>
  <c r="T544" i="6"/>
  <c r="W544" i="6"/>
  <c r="U544" i="6"/>
  <c r="V544" i="6"/>
  <c r="T543" i="6"/>
  <c r="W543" i="6"/>
  <c r="V543" i="6"/>
  <c r="U543" i="6"/>
  <c r="U542" i="6"/>
  <c r="V542" i="6"/>
  <c r="T542" i="6"/>
  <c r="W542" i="6"/>
  <c r="W541" i="6"/>
  <c r="V541" i="6"/>
  <c r="U541" i="6"/>
  <c r="T541" i="6"/>
  <c r="V540" i="6"/>
  <c r="T540" i="6"/>
  <c r="W540" i="6"/>
  <c r="U540" i="6"/>
  <c r="V539" i="6"/>
  <c r="W539" i="6"/>
  <c r="T539" i="6"/>
  <c r="U539" i="6"/>
  <c r="W538" i="6"/>
  <c r="U538" i="6"/>
  <c r="T538" i="6"/>
  <c r="V538" i="6"/>
  <c r="W537" i="6"/>
  <c r="T537" i="6"/>
  <c r="U537" i="6"/>
  <c r="V537" i="6"/>
  <c r="U536" i="6"/>
  <c r="V536" i="6"/>
  <c r="W536" i="6"/>
  <c r="T536" i="6"/>
  <c r="U535" i="6"/>
  <c r="T535" i="6"/>
  <c r="W535" i="6"/>
  <c r="V535" i="6"/>
  <c r="T534" i="6"/>
  <c r="V534" i="6"/>
  <c r="W534" i="6"/>
  <c r="U534" i="6"/>
  <c r="V533" i="6"/>
  <c r="U533" i="6"/>
  <c r="T533" i="6"/>
  <c r="W533" i="6"/>
  <c r="U532" i="6"/>
  <c r="W532" i="6"/>
  <c r="T532" i="6"/>
  <c r="V532" i="6"/>
  <c r="V531" i="6"/>
  <c r="T531" i="6"/>
  <c r="W531" i="6"/>
  <c r="U531" i="6"/>
  <c r="W530" i="6"/>
  <c r="T530" i="6"/>
  <c r="U530" i="6"/>
  <c r="V530" i="6"/>
  <c r="W529" i="6"/>
  <c r="V529" i="6"/>
  <c r="U529" i="6"/>
  <c r="T529" i="6"/>
  <c r="U528" i="6"/>
  <c r="V528" i="6"/>
  <c r="W528" i="6"/>
  <c r="T528" i="6"/>
  <c r="W527" i="6"/>
  <c r="T527" i="6"/>
  <c r="V527" i="6"/>
  <c r="U527" i="6"/>
  <c r="W526" i="6"/>
  <c r="U526" i="6"/>
  <c r="V526" i="6"/>
  <c r="T526" i="6"/>
  <c r="W525" i="6"/>
  <c r="U525" i="6"/>
  <c r="V525" i="6"/>
  <c r="T525" i="6"/>
  <c r="W524" i="6"/>
  <c r="U524" i="6"/>
  <c r="V524" i="6"/>
  <c r="T524" i="6"/>
  <c r="W523" i="6"/>
  <c r="U523" i="6"/>
  <c r="T523" i="6"/>
  <c r="V523" i="6"/>
  <c r="U522" i="6"/>
  <c r="T522" i="6"/>
  <c r="W522" i="6"/>
  <c r="V522" i="6"/>
  <c r="U521" i="6"/>
  <c r="W521" i="6"/>
  <c r="T521" i="6"/>
  <c r="V521" i="6"/>
  <c r="U520" i="6"/>
  <c r="T520" i="6"/>
  <c r="W520" i="6"/>
  <c r="V520" i="6"/>
  <c r="U519" i="6"/>
  <c r="T519" i="6"/>
  <c r="V519" i="6"/>
  <c r="W519" i="6"/>
  <c r="U518" i="6"/>
  <c r="V518" i="6"/>
  <c r="T518" i="6"/>
  <c r="W518" i="6"/>
  <c r="W517" i="6"/>
  <c r="U517" i="6"/>
  <c r="T517" i="6"/>
  <c r="V517" i="6"/>
  <c r="W516" i="6"/>
  <c r="V516" i="6"/>
  <c r="U516" i="6"/>
  <c r="T516" i="6"/>
  <c r="T515" i="6"/>
  <c r="V515" i="6"/>
  <c r="U515" i="6"/>
  <c r="W515" i="6"/>
  <c r="T514" i="6"/>
  <c r="V514" i="6"/>
  <c r="W514" i="6"/>
  <c r="U514" i="6"/>
  <c r="W513" i="6"/>
  <c r="V513" i="6"/>
  <c r="U513" i="6"/>
  <c r="T513" i="6"/>
  <c r="W512" i="6"/>
  <c r="V512" i="6"/>
  <c r="U512" i="6"/>
  <c r="T512" i="6"/>
  <c r="W511" i="6"/>
  <c r="V511" i="6"/>
  <c r="U511" i="6"/>
  <c r="T511" i="6"/>
  <c r="W510" i="6"/>
  <c r="U510" i="6"/>
  <c r="V510" i="6"/>
  <c r="T510" i="6"/>
  <c r="U509" i="6"/>
  <c r="V509" i="6"/>
  <c r="T509" i="6"/>
  <c r="W509" i="6"/>
  <c r="T508" i="6"/>
  <c r="V508" i="6"/>
  <c r="U508" i="6"/>
  <c r="W508" i="6"/>
  <c r="W507" i="6"/>
  <c r="T507" i="6"/>
  <c r="V507" i="6"/>
  <c r="U507" i="6"/>
  <c r="V506" i="6"/>
  <c r="T506" i="6"/>
  <c r="U506" i="6"/>
  <c r="W506" i="6"/>
  <c r="U505" i="6"/>
  <c r="V505" i="6"/>
  <c r="T505" i="6"/>
  <c r="W505" i="6"/>
  <c r="W504" i="6"/>
  <c r="U504" i="6"/>
  <c r="T504" i="6"/>
  <c r="V504" i="6"/>
  <c r="W503" i="6"/>
  <c r="T503" i="6"/>
  <c r="V503" i="6"/>
  <c r="U503" i="6"/>
  <c r="W502" i="6"/>
  <c r="T502" i="6"/>
  <c r="U502" i="6"/>
  <c r="V502" i="6"/>
  <c r="W501" i="6"/>
  <c r="T501" i="6"/>
  <c r="V501" i="6"/>
  <c r="U501" i="6"/>
  <c r="W500" i="6"/>
  <c r="U500" i="6"/>
  <c r="T500" i="6"/>
  <c r="V500" i="6"/>
  <c r="V499" i="6"/>
  <c r="W499" i="6"/>
  <c r="T499" i="6"/>
  <c r="U499" i="6"/>
  <c r="U498" i="6"/>
  <c r="W498" i="6"/>
  <c r="T498" i="6"/>
  <c r="V498" i="6"/>
  <c r="W497" i="6"/>
  <c r="T497" i="6"/>
  <c r="U497" i="6"/>
  <c r="V497" i="6"/>
  <c r="V496" i="6"/>
  <c r="T496" i="6"/>
  <c r="W496" i="6"/>
  <c r="U496" i="6"/>
  <c r="U495" i="6"/>
  <c r="W495" i="6"/>
  <c r="T495" i="6"/>
  <c r="V495" i="6"/>
  <c r="W494" i="6"/>
  <c r="T494" i="6"/>
  <c r="V494" i="6"/>
  <c r="U494" i="6"/>
  <c r="V493" i="6"/>
  <c r="T493" i="6"/>
  <c r="W493" i="6"/>
  <c r="U493" i="6"/>
  <c r="V492" i="6"/>
  <c r="T492" i="6"/>
  <c r="U492" i="6"/>
  <c r="W492" i="6"/>
  <c r="W491" i="6"/>
  <c r="U491" i="6"/>
  <c r="V491" i="6"/>
  <c r="T491" i="6"/>
  <c r="W490" i="6"/>
  <c r="T490" i="6"/>
  <c r="V490" i="6"/>
  <c r="U490" i="6"/>
  <c r="U489" i="6"/>
  <c r="V489" i="6"/>
  <c r="W489" i="6"/>
  <c r="T489" i="6"/>
  <c r="T488" i="6"/>
  <c r="W488" i="6"/>
  <c r="V488" i="6"/>
  <c r="U488" i="6"/>
  <c r="W487" i="6"/>
  <c r="U487" i="6"/>
  <c r="T487" i="6"/>
  <c r="V487" i="6"/>
  <c r="W486" i="6"/>
  <c r="U486" i="6"/>
  <c r="T486" i="6"/>
  <c r="V486" i="6"/>
  <c r="V485" i="6"/>
  <c r="U485" i="6"/>
  <c r="T485" i="6"/>
  <c r="W485" i="6"/>
  <c r="U484" i="6"/>
  <c r="V484" i="6"/>
  <c r="T484" i="6"/>
  <c r="W484" i="6"/>
  <c r="W483" i="6"/>
  <c r="T483" i="6"/>
  <c r="V483" i="6"/>
  <c r="U483" i="6"/>
  <c r="U482" i="6"/>
  <c r="W482" i="6"/>
  <c r="T482" i="6"/>
  <c r="V482" i="6"/>
  <c r="T481" i="6"/>
  <c r="W481" i="6"/>
  <c r="V481" i="6"/>
  <c r="U481" i="6"/>
  <c r="U480" i="6"/>
  <c r="T480" i="6"/>
  <c r="V480" i="6"/>
  <c r="W480" i="6"/>
  <c r="U479" i="6"/>
  <c r="T479" i="6"/>
  <c r="W479" i="6"/>
  <c r="V479" i="6"/>
  <c r="W478" i="6"/>
  <c r="V478" i="6"/>
  <c r="U478" i="6"/>
  <c r="T478" i="6"/>
  <c r="W477" i="6"/>
  <c r="V477" i="6"/>
  <c r="T477" i="6"/>
  <c r="U477" i="6"/>
  <c r="V476" i="6"/>
  <c r="T476" i="6"/>
  <c r="U476" i="6"/>
  <c r="W476" i="6"/>
  <c r="V475" i="6"/>
  <c r="T475" i="6"/>
  <c r="U475" i="6"/>
  <c r="W475" i="6"/>
  <c r="T474" i="6"/>
  <c r="V474" i="6"/>
  <c r="W474" i="6"/>
  <c r="U474" i="6"/>
  <c r="V473" i="6"/>
  <c r="U473" i="6"/>
  <c r="W473" i="6"/>
  <c r="T473" i="6"/>
  <c r="W472" i="6"/>
  <c r="T472" i="6"/>
  <c r="U472" i="6"/>
  <c r="V472" i="6"/>
  <c r="W471" i="6"/>
  <c r="T471" i="6"/>
  <c r="V471" i="6"/>
  <c r="U471" i="6"/>
  <c r="U470" i="6"/>
  <c r="V470" i="6"/>
  <c r="W470" i="6"/>
  <c r="T470" i="6"/>
  <c r="W469" i="6"/>
  <c r="T469" i="6"/>
  <c r="U469" i="6"/>
  <c r="V469" i="6"/>
  <c r="W468" i="6"/>
  <c r="T468" i="6"/>
  <c r="V468" i="6"/>
  <c r="U468" i="6"/>
  <c r="U467" i="6"/>
  <c r="V467" i="6"/>
  <c r="T467" i="6"/>
  <c r="W467" i="6"/>
  <c r="W466" i="6"/>
  <c r="V466" i="6"/>
  <c r="T466" i="6"/>
  <c r="U466" i="6"/>
  <c r="V465" i="6"/>
  <c r="T465" i="6"/>
  <c r="W465" i="6"/>
  <c r="U465" i="6"/>
  <c r="T464" i="6"/>
  <c r="U464" i="6"/>
  <c r="V464" i="6"/>
  <c r="W464" i="6"/>
  <c r="T463" i="6"/>
  <c r="U463" i="6"/>
  <c r="V463" i="6"/>
  <c r="W463" i="6"/>
  <c r="V462" i="6"/>
  <c r="T462" i="6"/>
  <c r="W462" i="6"/>
  <c r="U462" i="6"/>
  <c r="T461" i="6"/>
  <c r="W461" i="6"/>
  <c r="V461" i="6"/>
  <c r="U461" i="6"/>
  <c r="V460" i="6"/>
  <c r="T460" i="6"/>
  <c r="W460" i="6"/>
  <c r="U460" i="6"/>
  <c r="W459" i="6"/>
  <c r="T459" i="6"/>
  <c r="V459" i="6"/>
  <c r="U459" i="6"/>
  <c r="T458" i="6"/>
  <c r="W458" i="6"/>
  <c r="V458" i="6"/>
  <c r="U458" i="6"/>
  <c r="T457" i="6"/>
  <c r="W457" i="6"/>
  <c r="U457" i="6"/>
  <c r="V457" i="6"/>
  <c r="U456" i="6"/>
  <c r="V456" i="6"/>
  <c r="T456" i="6"/>
  <c r="W456" i="6"/>
  <c r="V455" i="6"/>
  <c r="T455" i="6"/>
  <c r="W455" i="6"/>
  <c r="U455" i="6"/>
  <c r="W454" i="6"/>
  <c r="U454" i="6"/>
  <c r="V454" i="6"/>
  <c r="T454" i="6"/>
  <c r="U453" i="6"/>
  <c r="W453" i="6"/>
  <c r="T453" i="6"/>
  <c r="V453" i="6"/>
  <c r="V452" i="6"/>
  <c r="T452" i="6"/>
  <c r="W452" i="6"/>
  <c r="U452" i="6"/>
  <c r="U451" i="6"/>
  <c r="T451" i="6"/>
  <c r="W451" i="6"/>
  <c r="V451" i="6"/>
  <c r="W450" i="6"/>
  <c r="T450" i="6"/>
  <c r="U450" i="6"/>
  <c r="V450" i="6"/>
  <c r="U449" i="6"/>
  <c r="V449" i="6"/>
  <c r="T449" i="6"/>
  <c r="W449" i="6"/>
  <c r="T448" i="6"/>
  <c r="W448" i="6"/>
  <c r="U448" i="6"/>
  <c r="V448" i="6"/>
  <c r="W447" i="6"/>
  <c r="U447" i="6"/>
  <c r="V447" i="6"/>
  <c r="T447" i="6"/>
  <c r="V446" i="6"/>
  <c r="T446" i="6"/>
  <c r="W446" i="6"/>
  <c r="U446" i="6"/>
  <c r="W445" i="6"/>
  <c r="U445" i="6"/>
  <c r="V445" i="6"/>
  <c r="T445" i="6"/>
  <c r="W444" i="6"/>
  <c r="V444" i="6"/>
  <c r="U444" i="6"/>
  <c r="T444" i="6"/>
  <c r="U443" i="6"/>
  <c r="W443" i="6"/>
  <c r="T443" i="6"/>
  <c r="V443" i="6"/>
  <c r="W442" i="6"/>
  <c r="U442" i="6"/>
  <c r="V442" i="6"/>
  <c r="T442" i="6"/>
  <c r="V441" i="6"/>
  <c r="T441" i="6"/>
  <c r="U441" i="6"/>
  <c r="W441" i="6"/>
  <c r="U440" i="6"/>
  <c r="V440" i="6"/>
  <c r="T440" i="6"/>
  <c r="W440" i="6"/>
  <c r="U439" i="6"/>
  <c r="V439" i="6"/>
  <c r="T439" i="6"/>
  <c r="W439" i="6"/>
  <c r="U438" i="6"/>
  <c r="V438" i="6"/>
  <c r="T438" i="6"/>
  <c r="W438" i="6"/>
  <c r="T437" i="6"/>
  <c r="W437" i="6"/>
  <c r="U437" i="6"/>
  <c r="V437" i="6"/>
  <c r="V436" i="6"/>
  <c r="U436" i="6"/>
  <c r="W436" i="6"/>
  <c r="T436" i="6"/>
  <c r="V435" i="6"/>
  <c r="T435" i="6"/>
  <c r="W435" i="6"/>
  <c r="U435" i="6"/>
  <c r="W434" i="6"/>
  <c r="U434" i="6"/>
  <c r="T434" i="6"/>
  <c r="V434" i="6"/>
  <c r="W433" i="6"/>
  <c r="U433" i="6"/>
  <c r="T433" i="6"/>
  <c r="V433" i="6"/>
  <c r="W432" i="6"/>
  <c r="V432" i="6"/>
  <c r="U432" i="6"/>
  <c r="T432" i="6"/>
  <c r="V431" i="6"/>
  <c r="W431" i="6"/>
  <c r="U431" i="6"/>
  <c r="T431" i="6"/>
  <c r="W430" i="6"/>
  <c r="T430" i="6"/>
  <c r="V430" i="6"/>
  <c r="U430" i="6"/>
  <c r="T429" i="6"/>
  <c r="W429" i="6"/>
  <c r="U429" i="6"/>
  <c r="V429" i="6"/>
  <c r="V428" i="6"/>
  <c r="U428" i="6"/>
  <c r="W428" i="6"/>
  <c r="T428" i="6"/>
  <c r="V427" i="6"/>
  <c r="U427" i="6"/>
  <c r="T427" i="6"/>
  <c r="W427" i="6"/>
  <c r="W426" i="6"/>
  <c r="V426" i="6"/>
  <c r="U426" i="6"/>
  <c r="T426" i="6"/>
  <c r="W425" i="6"/>
  <c r="T425" i="6"/>
  <c r="V425" i="6"/>
  <c r="U425" i="6"/>
  <c r="V424" i="6"/>
  <c r="T424" i="6"/>
  <c r="W424" i="6"/>
  <c r="U424" i="6"/>
  <c r="T423" i="6"/>
  <c r="W423" i="6"/>
  <c r="V423" i="6"/>
  <c r="U423" i="6"/>
  <c r="W422" i="6"/>
  <c r="T422" i="6"/>
  <c r="V422" i="6"/>
  <c r="U422" i="6"/>
  <c r="W421" i="6"/>
  <c r="U421" i="6"/>
  <c r="T421" i="6"/>
  <c r="V421" i="6"/>
  <c r="U420" i="6"/>
  <c r="T420" i="6"/>
  <c r="W420" i="6"/>
  <c r="V420" i="6"/>
  <c r="V419" i="6"/>
  <c r="W419" i="6"/>
  <c r="T419" i="6"/>
  <c r="U419" i="6"/>
  <c r="W418" i="6"/>
  <c r="V418" i="6"/>
  <c r="U418" i="6"/>
  <c r="T418" i="6"/>
  <c r="T417" i="6"/>
  <c r="W417" i="6"/>
  <c r="V417" i="6"/>
  <c r="U417" i="6"/>
  <c r="U416" i="6"/>
  <c r="T416" i="6"/>
  <c r="W416" i="6"/>
  <c r="V416" i="6"/>
  <c r="W415" i="6"/>
  <c r="U415" i="6"/>
  <c r="T415" i="6"/>
  <c r="V415" i="6"/>
  <c r="U414" i="6"/>
  <c r="T414" i="6"/>
  <c r="W414" i="6"/>
  <c r="V414" i="6"/>
  <c r="U413" i="6"/>
  <c r="V413" i="6"/>
  <c r="T413" i="6"/>
  <c r="W413" i="6"/>
  <c r="U412" i="6"/>
  <c r="W412" i="6"/>
  <c r="T412" i="6"/>
  <c r="V412" i="6"/>
  <c r="W411" i="6"/>
  <c r="U411" i="6"/>
  <c r="V411" i="6"/>
  <c r="T411" i="6"/>
  <c r="T410" i="6"/>
  <c r="U410" i="6"/>
  <c r="V410" i="6"/>
  <c r="W410" i="6"/>
  <c r="V409" i="6"/>
  <c r="T409" i="6"/>
  <c r="W409" i="6"/>
  <c r="U409" i="6"/>
  <c r="W408" i="6"/>
  <c r="V408" i="6"/>
  <c r="T408" i="6"/>
  <c r="U408" i="6"/>
  <c r="T407" i="6"/>
  <c r="V407" i="6"/>
  <c r="W407" i="6"/>
  <c r="U407" i="6"/>
  <c r="V406" i="6"/>
  <c r="U406" i="6"/>
  <c r="T406" i="6"/>
  <c r="W406" i="6"/>
  <c r="V405" i="6"/>
  <c r="U405" i="6"/>
  <c r="W405" i="6"/>
  <c r="T405" i="6"/>
  <c r="V404" i="6"/>
  <c r="T404" i="6"/>
  <c r="W404" i="6"/>
  <c r="U404" i="6"/>
  <c r="U403" i="6"/>
  <c r="T403" i="6"/>
  <c r="W403" i="6"/>
  <c r="V403" i="6"/>
  <c r="V402" i="6"/>
  <c r="T402" i="6"/>
  <c r="W402" i="6"/>
  <c r="U402" i="6"/>
  <c r="W401" i="6"/>
  <c r="U401" i="6"/>
  <c r="T401" i="6"/>
  <c r="V401" i="6"/>
  <c r="V400" i="6"/>
  <c r="U400" i="6"/>
  <c r="T400" i="6"/>
  <c r="W400" i="6"/>
  <c r="W399" i="6"/>
  <c r="U399" i="6"/>
  <c r="V399" i="6"/>
  <c r="T399" i="6"/>
  <c r="T398" i="6"/>
  <c r="W398" i="6"/>
  <c r="V398" i="6"/>
  <c r="U398" i="6"/>
  <c r="V397" i="6"/>
  <c r="T397" i="6"/>
  <c r="W397" i="6"/>
  <c r="U397" i="6"/>
  <c r="U396" i="6"/>
  <c r="V396" i="6"/>
  <c r="T396" i="6"/>
  <c r="W396" i="6"/>
  <c r="V395" i="6"/>
  <c r="W395" i="6"/>
  <c r="T395" i="6"/>
  <c r="U395" i="6"/>
  <c r="W394" i="6"/>
  <c r="U394" i="6"/>
  <c r="V394" i="6"/>
  <c r="T394" i="6"/>
  <c r="W393" i="6"/>
  <c r="U393" i="6"/>
  <c r="V393" i="6"/>
  <c r="T393" i="6"/>
  <c r="T392" i="6"/>
  <c r="W392" i="6"/>
  <c r="U392" i="6"/>
  <c r="V392" i="6"/>
  <c r="W391" i="6"/>
  <c r="U391" i="6"/>
  <c r="V391" i="6"/>
  <c r="T391" i="6"/>
  <c r="U390" i="6"/>
  <c r="V390" i="6"/>
  <c r="T390" i="6"/>
  <c r="W390" i="6"/>
  <c r="W389" i="6"/>
  <c r="U389" i="6"/>
  <c r="V389" i="6"/>
  <c r="T389" i="6"/>
  <c r="W388" i="6"/>
  <c r="T388" i="6"/>
  <c r="V388" i="6"/>
  <c r="U388" i="6"/>
  <c r="V387" i="6"/>
  <c r="U387" i="6"/>
  <c r="W387" i="6"/>
  <c r="T387" i="6"/>
  <c r="V386" i="6"/>
  <c r="T386" i="6"/>
  <c r="W386" i="6"/>
  <c r="U386" i="6"/>
  <c r="U385" i="6"/>
  <c r="T385" i="6"/>
  <c r="V385" i="6"/>
  <c r="W385" i="6"/>
  <c r="W384" i="6"/>
  <c r="U384" i="6"/>
  <c r="T384" i="6"/>
  <c r="V384" i="6"/>
  <c r="T383" i="6"/>
  <c r="V383" i="6"/>
  <c r="U383" i="6"/>
  <c r="W383" i="6"/>
  <c r="U382" i="6"/>
  <c r="W382" i="6"/>
  <c r="V382" i="6"/>
  <c r="T382" i="6"/>
  <c r="W381" i="6"/>
  <c r="T381" i="6"/>
  <c r="U381" i="6"/>
  <c r="V381" i="6"/>
  <c r="W380" i="6"/>
  <c r="U380" i="6"/>
  <c r="T380" i="6"/>
  <c r="V380" i="6"/>
  <c r="W379" i="6"/>
  <c r="V379" i="6"/>
  <c r="U379" i="6"/>
  <c r="T379" i="6"/>
  <c r="W378" i="6"/>
  <c r="V378" i="6"/>
  <c r="T378" i="6"/>
  <c r="U378" i="6"/>
  <c r="U377" i="6"/>
  <c r="T377" i="6"/>
  <c r="V377" i="6"/>
  <c r="W377" i="6"/>
  <c r="W376" i="6"/>
  <c r="U376" i="6"/>
  <c r="V376" i="6"/>
  <c r="T376" i="6"/>
  <c r="U375" i="6"/>
  <c r="V375" i="6"/>
  <c r="T375" i="6"/>
  <c r="W375" i="6"/>
  <c r="W374" i="6"/>
  <c r="T374" i="6"/>
  <c r="V374" i="6"/>
  <c r="U374" i="6"/>
  <c r="W373" i="6"/>
  <c r="T373" i="6"/>
  <c r="V373" i="6"/>
  <c r="U373" i="6"/>
  <c r="V372" i="6"/>
  <c r="T372" i="6"/>
  <c r="W372" i="6"/>
  <c r="U372" i="6"/>
  <c r="T371" i="6"/>
  <c r="V371" i="6"/>
  <c r="U371" i="6"/>
  <c r="W371" i="6"/>
  <c r="V370" i="6"/>
  <c r="T370" i="6"/>
  <c r="W370" i="6"/>
  <c r="U370" i="6"/>
  <c r="T369" i="6"/>
  <c r="V369" i="6"/>
  <c r="U369" i="6"/>
  <c r="W369" i="6"/>
  <c r="W368" i="6"/>
  <c r="T368" i="6"/>
  <c r="U368" i="6"/>
  <c r="V368" i="6"/>
  <c r="U367" i="6"/>
  <c r="V367" i="6"/>
  <c r="W367" i="6"/>
  <c r="T367" i="6"/>
  <c r="T366" i="6"/>
  <c r="W366" i="6"/>
  <c r="V366" i="6"/>
  <c r="U366" i="6"/>
  <c r="W365" i="6"/>
  <c r="V365" i="6"/>
  <c r="T365" i="6"/>
  <c r="U365" i="6"/>
  <c r="W364" i="6"/>
  <c r="T364" i="6"/>
  <c r="U364" i="6"/>
  <c r="V364" i="6"/>
  <c r="W363" i="6"/>
  <c r="V363" i="6"/>
  <c r="U363" i="6"/>
  <c r="T363" i="6"/>
  <c r="V362" i="6"/>
  <c r="U362" i="6"/>
  <c r="T362" i="6"/>
  <c r="W362" i="6"/>
  <c r="T361" i="6"/>
  <c r="U361" i="6"/>
  <c r="W361" i="6"/>
  <c r="V361" i="6"/>
  <c r="W360" i="6"/>
  <c r="V360" i="6"/>
  <c r="T360" i="6"/>
  <c r="U360" i="6"/>
  <c r="W359" i="6"/>
  <c r="T359" i="6"/>
  <c r="U359" i="6"/>
  <c r="V359" i="6"/>
  <c r="U358" i="6"/>
  <c r="W358" i="6"/>
  <c r="V358" i="6"/>
  <c r="T358" i="6"/>
  <c r="U357" i="6"/>
  <c r="T357" i="6"/>
  <c r="W357" i="6"/>
  <c r="V357" i="6"/>
  <c r="U356" i="6"/>
  <c r="W356" i="6"/>
  <c r="T356" i="6"/>
  <c r="V356" i="6"/>
  <c r="W355" i="6"/>
  <c r="V355" i="6"/>
  <c r="U355" i="6"/>
  <c r="T355" i="6"/>
  <c r="U354" i="6"/>
  <c r="W354" i="6"/>
  <c r="V354" i="6"/>
  <c r="T354" i="6"/>
  <c r="W353" i="6"/>
  <c r="T353" i="6"/>
  <c r="U353" i="6"/>
  <c r="V353" i="6"/>
  <c r="V352" i="6"/>
  <c r="U352" i="6"/>
  <c r="T352" i="6"/>
  <c r="W352" i="6"/>
  <c r="W351" i="6"/>
  <c r="U351" i="6"/>
  <c r="T351" i="6"/>
  <c r="V351" i="6"/>
  <c r="V350" i="6"/>
  <c r="T350" i="6"/>
  <c r="U350" i="6"/>
  <c r="W350" i="6"/>
  <c r="W349" i="6"/>
  <c r="U349" i="6"/>
  <c r="V349" i="6"/>
  <c r="T349" i="6"/>
  <c r="U348" i="6"/>
  <c r="V348" i="6"/>
  <c r="T348" i="6"/>
  <c r="W348" i="6"/>
  <c r="W347" i="6"/>
  <c r="U347" i="6"/>
  <c r="T347" i="6"/>
  <c r="V347" i="6"/>
  <c r="W346" i="6"/>
  <c r="V346" i="6"/>
  <c r="T346" i="6"/>
  <c r="U346" i="6"/>
  <c r="V345" i="6"/>
  <c r="T345" i="6"/>
  <c r="W345" i="6"/>
  <c r="U345" i="6"/>
  <c r="V344" i="6"/>
  <c r="U344" i="6"/>
  <c r="W344" i="6"/>
  <c r="T344" i="6"/>
  <c r="W343" i="6"/>
  <c r="U343" i="6"/>
  <c r="T343" i="6"/>
  <c r="V343" i="6"/>
  <c r="V342" i="6"/>
  <c r="T342" i="6"/>
  <c r="W342" i="6"/>
  <c r="U342" i="6"/>
  <c r="W341" i="6"/>
  <c r="T341" i="6"/>
  <c r="V341" i="6"/>
  <c r="U341" i="6"/>
  <c r="W340" i="6"/>
  <c r="T340" i="6"/>
  <c r="V340" i="6"/>
  <c r="U340" i="6"/>
  <c r="W339" i="6"/>
  <c r="V339" i="6"/>
  <c r="U339" i="6"/>
  <c r="T339" i="6"/>
  <c r="W338" i="6"/>
  <c r="T338" i="6"/>
  <c r="V338" i="6"/>
  <c r="U338" i="6"/>
  <c r="W337" i="6"/>
  <c r="U337" i="6"/>
  <c r="V337" i="6"/>
  <c r="T337" i="6"/>
  <c r="V336" i="6"/>
  <c r="W336" i="6"/>
  <c r="U336" i="6"/>
  <c r="T336" i="6"/>
  <c r="U335" i="6"/>
  <c r="T335" i="6"/>
  <c r="W335" i="6"/>
  <c r="V335" i="6"/>
  <c r="W334" i="6"/>
  <c r="T334" i="6"/>
  <c r="V334" i="6"/>
  <c r="U334" i="6"/>
  <c r="W333" i="6"/>
  <c r="T333" i="6"/>
  <c r="V333" i="6"/>
  <c r="U333" i="6"/>
  <c r="T332" i="6"/>
  <c r="U332" i="6"/>
  <c r="W332" i="6"/>
  <c r="V332" i="6"/>
  <c r="W331" i="6"/>
  <c r="V331" i="6"/>
  <c r="U331" i="6"/>
  <c r="T331" i="6"/>
  <c r="W330" i="6"/>
  <c r="T330" i="6"/>
  <c r="U330" i="6"/>
  <c r="V330" i="6"/>
  <c r="W329" i="6"/>
  <c r="U329" i="6"/>
  <c r="V329" i="6"/>
  <c r="T329" i="6"/>
  <c r="W328" i="6"/>
  <c r="U328" i="6"/>
  <c r="V328" i="6"/>
  <c r="T328" i="6"/>
  <c r="V327" i="6"/>
  <c r="W327" i="6"/>
  <c r="U327" i="6"/>
  <c r="T327" i="6"/>
  <c r="W326" i="6"/>
  <c r="T326" i="6"/>
  <c r="U326" i="6"/>
  <c r="V326" i="6"/>
  <c r="W325" i="6"/>
  <c r="V325" i="6"/>
  <c r="T325" i="6"/>
  <c r="U325" i="6"/>
  <c r="W324" i="6"/>
  <c r="V324" i="6"/>
  <c r="T324" i="6"/>
  <c r="U324" i="6"/>
  <c r="V323" i="6"/>
  <c r="U323" i="6"/>
  <c r="W323" i="6"/>
  <c r="T323" i="6"/>
  <c r="W322" i="6"/>
  <c r="T322" i="6"/>
  <c r="U322" i="6"/>
  <c r="V322" i="6"/>
  <c r="V321" i="6"/>
  <c r="U321" i="6"/>
  <c r="T321" i="6"/>
  <c r="W321" i="6"/>
  <c r="W320" i="6"/>
  <c r="T320" i="6"/>
  <c r="U320" i="6"/>
  <c r="V320" i="6"/>
  <c r="T319" i="6"/>
  <c r="W319" i="6"/>
  <c r="V319" i="6"/>
  <c r="U319" i="6"/>
  <c r="T318" i="6"/>
  <c r="U318" i="6"/>
  <c r="W318" i="6"/>
  <c r="V318" i="6"/>
  <c r="V317" i="6"/>
  <c r="U317" i="6"/>
  <c r="T317" i="6"/>
  <c r="W317" i="6"/>
  <c r="V316" i="6"/>
  <c r="W316" i="6"/>
  <c r="U316" i="6"/>
  <c r="T316" i="6"/>
  <c r="W315" i="6"/>
  <c r="V315" i="6"/>
  <c r="U315" i="6"/>
  <c r="T315" i="6"/>
  <c r="U314" i="6"/>
  <c r="W314" i="6"/>
  <c r="V314" i="6"/>
  <c r="T314" i="6"/>
  <c r="U313" i="6"/>
  <c r="W313" i="6"/>
  <c r="V313" i="6"/>
  <c r="T313" i="6"/>
  <c r="U312" i="6"/>
  <c r="V312" i="6"/>
  <c r="T312" i="6"/>
  <c r="W312" i="6"/>
  <c r="W311" i="6"/>
  <c r="T311" i="6"/>
  <c r="V311" i="6"/>
  <c r="U311" i="6"/>
  <c r="V310" i="6"/>
  <c r="T310" i="6"/>
  <c r="W310" i="6"/>
  <c r="U310" i="6"/>
  <c r="V309" i="6"/>
  <c r="T309" i="6"/>
  <c r="W309" i="6"/>
  <c r="U309" i="6"/>
  <c r="T308" i="6"/>
  <c r="U308" i="6"/>
  <c r="W308" i="6"/>
  <c r="V308" i="6"/>
  <c r="W307" i="6"/>
  <c r="T307" i="6"/>
  <c r="V307" i="6"/>
  <c r="U307" i="6"/>
  <c r="V306" i="6"/>
  <c r="T306" i="6"/>
  <c r="W306" i="6"/>
  <c r="U306" i="6"/>
  <c r="U305" i="6"/>
  <c r="T305" i="6"/>
  <c r="W305" i="6"/>
  <c r="V305" i="6"/>
  <c r="W304" i="6"/>
  <c r="V304" i="6"/>
  <c r="U304" i="6"/>
  <c r="T304" i="6"/>
  <c r="U303" i="6"/>
  <c r="W303" i="6"/>
  <c r="V303" i="6"/>
  <c r="T303" i="6"/>
  <c r="V302" i="6"/>
  <c r="W302" i="6"/>
  <c r="U302" i="6"/>
  <c r="T302" i="6"/>
  <c r="V301" i="6"/>
  <c r="U301" i="6"/>
  <c r="T301" i="6"/>
  <c r="W301" i="6"/>
  <c r="V300" i="6"/>
  <c r="W300" i="6"/>
  <c r="T300" i="6"/>
  <c r="U300" i="6"/>
  <c r="U299" i="6"/>
  <c r="T299" i="6"/>
  <c r="W299" i="6"/>
  <c r="V299" i="6"/>
  <c r="V298" i="6"/>
  <c r="T298" i="6"/>
  <c r="W298" i="6"/>
  <c r="U298" i="6"/>
  <c r="W297" i="6"/>
  <c r="V297" i="6"/>
  <c r="U297" i="6"/>
  <c r="T297" i="6"/>
  <c r="V296" i="6"/>
  <c r="T296" i="6"/>
  <c r="W296" i="6"/>
  <c r="U296" i="6"/>
  <c r="W295" i="6"/>
  <c r="U295" i="6"/>
  <c r="T295" i="6"/>
  <c r="V295" i="6"/>
  <c r="W294" i="6"/>
  <c r="T294" i="6"/>
  <c r="U294" i="6"/>
  <c r="V294" i="6"/>
  <c r="V293" i="6"/>
  <c r="T293" i="6"/>
  <c r="U293" i="6"/>
  <c r="W293" i="6"/>
  <c r="V292" i="6"/>
  <c r="T292" i="6"/>
  <c r="W292" i="6"/>
  <c r="U292" i="6"/>
  <c r="T291" i="6"/>
  <c r="W291" i="6"/>
  <c r="U291" i="6"/>
  <c r="V291" i="6"/>
  <c r="W290" i="6"/>
  <c r="U290" i="6"/>
  <c r="V290" i="6"/>
  <c r="T290" i="6"/>
  <c r="W289" i="6"/>
  <c r="U289" i="6"/>
  <c r="T289" i="6"/>
  <c r="V289" i="6"/>
  <c r="W288" i="6"/>
  <c r="T288" i="6"/>
  <c r="V288" i="6"/>
  <c r="U288" i="6"/>
  <c r="U287" i="6"/>
  <c r="W287" i="6"/>
  <c r="V287" i="6"/>
  <c r="T287" i="6"/>
  <c r="T286" i="6"/>
  <c r="W286" i="6"/>
  <c r="U286" i="6"/>
  <c r="V286" i="6"/>
  <c r="V285" i="6"/>
  <c r="U285" i="6"/>
  <c r="T285" i="6"/>
  <c r="W285" i="6"/>
  <c r="U284" i="6"/>
  <c r="W284" i="6"/>
  <c r="T284" i="6"/>
  <c r="V284" i="6"/>
  <c r="U283" i="6"/>
  <c r="T283" i="6"/>
  <c r="W283" i="6"/>
  <c r="V283" i="6"/>
  <c r="V282" i="6"/>
  <c r="T282" i="6"/>
  <c r="U282" i="6"/>
  <c r="W282" i="6"/>
  <c r="U281" i="6"/>
  <c r="T281" i="6"/>
  <c r="V281" i="6"/>
  <c r="W281" i="6"/>
  <c r="U280" i="6"/>
  <c r="T280" i="6"/>
  <c r="V280" i="6"/>
  <c r="W280" i="6"/>
  <c r="W279" i="6"/>
  <c r="V279" i="6"/>
  <c r="U279" i="6"/>
  <c r="T279" i="6"/>
  <c r="W278" i="6"/>
  <c r="V278" i="6"/>
  <c r="U278" i="6"/>
  <c r="T278" i="6"/>
  <c r="U277" i="6"/>
  <c r="T277" i="6"/>
  <c r="W277" i="6"/>
  <c r="V277" i="6"/>
  <c r="V276" i="6"/>
  <c r="U276" i="6"/>
  <c r="T276" i="6"/>
  <c r="W276" i="6"/>
  <c r="U275" i="6"/>
  <c r="V275" i="6"/>
  <c r="T275" i="6"/>
  <c r="W275" i="6"/>
  <c r="T274" i="6"/>
  <c r="V274" i="6"/>
  <c r="W274" i="6"/>
  <c r="U274" i="6"/>
  <c r="V273" i="6"/>
  <c r="T273" i="6"/>
  <c r="W273" i="6"/>
  <c r="U273" i="6"/>
  <c r="T272" i="6"/>
  <c r="V272" i="6"/>
  <c r="W272" i="6"/>
  <c r="U272" i="6"/>
  <c r="W271" i="6"/>
  <c r="V271" i="6"/>
  <c r="U271" i="6"/>
  <c r="T271" i="6"/>
  <c r="W270" i="6"/>
  <c r="V270" i="6"/>
  <c r="T270" i="6"/>
  <c r="U270" i="6"/>
  <c r="W269" i="6"/>
  <c r="T269" i="6"/>
  <c r="V269" i="6"/>
  <c r="U269" i="6"/>
  <c r="W268" i="6"/>
  <c r="V268" i="6"/>
  <c r="T268" i="6"/>
  <c r="U268" i="6"/>
  <c r="T267" i="6"/>
  <c r="U267" i="6"/>
  <c r="W267" i="6"/>
  <c r="V267" i="6"/>
  <c r="T266" i="6"/>
  <c r="U266" i="6"/>
  <c r="V266" i="6"/>
  <c r="W266" i="6"/>
  <c r="W265" i="6"/>
  <c r="V265" i="6"/>
  <c r="T265" i="6"/>
  <c r="U265" i="6"/>
  <c r="U264" i="6"/>
  <c r="T264" i="6"/>
  <c r="W264" i="6"/>
  <c r="V264" i="6"/>
  <c r="W263" i="6"/>
  <c r="V263" i="6"/>
  <c r="T263" i="6"/>
  <c r="U263" i="6"/>
  <c r="W262" i="6"/>
  <c r="V262" i="6"/>
  <c r="U262" i="6"/>
  <c r="T262" i="6"/>
  <c r="U261" i="6"/>
  <c r="W261" i="6"/>
  <c r="T261" i="6"/>
  <c r="V261" i="6"/>
  <c r="V260" i="6"/>
  <c r="U260" i="6"/>
  <c r="T260" i="6"/>
  <c r="W260" i="6"/>
  <c r="V259" i="6"/>
  <c r="U259" i="6"/>
  <c r="W259" i="6"/>
  <c r="T259" i="6"/>
  <c r="V258" i="6"/>
  <c r="T258" i="6"/>
  <c r="W258" i="6"/>
  <c r="U258" i="6"/>
  <c r="U257" i="6"/>
  <c r="W257" i="6"/>
  <c r="T257" i="6"/>
  <c r="V257" i="6"/>
  <c r="W256" i="6"/>
  <c r="V256" i="6"/>
  <c r="U256" i="6"/>
  <c r="T256" i="6"/>
  <c r="V255" i="6"/>
  <c r="U255" i="6"/>
  <c r="T255" i="6"/>
  <c r="W255" i="6"/>
  <c r="V254" i="6"/>
  <c r="U254" i="6"/>
  <c r="T254" i="6"/>
  <c r="W254" i="6"/>
  <c r="U252" i="6"/>
  <c r="W252" i="6"/>
  <c r="T252" i="6"/>
  <c r="V252" i="6"/>
  <c r="U251" i="6"/>
  <c r="V251" i="6"/>
  <c r="T251" i="6"/>
  <c r="W251" i="6"/>
  <c r="U250" i="6"/>
  <c r="T250" i="6"/>
  <c r="W250" i="6"/>
  <c r="V250" i="6"/>
  <c r="U249" i="6"/>
  <c r="W249" i="6"/>
  <c r="V249" i="6"/>
  <c r="T249" i="6"/>
  <c r="V248" i="6"/>
  <c r="U248" i="6"/>
  <c r="W248" i="6"/>
  <c r="T248" i="6"/>
  <c r="W247" i="6"/>
  <c r="V247" i="6"/>
  <c r="T247" i="6"/>
  <c r="U247" i="6"/>
  <c r="W246" i="6"/>
  <c r="T246" i="6"/>
  <c r="V246" i="6"/>
  <c r="U246" i="6"/>
  <c r="T245" i="6"/>
  <c r="W245" i="6"/>
  <c r="U245" i="6"/>
  <c r="V245" i="6"/>
  <c r="V244" i="6"/>
  <c r="U244" i="6"/>
  <c r="T244" i="6"/>
  <c r="W244" i="6"/>
  <c r="T243" i="6"/>
  <c r="W243" i="6"/>
  <c r="U243" i="6"/>
  <c r="V243" i="6"/>
  <c r="W242" i="6"/>
  <c r="V242" i="6"/>
  <c r="T242" i="6"/>
  <c r="U242" i="6"/>
  <c r="U241" i="6"/>
  <c r="V241" i="6"/>
  <c r="T241" i="6"/>
  <c r="W241" i="6"/>
  <c r="W240" i="6"/>
  <c r="T240" i="6"/>
  <c r="U240" i="6"/>
  <c r="V240" i="6"/>
  <c r="U239" i="6"/>
  <c r="T239" i="6"/>
  <c r="W239" i="6"/>
  <c r="V239" i="6"/>
  <c r="T238" i="6"/>
  <c r="U238" i="6"/>
  <c r="V238" i="6"/>
  <c r="W238" i="6"/>
  <c r="W237" i="6"/>
  <c r="V237" i="6"/>
  <c r="U237" i="6"/>
  <c r="T237" i="6"/>
  <c r="U236" i="6"/>
  <c r="V236" i="6"/>
  <c r="T236" i="6"/>
  <c r="W236" i="6"/>
  <c r="V235" i="6"/>
  <c r="T235" i="6"/>
  <c r="W235" i="6"/>
  <c r="U235" i="6"/>
  <c r="T234" i="6"/>
  <c r="W234" i="6"/>
  <c r="U234" i="6"/>
  <c r="V234" i="6"/>
  <c r="W233" i="6"/>
  <c r="U233" i="6"/>
  <c r="T233" i="6"/>
  <c r="V233" i="6"/>
  <c r="W232" i="6"/>
  <c r="V232" i="6"/>
  <c r="U232" i="6"/>
  <c r="T232" i="6"/>
  <c r="U231" i="6"/>
  <c r="T231" i="6"/>
  <c r="W231" i="6"/>
  <c r="V231" i="6"/>
  <c r="V230" i="6"/>
  <c r="T230" i="6"/>
  <c r="W230" i="6"/>
  <c r="U230" i="6"/>
  <c r="T229" i="6"/>
  <c r="W229" i="6"/>
  <c r="V229" i="6"/>
  <c r="U229" i="6"/>
  <c r="U228" i="6"/>
  <c r="T228" i="6"/>
  <c r="W228" i="6"/>
  <c r="V228" i="6"/>
  <c r="V227" i="6"/>
  <c r="T227" i="6"/>
  <c r="W227" i="6"/>
  <c r="U227" i="6"/>
  <c r="W226" i="6"/>
  <c r="V226" i="6"/>
  <c r="T226" i="6"/>
  <c r="U226" i="6"/>
  <c r="W225" i="6"/>
  <c r="V225" i="6"/>
  <c r="T225" i="6"/>
  <c r="U225" i="6"/>
  <c r="U224" i="6"/>
  <c r="T224" i="6"/>
  <c r="W224" i="6"/>
  <c r="V224" i="6"/>
  <c r="W223" i="6"/>
  <c r="U223" i="6"/>
  <c r="V223" i="6"/>
  <c r="T223" i="6"/>
  <c r="T222" i="6"/>
  <c r="W222" i="6"/>
  <c r="U222" i="6"/>
  <c r="V222" i="6"/>
  <c r="U221" i="6"/>
  <c r="V221" i="6"/>
  <c r="T221" i="6"/>
  <c r="W221" i="6"/>
  <c r="V220" i="6"/>
  <c r="U220" i="6"/>
  <c r="W220" i="6"/>
  <c r="T220" i="6"/>
  <c r="U219" i="6"/>
  <c r="T219" i="6"/>
  <c r="W219" i="6"/>
  <c r="V219" i="6"/>
  <c r="U218" i="6"/>
  <c r="V218" i="6"/>
  <c r="T218" i="6"/>
  <c r="W218" i="6"/>
  <c r="W217" i="6"/>
  <c r="T217" i="6"/>
  <c r="V217" i="6"/>
  <c r="U217" i="6"/>
  <c r="W216" i="6"/>
  <c r="T216" i="6"/>
  <c r="V216" i="6"/>
  <c r="U216" i="6"/>
  <c r="W215" i="6"/>
  <c r="U215" i="6"/>
  <c r="V215" i="6"/>
  <c r="T215" i="6"/>
  <c r="U214" i="6"/>
  <c r="V214" i="6"/>
  <c r="T214" i="6"/>
  <c r="W214" i="6"/>
  <c r="W213" i="6"/>
  <c r="V213" i="6"/>
  <c r="U213" i="6"/>
  <c r="T213" i="6"/>
  <c r="W212" i="6"/>
  <c r="T212" i="6"/>
  <c r="V212" i="6"/>
  <c r="U212" i="6"/>
  <c r="W211" i="6"/>
  <c r="U211" i="6"/>
  <c r="T211" i="6"/>
  <c r="V211" i="6"/>
  <c r="W210" i="6"/>
  <c r="U210" i="6"/>
  <c r="T210" i="6"/>
  <c r="V210" i="6"/>
  <c r="W209" i="6"/>
  <c r="U209" i="6"/>
  <c r="T209" i="6"/>
  <c r="V209" i="6"/>
  <c r="V208" i="6"/>
  <c r="T208" i="6"/>
  <c r="U208" i="6"/>
  <c r="W208" i="6"/>
  <c r="V207" i="6"/>
  <c r="T207" i="6"/>
  <c r="W207" i="6"/>
  <c r="U207" i="6"/>
  <c r="W206" i="6"/>
  <c r="T206" i="6"/>
  <c r="V206" i="6"/>
  <c r="U206" i="6"/>
  <c r="V205" i="6"/>
  <c r="W205" i="6"/>
  <c r="U205" i="6"/>
  <c r="T205" i="6"/>
  <c r="W204" i="6"/>
  <c r="V204" i="6"/>
  <c r="U204" i="6"/>
  <c r="T204" i="6"/>
  <c r="U203" i="6"/>
  <c r="V203" i="6"/>
  <c r="T203" i="6"/>
  <c r="W203" i="6"/>
  <c r="W202" i="6"/>
  <c r="V202" i="6"/>
  <c r="T202" i="6"/>
  <c r="U202" i="6"/>
  <c r="V201" i="6"/>
  <c r="U201" i="6"/>
  <c r="T201" i="6"/>
  <c r="W201" i="6"/>
  <c r="W200" i="6"/>
  <c r="T200" i="6"/>
  <c r="V200" i="6"/>
  <c r="U200" i="6"/>
  <c r="U199" i="6"/>
  <c r="T199" i="6"/>
  <c r="W199" i="6"/>
  <c r="V199" i="6"/>
  <c r="W198" i="6"/>
  <c r="V198" i="6"/>
  <c r="U198" i="6"/>
  <c r="T198" i="6"/>
  <c r="V197" i="6"/>
  <c r="W197" i="6"/>
  <c r="U197" i="6"/>
  <c r="T197" i="6"/>
  <c r="W196" i="6"/>
  <c r="V196" i="6"/>
  <c r="U196" i="6"/>
  <c r="T196" i="6"/>
  <c r="U195" i="6"/>
  <c r="V195" i="6"/>
  <c r="T195" i="6"/>
  <c r="W195" i="6"/>
  <c r="W194" i="6"/>
  <c r="V194" i="6"/>
  <c r="T194" i="6"/>
  <c r="U194" i="6"/>
  <c r="V193" i="6"/>
  <c r="T193" i="6"/>
  <c r="W193" i="6"/>
  <c r="U193" i="6"/>
  <c r="W192" i="6"/>
  <c r="V192" i="6"/>
  <c r="T192" i="6"/>
  <c r="U192" i="6"/>
  <c r="X790" i="6"/>
  <c r="X191" i="6"/>
  <c r="V191" i="6"/>
  <c r="U191" i="6"/>
  <c r="W191" i="6"/>
  <c r="T191" i="6"/>
  <c r="T190" i="6"/>
  <c r="U190" i="6"/>
  <c r="V190" i="6"/>
  <c r="W190" i="6"/>
  <c r="T189" i="6"/>
  <c r="U189" i="6"/>
  <c r="V189" i="6"/>
  <c r="W189" i="6"/>
  <c r="T188" i="6"/>
  <c r="U188" i="6"/>
  <c r="V188" i="6"/>
  <c r="W188" i="6"/>
  <c r="T187" i="6"/>
  <c r="U187" i="6"/>
  <c r="V187" i="6"/>
  <c r="W187" i="6"/>
  <c r="T186" i="6"/>
  <c r="U186" i="6"/>
  <c r="V186" i="6"/>
  <c r="W186" i="6"/>
  <c r="T185" i="6"/>
  <c r="U185" i="6"/>
  <c r="V185" i="6"/>
  <c r="W185" i="6"/>
  <c r="T184" i="6"/>
  <c r="U184" i="6"/>
  <c r="V184" i="6"/>
  <c r="W184" i="6"/>
  <c r="T183" i="6"/>
  <c r="U183" i="6"/>
  <c r="V183" i="6"/>
  <c r="W183" i="6"/>
  <c r="T182" i="6"/>
  <c r="U182" i="6"/>
  <c r="V182" i="6"/>
  <c r="W182" i="6"/>
  <c r="T181" i="6"/>
  <c r="U181" i="6"/>
  <c r="V181" i="6"/>
  <c r="W181" i="6"/>
  <c r="T180" i="6"/>
  <c r="U180" i="6"/>
  <c r="V180" i="6"/>
  <c r="W180" i="6"/>
  <c r="T179" i="6"/>
  <c r="U179" i="6"/>
  <c r="V179" i="6"/>
  <c r="W179" i="6"/>
  <c r="T178" i="6"/>
  <c r="U178" i="6"/>
  <c r="V178" i="6"/>
  <c r="W178" i="6"/>
  <c r="T177" i="6"/>
  <c r="U177" i="6"/>
  <c r="V177" i="6"/>
  <c r="W177" i="6"/>
  <c r="T176" i="6"/>
  <c r="U176" i="6"/>
  <c r="V176" i="6"/>
  <c r="W176" i="6"/>
  <c r="T175" i="6"/>
  <c r="U175" i="6"/>
  <c r="V175" i="6"/>
  <c r="W175" i="6"/>
  <c r="T174" i="6"/>
  <c r="U174" i="6"/>
  <c r="V174" i="6"/>
  <c r="W174" i="6"/>
  <c r="T173" i="6"/>
  <c r="U173" i="6"/>
  <c r="V173" i="6"/>
  <c r="W173" i="6"/>
  <c r="T172" i="6"/>
  <c r="U172" i="6"/>
  <c r="V172" i="6"/>
  <c r="W172" i="6"/>
  <c r="T171" i="6"/>
  <c r="U171" i="6"/>
  <c r="V171" i="6"/>
  <c r="W171" i="6"/>
  <c r="T170" i="6"/>
  <c r="U170" i="6"/>
  <c r="V170" i="6"/>
  <c r="W170" i="6"/>
  <c r="T169" i="6"/>
  <c r="U169" i="6"/>
  <c r="V169" i="6"/>
  <c r="W169" i="6"/>
  <c r="T168" i="6"/>
  <c r="U168" i="6"/>
  <c r="V168" i="6"/>
  <c r="W168" i="6"/>
  <c r="T167" i="6"/>
  <c r="U167" i="6"/>
  <c r="V167" i="6"/>
  <c r="W167" i="6"/>
  <c r="T166" i="6"/>
  <c r="U166" i="6"/>
  <c r="V166" i="6"/>
  <c r="W166" i="6"/>
  <c r="T165" i="6"/>
  <c r="U165" i="6"/>
  <c r="V165" i="6"/>
  <c r="W165" i="6"/>
  <c r="T164" i="6"/>
  <c r="U164" i="6"/>
  <c r="V164" i="6"/>
  <c r="W164" i="6"/>
  <c r="T163" i="6"/>
  <c r="U163" i="6"/>
  <c r="V163" i="6"/>
  <c r="W163" i="6"/>
  <c r="T162" i="6"/>
  <c r="U162" i="6"/>
  <c r="V162" i="6"/>
  <c r="W162" i="6"/>
  <c r="T161" i="6"/>
  <c r="U161" i="6"/>
  <c r="V161" i="6"/>
  <c r="W161" i="6"/>
  <c r="T160" i="6"/>
  <c r="U160" i="6"/>
  <c r="V160" i="6"/>
  <c r="W160" i="6"/>
  <c r="T159" i="6"/>
  <c r="U159" i="6"/>
  <c r="V159" i="6"/>
  <c r="W159" i="6"/>
  <c r="T158" i="6"/>
  <c r="U158" i="6"/>
  <c r="V158" i="6"/>
  <c r="W158" i="6"/>
  <c r="T157" i="6"/>
  <c r="U157" i="6"/>
  <c r="V157" i="6"/>
  <c r="W157" i="6"/>
  <c r="T156" i="6"/>
  <c r="U156" i="6"/>
  <c r="V156" i="6"/>
  <c r="W156" i="6"/>
  <c r="T155" i="6"/>
  <c r="U155" i="6"/>
  <c r="V155" i="6"/>
  <c r="W155" i="6"/>
  <c r="T154" i="6"/>
  <c r="U154" i="6"/>
  <c r="V154" i="6"/>
  <c r="W154" i="6"/>
  <c r="T153" i="6"/>
  <c r="U153" i="6"/>
  <c r="V153" i="6"/>
  <c r="W153" i="6"/>
  <c r="T152" i="6"/>
  <c r="U152" i="6"/>
  <c r="V152" i="6"/>
  <c r="W152" i="6"/>
  <c r="T151" i="6"/>
  <c r="U151" i="6"/>
  <c r="V151" i="6"/>
  <c r="W151" i="6"/>
  <c r="T150" i="6"/>
  <c r="U150" i="6"/>
  <c r="V150" i="6"/>
  <c r="W150" i="6"/>
  <c r="T149" i="6"/>
  <c r="U149" i="6"/>
  <c r="V149" i="6"/>
  <c r="W149" i="6"/>
  <c r="T148" i="6"/>
  <c r="U148" i="6"/>
  <c r="V148" i="6"/>
  <c r="W148" i="6"/>
  <c r="T147" i="6"/>
  <c r="U147" i="6"/>
  <c r="V147" i="6"/>
  <c r="W147" i="6"/>
  <c r="T146" i="6"/>
  <c r="U146" i="6"/>
  <c r="V146" i="6"/>
  <c r="W146" i="6"/>
  <c r="T145" i="6"/>
  <c r="U145" i="6"/>
  <c r="V145" i="6"/>
  <c r="W145" i="6"/>
  <c r="T144" i="6"/>
  <c r="U144" i="6"/>
  <c r="V144" i="6"/>
  <c r="W144" i="6"/>
  <c r="T143" i="6"/>
  <c r="U143" i="6"/>
  <c r="V143" i="6"/>
  <c r="W143" i="6"/>
  <c r="T142" i="6"/>
  <c r="U142" i="6"/>
  <c r="V142" i="6"/>
  <c r="W142" i="6"/>
  <c r="T141" i="6"/>
  <c r="U141" i="6"/>
  <c r="V141" i="6"/>
  <c r="W141" i="6"/>
  <c r="T140" i="6"/>
  <c r="U140" i="6"/>
  <c r="V140" i="6"/>
  <c r="W140" i="6"/>
  <c r="T139" i="6"/>
  <c r="U139" i="6"/>
  <c r="V139" i="6"/>
  <c r="W139" i="6"/>
  <c r="T138" i="6"/>
  <c r="U138" i="6"/>
  <c r="V138" i="6"/>
  <c r="W138" i="6"/>
  <c r="T137" i="6"/>
  <c r="U137" i="6"/>
  <c r="V137" i="6"/>
  <c r="W137" i="6"/>
  <c r="T136" i="6"/>
  <c r="U136" i="6"/>
  <c r="V136" i="6"/>
  <c r="W136" i="6"/>
  <c r="T135" i="6"/>
  <c r="U135" i="6"/>
  <c r="V135" i="6"/>
  <c r="W135" i="6"/>
  <c r="T134" i="6"/>
  <c r="U134" i="6"/>
  <c r="V134" i="6"/>
  <c r="W134" i="6"/>
  <c r="T133" i="6"/>
  <c r="U133" i="6"/>
  <c r="V133" i="6"/>
  <c r="W133" i="6"/>
  <c r="T132" i="6"/>
  <c r="U132" i="6"/>
  <c r="V132" i="6"/>
  <c r="W132" i="6"/>
  <c r="T131" i="6"/>
  <c r="U131" i="6"/>
  <c r="V131" i="6"/>
  <c r="W131" i="6"/>
  <c r="T130" i="6"/>
  <c r="U130" i="6"/>
  <c r="V130" i="6"/>
  <c r="W130" i="6"/>
  <c r="T129" i="6"/>
  <c r="U129" i="6"/>
  <c r="V129" i="6"/>
  <c r="W129" i="6"/>
  <c r="T128" i="6"/>
  <c r="U128" i="6"/>
  <c r="V128" i="6"/>
  <c r="W128" i="6"/>
  <c r="T127" i="6"/>
  <c r="U127" i="6"/>
  <c r="V127" i="6"/>
  <c r="W127" i="6"/>
  <c r="T126" i="6"/>
  <c r="U126" i="6"/>
  <c r="V126" i="6"/>
  <c r="W126" i="6"/>
  <c r="T125" i="6"/>
  <c r="U125" i="6"/>
  <c r="V125" i="6"/>
  <c r="W125" i="6"/>
  <c r="T124" i="6"/>
  <c r="U124" i="6"/>
  <c r="V124" i="6"/>
  <c r="W124" i="6"/>
  <c r="T123" i="6"/>
  <c r="U123" i="6"/>
  <c r="V123" i="6"/>
  <c r="W123" i="6"/>
  <c r="T122" i="6"/>
  <c r="U122" i="6"/>
  <c r="V122" i="6"/>
  <c r="W122" i="6"/>
  <c r="T121" i="6"/>
  <c r="U121" i="6"/>
  <c r="V121" i="6"/>
  <c r="W121" i="6"/>
  <c r="T120" i="6"/>
  <c r="U120" i="6"/>
  <c r="V120" i="6"/>
  <c r="W120" i="6"/>
  <c r="T119" i="6"/>
  <c r="U119" i="6"/>
  <c r="V119" i="6"/>
  <c r="W119" i="6"/>
  <c r="T118" i="6"/>
  <c r="U118" i="6"/>
  <c r="V118" i="6"/>
  <c r="W118" i="6"/>
  <c r="T117" i="6"/>
  <c r="U117" i="6"/>
  <c r="V117" i="6"/>
  <c r="W117" i="6"/>
  <c r="T116" i="6"/>
  <c r="U116" i="6"/>
  <c r="V116" i="6"/>
  <c r="W116" i="6"/>
  <c r="T115" i="6"/>
  <c r="U115" i="6"/>
  <c r="V115" i="6"/>
  <c r="W115" i="6"/>
  <c r="T114" i="6"/>
  <c r="U114" i="6"/>
  <c r="V114" i="6"/>
  <c r="W114" i="6"/>
  <c r="T113" i="6"/>
  <c r="U113" i="6"/>
  <c r="V113" i="6"/>
  <c r="W113" i="6"/>
  <c r="T112" i="6"/>
  <c r="U112" i="6"/>
  <c r="V112" i="6"/>
  <c r="W112" i="6"/>
  <c r="T111" i="6"/>
  <c r="U111" i="6"/>
  <c r="V111" i="6"/>
  <c r="W111" i="6"/>
  <c r="T110" i="6"/>
  <c r="U110" i="6"/>
  <c r="V110" i="6"/>
  <c r="W110" i="6"/>
  <c r="T109" i="6"/>
  <c r="U109" i="6"/>
  <c r="V109" i="6"/>
  <c r="W109" i="6"/>
  <c r="T108" i="6"/>
  <c r="U108" i="6"/>
  <c r="V108" i="6"/>
  <c r="W108" i="6"/>
  <c r="T107" i="6"/>
  <c r="U107" i="6"/>
  <c r="V107" i="6"/>
  <c r="W107" i="6"/>
  <c r="T106" i="6"/>
  <c r="U106" i="6"/>
  <c r="V106" i="6"/>
  <c r="W106" i="6"/>
  <c r="T105" i="6"/>
  <c r="U105" i="6"/>
  <c r="V105" i="6"/>
  <c r="W105" i="6"/>
  <c r="T104" i="6"/>
  <c r="U104" i="6"/>
  <c r="V104" i="6"/>
  <c r="W104" i="6"/>
  <c r="T103" i="6"/>
  <c r="U103" i="6"/>
  <c r="V103" i="6"/>
  <c r="W103" i="6"/>
  <c r="T102" i="6"/>
  <c r="U102" i="6"/>
  <c r="V102" i="6"/>
  <c r="W102" i="6"/>
  <c r="T101" i="6"/>
  <c r="U101" i="6"/>
  <c r="V101" i="6"/>
  <c r="W101" i="6"/>
  <c r="T100" i="6"/>
  <c r="U100" i="6"/>
  <c r="V100" i="6"/>
  <c r="W100" i="6"/>
  <c r="T99" i="6"/>
  <c r="U99" i="6"/>
  <c r="V99" i="6"/>
  <c r="W99" i="6"/>
  <c r="T98" i="6"/>
  <c r="U98" i="6"/>
  <c r="V98" i="6"/>
  <c r="W98" i="6"/>
  <c r="T97" i="6"/>
  <c r="U97" i="6"/>
  <c r="V97" i="6"/>
  <c r="W97" i="6"/>
  <c r="T96" i="6"/>
  <c r="U96" i="6"/>
  <c r="V96" i="6"/>
  <c r="W96" i="6"/>
  <c r="T95" i="6"/>
  <c r="U95" i="6"/>
  <c r="V95" i="6"/>
  <c r="W95" i="6"/>
  <c r="T94" i="6"/>
  <c r="U94" i="6"/>
  <c r="V94" i="6"/>
  <c r="W94" i="6"/>
  <c r="T93" i="6"/>
  <c r="U93" i="6"/>
  <c r="V93" i="6"/>
  <c r="W93" i="6"/>
  <c r="T92" i="6"/>
  <c r="U92" i="6"/>
  <c r="V92" i="6"/>
  <c r="W92" i="6"/>
  <c r="T91" i="6"/>
  <c r="U91" i="6"/>
  <c r="V91" i="6"/>
  <c r="W91" i="6"/>
  <c r="T90" i="6"/>
  <c r="U90" i="6"/>
  <c r="V90" i="6"/>
  <c r="W90" i="6"/>
  <c r="T89" i="6"/>
  <c r="U89" i="6"/>
  <c r="V89" i="6"/>
  <c r="W89" i="6"/>
  <c r="T88" i="6"/>
  <c r="U88" i="6"/>
  <c r="V88" i="6"/>
  <c r="W88" i="6"/>
  <c r="T87" i="6"/>
  <c r="U87" i="6"/>
  <c r="V87" i="6"/>
  <c r="W87" i="6"/>
  <c r="T86" i="6"/>
  <c r="U86" i="6"/>
  <c r="V86" i="6"/>
  <c r="W86" i="6"/>
  <c r="T85" i="6"/>
  <c r="U85" i="6"/>
  <c r="V85" i="6"/>
  <c r="W85" i="6"/>
  <c r="T84" i="6"/>
  <c r="U84" i="6"/>
  <c r="V84" i="6"/>
  <c r="W84" i="6"/>
  <c r="T83" i="6"/>
  <c r="U83" i="6"/>
  <c r="V83" i="6"/>
  <c r="W83" i="6"/>
  <c r="T82" i="6"/>
  <c r="U82" i="6"/>
  <c r="V82" i="6"/>
  <c r="W82" i="6"/>
  <c r="T81" i="6"/>
  <c r="U81" i="6"/>
  <c r="V81" i="6"/>
  <c r="W81" i="6"/>
  <c r="T80" i="6"/>
  <c r="U80" i="6"/>
  <c r="V80" i="6"/>
  <c r="W80" i="6"/>
  <c r="T79" i="6"/>
  <c r="U79" i="6"/>
  <c r="V79" i="6"/>
  <c r="W79" i="6"/>
  <c r="T78" i="6"/>
  <c r="U78" i="6"/>
  <c r="V78" i="6"/>
  <c r="W78" i="6"/>
  <c r="T77" i="6"/>
  <c r="U77" i="6"/>
  <c r="V77" i="6"/>
  <c r="W77" i="6"/>
  <c r="T76" i="6"/>
  <c r="U76" i="6"/>
  <c r="V76" i="6"/>
  <c r="W76" i="6"/>
  <c r="T75" i="6"/>
  <c r="U75" i="6"/>
  <c r="V75" i="6"/>
  <c r="W75" i="6"/>
  <c r="T74" i="6"/>
  <c r="U74" i="6"/>
  <c r="V74" i="6"/>
  <c r="W74" i="6"/>
  <c r="T73" i="6"/>
  <c r="U73" i="6"/>
  <c r="V73" i="6"/>
  <c r="W73" i="6"/>
  <c r="T72" i="6"/>
  <c r="U72" i="6"/>
  <c r="V72" i="6"/>
  <c r="W72" i="6"/>
  <c r="T71" i="6"/>
  <c r="U71" i="6"/>
  <c r="V71" i="6"/>
  <c r="W71" i="6"/>
  <c r="T70" i="6"/>
  <c r="U70" i="6"/>
  <c r="V70" i="6"/>
  <c r="W70" i="6"/>
  <c r="T69" i="6"/>
  <c r="U69" i="6"/>
  <c r="V69" i="6"/>
  <c r="W69" i="6"/>
  <c r="T68" i="6"/>
  <c r="U68" i="6"/>
  <c r="V68" i="6"/>
  <c r="W68" i="6"/>
  <c r="T67" i="6"/>
  <c r="U67" i="6"/>
  <c r="V67" i="6"/>
  <c r="W67" i="6"/>
  <c r="T66" i="6"/>
  <c r="U66" i="6"/>
  <c r="V66" i="6"/>
  <c r="W66" i="6"/>
  <c r="T65" i="6"/>
  <c r="U65" i="6"/>
  <c r="V65" i="6"/>
  <c r="W65" i="6"/>
  <c r="T64" i="6"/>
  <c r="U64" i="6"/>
  <c r="V64" i="6"/>
  <c r="W64" i="6"/>
  <c r="T63" i="6"/>
  <c r="U63" i="6"/>
  <c r="V63" i="6"/>
  <c r="W63" i="6"/>
  <c r="T62" i="6"/>
  <c r="U62" i="6"/>
  <c r="V62" i="6"/>
  <c r="W62" i="6"/>
  <c r="T61" i="6"/>
  <c r="U61" i="6"/>
  <c r="V61" i="6"/>
  <c r="W61" i="6"/>
  <c r="T60" i="6"/>
  <c r="U60" i="6"/>
  <c r="V60" i="6"/>
  <c r="W60" i="6"/>
  <c r="T59" i="6"/>
  <c r="U59" i="6"/>
  <c r="V59" i="6"/>
  <c r="W59" i="6"/>
  <c r="T58" i="6"/>
  <c r="U58" i="6"/>
  <c r="V58" i="6"/>
  <c r="W58" i="6"/>
  <c r="T57" i="6"/>
  <c r="U57" i="6"/>
  <c r="V57" i="6"/>
  <c r="W57" i="6"/>
  <c r="T56" i="6"/>
  <c r="U56" i="6"/>
  <c r="V56" i="6"/>
  <c r="W56" i="6"/>
  <c r="T55" i="6"/>
  <c r="U55" i="6"/>
  <c r="V55" i="6"/>
  <c r="W55" i="6"/>
  <c r="T54" i="6"/>
  <c r="U54" i="6"/>
  <c r="V54" i="6"/>
  <c r="W54" i="6"/>
  <c r="T53" i="6"/>
  <c r="U53" i="6"/>
  <c r="V53" i="6"/>
  <c r="W53" i="6"/>
  <c r="T52" i="6"/>
  <c r="U52" i="6"/>
  <c r="V52" i="6"/>
  <c r="W52" i="6"/>
  <c r="T51" i="6"/>
  <c r="U51" i="6"/>
  <c r="V51" i="6"/>
  <c r="W51" i="6"/>
  <c r="T50" i="6"/>
  <c r="U50" i="6"/>
  <c r="V50" i="6"/>
  <c r="W50" i="6"/>
  <c r="T49" i="6"/>
  <c r="U49" i="6"/>
  <c r="V49" i="6"/>
  <c r="W49" i="6"/>
  <c r="T48" i="6"/>
  <c r="U48" i="6"/>
  <c r="V48" i="6"/>
  <c r="W48" i="6"/>
  <c r="T47" i="6"/>
  <c r="U47" i="6"/>
  <c r="V47" i="6"/>
  <c r="W47" i="6"/>
  <c r="T46" i="6"/>
  <c r="U46" i="6"/>
  <c r="V46" i="6"/>
  <c r="W46" i="6"/>
  <c r="T45" i="6"/>
  <c r="U45" i="6"/>
  <c r="V45" i="6"/>
  <c r="W45" i="6"/>
  <c r="T44" i="6"/>
  <c r="U44" i="6"/>
  <c r="V44" i="6"/>
  <c r="W44" i="6"/>
  <c r="T43" i="6"/>
  <c r="U43" i="6"/>
  <c r="V43" i="6"/>
  <c r="W43" i="6"/>
  <c r="T42" i="6"/>
  <c r="U42" i="6"/>
  <c r="V42" i="6"/>
  <c r="W42" i="6"/>
  <c r="T41" i="6"/>
  <c r="U41" i="6"/>
  <c r="V41" i="6"/>
  <c r="W41" i="6"/>
  <c r="T40" i="6"/>
  <c r="U40" i="6"/>
  <c r="V40" i="6"/>
  <c r="W40" i="6"/>
  <c r="T39" i="6"/>
  <c r="U39" i="6"/>
  <c r="V39" i="6"/>
  <c r="W39" i="6"/>
  <c r="T38" i="6"/>
  <c r="U38" i="6"/>
  <c r="V38" i="6"/>
  <c r="W38" i="6"/>
  <c r="T37" i="6"/>
  <c r="U37" i="6"/>
  <c r="V37" i="6"/>
  <c r="W37" i="6"/>
  <c r="T36" i="6"/>
  <c r="U36" i="6"/>
  <c r="V36" i="6"/>
  <c r="W36" i="6"/>
  <c r="T35" i="6"/>
  <c r="U35" i="6"/>
  <c r="V35" i="6"/>
  <c r="W35" i="6"/>
  <c r="T34" i="6"/>
  <c r="U34" i="6"/>
  <c r="V34" i="6"/>
  <c r="W34" i="6"/>
  <c r="T33" i="6"/>
  <c r="U33" i="6"/>
  <c r="V33" i="6"/>
  <c r="W33" i="6"/>
  <c r="T32" i="6"/>
  <c r="U32" i="6"/>
  <c r="V32" i="6"/>
  <c r="W32" i="6"/>
  <c r="T31" i="6"/>
  <c r="U31" i="6"/>
  <c r="V31" i="6"/>
  <c r="W31" i="6"/>
  <c r="T30" i="6"/>
  <c r="U30" i="6"/>
  <c r="V30" i="6"/>
  <c r="W30" i="6"/>
  <c r="T29" i="6"/>
  <c r="U29" i="6"/>
  <c r="V29" i="6"/>
  <c r="W29" i="6"/>
  <c r="T28" i="6"/>
  <c r="U28" i="6"/>
  <c r="V28" i="6"/>
  <c r="W28" i="6"/>
  <c r="T27" i="6"/>
  <c r="U27" i="6"/>
  <c r="V27" i="6"/>
  <c r="W27" i="6"/>
  <c r="T26" i="6"/>
  <c r="U26" i="6"/>
  <c r="V26" i="6"/>
  <c r="W26" i="6"/>
  <c r="T25" i="6"/>
  <c r="U25" i="6"/>
  <c r="V25" i="6"/>
  <c r="W25" i="6"/>
  <c r="T24" i="6"/>
  <c r="U24" i="6"/>
  <c r="V24" i="6"/>
  <c r="W24" i="6"/>
  <c r="T23" i="6"/>
  <c r="U23" i="6"/>
  <c r="V23" i="6"/>
  <c r="W23" i="6"/>
  <c r="T22" i="6"/>
  <c r="U22" i="6"/>
  <c r="V22" i="6"/>
  <c r="W22" i="6"/>
  <c r="T21" i="6"/>
  <c r="U21" i="6"/>
  <c r="V21" i="6"/>
  <c r="W21" i="6"/>
  <c r="T20" i="6"/>
  <c r="U20" i="6"/>
  <c r="V20" i="6"/>
  <c r="W20" i="6"/>
  <c r="T19" i="6"/>
  <c r="U19" i="6"/>
  <c r="V19" i="6"/>
  <c r="W19" i="6"/>
  <c r="T18" i="6"/>
  <c r="U18" i="6"/>
  <c r="V18" i="6"/>
  <c r="W18" i="6"/>
  <c r="T17" i="6"/>
  <c r="U17" i="6"/>
  <c r="V17" i="6"/>
  <c r="W17" i="6"/>
  <c r="T16" i="6"/>
  <c r="U16" i="6"/>
  <c r="V16" i="6"/>
  <c r="W16" i="6"/>
  <c r="T15" i="6"/>
  <c r="U15" i="6"/>
  <c r="V15" i="6"/>
  <c r="W15" i="6"/>
  <c r="T14" i="6"/>
  <c r="U14" i="6"/>
  <c r="V14" i="6"/>
  <c r="W14" i="6"/>
  <c r="T13" i="6"/>
  <c r="U13" i="6"/>
  <c r="V13" i="6"/>
  <c r="W13" i="6"/>
  <c r="T12" i="6"/>
  <c r="U12" i="6"/>
  <c r="V12" i="6"/>
  <c r="W12" i="6"/>
  <c r="T11" i="6"/>
  <c r="U11" i="6"/>
  <c r="V11" i="6"/>
  <c r="W11" i="6"/>
  <c r="L2" i="6"/>
  <c r="P5" i="6" s="1"/>
  <c r="X769" i="6"/>
  <c r="X759" i="6"/>
  <c r="X754" i="6"/>
  <c r="X751" i="6"/>
  <c r="X750" i="6"/>
  <c r="X748" i="6"/>
  <c r="X747" i="6"/>
  <c r="X745" i="6"/>
  <c r="X738" i="6"/>
  <c r="X734" i="6"/>
  <c r="X722" i="6"/>
  <c r="X718" i="6"/>
  <c r="X717" i="6"/>
  <c r="X706" i="6"/>
  <c r="X687" i="6"/>
  <c r="X686" i="6"/>
  <c r="X668" i="6"/>
  <c r="X667" i="6"/>
  <c r="X666" i="6"/>
  <c r="X652" i="6"/>
  <c r="X641" i="6"/>
  <c r="X640" i="6"/>
  <c r="X639" i="6"/>
  <c r="X632" i="6"/>
  <c r="X631" i="6"/>
  <c r="X629" i="6"/>
  <c r="X628" i="6"/>
  <c r="X626" i="6"/>
  <c r="X616" i="6"/>
  <c r="X603" i="6"/>
  <c r="X602" i="6"/>
  <c r="X595" i="6"/>
  <c r="X594" i="6"/>
  <c r="X593" i="6"/>
  <c r="X588" i="6"/>
  <c r="X586" i="6"/>
  <c r="X584" i="6"/>
  <c r="X583" i="6"/>
  <c r="X577" i="6"/>
  <c r="X576" i="6"/>
  <c r="X573" i="6"/>
  <c r="X572" i="6"/>
  <c r="X565" i="6"/>
  <c r="X564" i="6"/>
  <c r="X563" i="6"/>
  <c r="X562" i="6"/>
  <c r="X560" i="6"/>
  <c r="X554" i="6"/>
  <c r="X536" i="6"/>
  <c r="X521" i="6"/>
  <c r="X518" i="6"/>
  <c r="X506" i="6"/>
  <c r="X504" i="6"/>
  <c r="X500" i="6"/>
  <c r="X494" i="6"/>
  <c r="X488" i="6"/>
  <c r="X487" i="6"/>
  <c r="X486" i="6"/>
  <c r="X485" i="6"/>
  <c r="X484" i="6"/>
  <c r="X471" i="6"/>
  <c r="X289" i="6"/>
  <c r="X278" i="6"/>
  <c r="X271" i="6"/>
  <c r="X253" i="6"/>
  <c r="X229" i="6"/>
  <c r="X226" i="6"/>
  <c r="X225" i="6"/>
  <c r="X218" i="6"/>
  <c r="X210" i="6"/>
  <c r="X209" i="6"/>
  <c r="X208" i="6"/>
  <c r="X200" i="6"/>
  <c r="X198" i="6"/>
  <c r="X190" i="6"/>
  <c r="X189" i="6"/>
  <c r="X172" i="6"/>
  <c r="X162" i="6"/>
  <c r="X161" i="6"/>
  <c r="X160" i="6"/>
  <c r="X464" i="6"/>
  <c r="X463" i="6"/>
  <c r="X462" i="6"/>
  <c r="X461" i="6"/>
  <c r="X460" i="6"/>
  <c r="X459" i="6"/>
  <c r="X458" i="6"/>
  <c r="X457" i="6"/>
  <c r="X456" i="6"/>
  <c r="X455" i="6"/>
  <c r="X454" i="6"/>
  <c r="X453" i="6"/>
  <c r="X452" i="6"/>
  <c r="X451" i="6"/>
  <c r="X450" i="6"/>
  <c r="X449" i="6"/>
  <c r="X448" i="6"/>
  <c r="X447" i="6"/>
  <c r="X446" i="6"/>
  <c r="X445" i="6"/>
  <c r="X444" i="6"/>
  <c r="X443" i="6"/>
  <c r="X442" i="6"/>
  <c r="X441" i="6"/>
  <c r="X440" i="6"/>
  <c r="X439" i="6"/>
  <c r="X438" i="6"/>
  <c r="X437" i="6"/>
  <c r="X436" i="6"/>
  <c r="X435" i="6"/>
  <c r="X434" i="6"/>
  <c r="X433" i="6"/>
  <c r="X432" i="6"/>
  <c r="X431" i="6"/>
  <c r="X430" i="6"/>
  <c r="X429" i="6"/>
  <c r="X428" i="6"/>
  <c r="X427" i="6"/>
  <c r="X426" i="6"/>
  <c r="X425" i="6"/>
  <c r="X424" i="6"/>
  <c r="X423" i="6"/>
  <c r="X422" i="6"/>
  <c r="X421" i="6"/>
  <c r="X420" i="6"/>
  <c r="X419" i="6"/>
  <c r="X418" i="6"/>
  <c r="X417" i="6"/>
  <c r="X416" i="6"/>
  <c r="X415" i="6"/>
  <c r="X414" i="6"/>
  <c r="X413" i="6"/>
  <c r="X412" i="6"/>
  <c r="X411" i="6"/>
  <c r="X410" i="6"/>
  <c r="X409" i="6"/>
  <c r="X408" i="6"/>
  <c r="X407" i="6"/>
  <c r="X406" i="6"/>
  <c r="X405" i="6"/>
  <c r="X404" i="6"/>
  <c r="X403" i="6"/>
  <c r="X402" i="6"/>
  <c r="X401" i="6"/>
  <c r="X400" i="6"/>
  <c r="X399" i="6"/>
  <c r="X398" i="6"/>
  <c r="X397" i="6"/>
  <c r="X396" i="6"/>
  <c r="X395" i="6"/>
  <c r="X394" i="6"/>
  <c r="X393" i="6"/>
  <c r="X392" i="6"/>
  <c r="X391" i="6"/>
  <c r="X390" i="6"/>
  <c r="X389" i="6"/>
  <c r="X388" i="6"/>
  <c r="X387" i="6"/>
  <c r="X386" i="6"/>
  <c r="X385" i="6"/>
  <c r="X384" i="6"/>
  <c r="X383" i="6"/>
  <c r="X382" i="6"/>
  <c r="X381" i="6"/>
  <c r="X380" i="6"/>
  <c r="X379" i="6"/>
  <c r="X378" i="6"/>
  <c r="X377" i="6"/>
  <c r="X376" i="6"/>
  <c r="X375" i="6"/>
  <c r="X374" i="6"/>
  <c r="X373" i="6"/>
  <c r="X372" i="6"/>
  <c r="X371" i="6"/>
  <c r="X370" i="6"/>
  <c r="X369" i="6"/>
  <c r="X368" i="6"/>
  <c r="X367" i="6"/>
  <c r="X366" i="6"/>
  <c r="X365" i="6"/>
  <c r="X364" i="6"/>
  <c r="X363" i="6"/>
  <c r="X362" i="6"/>
  <c r="X361" i="6"/>
  <c r="X360" i="6"/>
  <c r="X359" i="6"/>
  <c r="X358" i="6"/>
  <c r="X357" i="6"/>
  <c r="X356" i="6"/>
  <c r="X355" i="6"/>
  <c r="X354" i="6"/>
  <c r="X353" i="6"/>
  <c r="X352" i="6"/>
  <c r="X351" i="6"/>
  <c r="X350" i="6"/>
  <c r="X349" i="6"/>
  <c r="X348" i="6"/>
  <c r="X347" i="6"/>
  <c r="X346" i="6"/>
  <c r="X345" i="6"/>
  <c r="X344" i="6"/>
  <c r="X343" i="6"/>
  <c r="X342" i="6"/>
  <c r="X341" i="6"/>
  <c r="X340" i="6"/>
  <c r="X339" i="6"/>
  <c r="X338" i="6"/>
  <c r="X337" i="6"/>
  <c r="X336" i="6"/>
  <c r="X335" i="6"/>
  <c r="X334" i="6"/>
  <c r="X333" i="6"/>
  <c r="X332" i="6"/>
  <c r="X331" i="6"/>
  <c r="X330" i="6"/>
  <c r="X329" i="6"/>
  <c r="X328" i="6"/>
  <c r="X327" i="6"/>
  <c r="X326" i="6"/>
  <c r="X325" i="6"/>
  <c r="X324" i="6"/>
  <c r="X323" i="6"/>
  <c r="X322" i="6"/>
  <c r="X321" i="6"/>
  <c r="X320" i="6"/>
  <c r="X319" i="6"/>
  <c r="X318" i="6"/>
  <c r="X317" i="6"/>
  <c r="X314" i="6"/>
  <c r="X312" i="6"/>
  <c r="X306" i="6"/>
  <c r="X305" i="6"/>
  <c r="X304" i="6"/>
  <c r="X298" i="6"/>
  <c r="X297" i="6"/>
  <c r="X295" i="6"/>
  <c r="X291" i="6"/>
  <c r="X282" i="6"/>
  <c r="X276" i="6"/>
  <c r="X269" i="6"/>
  <c r="X262" i="6"/>
  <c r="X257" i="6"/>
  <c r="X252" i="6"/>
  <c r="X244" i="6"/>
  <c r="X243" i="6"/>
  <c r="X241" i="6"/>
  <c r="X239" i="6"/>
  <c r="X219" i="6"/>
  <c r="X206" i="6"/>
  <c r="X205" i="6"/>
  <c r="X204" i="6"/>
  <c r="X203" i="6"/>
  <c r="X202" i="6"/>
  <c r="X199" i="6"/>
  <c r="X197" i="6"/>
  <c r="X196" i="6"/>
  <c r="X721" i="6"/>
  <c r="X701" i="6"/>
  <c r="X699" i="6"/>
  <c r="X691" i="6"/>
  <c r="X679" i="6"/>
  <c r="X677" i="6"/>
  <c r="X676" i="6"/>
  <c r="X673" i="6"/>
  <c r="X672" i="6"/>
  <c r="X671" i="6"/>
  <c r="X670" i="6"/>
  <c r="X664" i="6"/>
  <c r="X662" i="6"/>
  <c r="X660" i="6"/>
  <c r="X646" i="6"/>
  <c r="X644" i="6"/>
  <c r="X634" i="6"/>
  <c r="X633" i="6"/>
  <c r="X623" i="6"/>
  <c r="X604" i="6"/>
  <c r="X546" i="6"/>
  <c r="X544" i="6"/>
  <c r="X535" i="6"/>
  <c r="X534" i="6"/>
  <c r="X531" i="6"/>
  <c r="X530" i="6"/>
  <c r="X513" i="6"/>
  <c r="X512" i="6"/>
  <c r="X499" i="6"/>
  <c r="X498" i="6"/>
  <c r="X496" i="6"/>
  <c r="X493" i="6"/>
  <c r="X296" i="6"/>
  <c r="X288" i="6"/>
  <c r="X285" i="6"/>
  <c r="X279" i="6"/>
  <c r="X275" i="6"/>
  <c r="X258" i="6"/>
  <c r="X177" i="6"/>
  <c r="X171" i="6"/>
  <c r="X165" i="6"/>
  <c r="X164" i="6"/>
  <c r="X158" i="6"/>
  <c r="X157" i="6"/>
  <c r="X156" i="6"/>
  <c r="X1000" i="6"/>
  <c r="X988" i="6"/>
  <c r="X987" i="6"/>
  <c r="X985" i="6"/>
  <c r="X980" i="6"/>
  <c r="X974" i="6"/>
  <c r="X972" i="6"/>
  <c r="X971" i="6"/>
  <c r="X968" i="6"/>
  <c r="X964" i="6"/>
  <c r="X962" i="6"/>
  <c r="X957" i="6"/>
  <c r="X955" i="6"/>
  <c r="X948" i="6"/>
  <c r="X945" i="6"/>
  <c r="X944" i="6"/>
  <c r="X943" i="6"/>
  <c r="X941" i="6"/>
  <c r="X939" i="6"/>
  <c r="X936" i="6"/>
  <c r="X934" i="6"/>
  <c r="X924" i="6"/>
  <c r="X919" i="6"/>
  <c r="X912" i="6"/>
  <c r="X910" i="6"/>
  <c r="X906" i="6"/>
  <c r="X903" i="6"/>
  <c r="X898" i="6"/>
  <c r="X892" i="6"/>
  <c r="X884" i="6"/>
  <c r="X877" i="6"/>
  <c r="X876" i="6"/>
  <c r="X868" i="6"/>
  <c r="X858" i="6"/>
  <c r="X856" i="6"/>
  <c r="X853" i="6"/>
  <c r="X835" i="6"/>
  <c r="X831" i="6"/>
  <c r="X826" i="6"/>
  <c r="X824" i="6"/>
  <c r="X821" i="6"/>
  <c r="X818" i="6"/>
  <c r="X815" i="6"/>
  <c r="X810" i="6"/>
  <c r="X806" i="6"/>
  <c r="X805" i="6"/>
  <c r="X801" i="6"/>
  <c r="X798" i="6"/>
  <c r="X796" i="6"/>
  <c r="X794" i="6"/>
  <c r="X789" i="6"/>
  <c r="X783" i="6"/>
  <c r="X776" i="6"/>
  <c r="X775" i="6"/>
  <c r="X772" i="6"/>
  <c r="X766" i="6"/>
  <c r="X763" i="6"/>
  <c r="X741" i="6"/>
  <c r="X740" i="6"/>
  <c r="X739" i="6"/>
  <c r="X733" i="6"/>
  <c r="X724" i="6"/>
  <c r="X723" i="6"/>
  <c r="X716" i="6"/>
  <c r="X709" i="6"/>
  <c r="X705" i="6"/>
  <c r="X683" i="6"/>
  <c r="X675" i="6"/>
  <c r="X669" i="6"/>
  <c r="X657" i="6"/>
  <c r="X656" i="6"/>
  <c r="X655" i="6"/>
  <c r="X654" i="6"/>
  <c r="X653" i="6"/>
  <c r="X630" i="6"/>
  <c r="X625" i="6"/>
  <c r="X624" i="6"/>
  <c r="X620" i="6"/>
  <c r="X613" i="6"/>
  <c r="X612" i="6"/>
  <c r="X608" i="6"/>
  <c r="X607" i="6"/>
  <c r="X605" i="6"/>
  <c r="X600" i="6"/>
  <c r="X597" i="6"/>
  <c r="X596" i="6"/>
  <c r="X585" i="6"/>
  <c r="X575" i="6"/>
  <c r="X574" i="6"/>
  <c r="X571" i="6"/>
  <c r="X566" i="6"/>
  <c r="X561" i="6"/>
  <c r="X557" i="6"/>
  <c r="X556" i="6"/>
  <c r="X551" i="6"/>
  <c r="X542" i="6"/>
  <c r="X540" i="6"/>
  <c r="X539" i="6"/>
  <c r="X528" i="6"/>
  <c r="X527" i="6"/>
  <c r="X526" i="6"/>
  <c r="X525" i="6"/>
  <c r="X524" i="6"/>
  <c r="X523" i="6"/>
  <c r="X515" i="6"/>
  <c r="X511" i="6"/>
  <c r="X481" i="6"/>
  <c r="X476" i="6"/>
  <c r="X475" i="6"/>
  <c r="X474" i="6"/>
  <c r="X473" i="6"/>
  <c r="X315" i="6"/>
  <c r="X311" i="6"/>
  <c r="X308" i="6"/>
  <c r="X299" i="6"/>
  <c r="X287" i="6"/>
  <c r="X286" i="6"/>
  <c r="X277" i="6"/>
  <c r="X274" i="6"/>
  <c r="X272" i="6"/>
  <c r="X259" i="6"/>
  <c r="X254" i="6"/>
  <c r="X247" i="6"/>
  <c r="X246" i="6"/>
  <c r="X240" i="6"/>
  <c r="X236" i="6"/>
  <c r="X224" i="6"/>
  <c r="X223" i="6"/>
  <c r="X221" i="6"/>
  <c r="X215" i="6"/>
  <c r="X207" i="6"/>
  <c r="X188" i="6"/>
  <c r="X187" i="6"/>
  <c r="X182" i="6"/>
  <c r="X178" i="6"/>
  <c r="X176" i="6"/>
  <c r="X175" i="6"/>
  <c r="X174" i="6"/>
  <c r="X173" i="6"/>
  <c r="X170" i="6"/>
  <c r="X169" i="6"/>
  <c r="X168" i="6"/>
  <c r="X167" i="6"/>
  <c r="X1007" i="6"/>
  <c r="X1004" i="6"/>
  <c r="X999" i="6"/>
  <c r="X997" i="6"/>
  <c r="X996" i="6"/>
  <c r="X994" i="6"/>
  <c r="X992" i="6"/>
  <c r="X986" i="6"/>
  <c r="X983" i="6"/>
  <c r="X982" i="6"/>
  <c r="X981" i="6"/>
  <c r="X976" i="6"/>
  <c r="X966" i="6"/>
  <c r="X961" i="6"/>
  <c r="X951" i="6"/>
  <c r="X949" i="6"/>
  <c r="X942" i="6"/>
  <c r="X940" i="6"/>
  <c r="X935" i="6"/>
  <c r="X932" i="6"/>
  <c r="X931" i="6"/>
  <c r="X929" i="6"/>
  <c r="X921" i="6"/>
  <c r="X917" i="6"/>
  <c r="X916" i="6"/>
  <c r="X914" i="6"/>
  <c r="X904" i="6"/>
  <c r="X900" i="6"/>
  <c r="X897" i="6"/>
  <c r="X895" i="6"/>
  <c r="X893" i="6"/>
  <c r="X891" i="6"/>
  <c r="X889" i="6"/>
  <c r="X886" i="6"/>
  <c r="X885" i="6"/>
  <c r="X881" i="6"/>
  <c r="X879" i="6"/>
  <c r="X878" i="6"/>
  <c r="X874" i="6"/>
  <c r="X871" i="6"/>
  <c r="X870" i="6"/>
  <c r="X859" i="6"/>
  <c r="X855" i="6"/>
  <c r="X849" i="6"/>
  <c r="X845" i="6"/>
  <c r="X843" i="6"/>
  <c r="X840" i="6"/>
  <c r="X832" i="6"/>
  <c r="X830" i="6"/>
  <c r="X829" i="6"/>
  <c r="X814" i="6"/>
  <c r="X809" i="6"/>
  <c r="X808" i="6"/>
  <c r="X807" i="6"/>
  <c r="X804" i="6"/>
  <c r="X800" i="6"/>
  <c r="X797" i="6"/>
  <c r="X793" i="6"/>
  <c r="X792" i="6"/>
  <c r="X787" i="6"/>
  <c r="X785" i="6"/>
  <c r="X784" i="6"/>
  <c r="X781" i="6"/>
  <c r="X778" i="6"/>
  <c r="X777" i="6"/>
  <c r="X765" i="6"/>
  <c r="X764" i="6"/>
  <c r="X756" i="6"/>
  <c r="X755" i="6"/>
  <c r="X753" i="6"/>
  <c r="X746" i="6"/>
  <c r="X743" i="6"/>
  <c r="X742" i="6"/>
  <c r="X737" i="6"/>
  <c r="X727" i="6"/>
  <c r="X714" i="6"/>
  <c r="X708" i="6"/>
  <c r="X700" i="6"/>
  <c r="X695" i="6"/>
  <c r="X694" i="6"/>
  <c r="X693" i="6"/>
  <c r="X674" i="6"/>
  <c r="X663" i="6"/>
  <c r="X658" i="6"/>
  <c r="X637" i="6"/>
  <c r="X636" i="6"/>
  <c r="X618" i="6"/>
  <c r="X617" i="6"/>
  <c r="X606" i="6"/>
  <c r="X592" i="6"/>
  <c r="X591" i="6"/>
  <c r="X581" i="6"/>
  <c r="X580" i="6"/>
  <c r="X578" i="6"/>
  <c r="X558" i="6"/>
  <c r="X522" i="6"/>
  <c r="X510" i="6"/>
  <c r="X509" i="6"/>
  <c r="X507" i="6"/>
  <c r="X503" i="6"/>
  <c r="X497" i="6"/>
  <c r="X495" i="6"/>
  <c r="X482" i="6"/>
  <c r="X479" i="6"/>
  <c r="X467" i="6"/>
  <c r="X303" i="6"/>
  <c r="X302" i="6"/>
  <c r="X294" i="6"/>
  <c r="X293" i="6"/>
  <c r="X292" i="6"/>
  <c r="X267" i="6"/>
  <c r="X266" i="6"/>
  <c r="X261" i="6"/>
  <c r="X251" i="6"/>
  <c r="X250" i="6"/>
  <c r="X245" i="6"/>
  <c r="X233" i="6"/>
  <c r="X232" i="6"/>
  <c r="X231" i="6"/>
  <c r="X228" i="6"/>
  <c r="X227" i="6"/>
  <c r="X195" i="6"/>
  <c r="X194" i="6"/>
  <c r="X193" i="6"/>
  <c r="X180" i="6"/>
  <c r="X179" i="6"/>
  <c r="X166" i="6"/>
  <c r="X163" i="6"/>
  <c r="X1003" i="6"/>
  <c r="X998" i="6"/>
  <c r="X995" i="6"/>
  <c r="X993" i="6"/>
  <c r="X990" i="6"/>
  <c r="X984" i="6"/>
  <c r="X978" i="6"/>
  <c r="X977" i="6"/>
  <c r="X975" i="6"/>
  <c r="X967" i="6"/>
  <c r="X960" i="6"/>
  <c r="X959" i="6"/>
  <c r="X954" i="6"/>
  <c r="X953" i="6"/>
  <c r="X952" i="6"/>
  <c r="X946" i="6"/>
  <c r="X938" i="6"/>
  <c r="X933" i="6"/>
  <c r="X928" i="6"/>
  <c r="X925" i="6"/>
  <c r="X923" i="6"/>
  <c r="X911" i="6"/>
  <c r="X909" i="6"/>
  <c r="X905" i="6"/>
  <c r="X901" i="6"/>
  <c r="X899" i="6"/>
  <c r="X894" i="6"/>
  <c r="X890" i="6"/>
  <c r="X888" i="6"/>
  <c r="X873" i="6"/>
  <c r="X869" i="6"/>
  <c r="X867" i="6"/>
  <c r="X865" i="6"/>
  <c r="X864" i="6"/>
  <c r="X862" i="6"/>
  <c r="X854" i="6"/>
  <c r="X851" i="6"/>
  <c r="X848" i="6"/>
  <c r="X842" i="6"/>
  <c r="X838" i="6"/>
  <c r="X836" i="6"/>
  <c r="X833" i="6"/>
  <c r="X828" i="6"/>
  <c r="X827" i="6"/>
  <c r="X822" i="6"/>
  <c r="X820" i="6"/>
  <c r="X819" i="6"/>
  <c r="X816" i="6"/>
  <c r="X812" i="6"/>
  <c r="X811" i="6"/>
  <c r="X802" i="6"/>
  <c r="X799" i="6"/>
  <c r="X791" i="6"/>
  <c r="X788" i="6"/>
  <c r="X786" i="6"/>
  <c r="X774" i="6"/>
  <c r="X771" i="6"/>
  <c r="X768" i="6"/>
  <c r="X767" i="6"/>
  <c r="X758" i="6"/>
  <c r="X757" i="6"/>
  <c r="X749" i="6"/>
  <c r="X732" i="6"/>
  <c r="X731" i="6"/>
  <c r="X730" i="6"/>
  <c r="X715" i="6"/>
  <c r="X698" i="6"/>
  <c r="X697" i="6"/>
  <c r="X696" i="6"/>
  <c r="X689" i="6"/>
  <c r="X688" i="6"/>
  <c r="X685" i="6"/>
  <c r="X684" i="6"/>
  <c r="X682" i="6"/>
  <c r="X681" i="6"/>
  <c r="X680" i="6"/>
  <c r="X678" i="6"/>
  <c r="X661" i="6"/>
  <c r="X659" i="6"/>
  <c r="X651" i="6"/>
  <c r="X650" i="6"/>
  <c r="X645" i="6"/>
  <c r="X635" i="6"/>
  <c r="X627" i="6"/>
  <c r="X621" i="6"/>
  <c r="X611" i="6"/>
  <c r="X601" i="6"/>
  <c r="X599" i="6"/>
  <c r="X587" i="6"/>
  <c r="X582" i="6"/>
  <c r="X579" i="6"/>
  <c r="X569" i="6"/>
  <c r="X568" i="6"/>
  <c r="X555" i="6"/>
  <c r="X552" i="6"/>
  <c r="X545" i="6"/>
  <c r="X541" i="6"/>
  <c r="X532" i="6"/>
  <c r="X529" i="6"/>
  <c r="X519" i="6"/>
  <c r="X516" i="6"/>
  <c r="X508" i="6"/>
  <c r="X505" i="6"/>
  <c r="X502" i="6"/>
  <c r="X501" i="6"/>
  <c r="X492" i="6"/>
  <c r="X491" i="6"/>
  <c r="X490" i="6"/>
  <c r="X489" i="6"/>
  <c r="X480" i="6"/>
  <c r="X478" i="6"/>
  <c r="X477" i="6"/>
  <c r="X470" i="6"/>
  <c r="X469" i="6"/>
  <c r="X468" i="6"/>
  <c r="X466" i="6"/>
  <c r="X465" i="6"/>
  <c r="X301" i="6"/>
  <c r="X300" i="6"/>
  <c r="X284" i="6"/>
  <c r="X280" i="6"/>
  <c r="X270" i="6"/>
  <c r="X230" i="6"/>
  <c r="X222" i="6"/>
  <c r="X216" i="6"/>
  <c r="X214" i="6"/>
  <c r="X212" i="6"/>
  <c r="X211" i="6"/>
  <c r="X1006" i="6"/>
  <c r="X1005" i="6"/>
  <c r="X1002" i="6"/>
  <c r="X1001" i="6"/>
  <c r="X991" i="6"/>
  <c r="X989" i="6"/>
  <c r="X979" i="6"/>
  <c r="X973" i="6"/>
  <c r="X970" i="6"/>
  <c r="X969" i="6"/>
  <c r="X965" i="6"/>
  <c r="X963" i="6"/>
  <c r="X958" i="6"/>
  <c r="X956" i="6"/>
  <c r="X950" i="6"/>
  <c r="X947" i="6"/>
  <c r="X937" i="6"/>
  <c r="X930" i="6"/>
  <c r="X927" i="6"/>
  <c r="X926" i="6"/>
  <c r="X922" i="6"/>
  <c r="X920" i="6"/>
  <c r="X918" i="6"/>
  <c r="X915" i="6"/>
  <c r="X913" i="6"/>
  <c r="X908" i="6"/>
  <c r="X907" i="6"/>
  <c r="X902" i="6"/>
  <c r="X896" i="6"/>
  <c r="X887" i="6"/>
  <c r="X883" i="6"/>
  <c r="X882" i="6"/>
  <c r="X880" i="6"/>
  <c r="X875" i="6"/>
  <c r="X872" i="6"/>
  <c r="X866" i="6"/>
  <c r="X863" i="6"/>
  <c r="X861" i="6"/>
  <c r="X860" i="6"/>
  <c r="X857" i="6"/>
  <c r="X852" i="6"/>
  <c r="X850" i="6"/>
  <c r="X847" i="6"/>
  <c r="X846" i="6"/>
  <c r="X844" i="6"/>
  <c r="X841" i="6"/>
  <c r="X839" i="6"/>
  <c r="X837" i="6"/>
  <c r="X834" i="6"/>
  <c r="X825" i="6"/>
  <c r="X823" i="6"/>
  <c r="X817" i="6"/>
  <c r="X813" i="6"/>
  <c r="X803" i="6"/>
  <c r="X795" i="6"/>
  <c r="X782" i="6"/>
  <c r="X780" i="6"/>
  <c r="X779" i="6"/>
  <c r="X773" i="6"/>
  <c r="X770" i="6"/>
  <c r="X762" i="6"/>
  <c r="X761" i="6"/>
  <c r="X760" i="6"/>
  <c r="X752" i="6"/>
  <c r="X744" i="6"/>
  <c r="X736" i="6"/>
  <c r="X735" i="6"/>
  <c r="X729" i="6"/>
  <c r="X728" i="6"/>
  <c r="X726" i="6"/>
  <c r="X725" i="6"/>
  <c r="X720" i="6"/>
  <c r="X719" i="6"/>
  <c r="X713" i="6"/>
  <c r="X712" i="6"/>
  <c r="X711" i="6"/>
  <c r="X710" i="6"/>
  <c r="X707" i="6"/>
  <c r="X704" i="6"/>
  <c r="X703" i="6"/>
  <c r="X702" i="6"/>
  <c r="X692" i="6"/>
  <c r="X690" i="6"/>
  <c r="X665" i="6"/>
  <c r="X649" i="6"/>
  <c r="X648" i="6"/>
  <c r="X647" i="6"/>
  <c r="X643" i="6"/>
  <c r="X642" i="6"/>
  <c r="X638" i="6"/>
  <c r="X622" i="6"/>
  <c r="X619" i="6"/>
  <c r="X615" i="6"/>
  <c r="X614" i="6"/>
  <c r="X610" i="6"/>
  <c r="X609" i="6"/>
  <c r="X598" i="6"/>
  <c r="X590" i="6"/>
  <c r="X589" i="6"/>
  <c r="X570" i="6"/>
  <c r="X567" i="6"/>
  <c r="X559" i="6"/>
  <c r="X553" i="6"/>
  <c r="X550" i="6"/>
  <c r="X549" i="6"/>
  <c r="X548" i="6"/>
  <c r="X547" i="6"/>
  <c r="X543" i="6"/>
  <c r="X538" i="6"/>
  <c r="X537" i="6"/>
  <c r="X533" i="6"/>
  <c r="X520" i="6"/>
  <c r="X517" i="6"/>
  <c r="X514" i="6"/>
  <c r="X483" i="6"/>
  <c r="X472" i="6"/>
  <c r="X316" i="6"/>
  <c r="X313" i="6"/>
  <c r="X310" i="6"/>
  <c r="X309" i="6"/>
  <c r="X307" i="6"/>
  <c r="X290" i="6"/>
  <c r="X283" i="6"/>
  <c r="X281" i="6"/>
  <c r="X273" i="6"/>
  <c r="X268" i="6"/>
  <c r="X265" i="6"/>
  <c r="X264" i="6"/>
  <c r="X263" i="6"/>
  <c r="X260" i="6"/>
  <c r="X256" i="6"/>
  <c r="X255" i="6"/>
  <c r="X249" i="6"/>
  <c r="X248" i="6"/>
  <c r="X242" i="6"/>
  <c r="X238" i="6"/>
  <c r="X237" i="6"/>
  <c r="X235" i="6"/>
  <c r="X234" i="6"/>
  <c r="X220" i="6"/>
  <c r="X217" i="6"/>
  <c r="X213" i="6"/>
  <c r="X201" i="6"/>
  <c r="X192" i="6"/>
  <c r="X186" i="6"/>
  <c r="X185" i="6"/>
  <c r="X184" i="6"/>
  <c r="X183" i="6"/>
  <c r="X181" i="6"/>
  <c r="X159" i="6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222" i="1"/>
  <c r="W223" i="1"/>
  <c r="W224" i="1"/>
  <c r="W229" i="1"/>
  <c r="W228" i="1"/>
  <c r="W225" i="1"/>
  <c r="W227" i="1"/>
  <c r="W226" i="1"/>
  <c r="W230" i="1"/>
  <c r="W233" i="1"/>
  <c r="W231" i="1"/>
  <c r="W232" i="1"/>
  <c r="W237" i="1"/>
  <c r="W235" i="1"/>
  <c r="W239" i="1"/>
  <c r="W234" i="1"/>
  <c r="W238" i="1"/>
  <c r="W236" i="1"/>
  <c r="W243" i="1"/>
  <c r="W242" i="1"/>
  <c r="W248" i="1"/>
  <c r="W241" i="1"/>
  <c r="W240" i="1"/>
  <c r="W247" i="1"/>
  <c r="W246" i="1"/>
  <c r="W244" i="1"/>
  <c r="W245" i="1"/>
  <c r="W256" i="1"/>
  <c r="W255" i="1"/>
  <c r="W253" i="1"/>
  <c r="W254" i="1"/>
  <c r="W252" i="1"/>
  <c r="W251" i="1"/>
  <c r="W250" i="1"/>
  <c r="W249" i="1"/>
  <c r="AC5" i="3"/>
  <c r="G2" i="3" s="1"/>
  <c r="S1007" i="1"/>
  <c r="T1007" i="1"/>
  <c r="U1007" i="1"/>
  <c r="V1007" i="1"/>
  <c r="S1006" i="1"/>
  <c r="T1006" i="1"/>
  <c r="U1006" i="1"/>
  <c r="V1006" i="1"/>
  <c r="S1005" i="1"/>
  <c r="T1005" i="1"/>
  <c r="U1005" i="1"/>
  <c r="V1005" i="1"/>
  <c r="S1004" i="1"/>
  <c r="T1004" i="1"/>
  <c r="U1004" i="1"/>
  <c r="V1004" i="1"/>
  <c r="S1003" i="1"/>
  <c r="T1003" i="1"/>
  <c r="U1003" i="1"/>
  <c r="V1003" i="1"/>
  <c r="S1002" i="1"/>
  <c r="T1002" i="1"/>
  <c r="U1002" i="1"/>
  <c r="V1002" i="1"/>
  <c r="S1001" i="1"/>
  <c r="T1001" i="1"/>
  <c r="U1001" i="1"/>
  <c r="V1001" i="1"/>
  <c r="S1000" i="1"/>
  <c r="T1000" i="1"/>
  <c r="U1000" i="1"/>
  <c r="V1000" i="1"/>
  <c r="S999" i="1"/>
  <c r="T999" i="1"/>
  <c r="U999" i="1"/>
  <c r="V999" i="1"/>
  <c r="S998" i="1"/>
  <c r="T998" i="1"/>
  <c r="U998" i="1"/>
  <c r="V998" i="1"/>
  <c r="S997" i="1"/>
  <c r="T997" i="1"/>
  <c r="U997" i="1"/>
  <c r="V997" i="1"/>
  <c r="S996" i="1"/>
  <c r="T996" i="1"/>
  <c r="U996" i="1"/>
  <c r="V996" i="1"/>
  <c r="S995" i="1"/>
  <c r="T995" i="1"/>
  <c r="U995" i="1"/>
  <c r="V995" i="1"/>
  <c r="S994" i="1"/>
  <c r="T994" i="1"/>
  <c r="U994" i="1"/>
  <c r="V994" i="1"/>
  <c r="S993" i="1"/>
  <c r="T993" i="1"/>
  <c r="U993" i="1"/>
  <c r="V993" i="1"/>
  <c r="S992" i="1"/>
  <c r="T992" i="1"/>
  <c r="U992" i="1"/>
  <c r="V992" i="1"/>
  <c r="S991" i="1"/>
  <c r="T991" i="1"/>
  <c r="U991" i="1"/>
  <c r="V991" i="1"/>
  <c r="S990" i="1"/>
  <c r="T990" i="1"/>
  <c r="U990" i="1"/>
  <c r="V990" i="1"/>
  <c r="S989" i="1"/>
  <c r="T989" i="1"/>
  <c r="U989" i="1"/>
  <c r="V989" i="1"/>
  <c r="S988" i="1"/>
  <c r="T988" i="1"/>
  <c r="U988" i="1"/>
  <c r="V988" i="1"/>
  <c r="S987" i="1"/>
  <c r="T987" i="1"/>
  <c r="U987" i="1"/>
  <c r="V987" i="1"/>
  <c r="S986" i="1"/>
  <c r="T986" i="1"/>
  <c r="U986" i="1"/>
  <c r="V986" i="1"/>
  <c r="S985" i="1"/>
  <c r="T985" i="1"/>
  <c r="U985" i="1"/>
  <c r="V985" i="1"/>
  <c r="S984" i="1"/>
  <c r="T984" i="1"/>
  <c r="U984" i="1"/>
  <c r="V984" i="1"/>
  <c r="S983" i="1"/>
  <c r="T983" i="1"/>
  <c r="U983" i="1"/>
  <c r="V983" i="1"/>
  <c r="S982" i="1"/>
  <c r="T982" i="1"/>
  <c r="U982" i="1"/>
  <c r="V982" i="1"/>
  <c r="S981" i="1"/>
  <c r="T981" i="1"/>
  <c r="U981" i="1"/>
  <c r="V981" i="1"/>
  <c r="S980" i="1"/>
  <c r="T980" i="1"/>
  <c r="U980" i="1"/>
  <c r="V980" i="1"/>
  <c r="S979" i="1"/>
  <c r="T979" i="1"/>
  <c r="U979" i="1"/>
  <c r="V979" i="1"/>
  <c r="S978" i="1"/>
  <c r="T978" i="1"/>
  <c r="U978" i="1"/>
  <c r="V978" i="1"/>
  <c r="S977" i="1"/>
  <c r="T977" i="1"/>
  <c r="U977" i="1"/>
  <c r="V977" i="1"/>
  <c r="S976" i="1"/>
  <c r="T976" i="1"/>
  <c r="U976" i="1"/>
  <c r="V976" i="1"/>
  <c r="S975" i="1"/>
  <c r="T975" i="1"/>
  <c r="U975" i="1"/>
  <c r="V975" i="1"/>
  <c r="S974" i="1"/>
  <c r="T974" i="1"/>
  <c r="U974" i="1"/>
  <c r="V974" i="1"/>
  <c r="S973" i="1"/>
  <c r="T973" i="1"/>
  <c r="U973" i="1"/>
  <c r="V973" i="1"/>
  <c r="S972" i="1"/>
  <c r="T972" i="1"/>
  <c r="U972" i="1"/>
  <c r="V972" i="1"/>
  <c r="S971" i="1"/>
  <c r="T971" i="1"/>
  <c r="U971" i="1"/>
  <c r="V971" i="1"/>
  <c r="S970" i="1"/>
  <c r="T970" i="1"/>
  <c r="U970" i="1"/>
  <c r="V970" i="1"/>
  <c r="S969" i="1"/>
  <c r="T969" i="1"/>
  <c r="U969" i="1"/>
  <c r="V969" i="1"/>
  <c r="S968" i="1"/>
  <c r="T968" i="1"/>
  <c r="U968" i="1"/>
  <c r="V968" i="1"/>
  <c r="S967" i="1"/>
  <c r="T967" i="1"/>
  <c r="U967" i="1"/>
  <c r="V967" i="1"/>
  <c r="S966" i="1"/>
  <c r="T966" i="1"/>
  <c r="U966" i="1"/>
  <c r="V966" i="1"/>
  <c r="S965" i="1"/>
  <c r="T965" i="1"/>
  <c r="U965" i="1"/>
  <c r="V965" i="1"/>
  <c r="S964" i="1"/>
  <c r="T964" i="1"/>
  <c r="U964" i="1"/>
  <c r="V964" i="1"/>
  <c r="S963" i="1"/>
  <c r="T963" i="1"/>
  <c r="U963" i="1"/>
  <c r="V963" i="1"/>
  <c r="S962" i="1"/>
  <c r="T962" i="1"/>
  <c r="U962" i="1"/>
  <c r="V962" i="1"/>
  <c r="S961" i="1"/>
  <c r="T961" i="1"/>
  <c r="U961" i="1"/>
  <c r="V961" i="1"/>
  <c r="S960" i="1"/>
  <c r="T960" i="1"/>
  <c r="U960" i="1"/>
  <c r="V960" i="1"/>
  <c r="S959" i="1"/>
  <c r="T959" i="1"/>
  <c r="U959" i="1"/>
  <c r="V959" i="1"/>
  <c r="S958" i="1"/>
  <c r="T958" i="1"/>
  <c r="U958" i="1"/>
  <c r="V958" i="1"/>
  <c r="S957" i="1"/>
  <c r="T957" i="1"/>
  <c r="U957" i="1"/>
  <c r="V957" i="1"/>
  <c r="S956" i="1"/>
  <c r="T956" i="1"/>
  <c r="U956" i="1"/>
  <c r="V956" i="1"/>
  <c r="S955" i="1"/>
  <c r="T955" i="1"/>
  <c r="U955" i="1"/>
  <c r="V955" i="1"/>
  <c r="S954" i="1"/>
  <c r="T954" i="1"/>
  <c r="U954" i="1"/>
  <c r="V954" i="1"/>
  <c r="S953" i="1"/>
  <c r="T953" i="1"/>
  <c r="U953" i="1"/>
  <c r="V953" i="1"/>
  <c r="S952" i="1"/>
  <c r="T952" i="1"/>
  <c r="U952" i="1"/>
  <c r="V952" i="1"/>
  <c r="S951" i="1"/>
  <c r="T951" i="1"/>
  <c r="U951" i="1"/>
  <c r="V951" i="1"/>
  <c r="S950" i="1"/>
  <c r="T950" i="1"/>
  <c r="U950" i="1"/>
  <c r="V950" i="1"/>
  <c r="S949" i="1"/>
  <c r="T949" i="1"/>
  <c r="U949" i="1"/>
  <c r="V949" i="1"/>
  <c r="S948" i="1"/>
  <c r="T948" i="1"/>
  <c r="U948" i="1"/>
  <c r="V948" i="1"/>
  <c r="S947" i="1"/>
  <c r="T947" i="1"/>
  <c r="U947" i="1"/>
  <c r="V947" i="1"/>
  <c r="S946" i="1"/>
  <c r="T946" i="1"/>
  <c r="U946" i="1"/>
  <c r="V946" i="1"/>
  <c r="S945" i="1"/>
  <c r="T945" i="1"/>
  <c r="U945" i="1"/>
  <c r="V945" i="1"/>
  <c r="S944" i="1"/>
  <c r="T944" i="1"/>
  <c r="U944" i="1"/>
  <c r="V944" i="1"/>
  <c r="S943" i="1"/>
  <c r="T943" i="1"/>
  <c r="U943" i="1"/>
  <c r="V943" i="1"/>
  <c r="S942" i="1"/>
  <c r="T942" i="1"/>
  <c r="U942" i="1"/>
  <c r="V942" i="1"/>
  <c r="S941" i="1"/>
  <c r="T941" i="1"/>
  <c r="U941" i="1"/>
  <c r="V941" i="1"/>
  <c r="S940" i="1"/>
  <c r="T940" i="1"/>
  <c r="U940" i="1"/>
  <c r="V940" i="1"/>
  <c r="S939" i="1"/>
  <c r="T939" i="1"/>
  <c r="U939" i="1"/>
  <c r="V939" i="1"/>
  <c r="S938" i="1"/>
  <c r="T938" i="1"/>
  <c r="U938" i="1"/>
  <c r="V938" i="1"/>
  <c r="S937" i="1"/>
  <c r="T937" i="1"/>
  <c r="U937" i="1"/>
  <c r="V937" i="1"/>
  <c r="S936" i="1"/>
  <c r="T936" i="1"/>
  <c r="U936" i="1"/>
  <c r="V936" i="1"/>
  <c r="S935" i="1"/>
  <c r="T935" i="1"/>
  <c r="U935" i="1"/>
  <c r="V935" i="1"/>
  <c r="S934" i="1"/>
  <c r="T934" i="1"/>
  <c r="U934" i="1"/>
  <c r="V934" i="1"/>
  <c r="S933" i="1"/>
  <c r="T933" i="1"/>
  <c r="U933" i="1"/>
  <c r="V933" i="1"/>
  <c r="S932" i="1"/>
  <c r="T932" i="1"/>
  <c r="U932" i="1"/>
  <c r="V932" i="1"/>
  <c r="S931" i="1"/>
  <c r="T931" i="1"/>
  <c r="U931" i="1"/>
  <c r="V931" i="1"/>
  <c r="S930" i="1"/>
  <c r="T930" i="1"/>
  <c r="U930" i="1"/>
  <c r="V930" i="1"/>
  <c r="S929" i="1"/>
  <c r="T929" i="1"/>
  <c r="U929" i="1"/>
  <c r="V929" i="1"/>
  <c r="S928" i="1"/>
  <c r="T928" i="1"/>
  <c r="U928" i="1"/>
  <c r="V928" i="1"/>
  <c r="S927" i="1"/>
  <c r="T927" i="1"/>
  <c r="U927" i="1"/>
  <c r="V927" i="1"/>
  <c r="S926" i="1"/>
  <c r="T926" i="1"/>
  <c r="U926" i="1"/>
  <c r="V926" i="1"/>
  <c r="S925" i="1"/>
  <c r="T925" i="1"/>
  <c r="U925" i="1"/>
  <c r="V925" i="1"/>
  <c r="S924" i="1"/>
  <c r="T924" i="1"/>
  <c r="U924" i="1"/>
  <c r="V924" i="1"/>
  <c r="S923" i="1"/>
  <c r="T923" i="1"/>
  <c r="U923" i="1"/>
  <c r="V923" i="1"/>
  <c r="S922" i="1"/>
  <c r="T922" i="1"/>
  <c r="U922" i="1"/>
  <c r="V922" i="1"/>
  <c r="S921" i="1"/>
  <c r="T921" i="1"/>
  <c r="U921" i="1"/>
  <c r="V921" i="1"/>
  <c r="S920" i="1"/>
  <c r="T920" i="1"/>
  <c r="U920" i="1"/>
  <c r="V920" i="1"/>
  <c r="S919" i="1"/>
  <c r="T919" i="1"/>
  <c r="U919" i="1"/>
  <c r="V919" i="1"/>
  <c r="S918" i="1"/>
  <c r="T918" i="1"/>
  <c r="U918" i="1"/>
  <c r="V918" i="1"/>
  <c r="S917" i="1"/>
  <c r="T917" i="1"/>
  <c r="U917" i="1"/>
  <c r="V917" i="1"/>
  <c r="S916" i="1"/>
  <c r="T916" i="1"/>
  <c r="U916" i="1"/>
  <c r="V916" i="1"/>
  <c r="S915" i="1"/>
  <c r="T915" i="1"/>
  <c r="U915" i="1"/>
  <c r="V915" i="1"/>
  <c r="S914" i="1"/>
  <c r="T914" i="1"/>
  <c r="U914" i="1"/>
  <c r="V914" i="1"/>
  <c r="S913" i="1"/>
  <c r="T913" i="1"/>
  <c r="U913" i="1"/>
  <c r="V913" i="1"/>
  <c r="S912" i="1"/>
  <c r="T912" i="1"/>
  <c r="U912" i="1"/>
  <c r="V912" i="1"/>
  <c r="S911" i="1"/>
  <c r="T911" i="1"/>
  <c r="U911" i="1"/>
  <c r="V911" i="1"/>
  <c r="S910" i="1"/>
  <c r="T910" i="1"/>
  <c r="U910" i="1"/>
  <c r="V910" i="1"/>
  <c r="S909" i="1"/>
  <c r="T909" i="1"/>
  <c r="U909" i="1"/>
  <c r="V909" i="1"/>
  <c r="S908" i="1"/>
  <c r="T908" i="1"/>
  <c r="U908" i="1"/>
  <c r="V908" i="1"/>
  <c r="S907" i="1"/>
  <c r="T907" i="1"/>
  <c r="U907" i="1"/>
  <c r="V907" i="1"/>
  <c r="S906" i="1"/>
  <c r="T906" i="1"/>
  <c r="U906" i="1"/>
  <c r="V906" i="1"/>
  <c r="S905" i="1"/>
  <c r="T905" i="1"/>
  <c r="U905" i="1"/>
  <c r="V905" i="1"/>
  <c r="S904" i="1"/>
  <c r="T904" i="1"/>
  <c r="U904" i="1"/>
  <c r="V904" i="1"/>
  <c r="S903" i="1"/>
  <c r="T903" i="1"/>
  <c r="U903" i="1"/>
  <c r="V903" i="1"/>
  <c r="S902" i="1"/>
  <c r="T902" i="1"/>
  <c r="U902" i="1"/>
  <c r="V902" i="1"/>
  <c r="S901" i="1"/>
  <c r="T901" i="1"/>
  <c r="U901" i="1"/>
  <c r="V901" i="1"/>
  <c r="S900" i="1"/>
  <c r="T900" i="1"/>
  <c r="U900" i="1"/>
  <c r="V900" i="1"/>
  <c r="S899" i="1"/>
  <c r="T899" i="1"/>
  <c r="U899" i="1"/>
  <c r="V899" i="1"/>
  <c r="S898" i="1"/>
  <c r="T898" i="1"/>
  <c r="U898" i="1"/>
  <c r="V898" i="1"/>
  <c r="S897" i="1"/>
  <c r="T897" i="1"/>
  <c r="U897" i="1"/>
  <c r="V897" i="1"/>
  <c r="S896" i="1"/>
  <c r="T896" i="1"/>
  <c r="U896" i="1"/>
  <c r="V896" i="1"/>
  <c r="S895" i="1"/>
  <c r="T895" i="1"/>
  <c r="U895" i="1"/>
  <c r="V895" i="1"/>
  <c r="S894" i="1"/>
  <c r="T894" i="1"/>
  <c r="U894" i="1"/>
  <c r="V894" i="1"/>
  <c r="S893" i="1"/>
  <c r="T893" i="1"/>
  <c r="U893" i="1"/>
  <c r="V893" i="1"/>
  <c r="S892" i="1"/>
  <c r="T892" i="1"/>
  <c r="U892" i="1"/>
  <c r="V892" i="1"/>
  <c r="S891" i="1"/>
  <c r="T891" i="1"/>
  <c r="U891" i="1"/>
  <c r="V891" i="1"/>
  <c r="S890" i="1"/>
  <c r="T890" i="1"/>
  <c r="U890" i="1"/>
  <c r="V890" i="1"/>
  <c r="S889" i="1"/>
  <c r="T889" i="1"/>
  <c r="U889" i="1"/>
  <c r="V889" i="1"/>
  <c r="S888" i="1"/>
  <c r="T888" i="1"/>
  <c r="U888" i="1"/>
  <c r="V888" i="1"/>
  <c r="S887" i="1"/>
  <c r="T887" i="1"/>
  <c r="U887" i="1"/>
  <c r="V887" i="1"/>
  <c r="S886" i="1"/>
  <c r="T886" i="1"/>
  <c r="U886" i="1"/>
  <c r="V886" i="1"/>
  <c r="S885" i="1"/>
  <c r="T885" i="1"/>
  <c r="U885" i="1"/>
  <c r="V885" i="1"/>
  <c r="S884" i="1"/>
  <c r="T884" i="1"/>
  <c r="U884" i="1"/>
  <c r="V884" i="1"/>
  <c r="S883" i="1"/>
  <c r="T883" i="1"/>
  <c r="U883" i="1"/>
  <c r="V883" i="1"/>
  <c r="S882" i="1"/>
  <c r="T882" i="1"/>
  <c r="U882" i="1"/>
  <c r="V882" i="1"/>
  <c r="S881" i="1"/>
  <c r="T881" i="1"/>
  <c r="U881" i="1"/>
  <c r="V881" i="1"/>
  <c r="S880" i="1"/>
  <c r="T880" i="1"/>
  <c r="U880" i="1"/>
  <c r="V880" i="1"/>
  <c r="S879" i="1"/>
  <c r="T879" i="1"/>
  <c r="U879" i="1"/>
  <c r="V879" i="1"/>
  <c r="S878" i="1"/>
  <c r="T878" i="1"/>
  <c r="U878" i="1"/>
  <c r="V878" i="1"/>
  <c r="S877" i="1"/>
  <c r="T877" i="1"/>
  <c r="U877" i="1"/>
  <c r="V877" i="1"/>
  <c r="S876" i="1"/>
  <c r="T876" i="1"/>
  <c r="U876" i="1"/>
  <c r="V876" i="1"/>
  <c r="S875" i="1"/>
  <c r="T875" i="1"/>
  <c r="U875" i="1"/>
  <c r="V875" i="1"/>
  <c r="S874" i="1"/>
  <c r="T874" i="1"/>
  <c r="U874" i="1"/>
  <c r="V874" i="1"/>
  <c r="S873" i="1"/>
  <c r="T873" i="1"/>
  <c r="U873" i="1"/>
  <c r="V873" i="1"/>
  <c r="S872" i="1"/>
  <c r="T872" i="1"/>
  <c r="U872" i="1"/>
  <c r="V872" i="1"/>
  <c r="S871" i="1"/>
  <c r="T871" i="1"/>
  <c r="U871" i="1"/>
  <c r="V871" i="1"/>
  <c r="S870" i="1"/>
  <c r="T870" i="1"/>
  <c r="U870" i="1"/>
  <c r="V870" i="1"/>
  <c r="S869" i="1"/>
  <c r="T869" i="1"/>
  <c r="U869" i="1"/>
  <c r="V869" i="1"/>
  <c r="S868" i="1"/>
  <c r="T868" i="1"/>
  <c r="U868" i="1"/>
  <c r="V868" i="1"/>
  <c r="S867" i="1"/>
  <c r="T867" i="1"/>
  <c r="U867" i="1"/>
  <c r="V867" i="1"/>
  <c r="S866" i="1"/>
  <c r="T866" i="1"/>
  <c r="U866" i="1"/>
  <c r="V866" i="1"/>
  <c r="S865" i="1"/>
  <c r="T865" i="1"/>
  <c r="U865" i="1"/>
  <c r="V865" i="1"/>
  <c r="S864" i="1"/>
  <c r="T864" i="1"/>
  <c r="U864" i="1"/>
  <c r="V864" i="1"/>
  <c r="S863" i="1"/>
  <c r="T863" i="1"/>
  <c r="U863" i="1"/>
  <c r="V863" i="1"/>
  <c r="S862" i="1"/>
  <c r="T862" i="1"/>
  <c r="U862" i="1"/>
  <c r="V862" i="1"/>
  <c r="S861" i="1"/>
  <c r="T861" i="1"/>
  <c r="U861" i="1"/>
  <c r="V861" i="1"/>
  <c r="S860" i="1"/>
  <c r="T860" i="1"/>
  <c r="U860" i="1"/>
  <c r="V860" i="1"/>
  <c r="S859" i="1"/>
  <c r="T859" i="1"/>
  <c r="U859" i="1"/>
  <c r="V859" i="1"/>
  <c r="S858" i="1"/>
  <c r="T858" i="1"/>
  <c r="U858" i="1"/>
  <c r="V858" i="1"/>
  <c r="S857" i="1"/>
  <c r="T857" i="1"/>
  <c r="U857" i="1"/>
  <c r="V857" i="1"/>
  <c r="S856" i="1"/>
  <c r="T856" i="1"/>
  <c r="U856" i="1"/>
  <c r="V856" i="1"/>
  <c r="S855" i="1"/>
  <c r="T855" i="1"/>
  <c r="U855" i="1"/>
  <c r="V855" i="1"/>
  <c r="S854" i="1"/>
  <c r="T854" i="1"/>
  <c r="U854" i="1"/>
  <c r="V854" i="1"/>
  <c r="S853" i="1"/>
  <c r="T853" i="1"/>
  <c r="U853" i="1"/>
  <c r="V853" i="1"/>
  <c r="S852" i="1"/>
  <c r="T852" i="1"/>
  <c r="U852" i="1"/>
  <c r="V852" i="1"/>
  <c r="S851" i="1"/>
  <c r="T851" i="1"/>
  <c r="U851" i="1"/>
  <c r="V851" i="1"/>
  <c r="S850" i="1"/>
  <c r="T850" i="1"/>
  <c r="U850" i="1"/>
  <c r="V850" i="1"/>
  <c r="S849" i="1"/>
  <c r="T849" i="1"/>
  <c r="U849" i="1"/>
  <c r="V849" i="1"/>
  <c r="S848" i="1"/>
  <c r="T848" i="1"/>
  <c r="U848" i="1"/>
  <c r="V848" i="1"/>
  <c r="S847" i="1"/>
  <c r="T847" i="1"/>
  <c r="U847" i="1"/>
  <c r="V847" i="1"/>
  <c r="S846" i="1"/>
  <c r="T846" i="1"/>
  <c r="U846" i="1"/>
  <c r="V846" i="1"/>
  <c r="S845" i="1"/>
  <c r="T845" i="1"/>
  <c r="U845" i="1"/>
  <c r="V845" i="1"/>
  <c r="S844" i="1"/>
  <c r="T844" i="1"/>
  <c r="U844" i="1"/>
  <c r="V844" i="1"/>
  <c r="S843" i="1"/>
  <c r="T843" i="1"/>
  <c r="U843" i="1"/>
  <c r="V843" i="1"/>
  <c r="S842" i="1"/>
  <c r="T842" i="1"/>
  <c r="U842" i="1"/>
  <c r="V842" i="1"/>
  <c r="S841" i="1"/>
  <c r="T841" i="1"/>
  <c r="U841" i="1"/>
  <c r="V841" i="1"/>
  <c r="S840" i="1"/>
  <c r="T840" i="1"/>
  <c r="U840" i="1"/>
  <c r="V840" i="1"/>
  <c r="S839" i="1"/>
  <c r="T839" i="1"/>
  <c r="U839" i="1"/>
  <c r="V839" i="1"/>
  <c r="S838" i="1"/>
  <c r="T838" i="1"/>
  <c r="U838" i="1"/>
  <c r="V838" i="1"/>
  <c r="S837" i="1"/>
  <c r="T837" i="1"/>
  <c r="U837" i="1"/>
  <c r="V837" i="1"/>
  <c r="S836" i="1"/>
  <c r="T836" i="1"/>
  <c r="U836" i="1"/>
  <c r="V836" i="1"/>
  <c r="S835" i="1"/>
  <c r="T835" i="1"/>
  <c r="U835" i="1"/>
  <c r="V835" i="1"/>
  <c r="S834" i="1"/>
  <c r="T834" i="1"/>
  <c r="U834" i="1"/>
  <c r="V834" i="1"/>
  <c r="S833" i="1"/>
  <c r="T833" i="1"/>
  <c r="U833" i="1"/>
  <c r="V833" i="1"/>
  <c r="S832" i="1"/>
  <c r="T832" i="1"/>
  <c r="U832" i="1"/>
  <c r="V832" i="1"/>
  <c r="S831" i="1"/>
  <c r="T831" i="1"/>
  <c r="U831" i="1"/>
  <c r="V831" i="1"/>
  <c r="S830" i="1"/>
  <c r="T830" i="1"/>
  <c r="U830" i="1"/>
  <c r="V830" i="1"/>
  <c r="S829" i="1"/>
  <c r="T829" i="1"/>
  <c r="U829" i="1"/>
  <c r="V829" i="1"/>
  <c r="S828" i="1"/>
  <c r="T828" i="1"/>
  <c r="U828" i="1"/>
  <c r="V828" i="1"/>
  <c r="S827" i="1"/>
  <c r="T827" i="1"/>
  <c r="U827" i="1"/>
  <c r="V827" i="1"/>
  <c r="S826" i="1"/>
  <c r="T826" i="1"/>
  <c r="U826" i="1"/>
  <c r="V826" i="1"/>
  <c r="S825" i="1"/>
  <c r="T825" i="1"/>
  <c r="U825" i="1"/>
  <c r="V825" i="1"/>
  <c r="S824" i="1"/>
  <c r="T824" i="1"/>
  <c r="U824" i="1"/>
  <c r="V824" i="1"/>
  <c r="S823" i="1"/>
  <c r="T823" i="1"/>
  <c r="U823" i="1"/>
  <c r="V823" i="1"/>
  <c r="S822" i="1"/>
  <c r="T822" i="1"/>
  <c r="U822" i="1"/>
  <c r="V822" i="1"/>
  <c r="S821" i="1"/>
  <c r="T821" i="1"/>
  <c r="U821" i="1"/>
  <c r="V821" i="1"/>
  <c r="S820" i="1"/>
  <c r="T820" i="1"/>
  <c r="U820" i="1"/>
  <c r="V820" i="1"/>
  <c r="S819" i="1"/>
  <c r="T819" i="1"/>
  <c r="U819" i="1"/>
  <c r="V819" i="1"/>
  <c r="S818" i="1"/>
  <c r="T818" i="1"/>
  <c r="U818" i="1"/>
  <c r="V818" i="1"/>
  <c r="S817" i="1"/>
  <c r="T817" i="1"/>
  <c r="U817" i="1"/>
  <c r="V817" i="1"/>
  <c r="S816" i="1"/>
  <c r="T816" i="1"/>
  <c r="U816" i="1"/>
  <c r="V816" i="1"/>
  <c r="S815" i="1"/>
  <c r="T815" i="1"/>
  <c r="U815" i="1"/>
  <c r="V815" i="1"/>
  <c r="S814" i="1"/>
  <c r="T814" i="1"/>
  <c r="U814" i="1"/>
  <c r="V814" i="1"/>
  <c r="S813" i="1"/>
  <c r="T813" i="1"/>
  <c r="U813" i="1"/>
  <c r="V813" i="1"/>
  <c r="S812" i="1"/>
  <c r="T812" i="1"/>
  <c r="U812" i="1"/>
  <c r="V812" i="1"/>
  <c r="S811" i="1"/>
  <c r="T811" i="1"/>
  <c r="U811" i="1"/>
  <c r="V811" i="1"/>
  <c r="S810" i="1"/>
  <c r="T810" i="1"/>
  <c r="U810" i="1"/>
  <c r="V810" i="1"/>
  <c r="S809" i="1"/>
  <c r="T809" i="1"/>
  <c r="U809" i="1"/>
  <c r="V809" i="1"/>
  <c r="S808" i="1"/>
  <c r="T808" i="1"/>
  <c r="U808" i="1"/>
  <c r="V808" i="1"/>
  <c r="S807" i="1"/>
  <c r="T807" i="1"/>
  <c r="U807" i="1"/>
  <c r="V807" i="1"/>
  <c r="S806" i="1"/>
  <c r="T806" i="1"/>
  <c r="U806" i="1"/>
  <c r="V806" i="1"/>
  <c r="S805" i="1"/>
  <c r="T805" i="1"/>
  <c r="U805" i="1"/>
  <c r="V805" i="1"/>
  <c r="S804" i="1"/>
  <c r="T804" i="1"/>
  <c r="U804" i="1"/>
  <c r="V804" i="1"/>
  <c r="S803" i="1"/>
  <c r="T803" i="1"/>
  <c r="U803" i="1"/>
  <c r="V803" i="1"/>
  <c r="S802" i="1"/>
  <c r="T802" i="1"/>
  <c r="U802" i="1"/>
  <c r="V802" i="1"/>
  <c r="S801" i="1"/>
  <c r="T801" i="1"/>
  <c r="U801" i="1"/>
  <c r="V801" i="1"/>
  <c r="S800" i="1"/>
  <c r="T800" i="1"/>
  <c r="U800" i="1"/>
  <c r="V800" i="1"/>
  <c r="S799" i="1"/>
  <c r="T799" i="1"/>
  <c r="U799" i="1"/>
  <c r="V799" i="1"/>
  <c r="S798" i="1"/>
  <c r="T798" i="1"/>
  <c r="U798" i="1"/>
  <c r="V798" i="1"/>
  <c r="S797" i="1"/>
  <c r="T797" i="1"/>
  <c r="U797" i="1"/>
  <c r="V797" i="1"/>
  <c r="S796" i="1"/>
  <c r="T796" i="1"/>
  <c r="U796" i="1"/>
  <c r="V796" i="1"/>
  <c r="S795" i="1"/>
  <c r="T795" i="1"/>
  <c r="U795" i="1"/>
  <c r="V795" i="1"/>
  <c r="S794" i="1"/>
  <c r="T794" i="1"/>
  <c r="U794" i="1"/>
  <c r="V794" i="1"/>
  <c r="S793" i="1"/>
  <c r="T793" i="1"/>
  <c r="U793" i="1"/>
  <c r="V793" i="1"/>
  <c r="S792" i="1"/>
  <c r="T792" i="1"/>
  <c r="U792" i="1"/>
  <c r="V792" i="1"/>
  <c r="S791" i="1"/>
  <c r="T791" i="1"/>
  <c r="U791" i="1"/>
  <c r="V791" i="1"/>
  <c r="S790" i="1"/>
  <c r="T790" i="1"/>
  <c r="U790" i="1"/>
  <c r="V790" i="1"/>
  <c r="S789" i="1"/>
  <c r="T789" i="1"/>
  <c r="U789" i="1"/>
  <c r="V789" i="1"/>
  <c r="S788" i="1"/>
  <c r="T788" i="1"/>
  <c r="U788" i="1"/>
  <c r="V788" i="1"/>
  <c r="S787" i="1"/>
  <c r="T787" i="1"/>
  <c r="U787" i="1"/>
  <c r="V787" i="1"/>
  <c r="S786" i="1"/>
  <c r="T786" i="1"/>
  <c r="U786" i="1"/>
  <c r="V786" i="1"/>
  <c r="S785" i="1"/>
  <c r="T785" i="1"/>
  <c r="U785" i="1"/>
  <c r="V785" i="1"/>
  <c r="S784" i="1"/>
  <c r="T784" i="1"/>
  <c r="U784" i="1"/>
  <c r="V784" i="1"/>
  <c r="S783" i="1"/>
  <c r="T783" i="1"/>
  <c r="U783" i="1"/>
  <c r="V783" i="1"/>
  <c r="S782" i="1"/>
  <c r="T782" i="1"/>
  <c r="U782" i="1"/>
  <c r="V782" i="1"/>
  <c r="S781" i="1"/>
  <c r="T781" i="1"/>
  <c r="U781" i="1"/>
  <c r="V781" i="1"/>
  <c r="S780" i="1"/>
  <c r="T780" i="1"/>
  <c r="U780" i="1"/>
  <c r="V780" i="1"/>
  <c r="S779" i="1"/>
  <c r="T779" i="1"/>
  <c r="U779" i="1"/>
  <c r="V779" i="1"/>
  <c r="S778" i="1"/>
  <c r="T778" i="1"/>
  <c r="U778" i="1"/>
  <c r="V778" i="1"/>
  <c r="S777" i="1"/>
  <c r="T777" i="1"/>
  <c r="U777" i="1"/>
  <c r="V777" i="1"/>
  <c r="S776" i="1"/>
  <c r="T776" i="1"/>
  <c r="U776" i="1"/>
  <c r="V776" i="1"/>
  <c r="S775" i="1"/>
  <c r="T775" i="1"/>
  <c r="U775" i="1"/>
  <c r="V775" i="1"/>
  <c r="S774" i="1"/>
  <c r="T774" i="1"/>
  <c r="U774" i="1"/>
  <c r="V774" i="1"/>
  <c r="S773" i="1"/>
  <c r="T773" i="1"/>
  <c r="U773" i="1"/>
  <c r="V773" i="1"/>
  <c r="S772" i="1"/>
  <c r="T772" i="1"/>
  <c r="U772" i="1"/>
  <c r="V772" i="1"/>
  <c r="S771" i="1"/>
  <c r="T771" i="1"/>
  <c r="U771" i="1"/>
  <c r="V771" i="1"/>
  <c r="S770" i="1"/>
  <c r="T770" i="1"/>
  <c r="U770" i="1"/>
  <c r="V770" i="1"/>
  <c r="S769" i="1"/>
  <c r="T769" i="1"/>
  <c r="U769" i="1"/>
  <c r="V769" i="1"/>
  <c r="S768" i="1"/>
  <c r="T768" i="1"/>
  <c r="U768" i="1"/>
  <c r="V768" i="1"/>
  <c r="S767" i="1"/>
  <c r="T767" i="1"/>
  <c r="U767" i="1"/>
  <c r="V767" i="1"/>
  <c r="S766" i="1"/>
  <c r="T766" i="1"/>
  <c r="U766" i="1"/>
  <c r="V766" i="1"/>
  <c r="S765" i="1"/>
  <c r="T765" i="1"/>
  <c r="U765" i="1"/>
  <c r="V765" i="1"/>
  <c r="S764" i="1"/>
  <c r="T764" i="1"/>
  <c r="U764" i="1"/>
  <c r="V764" i="1"/>
  <c r="S763" i="1"/>
  <c r="T763" i="1"/>
  <c r="U763" i="1"/>
  <c r="V763" i="1"/>
  <c r="S762" i="1"/>
  <c r="T762" i="1"/>
  <c r="U762" i="1"/>
  <c r="V762" i="1"/>
  <c r="S761" i="1"/>
  <c r="T761" i="1"/>
  <c r="U761" i="1"/>
  <c r="V761" i="1"/>
  <c r="S760" i="1"/>
  <c r="T760" i="1"/>
  <c r="U760" i="1"/>
  <c r="V760" i="1"/>
  <c r="S759" i="1"/>
  <c r="T759" i="1"/>
  <c r="U759" i="1"/>
  <c r="V759" i="1"/>
  <c r="S758" i="1"/>
  <c r="T758" i="1"/>
  <c r="U758" i="1"/>
  <c r="V758" i="1"/>
  <c r="S757" i="1"/>
  <c r="T757" i="1"/>
  <c r="U757" i="1"/>
  <c r="V757" i="1"/>
  <c r="S756" i="1"/>
  <c r="T756" i="1"/>
  <c r="U756" i="1"/>
  <c r="V756" i="1"/>
  <c r="S755" i="1"/>
  <c r="T755" i="1"/>
  <c r="U755" i="1"/>
  <c r="V755" i="1"/>
  <c r="S754" i="1"/>
  <c r="T754" i="1"/>
  <c r="U754" i="1"/>
  <c r="V754" i="1"/>
  <c r="S753" i="1"/>
  <c r="T753" i="1"/>
  <c r="U753" i="1"/>
  <c r="V753" i="1"/>
  <c r="S752" i="1"/>
  <c r="T752" i="1"/>
  <c r="U752" i="1"/>
  <c r="V752" i="1"/>
  <c r="S751" i="1"/>
  <c r="T751" i="1"/>
  <c r="U751" i="1"/>
  <c r="V751" i="1"/>
  <c r="S750" i="1"/>
  <c r="T750" i="1"/>
  <c r="U750" i="1"/>
  <c r="V750" i="1"/>
  <c r="S749" i="1"/>
  <c r="T749" i="1"/>
  <c r="U749" i="1"/>
  <c r="V749" i="1"/>
  <c r="S748" i="1"/>
  <c r="T748" i="1"/>
  <c r="U748" i="1"/>
  <c r="V748" i="1"/>
  <c r="S747" i="1"/>
  <c r="T747" i="1"/>
  <c r="U747" i="1"/>
  <c r="V747" i="1"/>
  <c r="S746" i="1"/>
  <c r="T746" i="1"/>
  <c r="U746" i="1"/>
  <c r="V746" i="1"/>
  <c r="S745" i="1"/>
  <c r="T745" i="1"/>
  <c r="U745" i="1"/>
  <c r="V745" i="1"/>
  <c r="S744" i="1"/>
  <c r="T744" i="1"/>
  <c r="U744" i="1"/>
  <c r="V744" i="1"/>
  <c r="S743" i="1"/>
  <c r="T743" i="1"/>
  <c r="U743" i="1"/>
  <c r="V743" i="1"/>
  <c r="S742" i="1"/>
  <c r="T742" i="1"/>
  <c r="U742" i="1"/>
  <c r="V742" i="1"/>
  <c r="S741" i="1"/>
  <c r="T741" i="1"/>
  <c r="U741" i="1"/>
  <c r="V741" i="1"/>
  <c r="S740" i="1"/>
  <c r="T740" i="1"/>
  <c r="U740" i="1"/>
  <c r="V740" i="1"/>
  <c r="S739" i="1"/>
  <c r="T739" i="1"/>
  <c r="U739" i="1"/>
  <c r="V739" i="1"/>
  <c r="S738" i="1"/>
  <c r="T738" i="1"/>
  <c r="U738" i="1"/>
  <c r="V738" i="1"/>
  <c r="S737" i="1"/>
  <c r="T737" i="1"/>
  <c r="U737" i="1"/>
  <c r="V737" i="1"/>
  <c r="S736" i="1"/>
  <c r="T736" i="1"/>
  <c r="U736" i="1"/>
  <c r="V736" i="1"/>
  <c r="S735" i="1"/>
  <c r="T735" i="1"/>
  <c r="U735" i="1"/>
  <c r="V735" i="1"/>
  <c r="S734" i="1"/>
  <c r="T734" i="1"/>
  <c r="U734" i="1"/>
  <c r="V734" i="1"/>
  <c r="S733" i="1"/>
  <c r="T733" i="1"/>
  <c r="U733" i="1"/>
  <c r="V733" i="1"/>
  <c r="S732" i="1"/>
  <c r="T732" i="1"/>
  <c r="U732" i="1"/>
  <c r="V732" i="1"/>
  <c r="S731" i="1"/>
  <c r="T731" i="1"/>
  <c r="U731" i="1"/>
  <c r="V731" i="1"/>
  <c r="S730" i="1"/>
  <c r="T730" i="1"/>
  <c r="U730" i="1"/>
  <c r="V730" i="1"/>
  <c r="S729" i="1"/>
  <c r="T729" i="1"/>
  <c r="U729" i="1"/>
  <c r="V729" i="1"/>
  <c r="S728" i="1"/>
  <c r="T728" i="1"/>
  <c r="U728" i="1"/>
  <c r="V728" i="1"/>
  <c r="S727" i="1"/>
  <c r="T727" i="1"/>
  <c r="U727" i="1"/>
  <c r="V727" i="1"/>
  <c r="S726" i="1"/>
  <c r="T726" i="1"/>
  <c r="U726" i="1"/>
  <c r="V726" i="1"/>
  <c r="S725" i="1"/>
  <c r="T725" i="1"/>
  <c r="U725" i="1"/>
  <c r="V725" i="1"/>
  <c r="S724" i="1"/>
  <c r="T724" i="1"/>
  <c r="U724" i="1"/>
  <c r="V724" i="1"/>
  <c r="S723" i="1"/>
  <c r="T723" i="1"/>
  <c r="U723" i="1"/>
  <c r="V723" i="1"/>
  <c r="S722" i="1"/>
  <c r="T722" i="1"/>
  <c r="U722" i="1"/>
  <c r="V722" i="1"/>
  <c r="S721" i="1"/>
  <c r="T721" i="1"/>
  <c r="U721" i="1"/>
  <c r="V721" i="1"/>
  <c r="S720" i="1"/>
  <c r="T720" i="1"/>
  <c r="U720" i="1"/>
  <c r="V720" i="1"/>
  <c r="S719" i="1"/>
  <c r="T719" i="1"/>
  <c r="U719" i="1"/>
  <c r="V719" i="1"/>
  <c r="S718" i="1"/>
  <c r="T718" i="1"/>
  <c r="U718" i="1"/>
  <c r="V718" i="1"/>
  <c r="S717" i="1"/>
  <c r="T717" i="1"/>
  <c r="U717" i="1"/>
  <c r="V717" i="1"/>
  <c r="S716" i="1"/>
  <c r="T716" i="1"/>
  <c r="U716" i="1"/>
  <c r="V716" i="1"/>
  <c r="S715" i="1"/>
  <c r="T715" i="1"/>
  <c r="U715" i="1"/>
  <c r="V715" i="1"/>
  <c r="S714" i="1"/>
  <c r="T714" i="1"/>
  <c r="U714" i="1"/>
  <c r="V714" i="1"/>
  <c r="S713" i="1"/>
  <c r="T713" i="1"/>
  <c r="U713" i="1"/>
  <c r="V713" i="1"/>
  <c r="S712" i="1"/>
  <c r="T712" i="1"/>
  <c r="U712" i="1"/>
  <c r="V712" i="1"/>
  <c r="S711" i="1"/>
  <c r="T711" i="1"/>
  <c r="U711" i="1"/>
  <c r="V711" i="1"/>
  <c r="S710" i="1"/>
  <c r="T710" i="1"/>
  <c r="U710" i="1"/>
  <c r="V710" i="1"/>
  <c r="S709" i="1"/>
  <c r="T709" i="1"/>
  <c r="U709" i="1"/>
  <c r="V709" i="1"/>
  <c r="S708" i="1"/>
  <c r="T708" i="1"/>
  <c r="U708" i="1"/>
  <c r="V708" i="1"/>
  <c r="S707" i="1"/>
  <c r="T707" i="1"/>
  <c r="U707" i="1"/>
  <c r="V707" i="1"/>
  <c r="S706" i="1"/>
  <c r="T706" i="1"/>
  <c r="U706" i="1"/>
  <c r="V706" i="1"/>
  <c r="S705" i="1"/>
  <c r="T705" i="1"/>
  <c r="U705" i="1"/>
  <c r="V705" i="1"/>
  <c r="S704" i="1"/>
  <c r="T704" i="1"/>
  <c r="U704" i="1"/>
  <c r="V704" i="1"/>
  <c r="S703" i="1"/>
  <c r="T703" i="1"/>
  <c r="U703" i="1"/>
  <c r="V703" i="1"/>
  <c r="S702" i="1"/>
  <c r="T702" i="1"/>
  <c r="U702" i="1"/>
  <c r="V702" i="1"/>
  <c r="S701" i="1"/>
  <c r="T701" i="1"/>
  <c r="U701" i="1"/>
  <c r="V701" i="1"/>
  <c r="S700" i="1"/>
  <c r="T700" i="1"/>
  <c r="U700" i="1"/>
  <c r="V700" i="1"/>
  <c r="S699" i="1"/>
  <c r="T699" i="1"/>
  <c r="U699" i="1"/>
  <c r="V699" i="1"/>
  <c r="S698" i="1"/>
  <c r="T698" i="1"/>
  <c r="U698" i="1"/>
  <c r="V698" i="1"/>
  <c r="S697" i="1"/>
  <c r="T697" i="1"/>
  <c r="U697" i="1"/>
  <c r="V697" i="1"/>
  <c r="S696" i="1"/>
  <c r="T696" i="1"/>
  <c r="U696" i="1"/>
  <c r="V696" i="1"/>
  <c r="S695" i="1"/>
  <c r="T695" i="1"/>
  <c r="U695" i="1"/>
  <c r="V695" i="1"/>
  <c r="S694" i="1"/>
  <c r="T694" i="1"/>
  <c r="U694" i="1"/>
  <c r="V694" i="1"/>
  <c r="S693" i="1"/>
  <c r="T693" i="1"/>
  <c r="U693" i="1"/>
  <c r="V693" i="1"/>
  <c r="S692" i="1"/>
  <c r="T692" i="1"/>
  <c r="U692" i="1"/>
  <c r="V692" i="1"/>
  <c r="S691" i="1"/>
  <c r="T691" i="1"/>
  <c r="U691" i="1"/>
  <c r="V691" i="1"/>
  <c r="S690" i="1"/>
  <c r="T690" i="1"/>
  <c r="U690" i="1"/>
  <c r="V690" i="1"/>
  <c r="S689" i="1"/>
  <c r="T689" i="1"/>
  <c r="U689" i="1"/>
  <c r="V689" i="1"/>
  <c r="S688" i="1"/>
  <c r="T688" i="1"/>
  <c r="U688" i="1"/>
  <c r="V688" i="1"/>
  <c r="S687" i="1"/>
  <c r="T687" i="1"/>
  <c r="U687" i="1"/>
  <c r="V687" i="1"/>
  <c r="S686" i="1"/>
  <c r="T686" i="1"/>
  <c r="U686" i="1"/>
  <c r="V686" i="1"/>
  <c r="S685" i="1"/>
  <c r="T685" i="1"/>
  <c r="U685" i="1"/>
  <c r="V685" i="1"/>
  <c r="S684" i="1"/>
  <c r="T684" i="1"/>
  <c r="U684" i="1"/>
  <c r="V684" i="1"/>
  <c r="S683" i="1"/>
  <c r="T683" i="1"/>
  <c r="U683" i="1"/>
  <c r="V683" i="1"/>
  <c r="S682" i="1"/>
  <c r="T682" i="1"/>
  <c r="U682" i="1"/>
  <c r="V682" i="1"/>
  <c r="S681" i="1"/>
  <c r="T681" i="1"/>
  <c r="U681" i="1"/>
  <c r="V681" i="1"/>
  <c r="S680" i="1"/>
  <c r="T680" i="1"/>
  <c r="U680" i="1"/>
  <c r="V680" i="1"/>
  <c r="S679" i="1"/>
  <c r="T679" i="1"/>
  <c r="U679" i="1"/>
  <c r="V679" i="1"/>
  <c r="S678" i="1"/>
  <c r="T678" i="1"/>
  <c r="U678" i="1"/>
  <c r="V678" i="1"/>
  <c r="S677" i="1"/>
  <c r="T677" i="1"/>
  <c r="U677" i="1"/>
  <c r="V677" i="1"/>
  <c r="S676" i="1"/>
  <c r="T676" i="1"/>
  <c r="U676" i="1"/>
  <c r="V676" i="1"/>
  <c r="S675" i="1"/>
  <c r="T675" i="1"/>
  <c r="U675" i="1"/>
  <c r="V675" i="1"/>
  <c r="S674" i="1"/>
  <c r="T674" i="1"/>
  <c r="U674" i="1"/>
  <c r="V674" i="1"/>
  <c r="S673" i="1"/>
  <c r="T673" i="1"/>
  <c r="U673" i="1"/>
  <c r="V673" i="1"/>
  <c r="S672" i="1"/>
  <c r="T672" i="1"/>
  <c r="U672" i="1"/>
  <c r="V672" i="1"/>
  <c r="S671" i="1"/>
  <c r="T671" i="1"/>
  <c r="U671" i="1"/>
  <c r="V671" i="1"/>
  <c r="S670" i="1"/>
  <c r="T670" i="1"/>
  <c r="U670" i="1"/>
  <c r="V670" i="1"/>
  <c r="S669" i="1"/>
  <c r="T669" i="1"/>
  <c r="U669" i="1"/>
  <c r="V669" i="1"/>
  <c r="S668" i="1"/>
  <c r="T668" i="1"/>
  <c r="U668" i="1"/>
  <c r="V668" i="1"/>
  <c r="S667" i="1"/>
  <c r="T667" i="1"/>
  <c r="U667" i="1"/>
  <c r="V667" i="1"/>
  <c r="S666" i="1"/>
  <c r="T666" i="1"/>
  <c r="U666" i="1"/>
  <c r="V666" i="1"/>
  <c r="S665" i="1"/>
  <c r="T665" i="1"/>
  <c r="U665" i="1"/>
  <c r="V665" i="1"/>
  <c r="S664" i="1"/>
  <c r="T664" i="1"/>
  <c r="U664" i="1"/>
  <c r="V664" i="1"/>
  <c r="S663" i="1"/>
  <c r="T663" i="1"/>
  <c r="U663" i="1"/>
  <c r="V663" i="1"/>
  <c r="S662" i="1"/>
  <c r="T662" i="1"/>
  <c r="U662" i="1"/>
  <c r="V662" i="1"/>
  <c r="S661" i="1"/>
  <c r="T661" i="1"/>
  <c r="U661" i="1"/>
  <c r="V661" i="1"/>
  <c r="S660" i="1"/>
  <c r="T660" i="1"/>
  <c r="U660" i="1"/>
  <c r="V660" i="1"/>
  <c r="S659" i="1"/>
  <c r="T659" i="1"/>
  <c r="U659" i="1"/>
  <c r="V659" i="1"/>
  <c r="S658" i="1"/>
  <c r="T658" i="1"/>
  <c r="U658" i="1"/>
  <c r="V658" i="1"/>
  <c r="S657" i="1"/>
  <c r="T657" i="1"/>
  <c r="U657" i="1"/>
  <c r="V657" i="1"/>
  <c r="S656" i="1"/>
  <c r="T656" i="1"/>
  <c r="U656" i="1"/>
  <c r="V656" i="1"/>
  <c r="S655" i="1"/>
  <c r="T655" i="1"/>
  <c r="U655" i="1"/>
  <c r="V655" i="1"/>
  <c r="S654" i="1"/>
  <c r="T654" i="1"/>
  <c r="U654" i="1"/>
  <c r="V654" i="1"/>
  <c r="S653" i="1"/>
  <c r="T653" i="1"/>
  <c r="U653" i="1"/>
  <c r="V653" i="1"/>
  <c r="S652" i="1"/>
  <c r="T652" i="1"/>
  <c r="U652" i="1"/>
  <c r="V652" i="1"/>
  <c r="S651" i="1"/>
  <c r="T651" i="1"/>
  <c r="U651" i="1"/>
  <c r="V651" i="1"/>
  <c r="S650" i="1"/>
  <c r="T650" i="1"/>
  <c r="U650" i="1"/>
  <c r="V650" i="1"/>
  <c r="S649" i="1"/>
  <c r="T649" i="1"/>
  <c r="U649" i="1"/>
  <c r="V649" i="1"/>
  <c r="S648" i="1"/>
  <c r="T648" i="1"/>
  <c r="U648" i="1"/>
  <c r="V648" i="1"/>
  <c r="S647" i="1"/>
  <c r="T647" i="1"/>
  <c r="U647" i="1"/>
  <c r="V647" i="1"/>
  <c r="S646" i="1"/>
  <c r="T646" i="1"/>
  <c r="U646" i="1"/>
  <c r="V646" i="1"/>
  <c r="S645" i="1"/>
  <c r="T645" i="1"/>
  <c r="U645" i="1"/>
  <c r="V645" i="1"/>
  <c r="S644" i="1"/>
  <c r="T644" i="1"/>
  <c r="U644" i="1"/>
  <c r="V644" i="1"/>
  <c r="S643" i="1"/>
  <c r="T643" i="1"/>
  <c r="U643" i="1"/>
  <c r="V643" i="1"/>
  <c r="S642" i="1"/>
  <c r="T642" i="1"/>
  <c r="U642" i="1"/>
  <c r="V642" i="1"/>
  <c r="S641" i="1"/>
  <c r="T641" i="1"/>
  <c r="U641" i="1"/>
  <c r="V641" i="1"/>
  <c r="S640" i="1"/>
  <c r="T640" i="1"/>
  <c r="U640" i="1"/>
  <c r="V640" i="1"/>
  <c r="S639" i="1"/>
  <c r="T639" i="1"/>
  <c r="U639" i="1"/>
  <c r="V639" i="1"/>
  <c r="S638" i="1"/>
  <c r="T638" i="1"/>
  <c r="U638" i="1"/>
  <c r="V638" i="1"/>
  <c r="S637" i="1"/>
  <c r="T637" i="1"/>
  <c r="U637" i="1"/>
  <c r="V637" i="1"/>
  <c r="S636" i="1"/>
  <c r="T636" i="1"/>
  <c r="U636" i="1"/>
  <c r="V636" i="1"/>
  <c r="S635" i="1"/>
  <c r="T635" i="1"/>
  <c r="U635" i="1"/>
  <c r="V635" i="1"/>
  <c r="S634" i="1"/>
  <c r="T634" i="1"/>
  <c r="U634" i="1"/>
  <c r="V634" i="1"/>
  <c r="S633" i="1"/>
  <c r="T633" i="1"/>
  <c r="U633" i="1"/>
  <c r="V633" i="1"/>
  <c r="S632" i="1"/>
  <c r="T632" i="1"/>
  <c r="U632" i="1"/>
  <c r="V632" i="1"/>
  <c r="S631" i="1"/>
  <c r="T631" i="1"/>
  <c r="U631" i="1"/>
  <c r="V631" i="1"/>
  <c r="S630" i="1"/>
  <c r="T630" i="1"/>
  <c r="U630" i="1"/>
  <c r="V630" i="1"/>
  <c r="S629" i="1"/>
  <c r="T629" i="1"/>
  <c r="U629" i="1"/>
  <c r="V629" i="1"/>
  <c r="S628" i="1"/>
  <c r="T628" i="1"/>
  <c r="U628" i="1"/>
  <c r="V628" i="1"/>
  <c r="S627" i="1"/>
  <c r="T627" i="1"/>
  <c r="U627" i="1"/>
  <c r="V627" i="1"/>
  <c r="S626" i="1"/>
  <c r="T626" i="1"/>
  <c r="U626" i="1"/>
  <c r="V626" i="1"/>
  <c r="S625" i="1"/>
  <c r="T625" i="1"/>
  <c r="U625" i="1"/>
  <c r="V625" i="1"/>
  <c r="S624" i="1"/>
  <c r="T624" i="1"/>
  <c r="U624" i="1"/>
  <c r="V624" i="1"/>
  <c r="S623" i="1"/>
  <c r="T623" i="1"/>
  <c r="U623" i="1"/>
  <c r="V623" i="1"/>
  <c r="S622" i="1"/>
  <c r="T622" i="1"/>
  <c r="U622" i="1"/>
  <c r="V622" i="1"/>
  <c r="S621" i="1"/>
  <c r="T621" i="1"/>
  <c r="U621" i="1"/>
  <c r="V621" i="1"/>
  <c r="S620" i="1"/>
  <c r="T620" i="1"/>
  <c r="U620" i="1"/>
  <c r="V620" i="1"/>
  <c r="S619" i="1"/>
  <c r="T619" i="1"/>
  <c r="U619" i="1"/>
  <c r="V619" i="1"/>
  <c r="S618" i="1"/>
  <c r="T618" i="1"/>
  <c r="U618" i="1"/>
  <c r="V618" i="1"/>
  <c r="S617" i="1"/>
  <c r="T617" i="1"/>
  <c r="U617" i="1"/>
  <c r="V617" i="1"/>
  <c r="S616" i="1"/>
  <c r="T616" i="1"/>
  <c r="U616" i="1"/>
  <c r="V616" i="1"/>
  <c r="S615" i="1"/>
  <c r="T615" i="1"/>
  <c r="U615" i="1"/>
  <c r="V615" i="1"/>
  <c r="S614" i="1"/>
  <c r="T614" i="1"/>
  <c r="U614" i="1"/>
  <c r="V614" i="1"/>
  <c r="S613" i="1"/>
  <c r="T613" i="1"/>
  <c r="U613" i="1"/>
  <c r="V613" i="1"/>
  <c r="S612" i="1"/>
  <c r="T612" i="1"/>
  <c r="U612" i="1"/>
  <c r="V612" i="1"/>
  <c r="S611" i="1"/>
  <c r="T611" i="1"/>
  <c r="U611" i="1"/>
  <c r="V611" i="1"/>
  <c r="S610" i="1"/>
  <c r="T610" i="1"/>
  <c r="U610" i="1"/>
  <c r="V610" i="1"/>
  <c r="S609" i="1"/>
  <c r="T609" i="1"/>
  <c r="U609" i="1"/>
  <c r="V609" i="1"/>
  <c r="S608" i="1"/>
  <c r="T608" i="1"/>
  <c r="U608" i="1"/>
  <c r="V608" i="1"/>
  <c r="S607" i="1"/>
  <c r="T607" i="1"/>
  <c r="U607" i="1"/>
  <c r="V607" i="1"/>
  <c r="S606" i="1"/>
  <c r="T606" i="1"/>
  <c r="U606" i="1"/>
  <c r="V606" i="1"/>
  <c r="S605" i="1"/>
  <c r="T605" i="1"/>
  <c r="U605" i="1"/>
  <c r="V605" i="1"/>
  <c r="S604" i="1"/>
  <c r="T604" i="1"/>
  <c r="U604" i="1"/>
  <c r="V604" i="1"/>
  <c r="S603" i="1"/>
  <c r="T603" i="1"/>
  <c r="U603" i="1"/>
  <c r="V603" i="1"/>
  <c r="S602" i="1"/>
  <c r="T602" i="1"/>
  <c r="U602" i="1"/>
  <c r="V602" i="1"/>
  <c r="S601" i="1"/>
  <c r="T601" i="1"/>
  <c r="U601" i="1"/>
  <c r="V601" i="1"/>
  <c r="S600" i="1"/>
  <c r="T600" i="1"/>
  <c r="U600" i="1"/>
  <c r="V600" i="1"/>
  <c r="S599" i="1"/>
  <c r="T599" i="1"/>
  <c r="U599" i="1"/>
  <c r="V599" i="1"/>
  <c r="S598" i="1"/>
  <c r="T598" i="1"/>
  <c r="U598" i="1"/>
  <c r="V598" i="1"/>
  <c r="S597" i="1"/>
  <c r="T597" i="1"/>
  <c r="U597" i="1"/>
  <c r="V597" i="1"/>
  <c r="S596" i="1"/>
  <c r="T596" i="1"/>
  <c r="U596" i="1"/>
  <c r="V596" i="1"/>
  <c r="S595" i="1"/>
  <c r="T595" i="1"/>
  <c r="U595" i="1"/>
  <c r="V595" i="1"/>
  <c r="S594" i="1"/>
  <c r="T594" i="1"/>
  <c r="U594" i="1"/>
  <c r="V594" i="1"/>
  <c r="S593" i="1"/>
  <c r="T593" i="1"/>
  <c r="U593" i="1"/>
  <c r="V593" i="1"/>
  <c r="S592" i="1"/>
  <c r="T592" i="1"/>
  <c r="U592" i="1"/>
  <c r="V592" i="1"/>
  <c r="S591" i="1"/>
  <c r="T591" i="1"/>
  <c r="U591" i="1"/>
  <c r="V591" i="1"/>
  <c r="S590" i="1"/>
  <c r="T590" i="1"/>
  <c r="U590" i="1"/>
  <c r="V590" i="1"/>
  <c r="S589" i="1"/>
  <c r="T589" i="1"/>
  <c r="U589" i="1"/>
  <c r="V589" i="1"/>
  <c r="S588" i="1"/>
  <c r="T588" i="1"/>
  <c r="U588" i="1"/>
  <c r="V588" i="1"/>
  <c r="S587" i="1"/>
  <c r="T587" i="1"/>
  <c r="U587" i="1"/>
  <c r="V587" i="1"/>
  <c r="S586" i="1"/>
  <c r="T586" i="1"/>
  <c r="U586" i="1"/>
  <c r="V586" i="1"/>
  <c r="S585" i="1"/>
  <c r="T585" i="1"/>
  <c r="U585" i="1"/>
  <c r="V585" i="1"/>
  <c r="S584" i="1"/>
  <c r="T584" i="1"/>
  <c r="U584" i="1"/>
  <c r="V584" i="1"/>
  <c r="S583" i="1"/>
  <c r="T583" i="1"/>
  <c r="U583" i="1"/>
  <c r="V583" i="1"/>
  <c r="S582" i="1"/>
  <c r="T582" i="1"/>
  <c r="U582" i="1"/>
  <c r="V582" i="1"/>
  <c r="S581" i="1"/>
  <c r="T581" i="1"/>
  <c r="U581" i="1"/>
  <c r="V581" i="1"/>
  <c r="S580" i="1"/>
  <c r="T580" i="1"/>
  <c r="U580" i="1"/>
  <c r="V580" i="1"/>
  <c r="S579" i="1"/>
  <c r="T579" i="1"/>
  <c r="U579" i="1"/>
  <c r="V579" i="1"/>
  <c r="S578" i="1"/>
  <c r="T578" i="1"/>
  <c r="U578" i="1"/>
  <c r="V578" i="1"/>
  <c r="S577" i="1"/>
  <c r="T577" i="1"/>
  <c r="U577" i="1"/>
  <c r="V577" i="1"/>
  <c r="S576" i="1"/>
  <c r="T576" i="1"/>
  <c r="U576" i="1"/>
  <c r="V576" i="1"/>
  <c r="S575" i="1"/>
  <c r="T575" i="1"/>
  <c r="U575" i="1"/>
  <c r="V575" i="1"/>
  <c r="S574" i="1"/>
  <c r="T574" i="1"/>
  <c r="U574" i="1"/>
  <c r="V574" i="1"/>
  <c r="S573" i="1"/>
  <c r="T573" i="1"/>
  <c r="U573" i="1"/>
  <c r="V573" i="1"/>
  <c r="S572" i="1"/>
  <c r="T572" i="1"/>
  <c r="U572" i="1"/>
  <c r="V572" i="1"/>
  <c r="S571" i="1"/>
  <c r="T571" i="1"/>
  <c r="U571" i="1"/>
  <c r="V571" i="1"/>
  <c r="S570" i="1"/>
  <c r="T570" i="1"/>
  <c r="U570" i="1"/>
  <c r="V570" i="1"/>
  <c r="S569" i="1"/>
  <c r="T569" i="1"/>
  <c r="U569" i="1"/>
  <c r="V569" i="1"/>
  <c r="S568" i="1"/>
  <c r="T568" i="1"/>
  <c r="U568" i="1"/>
  <c r="V568" i="1"/>
  <c r="S567" i="1"/>
  <c r="T567" i="1"/>
  <c r="U567" i="1"/>
  <c r="V567" i="1"/>
  <c r="S566" i="1"/>
  <c r="T566" i="1"/>
  <c r="U566" i="1"/>
  <c r="V566" i="1"/>
  <c r="S565" i="1"/>
  <c r="T565" i="1"/>
  <c r="U565" i="1"/>
  <c r="V565" i="1"/>
  <c r="S564" i="1"/>
  <c r="T564" i="1"/>
  <c r="U564" i="1"/>
  <c r="V564" i="1"/>
  <c r="S563" i="1"/>
  <c r="T563" i="1"/>
  <c r="U563" i="1"/>
  <c r="V563" i="1"/>
  <c r="S562" i="1"/>
  <c r="T562" i="1"/>
  <c r="U562" i="1"/>
  <c r="V562" i="1"/>
  <c r="S561" i="1"/>
  <c r="T561" i="1"/>
  <c r="U561" i="1"/>
  <c r="V561" i="1"/>
  <c r="S560" i="1"/>
  <c r="T560" i="1"/>
  <c r="U560" i="1"/>
  <c r="V560" i="1"/>
  <c r="S559" i="1"/>
  <c r="T559" i="1"/>
  <c r="U559" i="1"/>
  <c r="V559" i="1"/>
  <c r="S558" i="1"/>
  <c r="T558" i="1"/>
  <c r="U558" i="1"/>
  <c r="V558" i="1"/>
  <c r="S557" i="1"/>
  <c r="T557" i="1"/>
  <c r="U557" i="1"/>
  <c r="V557" i="1"/>
  <c r="S556" i="1"/>
  <c r="T556" i="1"/>
  <c r="U556" i="1"/>
  <c r="V556" i="1"/>
  <c r="S555" i="1"/>
  <c r="T555" i="1"/>
  <c r="U555" i="1"/>
  <c r="V555" i="1"/>
  <c r="S554" i="1"/>
  <c r="T554" i="1"/>
  <c r="U554" i="1"/>
  <c r="V554" i="1"/>
  <c r="S553" i="1"/>
  <c r="T553" i="1"/>
  <c r="U553" i="1"/>
  <c r="V553" i="1"/>
  <c r="S552" i="1"/>
  <c r="T552" i="1"/>
  <c r="U552" i="1"/>
  <c r="V552" i="1"/>
  <c r="S551" i="1"/>
  <c r="T551" i="1"/>
  <c r="U551" i="1"/>
  <c r="V551" i="1"/>
  <c r="S550" i="1"/>
  <c r="T550" i="1"/>
  <c r="U550" i="1"/>
  <c r="V550" i="1"/>
  <c r="S549" i="1"/>
  <c r="T549" i="1"/>
  <c r="U549" i="1"/>
  <c r="V549" i="1"/>
  <c r="S548" i="1"/>
  <c r="T548" i="1"/>
  <c r="U548" i="1"/>
  <c r="V548" i="1"/>
  <c r="S547" i="1"/>
  <c r="T547" i="1"/>
  <c r="U547" i="1"/>
  <c r="V547" i="1"/>
  <c r="S546" i="1"/>
  <c r="T546" i="1"/>
  <c r="U546" i="1"/>
  <c r="V546" i="1"/>
  <c r="S545" i="1"/>
  <c r="T545" i="1"/>
  <c r="U545" i="1"/>
  <c r="V545" i="1"/>
  <c r="S544" i="1"/>
  <c r="T544" i="1"/>
  <c r="U544" i="1"/>
  <c r="V544" i="1"/>
  <c r="S543" i="1"/>
  <c r="T543" i="1"/>
  <c r="U543" i="1"/>
  <c r="V543" i="1"/>
  <c r="S542" i="1"/>
  <c r="T542" i="1"/>
  <c r="U542" i="1"/>
  <c r="V542" i="1"/>
  <c r="S541" i="1"/>
  <c r="T541" i="1"/>
  <c r="U541" i="1"/>
  <c r="V541" i="1"/>
  <c r="T539" i="1"/>
  <c r="U539" i="1"/>
  <c r="S539" i="1"/>
  <c r="V539" i="1"/>
  <c r="V538" i="1"/>
  <c r="S538" i="1"/>
  <c r="T538" i="1"/>
  <c r="U538" i="1"/>
  <c r="U537" i="1"/>
  <c r="S537" i="1"/>
  <c r="V537" i="1"/>
  <c r="T537" i="1"/>
  <c r="V536" i="1"/>
  <c r="T536" i="1"/>
  <c r="S536" i="1"/>
  <c r="U536" i="1"/>
  <c r="U535" i="1"/>
  <c r="V535" i="1"/>
  <c r="T535" i="1"/>
  <c r="S535" i="1"/>
  <c r="T534" i="1"/>
  <c r="U534" i="1"/>
  <c r="V534" i="1"/>
  <c r="S534" i="1"/>
  <c r="V533" i="1"/>
  <c r="S533" i="1"/>
  <c r="T533" i="1"/>
  <c r="U533" i="1"/>
  <c r="U532" i="1"/>
  <c r="V532" i="1"/>
  <c r="S532" i="1"/>
  <c r="T532" i="1"/>
  <c r="V531" i="1"/>
  <c r="U531" i="1"/>
  <c r="T531" i="1"/>
  <c r="S531" i="1"/>
  <c r="V530" i="1"/>
  <c r="U530" i="1"/>
  <c r="S530" i="1"/>
  <c r="T530" i="1"/>
  <c r="U529" i="1"/>
  <c r="S529" i="1"/>
  <c r="V529" i="1"/>
  <c r="T529" i="1"/>
  <c r="T528" i="1"/>
  <c r="S528" i="1"/>
  <c r="V528" i="1"/>
  <c r="U528" i="1"/>
  <c r="V527" i="1"/>
  <c r="U527" i="1"/>
  <c r="S527" i="1"/>
  <c r="T527" i="1"/>
  <c r="T526" i="1"/>
  <c r="U526" i="1"/>
  <c r="S526" i="1"/>
  <c r="V526" i="1"/>
  <c r="V525" i="1"/>
  <c r="T525" i="1"/>
  <c r="U525" i="1"/>
  <c r="S525" i="1"/>
  <c r="V524" i="1"/>
  <c r="T524" i="1"/>
  <c r="U524" i="1"/>
  <c r="S524" i="1"/>
  <c r="V523" i="1"/>
  <c r="S523" i="1"/>
  <c r="T523" i="1"/>
  <c r="U523" i="1"/>
  <c r="T522" i="1"/>
  <c r="V522" i="1"/>
  <c r="S522" i="1"/>
  <c r="U522" i="1"/>
  <c r="S521" i="1"/>
  <c r="V521" i="1"/>
  <c r="U521" i="1"/>
  <c r="T521" i="1"/>
  <c r="U520" i="1"/>
  <c r="T520" i="1"/>
  <c r="V520" i="1"/>
  <c r="S520" i="1"/>
  <c r="V519" i="1"/>
  <c r="U519" i="1"/>
  <c r="T519" i="1"/>
  <c r="S519" i="1"/>
  <c r="U518" i="1"/>
  <c r="V518" i="1"/>
  <c r="S518" i="1"/>
  <c r="T518" i="1"/>
  <c r="T517" i="1"/>
  <c r="S517" i="1"/>
  <c r="V517" i="1"/>
  <c r="U517" i="1"/>
  <c r="S516" i="1"/>
  <c r="T516" i="1"/>
  <c r="V516" i="1"/>
  <c r="U516" i="1"/>
  <c r="U515" i="1"/>
  <c r="T515" i="1"/>
  <c r="V515" i="1"/>
  <c r="S515" i="1"/>
  <c r="T514" i="1"/>
  <c r="U514" i="1"/>
  <c r="V514" i="1"/>
  <c r="S514" i="1"/>
  <c r="V513" i="1"/>
  <c r="S513" i="1"/>
  <c r="T513" i="1"/>
  <c r="U513" i="1"/>
  <c r="V512" i="1"/>
  <c r="U512" i="1"/>
  <c r="T512" i="1"/>
  <c r="S512" i="1"/>
  <c r="U511" i="1"/>
  <c r="T511" i="1"/>
  <c r="S511" i="1"/>
  <c r="V511" i="1"/>
  <c r="V510" i="1"/>
  <c r="S510" i="1"/>
  <c r="U510" i="1"/>
  <c r="T510" i="1"/>
  <c r="U509" i="1"/>
  <c r="S509" i="1"/>
  <c r="V509" i="1"/>
  <c r="T509" i="1"/>
  <c r="V508" i="1"/>
  <c r="S508" i="1"/>
  <c r="U508" i="1"/>
  <c r="T508" i="1"/>
  <c r="V507" i="1"/>
  <c r="S507" i="1"/>
  <c r="T507" i="1"/>
  <c r="U507" i="1"/>
  <c r="T506" i="1"/>
  <c r="U506" i="1"/>
  <c r="S506" i="1"/>
  <c r="V506" i="1"/>
  <c r="S505" i="1"/>
  <c r="V505" i="1"/>
  <c r="T505" i="1"/>
  <c r="U505" i="1"/>
  <c r="T504" i="1"/>
  <c r="U504" i="1"/>
  <c r="S504" i="1"/>
  <c r="V504" i="1"/>
  <c r="U503" i="1"/>
  <c r="S503" i="1"/>
  <c r="T503" i="1"/>
  <c r="V503" i="1"/>
  <c r="V502" i="1"/>
  <c r="T502" i="1"/>
  <c r="S502" i="1"/>
  <c r="U502" i="1"/>
  <c r="T501" i="1"/>
  <c r="V501" i="1"/>
  <c r="U501" i="1"/>
  <c r="S501" i="1"/>
  <c r="S500" i="1"/>
  <c r="V500" i="1"/>
  <c r="U500" i="1"/>
  <c r="T500" i="1"/>
  <c r="V499" i="1"/>
  <c r="T499" i="1"/>
  <c r="S499" i="1"/>
  <c r="U499" i="1"/>
  <c r="V498" i="1"/>
  <c r="U498" i="1"/>
  <c r="S498" i="1"/>
  <c r="T498" i="1"/>
  <c r="V497" i="1"/>
  <c r="S497" i="1"/>
  <c r="U497" i="1"/>
  <c r="T497" i="1"/>
  <c r="V496" i="1"/>
  <c r="S496" i="1"/>
  <c r="U496" i="1"/>
  <c r="T496" i="1"/>
  <c r="T495" i="1"/>
  <c r="U495" i="1"/>
  <c r="S495" i="1"/>
  <c r="V495" i="1"/>
  <c r="V494" i="1"/>
  <c r="U494" i="1"/>
  <c r="T494" i="1"/>
  <c r="S494" i="1"/>
  <c r="T493" i="1"/>
  <c r="U493" i="1"/>
  <c r="S493" i="1"/>
  <c r="V493" i="1"/>
  <c r="V492" i="1"/>
  <c r="T492" i="1"/>
  <c r="S492" i="1"/>
  <c r="U492" i="1"/>
  <c r="S491" i="1"/>
  <c r="U491" i="1"/>
  <c r="T491" i="1"/>
  <c r="V491" i="1"/>
  <c r="V490" i="1"/>
  <c r="U490" i="1"/>
  <c r="S490" i="1"/>
  <c r="T490" i="1"/>
  <c r="V489" i="1"/>
  <c r="S489" i="1"/>
  <c r="T489" i="1"/>
  <c r="U489" i="1"/>
  <c r="V488" i="1"/>
  <c r="U488" i="1"/>
  <c r="S488" i="1"/>
  <c r="T488" i="1"/>
  <c r="V487" i="1"/>
  <c r="U487" i="1"/>
  <c r="T487" i="1"/>
  <c r="S487" i="1"/>
  <c r="V486" i="1"/>
  <c r="T486" i="1"/>
  <c r="S486" i="1"/>
  <c r="U486" i="1"/>
  <c r="V485" i="1"/>
  <c r="T485" i="1"/>
  <c r="S485" i="1"/>
  <c r="U485" i="1"/>
  <c r="T484" i="1"/>
  <c r="V484" i="1"/>
  <c r="U484" i="1"/>
  <c r="S484" i="1"/>
  <c r="V483" i="1"/>
  <c r="U483" i="1"/>
  <c r="S483" i="1"/>
  <c r="T483" i="1"/>
  <c r="V482" i="1"/>
  <c r="S482" i="1"/>
  <c r="T482" i="1"/>
  <c r="U482" i="1"/>
  <c r="V481" i="1"/>
  <c r="T481" i="1"/>
  <c r="U481" i="1"/>
  <c r="S481" i="1"/>
  <c r="V480" i="1"/>
  <c r="S480" i="1"/>
  <c r="T480" i="1"/>
  <c r="U480" i="1"/>
  <c r="V479" i="1"/>
  <c r="T479" i="1"/>
  <c r="U479" i="1"/>
  <c r="S479" i="1"/>
  <c r="T478" i="1"/>
  <c r="V478" i="1"/>
  <c r="U478" i="1"/>
  <c r="S478" i="1"/>
  <c r="S477" i="1"/>
  <c r="U477" i="1"/>
  <c r="V477" i="1"/>
  <c r="T477" i="1"/>
  <c r="V476" i="1"/>
  <c r="S476" i="1"/>
  <c r="U476" i="1"/>
  <c r="T476" i="1"/>
  <c r="T475" i="1"/>
  <c r="S475" i="1"/>
  <c r="V475" i="1"/>
  <c r="U475" i="1"/>
  <c r="V474" i="1"/>
  <c r="S474" i="1"/>
  <c r="T474" i="1"/>
  <c r="U474" i="1"/>
  <c r="S473" i="1"/>
  <c r="T473" i="1"/>
  <c r="V473" i="1"/>
  <c r="U473" i="1"/>
  <c r="V472" i="1"/>
  <c r="T472" i="1"/>
  <c r="S472" i="1"/>
  <c r="U472" i="1"/>
  <c r="V471" i="1"/>
  <c r="S471" i="1"/>
  <c r="T471" i="1"/>
  <c r="U471" i="1"/>
  <c r="T470" i="1"/>
  <c r="V470" i="1"/>
  <c r="S470" i="1"/>
  <c r="U470" i="1"/>
  <c r="S469" i="1"/>
  <c r="V469" i="1"/>
  <c r="U469" i="1"/>
  <c r="T469" i="1"/>
  <c r="V468" i="1"/>
  <c r="S468" i="1"/>
  <c r="T468" i="1"/>
  <c r="U468" i="1"/>
  <c r="V467" i="1"/>
  <c r="U467" i="1"/>
  <c r="S467" i="1"/>
  <c r="T467" i="1"/>
  <c r="V466" i="1"/>
  <c r="T466" i="1"/>
  <c r="S466" i="1"/>
  <c r="U466" i="1"/>
  <c r="U465" i="1"/>
  <c r="S465" i="1"/>
  <c r="V465" i="1"/>
  <c r="T465" i="1"/>
  <c r="U464" i="1"/>
  <c r="V464" i="1"/>
  <c r="T464" i="1"/>
  <c r="S464" i="1"/>
  <c r="V463" i="1"/>
  <c r="S463" i="1"/>
  <c r="U463" i="1"/>
  <c r="T463" i="1"/>
  <c r="V462" i="1"/>
  <c r="U462" i="1"/>
  <c r="T462" i="1"/>
  <c r="S462" i="1"/>
  <c r="S461" i="1"/>
  <c r="V461" i="1"/>
  <c r="T461" i="1"/>
  <c r="U461" i="1"/>
  <c r="V460" i="1"/>
  <c r="S460" i="1"/>
  <c r="U460" i="1"/>
  <c r="T460" i="1"/>
  <c r="V459" i="1"/>
  <c r="S459" i="1"/>
  <c r="T459" i="1"/>
  <c r="U459" i="1"/>
  <c r="U458" i="1"/>
  <c r="V458" i="1"/>
  <c r="T458" i="1"/>
  <c r="S458" i="1"/>
  <c r="V457" i="1"/>
  <c r="S457" i="1"/>
  <c r="U457" i="1"/>
  <c r="T457" i="1"/>
  <c r="V456" i="1"/>
  <c r="S456" i="1"/>
  <c r="U456" i="1"/>
  <c r="T456" i="1"/>
  <c r="V455" i="1"/>
  <c r="S455" i="1"/>
  <c r="T455" i="1"/>
  <c r="U455" i="1"/>
  <c r="V454" i="1"/>
  <c r="U454" i="1"/>
  <c r="S454" i="1"/>
  <c r="T454" i="1"/>
  <c r="V453" i="1"/>
  <c r="U453" i="1"/>
  <c r="T453" i="1"/>
  <c r="S453" i="1"/>
  <c r="U452" i="1"/>
  <c r="T452" i="1"/>
  <c r="S452" i="1"/>
  <c r="V452" i="1"/>
  <c r="U451" i="1"/>
  <c r="S451" i="1"/>
  <c r="T451" i="1"/>
  <c r="V451" i="1"/>
  <c r="U450" i="1"/>
  <c r="V450" i="1"/>
  <c r="T450" i="1"/>
  <c r="S450" i="1"/>
  <c r="T449" i="1"/>
  <c r="S449" i="1"/>
  <c r="V449" i="1"/>
  <c r="U449" i="1"/>
  <c r="T448" i="1"/>
  <c r="U448" i="1"/>
  <c r="V448" i="1"/>
  <c r="S448" i="1"/>
  <c r="T447" i="1"/>
  <c r="U447" i="1"/>
  <c r="V447" i="1"/>
  <c r="S447" i="1"/>
  <c r="V446" i="1"/>
  <c r="T446" i="1"/>
  <c r="U446" i="1"/>
  <c r="S446" i="1"/>
  <c r="V445" i="1"/>
  <c r="U445" i="1"/>
  <c r="T445" i="1"/>
  <c r="S445" i="1"/>
  <c r="T444" i="1"/>
  <c r="S444" i="1"/>
  <c r="U444" i="1"/>
  <c r="V444" i="1"/>
  <c r="V443" i="1"/>
  <c r="U443" i="1"/>
  <c r="T443" i="1"/>
  <c r="S443" i="1"/>
  <c r="V442" i="1"/>
  <c r="U442" i="1"/>
  <c r="T442" i="1"/>
  <c r="S442" i="1"/>
  <c r="U441" i="1"/>
  <c r="V441" i="1"/>
  <c r="T441" i="1"/>
  <c r="S441" i="1"/>
  <c r="U440" i="1"/>
  <c r="S440" i="1"/>
  <c r="T440" i="1"/>
  <c r="V440" i="1"/>
  <c r="V439" i="1"/>
  <c r="S439" i="1"/>
  <c r="T439" i="1"/>
  <c r="U439" i="1"/>
  <c r="U438" i="1"/>
  <c r="T438" i="1"/>
  <c r="S438" i="1"/>
  <c r="V438" i="1"/>
  <c r="V437" i="1"/>
  <c r="U437" i="1"/>
  <c r="S437" i="1"/>
  <c r="T437" i="1"/>
  <c r="V436" i="1"/>
  <c r="T436" i="1"/>
  <c r="U436" i="1"/>
  <c r="S436" i="1"/>
  <c r="V435" i="1"/>
  <c r="U435" i="1"/>
  <c r="S435" i="1"/>
  <c r="T435" i="1"/>
  <c r="V434" i="1"/>
  <c r="U434" i="1"/>
  <c r="S434" i="1"/>
  <c r="T434" i="1"/>
  <c r="U433" i="1"/>
  <c r="T433" i="1"/>
  <c r="V433" i="1"/>
  <c r="S433" i="1"/>
  <c r="U432" i="1"/>
  <c r="T432" i="1"/>
  <c r="S432" i="1"/>
  <c r="V432" i="1"/>
  <c r="U431" i="1"/>
  <c r="T431" i="1"/>
  <c r="S431" i="1"/>
  <c r="V431" i="1"/>
  <c r="S430" i="1"/>
  <c r="V430" i="1"/>
  <c r="T430" i="1"/>
  <c r="U430" i="1"/>
  <c r="V429" i="1"/>
  <c r="U429" i="1"/>
  <c r="S429" i="1"/>
  <c r="T429" i="1"/>
  <c r="T428" i="1"/>
  <c r="V428" i="1"/>
  <c r="U428" i="1"/>
  <c r="S428" i="1"/>
  <c r="V427" i="1"/>
  <c r="S427" i="1"/>
  <c r="U427" i="1"/>
  <c r="T427" i="1"/>
  <c r="T426" i="1"/>
  <c r="U426" i="1"/>
  <c r="S426" i="1"/>
  <c r="V426" i="1"/>
  <c r="U425" i="1"/>
  <c r="V425" i="1"/>
  <c r="T425" i="1"/>
  <c r="S425" i="1"/>
  <c r="V424" i="1"/>
  <c r="U424" i="1"/>
  <c r="T424" i="1"/>
  <c r="S424" i="1"/>
  <c r="V423" i="1"/>
  <c r="U423" i="1"/>
  <c r="T423" i="1"/>
  <c r="S423" i="1"/>
  <c r="V422" i="1"/>
  <c r="U422" i="1"/>
  <c r="S422" i="1"/>
  <c r="T422" i="1"/>
  <c r="V421" i="1"/>
  <c r="T421" i="1"/>
  <c r="S421" i="1"/>
  <c r="U421" i="1"/>
  <c r="V420" i="1"/>
  <c r="T420" i="1"/>
  <c r="U420" i="1"/>
  <c r="S420" i="1"/>
  <c r="S419" i="1"/>
  <c r="V419" i="1"/>
  <c r="T419" i="1"/>
  <c r="U419" i="1"/>
  <c r="T418" i="1"/>
  <c r="V418" i="1"/>
  <c r="U418" i="1"/>
  <c r="S418" i="1"/>
  <c r="V417" i="1"/>
  <c r="U417" i="1"/>
  <c r="S417" i="1"/>
  <c r="T417" i="1"/>
  <c r="V416" i="1"/>
  <c r="U416" i="1"/>
  <c r="S416" i="1"/>
  <c r="T416" i="1"/>
  <c r="U415" i="1"/>
  <c r="V415" i="1"/>
  <c r="S415" i="1"/>
  <c r="T415" i="1"/>
  <c r="V414" i="1"/>
  <c r="T414" i="1"/>
  <c r="U414" i="1"/>
  <c r="S414" i="1"/>
  <c r="V413" i="1"/>
  <c r="T413" i="1"/>
  <c r="U413" i="1"/>
  <c r="S413" i="1"/>
  <c r="V412" i="1"/>
  <c r="S412" i="1"/>
  <c r="U412" i="1"/>
  <c r="T412" i="1"/>
  <c r="U411" i="1"/>
  <c r="V411" i="1"/>
  <c r="S411" i="1"/>
  <c r="T411" i="1"/>
  <c r="U410" i="1"/>
  <c r="T410" i="1"/>
  <c r="S410" i="1"/>
  <c r="V410" i="1"/>
  <c r="T409" i="1"/>
  <c r="V409" i="1"/>
  <c r="S409" i="1"/>
  <c r="U409" i="1"/>
  <c r="U408" i="1"/>
  <c r="V408" i="1"/>
  <c r="T408" i="1"/>
  <c r="S408" i="1"/>
  <c r="V407" i="1"/>
  <c r="U407" i="1"/>
  <c r="S407" i="1"/>
  <c r="T407" i="1"/>
  <c r="V406" i="1"/>
  <c r="U406" i="1"/>
  <c r="S406" i="1"/>
  <c r="T406" i="1"/>
  <c r="S405" i="1"/>
  <c r="V405" i="1"/>
  <c r="U405" i="1"/>
  <c r="T405" i="1"/>
  <c r="U404" i="1"/>
  <c r="S404" i="1"/>
  <c r="T404" i="1"/>
  <c r="V404" i="1"/>
  <c r="V403" i="1"/>
  <c r="S403" i="1"/>
  <c r="T403" i="1"/>
  <c r="U403" i="1"/>
  <c r="V402" i="1"/>
  <c r="T402" i="1"/>
  <c r="U402" i="1"/>
  <c r="S402" i="1"/>
  <c r="V401" i="1"/>
  <c r="S401" i="1"/>
  <c r="T401" i="1"/>
  <c r="U401" i="1"/>
  <c r="T400" i="1"/>
  <c r="U400" i="1"/>
  <c r="S400" i="1"/>
  <c r="V400" i="1"/>
  <c r="T399" i="1"/>
  <c r="S399" i="1"/>
  <c r="V399" i="1"/>
  <c r="U399" i="1"/>
  <c r="V398" i="1"/>
  <c r="S398" i="1"/>
  <c r="U398" i="1"/>
  <c r="T398" i="1"/>
  <c r="V397" i="1"/>
  <c r="T397" i="1"/>
  <c r="U397" i="1"/>
  <c r="S397" i="1"/>
  <c r="V396" i="1"/>
  <c r="T396" i="1"/>
  <c r="U396" i="1"/>
  <c r="S396" i="1"/>
  <c r="V395" i="1"/>
  <c r="S395" i="1"/>
  <c r="T395" i="1"/>
  <c r="U395" i="1"/>
  <c r="U394" i="1"/>
  <c r="S394" i="1"/>
  <c r="V394" i="1"/>
  <c r="T394" i="1"/>
  <c r="V393" i="1"/>
  <c r="U393" i="1"/>
  <c r="T393" i="1"/>
  <c r="S393" i="1"/>
  <c r="V392" i="1"/>
  <c r="T392" i="1"/>
  <c r="S392" i="1"/>
  <c r="U392" i="1"/>
  <c r="V391" i="1"/>
  <c r="U391" i="1"/>
  <c r="S391" i="1"/>
  <c r="T391" i="1"/>
  <c r="T390" i="1"/>
  <c r="U390" i="1"/>
  <c r="S390" i="1"/>
  <c r="V390" i="1"/>
  <c r="U389" i="1"/>
  <c r="T389" i="1"/>
  <c r="S389" i="1"/>
  <c r="V389" i="1"/>
  <c r="V388" i="1"/>
  <c r="T388" i="1"/>
  <c r="S388" i="1"/>
  <c r="U388" i="1"/>
  <c r="V387" i="1"/>
  <c r="T387" i="1"/>
  <c r="U387" i="1"/>
  <c r="S387" i="1"/>
  <c r="V386" i="1"/>
  <c r="U386" i="1"/>
  <c r="T386" i="1"/>
  <c r="S386" i="1"/>
  <c r="U385" i="1"/>
  <c r="T385" i="1"/>
  <c r="S385" i="1"/>
  <c r="V385" i="1"/>
  <c r="U384" i="1"/>
  <c r="S384" i="1"/>
  <c r="V384" i="1"/>
  <c r="T384" i="1"/>
  <c r="V383" i="1"/>
  <c r="U383" i="1"/>
  <c r="S383" i="1"/>
  <c r="T383" i="1"/>
  <c r="V382" i="1"/>
  <c r="T382" i="1"/>
  <c r="S382" i="1"/>
  <c r="U382" i="1"/>
  <c r="U381" i="1"/>
  <c r="S381" i="1"/>
  <c r="V381" i="1"/>
  <c r="T381" i="1"/>
  <c r="S380" i="1"/>
  <c r="V380" i="1"/>
  <c r="U380" i="1"/>
  <c r="T380" i="1"/>
  <c r="V379" i="1"/>
  <c r="U379" i="1"/>
  <c r="T379" i="1"/>
  <c r="S379" i="1"/>
  <c r="V378" i="1"/>
  <c r="T378" i="1"/>
  <c r="S378" i="1"/>
  <c r="U378" i="1"/>
  <c r="T377" i="1"/>
  <c r="V377" i="1"/>
  <c r="S377" i="1"/>
  <c r="U377" i="1"/>
  <c r="V376" i="1"/>
  <c r="S376" i="1"/>
  <c r="T376" i="1"/>
  <c r="U376" i="1"/>
  <c r="T375" i="1"/>
  <c r="U375" i="1"/>
  <c r="S375" i="1"/>
  <c r="V375" i="1"/>
  <c r="S374" i="1"/>
  <c r="T374" i="1"/>
  <c r="V374" i="1"/>
  <c r="U374" i="1"/>
  <c r="T373" i="1"/>
  <c r="S373" i="1"/>
  <c r="V373" i="1"/>
  <c r="U373" i="1"/>
  <c r="U372" i="1"/>
  <c r="T372" i="1"/>
  <c r="V372" i="1"/>
  <c r="S372" i="1"/>
  <c r="V371" i="1"/>
  <c r="T371" i="1"/>
  <c r="S371" i="1"/>
  <c r="U371" i="1"/>
  <c r="V370" i="1"/>
  <c r="S370" i="1"/>
  <c r="U370" i="1"/>
  <c r="T370" i="1"/>
  <c r="T369" i="1"/>
  <c r="S369" i="1"/>
  <c r="V369" i="1"/>
  <c r="U369" i="1"/>
  <c r="T368" i="1"/>
  <c r="U368" i="1"/>
  <c r="V368" i="1"/>
  <c r="S368" i="1"/>
  <c r="V367" i="1"/>
  <c r="U367" i="1"/>
  <c r="S367" i="1"/>
  <c r="T367" i="1"/>
  <c r="V366" i="1"/>
  <c r="U366" i="1"/>
  <c r="S366" i="1"/>
  <c r="T366" i="1"/>
  <c r="V365" i="1"/>
  <c r="T365" i="1"/>
  <c r="U365" i="1"/>
  <c r="S365" i="1"/>
  <c r="S364" i="1"/>
  <c r="V364" i="1"/>
  <c r="U364" i="1"/>
  <c r="T364" i="1"/>
  <c r="T363" i="1"/>
  <c r="U363" i="1"/>
  <c r="S363" i="1"/>
  <c r="V363" i="1"/>
  <c r="U362" i="1"/>
  <c r="T362" i="1"/>
  <c r="S362" i="1"/>
  <c r="V362" i="1"/>
  <c r="S361" i="1"/>
  <c r="V361" i="1"/>
  <c r="T361" i="1"/>
  <c r="U361" i="1"/>
  <c r="V360" i="1"/>
  <c r="U360" i="1"/>
  <c r="T360" i="1"/>
  <c r="S360" i="1"/>
  <c r="V359" i="1"/>
  <c r="T359" i="1"/>
  <c r="U359" i="1"/>
  <c r="S359" i="1"/>
  <c r="V358" i="1"/>
  <c r="S358" i="1"/>
  <c r="T358" i="1"/>
  <c r="U358" i="1"/>
  <c r="U357" i="1"/>
  <c r="S357" i="1"/>
  <c r="T357" i="1"/>
  <c r="V357" i="1"/>
  <c r="V356" i="1"/>
  <c r="U356" i="1"/>
  <c r="S356" i="1"/>
  <c r="T356" i="1"/>
  <c r="S355" i="1"/>
  <c r="T355" i="1"/>
  <c r="U355" i="1"/>
  <c r="V355" i="1"/>
  <c r="U354" i="1"/>
  <c r="S354" i="1"/>
  <c r="V354" i="1"/>
  <c r="T354" i="1"/>
  <c r="T353" i="1"/>
  <c r="U353" i="1"/>
  <c r="S353" i="1"/>
  <c r="V353" i="1"/>
  <c r="V352" i="1"/>
  <c r="U352" i="1"/>
  <c r="T352" i="1"/>
  <c r="S352" i="1"/>
  <c r="U351" i="1"/>
  <c r="S351" i="1"/>
  <c r="T351" i="1"/>
  <c r="V351" i="1"/>
  <c r="V350" i="1"/>
  <c r="T350" i="1"/>
  <c r="S350" i="1"/>
  <c r="U350" i="1"/>
  <c r="T349" i="1"/>
  <c r="V349" i="1"/>
  <c r="S349" i="1"/>
  <c r="U349" i="1"/>
  <c r="V348" i="1"/>
  <c r="S348" i="1"/>
  <c r="U348" i="1"/>
  <c r="T348" i="1"/>
  <c r="S347" i="1"/>
  <c r="U347" i="1"/>
  <c r="V347" i="1"/>
  <c r="T347" i="1"/>
  <c r="U346" i="1"/>
  <c r="T346" i="1"/>
  <c r="V346" i="1"/>
  <c r="S346" i="1"/>
  <c r="S345" i="1"/>
  <c r="T345" i="1"/>
  <c r="V345" i="1"/>
  <c r="U345" i="1"/>
  <c r="V344" i="1"/>
  <c r="U344" i="1"/>
  <c r="T344" i="1"/>
  <c r="S344" i="1"/>
  <c r="S343" i="1"/>
  <c r="V343" i="1"/>
  <c r="T343" i="1"/>
  <c r="U343" i="1"/>
  <c r="V342" i="1"/>
  <c r="T342" i="1"/>
  <c r="U342" i="1"/>
  <c r="S342" i="1"/>
  <c r="V341" i="1"/>
  <c r="T341" i="1"/>
  <c r="U341" i="1"/>
  <c r="S341" i="1"/>
  <c r="U340" i="1"/>
  <c r="V340" i="1"/>
  <c r="T340" i="1"/>
  <c r="S340" i="1"/>
  <c r="V339" i="1"/>
  <c r="T339" i="1"/>
  <c r="U339" i="1"/>
  <c r="S339" i="1"/>
  <c r="V338" i="1"/>
  <c r="U338" i="1"/>
  <c r="S338" i="1"/>
  <c r="T338" i="1"/>
  <c r="V337" i="1"/>
  <c r="U337" i="1"/>
  <c r="T337" i="1"/>
  <c r="S337" i="1"/>
  <c r="S336" i="1"/>
  <c r="V336" i="1"/>
  <c r="U336" i="1"/>
  <c r="T336" i="1"/>
  <c r="V335" i="1"/>
  <c r="U335" i="1"/>
  <c r="S335" i="1"/>
  <c r="T335" i="1"/>
  <c r="V334" i="1"/>
  <c r="U334" i="1"/>
  <c r="T334" i="1"/>
  <c r="S334" i="1"/>
  <c r="V333" i="1"/>
  <c r="S333" i="1"/>
  <c r="U333" i="1"/>
  <c r="T333" i="1"/>
  <c r="V332" i="1"/>
  <c r="U332" i="1"/>
  <c r="S332" i="1"/>
  <c r="T332" i="1"/>
  <c r="V331" i="1"/>
  <c r="U331" i="1"/>
  <c r="S331" i="1"/>
  <c r="T331" i="1"/>
  <c r="V330" i="1"/>
  <c r="S330" i="1"/>
  <c r="U330" i="1"/>
  <c r="T330" i="1"/>
  <c r="V329" i="1"/>
  <c r="U329" i="1"/>
  <c r="S329" i="1"/>
  <c r="T329" i="1"/>
  <c r="V328" i="1"/>
  <c r="U328" i="1"/>
  <c r="S328" i="1"/>
  <c r="T328" i="1"/>
  <c r="V327" i="1"/>
  <c r="S327" i="1"/>
  <c r="U327" i="1"/>
  <c r="T327" i="1"/>
  <c r="V326" i="1"/>
  <c r="U326" i="1"/>
  <c r="S326" i="1"/>
  <c r="T326" i="1"/>
  <c r="V325" i="1"/>
  <c r="T325" i="1"/>
  <c r="U325" i="1"/>
  <c r="S325" i="1"/>
  <c r="T324" i="1"/>
  <c r="U324" i="1"/>
  <c r="S324" i="1"/>
  <c r="V324" i="1"/>
  <c r="S323" i="1"/>
  <c r="T323" i="1"/>
  <c r="U323" i="1"/>
  <c r="V323" i="1"/>
  <c r="V322" i="1"/>
  <c r="S322" i="1"/>
  <c r="T322" i="1"/>
  <c r="U322" i="1"/>
  <c r="V321" i="1"/>
  <c r="U321" i="1"/>
  <c r="T321" i="1"/>
  <c r="S321" i="1"/>
  <c r="V320" i="1"/>
  <c r="T320" i="1"/>
  <c r="U320" i="1"/>
  <c r="S320" i="1"/>
  <c r="V319" i="1"/>
  <c r="S319" i="1"/>
  <c r="U319" i="1"/>
  <c r="T319" i="1"/>
  <c r="T318" i="1"/>
  <c r="V318" i="1"/>
  <c r="U318" i="1"/>
  <c r="S318" i="1"/>
  <c r="S317" i="1"/>
  <c r="V317" i="1"/>
  <c r="T317" i="1"/>
  <c r="U317" i="1"/>
  <c r="S316" i="1"/>
  <c r="V316" i="1"/>
  <c r="T316" i="1"/>
  <c r="U316" i="1"/>
  <c r="T315" i="1"/>
  <c r="U315" i="1"/>
  <c r="S315" i="1"/>
  <c r="V315" i="1"/>
  <c r="V314" i="1"/>
  <c r="S314" i="1"/>
  <c r="U314" i="1"/>
  <c r="T314" i="1"/>
  <c r="V313" i="1"/>
  <c r="U313" i="1"/>
  <c r="T313" i="1"/>
  <c r="S313" i="1"/>
  <c r="V312" i="1"/>
  <c r="T312" i="1"/>
  <c r="S312" i="1"/>
  <c r="U312" i="1"/>
  <c r="U311" i="1"/>
  <c r="S311" i="1"/>
  <c r="V311" i="1"/>
  <c r="T311" i="1"/>
  <c r="T310" i="1"/>
  <c r="S310" i="1"/>
  <c r="V310" i="1"/>
  <c r="U310" i="1"/>
  <c r="U309" i="1"/>
  <c r="S309" i="1"/>
  <c r="V309" i="1"/>
  <c r="T309" i="1"/>
  <c r="S308" i="1"/>
  <c r="U308" i="1"/>
  <c r="V308" i="1"/>
  <c r="T308" i="1"/>
  <c r="U307" i="1"/>
  <c r="T307" i="1"/>
  <c r="S307" i="1"/>
  <c r="V307" i="1"/>
  <c r="T306" i="1"/>
  <c r="S306" i="1"/>
  <c r="V306" i="1"/>
  <c r="U306" i="1"/>
  <c r="V305" i="1"/>
  <c r="U305" i="1"/>
  <c r="T305" i="1"/>
  <c r="S305" i="1"/>
  <c r="U304" i="1"/>
  <c r="S304" i="1"/>
  <c r="V304" i="1"/>
  <c r="T304" i="1"/>
  <c r="T303" i="1"/>
  <c r="S303" i="1"/>
  <c r="U303" i="1"/>
  <c r="V303" i="1"/>
  <c r="S302" i="1"/>
  <c r="V302" i="1"/>
  <c r="U302" i="1"/>
  <c r="T302" i="1"/>
  <c r="S301" i="1"/>
  <c r="V301" i="1"/>
  <c r="U301" i="1"/>
  <c r="T301" i="1"/>
  <c r="U300" i="1"/>
  <c r="S300" i="1"/>
  <c r="V300" i="1"/>
  <c r="T300" i="1"/>
  <c r="T299" i="1"/>
  <c r="V299" i="1"/>
  <c r="U299" i="1"/>
  <c r="S299" i="1"/>
  <c r="T298" i="1"/>
  <c r="S298" i="1"/>
  <c r="V298" i="1"/>
  <c r="U298" i="1"/>
  <c r="U297" i="1"/>
  <c r="T297" i="1"/>
  <c r="S297" i="1"/>
  <c r="V297" i="1"/>
  <c r="V296" i="1"/>
  <c r="T296" i="1"/>
  <c r="U296" i="1"/>
  <c r="S296" i="1"/>
  <c r="V295" i="1"/>
  <c r="T295" i="1"/>
  <c r="S295" i="1"/>
  <c r="U295" i="1"/>
  <c r="U294" i="1"/>
  <c r="S294" i="1"/>
  <c r="V294" i="1"/>
  <c r="T294" i="1"/>
  <c r="U293" i="1"/>
  <c r="V293" i="1"/>
  <c r="T293" i="1"/>
  <c r="S293" i="1"/>
  <c r="V292" i="1"/>
  <c r="T292" i="1"/>
  <c r="U292" i="1"/>
  <c r="S292" i="1"/>
  <c r="U291" i="1"/>
  <c r="S291" i="1"/>
  <c r="V291" i="1"/>
  <c r="T291" i="1"/>
  <c r="T290" i="1"/>
  <c r="U290" i="1"/>
  <c r="V290" i="1"/>
  <c r="S290" i="1"/>
  <c r="T289" i="1"/>
  <c r="U289" i="1"/>
  <c r="S289" i="1"/>
  <c r="V289" i="1"/>
  <c r="V288" i="1"/>
  <c r="S288" i="1"/>
  <c r="T288" i="1"/>
  <c r="U288" i="1"/>
  <c r="V287" i="1"/>
  <c r="U287" i="1"/>
  <c r="T287" i="1"/>
  <c r="S287" i="1"/>
  <c r="V286" i="1"/>
  <c r="T286" i="1"/>
  <c r="U286" i="1"/>
  <c r="S286" i="1"/>
  <c r="V285" i="1"/>
  <c r="T285" i="1"/>
  <c r="S285" i="1"/>
  <c r="U285" i="1"/>
  <c r="V284" i="1"/>
  <c r="U284" i="1"/>
  <c r="T284" i="1"/>
  <c r="S284" i="1"/>
  <c r="W283" i="1"/>
  <c r="S282" i="1"/>
  <c r="T282" i="1"/>
  <c r="U282" i="1"/>
  <c r="V282" i="1"/>
  <c r="S281" i="1"/>
  <c r="T281" i="1"/>
  <c r="U281" i="1"/>
  <c r="V281" i="1"/>
  <c r="S280" i="1"/>
  <c r="T280" i="1"/>
  <c r="U280" i="1"/>
  <c r="V280" i="1"/>
  <c r="S279" i="1"/>
  <c r="T279" i="1"/>
  <c r="U279" i="1"/>
  <c r="V279" i="1"/>
  <c r="S278" i="1"/>
  <c r="T278" i="1"/>
  <c r="U278" i="1"/>
  <c r="V278" i="1"/>
  <c r="S277" i="1"/>
  <c r="T277" i="1"/>
  <c r="U277" i="1"/>
  <c r="V277" i="1"/>
  <c r="S276" i="1"/>
  <c r="T276" i="1"/>
  <c r="U276" i="1"/>
  <c r="V276" i="1"/>
  <c r="S275" i="1"/>
  <c r="T275" i="1"/>
  <c r="U275" i="1"/>
  <c r="V275" i="1"/>
  <c r="S274" i="1"/>
  <c r="T274" i="1"/>
  <c r="U274" i="1"/>
  <c r="V274" i="1"/>
  <c r="S273" i="1"/>
  <c r="T273" i="1"/>
  <c r="U273" i="1"/>
  <c r="V273" i="1"/>
  <c r="S272" i="1"/>
  <c r="T272" i="1"/>
  <c r="U272" i="1"/>
  <c r="V272" i="1"/>
  <c r="S271" i="1"/>
  <c r="T271" i="1"/>
  <c r="U271" i="1"/>
  <c r="V271" i="1"/>
  <c r="S270" i="1"/>
  <c r="T270" i="1"/>
  <c r="U270" i="1"/>
  <c r="V270" i="1"/>
  <c r="S269" i="1"/>
  <c r="T269" i="1"/>
  <c r="U269" i="1"/>
  <c r="V269" i="1"/>
  <c r="S268" i="1"/>
  <c r="T268" i="1"/>
  <c r="U268" i="1"/>
  <c r="V268" i="1"/>
  <c r="S267" i="1"/>
  <c r="T267" i="1"/>
  <c r="U267" i="1"/>
  <c r="V267" i="1"/>
  <c r="S266" i="1"/>
  <c r="T266" i="1"/>
  <c r="U266" i="1"/>
  <c r="V266" i="1"/>
  <c r="S265" i="1"/>
  <c r="T265" i="1"/>
  <c r="U265" i="1"/>
  <c r="V265" i="1"/>
  <c r="S264" i="1"/>
  <c r="T264" i="1"/>
  <c r="U264" i="1"/>
  <c r="V264" i="1"/>
  <c r="S263" i="1"/>
  <c r="T263" i="1"/>
  <c r="U263" i="1"/>
  <c r="V263" i="1"/>
  <c r="S262" i="1"/>
  <c r="T262" i="1"/>
  <c r="U262" i="1"/>
  <c r="V262" i="1"/>
  <c r="S261" i="1"/>
  <c r="T261" i="1"/>
  <c r="U261" i="1"/>
  <c r="V261" i="1"/>
  <c r="S260" i="1"/>
  <c r="T260" i="1"/>
  <c r="U260" i="1"/>
  <c r="V260" i="1"/>
  <c r="S259" i="1"/>
  <c r="T259" i="1"/>
  <c r="U259" i="1"/>
  <c r="V259" i="1"/>
  <c r="S258" i="1"/>
  <c r="T258" i="1"/>
  <c r="U258" i="1"/>
  <c r="V258" i="1"/>
  <c r="S257" i="1"/>
  <c r="T257" i="1"/>
  <c r="U257" i="1"/>
  <c r="V257" i="1"/>
  <c r="S256" i="1"/>
  <c r="T256" i="1"/>
  <c r="U256" i="1"/>
  <c r="V256" i="1"/>
  <c r="S255" i="1"/>
  <c r="T255" i="1"/>
  <c r="U255" i="1"/>
  <c r="V255" i="1"/>
  <c r="S254" i="1"/>
  <c r="T254" i="1"/>
  <c r="U254" i="1"/>
  <c r="V254" i="1"/>
  <c r="S253" i="1"/>
  <c r="T253" i="1"/>
  <c r="U253" i="1"/>
  <c r="V253" i="1"/>
  <c r="S252" i="1"/>
  <c r="T252" i="1"/>
  <c r="U252" i="1"/>
  <c r="V252" i="1"/>
  <c r="S251" i="1"/>
  <c r="T251" i="1"/>
  <c r="U251" i="1"/>
  <c r="V251" i="1"/>
  <c r="S250" i="1"/>
  <c r="T250" i="1"/>
  <c r="U250" i="1"/>
  <c r="V250" i="1"/>
  <c r="S249" i="1"/>
  <c r="T249" i="1"/>
  <c r="U249" i="1"/>
  <c r="V249" i="1"/>
  <c r="S248" i="1"/>
  <c r="T248" i="1"/>
  <c r="U248" i="1"/>
  <c r="V248" i="1"/>
  <c r="S247" i="1"/>
  <c r="T247" i="1"/>
  <c r="U247" i="1"/>
  <c r="V247" i="1"/>
  <c r="S246" i="1"/>
  <c r="T246" i="1"/>
  <c r="U246" i="1"/>
  <c r="V246" i="1"/>
  <c r="S245" i="1"/>
  <c r="T245" i="1"/>
  <c r="U245" i="1"/>
  <c r="V245" i="1"/>
  <c r="S244" i="1"/>
  <c r="T244" i="1"/>
  <c r="U244" i="1"/>
  <c r="V244" i="1"/>
  <c r="S243" i="1"/>
  <c r="T243" i="1"/>
  <c r="U243" i="1"/>
  <c r="V243" i="1"/>
  <c r="S242" i="1"/>
  <c r="T242" i="1"/>
  <c r="U242" i="1"/>
  <c r="V242" i="1"/>
  <c r="S241" i="1"/>
  <c r="T241" i="1"/>
  <c r="U241" i="1"/>
  <c r="V241" i="1"/>
  <c r="S240" i="1"/>
  <c r="T240" i="1"/>
  <c r="U240" i="1"/>
  <c r="V240" i="1"/>
  <c r="S239" i="1"/>
  <c r="T239" i="1"/>
  <c r="U239" i="1"/>
  <c r="V239" i="1"/>
  <c r="S238" i="1"/>
  <c r="T238" i="1"/>
  <c r="U238" i="1"/>
  <c r="V238" i="1"/>
  <c r="S237" i="1"/>
  <c r="T237" i="1"/>
  <c r="U237" i="1"/>
  <c r="V237" i="1"/>
  <c r="S236" i="1"/>
  <c r="T236" i="1"/>
  <c r="U236" i="1"/>
  <c r="V236" i="1"/>
  <c r="S235" i="1"/>
  <c r="T235" i="1"/>
  <c r="U235" i="1"/>
  <c r="V235" i="1"/>
  <c r="S234" i="1"/>
  <c r="T234" i="1"/>
  <c r="U234" i="1"/>
  <c r="V234" i="1"/>
  <c r="S233" i="1"/>
  <c r="T233" i="1"/>
  <c r="U233" i="1"/>
  <c r="V233" i="1"/>
  <c r="S232" i="1"/>
  <c r="T232" i="1"/>
  <c r="U232" i="1"/>
  <c r="V232" i="1"/>
  <c r="S231" i="1"/>
  <c r="T231" i="1"/>
  <c r="U231" i="1"/>
  <c r="V231" i="1"/>
  <c r="S230" i="1"/>
  <c r="T230" i="1"/>
  <c r="U230" i="1"/>
  <c r="V230" i="1"/>
  <c r="S229" i="1"/>
  <c r="T229" i="1"/>
  <c r="U229" i="1"/>
  <c r="V229" i="1"/>
  <c r="S228" i="1"/>
  <c r="T228" i="1"/>
  <c r="U228" i="1"/>
  <c r="V228" i="1"/>
  <c r="S227" i="1"/>
  <c r="T227" i="1"/>
  <c r="U227" i="1"/>
  <c r="V227" i="1"/>
  <c r="S226" i="1"/>
  <c r="T226" i="1"/>
  <c r="U226" i="1"/>
  <c r="V226" i="1"/>
  <c r="S225" i="1"/>
  <c r="T225" i="1"/>
  <c r="U225" i="1"/>
  <c r="V225" i="1"/>
  <c r="S224" i="1"/>
  <c r="T224" i="1"/>
  <c r="U224" i="1"/>
  <c r="V224" i="1"/>
  <c r="S223" i="1"/>
  <c r="T223" i="1"/>
  <c r="U223" i="1"/>
  <c r="V223" i="1"/>
  <c r="S222" i="1"/>
  <c r="T222" i="1"/>
  <c r="U222" i="1"/>
  <c r="V222" i="1"/>
  <c r="S221" i="1"/>
  <c r="T221" i="1"/>
  <c r="U221" i="1"/>
  <c r="V221" i="1"/>
  <c r="S220" i="1"/>
  <c r="T220" i="1"/>
  <c r="U220" i="1"/>
  <c r="V220" i="1"/>
  <c r="S219" i="1"/>
  <c r="T219" i="1"/>
  <c r="U219" i="1"/>
  <c r="V219" i="1"/>
  <c r="S218" i="1"/>
  <c r="T218" i="1"/>
  <c r="U218" i="1"/>
  <c r="V218" i="1"/>
  <c r="S217" i="1"/>
  <c r="T217" i="1"/>
  <c r="U217" i="1"/>
  <c r="V217" i="1"/>
  <c r="S216" i="1"/>
  <c r="T216" i="1"/>
  <c r="U216" i="1"/>
  <c r="V216" i="1"/>
  <c r="S215" i="1"/>
  <c r="T215" i="1"/>
  <c r="U215" i="1"/>
  <c r="V215" i="1"/>
  <c r="S214" i="1"/>
  <c r="T214" i="1"/>
  <c r="U214" i="1"/>
  <c r="V214" i="1"/>
  <c r="S213" i="1"/>
  <c r="T213" i="1"/>
  <c r="U213" i="1"/>
  <c r="V213" i="1"/>
  <c r="S212" i="1"/>
  <c r="T212" i="1"/>
  <c r="U212" i="1"/>
  <c r="V212" i="1"/>
  <c r="S211" i="1"/>
  <c r="T211" i="1"/>
  <c r="U211" i="1"/>
  <c r="V211" i="1"/>
  <c r="S210" i="1"/>
  <c r="T210" i="1"/>
  <c r="U210" i="1"/>
  <c r="V210" i="1"/>
  <c r="S209" i="1"/>
  <c r="T209" i="1"/>
  <c r="U209" i="1"/>
  <c r="V209" i="1"/>
  <c r="S208" i="1"/>
  <c r="T208" i="1"/>
  <c r="U208" i="1"/>
  <c r="V208" i="1"/>
  <c r="S207" i="1"/>
  <c r="T207" i="1"/>
  <c r="U207" i="1"/>
  <c r="V207" i="1"/>
  <c r="S206" i="1"/>
  <c r="T206" i="1"/>
  <c r="U206" i="1"/>
  <c r="V206" i="1"/>
  <c r="S205" i="1"/>
  <c r="T205" i="1"/>
  <c r="U205" i="1"/>
  <c r="V205" i="1"/>
  <c r="S204" i="1"/>
  <c r="T204" i="1"/>
  <c r="U204" i="1"/>
  <c r="V204" i="1"/>
  <c r="S203" i="1"/>
  <c r="T203" i="1"/>
  <c r="U203" i="1"/>
  <c r="V203" i="1"/>
  <c r="S202" i="1"/>
  <c r="T202" i="1"/>
  <c r="U202" i="1"/>
  <c r="V202" i="1"/>
  <c r="S201" i="1"/>
  <c r="T201" i="1"/>
  <c r="U201" i="1"/>
  <c r="V201" i="1"/>
  <c r="S200" i="1"/>
  <c r="T200" i="1"/>
  <c r="U200" i="1"/>
  <c r="V200" i="1"/>
  <c r="S199" i="1"/>
  <c r="T199" i="1"/>
  <c r="U199" i="1"/>
  <c r="V199" i="1"/>
  <c r="S198" i="1"/>
  <c r="T198" i="1"/>
  <c r="U198" i="1"/>
  <c r="V198" i="1"/>
  <c r="S197" i="1"/>
  <c r="T197" i="1"/>
  <c r="U197" i="1"/>
  <c r="V197" i="1"/>
  <c r="S196" i="1"/>
  <c r="T196" i="1"/>
  <c r="U196" i="1"/>
  <c r="V196" i="1"/>
  <c r="S195" i="1"/>
  <c r="T195" i="1"/>
  <c r="U195" i="1"/>
  <c r="V195" i="1"/>
  <c r="S194" i="1"/>
  <c r="T194" i="1"/>
  <c r="U194" i="1"/>
  <c r="V194" i="1"/>
  <c r="S193" i="1"/>
  <c r="T193" i="1"/>
  <c r="U193" i="1"/>
  <c r="V193" i="1"/>
  <c r="S192" i="1"/>
  <c r="T192" i="1"/>
  <c r="U192" i="1"/>
  <c r="V192" i="1"/>
  <c r="S191" i="1"/>
  <c r="T191" i="1"/>
  <c r="U191" i="1"/>
  <c r="V191" i="1"/>
  <c r="S190" i="1"/>
  <c r="T190" i="1"/>
  <c r="U190" i="1"/>
  <c r="V190" i="1"/>
  <c r="S189" i="1"/>
  <c r="T189" i="1"/>
  <c r="U189" i="1"/>
  <c r="V189" i="1"/>
  <c r="S188" i="1"/>
  <c r="T188" i="1"/>
  <c r="U188" i="1"/>
  <c r="V188" i="1"/>
  <c r="S187" i="1"/>
  <c r="T187" i="1"/>
  <c r="U187" i="1"/>
  <c r="V187" i="1"/>
  <c r="S186" i="1"/>
  <c r="T186" i="1"/>
  <c r="U186" i="1"/>
  <c r="V186" i="1"/>
  <c r="S185" i="1"/>
  <c r="T185" i="1"/>
  <c r="U185" i="1"/>
  <c r="V185" i="1"/>
  <c r="S184" i="1"/>
  <c r="T184" i="1"/>
  <c r="U184" i="1"/>
  <c r="V184" i="1"/>
  <c r="S183" i="1"/>
  <c r="T183" i="1"/>
  <c r="U183" i="1"/>
  <c r="V183" i="1"/>
  <c r="S182" i="1"/>
  <c r="T182" i="1"/>
  <c r="U182" i="1"/>
  <c r="V182" i="1"/>
  <c r="S181" i="1"/>
  <c r="T181" i="1"/>
  <c r="U181" i="1"/>
  <c r="V181" i="1"/>
  <c r="S180" i="1"/>
  <c r="T180" i="1"/>
  <c r="U180" i="1"/>
  <c r="V180" i="1"/>
  <c r="S179" i="1"/>
  <c r="T179" i="1"/>
  <c r="U179" i="1"/>
  <c r="V179" i="1"/>
  <c r="S178" i="1"/>
  <c r="T178" i="1"/>
  <c r="U178" i="1"/>
  <c r="V178" i="1"/>
  <c r="S177" i="1"/>
  <c r="T177" i="1"/>
  <c r="U177" i="1"/>
  <c r="V177" i="1"/>
  <c r="S176" i="1"/>
  <c r="T176" i="1"/>
  <c r="U176" i="1"/>
  <c r="V176" i="1"/>
  <c r="S175" i="1"/>
  <c r="T175" i="1"/>
  <c r="U175" i="1"/>
  <c r="V175" i="1"/>
  <c r="S174" i="1"/>
  <c r="T174" i="1"/>
  <c r="U174" i="1"/>
  <c r="V174" i="1"/>
  <c r="S173" i="1"/>
  <c r="T173" i="1"/>
  <c r="U173" i="1"/>
  <c r="V173" i="1"/>
  <c r="S172" i="1"/>
  <c r="T172" i="1"/>
  <c r="U172" i="1"/>
  <c r="V172" i="1"/>
  <c r="S171" i="1"/>
  <c r="T171" i="1"/>
  <c r="U171" i="1"/>
  <c r="V171" i="1"/>
  <c r="S170" i="1"/>
  <c r="T170" i="1"/>
  <c r="U170" i="1"/>
  <c r="V170" i="1"/>
  <c r="S169" i="1"/>
  <c r="T169" i="1"/>
  <c r="U169" i="1"/>
  <c r="V169" i="1"/>
  <c r="S168" i="1"/>
  <c r="T168" i="1"/>
  <c r="U168" i="1"/>
  <c r="V168" i="1"/>
  <c r="S167" i="1"/>
  <c r="T167" i="1"/>
  <c r="U167" i="1"/>
  <c r="V167" i="1"/>
  <c r="S166" i="1"/>
  <c r="T166" i="1"/>
  <c r="U166" i="1"/>
  <c r="V166" i="1"/>
  <c r="S165" i="1"/>
  <c r="T165" i="1"/>
  <c r="U165" i="1"/>
  <c r="V165" i="1"/>
  <c r="S164" i="1"/>
  <c r="T164" i="1"/>
  <c r="U164" i="1"/>
  <c r="V164" i="1"/>
  <c r="S163" i="1"/>
  <c r="T163" i="1"/>
  <c r="U163" i="1"/>
  <c r="V163" i="1"/>
  <c r="S162" i="1"/>
  <c r="T162" i="1"/>
  <c r="U162" i="1"/>
  <c r="V162" i="1"/>
  <c r="S161" i="1"/>
  <c r="T161" i="1"/>
  <c r="U161" i="1"/>
  <c r="V161" i="1"/>
  <c r="S160" i="1"/>
  <c r="T160" i="1"/>
  <c r="U160" i="1"/>
  <c r="V160" i="1"/>
  <c r="S159" i="1"/>
  <c r="T159" i="1"/>
  <c r="U159" i="1"/>
  <c r="V159" i="1"/>
  <c r="S158" i="1"/>
  <c r="T158" i="1"/>
  <c r="U158" i="1"/>
  <c r="V158" i="1"/>
  <c r="S157" i="1"/>
  <c r="T157" i="1"/>
  <c r="U157" i="1"/>
  <c r="V157" i="1"/>
  <c r="S156" i="1"/>
  <c r="T156" i="1"/>
  <c r="U156" i="1"/>
  <c r="V156" i="1"/>
  <c r="S155" i="1"/>
  <c r="T155" i="1"/>
  <c r="U155" i="1"/>
  <c r="V155" i="1"/>
  <c r="S154" i="1"/>
  <c r="T154" i="1"/>
  <c r="U154" i="1"/>
  <c r="V154" i="1"/>
  <c r="S153" i="1"/>
  <c r="T153" i="1"/>
  <c r="U153" i="1"/>
  <c r="V153" i="1"/>
  <c r="S152" i="1"/>
  <c r="T152" i="1"/>
  <c r="U152" i="1"/>
  <c r="V152" i="1"/>
  <c r="S151" i="1"/>
  <c r="T151" i="1"/>
  <c r="U151" i="1"/>
  <c r="V151" i="1"/>
  <c r="S150" i="1"/>
  <c r="T150" i="1"/>
  <c r="U150" i="1"/>
  <c r="V150" i="1"/>
  <c r="S149" i="1"/>
  <c r="T149" i="1"/>
  <c r="U149" i="1"/>
  <c r="V149" i="1"/>
  <c r="S148" i="1"/>
  <c r="T148" i="1"/>
  <c r="U148" i="1"/>
  <c r="V148" i="1"/>
  <c r="S147" i="1"/>
  <c r="T147" i="1"/>
  <c r="U147" i="1"/>
  <c r="V147" i="1"/>
  <c r="S146" i="1"/>
  <c r="T146" i="1"/>
  <c r="U146" i="1"/>
  <c r="V146" i="1"/>
  <c r="S145" i="1"/>
  <c r="T145" i="1"/>
  <c r="U145" i="1"/>
  <c r="V145" i="1"/>
  <c r="S144" i="1"/>
  <c r="T144" i="1"/>
  <c r="U144" i="1"/>
  <c r="V144" i="1"/>
  <c r="S143" i="1"/>
  <c r="T143" i="1"/>
  <c r="U143" i="1"/>
  <c r="V143" i="1"/>
  <c r="S142" i="1"/>
  <c r="T142" i="1"/>
  <c r="U142" i="1"/>
  <c r="V142" i="1"/>
  <c r="S141" i="1"/>
  <c r="T141" i="1"/>
  <c r="U141" i="1"/>
  <c r="V141" i="1"/>
  <c r="S140" i="1"/>
  <c r="T140" i="1"/>
  <c r="U140" i="1"/>
  <c r="V140" i="1"/>
  <c r="S139" i="1"/>
  <c r="T139" i="1"/>
  <c r="U139" i="1"/>
  <c r="V139" i="1"/>
  <c r="S138" i="1"/>
  <c r="T138" i="1"/>
  <c r="U138" i="1"/>
  <c r="V138" i="1"/>
  <c r="S137" i="1"/>
  <c r="T137" i="1"/>
  <c r="U137" i="1"/>
  <c r="V137" i="1"/>
  <c r="S136" i="1"/>
  <c r="T136" i="1"/>
  <c r="U136" i="1"/>
  <c r="V136" i="1"/>
  <c r="S135" i="1"/>
  <c r="T135" i="1"/>
  <c r="U135" i="1"/>
  <c r="V135" i="1"/>
  <c r="S134" i="1"/>
  <c r="T134" i="1"/>
  <c r="U134" i="1"/>
  <c r="V134" i="1"/>
  <c r="S133" i="1"/>
  <c r="T133" i="1"/>
  <c r="U133" i="1"/>
  <c r="V133" i="1"/>
  <c r="S132" i="1"/>
  <c r="T132" i="1"/>
  <c r="U132" i="1"/>
  <c r="V132" i="1"/>
  <c r="S131" i="1"/>
  <c r="T131" i="1"/>
  <c r="U131" i="1"/>
  <c r="V131" i="1"/>
  <c r="S130" i="1"/>
  <c r="T130" i="1"/>
  <c r="U130" i="1"/>
  <c r="V130" i="1"/>
  <c r="S129" i="1"/>
  <c r="T129" i="1"/>
  <c r="U129" i="1"/>
  <c r="V129" i="1"/>
  <c r="S128" i="1"/>
  <c r="T128" i="1"/>
  <c r="U128" i="1"/>
  <c r="V128" i="1"/>
  <c r="S127" i="1"/>
  <c r="T127" i="1"/>
  <c r="U127" i="1"/>
  <c r="V127" i="1"/>
  <c r="S126" i="1"/>
  <c r="T126" i="1"/>
  <c r="U126" i="1"/>
  <c r="V126" i="1"/>
  <c r="S125" i="1"/>
  <c r="T125" i="1"/>
  <c r="U125" i="1"/>
  <c r="V125" i="1"/>
  <c r="S124" i="1"/>
  <c r="T124" i="1"/>
  <c r="U124" i="1"/>
  <c r="V124" i="1"/>
  <c r="S123" i="1"/>
  <c r="T123" i="1"/>
  <c r="U123" i="1"/>
  <c r="V123" i="1"/>
  <c r="S122" i="1"/>
  <c r="T122" i="1"/>
  <c r="U122" i="1"/>
  <c r="V122" i="1"/>
  <c r="S121" i="1"/>
  <c r="T121" i="1"/>
  <c r="U121" i="1"/>
  <c r="V121" i="1"/>
  <c r="S120" i="1"/>
  <c r="T120" i="1"/>
  <c r="U120" i="1"/>
  <c r="V120" i="1"/>
  <c r="S119" i="1"/>
  <c r="T119" i="1"/>
  <c r="U119" i="1"/>
  <c r="V119" i="1"/>
  <c r="S118" i="1"/>
  <c r="T118" i="1"/>
  <c r="U118" i="1"/>
  <c r="V118" i="1"/>
  <c r="S117" i="1"/>
  <c r="T117" i="1"/>
  <c r="U117" i="1"/>
  <c r="V117" i="1"/>
  <c r="S116" i="1"/>
  <c r="T116" i="1"/>
  <c r="U116" i="1"/>
  <c r="V116" i="1"/>
  <c r="S115" i="1"/>
  <c r="T115" i="1"/>
  <c r="U115" i="1"/>
  <c r="V115" i="1"/>
  <c r="S114" i="1"/>
  <c r="T114" i="1"/>
  <c r="U114" i="1"/>
  <c r="V114" i="1"/>
  <c r="S113" i="1"/>
  <c r="T113" i="1"/>
  <c r="U113" i="1"/>
  <c r="V113" i="1"/>
  <c r="S112" i="1"/>
  <c r="T112" i="1"/>
  <c r="U112" i="1"/>
  <c r="V112" i="1"/>
  <c r="S111" i="1"/>
  <c r="T111" i="1"/>
  <c r="U111" i="1"/>
  <c r="V111" i="1"/>
  <c r="S110" i="1"/>
  <c r="T110" i="1"/>
  <c r="U110" i="1"/>
  <c r="V110" i="1"/>
  <c r="S109" i="1"/>
  <c r="T109" i="1"/>
  <c r="U109" i="1"/>
  <c r="V109" i="1"/>
  <c r="S108" i="1"/>
  <c r="T108" i="1"/>
  <c r="U108" i="1"/>
  <c r="V108" i="1"/>
  <c r="S107" i="1"/>
  <c r="T107" i="1"/>
  <c r="U107" i="1"/>
  <c r="V107" i="1"/>
  <c r="S106" i="1"/>
  <c r="T106" i="1"/>
  <c r="U106" i="1"/>
  <c r="V106" i="1"/>
  <c r="S105" i="1"/>
  <c r="T105" i="1"/>
  <c r="U105" i="1"/>
  <c r="V105" i="1"/>
  <c r="S104" i="1"/>
  <c r="T104" i="1"/>
  <c r="U104" i="1"/>
  <c r="V104" i="1"/>
  <c r="S103" i="1"/>
  <c r="T103" i="1"/>
  <c r="U103" i="1"/>
  <c r="V103" i="1"/>
  <c r="S102" i="1"/>
  <c r="T102" i="1"/>
  <c r="U102" i="1"/>
  <c r="V102" i="1"/>
  <c r="S101" i="1"/>
  <c r="T101" i="1"/>
  <c r="U101" i="1"/>
  <c r="V101" i="1"/>
  <c r="S100" i="1"/>
  <c r="T100" i="1"/>
  <c r="U100" i="1"/>
  <c r="V100" i="1"/>
  <c r="S99" i="1"/>
  <c r="T99" i="1"/>
  <c r="U99" i="1"/>
  <c r="V99" i="1"/>
  <c r="S98" i="1"/>
  <c r="T98" i="1"/>
  <c r="U98" i="1"/>
  <c r="V98" i="1"/>
  <c r="S97" i="1"/>
  <c r="T97" i="1"/>
  <c r="U97" i="1"/>
  <c r="V97" i="1"/>
  <c r="S96" i="1"/>
  <c r="T96" i="1"/>
  <c r="U96" i="1"/>
  <c r="V96" i="1"/>
  <c r="S95" i="1"/>
  <c r="T95" i="1"/>
  <c r="U95" i="1"/>
  <c r="V95" i="1"/>
  <c r="S94" i="1"/>
  <c r="T94" i="1"/>
  <c r="U94" i="1"/>
  <c r="V94" i="1"/>
  <c r="S93" i="1"/>
  <c r="T93" i="1"/>
  <c r="U93" i="1"/>
  <c r="V93" i="1"/>
  <c r="S92" i="1"/>
  <c r="T92" i="1"/>
  <c r="U92" i="1"/>
  <c r="V92" i="1"/>
  <c r="S91" i="1"/>
  <c r="T91" i="1"/>
  <c r="U91" i="1"/>
  <c r="V91" i="1"/>
  <c r="S90" i="1"/>
  <c r="T90" i="1"/>
  <c r="U90" i="1"/>
  <c r="V90" i="1"/>
  <c r="S89" i="1"/>
  <c r="T89" i="1"/>
  <c r="U89" i="1"/>
  <c r="V89" i="1"/>
  <c r="S88" i="1"/>
  <c r="T88" i="1"/>
  <c r="U88" i="1"/>
  <c r="V88" i="1"/>
  <c r="S87" i="1"/>
  <c r="T87" i="1"/>
  <c r="U87" i="1"/>
  <c r="V87" i="1"/>
  <c r="S86" i="1"/>
  <c r="T86" i="1"/>
  <c r="U86" i="1"/>
  <c r="V86" i="1"/>
  <c r="S85" i="1"/>
  <c r="T85" i="1"/>
  <c r="U85" i="1"/>
  <c r="V85" i="1"/>
  <c r="S84" i="1"/>
  <c r="T84" i="1"/>
  <c r="U84" i="1"/>
  <c r="V84" i="1"/>
  <c r="S83" i="1"/>
  <c r="T83" i="1"/>
  <c r="U83" i="1"/>
  <c r="V83" i="1"/>
  <c r="S82" i="1"/>
  <c r="T82" i="1"/>
  <c r="U82" i="1"/>
  <c r="V82" i="1"/>
  <c r="S81" i="1"/>
  <c r="T81" i="1"/>
  <c r="U81" i="1"/>
  <c r="V81" i="1"/>
  <c r="S80" i="1"/>
  <c r="T80" i="1"/>
  <c r="U80" i="1"/>
  <c r="V80" i="1"/>
  <c r="S79" i="1"/>
  <c r="T79" i="1"/>
  <c r="U79" i="1"/>
  <c r="V79" i="1"/>
  <c r="S78" i="1"/>
  <c r="T78" i="1"/>
  <c r="U78" i="1"/>
  <c r="V78" i="1"/>
  <c r="S77" i="1"/>
  <c r="T77" i="1"/>
  <c r="U77" i="1"/>
  <c r="V77" i="1"/>
  <c r="S76" i="1"/>
  <c r="T76" i="1"/>
  <c r="U76" i="1"/>
  <c r="V76" i="1"/>
  <c r="S75" i="1"/>
  <c r="T75" i="1"/>
  <c r="U75" i="1"/>
  <c r="V75" i="1"/>
  <c r="S74" i="1"/>
  <c r="T74" i="1"/>
  <c r="U74" i="1"/>
  <c r="V74" i="1"/>
  <c r="S73" i="1"/>
  <c r="T73" i="1"/>
  <c r="U73" i="1"/>
  <c r="V73" i="1"/>
  <c r="S72" i="1"/>
  <c r="T72" i="1"/>
  <c r="U72" i="1"/>
  <c r="V72" i="1"/>
  <c r="S71" i="1"/>
  <c r="T71" i="1"/>
  <c r="U71" i="1"/>
  <c r="V71" i="1"/>
  <c r="S70" i="1"/>
  <c r="T70" i="1"/>
  <c r="U70" i="1"/>
  <c r="V70" i="1"/>
  <c r="S69" i="1"/>
  <c r="T69" i="1"/>
  <c r="U69" i="1"/>
  <c r="V69" i="1"/>
  <c r="S68" i="1"/>
  <c r="T68" i="1"/>
  <c r="U68" i="1"/>
  <c r="V68" i="1"/>
  <c r="S67" i="1"/>
  <c r="T67" i="1"/>
  <c r="U67" i="1"/>
  <c r="V67" i="1"/>
  <c r="S66" i="1"/>
  <c r="T66" i="1"/>
  <c r="U66" i="1"/>
  <c r="V66" i="1"/>
  <c r="S65" i="1"/>
  <c r="T65" i="1"/>
  <c r="U65" i="1"/>
  <c r="V65" i="1"/>
  <c r="S64" i="1"/>
  <c r="T64" i="1"/>
  <c r="U64" i="1"/>
  <c r="V64" i="1"/>
  <c r="S63" i="1"/>
  <c r="T63" i="1"/>
  <c r="U63" i="1"/>
  <c r="V63" i="1"/>
  <c r="S62" i="1"/>
  <c r="T62" i="1"/>
  <c r="U62" i="1"/>
  <c r="V62" i="1"/>
  <c r="S61" i="1"/>
  <c r="T61" i="1"/>
  <c r="U61" i="1"/>
  <c r="V61" i="1"/>
  <c r="S60" i="1"/>
  <c r="T60" i="1"/>
  <c r="U60" i="1"/>
  <c r="V60" i="1"/>
  <c r="S59" i="1"/>
  <c r="T59" i="1"/>
  <c r="U59" i="1"/>
  <c r="V59" i="1"/>
  <c r="S58" i="1"/>
  <c r="T58" i="1"/>
  <c r="U58" i="1"/>
  <c r="V58" i="1"/>
  <c r="S57" i="1"/>
  <c r="T57" i="1"/>
  <c r="U57" i="1"/>
  <c r="V57" i="1"/>
  <c r="S56" i="1"/>
  <c r="T56" i="1"/>
  <c r="U56" i="1"/>
  <c r="V56" i="1"/>
  <c r="S55" i="1"/>
  <c r="T55" i="1"/>
  <c r="U55" i="1"/>
  <c r="V55" i="1"/>
  <c r="S54" i="1"/>
  <c r="T54" i="1"/>
  <c r="U54" i="1"/>
  <c r="V54" i="1"/>
  <c r="S53" i="1"/>
  <c r="T53" i="1"/>
  <c r="U53" i="1"/>
  <c r="V53" i="1"/>
  <c r="S52" i="1"/>
  <c r="T52" i="1"/>
  <c r="U52" i="1"/>
  <c r="V52" i="1"/>
  <c r="S51" i="1"/>
  <c r="T51" i="1"/>
  <c r="U51" i="1"/>
  <c r="V51" i="1"/>
  <c r="S50" i="1"/>
  <c r="T50" i="1"/>
  <c r="U50" i="1"/>
  <c r="V50" i="1"/>
  <c r="S49" i="1"/>
  <c r="T49" i="1"/>
  <c r="U49" i="1"/>
  <c r="V49" i="1"/>
  <c r="S48" i="1"/>
  <c r="T48" i="1"/>
  <c r="U48" i="1"/>
  <c r="V48" i="1"/>
  <c r="S47" i="1"/>
  <c r="T47" i="1"/>
  <c r="U47" i="1"/>
  <c r="V47" i="1"/>
  <c r="S46" i="1"/>
  <c r="T46" i="1"/>
  <c r="U46" i="1"/>
  <c r="V46" i="1"/>
  <c r="S45" i="1"/>
  <c r="T45" i="1"/>
  <c r="U45" i="1"/>
  <c r="V45" i="1"/>
  <c r="S44" i="1"/>
  <c r="T44" i="1"/>
  <c r="U44" i="1"/>
  <c r="V44" i="1"/>
  <c r="S43" i="1"/>
  <c r="T43" i="1"/>
  <c r="U43" i="1"/>
  <c r="V43" i="1"/>
  <c r="S42" i="1"/>
  <c r="T42" i="1"/>
  <c r="U42" i="1"/>
  <c r="V42" i="1"/>
  <c r="S41" i="1"/>
  <c r="T41" i="1"/>
  <c r="U41" i="1"/>
  <c r="V41" i="1"/>
  <c r="S40" i="1"/>
  <c r="T40" i="1"/>
  <c r="U40" i="1"/>
  <c r="V40" i="1"/>
  <c r="S39" i="1"/>
  <c r="T39" i="1"/>
  <c r="U39" i="1"/>
  <c r="V39" i="1"/>
  <c r="S38" i="1"/>
  <c r="T38" i="1"/>
  <c r="U38" i="1"/>
  <c r="V38" i="1"/>
  <c r="S37" i="1"/>
  <c r="T37" i="1"/>
  <c r="U37" i="1"/>
  <c r="V37" i="1"/>
  <c r="S36" i="1"/>
  <c r="T36" i="1"/>
  <c r="U36" i="1"/>
  <c r="V36" i="1"/>
  <c r="S35" i="1"/>
  <c r="T35" i="1"/>
  <c r="U35" i="1"/>
  <c r="V35" i="1"/>
  <c r="S34" i="1"/>
  <c r="T34" i="1"/>
  <c r="U34" i="1"/>
  <c r="V34" i="1"/>
  <c r="S33" i="1"/>
  <c r="T33" i="1"/>
  <c r="U33" i="1"/>
  <c r="V33" i="1"/>
  <c r="S32" i="1"/>
  <c r="T32" i="1"/>
  <c r="U32" i="1"/>
  <c r="V32" i="1"/>
  <c r="S31" i="1"/>
  <c r="T31" i="1"/>
  <c r="U31" i="1"/>
  <c r="V31" i="1"/>
  <c r="S30" i="1"/>
  <c r="T30" i="1"/>
  <c r="U30" i="1"/>
  <c r="V30" i="1"/>
  <c r="S29" i="1"/>
  <c r="T29" i="1"/>
  <c r="U29" i="1"/>
  <c r="V29" i="1"/>
  <c r="S28" i="1"/>
  <c r="T28" i="1"/>
  <c r="U28" i="1"/>
  <c r="V28" i="1"/>
  <c r="S27" i="1"/>
  <c r="T27" i="1"/>
  <c r="U27" i="1"/>
  <c r="V27" i="1"/>
  <c r="S26" i="1"/>
  <c r="T26" i="1"/>
  <c r="U26" i="1"/>
  <c r="V26" i="1"/>
  <c r="S25" i="1"/>
  <c r="T25" i="1"/>
  <c r="U25" i="1"/>
  <c r="V25" i="1"/>
  <c r="S24" i="1"/>
  <c r="T24" i="1"/>
  <c r="U24" i="1"/>
  <c r="V24" i="1"/>
  <c r="S23" i="1"/>
  <c r="T23" i="1"/>
  <c r="U23" i="1"/>
  <c r="V23" i="1"/>
  <c r="S22" i="1"/>
  <c r="T22" i="1"/>
  <c r="U22" i="1"/>
  <c r="V22" i="1"/>
  <c r="S21" i="1"/>
  <c r="T21" i="1"/>
  <c r="U21" i="1"/>
  <c r="V21" i="1"/>
  <c r="S20" i="1"/>
  <c r="T20" i="1"/>
  <c r="U20" i="1"/>
  <c r="V20" i="1"/>
  <c r="S19" i="1"/>
  <c r="T19" i="1"/>
  <c r="U19" i="1"/>
  <c r="V19" i="1"/>
  <c r="S18" i="1"/>
  <c r="T18" i="1"/>
  <c r="U18" i="1"/>
  <c r="V18" i="1"/>
  <c r="S17" i="1"/>
  <c r="T17" i="1"/>
  <c r="U17" i="1"/>
  <c r="V17" i="1"/>
  <c r="S16" i="1"/>
  <c r="T16" i="1"/>
  <c r="U16" i="1"/>
  <c r="V16" i="1"/>
  <c r="S15" i="1"/>
  <c r="T15" i="1"/>
  <c r="U15" i="1"/>
  <c r="V15" i="1"/>
  <c r="S14" i="1"/>
  <c r="T14" i="1"/>
  <c r="U14" i="1"/>
  <c r="V14" i="1"/>
  <c r="S13" i="1"/>
  <c r="T13" i="1"/>
  <c r="U13" i="1"/>
  <c r="V13" i="1"/>
  <c r="S12" i="1"/>
  <c r="T12" i="1"/>
  <c r="U12" i="1"/>
  <c r="V12" i="1"/>
  <c r="K2" i="1"/>
  <c r="V1007" i="3"/>
  <c r="W1007" i="3"/>
  <c r="X1007" i="3"/>
  <c r="Y1007" i="3"/>
  <c r="V1006" i="3"/>
  <c r="W1006" i="3"/>
  <c r="X1006" i="3"/>
  <c r="Y1006" i="3"/>
  <c r="V1005" i="3"/>
  <c r="W1005" i="3"/>
  <c r="X1005" i="3"/>
  <c r="Y1005" i="3"/>
  <c r="V1004" i="3"/>
  <c r="W1004" i="3"/>
  <c r="X1004" i="3"/>
  <c r="Y1004" i="3"/>
  <c r="V1003" i="3"/>
  <c r="W1003" i="3"/>
  <c r="X1003" i="3"/>
  <c r="Y1003" i="3"/>
  <c r="V1002" i="3"/>
  <c r="W1002" i="3"/>
  <c r="X1002" i="3"/>
  <c r="Y1002" i="3"/>
  <c r="V1001" i="3"/>
  <c r="W1001" i="3"/>
  <c r="X1001" i="3"/>
  <c r="Y1001" i="3"/>
  <c r="V1000" i="3"/>
  <c r="W1000" i="3"/>
  <c r="X1000" i="3"/>
  <c r="Y1000" i="3"/>
  <c r="V999" i="3"/>
  <c r="W999" i="3"/>
  <c r="X999" i="3"/>
  <c r="Y999" i="3"/>
  <c r="V998" i="3"/>
  <c r="W998" i="3"/>
  <c r="X998" i="3"/>
  <c r="Y998" i="3"/>
  <c r="V997" i="3"/>
  <c r="W997" i="3"/>
  <c r="X997" i="3"/>
  <c r="Y997" i="3"/>
  <c r="V996" i="3"/>
  <c r="W996" i="3"/>
  <c r="X996" i="3"/>
  <c r="Y996" i="3"/>
  <c r="V995" i="3"/>
  <c r="W995" i="3"/>
  <c r="X995" i="3"/>
  <c r="Y995" i="3"/>
  <c r="V994" i="3"/>
  <c r="W994" i="3"/>
  <c r="X994" i="3"/>
  <c r="Y994" i="3"/>
  <c r="V993" i="3"/>
  <c r="W993" i="3"/>
  <c r="X993" i="3"/>
  <c r="Y993" i="3"/>
  <c r="V992" i="3"/>
  <c r="W992" i="3"/>
  <c r="X992" i="3"/>
  <c r="Y992" i="3"/>
  <c r="V991" i="3"/>
  <c r="W991" i="3"/>
  <c r="X991" i="3"/>
  <c r="Y991" i="3"/>
  <c r="V990" i="3"/>
  <c r="W990" i="3"/>
  <c r="X990" i="3"/>
  <c r="Y990" i="3"/>
  <c r="V989" i="3"/>
  <c r="W989" i="3"/>
  <c r="X989" i="3"/>
  <c r="Y989" i="3"/>
  <c r="V988" i="3"/>
  <c r="W988" i="3"/>
  <c r="X988" i="3"/>
  <c r="Y988" i="3"/>
  <c r="V987" i="3"/>
  <c r="W987" i="3"/>
  <c r="X987" i="3"/>
  <c r="Y987" i="3"/>
  <c r="V986" i="3"/>
  <c r="W986" i="3"/>
  <c r="X986" i="3"/>
  <c r="Y986" i="3"/>
  <c r="V985" i="3"/>
  <c r="W985" i="3"/>
  <c r="X985" i="3"/>
  <c r="Y985" i="3"/>
  <c r="V984" i="3"/>
  <c r="W984" i="3"/>
  <c r="X984" i="3"/>
  <c r="Y984" i="3"/>
  <c r="V983" i="3"/>
  <c r="W983" i="3"/>
  <c r="X983" i="3"/>
  <c r="Y983" i="3"/>
  <c r="V982" i="3"/>
  <c r="W982" i="3"/>
  <c r="X982" i="3"/>
  <c r="Y982" i="3"/>
  <c r="V981" i="3"/>
  <c r="W981" i="3"/>
  <c r="X981" i="3"/>
  <c r="Y981" i="3"/>
  <c r="V980" i="3"/>
  <c r="W980" i="3"/>
  <c r="X980" i="3"/>
  <c r="Y980" i="3"/>
  <c r="V979" i="3"/>
  <c r="W979" i="3"/>
  <c r="X979" i="3"/>
  <c r="Y979" i="3"/>
  <c r="V978" i="3"/>
  <c r="W978" i="3"/>
  <c r="X978" i="3"/>
  <c r="Y978" i="3"/>
  <c r="V977" i="3"/>
  <c r="W977" i="3"/>
  <c r="X977" i="3"/>
  <c r="Y977" i="3"/>
  <c r="V976" i="3"/>
  <c r="W976" i="3"/>
  <c r="X976" i="3"/>
  <c r="Y976" i="3"/>
  <c r="V975" i="3"/>
  <c r="W975" i="3"/>
  <c r="X975" i="3"/>
  <c r="Y975" i="3"/>
  <c r="V974" i="3"/>
  <c r="W974" i="3"/>
  <c r="X974" i="3"/>
  <c r="Y974" i="3"/>
  <c r="V973" i="3"/>
  <c r="W973" i="3"/>
  <c r="X973" i="3"/>
  <c r="Y973" i="3"/>
  <c r="V972" i="3"/>
  <c r="W972" i="3"/>
  <c r="X972" i="3"/>
  <c r="Y972" i="3"/>
  <c r="V971" i="3"/>
  <c r="W971" i="3"/>
  <c r="X971" i="3"/>
  <c r="Y971" i="3"/>
  <c r="V970" i="3"/>
  <c r="W970" i="3"/>
  <c r="X970" i="3"/>
  <c r="Y970" i="3"/>
  <c r="V969" i="3"/>
  <c r="W969" i="3"/>
  <c r="X969" i="3"/>
  <c r="Y969" i="3"/>
  <c r="V968" i="3"/>
  <c r="W968" i="3"/>
  <c r="X968" i="3"/>
  <c r="Y968" i="3"/>
  <c r="V967" i="3"/>
  <c r="W967" i="3"/>
  <c r="X967" i="3"/>
  <c r="Y967" i="3"/>
  <c r="V966" i="3"/>
  <c r="W966" i="3"/>
  <c r="X966" i="3"/>
  <c r="Y966" i="3"/>
  <c r="V965" i="3"/>
  <c r="W965" i="3"/>
  <c r="X965" i="3"/>
  <c r="Y965" i="3"/>
  <c r="V964" i="3"/>
  <c r="W964" i="3"/>
  <c r="X964" i="3"/>
  <c r="Y964" i="3"/>
  <c r="V963" i="3"/>
  <c r="W963" i="3"/>
  <c r="X963" i="3"/>
  <c r="Y963" i="3"/>
  <c r="V962" i="3"/>
  <c r="W962" i="3"/>
  <c r="X962" i="3"/>
  <c r="Y962" i="3"/>
  <c r="V961" i="3"/>
  <c r="W961" i="3"/>
  <c r="X961" i="3"/>
  <c r="Y961" i="3"/>
  <c r="V960" i="3"/>
  <c r="W960" i="3"/>
  <c r="X960" i="3"/>
  <c r="Y960" i="3"/>
  <c r="V959" i="3"/>
  <c r="W959" i="3"/>
  <c r="X959" i="3"/>
  <c r="Y959" i="3"/>
  <c r="V958" i="3"/>
  <c r="W958" i="3"/>
  <c r="X958" i="3"/>
  <c r="Y958" i="3"/>
  <c r="V957" i="3"/>
  <c r="W957" i="3"/>
  <c r="X957" i="3"/>
  <c r="Y957" i="3"/>
  <c r="V956" i="3"/>
  <c r="W956" i="3"/>
  <c r="X956" i="3"/>
  <c r="Y956" i="3"/>
  <c r="V955" i="3"/>
  <c r="W955" i="3"/>
  <c r="X955" i="3"/>
  <c r="Y955" i="3"/>
  <c r="V954" i="3"/>
  <c r="W954" i="3"/>
  <c r="X954" i="3"/>
  <c r="Y954" i="3"/>
  <c r="V953" i="3"/>
  <c r="W953" i="3"/>
  <c r="X953" i="3"/>
  <c r="Y953" i="3"/>
  <c r="V952" i="3"/>
  <c r="W952" i="3"/>
  <c r="X952" i="3"/>
  <c r="Y952" i="3"/>
  <c r="V951" i="3"/>
  <c r="W951" i="3"/>
  <c r="X951" i="3"/>
  <c r="Y951" i="3"/>
  <c r="V950" i="3"/>
  <c r="W950" i="3"/>
  <c r="X950" i="3"/>
  <c r="Y950" i="3"/>
  <c r="V949" i="3"/>
  <c r="W949" i="3"/>
  <c r="X949" i="3"/>
  <c r="Y949" i="3"/>
  <c r="V948" i="3"/>
  <c r="W948" i="3"/>
  <c r="X948" i="3"/>
  <c r="Y948" i="3"/>
  <c r="V947" i="3"/>
  <c r="W947" i="3"/>
  <c r="X947" i="3"/>
  <c r="Y947" i="3"/>
  <c r="V946" i="3"/>
  <c r="W946" i="3"/>
  <c r="X946" i="3"/>
  <c r="Y946" i="3"/>
  <c r="V945" i="3"/>
  <c r="W945" i="3"/>
  <c r="X945" i="3"/>
  <c r="Y945" i="3"/>
  <c r="V944" i="3"/>
  <c r="W944" i="3"/>
  <c r="X944" i="3"/>
  <c r="Y944" i="3"/>
  <c r="V943" i="3"/>
  <c r="W943" i="3"/>
  <c r="X943" i="3"/>
  <c r="Y943" i="3"/>
  <c r="V942" i="3"/>
  <c r="W942" i="3"/>
  <c r="X942" i="3"/>
  <c r="Y942" i="3"/>
  <c r="V941" i="3"/>
  <c r="W941" i="3"/>
  <c r="X941" i="3"/>
  <c r="Y941" i="3"/>
  <c r="V940" i="3"/>
  <c r="W940" i="3"/>
  <c r="X940" i="3"/>
  <c r="Y940" i="3"/>
  <c r="V939" i="3"/>
  <c r="W939" i="3"/>
  <c r="X939" i="3"/>
  <c r="Y939" i="3"/>
  <c r="V938" i="3"/>
  <c r="W938" i="3"/>
  <c r="X938" i="3"/>
  <c r="Y938" i="3"/>
  <c r="V937" i="3"/>
  <c r="W937" i="3"/>
  <c r="X937" i="3"/>
  <c r="Y937" i="3"/>
  <c r="V936" i="3"/>
  <c r="W936" i="3"/>
  <c r="X936" i="3"/>
  <c r="Y936" i="3"/>
  <c r="V935" i="3"/>
  <c r="W935" i="3"/>
  <c r="X935" i="3"/>
  <c r="Y935" i="3"/>
  <c r="V934" i="3"/>
  <c r="W934" i="3"/>
  <c r="X934" i="3"/>
  <c r="Y934" i="3"/>
  <c r="V933" i="3"/>
  <c r="W933" i="3"/>
  <c r="X933" i="3"/>
  <c r="Y933" i="3"/>
  <c r="V932" i="3"/>
  <c r="W932" i="3"/>
  <c r="X932" i="3"/>
  <c r="Y932" i="3"/>
  <c r="V931" i="3"/>
  <c r="W931" i="3"/>
  <c r="X931" i="3"/>
  <c r="Y931" i="3"/>
  <c r="V930" i="3"/>
  <c r="W930" i="3"/>
  <c r="X930" i="3"/>
  <c r="Y930" i="3"/>
  <c r="V929" i="3"/>
  <c r="W929" i="3"/>
  <c r="X929" i="3"/>
  <c r="Y929" i="3"/>
  <c r="V928" i="3"/>
  <c r="W928" i="3"/>
  <c r="X928" i="3"/>
  <c r="Y928" i="3"/>
  <c r="V927" i="3"/>
  <c r="W927" i="3"/>
  <c r="X927" i="3"/>
  <c r="Y927" i="3"/>
  <c r="V926" i="3"/>
  <c r="W926" i="3"/>
  <c r="X926" i="3"/>
  <c r="Y926" i="3"/>
  <c r="V925" i="3"/>
  <c r="W925" i="3"/>
  <c r="X925" i="3"/>
  <c r="Y925" i="3"/>
  <c r="V924" i="3"/>
  <c r="W924" i="3"/>
  <c r="X924" i="3"/>
  <c r="Y924" i="3"/>
  <c r="V923" i="3"/>
  <c r="W923" i="3"/>
  <c r="X923" i="3"/>
  <c r="Y923" i="3"/>
  <c r="V922" i="3"/>
  <c r="W922" i="3"/>
  <c r="X922" i="3"/>
  <c r="Y922" i="3"/>
  <c r="V921" i="3"/>
  <c r="W921" i="3"/>
  <c r="X921" i="3"/>
  <c r="Y921" i="3"/>
  <c r="V920" i="3"/>
  <c r="W920" i="3"/>
  <c r="X920" i="3"/>
  <c r="Y920" i="3"/>
  <c r="V919" i="3"/>
  <c r="W919" i="3"/>
  <c r="X919" i="3"/>
  <c r="Y919" i="3"/>
  <c r="V918" i="3"/>
  <c r="W918" i="3"/>
  <c r="X918" i="3"/>
  <c r="Y918" i="3"/>
  <c r="V917" i="3"/>
  <c r="W917" i="3"/>
  <c r="X917" i="3"/>
  <c r="Y917" i="3"/>
  <c r="V916" i="3"/>
  <c r="W916" i="3"/>
  <c r="X916" i="3"/>
  <c r="Y916" i="3"/>
  <c r="V915" i="3"/>
  <c r="W915" i="3"/>
  <c r="X915" i="3"/>
  <c r="Y915" i="3"/>
  <c r="V914" i="3"/>
  <c r="W914" i="3"/>
  <c r="X914" i="3"/>
  <c r="Y914" i="3"/>
  <c r="V913" i="3"/>
  <c r="W913" i="3"/>
  <c r="X913" i="3"/>
  <c r="Y913" i="3"/>
  <c r="V912" i="3"/>
  <c r="W912" i="3"/>
  <c r="X912" i="3"/>
  <c r="Y912" i="3"/>
  <c r="V911" i="3"/>
  <c r="W911" i="3"/>
  <c r="X911" i="3"/>
  <c r="Y911" i="3"/>
  <c r="V910" i="3"/>
  <c r="W910" i="3"/>
  <c r="X910" i="3"/>
  <c r="Y910" i="3"/>
  <c r="V909" i="3"/>
  <c r="W909" i="3"/>
  <c r="X909" i="3"/>
  <c r="Y909" i="3"/>
  <c r="V908" i="3"/>
  <c r="W908" i="3"/>
  <c r="X908" i="3"/>
  <c r="Y908" i="3"/>
  <c r="V907" i="3"/>
  <c r="W907" i="3"/>
  <c r="X907" i="3"/>
  <c r="Y907" i="3"/>
  <c r="V906" i="3"/>
  <c r="W906" i="3"/>
  <c r="X906" i="3"/>
  <c r="Y906" i="3"/>
  <c r="V905" i="3"/>
  <c r="W905" i="3"/>
  <c r="X905" i="3"/>
  <c r="Y905" i="3"/>
  <c r="V904" i="3"/>
  <c r="W904" i="3"/>
  <c r="X904" i="3"/>
  <c r="Y904" i="3"/>
  <c r="V903" i="3"/>
  <c r="W903" i="3"/>
  <c r="X903" i="3"/>
  <c r="Y903" i="3"/>
  <c r="V902" i="3"/>
  <c r="W902" i="3"/>
  <c r="X902" i="3"/>
  <c r="Y902" i="3"/>
  <c r="V901" i="3"/>
  <c r="W901" i="3"/>
  <c r="X901" i="3"/>
  <c r="Y901" i="3"/>
  <c r="V900" i="3"/>
  <c r="W900" i="3"/>
  <c r="X900" i="3"/>
  <c r="Y900" i="3"/>
  <c r="V899" i="3"/>
  <c r="W899" i="3"/>
  <c r="X899" i="3"/>
  <c r="Y899" i="3"/>
  <c r="V898" i="3"/>
  <c r="W898" i="3"/>
  <c r="X898" i="3"/>
  <c r="Y898" i="3"/>
  <c r="V897" i="3"/>
  <c r="W897" i="3"/>
  <c r="X897" i="3"/>
  <c r="Y897" i="3"/>
  <c r="V896" i="3"/>
  <c r="W896" i="3"/>
  <c r="X896" i="3"/>
  <c r="Y896" i="3"/>
  <c r="V895" i="3"/>
  <c r="W895" i="3"/>
  <c r="X895" i="3"/>
  <c r="Y895" i="3"/>
  <c r="V894" i="3"/>
  <c r="W894" i="3"/>
  <c r="X894" i="3"/>
  <c r="Y894" i="3"/>
  <c r="V893" i="3"/>
  <c r="W893" i="3"/>
  <c r="X893" i="3"/>
  <c r="Y893" i="3"/>
  <c r="V892" i="3"/>
  <c r="W892" i="3"/>
  <c r="X892" i="3"/>
  <c r="Y892" i="3"/>
  <c r="V891" i="3"/>
  <c r="W891" i="3"/>
  <c r="X891" i="3"/>
  <c r="Y891" i="3"/>
  <c r="V890" i="3"/>
  <c r="W890" i="3"/>
  <c r="X890" i="3"/>
  <c r="Y890" i="3"/>
  <c r="V889" i="3"/>
  <c r="W889" i="3"/>
  <c r="X889" i="3"/>
  <c r="Y889" i="3"/>
  <c r="V888" i="3"/>
  <c r="W888" i="3"/>
  <c r="X888" i="3"/>
  <c r="Y888" i="3"/>
  <c r="V887" i="3"/>
  <c r="W887" i="3"/>
  <c r="X887" i="3"/>
  <c r="Y887" i="3"/>
  <c r="V886" i="3"/>
  <c r="W886" i="3"/>
  <c r="X886" i="3"/>
  <c r="Y886" i="3"/>
  <c r="V885" i="3"/>
  <c r="W885" i="3"/>
  <c r="X885" i="3"/>
  <c r="Y885" i="3"/>
  <c r="V884" i="3"/>
  <c r="W884" i="3"/>
  <c r="X884" i="3"/>
  <c r="Y884" i="3"/>
  <c r="V883" i="3"/>
  <c r="W883" i="3"/>
  <c r="X883" i="3"/>
  <c r="Y883" i="3"/>
  <c r="V882" i="3"/>
  <c r="W882" i="3"/>
  <c r="X882" i="3"/>
  <c r="Y882" i="3"/>
  <c r="V881" i="3"/>
  <c r="W881" i="3"/>
  <c r="X881" i="3"/>
  <c r="Y881" i="3"/>
  <c r="V880" i="3"/>
  <c r="W880" i="3"/>
  <c r="X880" i="3"/>
  <c r="Y880" i="3"/>
  <c r="V879" i="3"/>
  <c r="W879" i="3"/>
  <c r="X879" i="3"/>
  <c r="Y879" i="3"/>
  <c r="V878" i="3"/>
  <c r="W878" i="3"/>
  <c r="X878" i="3"/>
  <c r="Y878" i="3"/>
  <c r="V877" i="3"/>
  <c r="W877" i="3"/>
  <c r="X877" i="3"/>
  <c r="Y877" i="3"/>
  <c r="V876" i="3"/>
  <c r="W876" i="3"/>
  <c r="X876" i="3"/>
  <c r="Y876" i="3"/>
  <c r="V875" i="3"/>
  <c r="W875" i="3"/>
  <c r="X875" i="3"/>
  <c r="Y875" i="3"/>
  <c r="V874" i="3"/>
  <c r="W874" i="3"/>
  <c r="X874" i="3"/>
  <c r="Y874" i="3"/>
  <c r="V873" i="3"/>
  <c r="W873" i="3"/>
  <c r="X873" i="3"/>
  <c r="Y873" i="3"/>
  <c r="V872" i="3"/>
  <c r="W872" i="3"/>
  <c r="X872" i="3"/>
  <c r="Y872" i="3"/>
  <c r="V871" i="3"/>
  <c r="W871" i="3"/>
  <c r="X871" i="3"/>
  <c r="Y871" i="3"/>
  <c r="V870" i="3"/>
  <c r="W870" i="3"/>
  <c r="X870" i="3"/>
  <c r="Y870" i="3"/>
  <c r="V869" i="3"/>
  <c r="W869" i="3"/>
  <c r="X869" i="3"/>
  <c r="Y869" i="3"/>
  <c r="V868" i="3"/>
  <c r="W868" i="3"/>
  <c r="X868" i="3"/>
  <c r="Y868" i="3"/>
  <c r="V867" i="3"/>
  <c r="W867" i="3"/>
  <c r="X867" i="3"/>
  <c r="Y867" i="3"/>
  <c r="V866" i="3"/>
  <c r="W866" i="3"/>
  <c r="X866" i="3"/>
  <c r="Y866" i="3"/>
  <c r="V865" i="3"/>
  <c r="W865" i="3"/>
  <c r="X865" i="3"/>
  <c r="Y865" i="3"/>
  <c r="V864" i="3"/>
  <c r="W864" i="3"/>
  <c r="X864" i="3"/>
  <c r="Y864" i="3"/>
  <c r="V863" i="3"/>
  <c r="W863" i="3"/>
  <c r="X863" i="3"/>
  <c r="Y863" i="3"/>
  <c r="V862" i="3"/>
  <c r="W862" i="3"/>
  <c r="X862" i="3"/>
  <c r="Y862" i="3"/>
  <c r="V861" i="3"/>
  <c r="W861" i="3"/>
  <c r="X861" i="3"/>
  <c r="Y861" i="3"/>
  <c r="V860" i="3"/>
  <c r="W860" i="3"/>
  <c r="X860" i="3"/>
  <c r="Y860" i="3"/>
  <c r="V859" i="3"/>
  <c r="W859" i="3"/>
  <c r="X859" i="3"/>
  <c r="Y859" i="3"/>
  <c r="V858" i="3"/>
  <c r="W858" i="3"/>
  <c r="X858" i="3"/>
  <c r="Y858" i="3"/>
  <c r="V857" i="3"/>
  <c r="W857" i="3"/>
  <c r="X857" i="3"/>
  <c r="Y857" i="3"/>
  <c r="W856" i="3"/>
  <c r="V856" i="3"/>
  <c r="Y856" i="3"/>
  <c r="X856" i="3"/>
  <c r="Y855" i="3"/>
  <c r="W855" i="3"/>
  <c r="X855" i="3"/>
  <c r="V855" i="3"/>
  <c r="Y854" i="3"/>
  <c r="W854" i="3"/>
  <c r="V854" i="3"/>
  <c r="X854" i="3"/>
  <c r="Y853" i="3"/>
  <c r="W853" i="3"/>
  <c r="X853" i="3"/>
  <c r="V853" i="3"/>
  <c r="X852" i="3"/>
  <c r="V852" i="3"/>
  <c r="W852" i="3"/>
  <c r="Y852" i="3"/>
  <c r="V851" i="3"/>
  <c r="Y851" i="3"/>
  <c r="X851" i="3"/>
  <c r="W851" i="3"/>
  <c r="Y850" i="3"/>
  <c r="X850" i="3"/>
  <c r="W850" i="3"/>
  <c r="V850" i="3"/>
  <c r="X849" i="3"/>
  <c r="W849" i="3"/>
  <c r="V849" i="3"/>
  <c r="Y849" i="3"/>
  <c r="V848" i="3"/>
  <c r="Y848" i="3"/>
  <c r="W848" i="3"/>
  <c r="X848" i="3"/>
  <c r="Y847" i="3"/>
  <c r="X847" i="3"/>
  <c r="W847" i="3"/>
  <c r="V847" i="3"/>
  <c r="X846" i="3"/>
  <c r="Y846" i="3"/>
  <c r="V846" i="3"/>
  <c r="W846" i="3"/>
  <c r="Y845" i="3"/>
  <c r="X845" i="3"/>
  <c r="W845" i="3"/>
  <c r="V845" i="3"/>
  <c r="W844" i="3"/>
  <c r="V844" i="3"/>
  <c r="Y844" i="3"/>
  <c r="X844" i="3"/>
  <c r="V843" i="3"/>
  <c r="Y843" i="3"/>
  <c r="X843" i="3"/>
  <c r="W843" i="3"/>
  <c r="Y842" i="3"/>
  <c r="W842" i="3"/>
  <c r="V842" i="3"/>
  <c r="X842" i="3"/>
  <c r="Y841" i="3"/>
  <c r="W841" i="3"/>
  <c r="X841" i="3"/>
  <c r="V841" i="3"/>
  <c r="Y840" i="3"/>
  <c r="V840" i="3"/>
  <c r="X840" i="3"/>
  <c r="W840" i="3"/>
  <c r="X839" i="3"/>
  <c r="W839" i="3"/>
  <c r="Y839" i="3"/>
  <c r="V839" i="3"/>
  <c r="V838" i="3"/>
  <c r="W838" i="3"/>
  <c r="X838" i="3"/>
  <c r="Y838" i="3"/>
  <c r="V837" i="3"/>
  <c r="W837" i="3"/>
  <c r="Y837" i="3"/>
  <c r="X837" i="3"/>
  <c r="Y836" i="3"/>
  <c r="W836" i="3"/>
  <c r="V836" i="3"/>
  <c r="X836" i="3"/>
  <c r="V835" i="3"/>
  <c r="W835" i="3"/>
  <c r="X835" i="3"/>
  <c r="Y835" i="3"/>
  <c r="X834" i="3"/>
  <c r="Y834" i="3"/>
  <c r="W834" i="3"/>
  <c r="V834" i="3"/>
  <c r="Y833" i="3"/>
  <c r="V833" i="3"/>
  <c r="X833" i="3"/>
  <c r="W833" i="3"/>
  <c r="W832" i="3"/>
  <c r="Y832" i="3"/>
  <c r="X832" i="3"/>
  <c r="V832" i="3"/>
  <c r="V831" i="3"/>
  <c r="Y831" i="3"/>
  <c r="X831" i="3"/>
  <c r="W831" i="3"/>
  <c r="X830" i="3"/>
  <c r="W830" i="3"/>
  <c r="V830" i="3"/>
  <c r="Y830" i="3"/>
  <c r="X829" i="3"/>
  <c r="V829" i="3"/>
  <c r="Y829" i="3"/>
  <c r="W829" i="3"/>
  <c r="X828" i="3"/>
  <c r="W828" i="3"/>
  <c r="V828" i="3"/>
  <c r="Y828" i="3"/>
  <c r="Y827" i="3"/>
  <c r="W827" i="3"/>
  <c r="V827" i="3"/>
  <c r="X827" i="3"/>
  <c r="Y826" i="3"/>
  <c r="X826" i="3"/>
  <c r="V826" i="3"/>
  <c r="W826" i="3"/>
  <c r="W825" i="3"/>
  <c r="Y825" i="3"/>
  <c r="X825" i="3"/>
  <c r="V825" i="3"/>
  <c r="W824" i="3"/>
  <c r="X824" i="3"/>
  <c r="Y824" i="3"/>
  <c r="V824" i="3"/>
  <c r="Y823" i="3"/>
  <c r="W823" i="3"/>
  <c r="X823" i="3"/>
  <c r="V823" i="3"/>
  <c r="X822" i="3"/>
  <c r="V822" i="3"/>
  <c r="Y822" i="3"/>
  <c r="W822" i="3"/>
  <c r="Y821" i="3"/>
  <c r="W821" i="3"/>
  <c r="V821" i="3"/>
  <c r="X821" i="3"/>
  <c r="Y820" i="3"/>
  <c r="W820" i="3"/>
  <c r="X820" i="3"/>
  <c r="V820" i="3"/>
  <c r="Y819" i="3"/>
  <c r="W819" i="3"/>
  <c r="V819" i="3"/>
  <c r="X819" i="3"/>
  <c r="W818" i="3"/>
  <c r="V818" i="3"/>
  <c r="Y818" i="3"/>
  <c r="X818" i="3"/>
  <c r="W817" i="3"/>
  <c r="V817" i="3"/>
  <c r="X817" i="3"/>
  <c r="Y817" i="3"/>
  <c r="W816" i="3"/>
  <c r="X816" i="3"/>
  <c r="Y816" i="3"/>
  <c r="V816" i="3"/>
  <c r="V815" i="3"/>
  <c r="Y815" i="3"/>
  <c r="W815" i="3"/>
  <c r="X815" i="3"/>
  <c r="V814" i="3"/>
  <c r="Y814" i="3"/>
  <c r="W814" i="3"/>
  <c r="X814" i="3"/>
  <c r="Y813" i="3"/>
  <c r="X813" i="3"/>
  <c r="V813" i="3"/>
  <c r="W813" i="3"/>
  <c r="X812" i="3"/>
  <c r="Y812" i="3"/>
  <c r="W812" i="3"/>
  <c r="V812" i="3"/>
  <c r="X811" i="3"/>
  <c r="W811" i="3"/>
  <c r="V811" i="3"/>
  <c r="Y811" i="3"/>
  <c r="X810" i="3"/>
  <c r="Y810" i="3"/>
  <c r="W810" i="3"/>
  <c r="V810" i="3"/>
  <c r="V809" i="3"/>
  <c r="Y809" i="3"/>
  <c r="X809" i="3"/>
  <c r="W809" i="3"/>
  <c r="X808" i="3"/>
  <c r="W808" i="3"/>
  <c r="Y808" i="3"/>
  <c r="V808" i="3"/>
  <c r="Y807" i="3"/>
  <c r="W807" i="3"/>
  <c r="V807" i="3"/>
  <c r="X807" i="3"/>
  <c r="Y806" i="3"/>
  <c r="V806" i="3"/>
  <c r="X806" i="3"/>
  <c r="W806" i="3"/>
  <c r="Y805" i="3"/>
  <c r="W805" i="3"/>
  <c r="X805" i="3"/>
  <c r="V805" i="3"/>
  <c r="X804" i="3"/>
  <c r="W804" i="3"/>
  <c r="V804" i="3"/>
  <c r="Y804" i="3"/>
  <c r="V803" i="3"/>
  <c r="Y803" i="3"/>
  <c r="X803" i="3"/>
  <c r="W803" i="3"/>
  <c r="W802" i="3"/>
  <c r="Y802" i="3"/>
  <c r="X802" i="3"/>
  <c r="V802" i="3"/>
  <c r="Y801" i="3"/>
  <c r="V801" i="3"/>
  <c r="W801" i="3"/>
  <c r="X801" i="3"/>
  <c r="X800" i="3"/>
  <c r="W800" i="3"/>
  <c r="V800" i="3"/>
  <c r="Y800" i="3"/>
  <c r="X799" i="3"/>
  <c r="V799" i="3"/>
  <c r="Y799" i="3"/>
  <c r="W799" i="3"/>
  <c r="W798" i="3"/>
  <c r="Y798" i="3"/>
  <c r="X798" i="3"/>
  <c r="V798" i="3"/>
  <c r="X797" i="3"/>
  <c r="W797" i="3"/>
  <c r="Y797" i="3"/>
  <c r="V797" i="3"/>
  <c r="Y796" i="3"/>
  <c r="V796" i="3"/>
  <c r="W796" i="3"/>
  <c r="X796" i="3"/>
  <c r="Y795" i="3"/>
  <c r="W795" i="3"/>
  <c r="X795" i="3"/>
  <c r="V795" i="3"/>
  <c r="W794" i="3"/>
  <c r="V794" i="3"/>
  <c r="X794" i="3"/>
  <c r="Y794" i="3"/>
  <c r="Y793" i="3"/>
  <c r="W793" i="3"/>
  <c r="V793" i="3"/>
  <c r="X793" i="3"/>
  <c r="W792" i="3"/>
  <c r="X792" i="3"/>
  <c r="Y792" i="3"/>
  <c r="V792" i="3"/>
  <c r="Y791" i="3"/>
  <c r="X791" i="3"/>
  <c r="V791" i="3"/>
  <c r="W791" i="3"/>
  <c r="Y790" i="3"/>
  <c r="X790" i="3"/>
  <c r="W790" i="3"/>
  <c r="V790" i="3"/>
  <c r="Y789" i="3"/>
  <c r="V789" i="3"/>
  <c r="X789" i="3"/>
  <c r="W789" i="3"/>
  <c r="W788" i="3"/>
  <c r="X788" i="3"/>
  <c r="V788" i="3"/>
  <c r="Y788" i="3"/>
  <c r="W787" i="3"/>
  <c r="X787" i="3"/>
  <c r="V787" i="3"/>
  <c r="Y787" i="3"/>
  <c r="W786" i="3"/>
  <c r="X786" i="3"/>
  <c r="Y786" i="3"/>
  <c r="V786" i="3"/>
  <c r="X785" i="3"/>
  <c r="Y785" i="3"/>
  <c r="W785" i="3"/>
  <c r="V785" i="3"/>
  <c r="X784" i="3"/>
  <c r="W784" i="3"/>
  <c r="V784" i="3"/>
  <c r="Y784" i="3"/>
  <c r="X783" i="3"/>
  <c r="V783" i="3"/>
  <c r="Y783" i="3"/>
  <c r="W783" i="3"/>
  <c r="Y782" i="3"/>
  <c r="W782" i="3"/>
  <c r="V782" i="3"/>
  <c r="X782" i="3"/>
  <c r="Y781" i="3"/>
  <c r="W781" i="3"/>
  <c r="V781" i="3"/>
  <c r="X781" i="3"/>
  <c r="W780" i="3"/>
  <c r="V780" i="3"/>
  <c r="X780" i="3"/>
  <c r="Y780" i="3"/>
  <c r="X779" i="3"/>
  <c r="V779" i="3"/>
  <c r="W779" i="3"/>
  <c r="Y779" i="3"/>
  <c r="Y778" i="3"/>
  <c r="W778" i="3"/>
  <c r="V778" i="3"/>
  <c r="X778" i="3"/>
  <c r="Y777" i="3"/>
  <c r="X777" i="3"/>
  <c r="W777" i="3"/>
  <c r="V777" i="3"/>
  <c r="X776" i="3"/>
  <c r="V776" i="3"/>
  <c r="Y776" i="3"/>
  <c r="W776" i="3"/>
  <c r="W775" i="3"/>
  <c r="Y775" i="3"/>
  <c r="V775" i="3"/>
  <c r="X775" i="3"/>
  <c r="Y774" i="3"/>
  <c r="V774" i="3"/>
  <c r="W774" i="3"/>
  <c r="X774" i="3"/>
  <c r="X773" i="3"/>
  <c r="Y773" i="3"/>
  <c r="W773" i="3"/>
  <c r="V773" i="3"/>
  <c r="Y772" i="3"/>
  <c r="X772" i="3"/>
  <c r="W772" i="3"/>
  <c r="V772" i="3"/>
  <c r="Y771" i="3"/>
  <c r="V771" i="3"/>
  <c r="X771" i="3"/>
  <c r="W771" i="3"/>
  <c r="X770" i="3"/>
  <c r="W770" i="3"/>
  <c r="V770" i="3"/>
  <c r="Y770" i="3"/>
  <c r="X769" i="3"/>
  <c r="Y769" i="3"/>
  <c r="V769" i="3"/>
  <c r="W769" i="3"/>
  <c r="V768" i="3"/>
  <c r="Y768" i="3"/>
  <c r="W768" i="3"/>
  <c r="X768" i="3"/>
  <c r="V767" i="3"/>
  <c r="Y767" i="3"/>
  <c r="X767" i="3"/>
  <c r="W767" i="3"/>
  <c r="V766" i="3"/>
  <c r="X766" i="3"/>
  <c r="Y766" i="3"/>
  <c r="W766" i="3"/>
  <c r="Y765" i="3"/>
  <c r="X765" i="3"/>
  <c r="W765" i="3"/>
  <c r="V765" i="3"/>
  <c r="Y764" i="3"/>
  <c r="W764" i="3"/>
  <c r="V764" i="3"/>
  <c r="X764" i="3"/>
  <c r="X763" i="3"/>
  <c r="Y763" i="3"/>
  <c r="W763" i="3"/>
  <c r="V763" i="3"/>
  <c r="W762" i="3"/>
  <c r="V762" i="3"/>
  <c r="Y762" i="3"/>
  <c r="X762" i="3"/>
  <c r="Y761" i="3"/>
  <c r="X761" i="3"/>
  <c r="W761" i="3"/>
  <c r="V761" i="3"/>
  <c r="Y760" i="3"/>
  <c r="W760" i="3"/>
  <c r="V760" i="3"/>
  <c r="X760" i="3"/>
  <c r="Y759" i="3"/>
  <c r="V759" i="3"/>
  <c r="W759" i="3"/>
  <c r="X759" i="3"/>
  <c r="X758" i="3"/>
  <c r="Y758" i="3"/>
  <c r="W758" i="3"/>
  <c r="V758" i="3"/>
  <c r="V757" i="3"/>
  <c r="Y757" i="3"/>
  <c r="W757" i="3"/>
  <c r="X757" i="3"/>
  <c r="X756" i="3"/>
  <c r="V756" i="3"/>
  <c r="Y756" i="3"/>
  <c r="W756" i="3"/>
  <c r="X755" i="3"/>
  <c r="V755" i="3"/>
  <c r="W755" i="3"/>
  <c r="Y755" i="3"/>
  <c r="X754" i="3"/>
  <c r="Y754" i="3"/>
  <c r="V754" i="3"/>
  <c r="W754" i="3"/>
  <c r="V753" i="3"/>
  <c r="W753" i="3"/>
  <c r="X753" i="3"/>
  <c r="Y753" i="3"/>
  <c r="V752" i="3"/>
  <c r="X752" i="3"/>
  <c r="Y752" i="3"/>
  <c r="W752" i="3"/>
  <c r="X751" i="3"/>
  <c r="V751" i="3"/>
  <c r="W751" i="3"/>
  <c r="Y751" i="3"/>
  <c r="Y750" i="3"/>
  <c r="V750" i="3"/>
  <c r="W750" i="3"/>
  <c r="X750" i="3"/>
  <c r="Y749" i="3"/>
  <c r="V749" i="3"/>
  <c r="X749" i="3"/>
  <c r="W749" i="3"/>
  <c r="Y748" i="3"/>
  <c r="W748" i="3"/>
  <c r="V748" i="3"/>
  <c r="X748" i="3"/>
  <c r="V747" i="3"/>
  <c r="Y747" i="3"/>
  <c r="X747" i="3"/>
  <c r="W747" i="3"/>
  <c r="Y746" i="3"/>
  <c r="X746" i="3"/>
  <c r="V746" i="3"/>
  <c r="W746" i="3"/>
  <c r="V745" i="3"/>
  <c r="W745" i="3"/>
  <c r="Y745" i="3"/>
  <c r="X745" i="3"/>
  <c r="Y744" i="3"/>
  <c r="V744" i="3"/>
  <c r="X744" i="3"/>
  <c r="W744" i="3"/>
  <c r="X743" i="3"/>
  <c r="V743" i="3"/>
  <c r="Y743" i="3"/>
  <c r="W743" i="3"/>
  <c r="Y742" i="3"/>
  <c r="V742" i="3"/>
  <c r="W742" i="3"/>
  <c r="X742" i="3"/>
  <c r="V741" i="3"/>
  <c r="W741" i="3"/>
  <c r="X741" i="3"/>
  <c r="Y741" i="3"/>
  <c r="V740" i="3"/>
  <c r="W740" i="3"/>
  <c r="X740" i="3"/>
  <c r="Y740" i="3"/>
  <c r="W739" i="3"/>
  <c r="X739" i="3"/>
  <c r="V739" i="3"/>
  <c r="Y739" i="3"/>
  <c r="Y738" i="3"/>
  <c r="V738" i="3"/>
  <c r="W738" i="3"/>
  <c r="X738" i="3"/>
  <c r="W737" i="3"/>
  <c r="X737" i="3"/>
  <c r="Y737" i="3"/>
  <c r="V737" i="3"/>
  <c r="Y736" i="3"/>
  <c r="V736" i="3"/>
  <c r="W736" i="3"/>
  <c r="X736" i="3"/>
  <c r="W735" i="3"/>
  <c r="X735" i="3"/>
  <c r="Y735" i="3"/>
  <c r="V735" i="3"/>
  <c r="Y734" i="3"/>
  <c r="X734" i="3"/>
  <c r="V734" i="3"/>
  <c r="W734" i="3"/>
  <c r="Y733" i="3"/>
  <c r="X733" i="3"/>
  <c r="W733" i="3"/>
  <c r="V733" i="3"/>
  <c r="X732" i="3"/>
  <c r="W732" i="3"/>
  <c r="Y732" i="3"/>
  <c r="V732" i="3"/>
  <c r="W731" i="3"/>
  <c r="Y731" i="3"/>
  <c r="V731" i="3"/>
  <c r="X731" i="3"/>
  <c r="W730" i="3"/>
  <c r="X730" i="3"/>
  <c r="Y730" i="3"/>
  <c r="V730" i="3"/>
  <c r="X729" i="3"/>
  <c r="V729" i="3"/>
  <c r="W729" i="3"/>
  <c r="Y729" i="3"/>
  <c r="V728" i="3"/>
  <c r="Y728" i="3"/>
  <c r="X728" i="3"/>
  <c r="W728" i="3"/>
  <c r="Y727" i="3"/>
  <c r="X727" i="3"/>
  <c r="V727" i="3"/>
  <c r="W727" i="3"/>
  <c r="Y726" i="3"/>
  <c r="X726" i="3"/>
  <c r="V726" i="3"/>
  <c r="W726" i="3"/>
  <c r="W725" i="3"/>
  <c r="V725" i="3"/>
  <c r="Y725" i="3"/>
  <c r="X725" i="3"/>
  <c r="Y724" i="3"/>
  <c r="V724" i="3"/>
  <c r="X724" i="3"/>
  <c r="W724" i="3"/>
  <c r="V723" i="3"/>
  <c r="X723" i="3"/>
  <c r="W723" i="3"/>
  <c r="Y723" i="3"/>
  <c r="X722" i="3"/>
  <c r="Y722" i="3"/>
  <c r="V722" i="3"/>
  <c r="W722" i="3"/>
  <c r="Y721" i="3"/>
  <c r="X721" i="3"/>
  <c r="W721" i="3"/>
  <c r="V721" i="3"/>
  <c r="V720" i="3"/>
  <c r="W720" i="3"/>
  <c r="X720" i="3"/>
  <c r="Y720" i="3"/>
  <c r="Y719" i="3"/>
  <c r="X719" i="3"/>
  <c r="W719" i="3"/>
  <c r="V719" i="3"/>
  <c r="Y718" i="3"/>
  <c r="X718" i="3"/>
  <c r="W718" i="3"/>
  <c r="V718" i="3"/>
  <c r="W717" i="3"/>
  <c r="X717" i="3"/>
  <c r="V717" i="3"/>
  <c r="Y717" i="3"/>
  <c r="X716" i="3"/>
  <c r="Y716" i="3"/>
  <c r="W716" i="3"/>
  <c r="V716" i="3"/>
  <c r="X715" i="3"/>
  <c r="W715" i="3"/>
  <c r="V715" i="3"/>
  <c r="Y715" i="3"/>
  <c r="Y714" i="3"/>
  <c r="W714" i="3"/>
  <c r="X714" i="3"/>
  <c r="V714" i="3"/>
  <c r="V713" i="3"/>
  <c r="Y713" i="3"/>
  <c r="W713" i="3"/>
  <c r="X713" i="3"/>
  <c r="Y712" i="3"/>
  <c r="X712" i="3"/>
  <c r="V712" i="3"/>
  <c r="W712" i="3"/>
  <c r="Y711" i="3"/>
  <c r="X711" i="3"/>
  <c r="W711" i="3"/>
  <c r="V711" i="3"/>
  <c r="V710" i="3"/>
  <c r="X710" i="3"/>
  <c r="Y710" i="3"/>
  <c r="W710" i="3"/>
  <c r="Y709" i="3"/>
  <c r="W709" i="3"/>
  <c r="X709" i="3"/>
  <c r="V709" i="3"/>
  <c r="V708" i="3"/>
  <c r="X708" i="3"/>
  <c r="Y708" i="3"/>
  <c r="W708" i="3"/>
  <c r="Y707" i="3"/>
  <c r="W707" i="3"/>
  <c r="X707" i="3"/>
  <c r="V707" i="3"/>
  <c r="X706" i="3"/>
  <c r="W706" i="3"/>
  <c r="V706" i="3"/>
  <c r="Y706" i="3"/>
  <c r="X705" i="3"/>
  <c r="W705" i="3"/>
  <c r="V705" i="3"/>
  <c r="Y705" i="3"/>
  <c r="Y704" i="3"/>
  <c r="W704" i="3"/>
  <c r="X704" i="3"/>
  <c r="V704" i="3"/>
  <c r="X703" i="3"/>
  <c r="V703" i="3"/>
  <c r="Y703" i="3"/>
  <c r="W703" i="3"/>
  <c r="Y702" i="3"/>
  <c r="W702" i="3"/>
  <c r="X702" i="3"/>
  <c r="V702" i="3"/>
  <c r="V701" i="3"/>
  <c r="X701" i="3"/>
  <c r="W701" i="3"/>
  <c r="Y701" i="3"/>
  <c r="V700" i="3"/>
  <c r="X700" i="3"/>
  <c r="Y700" i="3"/>
  <c r="W700" i="3"/>
  <c r="Y699" i="3"/>
  <c r="V699" i="3"/>
  <c r="X699" i="3"/>
  <c r="W699" i="3"/>
  <c r="Y698" i="3"/>
  <c r="V698" i="3"/>
  <c r="X698" i="3"/>
  <c r="W698" i="3"/>
  <c r="V697" i="3"/>
  <c r="X697" i="3"/>
  <c r="W697" i="3"/>
  <c r="Y697" i="3"/>
  <c r="Y696" i="3"/>
  <c r="X696" i="3"/>
  <c r="W696" i="3"/>
  <c r="V696" i="3"/>
  <c r="X695" i="3"/>
  <c r="V695" i="3"/>
  <c r="Y695" i="3"/>
  <c r="W695" i="3"/>
  <c r="X694" i="3"/>
  <c r="V694" i="3"/>
  <c r="Y694" i="3"/>
  <c r="W694" i="3"/>
  <c r="V693" i="3"/>
  <c r="W693" i="3"/>
  <c r="Y693" i="3"/>
  <c r="X693" i="3"/>
  <c r="Y692" i="3"/>
  <c r="X692" i="3"/>
  <c r="V692" i="3"/>
  <c r="W692" i="3"/>
  <c r="Y691" i="3"/>
  <c r="V691" i="3"/>
  <c r="X691" i="3"/>
  <c r="W691" i="3"/>
  <c r="W690" i="3"/>
  <c r="Y690" i="3"/>
  <c r="V690" i="3"/>
  <c r="X690" i="3"/>
  <c r="W689" i="3"/>
  <c r="X689" i="3"/>
  <c r="Y689" i="3"/>
  <c r="V689" i="3"/>
  <c r="W688" i="3"/>
  <c r="V688" i="3"/>
  <c r="Y688" i="3"/>
  <c r="X688" i="3"/>
  <c r="X687" i="3"/>
  <c r="W687" i="3"/>
  <c r="V687" i="3"/>
  <c r="Y687" i="3"/>
  <c r="W686" i="3"/>
  <c r="X686" i="3"/>
  <c r="Y686" i="3"/>
  <c r="V686" i="3"/>
  <c r="Y685" i="3"/>
  <c r="W685" i="3"/>
  <c r="V685" i="3"/>
  <c r="X685" i="3"/>
  <c r="V684" i="3"/>
  <c r="X684" i="3"/>
  <c r="W684" i="3"/>
  <c r="Y684" i="3"/>
  <c r="V683" i="3"/>
  <c r="Y683" i="3"/>
  <c r="W683" i="3"/>
  <c r="X683" i="3"/>
  <c r="X682" i="3"/>
  <c r="V682" i="3"/>
  <c r="Y682" i="3"/>
  <c r="W682" i="3"/>
  <c r="X681" i="3"/>
  <c r="V681" i="3"/>
  <c r="Y681" i="3"/>
  <c r="W681" i="3"/>
  <c r="Y680" i="3"/>
  <c r="X680" i="3"/>
  <c r="V680" i="3"/>
  <c r="W680" i="3"/>
  <c r="X679" i="3"/>
  <c r="V679" i="3"/>
  <c r="Y679" i="3"/>
  <c r="W679" i="3"/>
  <c r="W678" i="3"/>
  <c r="X678" i="3"/>
  <c r="Y678" i="3"/>
  <c r="V678" i="3"/>
  <c r="Y677" i="3"/>
  <c r="X677" i="3"/>
  <c r="V677" i="3"/>
  <c r="W677" i="3"/>
  <c r="Y676" i="3"/>
  <c r="V676" i="3"/>
  <c r="X676" i="3"/>
  <c r="W676" i="3"/>
  <c r="V675" i="3"/>
  <c r="W675" i="3"/>
  <c r="Y675" i="3"/>
  <c r="X675" i="3"/>
  <c r="W674" i="3"/>
  <c r="X674" i="3"/>
  <c r="Y674" i="3"/>
  <c r="V674" i="3"/>
  <c r="V673" i="3"/>
  <c r="W673" i="3"/>
  <c r="X673" i="3"/>
  <c r="Y673" i="3"/>
  <c r="V672" i="3"/>
  <c r="W672" i="3"/>
  <c r="X672" i="3"/>
  <c r="Y672" i="3"/>
  <c r="V671" i="3"/>
  <c r="Y671" i="3"/>
  <c r="W671" i="3"/>
  <c r="X671" i="3"/>
  <c r="W670" i="3"/>
  <c r="X670" i="3"/>
  <c r="Y670" i="3"/>
  <c r="V670" i="3"/>
  <c r="Y669" i="3"/>
  <c r="V669" i="3"/>
  <c r="X669" i="3"/>
  <c r="W669" i="3"/>
  <c r="W668" i="3"/>
  <c r="V668" i="3"/>
  <c r="Y668" i="3"/>
  <c r="X668" i="3"/>
  <c r="W667" i="3"/>
  <c r="V667" i="3"/>
  <c r="Y667" i="3"/>
  <c r="X667" i="3"/>
  <c r="Y666" i="3"/>
  <c r="V666" i="3"/>
  <c r="W666" i="3"/>
  <c r="X666" i="3"/>
  <c r="X665" i="3"/>
  <c r="W665" i="3"/>
  <c r="V665" i="3"/>
  <c r="Y665" i="3"/>
  <c r="Y664" i="3"/>
  <c r="W664" i="3"/>
  <c r="V664" i="3"/>
  <c r="X664" i="3"/>
  <c r="Y663" i="3"/>
  <c r="X663" i="3"/>
  <c r="V663" i="3"/>
  <c r="W663" i="3"/>
  <c r="W662" i="3"/>
  <c r="X662" i="3"/>
  <c r="Y662" i="3"/>
  <c r="V662" i="3"/>
  <c r="Y661" i="3"/>
  <c r="W661" i="3"/>
  <c r="V661" i="3"/>
  <c r="X661" i="3"/>
  <c r="X660" i="3"/>
  <c r="W660" i="3"/>
  <c r="V660" i="3"/>
  <c r="Y660" i="3"/>
  <c r="W659" i="3"/>
  <c r="X659" i="3"/>
  <c r="V659" i="3"/>
  <c r="Y659" i="3"/>
  <c r="Y658" i="3"/>
  <c r="W658" i="3"/>
  <c r="V658" i="3"/>
  <c r="X658" i="3"/>
  <c r="X657" i="3"/>
  <c r="V657" i="3"/>
  <c r="Y657" i="3"/>
  <c r="W657" i="3"/>
  <c r="X656" i="3"/>
  <c r="W656" i="3"/>
  <c r="V656" i="3"/>
  <c r="Y656" i="3"/>
  <c r="Y655" i="3"/>
  <c r="V655" i="3"/>
  <c r="X655" i="3"/>
  <c r="W655" i="3"/>
  <c r="V654" i="3"/>
  <c r="Y654" i="3"/>
  <c r="X654" i="3"/>
  <c r="W654" i="3"/>
  <c r="X653" i="3"/>
  <c r="Y653" i="3"/>
  <c r="V653" i="3"/>
  <c r="W653" i="3"/>
  <c r="W652" i="3"/>
  <c r="Y652" i="3"/>
  <c r="V652" i="3"/>
  <c r="X652" i="3"/>
  <c r="V651" i="3"/>
  <c r="X651" i="3"/>
  <c r="W651" i="3"/>
  <c r="Y651" i="3"/>
  <c r="Y650" i="3"/>
  <c r="X650" i="3"/>
  <c r="V650" i="3"/>
  <c r="W650" i="3"/>
  <c r="Y649" i="3"/>
  <c r="W649" i="3"/>
  <c r="V649" i="3"/>
  <c r="X649" i="3"/>
  <c r="V648" i="3"/>
  <c r="Y648" i="3"/>
  <c r="X648" i="3"/>
  <c r="W648" i="3"/>
  <c r="W647" i="3"/>
  <c r="Y647" i="3"/>
  <c r="V647" i="3"/>
  <c r="X647" i="3"/>
  <c r="Y646" i="3"/>
  <c r="X646" i="3"/>
  <c r="W646" i="3"/>
  <c r="V646" i="3"/>
  <c r="V645" i="3"/>
  <c r="Y645" i="3"/>
  <c r="W645" i="3"/>
  <c r="X645" i="3"/>
  <c r="Y644" i="3"/>
  <c r="X644" i="3"/>
  <c r="W644" i="3"/>
  <c r="V644" i="3"/>
  <c r="Y643" i="3"/>
  <c r="V643" i="3"/>
  <c r="X643" i="3"/>
  <c r="W643" i="3"/>
  <c r="W642" i="3"/>
  <c r="Y642" i="3"/>
  <c r="V642" i="3"/>
  <c r="X642" i="3"/>
  <c r="Y641" i="3"/>
  <c r="X641" i="3"/>
  <c r="W641" i="3"/>
  <c r="V641" i="3"/>
  <c r="V640" i="3"/>
  <c r="Y640" i="3"/>
  <c r="W640" i="3"/>
  <c r="X640" i="3"/>
  <c r="W639" i="3"/>
  <c r="Y639" i="3"/>
  <c r="X639" i="3"/>
  <c r="V639" i="3"/>
  <c r="V638" i="3"/>
  <c r="W638" i="3"/>
  <c r="Y638" i="3"/>
  <c r="X638" i="3"/>
  <c r="X637" i="3"/>
  <c r="W637" i="3"/>
  <c r="Y637" i="3"/>
  <c r="V637" i="3"/>
  <c r="Y636" i="3"/>
  <c r="V636" i="3"/>
  <c r="W636" i="3"/>
  <c r="X636" i="3"/>
  <c r="V635" i="3"/>
  <c r="X635" i="3"/>
  <c r="Y635" i="3"/>
  <c r="W635" i="3"/>
  <c r="W634" i="3"/>
  <c r="X634" i="3"/>
  <c r="V634" i="3"/>
  <c r="Y634" i="3"/>
  <c r="W633" i="3"/>
  <c r="X633" i="3"/>
  <c r="V633" i="3"/>
  <c r="Y633" i="3"/>
  <c r="Y632" i="3"/>
  <c r="W632" i="3"/>
  <c r="X632" i="3"/>
  <c r="V632" i="3"/>
  <c r="X631" i="3"/>
  <c r="W631" i="3"/>
  <c r="Y631" i="3"/>
  <c r="V631" i="3"/>
  <c r="X630" i="3"/>
  <c r="W630" i="3"/>
  <c r="V630" i="3"/>
  <c r="Y630" i="3"/>
  <c r="X629" i="3"/>
  <c r="Y629" i="3"/>
  <c r="V629" i="3"/>
  <c r="W629" i="3"/>
  <c r="Y628" i="3"/>
  <c r="V628" i="3"/>
  <c r="X628" i="3"/>
  <c r="W628" i="3"/>
  <c r="Y627" i="3"/>
  <c r="W627" i="3"/>
  <c r="V627" i="3"/>
  <c r="X627" i="3"/>
  <c r="Y626" i="3"/>
  <c r="X626" i="3"/>
  <c r="V626" i="3"/>
  <c r="W626" i="3"/>
  <c r="Y625" i="3"/>
  <c r="V625" i="3"/>
  <c r="W625" i="3"/>
  <c r="X625" i="3"/>
  <c r="W624" i="3"/>
  <c r="V624" i="3"/>
  <c r="Y624" i="3"/>
  <c r="X624" i="3"/>
  <c r="X623" i="3"/>
  <c r="Y623" i="3"/>
  <c r="V623" i="3"/>
  <c r="W623" i="3"/>
  <c r="Y622" i="3"/>
  <c r="V622" i="3"/>
  <c r="W622" i="3"/>
  <c r="X622" i="3"/>
  <c r="W621" i="3"/>
  <c r="X621" i="3"/>
  <c r="Y621" i="3"/>
  <c r="V621" i="3"/>
  <c r="X620" i="3"/>
  <c r="Y620" i="3"/>
  <c r="V620" i="3"/>
  <c r="W620" i="3"/>
  <c r="V619" i="3"/>
  <c r="W619" i="3"/>
  <c r="X619" i="3"/>
  <c r="Y619" i="3"/>
  <c r="W618" i="3"/>
  <c r="Y618" i="3"/>
  <c r="X618" i="3"/>
  <c r="V618" i="3"/>
  <c r="Y617" i="3"/>
  <c r="X617" i="3"/>
  <c r="V617" i="3"/>
  <c r="W617" i="3"/>
  <c r="Y616" i="3"/>
  <c r="W616" i="3"/>
  <c r="X616" i="3"/>
  <c r="V616" i="3"/>
  <c r="V615" i="3"/>
  <c r="Y615" i="3"/>
  <c r="W615" i="3"/>
  <c r="X615" i="3"/>
  <c r="X614" i="3"/>
  <c r="V614" i="3"/>
  <c r="Y614" i="3"/>
  <c r="W614" i="3"/>
  <c r="V613" i="3"/>
  <c r="W613" i="3"/>
  <c r="X613" i="3"/>
  <c r="Y613" i="3"/>
  <c r="V612" i="3"/>
  <c r="W612" i="3"/>
  <c r="X612" i="3"/>
  <c r="Y612" i="3"/>
  <c r="V611" i="3"/>
  <c r="W611" i="3"/>
  <c r="X611" i="3"/>
  <c r="Y611" i="3"/>
  <c r="V610" i="3"/>
  <c r="W610" i="3"/>
  <c r="X610" i="3"/>
  <c r="Y610" i="3"/>
  <c r="V609" i="3"/>
  <c r="W609" i="3"/>
  <c r="X609" i="3"/>
  <c r="Y609" i="3"/>
  <c r="V608" i="3"/>
  <c r="W608" i="3"/>
  <c r="X608" i="3"/>
  <c r="Y608" i="3"/>
  <c r="V607" i="3"/>
  <c r="W607" i="3"/>
  <c r="X607" i="3"/>
  <c r="Y607" i="3"/>
  <c r="V606" i="3"/>
  <c r="W606" i="3"/>
  <c r="X606" i="3"/>
  <c r="Y606" i="3"/>
  <c r="V605" i="3"/>
  <c r="W605" i="3"/>
  <c r="X605" i="3"/>
  <c r="Y605" i="3"/>
  <c r="V604" i="3"/>
  <c r="W604" i="3"/>
  <c r="X604" i="3"/>
  <c r="Y604" i="3"/>
  <c r="V603" i="3"/>
  <c r="W603" i="3"/>
  <c r="X603" i="3"/>
  <c r="Y603" i="3"/>
  <c r="V602" i="3"/>
  <c r="W602" i="3"/>
  <c r="X602" i="3"/>
  <c r="Y602" i="3"/>
  <c r="V601" i="3"/>
  <c r="W601" i="3"/>
  <c r="X601" i="3"/>
  <c r="Y601" i="3"/>
  <c r="V600" i="3"/>
  <c r="W600" i="3"/>
  <c r="X600" i="3"/>
  <c r="Y600" i="3"/>
  <c r="V599" i="3"/>
  <c r="W599" i="3"/>
  <c r="X599" i="3"/>
  <c r="Y599" i="3"/>
  <c r="V598" i="3"/>
  <c r="W598" i="3"/>
  <c r="X598" i="3"/>
  <c r="Y598" i="3"/>
  <c r="V597" i="3"/>
  <c r="W597" i="3"/>
  <c r="X597" i="3"/>
  <c r="Y597" i="3"/>
  <c r="V596" i="3"/>
  <c r="W596" i="3"/>
  <c r="X596" i="3"/>
  <c r="Y596" i="3"/>
  <c r="V595" i="3"/>
  <c r="W595" i="3"/>
  <c r="X595" i="3"/>
  <c r="Y595" i="3"/>
  <c r="V594" i="3"/>
  <c r="W594" i="3"/>
  <c r="X594" i="3"/>
  <c r="Y594" i="3"/>
  <c r="V593" i="3"/>
  <c r="W593" i="3"/>
  <c r="X593" i="3"/>
  <c r="Y593" i="3"/>
  <c r="V592" i="3"/>
  <c r="W592" i="3"/>
  <c r="X592" i="3"/>
  <c r="Y592" i="3"/>
  <c r="V591" i="3"/>
  <c r="W591" i="3"/>
  <c r="X591" i="3"/>
  <c r="Y591" i="3"/>
  <c r="V590" i="3"/>
  <c r="W590" i="3"/>
  <c r="X590" i="3"/>
  <c r="Y590" i="3"/>
  <c r="V589" i="3"/>
  <c r="W589" i="3"/>
  <c r="X589" i="3"/>
  <c r="Y589" i="3"/>
  <c r="V588" i="3"/>
  <c r="W588" i="3"/>
  <c r="X588" i="3"/>
  <c r="Y588" i="3"/>
  <c r="V587" i="3"/>
  <c r="W587" i="3"/>
  <c r="X587" i="3"/>
  <c r="Y587" i="3"/>
  <c r="V586" i="3"/>
  <c r="W586" i="3"/>
  <c r="X586" i="3"/>
  <c r="Y586" i="3"/>
  <c r="V585" i="3"/>
  <c r="W585" i="3"/>
  <c r="X585" i="3"/>
  <c r="Y585" i="3"/>
  <c r="V584" i="3"/>
  <c r="W584" i="3"/>
  <c r="X584" i="3"/>
  <c r="Y584" i="3"/>
  <c r="V583" i="3"/>
  <c r="W583" i="3"/>
  <c r="X583" i="3"/>
  <c r="Y583" i="3"/>
  <c r="V582" i="3"/>
  <c r="W582" i="3"/>
  <c r="X582" i="3"/>
  <c r="Y582" i="3"/>
  <c r="V581" i="3"/>
  <c r="W581" i="3"/>
  <c r="X581" i="3"/>
  <c r="Y581" i="3"/>
  <c r="V580" i="3"/>
  <c r="W580" i="3"/>
  <c r="X580" i="3"/>
  <c r="Y580" i="3"/>
  <c r="V579" i="3"/>
  <c r="W579" i="3"/>
  <c r="X579" i="3"/>
  <c r="Y579" i="3"/>
  <c r="V578" i="3"/>
  <c r="W578" i="3"/>
  <c r="X578" i="3"/>
  <c r="Y578" i="3"/>
  <c r="V577" i="3"/>
  <c r="W577" i="3"/>
  <c r="X577" i="3"/>
  <c r="Y577" i="3"/>
  <c r="V576" i="3"/>
  <c r="W576" i="3"/>
  <c r="X576" i="3"/>
  <c r="Y576" i="3"/>
  <c r="V575" i="3"/>
  <c r="W575" i="3"/>
  <c r="X575" i="3"/>
  <c r="Y575" i="3"/>
  <c r="V574" i="3"/>
  <c r="W574" i="3"/>
  <c r="X574" i="3"/>
  <c r="Y574" i="3"/>
  <c r="V573" i="3"/>
  <c r="W573" i="3"/>
  <c r="X573" i="3"/>
  <c r="Y573" i="3"/>
  <c r="V572" i="3"/>
  <c r="W572" i="3"/>
  <c r="X572" i="3"/>
  <c r="Y572" i="3"/>
  <c r="V571" i="3"/>
  <c r="W571" i="3"/>
  <c r="X571" i="3"/>
  <c r="Y571" i="3"/>
  <c r="V570" i="3"/>
  <c r="W570" i="3"/>
  <c r="X570" i="3"/>
  <c r="Y570" i="3"/>
  <c r="V569" i="3"/>
  <c r="W569" i="3"/>
  <c r="X569" i="3"/>
  <c r="Y569" i="3"/>
  <c r="V568" i="3"/>
  <c r="W568" i="3"/>
  <c r="X568" i="3"/>
  <c r="Y568" i="3"/>
  <c r="V567" i="3"/>
  <c r="W567" i="3"/>
  <c r="X567" i="3"/>
  <c r="Y567" i="3"/>
  <c r="V566" i="3"/>
  <c r="W566" i="3"/>
  <c r="X566" i="3"/>
  <c r="Y566" i="3"/>
  <c r="V565" i="3"/>
  <c r="W565" i="3"/>
  <c r="X565" i="3"/>
  <c r="Y565" i="3"/>
  <c r="V564" i="3"/>
  <c r="W564" i="3"/>
  <c r="X564" i="3"/>
  <c r="Y564" i="3"/>
  <c r="V563" i="3"/>
  <c r="W563" i="3"/>
  <c r="X563" i="3"/>
  <c r="Y563" i="3"/>
  <c r="V562" i="3"/>
  <c r="W562" i="3"/>
  <c r="X562" i="3"/>
  <c r="Y562" i="3"/>
  <c r="V561" i="3"/>
  <c r="W561" i="3"/>
  <c r="X561" i="3"/>
  <c r="Y561" i="3"/>
  <c r="V560" i="3"/>
  <c r="W560" i="3"/>
  <c r="X560" i="3"/>
  <c r="Y560" i="3"/>
  <c r="V559" i="3"/>
  <c r="W559" i="3"/>
  <c r="X559" i="3"/>
  <c r="Y559" i="3"/>
  <c r="V558" i="3"/>
  <c r="W558" i="3"/>
  <c r="X558" i="3"/>
  <c r="Y558" i="3"/>
  <c r="V557" i="3"/>
  <c r="W557" i="3"/>
  <c r="X557" i="3"/>
  <c r="Y557" i="3"/>
  <c r="V556" i="3"/>
  <c r="W556" i="3"/>
  <c r="X556" i="3"/>
  <c r="Y556" i="3"/>
  <c r="V555" i="3"/>
  <c r="W555" i="3"/>
  <c r="X555" i="3"/>
  <c r="Y555" i="3"/>
  <c r="V554" i="3"/>
  <c r="W554" i="3"/>
  <c r="X554" i="3"/>
  <c r="Y554" i="3"/>
  <c r="V553" i="3"/>
  <c r="W553" i="3"/>
  <c r="X553" i="3"/>
  <c r="Y553" i="3"/>
  <c r="V552" i="3"/>
  <c r="W552" i="3"/>
  <c r="X552" i="3"/>
  <c r="Y552" i="3"/>
  <c r="V551" i="3"/>
  <c r="W551" i="3"/>
  <c r="X551" i="3"/>
  <c r="Y551" i="3"/>
  <c r="V550" i="3"/>
  <c r="W550" i="3"/>
  <c r="X550" i="3"/>
  <c r="Y550" i="3"/>
  <c r="V549" i="3"/>
  <c r="W549" i="3"/>
  <c r="X549" i="3"/>
  <c r="Y549" i="3"/>
  <c r="V548" i="3"/>
  <c r="W548" i="3"/>
  <c r="X548" i="3"/>
  <c r="Y548" i="3"/>
  <c r="V547" i="3"/>
  <c r="W547" i="3"/>
  <c r="X547" i="3"/>
  <c r="Y547" i="3"/>
  <c r="V546" i="3"/>
  <c r="W546" i="3"/>
  <c r="X546" i="3"/>
  <c r="Y546" i="3"/>
  <c r="W544" i="3"/>
  <c r="Y544" i="3"/>
  <c r="V544" i="3"/>
  <c r="X544" i="3"/>
  <c r="Y543" i="3"/>
  <c r="W543" i="3"/>
  <c r="X543" i="3"/>
  <c r="V543" i="3"/>
  <c r="W542" i="3"/>
  <c r="V542" i="3"/>
  <c r="Y542" i="3"/>
  <c r="X542" i="3"/>
  <c r="X541" i="3"/>
  <c r="W541" i="3"/>
  <c r="V541" i="3"/>
  <c r="Y541" i="3"/>
  <c r="W540" i="3"/>
  <c r="V540" i="3"/>
  <c r="X540" i="3"/>
  <c r="Y540" i="3"/>
  <c r="Y539" i="3"/>
  <c r="V539" i="3"/>
  <c r="X539" i="3"/>
  <c r="W539" i="3"/>
  <c r="Y538" i="3"/>
  <c r="W538" i="3"/>
  <c r="X538" i="3"/>
  <c r="V538" i="3"/>
  <c r="V537" i="3"/>
  <c r="Y537" i="3"/>
  <c r="X537" i="3"/>
  <c r="W537" i="3"/>
  <c r="X536" i="3"/>
  <c r="V536" i="3"/>
  <c r="Y536" i="3"/>
  <c r="W536" i="3"/>
  <c r="X535" i="3"/>
  <c r="Y535" i="3"/>
  <c r="W535" i="3"/>
  <c r="V535" i="3"/>
  <c r="V534" i="3"/>
  <c r="Y534" i="3"/>
  <c r="X534" i="3"/>
  <c r="W534" i="3"/>
  <c r="Y533" i="3"/>
  <c r="X533" i="3"/>
  <c r="W533" i="3"/>
  <c r="V533" i="3"/>
  <c r="Y532" i="3"/>
  <c r="X532" i="3"/>
  <c r="V532" i="3"/>
  <c r="W532" i="3"/>
  <c r="W531" i="3"/>
  <c r="Y531" i="3"/>
  <c r="V531" i="3"/>
  <c r="X531" i="3"/>
  <c r="X530" i="3"/>
  <c r="V530" i="3"/>
  <c r="Y530" i="3"/>
  <c r="W530" i="3"/>
  <c r="V529" i="3"/>
  <c r="W529" i="3"/>
  <c r="Y529" i="3"/>
  <c r="X529" i="3"/>
  <c r="V528" i="3"/>
  <c r="Y528" i="3"/>
  <c r="W528" i="3"/>
  <c r="X528" i="3"/>
  <c r="Y527" i="3"/>
  <c r="W527" i="3"/>
  <c r="X527" i="3"/>
  <c r="V527" i="3"/>
  <c r="Y526" i="3"/>
  <c r="X526" i="3"/>
  <c r="W526" i="3"/>
  <c r="V526" i="3"/>
  <c r="Y525" i="3"/>
  <c r="W525" i="3"/>
  <c r="V525" i="3"/>
  <c r="X525" i="3"/>
  <c r="X524" i="3"/>
  <c r="V524" i="3"/>
  <c r="Y524" i="3"/>
  <c r="W524" i="3"/>
  <c r="Y523" i="3"/>
  <c r="X523" i="3"/>
  <c r="V523" i="3"/>
  <c r="W523" i="3"/>
  <c r="X522" i="3"/>
  <c r="V522" i="3"/>
  <c r="Y522" i="3"/>
  <c r="W522" i="3"/>
  <c r="Y521" i="3"/>
  <c r="W521" i="3"/>
  <c r="V521" i="3"/>
  <c r="X521" i="3"/>
  <c r="Y520" i="3"/>
  <c r="V520" i="3"/>
  <c r="W520" i="3"/>
  <c r="X520" i="3"/>
  <c r="X519" i="3"/>
  <c r="W519" i="3"/>
  <c r="Y519" i="3"/>
  <c r="V519" i="3"/>
  <c r="Y518" i="3"/>
  <c r="V518" i="3"/>
  <c r="W518" i="3"/>
  <c r="X518" i="3"/>
  <c r="W517" i="3"/>
  <c r="X517" i="3"/>
  <c r="Y517" i="3"/>
  <c r="V517" i="3"/>
  <c r="W516" i="3"/>
  <c r="X516" i="3"/>
  <c r="V516" i="3"/>
  <c r="Y516" i="3"/>
  <c r="Y515" i="3"/>
  <c r="X515" i="3"/>
  <c r="W515" i="3"/>
  <c r="V515" i="3"/>
  <c r="X514" i="3"/>
  <c r="Y514" i="3"/>
  <c r="V514" i="3"/>
  <c r="W514" i="3"/>
  <c r="V513" i="3"/>
  <c r="W513" i="3"/>
  <c r="Y513" i="3"/>
  <c r="X513" i="3"/>
  <c r="X512" i="3"/>
  <c r="Y512" i="3"/>
  <c r="W512" i="3"/>
  <c r="V512" i="3"/>
  <c r="Y511" i="3"/>
  <c r="V511" i="3"/>
  <c r="X511" i="3"/>
  <c r="W511" i="3"/>
  <c r="Y510" i="3"/>
  <c r="X510" i="3"/>
  <c r="V510" i="3"/>
  <c r="W510" i="3"/>
  <c r="Y509" i="3"/>
  <c r="W509" i="3"/>
  <c r="V509" i="3"/>
  <c r="X509" i="3"/>
  <c r="V508" i="3"/>
  <c r="W508" i="3"/>
  <c r="X508" i="3"/>
  <c r="Y508" i="3"/>
  <c r="Y507" i="3"/>
  <c r="X507" i="3"/>
  <c r="W507" i="3"/>
  <c r="V507" i="3"/>
  <c r="V506" i="3"/>
  <c r="X506" i="3"/>
  <c r="Y506" i="3"/>
  <c r="W506" i="3"/>
  <c r="X505" i="3"/>
  <c r="Y505" i="3"/>
  <c r="V505" i="3"/>
  <c r="W505" i="3"/>
  <c r="Y504" i="3"/>
  <c r="X504" i="3"/>
  <c r="V504" i="3"/>
  <c r="W504" i="3"/>
  <c r="Y503" i="3"/>
  <c r="V503" i="3"/>
  <c r="W503" i="3"/>
  <c r="X503" i="3"/>
  <c r="Y502" i="3"/>
  <c r="X502" i="3"/>
  <c r="W502" i="3"/>
  <c r="V502" i="3"/>
  <c r="Y501" i="3"/>
  <c r="W501" i="3"/>
  <c r="X501" i="3"/>
  <c r="V501" i="3"/>
  <c r="X500" i="3"/>
  <c r="W500" i="3"/>
  <c r="V500" i="3"/>
  <c r="Y500" i="3"/>
  <c r="Y499" i="3"/>
  <c r="W499" i="3"/>
  <c r="V499" i="3"/>
  <c r="X499" i="3"/>
  <c r="X498" i="3"/>
  <c r="W498" i="3"/>
  <c r="V498" i="3"/>
  <c r="Y498" i="3"/>
  <c r="Y497" i="3"/>
  <c r="V497" i="3"/>
  <c r="W497" i="3"/>
  <c r="X497" i="3"/>
  <c r="Y496" i="3"/>
  <c r="W496" i="3"/>
  <c r="X496" i="3"/>
  <c r="V496" i="3"/>
  <c r="X495" i="3"/>
  <c r="W495" i="3"/>
  <c r="V495" i="3"/>
  <c r="Y495" i="3"/>
  <c r="Y494" i="3"/>
  <c r="X494" i="3"/>
  <c r="W494" i="3"/>
  <c r="V494" i="3"/>
  <c r="X493" i="3"/>
  <c r="W493" i="3"/>
  <c r="V493" i="3"/>
  <c r="Y493" i="3"/>
  <c r="Y492" i="3"/>
  <c r="X492" i="3"/>
  <c r="V492" i="3"/>
  <c r="W492" i="3"/>
  <c r="Y491" i="3"/>
  <c r="W491" i="3"/>
  <c r="X491" i="3"/>
  <c r="V491" i="3"/>
  <c r="X490" i="3"/>
  <c r="W490" i="3"/>
  <c r="V490" i="3"/>
  <c r="Y490" i="3"/>
  <c r="X489" i="3"/>
  <c r="Y489" i="3"/>
  <c r="V489" i="3"/>
  <c r="W489" i="3"/>
  <c r="Y488" i="3"/>
  <c r="V488" i="3"/>
  <c r="W488" i="3"/>
  <c r="X488" i="3"/>
  <c r="V487" i="3"/>
  <c r="Y487" i="3"/>
  <c r="W487" i="3"/>
  <c r="X487" i="3"/>
  <c r="W486" i="3"/>
  <c r="Y486" i="3"/>
  <c r="V486" i="3"/>
  <c r="X486" i="3"/>
  <c r="V485" i="3"/>
  <c r="W485" i="3"/>
  <c r="Y485" i="3"/>
  <c r="X485" i="3"/>
  <c r="X484" i="3"/>
  <c r="W484" i="3"/>
  <c r="V484" i="3"/>
  <c r="Y484" i="3"/>
  <c r="Y483" i="3"/>
  <c r="X483" i="3"/>
  <c r="W483" i="3"/>
  <c r="V483" i="3"/>
  <c r="X482" i="3"/>
  <c r="V482" i="3"/>
  <c r="Y482" i="3"/>
  <c r="W482" i="3"/>
  <c r="Y481" i="3"/>
  <c r="W481" i="3"/>
  <c r="V481" i="3"/>
  <c r="X481" i="3"/>
  <c r="Y480" i="3"/>
  <c r="V480" i="3"/>
  <c r="X480" i="3"/>
  <c r="W480" i="3"/>
  <c r="Y479" i="3"/>
  <c r="W479" i="3"/>
  <c r="V479" i="3"/>
  <c r="X479" i="3"/>
  <c r="Y478" i="3"/>
  <c r="X478" i="3"/>
  <c r="V478" i="3"/>
  <c r="W478" i="3"/>
  <c r="W477" i="3"/>
  <c r="V477" i="3"/>
  <c r="X477" i="3"/>
  <c r="Y477" i="3"/>
  <c r="Y476" i="3"/>
  <c r="V476" i="3"/>
  <c r="X476" i="3"/>
  <c r="W476" i="3"/>
  <c r="Y475" i="3"/>
  <c r="W475" i="3"/>
  <c r="X475" i="3"/>
  <c r="V475" i="3"/>
  <c r="X474" i="3"/>
  <c r="V474" i="3"/>
  <c r="Y474" i="3"/>
  <c r="W474" i="3"/>
  <c r="Y473" i="3"/>
  <c r="X473" i="3"/>
  <c r="W473" i="3"/>
  <c r="V473" i="3"/>
  <c r="W472" i="3"/>
  <c r="X472" i="3"/>
  <c r="Y472" i="3"/>
  <c r="V472" i="3"/>
  <c r="Y471" i="3"/>
  <c r="W471" i="3"/>
  <c r="V471" i="3"/>
  <c r="X471" i="3"/>
  <c r="W470" i="3"/>
  <c r="V470" i="3"/>
  <c r="Y470" i="3"/>
  <c r="X470" i="3"/>
  <c r="Y469" i="3"/>
  <c r="W469" i="3"/>
  <c r="V469" i="3"/>
  <c r="X469" i="3"/>
  <c r="V468" i="3"/>
  <c r="W468" i="3"/>
  <c r="Y468" i="3"/>
  <c r="X468" i="3"/>
  <c r="Y467" i="3"/>
  <c r="W467" i="3"/>
  <c r="V467" i="3"/>
  <c r="X467" i="3"/>
  <c r="W466" i="3"/>
  <c r="V466" i="3"/>
  <c r="Y466" i="3"/>
  <c r="X466" i="3"/>
  <c r="V465" i="3"/>
  <c r="W465" i="3"/>
  <c r="X465" i="3"/>
  <c r="Y465" i="3"/>
  <c r="Y464" i="3"/>
  <c r="W464" i="3"/>
  <c r="X464" i="3"/>
  <c r="V464" i="3"/>
  <c r="X463" i="3"/>
  <c r="V463" i="3"/>
  <c r="Y463" i="3"/>
  <c r="W463" i="3"/>
  <c r="W462" i="3"/>
  <c r="V462" i="3"/>
  <c r="Y462" i="3"/>
  <c r="X462" i="3"/>
  <c r="Y461" i="3"/>
  <c r="W461" i="3"/>
  <c r="X461" i="3"/>
  <c r="V461" i="3"/>
  <c r="Y460" i="3"/>
  <c r="X460" i="3"/>
  <c r="W460" i="3"/>
  <c r="V460" i="3"/>
  <c r="W459" i="3"/>
  <c r="Y459" i="3"/>
  <c r="X459" i="3"/>
  <c r="V459" i="3"/>
  <c r="Y458" i="3"/>
  <c r="X458" i="3"/>
  <c r="W458" i="3"/>
  <c r="V458" i="3"/>
  <c r="X457" i="3"/>
  <c r="V457" i="3"/>
  <c r="Y457" i="3"/>
  <c r="W457" i="3"/>
  <c r="Y456" i="3"/>
  <c r="X456" i="3"/>
  <c r="V456" i="3"/>
  <c r="W456" i="3"/>
  <c r="V455" i="3"/>
  <c r="Y455" i="3"/>
  <c r="W455" i="3"/>
  <c r="X455" i="3"/>
  <c r="Y454" i="3"/>
  <c r="V454" i="3"/>
  <c r="X454" i="3"/>
  <c r="W454" i="3"/>
  <c r="W453" i="3"/>
  <c r="V453" i="3"/>
  <c r="Y453" i="3"/>
  <c r="X453" i="3"/>
  <c r="Y452" i="3"/>
  <c r="V452" i="3"/>
  <c r="X452" i="3"/>
  <c r="W452" i="3"/>
  <c r="V451" i="3"/>
  <c r="Y451" i="3"/>
  <c r="X451" i="3"/>
  <c r="W451" i="3"/>
  <c r="Y450" i="3"/>
  <c r="W450" i="3"/>
  <c r="V450" i="3"/>
  <c r="X450" i="3"/>
  <c r="Y449" i="3"/>
  <c r="X449" i="3"/>
  <c r="V449" i="3"/>
  <c r="W449" i="3"/>
  <c r="V448" i="3"/>
  <c r="X448" i="3"/>
  <c r="W448" i="3"/>
  <c r="Y448" i="3"/>
  <c r="W447" i="3"/>
  <c r="V447" i="3"/>
  <c r="X447" i="3"/>
  <c r="Y447" i="3"/>
  <c r="X446" i="3"/>
  <c r="V446" i="3"/>
  <c r="Y446" i="3"/>
  <c r="W446" i="3"/>
  <c r="W445" i="3"/>
  <c r="V445" i="3"/>
  <c r="X445" i="3"/>
  <c r="Y445" i="3"/>
  <c r="Y444" i="3"/>
  <c r="X444" i="3"/>
  <c r="W444" i="3"/>
  <c r="V444" i="3"/>
  <c r="X443" i="3"/>
  <c r="V443" i="3"/>
  <c r="Y443" i="3"/>
  <c r="W443" i="3"/>
  <c r="Y442" i="3"/>
  <c r="W442" i="3"/>
  <c r="X442" i="3"/>
  <c r="V442" i="3"/>
  <c r="Y441" i="3"/>
  <c r="W441" i="3"/>
  <c r="X441" i="3"/>
  <c r="V441" i="3"/>
  <c r="V440" i="3"/>
  <c r="X440" i="3"/>
  <c r="W440" i="3"/>
  <c r="Y440" i="3"/>
  <c r="Y439" i="3"/>
  <c r="V439" i="3"/>
  <c r="W439" i="3"/>
  <c r="X439" i="3"/>
  <c r="Y438" i="3"/>
  <c r="W438" i="3"/>
  <c r="X438" i="3"/>
  <c r="V438" i="3"/>
  <c r="W437" i="3"/>
  <c r="V437" i="3"/>
  <c r="Y437" i="3"/>
  <c r="X437" i="3"/>
  <c r="V436" i="3"/>
  <c r="Y436" i="3"/>
  <c r="W436" i="3"/>
  <c r="X436" i="3"/>
  <c r="X435" i="3"/>
  <c r="V435" i="3"/>
  <c r="Y435" i="3"/>
  <c r="W435" i="3"/>
  <c r="X434" i="3"/>
  <c r="Y434" i="3"/>
  <c r="W434" i="3"/>
  <c r="V434" i="3"/>
  <c r="Y433" i="3"/>
  <c r="X433" i="3"/>
  <c r="W433" i="3"/>
  <c r="V433" i="3"/>
  <c r="Y432" i="3"/>
  <c r="V432" i="3"/>
  <c r="X432" i="3"/>
  <c r="W432" i="3"/>
  <c r="Y431" i="3"/>
  <c r="V431" i="3"/>
  <c r="X431" i="3"/>
  <c r="W431" i="3"/>
  <c r="W430" i="3"/>
  <c r="V430" i="3"/>
  <c r="Y430" i="3"/>
  <c r="X430" i="3"/>
  <c r="V429" i="3"/>
  <c r="Y429" i="3"/>
  <c r="X429" i="3"/>
  <c r="W429" i="3"/>
  <c r="Y428" i="3"/>
  <c r="W428" i="3"/>
  <c r="X428" i="3"/>
  <c r="V428" i="3"/>
  <c r="W427" i="3"/>
  <c r="V427" i="3"/>
  <c r="Y427" i="3"/>
  <c r="X427" i="3"/>
  <c r="Y426" i="3"/>
  <c r="X426" i="3"/>
  <c r="V426" i="3"/>
  <c r="W426" i="3"/>
  <c r="V425" i="3"/>
  <c r="W425" i="3"/>
  <c r="X425" i="3"/>
  <c r="Y425" i="3"/>
  <c r="Y424" i="3"/>
  <c r="V424" i="3"/>
  <c r="W424" i="3"/>
  <c r="X424" i="3"/>
  <c r="X423" i="3"/>
  <c r="W423" i="3"/>
  <c r="V423" i="3"/>
  <c r="Y423" i="3"/>
  <c r="X422" i="3"/>
  <c r="W422" i="3"/>
  <c r="V422" i="3"/>
  <c r="Y422" i="3"/>
  <c r="X421" i="3"/>
  <c r="V421" i="3"/>
  <c r="W421" i="3"/>
  <c r="Y421" i="3"/>
  <c r="W420" i="3"/>
  <c r="Y420" i="3"/>
  <c r="V420" i="3"/>
  <c r="X420" i="3"/>
  <c r="W419" i="3"/>
  <c r="X419" i="3"/>
  <c r="V419" i="3"/>
  <c r="Y419" i="3"/>
  <c r="Y418" i="3"/>
  <c r="V418" i="3"/>
  <c r="X418" i="3"/>
  <c r="W418" i="3"/>
  <c r="Y417" i="3"/>
  <c r="V417" i="3"/>
  <c r="X417" i="3"/>
  <c r="W417" i="3"/>
  <c r="Y416" i="3"/>
  <c r="V416" i="3"/>
  <c r="X416" i="3"/>
  <c r="W416" i="3"/>
  <c r="X415" i="3"/>
  <c r="W415" i="3"/>
  <c r="Y415" i="3"/>
  <c r="V415" i="3"/>
  <c r="W414" i="3"/>
  <c r="Y414" i="3"/>
  <c r="V414" i="3"/>
  <c r="X414" i="3"/>
  <c r="V413" i="3"/>
  <c r="W413" i="3"/>
  <c r="X413" i="3"/>
  <c r="Y413" i="3"/>
  <c r="V412" i="3"/>
  <c r="W412" i="3"/>
  <c r="X412" i="3"/>
  <c r="Y412" i="3"/>
  <c r="W411" i="3"/>
  <c r="V411" i="3"/>
  <c r="X411" i="3"/>
  <c r="Y411" i="3"/>
  <c r="V410" i="3"/>
  <c r="Y410" i="3"/>
  <c r="X410" i="3"/>
  <c r="W410" i="3"/>
  <c r="Y409" i="3"/>
  <c r="V409" i="3"/>
  <c r="W409" i="3"/>
  <c r="X409" i="3"/>
  <c r="W408" i="3"/>
  <c r="X408" i="3"/>
  <c r="V408" i="3"/>
  <c r="Y408" i="3"/>
  <c r="Y407" i="3"/>
  <c r="W407" i="3"/>
  <c r="X407" i="3"/>
  <c r="V407" i="3"/>
  <c r="Y406" i="3"/>
  <c r="W406" i="3"/>
  <c r="V406" i="3"/>
  <c r="X406" i="3"/>
  <c r="W405" i="3"/>
  <c r="X405" i="3"/>
  <c r="Y405" i="3"/>
  <c r="V405" i="3"/>
  <c r="V404" i="3"/>
  <c r="Y404" i="3"/>
  <c r="X404" i="3"/>
  <c r="W404" i="3"/>
  <c r="Y403" i="3"/>
  <c r="X403" i="3"/>
  <c r="W403" i="3"/>
  <c r="V403" i="3"/>
  <c r="Y402" i="3"/>
  <c r="V402" i="3"/>
  <c r="X402" i="3"/>
  <c r="W402" i="3"/>
  <c r="Y401" i="3"/>
  <c r="W401" i="3"/>
  <c r="V401" i="3"/>
  <c r="X401" i="3"/>
  <c r="X400" i="3"/>
  <c r="W400" i="3"/>
  <c r="V400" i="3"/>
  <c r="Y400" i="3"/>
  <c r="V399" i="3"/>
  <c r="X399" i="3"/>
  <c r="W399" i="3"/>
  <c r="Y399" i="3"/>
  <c r="Y398" i="3"/>
  <c r="X398" i="3"/>
  <c r="W398" i="3"/>
  <c r="V398" i="3"/>
  <c r="Y397" i="3"/>
  <c r="V397" i="3"/>
  <c r="W397" i="3"/>
  <c r="X397" i="3"/>
  <c r="V396" i="3"/>
  <c r="X396" i="3"/>
  <c r="W396" i="3"/>
  <c r="Y396" i="3"/>
  <c r="Y395" i="3"/>
  <c r="W395" i="3"/>
  <c r="X395" i="3"/>
  <c r="V395" i="3"/>
  <c r="Y394" i="3"/>
  <c r="W394" i="3"/>
  <c r="X394" i="3"/>
  <c r="V394" i="3"/>
  <c r="Y393" i="3"/>
  <c r="W393" i="3"/>
  <c r="V393" i="3"/>
  <c r="X393" i="3"/>
  <c r="W392" i="3"/>
  <c r="Y392" i="3"/>
  <c r="X392" i="3"/>
  <c r="V392" i="3"/>
  <c r="Y391" i="3"/>
  <c r="V391" i="3"/>
  <c r="W391" i="3"/>
  <c r="X391" i="3"/>
  <c r="Y390" i="3"/>
  <c r="W390" i="3"/>
  <c r="V390" i="3"/>
  <c r="X390" i="3"/>
  <c r="Y389" i="3"/>
  <c r="X389" i="3"/>
  <c r="V389" i="3"/>
  <c r="W389" i="3"/>
  <c r="X388" i="3"/>
  <c r="V388" i="3"/>
  <c r="Y388" i="3"/>
  <c r="W388" i="3"/>
  <c r="Y387" i="3"/>
  <c r="W387" i="3"/>
  <c r="V387" i="3"/>
  <c r="X387" i="3"/>
  <c r="V386" i="3"/>
  <c r="Y386" i="3"/>
  <c r="X386" i="3"/>
  <c r="W386" i="3"/>
  <c r="Y385" i="3"/>
  <c r="W385" i="3"/>
  <c r="X385" i="3"/>
  <c r="V385" i="3"/>
  <c r="W384" i="3"/>
  <c r="X384" i="3"/>
  <c r="V384" i="3"/>
  <c r="Y384" i="3"/>
  <c r="W383" i="3"/>
  <c r="Y383" i="3"/>
  <c r="V383" i="3"/>
  <c r="X383" i="3"/>
  <c r="W382" i="3"/>
  <c r="Y382" i="3"/>
  <c r="X382" i="3"/>
  <c r="V382" i="3"/>
  <c r="Y381" i="3"/>
  <c r="W381" i="3"/>
  <c r="V381" i="3"/>
  <c r="X381" i="3"/>
  <c r="X380" i="3"/>
  <c r="W380" i="3"/>
  <c r="V380" i="3"/>
  <c r="Y380" i="3"/>
  <c r="V379" i="3"/>
  <c r="X379" i="3"/>
  <c r="W379" i="3"/>
  <c r="Y379" i="3"/>
  <c r="Y378" i="3"/>
  <c r="W378" i="3"/>
  <c r="V378" i="3"/>
  <c r="X378" i="3"/>
  <c r="V377" i="3"/>
  <c r="X377" i="3"/>
  <c r="W377" i="3"/>
  <c r="Y377" i="3"/>
  <c r="Y376" i="3"/>
  <c r="V376" i="3"/>
  <c r="W376" i="3"/>
  <c r="X376" i="3"/>
  <c r="Y375" i="3"/>
  <c r="X375" i="3"/>
  <c r="W375" i="3"/>
  <c r="V375" i="3"/>
  <c r="Y374" i="3"/>
  <c r="V374" i="3"/>
  <c r="X374" i="3"/>
  <c r="W374" i="3"/>
  <c r="Y373" i="3"/>
  <c r="V373" i="3"/>
  <c r="X373" i="3"/>
  <c r="W373" i="3"/>
  <c r="X372" i="3"/>
  <c r="Y372" i="3"/>
  <c r="V372" i="3"/>
  <c r="W372" i="3"/>
  <c r="Y371" i="3"/>
  <c r="X371" i="3"/>
  <c r="W371" i="3"/>
  <c r="V371" i="3"/>
  <c r="V370" i="3"/>
  <c r="Y370" i="3"/>
  <c r="X370" i="3"/>
  <c r="W370" i="3"/>
  <c r="X369" i="3"/>
  <c r="V369" i="3"/>
  <c r="W369" i="3"/>
  <c r="Y369" i="3"/>
  <c r="W368" i="3"/>
  <c r="X368" i="3"/>
  <c r="V368" i="3"/>
  <c r="Y368" i="3"/>
  <c r="W367" i="3"/>
  <c r="X367" i="3"/>
  <c r="V367" i="3"/>
  <c r="Y367" i="3"/>
  <c r="Y366" i="3"/>
  <c r="W366" i="3"/>
  <c r="X366" i="3"/>
  <c r="V366" i="3"/>
  <c r="X365" i="3"/>
  <c r="V365" i="3"/>
  <c r="Y365" i="3"/>
  <c r="W365" i="3"/>
  <c r="Y364" i="3"/>
  <c r="V364" i="3"/>
  <c r="X364" i="3"/>
  <c r="W364" i="3"/>
  <c r="V363" i="3"/>
  <c r="X363" i="3"/>
  <c r="Y363" i="3"/>
  <c r="W363" i="3"/>
  <c r="X362" i="3"/>
  <c r="Y362" i="3"/>
  <c r="W362" i="3"/>
  <c r="V362" i="3"/>
  <c r="X361" i="3"/>
  <c r="Y361" i="3"/>
  <c r="W361" i="3"/>
  <c r="V361" i="3"/>
  <c r="V360" i="3"/>
  <c r="X360" i="3"/>
  <c r="Y360" i="3"/>
  <c r="W360" i="3"/>
  <c r="X359" i="3"/>
  <c r="V359" i="3"/>
  <c r="Y359" i="3"/>
  <c r="W359" i="3"/>
  <c r="W358" i="3"/>
  <c r="V358" i="3"/>
  <c r="X358" i="3"/>
  <c r="Y358" i="3"/>
  <c r="W357" i="3"/>
  <c r="Y357" i="3"/>
  <c r="X357" i="3"/>
  <c r="V357" i="3"/>
  <c r="X356" i="3"/>
  <c r="Y356" i="3"/>
  <c r="V356" i="3"/>
  <c r="W356" i="3"/>
  <c r="Y355" i="3"/>
  <c r="V355" i="3"/>
  <c r="X355" i="3"/>
  <c r="W355" i="3"/>
  <c r="W354" i="3"/>
  <c r="X354" i="3"/>
  <c r="Y354" i="3"/>
  <c r="V354" i="3"/>
  <c r="X353" i="3"/>
  <c r="Y353" i="3"/>
  <c r="W353" i="3"/>
  <c r="V353" i="3"/>
  <c r="Y352" i="3"/>
  <c r="W352" i="3"/>
  <c r="V352" i="3"/>
  <c r="X352" i="3"/>
  <c r="Y351" i="3"/>
  <c r="V351" i="3"/>
  <c r="W351" i="3"/>
  <c r="X351" i="3"/>
  <c r="Y350" i="3"/>
  <c r="V350" i="3"/>
  <c r="W350" i="3"/>
  <c r="X350" i="3"/>
  <c r="V349" i="3"/>
  <c r="Y349" i="3"/>
  <c r="W349" i="3"/>
  <c r="X349" i="3"/>
  <c r="X348" i="3"/>
  <c r="Y348" i="3"/>
  <c r="V348" i="3"/>
  <c r="W348" i="3"/>
  <c r="X347" i="3"/>
  <c r="V347" i="3"/>
  <c r="Y347" i="3"/>
  <c r="W347" i="3"/>
  <c r="Y346" i="3"/>
  <c r="X346" i="3"/>
  <c r="W346" i="3"/>
  <c r="V346" i="3"/>
  <c r="X345" i="3"/>
  <c r="W345" i="3"/>
  <c r="V345" i="3"/>
  <c r="Y345" i="3"/>
  <c r="V344" i="3"/>
  <c r="Y344" i="3"/>
  <c r="X344" i="3"/>
  <c r="W344" i="3"/>
  <c r="Y343" i="3"/>
  <c r="W343" i="3"/>
  <c r="X343" i="3"/>
  <c r="V343" i="3"/>
  <c r="V342" i="3"/>
  <c r="Y342" i="3"/>
  <c r="W342" i="3"/>
  <c r="X342" i="3"/>
  <c r="Y341" i="3"/>
  <c r="W341" i="3"/>
  <c r="X341" i="3"/>
  <c r="V341" i="3"/>
  <c r="W340" i="3"/>
  <c r="Y340" i="3"/>
  <c r="V340" i="3"/>
  <c r="X340" i="3"/>
  <c r="Y339" i="3"/>
  <c r="V339" i="3"/>
  <c r="X339" i="3"/>
  <c r="W339" i="3"/>
  <c r="Y338" i="3"/>
  <c r="X338" i="3"/>
  <c r="V338" i="3"/>
  <c r="W338" i="3"/>
  <c r="Y337" i="3"/>
  <c r="W337" i="3"/>
  <c r="X337" i="3"/>
  <c r="V337" i="3"/>
  <c r="Y336" i="3"/>
  <c r="W336" i="3"/>
  <c r="X336" i="3"/>
  <c r="V336" i="3"/>
  <c r="W335" i="3"/>
  <c r="Y335" i="3"/>
  <c r="X335" i="3"/>
  <c r="V335" i="3"/>
  <c r="W334" i="3"/>
  <c r="V334" i="3"/>
  <c r="Y334" i="3"/>
  <c r="X334" i="3"/>
  <c r="Y333" i="3"/>
  <c r="X333" i="3"/>
  <c r="V333" i="3"/>
  <c r="W333" i="3"/>
  <c r="X332" i="3"/>
  <c r="Y332" i="3"/>
  <c r="W332" i="3"/>
  <c r="V332" i="3"/>
  <c r="V331" i="3"/>
  <c r="W331" i="3"/>
  <c r="X331" i="3"/>
  <c r="Y331" i="3"/>
  <c r="Y330" i="3"/>
  <c r="W330" i="3"/>
  <c r="V330" i="3"/>
  <c r="X330" i="3"/>
  <c r="Y329" i="3"/>
  <c r="X329" i="3"/>
  <c r="V329" i="3"/>
  <c r="W329" i="3"/>
  <c r="Y328" i="3"/>
  <c r="V328" i="3"/>
  <c r="X328" i="3"/>
  <c r="W328" i="3"/>
  <c r="X327" i="3"/>
  <c r="W327" i="3"/>
  <c r="V327" i="3"/>
  <c r="Y327" i="3"/>
  <c r="V326" i="3"/>
  <c r="Y326" i="3"/>
  <c r="X326" i="3"/>
  <c r="W326" i="3"/>
  <c r="Y325" i="3"/>
  <c r="V325" i="3"/>
  <c r="X325" i="3"/>
  <c r="W325" i="3"/>
  <c r="X324" i="3"/>
  <c r="V324" i="3"/>
  <c r="W324" i="3"/>
  <c r="Y324" i="3"/>
  <c r="Y323" i="3"/>
  <c r="W323" i="3"/>
  <c r="V323" i="3"/>
  <c r="X323" i="3"/>
  <c r="Y322" i="3"/>
  <c r="W322" i="3"/>
  <c r="X322" i="3"/>
  <c r="V322" i="3"/>
  <c r="Y321" i="3"/>
  <c r="X321" i="3"/>
  <c r="W321" i="3"/>
  <c r="V321" i="3"/>
  <c r="Y320" i="3"/>
  <c r="W320" i="3"/>
  <c r="X320" i="3"/>
  <c r="V320" i="3"/>
  <c r="V319" i="3"/>
  <c r="X319" i="3"/>
  <c r="Y319" i="3"/>
  <c r="W319" i="3"/>
  <c r="X318" i="3"/>
  <c r="W318" i="3"/>
  <c r="Y318" i="3"/>
  <c r="V318" i="3"/>
  <c r="V317" i="3"/>
  <c r="Y317" i="3"/>
  <c r="W317" i="3"/>
  <c r="X317" i="3"/>
  <c r="Y316" i="3"/>
  <c r="W316" i="3"/>
  <c r="V316" i="3"/>
  <c r="X316" i="3"/>
  <c r="W315" i="3"/>
  <c r="V315" i="3"/>
  <c r="Y315" i="3"/>
  <c r="X315" i="3"/>
  <c r="Y314" i="3"/>
  <c r="V314" i="3"/>
  <c r="W314" i="3"/>
  <c r="X314" i="3"/>
  <c r="X313" i="3"/>
  <c r="W313" i="3"/>
  <c r="Y313" i="3"/>
  <c r="V313" i="3"/>
  <c r="Y312" i="3"/>
  <c r="W312" i="3"/>
  <c r="V312" i="3"/>
  <c r="X312" i="3"/>
  <c r="X311" i="3"/>
  <c r="V311" i="3"/>
  <c r="Y311" i="3"/>
  <c r="W311" i="3"/>
  <c r="X310" i="3"/>
  <c r="W310" i="3"/>
  <c r="V310" i="3"/>
  <c r="Y310" i="3"/>
  <c r="Y309" i="3"/>
  <c r="V309" i="3"/>
  <c r="X309" i="3"/>
  <c r="W309" i="3"/>
  <c r="X308" i="3"/>
  <c r="W308" i="3"/>
  <c r="V308" i="3"/>
  <c r="Y308" i="3"/>
  <c r="W307" i="3"/>
  <c r="X307" i="3"/>
  <c r="V307" i="3"/>
  <c r="Y307" i="3"/>
  <c r="V306" i="3"/>
  <c r="Y306" i="3"/>
  <c r="X306" i="3"/>
  <c r="W306" i="3"/>
  <c r="Y305" i="3"/>
  <c r="V305" i="3"/>
  <c r="W305" i="3"/>
  <c r="X305" i="3"/>
  <c r="W304" i="3"/>
  <c r="V304" i="3"/>
  <c r="Y304" i="3"/>
  <c r="X304" i="3"/>
  <c r="Y303" i="3"/>
  <c r="V303" i="3"/>
  <c r="W303" i="3"/>
  <c r="X303" i="3"/>
  <c r="Y302" i="3"/>
  <c r="V302" i="3"/>
  <c r="X302" i="3"/>
  <c r="W302" i="3"/>
  <c r="V301" i="3"/>
  <c r="Y301" i="3"/>
  <c r="X301" i="3"/>
  <c r="W301" i="3"/>
  <c r="Y300" i="3"/>
  <c r="W300" i="3"/>
  <c r="X300" i="3"/>
  <c r="V300" i="3"/>
  <c r="V299" i="3"/>
  <c r="Y299" i="3"/>
  <c r="W299" i="3"/>
  <c r="X299" i="3"/>
  <c r="Y298" i="3"/>
  <c r="X298" i="3"/>
  <c r="V298" i="3"/>
  <c r="W298" i="3"/>
  <c r="W297" i="3"/>
  <c r="V297" i="3"/>
  <c r="Y297" i="3"/>
  <c r="X297" i="3"/>
  <c r="Y296" i="3"/>
  <c r="V296" i="3"/>
  <c r="W296" i="3"/>
  <c r="X296" i="3"/>
  <c r="Y295" i="3"/>
  <c r="X295" i="3"/>
  <c r="W295" i="3"/>
  <c r="V295" i="3"/>
  <c r="X294" i="3"/>
  <c r="W294" i="3"/>
  <c r="V294" i="3"/>
  <c r="Y294" i="3"/>
  <c r="W293" i="3"/>
  <c r="X293" i="3"/>
  <c r="Y293" i="3"/>
  <c r="V293" i="3"/>
  <c r="Y292" i="3"/>
  <c r="X292" i="3"/>
  <c r="W292" i="3"/>
  <c r="V292" i="3"/>
  <c r="X291" i="3"/>
  <c r="W291" i="3"/>
  <c r="Y291" i="3"/>
  <c r="V291" i="3"/>
  <c r="V290" i="3"/>
  <c r="Y290" i="3"/>
  <c r="X290" i="3"/>
  <c r="W290" i="3"/>
  <c r="Y289" i="3"/>
  <c r="W289" i="3"/>
  <c r="V289" i="3"/>
  <c r="X289" i="3"/>
  <c r="Y288" i="3"/>
  <c r="V288" i="3"/>
  <c r="W288" i="3"/>
  <c r="X288" i="3"/>
  <c r="X287" i="3"/>
  <c r="W287" i="3"/>
  <c r="V287" i="3"/>
  <c r="Y287" i="3"/>
  <c r="W286" i="3"/>
  <c r="X286" i="3"/>
  <c r="V286" i="3"/>
  <c r="Y286" i="3"/>
  <c r="W285" i="3"/>
  <c r="V285" i="3"/>
  <c r="Y285" i="3"/>
  <c r="X285" i="3"/>
  <c r="Y284" i="3"/>
  <c r="V284" i="3"/>
  <c r="W284" i="3"/>
  <c r="X284" i="3"/>
  <c r="Y283" i="3"/>
  <c r="V283" i="3"/>
  <c r="X283" i="3"/>
  <c r="W283" i="3"/>
  <c r="X282" i="3"/>
  <c r="W282" i="3"/>
  <c r="V282" i="3"/>
  <c r="Y282" i="3"/>
  <c r="V281" i="3"/>
  <c r="Y281" i="3"/>
  <c r="W281" i="3"/>
  <c r="X281" i="3"/>
  <c r="Y280" i="3"/>
  <c r="V280" i="3"/>
  <c r="W280" i="3"/>
  <c r="X280" i="3"/>
  <c r="Y279" i="3"/>
  <c r="W279" i="3"/>
  <c r="X279" i="3"/>
  <c r="V279" i="3"/>
  <c r="X278" i="3"/>
  <c r="W278" i="3"/>
  <c r="V278" i="3"/>
  <c r="Y278" i="3"/>
  <c r="Y277" i="3"/>
  <c r="X277" i="3"/>
  <c r="V277" i="3"/>
  <c r="W277" i="3"/>
  <c r="W276" i="3"/>
  <c r="Y276" i="3"/>
  <c r="V276" i="3"/>
  <c r="X276" i="3"/>
  <c r="Y275" i="3"/>
  <c r="V275" i="3"/>
  <c r="X275" i="3"/>
  <c r="W275" i="3"/>
  <c r="Y274" i="3"/>
  <c r="W274" i="3"/>
  <c r="V274" i="3"/>
  <c r="X274" i="3"/>
  <c r="V273" i="3"/>
  <c r="Y273" i="3"/>
  <c r="X273" i="3"/>
  <c r="W273" i="3"/>
  <c r="W272" i="3"/>
  <c r="X272" i="3"/>
  <c r="V272" i="3"/>
  <c r="Y272" i="3"/>
  <c r="X271" i="3"/>
  <c r="V271" i="3"/>
  <c r="Y271" i="3"/>
  <c r="W271" i="3"/>
  <c r="X270" i="3"/>
  <c r="W270" i="3"/>
  <c r="V270" i="3"/>
  <c r="Y270" i="3"/>
  <c r="X269" i="3"/>
  <c r="W269" i="3"/>
  <c r="V269" i="3"/>
  <c r="Y269" i="3"/>
  <c r="W268" i="3"/>
  <c r="Y268" i="3"/>
  <c r="X268" i="3"/>
  <c r="V268" i="3"/>
  <c r="Y267" i="3"/>
  <c r="W267" i="3"/>
  <c r="V267" i="3"/>
  <c r="X267" i="3"/>
  <c r="Y266" i="3"/>
  <c r="W266" i="3"/>
  <c r="X266" i="3"/>
  <c r="V266" i="3"/>
  <c r="Y265" i="3"/>
  <c r="V265" i="3"/>
  <c r="W265" i="3"/>
  <c r="X265" i="3"/>
  <c r="W264" i="3"/>
  <c r="X264" i="3"/>
  <c r="V264" i="3"/>
  <c r="Y264" i="3"/>
  <c r="V263" i="3"/>
  <c r="Y263" i="3"/>
  <c r="W263" i="3"/>
  <c r="X263" i="3"/>
  <c r="W262" i="3"/>
  <c r="Y262" i="3"/>
  <c r="X262" i="3"/>
  <c r="V262" i="3"/>
  <c r="V261" i="3"/>
  <c r="Y261" i="3"/>
  <c r="X261" i="3"/>
  <c r="W261" i="3"/>
  <c r="Y260" i="3"/>
  <c r="X260" i="3"/>
  <c r="W260" i="3"/>
  <c r="V260" i="3"/>
  <c r="W259" i="3"/>
  <c r="V259" i="3"/>
  <c r="Y259" i="3"/>
  <c r="X259" i="3"/>
  <c r="W258" i="3"/>
  <c r="Y258" i="3"/>
  <c r="V258" i="3"/>
  <c r="X258" i="3"/>
  <c r="Y257" i="3"/>
  <c r="V257" i="3"/>
  <c r="W257" i="3"/>
  <c r="X257" i="3"/>
  <c r="V256" i="3"/>
  <c r="Y256" i="3"/>
  <c r="W256" i="3"/>
  <c r="X256" i="3"/>
  <c r="Y255" i="3"/>
  <c r="V255" i="3"/>
  <c r="X255" i="3"/>
  <c r="W255" i="3"/>
  <c r="W254" i="3"/>
  <c r="X254" i="3"/>
  <c r="Y254" i="3"/>
  <c r="V254" i="3"/>
  <c r="W253" i="3"/>
  <c r="X253" i="3"/>
  <c r="V253" i="3"/>
  <c r="Y253" i="3"/>
  <c r="X252" i="3"/>
  <c r="V252" i="3"/>
  <c r="W252" i="3"/>
  <c r="Y252" i="3"/>
  <c r="Y251" i="3"/>
  <c r="V251" i="3"/>
  <c r="W251" i="3"/>
  <c r="X251" i="3"/>
  <c r="X250" i="3"/>
  <c r="V250" i="3"/>
  <c r="Y250" i="3"/>
  <c r="W250" i="3"/>
  <c r="Y249" i="3"/>
  <c r="W249" i="3"/>
  <c r="V249" i="3"/>
  <c r="X249" i="3"/>
  <c r="Y248" i="3"/>
  <c r="V248" i="3"/>
  <c r="X248" i="3"/>
  <c r="W248" i="3"/>
  <c r="X247" i="3"/>
  <c r="V247" i="3"/>
  <c r="Y247" i="3"/>
  <c r="W247" i="3"/>
  <c r="W246" i="3"/>
  <c r="Y246" i="3"/>
  <c r="V246" i="3"/>
  <c r="X246" i="3"/>
  <c r="V245" i="3"/>
  <c r="Y245" i="3"/>
  <c r="X245" i="3"/>
  <c r="W245" i="3"/>
  <c r="W244" i="3"/>
  <c r="X244" i="3"/>
  <c r="Y244" i="3"/>
  <c r="V244" i="3"/>
  <c r="Y243" i="3"/>
  <c r="W243" i="3"/>
  <c r="V243" i="3"/>
  <c r="X243" i="3"/>
  <c r="X242" i="3"/>
  <c r="W242" i="3"/>
  <c r="V242" i="3"/>
  <c r="Y242" i="3"/>
  <c r="W241" i="3"/>
  <c r="Y241" i="3"/>
  <c r="X241" i="3"/>
  <c r="V241" i="3"/>
  <c r="W240" i="3"/>
  <c r="V240" i="3"/>
  <c r="Y240" i="3"/>
  <c r="X240" i="3"/>
  <c r="W239" i="3"/>
  <c r="Y239" i="3"/>
  <c r="V239" i="3"/>
  <c r="X239" i="3"/>
  <c r="Y238" i="3"/>
  <c r="V238" i="3"/>
  <c r="W238" i="3"/>
  <c r="X238" i="3"/>
  <c r="Y237" i="3"/>
  <c r="W237" i="3"/>
  <c r="X237" i="3"/>
  <c r="V237" i="3"/>
  <c r="Y236" i="3"/>
  <c r="W236" i="3"/>
  <c r="V236" i="3"/>
  <c r="X236" i="3"/>
  <c r="Y235" i="3"/>
  <c r="W235" i="3"/>
  <c r="X235" i="3"/>
  <c r="V235" i="3"/>
  <c r="V234" i="3"/>
  <c r="X234" i="3"/>
  <c r="W234" i="3"/>
  <c r="Y234" i="3"/>
  <c r="V233" i="3"/>
  <c r="Y233" i="3"/>
  <c r="W233" i="3"/>
  <c r="X233" i="3"/>
  <c r="X232" i="3"/>
  <c r="W232" i="3"/>
  <c r="V232" i="3"/>
  <c r="Y232" i="3"/>
  <c r="X231" i="3"/>
  <c r="W231" i="3"/>
  <c r="Y231" i="3"/>
  <c r="V231" i="3"/>
  <c r="Y230" i="3"/>
  <c r="X230" i="3"/>
  <c r="W230" i="3"/>
  <c r="V230" i="3"/>
  <c r="V229" i="3"/>
  <c r="Y229" i="3"/>
  <c r="W229" i="3"/>
  <c r="X229" i="3"/>
  <c r="X228" i="3"/>
  <c r="V228" i="3"/>
  <c r="Y228" i="3"/>
  <c r="W228" i="3"/>
  <c r="Y227" i="3"/>
  <c r="X227" i="3"/>
  <c r="W227" i="3"/>
  <c r="V227" i="3"/>
  <c r="Y226" i="3"/>
  <c r="X226" i="3"/>
  <c r="W226" i="3"/>
  <c r="V226" i="3"/>
  <c r="Y225" i="3"/>
  <c r="V225" i="3"/>
  <c r="W225" i="3"/>
  <c r="X225" i="3"/>
  <c r="X224" i="3"/>
  <c r="V224" i="3"/>
  <c r="Y224" i="3"/>
  <c r="W224" i="3"/>
  <c r="W223" i="3"/>
  <c r="X223" i="3"/>
  <c r="V223" i="3"/>
  <c r="Y223" i="3"/>
  <c r="X222" i="3"/>
  <c r="V222" i="3"/>
  <c r="W222" i="3"/>
  <c r="Y222" i="3"/>
  <c r="W221" i="3"/>
  <c r="X221" i="3"/>
  <c r="Y221" i="3"/>
  <c r="V221" i="3"/>
  <c r="Y220" i="3"/>
  <c r="V220" i="3"/>
  <c r="X220" i="3"/>
  <c r="W220" i="3"/>
  <c r="X219" i="3"/>
  <c r="Y219" i="3"/>
  <c r="V219" i="3"/>
  <c r="W219" i="3"/>
  <c r="Y218" i="3"/>
  <c r="V218" i="3"/>
  <c r="X218" i="3"/>
  <c r="W218" i="3"/>
  <c r="Y217" i="3"/>
  <c r="W217" i="3"/>
  <c r="V217" i="3"/>
  <c r="X217" i="3"/>
  <c r="X216" i="3"/>
  <c r="W216" i="3"/>
  <c r="V216" i="3"/>
  <c r="Y216" i="3"/>
  <c r="X215" i="3"/>
  <c r="V215" i="3"/>
  <c r="Y215" i="3"/>
  <c r="W215" i="3"/>
  <c r="Y214" i="3"/>
  <c r="W214" i="3"/>
  <c r="V214" i="3"/>
  <c r="X214" i="3"/>
  <c r="Y213" i="3"/>
  <c r="V213" i="3"/>
  <c r="W213" i="3"/>
  <c r="X213" i="3"/>
  <c r="V212" i="3"/>
  <c r="Y212" i="3"/>
  <c r="W212" i="3"/>
  <c r="X212" i="3"/>
  <c r="W211" i="3"/>
  <c r="Y211" i="3"/>
  <c r="V211" i="3"/>
  <c r="X211" i="3"/>
  <c r="V210" i="3"/>
  <c r="X210" i="3"/>
  <c r="W210" i="3"/>
  <c r="Y210" i="3"/>
  <c r="Y209" i="3"/>
  <c r="X209" i="3"/>
  <c r="W209" i="3"/>
  <c r="V209" i="3"/>
  <c r="X208" i="3"/>
  <c r="W208" i="3"/>
  <c r="V208" i="3"/>
  <c r="Y208" i="3"/>
  <c r="V207" i="3"/>
  <c r="Y207" i="3"/>
  <c r="W207" i="3"/>
  <c r="X207" i="3"/>
  <c r="Y206" i="3"/>
  <c r="X206" i="3"/>
  <c r="W206" i="3"/>
  <c r="V206" i="3"/>
  <c r="W205" i="3"/>
  <c r="Y205" i="3"/>
  <c r="X205" i="3"/>
  <c r="V205" i="3"/>
  <c r="Y204" i="3"/>
  <c r="X204" i="3"/>
  <c r="W204" i="3"/>
  <c r="V204" i="3"/>
  <c r="X203" i="3"/>
  <c r="V203" i="3"/>
  <c r="W203" i="3"/>
  <c r="Y203" i="3"/>
  <c r="Y202" i="3"/>
  <c r="X202" i="3"/>
  <c r="W202" i="3"/>
  <c r="V202" i="3"/>
  <c r="W201" i="3"/>
  <c r="Y201" i="3"/>
  <c r="X201" i="3"/>
  <c r="V201" i="3"/>
  <c r="Y200" i="3"/>
  <c r="X200" i="3"/>
  <c r="V200" i="3"/>
  <c r="W200" i="3"/>
  <c r="Y199" i="3"/>
  <c r="V199" i="3"/>
  <c r="W199" i="3"/>
  <c r="X199" i="3"/>
  <c r="Y198" i="3"/>
  <c r="X198" i="3"/>
  <c r="V198" i="3"/>
  <c r="W198" i="3"/>
  <c r="Y197" i="3"/>
  <c r="X197" i="3"/>
  <c r="V197" i="3"/>
  <c r="W197" i="3"/>
  <c r="W196" i="3"/>
  <c r="X196" i="3"/>
  <c r="V196" i="3"/>
  <c r="Y196" i="3"/>
  <c r="W195" i="3"/>
  <c r="X195" i="3"/>
  <c r="V195" i="3"/>
  <c r="Y195" i="3"/>
  <c r="V194" i="3"/>
  <c r="Y194" i="3"/>
  <c r="W194" i="3"/>
  <c r="X194" i="3"/>
  <c r="Y193" i="3"/>
  <c r="W193" i="3"/>
  <c r="X193" i="3"/>
  <c r="V193" i="3"/>
  <c r="Y192" i="3"/>
  <c r="X192" i="3"/>
  <c r="W192" i="3"/>
  <c r="V192" i="3"/>
  <c r="V191" i="3"/>
  <c r="Y191" i="3"/>
  <c r="W191" i="3"/>
  <c r="X191" i="3"/>
  <c r="V190" i="3"/>
  <c r="Y190" i="3"/>
  <c r="W190" i="3"/>
  <c r="X190" i="3"/>
  <c r="W189" i="3"/>
  <c r="Y189" i="3"/>
  <c r="X189" i="3"/>
  <c r="V189" i="3"/>
  <c r="Y188" i="3"/>
  <c r="W188" i="3"/>
  <c r="X188" i="3"/>
  <c r="V188" i="3"/>
  <c r="X187" i="3"/>
  <c r="V187" i="3"/>
  <c r="W187" i="3"/>
  <c r="Y187" i="3"/>
  <c r="W186" i="3"/>
  <c r="V186" i="3"/>
  <c r="X186" i="3"/>
  <c r="Y186" i="3"/>
  <c r="X185" i="3"/>
  <c r="V185" i="3"/>
  <c r="Y185" i="3"/>
  <c r="W185" i="3"/>
  <c r="V184" i="3"/>
  <c r="W184" i="3"/>
  <c r="Y184" i="3"/>
  <c r="X184" i="3"/>
  <c r="W183" i="3"/>
  <c r="X183" i="3"/>
  <c r="V183" i="3"/>
  <c r="Y183" i="3"/>
  <c r="Y182" i="3"/>
  <c r="W182" i="3"/>
  <c r="X182" i="3"/>
  <c r="V182" i="3"/>
  <c r="Y181" i="3"/>
  <c r="W181" i="3"/>
  <c r="V181" i="3"/>
  <c r="X181" i="3"/>
  <c r="X180" i="3"/>
  <c r="V180" i="3"/>
  <c r="W180" i="3"/>
  <c r="Y180" i="3"/>
  <c r="X179" i="3"/>
  <c r="V179" i="3"/>
  <c r="Y179" i="3"/>
  <c r="W179" i="3"/>
  <c r="V178" i="3"/>
  <c r="Y178" i="3"/>
  <c r="X178" i="3"/>
  <c r="W178" i="3"/>
  <c r="V177" i="3"/>
  <c r="Y177" i="3"/>
  <c r="W177" i="3"/>
  <c r="X177" i="3"/>
  <c r="V176" i="3"/>
  <c r="Y176" i="3"/>
  <c r="X176" i="3"/>
  <c r="W176" i="3"/>
  <c r="W175" i="3"/>
  <c r="V175" i="3"/>
  <c r="Y175" i="3"/>
  <c r="X175" i="3"/>
  <c r="Y174" i="3"/>
  <c r="V174" i="3"/>
  <c r="X174" i="3"/>
  <c r="W174" i="3"/>
  <c r="X173" i="3"/>
  <c r="V173" i="3"/>
  <c r="Y173" i="3"/>
  <c r="W173" i="3"/>
  <c r="X172" i="3"/>
  <c r="V172" i="3"/>
  <c r="Y172" i="3"/>
  <c r="W172" i="3"/>
  <c r="W171" i="3"/>
  <c r="X171" i="3"/>
  <c r="Y171" i="3"/>
  <c r="V171" i="3"/>
  <c r="X170" i="3"/>
  <c r="Y170" i="3"/>
  <c r="W170" i="3"/>
  <c r="V170" i="3"/>
  <c r="Y169" i="3"/>
  <c r="V169" i="3"/>
  <c r="X169" i="3"/>
  <c r="W169" i="3"/>
  <c r="V168" i="3"/>
  <c r="Y168" i="3"/>
  <c r="W168" i="3"/>
  <c r="X168" i="3"/>
  <c r="X167" i="3"/>
  <c r="V167" i="3"/>
  <c r="W167" i="3"/>
  <c r="Y167" i="3"/>
  <c r="X166" i="3"/>
  <c r="Y166" i="3"/>
  <c r="V166" i="3"/>
  <c r="W166" i="3"/>
  <c r="X165" i="3"/>
  <c r="V165" i="3"/>
  <c r="Y165" i="3"/>
  <c r="W165" i="3"/>
  <c r="Y164" i="3"/>
  <c r="X164" i="3"/>
  <c r="V164" i="3"/>
  <c r="W164" i="3"/>
  <c r="X163" i="3"/>
  <c r="Y163" i="3"/>
  <c r="V163" i="3"/>
  <c r="W163" i="3"/>
  <c r="Y162" i="3"/>
  <c r="V162" i="3"/>
  <c r="X162" i="3"/>
  <c r="W162" i="3"/>
  <c r="X161" i="3"/>
  <c r="W161" i="3"/>
  <c r="Y161" i="3"/>
  <c r="V161" i="3"/>
  <c r="W160" i="3"/>
  <c r="V160" i="3"/>
  <c r="Y160" i="3"/>
  <c r="X160" i="3"/>
  <c r="Y159" i="3"/>
  <c r="X159" i="3"/>
  <c r="V159" i="3"/>
  <c r="W159" i="3"/>
  <c r="Y158" i="3"/>
  <c r="V158" i="3"/>
  <c r="X158" i="3"/>
  <c r="W158" i="3"/>
  <c r="X157" i="3"/>
  <c r="Y157" i="3"/>
  <c r="W157" i="3"/>
  <c r="V157" i="3"/>
  <c r="X156" i="3"/>
  <c r="V156" i="3"/>
  <c r="W156" i="3"/>
  <c r="Y156" i="3"/>
  <c r="X155" i="3"/>
  <c r="W155" i="3"/>
  <c r="V155" i="3"/>
  <c r="Y155" i="3"/>
  <c r="Y154" i="3"/>
  <c r="V154" i="3"/>
  <c r="W154" i="3"/>
  <c r="X154" i="3"/>
  <c r="W153" i="3"/>
  <c r="V153" i="3"/>
  <c r="X153" i="3"/>
  <c r="Y153" i="3"/>
  <c r="W152" i="3"/>
  <c r="V152" i="3"/>
  <c r="Y152" i="3"/>
  <c r="X152" i="3"/>
  <c r="Y151" i="3"/>
  <c r="V151" i="3"/>
  <c r="W151" i="3"/>
  <c r="X151" i="3"/>
  <c r="V150" i="3"/>
  <c r="W150" i="3"/>
  <c r="X150" i="3"/>
  <c r="Y150" i="3"/>
  <c r="X149" i="3"/>
  <c r="W149" i="3"/>
  <c r="Y149" i="3"/>
  <c r="V149" i="3"/>
  <c r="Y148" i="3"/>
  <c r="X148" i="3"/>
  <c r="W148" i="3"/>
  <c r="V148" i="3"/>
  <c r="Y147" i="3"/>
  <c r="W147" i="3"/>
  <c r="X147" i="3"/>
  <c r="V147" i="3"/>
  <c r="Y146" i="3"/>
  <c r="X146" i="3"/>
  <c r="W146" i="3"/>
  <c r="V146" i="3"/>
  <c r="X145" i="3"/>
  <c r="W145" i="3"/>
  <c r="Y145" i="3"/>
  <c r="V145" i="3"/>
  <c r="V144" i="3"/>
  <c r="X144" i="3"/>
  <c r="W144" i="3"/>
  <c r="Y144" i="3"/>
  <c r="Y143" i="3"/>
  <c r="V143" i="3"/>
  <c r="W143" i="3"/>
  <c r="X143" i="3"/>
  <c r="Y142" i="3"/>
  <c r="X142" i="3"/>
  <c r="W142" i="3"/>
  <c r="V142" i="3"/>
  <c r="W141" i="3"/>
  <c r="Y141" i="3"/>
  <c r="V141" i="3"/>
  <c r="X141" i="3"/>
  <c r="Y140" i="3"/>
  <c r="W140" i="3"/>
  <c r="V140" i="3"/>
  <c r="X140" i="3"/>
  <c r="Y139" i="3"/>
  <c r="W139" i="3"/>
  <c r="X139" i="3"/>
  <c r="V139" i="3"/>
  <c r="W138" i="3"/>
  <c r="V138" i="3"/>
  <c r="X138" i="3"/>
  <c r="Y138" i="3"/>
  <c r="V137" i="3"/>
  <c r="Y137" i="3"/>
  <c r="W137" i="3"/>
  <c r="X137" i="3"/>
  <c r="W136" i="3"/>
  <c r="Y136" i="3"/>
  <c r="V136" i="3"/>
  <c r="X136" i="3"/>
  <c r="V135" i="3"/>
  <c r="W135" i="3"/>
  <c r="X135" i="3"/>
  <c r="Y135" i="3"/>
  <c r="X134" i="3"/>
  <c r="W134" i="3"/>
  <c r="V134" i="3"/>
  <c r="Y134" i="3"/>
  <c r="X133" i="3"/>
  <c r="V133" i="3"/>
  <c r="Y133" i="3"/>
  <c r="W133" i="3"/>
  <c r="X132" i="3"/>
  <c r="W132" i="3"/>
  <c r="Y132" i="3"/>
  <c r="V132" i="3"/>
  <c r="Y131" i="3"/>
  <c r="V131" i="3"/>
  <c r="X131" i="3"/>
  <c r="W131" i="3"/>
  <c r="Y130" i="3"/>
  <c r="X130" i="3"/>
  <c r="W130" i="3"/>
  <c r="V130" i="3"/>
  <c r="X129" i="3"/>
  <c r="Y129" i="3"/>
  <c r="V129" i="3"/>
  <c r="W129" i="3"/>
  <c r="Y128" i="3"/>
  <c r="W128" i="3"/>
  <c r="X128" i="3"/>
  <c r="V128" i="3"/>
  <c r="V127" i="3"/>
  <c r="W127" i="3"/>
  <c r="X127" i="3"/>
  <c r="Y127" i="3"/>
  <c r="Y126" i="3"/>
  <c r="W126" i="3"/>
  <c r="V126" i="3"/>
  <c r="X126" i="3"/>
  <c r="X125" i="3"/>
  <c r="W125" i="3"/>
  <c r="Y125" i="3"/>
  <c r="V125" i="3"/>
  <c r="Y124" i="3"/>
  <c r="W124" i="3"/>
  <c r="X124" i="3"/>
  <c r="V124" i="3"/>
  <c r="Y123" i="3"/>
  <c r="V123" i="3"/>
  <c r="W123" i="3"/>
  <c r="X123" i="3"/>
  <c r="Y122" i="3"/>
  <c r="W122" i="3"/>
  <c r="X122" i="3"/>
  <c r="V122" i="3"/>
  <c r="V121" i="3"/>
  <c r="Y121" i="3"/>
  <c r="W121" i="3"/>
  <c r="X121" i="3"/>
  <c r="Y120" i="3"/>
  <c r="V120" i="3"/>
  <c r="X120" i="3"/>
  <c r="W120" i="3"/>
  <c r="W119" i="3"/>
  <c r="V119" i="3"/>
  <c r="Y119" i="3"/>
  <c r="X119" i="3"/>
  <c r="W118" i="3"/>
  <c r="Y118" i="3"/>
  <c r="V118" i="3"/>
  <c r="X118" i="3"/>
  <c r="W117" i="3"/>
  <c r="V117" i="3"/>
  <c r="Y117" i="3"/>
  <c r="X117" i="3"/>
  <c r="X116" i="3"/>
  <c r="W116" i="3"/>
  <c r="V116" i="3"/>
  <c r="Y116" i="3"/>
  <c r="W115" i="3"/>
  <c r="X115" i="3"/>
  <c r="V115" i="3"/>
  <c r="Y115" i="3"/>
  <c r="Y114" i="3"/>
  <c r="W114" i="3"/>
  <c r="X114" i="3"/>
  <c r="V114" i="3"/>
  <c r="Y113" i="3"/>
  <c r="V113" i="3"/>
  <c r="W113" i="3"/>
  <c r="X113" i="3"/>
  <c r="Y112" i="3"/>
  <c r="W112" i="3"/>
  <c r="V112" i="3"/>
  <c r="X112" i="3"/>
  <c r="W111" i="3"/>
  <c r="V111" i="3"/>
  <c r="Y111" i="3"/>
  <c r="X111" i="3"/>
  <c r="X110" i="3"/>
  <c r="W110" i="3"/>
  <c r="Y110" i="3"/>
  <c r="V110" i="3"/>
  <c r="Y109" i="3"/>
  <c r="X109" i="3"/>
  <c r="W109" i="3"/>
  <c r="V109" i="3"/>
  <c r="X108" i="3"/>
  <c r="V108" i="3"/>
  <c r="Y108" i="3"/>
  <c r="W108" i="3"/>
  <c r="V107" i="3"/>
  <c r="W107" i="3"/>
  <c r="X107" i="3"/>
  <c r="Y107" i="3"/>
  <c r="Y106" i="3"/>
  <c r="X106" i="3"/>
  <c r="V106" i="3"/>
  <c r="W106" i="3"/>
  <c r="Y105" i="3"/>
  <c r="V105" i="3"/>
  <c r="W105" i="3"/>
  <c r="X105" i="3"/>
  <c r="V104" i="3"/>
  <c r="X104" i="3"/>
  <c r="Y104" i="3"/>
  <c r="W104" i="3"/>
  <c r="W103" i="3"/>
  <c r="Y103" i="3"/>
  <c r="X103" i="3"/>
  <c r="V103" i="3"/>
  <c r="X102" i="3"/>
  <c r="W102" i="3"/>
  <c r="V102" i="3"/>
  <c r="Y102" i="3"/>
  <c r="X101" i="3"/>
  <c r="W101" i="3"/>
  <c r="Y101" i="3"/>
  <c r="V101" i="3"/>
  <c r="W100" i="3"/>
  <c r="X100" i="3"/>
  <c r="Y100" i="3"/>
  <c r="V100" i="3"/>
  <c r="X99" i="3"/>
  <c r="W99" i="3"/>
  <c r="V99" i="3"/>
  <c r="Y99" i="3"/>
  <c r="W98" i="3"/>
  <c r="X98" i="3"/>
  <c r="V98" i="3"/>
  <c r="Y98" i="3"/>
  <c r="V97" i="3"/>
  <c r="X97" i="3"/>
  <c r="Y97" i="3"/>
  <c r="W97" i="3"/>
  <c r="W96" i="3"/>
  <c r="V96" i="3"/>
  <c r="Y96" i="3"/>
  <c r="X96" i="3"/>
  <c r="V95" i="3"/>
  <c r="W95" i="3"/>
  <c r="Y95" i="3"/>
  <c r="X95" i="3"/>
  <c r="V94" i="3"/>
  <c r="Y94" i="3"/>
  <c r="W94" i="3"/>
  <c r="X94" i="3"/>
  <c r="Y93" i="3"/>
  <c r="V93" i="3"/>
  <c r="W93" i="3"/>
  <c r="X93" i="3"/>
  <c r="Y92" i="3"/>
  <c r="V92" i="3"/>
  <c r="X92" i="3"/>
  <c r="W92" i="3"/>
  <c r="X91" i="3"/>
  <c r="V91" i="3"/>
  <c r="Y91" i="3"/>
  <c r="W91" i="3"/>
  <c r="X90" i="3"/>
  <c r="V90" i="3"/>
  <c r="W90" i="3"/>
  <c r="Y90" i="3"/>
  <c r="V89" i="3"/>
  <c r="X89" i="3"/>
  <c r="W89" i="3"/>
  <c r="Y89" i="3"/>
  <c r="V88" i="3"/>
  <c r="Y88" i="3"/>
  <c r="W88" i="3"/>
  <c r="X88" i="3"/>
  <c r="Y87" i="3"/>
  <c r="W87" i="3"/>
  <c r="V87" i="3"/>
  <c r="X87" i="3"/>
  <c r="V86" i="3"/>
  <c r="X86" i="3"/>
  <c r="Y86" i="3"/>
  <c r="W86" i="3"/>
  <c r="V85" i="3"/>
  <c r="Y85" i="3"/>
  <c r="X85" i="3"/>
  <c r="W85" i="3"/>
  <c r="Y84" i="3"/>
  <c r="V84" i="3"/>
  <c r="W84" i="3"/>
  <c r="X84" i="3"/>
  <c r="W83" i="3"/>
  <c r="Y83" i="3"/>
  <c r="X83" i="3"/>
  <c r="V83" i="3"/>
  <c r="V82" i="3"/>
  <c r="Y82" i="3"/>
  <c r="X82" i="3"/>
  <c r="W82" i="3"/>
  <c r="V81" i="3"/>
  <c r="W81" i="3"/>
  <c r="X81" i="3"/>
  <c r="Y81" i="3"/>
  <c r="X80" i="3"/>
  <c r="V80" i="3"/>
  <c r="Y80" i="3"/>
  <c r="W80" i="3"/>
  <c r="W79" i="3"/>
  <c r="V79" i="3"/>
  <c r="Y79" i="3"/>
  <c r="X79" i="3"/>
  <c r="V78" i="3"/>
  <c r="X78" i="3"/>
  <c r="Y78" i="3"/>
  <c r="W78" i="3"/>
  <c r="Y77" i="3"/>
  <c r="W77" i="3"/>
  <c r="X77" i="3"/>
  <c r="V77" i="3"/>
  <c r="V76" i="3"/>
  <c r="Y76" i="3"/>
  <c r="X76" i="3"/>
  <c r="W76" i="3"/>
  <c r="W75" i="3"/>
  <c r="V75" i="3"/>
  <c r="Y75" i="3"/>
  <c r="X75" i="3"/>
  <c r="X74" i="3"/>
  <c r="Y74" i="3"/>
  <c r="W74" i="3"/>
  <c r="V74" i="3"/>
  <c r="Y73" i="3"/>
  <c r="X73" i="3"/>
  <c r="V73" i="3"/>
  <c r="W73" i="3"/>
  <c r="V72" i="3"/>
  <c r="Y72" i="3"/>
  <c r="X72" i="3"/>
  <c r="W72" i="3"/>
  <c r="W71" i="3"/>
  <c r="V71" i="3"/>
  <c r="Y71" i="3"/>
  <c r="X71" i="3"/>
  <c r="W70" i="3"/>
  <c r="X70" i="3"/>
  <c r="Y70" i="3"/>
  <c r="V70" i="3"/>
  <c r="V69" i="3"/>
  <c r="Y69" i="3"/>
  <c r="W69" i="3"/>
  <c r="X69" i="3"/>
  <c r="W68" i="3"/>
  <c r="V68" i="3"/>
  <c r="Y68" i="3"/>
  <c r="X68" i="3"/>
  <c r="X67" i="3"/>
  <c r="V67" i="3"/>
  <c r="Y67" i="3"/>
  <c r="W67" i="3"/>
  <c r="X66" i="3"/>
  <c r="Y66" i="3"/>
  <c r="W66" i="3"/>
  <c r="V66" i="3"/>
  <c r="W65" i="3"/>
  <c r="X65" i="3"/>
  <c r="Y65" i="3"/>
  <c r="V65" i="3"/>
  <c r="W64" i="3"/>
  <c r="V64" i="3"/>
  <c r="Y64" i="3"/>
  <c r="X64" i="3"/>
  <c r="X63" i="3"/>
  <c r="V63" i="3"/>
  <c r="W63" i="3"/>
  <c r="Y63" i="3"/>
  <c r="X62" i="3"/>
  <c r="V62" i="3"/>
  <c r="Y62" i="3"/>
  <c r="W62" i="3"/>
  <c r="V61" i="3"/>
  <c r="W61" i="3"/>
  <c r="X61" i="3"/>
  <c r="Y61" i="3"/>
  <c r="Y60" i="3"/>
  <c r="W60" i="3"/>
  <c r="X60" i="3"/>
  <c r="V60" i="3"/>
  <c r="Y59" i="3"/>
  <c r="V59" i="3"/>
  <c r="W59" i="3"/>
  <c r="X59" i="3"/>
  <c r="Y58" i="3"/>
  <c r="V58" i="3"/>
  <c r="X58" i="3"/>
  <c r="W58" i="3"/>
  <c r="X57" i="3"/>
  <c r="Y57" i="3"/>
  <c r="W57" i="3"/>
  <c r="V57" i="3"/>
  <c r="Y56" i="3"/>
  <c r="W56" i="3"/>
  <c r="V56" i="3"/>
  <c r="X56" i="3"/>
  <c r="X55" i="3"/>
  <c r="V55" i="3"/>
  <c r="W55" i="3"/>
  <c r="Y55" i="3"/>
  <c r="V54" i="3"/>
  <c r="X54" i="3"/>
  <c r="W54" i="3"/>
  <c r="Y54" i="3"/>
  <c r="Y53" i="3"/>
  <c r="V53" i="3"/>
  <c r="X53" i="3"/>
  <c r="W53" i="3"/>
  <c r="W52" i="3"/>
  <c r="X52" i="3"/>
  <c r="Y52" i="3"/>
  <c r="V52" i="3"/>
  <c r="Y51" i="3"/>
  <c r="W51" i="3"/>
  <c r="X51" i="3"/>
  <c r="V51" i="3"/>
  <c r="W50" i="3"/>
  <c r="Y50" i="3"/>
  <c r="V50" i="3"/>
  <c r="X50" i="3"/>
  <c r="V49" i="3"/>
  <c r="Y49" i="3"/>
  <c r="X49" i="3"/>
  <c r="W49" i="3"/>
  <c r="Y48" i="3"/>
  <c r="X48" i="3"/>
  <c r="W48" i="3"/>
  <c r="V48" i="3"/>
  <c r="Y47" i="3"/>
  <c r="X47" i="3"/>
  <c r="V47" i="3"/>
  <c r="W47" i="3"/>
  <c r="Y46" i="3"/>
  <c r="W46" i="3"/>
  <c r="X46" i="3"/>
  <c r="V46" i="3"/>
  <c r="Y45" i="3"/>
  <c r="V45" i="3"/>
  <c r="X45" i="3"/>
  <c r="W45" i="3"/>
  <c r="Y44" i="3"/>
  <c r="W44" i="3"/>
  <c r="X44" i="3"/>
  <c r="V44" i="3"/>
  <c r="V43" i="3"/>
  <c r="X43" i="3"/>
  <c r="Y43" i="3"/>
  <c r="W43" i="3"/>
  <c r="Y42" i="3"/>
  <c r="X42" i="3"/>
  <c r="W42" i="3"/>
  <c r="V42" i="3"/>
  <c r="Y41" i="3"/>
  <c r="X41" i="3"/>
  <c r="V41" i="3"/>
  <c r="W41" i="3"/>
  <c r="V40" i="3"/>
  <c r="W40" i="3"/>
  <c r="Y40" i="3"/>
  <c r="X40" i="3"/>
  <c r="Y39" i="3"/>
  <c r="W39" i="3"/>
  <c r="V39" i="3"/>
  <c r="X39" i="3"/>
  <c r="W38" i="3"/>
  <c r="Y38" i="3"/>
  <c r="X38" i="3"/>
  <c r="V38" i="3"/>
  <c r="W37" i="3"/>
  <c r="V37" i="3"/>
  <c r="Y37" i="3"/>
  <c r="X37" i="3"/>
  <c r="Y36" i="3"/>
  <c r="V36" i="3"/>
  <c r="W36" i="3"/>
  <c r="X36" i="3"/>
  <c r="W35" i="3"/>
  <c r="X35" i="3"/>
  <c r="Y35" i="3"/>
  <c r="V35" i="3"/>
  <c r="X34" i="3"/>
  <c r="W34" i="3"/>
  <c r="Y34" i="3"/>
  <c r="V34" i="3"/>
  <c r="X33" i="3"/>
  <c r="V33" i="3"/>
  <c r="W33" i="3"/>
  <c r="Y33" i="3"/>
  <c r="Y32" i="3"/>
  <c r="X32" i="3"/>
  <c r="W32" i="3"/>
  <c r="V32" i="3"/>
  <c r="Y31" i="3"/>
  <c r="X31" i="3"/>
  <c r="V31" i="3"/>
  <c r="W31" i="3"/>
  <c r="V30" i="3"/>
  <c r="Y30" i="3"/>
  <c r="X30" i="3"/>
  <c r="W30" i="3"/>
  <c r="Y29" i="3"/>
  <c r="W29" i="3"/>
  <c r="X29" i="3"/>
  <c r="V29" i="3"/>
  <c r="Y28" i="3"/>
  <c r="X28" i="3"/>
  <c r="W28" i="3"/>
  <c r="V28" i="3"/>
  <c r="W27" i="3"/>
  <c r="Y27" i="3"/>
  <c r="X27" i="3"/>
  <c r="V27" i="3"/>
  <c r="X26" i="3"/>
  <c r="W26" i="3"/>
  <c r="V26" i="3"/>
  <c r="Y26" i="3"/>
  <c r="X25" i="3"/>
  <c r="W25" i="3"/>
  <c r="Y25" i="3"/>
  <c r="V25" i="3"/>
  <c r="Y24" i="3"/>
  <c r="V24" i="3"/>
  <c r="X24" i="3"/>
  <c r="W24" i="3"/>
  <c r="X23" i="3"/>
  <c r="V23" i="3"/>
  <c r="Y23" i="3"/>
  <c r="W23" i="3"/>
  <c r="Y22" i="3"/>
  <c r="V22" i="3"/>
  <c r="X22" i="3"/>
  <c r="W22" i="3"/>
  <c r="W21" i="3"/>
  <c r="V21" i="3"/>
  <c r="Y21" i="3"/>
  <c r="X21" i="3"/>
  <c r="Y20" i="3"/>
  <c r="X20" i="3"/>
  <c r="W20" i="3"/>
  <c r="V20" i="3"/>
  <c r="Y19" i="3"/>
  <c r="V19" i="3"/>
  <c r="X19" i="3"/>
  <c r="W19" i="3"/>
  <c r="W18" i="3"/>
  <c r="X18" i="3"/>
  <c r="V18" i="3"/>
  <c r="Y18" i="3"/>
  <c r="X17" i="3"/>
  <c r="W17" i="3"/>
  <c r="V17" i="3"/>
  <c r="Y17" i="3"/>
  <c r="Y16" i="3"/>
  <c r="X16" i="3"/>
  <c r="V16" i="3"/>
  <c r="W16" i="3"/>
  <c r="Y15" i="3"/>
  <c r="W15" i="3"/>
  <c r="V15" i="3"/>
  <c r="X15" i="3"/>
  <c r="Y14" i="3"/>
  <c r="W14" i="3"/>
  <c r="V14" i="3"/>
  <c r="X14" i="3"/>
  <c r="W13" i="3"/>
  <c r="V13" i="3"/>
  <c r="Y13" i="3"/>
  <c r="X13" i="3"/>
  <c r="W12" i="3"/>
  <c r="V12" i="3"/>
  <c r="Y12" i="3"/>
  <c r="X12" i="3"/>
  <c r="Y11" i="3"/>
  <c r="W11" i="3"/>
  <c r="X11" i="3"/>
  <c r="V11" i="3"/>
  <c r="G4" i="3"/>
  <c r="I4" i="3"/>
  <c r="W995" i="1"/>
  <c r="W994" i="1"/>
  <c r="W991" i="1"/>
  <c r="W983" i="1"/>
  <c r="W980" i="1"/>
  <c r="W978" i="1"/>
  <c r="W977" i="1"/>
  <c r="W976" i="1"/>
  <c r="W972" i="1"/>
  <c r="W968" i="1"/>
  <c r="W966" i="1"/>
  <c r="W965" i="1"/>
  <c r="W959" i="1"/>
  <c r="W958" i="1"/>
  <c r="W957" i="1"/>
  <c r="W956" i="1"/>
  <c r="W950" i="1"/>
  <c r="W947" i="1"/>
  <c r="W937" i="1"/>
  <c r="W936" i="1"/>
  <c r="W934" i="1"/>
  <c r="W926" i="1"/>
  <c r="W924" i="1"/>
  <c r="W922" i="1"/>
  <c r="W920" i="1"/>
  <c r="W918" i="1"/>
  <c r="W916" i="1"/>
  <c r="W914" i="1"/>
  <c r="W912" i="1"/>
  <c r="W909" i="1"/>
  <c r="W907" i="1"/>
  <c r="W905" i="1"/>
  <c r="W903" i="1"/>
  <c r="W898" i="1"/>
  <c r="W894" i="1"/>
  <c r="W890" i="1"/>
  <c r="W885" i="1"/>
  <c r="W883" i="1"/>
  <c r="W882" i="1"/>
  <c r="W881" i="1"/>
  <c r="W880" i="1"/>
  <c r="W874" i="1"/>
  <c r="W866" i="1"/>
  <c r="W862" i="1"/>
  <c r="W858" i="1"/>
  <c r="W851" i="1"/>
  <c r="W846" i="1"/>
  <c r="W842" i="1"/>
  <c r="W840" i="1"/>
  <c r="W839" i="1"/>
  <c r="W487" i="1"/>
  <c r="W483" i="1"/>
  <c r="W479" i="1"/>
  <c r="W477" i="1"/>
  <c r="W474" i="1"/>
  <c r="W467" i="1"/>
  <c r="W458" i="1"/>
  <c r="W450" i="1"/>
  <c r="W444" i="1"/>
  <c r="W442" i="1"/>
  <c r="W435" i="1"/>
  <c r="W434" i="1"/>
  <c r="W424" i="1"/>
  <c r="W420" i="1"/>
  <c r="W417" i="1"/>
  <c r="W409" i="1"/>
  <c r="W408" i="1"/>
  <c r="W394" i="1"/>
  <c r="W379" i="1"/>
  <c r="W378" i="1"/>
  <c r="W365" i="1"/>
  <c r="W360" i="1"/>
  <c r="W341" i="1"/>
  <c r="W340" i="1"/>
  <c r="W318" i="1"/>
  <c r="W312" i="1"/>
  <c r="W308" i="1"/>
  <c r="W306" i="1"/>
  <c r="W305" i="1"/>
  <c r="W302" i="1"/>
  <c r="W298" i="1"/>
  <c r="W279" i="1"/>
  <c r="W277" i="1"/>
  <c r="W274" i="1"/>
  <c r="W273" i="1"/>
  <c r="W272" i="1"/>
  <c r="W270" i="1"/>
  <c r="W268" i="1"/>
  <c r="W267" i="1"/>
  <c r="W265" i="1"/>
  <c r="W262" i="1"/>
  <c r="W260" i="1"/>
  <c r="W257" i="1"/>
  <c r="W1005" i="1"/>
  <c r="W999" i="1"/>
  <c r="W987" i="1"/>
  <c r="W985" i="1"/>
  <c r="W981" i="1"/>
  <c r="W964" i="1"/>
  <c r="W963" i="1"/>
  <c r="W962" i="1"/>
  <c r="W960" i="1"/>
  <c r="W955" i="1"/>
  <c r="W953" i="1"/>
  <c r="W951" i="1"/>
  <c r="W949" i="1"/>
  <c r="W944" i="1"/>
  <c r="W942" i="1"/>
  <c r="W941" i="1"/>
  <c r="W938" i="1"/>
  <c r="W935" i="1"/>
  <c r="W933" i="1"/>
  <c r="W917" i="1"/>
  <c r="W910" i="1"/>
  <c r="W908" i="1"/>
  <c r="W904" i="1"/>
  <c r="W902" i="1"/>
  <c r="W901" i="1"/>
  <c r="W899" i="1"/>
  <c r="W892" i="1"/>
  <c r="W884" i="1"/>
  <c r="W875" i="1"/>
  <c r="W861" i="1"/>
  <c r="W847" i="1"/>
  <c r="W843" i="1"/>
  <c r="W485" i="1"/>
  <c r="W484" i="1"/>
  <c r="W482" i="1"/>
  <c r="W480" i="1"/>
  <c r="W471" i="1"/>
  <c r="W455" i="1"/>
  <c r="W454" i="1"/>
  <c r="W433" i="1"/>
  <c r="W432" i="1"/>
  <c r="W429" i="1"/>
  <c r="W426" i="1"/>
  <c r="W425" i="1"/>
  <c r="W422" i="1"/>
  <c r="W421" i="1"/>
  <c r="W405" i="1"/>
  <c r="W404" i="1"/>
  <c r="W402" i="1"/>
  <c r="W401" i="1"/>
  <c r="W399" i="1"/>
  <c r="W398" i="1"/>
  <c r="W397" i="1"/>
  <c r="W391" i="1"/>
  <c r="W384" i="1"/>
  <c r="W383" i="1"/>
  <c r="W381" i="1"/>
  <c r="W371" i="1"/>
  <c r="W370" i="1"/>
  <c r="W369" i="1"/>
  <c r="W366" i="1"/>
  <c r="W361" i="1"/>
  <c r="W356" i="1"/>
  <c r="W334" i="1"/>
  <c r="W330" i="1"/>
  <c r="W329" i="1"/>
  <c r="W314" i="1"/>
  <c r="W313" i="1"/>
  <c r="W311" i="1"/>
  <c r="W310" i="1"/>
  <c r="W304" i="1"/>
  <c r="W301" i="1"/>
  <c r="W300" i="1"/>
  <c r="W299" i="1"/>
  <c r="W282" i="1"/>
  <c r="W281" i="1"/>
  <c r="W263" i="1"/>
  <c r="W261" i="1"/>
  <c r="W259" i="1"/>
  <c r="W25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63" i="1"/>
  <c r="W452" i="1"/>
  <c r="W440" i="1"/>
  <c r="W423" i="1"/>
  <c r="W419" i="1"/>
  <c r="W418" i="1"/>
  <c r="W415" i="1"/>
  <c r="W414" i="1"/>
  <c r="W410" i="1"/>
  <c r="W403" i="1"/>
  <c r="W396" i="1"/>
  <c r="W395" i="1"/>
  <c r="W390" i="1"/>
  <c r="W388" i="1"/>
  <c r="W364" i="1"/>
  <c r="W358" i="1"/>
  <c r="W355" i="1"/>
  <c r="W354" i="1"/>
  <c r="W353" i="1"/>
  <c r="W351" i="1"/>
  <c r="W346" i="1"/>
  <c r="W345" i="1"/>
  <c r="W339" i="1"/>
  <c r="W338" i="1"/>
  <c r="W337" i="1"/>
  <c r="W336" i="1"/>
  <c r="W335" i="1"/>
  <c r="W331" i="1"/>
  <c r="W328" i="1"/>
  <c r="W325" i="1"/>
  <c r="W323" i="1"/>
  <c r="W322" i="1"/>
  <c r="W320" i="1"/>
  <c r="W317" i="1"/>
  <c r="W316" i="1"/>
  <c r="W315" i="1"/>
  <c r="W307" i="1"/>
  <c r="W303" i="1"/>
  <c r="W297" i="1"/>
  <c r="W296" i="1"/>
  <c r="W295" i="1"/>
  <c r="W291" i="1"/>
  <c r="W286" i="1"/>
  <c r="W931" i="1"/>
  <c r="W928" i="1"/>
  <c r="W925" i="1"/>
  <c r="W919" i="1"/>
  <c r="W915" i="1"/>
  <c r="W900" i="1"/>
  <c r="W897" i="1"/>
  <c r="W895" i="1"/>
  <c r="W893" i="1"/>
  <c r="W891" i="1"/>
  <c r="W888" i="1"/>
  <c r="W886" i="1"/>
  <c r="W877" i="1"/>
  <c r="W873" i="1"/>
  <c r="W872" i="1"/>
  <c r="W870" i="1"/>
  <c r="W869" i="1"/>
  <c r="W867" i="1"/>
  <c r="W864" i="1"/>
  <c r="W860" i="1"/>
  <c r="W859" i="1"/>
  <c r="W857" i="1"/>
  <c r="W854" i="1"/>
  <c r="W853" i="1"/>
  <c r="W849" i="1"/>
  <c r="W845" i="1"/>
  <c r="W844" i="1"/>
  <c r="W838" i="1"/>
  <c r="W481" i="1"/>
  <c r="W473" i="1"/>
  <c r="W470" i="1"/>
  <c r="W465" i="1"/>
  <c r="W464" i="1"/>
  <c r="W457" i="1"/>
  <c r="W456" i="1"/>
  <c r="W453" i="1"/>
  <c r="W451" i="1"/>
  <c r="W438" i="1"/>
  <c r="W437" i="1"/>
  <c r="W436" i="1"/>
  <c r="W431" i="1"/>
  <c r="W428" i="1"/>
  <c r="W427" i="1"/>
  <c r="W407" i="1"/>
  <c r="W406" i="1"/>
  <c r="W393" i="1"/>
  <c r="W392" i="1"/>
  <c r="W387" i="1"/>
  <c r="W377" i="1"/>
  <c r="W372" i="1"/>
  <c r="W359" i="1"/>
  <c r="W357" i="1"/>
  <c r="W348" i="1"/>
  <c r="W347" i="1"/>
  <c r="W343" i="1"/>
  <c r="W324" i="1"/>
  <c r="W321" i="1"/>
  <c r="W319" i="1"/>
  <c r="W293" i="1"/>
  <c r="W288" i="1"/>
  <c r="W1007" i="1"/>
  <c r="W1006" i="1"/>
  <c r="W1000" i="1"/>
  <c r="W997" i="1"/>
  <c r="W1004" i="1"/>
  <c r="W1003" i="1"/>
  <c r="W1002" i="1"/>
  <c r="W1001" i="1"/>
  <c r="W998" i="1"/>
  <c r="W996" i="1"/>
  <c r="W993" i="1"/>
  <c r="W992" i="1"/>
  <c r="W990" i="1"/>
  <c r="W989" i="1"/>
  <c r="W988" i="1"/>
  <c r="W986" i="1"/>
  <c r="W984" i="1"/>
  <c r="W982" i="1"/>
  <c r="W979" i="1"/>
  <c r="W975" i="1"/>
  <c r="W974" i="1"/>
  <c r="W973" i="1"/>
  <c r="W971" i="1"/>
  <c r="W970" i="1"/>
  <c r="W969" i="1"/>
  <c r="W967" i="1"/>
  <c r="W961" i="1"/>
  <c r="W954" i="1"/>
  <c r="W952" i="1"/>
  <c r="W948" i="1"/>
  <c r="W946" i="1"/>
  <c r="W945" i="1"/>
  <c r="W943" i="1"/>
  <c r="W940" i="1"/>
  <c r="W939" i="1"/>
  <c r="W932" i="1"/>
  <c r="W930" i="1"/>
  <c r="W929" i="1"/>
  <c r="W927" i="1"/>
  <c r="W923" i="1"/>
  <c r="W921" i="1"/>
  <c r="W913" i="1"/>
  <c r="W911" i="1"/>
  <c r="W906" i="1"/>
  <c r="W896" i="1"/>
  <c r="W889" i="1"/>
  <c r="W887" i="1"/>
  <c r="W879" i="1"/>
  <c r="W878" i="1"/>
  <c r="W876" i="1"/>
  <c r="W871" i="1"/>
  <c r="W868" i="1"/>
  <c r="W865" i="1"/>
  <c r="W863" i="1"/>
  <c r="W856" i="1"/>
  <c r="W855" i="1"/>
  <c r="W852" i="1"/>
  <c r="W850" i="1"/>
  <c r="W848" i="1"/>
  <c r="W841" i="1"/>
  <c r="W486" i="1"/>
  <c r="W478" i="1"/>
  <c r="W476" i="1"/>
  <c r="W475" i="1"/>
  <c r="W472" i="1"/>
  <c r="W469" i="1"/>
  <c r="W468" i="1"/>
  <c r="W466" i="1"/>
  <c r="W462" i="1"/>
  <c r="W461" i="1"/>
  <c r="W460" i="1"/>
  <c r="W459" i="1"/>
  <c r="W449" i="1"/>
  <c r="W448" i="1"/>
  <c r="W447" i="1"/>
  <c r="W446" i="1"/>
  <c r="W445" i="1"/>
  <c r="W443" i="1"/>
  <c r="W441" i="1"/>
  <c r="W439" i="1"/>
  <c r="W430" i="1"/>
  <c r="W416" i="1"/>
  <c r="W413" i="1"/>
  <c r="W412" i="1"/>
  <c r="W411" i="1"/>
  <c r="W400" i="1"/>
  <c r="W389" i="1"/>
  <c r="W386" i="1"/>
  <c r="W385" i="1"/>
  <c r="W382" i="1"/>
  <c r="W380" i="1"/>
  <c r="W376" i="1"/>
  <c r="W375" i="1"/>
  <c r="W374" i="1"/>
  <c r="W373" i="1"/>
  <c r="W368" i="1"/>
  <c r="W367" i="1"/>
  <c r="W363" i="1"/>
  <c r="W362" i="1"/>
  <c r="W352" i="1"/>
  <c r="W350" i="1"/>
  <c r="W349" i="1"/>
  <c r="W344" i="1"/>
  <c r="W342" i="1"/>
  <c r="W333" i="1"/>
  <c r="W332" i="1"/>
  <c r="W327" i="1"/>
  <c r="W326" i="1"/>
  <c r="W309" i="1"/>
  <c r="W294" i="1"/>
  <c r="W292" i="1"/>
  <c r="W290" i="1"/>
  <c r="W289" i="1"/>
  <c r="W287" i="1"/>
  <c r="W285" i="1"/>
  <c r="W284" i="1"/>
  <c r="W280" i="1"/>
  <c r="W278" i="1"/>
  <c r="W276" i="1"/>
  <c r="W275" i="1"/>
  <c r="W271" i="1"/>
  <c r="W269" i="1"/>
  <c r="W266" i="1"/>
  <c r="W264" i="1"/>
  <c r="R5" i="3" l="1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11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3" i="3"/>
  <c r="AA12" i="3"/>
  <c r="AA14" i="3"/>
  <c r="AA15" i="3"/>
  <c r="Y101" i="6"/>
  <c r="Y74" i="6"/>
  <c r="Y28" i="6"/>
  <c r="Y9" i="6"/>
  <c r="Y864" i="6"/>
  <c r="Y833" i="6"/>
  <c r="Y788" i="6"/>
  <c r="Y756" i="6"/>
  <c r="Y730" i="6"/>
  <c r="Y702" i="6"/>
  <c r="Y670" i="6"/>
  <c r="Y645" i="6"/>
  <c r="Y615" i="6"/>
  <c r="Y587" i="6"/>
  <c r="Y533" i="6"/>
  <c r="Y507" i="6"/>
  <c r="Y472" i="6"/>
  <c r="Y444" i="6"/>
  <c r="Y420" i="6"/>
  <c r="Y398" i="6"/>
  <c r="Y375" i="6"/>
  <c r="Y355" i="6"/>
  <c r="Y336" i="6"/>
  <c r="Y312" i="6"/>
  <c r="Y284" i="6"/>
  <c r="Y260" i="6"/>
  <c r="Y223" i="6"/>
  <c r="Y193" i="6"/>
  <c r="Y158" i="6"/>
  <c r="Y124" i="6"/>
  <c r="Y93" i="6"/>
  <c r="Y61" i="6"/>
  <c r="Y50" i="6"/>
  <c r="Y39" i="6"/>
  <c r="Y13" i="6"/>
  <c r="Y920" i="6"/>
  <c r="Y906" i="6"/>
  <c r="Y893" i="6"/>
  <c r="Y882" i="6"/>
  <c r="Y863" i="6"/>
  <c r="Y838" i="6"/>
  <c r="Y807" i="6"/>
  <c r="Y789" i="6"/>
  <c r="Y758" i="6"/>
  <c r="Y733" i="6"/>
  <c r="Y705" i="6"/>
  <c r="Y680" i="6"/>
  <c r="Y649" i="6"/>
  <c r="Y612" i="6"/>
  <c r="Y585" i="6"/>
  <c r="Y557" i="6"/>
  <c r="Y529" i="6"/>
  <c r="Y502" i="6"/>
  <c r="Y479" i="6"/>
  <c r="Y452" i="6"/>
  <c r="Y421" i="6"/>
  <c r="Y396" i="6"/>
  <c r="Y374" i="6"/>
  <c r="Y360" i="6"/>
  <c r="Y346" i="6"/>
  <c r="Y319" i="6"/>
  <c r="Y294" i="6"/>
  <c r="Y273" i="6"/>
  <c r="Y246" i="6"/>
  <c r="Y207" i="6"/>
  <c r="Y69" i="6"/>
  <c r="Y64" i="6"/>
  <c r="Y49" i="6"/>
  <c r="Y37" i="6"/>
  <c r="Y17" i="6"/>
  <c r="Y999" i="6"/>
  <c r="Y994" i="6"/>
  <c r="Y989" i="6"/>
  <c r="Y984" i="6"/>
  <c r="Y979" i="6"/>
  <c r="Y973" i="6"/>
  <c r="Y968" i="6"/>
  <c r="Y962" i="6"/>
  <c r="Y957" i="6"/>
  <c r="Y951" i="6"/>
  <c r="Y946" i="6"/>
  <c r="Y941" i="6"/>
  <c r="Y936" i="6"/>
  <c r="Y926" i="6"/>
  <c r="Y915" i="6"/>
  <c r="Y903" i="6"/>
  <c r="Y872" i="6"/>
  <c r="Y845" i="6"/>
  <c r="Y824" i="6"/>
  <c r="Y808" i="6"/>
  <c r="Y775" i="6"/>
  <c r="Y745" i="6"/>
  <c r="Y727" i="6"/>
  <c r="Y697" i="6"/>
  <c r="Y682" i="6"/>
  <c r="Y663" i="6"/>
  <c r="Y644" i="6"/>
  <c r="Y631" i="6"/>
  <c r="Y611" i="6"/>
  <c r="Y593" i="6"/>
  <c r="Y570" i="6"/>
  <c r="Y542" i="6"/>
  <c r="Y518" i="6"/>
  <c r="Y498" i="6"/>
  <c r="Y470" i="6"/>
  <c r="Y447" i="6"/>
  <c r="Y427" i="6"/>
  <c r="Y407" i="6"/>
  <c r="Y391" i="6"/>
  <c r="Y363" i="6"/>
  <c r="Y323" i="6"/>
  <c r="Y233" i="6"/>
  <c r="Y202" i="6"/>
  <c r="Y173" i="6"/>
  <c r="Y149" i="6"/>
  <c r="Y118" i="6"/>
  <c r="Y95" i="6"/>
  <c r="Y78" i="6"/>
  <c r="Y184" i="6"/>
  <c r="Y159" i="6"/>
  <c r="Y130" i="6"/>
  <c r="Y110" i="6"/>
  <c r="Y87" i="6"/>
  <c r="Y73" i="6"/>
  <c r="Y14" i="6"/>
  <c r="Y887" i="6"/>
  <c r="Y868" i="6"/>
  <c r="Y839" i="6"/>
  <c r="Y814" i="6"/>
  <c r="Y783" i="6"/>
  <c r="Y755" i="6"/>
  <c r="Y719" i="6"/>
  <c r="Y683" i="6"/>
  <c r="Y659" i="6"/>
  <c r="Y630" i="6"/>
  <c r="Y610" i="6"/>
  <c r="Y589" i="6"/>
  <c r="Y559" i="6"/>
  <c r="Y545" i="6"/>
  <c r="Y524" i="6"/>
  <c r="Y509" i="6"/>
  <c r="Y490" i="6"/>
  <c r="Y453" i="6"/>
  <c r="Y430" i="6"/>
  <c r="Y392" i="6"/>
  <c r="Y372" i="6"/>
  <c r="Y354" i="6"/>
  <c r="Y339" i="6"/>
  <c r="Y313" i="6"/>
  <c r="Y291" i="6"/>
  <c r="Y274" i="6"/>
  <c r="Y266" i="6"/>
  <c r="Y249" i="6"/>
  <c r="Y231" i="6"/>
  <c r="Y209" i="6"/>
  <c r="Y189" i="6"/>
  <c r="Y168" i="6"/>
  <c r="Y150" i="6"/>
  <c r="Y129" i="6"/>
  <c r="Y111" i="6"/>
  <c r="Y92" i="6"/>
  <c r="Y44" i="6"/>
  <c r="Y29" i="6"/>
  <c r="Y554" i="6"/>
  <c r="Y496" i="6"/>
  <c r="Y488" i="6"/>
  <c r="Y467" i="6"/>
  <c r="Y455" i="6"/>
  <c r="Y419" i="6"/>
  <c r="Y400" i="6"/>
  <c r="Y381" i="6"/>
  <c r="Y357" i="6"/>
  <c r="Y337" i="6"/>
  <c r="Y315" i="6"/>
  <c r="Y302" i="6"/>
  <c r="Y283" i="6"/>
  <c r="Y263" i="6"/>
  <c r="Y247" i="6"/>
  <c r="Y230" i="6"/>
  <c r="Y215" i="6"/>
  <c r="Y195" i="6"/>
  <c r="Y169" i="6"/>
  <c r="Y143" i="6"/>
  <c r="Y126" i="6"/>
  <c r="Y112" i="6"/>
  <c r="Y80" i="6"/>
  <c r="Y38" i="6"/>
  <c r="Y21" i="6"/>
  <c r="Y871" i="6"/>
  <c r="Y852" i="6"/>
  <c r="Y837" i="6"/>
  <c r="Y798" i="6"/>
  <c r="Y771" i="6"/>
  <c r="Y747" i="6"/>
  <c r="Y720" i="6"/>
  <c r="Y692" i="6"/>
  <c r="Y664" i="6"/>
  <c r="Y637" i="6"/>
  <c r="Y622" i="6"/>
  <c r="Y591" i="6"/>
  <c r="Y572" i="6"/>
  <c r="Y522" i="6"/>
  <c r="Y499" i="6"/>
  <c r="Y469" i="6"/>
  <c r="Y449" i="6"/>
  <c r="Y423" i="6"/>
  <c r="Y402" i="6"/>
  <c r="Y385" i="6"/>
  <c r="Y362" i="6"/>
  <c r="Y348" i="6"/>
  <c r="Y320" i="6"/>
  <c r="Y300" i="6"/>
  <c r="Y280" i="6"/>
  <c r="Y264" i="6"/>
  <c r="Y238" i="6"/>
  <c r="Y213" i="6"/>
  <c r="Y198" i="6"/>
  <c r="Y181" i="6"/>
  <c r="Y163" i="6"/>
  <c r="Y141" i="6"/>
  <c r="Y121" i="6"/>
  <c r="Y97" i="6"/>
  <c r="Y59" i="6"/>
  <c r="Y47" i="6"/>
  <c r="Y35" i="6"/>
  <c r="Y10" i="6"/>
  <c r="Y916" i="6"/>
  <c r="Y902" i="6"/>
  <c r="Y885" i="6"/>
  <c r="Y874" i="6"/>
  <c r="Y848" i="6"/>
  <c r="Y826" i="6"/>
  <c r="Y804" i="6"/>
  <c r="Y785" i="6"/>
  <c r="Y753" i="6"/>
  <c r="Y724" i="6"/>
  <c r="Y699" i="6"/>
  <c r="Y676" i="6"/>
  <c r="Y653" i="6"/>
  <c r="Y617" i="6"/>
  <c r="Y590" i="6"/>
  <c r="Y569" i="6"/>
  <c r="Y553" i="6"/>
  <c r="Y535" i="6"/>
  <c r="Y508" i="6"/>
  <c r="Y484" i="6"/>
  <c r="Y457" i="6"/>
  <c r="Y434" i="6"/>
  <c r="Y412" i="6"/>
  <c r="Y390" i="6"/>
  <c r="Y369" i="6"/>
  <c r="Y353" i="6"/>
  <c r="Y342" i="6"/>
  <c r="Y324" i="6"/>
  <c r="Y299" i="6"/>
  <c r="Y281" i="6"/>
  <c r="Y261" i="6"/>
  <c r="Y242" i="6"/>
  <c r="Y222" i="6"/>
  <c r="Y196" i="6"/>
  <c r="Y66" i="6"/>
  <c r="Y56" i="6"/>
  <c r="Y43" i="6"/>
  <c r="Y30" i="6"/>
  <c r="Y1003" i="6"/>
  <c r="Y998" i="6"/>
  <c r="Y995" i="6"/>
  <c r="Y990" i="6"/>
  <c r="Y985" i="6"/>
  <c r="Y980" i="6"/>
  <c r="Y976" i="6"/>
  <c r="Y972" i="6"/>
  <c r="Y967" i="6"/>
  <c r="Y963" i="6"/>
  <c r="Y958" i="6"/>
  <c r="Y952" i="6"/>
  <c r="Y948" i="6"/>
  <c r="Y942" i="6"/>
  <c r="Y938" i="6"/>
  <c r="Y934" i="6"/>
  <c r="Y922" i="6"/>
  <c r="Y910" i="6"/>
  <c r="Y900" i="6"/>
  <c r="Y867" i="6"/>
  <c r="Y850" i="6"/>
  <c r="Y827" i="6"/>
  <c r="Y806" i="6"/>
  <c r="Y790" i="6"/>
  <c r="Y768" i="6"/>
  <c r="Y759" i="6"/>
  <c r="Y738" i="6"/>
  <c r="Y717" i="6"/>
  <c r="Y701" i="6"/>
  <c r="Y686" i="6"/>
  <c r="Y668" i="6"/>
  <c r="Y647" i="6"/>
  <c r="Y625" i="6"/>
  <c r="Y614" i="6"/>
  <c r="Y596" i="6"/>
  <c r="Y573" i="6"/>
  <c r="Y560" i="6"/>
  <c r="Y530" i="6"/>
  <c r="Y512" i="6"/>
  <c r="Y489" i="6"/>
  <c r="Y474" i="6"/>
  <c r="Y450" i="6"/>
  <c r="Y436" i="6"/>
  <c r="Y415" i="6"/>
  <c r="Y399" i="6"/>
  <c r="Y379" i="6"/>
  <c r="Y331" i="6"/>
  <c r="Y309" i="6"/>
  <c r="Y254" i="6"/>
  <c r="Y227" i="6"/>
  <c r="Y197" i="6"/>
  <c r="Y177" i="6"/>
  <c r="Y154" i="6"/>
  <c r="Y133" i="6"/>
  <c r="Y108" i="6"/>
  <c r="Y90" i="6"/>
  <c r="Y75" i="6"/>
  <c r="Y164" i="6"/>
  <c r="Y135" i="6"/>
  <c r="Y120" i="6"/>
  <c r="Y94" i="6"/>
  <c r="Y79" i="6"/>
  <c r="Y18" i="6"/>
  <c r="Y890" i="6"/>
  <c r="Y873" i="6"/>
  <c r="Y855" i="6"/>
  <c r="Y829" i="6"/>
  <c r="Y801" i="6"/>
  <c r="Y787" i="6"/>
  <c r="Y769" i="6"/>
  <c r="Y728" i="6"/>
  <c r="Y703" i="6"/>
  <c r="Y673" i="6"/>
  <c r="Y646" i="6"/>
  <c r="Y619" i="6"/>
  <c r="Y605" i="6"/>
  <c r="Y580" i="6"/>
  <c r="Y563" i="6"/>
  <c r="Y549" i="6"/>
  <c r="Y532" i="6"/>
  <c r="Y511" i="6"/>
  <c r="Y495" i="6"/>
  <c r="Y476" i="6"/>
  <c r="Y446" i="6"/>
  <c r="Y414" i="6"/>
  <c r="Y397" i="6"/>
  <c r="Y378" i="6"/>
  <c r="Y358" i="6"/>
  <c r="Y343" i="6"/>
  <c r="Y318" i="6"/>
  <c r="Y296" i="6"/>
  <c r="Y287" i="6"/>
  <c r="Y257" i="6"/>
  <c r="Y241" i="6"/>
  <c r="Y225" i="6"/>
  <c r="Y204" i="6"/>
  <c r="Y178" i="6"/>
  <c r="Y157" i="6"/>
  <c r="Y145" i="6"/>
  <c r="Y123" i="6"/>
  <c r="Y105" i="6"/>
  <c r="Y89" i="6"/>
  <c r="Y41" i="6"/>
  <c r="Y26" i="6"/>
  <c r="Y870" i="6"/>
  <c r="Y828" i="6"/>
  <c r="Y818" i="6"/>
  <c r="Y802" i="6"/>
  <c r="Y791" i="6"/>
  <c r="Y781" i="6"/>
  <c r="Y767" i="6"/>
  <c r="Y757" i="6"/>
  <c r="Y746" i="6"/>
  <c r="Y736" i="6"/>
  <c r="Y725" i="6"/>
  <c r="Y715" i="6"/>
  <c r="Y696" i="6"/>
  <c r="Y685" i="6"/>
  <c r="Y671" i="6"/>
  <c r="Y660" i="6"/>
  <c r="Y652" i="6"/>
  <c r="Y640" i="6"/>
  <c r="Y628" i="6"/>
  <c r="Y618" i="6"/>
  <c r="Y602" i="6"/>
  <c r="Y592" i="6"/>
  <c r="Y576" i="6"/>
  <c r="Y566" i="6"/>
  <c r="Y558" i="6"/>
  <c r="Y547" i="6"/>
  <c r="Y540" i="6"/>
  <c r="Y531" i="6"/>
  <c r="Y514" i="6"/>
  <c r="Y493" i="6"/>
  <c r="Y480" i="6"/>
  <c r="Y465" i="6"/>
  <c r="Y445" i="6"/>
  <c r="Y431" i="6"/>
  <c r="Y409" i="6"/>
  <c r="Y376" i="6"/>
  <c r="Y352" i="6"/>
  <c r="Y326" i="6"/>
  <c r="Y310" i="6"/>
  <c r="Y292" i="6"/>
  <c r="Y272" i="6"/>
  <c r="Y251" i="6"/>
  <c r="Y240" i="6"/>
  <c r="Y224" i="6"/>
  <c r="Y206" i="6"/>
  <c r="Y185" i="6"/>
  <c r="Y160" i="6"/>
  <c r="Y136" i="6"/>
  <c r="Y117" i="6"/>
  <c r="Y83" i="6"/>
  <c r="Y31" i="6"/>
  <c r="Y12" i="6"/>
  <c r="Y849" i="6"/>
  <c r="Y825" i="6"/>
  <c r="Y809" i="6"/>
  <c r="Y780" i="6"/>
  <c r="Y752" i="6"/>
  <c r="Y734" i="6"/>
  <c r="Y708" i="6"/>
  <c r="Y677" i="6"/>
  <c r="Y642" i="6"/>
  <c r="Y626" i="6"/>
  <c r="Y597" i="6"/>
  <c r="Y538" i="6"/>
  <c r="Y517" i="6"/>
  <c r="Y491" i="6"/>
  <c r="Y464" i="6"/>
  <c r="Y440" i="6"/>
  <c r="Y408" i="6"/>
  <c r="Y380" i="6"/>
  <c r="Y359" i="6"/>
  <c r="Y340" i="6"/>
  <c r="Y317" i="6"/>
  <c r="Y295" i="6"/>
  <c r="Y276" i="6"/>
  <c r="Y250" i="6"/>
  <c r="Y229" i="6"/>
  <c r="Y205" i="6"/>
  <c r="Y176" i="6"/>
  <c r="Y151" i="6"/>
  <c r="Y132" i="6"/>
  <c r="Y102" i="6"/>
  <c r="Y63" i="6"/>
  <c r="Y53" i="6"/>
  <c r="Y20" i="6"/>
  <c r="Y930" i="6"/>
  <c r="Y853" i="6"/>
  <c r="Y815" i="6"/>
  <c r="Y770" i="6"/>
  <c r="Y739" i="6"/>
  <c r="Y710" i="6"/>
  <c r="Y684" i="6"/>
  <c r="Y661" i="6"/>
  <c r="Y621" i="6"/>
  <c r="Y595" i="6"/>
  <c r="Y575" i="6"/>
  <c r="Y551" i="6"/>
  <c r="Y516" i="6"/>
  <c r="Y468" i="6"/>
  <c r="Y442" i="6"/>
  <c r="Y417" i="6"/>
  <c r="Y377" i="6"/>
  <c r="Y356" i="6"/>
  <c r="Y338" i="6"/>
  <c r="Y316" i="6"/>
  <c r="Y289" i="6"/>
  <c r="Y269" i="6"/>
  <c r="Y252" i="6"/>
  <c r="Y226" i="6"/>
  <c r="Y203" i="6"/>
  <c r="Y68" i="6"/>
  <c r="Y58" i="6"/>
  <c r="Y46" i="6"/>
  <c r="Y27" i="6"/>
  <c r="Y1002" i="6"/>
  <c r="Y997" i="6"/>
  <c r="Y992" i="6"/>
  <c r="Y986" i="6"/>
  <c r="Y981" i="6"/>
  <c r="Y975" i="6"/>
  <c r="Y971" i="6"/>
  <c r="Y966" i="6"/>
  <c r="Y961" i="6"/>
  <c r="Y955" i="6"/>
  <c r="Y950" i="6"/>
  <c r="Y944" i="6"/>
  <c r="Y939" i="6"/>
  <c r="Y931" i="6"/>
  <c r="Y919" i="6"/>
  <c r="Y908" i="6"/>
  <c r="Y880" i="6"/>
  <c r="Y854" i="6"/>
  <c r="Y831" i="6"/>
  <c r="Y813" i="6"/>
  <c r="Y796" i="6"/>
  <c r="Y772" i="6"/>
  <c r="Y754" i="6"/>
  <c r="Y732" i="6"/>
  <c r="Y714" i="6"/>
  <c r="Y700" i="6"/>
  <c r="Y678" i="6"/>
  <c r="Y658" i="6"/>
  <c r="Y643" i="6"/>
  <c r="Y607" i="6"/>
  <c r="Y588" i="6"/>
  <c r="Y567" i="6"/>
  <c r="Y546" i="6"/>
  <c r="Y523" i="6"/>
  <c r="Y501" i="6"/>
  <c r="Y483" i="6"/>
  <c r="Y460" i="6"/>
  <c r="Y432" i="6"/>
  <c r="Y418" i="6"/>
  <c r="Y403" i="6"/>
  <c r="Y384" i="6"/>
  <c r="Y335" i="6"/>
  <c r="Y304" i="6"/>
  <c r="Y293" i="6"/>
  <c r="Y221" i="6"/>
  <c r="Y192" i="6"/>
  <c r="Y166" i="6"/>
  <c r="Y144" i="6"/>
  <c r="Y98" i="6"/>
  <c r="Y81" i="6"/>
  <c r="Y186" i="6"/>
  <c r="Y170" i="6"/>
  <c r="Y142" i="6"/>
  <c r="Y99" i="6"/>
  <c r="Y82" i="6"/>
  <c r="Y23" i="6"/>
  <c r="Y896" i="6"/>
  <c r="Y774" i="6"/>
  <c r="Y750" i="6"/>
  <c r="Y723" i="6"/>
  <c r="Y694" i="6"/>
  <c r="Y667" i="6"/>
  <c r="Y641" i="6"/>
  <c r="Y624" i="6"/>
  <c r="Y600" i="6"/>
  <c r="Y584" i="6"/>
  <c r="Y568" i="6"/>
  <c r="Y552" i="6"/>
  <c r="Y537" i="6"/>
  <c r="Y519" i="6"/>
  <c r="Y515" i="6"/>
  <c r="Y500" i="6"/>
  <c r="Y481" i="6"/>
  <c r="Y458" i="6"/>
  <c r="Y437" i="6"/>
  <c r="Y410" i="6"/>
  <c r="Y387" i="6"/>
  <c r="Y367" i="6"/>
  <c r="Y350" i="6"/>
  <c r="Y328" i="6"/>
  <c r="Y307" i="6"/>
  <c r="Y277" i="6"/>
  <c r="Y270" i="6"/>
  <c r="Y253" i="6"/>
  <c r="Y237" i="6"/>
  <c r="Y220" i="6"/>
  <c r="Y199" i="6"/>
  <c r="Y183" i="6"/>
  <c r="Y162" i="6"/>
  <c r="Y139" i="6"/>
  <c r="Y119" i="6"/>
  <c r="Y100" i="6"/>
  <c r="Y52" i="6"/>
  <c r="Y36" i="6"/>
  <c r="Y19" i="6"/>
  <c r="Y956" i="6"/>
  <c r="Y933" i="6"/>
  <c r="Y929" i="6"/>
  <c r="Y927" i="6"/>
  <c r="Y925" i="6"/>
  <c r="Y921" i="6"/>
  <c r="Y917" i="6"/>
  <c r="Y914" i="6"/>
  <c r="Y911" i="6"/>
  <c r="Y907" i="6"/>
  <c r="Y904" i="6"/>
  <c r="Y901" i="6"/>
  <c r="Y898" i="6"/>
  <c r="Y895" i="6"/>
  <c r="Y892" i="6"/>
  <c r="Y889" i="6"/>
  <c r="Y886" i="6"/>
  <c r="Y881" i="6"/>
  <c r="Y875" i="6"/>
  <c r="Y865" i="6"/>
  <c r="Y862" i="6"/>
  <c r="Y856" i="6"/>
  <c r="Y846" i="6"/>
  <c r="Y840" i="6"/>
  <c r="Y835" i="6"/>
  <c r="Y832" i="6"/>
  <c r="Y820" i="6"/>
  <c r="Y811" i="6"/>
  <c r="Y793" i="6"/>
  <c r="Y786" i="6"/>
  <c r="Y773" i="6"/>
  <c r="Y762" i="6"/>
  <c r="Y751" i="6"/>
  <c r="Y740" i="6"/>
  <c r="Y731" i="6"/>
  <c r="Y721" i="6"/>
  <c r="Y709" i="6"/>
  <c r="Y704" i="6"/>
  <c r="Y691" i="6"/>
  <c r="Y679" i="6"/>
  <c r="Y665" i="6"/>
  <c r="Y657" i="6"/>
  <c r="Y648" i="6"/>
  <c r="Y634" i="6"/>
  <c r="Y623" i="6"/>
  <c r="Y608" i="6"/>
  <c r="Y598" i="6"/>
  <c r="Y581" i="6"/>
  <c r="Y571" i="6"/>
  <c r="Y562" i="6"/>
  <c r="Y550" i="6"/>
  <c r="Y544" i="6"/>
  <c r="Y536" i="6"/>
  <c r="Y520" i="6"/>
  <c r="Y475" i="6"/>
  <c r="Y461" i="6"/>
  <c r="Y439" i="6"/>
  <c r="Y426" i="6"/>
  <c r="Y405" i="6"/>
  <c r="Y386" i="6"/>
  <c r="Y364" i="6"/>
  <c r="Y341" i="6"/>
  <c r="Y322" i="6"/>
  <c r="Y298" i="6"/>
  <c r="Y279" i="6"/>
  <c r="Y267" i="6"/>
  <c r="Y256" i="6"/>
  <c r="Y235" i="6"/>
  <c r="Y219" i="6"/>
  <c r="Y200" i="6"/>
  <c r="Y175" i="6"/>
  <c r="Y152" i="6"/>
  <c r="Y140" i="6"/>
  <c r="Y122" i="6"/>
  <c r="Y106" i="6"/>
  <c r="Y77" i="6"/>
  <c r="Y34" i="6"/>
  <c r="Y15" i="6"/>
  <c r="Y866" i="6"/>
  <c r="Y844" i="6"/>
  <c r="Y821" i="6"/>
  <c r="Y803" i="6"/>
  <c r="Y784" i="6"/>
  <c r="Y765" i="6"/>
  <c r="Y743" i="6"/>
  <c r="Y726" i="6"/>
  <c r="Y698" i="6"/>
  <c r="Y681" i="6"/>
  <c r="Y650" i="6"/>
  <c r="Y629" i="6"/>
  <c r="Y603" i="6"/>
  <c r="Y577" i="6"/>
  <c r="Y513" i="6"/>
  <c r="Y485" i="6"/>
  <c r="Y459" i="6"/>
  <c r="Y433" i="6"/>
  <c r="Y416" i="6"/>
  <c r="Y393" i="6"/>
  <c r="Y371" i="6"/>
  <c r="Y351" i="6"/>
  <c r="Y330" i="6"/>
  <c r="Y303" i="6"/>
  <c r="Y285" i="6"/>
  <c r="Y268" i="6"/>
  <c r="Y245" i="6"/>
  <c r="Y218" i="6"/>
  <c r="Y201" i="6"/>
  <c r="Y167" i="6"/>
  <c r="Y137" i="6"/>
  <c r="Y116" i="6"/>
  <c r="Y85" i="6"/>
  <c r="Y57" i="6"/>
  <c r="Y45" i="6"/>
  <c r="Y24" i="6"/>
  <c r="Y1005" i="6"/>
  <c r="Y912" i="6"/>
  <c r="Y899" i="6"/>
  <c r="Y891" i="6"/>
  <c r="Y869" i="6"/>
  <c r="Y843" i="6"/>
  <c r="Y822" i="6"/>
  <c r="Y799" i="6"/>
  <c r="Y779" i="6"/>
  <c r="Y749" i="6"/>
  <c r="Y718" i="6"/>
  <c r="Y695" i="6"/>
  <c r="Y669" i="6"/>
  <c r="Y632" i="6"/>
  <c r="Y606" i="6"/>
  <c r="Y579" i="6"/>
  <c r="Y561" i="6"/>
  <c r="Y543" i="6"/>
  <c r="Y521" i="6"/>
  <c r="Y492" i="6"/>
  <c r="Y462" i="6"/>
  <c r="Y428" i="6"/>
  <c r="Y401" i="6"/>
  <c r="Y382" i="6"/>
  <c r="Y365" i="6"/>
  <c r="Y349" i="6"/>
  <c r="Y333" i="6"/>
  <c r="Y311" i="6"/>
  <c r="Y278" i="6"/>
  <c r="Y258" i="6"/>
  <c r="Y232" i="6"/>
  <c r="Y212" i="6"/>
  <c r="Y191" i="6"/>
  <c r="Y62" i="6"/>
  <c r="Y54" i="6"/>
  <c r="Y32" i="6"/>
  <c r="Y1007" i="6"/>
  <c r="Y1000" i="6"/>
  <c r="Y993" i="6"/>
  <c r="Y988" i="6"/>
  <c r="Y983" i="6"/>
  <c r="Y977" i="6"/>
  <c r="Y970" i="6"/>
  <c r="Y965" i="6"/>
  <c r="Y960" i="6"/>
  <c r="Y954" i="6"/>
  <c r="Y949" i="6"/>
  <c r="Y945" i="6"/>
  <c r="Y940" i="6"/>
  <c r="Y935" i="6"/>
  <c r="Y928" i="6"/>
  <c r="Y918" i="6"/>
  <c r="Y905" i="6"/>
  <c r="Y883" i="6"/>
  <c r="Y861" i="6"/>
  <c r="Y842" i="6"/>
  <c r="Y819" i="6"/>
  <c r="Y180" i="6"/>
  <c r="Y777" i="6"/>
  <c r="Y761" i="6"/>
  <c r="Y742" i="6"/>
  <c r="Y722" i="6"/>
  <c r="Y711" i="6"/>
  <c r="Y689" i="6"/>
  <c r="Y672" i="6"/>
  <c r="Y656" i="6"/>
  <c r="Y639" i="6"/>
  <c r="Y616" i="6"/>
  <c r="Y599" i="6"/>
  <c r="Y578" i="6"/>
  <c r="Y556" i="6"/>
  <c r="Y534" i="6"/>
  <c r="Y510" i="6"/>
  <c r="Y494" i="6"/>
  <c r="Y478" i="6"/>
  <c r="Y456" i="6"/>
  <c r="Y438" i="6"/>
  <c r="Y422" i="6"/>
  <c r="Y388" i="6"/>
  <c r="Y368" i="6"/>
  <c r="Y327" i="6"/>
  <c r="Y297" i="6"/>
  <c r="Y239" i="6"/>
  <c r="Y210" i="6"/>
  <c r="Y182" i="6"/>
  <c r="Y156" i="6"/>
  <c r="Y128" i="6"/>
  <c r="Y103" i="6"/>
  <c r="Y84" i="6"/>
  <c r="Y1004" i="6"/>
  <c r="Y172" i="6"/>
  <c r="Y153" i="6"/>
  <c r="Y125" i="6"/>
  <c r="Y104" i="6"/>
  <c r="Y76" i="6"/>
  <c r="Y11" i="6"/>
  <c r="Y877" i="6"/>
  <c r="Y851" i="6"/>
  <c r="Y834" i="6"/>
  <c r="Y810" i="6"/>
  <c r="Y792" i="6"/>
  <c r="Y764" i="6"/>
  <c r="Y735" i="6"/>
  <c r="Y706" i="6"/>
  <c r="Y675" i="6"/>
  <c r="Y654" i="6"/>
  <c r="Y627" i="6"/>
  <c r="Y613" i="6"/>
  <c r="Y594" i="6"/>
  <c r="Y574" i="6"/>
  <c r="Y555" i="6"/>
  <c r="Y541" i="6"/>
  <c r="Y527" i="6"/>
  <c r="Y503" i="6"/>
  <c r="Y486" i="6"/>
  <c r="Y463" i="6"/>
  <c r="Y441" i="6"/>
  <c r="Y425" i="6"/>
  <c r="Y404" i="6"/>
  <c r="Y383" i="6"/>
  <c r="Y361" i="6"/>
  <c r="Y347" i="6"/>
  <c r="Y321" i="6"/>
  <c r="Y301" i="6"/>
  <c r="Y282" i="6"/>
  <c r="Y262" i="6"/>
  <c r="Y244" i="6"/>
  <c r="Y214" i="6"/>
  <c r="Y194" i="6"/>
  <c r="Y174" i="6"/>
  <c r="Y155" i="6"/>
  <c r="Y134" i="6"/>
  <c r="Y114" i="6"/>
  <c r="Y96" i="6"/>
  <c r="Y48" i="6"/>
  <c r="Y33" i="6"/>
  <c r="Y586" i="6"/>
  <c r="Y506" i="6"/>
  <c r="Y482" i="6"/>
  <c r="Y471" i="6"/>
  <c r="Y451" i="6"/>
  <c r="Y435" i="6"/>
  <c r="Y413" i="6"/>
  <c r="Y394" i="6"/>
  <c r="Y370" i="6"/>
  <c r="Y345" i="6"/>
  <c r="Y332" i="6"/>
  <c r="Y305" i="6"/>
  <c r="Y288" i="6"/>
  <c r="Y275" i="6"/>
  <c r="Y259" i="6"/>
  <c r="Y243" i="6"/>
  <c r="Y228" i="6"/>
  <c r="Y211" i="6"/>
  <c r="Y190" i="6"/>
  <c r="Y165" i="6"/>
  <c r="Y147" i="6"/>
  <c r="Y131" i="6"/>
  <c r="Y109" i="6"/>
  <c r="Y86" i="6"/>
  <c r="Y72" i="6"/>
  <c r="Y25" i="6"/>
  <c r="Y879" i="6"/>
  <c r="Y858" i="6"/>
  <c r="Y841" i="6"/>
  <c r="Y816" i="6"/>
  <c r="Y794" i="6"/>
  <c r="Y776" i="6"/>
  <c r="Y737" i="6"/>
  <c r="Y713" i="6"/>
  <c r="Y687" i="6"/>
  <c r="Y655" i="6"/>
  <c r="Y633" i="6"/>
  <c r="Y609" i="6"/>
  <c r="Y582" i="6"/>
  <c r="Y528" i="6"/>
  <c r="Y504" i="6"/>
  <c r="Y477" i="6"/>
  <c r="Y454" i="6"/>
  <c r="Y429" i="6"/>
  <c r="Y406" i="6"/>
  <c r="Y389" i="6"/>
  <c r="Y805" i="6"/>
  <c r="Y344" i="6"/>
  <c r="Y325" i="6"/>
  <c r="Y308" i="6"/>
  <c r="Y290" i="6"/>
  <c r="Y271" i="6"/>
  <c r="Y255" i="6"/>
  <c r="Y234" i="6"/>
  <c r="Y208" i="6"/>
  <c r="Y188" i="6"/>
  <c r="Y171" i="6"/>
  <c r="Y146" i="6"/>
  <c r="Y127" i="6"/>
  <c r="Y107" i="6"/>
  <c r="Y65" i="6"/>
  <c r="Y55" i="6"/>
  <c r="Y42" i="6"/>
  <c r="Y16" i="6"/>
  <c r="Y924" i="6"/>
  <c r="Y909" i="6"/>
  <c r="Y897" i="6"/>
  <c r="Y888" i="6"/>
  <c r="Y878" i="6"/>
  <c r="Y859" i="6"/>
  <c r="Y830" i="6"/>
  <c r="Y812" i="6"/>
  <c r="Y795" i="6"/>
  <c r="Y766" i="6"/>
  <c r="Y744" i="6"/>
  <c r="Y716" i="6"/>
  <c r="Y690" i="6"/>
  <c r="Y666" i="6"/>
  <c r="Y638" i="6"/>
  <c r="Y601" i="6"/>
  <c r="Y565" i="6"/>
  <c r="Y548" i="6"/>
  <c r="Y525" i="6"/>
  <c r="Y497" i="6"/>
  <c r="Y473" i="6"/>
  <c r="Y448" i="6"/>
  <c r="Y329" i="6"/>
  <c r="Y306" i="6"/>
  <c r="Y286" i="6"/>
  <c r="Y265" i="6"/>
  <c r="Y236" i="6"/>
  <c r="Y217" i="6"/>
  <c r="Y67" i="6"/>
  <c r="Y60" i="6"/>
  <c r="Y51" i="6"/>
  <c r="Y40" i="6"/>
  <c r="Y22" i="6"/>
  <c r="Y1001" i="6"/>
  <c r="Y996" i="6"/>
  <c r="Y991" i="6"/>
  <c r="Y987" i="6"/>
  <c r="Y982" i="6"/>
  <c r="Y978" i="6"/>
  <c r="Y974" i="6"/>
  <c r="Y969" i="6"/>
  <c r="Y964" i="6"/>
  <c r="Y959" i="6"/>
  <c r="Y953" i="6"/>
  <c r="Y947" i="6"/>
  <c r="Y943" i="6"/>
  <c r="Y937" i="6"/>
  <c r="Y932" i="6"/>
  <c r="Y923" i="6"/>
  <c r="Y913" i="6"/>
  <c r="Y894" i="6"/>
  <c r="Y876" i="6"/>
  <c r="Y857" i="6"/>
  <c r="Y836" i="6"/>
  <c r="Y817" i="6"/>
  <c r="Y800" i="6"/>
  <c r="Y782" i="6"/>
  <c r="Y763" i="6"/>
  <c r="Y748" i="6"/>
  <c r="Y729" i="6"/>
  <c r="Y707" i="6"/>
  <c r="Y693" i="6"/>
  <c r="Y674" i="6"/>
  <c r="Y651" i="6"/>
  <c r="Y635" i="6"/>
  <c r="Y620" i="6"/>
  <c r="Y604" i="6"/>
  <c r="Y583" i="6"/>
  <c r="Y564" i="6"/>
  <c r="Y539" i="6"/>
  <c r="Y526" i="6"/>
  <c r="Y505" i="6"/>
  <c r="Y487" i="6"/>
  <c r="Y466" i="6"/>
  <c r="Y443" i="6"/>
  <c r="Y424" i="6"/>
  <c r="Y411" i="6"/>
  <c r="Y395" i="6"/>
  <c r="Y373" i="6"/>
  <c r="Y334" i="6"/>
  <c r="Y314" i="6"/>
  <c r="Y248" i="6"/>
  <c r="Y216" i="6"/>
  <c r="Y187" i="6"/>
  <c r="Y161" i="6"/>
  <c r="Y138" i="6"/>
  <c r="Y113" i="6"/>
  <c r="Y88" i="6"/>
  <c r="Y71" i="6"/>
  <c r="Y179" i="6"/>
  <c r="Y148" i="6"/>
  <c r="Y115" i="6"/>
  <c r="Y91" i="6"/>
  <c r="Y70" i="6"/>
  <c r="Y1006" i="6"/>
  <c r="Y884" i="6"/>
  <c r="Y860" i="6"/>
  <c r="Y847" i="6"/>
  <c r="Y823" i="6"/>
  <c r="Y797" i="6"/>
  <c r="Y778" i="6"/>
  <c r="Y760" i="6"/>
  <c r="Y741" i="6"/>
  <c r="Y712" i="6"/>
  <c r="Y688" i="6"/>
  <c r="Y662" i="6"/>
  <c r="Y636" i="6"/>
  <c r="Y366" i="6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3" i="1"/>
  <c r="X812" i="1"/>
  <c r="X811" i="1"/>
  <c r="X809" i="1"/>
  <c r="X808" i="1"/>
  <c r="X806" i="1"/>
  <c r="X804" i="1"/>
  <c r="X801" i="1"/>
  <c r="X799" i="1"/>
  <c r="X798" i="1"/>
  <c r="X795" i="1"/>
  <c r="X793" i="1"/>
  <c r="X791" i="1"/>
  <c r="X789" i="1"/>
  <c r="X787" i="1"/>
  <c r="X785" i="1"/>
  <c r="X783" i="1"/>
  <c r="X782" i="1"/>
  <c r="X780" i="1"/>
  <c r="X778" i="1"/>
  <c r="X775" i="1"/>
  <c r="X774" i="1"/>
  <c r="X772" i="1"/>
  <c r="X770" i="1"/>
  <c r="X768" i="1"/>
  <c r="X765" i="1"/>
  <c r="X763" i="1"/>
  <c r="X761" i="1"/>
  <c r="X759" i="1"/>
  <c r="X757" i="1"/>
  <c r="X755" i="1"/>
  <c r="X752" i="1"/>
  <c r="X750" i="1"/>
  <c r="X747" i="1"/>
  <c r="X745" i="1"/>
  <c r="X743" i="1"/>
  <c r="X741" i="1"/>
  <c r="X739" i="1"/>
  <c r="X737" i="1"/>
  <c r="X735" i="1"/>
  <c r="X733" i="1"/>
  <c r="X731" i="1"/>
  <c r="X729" i="1"/>
  <c r="X727" i="1"/>
  <c r="X725" i="1"/>
  <c r="X722" i="1"/>
  <c r="X720" i="1"/>
  <c r="X718" i="1"/>
  <c r="X716" i="1"/>
  <c r="X714" i="1"/>
  <c r="X711" i="1"/>
  <c r="X709" i="1"/>
  <c r="X707" i="1"/>
  <c r="X705" i="1"/>
  <c r="X704" i="1"/>
  <c r="X702" i="1"/>
  <c r="X700" i="1"/>
  <c r="X697" i="1"/>
  <c r="X695" i="1"/>
  <c r="X693" i="1"/>
  <c r="X691" i="1"/>
  <c r="X689" i="1"/>
  <c r="X688" i="1"/>
  <c r="X686" i="1"/>
  <c r="X684" i="1"/>
  <c r="X682" i="1"/>
  <c r="X680" i="1"/>
  <c r="X678" i="1"/>
  <c r="X676" i="1"/>
  <c r="X674" i="1"/>
  <c r="X671" i="1"/>
  <c r="X669" i="1"/>
  <c r="X667" i="1"/>
  <c r="X664" i="1"/>
  <c r="X662" i="1"/>
  <c r="X661" i="1"/>
  <c r="X659" i="1"/>
  <c r="X656" i="1"/>
  <c r="X654" i="1"/>
  <c r="X652" i="1"/>
  <c r="X650" i="1"/>
  <c r="X648" i="1"/>
  <c r="X646" i="1"/>
  <c r="X645" i="1"/>
  <c r="X644" i="1"/>
  <c r="X643" i="1"/>
  <c r="X642" i="1"/>
  <c r="X641" i="1"/>
  <c r="X639" i="1"/>
  <c r="X636" i="1"/>
  <c r="X634" i="1"/>
  <c r="X632" i="1"/>
  <c r="X630" i="1"/>
  <c r="X628" i="1"/>
  <c r="X626" i="1"/>
  <c r="X624" i="1"/>
  <c r="X622" i="1"/>
  <c r="X620" i="1"/>
  <c r="X618" i="1"/>
  <c r="X616" i="1"/>
  <c r="X614" i="1"/>
  <c r="X612" i="1"/>
  <c r="X610" i="1"/>
  <c r="X609" i="1"/>
  <c r="X607" i="1"/>
  <c r="X605" i="1"/>
  <c r="X602" i="1"/>
  <c r="X600" i="1"/>
  <c r="X599" i="1"/>
  <c r="X597" i="1"/>
  <c r="X595" i="1"/>
  <c r="X593" i="1"/>
  <c r="X591" i="1"/>
  <c r="X589" i="1"/>
  <c r="X586" i="1"/>
  <c r="X584" i="1"/>
  <c r="X582" i="1"/>
  <c r="X579" i="1"/>
  <c r="X577" i="1"/>
  <c r="X576" i="1"/>
  <c r="X574" i="1"/>
  <c r="X572" i="1"/>
  <c r="X569" i="1"/>
  <c r="X568" i="1"/>
  <c r="X566" i="1"/>
  <c r="X564" i="1"/>
  <c r="X562" i="1"/>
  <c r="X560" i="1"/>
  <c r="X558" i="1"/>
  <c r="X557" i="1"/>
  <c r="X556" i="1"/>
  <c r="X554" i="1"/>
  <c r="X552" i="1"/>
  <c r="X550" i="1"/>
  <c r="X548" i="1"/>
  <c r="X546" i="1"/>
  <c r="X544" i="1"/>
  <c r="X542" i="1"/>
  <c r="X540" i="1"/>
  <c r="X538" i="1"/>
  <c r="X536" i="1"/>
  <c r="X534" i="1"/>
  <c r="X532" i="1"/>
  <c r="X530" i="1"/>
  <c r="X528" i="1"/>
  <c r="X526" i="1"/>
  <c r="X524" i="1"/>
  <c r="X522" i="1"/>
  <c r="X496" i="1"/>
  <c r="X494" i="1"/>
  <c r="X493" i="1"/>
  <c r="X492" i="1"/>
  <c r="X490" i="1"/>
  <c r="X488" i="1"/>
  <c r="X485" i="1"/>
  <c r="X483" i="1"/>
  <c r="X481" i="1"/>
  <c r="X479" i="1"/>
  <c r="X476" i="1"/>
  <c r="X474" i="1"/>
  <c r="X472" i="1"/>
  <c r="X470" i="1"/>
  <c r="X469" i="1"/>
  <c r="X467" i="1"/>
  <c r="X465" i="1"/>
  <c r="X463" i="1"/>
  <c r="X461" i="1"/>
  <c r="X458" i="1"/>
  <c r="X456" i="1"/>
  <c r="X454" i="1"/>
  <c r="X452" i="1"/>
  <c r="X450" i="1"/>
  <c r="X448" i="1"/>
  <c r="X446" i="1"/>
  <c r="X444" i="1"/>
  <c r="X441" i="1"/>
  <c r="X439" i="1"/>
  <c r="X437" i="1"/>
  <c r="X435" i="1"/>
  <c r="X433" i="1"/>
  <c r="X431" i="1"/>
  <c r="X429" i="1"/>
  <c r="X426" i="1"/>
  <c r="X424" i="1"/>
  <c r="X422" i="1"/>
  <c r="X420" i="1"/>
  <c r="X418" i="1"/>
  <c r="X416" i="1"/>
  <c r="X414" i="1"/>
  <c r="X412" i="1"/>
  <c r="X409" i="1"/>
  <c r="X408" i="1"/>
  <c r="X406" i="1"/>
  <c r="X404" i="1"/>
  <c r="X403" i="1"/>
  <c r="X400" i="1"/>
  <c r="X397" i="1"/>
  <c r="X395" i="1"/>
  <c r="X393" i="1"/>
  <c r="X391" i="1"/>
  <c r="X388" i="1"/>
  <c r="X386" i="1"/>
  <c r="X384" i="1"/>
  <c r="X382" i="1"/>
  <c r="X380" i="1"/>
  <c r="X378" i="1"/>
  <c r="X376" i="1"/>
  <c r="X374" i="1"/>
  <c r="X372" i="1"/>
  <c r="X370" i="1"/>
  <c r="X369" i="1"/>
  <c r="X367" i="1"/>
  <c r="X365" i="1"/>
  <c r="X363" i="1"/>
  <c r="X361" i="1"/>
  <c r="X359" i="1"/>
  <c r="X357" i="1"/>
  <c r="X356" i="1"/>
  <c r="X354" i="1"/>
  <c r="X353" i="1"/>
  <c r="X350" i="1"/>
  <c r="X347" i="1"/>
  <c r="X345" i="1"/>
  <c r="X343" i="1"/>
  <c r="X340" i="1"/>
  <c r="X338" i="1"/>
  <c r="X337" i="1"/>
  <c r="X335" i="1"/>
  <c r="X333" i="1"/>
  <c r="X331" i="1"/>
  <c r="X330" i="1"/>
  <c r="X328" i="1"/>
  <c r="X326" i="1"/>
  <c r="X323" i="1"/>
  <c r="X321" i="1"/>
  <c r="X315" i="1"/>
  <c r="X314" i="1"/>
  <c r="X311" i="1"/>
  <c r="X309" i="1"/>
  <c r="X307" i="1"/>
  <c r="X305" i="1"/>
  <c r="X304" i="1"/>
  <c r="X302" i="1"/>
  <c r="X300" i="1"/>
  <c r="X298" i="1"/>
  <c r="X297" i="1"/>
  <c r="X295" i="1"/>
  <c r="X292" i="1"/>
  <c r="X290" i="1"/>
  <c r="X288" i="1"/>
  <c r="X285" i="1"/>
  <c r="X284" i="1"/>
  <c r="X282" i="1"/>
  <c r="X280" i="1"/>
  <c r="X278" i="1"/>
  <c r="X277" i="1"/>
  <c r="X274" i="1"/>
  <c r="X272" i="1"/>
  <c r="X270" i="1"/>
  <c r="X268" i="1"/>
  <c r="X266" i="1"/>
  <c r="X264" i="1"/>
  <c r="X262" i="1"/>
  <c r="X261" i="1"/>
  <c r="X259" i="1"/>
  <c r="X256" i="1"/>
  <c r="X254" i="1"/>
  <c r="X252" i="1"/>
  <c r="X250" i="1"/>
  <c r="X249" i="1"/>
  <c r="X247" i="1"/>
  <c r="X246" i="1"/>
  <c r="X244" i="1"/>
  <c r="X242" i="1"/>
  <c r="X240" i="1"/>
  <c r="X238" i="1"/>
  <c r="X235" i="1"/>
  <c r="X233" i="1"/>
  <c r="X231" i="1"/>
  <c r="X230" i="1"/>
  <c r="X228" i="1"/>
  <c r="X225" i="1"/>
  <c r="X223" i="1"/>
  <c r="X221" i="1"/>
  <c r="X219" i="1"/>
  <c r="X217" i="1"/>
  <c r="X215" i="1"/>
  <c r="X213" i="1"/>
  <c r="X211" i="1"/>
  <c r="X210" i="1"/>
  <c r="X208" i="1"/>
  <c r="X207" i="1"/>
  <c r="X205" i="1"/>
  <c r="X203" i="1"/>
  <c r="X201" i="1"/>
  <c r="X200" i="1"/>
  <c r="X198" i="1"/>
  <c r="X196" i="1"/>
  <c r="X194" i="1"/>
  <c r="X192" i="1"/>
  <c r="X191" i="1"/>
  <c r="X189" i="1"/>
  <c r="X187" i="1"/>
  <c r="X185" i="1"/>
  <c r="X183" i="1"/>
  <c r="X181" i="1"/>
  <c r="X179" i="1"/>
  <c r="X177" i="1"/>
  <c r="X173" i="1"/>
  <c r="X171" i="1"/>
  <c r="X169" i="1"/>
  <c r="X166" i="1"/>
  <c r="X164" i="1"/>
  <c r="X162" i="1"/>
  <c r="X161" i="1"/>
  <c r="X160" i="1"/>
  <c r="X158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3" i="1"/>
  <c r="X121" i="1"/>
  <c r="X119" i="1"/>
  <c r="X116" i="1"/>
  <c r="X115" i="1"/>
  <c r="X113" i="1"/>
  <c r="X111" i="1"/>
  <c r="X109" i="1"/>
  <c r="X108" i="1"/>
  <c r="X105" i="1"/>
  <c r="X103" i="1"/>
  <c r="X101" i="1"/>
  <c r="X99" i="1"/>
  <c r="X98" i="1"/>
  <c r="X96" i="1"/>
  <c r="X94" i="1"/>
  <c r="X92" i="1"/>
  <c r="X90" i="1"/>
  <c r="X88" i="1"/>
  <c r="X86" i="1"/>
  <c r="X84" i="1"/>
  <c r="X83" i="1"/>
  <c r="X80" i="1"/>
  <c r="X78" i="1"/>
  <c r="X76" i="1"/>
  <c r="X74" i="1"/>
  <c r="X72" i="1"/>
  <c r="X69" i="1"/>
  <c r="X67" i="1"/>
  <c r="X66" i="1"/>
  <c r="X63" i="1"/>
  <c r="X62" i="1"/>
  <c r="X60" i="1"/>
  <c r="X58" i="1"/>
  <c r="X55" i="1"/>
  <c r="X54" i="1"/>
  <c r="X53" i="1"/>
  <c r="X50" i="1"/>
  <c r="X49" i="1"/>
  <c r="X46" i="1"/>
  <c r="X45" i="1"/>
  <c r="X43" i="1"/>
  <c r="X41" i="1"/>
  <c r="X39" i="1"/>
  <c r="X37" i="1"/>
  <c r="X35" i="1"/>
  <c r="X32" i="1"/>
  <c r="X30" i="1"/>
  <c r="X28" i="1"/>
  <c r="X26" i="1"/>
  <c r="X25" i="1"/>
  <c r="X23" i="1"/>
  <c r="X21" i="1"/>
  <c r="X18" i="1"/>
  <c r="X16" i="1"/>
  <c r="X14" i="1"/>
  <c r="X13" i="1"/>
  <c r="X814" i="1"/>
  <c r="X810" i="1"/>
  <c r="X807" i="1"/>
  <c r="X805" i="1"/>
  <c r="X803" i="1"/>
  <c r="X802" i="1"/>
  <c r="X800" i="1"/>
  <c r="X797" i="1"/>
  <c r="X796" i="1"/>
  <c r="X794" i="1"/>
  <c r="X792" i="1"/>
  <c r="X790" i="1"/>
  <c r="X788" i="1"/>
  <c r="X786" i="1"/>
  <c r="X784" i="1"/>
  <c r="X781" i="1"/>
  <c r="X779" i="1"/>
  <c r="X777" i="1"/>
  <c r="X776" i="1"/>
  <c r="X773" i="1"/>
  <c r="X771" i="1"/>
  <c r="X769" i="1"/>
  <c r="X767" i="1"/>
  <c r="X766" i="1"/>
  <c r="X764" i="1"/>
  <c r="X762" i="1"/>
  <c r="X760" i="1"/>
  <c r="X758" i="1"/>
  <c r="X756" i="1"/>
  <c r="X754" i="1"/>
  <c r="X753" i="1"/>
  <c r="X751" i="1"/>
  <c r="X749" i="1"/>
  <c r="X748" i="1"/>
  <c r="X746" i="1"/>
  <c r="X744" i="1"/>
  <c r="X742" i="1"/>
  <c r="X740" i="1"/>
  <c r="X738" i="1"/>
  <c r="X736" i="1"/>
  <c r="X734" i="1"/>
  <c r="X732" i="1"/>
  <c r="X730" i="1"/>
  <c r="X728" i="1"/>
  <c r="X726" i="1"/>
  <c r="X724" i="1"/>
  <c r="X723" i="1"/>
  <c r="X721" i="1"/>
  <c r="X719" i="1"/>
  <c r="X717" i="1"/>
  <c r="X715" i="1"/>
  <c r="X713" i="1"/>
  <c r="X712" i="1"/>
  <c r="X710" i="1"/>
  <c r="X708" i="1"/>
  <c r="X706" i="1"/>
  <c r="X703" i="1"/>
  <c r="X701" i="1"/>
  <c r="X699" i="1"/>
  <c r="X698" i="1"/>
  <c r="X696" i="1"/>
  <c r="X694" i="1"/>
  <c r="X692" i="1"/>
  <c r="X690" i="1"/>
  <c r="X687" i="1"/>
  <c r="X685" i="1"/>
  <c r="X683" i="1"/>
  <c r="X681" i="1"/>
  <c r="X679" i="1"/>
  <c r="X677" i="1"/>
  <c r="X675" i="1"/>
  <c r="X673" i="1"/>
  <c r="X672" i="1"/>
  <c r="X670" i="1"/>
  <c r="X668" i="1"/>
  <c r="X666" i="1"/>
  <c r="X665" i="1"/>
  <c r="X663" i="1"/>
  <c r="X660" i="1"/>
  <c r="X658" i="1"/>
  <c r="X657" i="1"/>
  <c r="X655" i="1"/>
  <c r="X653" i="1"/>
  <c r="X651" i="1"/>
  <c r="X649" i="1"/>
  <c r="X647" i="1"/>
  <c r="X640" i="1"/>
  <c r="X638" i="1"/>
  <c r="X637" i="1"/>
  <c r="X635" i="1"/>
  <c r="X633" i="1"/>
  <c r="X631" i="1"/>
  <c r="X629" i="1"/>
  <c r="X627" i="1"/>
  <c r="X625" i="1"/>
  <c r="X623" i="1"/>
  <c r="X621" i="1"/>
  <c r="X619" i="1"/>
  <c r="X617" i="1"/>
  <c r="X615" i="1"/>
  <c r="X613" i="1"/>
  <c r="X611" i="1"/>
  <c r="X608" i="1"/>
  <c r="X606" i="1"/>
  <c r="X604" i="1"/>
  <c r="X603" i="1"/>
  <c r="X601" i="1"/>
  <c r="X598" i="1"/>
  <c r="X596" i="1"/>
  <c r="X594" i="1"/>
  <c r="X592" i="1"/>
  <c r="X590" i="1"/>
  <c r="X588" i="1"/>
  <c r="X587" i="1"/>
  <c r="X585" i="1"/>
  <c r="X583" i="1"/>
  <c r="X581" i="1"/>
  <c r="X580" i="1"/>
  <c r="X578" i="1"/>
  <c r="X575" i="1"/>
  <c r="X573" i="1"/>
  <c r="X571" i="1"/>
  <c r="X570" i="1"/>
  <c r="X567" i="1"/>
  <c r="X565" i="1"/>
  <c r="X563" i="1"/>
  <c r="X561" i="1"/>
  <c r="X559" i="1"/>
  <c r="X555" i="1"/>
  <c r="X553" i="1"/>
  <c r="X551" i="1"/>
  <c r="X549" i="1"/>
  <c r="X547" i="1"/>
  <c r="X545" i="1"/>
  <c r="X543" i="1"/>
  <c r="X541" i="1"/>
  <c r="X539" i="1"/>
  <c r="X537" i="1"/>
  <c r="X535" i="1"/>
  <c r="X533" i="1"/>
  <c r="X531" i="1"/>
  <c r="X529" i="1"/>
  <c r="X527" i="1"/>
  <c r="X525" i="1"/>
  <c r="X523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5" i="1"/>
  <c r="X491" i="1"/>
  <c r="X489" i="1"/>
  <c r="X487" i="1"/>
  <c r="X486" i="1"/>
  <c r="X484" i="1"/>
  <c r="X482" i="1"/>
  <c r="X480" i="1"/>
  <c r="X478" i="1"/>
  <c r="X477" i="1"/>
  <c r="X475" i="1"/>
  <c r="X473" i="1"/>
  <c r="X471" i="1"/>
  <c r="X468" i="1"/>
  <c r="X466" i="1"/>
  <c r="X464" i="1"/>
  <c r="X462" i="1"/>
  <c r="X460" i="1"/>
  <c r="X459" i="1"/>
  <c r="X457" i="1"/>
  <c r="X455" i="1"/>
  <c r="X453" i="1"/>
  <c r="X451" i="1"/>
  <c r="X449" i="1"/>
  <c r="X447" i="1"/>
  <c r="X445" i="1"/>
  <c r="X443" i="1"/>
  <c r="X442" i="1"/>
  <c r="X440" i="1"/>
  <c r="X438" i="1"/>
  <c r="X436" i="1"/>
  <c r="X434" i="1"/>
  <c r="X432" i="1"/>
  <c r="X430" i="1"/>
  <c r="X428" i="1"/>
  <c r="X427" i="1"/>
  <c r="X425" i="1"/>
  <c r="X423" i="1"/>
  <c r="X421" i="1"/>
  <c r="X419" i="1"/>
  <c r="X417" i="1"/>
  <c r="X415" i="1"/>
  <c r="X413" i="1"/>
  <c r="X411" i="1"/>
  <c r="X410" i="1"/>
  <c r="X407" i="1"/>
  <c r="X405" i="1"/>
  <c r="X402" i="1"/>
  <c r="X401" i="1"/>
  <c r="X399" i="1"/>
  <c r="X398" i="1"/>
  <c r="X396" i="1"/>
  <c r="X394" i="1"/>
  <c r="X392" i="1"/>
  <c r="X390" i="1"/>
  <c r="X389" i="1"/>
  <c r="X387" i="1"/>
  <c r="X385" i="1"/>
  <c r="X383" i="1"/>
  <c r="X381" i="1"/>
  <c r="X379" i="1"/>
  <c r="X377" i="1"/>
  <c r="X375" i="1"/>
  <c r="X373" i="1"/>
  <c r="X371" i="1"/>
  <c r="X368" i="1"/>
  <c r="X366" i="1"/>
  <c r="X364" i="1"/>
  <c r="X362" i="1"/>
  <c r="X360" i="1"/>
  <c r="X358" i="1"/>
  <c r="X355" i="1"/>
  <c r="X352" i="1"/>
  <c r="X351" i="1"/>
  <c r="X349" i="1"/>
  <c r="X348" i="1"/>
  <c r="X346" i="1"/>
  <c r="X344" i="1"/>
  <c r="X342" i="1"/>
  <c r="X341" i="1"/>
  <c r="X339" i="1"/>
  <c r="X336" i="1"/>
  <c r="X334" i="1"/>
  <c r="X332" i="1"/>
  <c r="X329" i="1"/>
  <c r="X327" i="1"/>
  <c r="X325" i="1"/>
  <c r="X324" i="1"/>
  <c r="X322" i="1"/>
  <c r="X320" i="1"/>
  <c r="X319" i="1"/>
  <c r="X318" i="1"/>
  <c r="X317" i="1"/>
  <c r="X316" i="1"/>
  <c r="X313" i="1"/>
  <c r="X312" i="1"/>
  <c r="X310" i="1"/>
  <c r="X308" i="1"/>
  <c r="X306" i="1"/>
  <c r="X303" i="1"/>
  <c r="X301" i="1"/>
  <c r="X299" i="1"/>
  <c r="X296" i="1"/>
  <c r="X294" i="1"/>
  <c r="X293" i="1"/>
  <c r="X291" i="1"/>
  <c r="X289" i="1"/>
  <c r="X287" i="1"/>
  <c r="X286" i="1"/>
  <c r="X283" i="1"/>
  <c r="X281" i="1"/>
  <c r="X279" i="1"/>
  <c r="X276" i="1"/>
  <c r="X275" i="1"/>
  <c r="X273" i="1"/>
  <c r="X271" i="1"/>
  <c r="X269" i="1"/>
  <c r="X267" i="1"/>
  <c r="X265" i="1"/>
  <c r="X263" i="1"/>
  <c r="X260" i="1"/>
  <c r="X258" i="1"/>
  <c r="X257" i="1"/>
  <c r="X255" i="1"/>
  <c r="X253" i="1"/>
  <c r="X251" i="1"/>
  <c r="X248" i="1"/>
  <c r="X245" i="1"/>
  <c r="X243" i="1"/>
  <c r="X241" i="1"/>
  <c r="X239" i="1"/>
  <c r="X237" i="1"/>
  <c r="X236" i="1"/>
  <c r="X234" i="1"/>
  <c r="X232" i="1"/>
  <c r="X229" i="1"/>
  <c r="X227" i="1"/>
  <c r="X226" i="1"/>
  <c r="X224" i="1"/>
  <c r="X222" i="1"/>
  <c r="X220" i="1"/>
  <c r="X218" i="1"/>
  <c r="X216" i="1"/>
  <c r="X214" i="1"/>
  <c r="X212" i="1"/>
  <c r="X209" i="1"/>
  <c r="X206" i="1"/>
  <c r="X204" i="1"/>
  <c r="X202" i="1"/>
  <c r="X199" i="1"/>
  <c r="X197" i="1"/>
  <c r="X195" i="1"/>
  <c r="X193" i="1"/>
  <c r="X190" i="1"/>
  <c r="X188" i="1"/>
  <c r="X186" i="1"/>
  <c r="X184" i="1"/>
  <c r="X182" i="1"/>
  <c r="X180" i="1"/>
  <c r="X178" i="1"/>
  <c r="X176" i="1"/>
  <c r="X175" i="1"/>
  <c r="X174" i="1"/>
  <c r="X172" i="1"/>
  <c r="X170" i="1"/>
  <c r="X168" i="1"/>
  <c r="X167" i="1"/>
  <c r="X165" i="1"/>
  <c r="X163" i="1"/>
  <c r="X159" i="1"/>
  <c r="X157" i="1"/>
  <c r="X156" i="1"/>
  <c r="X124" i="1"/>
  <c r="X122" i="1"/>
  <c r="X120" i="1"/>
  <c r="X118" i="1"/>
  <c r="X117" i="1"/>
  <c r="X114" i="1"/>
  <c r="X112" i="1"/>
  <c r="X110" i="1"/>
  <c r="X107" i="1"/>
  <c r="X106" i="1"/>
  <c r="X104" i="1"/>
  <c r="X102" i="1"/>
  <c r="X100" i="1"/>
  <c r="X97" i="1"/>
  <c r="X95" i="1"/>
  <c r="X93" i="1"/>
  <c r="X91" i="1"/>
  <c r="X89" i="1"/>
  <c r="X87" i="1"/>
  <c r="X85" i="1"/>
  <c r="X82" i="1"/>
  <c r="X81" i="1"/>
  <c r="X79" i="1"/>
  <c r="X77" i="1"/>
  <c r="X75" i="1"/>
  <c r="X73" i="1"/>
  <c r="X71" i="1"/>
  <c r="X70" i="1"/>
  <c r="X68" i="1"/>
  <c r="X65" i="1"/>
  <c r="X64" i="1"/>
  <c r="X61" i="1"/>
  <c r="X59" i="1"/>
  <c r="X57" i="1"/>
  <c r="X56" i="1"/>
  <c r="X52" i="1"/>
  <c r="X51" i="1"/>
  <c r="X48" i="1"/>
  <c r="X47" i="1"/>
  <c r="X44" i="1"/>
  <c r="X42" i="1"/>
  <c r="X40" i="1"/>
  <c r="X38" i="1"/>
  <c r="X36" i="1"/>
  <c r="X34" i="1"/>
  <c r="X33" i="1"/>
  <c r="X31" i="1"/>
  <c r="X29" i="1"/>
  <c r="X27" i="1"/>
  <c r="X24" i="1"/>
  <c r="X22" i="1"/>
  <c r="X20" i="1"/>
  <c r="X19" i="1"/>
  <c r="X17" i="1"/>
  <c r="X15" i="1"/>
  <c r="X12" i="1"/>
  <c r="L4" i="6"/>
  <c r="O5" i="1"/>
  <c r="K4" i="1"/>
  <c r="K2" i="3"/>
  <c r="M4" i="1" l="1"/>
  <c r="M3" i="1"/>
  <c r="J1" i="6"/>
  <c r="Y8" i="6" s="1"/>
  <c r="R8" i="6" s="1"/>
  <c r="AE8" i="6" s="1"/>
  <c r="AF8" i="6" s="1"/>
  <c r="N4" i="6"/>
  <c r="N3" i="6"/>
  <c r="S10" i="6"/>
  <c r="S9" i="6"/>
  <c r="L1" i="6"/>
  <c r="I1" i="1"/>
  <c r="K1" i="1"/>
  <c r="K3" i="3"/>
  <c r="AG8" i="6" l="1"/>
  <c r="AI8" i="6" s="1"/>
  <c r="AJ8" i="6"/>
  <c r="X10" i="1"/>
  <c r="Q10" i="1" s="1"/>
  <c r="AC10" i="1" s="1"/>
  <c r="AD10" i="1" s="1"/>
  <c r="X11" i="1"/>
  <c r="Q11" i="1" s="1"/>
  <c r="AH8" i="6"/>
  <c r="AD4" i="6"/>
  <c r="AA9" i="3"/>
  <c r="AA10" i="3"/>
  <c r="T10" i="3" s="1"/>
  <c r="AG10" i="3" s="1"/>
  <c r="AA8" i="3"/>
  <c r="T8" i="3" s="1"/>
  <c r="AG8" i="3" s="1"/>
  <c r="AH8" i="3" s="1"/>
  <c r="AI8" i="3" s="1"/>
  <c r="X8" i="1"/>
  <c r="Q8" i="1" s="1"/>
  <c r="AD8" i="1" s="1"/>
  <c r="X9" i="1"/>
  <c r="Q9" i="1" s="1"/>
  <c r="AD9" i="1" s="1"/>
  <c r="T9" i="3"/>
  <c r="AG9" i="3" s="1"/>
  <c r="AJ10" i="1" l="1"/>
  <c r="Y11" i="1"/>
  <c r="R11" i="1"/>
  <c r="AE8" i="1"/>
  <c r="AH10" i="3"/>
  <c r="AK8" i="3"/>
  <c r="AH9" i="3"/>
  <c r="AI9" i="3"/>
  <c r="AE9" i="1"/>
  <c r="AF9" i="1" s="1"/>
  <c r="Y8" i="1"/>
  <c r="R8" i="1"/>
  <c r="R9" i="1"/>
  <c r="V9" i="1" s="1"/>
  <c r="Y9" i="1"/>
  <c r="Y10" i="1"/>
  <c r="R10" i="1"/>
  <c r="Z9" i="6"/>
  <c r="Z10" i="6"/>
  <c r="S8" i="6"/>
  <c r="Z8" i="6"/>
  <c r="AB8" i="3"/>
  <c r="U8" i="3"/>
  <c r="U10" i="3"/>
  <c r="AB10" i="3"/>
  <c r="U9" i="3"/>
  <c r="AB9" i="3"/>
  <c r="AI10" i="3" l="1"/>
  <c r="AL10" i="3"/>
  <c r="AE10" i="1"/>
  <c r="AE11" i="1"/>
  <c r="T11" i="1"/>
  <c r="S11" i="1"/>
  <c r="V11" i="1"/>
  <c r="U11" i="1"/>
  <c r="AJ11" i="1"/>
  <c r="AF8" i="1"/>
  <c r="AH8" i="1" s="1"/>
  <c r="AJ8" i="3"/>
  <c r="AK10" i="3"/>
  <c r="AJ10" i="3" s="1"/>
  <c r="AK9" i="3"/>
  <c r="AF4" i="3" s="1"/>
  <c r="AJ9" i="3"/>
  <c r="AH9" i="1"/>
  <c r="AG9" i="1" s="1"/>
  <c r="Z5" i="6"/>
  <c r="S8" i="1"/>
  <c r="U8" i="1"/>
  <c r="V8" i="1"/>
  <c r="T8" i="1"/>
  <c r="Y5" i="1"/>
  <c r="U9" i="1"/>
  <c r="T9" i="1"/>
  <c r="S9" i="1"/>
  <c r="V10" i="1"/>
  <c r="U10" i="1"/>
  <c r="T10" i="1"/>
  <c r="S10" i="1"/>
  <c r="W9" i="6"/>
  <c r="V9" i="6"/>
  <c r="U9" i="6"/>
  <c r="T9" i="6"/>
  <c r="W10" i="6"/>
  <c r="V10" i="6"/>
  <c r="U10" i="6"/>
  <c r="T10" i="6"/>
  <c r="T8" i="6"/>
  <c r="U8" i="6"/>
  <c r="V8" i="6"/>
  <c r="W8" i="6"/>
  <c r="AB5" i="3"/>
  <c r="Y8" i="3"/>
  <c r="W8" i="3"/>
  <c r="X8" i="3"/>
  <c r="V8" i="3"/>
  <c r="W10" i="3"/>
  <c r="Y10" i="3"/>
  <c r="V10" i="3"/>
  <c r="X10" i="3"/>
  <c r="V9" i="3"/>
  <c r="X9" i="3"/>
  <c r="Y9" i="3"/>
  <c r="W9" i="3"/>
  <c r="AG8" i="1" l="1"/>
  <c r="AF10" i="1" l="1"/>
  <c r="AH10" i="1" s="1"/>
  <c r="AI10" i="1"/>
  <c r="AI11" i="1"/>
  <c r="AF11" i="1"/>
  <c r="AH11" i="1" s="1"/>
  <c r="AG10" i="1" l="1"/>
  <c r="AC4" i="1"/>
  <c r="AG11" i="1"/>
</calcChain>
</file>

<file path=xl/sharedStrings.xml><?xml version="1.0" encoding="utf-8"?>
<sst xmlns="http://schemas.openxmlformats.org/spreadsheetml/2006/main" count="236" uniqueCount="97">
  <si>
    <t>Default Inventory Mode</t>
  </si>
  <si>
    <t>Round Adjustment</t>
  </si>
  <si>
    <t>Current Due/Adv.</t>
  </si>
  <si>
    <t>Supplier Name</t>
  </si>
  <si>
    <t>jb</t>
  </si>
  <si>
    <t>Discount Percentage</t>
  </si>
  <si>
    <t>Total Discount</t>
  </si>
  <si>
    <t>Supplier Balance</t>
  </si>
  <si>
    <t>Negative is Advance</t>
  </si>
  <si>
    <t>Discount Flat</t>
  </si>
  <si>
    <t>Total Price (TP+VAT)</t>
  </si>
  <si>
    <t>Supplier Due</t>
  </si>
  <si>
    <t>I will pay to supplier</t>
  </si>
  <si>
    <t>Total BTP + VAT</t>
  </si>
  <si>
    <t>Final Price</t>
  </si>
  <si>
    <t>Supplier Advance</t>
  </si>
  <si>
    <t>Supplier will pay me</t>
  </si>
  <si>
    <t>Paid to Supplier</t>
  </si>
  <si>
    <t>Less</t>
  </si>
  <si>
    <t>Product Name</t>
  </si>
  <si>
    <t>Quantity</t>
  </si>
  <si>
    <t>BTP + VAT</t>
  </si>
  <si>
    <t>Retail</t>
  </si>
  <si>
    <t>Wholesale</t>
  </si>
  <si>
    <t>Stock</t>
  </si>
  <si>
    <t>Discount</t>
  </si>
  <si>
    <t>Purchase Price</t>
  </si>
  <si>
    <t>Profit Margin</t>
  </si>
  <si>
    <t>Less Amount/product</t>
  </si>
  <si>
    <t>Round Adj/product</t>
  </si>
  <si>
    <t>Final Purchase Price</t>
  </si>
  <si>
    <t>Box Qty</t>
  </si>
  <si>
    <t>Qty/Box</t>
  </si>
  <si>
    <t>Total Qty</t>
  </si>
  <si>
    <t>Free Qty (pcs)</t>
  </si>
  <si>
    <t>Per Box</t>
  </si>
  <si>
    <t>Total</t>
  </si>
  <si>
    <t>Price/Box</t>
  </si>
  <si>
    <t>Price/Pcs</t>
  </si>
  <si>
    <t>Min Qty (pcs)</t>
  </si>
  <si>
    <t>Storage</t>
  </si>
  <si>
    <t>%</t>
  </si>
  <si>
    <t>Value</t>
  </si>
  <si>
    <t>Special</t>
  </si>
  <si>
    <t>Per Pcs</t>
  </si>
  <si>
    <t>Retail %</t>
  </si>
  <si>
    <t>Retail Value</t>
  </si>
  <si>
    <t>Wholesale %</t>
  </si>
  <si>
    <t>Wholesale Value</t>
  </si>
  <si>
    <t>3 Bion</t>
  </si>
  <si>
    <t>A1</t>
  </si>
  <si>
    <t>3-c 100mg</t>
  </si>
  <si>
    <t>B1</t>
  </si>
  <si>
    <t>3-c 200mg</t>
  </si>
  <si>
    <t>C1</t>
  </si>
  <si>
    <t>Tuhin</t>
  </si>
  <si>
    <t>TP/VAT Inventory Mode</t>
  </si>
  <si>
    <t>VAT Rate</t>
  </si>
  <si>
    <t>Total Amount</t>
  </si>
  <si>
    <t>Total TP</t>
  </si>
  <si>
    <t>Total TP without free product</t>
  </si>
  <si>
    <t>TP + VAT</t>
  </si>
  <si>
    <t>Total Price TP+VAT</t>
  </si>
  <si>
    <t>TP/Box</t>
  </si>
  <si>
    <t>TP/Pcs</t>
  </si>
  <si>
    <t>VAT/Box</t>
  </si>
  <si>
    <t>VAT/Pcs</t>
  </si>
  <si>
    <t>Test product</t>
  </si>
  <si>
    <t>3C 400mg</t>
  </si>
  <si>
    <t>Mahdi</t>
  </si>
  <si>
    <t>(+) Positive = Pharmacy needs to pay supplier</t>
  </si>
  <si>
    <t>Name</t>
  </si>
  <si>
    <t>Balance</t>
  </si>
  <si>
    <t>(−) Negative =  Pharmacy Paid in Advance</t>
  </si>
  <si>
    <t>Discount %</t>
  </si>
  <si>
    <t>Total VAT</t>
  </si>
  <si>
    <t>Opening Stock %</t>
  </si>
  <si>
    <t>Total Price</t>
  </si>
  <si>
    <t>Return Qty (pcs)</t>
  </si>
  <si>
    <t>Total Return Price</t>
  </si>
  <si>
    <t>Demurrage Amount</t>
  </si>
  <si>
    <t>Net Payable</t>
  </si>
  <si>
    <t>Round Off</t>
  </si>
  <si>
    <t>Final Return Price</t>
  </si>
  <si>
    <t>Supplier Current Balance</t>
  </si>
  <si>
    <t>Return Demurrage %</t>
  </si>
  <si>
    <t>Return Demurrage Flat</t>
  </si>
  <si>
    <t>Supplier Balance After Return</t>
  </si>
  <si>
    <t>Inventory Return</t>
  </si>
  <si>
    <t>Return Price/Pcs</t>
  </si>
  <si>
    <t>A2</t>
  </si>
  <si>
    <t>Demurrag</t>
  </si>
  <si>
    <t>Demurrage pcs</t>
  </si>
  <si>
    <t>A3</t>
  </si>
  <si>
    <t xml:space="preserve"> </t>
  </si>
  <si>
    <t>Demurrage box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</si>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</sst>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0"/>
    <numFmt numFmtId="165" formatCode="0.0000000000000000"/>
    <numFmt numFmtId="166" formatCode="#,##0.0000000000000"/>
    <numFmt numFmtId="167" formatCode="#,##0.000000000"/>
    <numFmt numFmtId="168" formatCode="0.0000"/>
    <numFmt numFmtId="169" formatCode="#,##0.0000"/>
    <numFmt numFmtId="170" formatCode="#,##0.00000"/>
    <numFmt numFmtId="171" formatCode="#,##0.000000"/>
    <numFmt numFmtId="172" formatCode="0.000000"/>
    <numFmt numFmtId="173" formatCode="#,##0.0000000000"/>
    <numFmt numFmtId="174" formatCode="#,##0.00000000"/>
    <numFmt numFmtId="175" formatCode="#,##0.00000000000"/>
  </numFmts>
  <fonts count="53" x14ac:knownFonts="1">
    <font>
      <sz val="11"/>
      <color theme="1"/>
      <name val="Aptos Narrow"/>
      <charset val="1"/>
    </font>
    <font>
      <sz val="11"/>
      <color rgb="FF00B050"/>
      <name val="Aptos Narrow"/>
      <family val="2"/>
      <charset val="1"/>
    </font>
    <font>
      <b/>
      <sz val="15"/>
      <color rgb="FFFFFFFF"/>
      <name val="Arial"/>
      <family val="2"/>
      <charset val="1"/>
    </font>
    <font>
      <sz val="10"/>
      <color rgb="FF1F2937"/>
      <name val="Arial"/>
      <family val="2"/>
      <charset val="1"/>
    </font>
    <font>
      <b/>
      <sz val="10"/>
      <name val="Arial"/>
      <family val="2"/>
    </font>
    <font>
      <b/>
      <sz val="10"/>
      <color rgb="FF1F2937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5" tint="-0.249977111117893"/>
      <name val="Aptos Narrow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theme="1"/>
      <name val="Aptos Narrow"/>
      <family val="2"/>
      <charset val="1"/>
    </font>
    <font>
      <b/>
      <sz val="11"/>
      <name val="Arial"/>
      <family val="2"/>
    </font>
    <font>
      <b/>
      <sz val="11"/>
      <color rgb="FF1F2937"/>
      <name val="Arial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sz val="10"/>
      <color rgb="FF00B050"/>
      <name val="Arial"/>
      <family val="2"/>
      <charset val="1"/>
    </font>
    <font>
      <b/>
      <sz val="10"/>
      <color theme="9" tint="-0.249977111117893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theme="7"/>
      <name val="Arial"/>
      <family val="2"/>
      <charset val="1"/>
    </font>
    <font>
      <b/>
      <sz val="11"/>
      <color rgb="FF00B05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theme="7"/>
      <name val="Aptos Narrow"/>
      <family val="2"/>
      <charset val="1"/>
    </font>
    <font>
      <sz val="11"/>
      <color rgb="FF1F2937"/>
      <name val="Arial"/>
      <family val="2"/>
      <charset val="1"/>
    </font>
    <font>
      <b/>
      <sz val="11"/>
      <color theme="5" tint="-0.249977111117893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1"/>
      <name val="Aptos Narrow"/>
      <family val="2"/>
      <charset val="1"/>
    </font>
    <font>
      <b/>
      <sz val="11"/>
      <color rgb="FFFF0000"/>
      <name val="Aptos Narrow"/>
      <family val="2"/>
    </font>
    <font>
      <b/>
      <sz val="11"/>
      <color rgb="FF00B050"/>
      <name val="Aptos Narrow"/>
      <family val="2"/>
    </font>
    <font>
      <b/>
      <sz val="11"/>
      <color theme="1"/>
      <name val="Aptos Narrow"/>
      <family val="2"/>
    </font>
    <font>
      <b/>
      <sz val="11"/>
      <color rgb="FF00B050"/>
      <name val="Arial"/>
      <family val="2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  <font>
      <sz val="11"/>
      <color rgb="FF0000FF"/>
      <name val="Aptos Narrow"/>
      <family val="2"/>
    </font>
    <font>
      <sz val="11"/>
      <color rgb="FF0000FF"/>
      <name val="Aptos Narrow"/>
      <family val="2"/>
      <charset val="1"/>
    </font>
    <font>
      <b/>
      <sz val="10"/>
      <color rgb="FF0000FF"/>
      <name val="Arial"/>
      <family val="2"/>
      <charset val="1"/>
    </font>
    <font>
      <sz val="10"/>
      <name val="Arial"/>
      <family val="2"/>
    </font>
    <font>
      <b/>
      <sz val="10"/>
      <color rgb="FF1F2937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Aptos Narrow"/>
      <family val="2"/>
    </font>
    <font>
      <b/>
      <sz val="11"/>
      <color rgb="FFFFFFFF"/>
      <name val="Arial"/>
    </font>
    <font>
      <sz val="11"/>
      <color rgb="FF0000FF"/>
      <name val="Aptos Narrow"/>
      <charset val="1"/>
    </font>
    <font>
      <b/>
      <sz val="11"/>
      <color rgb="FF000000"/>
      <name val="Arial"/>
    </font>
    <font>
      <b/>
      <sz val="11"/>
      <color rgb="FF0000FF"/>
      <name val="Arial"/>
    </font>
    <font>
      <b/>
      <sz val="10"/>
      <color theme="1"/>
      <name val="Arial"/>
    </font>
    <font>
      <sz val="11"/>
      <color rgb="FF1F2937"/>
      <name val="Aptos Narrow"/>
      <charset val="1"/>
    </font>
    <font>
      <b/>
      <sz val="11"/>
      <color rgb="FF1F2937"/>
      <name val="Aptos Narrow"/>
      <charset val="1"/>
    </font>
    <font>
      <b/>
      <sz val="11"/>
      <color rgb="FF1F2937"/>
      <name val="Arial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2F2F2"/>
        <bgColor rgb="FFEAF3F8"/>
      </patternFill>
    </fill>
    <fill>
      <patternFill patternType="solid">
        <fgColor rgb="FFFFC000"/>
        <bgColor rgb="FFFF9900"/>
      </patternFill>
    </fill>
    <fill>
      <patternFill patternType="solid">
        <fgColor rgb="FFD9EAF7"/>
        <bgColor rgb="FFD9E2F3"/>
      </patternFill>
    </fill>
    <fill>
      <patternFill patternType="solid">
        <fgColor rgb="FFE2F0D9"/>
        <bgColor rgb="FFEAF3F8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546A"/>
        <bgColor rgb="FF333399"/>
      </patternFill>
    </fill>
    <fill>
      <patternFill patternType="solid">
        <fgColor rgb="FFD9E1F2"/>
        <bgColor rgb="FFD9E2F3"/>
      </patternFill>
    </fill>
    <fill>
      <patternFill patternType="solid">
        <fgColor rgb="FFEAF3F8"/>
        <bgColor rgb="FFF2F2F2"/>
      </patternFill>
    </fill>
    <fill>
      <patternFill patternType="solid">
        <fgColor rgb="FFFFFF00"/>
        <bgColor rgb="FFEAF3F8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D9E1F2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3" fillId="0" borderId="0" xfId="0" applyFont="1" applyAlignment="1">
      <alignment horizontal="right"/>
    </xf>
    <xf numFmtId="4" fontId="8" fillId="5" borderId="1" xfId="0" applyNumberFormat="1" applyFont="1" applyFill="1" applyBorder="1" applyAlignment="1">
      <alignment horizontal="right" vertical="center"/>
    </xf>
    <xf numFmtId="4" fontId="3" fillId="6" borderId="2" xfId="0" applyNumberFormat="1" applyFont="1" applyFill="1" applyBorder="1" applyAlignment="1">
      <alignment horizontal="right" vertical="center"/>
    </xf>
    <xf numFmtId="3" fontId="9" fillId="0" borderId="0" xfId="0" applyNumberFormat="1" applyFont="1"/>
    <xf numFmtId="0" fontId="10" fillId="3" borderId="1" xfId="0" applyFont="1" applyFill="1" applyBorder="1" applyAlignment="1">
      <alignment horizontal="left" vertical="center" wrapText="1"/>
    </xf>
    <xf numFmtId="4" fontId="11" fillId="5" borderId="1" xfId="0" applyNumberFormat="1" applyFont="1" applyFill="1" applyBorder="1" applyAlignment="1">
      <alignment horizontal="right" vertical="center"/>
    </xf>
    <xf numFmtId="4" fontId="11" fillId="6" borderId="2" xfId="0" applyNumberFormat="1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/>
    </xf>
    <xf numFmtId="4" fontId="0" fillId="0" borderId="0" xfId="0" applyNumberFormat="1"/>
    <xf numFmtId="4" fontId="3" fillId="7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left" vertical="center" wrapText="1"/>
    </xf>
    <xf numFmtId="3" fontId="11" fillId="8" borderId="1" xfId="0" applyNumberFormat="1" applyFont="1" applyFill="1" applyBorder="1" applyAlignment="1">
      <alignment horizontal="right" vertical="center"/>
    </xf>
    <xf numFmtId="3" fontId="5" fillId="0" borderId="0" xfId="0" applyNumberFormat="1" applyFont="1"/>
    <xf numFmtId="0" fontId="4" fillId="0" borderId="1" xfId="0" applyFont="1" applyBorder="1" applyAlignment="1">
      <alignment vertical="center" wrapText="1"/>
    </xf>
    <xf numFmtId="4" fontId="11" fillId="0" borderId="0" xfId="0" applyNumberFormat="1" applyFont="1" applyAlignment="1">
      <alignment horizontal="right" vertical="center"/>
    </xf>
    <xf numFmtId="4" fontId="9" fillId="0" borderId="0" xfId="0" applyNumberFormat="1" applyFont="1"/>
    <xf numFmtId="0" fontId="0" fillId="0" borderId="0" xfId="0" applyAlignment="1">
      <alignment wrapText="1"/>
    </xf>
    <xf numFmtId="3" fontId="4" fillId="10" borderId="3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49" fontId="4" fillId="10" borderId="3" xfId="0" applyNumberFormat="1" applyFont="1" applyFill="1" applyBorder="1" applyAlignment="1">
      <alignment horizontal="center" vertical="center" wrapText="1"/>
    </xf>
    <xf numFmtId="10" fontId="4" fillId="10" borderId="3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right" vertical="center"/>
    </xf>
    <xf numFmtId="3" fontId="14" fillId="7" borderId="4" xfId="0" applyNumberFormat="1" applyFont="1" applyFill="1" applyBorder="1" applyAlignment="1">
      <alignment horizontal="right" vertical="center"/>
    </xf>
    <xf numFmtId="4" fontId="3" fillId="7" borderId="4" xfId="0" applyNumberFormat="1" applyFont="1" applyFill="1" applyBorder="1" applyAlignment="1">
      <alignment horizontal="right" vertical="center"/>
    </xf>
    <xf numFmtId="4" fontId="15" fillId="11" borderId="4" xfId="0" applyNumberFormat="1" applyFont="1" applyFill="1" applyBorder="1" applyAlignment="1">
      <alignment horizontal="right" vertical="center"/>
    </xf>
    <xf numFmtId="0" fontId="0" fillId="11" borderId="0" xfId="0" applyFill="1"/>
    <xf numFmtId="164" fontId="16" fillId="11" borderId="4" xfId="0" applyNumberFormat="1" applyFont="1" applyFill="1" applyBorder="1" applyAlignment="1">
      <alignment horizontal="right" vertical="center"/>
    </xf>
    <xf numFmtId="165" fontId="17" fillId="11" borderId="4" xfId="0" applyNumberFormat="1" applyFont="1" applyFill="1" applyBorder="1" applyAlignment="1">
      <alignment horizontal="right" vertical="center"/>
    </xf>
    <xf numFmtId="166" fontId="17" fillId="11" borderId="4" xfId="0" applyNumberFormat="1" applyFont="1" applyFill="1" applyBorder="1" applyAlignment="1">
      <alignment horizontal="right" vertical="center"/>
    </xf>
    <xf numFmtId="10" fontId="3" fillId="11" borderId="4" xfId="0" applyNumberFormat="1" applyFont="1" applyFill="1" applyBorder="1" applyAlignment="1">
      <alignment vertical="center"/>
    </xf>
    <xf numFmtId="167" fontId="0" fillId="11" borderId="0" xfId="0" applyNumberFormat="1" applyFill="1"/>
    <xf numFmtId="10" fontId="3" fillId="11" borderId="5" xfId="0" applyNumberFormat="1" applyFont="1" applyFill="1" applyBorder="1" applyAlignment="1">
      <alignment vertical="center"/>
    </xf>
    <xf numFmtId="168" fontId="0" fillId="11" borderId="0" xfId="0" applyNumberFormat="1" applyFill="1"/>
    <xf numFmtId="3" fontId="0" fillId="3" borderId="4" xfId="0" applyNumberFormat="1" applyFill="1" applyBorder="1"/>
    <xf numFmtId="3" fontId="1" fillId="7" borderId="4" xfId="0" applyNumberFormat="1" applyFont="1" applyFill="1" applyBorder="1"/>
    <xf numFmtId="4" fontId="18" fillId="11" borderId="4" xfId="0" applyNumberFormat="1" applyFont="1" applyFill="1" applyBorder="1"/>
    <xf numFmtId="4" fontId="19" fillId="11" borderId="4" xfId="0" applyNumberFormat="1" applyFont="1" applyFill="1" applyBorder="1"/>
    <xf numFmtId="166" fontId="20" fillId="11" borderId="4" xfId="0" applyNumberFormat="1" applyFont="1" applyFill="1" applyBorder="1"/>
    <xf numFmtId="0" fontId="19" fillId="0" borderId="0" xfId="0" applyFont="1"/>
    <xf numFmtId="0" fontId="4" fillId="0" borderId="1" xfId="0" applyFont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right" vertical="center"/>
    </xf>
    <xf numFmtId="10" fontId="21" fillId="7" borderId="1" xfId="0" applyNumberFormat="1" applyFont="1" applyFill="1" applyBorder="1" applyAlignment="1">
      <alignment horizontal="right" vertical="center"/>
    </xf>
    <xf numFmtId="4" fontId="22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left" vertical="center" wrapText="1"/>
    </xf>
    <xf numFmtId="4" fontId="11" fillId="0" borderId="0" xfId="0" applyNumberFormat="1" applyFont="1"/>
    <xf numFmtId="169" fontId="16" fillId="11" borderId="4" xfId="0" applyNumberFormat="1" applyFont="1" applyFill="1" applyBorder="1" applyAlignment="1">
      <alignment horizontal="right" vertical="center"/>
    </xf>
    <xf numFmtId="0" fontId="25" fillId="0" borderId="0" xfId="0" applyFont="1"/>
    <xf numFmtId="0" fontId="24" fillId="2" borderId="4" xfId="0" applyFont="1" applyFill="1" applyBorder="1" applyAlignment="1">
      <alignment horizontal="center"/>
    </xf>
    <xf numFmtId="0" fontId="3" fillId="0" borderId="4" xfId="0" applyFont="1" applyBorder="1"/>
    <xf numFmtId="4" fontId="3" fillId="0" borderId="4" xfId="0" applyNumberFormat="1" applyFont="1" applyBorder="1"/>
    <xf numFmtId="0" fontId="23" fillId="0" borderId="1" xfId="0" applyFont="1" applyBorder="1" applyAlignment="1">
      <alignment horizontal="right" vertical="center"/>
    </xf>
    <xf numFmtId="10" fontId="4" fillId="12" borderId="1" xfId="0" applyNumberFormat="1" applyFont="1" applyFill="1" applyBorder="1" applyAlignment="1">
      <alignment horizontal="left" vertical="center" wrapText="1"/>
    </xf>
    <xf numFmtId="3" fontId="23" fillId="13" borderId="1" xfId="0" applyNumberFormat="1" applyFont="1" applyFill="1" applyBorder="1" applyAlignment="1">
      <alignment horizontal="right" vertical="center"/>
    </xf>
    <xf numFmtId="4" fontId="11" fillId="13" borderId="1" xfId="0" applyNumberFormat="1" applyFont="1" applyFill="1" applyBorder="1" applyAlignment="1">
      <alignment horizontal="right" vertical="center"/>
    </xf>
    <xf numFmtId="10" fontId="11" fillId="14" borderId="1" xfId="0" applyNumberFormat="1" applyFont="1" applyFill="1" applyBorder="1" applyAlignment="1">
      <alignment horizontal="right" vertical="center"/>
    </xf>
    <xf numFmtId="4" fontId="11" fillId="14" borderId="1" xfId="0" applyNumberFormat="1" applyFont="1" applyFill="1" applyBorder="1" applyAlignment="1">
      <alignment horizontal="right" vertical="center"/>
    </xf>
    <xf numFmtId="4" fontId="21" fillId="15" borderId="1" xfId="0" applyNumberFormat="1" applyFont="1" applyFill="1" applyBorder="1" applyAlignment="1">
      <alignment horizontal="right" vertical="center"/>
    </xf>
    <xf numFmtId="0" fontId="21" fillId="15" borderId="1" xfId="0" applyFont="1" applyFill="1" applyBorder="1" applyAlignment="1">
      <alignment horizontal="right" vertical="center"/>
    </xf>
    <xf numFmtId="4" fontId="26" fillId="13" borderId="0" xfId="0" applyNumberFormat="1" applyFont="1" applyFill="1"/>
    <xf numFmtId="4" fontId="3" fillId="16" borderId="4" xfId="0" applyNumberFormat="1" applyFont="1" applyFill="1" applyBorder="1" applyAlignment="1">
      <alignment horizontal="right" vertical="center"/>
    </xf>
    <xf numFmtId="4" fontId="0" fillId="16" borderId="4" xfId="0" applyNumberFormat="1" applyFill="1" applyBorder="1"/>
    <xf numFmtId="2" fontId="3" fillId="17" borderId="4" xfId="0" applyNumberFormat="1" applyFont="1" applyFill="1" applyBorder="1" applyAlignment="1">
      <alignment horizontal="right" vertical="center"/>
    </xf>
    <xf numFmtId="2" fontId="0" fillId="17" borderId="4" xfId="0" applyNumberFormat="1" applyFill="1" applyBorder="1"/>
    <xf numFmtId="10" fontId="3" fillId="16" borderId="4" xfId="0" applyNumberFormat="1" applyFont="1" applyFill="1" applyBorder="1" applyAlignment="1">
      <alignment vertical="center"/>
    </xf>
    <xf numFmtId="0" fontId="0" fillId="16" borderId="0" xfId="0" applyFill="1"/>
    <xf numFmtId="168" fontId="0" fillId="16" borderId="0" xfId="0" applyNumberFormat="1" applyFill="1"/>
    <xf numFmtId="169" fontId="3" fillId="16" borderId="4" xfId="0" applyNumberFormat="1" applyFont="1" applyFill="1" applyBorder="1" applyAlignment="1">
      <alignment horizontal="right" vertical="center"/>
    </xf>
    <xf numFmtId="169" fontId="0" fillId="16" borderId="4" xfId="0" applyNumberFormat="1" applyFill="1" applyBorder="1"/>
    <xf numFmtId="170" fontId="3" fillId="16" borderId="4" xfId="0" applyNumberFormat="1" applyFont="1" applyFill="1" applyBorder="1" applyAlignment="1">
      <alignment horizontal="right" vertical="center"/>
    </xf>
    <xf numFmtId="171" fontId="17" fillId="16" borderId="4" xfId="0" applyNumberFormat="1" applyFont="1" applyFill="1" applyBorder="1" applyAlignment="1">
      <alignment horizontal="right" vertical="center"/>
    </xf>
    <xf numFmtId="172" fontId="3" fillId="16" borderId="4" xfId="0" applyNumberFormat="1" applyFont="1" applyFill="1" applyBorder="1" applyAlignment="1">
      <alignment vertical="center"/>
    </xf>
    <xf numFmtId="4" fontId="28" fillId="0" borderId="0" xfId="0" applyNumberFormat="1" applyFont="1"/>
    <xf numFmtId="4" fontId="29" fillId="13" borderId="1" xfId="0" applyNumberFormat="1" applyFont="1" applyFill="1" applyBorder="1" applyAlignment="1">
      <alignment horizontal="right" vertical="center"/>
    </xf>
    <xf numFmtId="10" fontId="31" fillId="14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4" fontId="35" fillId="0" borderId="0" xfId="0" applyNumberFormat="1" applyFont="1" applyAlignment="1">
      <alignment horizontal="right"/>
    </xf>
    <xf numFmtId="10" fontId="3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36" fillId="18" borderId="4" xfId="0" applyNumberFormat="1" applyFont="1" applyFill="1" applyBorder="1" applyAlignment="1">
      <alignment horizontal="right" vertical="center"/>
    </xf>
    <xf numFmtId="0" fontId="37" fillId="18" borderId="6" xfId="0" applyFont="1" applyFill="1" applyBorder="1" applyAlignment="1">
      <alignment horizontal="left"/>
    </xf>
    <xf numFmtId="0" fontId="37" fillId="18" borderId="2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 vertical="center" wrapText="1"/>
    </xf>
    <xf numFmtId="2" fontId="36" fillId="19" borderId="7" xfId="0" applyNumberFormat="1" applyFont="1" applyFill="1" applyBorder="1" applyAlignment="1">
      <alignment horizontal="right"/>
    </xf>
    <xf numFmtId="0" fontId="4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4" fontId="36" fillId="14" borderId="1" xfId="0" applyNumberFormat="1" applyFont="1" applyFill="1" applyBorder="1" applyAlignment="1">
      <alignment horizontal="right"/>
    </xf>
    <xf numFmtId="4" fontId="39" fillId="18" borderId="4" xfId="0" applyNumberFormat="1" applyFont="1" applyFill="1" applyBorder="1" applyAlignment="1">
      <alignment horizontal="right" vertical="center"/>
    </xf>
    <xf numFmtId="0" fontId="40" fillId="11" borderId="0" xfId="0" applyFont="1" applyFill="1"/>
    <xf numFmtId="0" fontId="27" fillId="11" borderId="0" xfId="0" applyFont="1" applyFill="1"/>
    <xf numFmtId="0" fontId="27" fillId="0" borderId="0" xfId="0" applyFont="1"/>
    <xf numFmtId="4" fontId="16" fillId="7" borderId="4" xfId="0" applyNumberFormat="1" applyFont="1" applyFill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71" fontId="27" fillId="16" borderId="0" xfId="0" applyNumberFormat="1" applyFont="1" applyFill="1"/>
    <xf numFmtId="171" fontId="0" fillId="16" borderId="0" xfId="0" applyNumberFormat="1" applyFill="1"/>
    <xf numFmtId="4" fontId="44" fillId="14" borderId="0" xfId="0" applyNumberFormat="1" applyFont="1" applyFill="1"/>
    <xf numFmtId="0" fontId="45" fillId="18" borderId="0" xfId="0" applyFont="1" applyFill="1"/>
    <xf numFmtId="4" fontId="48" fillId="22" borderId="0" xfId="0" applyNumberFormat="1" applyFont="1" applyFill="1"/>
    <xf numFmtId="0" fontId="43" fillId="23" borderId="0" xfId="0" applyFont="1" applyFill="1" applyAlignment="1">
      <alignment horizontal="center"/>
    </xf>
    <xf numFmtId="4" fontId="43" fillId="23" borderId="0" xfId="0" applyNumberFormat="1" applyFont="1" applyFill="1" applyAlignment="1">
      <alignment horizontal="center"/>
    </xf>
    <xf numFmtId="4" fontId="46" fillId="21" borderId="0" xfId="0" applyNumberFormat="1" applyFont="1" applyFill="1"/>
    <xf numFmtId="4" fontId="46" fillId="18" borderId="0" xfId="0" applyNumberFormat="1" applyFont="1" applyFill="1"/>
    <xf numFmtId="3" fontId="47" fillId="13" borderId="0" xfId="0" applyNumberFormat="1" applyFont="1" applyFill="1"/>
    <xf numFmtId="0" fontId="30" fillId="14" borderId="4" xfId="0" applyFont="1" applyFill="1" applyBorder="1" applyAlignment="1">
      <alignment horizontal="left" vertical="center"/>
    </xf>
    <xf numFmtId="0" fontId="32" fillId="14" borderId="4" xfId="0" applyFont="1" applyFill="1" applyBorder="1"/>
    <xf numFmtId="3" fontId="30" fillId="14" borderId="4" xfId="0" applyNumberFormat="1" applyFont="1" applyFill="1" applyBorder="1" applyAlignment="1">
      <alignment horizontal="right" vertical="center"/>
    </xf>
    <xf numFmtId="3" fontId="32" fillId="14" borderId="4" xfId="0" applyNumberFormat="1" applyFont="1" applyFill="1" applyBorder="1"/>
    <xf numFmtId="4" fontId="30" fillId="14" borderId="4" xfId="0" applyNumberFormat="1" applyFont="1" applyFill="1" applyBorder="1" applyAlignment="1">
      <alignment horizontal="right" vertical="center"/>
    </xf>
    <xf numFmtId="4" fontId="32" fillId="14" borderId="4" xfId="0" applyNumberFormat="1" applyFont="1" applyFill="1" applyBorder="1"/>
    <xf numFmtId="3" fontId="33" fillId="14" borderId="4" xfId="0" applyNumberFormat="1" applyFont="1" applyFill="1" applyBorder="1"/>
    <xf numFmtId="49" fontId="30" fillId="14" borderId="4" xfId="0" applyNumberFormat="1" applyFont="1" applyFill="1" applyBorder="1" applyAlignment="1">
      <alignment horizontal="left" vertical="center"/>
    </xf>
    <xf numFmtId="49" fontId="32" fillId="14" borderId="4" xfId="0" applyNumberFormat="1" applyFont="1" applyFill="1" applyBorder="1"/>
    <xf numFmtId="10" fontId="16" fillId="14" borderId="4" xfId="0" applyNumberFormat="1" applyFont="1" applyFill="1" applyBorder="1" applyAlignment="1">
      <alignment horizontal="right" vertical="center"/>
    </xf>
    <xf numFmtId="10" fontId="19" fillId="14" borderId="4" xfId="0" applyNumberFormat="1" applyFont="1" applyFill="1" applyBorder="1"/>
    <xf numFmtId="4" fontId="30" fillId="14" borderId="4" xfId="0" applyNumberFormat="1" applyFont="1" applyFill="1" applyBorder="1" applyAlignment="1">
      <alignment vertical="center"/>
    </xf>
    <xf numFmtId="10" fontId="34" fillId="14" borderId="1" xfId="0" applyNumberFormat="1" applyFont="1" applyFill="1" applyBorder="1" applyAlignment="1">
      <alignment horizontal="right" vertical="center"/>
    </xf>
    <xf numFmtId="0" fontId="34" fillId="14" borderId="1" xfId="0" applyFont="1" applyFill="1" applyBorder="1" applyAlignment="1">
      <alignment horizontal="right" vertical="center"/>
    </xf>
    <xf numFmtId="0" fontId="30" fillId="14" borderId="2" xfId="0" applyFont="1" applyFill="1" applyBorder="1" applyAlignment="1">
      <alignment horizontal="right" vertical="center"/>
    </xf>
    <xf numFmtId="4" fontId="30" fillId="14" borderId="1" xfId="0" applyNumberFormat="1" applyFont="1" applyFill="1" applyBorder="1" applyAlignment="1">
      <alignment horizontal="right" vertical="center"/>
    </xf>
    <xf numFmtId="0" fontId="30" fillId="14" borderId="1" xfId="0" applyFont="1" applyFill="1" applyBorder="1" applyAlignment="1">
      <alignment horizontal="right" vertical="center"/>
    </xf>
    <xf numFmtId="0" fontId="3" fillId="14" borderId="4" xfId="0" applyFont="1" applyFill="1" applyBorder="1" applyAlignment="1">
      <alignment horizontal="left" vertical="center"/>
    </xf>
    <xf numFmtId="0" fontId="0" fillId="14" borderId="4" xfId="0" applyFill="1" applyBorder="1"/>
    <xf numFmtId="3" fontId="3" fillId="14" borderId="4" xfId="0" applyNumberFormat="1" applyFont="1" applyFill="1" applyBorder="1" applyAlignment="1">
      <alignment horizontal="right" vertical="center"/>
    </xf>
    <xf numFmtId="3" fontId="0" fillId="14" borderId="4" xfId="0" applyNumberFormat="1" applyFill="1" applyBorder="1"/>
    <xf numFmtId="4" fontId="3" fillId="14" borderId="4" xfId="0" applyNumberFormat="1" applyFont="1" applyFill="1" applyBorder="1" applyAlignment="1">
      <alignment horizontal="right" vertical="center"/>
    </xf>
    <xf numFmtId="4" fontId="0" fillId="14" borderId="4" xfId="0" applyNumberFormat="1" applyFill="1" applyBorder="1"/>
    <xf numFmtId="49" fontId="0" fillId="14" borderId="4" xfId="0" applyNumberFormat="1" applyFill="1" applyBorder="1"/>
    <xf numFmtId="4" fontId="3" fillId="14" borderId="4" xfId="0" applyNumberFormat="1" applyFont="1" applyFill="1" applyBorder="1" applyAlignment="1">
      <alignment vertical="center"/>
    </xf>
    <xf numFmtId="10" fontId="44" fillId="14" borderId="0" xfId="0" applyNumberFormat="1" applyFont="1" applyFill="1"/>
    <xf numFmtId="3" fontId="42" fillId="14" borderId="0" xfId="0" applyNumberFormat="1" applyFont="1" applyFill="1"/>
    <xf numFmtId="9" fontId="3" fillId="14" borderId="4" xfId="0" applyNumberFormat="1" applyFont="1" applyFill="1" applyBorder="1" applyAlignment="1">
      <alignment horizontal="left" vertical="center"/>
    </xf>
    <xf numFmtId="4" fontId="3" fillId="14" borderId="4" xfId="0" applyNumberFormat="1" applyFont="1" applyFill="1" applyBorder="1" applyAlignment="1">
      <alignment horizontal="left" vertical="center"/>
    </xf>
    <xf numFmtId="49" fontId="3" fillId="14" borderId="4" xfId="0" applyNumberFormat="1" applyFont="1" applyFill="1" applyBorder="1" applyAlignment="1">
      <alignment horizontal="right" vertical="center"/>
    </xf>
    <xf numFmtId="10" fontId="38" fillId="14" borderId="7" xfId="0" applyNumberFormat="1" applyFont="1" applyFill="1" applyBorder="1" applyAlignment="1">
      <alignment horizontal="right"/>
    </xf>
    <xf numFmtId="0" fontId="38" fillId="14" borderId="7" xfId="0" applyFont="1" applyFill="1" applyBorder="1" applyAlignment="1">
      <alignment horizontal="right"/>
    </xf>
    <xf numFmtId="3" fontId="0" fillId="0" borderId="0" xfId="0" applyNumberFormat="1"/>
    <xf numFmtId="173" fontId="46" fillId="21" borderId="0" xfId="0" applyNumberFormat="1" applyFont="1" applyFill="1"/>
    <xf numFmtId="4" fontId="49" fillId="18" borderId="0" xfId="0" applyNumberFormat="1" applyFont="1" applyFill="1"/>
    <xf numFmtId="4" fontId="40" fillId="18" borderId="0" xfId="0" applyNumberFormat="1" applyFont="1" applyFill="1"/>
    <xf numFmtId="0" fontId="50" fillId="0" borderId="0" xfId="0" applyFont="1"/>
    <xf numFmtId="0" fontId="41" fillId="20" borderId="0" xfId="0" applyFont="1" applyFill="1" applyAlignment="1">
      <alignment horizontal="center"/>
    </xf>
    <xf numFmtId="171" fontId="49" fillId="18" borderId="0" xfId="0" applyNumberFormat="1" applyFont="1" applyFill="1"/>
    <xf numFmtId="4" fontId="51" fillId="22" borderId="0" xfId="0" applyNumberFormat="1" applyFont="1" applyFill="1"/>
    <xf numFmtId="4" fontId="52" fillId="23" borderId="0" xfId="0" applyNumberFormat="1" applyFont="1" applyFill="1" applyAlignment="1">
      <alignment horizontal="center"/>
    </xf>
    <xf numFmtId="174" fontId="40" fillId="18" borderId="0" xfId="0" applyNumberFormat="1" applyFont="1" applyFill="1"/>
    <xf numFmtId="3" fontId="32" fillId="14" borderId="0" xfId="0" applyNumberFormat="1" applyFont="1" applyFill="1"/>
    <xf numFmtId="175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0" fontId="12" fillId="9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41" fillId="2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BFBFBF"/>
      <rgbColor rgb="FF808080"/>
      <rgbColor rgb="FF8EA9DB"/>
      <rgbColor rgb="FF993366"/>
      <rgbColor rgb="FFFFF2CC"/>
      <rgbColor rgb="FFD9EAF7"/>
      <rgbColor rgb="FF660066"/>
      <rgbColor rgb="FFFF8080"/>
      <rgbColor rgb="FF0066CC"/>
      <rgbColor rgb="FFB7C9D6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EAF3F8"/>
      <rgbColor rgb="FFE2F0D9"/>
      <rgbColor rgb="FFF2F2F2"/>
      <rgbColor rgb="FFD9E1F2"/>
      <rgbColor rgb="FFFF99CC"/>
      <rgbColor rgb="FFCC99FF"/>
      <rgbColor rgb="FFD9E2F3"/>
      <rgbColor rgb="FF3366FF"/>
      <rgbColor rgb="FF33CCCC"/>
      <rgbColor rgb="FFB4E5A2"/>
      <rgbColor rgb="FFFFC000"/>
      <rgbColor rgb="FFFF9900"/>
      <rgbColor rgb="FFFF6600"/>
      <rgbColor rgb="FF44546A"/>
      <rgbColor rgb="FF969696"/>
      <rgbColor rgb="FF17365D"/>
      <rgbColor rgb="FF3A7D22"/>
      <rgbColor rgb="FF003300"/>
      <rgbColor rgb="FF333300"/>
      <rgbColor rgb="FFC04F15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F53F68-C818-4138-8709-340E691BF28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1417aa-a503-48a1-b2dc-ad720144a3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AK1010"/>
  <sheetViews>
    <sheetView showGridLines="0" tabSelected="1" zoomScale="115" zoomScaleNormal="115" workbookViewId="0">
      <pane xSplit="1" ySplit="7" topLeftCell="X8" activePane="bottomRight" state="frozen"/>
      <selection pane="topRight" activeCell="B1" sqref="B1"/>
      <selection pane="bottomLeft" activeCell="A8" sqref="A8"/>
      <selection pane="bottomRight" activeCell="AD17" sqref="AD17"/>
    </sheetView>
  </sheetViews>
  <sheetFormatPr defaultColWidth="8.5703125" defaultRowHeight="15" outlineLevelCol="1" x14ac:dyDescent="0.25"/>
  <cols>
    <col min="1" max="1" width="21.7109375" customWidth="1"/>
    <col min="2" max="3" width="9" customWidth="1"/>
    <col min="4" max="4" width="10" customWidth="1" outlineLevel="1"/>
    <col min="5" max="5" width="11.140625" style="1" customWidth="1" outlineLevel="1"/>
    <col min="6" max="7" width="12" customWidth="1"/>
    <col min="8" max="8" width="20" customWidth="1"/>
    <col min="9" max="9" width="9.42578125" customWidth="1" outlineLevel="1"/>
    <col min="10" max="10" width="22.5703125" customWidth="1" outlineLevel="1"/>
    <col min="11" max="11" width="11" customWidth="1" outlineLevel="1"/>
    <col min="12" max="12" width="17.42578125" customWidth="1" outlineLevel="1"/>
    <col min="13" max="13" width="11" customWidth="1" outlineLevel="1"/>
    <col min="14" max="16" width="10" customWidth="1"/>
    <col min="17" max="17" width="20.85546875" customWidth="1"/>
    <col min="18" max="18" width="19.85546875" customWidth="1"/>
    <col min="19" max="19" width="11" customWidth="1"/>
    <col min="20" max="20" width="15.140625" bestFit="1" customWidth="1"/>
    <col min="21" max="21" width="12" customWidth="1" outlineLevel="1"/>
    <col min="22" max="22" width="15.140625" bestFit="1" customWidth="1" outlineLevel="1"/>
    <col min="23" max="23" width="14" customWidth="1"/>
    <col min="24" max="24" width="15" customWidth="1"/>
    <col min="25" max="25" width="14.140625" customWidth="1"/>
    <col min="26" max="26" width="12" bestFit="1" customWidth="1"/>
    <col min="28" max="28" width="21.140625" customWidth="1"/>
    <col min="29" max="29" width="16.140625" customWidth="1"/>
    <col min="30" max="30" width="18.42578125" customWidth="1"/>
    <col min="31" max="31" width="11" bestFit="1" customWidth="1"/>
    <col min="32" max="32" width="13.140625" bestFit="1" customWidth="1"/>
    <col min="33" max="33" width="11.42578125" bestFit="1" customWidth="1"/>
    <col min="34" max="34" width="19.5703125" bestFit="1" customWidth="1"/>
    <col min="35" max="35" width="16.5703125" bestFit="1" customWidth="1"/>
    <col min="36" max="36" width="16.7109375" bestFit="1" customWidth="1"/>
  </cols>
  <sheetData>
    <row r="1" spans="1:37" ht="21.75" customHeight="1" x14ac:dyDescent="0.25">
      <c r="A1" s="158" t="s">
        <v>0</v>
      </c>
      <c r="B1" s="158"/>
      <c r="C1" s="158"/>
      <c r="D1" s="158"/>
      <c r="F1" s="84"/>
      <c r="G1" s="85"/>
      <c r="H1" s="3" t="s">
        <v>1</v>
      </c>
      <c r="I1" s="4">
        <f>K4-(K3-K2)</f>
        <v>3.999999999996362E-2</v>
      </c>
      <c r="J1" s="5" t="s">
        <v>2</v>
      </c>
      <c r="K1" s="6">
        <f>K4-K5</f>
        <v>4014</v>
      </c>
      <c r="L1" s="3" t="s">
        <v>3</v>
      </c>
      <c r="M1" s="127" t="s">
        <v>4</v>
      </c>
      <c r="N1" s="7"/>
      <c r="O1" s="8"/>
      <c r="AB1" s="106" t="s">
        <v>85</v>
      </c>
      <c r="AC1" s="138">
        <v>3.5999999999999997E-2</v>
      </c>
      <c r="AI1" s="16"/>
    </row>
    <row r="2" spans="1:37" ht="21.75" customHeight="1" x14ac:dyDescent="0.25">
      <c r="A2" s="158"/>
      <c r="B2" s="158"/>
      <c r="C2" s="158"/>
      <c r="D2" s="158"/>
      <c r="F2" s="84"/>
      <c r="G2" s="86"/>
      <c r="H2" s="3" t="s">
        <v>5</v>
      </c>
      <c r="I2" s="125">
        <v>0</v>
      </c>
      <c r="J2" s="3" t="s">
        <v>6</v>
      </c>
      <c r="K2" s="9">
        <f>SUM(O8:O1007)</f>
        <v>0</v>
      </c>
      <c r="L2" s="3" t="s">
        <v>7</v>
      </c>
      <c r="M2" s="10">
        <f>IFERROR(INDEX(Supplier!B:B,MATCH(M1,Supplier!A:A,0)),0)</f>
        <v>2000</v>
      </c>
      <c r="N2" s="7" t="s">
        <v>8</v>
      </c>
      <c r="O2" s="11"/>
      <c r="P2" s="16"/>
      <c r="AB2" s="106" t="s">
        <v>86</v>
      </c>
      <c r="AC2" s="105">
        <v>0</v>
      </c>
      <c r="AG2" s="149"/>
      <c r="AH2" s="145"/>
      <c r="AI2" s="157"/>
    </row>
    <row r="3" spans="1:37" ht="21.75" customHeight="1" x14ac:dyDescent="0.25">
      <c r="A3" s="2"/>
      <c r="B3" s="2"/>
      <c r="C3" s="2"/>
      <c r="D3" s="2"/>
      <c r="F3" s="84"/>
      <c r="G3" s="87"/>
      <c r="H3" s="3" t="s">
        <v>9</v>
      </c>
      <c r="I3" s="126">
        <v>0</v>
      </c>
      <c r="J3" s="12" t="s">
        <v>10</v>
      </c>
      <c r="K3" s="13">
        <f>SUM(G8:G1007)</f>
        <v>5411.96</v>
      </c>
      <c r="L3" s="3" t="s">
        <v>11</v>
      </c>
      <c r="M3" s="14">
        <f>MAX(M2+K4-K5-M5,0)</f>
        <v>6014</v>
      </c>
      <c r="N3" s="7" t="s">
        <v>12</v>
      </c>
      <c r="O3" s="15"/>
      <c r="Q3" s="16"/>
      <c r="AB3" s="106" t="s">
        <v>84</v>
      </c>
      <c r="AC3" s="107">
        <f>M2</f>
        <v>2000</v>
      </c>
      <c r="AD3" s="7" t="s">
        <v>8</v>
      </c>
      <c r="AF3" s="16"/>
      <c r="AH3" s="156"/>
      <c r="AI3" s="145"/>
      <c r="AK3" s="16"/>
    </row>
    <row r="4" spans="1:37" ht="21.75" customHeight="1" x14ac:dyDescent="0.25">
      <c r="A4" s="2"/>
      <c r="B4" s="2"/>
      <c r="C4" s="2"/>
      <c r="D4" s="2"/>
      <c r="E4" s="2"/>
      <c r="F4" s="2"/>
      <c r="G4" s="2"/>
      <c r="H4" s="3" t="s">
        <v>13</v>
      </c>
      <c r="I4" s="17">
        <f>SUMIFS(G8:G1007,E8:E1007,0,P8:P1007,"&lt;=0")+SUMIFS(G8:G1007,E8:E1007,"",P8:P1007,"&lt;=0")+SUMIFS(G8:G1007,E8:E1007,0,P8:P1007,"")+SUMIFS(G8:G1007,E8:E1007,"",P8:P1007,"")</f>
        <v>2400</v>
      </c>
      <c r="J4" s="18" t="s">
        <v>14</v>
      </c>
      <c r="K4" s="19">
        <f>ROUND(K3-K2,0)</f>
        <v>5412</v>
      </c>
      <c r="L4" s="3" t="s">
        <v>15</v>
      </c>
      <c r="M4" s="10">
        <f>MAX(-(M2+K4-K5-M5),0)</f>
        <v>0</v>
      </c>
      <c r="N4" s="7" t="s">
        <v>16</v>
      </c>
      <c r="O4" s="15"/>
      <c r="Q4" s="16"/>
      <c r="T4" s="16"/>
      <c r="AB4" s="106" t="s">
        <v>87</v>
      </c>
      <c r="AC4" s="152">
        <f>M2-SUM($AH$8:$AH$1007)</f>
        <v>1691</v>
      </c>
    </row>
    <row r="5" spans="1:37" ht="21.75" customHeight="1" x14ac:dyDescent="0.25">
      <c r="A5" s="2"/>
      <c r="B5" s="20">
        <f>SUM(B8:B1007)</f>
        <v>43</v>
      </c>
      <c r="C5" s="2"/>
      <c r="D5" s="20">
        <f>SUM(D8:D1007)</f>
        <v>436</v>
      </c>
      <c r="E5" s="2"/>
      <c r="F5" s="2"/>
      <c r="G5" s="2"/>
      <c r="H5" s="21"/>
      <c r="I5" s="21"/>
      <c r="J5" s="3" t="s">
        <v>17</v>
      </c>
      <c r="K5" s="129">
        <v>1398</v>
      </c>
      <c r="L5" s="3" t="s">
        <v>18</v>
      </c>
      <c r="M5" s="128">
        <v>0</v>
      </c>
      <c r="N5" s="2"/>
      <c r="O5" s="22">
        <f>K2-P5</f>
        <v>0</v>
      </c>
      <c r="P5" s="23">
        <f>SUM(P8:P1007)</f>
        <v>0</v>
      </c>
      <c r="Y5" s="100">
        <f>SUM(Y8:Y1007)</f>
        <v>5412</v>
      </c>
      <c r="Z5" s="81">
        <f>SUM(Z8:Z1007)</f>
        <v>5411.96</v>
      </c>
    </row>
    <row r="6" spans="1:37" s="24" customFormat="1" ht="21.75" customHeight="1" x14ac:dyDescent="0.25">
      <c r="A6" s="159" t="s">
        <v>19</v>
      </c>
      <c r="B6" s="159" t="s">
        <v>20</v>
      </c>
      <c r="C6" s="159"/>
      <c r="D6" s="159"/>
      <c r="E6" s="159"/>
      <c r="F6" s="159" t="s">
        <v>21</v>
      </c>
      <c r="G6" s="159"/>
      <c r="H6" s="159" t="s">
        <v>22</v>
      </c>
      <c r="I6" s="159"/>
      <c r="J6" s="159" t="s">
        <v>23</v>
      </c>
      <c r="K6" s="159"/>
      <c r="L6" s="159" t="s">
        <v>24</v>
      </c>
      <c r="M6" s="159"/>
      <c r="N6" s="159" t="s">
        <v>25</v>
      </c>
      <c r="O6" s="159"/>
      <c r="P6" s="159"/>
      <c r="Q6" s="159" t="s">
        <v>26</v>
      </c>
      <c r="R6" s="159"/>
      <c r="S6" s="159" t="s">
        <v>27</v>
      </c>
      <c r="T6" s="159"/>
      <c r="U6" s="159"/>
      <c r="V6" s="159"/>
      <c r="W6" s="159" t="s">
        <v>28</v>
      </c>
      <c r="X6" s="159" t="s">
        <v>29</v>
      </c>
      <c r="Y6" s="160" t="s">
        <v>30</v>
      </c>
      <c r="Z6" s="160" t="s">
        <v>77</v>
      </c>
      <c r="AB6" s="161" t="s">
        <v>88</v>
      </c>
      <c r="AC6" s="161"/>
      <c r="AD6" s="161"/>
      <c r="AE6" s="161"/>
      <c r="AF6" s="161"/>
      <c r="AG6" s="161"/>
      <c r="AH6" s="161"/>
      <c r="AI6" s="161"/>
      <c r="AJ6" s="161"/>
    </row>
    <row r="7" spans="1:37" ht="27.75" customHeight="1" x14ac:dyDescent="0.25">
      <c r="A7" s="159"/>
      <c r="B7" s="25" t="s">
        <v>31</v>
      </c>
      <c r="C7" s="25" t="s">
        <v>32</v>
      </c>
      <c r="D7" s="25" t="s">
        <v>33</v>
      </c>
      <c r="E7" s="25" t="s">
        <v>34</v>
      </c>
      <c r="F7" s="26" t="s">
        <v>35</v>
      </c>
      <c r="G7" s="26" t="s">
        <v>36</v>
      </c>
      <c r="H7" s="26" t="s">
        <v>37</v>
      </c>
      <c r="I7" s="27" t="s">
        <v>38</v>
      </c>
      <c r="J7" s="26" t="s">
        <v>37</v>
      </c>
      <c r="K7" s="27" t="s">
        <v>38</v>
      </c>
      <c r="L7" s="26" t="s">
        <v>39</v>
      </c>
      <c r="M7" s="28" t="s">
        <v>40</v>
      </c>
      <c r="N7" s="29" t="s">
        <v>41</v>
      </c>
      <c r="O7" s="26" t="s">
        <v>42</v>
      </c>
      <c r="P7" s="26" t="s">
        <v>43</v>
      </c>
      <c r="Q7" s="26" t="s">
        <v>44</v>
      </c>
      <c r="R7" s="26" t="s">
        <v>35</v>
      </c>
      <c r="S7" s="29" t="s">
        <v>45</v>
      </c>
      <c r="T7" s="26" t="s">
        <v>46</v>
      </c>
      <c r="U7" s="29" t="s">
        <v>47</v>
      </c>
      <c r="V7" s="26" t="s">
        <v>48</v>
      </c>
      <c r="W7" s="159"/>
      <c r="X7" s="159"/>
      <c r="Y7" s="159"/>
      <c r="Z7" s="159"/>
      <c r="AB7" s="109" t="s">
        <v>78</v>
      </c>
      <c r="AC7" s="109" t="s">
        <v>89</v>
      </c>
      <c r="AD7" s="109" t="s">
        <v>79</v>
      </c>
      <c r="AE7" s="109" t="s">
        <v>91</v>
      </c>
      <c r="AF7" s="109" t="s">
        <v>81</v>
      </c>
      <c r="AG7" s="109" t="s">
        <v>82</v>
      </c>
      <c r="AH7" s="109" t="s">
        <v>83</v>
      </c>
      <c r="AI7" s="109" t="s">
        <v>92</v>
      </c>
      <c r="AJ7" s="153" t="s">
        <v>95</v>
      </c>
    </row>
    <row r="8" spans="1:37" ht="21.75" customHeight="1" x14ac:dyDescent="0.25">
      <c r="A8" s="113" t="s">
        <v>50</v>
      </c>
      <c r="B8" s="115">
        <v>5</v>
      </c>
      <c r="C8" s="115">
        <v>10</v>
      </c>
      <c r="D8" s="30">
        <f t="shared" ref="D8:D71" si="0">IF(A8="","",B8*C8)</f>
        <v>50</v>
      </c>
      <c r="E8" s="31">
        <v>0</v>
      </c>
      <c r="F8" s="117">
        <v>80</v>
      </c>
      <c r="G8" s="33">
        <f t="shared" ref="G8:G71" si="1">IF(A8="","",F8*B8)</f>
        <v>400</v>
      </c>
      <c r="H8" s="117">
        <v>100</v>
      </c>
      <c r="I8" s="34">
        <f t="shared" ref="I8:I71" si="2">IF(OR(H8=0,C8=0,H8="",C8=""),"",H8/C8)</f>
        <v>10</v>
      </c>
      <c r="J8" s="117">
        <v>90</v>
      </c>
      <c r="K8" s="34">
        <f t="shared" ref="K8:K71" si="3">IF(OR(J8=0,C8=0,J8="",C8=""),"",J8/C8)</f>
        <v>9</v>
      </c>
      <c r="L8" s="117">
        <v>20</v>
      </c>
      <c r="M8" s="120" t="s">
        <v>50</v>
      </c>
      <c r="N8" s="122">
        <f t="shared" ref="N8:N71" si="4">IF(A8="","",IF(P8&gt;0,IF(G8&gt;0,P8/G8,0),IF(E8&gt;0,0,IF($I$3&gt;0,IF($I$4&gt;0,MAX($I$3-SUM($P$8:$P$1007),0)/$I$4,0),$I$2))))</f>
        <v>0</v>
      </c>
      <c r="O8" s="35">
        <f t="shared" ref="O8:O71" si="5">IF(A8="","",IF(P8&gt;0,P8,IF(E8&gt;0,0,G8*IF($I$3&gt;0,IF($I$4&gt;0,MAX($I$3-SUM($P$8:$P$1007),0)/$I$4,0),$I$2))))</f>
        <v>0</v>
      </c>
      <c r="P8" s="124"/>
      <c r="Q8" s="36">
        <f>IF(A8="","",IF(OR(B8=0,B8="",C8&lt;=0,D8+E8&lt;=0),"",(G8-O8)/(D8+E8)-IF(W8&gt;=0,W8/D8,0)+IF(ISNUMBER(X8),X8/(D8+E8),0)))</f>
        <v>8.0000591283010216</v>
      </c>
      <c r="R8" s="37">
        <f t="shared" ref="R8:R71" si="6">IF(OR(A8="",Q8=""),"",Q8*C8)</f>
        <v>80.000591283010209</v>
      </c>
      <c r="S8" s="38">
        <f t="shared" ref="S8:S71" si="7">IF(OR(A8="",H8&lt;=0,R8=""),"",(H8-R8)/H8)</f>
        <v>0.19999408716989792</v>
      </c>
      <c r="T8" s="39">
        <f t="shared" ref="T8:T71" si="8">IF(OR(H8=0,R8=0,H8="",R8=""),"",H8-R8)</f>
        <v>19.999408716989791</v>
      </c>
      <c r="U8" s="40">
        <f t="shared" ref="U8:U71" si="9">IF(OR(A8="",J8&lt;=0,R8=""),"",(J8-R8)/J8)</f>
        <v>0.11110454129988656</v>
      </c>
      <c r="V8" s="39">
        <f t="shared" ref="V8:V71" si="10">IF(OR(J8=0,R8=0,J8="",R8=""),"",J8-R8)</f>
        <v>9.9994087169897909</v>
      </c>
      <c r="W8" s="34">
        <f>IF(OR(G8="",G8=0,$M$5="",$K$3=0),"",($M$5/$K$3)*G8)</f>
        <v>0</v>
      </c>
      <c r="X8" s="41">
        <f t="shared" ref="X8:X72" si="11">IF(OR(G8="",G8=0,($K$3-$K$2)=0),"",($I$1/($K$3-$K$2))*(G8-O8))</f>
        <v>2.9564150511063362E-3</v>
      </c>
      <c r="Y8" s="98">
        <f>IF(OR(Q8=0,Q8="",D8=0,D8=""),"",Q8*(D8+E8))</f>
        <v>400.00295641505107</v>
      </c>
      <c r="Z8" s="16">
        <f>IF(OR(B8=0,B8=""),"",G8)</f>
        <v>400</v>
      </c>
      <c r="AB8" s="139">
        <v>0</v>
      </c>
      <c r="AC8" s="146">
        <f t="shared" ref="AC8:AC9" si="12">IF(AB8="","",Q8)</f>
        <v>8.0000591283010216</v>
      </c>
      <c r="AD8" s="148">
        <f>IF(OR(AB8="",AC8=""),"",AB8*AC8)</f>
        <v>0</v>
      </c>
      <c r="AE8" s="147">
        <f t="shared" ref="AE8:AE71" si="13">IF(AD8="","",AD8*$AC$1+IF(SUM($AD$8:$AD$1007)=0,0,$AC$2*AD8/SUM($AD$8:$AD$1007)))</f>
        <v>0</v>
      </c>
      <c r="AF8" s="111">
        <f t="shared" ref="AF8:AF71" si="14">IF(AD8="","",AD8-AE8)</f>
        <v>0</v>
      </c>
      <c r="AG8" s="111">
        <f t="shared" ref="AG8:AG71" si="15">IF(AF8="","",AH8-AF8)</f>
        <v>0</v>
      </c>
      <c r="AH8" s="112">
        <f t="shared" ref="AH8:AH71" si="16">IF(AF8="","",ROUND(AF8,0))</f>
        <v>0</v>
      </c>
      <c r="AI8" t="str">
        <f>IF(OR(AB8=0,AB8=""),"",AE8/AB8)</f>
        <v/>
      </c>
      <c r="AJ8" t="str">
        <f t="shared" ref="AJ8:AJ10" si="17">IF(OR(AB8=0,AB8=""),"",AC8*C8)</f>
        <v/>
      </c>
    </row>
    <row r="9" spans="1:37" ht="21.75" customHeight="1" x14ac:dyDescent="0.25">
      <c r="A9" s="113" t="s">
        <v>90</v>
      </c>
      <c r="B9" s="115">
        <v>10</v>
      </c>
      <c r="C9" s="115">
        <v>5</v>
      </c>
      <c r="D9" s="30">
        <f t="shared" si="0"/>
        <v>50</v>
      </c>
      <c r="E9" s="31">
        <v>0</v>
      </c>
      <c r="F9" s="117">
        <v>200</v>
      </c>
      <c r="G9" s="33">
        <f t="shared" si="1"/>
        <v>2000</v>
      </c>
      <c r="H9" s="117">
        <v>250</v>
      </c>
      <c r="I9" s="34">
        <f t="shared" si="2"/>
        <v>50</v>
      </c>
      <c r="J9" s="117">
        <v>230</v>
      </c>
      <c r="K9" s="34">
        <f t="shared" si="3"/>
        <v>46</v>
      </c>
      <c r="L9" s="117">
        <v>20</v>
      </c>
      <c r="M9" s="120" t="s">
        <v>52</v>
      </c>
      <c r="N9" s="122">
        <f t="shared" si="4"/>
        <v>0</v>
      </c>
      <c r="O9" s="35">
        <f t="shared" si="5"/>
        <v>0</v>
      </c>
      <c r="P9" s="124"/>
      <c r="Q9" s="36">
        <f t="shared" ref="Q9:Q72" si="18">IF(A9="","",IF(OR(B9=0,B9="",C9&lt;=0,D9+E9&lt;=0),"",(G9-O9)/(D9+E9)-IF(W9&gt;=0,W9/D9,0)+IF(ISNUMBER(X9),X9/(D9+E9),0)))</f>
        <v>40.000295641505112</v>
      </c>
      <c r="R9" s="37">
        <f t="shared" si="6"/>
        <v>200.00147820752557</v>
      </c>
      <c r="S9" s="38">
        <f t="shared" si="7"/>
        <v>0.19999408716989775</v>
      </c>
      <c r="T9" s="39">
        <f t="shared" si="8"/>
        <v>49.998521792474435</v>
      </c>
      <c r="U9" s="40">
        <f t="shared" si="9"/>
        <v>0.13042835561945407</v>
      </c>
      <c r="V9" s="39">
        <f t="shared" si="10"/>
        <v>29.998521792474435</v>
      </c>
      <c r="W9" s="34">
        <f t="shared" ref="W9:W71" si="19">IF(OR(G9="",G9=0,$M$5="",$K$3=0),"",($M$5/$K$3)*G9)</f>
        <v>0</v>
      </c>
      <c r="X9" s="41">
        <f t="shared" si="11"/>
        <v>1.4782075255531681E-2</v>
      </c>
      <c r="Y9" s="98">
        <f t="shared" ref="Y9:Y71" si="20">IF(OR(Q9=0,Q9="",D9=0,D9=""),"",Q9*(D9+E9))</f>
        <v>2000.0147820752557</v>
      </c>
      <c r="Z9" s="16">
        <f t="shared" ref="Z9:Z72" si="21">IF(OR(B9=0,B9=""),"",G9)</f>
        <v>2000</v>
      </c>
      <c r="AB9" s="139">
        <v>0</v>
      </c>
      <c r="AC9" s="146">
        <f t="shared" si="12"/>
        <v>40.000295641505112</v>
      </c>
      <c r="AD9" s="148">
        <f t="shared" ref="AD9:AD72" si="22">IF(OR(AB9="",AC9=""),"",AB9*AC9)</f>
        <v>0</v>
      </c>
      <c r="AE9" s="147">
        <f t="shared" si="13"/>
        <v>0</v>
      </c>
      <c r="AF9" s="111">
        <f t="shared" si="14"/>
        <v>0</v>
      </c>
      <c r="AG9" s="111">
        <f t="shared" si="15"/>
        <v>0</v>
      </c>
      <c r="AH9" s="112">
        <f t="shared" si="16"/>
        <v>0</v>
      </c>
      <c r="AI9" t="str">
        <f t="shared" ref="AI9:AI72" si="23">IF(OR(AB9=0,AB9=""),"",AE9/AB9)</f>
        <v/>
      </c>
      <c r="AJ9" t="str">
        <f t="shared" si="17"/>
        <v/>
      </c>
    </row>
    <row r="10" spans="1:37" ht="15" customHeight="1" x14ac:dyDescent="0.25">
      <c r="A10" s="113" t="s">
        <v>93</v>
      </c>
      <c r="B10" s="115">
        <v>15</v>
      </c>
      <c r="C10" s="115">
        <v>12</v>
      </c>
      <c r="D10" s="30">
        <f>IF(A10="","",B10*C10)</f>
        <v>180</v>
      </c>
      <c r="E10" s="31">
        <v>6</v>
      </c>
      <c r="F10" s="117">
        <v>107.57</v>
      </c>
      <c r="G10" s="33">
        <f t="shared" si="1"/>
        <v>1613.55</v>
      </c>
      <c r="H10" s="117">
        <v>135</v>
      </c>
      <c r="I10" s="34">
        <f t="shared" si="2"/>
        <v>11.25</v>
      </c>
      <c r="J10" s="117">
        <v>122</v>
      </c>
      <c r="K10" s="34">
        <f t="shared" si="3"/>
        <v>10.166666666666666</v>
      </c>
      <c r="L10" s="117">
        <v>20</v>
      </c>
      <c r="M10" s="120" t="s">
        <v>54</v>
      </c>
      <c r="N10" s="122">
        <f t="shared" si="4"/>
        <v>0</v>
      </c>
      <c r="O10" s="35">
        <f t="shared" si="5"/>
        <v>0</v>
      </c>
      <c r="P10" s="124"/>
      <c r="Q10" s="36">
        <f t="shared" si="18"/>
        <v>8.67506411725142</v>
      </c>
      <c r="R10" s="37">
        <f t="shared" si="6"/>
        <v>104.10076940701704</v>
      </c>
      <c r="S10" s="38">
        <f t="shared" si="7"/>
        <v>0.22888318957765155</v>
      </c>
      <c r="T10" s="39">
        <f t="shared" si="8"/>
        <v>30.89923059298296</v>
      </c>
      <c r="U10" s="40">
        <f t="shared" si="9"/>
        <v>0.14671500486051606</v>
      </c>
      <c r="V10" s="39">
        <f t="shared" si="10"/>
        <v>17.89923059298296</v>
      </c>
      <c r="W10" s="34">
        <f t="shared" si="19"/>
        <v>0</v>
      </c>
      <c r="X10" s="41">
        <f t="shared" si="11"/>
        <v>1.1925808764281572E-2</v>
      </c>
      <c r="Y10" s="98">
        <f t="shared" si="20"/>
        <v>1613.561925808764</v>
      </c>
      <c r="Z10" s="16">
        <f t="shared" si="21"/>
        <v>1613.55</v>
      </c>
      <c r="AB10" s="139">
        <v>37</v>
      </c>
      <c r="AC10" s="146">
        <f>IF(AB10="","",Q10)</f>
        <v>8.67506411725142</v>
      </c>
      <c r="AD10" s="154">
        <f>IF(OR(AB10="",AC10=""),"",AB10*AC10)</f>
        <v>320.97737233830253</v>
      </c>
      <c r="AE10" s="151">
        <f>IF(AD10="","",AD10*$AC$1+IF(SUM($AD$8:$AD$1007)=0,0,$AC$2*AD10/SUM($AD$8:$AD$1007)))</f>
        <v>11.555185404178891</v>
      </c>
      <c r="AF10" s="111">
        <f t="shared" si="14"/>
        <v>309.42218693412366</v>
      </c>
      <c r="AG10" s="111">
        <f t="shared" si="15"/>
        <v>-0.42218693412365838</v>
      </c>
      <c r="AH10" s="112">
        <f>IF(AF10="","",ROUND(AF10,0))</f>
        <v>309</v>
      </c>
      <c r="AI10">
        <f t="shared" si="23"/>
        <v>0.31230230822105109</v>
      </c>
      <c r="AJ10">
        <f t="shared" si="17"/>
        <v>104.10076940701704</v>
      </c>
    </row>
    <row r="11" spans="1:37" ht="15" customHeight="1" x14ac:dyDescent="0.25">
      <c r="A11" s="113" t="s">
        <v>96</v>
      </c>
      <c r="B11" s="116">
        <v>13</v>
      </c>
      <c r="C11" s="116">
        <v>12</v>
      </c>
      <c r="D11" s="42">
        <f t="shared" si="0"/>
        <v>156</v>
      </c>
      <c r="E11" s="43">
        <v>6</v>
      </c>
      <c r="F11" s="118">
        <v>107.57</v>
      </c>
      <c r="G11" s="44">
        <f t="shared" si="1"/>
        <v>1398.4099999999999</v>
      </c>
      <c r="H11" s="118">
        <v>135</v>
      </c>
      <c r="I11" s="34">
        <f t="shared" si="2"/>
        <v>11.25</v>
      </c>
      <c r="J11" s="118">
        <v>122</v>
      </c>
      <c r="K11" s="34">
        <f t="shared" si="3"/>
        <v>10.166666666666666</v>
      </c>
      <c r="L11" s="118"/>
      <c r="M11" s="120"/>
      <c r="N11" s="122">
        <f t="shared" si="4"/>
        <v>0</v>
      </c>
      <c r="O11" s="35">
        <f t="shared" si="5"/>
        <v>0</v>
      </c>
      <c r="P11" s="124"/>
      <c r="Q11" s="36">
        <f t="shared" si="18"/>
        <v>8.6322242944501788</v>
      </c>
      <c r="R11" s="46">
        <f t="shared" si="6"/>
        <v>103.58669153340215</v>
      </c>
      <c r="S11" s="38">
        <f t="shared" si="7"/>
        <v>0.23269117382665078</v>
      </c>
      <c r="T11" s="39">
        <f t="shared" si="8"/>
        <v>31.413308466597854</v>
      </c>
      <c r="U11" s="40">
        <f t="shared" si="9"/>
        <v>0.15092875792293323</v>
      </c>
      <c r="V11" s="39">
        <f t="shared" si="10"/>
        <v>18.413308466597854</v>
      </c>
      <c r="W11" s="34">
        <f t="shared" si="19"/>
        <v>0</v>
      </c>
      <c r="X11" s="41">
        <f t="shared" si="11"/>
        <v>1.0335700929044029E-2</v>
      </c>
      <c r="Y11" s="98">
        <f t="shared" si="20"/>
        <v>1398.4203357009289</v>
      </c>
      <c r="Z11" s="16">
        <f t="shared" si="21"/>
        <v>1398.4099999999999</v>
      </c>
      <c r="AB11" s="155">
        <v>0</v>
      </c>
      <c r="AC11" s="146">
        <f>IF(AB11="","",Q11)</f>
        <v>8.6322242944501788</v>
      </c>
      <c r="AD11" s="154">
        <f>IF(OR(AB11="",AC11=""),"",AB11*AC11)</f>
        <v>0</v>
      </c>
      <c r="AE11" s="147">
        <f>IF(AD11="","",AD11*$AC$1+IF(SUM($AD$8:$AD$1007)=0,0,$AC$2*AD11/SUM($AD$8:$AD$1007)))</f>
        <v>0</v>
      </c>
      <c r="AF11" s="111">
        <f t="shared" si="14"/>
        <v>0</v>
      </c>
      <c r="AG11" s="111">
        <f t="shared" si="15"/>
        <v>0</v>
      </c>
      <c r="AH11" s="112">
        <f t="shared" si="16"/>
        <v>0</v>
      </c>
      <c r="AI11" t="str">
        <f>IF(OR(AB11=0,AB11=""),"",AE11/AB11)</f>
        <v/>
      </c>
      <c r="AJ11" t="str">
        <f>IF(OR(AB11=0,AB11=""),"",AC11*C11)</f>
        <v/>
      </c>
    </row>
    <row r="12" spans="1:37" ht="15" customHeight="1" x14ac:dyDescent="0.25">
      <c r="A12" s="113"/>
      <c r="B12" s="116"/>
      <c r="C12" s="116"/>
      <c r="D12" s="42" t="str">
        <f t="shared" si="0"/>
        <v/>
      </c>
      <c r="E12" s="43"/>
      <c r="F12" s="118"/>
      <c r="G12" s="44" t="str">
        <f t="shared" si="1"/>
        <v/>
      </c>
      <c r="H12" s="118"/>
      <c r="I12" s="34" t="str">
        <f t="shared" si="2"/>
        <v/>
      </c>
      <c r="J12" s="118"/>
      <c r="K12" s="34" t="str">
        <f t="shared" si="3"/>
        <v/>
      </c>
      <c r="L12" s="118"/>
      <c r="M12" s="121"/>
      <c r="N12" s="122" t="str">
        <f t="shared" si="4"/>
        <v/>
      </c>
      <c r="O12" s="35" t="str">
        <f t="shared" si="5"/>
        <v/>
      </c>
      <c r="P12" s="124"/>
      <c r="Q12" s="36" t="str">
        <f t="shared" si="18"/>
        <v/>
      </c>
      <c r="R12" s="46" t="str">
        <f t="shared" si="6"/>
        <v/>
      </c>
      <c r="S12" s="38" t="str">
        <f t="shared" si="7"/>
        <v/>
      </c>
      <c r="T12" s="39" t="str">
        <f t="shared" si="8"/>
        <v/>
      </c>
      <c r="U12" s="40" t="str">
        <f t="shared" si="9"/>
        <v/>
      </c>
      <c r="V12" s="39" t="str">
        <f t="shared" si="10"/>
        <v/>
      </c>
      <c r="W12" s="34" t="str">
        <f t="shared" si="19"/>
        <v/>
      </c>
      <c r="X12" s="41" t="str">
        <f t="shared" si="11"/>
        <v/>
      </c>
      <c r="Y12" s="98" t="str">
        <f t="shared" si="20"/>
        <v/>
      </c>
      <c r="Z12" s="16" t="str">
        <f t="shared" si="21"/>
        <v/>
      </c>
      <c r="AB12" s="139"/>
      <c r="AC12" s="146" t="str">
        <f t="shared" ref="AC12:AC75" si="24">IF(AB12="","",Q12)</f>
        <v/>
      </c>
      <c r="AD12" s="148" t="str">
        <f t="shared" si="22"/>
        <v/>
      </c>
      <c r="AE12" s="147" t="str">
        <f t="shared" si="13"/>
        <v/>
      </c>
      <c r="AF12" s="111" t="str">
        <f t="shared" si="14"/>
        <v/>
      </c>
      <c r="AG12" s="111" t="str">
        <f t="shared" si="15"/>
        <v/>
      </c>
      <c r="AH12" s="112" t="str">
        <f t="shared" si="16"/>
        <v/>
      </c>
      <c r="AI12" t="str">
        <f t="shared" si="23"/>
        <v/>
      </c>
      <c r="AJ12" t="str">
        <f t="shared" ref="AJ12:AJ75" si="25">IF(OR(AB12=0,AB12=""),"",AC12*C12)</f>
        <v/>
      </c>
    </row>
    <row r="13" spans="1:37" ht="15" customHeight="1" x14ac:dyDescent="0.25">
      <c r="A13" s="113"/>
      <c r="B13" s="116"/>
      <c r="C13" s="116"/>
      <c r="D13" s="42" t="str">
        <f t="shared" si="0"/>
        <v/>
      </c>
      <c r="E13" s="43"/>
      <c r="F13" s="118"/>
      <c r="G13" s="44" t="str">
        <f t="shared" si="1"/>
        <v/>
      </c>
      <c r="H13" s="118"/>
      <c r="I13" s="34" t="str">
        <f t="shared" si="2"/>
        <v/>
      </c>
      <c r="J13" s="118"/>
      <c r="K13" s="34" t="str">
        <f t="shared" si="3"/>
        <v/>
      </c>
      <c r="L13" s="118"/>
      <c r="M13" s="121"/>
      <c r="N13" s="122" t="str">
        <f t="shared" si="4"/>
        <v/>
      </c>
      <c r="O13" s="35" t="str">
        <f t="shared" si="5"/>
        <v/>
      </c>
      <c r="P13" s="124"/>
      <c r="Q13" s="36" t="str">
        <f t="shared" si="18"/>
        <v/>
      </c>
      <c r="R13" s="46" t="str">
        <f t="shared" si="6"/>
        <v/>
      </c>
      <c r="S13" s="38" t="str">
        <f t="shared" si="7"/>
        <v/>
      </c>
      <c r="T13" s="39" t="str">
        <f t="shared" si="8"/>
        <v/>
      </c>
      <c r="U13" s="40" t="str">
        <f t="shared" si="9"/>
        <v/>
      </c>
      <c r="V13" s="39" t="str">
        <f t="shared" si="10"/>
        <v/>
      </c>
      <c r="W13" s="34" t="str">
        <f t="shared" si="19"/>
        <v/>
      </c>
      <c r="X13" s="41" t="str">
        <f t="shared" si="11"/>
        <v/>
      </c>
      <c r="Y13" s="98" t="str">
        <f t="shared" si="20"/>
        <v/>
      </c>
      <c r="Z13" s="16" t="str">
        <f t="shared" si="21"/>
        <v/>
      </c>
      <c r="AB13" s="139"/>
      <c r="AC13" s="146" t="str">
        <f t="shared" si="24"/>
        <v/>
      </c>
      <c r="AD13" s="148" t="str">
        <f t="shared" si="22"/>
        <v/>
      </c>
      <c r="AE13" s="147" t="str">
        <f t="shared" si="13"/>
        <v/>
      </c>
      <c r="AF13" s="111" t="str">
        <f t="shared" si="14"/>
        <v/>
      </c>
      <c r="AG13" s="111" t="str">
        <f t="shared" si="15"/>
        <v/>
      </c>
      <c r="AH13" s="112" t="str">
        <f t="shared" si="16"/>
        <v/>
      </c>
      <c r="AI13" t="str">
        <f t="shared" si="23"/>
        <v/>
      </c>
      <c r="AJ13" t="str">
        <f t="shared" si="25"/>
        <v/>
      </c>
    </row>
    <row r="14" spans="1:37" ht="15" customHeight="1" x14ac:dyDescent="0.25">
      <c r="A14" s="114"/>
      <c r="B14" s="116"/>
      <c r="C14" s="116"/>
      <c r="D14" s="42" t="str">
        <f t="shared" si="0"/>
        <v/>
      </c>
      <c r="E14" s="43"/>
      <c r="F14" s="118"/>
      <c r="G14" s="44" t="str">
        <f t="shared" si="1"/>
        <v/>
      </c>
      <c r="H14" s="118"/>
      <c r="I14" s="34" t="str">
        <f t="shared" si="2"/>
        <v/>
      </c>
      <c r="J14" s="118"/>
      <c r="K14" s="34" t="str">
        <f t="shared" si="3"/>
        <v/>
      </c>
      <c r="L14" s="118"/>
      <c r="M14" s="121"/>
      <c r="N14" s="122" t="str">
        <f t="shared" si="4"/>
        <v/>
      </c>
      <c r="O14" s="35" t="str">
        <f t="shared" si="5"/>
        <v/>
      </c>
      <c r="P14" s="124"/>
      <c r="Q14" s="36" t="str">
        <f t="shared" si="18"/>
        <v/>
      </c>
      <c r="R14" s="46" t="str">
        <f t="shared" si="6"/>
        <v/>
      </c>
      <c r="S14" s="38" t="str">
        <f t="shared" si="7"/>
        <v/>
      </c>
      <c r="T14" s="39" t="str">
        <f t="shared" si="8"/>
        <v/>
      </c>
      <c r="U14" s="40" t="str">
        <f t="shared" si="9"/>
        <v/>
      </c>
      <c r="V14" s="39" t="str">
        <f t="shared" si="10"/>
        <v/>
      </c>
      <c r="W14" s="34" t="str">
        <f t="shared" si="19"/>
        <v/>
      </c>
      <c r="X14" s="41" t="str">
        <f t="shared" si="11"/>
        <v/>
      </c>
      <c r="Y14" s="98" t="str">
        <f t="shared" si="20"/>
        <v/>
      </c>
      <c r="Z14" s="16" t="str">
        <f t="shared" si="21"/>
        <v/>
      </c>
      <c r="AB14" s="139"/>
      <c r="AC14" s="146" t="str">
        <f t="shared" si="24"/>
        <v/>
      </c>
      <c r="AD14" s="148" t="str">
        <f t="shared" si="22"/>
        <v/>
      </c>
      <c r="AE14" s="147" t="str">
        <f t="shared" si="13"/>
        <v/>
      </c>
      <c r="AF14" s="111" t="str">
        <f t="shared" si="14"/>
        <v/>
      </c>
      <c r="AG14" s="111" t="str">
        <f t="shared" si="15"/>
        <v/>
      </c>
      <c r="AH14" s="112" t="str">
        <f t="shared" si="16"/>
        <v/>
      </c>
      <c r="AI14" s="149" t="s">
        <v>94</v>
      </c>
      <c r="AJ14" t="str">
        <f t="shared" si="25"/>
        <v/>
      </c>
    </row>
    <row r="15" spans="1:37" ht="15" customHeight="1" x14ac:dyDescent="0.25">
      <c r="A15" s="114"/>
      <c r="B15" s="116"/>
      <c r="C15" s="116"/>
      <c r="D15" s="42" t="str">
        <f t="shared" si="0"/>
        <v/>
      </c>
      <c r="E15" s="43"/>
      <c r="F15" s="119"/>
      <c r="G15" s="44" t="str">
        <f t="shared" si="1"/>
        <v/>
      </c>
      <c r="H15" s="118"/>
      <c r="I15" s="34" t="str">
        <f t="shared" si="2"/>
        <v/>
      </c>
      <c r="J15" s="118"/>
      <c r="K15" s="34" t="str">
        <f t="shared" si="3"/>
        <v/>
      </c>
      <c r="L15" s="118"/>
      <c r="M15" s="121"/>
      <c r="N15" s="122" t="str">
        <f t="shared" si="4"/>
        <v/>
      </c>
      <c r="O15" s="35" t="str">
        <f t="shared" si="5"/>
        <v/>
      </c>
      <c r="P15" s="124"/>
      <c r="Q15" s="36" t="str">
        <f t="shared" si="18"/>
        <v/>
      </c>
      <c r="R15" s="46" t="str">
        <f t="shared" si="6"/>
        <v/>
      </c>
      <c r="S15" s="38" t="str">
        <f t="shared" si="7"/>
        <v/>
      </c>
      <c r="T15" s="39" t="str">
        <f t="shared" si="8"/>
        <v/>
      </c>
      <c r="U15" s="40" t="str">
        <f t="shared" si="9"/>
        <v/>
      </c>
      <c r="V15" s="39" t="str">
        <f t="shared" si="10"/>
        <v/>
      </c>
      <c r="W15" s="34" t="str">
        <f t="shared" si="19"/>
        <v/>
      </c>
      <c r="X15" s="41" t="str">
        <f t="shared" si="11"/>
        <v/>
      </c>
      <c r="Y15" s="98" t="str">
        <f t="shared" si="20"/>
        <v/>
      </c>
      <c r="Z15" s="16" t="str">
        <f t="shared" si="21"/>
        <v/>
      </c>
      <c r="AB15" s="139"/>
      <c r="AC15" s="146" t="str">
        <f t="shared" si="24"/>
        <v/>
      </c>
      <c r="AD15" s="148" t="str">
        <f t="shared" si="22"/>
        <v/>
      </c>
      <c r="AE15" s="147" t="str">
        <f t="shared" si="13"/>
        <v/>
      </c>
      <c r="AF15" s="111" t="str">
        <f t="shared" si="14"/>
        <v/>
      </c>
      <c r="AG15" s="111" t="str">
        <f t="shared" si="15"/>
        <v/>
      </c>
      <c r="AH15" s="112" t="str">
        <f t="shared" si="16"/>
        <v/>
      </c>
      <c r="AI15" t="str">
        <f t="shared" si="23"/>
        <v/>
      </c>
      <c r="AJ15" t="str">
        <f t="shared" si="25"/>
        <v/>
      </c>
    </row>
    <row r="16" spans="1:37" ht="15" customHeight="1" x14ac:dyDescent="0.25">
      <c r="A16" s="114"/>
      <c r="B16" s="116"/>
      <c r="C16" s="116"/>
      <c r="D16" s="42" t="str">
        <f t="shared" si="0"/>
        <v/>
      </c>
      <c r="E16" s="43"/>
      <c r="F16" s="118"/>
      <c r="G16" s="44" t="str">
        <f t="shared" si="1"/>
        <v/>
      </c>
      <c r="H16" s="118"/>
      <c r="I16" s="34" t="str">
        <f t="shared" si="2"/>
        <v/>
      </c>
      <c r="J16" s="118"/>
      <c r="K16" s="34" t="str">
        <f t="shared" si="3"/>
        <v/>
      </c>
      <c r="L16" s="118"/>
      <c r="M16" s="121"/>
      <c r="N16" s="122" t="str">
        <f t="shared" si="4"/>
        <v/>
      </c>
      <c r="O16" s="35" t="str">
        <f t="shared" si="5"/>
        <v/>
      </c>
      <c r="P16" s="124"/>
      <c r="Q16" s="36" t="str">
        <f t="shared" si="18"/>
        <v/>
      </c>
      <c r="R16" s="46" t="str">
        <f t="shared" si="6"/>
        <v/>
      </c>
      <c r="S16" s="38" t="str">
        <f t="shared" si="7"/>
        <v/>
      </c>
      <c r="T16" s="39" t="str">
        <f t="shared" si="8"/>
        <v/>
      </c>
      <c r="U16" s="40" t="str">
        <f t="shared" si="9"/>
        <v/>
      </c>
      <c r="V16" s="39" t="str">
        <f t="shared" si="10"/>
        <v/>
      </c>
      <c r="W16" s="34" t="str">
        <f t="shared" si="19"/>
        <v/>
      </c>
      <c r="X16" s="41" t="str">
        <f t="shared" si="11"/>
        <v/>
      </c>
      <c r="Y16" s="98" t="str">
        <f t="shared" si="20"/>
        <v/>
      </c>
      <c r="Z16" s="16" t="str">
        <f t="shared" si="21"/>
        <v/>
      </c>
      <c r="AB16" s="139"/>
      <c r="AC16" s="146" t="str">
        <f t="shared" si="24"/>
        <v/>
      </c>
      <c r="AD16" s="148" t="str">
        <f t="shared" si="22"/>
        <v/>
      </c>
      <c r="AE16" s="147" t="str">
        <f t="shared" si="13"/>
        <v/>
      </c>
      <c r="AF16" s="111" t="str">
        <f t="shared" si="14"/>
        <v/>
      </c>
      <c r="AG16" s="111" t="str">
        <f t="shared" si="15"/>
        <v/>
      </c>
      <c r="AH16" s="112" t="str">
        <f t="shared" si="16"/>
        <v/>
      </c>
      <c r="AI16" t="str">
        <f t="shared" si="23"/>
        <v/>
      </c>
      <c r="AJ16" t="str">
        <f t="shared" si="25"/>
        <v/>
      </c>
    </row>
    <row r="17" spans="1:36" ht="15" customHeight="1" x14ac:dyDescent="0.25">
      <c r="A17" s="114"/>
      <c r="B17" s="116"/>
      <c r="C17" s="116"/>
      <c r="D17" s="42" t="str">
        <f t="shared" si="0"/>
        <v/>
      </c>
      <c r="E17" s="43"/>
      <c r="F17" s="118"/>
      <c r="G17" s="44" t="str">
        <f t="shared" si="1"/>
        <v/>
      </c>
      <c r="H17" s="118"/>
      <c r="I17" s="34" t="str">
        <f t="shared" si="2"/>
        <v/>
      </c>
      <c r="J17" s="118"/>
      <c r="K17" s="34" t="str">
        <f t="shared" si="3"/>
        <v/>
      </c>
      <c r="L17" s="118"/>
      <c r="M17" s="121"/>
      <c r="N17" s="122" t="str">
        <f t="shared" si="4"/>
        <v/>
      </c>
      <c r="O17" s="35" t="str">
        <f t="shared" si="5"/>
        <v/>
      </c>
      <c r="P17" s="124"/>
      <c r="Q17" s="36" t="str">
        <f t="shared" si="18"/>
        <v/>
      </c>
      <c r="R17" s="46" t="str">
        <f t="shared" si="6"/>
        <v/>
      </c>
      <c r="S17" s="38" t="str">
        <f t="shared" si="7"/>
        <v/>
      </c>
      <c r="T17" s="39" t="str">
        <f t="shared" si="8"/>
        <v/>
      </c>
      <c r="U17" s="40" t="str">
        <f t="shared" si="9"/>
        <v/>
      </c>
      <c r="V17" s="39" t="str">
        <f t="shared" si="10"/>
        <v/>
      </c>
      <c r="W17" s="34" t="str">
        <f t="shared" si="19"/>
        <v/>
      </c>
      <c r="X17" s="41" t="str">
        <f t="shared" si="11"/>
        <v/>
      </c>
      <c r="Y17" s="98" t="str">
        <f t="shared" si="20"/>
        <v/>
      </c>
      <c r="Z17" s="16" t="str">
        <f t="shared" si="21"/>
        <v/>
      </c>
      <c r="AB17" s="139"/>
      <c r="AC17" s="146" t="str">
        <f t="shared" si="24"/>
        <v/>
      </c>
      <c r="AD17" s="148" t="str">
        <f t="shared" si="22"/>
        <v/>
      </c>
      <c r="AE17" s="147" t="str">
        <f t="shared" si="13"/>
        <v/>
      </c>
      <c r="AF17" s="111" t="str">
        <f t="shared" si="14"/>
        <v/>
      </c>
      <c r="AG17" s="111" t="str">
        <f t="shared" si="15"/>
        <v/>
      </c>
      <c r="AH17" s="112" t="str">
        <f t="shared" si="16"/>
        <v/>
      </c>
      <c r="AI17" t="str">
        <f t="shared" si="23"/>
        <v/>
      </c>
      <c r="AJ17" t="str">
        <f t="shared" si="25"/>
        <v/>
      </c>
    </row>
    <row r="18" spans="1:36" ht="15" customHeight="1" x14ac:dyDescent="0.25">
      <c r="A18" s="114"/>
      <c r="B18" s="116"/>
      <c r="C18" s="116"/>
      <c r="D18" s="42" t="str">
        <f t="shared" si="0"/>
        <v/>
      </c>
      <c r="E18" s="43"/>
      <c r="F18" s="118"/>
      <c r="G18" s="44" t="str">
        <f t="shared" si="1"/>
        <v/>
      </c>
      <c r="H18" s="118"/>
      <c r="I18" s="34" t="str">
        <f t="shared" si="2"/>
        <v/>
      </c>
      <c r="J18" s="118"/>
      <c r="K18" s="34" t="str">
        <f t="shared" si="3"/>
        <v/>
      </c>
      <c r="L18" s="118"/>
      <c r="M18" s="121"/>
      <c r="N18" s="122" t="str">
        <f t="shared" si="4"/>
        <v/>
      </c>
      <c r="O18" s="35" t="str">
        <f t="shared" si="5"/>
        <v/>
      </c>
      <c r="P18" s="124"/>
      <c r="Q18" s="36" t="str">
        <f t="shared" si="18"/>
        <v/>
      </c>
      <c r="R18" s="46" t="str">
        <f t="shared" si="6"/>
        <v/>
      </c>
      <c r="S18" s="38" t="str">
        <f t="shared" si="7"/>
        <v/>
      </c>
      <c r="T18" s="39" t="str">
        <f t="shared" si="8"/>
        <v/>
      </c>
      <c r="U18" s="40" t="str">
        <f t="shared" si="9"/>
        <v/>
      </c>
      <c r="V18" s="39" t="str">
        <f t="shared" si="10"/>
        <v/>
      </c>
      <c r="W18" s="34" t="str">
        <f t="shared" si="19"/>
        <v/>
      </c>
      <c r="X18" s="41" t="str">
        <f t="shared" si="11"/>
        <v/>
      </c>
      <c r="Y18" s="98" t="str">
        <f t="shared" si="20"/>
        <v/>
      </c>
      <c r="Z18" s="16" t="str">
        <f t="shared" si="21"/>
        <v/>
      </c>
      <c r="AB18" s="139"/>
      <c r="AC18" s="146" t="str">
        <f t="shared" si="24"/>
        <v/>
      </c>
      <c r="AD18" s="148" t="str">
        <f t="shared" si="22"/>
        <v/>
      </c>
      <c r="AE18" s="147" t="str">
        <f t="shared" si="13"/>
        <v/>
      </c>
      <c r="AF18" s="111" t="str">
        <f t="shared" si="14"/>
        <v/>
      </c>
      <c r="AG18" s="111" t="str">
        <f t="shared" si="15"/>
        <v/>
      </c>
      <c r="AH18" s="112" t="str">
        <f t="shared" si="16"/>
        <v/>
      </c>
      <c r="AI18" t="str">
        <f t="shared" si="23"/>
        <v/>
      </c>
      <c r="AJ18" t="str">
        <f t="shared" si="25"/>
        <v/>
      </c>
    </row>
    <row r="19" spans="1:36" ht="15" customHeight="1" x14ac:dyDescent="0.25">
      <c r="A19" s="114"/>
      <c r="B19" s="116"/>
      <c r="C19" s="116"/>
      <c r="D19" s="42" t="str">
        <f t="shared" si="0"/>
        <v/>
      </c>
      <c r="E19" s="43"/>
      <c r="F19" s="118"/>
      <c r="G19" s="44" t="str">
        <f t="shared" si="1"/>
        <v/>
      </c>
      <c r="H19" s="118"/>
      <c r="I19" s="34" t="str">
        <f t="shared" si="2"/>
        <v/>
      </c>
      <c r="J19" s="118"/>
      <c r="K19" s="34" t="str">
        <f t="shared" si="3"/>
        <v/>
      </c>
      <c r="L19" s="118"/>
      <c r="M19" s="121"/>
      <c r="N19" s="122" t="str">
        <f t="shared" si="4"/>
        <v/>
      </c>
      <c r="O19" s="35" t="str">
        <f t="shared" si="5"/>
        <v/>
      </c>
      <c r="P19" s="124"/>
      <c r="Q19" s="36" t="str">
        <f t="shared" si="18"/>
        <v/>
      </c>
      <c r="R19" s="46" t="str">
        <f t="shared" si="6"/>
        <v/>
      </c>
      <c r="S19" s="38" t="str">
        <f t="shared" si="7"/>
        <v/>
      </c>
      <c r="T19" s="39" t="str">
        <f t="shared" si="8"/>
        <v/>
      </c>
      <c r="U19" s="40" t="str">
        <f t="shared" si="9"/>
        <v/>
      </c>
      <c r="V19" s="39" t="str">
        <f t="shared" si="10"/>
        <v/>
      </c>
      <c r="W19" s="34" t="str">
        <f t="shared" si="19"/>
        <v/>
      </c>
      <c r="X19" s="41" t="str">
        <f t="shared" si="11"/>
        <v/>
      </c>
      <c r="Y19" s="98" t="str">
        <f t="shared" si="20"/>
        <v/>
      </c>
      <c r="Z19" s="16" t="str">
        <f t="shared" si="21"/>
        <v/>
      </c>
      <c r="AB19" s="139"/>
      <c r="AC19" s="146" t="str">
        <f t="shared" si="24"/>
        <v/>
      </c>
      <c r="AD19" s="148" t="str">
        <f t="shared" si="22"/>
        <v/>
      </c>
      <c r="AE19" s="147" t="str">
        <f t="shared" si="13"/>
        <v/>
      </c>
      <c r="AF19" s="111" t="str">
        <f t="shared" si="14"/>
        <v/>
      </c>
      <c r="AG19" s="111" t="str">
        <f t="shared" si="15"/>
        <v/>
      </c>
      <c r="AH19" s="112" t="str">
        <f t="shared" si="16"/>
        <v/>
      </c>
      <c r="AI19" t="str">
        <f t="shared" si="23"/>
        <v/>
      </c>
      <c r="AJ19" t="str">
        <f t="shared" si="25"/>
        <v/>
      </c>
    </row>
    <row r="20" spans="1:36" ht="15" customHeight="1" x14ac:dyDescent="0.25">
      <c r="A20" s="114"/>
      <c r="B20" s="116"/>
      <c r="C20" s="116"/>
      <c r="D20" s="42" t="str">
        <f t="shared" si="0"/>
        <v/>
      </c>
      <c r="E20" s="43"/>
      <c r="F20" s="118"/>
      <c r="G20" s="44" t="str">
        <f t="shared" si="1"/>
        <v/>
      </c>
      <c r="H20" s="118"/>
      <c r="I20" s="34" t="str">
        <f t="shared" si="2"/>
        <v/>
      </c>
      <c r="J20" s="118"/>
      <c r="K20" s="34" t="str">
        <f t="shared" si="3"/>
        <v/>
      </c>
      <c r="L20" s="118"/>
      <c r="M20" s="121"/>
      <c r="N20" s="122" t="str">
        <f t="shared" si="4"/>
        <v/>
      </c>
      <c r="O20" s="35" t="str">
        <f t="shared" si="5"/>
        <v/>
      </c>
      <c r="P20" s="124"/>
      <c r="Q20" s="36" t="str">
        <f t="shared" si="18"/>
        <v/>
      </c>
      <c r="R20" s="46" t="str">
        <f t="shared" si="6"/>
        <v/>
      </c>
      <c r="S20" s="38" t="str">
        <f t="shared" si="7"/>
        <v/>
      </c>
      <c r="T20" s="39" t="str">
        <f t="shared" si="8"/>
        <v/>
      </c>
      <c r="U20" s="40" t="str">
        <f t="shared" si="9"/>
        <v/>
      </c>
      <c r="V20" s="39" t="str">
        <f t="shared" si="10"/>
        <v/>
      </c>
      <c r="W20" s="34" t="str">
        <f t="shared" si="19"/>
        <v/>
      </c>
      <c r="X20" s="41" t="str">
        <f t="shared" si="11"/>
        <v/>
      </c>
      <c r="Y20" s="98" t="str">
        <f t="shared" si="20"/>
        <v/>
      </c>
      <c r="Z20" s="16" t="str">
        <f t="shared" si="21"/>
        <v/>
      </c>
      <c r="AB20" s="139"/>
      <c r="AC20" s="146" t="str">
        <f t="shared" si="24"/>
        <v/>
      </c>
      <c r="AD20" s="148" t="str">
        <f t="shared" si="22"/>
        <v/>
      </c>
      <c r="AE20" s="147" t="str">
        <f t="shared" si="13"/>
        <v/>
      </c>
      <c r="AF20" s="111" t="str">
        <f t="shared" si="14"/>
        <v/>
      </c>
      <c r="AG20" s="111" t="str">
        <f t="shared" si="15"/>
        <v/>
      </c>
      <c r="AH20" s="112" t="str">
        <f t="shared" si="16"/>
        <v/>
      </c>
      <c r="AI20" t="str">
        <f t="shared" si="23"/>
        <v/>
      </c>
      <c r="AJ20" t="str">
        <f t="shared" si="25"/>
        <v/>
      </c>
    </row>
    <row r="21" spans="1:36" ht="15" customHeight="1" x14ac:dyDescent="0.25">
      <c r="A21" s="114"/>
      <c r="B21" s="116"/>
      <c r="C21" s="116"/>
      <c r="D21" s="42" t="str">
        <f t="shared" si="0"/>
        <v/>
      </c>
      <c r="E21" s="43"/>
      <c r="F21" s="118"/>
      <c r="G21" s="44" t="str">
        <f t="shared" si="1"/>
        <v/>
      </c>
      <c r="H21" s="118"/>
      <c r="I21" s="34" t="str">
        <f t="shared" si="2"/>
        <v/>
      </c>
      <c r="J21" s="118"/>
      <c r="K21" s="34" t="str">
        <f t="shared" si="3"/>
        <v/>
      </c>
      <c r="L21" s="118"/>
      <c r="M21" s="121"/>
      <c r="N21" s="122" t="str">
        <f t="shared" si="4"/>
        <v/>
      </c>
      <c r="O21" s="35" t="str">
        <f t="shared" si="5"/>
        <v/>
      </c>
      <c r="P21" s="124"/>
      <c r="Q21" s="36" t="str">
        <f t="shared" si="18"/>
        <v/>
      </c>
      <c r="R21" s="46" t="str">
        <f t="shared" si="6"/>
        <v/>
      </c>
      <c r="S21" s="38" t="str">
        <f t="shared" si="7"/>
        <v/>
      </c>
      <c r="T21" s="39" t="str">
        <f t="shared" si="8"/>
        <v/>
      </c>
      <c r="U21" s="40" t="str">
        <f t="shared" si="9"/>
        <v/>
      </c>
      <c r="V21" s="39" t="str">
        <f t="shared" si="10"/>
        <v/>
      </c>
      <c r="W21" s="34" t="str">
        <f t="shared" si="19"/>
        <v/>
      </c>
      <c r="X21" s="41" t="str">
        <f t="shared" si="11"/>
        <v/>
      </c>
      <c r="Y21" s="98" t="str">
        <f t="shared" si="20"/>
        <v/>
      </c>
      <c r="Z21" s="16" t="str">
        <f t="shared" si="21"/>
        <v/>
      </c>
      <c r="AB21" s="139"/>
      <c r="AC21" s="146" t="str">
        <f t="shared" si="24"/>
        <v/>
      </c>
      <c r="AD21" s="148" t="str">
        <f t="shared" si="22"/>
        <v/>
      </c>
      <c r="AE21" s="147" t="str">
        <f t="shared" si="13"/>
        <v/>
      </c>
      <c r="AF21" s="111" t="str">
        <f t="shared" si="14"/>
        <v/>
      </c>
      <c r="AG21" s="111" t="str">
        <f t="shared" si="15"/>
        <v/>
      </c>
      <c r="AH21" s="112" t="str">
        <f t="shared" si="16"/>
        <v/>
      </c>
      <c r="AI21" t="str">
        <f t="shared" si="23"/>
        <v/>
      </c>
      <c r="AJ21" t="str">
        <f t="shared" si="25"/>
        <v/>
      </c>
    </row>
    <row r="22" spans="1:36" ht="15" customHeight="1" x14ac:dyDescent="0.25">
      <c r="A22" s="114"/>
      <c r="B22" s="116"/>
      <c r="C22" s="116"/>
      <c r="D22" s="42" t="str">
        <f t="shared" si="0"/>
        <v/>
      </c>
      <c r="E22" s="43"/>
      <c r="F22" s="118"/>
      <c r="G22" s="44" t="str">
        <f t="shared" si="1"/>
        <v/>
      </c>
      <c r="H22" s="118"/>
      <c r="I22" s="34" t="str">
        <f t="shared" si="2"/>
        <v/>
      </c>
      <c r="J22" s="118"/>
      <c r="K22" s="34" t="str">
        <f t="shared" si="3"/>
        <v/>
      </c>
      <c r="L22" s="118"/>
      <c r="M22" s="121"/>
      <c r="N22" s="122" t="str">
        <f t="shared" si="4"/>
        <v/>
      </c>
      <c r="O22" s="35" t="str">
        <f t="shared" si="5"/>
        <v/>
      </c>
      <c r="P22" s="124"/>
      <c r="Q22" s="36" t="str">
        <f t="shared" si="18"/>
        <v/>
      </c>
      <c r="R22" s="46" t="str">
        <f t="shared" si="6"/>
        <v/>
      </c>
      <c r="S22" s="38" t="str">
        <f t="shared" si="7"/>
        <v/>
      </c>
      <c r="T22" s="39" t="str">
        <f t="shared" si="8"/>
        <v/>
      </c>
      <c r="U22" s="40" t="str">
        <f t="shared" si="9"/>
        <v/>
      </c>
      <c r="V22" s="39" t="str">
        <f t="shared" si="10"/>
        <v/>
      </c>
      <c r="W22" s="34" t="str">
        <f t="shared" si="19"/>
        <v/>
      </c>
      <c r="X22" s="41" t="str">
        <f t="shared" si="11"/>
        <v/>
      </c>
      <c r="Y22" s="98" t="str">
        <f t="shared" si="20"/>
        <v/>
      </c>
      <c r="Z22" s="16" t="str">
        <f t="shared" si="21"/>
        <v/>
      </c>
      <c r="AB22" s="139"/>
      <c r="AC22" s="146" t="str">
        <f t="shared" si="24"/>
        <v/>
      </c>
      <c r="AD22" s="148" t="str">
        <f t="shared" si="22"/>
        <v/>
      </c>
      <c r="AE22" s="147" t="str">
        <f t="shared" si="13"/>
        <v/>
      </c>
      <c r="AF22" s="111" t="str">
        <f t="shared" si="14"/>
        <v/>
      </c>
      <c r="AG22" s="111" t="str">
        <f t="shared" si="15"/>
        <v/>
      </c>
      <c r="AH22" s="112" t="str">
        <f t="shared" si="16"/>
        <v/>
      </c>
      <c r="AI22" t="str">
        <f t="shared" si="23"/>
        <v/>
      </c>
      <c r="AJ22" t="str">
        <f t="shared" si="25"/>
        <v/>
      </c>
    </row>
    <row r="23" spans="1:36" ht="15" customHeight="1" x14ac:dyDescent="0.25">
      <c r="A23" s="114"/>
      <c r="B23" s="116"/>
      <c r="C23" s="116"/>
      <c r="D23" s="42" t="str">
        <f t="shared" si="0"/>
        <v/>
      </c>
      <c r="E23" s="43"/>
      <c r="F23" s="118"/>
      <c r="G23" s="44" t="str">
        <f t="shared" si="1"/>
        <v/>
      </c>
      <c r="H23" s="118"/>
      <c r="I23" s="34" t="str">
        <f t="shared" si="2"/>
        <v/>
      </c>
      <c r="J23" s="118"/>
      <c r="K23" s="34" t="str">
        <f t="shared" si="3"/>
        <v/>
      </c>
      <c r="L23" s="118"/>
      <c r="M23" s="121"/>
      <c r="N23" s="122" t="str">
        <f t="shared" si="4"/>
        <v/>
      </c>
      <c r="O23" s="35" t="str">
        <f t="shared" si="5"/>
        <v/>
      </c>
      <c r="P23" s="124"/>
      <c r="Q23" s="36" t="str">
        <f t="shared" si="18"/>
        <v/>
      </c>
      <c r="R23" s="46" t="str">
        <f t="shared" si="6"/>
        <v/>
      </c>
      <c r="S23" s="38" t="str">
        <f t="shared" si="7"/>
        <v/>
      </c>
      <c r="T23" s="39" t="str">
        <f t="shared" si="8"/>
        <v/>
      </c>
      <c r="U23" s="40" t="str">
        <f t="shared" si="9"/>
        <v/>
      </c>
      <c r="V23" s="39" t="str">
        <f t="shared" si="10"/>
        <v/>
      </c>
      <c r="W23" s="34" t="str">
        <f t="shared" si="19"/>
        <v/>
      </c>
      <c r="X23" s="41" t="str">
        <f t="shared" si="11"/>
        <v/>
      </c>
      <c r="Y23" s="98" t="str">
        <f t="shared" si="20"/>
        <v/>
      </c>
      <c r="Z23" s="16" t="str">
        <f t="shared" si="21"/>
        <v/>
      </c>
      <c r="AB23" s="139"/>
      <c r="AC23" s="146" t="str">
        <f t="shared" si="24"/>
        <v/>
      </c>
      <c r="AD23" s="148" t="str">
        <f t="shared" si="22"/>
        <v/>
      </c>
      <c r="AE23" s="147" t="str">
        <f t="shared" si="13"/>
        <v/>
      </c>
      <c r="AF23" s="111" t="str">
        <f t="shared" si="14"/>
        <v/>
      </c>
      <c r="AG23" s="111" t="str">
        <f t="shared" si="15"/>
        <v/>
      </c>
      <c r="AH23" s="112" t="str">
        <f t="shared" si="16"/>
        <v/>
      </c>
      <c r="AI23" t="str">
        <f t="shared" si="23"/>
        <v/>
      </c>
      <c r="AJ23" t="str">
        <f t="shared" si="25"/>
        <v/>
      </c>
    </row>
    <row r="24" spans="1:36" ht="15" customHeight="1" x14ac:dyDescent="0.25">
      <c r="A24" s="114"/>
      <c r="B24" s="116"/>
      <c r="C24" s="116"/>
      <c r="D24" s="42" t="str">
        <f t="shared" si="0"/>
        <v/>
      </c>
      <c r="E24" s="43"/>
      <c r="F24" s="118"/>
      <c r="G24" s="44" t="str">
        <f t="shared" si="1"/>
        <v/>
      </c>
      <c r="H24" s="118"/>
      <c r="I24" s="34" t="str">
        <f t="shared" si="2"/>
        <v/>
      </c>
      <c r="J24" s="118"/>
      <c r="K24" s="34" t="str">
        <f t="shared" si="3"/>
        <v/>
      </c>
      <c r="L24" s="118"/>
      <c r="M24" s="121"/>
      <c r="N24" s="122" t="str">
        <f t="shared" si="4"/>
        <v/>
      </c>
      <c r="O24" s="35" t="str">
        <f t="shared" si="5"/>
        <v/>
      </c>
      <c r="P24" s="124"/>
      <c r="Q24" s="36" t="str">
        <f t="shared" si="18"/>
        <v/>
      </c>
      <c r="R24" s="46" t="str">
        <f t="shared" si="6"/>
        <v/>
      </c>
      <c r="S24" s="38" t="str">
        <f t="shared" si="7"/>
        <v/>
      </c>
      <c r="T24" s="39" t="str">
        <f t="shared" si="8"/>
        <v/>
      </c>
      <c r="U24" s="40" t="str">
        <f t="shared" si="9"/>
        <v/>
      </c>
      <c r="V24" s="39" t="str">
        <f t="shared" si="10"/>
        <v/>
      </c>
      <c r="W24" s="34" t="str">
        <f t="shared" si="19"/>
        <v/>
      </c>
      <c r="X24" s="41" t="str">
        <f t="shared" si="11"/>
        <v/>
      </c>
      <c r="Y24" s="98" t="str">
        <f t="shared" si="20"/>
        <v/>
      </c>
      <c r="Z24" s="16" t="str">
        <f t="shared" si="21"/>
        <v/>
      </c>
      <c r="AB24" s="139"/>
      <c r="AC24" s="146" t="str">
        <f t="shared" si="24"/>
        <v/>
      </c>
      <c r="AD24" s="148" t="str">
        <f t="shared" si="22"/>
        <v/>
      </c>
      <c r="AE24" s="147" t="str">
        <f t="shared" si="13"/>
        <v/>
      </c>
      <c r="AF24" s="111" t="str">
        <f t="shared" si="14"/>
        <v/>
      </c>
      <c r="AG24" s="111" t="str">
        <f t="shared" si="15"/>
        <v/>
      </c>
      <c r="AH24" s="112" t="str">
        <f t="shared" si="16"/>
        <v/>
      </c>
      <c r="AI24" t="str">
        <f t="shared" si="23"/>
        <v/>
      </c>
      <c r="AJ24" t="str">
        <f t="shared" si="25"/>
        <v/>
      </c>
    </row>
    <row r="25" spans="1:36" ht="15" customHeight="1" x14ac:dyDescent="0.25">
      <c r="A25" s="114"/>
      <c r="B25" s="116"/>
      <c r="C25" s="116"/>
      <c r="D25" s="42" t="str">
        <f t="shared" si="0"/>
        <v/>
      </c>
      <c r="E25" s="43"/>
      <c r="F25" s="118"/>
      <c r="G25" s="44" t="str">
        <f t="shared" si="1"/>
        <v/>
      </c>
      <c r="H25" s="118"/>
      <c r="I25" s="34" t="str">
        <f t="shared" si="2"/>
        <v/>
      </c>
      <c r="J25" s="118"/>
      <c r="K25" s="34" t="str">
        <f t="shared" si="3"/>
        <v/>
      </c>
      <c r="L25" s="118"/>
      <c r="M25" s="121"/>
      <c r="N25" s="122" t="str">
        <f t="shared" si="4"/>
        <v/>
      </c>
      <c r="O25" s="35" t="str">
        <f t="shared" si="5"/>
        <v/>
      </c>
      <c r="P25" s="124"/>
      <c r="Q25" s="36" t="str">
        <f t="shared" si="18"/>
        <v/>
      </c>
      <c r="R25" s="46" t="str">
        <f t="shared" si="6"/>
        <v/>
      </c>
      <c r="S25" s="38" t="str">
        <f t="shared" si="7"/>
        <v/>
      </c>
      <c r="T25" s="39" t="str">
        <f t="shared" si="8"/>
        <v/>
      </c>
      <c r="U25" s="40" t="str">
        <f t="shared" si="9"/>
        <v/>
      </c>
      <c r="V25" s="39" t="str">
        <f t="shared" si="10"/>
        <v/>
      </c>
      <c r="W25" s="34" t="str">
        <f t="shared" si="19"/>
        <v/>
      </c>
      <c r="X25" s="41" t="str">
        <f t="shared" si="11"/>
        <v/>
      </c>
      <c r="Y25" s="98" t="str">
        <f t="shared" si="20"/>
        <v/>
      </c>
      <c r="Z25" s="16" t="str">
        <f t="shared" si="21"/>
        <v/>
      </c>
      <c r="AB25" s="139"/>
      <c r="AC25" s="146" t="str">
        <f t="shared" si="24"/>
        <v/>
      </c>
      <c r="AD25" s="148" t="str">
        <f t="shared" si="22"/>
        <v/>
      </c>
      <c r="AE25" s="147" t="str">
        <f t="shared" si="13"/>
        <v/>
      </c>
      <c r="AF25" s="111" t="str">
        <f t="shared" si="14"/>
        <v/>
      </c>
      <c r="AG25" s="111" t="str">
        <f t="shared" si="15"/>
        <v/>
      </c>
      <c r="AH25" s="112" t="str">
        <f t="shared" si="16"/>
        <v/>
      </c>
      <c r="AI25" t="str">
        <f t="shared" si="23"/>
        <v/>
      </c>
      <c r="AJ25" t="str">
        <f t="shared" si="25"/>
        <v/>
      </c>
    </row>
    <row r="26" spans="1:36" ht="15" customHeight="1" x14ac:dyDescent="0.25">
      <c r="A26" s="114"/>
      <c r="B26" s="116"/>
      <c r="C26" s="116"/>
      <c r="D26" s="42" t="str">
        <f t="shared" si="0"/>
        <v/>
      </c>
      <c r="E26" s="43"/>
      <c r="F26" s="118"/>
      <c r="G26" s="44" t="str">
        <f t="shared" si="1"/>
        <v/>
      </c>
      <c r="H26" s="118"/>
      <c r="I26" s="34" t="str">
        <f t="shared" si="2"/>
        <v/>
      </c>
      <c r="J26" s="118"/>
      <c r="K26" s="34" t="str">
        <f t="shared" si="3"/>
        <v/>
      </c>
      <c r="L26" s="118"/>
      <c r="M26" s="121"/>
      <c r="N26" s="122" t="str">
        <f t="shared" si="4"/>
        <v/>
      </c>
      <c r="O26" s="35" t="str">
        <f t="shared" si="5"/>
        <v/>
      </c>
      <c r="P26" s="124"/>
      <c r="Q26" s="36" t="str">
        <f t="shared" si="18"/>
        <v/>
      </c>
      <c r="R26" s="46" t="str">
        <f t="shared" si="6"/>
        <v/>
      </c>
      <c r="S26" s="38" t="str">
        <f t="shared" si="7"/>
        <v/>
      </c>
      <c r="T26" s="39" t="str">
        <f t="shared" si="8"/>
        <v/>
      </c>
      <c r="U26" s="40" t="str">
        <f t="shared" si="9"/>
        <v/>
      </c>
      <c r="V26" s="39" t="str">
        <f t="shared" si="10"/>
        <v/>
      </c>
      <c r="W26" s="34" t="str">
        <f t="shared" si="19"/>
        <v/>
      </c>
      <c r="X26" s="41" t="str">
        <f t="shared" si="11"/>
        <v/>
      </c>
      <c r="Y26" s="98" t="str">
        <f t="shared" si="20"/>
        <v/>
      </c>
      <c r="Z26" s="16" t="str">
        <f t="shared" si="21"/>
        <v/>
      </c>
      <c r="AB26" s="139"/>
      <c r="AC26" s="146" t="str">
        <f t="shared" si="24"/>
        <v/>
      </c>
      <c r="AD26" s="148" t="str">
        <f t="shared" si="22"/>
        <v/>
      </c>
      <c r="AE26" s="147" t="str">
        <f t="shared" si="13"/>
        <v/>
      </c>
      <c r="AF26" s="111" t="str">
        <f t="shared" si="14"/>
        <v/>
      </c>
      <c r="AG26" s="111" t="str">
        <f t="shared" si="15"/>
        <v/>
      </c>
      <c r="AH26" s="112" t="str">
        <f t="shared" si="16"/>
        <v/>
      </c>
      <c r="AI26" t="str">
        <f t="shared" si="23"/>
        <v/>
      </c>
      <c r="AJ26" t="str">
        <f t="shared" si="25"/>
        <v/>
      </c>
    </row>
    <row r="27" spans="1:36" ht="15" customHeight="1" x14ac:dyDescent="0.25">
      <c r="A27" s="114"/>
      <c r="B27" s="116"/>
      <c r="C27" s="116"/>
      <c r="D27" s="42" t="str">
        <f t="shared" si="0"/>
        <v/>
      </c>
      <c r="E27" s="43"/>
      <c r="F27" s="118"/>
      <c r="G27" s="44" t="str">
        <f t="shared" si="1"/>
        <v/>
      </c>
      <c r="H27" s="118"/>
      <c r="I27" s="34" t="str">
        <f t="shared" si="2"/>
        <v/>
      </c>
      <c r="J27" s="118"/>
      <c r="K27" s="34" t="str">
        <f t="shared" si="3"/>
        <v/>
      </c>
      <c r="L27" s="118"/>
      <c r="M27" s="121"/>
      <c r="N27" s="122" t="str">
        <f t="shared" si="4"/>
        <v/>
      </c>
      <c r="O27" s="35" t="str">
        <f t="shared" si="5"/>
        <v/>
      </c>
      <c r="P27" s="124"/>
      <c r="Q27" s="36" t="str">
        <f t="shared" si="18"/>
        <v/>
      </c>
      <c r="R27" s="46" t="str">
        <f t="shared" si="6"/>
        <v/>
      </c>
      <c r="S27" s="38" t="str">
        <f t="shared" si="7"/>
        <v/>
      </c>
      <c r="T27" s="39" t="str">
        <f t="shared" si="8"/>
        <v/>
      </c>
      <c r="U27" s="40" t="str">
        <f t="shared" si="9"/>
        <v/>
      </c>
      <c r="V27" s="39" t="str">
        <f t="shared" si="10"/>
        <v/>
      </c>
      <c r="W27" s="34" t="str">
        <f t="shared" si="19"/>
        <v/>
      </c>
      <c r="X27" s="41" t="str">
        <f t="shared" si="11"/>
        <v/>
      </c>
      <c r="Y27" s="98" t="str">
        <f t="shared" si="20"/>
        <v/>
      </c>
      <c r="Z27" s="16" t="str">
        <f t="shared" si="21"/>
        <v/>
      </c>
      <c r="AB27" s="139"/>
      <c r="AC27" s="146" t="str">
        <f t="shared" si="24"/>
        <v/>
      </c>
      <c r="AD27" s="148" t="str">
        <f t="shared" si="22"/>
        <v/>
      </c>
      <c r="AE27" s="147" t="str">
        <f t="shared" si="13"/>
        <v/>
      </c>
      <c r="AF27" s="111" t="str">
        <f t="shared" si="14"/>
        <v/>
      </c>
      <c r="AG27" s="111" t="str">
        <f t="shared" si="15"/>
        <v/>
      </c>
      <c r="AH27" s="112" t="str">
        <f t="shared" si="16"/>
        <v/>
      </c>
      <c r="AI27" t="str">
        <f t="shared" si="23"/>
        <v/>
      </c>
      <c r="AJ27" t="str">
        <f t="shared" si="25"/>
        <v/>
      </c>
    </row>
    <row r="28" spans="1:36" ht="15" customHeight="1" x14ac:dyDescent="0.25">
      <c r="A28" s="114"/>
      <c r="B28" s="116"/>
      <c r="C28" s="116"/>
      <c r="D28" s="42" t="str">
        <f t="shared" si="0"/>
        <v/>
      </c>
      <c r="E28" s="43"/>
      <c r="F28" s="118"/>
      <c r="G28" s="44" t="str">
        <f t="shared" si="1"/>
        <v/>
      </c>
      <c r="H28" s="118"/>
      <c r="I28" s="34" t="str">
        <f t="shared" si="2"/>
        <v/>
      </c>
      <c r="J28" s="118"/>
      <c r="K28" s="34" t="str">
        <f t="shared" si="3"/>
        <v/>
      </c>
      <c r="L28" s="118"/>
      <c r="M28" s="121"/>
      <c r="N28" s="122" t="str">
        <f t="shared" si="4"/>
        <v/>
      </c>
      <c r="O28" s="35" t="str">
        <f t="shared" si="5"/>
        <v/>
      </c>
      <c r="P28" s="124"/>
      <c r="Q28" s="36" t="str">
        <f t="shared" si="18"/>
        <v/>
      </c>
      <c r="R28" s="46" t="str">
        <f t="shared" si="6"/>
        <v/>
      </c>
      <c r="S28" s="38" t="str">
        <f t="shared" si="7"/>
        <v/>
      </c>
      <c r="T28" s="39" t="str">
        <f t="shared" si="8"/>
        <v/>
      </c>
      <c r="U28" s="40" t="str">
        <f t="shared" si="9"/>
        <v/>
      </c>
      <c r="V28" s="39" t="str">
        <f t="shared" si="10"/>
        <v/>
      </c>
      <c r="W28" s="34" t="str">
        <f t="shared" si="19"/>
        <v/>
      </c>
      <c r="X28" s="41" t="str">
        <f t="shared" si="11"/>
        <v/>
      </c>
      <c r="Y28" s="98" t="str">
        <f t="shared" si="20"/>
        <v/>
      </c>
      <c r="Z28" s="16" t="str">
        <f t="shared" si="21"/>
        <v/>
      </c>
      <c r="AB28" s="139"/>
      <c r="AC28" s="146" t="str">
        <f t="shared" si="24"/>
        <v/>
      </c>
      <c r="AD28" s="148" t="str">
        <f t="shared" si="22"/>
        <v/>
      </c>
      <c r="AE28" s="147" t="str">
        <f t="shared" si="13"/>
        <v/>
      </c>
      <c r="AF28" s="111" t="str">
        <f t="shared" si="14"/>
        <v/>
      </c>
      <c r="AG28" s="111" t="str">
        <f t="shared" si="15"/>
        <v/>
      </c>
      <c r="AH28" s="112" t="str">
        <f t="shared" si="16"/>
        <v/>
      </c>
      <c r="AI28" t="str">
        <f t="shared" si="23"/>
        <v/>
      </c>
      <c r="AJ28" t="str">
        <f t="shared" si="25"/>
        <v/>
      </c>
    </row>
    <row r="29" spans="1:36" ht="15" customHeight="1" x14ac:dyDescent="0.25">
      <c r="A29" s="114"/>
      <c r="B29" s="116"/>
      <c r="C29" s="116"/>
      <c r="D29" s="42" t="str">
        <f t="shared" si="0"/>
        <v/>
      </c>
      <c r="E29" s="43"/>
      <c r="F29" s="118"/>
      <c r="G29" s="44" t="str">
        <f t="shared" si="1"/>
        <v/>
      </c>
      <c r="H29" s="118"/>
      <c r="I29" s="34" t="str">
        <f t="shared" si="2"/>
        <v/>
      </c>
      <c r="J29" s="118"/>
      <c r="K29" s="34" t="str">
        <f t="shared" si="3"/>
        <v/>
      </c>
      <c r="L29" s="118"/>
      <c r="M29" s="121"/>
      <c r="N29" s="122" t="str">
        <f t="shared" si="4"/>
        <v/>
      </c>
      <c r="O29" s="35" t="str">
        <f t="shared" si="5"/>
        <v/>
      </c>
      <c r="P29" s="124"/>
      <c r="Q29" s="36" t="str">
        <f t="shared" si="18"/>
        <v/>
      </c>
      <c r="R29" s="46" t="str">
        <f t="shared" si="6"/>
        <v/>
      </c>
      <c r="S29" s="38" t="str">
        <f t="shared" si="7"/>
        <v/>
      </c>
      <c r="T29" s="39" t="str">
        <f t="shared" si="8"/>
        <v/>
      </c>
      <c r="U29" s="40" t="str">
        <f t="shared" si="9"/>
        <v/>
      </c>
      <c r="V29" s="39" t="str">
        <f t="shared" si="10"/>
        <v/>
      </c>
      <c r="W29" s="34" t="str">
        <f t="shared" si="19"/>
        <v/>
      </c>
      <c r="X29" s="41" t="str">
        <f t="shared" si="11"/>
        <v/>
      </c>
      <c r="Y29" s="98" t="str">
        <f t="shared" si="20"/>
        <v/>
      </c>
      <c r="Z29" s="16" t="str">
        <f t="shared" si="21"/>
        <v/>
      </c>
      <c r="AB29" s="139"/>
      <c r="AC29" s="146" t="str">
        <f t="shared" si="24"/>
        <v/>
      </c>
      <c r="AD29" s="148" t="str">
        <f t="shared" si="22"/>
        <v/>
      </c>
      <c r="AE29" s="147" t="str">
        <f t="shared" si="13"/>
        <v/>
      </c>
      <c r="AF29" s="111" t="str">
        <f t="shared" si="14"/>
        <v/>
      </c>
      <c r="AG29" s="111" t="str">
        <f t="shared" si="15"/>
        <v/>
      </c>
      <c r="AH29" s="112" t="str">
        <f t="shared" si="16"/>
        <v/>
      </c>
      <c r="AI29" t="str">
        <f t="shared" si="23"/>
        <v/>
      </c>
      <c r="AJ29" t="str">
        <f t="shared" si="25"/>
        <v/>
      </c>
    </row>
    <row r="30" spans="1:36" ht="15" customHeight="1" x14ac:dyDescent="0.25">
      <c r="A30" s="114"/>
      <c r="B30" s="116"/>
      <c r="C30" s="116"/>
      <c r="D30" s="42" t="str">
        <f t="shared" si="0"/>
        <v/>
      </c>
      <c r="E30" s="43"/>
      <c r="F30" s="118"/>
      <c r="G30" s="44" t="str">
        <f t="shared" si="1"/>
        <v/>
      </c>
      <c r="H30" s="118"/>
      <c r="I30" s="34" t="str">
        <f t="shared" si="2"/>
        <v/>
      </c>
      <c r="J30" s="118"/>
      <c r="K30" s="34" t="str">
        <f t="shared" si="3"/>
        <v/>
      </c>
      <c r="L30" s="118"/>
      <c r="M30" s="121"/>
      <c r="N30" s="122" t="str">
        <f t="shared" si="4"/>
        <v/>
      </c>
      <c r="O30" s="35" t="str">
        <f t="shared" si="5"/>
        <v/>
      </c>
      <c r="P30" s="124"/>
      <c r="Q30" s="36" t="str">
        <f t="shared" si="18"/>
        <v/>
      </c>
      <c r="R30" s="46" t="str">
        <f t="shared" si="6"/>
        <v/>
      </c>
      <c r="S30" s="38" t="str">
        <f t="shared" si="7"/>
        <v/>
      </c>
      <c r="T30" s="39" t="str">
        <f t="shared" si="8"/>
        <v/>
      </c>
      <c r="U30" s="40" t="str">
        <f t="shared" si="9"/>
        <v/>
      </c>
      <c r="V30" s="39" t="str">
        <f t="shared" si="10"/>
        <v/>
      </c>
      <c r="W30" s="34" t="str">
        <f t="shared" si="19"/>
        <v/>
      </c>
      <c r="X30" s="41" t="str">
        <f t="shared" si="11"/>
        <v/>
      </c>
      <c r="Y30" s="98" t="str">
        <f t="shared" si="20"/>
        <v/>
      </c>
      <c r="Z30" s="16" t="str">
        <f t="shared" si="21"/>
        <v/>
      </c>
      <c r="AB30" s="139"/>
      <c r="AC30" s="146" t="str">
        <f t="shared" si="24"/>
        <v/>
      </c>
      <c r="AD30" s="148" t="str">
        <f t="shared" si="22"/>
        <v/>
      </c>
      <c r="AE30" s="147" t="str">
        <f t="shared" si="13"/>
        <v/>
      </c>
      <c r="AF30" s="111" t="str">
        <f t="shared" si="14"/>
        <v/>
      </c>
      <c r="AG30" s="111" t="str">
        <f t="shared" si="15"/>
        <v/>
      </c>
      <c r="AH30" s="112" t="str">
        <f t="shared" si="16"/>
        <v/>
      </c>
      <c r="AI30" t="str">
        <f t="shared" si="23"/>
        <v/>
      </c>
      <c r="AJ30" t="str">
        <f t="shared" si="25"/>
        <v/>
      </c>
    </row>
    <row r="31" spans="1:36" ht="15" customHeight="1" x14ac:dyDescent="0.25">
      <c r="A31" s="114"/>
      <c r="B31" s="116"/>
      <c r="C31" s="116"/>
      <c r="D31" s="42" t="str">
        <f t="shared" si="0"/>
        <v/>
      </c>
      <c r="E31" s="43"/>
      <c r="F31" s="118"/>
      <c r="G31" s="44" t="str">
        <f t="shared" si="1"/>
        <v/>
      </c>
      <c r="H31" s="118"/>
      <c r="I31" s="34" t="str">
        <f t="shared" si="2"/>
        <v/>
      </c>
      <c r="J31" s="118"/>
      <c r="K31" s="34" t="str">
        <f t="shared" si="3"/>
        <v/>
      </c>
      <c r="L31" s="118"/>
      <c r="M31" s="121"/>
      <c r="N31" s="122" t="str">
        <f t="shared" si="4"/>
        <v/>
      </c>
      <c r="O31" s="35" t="str">
        <f t="shared" si="5"/>
        <v/>
      </c>
      <c r="P31" s="124"/>
      <c r="Q31" s="36" t="str">
        <f t="shared" si="18"/>
        <v/>
      </c>
      <c r="R31" s="46" t="str">
        <f t="shared" si="6"/>
        <v/>
      </c>
      <c r="S31" s="38" t="str">
        <f t="shared" si="7"/>
        <v/>
      </c>
      <c r="T31" s="39" t="str">
        <f t="shared" si="8"/>
        <v/>
      </c>
      <c r="U31" s="40" t="str">
        <f t="shared" si="9"/>
        <v/>
      </c>
      <c r="V31" s="39" t="str">
        <f t="shared" si="10"/>
        <v/>
      </c>
      <c r="W31" s="34" t="str">
        <f t="shared" si="19"/>
        <v/>
      </c>
      <c r="X31" s="41" t="str">
        <f t="shared" si="11"/>
        <v/>
      </c>
      <c r="Y31" s="98" t="str">
        <f t="shared" si="20"/>
        <v/>
      </c>
      <c r="Z31" s="16" t="str">
        <f t="shared" si="21"/>
        <v/>
      </c>
      <c r="AB31" s="139"/>
      <c r="AC31" s="146" t="str">
        <f t="shared" si="24"/>
        <v/>
      </c>
      <c r="AD31" s="148" t="str">
        <f t="shared" si="22"/>
        <v/>
      </c>
      <c r="AE31" s="147" t="str">
        <f t="shared" si="13"/>
        <v/>
      </c>
      <c r="AF31" s="111" t="str">
        <f t="shared" si="14"/>
        <v/>
      </c>
      <c r="AG31" s="111" t="str">
        <f t="shared" si="15"/>
        <v/>
      </c>
      <c r="AH31" s="112" t="str">
        <f t="shared" si="16"/>
        <v/>
      </c>
      <c r="AI31" t="str">
        <f t="shared" si="23"/>
        <v/>
      </c>
      <c r="AJ31" t="str">
        <f t="shared" si="25"/>
        <v/>
      </c>
    </row>
    <row r="32" spans="1:36" ht="15" customHeight="1" x14ac:dyDescent="0.25">
      <c r="A32" s="114"/>
      <c r="B32" s="116"/>
      <c r="C32" s="116"/>
      <c r="D32" s="42" t="str">
        <f t="shared" si="0"/>
        <v/>
      </c>
      <c r="E32" s="43"/>
      <c r="F32" s="118"/>
      <c r="G32" s="44" t="str">
        <f t="shared" si="1"/>
        <v/>
      </c>
      <c r="H32" s="118"/>
      <c r="I32" s="34" t="str">
        <f t="shared" si="2"/>
        <v/>
      </c>
      <c r="J32" s="118"/>
      <c r="K32" s="34" t="str">
        <f t="shared" si="3"/>
        <v/>
      </c>
      <c r="L32" s="118"/>
      <c r="M32" s="121"/>
      <c r="N32" s="122" t="str">
        <f t="shared" si="4"/>
        <v/>
      </c>
      <c r="O32" s="35" t="str">
        <f t="shared" si="5"/>
        <v/>
      </c>
      <c r="P32" s="124"/>
      <c r="Q32" s="36" t="str">
        <f t="shared" si="18"/>
        <v/>
      </c>
      <c r="R32" s="46" t="str">
        <f t="shared" si="6"/>
        <v/>
      </c>
      <c r="S32" s="38" t="str">
        <f t="shared" si="7"/>
        <v/>
      </c>
      <c r="T32" s="39" t="str">
        <f t="shared" si="8"/>
        <v/>
      </c>
      <c r="U32" s="40" t="str">
        <f t="shared" si="9"/>
        <v/>
      </c>
      <c r="V32" s="39" t="str">
        <f t="shared" si="10"/>
        <v/>
      </c>
      <c r="W32" s="34" t="str">
        <f t="shared" si="19"/>
        <v/>
      </c>
      <c r="X32" s="41" t="str">
        <f t="shared" si="11"/>
        <v/>
      </c>
      <c r="Y32" s="98" t="str">
        <f t="shared" si="20"/>
        <v/>
      </c>
      <c r="Z32" s="16" t="str">
        <f t="shared" si="21"/>
        <v/>
      </c>
      <c r="AB32" s="139"/>
      <c r="AC32" s="146" t="str">
        <f t="shared" si="24"/>
        <v/>
      </c>
      <c r="AD32" s="148" t="str">
        <f t="shared" si="22"/>
        <v/>
      </c>
      <c r="AE32" s="147" t="str">
        <f t="shared" si="13"/>
        <v/>
      </c>
      <c r="AF32" s="111" t="str">
        <f t="shared" si="14"/>
        <v/>
      </c>
      <c r="AG32" s="111" t="str">
        <f t="shared" si="15"/>
        <v/>
      </c>
      <c r="AH32" s="112" t="str">
        <f t="shared" si="16"/>
        <v/>
      </c>
      <c r="AI32" t="str">
        <f t="shared" si="23"/>
        <v/>
      </c>
      <c r="AJ32" t="str">
        <f t="shared" si="25"/>
        <v/>
      </c>
    </row>
    <row r="33" spans="1:36" ht="15" customHeight="1" x14ac:dyDescent="0.25">
      <c r="A33" s="114"/>
      <c r="B33" s="116"/>
      <c r="C33" s="116"/>
      <c r="D33" s="42" t="str">
        <f t="shared" si="0"/>
        <v/>
      </c>
      <c r="E33" s="43"/>
      <c r="F33" s="118"/>
      <c r="G33" s="44" t="str">
        <f t="shared" si="1"/>
        <v/>
      </c>
      <c r="H33" s="118"/>
      <c r="I33" s="34" t="str">
        <f t="shared" si="2"/>
        <v/>
      </c>
      <c r="J33" s="118"/>
      <c r="K33" s="34" t="str">
        <f t="shared" si="3"/>
        <v/>
      </c>
      <c r="L33" s="118"/>
      <c r="M33" s="121"/>
      <c r="N33" s="122" t="str">
        <f t="shared" si="4"/>
        <v/>
      </c>
      <c r="O33" s="35" t="str">
        <f t="shared" si="5"/>
        <v/>
      </c>
      <c r="P33" s="124"/>
      <c r="Q33" s="36" t="str">
        <f t="shared" si="18"/>
        <v/>
      </c>
      <c r="R33" s="46" t="str">
        <f t="shared" si="6"/>
        <v/>
      </c>
      <c r="S33" s="38" t="str">
        <f t="shared" si="7"/>
        <v/>
      </c>
      <c r="T33" s="39" t="str">
        <f t="shared" si="8"/>
        <v/>
      </c>
      <c r="U33" s="40" t="str">
        <f t="shared" si="9"/>
        <v/>
      </c>
      <c r="V33" s="39" t="str">
        <f t="shared" si="10"/>
        <v/>
      </c>
      <c r="W33" s="34" t="str">
        <f t="shared" si="19"/>
        <v/>
      </c>
      <c r="X33" s="41" t="str">
        <f t="shared" si="11"/>
        <v/>
      </c>
      <c r="Y33" s="98" t="str">
        <f t="shared" si="20"/>
        <v/>
      </c>
      <c r="Z33" s="16" t="str">
        <f t="shared" si="21"/>
        <v/>
      </c>
      <c r="AB33" s="139"/>
      <c r="AC33" s="146" t="str">
        <f t="shared" si="24"/>
        <v/>
      </c>
      <c r="AD33" s="148" t="str">
        <f t="shared" si="22"/>
        <v/>
      </c>
      <c r="AE33" s="147" t="str">
        <f t="shared" si="13"/>
        <v/>
      </c>
      <c r="AF33" s="111" t="str">
        <f t="shared" si="14"/>
        <v/>
      </c>
      <c r="AG33" s="111" t="str">
        <f t="shared" si="15"/>
        <v/>
      </c>
      <c r="AH33" s="112" t="str">
        <f t="shared" si="16"/>
        <v/>
      </c>
      <c r="AI33" t="str">
        <f t="shared" si="23"/>
        <v/>
      </c>
      <c r="AJ33" t="str">
        <f t="shared" si="25"/>
        <v/>
      </c>
    </row>
    <row r="34" spans="1:36" ht="15" customHeight="1" x14ac:dyDescent="0.25">
      <c r="A34" s="114"/>
      <c r="B34" s="116"/>
      <c r="C34" s="116"/>
      <c r="D34" s="42" t="str">
        <f t="shared" si="0"/>
        <v/>
      </c>
      <c r="E34" s="43"/>
      <c r="F34" s="118"/>
      <c r="G34" s="44" t="str">
        <f t="shared" si="1"/>
        <v/>
      </c>
      <c r="H34" s="118"/>
      <c r="I34" s="34" t="str">
        <f t="shared" si="2"/>
        <v/>
      </c>
      <c r="J34" s="118"/>
      <c r="K34" s="34" t="str">
        <f t="shared" si="3"/>
        <v/>
      </c>
      <c r="L34" s="118"/>
      <c r="M34" s="121"/>
      <c r="N34" s="122" t="str">
        <f t="shared" si="4"/>
        <v/>
      </c>
      <c r="O34" s="35" t="str">
        <f t="shared" si="5"/>
        <v/>
      </c>
      <c r="P34" s="124"/>
      <c r="Q34" s="36" t="str">
        <f t="shared" si="18"/>
        <v/>
      </c>
      <c r="R34" s="46" t="str">
        <f t="shared" si="6"/>
        <v/>
      </c>
      <c r="S34" s="38" t="str">
        <f t="shared" si="7"/>
        <v/>
      </c>
      <c r="T34" s="39" t="str">
        <f t="shared" si="8"/>
        <v/>
      </c>
      <c r="U34" s="40" t="str">
        <f t="shared" si="9"/>
        <v/>
      </c>
      <c r="V34" s="39" t="str">
        <f t="shared" si="10"/>
        <v/>
      </c>
      <c r="W34" s="34" t="str">
        <f t="shared" si="19"/>
        <v/>
      </c>
      <c r="X34" s="41" t="str">
        <f t="shared" si="11"/>
        <v/>
      </c>
      <c r="Y34" s="98" t="str">
        <f t="shared" si="20"/>
        <v/>
      </c>
      <c r="Z34" s="16" t="str">
        <f t="shared" si="21"/>
        <v/>
      </c>
      <c r="AB34" s="139"/>
      <c r="AC34" s="146" t="str">
        <f t="shared" si="24"/>
        <v/>
      </c>
      <c r="AD34" s="148" t="str">
        <f t="shared" si="22"/>
        <v/>
      </c>
      <c r="AE34" s="147" t="str">
        <f t="shared" si="13"/>
        <v/>
      </c>
      <c r="AF34" s="111" t="str">
        <f t="shared" si="14"/>
        <v/>
      </c>
      <c r="AG34" s="111" t="str">
        <f t="shared" si="15"/>
        <v/>
      </c>
      <c r="AH34" s="112" t="str">
        <f t="shared" si="16"/>
        <v/>
      </c>
      <c r="AI34" t="str">
        <f t="shared" si="23"/>
        <v/>
      </c>
      <c r="AJ34" t="str">
        <f t="shared" si="25"/>
        <v/>
      </c>
    </row>
    <row r="35" spans="1:36" ht="15" customHeight="1" x14ac:dyDescent="0.25">
      <c r="A35" s="114"/>
      <c r="B35" s="116"/>
      <c r="C35" s="116"/>
      <c r="D35" s="42" t="str">
        <f t="shared" si="0"/>
        <v/>
      </c>
      <c r="E35" s="43"/>
      <c r="F35" s="118"/>
      <c r="G35" s="44" t="str">
        <f t="shared" si="1"/>
        <v/>
      </c>
      <c r="H35" s="118"/>
      <c r="I35" s="34" t="str">
        <f t="shared" si="2"/>
        <v/>
      </c>
      <c r="J35" s="118"/>
      <c r="K35" s="34" t="str">
        <f t="shared" si="3"/>
        <v/>
      </c>
      <c r="L35" s="118"/>
      <c r="M35" s="121"/>
      <c r="N35" s="122" t="str">
        <f t="shared" si="4"/>
        <v/>
      </c>
      <c r="O35" s="35" t="str">
        <f t="shared" si="5"/>
        <v/>
      </c>
      <c r="P35" s="124"/>
      <c r="Q35" s="36" t="str">
        <f t="shared" si="18"/>
        <v/>
      </c>
      <c r="R35" s="46" t="str">
        <f t="shared" si="6"/>
        <v/>
      </c>
      <c r="S35" s="38" t="str">
        <f t="shared" si="7"/>
        <v/>
      </c>
      <c r="T35" s="39" t="str">
        <f t="shared" si="8"/>
        <v/>
      </c>
      <c r="U35" s="40" t="str">
        <f t="shared" si="9"/>
        <v/>
      </c>
      <c r="V35" s="39" t="str">
        <f t="shared" si="10"/>
        <v/>
      </c>
      <c r="W35" s="34" t="str">
        <f t="shared" si="19"/>
        <v/>
      </c>
      <c r="X35" s="41" t="str">
        <f t="shared" si="11"/>
        <v/>
      </c>
      <c r="Y35" s="98" t="str">
        <f t="shared" si="20"/>
        <v/>
      </c>
      <c r="Z35" s="16" t="str">
        <f t="shared" si="21"/>
        <v/>
      </c>
      <c r="AB35" s="139"/>
      <c r="AC35" s="146" t="str">
        <f t="shared" si="24"/>
        <v/>
      </c>
      <c r="AD35" s="148" t="str">
        <f t="shared" si="22"/>
        <v/>
      </c>
      <c r="AE35" s="147" t="str">
        <f t="shared" si="13"/>
        <v/>
      </c>
      <c r="AF35" s="111" t="str">
        <f t="shared" si="14"/>
        <v/>
      </c>
      <c r="AG35" s="111" t="str">
        <f t="shared" si="15"/>
        <v/>
      </c>
      <c r="AH35" s="112" t="str">
        <f t="shared" si="16"/>
        <v/>
      </c>
      <c r="AI35" t="str">
        <f t="shared" si="23"/>
        <v/>
      </c>
      <c r="AJ35" t="str">
        <f t="shared" si="25"/>
        <v/>
      </c>
    </row>
    <row r="36" spans="1:36" ht="15" customHeight="1" x14ac:dyDescent="0.25">
      <c r="A36" s="114"/>
      <c r="B36" s="116"/>
      <c r="C36" s="116"/>
      <c r="D36" s="42" t="str">
        <f t="shared" si="0"/>
        <v/>
      </c>
      <c r="E36" s="43"/>
      <c r="F36" s="118"/>
      <c r="G36" s="44" t="str">
        <f t="shared" si="1"/>
        <v/>
      </c>
      <c r="H36" s="118"/>
      <c r="I36" s="34" t="str">
        <f t="shared" si="2"/>
        <v/>
      </c>
      <c r="J36" s="118"/>
      <c r="K36" s="34" t="str">
        <f t="shared" si="3"/>
        <v/>
      </c>
      <c r="L36" s="118"/>
      <c r="M36" s="121"/>
      <c r="N36" s="122" t="str">
        <f t="shared" si="4"/>
        <v/>
      </c>
      <c r="O36" s="35" t="str">
        <f t="shared" si="5"/>
        <v/>
      </c>
      <c r="P36" s="124"/>
      <c r="Q36" s="36" t="str">
        <f t="shared" si="18"/>
        <v/>
      </c>
      <c r="R36" s="46" t="str">
        <f t="shared" si="6"/>
        <v/>
      </c>
      <c r="S36" s="38" t="str">
        <f t="shared" si="7"/>
        <v/>
      </c>
      <c r="T36" s="39" t="str">
        <f t="shared" si="8"/>
        <v/>
      </c>
      <c r="U36" s="40" t="str">
        <f t="shared" si="9"/>
        <v/>
      </c>
      <c r="V36" s="39" t="str">
        <f t="shared" si="10"/>
        <v/>
      </c>
      <c r="W36" s="34" t="str">
        <f t="shared" si="19"/>
        <v/>
      </c>
      <c r="X36" s="41" t="str">
        <f t="shared" si="11"/>
        <v/>
      </c>
      <c r="Y36" s="98" t="str">
        <f t="shared" si="20"/>
        <v/>
      </c>
      <c r="Z36" s="16" t="str">
        <f t="shared" si="21"/>
        <v/>
      </c>
      <c r="AB36" s="139"/>
      <c r="AC36" s="146" t="str">
        <f t="shared" si="24"/>
        <v/>
      </c>
      <c r="AD36" s="148" t="str">
        <f t="shared" si="22"/>
        <v/>
      </c>
      <c r="AE36" s="147" t="str">
        <f t="shared" si="13"/>
        <v/>
      </c>
      <c r="AF36" s="111" t="str">
        <f t="shared" si="14"/>
        <v/>
      </c>
      <c r="AG36" s="111" t="str">
        <f t="shared" si="15"/>
        <v/>
      </c>
      <c r="AH36" s="112" t="str">
        <f t="shared" si="16"/>
        <v/>
      </c>
      <c r="AI36" t="str">
        <f t="shared" si="23"/>
        <v/>
      </c>
      <c r="AJ36" t="str">
        <f t="shared" si="25"/>
        <v/>
      </c>
    </row>
    <row r="37" spans="1:36" ht="15" customHeight="1" x14ac:dyDescent="0.25">
      <c r="A37" s="114"/>
      <c r="B37" s="116"/>
      <c r="C37" s="116"/>
      <c r="D37" s="42" t="str">
        <f t="shared" si="0"/>
        <v/>
      </c>
      <c r="E37" s="43"/>
      <c r="F37" s="118"/>
      <c r="G37" s="44" t="str">
        <f t="shared" si="1"/>
        <v/>
      </c>
      <c r="H37" s="118"/>
      <c r="I37" s="34" t="str">
        <f t="shared" si="2"/>
        <v/>
      </c>
      <c r="J37" s="118"/>
      <c r="K37" s="34" t="str">
        <f t="shared" si="3"/>
        <v/>
      </c>
      <c r="L37" s="118"/>
      <c r="M37" s="121"/>
      <c r="N37" s="122" t="str">
        <f t="shared" si="4"/>
        <v/>
      </c>
      <c r="O37" s="35" t="str">
        <f t="shared" si="5"/>
        <v/>
      </c>
      <c r="P37" s="124"/>
      <c r="Q37" s="36" t="str">
        <f t="shared" si="18"/>
        <v/>
      </c>
      <c r="R37" s="46" t="str">
        <f t="shared" si="6"/>
        <v/>
      </c>
      <c r="S37" s="38" t="str">
        <f t="shared" si="7"/>
        <v/>
      </c>
      <c r="T37" s="39" t="str">
        <f t="shared" si="8"/>
        <v/>
      </c>
      <c r="U37" s="40" t="str">
        <f t="shared" si="9"/>
        <v/>
      </c>
      <c r="V37" s="39" t="str">
        <f t="shared" si="10"/>
        <v/>
      </c>
      <c r="W37" s="34" t="str">
        <f t="shared" si="19"/>
        <v/>
      </c>
      <c r="X37" s="41" t="str">
        <f t="shared" si="11"/>
        <v/>
      </c>
      <c r="Y37" s="98" t="str">
        <f t="shared" si="20"/>
        <v/>
      </c>
      <c r="Z37" s="16" t="str">
        <f t="shared" si="21"/>
        <v/>
      </c>
      <c r="AB37" s="139"/>
      <c r="AC37" s="146" t="str">
        <f t="shared" si="24"/>
        <v/>
      </c>
      <c r="AD37" s="148" t="str">
        <f t="shared" si="22"/>
        <v/>
      </c>
      <c r="AE37" s="147" t="str">
        <f t="shared" si="13"/>
        <v/>
      </c>
      <c r="AF37" s="111" t="str">
        <f t="shared" si="14"/>
        <v/>
      </c>
      <c r="AG37" s="111" t="str">
        <f t="shared" si="15"/>
        <v/>
      </c>
      <c r="AH37" s="112" t="str">
        <f t="shared" si="16"/>
        <v/>
      </c>
      <c r="AI37" t="str">
        <f t="shared" si="23"/>
        <v/>
      </c>
      <c r="AJ37" t="str">
        <f t="shared" si="25"/>
        <v/>
      </c>
    </row>
    <row r="38" spans="1:36" ht="15" customHeight="1" x14ac:dyDescent="0.25">
      <c r="A38" s="114"/>
      <c r="B38" s="116"/>
      <c r="C38" s="116"/>
      <c r="D38" s="42" t="str">
        <f t="shared" si="0"/>
        <v/>
      </c>
      <c r="E38" s="43"/>
      <c r="F38" s="118"/>
      <c r="G38" s="44" t="str">
        <f t="shared" si="1"/>
        <v/>
      </c>
      <c r="H38" s="118"/>
      <c r="I38" s="34" t="str">
        <f t="shared" si="2"/>
        <v/>
      </c>
      <c r="J38" s="118"/>
      <c r="K38" s="34" t="str">
        <f t="shared" si="3"/>
        <v/>
      </c>
      <c r="L38" s="118"/>
      <c r="M38" s="121"/>
      <c r="N38" s="122" t="str">
        <f t="shared" si="4"/>
        <v/>
      </c>
      <c r="O38" s="35" t="str">
        <f t="shared" si="5"/>
        <v/>
      </c>
      <c r="P38" s="124"/>
      <c r="Q38" s="36" t="str">
        <f t="shared" si="18"/>
        <v/>
      </c>
      <c r="R38" s="46" t="str">
        <f t="shared" si="6"/>
        <v/>
      </c>
      <c r="S38" s="38" t="str">
        <f t="shared" si="7"/>
        <v/>
      </c>
      <c r="T38" s="39" t="str">
        <f t="shared" si="8"/>
        <v/>
      </c>
      <c r="U38" s="40" t="str">
        <f t="shared" si="9"/>
        <v/>
      </c>
      <c r="V38" s="39" t="str">
        <f t="shared" si="10"/>
        <v/>
      </c>
      <c r="W38" s="34" t="str">
        <f t="shared" si="19"/>
        <v/>
      </c>
      <c r="X38" s="41" t="str">
        <f t="shared" si="11"/>
        <v/>
      </c>
      <c r="Y38" s="98" t="str">
        <f t="shared" si="20"/>
        <v/>
      </c>
      <c r="Z38" s="16" t="str">
        <f t="shared" si="21"/>
        <v/>
      </c>
      <c r="AB38" s="139"/>
      <c r="AC38" s="146" t="str">
        <f t="shared" si="24"/>
        <v/>
      </c>
      <c r="AD38" s="148" t="str">
        <f t="shared" si="22"/>
        <v/>
      </c>
      <c r="AE38" s="147" t="str">
        <f t="shared" si="13"/>
        <v/>
      </c>
      <c r="AF38" s="111" t="str">
        <f t="shared" si="14"/>
        <v/>
      </c>
      <c r="AG38" s="111" t="str">
        <f t="shared" si="15"/>
        <v/>
      </c>
      <c r="AH38" s="112" t="str">
        <f t="shared" si="16"/>
        <v/>
      </c>
      <c r="AI38" t="str">
        <f t="shared" si="23"/>
        <v/>
      </c>
      <c r="AJ38" t="str">
        <f t="shared" si="25"/>
        <v/>
      </c>
    </row>
    <row r="39" spans="1:36" ht="15" customHeight="1" x14ac:dyDescent="0.25">
      <c r="A39" s="114"/>
      <c r="B39" s="116"/>
      <c r="C39" s="116"/>
      <c r="D39" s="42" t="str">
        <f t="shared" si="0"/>
        <v/>
      </c>
      <c r="E39" s="43"/>
      <c r="F39" s="118"/>
      <c r="G39" s="44" t="str">
        <f t="shared" si="1"/>
        <v/>
      </c>
      <c r="H39" s="118"/>
      <c r="I39" s="34" t="str">
        <f t="shared" si="2"/>
        <v/>
      </c>
      <c r="J39" s="118"/>
      <c r="K39" s="34" t="str">
        <f t="shared" si="3"/>
        <v/>
      </c>
      <c r="L39" s="118"/>
      <c r="M39" s="121"/>
      <c r="N39" s="122" t="str">
        <f t="shared" si="4"/>
        <v/>
      </c>
      <c r="O39" s="35" t="str">
        <f t="shared" si="5"/>
        <v/>
      </c>
      <c r="P39" s="124"/>
      <c r="Q39" s="36" t="str">
        <f t="shared" si="18"/>
        <v/>
      </c>
      <c r="R39" s="46" t="str">
        <f t="shared" si="6"/>
        <v/>
      </c>
      <c r="S39" s="38" t="str">
        <f t="shared" si="7"/>
        <v/>
      </c>
      <c r="T39" s="39" t="str">
        <f t="shared" si="8"/>
        <v/>
      </c>
      <c r="U39" s="40" t="str">
        <f t="shared" si="9"/>
        <v/>
      </c>
      <c r="V39" s="39" t="str">
        <f t="shared" si="10"/>
        <v/>
      </c>
      <c r="W39" s="34" t="str">
        <f t="shared" si="19"/>
        <v/>
      </c>
      <c r="X39" s="41" t="str">
        <f t="shared" si="11"/>
        <v/>
      </c>
      <c r="Y39" s="98" t="str">
        <f t="shared" si="20"/>
        <v/>
      </c>
      <c r="Z39" s="16" t="str">
        <f t="shared" si="21"/>
        <v/>
      </c>
      <c r="AB39" s="139"/>
      <c r="AC39" s="146" t="str">
        <f t="shared" si="24"/>
        <v/>
      </c>
      <c r="AD39" s="148" t="str">
        <f t="shared" si="22"/>
        <v/>
      </c>
      <c r="AE39" s="147" t="str">
        <f t="shared" si="13"/>
        <v/>
      </c>
      <c r="AF39" s="111" t="str">
        <f t="shared" si="14"/>
        <v/>
      </c>
      <c r="AG39" s="111" t="str">
        <f t="shared" si="15"/>
        <v/>
      </c>
      <c r="AH39" s="112" t="str">
        <f t="shared" si="16"/>
        <v/>
      </c>
      <c r="AI39" t="str">
        <f t="shared" si="23"/>
        <v/>
      </c>
      <c r="AJ39" t="str">
        <f t="shared" si="25"/>
        <v/>
      </c>
    </row>
    <row r="40" spans="1:36" ht="15" customHeight="1" x14ac:dyDescent="0.25">
      <c r="A40" s="114"/>
      <c r="B40" s="116"/>
      <c r="C40" s="116"/>
      <c r="D40" s="42" t="str">
        <f t="shared" si="0"/>
        <v/>
      </c>
      <c r="E40" s="43"/>
      <c r="F40" s="118"/>
      <c r="G40" s="44" t="str">
        <f t="shared" si="1"/>
        <v/>
      </c>
      <c r="H40" s="118"/>
      <c r="I40" s="34" t="str">
        <f t="shared" si="2"/>
        <v/>
      </c>
      <c r="J40" s="118"/>
      <c r="K40" s="34" t="str">
        <f t="shared" si="3"/>
        <v/>
      </c>
      <c r="L40" s="118"/>
      <c r="M40" s="121"/>
      <c r="N40" s="122" t="str">
        <f t="shared" si="4"/>
        <v/>
      </c>
      <c r="O40" s="35" t="str">
        <f t="shared" si="5"/>
        <v/>
      </c>
      <c r="P40" s="124"/>
      <c r="Q40" s="36" t="str">
        <f t="shared" si="18"/>
        <v/>
      </c>
      <c r="R40" s="46" t="str">
        <f t="shared" si="6"/>
        <v/>
      </c>
      <c r="S40" s="38" t="str">
        <f t="shared" si="7"/>
        <v/>
      </c>
      <c r="T40" s="39" t="str">
        <f t="shared" si="8"/>
        <v/>
      </c>
      <c r="U40" s="40" t="str">
        <f t="shared" si="9"/>
        <v/>
      </c>
      <c r="V40" s="39" t="str">
        <f t="shared" si="10"/>
        <v/>
      </c>
      <c r="W40" s="34" t="str">
        <f t="shared" si="19"/>
        <v/>
      </c>
      <c r="X40" s="41" t="str">
        <f t="shared" si="11"/>
        <v/>
      </c>
      <c r="Y40" s="98" t="str">
        <f t="shared" si="20"/>
        <v/>
      </c>
      <c r="Z40" s="16" t="str">
        <f t="shared" si="21"/>
        <v/>
      </c>
      <c r="AB40" s="139"/>
      <c r="AC40" s="146" t="str">
        <f t="shared" si="24"/>
        <v/>
      </c>
      <c r="AD40" s="148" t="str">
        <f t="shared" si="22"/>
        <v/>
      </c>
      <c r="AE40" s="147" t="str">
        <f t="shared" si="13"/>
        <v/>
      </c>
      <c r="AF40" s="111" t="str">
        <f t="shared" si="14"/>
        <v/>
      </c>
      <c r="AG40" s="111" t="str">
        <f t="shared" si="15"/>
        <v/>
      </c>
      <c r="AH40" s="112" t="str">
        <f t="shared" si="16"/>
        <v/>
      </c>
      <c r="AI40" t="str">
        <f t="shared" si="23"/>
        <v/>
      </c>
      <c r="AJ40" t="str">
        <f t="shared" si="25"/>
        <v/>
      </c>
    </row>
    <row r="41" spans="1:36" ht="15" customHeight="1" x14ac:dyDescent="0.25">
      <c r="A41" s="114"/>
      <c r="B41" s="116"/>
      <c r="C41" s="116"/>
      <c r="D41" s="42" t="str">
        <f t="shared" si="0"/>
        <v/>
      </c>
      <c r="E41" s="43"/>
      <c r="F41" s="118"/>
      <c r="G41" s="44" t="str">
        <f t="shared" si="1"/>
        <v/>
      </c>
      <c r="H41" s="118"/>
      <c r="I41" s="34" t="str">
        <f t="shared" si="2"/>
        <v/>
      </c>
      <c r="J41" s="118"/>
      <c r="K41" s="34" t="str">
        <f t="shared" si="3"/>
        <v/>
      </c>
      <c r="L41" s="118"/>
      <c r="M41" s="121"/>
      <c r="N41" s="122" t="str">
        <f t="shared" si="4"/>
        <v/>
      </c>
      <c r="O41" s="35" t="str">
        <f t="shared" si="5"/>
        <v/>
      </c>
      <c r="P41" s="124"/>
      <c r="Q41" s="36" t="str">
        <f t="shared" si="18"/>
        <v/>
      </c>
      <c r="R41" s="46" t="str">
        <f t="shared" si="6"/>
        <v/>
      </c>
      <c r="S41" s="38" t="str">
        <f t="shared" si="7"/>
        <v/>
      </c>
      <c r="T41" s="39" t="str">
        <f t="shared" si="8"/>
        <v/>
      </c>
      <c r="U41" s="40" t="str">
        <f t="shared" si="9"/>
        <v/>
      </c>
      <c r="V41" s="39" t="str">
        <f t="shared" si="10"/>
        <v/>
      </c>
      <c r="W41" s="34" t="str">
        <f t="shared" si="19"/>
        <v/>
      </c>
      <c r="X41" s="41" t="str">
        <f t="shared" si="11"/>
        <v/>
      </c>
      <c r="Y41" s="98" t="str">
        <f t="shared" si="20"/>
        <v/>
      </c>
      <c r="Z41" s="16" t="str">
        <f t="shared" si="21"/>
        <v/>
      </c>
      <c r="AB41" s="139"/>
      <c r="AC41" s="146" t="str">
        <f t="shared" si="24"/>
        <v/>
      </c>
      <c r="AD41" s="148" t="str">
        <f t="shared" si="22"/>
        <v/>
      </c>
      <c r="AE41" s="147" t="str">
        <f t="shared" si="13"/>
        <v/>
      </c>
      <c r="AF41" s="111" t="str">
        <f t="shared" si="14"/>
        <v/>
      </c>
      <c r="AG41" s="111" t="str">
        <f t="shared" si="15"/>
        <v/>
      </c>
      <c r="AH41" s="112" t="str">
        <f t="shared" si="16"/>
        <v/>
      </c>
      <c r="AI41" t="str">
        <f t="shared" si="23"/>
        <v/>
      </c>
      <c r="AJ41" t="str">
        <f t="shared" si="25"/>
        <v/>
      </c>
    </row>
    <row r="42" spans="1:36" ht="15" customHeight="1" x14ac:dyDescent="0.25">
      <c r="A42" s="114"/>
      <c r="B42" s="116"/>
      <c r="C42" s="116"/>
      <c r="D42" s="42" t="str">
        <f t="shared" si="0"/>
        <v/>
      </c>
      <c r="E42" s="43"/>
      <c r="F42" s="118"/>
      <c r="G42" s="44" t="str">
        <f t="shared" si="1"/>
        <v/>
      </c>
      <c r="H42" s="118"/>
      <c r="I42" s="34" t="str">
        <f t="shared" si="2"/>
        <v/>
      </c>
      <c r="J42" s="118"/>
      <c r="K42" s="34" t="str">
        <f t="shared" si="3"/>
        <v/>
      </c>
      <c r="L42" s="118"/>
      <c r="M42" s="121"/>
      <c r="N42" s="122" t="str">
        <f t="shared" si="4"/>
        <v/>
      </c>
      <c r="O42" s="35" t="str">
        <f t="shared" si="5"/>
        <v/>
      </c>
      <c r="P42" s="124"/>
      <c r="Q42" s="36" t="str">
        <f t="shared" si="18"/>
        <v/>
      </c>
      <c r="R42" s="46" t="str">
        <f t="shared" si="6"/>
        <v/>
      </c>
      <c r="S42" s="38" t="str">
        <f t="shared" si="7"/>
        <v/>
      </c>
      <c r="T42" s="39" t="str">
        <f t="shared" si="8"/>
        <v/>
      </c>
      <c r="U42" s="40" t="str">
        <f t="shared" si="9"/>
        <v/>
      </c>
      <c r="V42" s="39" t="str">
        <f t="shared" si="10"/>
        <v/>
      </c>
      <c r="W42" s="34" t="str">
        <f t="shared" si="19"/>
        <v/>
      </c>
      <c r="X42" s="41" t="str">
        <f t="shared" si="11"/>
        <v/>
      </c>
      <c r="Y42" s="98" t="str">
        <f t="shared" si="20"/>
        <v/>
      </c>
      <c r="Z42" s="16" t="str">
        <f t="shared" si="21"/>
        <v/>
      </c>
      <c r="AB42" s="139"/>
      <c r="AC42" s="146" t="str">
        <f t="shared" si="24"/>
        <v/>
      </c>
      <c r="AD42" s="148" t="str">
        <f t="shared" si="22"/>
        <v/>
      </c>
      <c r="AE42" s="147" t="str">
        <f t="shared" si="13"/>
        <v/>
      </c>
      <c r="AF42" s="111" t="str">
        <f t="shared" si="14"/>
        <v/>
      </c>
      <c r="AG42" s="111" t="str">
        <f t="shared" si="15"/>
        <v/>
      </c>
      <c r="AH42" s="112" t="str">
        <f t="shared" si="16"/>
        <v/>
      </c>
      <c r="AI42" t="str">
        <f t="shared" si="23"/>
        <v/>
      </c>
      <c r="AJ42" t="str">
        <f t="shared" si="25"/>
        <v/>
      </c>
    </row>
    <row r="43" spans="1:36" ht="15" customHeight="1" x14ac:dyDescent="0.25">
      <c r="A43" s="114"/>
      <c r="B43" s="116"/>
      <c r="C43" s="116"/>
      <c r="D43" s="42" t="str">
        <f t="shared" si="0"/>
        <v/>
      </c>
      <c r="E43" s="43"/>
      <c r="F43" s="118"/>
      <c r="G43" s="44" t="str">
        <f t="shared" si="1"/>
        <v/>
      </c>
      <c r="H43" s="118"/>
      <c r="I43" s="34" t="str">
        <f t="shared" si="2"/>
        <v/>
      </c>
      <c r="J43" s="118"/>
      <c r="K43" s="34" t="str">
        <f t="shared" si="3"/>
        <v/>
      </c>
      <c r="L43" s="118"/>
      <c r="M43" s="121"/>
      <c r="N43" s="122" t="str">
        <f t="shared" si="4"/>
        <v/>
      </c>
      <c r="O43" s="35" t="str">
        <f t="shared" si="5"/>
        <v/>
      </c>
      <c r="P43" s="124"/>
      <c r="Q43" s="36" t="str">
        <f t="shared" si="18"/>
        <v/>
      </c>
      <c r="R43" s="46" t="str">
        <f t="shared" si="6"/>
        <v/>
      </c>
      <c r="S43" s="38" t="str">
        <f t="shared" si="7"/>
        <v/>
      </c>
      <c r="T43" s="39" t="str">
        <f t="shared" si="8"/>
        <v/>
      </c>
      <c r="U43" s="40" t="str">
        <f t="shared" si="9"/>
        <v/>
      </c>
      <c r="V43" s="39" t="str">
        <f t="shared" si="10"/>
        <v/>
      </c>
      <c r="W43" s="34" t="str">
        <f t="shared" si="19"/>
        <v/>
      </c>
      <c r="X43" s="41" t="str">
        <f t="shared" si="11"/>
        <v/>
      </c>
      <c r="Y43" s="98" t="str">
        <f t="shared" si="20"/>
        <v/>
      </c>
      <c r="Z43" s="16" t="str">
        <f t="shared" si="21"/>
        <v/>
      </c>
      <c r="AB43" s="139"/>
      <c r="AC43" s="146" t="str">
        <f t="shared" si="24"/>
        <v/>
      </c>
      <c r="AD43" s="148" t="str">
        <f t="shared" si="22"/>
        <v/>
      </c>
      <c r="AE43" s="147" t="str">
        <f t="shared" si="13"/>
        <v/>
      </c>
      <c r="AF43" s="111" t="str">
        <f t="shared" si="14"/>
        <v/>
      </c>
      <c r="AG43" s="111" t="str">
        <f t="shared" si="15"/>
        <v/>
      </c>
      <c r="AH43" s="112" t="str">
        <f t="shared" si="16"/>
        <v/>
      </c>
      <c r="AI43" t="str">
        <f t="shared" si="23"/>
        <v/>
      </c>
      <c r="AJ43" t="str">
        <f t="shared" si="25"/>
        <v/>
      </c>
    </row>
    <row r="44" spans="1:36" ht="15" customHeight="1" x14ac:dyDescent="0.25">
      <c r="A44" s="114"/>
      <c r="B44" s="116"/>
      <c r="C44" s="116"/>
      <c r="D44" s="42" t="str">
        <f t="shared" si="0"/>
        <v/>
      </c>
      <c r="E44" s="43"/>
      <c r="F44" s="118"/>
      <c r="G44" s="44" t="str">
        <f t="shared" si="1"/>
        <v/>
      </c>
      <c r="H44" s="118"/>
      <c r="I44" s="34" t="str">
        <f t="shared" si="2"/>
        <v/>
      </c>
      <c r="J44" s="118"/>
      <c r="K44" s="34" t="str">
        <f t="shared" si="3"/>
        <v/>
      </c>
      <c r="L44" s="118"/>
      <c r="M44" s="121"/>
      <c r="N44" s="122" t="str">
        <f t="shared" si="4"/>
        <v/>
      </c>
      <c r="O44" s="35" t="str">
        <f t="shared" si="5"/>
        <v/>
      </c>
      <c r="P44" s="124"/>
      <c r="Q44" s="36" t="str">
        <f t="shared" si="18"/>
        <v/>
      </c>
      <c r="R44" s="46" t="str">
        <f t="shared" si="6"/>
        <v/>
      </c>
      <c r="S44" s="38" t="str">
        <f t="shared" si="7"/>
        <v/>
      </c>
      <c r="T44" s="39" t="str">
        <f t="shared" si="8"/>
        <v/>
      </c>
      <c r="U44" s="40" t="str">
        <f t="shared" si="9"/>
        <v/>
      </c>
      <c r="V44" s="39" t="str">
        <f t="shared" si="10"/>
        <v/>
      </c>
      <c r="W44" s="34" t="str">
        <f t="shared" si="19"/>
        <v/>
      </c>
      <c r="X44" s="41" t="str">
        <f t="shared" si="11"/>
        <v/>
      </c>
      <c r="Y44" s="98" t="str">
        <f t="shared" si="20"/>
        <v/>
      </c>
      <c r="Z44" s="16" t="str">
        <f t="shared" si="21"/>
        <v/>
      </c>
      <c r="AB44" s="139"/>
      <c r="AC44" s="146" t="str">
        <f t="shared" si="24"/>
        <v/>
      </c>
      <c r="AD44" s="148" t="str">
        <f t="shared" si="22"/>
        <v/>
      </c>
      <c r="AE44" s="147" t="str">
        <f t="shared" si="13"/>
        <v/>
      </c>
      <c r="AF44" s="111" t="str">
        <f t="shared" si="14"/>
        <v/>
      </c>
      <c r="AG44" s="111" t="str">
        <f t="shared" si="15"/>
        <v/>
      </c>
      <c r="AH44" s="112" t="str">
        <f t="shared" si="16"/>
        <v/>
      </c>
      <c r="AI44" t="str">
        <f t="shared" si="23"/>
        <v/>
      </c>
      <c r="AJ44" t="str">
        <f t="shared" si="25"/>
        <v/>
      </c>
    </row>
    <row r="45" spans="1:36" ht="15" customHeight="1" x14ac:dyDescent="0.25">
      <c r="A45" s="114"/>
      <c r="B45" s="116"/>
      <c r="C45" s="116"/>
      <c r="D45" s="42" t="str">
        <f t="shared" si="0"/>
        <v/>
      </c>
      <c r="E45" s="43"/>
      <c r="F45" s="118"/>
      <c r="G45" s="44" t="str">
        <f t="shared" si="1"/>
        <v/>
      </c>
      <c r="H45" s="118"/>
      <c r="I45" s="34" t="str">
        <f t="shared" si="2"/>
        <v/>
      </c>
      <c r="J45" s="118"/>
      <c r="K45" s="34" t="str">
        <f t="shared" si="3"/>
        <v/>
      </c>
      <c r="L45" s="118"/>
      <c r="M45" s="121"/>
      <c r="N45" s="122" t="str">
        <f t="shared" si="4"/>
        <v/>
      </c>
      <c r="O45" s="35" t="str">
        <f t="shared" si="5"/>
        <v/>
      </c>
      <c r="P45" s="124"/>
      <c r="Q45" s="36" t="str">
        <f t="shared" si="18"/>
        <v/>
      </c>
      <c r="R45" s="46" t="str">
        <f t="shared" si="6"/>
        <v/>
      </c>
      <c r="S45" s="38" t="str">
        <f t="shared" si="7"/>
        <v/>
      </c>
      <c r="T45" s="39" t="str">
        <f t="shared" si="8"/>
        <v/>
      </c>
      <c r="U45" s="40" t="str">
        <f t="shared" si="9"/>
        <v/>
      </c>
      <c r="V45" s="39" t="str">
        <f t="shared" si="10"/>
        <v/>
      </c>
      <c r="W45" s="34" t="str">
        <f t="shared" si="19"/>
        <v/>
      </c>
      <c r="X45" s="41" t="str">
        <f t="shared" si="11"/>
        <v/>
      </c>
      <c r="Y45" s="98" t="str">
        <f t="shared" si="20"/>
        <v/>
      </c>
      <c r="Z45" s="16" t="str">
        <f t="shared" si="21"/>
        <v/>
      </c>
      <c r="AB45" s="139"/>
      <c r="AC45" s="146" t="str">
        <f t="shared" si="24"/>
        <v/>
      </c>
      <c r="AD45" s="148" t="str">
        <f t="shared" si="22"/>
        <v/>
      </c>
      <c r="AE45" s="147" t="str">
        <f t="shared" si="13"/>
        <v/>
      </c>
      <c r="AF45" s="111" t="str">
        <f t="shared" si="14"/>
        <v/>
      </c>
      <c r="AG45" s="111" t="str">
        <f t="shared" si="15"/>
        <v/>
      </c>
      <c r="AH45" s="112" t="str">
        <f t="shared" si="16"/>
        <v/>
      </c>
      <c r="AI45" t="str">
        <f t="shared" si="23"/>
        <v/>
      </c>
      <c r="AJ45" t="str">
        <f t="shared" si="25"/>
        <v/>
      </c>
    </row>
    <row r="46" spans="1:36" ht="15" customHeight="1" x14ac:dyDescent="0.25">
      <c r="A46" s="114"/>
      <c r="B46" s="116"/>
      <c r="C46" s="116"/>
      <c r="D46" s="42" t="str">
        <f t="shared" si="0"/>
        <v/>
      </c>
      <c r="E46" s="43"/>
      <c r="F46" s="118"/>
      <c r="G46" s="44" t="str">
        <f t="shared" si="1"/>
        <v/>
      </c>
      <c r="H46" s="118"/>
      <c r="I46" s="34" t="str">
        <f t="shared" si="2"/>
        <v/>
      </c>
      <c r="J46" s="118"/>
      <c r="K46" s="34" t="str">
        <f t="shared" si="3"/>
        <v/>
      </c>
      <c r="L46" s="118"/>
      <c r="M46" s="121"/>
      <c r="N46" s="122" t="str">
        <f t="shared" si="4"/>
        <v/>
      </c>
      <c r="O46" s="35" t="str">
        <f t="shared" si="5"/>
        <v/>
      </c>
      <c r="P46" s="124"/>
      <c r="Q46" s="36" t="str">
        <f t="shared" si="18"/>
        <v/>
      </c>
      <c r="R46" s="46" t="str">
        <f t="shared" si="6"/>
        <v/>
      </c>
      <c r="S46" s="38" t="str">
        <f t="shared" si="7"/>
        <v/>
      </c>
      <c r="T46" s="39" t="str">
        <f t="shared" si="8"/>
        <v/>
      </c>
      <c r="U46" s="40" t="str">
        <f t="shared" si="9"/>
        <v/>
      </c>
      <c r="V46" s="39" t="str">
        <f t="shared" si="10"/>
        <v/>
      </c>
      <c r="W46" s="34" t="str">
        <f t="shared" si="19"/>
        <v/>
      </c>
      <c r="X46" s="41" t="str">
        <f t="shared" si="11"/>
        <v/>
      </c>
      <c r="Y46" s="98" t="str">
        <f t="shared" si="20"/>
        <v/>
      </c>
      <c r="Z46" s="16" t="str">
        <f t="shared" si="21"/>
        <v/>
      </c>
      <c r="AB46" s="139"/>
      <c r="AC46" s="146" t="str">
        <f t="shared" si="24"/>
        <v/>
      </c>
      <c r="AD46" s="148" t="str">
        <f t="shared" si="22"/>
        <v/>
      </c>
      <c r="AE46" s="147" t="str">
        <f t="shared" si="13"/>
        <v/>
      </c>
      <c r="AF46" s="111" t="str">
        <f t="shared" si="14"/>
        <v/>
      </c>
      <c r="AG46" s="111" t="str">
        <f t="shared" si="15"/>
        <v/>
      </c>
      <c r="AH46" s="112" t="str">
        <f t="shared" si="16"/>
        <v/>
      </c>
      <c r="AI46" t="str">
        <f t="shared" si="23"/>
        <v/>
      </c>
      <c r="AJ46" t="str">
        <f t="shared" si="25"/>
        <v/>
      </c>
    </row>
    <row r="47" spans="1:36" ht="15" customHeight="1" x14ac:dyDescent="0.25">
      <c r="A47" s="114"/>
      <c r="B47" s="116"/>
      <c r="C47" s="116"/>
      <c r="D47" s="42" t="str">
        <f t="shared" si="0"/>
        <v/>
      </c>
      <c r="E47" s="43"/>
      <c r="F47" s="118"/>
      <c r="G47" s="44" t="str">
        <f t="shared" si="1"/>
        <v/>
      </c>
      <c r="H47" s="118"/>
      <c r="I47" s="34" t="str">
        <f t="shared" si="2"/>
        <v/>
      </c>
      <c r="J47" s="118"/>
      <c r="K47" s="34" t="str">
        <f t="shared" si="3"/>
        <v/>
      </c>
      <c r="L47" s="118"/>
      <c r="M47" s="121"/>
      <c r="N47" s="122" t="str">
        <f t="shared" si="4"/>
        <v/>
      </c>
      <c r="O47" s="35" t="str">
        <f t="shared" si="5"/>
        <v/>
      </c>
      <c r="P47" s="124"/>
      <c r="Q47" s="36" t="str">
        <f t="shared" si="18"/>
        <v/>
      </c>
      <c r="R47" s="46" t="str">
        <f t="shared" si="6"/>
        <v/>
      </c>
      <c r="S47" s="38" t="str">
        <f t="shared" si="7"/>
        <v/>
      </c>
      <c r="T47" s="39" t="str">
        <f t="shared" si="8"/>
        <v/>
      </c>
      <c r="U47" s="40" t="str">
        <f t="shared" si="9"/>
        <v/>
      </c>
      <c r="V47" s="39" t="str">
        <f t="shared" si="10"/>
        <v/>
      </c>
      <c r="W47" s="34" t="str">
        <f t="shared" si="19"/>
        <v/>
      </c>
      <c r="X47" s="41" t="str">
        <f t="shared" si="11"/>
        <v/>
      </c>
      <c r="Y47" s="98" t="str">
        <f t="shared" si="20"/>
        <v/>
      </c>
      <c r="Z47" s="16" t="str">
        <f t="shared" si="21"/>
        <v/>
      </c>
      <c r="AB47" s="139"/>
      <c r="AC47" s="146" t="str">
        <f t="shared" si="24"/>
        <v/>
      </c>
      <c r="AD47" s="148" t="str">
        <f t="shared" si="22"/>
        <v/>
      </c>
      <c r="AE47" s="147" t="str">
        <f t="shared" si="13"/>
        <v/>
      </c>
      <c r="AF47" s="111" t="str">
        <f t="shared" si="14"/>
        <v/>
      </c>
      <c r="AG47" s="111" t="str">
        <f t="shared" si="15"/>
        <v/>
      </c>
      <c r="AH47" s="112" t="str">
        <f t="shared" si="16"/>
        <v/>
      </c>
      <c r="AI47" t="str">
        <f t="shared" si="23"/>
        <v/>
      </c>
      <c r="AJ47" t="str">
        <f t="shared" si="25"/>
        <v/>
      </c>
    </row>
    <row r="48" spans="1:36" ht="15" customHeight="1" x14ac:dyDescent="0.25">
      <c r="A48" s="114"/>
      <c r="B48" s="116"/>
      <c r="C48" s="116"/>
      <c r="D48" s="42" t="str">
        <f t="shared" si="0"/>
        <v/>
      </c>
      <c r="E48" s="43"/>
      <c r="F48" s="118"/>
      <c r="G48" s="44" t="str">
        <f t="shared" si="1"/>
        <v/>
      </c>
      <c r="H48" s="118"/>
      <c r="I48" s="34" t="str">
        <f t="shared" si="2"/>
        <v/>
      </c>
      <c r="J48" s="118"/>
      <c r="K48" s="34" t="str">
        <f t="shared" si="3"/>
        <v/>
      </c>
      <c r="L48" s="118"/>
      <c r="M48" s="121"/>
      <c r="N48" s="122" t="str">
        <f t="shared" si="4"/>
        <v/>
      </c>
      <c r="O48" s="35" t="str">
        <f t="shared" si="5"/>
        <v/>
      </c>
      <c r="P48" s="124"/>
      <c r="Q48" s="36" t="str">
        <f t="shared" si="18"/>
        <v/>
      </c>
      <c r="R48" s="46" t="str">
        <f t="shared" si="6"/>
        <v/>
      </c>
      <c r="S48" s="38" t="str">
        <f t="shared" si="7"/>
        <v/>
      </c>
      <c r="T48" s="39" t="str">
        <f t="shared" si="8"/>
        <v/>
      </c>
      <c r="U48" s="40" t="str">
        <f t="shared" si="9"/>
        <v/>
      </c>
      <c r="V48" s="39" t="str">
        <f t="shared" si="10"/>
        <v/>
      </c>
      <c r="W48" s="34" t="str">
        <f t="shared" si="19"/>
        <v/>
      </c>
      <c r="X48" s="41" t="str">
        <f t="shared" si="11"/>
        <v/>
      </c>
      <c r="Y48" s="98" t="str">
        <f t="shared" si="20"/>
        <v/>
      </c>
      <c r="Z48" s="16" t="str">
        <f t="shared" si="21"/>
        <v/>
      </c>
      <c r="AB48" s="139"/>
      <c r="AC48" s="146" t="str">
        <f t="shared" si="24"/>
        <v/>
      </c>
      <c r="AD48" s="148" t="str">
        <f t="shared" si="22"/>
        <v/>
      </c>
      <c r="AE48" s="147" t="str">
        <f t="shared" si="13"/>
        <v/>
      </c>
      <c r="AF48" s="111" t="str">
        <f t="shared" si="14"/>
        <v/>
      </c>
      <c r="AG48" s="111" t="str">
        <f t="shared" si="15"/>
        <v/>
      </c>
      <c r="AH48" s="112" t="str">
        <f t="shared" si="16"/>
        <v/>
      </c>
      <c r="AI48" t="str">
        <f t="shared" si="23"/>
        <v/>
      </c>
      <c r="AJ48" t="str">
        <f t="shared" si="25"/>
        <v/>
      </c>
    </row>
    <row r="49" spans="1:36" ht="15" customHeight="1" x14ac:dyDescent="0.25">
      <c r="A49" s="114"/>
      <c r="B49" s="116"/>
      <c r="C49" s="116"/>
      <c r="D49" s="42" t="str">
        <f t="shared" si="0"/>
        <v/>
      </c>
      <c r="E49" s="43"/>
      <c r="F49" s="118"/>
      <c r="G49" s="44" t="str">
        <f t="shared" si="1"/>
        <v/>
      </c>
      <c r="H49" s="118"/>
      <c r="I49" s="34" t="str">
        <f t="shared" si="2"/>
        <v/>
      </c>
      <c r="J49" s="118"/>
      <c r="K49" s="34" t="str">
        <f t="shared" si="3"/>
        <v/>
      </c>
      <c r="L49" s="118"/>
      <c r="M49" s="121"/>
      <c r="N49" s="122" t="str">
        <f t="shared" si="4"/>
        <v/>
      </c>
      <c r="O49" s="35" t="str">
        <f t="shared" si="5"/>
        <v/>
      </c>
      <c r="P49" s="124"/>
      <c r="Q49" s="36" t="str">
        <f t="shared" si="18"/>
        <v/>
      </c>
      <c r="R49" s="46" t="str">
        <f t="shared" si="6"/>
        <v/>
      </c>
      <c r="S49" s="38" t="str">
        <f t="shared" si="7"/>
        <v/>
      </c>
      <c r="T49" s="39" t="str">
        <f t="shared" si="8"/>
        <v/>
      </c>
      <c r="U49" s="40" t="str">
        <f t="shared" si="9"/>
        <v/>
      </c>
      <c r="V49" s="39" t="str">
        <f t="shared" si="10"/>
        <v/>
      </c>
      <c r="W49" s="34" t="str">
        <f t="shared" si="19"/>
        <v/>
      </c>
      <c r="X49" s="41" t="str">
        <f t="shared" si="11"/>
        <v/>
      </c>
      <c r="Y49" s="98" t="str">
        <f t="shared" si="20"/>
        <v/>
      </c>
      <c r="Z49" s="16" t="str">
        <f t="shared" si="21"/>
        <v/>
      </c>
      <c r="AB49" s="139"/>
      <c r="AC49" s="146" t="str">
        <f t="shared" si="24"/>
        <v/>
      </c>
      <c r="AD49" s="148" t="str">
        <f t="shared" si="22"/>
        <v/>
      </c>
      <c r="AE49" s="147" t="str">
        <f t="shared" si="13"/>
        <v/>
      </c>
      <c r="AF49" s="111" t="str">
        <f t="shared" si="14"/>
        <v/>
      </c>
      <c r="AG49" s="111" t="str">
        <f t="shared" si="15"/>
        <v/>
      </c>
      <c r="AH49" s="112" t="str">
        <f t="shared" si="16"/>
        <v/>
      </c>
      <c r="AI49" t="str">
        <f t="shared" si="23"/>
        <v/>
      </c>
      <c r="AJ49" t="str">
        <f t="shared" si="25"/>
        <v/>
      </c>
    </row>
    <row r="50" spans="1:36" ht="15" customHeight="1" x14ac:dyDescent="0.25">
      <c r="A50" s="114"/>
      <c r="B50" s="116"/>
      <c r="C50" s="116"/>
      <c r="D50" s="42" t="str">
        <f t="shared" si="0"/>
        <v/>
      </c>
      <c r="E50" s="43"/>
      <c r="F50" s="118"/>
      <c r="G50" s="44" t="str">
        <f t="shared" si="1"/>
        <v/>
      </c>
      <c r="H50" s="118"/>
      <c r="I50" s="34" t="str">
        <f t="shared" si="2"/>
        <v/>
      </c>
      <c r="J50" s="118"/>
      <c r="K50" s="34" t="str">
        <f t="shared" si="3"/>
        <v/>
      </c>
      <c r="L50" s="118"/>
      <c r="M50" s="121"/>
      <c r="N50" s="122" t="str">
        <f t="shared" si="4"/>
        <v/>
      </c>
      <c r="O50" s="35" t="str">
        <f t="shared" si="5"/>
        <v/>
      </c>
      <c r="P50" s="124"/>
      <c r="Q50" s="36" t="str">
        <f t="shared" si="18"/>
        <v/>
      </c>
      <c r="R50" s="46" t="str">
        <f t="shared" si="6"/>
        <v/>
      </c>
      <c r="S50" s="38" t="str">
        <f t="shared" si="7"/>
        <v/>
      </c>
      <c r="T50" s="39" t="str">
        <f t="shared" si="8"/>
        <v/>
      </c>
      <c r="U50" s="40" t="str">
        <f t="shared" si="9"/>
        <v/>
      </c>
      <c r="V50" s="39" t="str">
        <f t="shared" si="10"/>
        <v/>
      </c>
      <c r="W50" s="34" t="str">
        <f t="shared" si="19"/>
        <v/>
      </c>
      <c r="X50" s="41" t="str">
        <f t="shared" si="11"/>
        <v/>
      </c>
      <c r="Y50" s="98" t="str">
        <f t="shared" si="20"/>
        <v/>
      </c>
      <c r="Z50" s="16" t="str">
        <f t="shared" si="21"/>
        <v/>
      </c>
      <c r="AB50" s="139"/>
      <c r="AC50" s="146" t="str">
        <f t="shared" si="24"/>
        <v/>
      </c>
      <c r="AD50" s="148" t="str">
        <f t="shared" si="22"/>
        <v/>
      </c>
      <c r="AE50" s="147" t="str">
        <f t="shared" si="13"/>
        <v/>
      </c>
      <c r="AF50" s="111" t="str">
        <f t="shared" si="14"/>
        <v/>
      </c>
      <c r="AG50" s="111" t="str">
        <f t="shared" si="15"/>
        <v/>
      </c>
      <c r="AH50" s="112" t="str">
        <f t="shared" si="16"/>
        <v/>
      </c>
      <c r="AI50" t="str">
        <f t="shared" si="23"/>
        <v/>
      </c>
      <c r="AJ50" t="str">
        <f t="shared" si="25"/>
        <v/>
      </c>
    </row>
    <row r="51" spans="1:36" ht="15" customHeight="1" x14ac:dyDescent="0.25">
      <c r="A51" s="114"/>
      <c r="B51" s="116"/>
      <c r="C51" s="116"/>
      <c r="D51" s="42" t="str">
        <f t="shared" si="0"/>
        <v/>
      </c>
      <c r="E51" s="43"/>
      <c r="F51" s="118"/>
      <c r="G51" s="44" t="str">
        <f t="shared" si="1"/>
        <v/>
      </c>
      <c r="H51" s="118"/>
      <c r="I51" s="34" t="str">
        <f t="shared" si="2"/>
        <v/>
      </c>
      <c r="J51" s="118"/>
      <c r="K51" s="34" t="str">
        <f t="shared" si="3"/>
        <v/>
      </c>
      <c r="L51" s="118"/>
      <c r="M51" s="121"/>
      <c r="N51" s="122" t="str">
        <f t="shared" si="4"/>
        <v/>
      </c>
      <c r="O51" s="35" t="str">
        <f t="shared" si="5"/>
        <v/>
      </c>
      <c r="P51" s="124"/>
      <c r="Q51" s="36" t="str">
        <f t="shared" si="18"/>
        <v/>
      </c>
      <c r="R51" s="46" t="str">
        <f t="shared" si="6"/>
        <v/>
      </c>
      <c r="S51" s="38" t="str">
        <f t="shared" si="7"/>
        <v/>
      </c>
      <c r="T51" s="39" t="str">
        <f t="shared" si="8"/>
        <v/>
      </c>
      <c r="U51" s="40" t="str">
        <f t="shared" si="9"/>
        <v/>
      </c>
      <c r="V51" s="39" t="str">
        <f t="shared" si="10"/>
        <v/>
      </c>
      <c r="W51" s="34" t="str">
        <f t="shared" si="19"/>
        <v/>
      </c>
      <c r="X51" s="41" t="str">
        <f t="shared" si="11"/>
        <v/>
      </c>
      <c r="Y51" s="98" t="str">
        <f t="shared" si="20"/>
        <v/>
      </c>
      <c r="Z51" s="16" t="str">
        <f t="shared" si="21"/>
        <v/>
      </c>
      <c r="AB51" s="139"/>
      <c r="AC51" s="146" t="str">
        <f t="shared" si="24"/>
        <v/>
      </c>
      <c r="AD51" s="148" t="str">
        <f t="shared" si="22"/>
        <v/>
      </c>
      <c r="AE51" s="147" t="str">
        <f t="shared" si="13"/>
        <v/>
      </c>
      <c r="AF51" s="111" t="str">
        <f t="shared" si="14"/>
        <v/>
      </c>
      <c r="AG51" s="111" t="str">
        <f t="shared" si="15"/>
        <v/>
      </c>
      <c r="AH51" s="112" t="str">
        <f t="shared" si="16"/>
        <v/>
      </c>
      <c r="AI51" t="str">
        <f t="shared" si="23"/>
        <v/>
      </c>
      <c r="AJ51" t="str">
        <f t="shared" si="25"/>
        <v/>
      </c>
    </row>
    <row r="52" spans="1:36" ht="15" customHeight="1" x14ac:dyDescent="0.25">
      <c r="A52" s="114"/>
      <c r="B52" s="116"/>
      <c r="C52" s="116"/>
      <c r="D52" s="42" t="str">
        <f t="shared" si="0"/>
        <v/>
      </c>
      <c r="E52" s="43"/>
      <c r="F52" s="118"/>
      <c r="G52" s="44" t="str">
        <f t="shared" si="1"/>
        <v/>
      </c>
      <c r="H52" s="118"/>
      <c r="I52" s="34" t="str">
        <f t="shared" si="2"/>
        <v/>
      </c>
      <c r="J52" s="118"/>
      <c r="K52" s="34" t="str">
        <f t="shared" si="3"/>
        <v/>
      </c>
      <c r="L52" s="118"/>
      <c r="M52" s="121"/>
      <c r="N52" s="122" t="str">
        <f t="shared" si="4"/>
        <v/>
      </c>
      <c r="O52" s="35" t="str">
        <f t="shared" si="5"/>
        <v/>
      </c>
      <c r="P52" s="124"/>
      <c r="Q52" s="36" t="str">
        <f t="shared" si="18"/>
        <v/>
      </c>
      <c r="R52" s="46" t="str">
        <f t="shared" si="6"/>
        <v/>
      </c>
      <c r="S52" s="38" t="str">
        <f t="shared" si="7"/>
        <v/>
      </c>
      <c r="T52" s="39" t="str">
        <f t="shared" si="8"/>
        <v/>
      </c>
      <c r="U52" s="40" t="str">
        <f t="shared" si="9"/>
        <v/>
      </c>
      <c r="V52" s="39" t="str">
        <f t="shared" si="10"/>
        <v/>
      </c>
      <c r="W52" s="34" t="str">
        <f t="shared" si="19"/>
        <v/>
      </c>
      <c r="X52" s="41" t="str">
        <f t="shared" si="11"/>
        <v/>
      </c>
      <c r="Y52" s="98" t="str">
        <f t="shared" si="20"/>
        <v/>
      </c>
      <c r="Z52" s="16" t="str">
        <f t="shared" si="21"/>
        <v/>
      </c>
      <c r="AB52" s="139"/>
      <c r="AC52" s="146" t="str">
        <f t="shared" si="24"/>
        <v/>
      </c>
      <c r="AD52" s="148" t="str">
        <f t="shared" si="22"/>
        <v/>
      </c>
      <c r="AE52" s="147" t="str">
        <f t="shared" si="13"/>
        <v/>
      </c>
      <c r="AF52" s="111" t="str">
        <f t="shared" si="14"/>
        <v/>
      </c>
      <c r="AG52" s="111" t="str">
        <f t="shared" si="15"/>
        <v/>
      </c>
      <c r="AH52" s="112" t="str">
        <f t="shared" si="16"/>
        <v/>
      </c>
      <c r="AI52" t="str">
        <f t="shared" si="23"/>
        <v/>
      </c>
      <c r="AJ52" t="str">
        <f t="shared" si="25"/>
        <v/>
      </c>
    </row>
    <row r="53" spans="1:36" ht="15" customHeight="1" x14ac:dyDescent="0.25">
      <c r="A53" s="114"/>
      <c r="B53" s="116"/>
      <c r="C53" s="116"/>
      <c r="D53" s="42" t="str">
        <f t="shared" si="0"/>
        <v/>
      </c>
      <c r="E53" s="43"/>
      <c r="F53" s="118"/>
      <c r="G53" s="44" t="str">
        <f t="shared" si="1"/>
        <v/>
      </c>
      <c r="H53" s="118"/>
      <c r="I53" s="34" t="str">
        <f t="shared" si="2"/>
        <v/>
      </c>
      <c r="J53" s="118"/>
      <c r="K53" s="34" t="str">
        <f t="shared" si="3"/>
        <v/>
      </c>
      <c r="L53" s="118"/>
      <c r="M53" s="121"/>
      <c r="N53" s="122" t="str">
        <f t="shared" si="4"/>
        <v/>
      </c>
      <c r="O53" s="35" t="str">
        <f t="shared" si="5"/>
        <v/>
      </c>
      <c r="P53" s="124"/>
      <c r="Q53" s="36" t="str">
        <f t="shared" si="18"/>
        <v/>
      </c>
      <c r="R53" s="46" t="str">
        <f t="shared" si="6"/>
        <v/>
      </c>
      <c r="S53" s="38" t="str">
        <f t="shared" si="7"/>
        <v/>
      </c>
      <c r="T53" s="39" t="str">
        <f t="shared" si="8"/>
        <v/>
      </c>
      <c r="U53" s="40" t="str">
        <f t="shared" si="9"/>
        <v/>
      </c>
      <c r="V53" s="39" t="str">
        <f t="shared" si="10"/>
        <v/>
      </c>
      <c r="W53" s="34" t="str">
        <f t="shared" si="19"/>
        <v/>
      </c>
      <c r="X53" s="41" t="str">
        <f t="shared" si="11"/>
        <v/>
      </c>
      <c r="Y53" s="98" t="str">
        <f t="shared" si="20"/>
        <v/>
      </c>
      <c r="Z53" s="16" t="str">
        <f t="shared" si="21"/>
        <v/>
      </c>
      <c r="AB53" s="139"/>
      <c r="AC53" s="146" t="str">
        <f t="shared" si="24"/>
        <v/>
      </c>
      <c r="AD53" s="148" t="str">
        <f t="shared" si="22"/>
        <v/>
      </c>
      <c r="AE53" s="147" t="str">
        <f t="shared" si="13"/>
        <v/>
      </c>
      <c r="AF53" s="111" t="str">
        <f t="shared" si="14"/>
        <v/>
      </c>
      <c r="AG53" s="111" t="str">
        <f t="shared" si="15"/>
        <v/>
      </c>
      <c r="AH53" s="112" t="str">
        <f t="shared" si="16"/>
        <v/>
      </c>
      <c r="AI53" t="str">
        <f t="shared" si="23"/>
        <v/>
      </c>
      <c r="AJ53" t="str">
        <f t="shared" si="25"/>
        <v/>
      </c>
    </row>
    <row r="54" spans="1:36" ht="15" customHeight="1" x14ac:dyDescent="0.25">
      <c r="A54" s="114"/>
      <c r="B54" s="116"/>
      <c r="C54" s="116"/>
      <c r="D54" s="42" t="str">
        <f t="shared" si="0"/>
        <v/>
      </c>
      <c r="E54" s="43"/>
      <c r="F54" s="118"/>
      <c r="G54" s="44" t="str">
        <f t="shared" si="1"/>
        <v/>
      </c>
      <c r="H54" s="118"/>
      <c r="I54" s="34" t="str">
        <f t="shared" si="2"/>
        <v/>
      </c>
      <c r="J54" s="118"/>
      <c r="K54" s="34" t="str">
        <f t="shared" si="3"/>
        <v/>
      </c>
      <c r="L54" s="118"/>
      <c r="M54" s="121"/>
      <c r="N54" s="122" t="str">
        <f t="shared" si="4"/>
        <v/>
      </c>
      <c r="O54" s="35" t="str">
        <f t="shared" si="5"/>
        <v/>
      </c>
      <c r="P54" s="124"/>
      <c r="Q54" s="36" t="str">
        <f t="shared" si="18"/>
        <v/>
      </c>
      <c r="R54" s="46" t="str">
        <f t="shared" si="6"/>
        <v/>
      </c>
      <c r="S54" s="38" t="str">
        <f t="shared" si="7"/>
        <v/>
      </c>
      <c r="T54" s="39" t="str">
        <f t="shared" si="8"/>
        <v/>
      </c>
      <c r="U54" s="40" t="str">
        <f t="shared" si="9"/>
        <v/>
      </c>
      <c r="V54" s="39" t="str">
        <f t="shared" si="10"/>
        <v/>
      </c>
      <c r="W54" s="34" t="str">
        <f t="shared" si="19"/>
        <v/>
      </c>
      <c r="X54" s="41" t="str">
        <f t="shared" si="11"/>
        <v/>
      </c>
      <c r="Y54" s="98" t="str">
        <f t="shared" si="20"/>
        <v/>
      </c>
      <c r="Z54" s="16" t="str">
        <f t="shared" si="21"/>
        <v/>
      </c>
      <c r="AB54" s="139"/>
      <c r="AC54" s="146" t="str">
        <f t="shared" si="24"/>
        <v/>
      </c>
      <c r="AD54" s="148" t="str">
        <f t="shared" si="22"/>
        <v/>
      </c>
      <c r="AE54" s="147" t="str">
        <f t="shared" si="13"/>
        <v/>
      </c>
      <c r="AF54" s="111" t="str">
        <f t="shared" si="14"/>
        <v/>
      </c>
      <c r="AG54" s="111" t="str">
        <f t="shared" si="15"/>
        <v/>
      </c>
      <c r="AH54" s="112" t="str">
        <f t="shared" si="16"/>
        <v/>
      </c>
      <c r="AI54" t="str">
        <f t="shared" si="23"/>
        <v/>
      </c>
      <c r="AJ54" t="str">
        <f t="shared" si="25"/>
        <v/>
      </c>
    </row>
    <row r="55" spans="1:36" ht="15" customHeight="1" x14ac:dyDescent="0.25">
      <c r="A55" s="114"/>
      <c r="B55" s="116"/>
      <c r="C55" s="116"/>
      <c r="D55" s="42" t="str">
        <f t="shared" si="0"/>
        <v/>
      </c>
      <c r="E55" s="43"/>
      <c r="F55" s="118"/>
      <c r="G55" s="44" t="str">
        <f t="shared" si="1"/>
        <v/>
      </c>
      <c r="H55" s="118"/>
      <c r="I55" s="34" t="str">
        <f t="shared" si="2"/>
        <v/>
      </c>
      <c r="J55" s="118"/>
      <c r="K55" s="34" t="str">
        <f t="shared" si="3"/>
        <v/>
      </c>
      <c r="L55" s="118"/>
      <c r="M55" s="121"/>
      <c r="N55" s="122" t="str">
        <f t="shared" si="4"/>
        <v/>
      </c>
      <c r="O55" s="35" t="str">
        <f t="shared" si="5"/>
        <v/>
      </c>
      <c r="P55" s="124"/>
      <c r="Q55" s="36" t="str">
        <f t="shared" si="18"/>
        <v/>
      </c>
      <c r="R55" s="46" t="str">
        <f t="shared" si="6"/>
        <v/>
      </c>
      <c r="S55" s="38" t="str">
        <f t="shared" si="7"/>
        <v/>
      </c>
      <c r="T55" s="39" t="str">
        <f t="shared" si="8"/>
        <v/>
      </c>
      <c r="U55" s="40" t="str">
        <f t="shared" si="9"/>
        <v/>
      </c>
      <c r="V55" s="39" t="str">
        <f t="shared" si="10"/>
        <v/>
      </c>
      <c r="W55" s="34" t="str">
        <f t="shared" si="19"/>
        <v/>
      </c>
      <c r="X55" s="41" t="str">
        <f t="shared" si="11"/>
        <v/>
      </c>
      <c r="Y55" s="98" t="str">
        <f t="shared" si="20"/>
        <v/>
      </c>
      <c r="Z55" s="16" t="str">
        <f t="shared" si="21"/>
        <v/>
      </c>
      <c r="AB55" s="139"/>
      <c r="AC55" s="146" t="str">
        <f t="shared" si="24"/>
        <v/>
      </c>
      <c r="AD55" s="148" t="str">
        <f t="shared" si="22"/>
        <v/>
      </c>
      <c r="AE55" s="147" t="str">
        <f t="shared" si="13"/>
        <v/>
      </c>
      <c r="AF55" s="111" t="str">
        <f t="shared" si="14"/>
        <v/>
      </c>
      <c r="AG55" s="111" t="str">
        <f t="shared" si="15"/>
        <v/>
      </c>
      <c r="AH55" s="112" t="str">
        <f t="shared" si="16"/>
        <v/>
      </c>
      <c r="AI55" t="str">
        <f t="shared" si="23"/>
        <v/>
      </c>
      <c r="AJ55" t="str">
        <f t="shared" si="25"/>
        <v/>
      </c>
    </row>
    <row r="56" spans="1:36" ht="15" customHeight="1" x14ac:dyDescent="0.25">
      <c r="A56" s="114"/>
      <c r="B56" s="116"/>
      <c r="C56" s="116"/>
      <c r="D56" s="42" t="str">
        <f t="shared" si="0"/>
        <v/>
      </c>
      <c r="E56" s="43"/>
      <c r="F56" s="118"/>
      <c r="G56" s="44" t="str">
        <f t="shared" si="1"/>
        <v/>
      </c>
      <c r="H56" s="118"/>
      <c r="I56" s="34" t="str">
        <f t="shared" si="2"/>
        <v/>
      </c>
      <c r="J56" s="118"/>
      <c r="K56" s="34" t="str">
        <f t="shared" si="3"/>
        <v/>
      </c>
      <c r="L56" s="118"/>
      <c r="M56" s="121"/>
      <c r="N56" s="122" t="str">
        <f t="shared" si="4"/>
        <v/>
      </c>
      <c r="O56" s="35" t="str">
        <f t="shared" si="5"/>
        <v/>
      </c>
      <c r="P56" s="124"/>
      <c r="Q56" s="36" t="str">
        <f t="shared" si="18"/>
        <v/>
      </c>
      <c r="R56" s="46" t="str">
        <f t="shared" si="6"/>
        <v/>
      </c>
      <c r="S56" s="38" t="str">
        <f t="shared" si="7"/>
        <v/>
      </c>
      <c r="T56" s="39" t="str">
        <f t="shared" si="8"/>
        <v/>
      </c>
      <c r="U56" s="40" t="str">
        <f t="shared" si="9"/>
        <v/>
      </c>
      <c r="V56" s="39" t="str">
        <f t="shared" si="10"/>
        <v/>
      </c>
      <c r="W56" s="34" t="str">
        <f t="shared" si="19"/>
        <v/>
      </c>
      <c r="X56" s="41" t="str">
        <f t="shared" si="11"/>
        <v/>
      </c>
      <c r="Y56" s="98" t="str">
        <f t="shared" si="20"/>
        <v/>
      </c>
      <c r="Z56" s="16" t="str">
        <f t="shared" si="21"/>
        <v/>
      </c>
      <c r="AB56" s="139"/>
      <c r="AC56" s="146" t="str">
        <f t="shared" si="24"/>
        <v/>
      </c>
      <c r="AD56" s="148" t="str">
        <f t="shared" si="22"/>
        <v/>
      </c>
      <c r="AE56" s="147" t="str">
        <f t="shared" si="13"/>
        <v/>
      </c>
      <c r="AF56" s="111" t="str">
        <f t="shared" si="14"/>
        <v/>
      </c>
      <c r="AG56" s="111" t="str">
        <f t="shared" si="15"/>
        <v/>
      </c>
      <c r="AH56" s="112" t="str">
        <f t="shared" si="16"/>
        <v/>
      </c>
      <c r="AI56" t="str">
        <f t="shared" si="23"/>
        <v/>
      </c>
      <c r="AJ56" t="str">
        <f t="shared" si="25"/>
        <v/>
      </c>
    </row>
    <row r="57" spans="1:36" ht="15" customHeight="1" x14ac:dyDescent="0.25">
      <c r="A57" s="114"/>
      <c r="B57" s="116"/>
      <c r="C57" s="116"/>
      <c r="D57" s="42" t="str">
        <f t="shared" si="0"/>
        <v/>
      </c>
      <c r="E57" s="43"/>
      <c r="F57" s="118"/>
      <c r="G57" s="44" t="str">
        <f t="shared" si="1"/>
        <v/>
      </c>
      <c r="H57" s="118"/>
      <c r="I57" s="34" t="str">
        <f t="shared" si="2"/>
        <v/>
      </c>
      <c r="J57" s="118"/>
      <c r="K57" s="34" t="str">
        <f t="shared" si="3"/>
        <v/>
      </c>
      <c r="L57" s="118"/>
      <c r="M57" s="121"/>
      <c r="N57" s="122" t="str">
        <f t="shared" si="4"/>
        <v/>
      </c>
      <c r="O57" s="35" t="str">
        <f t="shared" si="5"/>
        <v/>
      </c>
      <c r="P57" s="124"/>
      <c r="Q57" s="36" t="str">
        <f t="shared" si="18"/>
        <v/>
      </c>
      <c r="R57" s="46" t="str">
        <f t="shared" si="6"/>
        <v/>
      </c>
      <c r="S57" s="38" t="str">
        <f t="shared" si="7"/>
        <v/>
      </c>
      <c r="T57" s="39" t="str">
        <f t="shared" si="8"/>
        <v/>
      </c>
      <c r="U57" s="40" t="str">
        <f t="shared" si="9"/>
        <v/>
      </c>
      <c r="V57" s="39" t="str">
        <f t="shared" si="10"/>
        <v/>
      </c>
      <c r="W57" s="34" t="str">
        <f t="shared" si="19"/>
        <v/>
      </c>
      <c r="X57" s="41" t="str">
        <f t="shared" si="11"/>
        <v/>
      </c>
      <c r="Y57" s="98" t="str">
        <f t="shared" si="20"/>
        <v/>
      </c>
      <c r="Z57" s="16" t="str">
        <f t="shared" si="21"/>
        <v/>
      </c>
      <c r="AB57" s="139"/>
      <c r="AC57" s="146" t="str">
        <f t="shared" si="24"/>
        <v/>
      </c>
      <c r="AD57" s="148" t="str">
        <f t="shared" si="22"/>
        <v/>
      </c>
      <c r="AE57" s="147" t="str">
        <f t="shared" si="13"/>
        <v/>
      </c>
      <c r="AF57" s="111" t="str">
        <f t="shared" si="14"/>
        <v/>
      </c>
      <c r="AG57" s="111" t="str">
        <f t="shared" si="15"/>
        <v/>
      </c>
      <c r="AH57" s="112" t="str">
        <f t="shared" si="16"/>
        <v/>
      </c>
      <c r="AI57" t="str">
        <f t="shared" si="23"/>
        <v/>
      </c>
      <c r="AJ57" t="str">
        <f t="shared" si="25"/>
        <v/>
      </c>
    </row>
    <row r="58" spans="1:36" ht="15" customHeight="1" x14ac:dyDescent="0.25">
      <c r="A58" s="114"/>
      <c r="B58" s="116"/>
      <c r="C58" s="116"/>
      <c r="D58" s="42" t="str">
        <f t="shared" si="0"/>
        <v/>
      </c>
      <c r="E58" s="43"/>
      <c r="F58" s="118"/>
      <c r="G58" s="44" t="str">
        <f t="shared" si="1"/>
        <v/>
      </c>
      <c r="H58" s="118"/>
      <c r="I58" s="34" t="str">
        <f t="shared" si="2"/>
        <v/>
      </c>
      <c r="J58" s="118"/>
      <c r="K58" s="34" t="str">
        <f t="shared" si="3"/>
        <v/>
      </c>
      <c r="L58" s="118"/>
      <c r="M58" s="121"/>
      <c r="N58" s="122" t="str">
        <f t="shared" si="4"/>
        <v/>
      </c>
      <c r="O58" s="35" t="str">
        <f t="shared" si="5"/>
        <v/>
      </c>
      <c r="P58" s="124"/>
      <c r="Q58" s="36" t="str">
        <f t="shared" si="18"/>
        <v/>
      </c>
      <c r="R58" s="46" t="str">
        <f t="shared" si="6"/>
        <v/>
      </c>
      <c r="S58" s="38" t="str">
        <f t="shared" si="7"/>
        <v/>
      </c>
      <c r="T58" s="39" t="str">
        <f t="shared" si="8"/>
        <v/>
      </c>
      <c r="U58" s="40" t="str">
        <f t="shared" si="9"/>
        <v/>
      </c>
      <c r="V58" s="39" t="str">
        <f t="shared" si="10"/>
        <v/>
      </c>
      <c r="W58" s="34" t="str">
        <f t="shared" si="19"/>
        <v/>
      </c>
      <c r="X58" s="41" t="str">
        <f t="shared" si="11"/>
        <v/>
      </c>
      <c r="Y58" s="98" t="str">
        <f t="shared" si="20"/>
        <v/>
      </c>
      <c r="Z58" s="16" t="str">
        <f t="shared" si="21"/>
        <v/>
      </c>
      <c r="AB58" s="139"/>
      <c r="AC58" s="146" t="str">
        <f t="shared" si="24"/>
        <v/>
      </c>
      <c r="AD58" s="148" t="str">
        <f t="shared" si="22"/>
        <v/>
      </c>
      <c r="AE58" s="147" t="str">
        <f t="shared" si="13"/>
        <v/>
      </c>
      <c r="AF58" s="111" t="str">
        <f t="shared" si="14"/>
        <v/>
      </c>
      <c r="AG58" s="111" t="str">
        <f t="shared" si="15"/>
        <v/>
      </c>
      <c r="AH58" s="112" t="str">
        <f t="shared" si="16"/>
        <v/>
      </c>
      <c r="AI58" t="str">
        <f t="shared" si="23"/>
        <v/>
      </c>
      <c r="AJ58" t="str">
        <f t="shared" si="25"/>
        <v/>
      </c>
    </row>
    <row r="59" spans="1:36" ht="15" customHeight="1" x14ac:dyDescent="0.25">
      <c r="A59" s="114"/>
      <c r="B59" s="116"/>
      <c r="C59" s="116"/>
      <c r="D59" s="42" t="str">
        <f t="shared" si="0"/>
        <v/>
      </c>
      <c r="E59" s="43"/>
      <c r="F59" s="118"/>
      <c r="G59" s="44" t="str">
        <f t="shared" si="1"/>
        <v/>
      </c>
      <c r="H59" s="118"/>
      <c r="I59" s="34" t="str">
        <f t="shared" si="2"/>
        <v/>
      </c>
      <c r="J59" s="118"/>
      <c r="K59" s="34" t="str">
        <f t="shared" si="3"/>
        <v/>
      </c>
      <c r="L59" s="118"/>
      <c r="M59" s="121"/>
      <c r="N59" s="122" t="str">
        <f t="shared" si="4"/>
        <v/>
      </c>
      <c r="O59" s="35" t="str">
        <f t="shared" si="5"/>
        <v/>
      </c>
      <c r="P59" s="124"/>
      <c r="Q59" s="36" t="str">
        <f t="shared" si="18"/>
        <v/>
      </c>
      <c r="R59" s="46" t="str">
        <f t="shared" si="6"/>
        <v/>
      </c>
      <c r="S59" s="38" t="str">
        <f t="shared" si="7"/>
        <v/>
      </c>
      <c r="T59" s="39" t="str">
        <f t="shared" si="8"/>
        <v/>
      </c>
      <c r="U59" s="40" t="str">
        <f t="shared" si="9"/>
        <v/>
      </c>
      <c r="V59" s="39" t="str">
        <f t="shared" si="10"/>
        <v/>
      </c>
      <c r="W59" s="34" t="str">
        <f t="shared" si="19"/>
        <v/>
      </c>
      <c r="X59" s="41" t="str">
        <f t="shared" si="11"/>
        <v/>
      </c>
      <c r="Y59" s="98" t="str">
        <f t="shared" si="20"/>
        <v/>
      </c>
      <c r="Z59" s="16" t="str">
        <f t="shared" si="21"/>
        <v/>
      </c>
      <c r="AB59" s="139"/>
      <c r="AC59" s="146" t="str">
        <f t="shared" si="24"/>
        <v/>
      </c>
      <c r="AD59" s="148" t="str">
        <f t="shared" si="22"/>
        <v/>
      </c>
      <c r="AE59" s="147" t="str">
        <f t="shared" si="13"/>
        <v/>
      </c>
      <c r="AF59" s="111" t="str">
        <f t="shared" si="14"/>
        <v/>
      </c>
      <c r="AG59" s="111" t="str">
        <f t="shared" si="15"/>
        <v/>
      </c>
      <c r="AH59" s="112" t="str">
        <f t="shared" si="16"/>
        <v/>
      </c>
      <c r="AI59" t="str">
        <f t="shared" si="23"/>
        <v/>
      </c>
      <c r="AJ59" t="str">
        <f t="shared" si="25"/>
        <v/>
      </c>
    </row>
    <row r="60" spans="1:36" ht="15" customHeight="1" x14ac:dyDescent="0.25">
      <c r="A60" s="114"/>
      <c r="B60" s="116"/>
      <c r="C60" s="116"/>
      <c r="D60" s="42" t="str">
        <f t="shared" si="0"/>
        <v/>
      </c>
      <c r="E60" s="43"/>
      <c r="F60" s="118"/>
      <c r="G60" s="44" t="str">
        <f t="shared" si="1"/>
        <v/>
      </c>
      <c r="H60" s="118"/>
      <c r="I60" s="34" t="str">
        <f t="shared" si="2"/>
        <v/>
      </c>
      <c r="J60" s="118"/>
      <c r="K60" s="34" t="str">
        <f t="shared" si="3"/>
        <v/>
      </c>
      <c r="L60" s="118"/>
      <c r="M60" s="121"/>
      <c r="N60" s="122" t="str">
        <f t="shared" si="4"/>
        <v/>
      </c>
      <c r="O60" s="35" t="str">
        <f t="shared" si="5"/>
        <v/>
      </c>
      <c r="P60" s="124"/>
      <c r="Q60" s="36" t="str">
        <f t="shared" si="18"/>
        <v/>
      </c>
      <c r="R60" s="46" t="str">
        <f t="shared" si="6"/>
        <v/>
      </c>
      <c r="S60" s="38" t="str">
        <f t="shared" si="7"/>
        <v/>
      </c>
      <c r="T60" s="39" t="str">
        <f t="shared" si="8"/>
        <v/>
      </c>
      <c r="U60" s="40" t="str">
        <f t="shared" si="9"/>
        <v/>
      </c>
      <c r="V60" s="39" t="str">
        <f t="shared" si="10"/>
        <v/>
      </c>
      <c r="W60" s="34" t="str">
        <f t="shared" si="19"/>
        <v/>
      </c>
      <c r="X60" s="41" t="str">
        <f t="shared" si="11"/>
        <v/>
      </c>
      <c r="Y60" s="98" t="str">
        <f t="shared" si="20"/>
        <v/>
      </c>
      <c r="Z60" s="16" t="str">
        <f t="shared" si="21"/>
        <v/>
      </c>
      <c r="AB60" s="139"/>
      <c r="AC60" s="146" t="str">
        <f t="shared" si="24"/>
        <v/>
      </c>
      <c r="AD60" s="148" t="str">
        <f t="shared" si="22"/>
        <v/>
      </c>
      <c r="AE60" s="147" t="str">
        <f t="shared" si="13"/>
        <v/>
      </c>
      <c r="AF60" s="111" t="str">
        <f t="shared" si="14"/>
        <v/>
      </c>
      <c r="AG60" s="111" t="str">
        <f t="shared" si="15"/>
        <v/>
      </c>
      <c r="AH60" s="112" t="str">
        <f t="shared" si="16"/>
        <v/>
      </c>
      <c r="AI60" t="str">
        <f t="shared" si="23"/>
        <v/>
      </c>
      <c r="AJ60" t="str">
        <f t="shared" si="25"/>
        <v/>
      </c>
    </row>
    <row r="61" spans="1:36" ht="15" customHeight="1" x14ac:dyDescent="0.25">
      <c r="A61" s="114"/>
      <c r="B61" s="116"/>
      <c r="C61" s="116"/>
      <c r="D61" s="42" t="str">
        <f t="shared" si="0"/>
        <v/>
      </c>
      <c r="E61" s="43"/>
      <c r="F61" s="118"/>
      <c r="G61" s="44" t="str">
        <f t="shared" si="1"/>
        <v/>
      </c>
      <c r="H61" s="118"/>
      <c r="I61" s="34" t="str">
        <f t="shared" si="2"/>
        <v/>
      </c>
      <c r="J61" s="118"/>
      <c r="K61" s="34" t="str">
        <f t="shared" si="3"/>
        <v/>
      </c>
      <c r="L61" s="118"/>
      <c r="M61" s="121"/>
      <c r="N61" s="122" t="str">
        <f t="shared" si="4"/>
        <v/>
      </c>
      <c r="O61" s="35" t="str">
        <f t="shared" si="5"/>
        <v/>
      </c>
      <c r="P61" s="124"/>
      <c r="Q61" s="36" t="str">
        <f t="shared" si="18"/>
        <v/>
      </c>
      <c r="R61" s="46" t="str">
        <f t="shared" si="6"/>
        <v/>
      </c>
      <c r="S61" s="38" t="str">
        <f t="shared" si="7"/>
        <v/>
      </c>
      <c r="T61" s="39" t="str">
        <f t="shared" si="8"/>
        <v/>
      </c>
      <c r="U61" s="40" t="str">
        <f t="shared" si="9"/>
        <v/>
      </c>
      <c r="V61" s="39" t="str">
        <f t="shared" si="10"/>
        <v/>
      </c>
      <c r="W61" s="34" t="str">
        <f t="shared" si="19"/>
        <v/>
      </c>
      <c r="X61" s="41" t="str">
        <f t="shared" si="11"/>
        <v/>
      </c>
      <c r="Y61" s="98" t="str">
        <f t="shared" si="20"/>
        <v/>
      </c>
      <c r="Z61" s="16" t="str">
        <f t="shared" si="21"/>
        <v/>
      </c>
      <c r="AB61" s="139"/>
      <c r="AC61" s="146" t="str">
        <f t="shared" si="24"/>
        <v/>
      </c>
      <c r="AD61" s="148" t="str">
        <f t="shared" si="22"/>
        <v/>
      </c>
      <c r="AE61" s="147" t="str">
        <f t="shared" si="13"/>
        <v/>
      </c>
      <c r="AF61" s="111" t="str">
        <f t="shared" si="14"/>
        <v/>
      </c>
      <c r="AG61" s="111" t="str">
        <f t="shared" si="15"/>
        <v/>
      </c>
      <c r="AH61" s="112" t="str">
        <f t="shared" si="16"/>
        <v/>
      </c>
      <c r="AI61" t="str">
        <f t="shared" si="23"/>
        <v/>
      </c>
      <c r="AJ61" t="str">
        <f t="shared" si="25"/>
        <v/>
      </c>
    </row>
    <row r="62" spans="1:36" ht="15" customHeight="1" x14ac:dyDescent="0.25">
      <c r="A62" s="114"/>
      <c r="B62" s="116"/>
      <c r="C62" s="116"/>
      <c r="D62" s="42" t="str">
        <f t="shared" si="0"/>
        <v/>
      </c>
      <c r="E62" s="43"/>
      <c r="F62" s="118"/>
      <c r="G62" s="44" t="str">
        <f t="shared" si="1"/>
        <v/>
      </c>
      <c r="H62" s="118"/>
      <c r="I62" s="34" t="str">
        <f t="shared" si="2"/>
        <v/>
      </c>
      <c r="J62" s="118"/>
      <c r="K62" s="34" t="str">
        <f t="shared" si="3"/>
        <v/>
      </c>
      <c r="L62" s="118"/>
      <c r="M62" s="121"/>
      <c r="N62" s="122" t="str">
        <f t="shared" si="4"/>
        <v/>
      </c>
      <c r="O62" s="35" t="str">
        <f t="shared" si="5"/>
        <v/>
      </c>
      <c r="P62" s="124"/>
      <c r="Q62" s="36" t="str">
        <f t="shared" si="18"/>
        <v/>
      </c>
      <c r="R62" s="46" t="str">
        <f t="shared" si="6"/>
        <v/>
      </c>
      <c r="S62" s="38" t="str">
        <f t="shared" si="7"/>
        <v/>
      </c>
      <c r="T62" s="39" t="str">
        <f t="shared" si="8"/>
        <v/>
      </c>
      <c r="U62" s="40" t="str">
        <f t="shared" si="9"/>
        <v/>
      </c>
      <c r="V62" s="39" t="str">
        <f t="shared" si="10"/>
        <v/>
      </c>
      <c r="W62" s="34" t="str">
        <f t="shared" si="19"/>
        <v/>
      </c>
      <c r="X62" s="41" t="str">
        <f t="shared" si="11"/>
        <v/>
      </c>
      <c r="Y62" s="98" t="str">
        <f t="shared" si="20"/>
        <v/>
      </c>
      <c r="Z62" s="16" t="str">
        <f t="shared" si="21"/>
        <v/>
      </c>
      <c r="AB62" s="139"/>
      <c r="AC62" s="146" t="str">
        <f t="shared" si="24"/>
        <v/>
      </c>
      <c r="AD62" s="148" t="str">
        <f t="shared" si="22"/>
        <v/>
      </c>
      <c r="AE62" s="147" t="str">
        <f t="shared" si="13"/>
        <v/>
      </c>
      <c r="AF62" s="111" t="str">
        <f t="shared" si="14"/>
        <v/>
      </c>
      <c r="AG62" s="111" t="str">
        <f t="shared" si="15"/>
        <v/>
      </c>
      <c r="AH62" s="112" t="str">
        <f t="shared" si="16"/>
        <v/>
      </c>
      <c r="AI62" t="str">
        <f t="shared" si="23"/>
        <v/>
      </c>
      <c r="AJ62" t="str">
        <f t="shared" si="25"/>
        <v/>
      </c>
    </row>
    <row r="63" spans="1:36" ht="15" customHeight="1" x14ac:dyDescent="0.25">
      <c r="A63" s="114"/>
      <c r="B63" s="116"/>
      <c r="C63" s="116"/>
      <c r="D63" s="42" t="str">
        <f t="shared" si="0"/>
        <v/>
      </c>
      <c r="E63" s="43"/>
      <c r="F63" s="118"/>
      <c r="G63" s="44" t="str">
        <f t="shared" si="1"/>
        <v/>
      </c>
      <c r="H63" s="118"/>
      <c r="I63" s="34" t="str">
        <f t="shared" si="2"/>
        <v/>
      </c>
      <c r="J63" s="118"/>
      <c r="K63" s="34" t="str">
        <f t="shared" si="3"/>
        <v/>
      </c>
      <c r="L63" s="118"/>
      <c r="M63" s="121"/>
      <c r="N63" s="122" t="str">
        <f t="shared" si="4"/>
        <v/>
      </c>
      <c r="O63" s="35" t="str">
        <f t="shared" si="5"/>
        <v/>
      </c>
      <c r="P63" s="124"/>
      <c r="Q63" s="36" t="str">
        <f t="shared" si="18"/>
        <v/>
      </c>
      <c r="R63" s="46" t="str">
        <f t="shared" si="6"/>
        <v/>
      </c>
      <c r="S63" s="38" t="str">
        <f t="shared" si="7"/>
        <v/>
      </c>
      <c r="T63" s="39" t="str">
        <f t="shared" si="8"/>
        <v/>
      </c>
      <c r="U63" s="40" t="str">
        <f t="shared" si="9"/>
        <v/>
      </c>
      <c r="V63" s="39" t="str">
        <f t="shared" si="10"/>
        <v/>
      </c>
      <c r="W63" s="34" t="str">
        <f t="shared" si="19"/>
        <v/>
      </c>
      <c r="X63" s="41" t="str">
        <f t="shared" si="11"/>
        <v/>
      </c>
      <c r="Y63" s="98" t="str">
        <f t="shared" si="20"/>
        <v/>
      </c>
      <c r="Z63" s="16" t="str">
        <f t="shared" si="21"/>
        <v/>
      </c>
      <c r="AB63" s="139"/>
      <c r="AC63" s="146" t="str">
        <f t="shared" si="24"/>
        <v/>
      </c>
      <c r="AD63" s="148" t="str">
        <f t="shared" si="22"/>
        <v/>
      </c>
      <c r="AE63" s="147" t="str">
        <f t="shared" si="13"/>
        <v/>
      </c>
      <c r="AF63" s="111" t="str">
        <f t="shared" si="14"/>
        <v/>
      </c>
      <c r="AG63" s="111" t="str">
        <f t="shared" si="15"/>
        <v/>
      </c>
      <c r="AH63" s="112" t="str">
        <f t="shared" si="16"/>
        <v/>
      </c>
      <c r="AI63" t="str">
        <f t="shared" si="23"/>
        <v/>
      </c>
      <c r="AJ63" t="str">
        <f t="shared" si="25"/>
        <v/>
      </c>
    </row>
    <row r="64" spans="1:36" ht="15" customHeight="1" x14ac:dyDescent="0.25">
      <c r="A64" s="114"/>
      <c r="B64" s="116"/>
      <c r="C64" s="116"/>
      <c r="D64" s="42" t="str">
        <f t="shared" si="0"/>
        <v/>
      </c>
      <c r="E64" s="43"/>
      <c r="F64" s="118"/>
      <c r="G64" s="44" t="str">
        <f t="shared" si="1"/>
        <v/>
      </c>
      <c r="H64" s="118"/>
      <c r="I64" s="34" t="str">
        <f t="shared" si="2"/>
        <v/>
      </c>
      <c r="J64" s="118"/>
      <c r="K64" s="34" t="str">
        <f t="shared" si="3"/>
        <v/>
      </c>
      <c r="L64" s="118"/>
      <c r="M64" s="121"/>
      <c r="N64" s="122" t="str">
        <f t="shared" si="4"/>
        <v/>
      </c>
      <c r="O64" s="35" t="str">
        <f t="shared" si="5"/>
        <v/>
      </c>
      <c r="P64" s="124"/>
      <c r="Q64" s="36" t="str">
        <f t="shared" si="18"/>
        <v/>
      </c>
      <c r="R64" s="46" t="str">
        <f t="shared" si="6"/>
        <v/>
      </c>
      <c r="S64" s="38" t="str">
        <f t="shared" si="7"/>
        <v/>
      </c>
      <c r="T64" s="39" t="str">
        <f t="shared" si="8"/>
        <v/>
      </c>
      <c r="U64" s="40" t="str">
        <f t="shared" si="9"/>
        <v/>
      </c>
      <c r="V64" s="39" t="str">
        <f t="shared" si="10"/>
        <v/>
      </c>
      <c r="W64" s="34" t="str">
        <f t="shared" si="19"/>
        <v/>
      </c>
      <c r="X64" s="41" t="str">
        <f t="shared" si="11"/>
        <v/>
      </c>
      <c r="Y64" s="98" t="str">
        <f t="shared" si="20"/>
        <v/>
      </c>
      <c r="Z64" s="16" t="str">
        <f t="shared" si="21"/>
        <v/>
      </c>
      <c r="AB64" s="139"/>
      <c r="AC64" s="146" t="str">
        <f t="shared" si="24"/>
        <v/>
      </c>
      <c r="AD64" s="148" t="str">
        <f t="shared" si="22"/>
        <v/>
      </c>
      <c r="AE64" s="147" t="str">
        <f t="shared" si="13"/>
        <v/>
      </c>
      <c r="AF64" s="111" t="str">
        <f t="shared" si="14"/>
        <v/>
      </c>
      <c r="AG64" s="111" t="str">
        <f t="shared" si="15"/>
        <v/>
      </c>
      <c r="AH64" s="112" t="str">
        <f t="shared" si="16"/>
        <v/>
      </c>
      <c r="AI64" t="str">
        <f t="shared" si="23"/>
        <v/>
      </c>
      <c r="AJ64" t="str">
        <f t="shared" si="25"/>
        <v/>
      </c>
    </row>
    <row r="65" spans="1:36" ht="15" customHeight="1" x14ac:dyDescent="0.25">
      <c r="A65" s="114"/>
      <c r="B65" s="116"/>
      <c r="C65" s="116"/>
      <c r="D65" s="42" t="str">
        <f t="shared" si="0"/>
        <v/>
      </c>
      <c r="E65" s="43"/>
      <c r="F65" s="118"/>
      <c r="G65" s="44" t="str">
        <f t="shared" si="1"/>
        <v/>
      </c>
      <c r="H65" s="118"/>
      <c r="I65" s="34" t="str">
        <f t="shared" si="2"/>
        <v/>
      </c>
      <c r="J65" s="118"/>
      <c r="K65" s="34" t="str">
        <f t="shared" si="3"/>
        <v/>
      </c>
      <c r="L65" s="118"/>
      <c r="M65" s="121"/>
      <c r="N65" s="122" t="str">
        <f t="shared" si="4"/>
        <v/>
      </c>
      <c r="O65" s="35" t="str">
        <f t="shared" si="5"/>
        <v/>
      </c>
      <c r="P65" s="124"/>
      <c r="Q65" s="36" t="str">
        <f t="shared" si="18"/>
        <v/>
      </c>
      <c r="R65" s="46" t="str">
        <f t="shared" si="6"/>
        <v/>
      </c>
      <c r="S65" s="38" t="str">
        <f t="shared" si="7"/>
        <v/>
      </c>
      <c r="T65" s="39" t="str">
        <f t="shared" si="8"/>
        <v/>
      </c>
      <c r="U65" s="40" t="str">
        <f t="shared" si="9"/>
        <v/>
      </c>
      <c r="V65" s="39" t="str">
        <f t="shared" si="10"/>
        <v/>
      </c>
      <c r="W65" s="34" t="str">
        <f t="shared" si="19"/>
        <v/>
      </c>
      <c r="X65" s="41" t="str">
        <f t="shared" si="11"/>
        <v/>
      </c>
      <c r="Y65" s="98" t="str">
        <f t="shared" si="20"/>
        <v/>
      </c>
      <c r="Z65" s="16" t="str">
        <f t="shared" si="21"/>
        <v/>
      </c>
      <c r="AB65" s="139"/>
      <c r="AC65" s="146" t="str">
        <f t="shared" si="24"/>
        <v/>
      </c>
      <c r="AD65" s="148" t="str">
        <f t="shared" si="22"/>
        <v/>
      </c>
      <c r="AE65" s="147" t="str">
        <f t="shared" si="13"/>
        <v/>
      </c>
      <c r="AF65" s="111" t="str">
        <f t="shared" si="14"/>
        <v/>
      </c>
      <c r="AG65" s="111" t="str">
        <f t="shared" si="15"/>
        <v/>
      </c>
      <c r="AH65" s="112" t="str">
        <f t="shared" si="16"/>
        <v/>
      </c>
      <c r="AI65" t="str">
        <f t="shared" si="23"/>
        <v/>
      </c>
      <c r="AJ65" t="str">
        <f t="shared" si="25"/>
        <v/>
      </c>
    </row>
    <row r="66" spans="1:36" ht="15" customHeight="1" x14ac:dyDescent="0.25">
      <c r="A66" s="114"/>
      <c r="B66" s="116"/>
      <c r="C66" s="116"/>
      <c r="D66" s="42" t="str">
        <f t="shared" si="0"/>
        <v/>
      </c>
      <c r="E66" s="43"/>
      <c r="F66" s="118"/>
      <c r="G66" s="44" t="str">
        <f t="shared" si="1"/>
        <v/>
      </c>
      <c r="H66" s="118"/>
      <c r="I66" s="34" t="str">
        <f t="shared" si="2"/>
        <v/>
      </c>
      <c r="J66" s="118"/>
      <c r="K66" s="34" t="str">
        <f t="shared" si="3"/>
        <v/>
      </c>
      <c r="L66" s="118"/>
      <c r="M66" s="121"/>
      <c r="N66" s="122" t="str">
        <f t="shared" si="4"/>
        <v/>
      </c>
      <c r="O66" s="35" t="str">
        <f t="shared" si="5"/>
        <v/>
      </c>
      <c r="P66" s="124"/>
      <c r="Q66" s="36" t="str">
        <f t="shared" si="18"/>
        <v/>
      </c>
      <c r="R66" s="46" t="str">
        <f t="shared" si="6"/>
        <v/>
      </c>
      <c r="S66" s="38" t="str">
        <f t="shared" si="7"/>
        <v/>
      </c>
      <c r="T66" s="39" t="str">
        <f t="shared" si="8"/>
        <v/>
      </c>
      <c r="U66" s="40" t="str">
        <f t="shared" si="9"/>
        <v/>
      </c>
      <c r="V66" s="39" t="str">
        <f t="shared" si="10"/>
        <v/>
      </c>
      <c r="W66" s="34" t="str">
        <f t="shared" si="19"/>
        <v/>
      </c>
      <c r="X66" s="41" t="str">
        <f t="shared" si="11"/>
        <v/>
      </c>
      <c r="Y66" s="98" t="str">
        <f t="shared" si="20"/>
        <v/>
      </c>
      <c r="Z66" s="16" t="str">
        <f t="shared" si="21"/>
        <v/>
      </c>
      <c r="AB66" s="139"/>
      <c r="AC66" s="146" t="str">
        <f t="shared" si="24"/>
        <v/>
      </c>
      <c r="AD66" s="148" t="str">
        <f t="shared" si="22"/>
        <v/>
      </c>
      <c r="AE66" s="147" t="str">
        <f t="shared" si="13"/>
        <v/>
      </c>
      <c r="AF66" s="111" t="str">
        <f t="shared" si="14"/>
        <v/>
      </c>
      <c r="AG66" s="111" t="str">
        <f t="shared" si="15"/>
        <v/>
      </c>
      <c r="AH66" s="112" t="str">
        <f t="shared" si="16"/>
        <v/>
      </c>
      <c r="AI66" t="str">
        <f t="shared" si="23"/>
        <v/>
      </c>
      <c r="AJ66" t="str">
        <f t="shared" si="25"/>
        <v/>
      </c>
    </row>
    <row r="67" spans="1:36" ht="15" customHeight="1" x14ac:dyDescent="0.25">
      <c r="A67" s="114"/>
      <c r="B67" s="116"/>
      <c r="C67" s="116"/>
      <c r="D67" s="42" t="str">
        <f t="shared" si="0"/>
        <v/>
      </c>
      <c r="E67" s="43"/>
      <c r="F67" s="118"/>
      <c r="G67" s="44" t="str">
        <f t="shared" si="1"/>
        <v/>
      </c>
      <c r="H67" s="118"/>
      <c r="I67" s="34" t="str">
        <f t="shared" si="2"/>
        <v/>
      </c>
      <c r="J67" s="118"/>
      <c r="K67" s="34" t="str">
        <f t="shared" si="3"/>
        <v/>
      </c>
      <c r="L67" s="118"/>
      <c r="M67" s="121"/>
      <c r="N67" s="122" t="str">
        <f t="shared" si="4"/>
        <v/>
      </c>
      <c r="O67" s="35" t="str">
        <f t="shared" si="5"/>
        <v/>
      </c>
      <c r="P67" s="124"/>
      <c r="Q67" s="36" t="str">
        <f t="shared" si="18"/>
        <v/>
      </c>
      <c r="R67" s="46" t="str">
        <f t="shared" si="6"/>
        <v/>
      </c>
      <c r="S67" s="38" t="str">
        <f t="shared" si="7"/>
        <v/>
      </c>
      <c r="T67" s="39" t="str">
        <f t="shared" si="8"/>
        <v/>
      </c>
      <c r="U67" s="40" t="str">
        <f t="shared" si="9"/>
        <v/>
      </c>
      <c r="V67" s="39" t="str">
        <f t="shared" si="10"/>
        <v/>
      </c>
      <c r="W67" s="34" t="str">
        <f t="shared" si="19"/>
        <v/>
      </c>
      <c r="X67" s="41" t="str">
        <f t="shared" si="11"/>
        <v/>
      </c>
      <c r="Y67" s="98" t="str">
        <f t="shared" si="20"/>
        <v/>
      </c>
      <c r="Z67" s="16" t="str">
        <f t="shared" si="21"/>
        <v/>
      </c>
      <c r="AB67" s="139"/>
      <c r="AC67" s="146" t="str">
        <f t="shared" si="24"/>
        <v/>
      </c>
      <c r="AD67" s="148" t="str">
        <f t="shared" si="22"/>
        <v/>
      </c>
      <c r="AE67" s="147" t="str">
        <f t="shared" si="13"/>
        <v/>
      </c>
      <c r="AF67" s="111" t="str">
        <f t="shared" si="14"/>
        <v/>
      </c>
      <c r="AG67" s="111" t="str">
        <f t="shared" si="15"/>
        <v/>
      </c>
      <c r="AH67" s="112" t="str">
        <f t="shared" si="16"/>
        <v/>
      </c>
      <c r="AI67" t="str">
        <f t="shared" si="23"/>
        <v/>
      </c>
      <c r="AJ67" t="str">
        <f t="shared" si="25"/>
        <v/>
      </c>
    </row>
    <row r="68" spans="1:36" ht="15" customHeight="1" x14ac:dyDescent="0.25">
      <c r="A68" s="114"/>
      <c r="B68" s="116"/>
      <c r="C68" s="116"/>
      <c r="D68" s="42" t="str">
        <f t="shared" si="0"/>
        <v/>
      </c>
      <c r="E68" s="43"/>
      <c r="F68" s="118"/>
      <c r="G68" s="44" t="str">
        <f t="shared" si="1"/>
        <v/>
      </c>
      <c r="H68" s="118"/>
      <c r="I68" s="34" t="str">
        <f t="shared" si="2"/>
        <v/>
      </c>
      <c r="J68" s="118"/>
      <c r="K68" s="34" t="str">
        <f t="shared" si="3"/>
        <v/>
      </c>
      <c r="L68" s="118"/>
      <c r="M68" s="121"/>
      <c r="N68" s="122" t="str">
        <f t="shared" si="4"/>
        <v/>
      </c>
      <c r="O68" s="35" t="str">
        <f t="shared" si="5"/>
        <v/>
      </c>
      <c r="P68" s="124"/>
      <c r="Q68" s="36" t="str">
        <f t="shared" si="18"/>
        <v/>
      </c>
      <c r="R68" s="46" t="str">
        <f t="shared" si="6"/>
        <v/>
      </c>
      <c r="S68" s="38" t="str">
        <f t="shared" si="7"/>
        <v/>
      </c>
      <c r="T68" s="39" t="str">
        <f t="shared" si="8"/>
        <v/>
      </c>
      <c r="U68" s="40" t="str">
        <f t="shared" si="9"/>
        <v/>
      </c>
      <c r="V68" s="39" t="str">
        <f t="shared" si="10"/>
        <v/>
      </c>
      <c r="W68" s="34" t="str">
        <f t="shared" si="19"/>
        <v/>
      </c>
      <c r="X68" s="41" t="str">
        <f t="shared" si="11"/>
        <v/>
      </c>
      <c r="Y68" s="98" t="str">
        <f t="shared" si="20"/>
        <v/>
      </c>
      <c r="Z68" s="16" t="str">
        <f t="shared" si="21"/>
        <v/>
      </c>
      <c r="AB68" s="139"/>
      <c r="AC68" s="146" t="str">
        <f t="shared" si="24"/>
        <v/>
      </c>
      <c r="AD68" s="148" t="str">
        <f t="shared" si="22"/>
        <v/>
      </c>
      <c r="AE68" s="147" t="str">
        <f t="shared" si="13"/>
        <v/>
      </c>
      <c r="AF68" s="111" t="str">
        <f t="shared" si="14"/>
        <v/>
      </c>
      <c r="AG68" s="111" t="str">
        <f t="shared" si="15"/>
        <v/>
      </c>
      <c r="AH68" s="112" t="str">
        <f t="shared" si="16"/>
        <v/>
      </c>
      <c r="AI68" t="str">
        <f t="shared" si="23"/>
        <v/>
      </c>
      <c r="AJ68" t="str">
        <f t="shared" si="25"/>
        <v/>
      </c>
    </row>
    <row r="69" spans="1:36" ht="15" customHeight="1" x14ac:dyDescent="0.25">
      <c r="A69" s="114"/>
      <c r="B69" s="116"/>
      <c r="C69" s="116"/>
      <c r="D69" s="42" t="str">
        <f t="shared" si="0"/>
        <v/>
      </c>
      <c r="E69" s="43"/>
      <c r="F69" s="118"/>
      <c r="G69" s="44" t="str">
        <f t="shared" si="1"/>
        <v/>
      </c>
      <c r="H69" s="118"/>
      <c r="I69" s="34" t="str">
        <f t="shared" si="2"/>
        <v/>
      </c>
      <c r="J69" s="118"/>
      <c r="K69" s="34" t="str">
        <f t="shared" si="3"/>
        <v/>
      </c>
      <c r="L69" s="118"/>
      <c r="M69" s="121"/>
      <c r="N69" s="122" t="str">
        <f t="shared" si="4"/>
        <v/>
      </c>
      <c r="O69" s="35" t="str">
        <f t="shared" si="5"/>
        <v/>
      </c>
      <c r="P69" s="124"/>
      <c r="Q69" s="36" t="str">
        <f t="shared" si="18"/>
        <v/>
      </c>
      <c r="R69" s="46" t="str">
        <f t="shared" si="6"/>
        <v/>
      </c>
      <c r="S69" s="38" t="str">
        <f t="shared" si="7"/>
        <v/>
      </c>
      <c r="T69" s="39" t="str">
        <f t="shared" si="8"/>
        <v/>
      </c>
      <c r="U69" s="40" t="str">
        <f t="shared" si="9"/>
        <v/>
      </c>
      <c r="V69" s="39" t="str">
        <f t="shared" si="10"/>
        <v/>
      </c>
      <c r="W69" s="34" t="str">
        <f t="shared" si="19"/>
        <v/>
      </c>
      <c r="X69" s="41" t="str">
        <f t="shared" si="11"/>
        <v/>
      </c>
      <c r="Y69" s="98" t="str">
        <f t="shared" si="20"/>
        <v/>
      </c>
      <c r="Z69" s="16" t="str">
        <f t="shared" si="21"/>
        <v/>
      </c>
      <c r="AB69" s="139"/>
      <c r="AC69" s="146" t="str">
        <f t="shared" si="24"/>
        <v/>
      </c>
      <c r="AD69" s="148" t="str">
        <f t="shared" si="22"/>
        <v/>
      </c>
      <c r="AE69" s="147" t="str">
        <f t="shared" si="13"/>
        <v/>
      </c>
      <c r="AF69" s="111" t="str">
        <f t="shared" si="14"/>
        <v/>
      </c>
      <c r="AG69" s="111" t="str">
        <f t="shared" si="15"/>
        <v/>
      </c>
      <c r="AH69" s="112" t="str">
        <f t="shared" si="16"/>
        <v/>
      </c>
      <c r="AI69" t="str">
        <f t="shared" si="23"/>
        <v/>
      </c>
      <c r="AJ69" t="str">
        <f t="shared" si="25"/>
        <v/>
      </c>
    </row>
    <row r="70" spans="1:36" ht="15" customHeight="1" x14ac:dyDescent="0.25">
      <c r="A70" s="114"/>
      <c r="B70" s="116"/>
      <c r="C70" s="116"/>
      <c r="D70" s="42" t="str">
        <f t="shared" si="0"/>
        <v/>
      </c>
      <c r="E70" s="43"/>
      <c r="F70" s="118"/>
      <c r="G70" s="44" t="str">
        <f t="shared" si="1"/>
        <v/>
      </c>
      <c r="H70" s="118"/>
      <c r="I70" s="34" t="str">
        <f t="shared" si="2"/>
        <v/>
      </c>
      <c r="J70" s="118"/>
      <c r="K70" s="34" t="str">
        <f t="shared" si="3"/>
        <v/>
      </c>
      <c r="L70" s="118"/>
      <c r="M70" s="121"/>
      <c r="N70" s="122" t="str">
        <f t="shared" si="4"/>
        <v/>
      </c>
      <c r="O70" s="35" t="str">
        <f t="shared" si="5"/>
        <v/>
      </c>
      <c r="P70" s="124"/>
      <c r="Q70" s="36" t="str">
        <f t="shared" si="18"/>
        <v/>
      </c>
      <c r="R70" s="46" t="str">
        <f t="shared" si="6"/>
        <v/>
      </c>
      <c r="S70" s="38" t="str">
        <f t="shared" si="7"/>
        <v/>
      </c>
      <c r="T70" s="39" t="str">
        <f t="shared" si="8"/>
        <v/>
      </c>
      <c r="U70" s="40" t="str">
        <f t="shared" si="9"/>
        <v/>
      </c>
      <c r="V70" s="39" t="str">
        <f t="shared" si="10"/>
        <v/>
      </c>
      <c r="W70" s="34" t="str">
        <f t="shared" si="19"/>
        <v/>
      </c>
      <c r="X70" s="41" t="str">
        <f t="shared" si="11"/>
        <v/>
      </c>
      <c r="Y70" s="98" t="str">
        <f t="shared" si="20"/>
        <v/>
      </c>
      <c r="Z70" s="16" t="str">
        <f t="shared" si="21"/>
        <v/>
      </c>
      <c r="AB70" s="139"/>
      <c r="AC70" s="146" t="str">
        <f t="shared" si="24"/>
        <v/>
      </c>
      <c r="AD70" s="148" t="str">
        <f t="shared" si="22"/>
        <v/>
      </c>
      <c r="AE70" s="147" t="str">
        <f t="shared" si="13"/>
        <v/>
      </c>
      <c r="AF70" s="111" t="str">
        <f t="shared" si="14"/>
        <v/>
      </c>
      <c r="AG70" s="111" t="str">
        <f t="shared" si="15"/>
        <v/>
      </c>
      <c r="AH70" s="112" t="str">
        <f t="shared" si="16"/>
        <v/>
      </c>
      <c r="AI70" t="str">
        <f t="shared" si="23"/>
        <v/>
      </c>
      <c r="AJ70" t="str">
        <f t="shared" si="25"/>
        <v/>
      </c>
    </row>
    <row r="71" spans="1:36" ht="15" customHeight="1" x14ac:dyDescent="0.25">
      <c r="A71" s="114"/>
      <c r="B71" s="116"/>
      <c r="C71" s="116"/>
      <c r="D71" s="42" t="str">
        <f t="shared" si="0"/>
        <v/>
      </c>
      <c r="E71" s="43"/>
      <c r="F71" s="118"/>
      <c r="G71" s="44" t="str">
        <f t="shared" si="1"/>
        <v/>
      </c>
      <c r="H71" s="118"/>
      <c r="I71" s="34" t="str">
        <f t="shared" si="2"/>
        <v/>
      </c>
      <c r="J71" s="118"/>
      <c r="K71" s="34" t="str">
        <f t="shared" si="3"/>
        <v/>
      </c>
      <c r="L71" s="118"/>
      <c r="M71" s="121"/>
      <c r="N71" s="122" t="str">
        <f t="shared" si="4"/>
        <v/>
      </c>
      <c r="O71" s="35" t="str">
        <f t="shared" si="5"/>
        <v/>
      </c>
      <c r="P71" s="124"/>
      <c r="Q71" s="36" t="str">
        <f t="shared" si="18"/>
        <v/>
      </c>
      <c r="R71" s="46" t="str">
        <f t="shared" si="6"/>
        <v/>
      </c>
      <c r="S71" s="38" t="str">
        <f t="shared" si="7"/>
        <v/>
      </c>
      <c r="T71" s="39" t="str">
        <f t="shared" si="8"/>
        <v/>
      </c>
      <c r="U71" s="40" t="str">
        <f t="shared" si="9"/>
        <v/>
      </c>
      <c r="V71" s="39" t="str">
        <f t="shared" si="10"/>
        <v/>
      </c>
      <c r="W71" s="34" t="str">
        <f t="shared" si="19"/>
        <v/>
      </c>
      <c r="X71" s="41" t="str">
        <f t="shared" si="11"/>
        <v/>
      </c>
      <c r="Y71" s="98" t="str">
        <f t="shared" si="20"/>
        <v/>
      </c>
      <c r="Z71" s="16" t="str">
        <f t="shared" si="21"/>
        <v/>
      </c>
      <c r="AB71" s="139"/>
      <c r="AC71" s="146" t="str">
        <f t="shared" si="24"/>
        <v/>
      </c>
      <c r="AD71" s="148" t="str">
        <f t="shared" si="22"/>
        <v/>
      </c>
      <c r="AE71" s="147" t="str">
        <f t="shared" si="13"/>
        <v/>
      </c>
      <c r="AF71" s="111" t="str">
        <f t="shared" si="14"/>
        <v/>
      </c>
      <c r="AG71" s="111" t="str">
        <f t="shared" si="15"/>
        <v/>
      </c>
      <c r="AH71" s="112" t="str">
        <f t="shared" si="16"/>
        <v/>
      </c>
      <c r="AI71" t="str">
        <f t="shared" si="23"/>
        <v/>
      </c>
      <c r="AJ71" t="str">
        <f t="shared" si="25"/>
        <v/>
      </c>
    </row>
    <row r="72" spans="1:36" ht="15" customHeight="1" x14ac:dyDescent="0.25">
      <c r="A72" s="114"/>
      <c r="B72" s="116"/>
      <c r="C72" s="116"/>
      <c r="D72" s="42" t="str">
        <f t="shared" ref="D72:D135" si="26">IF(A72="","",B72*C72)</f>
        <v/>
      </c>
      <c r="E72" s="43"/>
      <c r="F72" s="118"/>
      <c r="G72" s="44" t="str">
        <f t="shared" ref="G72:G135" si="27">IF(A72="","",F72*B72)</f>
        <v/>
      </c>
      <c r="H72" s="118"/>
      <c r="I72" s="34" t="str">
        <f t="shared" ref="I72:I135" si="28">IF(OR(H72=0,C72=0,H72="",C72=""),"",H72/C72)</f>
        <v/>
      </c>
      <c r="J72" s="118"/>
      <c r="K72" s="34" t="str">
        <f t="shared" ref="K72:K135" si="29">IF(OR(J72=0,C72=0,J72="",C72=""),"",J72/C72)</f>
        <v/>
      </c>
      <c r="L72" s="118"/>
      <c r="M72" s="121"/>
      <c r="N72" s="122" t="str">
        <f t="shared" ref="N72:N135" si="30">IF(A72="","",IF(P72&gt;0,IF(G72&gt;0,P72/G72,0),IF(E72&gt;0,0,IF($I$3&gt;0,IF($I$4&gt;0,MAX($I$3-SUM($P$8:$P$1007),0)/$I$4,0),$I$2))))</f>
        <v/>
      </c>
      <c r="O72" s="35" t="str">
        <f t="shared" ref="O72:O135" si="31">IF(A72="","",IF(P72&gt;0,P72,IF(E72&gt;0,0,G72*IF($I$3&gt;0,IF($I$4&gt;0,MAX($I$3-SUM($P$8:$P$1007),0)/$I$4,0),$I$2))))</f>
        <v/>
      </c>
      <c r="P72" s="124"/>
      <c r="Q72" s="36" t="str">
        <f t="shared" si="18"/>
        <v/>
      </c>
      <c r="R72" s="46" t="str">
        <f t="shared" ref="R72:R135" si="32">IF(OR(A72="",Q72=""),"",Q72*C72)</f>
        <v/>
      </c>
      <c r="S72" s="38" t="str">
        <f t="shared" ref="S72:S135" si="33">IF(OR(A72="",H72&lt;=0,R72=""),"",(H72-R72)/H72)</f>
        <v/>
      </c>
      <c r="T72" s="39" t="str">
        <f t="shared" ref="T72:T135" si="34">IF(OR(H72=0,R72=0,H72="",R72=""),"",H72-R72)</f>
        <v/>
      </c>
      <c r="U72" s="40" t="str">
        <f t="shared" ref="U72:U135" si="35">IF(OR(A72="",J72&lt;=0,R72=""),"",(J72-R72)/J72)</f>
        <v/>
      </c>
      <c r="V72" s="39" t="str">
        <f t="shared" ref="V72:V135" si="36">IF(OR(J72=0,R72=0,J72="",R72=""),"",J72-R72)</f>
        <v/>
      </c>
      <c r="W72" s="34" t="str">
        <f t="shared" ref="W72:W135" si="37">IF(OR(G72="",G72=0,$M$5="",$K$3=0),"",($M$5/$K$3)*G72)</f>
        <v/>
      </c>
      <c r="X72" s="41" t="str">
        <f t="shared" si="11"/>
        <v/>
      </c>
      <c r="Y72" s="98" t="str">
        <f t="shared" ref="Y72:Y135" si="38">IF(OR(Q72=0,Q72="",D72=0,D72=""),"",Q72*(D72+E72))</f>
        <v/>
      </c>
      <c r="Z72" s="16" t="str">
        <f t="shared" si="21"/>
        <v/>
      </c>
      <c r="AB72" s="139"/>
      <c r="AC72" s="146" t="str">
        <f t="shared" si="24"/>
        <v/>
      </c>
      <c r="AD72" s="148" t="str">
        <f t="shared" si="22"/>
        <v/>
      </c>
      <c r="AE72" s="147" t="str">
        <f t="shared" ref="AE72:AE135" si="39">IF(AD72="","",AD72*$AC$1+IF(SUM($AD$8:$AD$1007)=0,0,$AC$2*AD72/SUM($AD$8:$AD$1007)))</f>
        <v/>
      </c>
      <c r="AF72" s="111" t="str">
        <f t="shared" ref="AF72:AF135" si="40">IF(AD72="","",AD72-AE72)</f>
        <v/>
      </c>
      <c r="AG72" s="111" t="str">
        <f t="shared" ref="AG72:AG135" si="41">IF(AF72="","",AH72-AF72)</f>
        <v/>
      </c>
      <c r="AH72" s="112" t="str">
        <f t="shared" ref="AH72:AH135" si="42">IF(AF72="","",ROUND(AF72,0))</f>
        <v/>
      </c>
      <c r="AI72" t="str">
        <f t="shared" si="23"/>
        <v/>
      </c>
      <c r="AJ72" t="str">
        <f t="shared" si="25"/>
        <v/>
      </c>
    </row>
    <row r="73" spans="1:36" ht="15" customHeight="1" x14ac:dyDescent="0.25">
      <c r="A73" s="114"/>
      <c r="B73" s="116"/>
      <c r="C73" s="116"/>
      <c r="D73" s="42" t="str">
        <f t="shared" si="26"/>
        <v/>
      </c>
      <c r="E73" s="43"/>
      <c r="F73" s="118"/>
      <c r="G73" s="44" t="str">
        <f t="shared" si="27"/>
        <v/>
      </c>
      <c r="H73" s="118"/>
      <c r="I73" s="34" t="str">
        <f t="shared" si="28"/>
        <v/>
      </c>
      <c r="J73" s="118"/>
      <c r="K73" s="34" t="str">
        <f t="shared" si="29"/>
        <v/>
      </c>
      <c r="L73" s="118"/>
      <c r="M73" s="121"/>
      <c r="N73" s="122" t="str">
        <f t="shared" si="30"/>
        <v/>
      </c>
      <c r="O73" s="35" t="str">
        <f t="shared" si="31"/>
        <v/>
      </c>
      <c r="P73" s="124"/>
      <c r="Q73" s="36" t="str">
        <f t="shared" ref="Q73:Q136" si="43">IF(A73="","",IF(OR(B73=0,B73="",C73&lt;=0,D73+E73&lt;=0),"",(G73-O73)/(D73+E73)-IF(W73&gt;=0,W73/D73,0)+IF(ISNUMBER(X73),X73/(D73+E73),0)))</f>
        <v/>
      </c>
      <c r="R73" s="46" t="str">
        <f t="shared" si="32"/>
        <v/>
      </c>
      <c r="S73" s="38" t="str">
        <f t="shared" si="33"/>
        <v/>
      </c>
      <c r="T73" s="39" t="str">
        <f t="shared" si="34"/>
        <v/>
      </c>
      <c r="U73" s="40" t="str">
        <f t="shared" si="35"/>
        <v/>
      </c>
      <c r="V73" s="39" t="str">
        <f t="shared" si="36"/>
        <v/>
      </c>
      <c r="W73" s="34" t="str">
        <f t="shared" si="37"/>
        <v/>
      </c>
      <c r="X73" s="41" t="str">
        <f t="shared" ref="X73:X136" si="44">IF(OR(G73="",G73=0,($K$3-$K$2)=0),"",($I$1/($K$3-$K$2))*(G73-O73))</f>
        <v/>
      </c>
      <c r="Y73" s="98" t="str">
        <f t="shared" si="38"/>
        <v/>
      </c>
      <c r="Z73" s="16" t="str">
        <f t="shared" ref="Z73:Z136" si="45">IF(OR(B73=0,B73=""),"",G73)</f>
        <v/>
      </c>
      <c r="AB73" s="139"/>
      <c r="AC73" s="146" t="str">
        <f t="shared" si="24"/>
        <v/>
      </c>
      <c r="AD73" s="148" t="str">
        <f t="shared" ref="AD73:AD136" si="46">IF(OR(AB73="",AC73=""),"",AB73*AC73)</f>
        <v/>
      </c>
      <c r="AE73" s="147" t="str">
        <f t="shared" si="39"/>
        <v/>
      </c>
      <c r="AF73" s="111" t="str">
        <f t="shared" si="40"/>
        <v/>
      </c>
      <c r="AG73" s="111" t="str">
        <f t="shared" si="41"/>
        <v/>
      </c>
      <c r="AH73" s="112" t="str">
        <f t="shared" si="42"/>
        <v/>
      </c>
      <c r="AI73" t="str">
        <f t="shared" ref="AI73:AI136" si="47">IF(OR(AB73=0,AB73=""),"",AE73/AB73)</f>
        <v/>
      </c>
      <c r="AJ73" t="str">
        <f t="shared" si="25"/>
        <v/>
      </c>
    </row>
    <row r="74" spans="1:36" ht="15" customHeight="1" x14ac:dyDescent="0.25">
      <c r="A74" s="114"/>
      <c r="B74" s="116"/>
      <c r="C74" s="116"/>
      <c r="D74" s="42" t="str">
        <f t="shared" si="26"/>
        <v/>
      </c>
      <c r="E74" s="43"/>
      <c r="F74" s="118"/>
      <c r="G74" s="44" t="str">
        <f t="shared" si="27"/>
        <v/>
      </c>
      <c r="H74" s="118"/>
      <c r="I74" s="34" t="str">
        <f t="shared" si="28"/>
        <v/>
      </c>
      <c r="J74" s="118"/>
      <c r="K74" s="34" t="str">
        <f t="shared" si="29"/>
        <v/>
      </c>
      <c r="L74" s="118"/>
      <c r="M74" s="121"/>
      <c r="N74" s="122" t="str">
        <f t="shared" si="30"/>
        <v/>
      </c>
      <c r="O74" s="35" t="str">
        <f t="shared" si="31"/>
        <v/>
      </c>
      <c r="P74" s="124"/>
      <c r="Q74" s="36" t="str">
        <f t="shared" si="43"/>
        <v/>
      </c>
      <c r="R74" s="46" t="str">
        <f t="shared" si="32"/>
        <v/>
      </c>
      <c r="S74" s="38" t="str">
        <f t="shared" si="33"/>
        <v/>
      </c>
      <c r="T74" s="39" t="str">
        <f t="shared" si="34"/>
        <v/>
      </c>
      <c r="U74" s="40" t="str">
        <f t="shared" si="35"/>
        <v/>
      </c>
      <c r="V74" s="39" t="str">
        <f t="shared" si="36"/>
        <v/>
      </c>
      <c r="W74" s="34" t="str">
        <f t="shared" si="37"/>
        <v/>
      </c>
      <c r="X74" s="41" t="str">
        <f t="shared" si="44"/>
        <v/>
      </c>
      <c r="Y74" s="98" t="str">
        <f t="shared" si="38"/>
        <v/>
      </c>
      <c r="Z74" s="16" t="str">
        <f t="shared" si="45"/>
        <v/>
      </c>
      <c r="AB74" s="139"/>
      <c r="AC74" s="146" t="str">
        <f t="shared" si="24"/>
        <v/>
      </c>
      <c r="AD74" s="148" t="str">
        <f t="shared" si="46"/>
        <v/>
      </c>
      <c r="AE74" s="147" t="str">
        <f t="shared" si="39"/>
        <v/>
      </c>
      <c r="AF74" s="111" t="str">
        <f t="shared" si="40"/>
        <v/>
      </c>
      <c r="AG74" s="111" t="str">
        <f t="shared" si="41"/>
        <v/>
      </c>
      <c r="AH74" s="112" t="str">
        <f t="shared" si="42"/>
        <v/>
      </c>
      <c r="AI74" t="str">
        <f t="shared" si="47"/>
        <v/>
      </c>
      <c r="AJ74" t="str">
        <f t="shared" si="25"/>
        <v/>
      </c>
    </row>
    <row r="75" spans="1:36" ht="15" customHeight="1" x14ac:dyDescent="0.25">
      <c r="A75" s="114"/>
      <c r="B75" s="116"/>
      <c r="C75" s="116"/>
      <c r="D75" s="42" t="str">
        <f t="shared" si="26"/>
        <v/>
      </c>
      <c r="E75" s="43"/>
      <c r="F75" s="118"/>
      <c r="G75" s="44" t="str">
        <f t="shared" si="27"/>
        <v/>
      </c>
      <c r="H75" s="118"/>
      <c r="I75" s="34" t="str">
        <f t="shared" si="28"/>
        <v/>
      </c>
      <c r="J75" s="118"/>
      <c r="K75" s="34" t="str">
        <f t="shared" si="29"/>
        <v/>
      </c>
      <c r="L75" s="118"/>
      <c r="M75" s="121"/>
      <c r="N75" s="122" t="str">
        <f t="shared" si="30"/>
        <v/>
      </c>
      <c r="O75" s="35" t="str">
        <f t="shared" si="31"/>
        <v/>
      </c>
      <c r="P75" s="124"/>
      <c r="Q75" s="36" t="str">
        <f t="shared" si="43"/>
        <v/>
      </c>
      <c r="R75" s="46" t="str">
        <f t="shared" si="32"/>
        <v/>
      </c>
      <c r="S75" s="38" t="str">
        <f t="shared" si="33"/>
        <v/>
      </c>
      <c r="T75" s="39" t="str">
        <f t="shared" si="34"/>
        <v/>
      </c>
      <c r="U75" s="40" t="str">
        <f t="shared" si="35"/>
        <v/>
      </c>
      <c r="V75" s="39" t="str">
        <f t="shared" si="36"/>
        <v/>
      </c>
      <c r="W75" s="34" t="str">
        <f t="shared" si="37"/>
        <v/>
      </c>
      <c r="X75" s="41" t="str">
        <f t="shared" si="44"/>
        <v/>
      </c>
      <c r="Y75" s="98" t="str">
        <f t="shared" si="38"/>
        <v/>
      </c>
      <c r="Z75" s="16" t="str">
        <f t="shared" si="45"/>
        <v/>
      </c>
      <c r="AB75" s="139"/>
      <c r="AC75" s="146" t="str">
        <f t="shared" si="24"/>
        <v/>
      </c>
      <c r="AD75" s="148" t="str">
        <f t="shared" si="46"/>
        <v/>
      </c>
      <c r="AE75" s="147" t="str">
        <f t="shared" si="39"/>
        <v/>
      </c>
      <c r="AF75" s="111" t="str">
        <f t="shared" si="40"/>
        <v/>
      </c>
      <c r="AG75" s="111" t="str">
        <f t="shared" si="41"/>
        <v/>
      </c>
      <c r="AH75" s="112" t="str">
        <f t="shared" si="42"/>
        <v/>
      </c>
      <c r="AI75" t="str">
        <f t="shared" si="47"/>
        <v/>
      </c>
      <c r="AJ75" t="str">
        <f t="shared" si="25"/>
        <v/>
      </c>
    </row>
    <row r="76" spans="1:36" ht="15" customHeight="1" x14ac:dyDescent="0.25">
      <c r="A76" s="114"/>
      <c r="B76" s="116"/>
      <c r="C76" s="116"/>
      <c r="D76" s="42" t="str">
        <f t="shared" si="26"/>
        <v/>
      </c>
      <c r="E76" s="43"/>
      <c r="F76" s="118"/>
      <c r="G76" s="44" t="str">
        <f t="shared" si="27"/>
        <v/>
      </c>
      <c r="H76" s="118"/>
      <c r="I76" s="34" t="str">
        <f t="shared" si="28"/>
        <v/>
      </c>
      <c r="J76" s="118"/>
      <c r="K76" s="34" t="str">
        <f t="shared" si="29"/>
        <v/>
      </c>
      <c r="L76" s="118"/>
      <c r="M76" s="121"/>
      <c r="N76" s="122" t="str">
        <f t="shared" si="30"/>
        <v/>
      </c>
      <c r="O76" s="35" t="str">
        <f t="shared" si="31"/>
        <v/>
      </c>
      <c r="P76" s="124"/>
      <c r="Q76" s="36" t="str">
        <f t="shared" si="43"/>
        <v/>
      </c>
      <c r="R76" s="46" t="str">
        <f t="shared" si="32"/>
        <v/>
      </c>
      <c r="S76" s="38" t="str">
        <f t="shared" si="33"/>
        <v/>
      </c>
      <c r="T76" s="39" t="str">
        <f t="shared" si="34"/>
        <v/>
      </c>
      <c r="U76" s="40" t="str">
        <f t="shared" si="35"/>
        <v/>
      </c>
      <c r="V76" s="39" t="str">
        <f t="shared" si="36"/>
        <v/>
      </c>
      <c r="W76" s="34" t="str">
        <f t="shared" si="37"/>
        <v/>
      </c>
      <c r="X76" s="41" t="str">
        <f t="shared" si="44"/>
        <v/>
      </c>
      <c r="Y76" s="98" t="str">
        <f t="shared" si="38"/>
        <v/>
      </c>
      <c r="Z76" s="16" t="str">
        <f t="shared" si="45"/>
        <v/>
      </c>
      <c r="AB76" s="139"/>
      <c r="AC76" s="146" t="str">
        <f t="shared" ref="AC76:AC139" si="48">IF(AB76="","",Q76)</f>
        <v/>
      </c>
      <c r="AD76" s="148" t="str">
        <f t="shared" si="46"/>
        <v/>
      </c>
      <c r="AE76" s="147" t="str">
        <f t="shared" si="39"/>
        <v/>
      </c>
      <c r="AF76" s="111" t="str">
        <f t="shared" si="40"/>
        <v/>
      </c>
      <c r="AG76" s="111" t="str">
        <f t="shared" si="41"/>
        <v/>
      </c>
      <c r="AH76" s="112" t="str">
        <f t="shared" si="42"/>
        <v/>
      </c>
      <c r="AI76" t="str">
        <f t="shared" si="47"/>
        <v/>
      </c>
      <c r="AJ76" t="str">
        <f t="shared" ref="AJ76:AJ139" si="49">IF(OR(AB76=0,AB76=""),"",AC76*C76)</f>
        <v/>
      </c>
    </row>
    <row r="77" spans="1:36" ht="15" customHeight="1" x14ac:dyDescent="0.25">
      <c r="A77" s="114"/>
      <c r="B77" s="116"/>
      <c r="C77" s="116"/>
      <c r="D77" s="42" t="str">
        <f t="shared" si="26"/>
        <v/>
      </c>
      <c r="E77" s="43"/>
      <c r="F77" s="118"/>
      <c r="G77" s="44" t="str">
        <f t="shared" si="27"/>
        <v/>
      </c>
      <c r="H77" s="118"/>
      <c r="I77" s="34" t="str">
        <f t="shared" si="28"/>
        <v/>
      </c>
      <c r="J77" s="118"/>
      <c r="K77" s="34" t="str">
        <f t="shared" si="29"/>
        <v/>
      </c>
      <c r="L77" s="118"/>
      <c r="M77" s="121"/>
      <c r="N77" s="122" t="str">
        <f t="shared" si="30"/>
        <v/>
      </c>
      <c r="O77" s="35" t="str">
        <f t="shared" si="31"/>
        <v/>
      </c>
      <c r="P77" s="124"/>
      <c r="Q77" s="36" t="str">
        <f t="shared" si="43"/>
        <v/>
      </c>
      <c r="R77" s="46" t="str">
        <f t="shared" si="32"/>
        <v/>
      </c>
      <c r="S77" s="38" t="str">
        <f t="shared" si="33"/>
        <v/>
      </c>
      <c r="T77" s="39" t="str">
        <f t="shared" si="34"/>
        <v/>
      </c>
      <c r="U77" s="40" t="str">
        <f t="shared" si="35"/>
        <v/>
      </c>
      <c r="V77" s="39" t="str">
        <f t="shared" si="36"/>
        <v/>
      </c>
      <c r="W77" s="34" t="str">
        <f t="shared" si="37"/>
        <v/>
      </c>
      <c r="X77" s="41" t="str">
        <f t="shared" si="44"/>
        <v/>
      </c>
      <c r="Y77" s="98" t="str">
        <f t="shared" si="38"/>
        <v/>
      </c>
      <c r="Z77" s="16" t="str">
        <f t="shared" si="45"/>
        <v/>
      </c>
      <c r="AB77" s="139"/>
      <c r="AC77" s="146" t="str">
        <f t="shared" si="48"/>
        <v/>
      </c>
      <c r="AD77" s="148" t="str">
        <f t="shared" si="46"/>
        <v/>
      </c>
      <c r="AE77" s="147" t="str">
        <f t="shared" si="39"/>
        <v/>
      </c>
      <c r="AF77" s="111" t="str">
        <f t="shared" si="40"/>
        <v/>
      </c>
      <c r="AG77" s="111" t="str">
        <f t="shared" si="41"/>
        <v/>
      </c>
      <c r="AH77" s="112" t="str">
        <f t="shared" si="42"/>
        <v/>
      </c>
      <c r="AI77" t="str">
        <f t="shared" si="47"/>
        <v/>
      </c>
      <c r="AJ77" t="str">
        <f t="shared" si="49"/>
        <v/>
      </c>
    </row>
    <row r="78" spans="1:36" ht="15" customHeight="1" x14ac:dyDescent="0.25">
      <c r="A78" s="114"/>
      <c r="B78" s="116"/>
      <c r="C78" s="116"/>
      <c r="D78" s="42" t="str">
        <f t="shared" si="26"/>
        <v/>
      </c>
      <c r="E78" s="43"/>
      <c r="F78" s="118"/>
      <c r="G78" s="44" t="str">
        <f t="shared" si="27"/>
        <v/>
      </c>
      <c r="H78" s="118"/>
      <c r="I78" s="34" t="str">
        <f t="shared" si="28"/>
        <v/>
      </c>
      <c r="J78" s="118"/>
      <c r="K78" s="34" t="str">
        <f t="shared" si="29"/>
        <v/>
      </c>
      <c r="L78" s="118"/>
      <c r="M78" s="121"/>
      <c r="N78" s="122" t="str">
        <f t="shared" si="30"/>
        <v/>
      </c>
      <c r="O78" s="35" t="str">
        <f t="shared" si="31"/>
        <v/>
      </c>
      <c r="P78" s="124"/>
      <c r="Q78" s="36" t="str">
        <f t="shared" si="43"/>
        <v/>
      </c>
      <c r="R78" s="46" t="str">
        <f t="shared" si="32"/>
        <v/>
      </c>
      <c r="S78" s="38" t="str">
        <f t="shared" si="33"/>
        <v/>
      </c>
      <c r="T78" s="39" t="str">
        <f t="shared" si="34"/>
        <v/>
      </c>
      <c r="U78" s="40" t="str">
        <f t="shared" si="35"/>
        <v/>
      </c>
      <c r="V78" s="39" t="str">
        <f t="shared" si="36"/>
        <v/>
      </c>
      <c r="W78" s="34" t="str">
        <f t="shared" si="37"/>
        <v/>
      </c>
      <c r="X78" s="41" t="str">
        <f t="shared" si="44"/>
        <v/>
      </c>
      <c r="Y78" s="98" t="str">
        <f t="shared" si="38"/>
        <v/>
      </c>
      <c r="Z78" s="16" t="str">
        <f t="shared" si="45"/>
        <v/>
      </c>
      <c r="AB78" s="139"/>
      <c r="AC78" s="146" t="str">
        <f t="shared" si="48"/>
        <v/>
      </c>
      <c r="AD78" s="148" t="str">
        <f t="shared" si="46"/>
        <v/>
      </c>
      <c r="AE78" s="147" t="str">
        <f t="shared" si="39"/>
        <v/>
      </c>
      <c r="AF78" s="111" t="str">
        <f t="shared" si="40"/>
        <v/>
      </c>
      <c r="AG78" s="111" t="str">
        <f t="shared" si="41"/>
        <v/>
      </c>
      <c r="AH78" s="112" t="str">
        <f t="shared" si="42"/>
        <v/>
      </c>
      <c r="AI78" t="str">
        <f t="shared" si="47"/>
        <v/>
      </c>
      <c r="AJ78" t="str">
        <f t="shared" si="49"/>
        <v/>
      </c>
    </row>
    <row r="79" spans="1:36" ht="15" customHeight="1" x14ac:dyDescent="0.25">
      <c r="A79" s="114"/>
      <c r="B79" s="116"/>
      <c r="C79" s="116"/>
      <c r="D79" s="42" t="str">
        <f t="shared" si="26"/>
        <v/>
      </c>
      <c r="E79" s="43"/>
      <c r="F79" s="118"/>
      <c r="G79" s="44" t="str">
        <f t="shared" si="27"/>
        <v/>
      </c>
      <c r="H79" s="118"/>
      <c r="I79" s="34" t="str">
        <f t="shared" si="28"/>
        <v/>
      </c>
      <c r="J79" s="118"/>
      <c r="K79" s="34" t="str">
        <f t="shared" si="29"/>
        <v/>
      </c>
      <c r="L79" s="118"/>
      <c r="M79" s="121"/>
      <c r="N79" s="122" t="str">
        <f t="shared" si="30"/>
        <v/>
      </c>
      <c r="O79" s="35" t="str">
        <f t="shared" si="31"/>
        <v/>
      </c>
      <c r="P79" s="124"/>
      <c r="Q79" s="36" t="str">
        <f t="shared" si="43"/>
        <v/>
      </c>
      <c r="R79" s="46" t="str">
        <f t="shared" si="32"/>
        <v/>
      </c>
      <c r="S79" s="38" t="str">
        <f t="shared" si="33"/>
        <v/>
      </c>
      <c r="T79" s="39" t="str">
        <f t="shared" si="34"/>
        <v/>
      </c>
      <c r="U79" s="40" t="str">
        <f t="shared" si="35"/>
        <v/>
      </c>
      <c r="V79" s="39" t="str">
        <f t="shared" si="36"/>
        <v/>
      </c>
      <c r="W79" s="34" t="str">
        <f t="shared" si="37"/>
        <v/>
      </c>
      <c r="X79" s="41" t="str">
        <f t="shared" si="44"/>
        <v/>
      </c>
      <c r="Y79" s="98" t="str">
        <f t="shared" si="38"/>
        <v/>
      </c>
      <c r="Z79" s="16" t="str">
        <f t="shared" si="45"/>
        <v/>
      </c>
      <c r="AB79" s="139"/>
      <c r="AC79" s="146" t="str">
        <f t="shared" si="48"/>
        <v/>
      </c>
      <c r="AD79" s="148" t="str">
        <f t="shared" si="46"/>
        <v/>
      </c>
      <c r="AE79" s="147" t="str">
        <f t="shared" si="39"/>
        <v/>
      </c>
      <c r="AF79" s="111" t="str">
        <f t="shared" si="40"/>
        <v/>
      </c>
      <c r="AG79" s="111" t="str">
        <f t="shared" si="41"/>
        <v/>
      </c>
      <c r="AH79" s="112" t="str">
        <f t="shared" si="42"/>
        <v/>
      </c>
      <c r="AI79" t="str">
        <f t="shared" si="47"/>
        <v/>
      </c>
      <c r="AJ79" t="str">
        <f t="shared" si="49"/>
        <v/>
      </c>
    </row>
    <row r="80" spans="1:36" ht="15" customHeight="1" x14ac:dyDescent="0.25">
      <c r="A80" s="114"/>
      <c r="B80" s="116"/>
      <c r="C80" s="116"/>
      <c r="D80" s="42" t="str">
        <f t="shared" si="26"/>
        <v/>
      </c>
      <c r="E80" s="43"/>
      <c r="F80" s="118"/>
      <c r="G80" s="44" t="str">
        <f t="shared" si="27"/>
        <v/>
      </c>
      <c r="H80" s="118"/>
      <c r="I80" s="34" t="str">
        <f t="shared" si="28"/>
        <v/>
      </c>
      <c r="J80" s="118"/>
      <c r="K80" s="34" t="str">
        <f t="shared" si="29"/>
        <v/>
      </c>
      <c r="L80" s="118"/>
      <c r="M80" s="121"/>
      <c r="N80" s="122" t="str">
        <f t="shared" si="30"/>
        <v/>
      </c>
      <c r="O80" s="35" t="str">
        <f t="shared" si="31"/>
        <v/>
      </c>
      <c r="P80" s="124"/>
      <c r="Q80" s="36" t="str">
        <f t="shared" si="43"/>
        <v/>
      </c>
      <c r="R80" s="46" t="str">
        <f t="shared" si="32"/>
        <v/>
      </c>
      <c r="S80" s="38" t="str">
        <f t="shared" si="33"/>
        <v/>
      </c>
      <c r="T80" s="39" t="str">
        <f t="shared" si="34"/>
        <v/>
      </c>
      <c r="U80" s="40" t="str">
        <f t="shared" si="35"/>
        <v/>
      </c>
      <c r="V80" s="39" t="str">
        <f t="shared" si="36"/>
        <v/>
      </c>
      <c r="W80" s="34" t="str">
        <f t="shared" si="37"/>
        <v/>
      </c>
      <c r="X80" s="41" t="str">
        <f t="shared" si="44"/>
        <v/>
      </c>
      <c r="Y80" s="98" t="str">
        <f t="shared" si="38"/>
        <v/>
      </c>
      <c r="Z80" s="16" t="str">
        <f t="shared" si="45"/>
        <v/>
      </c>
      <c r="AB80" s="139"/>
      <c r="AC80" s="146" t="str">
        <f t="shared" si="48"/>
        <v/>
      </c>
      <c r="AD80" s="148" t="str">
        <f t="shared" si="46"/>
        <v/>
      </c>
      <c r="AE80" s="147" t="str">
        <f t="shared" si="39"/>
        <v/>
      </c>
      <c r="AF80" s="111" t="str">
        <f t="shared" si="40"/>
        <v/>
      </c>
      <c r="AG80" s="111" t="str">
        <f t="shared" si="41"/>
        <v/>
      </c>
      <c r="AH80" s="112" t="str">
        <f t="shared" si="42"/>
        <v/>
      </c>
      <c r="AI80" t="str">
        <f t="shared" si="47"/>
        <v/>
      </c>
      <c r="AJ80" t="str">
        <f t="shared" si="49"/>
        <v/>
      </c>
    </row>
    <row r="81" spans="1:36" ht="15" customHeight="1" x14ac:dyDescent="0.25">
      <c r="A81" s="114"/>
      <c r="B81" s="116"/>
      <c r="C81" s="116"/>
      <c r="D81" s="42" t="str">
        <f t="shared" si="26"/>
        <v/>
      </c>
      <c r="E81" s="43"/>
      <c r="F81" s="118"/>
      <c r="G81" s="44" t="str">
        <f t="shared" si="27"/>
        <v/>
      </c>
      <c r="H81" s="118"/>
      <c r="I81" s="34" t="str">
        <f t="shared" si="28"/>
        <v/>
      </c>
      <c r="J81" s="118"/>
      <c r="K81" s="34" t="str">
        <f t="shared" si="29"/>
        <v/>
      </c>
      <c r="L81" s="118"/>
      <c r="M81" s="121"/>
      <c r="N81" s="122" t="str">
        <f t="shared" si="30"/>
        <v/>
      </c>
      <c r="O81" s="35" t="str">
        <f t="shared" si="31"/>
        <v/>
      </c>
      <c r="P81" s="124"/>
      <c r="Q81" s="36" t="str">
        <f t="shared" si="43"/>
        <v/>
      </c>
      <c r="R81" s="46" t="str">
        <f t="shared" si="32"/>
        <v/>
      </c>
      <c r="S81" s="38" t="str">
        <f t="shared" si="33"/>
        <v/>
      </c>
      <c r="T81" s="39" t="str">
        <f t="shared" si="34"/>
        <v/>
      </c>
      <c r="U81" s="40" t="str">
        <f t="shared" si="35"/>
        <v/>
      </c>
      <c r="V81" s="39" t="str">
        <f t="shared" si="36"/>
        <v/>
      </c>
      <c r="W81" s="34" t="str">
        <f t="shared" si="37"/>
        <v/>
      </c>
      <c r="X81" s="41" t="str">
        <f t="shared" si="44"/>
        <v/>
      </c>
      <c r="Y81" s="98" t="str">
        <f t="shared" si="38"/>
        <v/>
      </c>
      <c r="Z81" s="16" t="str">
        <f t="shared" si="45"/>
        <v/>
      </c>
      <c r="AB81" s="139"/>
      <c r="AC81" s="146" t="str">
        <f t="shared" si="48"/>
        <v/>
      </c>
      <c r="AD81" s="148" t="str">
        <f t="shared" si="46"/>
        <v/>
      </c>
      <c r="AE81" s="147" t="str">
        <f t="shared" si="39"/>
        <v/>
      </c>
      <c r="AF81" s="111" t="str">
        <f t="shared" si="40"/>
        <v/>
      </c>
      <c r="AG81" s="111" t="str">
        <f t="shared" si="41"/>
        <v/>
      </c>
      <c r="AH81" s="112" t="str">
        <f t="shared" si="42"/>
        <v/>
      </c>
      <c r="AI81" t="str">
        <f t="shared" si="47"/>
        <v/>
      </c>
      <c r="AJ81" t="str">
        <f t="shared" si="49"/>
        <v/>
      </c>
    </row>
    <row r="82" spans="1:36" ht="15" customHeight="1" x14ac:dyDescent="0.25">
      <c r="A82" s="114"/>
      <c r="B82" s="116"/>
      <c r="C82" s="116"/>
      <c r="D82" s="42" t="str">
        <f t="shared" si="26"/>
        <v/>
      </c>
      <c r="E82" s="43"/>
      <c r="F82" s="118"/>
      <c r="G82" s="44" t="str">
        <f t="shared" si="27"/>
        <v/>
      </c>
      <c r="H82" s="118"/>
      <c r="I82" s="34" t="str">
        <f t="shared" si="28"/>
        <v/>
      </c>
      <c r="J82" s="118"/>
      <c r="K82" s="34" t="str">
        <f t="shared" si="29"/>
        <v/>
      </c>
      <c r="L82" s="118"/>
      <c r="M82" s="121"/>
      <c r="N82" s="122" t="str">
        <f t="shared" si="30"/>
        <v/>
      </c>
      <c r="O82" s="35" t="str">
        <f t="shared" si="31"/>
        <v/>
      </c>
      <c r="P82" s="124"/>
      <c r="Q82" s="36" t="str">
        <f t="shared" si="43"/>
        <v/>
      </c>
      <c r="R82" s="46" t="str">
        <f t="shared" si="32"/>
        <v/>
      </c>
      <c r="S82" s="38" t="str">
        <f t="shared" si="33"/>
        <v/>
      </c>
      <c r="T82" s="39" t="str">
        <f t="shared" si="34"/>
        <v/>
      </c>
      <c r="U82" s="40" t="str">
        <f t="shared" si="35"/>
        <v/>
      </c>
      <c r="V82" s="39" t="str">
        <f t="shared" si="36"/>
        <v/>
      </c>
      <c r="W82" s="34" t="str">
        <f t="shared" si="37"/>
        <v/>
      </c>
      <c r="X82" s="41" t="str">
        <f t="shared" si="44"/>
        <v/>
      </c>
      <c r="Y82" s="98" t="str">
        <f t="shared" si="38"/>
        <v/>
      </c>
      <c r="Z82" s="16" t="str">
        <f t="shared" si="45"/>
        <v/>
      </c>
      <c r="AB82" s="139"/>
      <c r="AC82" s="146" t="str">
        <f t="shared" si="48"/>
        <v/>
      </c>
      <c r="AD82" s="148" t="str">
        <f t="shared" si="46"/>
        <v/>
      </c>
      <c r="AE82" s="147" t="str">
        <f t="shared" si="39"/>
        <v/>
      </c>
      <c r="AF82" s="111" t="str">
        <f t="shared" si="40"/>
        <v/>
      </c>
      <c r="AG82" s="111" t="str">
        <f t="shared" si="41"/>
        <v/>
      </c>
      <c r="AH82" s="112" t="str">
        <f t="shared" si="42"/>
        <v/>
      </c>
      <c r="AI82" t="str">
        <f t="shared" si="47"/>
        <v/>
      </c>
      <c r="AJ82" t="str">
        <f t="shared" si="49"/>
        <v/>
      </c>
    </row>
    <row r="83" spans="1:36" ht="15" customHeight="1" x14ac:dyDescent="0.25">
      <c r="A83" s="114"/>
      <c r="B83" s="116"/>
      <c r="C83" s="116"/>
      <c r="D83" s="42" t="str">
        <f t="shared" si="26"/>
        <v/>
      </c>
      <c r="E83" s="43"/>
      <c r="F83" s="118"/>
      <c r="G83" s="44" t="str">
        <f t="shared" si="27"/>
        <v/>
      </c>
      <c r="H83" s="118"/>
      <c r="I83" s="34" t="str">
        <f t="shared" si="28"/>
        <v/>
      </c>
      <c r="J83" s="118"/>
      <c r="K83" s="34" t="str">
        <f t="shared" si="29"/>
        <v/>
      </c>
      <c r="L83" s="118"/>
      <c r="M83" s="121"/>
      <c r="N83" s="122" t="str">
        <f t="shared" si="30"/>
        <v/>
      </c>
      <c r="O83" s="35" t="str">
        <f t="shared" si="31"/>
        <v/>
      </c>
      <c r="P83" s="124"/>
      <c r="Q83" s="36" t="str">
        <f t="shared" si="43"/>
        <v/>
      </c>
      <c r="R83" s="46" t="str">
        <f t="shared" si="32"/>
        <v/>
      </c>
      <c r="S83" s="38" t="str">
        <f t="shared" si="33"/>
        <v/>
      </c>
      <c r="T83" s="39" t="str">
        <f t="shared" si="34"/>
        <v/>
      </c>
      <c r="U83" s="40" t="str">
        <f t="shared" si="35"/>
        <v/>
      </c>
      <c r="V83" s="39" t="str">
        <f t="shared" si="36"/>
        <v/>
      </c>
      <c r="W83" s="34" t="str">
        <f t="shared" si="37"/>
        <v/>
      </c>
      <c r="X83" s="41" t="str">
        <f t="shared" si="44"/>
        <v/>
      </c>
      <c r="Y83" s="98" t="str">
        <f t="shared" si="38"/>
        <v/>
      </c>
      <c r="Z83" s="16" t="str">
        <f t="shared" si="45"/>
        <v/>
      </c>
      <c r="AB83" s="139"/>
      <c r="AC83" s="146" t="str">
        <f t="shared" si="48"/>
        <v/>
      </c>
      <c r="AD83" s="148" t="str">
        <f t="shared" si="46"/>
        <v/>
      </c>
      <c r="AE83" s="147" t="str">
        <f t="shared" si="39"/>
        <v/>
      </c>
      <c r="AF83" s="111" t="str">
        <f t="shared" si="40"/>
        <v/>
      </c>
      <c r="AG83" s="111" t="str">
        <f t="shared" si="41"/>
        <v/>
      </c>
      <c r="AH83" s="112" t="str">
        <f t="shared" si="42"/>
        <v/>
      </c>
      <c r="AI83" t="str">
        <f t="shared" si="47"/>
        <v/>
      </c>
      <c r="AJ83" t="str">
        <f t="shared" si="49"/>
        <v/>
      </c>
    </row>
    <row r="84" spans="1:36" ht="15" customHeight="1" x14ac:dyDescent="0.25">
      <c r="A84" s="114"/>
      <c r="B84" s="116"/>
      <c r="C84" s="116"/>
      <c r="D84" s="42" t="str">
        <f t="shared" si="26"/>
        <v/>
      </c>
      <c r="E84" s="43"/>
      <c r="F84" s="118"/>
      <c r="G84" s="44" t="str">
        <f t="shared" si="27"/>
        <v/>
      </c>
      <c r="H84" s="118"/>
      <c r="I84" s="34" t="str">
        <f t="shared" si="28"/>
        <v/>
      </c>
      <c r="J84" s="118"/>
      <c r="K84" s="34" t="str">
        <f t="shared" si="29"/>
        <v/>
      </c>
      <c r="L84" s="118"/>
      <c r="M84" s="121"/>
      <c r="N84" s="122" t="str">
        <f t="shared" si="30"/>
        <v/>
      </c>
      <c r="O84" s="35" t="str">
        <f t="shared" si="31"/>
        <v/>
      </c>
      <c r="P84" s="124"/>
      <c r="Q84" s="36" t="str">
        <f t="shared" si="43"/>
        <v/>
      </c>
      <c r="R84" s="46" t="str">
        <f t="shared" si="32"/>
        <v/>
      </c>
      <c r="S84" s="38" t="str">
        <f t="shared" si="33"/>
        <v/>
      </c>
      <c r="T84" s="39" t="str">
        <f t="shared" si="34"/>
        <v/>
      </c>
      <c r="U84" s="40" t="str">
        <f t="shared" si="35"/>
        <v/>
      </c>
      <c r="V84" s="39" t="str">
        <f t="shared" si="36"/>
        <v/>
      </c>
      <c r="W84" s="34" t="str">
        <f t="shared" si="37"/>
        <v/>
      </c>
      <c r="X84" s="41" t="str">
        <f t="shared" si="44"/>
        <v/>
      </c>
      <c r="Y84" s="98" t="str">
        <f t="shared" si="38"/>
        <v/>
      </c>
      <c r="Z84" s="16" t="str">
        <f t="shared" si="45"/>
        <v/>
      </c>
      <c r="AB84" s="139"/>
      <c r="AC84" s="146" t="str">
        <f t="shared" si="48"/>
        <v/>
      </c>
      <c r="AD84" s="148" t="str">
        <f t="shared" si="46"/>
        <v/>
      </c>
      <c r="AE84" s="147" t="str">
        <f t="shared" si="39"/>
        <v/>
      </c>
      <c r="AF84" s="111" t="str">
        <f t="shared" si="40"/>
        <v/>
      </c>
      <c r="AG84" s="111" t="str">
        <f t="shared" si="41"/>
        <v/>
      </c>
      <c r="AH84" s="112" t="str">
        <f t="shared" si="42"/>
        <v/>
      </c>
      <c r="AI84" t="str">
        <f t="shared" si="47"/>
        <v/>
      </c>
      <c r="AJ84" t="str">
        <f t="shared" si="49"/>
        <v/>
      </c>
    </row>
    <row r="85" spans="1:36" ht="15" customHeight="1" x14ac:dyDescent="0.25">
      <c r="A85" s="114"/>
      <c r="B85" s="116"/>
      <c r="C85" s="116"/>
      <c r="D85" s="42" t="str">
        <f t="shared" si="26"/>
        <v/>
      </c>
      <c r="E85" s="43"/>
      <c r="F85" s="118"/>
      <c r="G85" s="44" t="str">
        <f t="shared" si="27"/>
        <v/>
      </c>
      <c r="H85" s="118"/>
      <c r="I85" s="34" t="str">
        <f t="shared" si="28"/>
        <v/>
      </c>
      <c r="J85" s="118"/>
      <c r="K85" s="34" t="str">
        <f t="shared" si="29"/>
        <v/>
      </c>
      <c r="L85" s="118"/>
      <c r="M85" s="121"/>
      <c r="N85" s="122" t="str">
        <f t="shared" si="30"/>
        <v/>
      </c>
      <c r="O85" s="35" t="str">
        <f t="shared" si="31"/>
        <v/>
      </c>
      <c r="P85" s="124"/>
      <c r="Q85" s="36" t="str">
        <f t="shared" si="43"/>
        <v/>
      </c>
      <c r="R85" s="46" t="str">
        <f t="shared" si="32"/>
        <v/>
      </c>
      <c r="S85" s="38" t="str">
        <f t="shared" si="33"/>
        <v/>
      </c>
      <c r="T85" s="39" t="str">
        <f t="shared" si="34"/>
        <v/>
      </c>
      <c r="U85" s="40" t="str">
        <f t="shared" si="35"/>
        <v/>
      </c>
      <c r="V85" s="39" t="str">
        <f t="shared" si="36"/>
        <v/>
      </c>
      <c r="W85" s="34" t="str">
        <f t="shared" si="37"/>
        <v/>
      </c>
      <c r="X85" s="41" t="str">
        <f t="shared" si="44"/>
        <v/>
      </c>
      <c r="Y85" s="98" t="str">
        <f t="shared" si="38"/>
        <v/>
      </c>
      <c r="Z85" s="16" t="str">
        <f t="shared" si="45"/>
        <v/>
      </c>
      <c r="AB85" s="139"/>
      <c r="AC85" s="146" t="str">
        <f t="shared" si="48"/>
        <v/>
      </c>
      <c r="AD85" s="148" t="str">
        <f t="shared" si="46"/>
        <v/>
      </c>
      <c r="AE85" s="147" t="str">
        <f t="shared" si="39"/>
        <v/>
      </c>
      <c r="AF85" s="111" t="str">
        <f t="shared" si="40"/>
        <v/>
      </c>
      <c r="AG85" s="111" t="str">
        <f t="shared" si="41"/>
        <v/>
      </c>
      <c r="AH85" s="112" t="str">
        <f t="shared" si="42"/>
        <v/>
      </c>
      <c r="AI85" t="str">
        <f t="shared" si="47"/>
        <v/>
      </c>
      <c r="AJ85" t="str">
        <f t="shared" si="49"/>
        <v/>
      </c>
    </row>
    <row r="86" spans="1:36" ht="15" customHeight="1" x14ac:dyDescent="0.25">
      <c r="A86" s="114"/>
      <c r="B86" s="116"/>
      <c r="C86" s="116"/>
      <c r="D86" s="42" t="str">
        <f t="shared" si="26"/>
        <v/>
      </c>
      <c r="E86" s="43"/>
      <c r="F86" s="118"/>
      <c r="G86" s="44" t="str">
        <f t="shared" si="27"/>
        <v/>
      </c>
      <c r="H86" s="118"/>
      <c r="I86" s="34" t="str">
        <f t="shared" si="28"/>
        <v/>
      </c>
      <c r="J86" s="118"/>
      <c r="K86" s="34" t="str">
        <f t="shared" si="29"/>
        <v/>
      </c>
      <c r="L86" s="118"/>
      <c r="M86" s="121"/>
      <c r="N86" s="122" t="str">
        <f t="shared" si="30"/>
        <v/>
      </c>
      <c r="O86" s="35" t="str">
        <f t="shared" si="31"/>
        <v/>
      </c>
      <c r="P86" s="124"/>
      <c r="Q86" s="36" t="str">
        <f t="shared" si="43"/>
        <v/>
      </c>
      <c r="R86" s="46" t="str">
        <f t="shared" si="32"/>
        <v/>
      </c>
      <c r="S86" s="38" t="str">
        <f t="shared" si="33"/>
        <v/>
      </c>
      <c r="T86" s="39" t="str">
        <f t="shared" si="34"/>
        <v/>
      </c>
      <c r="U86" s="40" t="str">
        <f t="shared" si="35"/>
        <v/>
      </c>
      <c r="V86" s="39" t="str">
        <f t="shared" si="36"/>
        <v/>
      </c>
      <c r="W86" s="34" t="str">
        <f t="shared" si="37"/>
        <v/>
      </c>
      <c r="X86" s="41" t="str">
        <f t="shared" si="44"/>
        <v/>
      </c>
      <c r="Y86" s="98" t="str">
        <f t="shared" si="38"/>
        <v/>
      </c>
      <c r="Z86" s="16" t="str">
        <f t="shared" si="45"/>
        <v/>
      </c>
      <c r="AB86" s="139"/>
      <c r="AC86" s="146" t="str">
        <f t="shared" si="48"/>
        <v/>
      </c>
      <c r="AD86" s="148" t="str">
        <f t="shared" si="46"/>
        <v/>
      </c>
      <c r="AE86" s="147" t="str">
        <f t="shared" si="39"/>
        <v/>
      </c>
      <c r="AF86" s="111" t="str">
        <f t="shared" si="40"/>
        <v/>
      </c>
      <c r="AG86" s="111" t="str">
        <f t="shared" si="41"/>
        <v/>
      </c>
      <c r="AH86" s="112" t="str">
        <f t="shared" si="42"/>
        <v/>
      </c>
      <c r="AI86" t="str">
        <f t="shared" si="47"/>
        <v/>
      </c>
      <c r="AJ86" t="str">
        <f t="shared" si="49"/>
        <v/>
      </c>
    </row>
    <row r="87" spans="1:36" ht="15" customHeight="1" x14ac:dyDescent="0.25">
      <c r="A87" s="114"/>
      <c r="B87" s="116"/>
      <c r="C87" s="116"/>
      <c r="D87" s="42" t="str">
        <f t="shared" si="26"/>
        <v/>
      </c>
      <c r="E87" s="43"/>
      <c r="F87" s="118"/>
      <c r="G87" s="44" t="str">
        <f t="shared" si="27"/>
        <v/>
      </c>
      <c r="H87" s="118"/>
      <c r="I87" s="34" t="str">
        <f t="shared" si="28"/>
        <v/>
      </c>
      <c r="J87" s="118"/>
      <c r="K87" s="34" t="str">
        <f t="shared" si="29"/>
        <v/>
      </c>
      <c r="L87" s="118"/>
      <c r="M87" s="121"/>
      <c r="N87" s="122" t="str">
        <f t="shared" si="30"/>
        <v/>
      </c>
      <c r="O87" s="35" t="str">
        <f t="shared" si="31"/>
        <v/>
      </c>
      <c r="P87" s="124"/>
      <c r="Q87" s="36" t="str">
        <f t="shared" si="43"/>
        <v/>
      </c>
      <c r="R87" s="46" t="str">
        <f t="shared" si="32"/>
        <v/>
      </c>
      <c r="S87" s="38" t="str">
        <f t="shared" si="33"/>
        <v/>
      </c>
      <c r="T87" s="39" t="str">
        <f t="shared" si="34"/>
        <v/>
      </c>
      <c r="U87" s="40" t="str">
        <f t="shared" si="35"/>
        <v/>
      </c>
      <c r="V87" s="39" t="str">
        <f t="shared" si="36"/>
        <v/>
      </c>
      <c r="W87" s="34" t="str">
        <f t="shared" si="37"/>
        <v/>
      </c>
      <c r="X87" s="41" t="str">
        <f t="shared" si="44"/>
        <v/>
      </c>
      <c r="Y87" s="98" t="str">
        <f t="shared" si="38"/>
        <v/>
      </c>
      <c r="Z87" s="16" t="str">
        <f t="shared" si="45"/>
        <v/>
      </c>
      <c r="AB87" s="139"/>
      <c r="AC87" s="146" t="str">
        <f t="shared" si="48"/>
        <v/>
      </c>
      <c r="AD87" s="148" t="str">
        <f t="shared" si="46"/>
        <v/>
      </c>
      <c r="AE87" s="147" t="str">
        <f t="shared" si="39"/>
        <v/>
      </c>
      <c r="AF87" s="111" t="str">
        <f t="shared" si="40"/>
        <v/>
      </c>
      <c r="AG87" s="111" t="str">
        <f t="shared" si="41"/>
        <v/>
      </c>
      <c r="AH87" s="112" t="str">
        <f t="shared" si="42"/>
        <v/>
      </c>
      <c r="AI87" t="str">
        <f t="shared" si="47"/>
        <v/>
      </c>
      <c r="AJ87" t="str">
        <f t="shared" si="49"/>
        <v/>
      </c>
    </row>
    <row r="88" spans="1:36" ht="15" customHeight="1" x14ac:dyDescent="0.25">
      <c r="A88" s="114"/>
      <c r="B88" s="116"/>
      <c r="C88" s="116"/>
      <c r="D88" s="42" t="str">
        <f t="shared" si="26"/>
        <v/>
      </c>
      <c r="E88" s="43"/>
      <c r="F88" s="118"/>
      <c r="G88" s="44" t="str">
        <f t="shared" si="27"/>
        <v/>
      </c>
      <c r="H88" s="118"/>
      <c r="I88" s="34" t="str">
        <f t="shared" si="28"/>
        <v/>
      </c>
      <c r="J88" s="118"/>
      <c r="K88" s="34" t="str">
        <f t="shared" si="29"/>
        <v/>
      </c>
      <c r="L88" s="118"/>
      <c r="M88" s="121"/>
      <c r="N88" s="122" t="str">
        <f t="shared" si="30"/>
        <v/>
      </c>
      <c r="O88" s="35" t="str">
        <f t="shared" si="31"/>
        <v/>
      </c>
      <c r="P88" s="124"/>
      <c r="Q88" s="36" t="str">
        <f t="shared" si="43"/>
        <v/>
      </c>
      <c r="R88" s="46" t="str">
        <f t="shared" si="32"/>
        <v/>
      </c>
      <c r="S88" s="38" t="str">
        <f t="shared" si="33"/>
        <v/>
      </c>
      <c r="T88" s="39" t="str">
        <f t="shared" si="34"/>
        <v/>
      </c>
      <c r="U88" s="40" t="str">
        <f t="shared" si="35"/>
        <v/>
      </c>
      <c r="V88" s="39" t="str">
        <f t="shared" si="36"/>
        <v/>
      </c>
      <c r="W88" s="34" t="str">
        <f t="shared" si="37"/>
        <v/>
      </c>
      <c r="X88" s="41" t="str">
        <f t="shared" si="44"/>
        <v/>
      </c>
      <c r="Y88" s="98" t="str">
        <f t="shared" si="38"/>
        <v/>
      </c>
      <c r="Z88" s="16" t="str">
        <f t="shared" si="45"/>
        <v/>
      </c>
      <c r="AB88" s="139"/>
      <c r="AC88" s="146" t="str">
        <f t="shared" si="48"/>
        <v/>
      </c>
      <c r="AD88" s="148" t="str">
        <f t="shared" si="46"/>
        <v/>
      </c>
      <c r="AE88" s="147" t="str">
        <f t="shared" si="39"/>
        <v/>
      </c>
      <c r="AF88" s="111" t="str">
        <f t="shared" si="40"/>
        <v/>
      </c>
      <c r="AG88" s="111" t="str">
        <f t="shared" si="41"/>
        <v/>
      </c>
      <c r="AH88" s="112" t="str">
        <f t="shared" si="42"/>
        <v/>
      </c>
      <c r="AI88" t="str">
        <f t="shared" si="47"/>
        <v/>
      </c>
      <c r="AJ88" t="str">
        <f t="shared" si="49"/>
        <v/>
      </c>
    </row>
    <row r="89" spans="1:36" ht="15" customHeight="1" x14ac:dyDescent="0.25">
      <c r="A89" s="114"/>
      <c r="B89" s="116"/>
      <c r="C89" s="116"/>
      <c r="D89" s="42" t="str">
        <f t="shared" si="26"/>
        <v/>
      </c>
      <c r="E89" s="43"/>
      <c r="F89" s="118"/>
      <c r="G89" s="44" t="str">
        <f t="shared" si="27"/>
        <v/>
      </c>
      <c r="H89" s="118"/>
      <c r="I89" s="34" t="str">
        <f t="shared" si="28"/>
        <v/>
      </c>
      <c r="J89" s="118"/>
      <c r="K89" s="34" t="str">
        <f t="shared" si="29"/>
        <v/>
      </c>
      <c r="L89" s="118"/>
      <c r="M89" s="121"/>
      <c r="N89" s="122" t="str">
        <f t="shared" si="30"/>
        <v/>
      </c>
      <c r="O89" s="35" t="str">
        <f t="shared" si="31"/>
        <v/>
      </c>
      <c r="P89" s="124"/>
      <c r="Q89" s="36" t="str">
        <f t="shared" si="43"/>
        <v/>
      </c>
      <c r="R89" s="46" t="str">
        <f t="shared" si="32"/>
        <v/>
      </c>
      <c r="S89" s="38" t="str">
        <f t="shared" si="33"/>
        <v/>
      </c>
      <c r="T89" s="39" t="str">
        <f t="shared" si="34"/>
        <v/>
      </c>
      <c r="U89" s="40" t="str">
        <f t="shared" si="35"/>
        <v/>
      </c>
      <c r="V89" s="39" t="str">
        <f t="shared" si="36"/>
        <v/>
      </c>
      <c r="W89" s="34" t="str">
        <f t="shared" si="37"/>
        <v/>
      </c>
      <c r="X89" s="41" t="str">
        <f t="shared" si="44"/>
        <v/>
      </c>
      <c r="Y89" s="98" t="str">
        <f t="shared" si="38"/>
        <v/>
      </c>
      <c r="Z89" s="16" t="str">
        <f t="shared" si="45"/>
        <v/>
      </c>
      <c r="AB89" s="139"/>
      <c r="AC89" s="146" t="str">
        <f t="shared" si="48"/>
        <v/>
      </c>
      <c r="AD89" s="148" t="str">
        <f t="shared" si="46"/>
        <v/>
      </c>
      <c r="AE89" s="147" t="str">
        <f t="shared" si="39"/>
        <v/>
      </c>
      <c r="AF89" s="111" t="str">
        <f t="shared" si="40"/>
        <v/>
      </c>
      <c r="AG89" s="111" t="str">
        <f t="shared" si="41"/>
        <v/>
      </c>
      <c r="AH89" s="112" t="str">
        <f t="shared" si="42"/>
        <v/>
      </c>
      <c r="AI89" t="str">
        <f t="shared" si="47"/>
        <v/>
      </c>
      <c r="AJ89" t="str">
        <f t="shared" si="49"/>
        <v/>
      </c>
    </row>
    <row r="90" spans="1:36" ht="15" customHeight="1" x14ac:dyDescent="0.25">
      <c r="A90" s="114"/>
      <c r="B90" s="116"/>
      <c r="C90" s="116"/>
      <c r="D90" s="42" t="str">
        <f t="shared" si="26"/>
        <v/>
      </c>
      <c r="E90" s="43"/>
      <c r="F90" s="118"/>
      <c r="G90" s="44" t="str">
        <f t="shared" si="27"/>
        <v/>
      </c>
      <c r="H90" s="118"/>
      <c r="I90" s="34" t="str">
        <f t="shared" si="28"/>
        <v/>
      </c>
      <c r="J90" s="118"/>
      <c r="K90" s="34" t="str">
        <f t="shared" si="29"/>
        <v/>
      </c>
      <c r="L90" s="118"/>
      <c r="M90" s="121"/>
      <c r="N90" s="122" t="str">
        <f t="shared" si="30"/>
        <v/>
      </c>
      <c r="O90" s="35" t="str">
        <f t="shared" si="31"/>
        <v/>
      </c>
      <c r="P90" s="124"/>
      <c r="Q90" s="36" t="str">
        <f t="shared" si="43"/>
        <v/>
      </c>
      <c r="R90" s="46" t="str">
        <f t="shared" si="32"/>
        <v/>
      </c>
      <c r="S90" s="38" t="str">
        <f t="shared" si="33"/>
        <v/>
      </c>
      <c r="T90" s="39" t="str">
        <f t="shared" si="34"/>
        <v/>
      </c>
      <c r="U90" s="40" t="str">
        <f t="shared" si="35"/>
        <v/>
      </c>
      <c r="V90" s="39" t="str">
        <f t="shared" si="36"/>
        <v/>
      </c>
      <c r="W90" s="34" t="str">
        <f t="shared" si="37"/>
        <v/>
      </c>
      <c r="X90" s="41" t="str">
        <f t="shared" si="44"/>
        <v/>
      </c>
      <c r="Y90" s="98" t="str">
        <f t="shared" si="38"/>
        <v/>
      </c>
      <c r="Z90" s="16" t="str">
        <f t="shared" si="45"/>
        <v/>
      </c>
      <c r="AB90" s="139"/>
      <c r="AC90" s="146" t="str">
        <f t="shared" si="48"/>
        <v/>
      </c>
      <c r="AD90" s="148" t="str">
        <f t="shared" si="46"/>
        <v/>
      </c>
      <c r="AE90" s="147" t="str">
        <f t="shared" si="39"/>
        <v/>
      </c>
      <c r="AF90" s="111" t="str">
        <f t="shared" si="40"/>
        <v/>
      </c>
      <c r="AG90" s="111" t="str">
        <f t="shared" si="41"/>
        <v/>
      </c>
      <c r="AH90" s="112" t="str">
        <f t="shared" si="42"/>
        <v/>
      </c>
      <c r="AI90" t="str">
        <f t="shared" si="47"/>
        <v/>
      </c>
      <c r="AJ90" t="str">
        <f t="shared" si="49"/>
        <v/>
      </c>
    </row>
    <row r="91" spans="1:36" ht="15" customHeight="1" x14ac:dyDescent="0.25">
      <c r="A91" s="114"/>
      <c r="B91" s="116"/>
      <c r="C91" s="116"/>
      <c r="D91" s="42" t="str">
        <f t="shared" si="26"/>
        <v/>
      </c>
      <c r="E91" s="43"/>
      <c r="F91" s="118"/>
      <c r="G91" s="44" t="str">
        <f t="shared" si="27"/>
        <v/>
      </c>
      <c r="H91" s="118"/>
      <c r="I91" s="34" t="str">
        <f t="shared" si="28"/>
        <v/>
      </c>
      <c r="J91" s="118"/>
      <c r="K91" s="34" t="str">
        <f t="shared" si="29"/>
        <v/>
      </c>
      <c r="L91" s="118"/>
      <c r="M91" s="121"/>
      <c r="N91" s="122" t="str">
        <f t="shared" si="30"/>
        <v/>
      </c>
      <c r="O91" s="35" t="str">
        <f t="shared" si="31"/>
        <v/>
      </c>
      <c r="P91" s="124"/>
      <c r="Q91" s="36" t="str">
        <f t="shared" si="43"/>
        <v/>
      </c>
      <c r="R91" s="46" t="str">
        <f t="shared" si="32"/>
        <v/>
      </c>
      <c r="S91" s="38" t="str">
        <f t="shared" si="33"/>
        <v/>
      </c>
      <c r="T91" s="39" t="str">
        <f t="shared" si="34"/>
        <v/>
      </c>
      <c r="U91" s="40" t="str">
        <f t="shared" si="35"/>
        <v/>
      </c>
      <c r="V91" s="39" t="str">
        <f t="shared" si="36"/>
        <v/>
      </c>
      <c r="W91" s="34" t="str">
        <f t="shared" si="37"/>
        <v/>
      </c>
      <c r="X91" s="41" t="str">
        <f t="shared" si="44"/>
        <v/>
      </c>
      <c r="Y91" s="98" t="str">
        <f t="shared" si="38"/>
        <v/>
      </c>
      <c r="Z91" s="16" t="str">
        <f t="shared" si="45"/>
        <v/>
      </c>
      <c r="AB91" s="139"/>
      <c r="AC91" s="146" t="str">
        <f t="shared" si="48"/>
        <v/>
      </c>
      <c r="AD91" s="148" t="str">
        <f t="shared" si="46"/>
        <v/>
      </c>
      <c r="AE91" s="147" t="str">
        <f t="shared" si="39"/>
        <v/>
      </c>
      <c r="AF91" s="111" t="str">
        <f t="shared" si="40"/>
        <v/>
      </c>
      <c r="AG91" s="111" t="str">
        <f t="shared" si="41"/>
        <v/>
      </c>
      <c r="AH91" s="112" t="str">
        <f t="shared" si="42"/>
        <v/>
      </c>
      <c r="AI91" t="str">
        <f t="shared" si="47"/>
        <v/>
      </c>
      <c r="AJ91" t="str">
        <f t="shared" si="49"/>
        <v/>
      </c>
    </row>
    <row r="92" spans="1:36" ht="15" customHeight="1" x14ac:dyDescent="0.25">
      <c r="A92" s="114"/>
      <c r="B92" s="116"/>
      <c r="C92" s="116"/>
      <c r="D92" s="42" t="str">
        <f t="shared" si="26"/>
        <v/>
      </c>
      <c r="E92" s="43"/>
      <c r="F92" s="118"/>
      <c r="G92" s="44" t="str">
        <f t="shared" si="27"/>
        <v/>
      </c>
      <c r="H92" s="118"/>
      <c r="I92" s="34" t="str">
        <f t="shared" si="28"/>
        <v/>
      </c>
      <c r="J92" s="118"/>
      <c r="K92" s="34" t="str">
        <f t="shared" si="29"/>
        <v/>
      </c>
      <c r="L92" s="118"/>
      <c r="M92" s="121"/>
      <c r="N92" s="122" t="str">
        <f t="shared" si="30"/>
        <v/>
      </c>
      <c r="O92" s="35" t="str">
        <f t="shared" si="31"/>
        <v/>
      </c>
      <c r="P92" s="124"/>
      <c r="Q92" s="36" t="str">
        <f t="shared" si="43"/>
        <v/>
      </c>
      <c r="R92" s="46" t="str">
        <f t="shared" si="32"/>
        <v/>
      </c>
      <c r="S92" s="38" t="str">
        <f t="shared" si="33"/>
        <v/>
      </c>
      <c r="T92" s="39" t="str">
        <f t="shared" si="34"/>
        <v/>
      </c>
      <c r="U92" s="40" t="str">
        <f t="shared" si="35"/>
        <v/>
      </c>
      <c r="V92" s="39" t="str">
        <f t="shared" si="36"/>
        <v/>
      </c>
      <c r="W92" s="34" t="str">
        <f t="shared" si="37"/>
        <v/>
      </c>
      <c r="X92" s="41" t="str">
        <f t="shared" si="44"/>
        <v/>
      </c>
      <c r="Y92" s="98" t="str">
        <f t="shared" si="38"/>
        <v/>
      </c>
      <c r="Z92" s="16" t="str">
        <f t="shared" si="45"/>
        <v/>
      </c>
      <c r="AB92" s="139"/>
      <c r="AC92" s="146" t="str">
        <f t="shared" si="48"/>
        <v/>
      </c>
      <c r="AD92" s="148" t="str">
        <f t="shared" si="46"/>
        <v/>
      </c>
      <c r="AE92" s="147" t="str">
        <f t="shared" si="39"/>
        <v/>
      </c>
      <c r="AF92" s="111" t="str">
        <f t="shared" si="40"/>
        <v/>
      </c>
      <c r="AG92" s="111" t="str">
        <f t="shared" si="41"/>
        <v/>
      </c>
      <c r="AH92" s="112" t="str">
        <f t="shared" si="42"/>
        <v/>
      </c>
      <c r="AI92" t="str">
        <f t="shared" si="47"/>
        <v/>
      </c>
      <c r="AJ92" t="str">
        <f t="shared" si="49"/>
        <v/>
      </c>
    </row>
    <row r="93" spans="1:36" ht="15" customHeight="1" x14ac:dyDescent="0.25">
      <c r="A93" s="114"/>
      <c r="B93" s="116"/>
      <c r="C93" s="116"/>
      <c r="D93" s="42" t="str">
        <f t="shared" si="26"/>
        <v/>
      </c>
      <c r="E93" s="43"/>
      <c r="F93" s="118"/>
      <c r="G93" s="44" t="str">
        <f t="shared" si="27"/>
        <v/>
      </c>
      <c r="H93" s="118"/>
      <c r="I93" s="34" t="str">
        <f t="shared" si="28"/>
        <v/>
      </c>
      <c r="J93" s="118"/>
      <c r="K93" s="34" t="str">
        <f t="shared" si="29"/>
        <v/>
      </c>
      <c r="L93" s="118"/>
      <c r="M93" s="121"/>
      <c r="N93" s="122" t="str">
        <f t="shared" si="30"/>
        <v/>
      </c>
      <c r="O93" s="35" t="str">
        <f t="shared" si="31"/>
        <v/>
      </c>
      <c r="P93" s="124"/>
      <c r="Q93" s="36" t="str">
        <f t="shared" si="43"/>
        <v/>
      </c>
      <c r="R93" s="46" t="str">
        <f t="shared" si="32"/>
        <v/>
      </c>
      <c r="S93" s="38" t="str">
        <f t="shared" si="33"/>
        <v/>
      </c>
      <c r="T93" s="39" t="str">
        <f t="shared" si="34"/>
        <v/>
      </c>
      <c r="U93" s="40" t="str">
        <f t="shared" si="35"/>
        <v/>
      </c>
      <c r="V93" s="39" t="str">
        <f t="shared" si="36"/>
        <v/>
      </c>
      <c r="W93" s="34" t="str">
        <f t="shared" si="37"/>
        <v/>
      </c>
      <c r="X93" s="41" t="str">
        <f t="shared" si="44"/>
        <v/>
      </c>
      <c r="Y93" s="98" t="str">
        <f t="shared" si="38"/>
        <v/>
      </c>
      <c r="Z93" s="16" t="str">
        <f t="shared" si="45"/>
        <v/>
      </c>
      <c r="AB93" s="139"/>
      <c r="AC93" s="146" t="str">
        <f t="shared" si="48"/>
        <v/>
      </c>
      <c r="AD93" s="148" t="str">
        <f t="shared" si="46"/>
        <v/>
      </c>
      <c r="AE93" s="147" t="str">
        <f t="shared" si="39"/>
        <v/>
      </c>
      <c r="AF93" s="111" t="str">
        <f t="shared" si="40"/>
        <v/>
      </c>
      <c r="AG93" s="111" t="str">
        <f t="shared" si="41"/>
        <v/>
      </c>
      <c r="AH93" s="112" t="str">
        <f t="shared" si="42"/>
        <v/>
      </c>
      <c r="AI93" t="str">
        <f t="shared" si="47"/>
        <v/>
      </c>
      <c r="AJ93" t="str">
        <f t="shared" si="49"/>
        <v/>
      </c>
    </row>
    <row r="94" spans="1:36" ht="15" customHeight="1" x14ac:dyDescent="0.25">
      <c r="A94" s="114"/>
      <c r="B94" s="116"/>
      <c r="C94" s="116"/>
      <c r="D94" s="42" t="str">
        <f t="shared" si="26"/>
        <v/>
      </c>
      <c r="E94" s="43"/>
      <c r="F94" s="118"/>
      <c r="G94" s="44" t="str">
        <f t="shared" si="27"/>
        <v/>
      </c>
      <c r="H94" s="118"/>
      <c r="I94" s="34" t="str">
        <f t="shared" si="28"/>
        <v/>
      </c>
      <c r="J94" s="118"/>
      <c r="K94" s="34" t="str">
        <f t="shared" si="29"/>
        <v/>
      </c>
      <c r="L94" s="118"/>
      <c r="M94" s="121"/>
      <c r="N94" s="122" t="str">
        <f t="shared" si="30"/>
        <v/>
      </c>
      <c r="O94" s="35" t="str">
        <f t="shared" si="31"/>
        <v/>
      </c>
      <c r="P94" s="124"/>
      <c r="Q94" s="36" t="str">
        <f t="shared" si="43"/>
        <v/>
      </c>
      <c r="R94" s="46" t="str">
        <f t="shared" si="32"/>
        <v/>
      </c>
      <c r="S94" s="38" t="str">
        <f t="shared" si="33"/>
        <v/>
      </c>
      <c r="T94" s="39" t="str">
        <f t="shared" si="34"/>
        <v/>
      </c>
      <c r="U94" s="40" t="str">
        <f t="shared" si="35"/>
        <v/>
      </c>
      <c r="V94" s="39" t="str">
        <f t="shared" si="36"/>
        <v/>
      </c>
      <c r="W94" s="34" t="str">
        <f t="shared" si="37"/>
        <v/>
      </c>
      <c r="X94" s="41" t="str">
        <f t="shared" si="44"/>
        <v/>
      </c>
      <c r="Y94" s="98" t="str">
        <f t="shared" si="38"/>
        <v/>
      </c>
      <c r="Z94" s="16" t="str">
        <f t="shared" si="45"/>
        <v/>
      </c>
      <c r="AB94" s="139"/>
      <c r="AC94" s="146" t="str">
        <f t="shared" si="48"/>
        <v/>
      </c>
      <c r="AD94" s="148" t="str">
        <f t="shared" si="46"/>
        <v/>
      </c>
      <c r="AE94" s="147" t="str">
        <f t="shared" si="39"/>
        <v/>
      </c>
      <c r="AF94" s="111" t="str">
        <f t="shared" si="40"/>
        <v/>
      </c>
      <c r="AG94" s="111" t="str">
        <f t="shared" si="41"/>
        <v/>
      </c>
      <c r="AH94" s="112" t="str">
        <f t="shared" si="42"/>
        <v/>
      </c>
      <c r="AI94" t="str">
        <f t="shared" si="47"/>
        <v/>
      </c>
      <c r="AJ94" t="str">
        <f t="shared" si="49"/>
        <v/>
      </c>
    </row>
    <row r="95" spans="1:36" ht="15" customHeight="1" x14ac:dyDescent="0.25">
      <c r="A95" s="114"/>
      <c r="B95" s="116"/>
      <c r="C95" s="116"/>
      <c r="D95" s="42" t="str">
        <f t="shared" si="26"/>
        <v/>
      </c>
      <c r="E95" s="43"/>
      <c r="F95" s="118"/>
      <c r="G95" s="44" t="str">
        <f t="shared" si="27"/>
        <v/>
      </c>
      <c r="H95" s="118"/>
      <c r="I95" s="34" t="str">
        <f t="shared" si="28"/>
        <v/>
      </c>
      <c r="J95" s="118"/>
      <c r="K95" s="34" t="str">
        <f t="shared" si="29"/>
        <v/>
      </c>
      <c r="L95" s="118"/>
      <c r="M95" s="121"/>
      <c r="N95" s="122" t="str">
        <f t="shared" si="30"/>
        <v/>
      </c>
      <c r="O95" s="35" t="str">
        <f t="shared" si="31"/>
        <v/>
      </c>
      <c r="P95" s="124"/>
      <c r="Q95" s="36" t="str">
        <f t="shared" si="43"/>
        <v/>
      </c>
      <c r="R95" s="46" t="str">
        <f t="shared" si="32"/>
        <v/>
      </c>
      <c r="S95" s="38" t="str">
        <f t="shared" si="33"/>
        <v/>
      </c>
      <c r="T95" s="39" t="str">
        <f t="shared" si="34"/>
        <v/>
      </c>
      <c r="U95" s="40" t="str">
        <f t="shared" si="35"/>
        <v/>
      </c>
      <c r="V95" s="39" t="str">
        <f t="shared" si="36"/>
        <v/>
      </c>
      <c r="W95" s="34" t="str">
        <f t="shared" si="37"/>
        <v/>
      </c>
      <c r="X95" s="41" t="str">
        <f t="shared" si="44"/>
        <v/>
      </c>
      <c r="Y95" s="98" t="str">
        <f t="shared" si="38"/>
        <v/>
      </c>
      <c r="Z95" s="16" t="str">
        <f t="shared" si="45"/>
        <v/>
      </c>
      <c r="AB95" s="139"/>
      <c r="AC95" s="146" t="str">
        <f t="shared" si="48"/>
        <v/>
      </c>
      <c r="AD95" s="148" t="str">
        <f t="shared" si="46"/>
        <v/>
      </c>
      <c r="AE95" s="147" t="str">
        <f t="shared" si="39"/>
        <v/>
      </c>
      <c r="AF95" s="111" t="str">
        <f t="shared" si="40"/>
        <v/>
      </c>
      <c r="AG95" s="111" t="str">
        <f t="shared" si="41"/>
        <v/>
      </c>
      <c r="AH95" s="112" t="str">
        <f t="shared" si="42"/>
        <v/>
      </c>
      <c r="AI95" t="str">
        <f t="shared" si="47"/>
        <v/>
      </c>
      <c r="AJ95" t="str">
        <f t="shared" si="49"/>
        <v/>
      </c>
    </row>
    <row r="96" spans="1:36" ht="15" customHeight="1" x14ac:dyDescent="0.25">
      <c r="A96" s="114"/>
      <c r="B96" s="116"/>
      <c r="C96" s="116"/>
      <c r="D96" s="42" t="str">
        <f t="shared" si="26"/>
        <v/>
      </c>
      <c r="E96" s="43"/>
      <c r="F96" s="118"/>
      <c r="G96" s="44" t="str">
        <f t="shared" si="27"/>
        <v/>
      </c>
      <c r="H96" s="118"/>
      <c r="I96" s="34" t="str">
        <f t="shared" si="28"/>
        <v/>
      </c>
      <c r="J96" s="118"/>
      <c r="K96" s="34" t="str">
        <f t="shared" si="29"/>
        <v/>
      </c>
      <c r="L96" s="118"/>
      <c r="M96" s="121"/>
      <c r="N96" s="122" t="str">
        <f t="shared" si="30"/>
        <v/>
      </c>
      <c r="O96" s="35" t="str">
        <f t="shared" si="31"/>
        <v/>
      </c>
      <c r="P96" s="124"/>
      <c r="Q96" s="36" t="str">
        <f t="shared" si="43"/>
        <v/>
      </c>
      <c r="R96" s="46" t="str">
        <f t="shared" si="32"/>
        <v/>
      </c>
      <c r="S96" s="38" t="str">
        <f t="shared" si="33"/>
        <v/>
      </c>
      <c r="T96" s="39" t="str">
        <f t="shared" si="34"/>
        <v/>
      </c>
      <c r="U96" s="40" t="str">
        <f t="shared" si="35"/>
        <v/>
      </c>
      <c r="V96" s="39" t="str">
        <f t="shared" si="36"/>
        <v/>
      </c>
      <c r="W96" s="34" t="str">
        <f t="shared" si="37"/>
        <v/>
      </c>
      <c r="X96" s="41" t="str">
        <f t="shared" si="44"/>
        <v/>
      </c>
      <c r="Y96" s="98" t="str">
        <f t="shared" si="38"/>
        <v/>
      </c>
      <c r="Z96" s="16" t="str">
        <f t="shared" si="45"/>
        <v/>
      </c>
      <c r="AB96" s="139"/>
      <c r="AC96" s="146" t="str">
        <f t="shared" si="48"/>
        <v/>
      </c>
      <c r="AD96" s="148" t="str">
        <f t="shared" si="46"/>
        <v/>
      </c>
      <c r="AE96" s="147" t="str">
        <f t="shared" si="39"/>
        <v/>
      </c>
      <c r="AF96" s="111" t="str">
        <f t="shared" si="40"/>
        <v/>
      </c>
      <c r="AG96" s="111" t="str">
        <f t="shared" si="41"/>
        <v/>
      </c>
      <c r="AH96" s="112" t="str">
        <f t="shared" si="42"/>
        <v/>
      </c>
      <c r="AI96" t="str">
        <f t="shared" si="47"/>
        <v/>
      </c>
      <c r="AJ96" t="str">
        <f t="shared" si="49"/>
        <v/>
      </c>
    </row>
    <row r="97" spans="1:36" ht="15" customHeight="1" x14ac:dyDescent="0.25">
      <c r="A97" s="114"/>
      <c r="B97" s="116"/>
      <c r="C97" s="116"/>
      <c r="D97" s="42" t="str">
        <f t="shared" si="26"/>
        <v/>
      </c>
      <c r="E97" s="43"/>
      <c r="F97" s="118"/>
      <c r="G97" s="44" t="str">
        <f t="shared" si="27"/>
        <v/>
      </c>
      <c r="H97" s="118"/>
      <c r="I97" s="34" t="str">
        <f t="shared" si="28"/>
        <v/>
      </c>
      <c r="J97" s="118"/>
      <c r="K97" s="34" t="str">
        <f t="shared" si="29"/>
        <v/>
      </c>
      <c r="L97" s="118"/>
      <c r="M97" s="121"/>
      <c r="N97" s="122" t="str">
        <f t="shared" si="30"/>
        <v/>
      </c>
      <c r="O97" s="35" t="str">
        <f t="shared" si="31"/>
        <v/>
      </c>
      <c r="P97" s="124"/>
      <c r="Q97" s="36" t="str">
        <f t="shared" si="43"/>
        <v/>
      </c>
      <c r="R97" s="46" t="str">
        <f t="shared" si="32"/>
        <v/>
      </c>
      <c r="S97" s="38" t="str">
        <f t="shared" si="33"/>
        <v/>
      </c>
      <c r="T97" s="39" t="str">
        <f t="shared" si="34"/>
        <v/>
      </c>
      <c r="U97" s="40" t="str">
        <f t="shared" si="35"/>
        <v/>
      </c>
      <c r="V97" s="39" t="str">
        <f t="shared" si="36"/>
        <v/>
      </c>
      <c r="W97" s="34" t="str">
        <f t="shared" si="37"/>
        <v/>
      </c>
      <c r="X97" s="41" t="str">
        <f t="shared" si="44"/>
        <v/>
      </c>
      <c r="Y97" s="98" t="str">
        <f t="shared" si="38"/>
        <v/>
      </c>
      <c r="Z97" s="16" t="str">
        <f t="shared" si="45"/>
        <v/>
      </c>
      <c r="AB97" s="139"/>
      <c r="AC97" s="146" t="str">
        <f t="shared" si="48"/>
        <v/>
      </c>
      <c r="AD97" s="148" t="str">
        <f t="shared" si="46"/>
        <v/>
      </c>
      <c r="AE97" s="147" t="str">
        <f t="shared" si="39"/>
        <v/>
      </c>
      <c r="AF97" s="111" t="str">
        <f t="shared" si="40"/>
        <v/>
      </c>
      <c r="AG97" s="111" t="str">
        <f t="shared" si="41"/>
        <v/>
      </c>
      <c r="AH97" s="112" t="str">
        <f t="shared" si="42"/>
        <v/>
      </c>
      <c r="AI97" t="str">
        <f t="shared" si="47"/>
        <v/>
      </c>
      <c r="AJ97" t="str">
        <f t="shared" si="49"/>
        <v/>
      </c>
    </row>
    <row r="98" spans="1:36" ht="15" customHeight="1" x14ac:dyDescent="0.25">
      <c r="A98" s="114"/>
      <c r="B98" s="116"/>
      <c r="C98" s="116"/>
      <c r="D98" s="42" t="str">
        <f t="shared" si="26"/>
        <v/>
      </c>
      <c r="E98" s="43"/>
      <c r="F98" s="118"/>
      <c r="G98" s="44" t="str">
        <f t="shared" si="27"/>
        <v/>
      </c>
      <c r="H98" s="118"/>
      <c r="I98" s="34" t="str">
        <f t="shared" si="28"/>
        <v/>
      </c>
      <c r="J98" s="118"/>
      <c r="K98" s="34" t="str">
        <f t="shared" si="29"/>
        <v/>
      </c>
      <c r="L98" s="118"/>
      <c r="M98" s="121"/>
      <c r="N98" s="122" t="str">
        <f t="shared" si="30"/>
        <v/>
      </c>
      <c r="O98" s="35" t="str">
        <f t="shared" si="31"/>
        <v/>
      </c>
      <c r="P98" s="124"/>
      <c r="Q98" s="36" t="str">
        <f t="shared" si="43"/>
        <v/>
      </c>
      <c r="R98" s="46" t="str">
        <f t="shared" si="32"/>
        <v/>
      </c>
      <c r="S98" s="38" t="str">
        <f t="shared" si="33"/>
        <v/>
      </c>
      <c r="T98" s="39" t="str">
        <f t="shared" si="34"/>
        <v/>
      </c>
      <c r="U98" s="40" t="str">
        <f t="shared" si="35"/>
        <v/>
      </c>
      <c r="V98" s="39" t="str">
        <f t="shared" si="36"/>
        <v/>
      </c>
      <c r="W98" s="34" t="str">
        <f t="shared" si="37"/>
        <v/>
      </c>
      <c r="X98" s="41" t="str">
        <f t="shared" si="44"/>
        <v/>
      </c>
      <c r="Y98" s="98" t="str">
        <f t="shared" si="38"/>
        <v/>
      </c>
      <c r="Z98" s="16" t="str">
        <f t="shared" si="45"/>
        <v/>
      </c>
      <c r="AB98" s="139"/>
      <c r="AC98" s="146" t="str">
        <f t="shared" si="48"/>
        <v/>
      </c>
      <c r="AD98" s="148" t="str">
        <f t="shared" si="46"/>
        <v/>
      </c>
      <c r="AE98" s="147" t="str">
        <f t="shared" si="39"/>
        <v/>
      </c>
      <c r="AF98" s="111" t="str">
        <f t="shared" si="40"/>
        <v/>
      </c>
      <c r="AG98" s="111" t="str">
        <f t="shared" si="41"/>
        <v/>
      </c>
      <c r="AH98" s="112" t="str">
        <f t="shared" si="42"/>
        <v/>
      </c>
      <c r="AI98" t="str">
        <f t="shared" si="47"/>
        <v/>
      </c>
      <c r="AJ98" t="str">
        <f t="shared" si="49"/>
        <v/>
      </c>
    </row>
    <row r="99" spans="1:36" ht="15" customHeight="1" x14ac:dyDescent="0.25">
      <c r="A99" s="114"/>
      <c r="B99" s="116"/>
      <c r="C99" s="116"/>
      <c r="D99" s="42" t="str">
        <f t="shared" si="26"/>
        <v/>
      </c>
      <c r="E99" s="43"/>
      <c r="F99" s="118"/>
      <c r="G99" s="44" t="str">
        <f t="shared" si="27"/>
        <v/>
      </c>
      <c r="H99" s="118"/>
      <c r="I99" s="34" t="str">
        <f t="shared" si="28"/>
        <v/>
      </c>
      <c r="J99" s="118"/>
      <c r="K99" s="34" t="str">
        <f t="shared" si="29"/>
        <v/>
      </c>
      <c r="L99" s="118"/>
      <c r="M99" s="121"/>
      <c r="N99" s="122" t="str">
        <f t="shared" si="30"/>
        <v/>
      </c>
      <c r="O99" s="35" t="str">
        <f t="shared" si="31"/>
        <v/>
      </c>
      <c r="P99" s="124"/>
      <c r="Q99" s="36" t="str">
        <f t="shared" si="43"/>
        <v/>
      </c>
      <c r="R99" s="46" t="str">
        <f t="shared" si="32"/>
        <v/>
      </c>
      <c r="S99" s="38" t="str">
        <f t="shared" si="33"/>
        <v/>
      </c>
      <c r="T99" s="39" t="str">
        <f t="shared" si="34"/>
        <v/>
      </c>
      <c r="U99" s="40" t="str">
        <f t="shared" si="35"/>
        <v/>
      </c>
      <c r="V99" s="39" t="str">
        <f t="shared" si="36"/>
        <v/>
      </c>
      <c r="W99" s="34" t="str">
        <f t="shared" si="37"/>
        <v/>
      </c>
      <c r="X99" s="41" t="str">
        <f t="shared" si="44"/>
        <v/>
      </c>
      <c r="Y99" s="98" t="str">
        <f t="shared" si="38"/>
        <v/>
      </c>
      <c r="Z99" s="16" t="str">
        <f t="shared" si="45"/>
        <v/>
      </c>
      <c r="AB99" s="139"/>
      <c r="AC99" s="146" t="str">
        <f t="shared" si="48"/>
        <v/>
      </c>
      <c r="AD99" s="148" t="str">
        <f t="shared" si="46"/>
        <v/>
      </c>
      <c r="AE99" s="147" t="str">
        <f t="shared" si="39"/>
        <v/>
      </c>
      <c r="AF99" s="111" t="str">
        <f t="shared" si="40"/>
        <v/>
      </c>
      <c r="AG99" s="111" t="str">
        <f t="shared" si="41"/>
        <v/>
      </c>
      <c r="AH99" s="112" t="str">
        <f t="shared" si="42"/>
        <v/>
      </c>
      <c r="AI99" t="str">
        <f t="shared" si="47"/>
        <v/>
      </c>
      <c r="AJ99" t="str">
        <f t="shared" si="49"/>
        <v/>
      </c>
    </row>
    <row r="100" spans="1:36" ht="15" customHeight="1" x14ac:dyDescent="0.25">
      <c r="A100" s="114"/>
      <c r="B100" s="116"/>
      <c r="C100" s="116"/>
      <c r="D100" s="42" t="str">
        <f t="shared" si="26"/>
        <v/>
      </c>
      <c r="E100" s="43"/>
      <c r="F100" s="118"/>
      <c r="G100" s="44" t="str">
        <f t="shared" si="27"/>
        <v/>
      </c>
      <c r="H100" s="118"/>
      <c r="I100" s="34" t="str">
        <f t="shared" si="28"/>
        <v/>
      </c>
      <c r="J100" s="118"/>
      <c r="K100" s="34" t="str">
        <f t="shared" si="29"/>
        <v/>
      </c>
      <c r="L100" s="118"/>
      <c r="M100" s="121"/>
      <c r="N100" s="122" t="str">
        <f t="shared" si="30"/>
        <v/>
      </c>
      <c r="O100" s="35" t="str">
        <f t="shared" si="31"/>
        <v/>
      </c>
      <c r="P100" s="124"/>
      <c r="Q100" s="36" t="str">
        <f t="shared" si="43"/>
        <v/>
      </c>
      <c r="R100" s="46" t="str">
        <f t="shared" si="32"/>
        <v/>
      </c>
      <c r="S100" s="38" t="str">
        <f t="shared" si="33"/>
        <v/>
      </c>
      <c r="T100" s="39" t="str">
        <f t="shared" si="34"/>
        <v/>
      </c>
      <c r="U100" s="40" t="str">
        <f t="shared" si="35"/>
        <v/>
      </c>
      <c r="V100" s="39" t="str">
        <f t="shared" si="36"/>
        <v/>
      </c>
      <c r="W100" s="34" t="str">
        <f t="shared" si="37"/>
        <v/>
      </c>
      <c r="X100" s="41" t="str">
        <f t="shared" si="44"/>
        <v/>
      </c>
      <c r="Y100" s="98" t="str">
        <f t="shared" si="38"/>
        <v/>
      </c>
      <c r="Z100" s="16" t="str">
        <f t="shared" si="45"/>
        <v/>
      </c>
      <c r="AB100" s="139"/>
      <c r="AC100" s="146" t="str">
        <f t="shared" si="48"/>
        <v/>
      </c>
      <c r="AD100" s="148" t="str">
        <f t="shared" si="46"/>
        <v/>
      </c>
      <c r="AE100" s="147" t="str">
        <f t="shared" si="39"/>
        <v/>
      </c>
      <c r="AF100" s="111" t="str">
        <f t="shared" si="40"/>
        <v/>
      </c>
      <c r="AG100" s="111" t="str">
        <f t="shared" si="41"/>
        <v/>
      </c>
      <c r="AH100" s="112" t="str">
        <f t="shared" si="42"/>
        <v/>
      </c>
      <c r="AI100" t="str">
        <f t="shared" si="47"/>
        <v/>
      </c>
      <c r="AJ100" t="str">
        <f t="shared" si="49"/>
        <v/>
      </c>
    </row>
    <row r="101" spans="1:36" ht="15" customHeight="1" x14ac:dyDescent="0.25">
      <c r="A101" s="114"/>
      <c r="B101" s="116"/>
      <c r="C101" s="116"/>
      <c r="D101" s="42" t="str">
        <f t="shared" si="26"/>
        <v/>
      </c>
      <c r="E101" s="43"/>
      <c r="F101" s="118"/>
      <c r="G101" s="44" t="str">
        <f t="shared" si="27"/>
        <v/>
      </c>
      <c r="H101" s="118"/>
      <c r="I101" s="34" t="str">
        <f t="shared" si="28"/>
        <v/>
      </c>
      <c r="J101" s="118"/>
      <c r="K101" s="34" t="str">
        <f t="shared" si="29"/>
        <v/>
      </c>
      <c r="L101" s="118"/>
      <c r="M101" s="121"/>
      <c r="N101" s="122" t="str">
        <f t="shared" si="30"/>
        <v/>
      </c>
      <c r="O101" s="35" t="str">
        <f t="shared" si="31"/>
        <v/>
      </c>
      <c r="P101" s="124"/>
      <c r="Q101" s="36" t="str">
        <f t="shared" si="43"/>
        <v/>
      </c>
      <c r="R101" s="46" t="str">
        <f t="shared" si="32"/>
        <v/>
      </c>
      <c r="S101" s="38" t="str">
        <f t="shared" si="33"/>
        <v/>
      </c>
      <c r="T101" s="39" t="str">
        <f t="shared" si="34"/>
        <v/>
      </c>
      <c r="U101" s="40" t="str">
        <f t="shared" si="35"/>
        <v/>
      </c>
      <c r="V101" s="39" t="str">
        <f t="shared" si="36"/>
        <v/>
      </c>
      <c r="W101" s="34" t="str">
        <f t="shared" si="37"/>
        <v/>
      </c>
      <c r="X101" s="41" t="str">
        <f t="shared" si="44"/>
        <v/>
      </c>
      <c r="Y101" s="98" t="str">
        <f t="shared" si="38"/>
        <v/>
      </c>
      <c r="Z101" s="16" t="str">
        <f t="shared" si="45"/>
        <v/>
      </c>
      <c r="AB101" s="139"/>
      <c r="AC101" s="146" t="str">
        <f t="shared" si="48"/>
        <v/>
      </c>
      <c r="AD101" s="148" t="str">
        <f t="shared" si="46"/>
        <v/>
      </c>
      <c r="AE101" s="147" t="str">
        <f t="shared" si="39"/>
        <v/>
      </c>
      <c r="AF101" s="111" t="str">
        <f t="shared" si="40"/>
        <v/>
      </c>
      <c r="AG101" s="111" t="str">
        <f t="shared" si="41"/>
        <v/>
      </c>
      <c r="AH101" s="112" t="str">
        <f t="shared" si="42"/>
        <v/>
      </c>
      <c r="AI101" t="str">
        <f t="shared" si="47"/>
        <v/>
      </c>
      <c r="AJ101" t="str">
        <f t="shared" si="49"/>
        <v/>
      </c>
    </row>
    <row r="102" spans="1:36" ht="15" customHeight="1" x14ac:dyDescent="0.25">
      <c r="A102" s="114"/>
      <c r="B102" s="116"/>
      <c r="C102" s="116"/>
      <c r="D102" s="42" t="str">
        <f t="shared" si="26"/>
        <v/>
      </c>
      <c r="E102" s="43"/>
      <c r="F102" s="118"/>
      <c r="G102" s="44" t="str">
        <f t="shared" si="27"/>
        <v/>
      </c>
      <c r="H102" s="118"/>
      <c r="I102" s="34" t="str">
        <f t="shared" si="28"/>
        <v/>
      </c>
      <c r="J102" s="118"/>
      <c r="K102" s="34" t="str">
        <f t="shared" si="29"/>
        <v/>
      </c>
      <c r="L102" s="118"/>
      <c r="M102" s="121"/>
      <c r="N102" s="122" t="str">
        <f t="shared" si="30"/>
        <v/>
      </c>
      <c r="O102" s="35" t="str">
        <f t="shared" si="31"/>
        <v/>
      </c>
      <c r="P102" s="124"/>
      <c r="Q102" s="36" t="str">
        <f t="shared" si="43"/>
        <v/>
      </c>
      <c r="R102" s="46" t="str">
        <f t="shared" si="32"/>
        <v/>
      </c>
      <c r="S102" s="38" t="str">
        <f t="shared" si="33"/>
        <v/>
      </c>
      <c r="T102" s="39" t="str">
        <f t="shared" si="34"/>
        <v/>
      </c>
      <c r="U102" s="40" t="str">
        <f t="shared" si="35"/>
        <v/>
      </c>
      <c r="V102" s="39" t="str">
        <f t="shared" si="36"/>
        <v/>
      </c>
      <c r="W102" s="34" t="str">
        <f t="shared" si="37"/>
        <v/>
      </c>
      <c r="X102" s="41" t="str">
        <f t="shared" si="44"/>
        <v/>
      </c>
      <c r="Y102" s="98" t="str">
        <f t="shared" si="38"/>
        <v/>
      </c>
      <c r="Z102" s="16" t="str">
        <f t="shared" si="45"/>
        <v/>
      </c>
      <c r="AB102" s="139"/>
      <c r="AC102" s="146" t="str">
        <f t="shared" si="48"/>
        <v/>
      </c>
      <c r="AD102" s="148" t="str">
        <f t="shared" si="46"/>
        <v/>
      </c>
      <c r="AE102" s="147" t="str">
        <f t="shared" si="39"/>
        <v/>
      </c>
      <c r="AF102" s="111" t="str">
        <f t="shared" si="40"/>
        <v/>
      </c>
      <c r="AG102" s="111" t="str">
        <f t="shared" si="41"/>
        <v/>
      </c>
      <c r="AH102" s="112" t="str">
        <f t="shared" si="42"/>
        <v/>
      </c>
      <c r="AI102" t="str">
        <f t="shared" si="47"/>
        <v/>
      </c>
      <c r="AJ102" t="str">
        <f t="shared" si="49"/>
        <v/>
      </c>
    </row>
    <row r="103" spans="1:36" ht="15" customHeight="1" x14ac:dyDescent="0.25">
      <c r="A103" s="114"/>
      <c r="B103" s="116"/>
      <c r="C103" s="116"/>
      <c r="D103" s="42" t="str">
        <f t="shared" si="26"/>
        <v/>
      </c>
      <c r="E103" s="43"/>
      <c r="F103" s="118"/>
      <c r="G103" s="44" t="str">
        <f t="shared" si="27"/>
        <v/>
      </c>
      <c r="H103" s="118"/>
      <c r="I103" s="34" t="str">
        <f t="shared" si="28"/>
        <v/>
      </c>
      <c r="J103" s="118"/>
      <c r="K103" s="34" t="str">
        <f t="shared" si="29"/>
        <v/>
      </c>
      <c r="L103" s="118"/>
      <c r="M103" s="121"/>
      <c r="N103" s="122" t="str">
        <f t="shared" si="30"/>
        <v/>
      </c>
      <c r="O103" s="35" t="str">
        <f t="shared" si="31"/>
        <v/>
      </c>
      <c r="P103" s="124"/>
      <c r="Q103" s="36" t="str">
        <f t="shared" si="43"/>
        <v/>
      </c>
      <c r="R103" s="46" t="str">
        <f t="shared" si="32"/>
        <v/>
      </c>
      <c r="S103" s="38" t="str">
        <f t="shared" si="33"/>
        <v/>
      </c>
      <c r="T103" s="39" t="str">
        <f t="shared" si="34"/>
        <v/>
      </c>
      <c r="U103" s="40" t="str">
        <f t="shared" si="35"/>
        <v/>
      </c>
      <c r="V103" s="39" t="str">
        <f t="shared" si="36"/>
        <v/>
      </c>
      <c r="W103" s="34" t="str">
        <f t="shared" si="37"/>
        <v/>
      </c>
      <c r="X103" s="41" t="str">
        <f t="shared" si="44"/>
        <v/>
      </c>
      <c r="Y103" s="98" t="str">
        <f t="shared" si="38"/>
        <v/>
      </c>
      <c r="Z103" s="16" t="str">
        <f t="shared" si="45"/>
        <v/>
      </c>
      <c r="AB103" s="139"/>
      <c r="AC103" s="146" t="str">
        <f t="shared" si="48"/>
        <v/>
      </c>
      <c r="AD103" s="148" t="str">
        <f t="shared" si="46"/>
        <v/>
      </c>
      <c r="AE103" s="147" t="str">
        <f t="shared" si="39"/>
        <v/>
      </c>
      <c r="AF103" s="111" t="str">
        <f t="shared" si="40"/>
        <v/>
      </c>
      <c r="AG103" s="111" t="str">
        <f t="shared" si="41"/>
        <v/>
      </c>
      <c r="AH103" s="112" t="str">
        <f t="shared" si="42"/>
        <v/>
      </c>
      <c r="AI103" t="str">
        <f t="shared" si="47"/>
        <v/>
      </c>
      <c r="AJ103" t="str">
        <f t="shared" si="49"/>
        <v/>
      </c>
    </row>
    <row r="104" spans="1:36" ht="15" customHeight="1" x14ac:dyDescent="0.25">
      <c r="A104" s="114"/>
      <c r="B104" s="116"/>
      <c r="C104" s="116"/>
      <c r="D104" s="42" t="str">
        <f t="shared" si="26"/>
        <v/>
      </c>
      <c r="E104" s="43"/>
      <c r="F104" s="118"/>
      <c r="G104" s="44" t="str">
        <f t="shared" si="27"/>
        <v/>
      </c>
      <c r="H104" s="118"/>
      <c r="I104" s="34" t="str">
        <f t="shared" si="28"/>
        <v/>
      </c>
      <c r="J104" s="118"/>
      <c r="K104" s="34" t="str">
        <f t="shared" si="29"/>
        <v/>
      </c>
      <c r="L104" s="118"/>
      <c r="M104" s="121"/>
      <c r="N104" s="122" t="str">
        <f t="shared" si="30"/>
        <v/>
      </c>
      <c r="O104" s="35" t="str">
        <f t="shared" si="31"/>
        <v/>
      </c>
      <c r="P104" s="124"/>
      <c r="Q104" s="36" t="str">
        <f t="shared" si="43"/>
        <v/>
      </c>
      <c r="R104" s="46" t="str">
        <f t="shared" si="32"/>
        <v/>
      </c>
      <c r="S104" s="38" t="str">
        <f t="shared" si="33"/>
        <v/>
      </c>
      <c r="T104" s="39" t="str">
        <f t="shared" si="34"/>
        <v/>
      </c>
      <c r="U104" s="40" t="str">
        <f t="shared" si="35"/>
        <v/>
      </c>
      <c r="V104" s="39" t="str">
        <f t="shared" si="36"/>
        <v/>
      </c>
      <c r="W104" s="34" t="str">
        <f t="shared" si="37"/>
        <v/>
      </c>
      <c r="X104" s="41" t="str">
        <f t="shared" si="44"/>
        <v/>
      </c>
      <c r="Y104" s="98" t="str">
        <f t="shared" si="38"/>
        <v/>
      </c>
      <c r="Z104" s="16" t="str">
        <f t="shared" si="45"/>
        <v/>
      </c>
      <c r="AB104" s="139"/>
      <c r="AC104" s="146" t="str">
        <f t="shared" si="48"/>
        <v/>
      </c>
      <c r="AD104" s="148" t="str">
        <f t="shared" si="46"/>
        <v/>
      </c>
      <c r="AE104" s="147" t="str">
        <f t="shared" si="39"/>
        <v/>
      </c>
      <c r="AF104" s="111" t="str">
        <f t="shared" si="40"/>
        <v/>
      </c>
      <c r="AG104" s="111" t="str">
        <f t="shared" si="41"/>
        <v/>
      </c>
      <c r="AH104" s="112" t="str">
        <f t="shared" si="42"/>
        <v/>
      </c>
      <c r="AI104" t="str">
        <f t="shared" si="47"/>
        <v/>
      </c>
      <c r="AJ104" t="str">
        <f t="shared" si="49"/>
        <v/>
      </c>
    </row>
    <row r="105" spans="1:36" ht="15" customHeight="1" x14ac:dyDescent="0.25">
      <c r="A105" s="114"/>
      <c r="B105" s="116"/>
      <c r="C105" s="116"/>
      <c r="D105" s="42" t="str">
        <f t="shared" si="26"/>
        <v/>
      </c>
      <c r="E105" s="43"/>
      <c r="F105" s="118"/>
      <c r="G105" s="44" t="str">
        <f t="shared" si="27"/>
        <v/>
      </c>
      <c r="H105" s="118"/>
      <c r="I105" s="34" t="str">
        <f t="shared" si="28"/>
        <v/>
      </c>
      <c r="J105" s="118"/>
      <c r="K105" s="34" t="str">
        <f t="shared" si="29"/>
        <v/>
      </c>
      <c r="L105" s="118"/>
      <c r="M105" s="121"/>
      <c r="N105" s="122" t="str">
        <f t="shared" si="30"/>
        <v/>
      </c>
      <c r="O105" s="35" t="str">
        <f t="shared" si="31"/>
        <v/>
      </c>
      <c r="P105" s="124"/>
      <c r="Q105" s="36" t="str">
        <f t="shared" si="43"/>
        <v/>
      </c>
      <c r="R105" s="46" t="str">
        <f t="shared" si="32"/>
        <v/>
      </c>
      <c r="S105" s="38" t="str">
        <f t="shared" si="33"/>
        <v/>
      </c>
      <c r="T105" s="39" t="str">
        <f t="shared" si="34"/>
        <v/>
      </c>
      <c r="U105" s="40" t="str">
        <f t="shared" si="35"/>
        <v/>
      </c>
      <c r="V105" s="39" t="str">
        <f t="shared" si="36"/>
        <v/>
      </c>
      <c r="W105" s="34" t="str">
        <f t="shared" si="37"/>
        <v/>
      </c>
      <c r="X105" s="41" t="str">
        <f t="shared" si="44"/>
        <v/>
      </c>
      <c r="Y105" s="98" t="str">
        <f t="shared" si="38"/>
        <v/>
      </c>
      <c r="Z105" s="16" t="str">
        <f t="shared" si="45"/>
        <v/>
      </c>
      <c r="AB105" s="139"/>
      <c r="AC105" s="146" t="str">
        <f t="shared" si="48"/>
        <v/>
      </c>
      <c r="AD105" s="148" t="str">
        <f t="shared" si="46"/>
        <v/>
      </c>
      <c r="AE105" s="147" t="str">
        <f t="shared" si="39"/>
        <v/>
      </c>
      <c r="AF105" s="111" t="str">
        <f t="shared" si="40"/>
        <v/>
      </c>
      <c r="AG105" s="111" t="str">
        <f t="shared" si="41"/>
        <v/>
      </c>
      <c r="AH105" s="112" t="str">
        <f t="shared" si="42"/>
        <v/>
      </c>
      <c r="AI105" t="str">
        <f t="shared" si="47"/>
        <v/>
      </c>
      <c r="AJ105" t="str">
        <f t="shared" si="49"/>
        <v/>
      </c>
    </row>
    <row r="106" spans="1:36" ht="15" customHeight="1" x14ac:dyDescent="0.25">
      <c r="A106" s="114"/>
      <c r="B106" s="116"/>
      <c r="C106" s="116"/>
      <c r="D106" s="42" t="str">
        <f t="shared" si="26"/>
        <v/>
      </c>
      <c r="E106" s="43"/>
      <c r="F106" s="118"/>
      <c r="G106" s="44" t="str">
        <f t="shared" si="27"/>
        <v/>
      </c>
      <c r="H106" s="118"/>
      <c r="I106" s="34" t="str">
        <f t="shared" si="28"/>
        <v/>
      </c>
      <c r="J106" s="118"/>
      <c r="K106" s="34" t="str">
        <f t="shared" si="29"/>
        <v/>
      </c>
      <c r="L106" s="118"/>
      <c r="M106" s="121"/>
      <c r="N106" s="122" t="str">
        <f t="shared" si="30"/>
        <v/>
      </c>
      <c r="O106" s="35" t="str">
        <f t="shared" si="31"/>
        <v/>
      </c>
      <c r="P106" s="124"/>
      <c r="Q106" s="36" t="str">
        <f t="shared" si="43"/>
        <v/>
      </c>
      <c r="R106" s="46" t="str">
        <f t="shared" si="32"/>
        <v/>
      </c>
      <c r="S106" s="38" t="str">
        <f t="shared" si="33"/>
        <v/>
      </c>
      <c r="T106" s="39" t="str">
        <f t="shared" si="34"/>
        <v/>
      </c>
      <c r="U106" s="40" t="str">
        <f t="shared" si="35"/>
        <v/>
      </c>
      <c r="V106" s="39" t="str">
        <f t="shared" si="36"/>
        <v/>
      </c>
      <c r="W106" s="34" t="str">
        <f t="shared" si="37"/>
        <v/>
      </c>
      <c r="X106" s="41" t="str">
        <f t="shared" si="44"/>
        <v/>
      </c>
      <c r="Y106" s="98" t="str">
        <f t="shared" si="38"/>
        <v/>
      </c>
      <c r="Z106" s="16" t="str">
        <f t="shared" si="45"/>
        <v/>
      </c>
      <c r="AB106" s="139"/>
      <c r="AC106" s="146" t="str">
        <f t="shared" si="48"/>
        <v/>
      </c>
      <c r="AD106" s="148" t="str">
        <f t="shared" si="46"/>
        <v/>
      </c>
      <c r="AE106" s="147" t="str">
        <f t="shared" si="39"/>
        <v/>
      </c>
      <c r="AF106" s="111" t="str">
        <f t="shared" si="40"/>
        <v/>
      </c>
      <c r="AG106" s="111" t="str">
        <f t="shared" si="41"/>
        <v/>
      </c>
      <c r="AH106" s="112" t="str">
        <f t="shared" si="42"/>
        <v/>
      </c>
      <c r="AI106" t="str">
        <f t="shared" si="47"/>
        <v/>
      </c>
      <c r="AJ106" t="str">
        <f t="shared" si="49"/>
        <v/>
      </c>
    </row>
    <row r="107" spans="1:36" ht="15" customHeight="1" x14ac:dyDescent="0.25">
      <c r="A107" s="114"/>
      <c r="B107" s="116"/>
      <c r="C107" s="116"/>
      <c r="D107" s="42" t="str">
        <f t="shared" si="26"/>
        <v/>
      </c>
      <c r="E107" s="43"/>
      <c r="F107" s="118"/>
      <c r="G107" s="44" t="str">
        <f t="shared" si="27"/>
        <v/>
      </c>
      <c r="H107" s="118"/>
      <c r="I107" s="34" t="str">
        <f t="shared" si="28"/>
        <v/>
      </c>
      <c r="J107" s="118"/>
      <c r="K107" s="34" t="str">
        <f t="shared" si="29"/>
        <v/>
      </c>
      <c r="L107" s="118"/>
      <c r="M107" s="121"/>
      <c r="N107" s="122" t="str">
        <f t="shared" si="30"/>
        <v/>
      </c>
      <c r="O107" s="35" t="str">
        <f t="shared" si="31"/>
        <v/>
      </c>
      <c r="P107" s="124"/>
      <c r="Q107" s="36" t="str">
        <f t="shared" si="43"/>
        <v/>
      </c>
      <c r="R107" s="46" t="str">
        <f t="shared" si="32"/>
        <v/>
      </c>
      <c r="S107" s="38" t="str">
        <f t="shared" si="33"/>
        <v/>
      </c>
      <c r="T107" s="39" t="str">
        <f t="shared" si="34"/>
        <v/>
      </c>
      <c r="U107" s="40" t="str">
        <f t="shared" si="35"/>
        <v/>
      </c>
      <c r="V107" s="39" t="str">
        <f t="shared" si="36"/>
        <v/>
      </c>
      <c r="W107" s="34" t="str">
        <f t="shared" si="37"/>
        <v/>
      </c>
      <c r="X107" s="41" t="str">
        <f t="shared" si="44"/>
        <v/>
      </c>
      <c r="Y107" s="98" t="str">
        <f t="shared" si="38"/>
        <v/>
      </c>
      <c r="Z107" s="16" t="str">
        <f t="shared" si="45"/>
        <v/>
      </c>
      <c r="AB107" s="139"/>
      <c r="AC107" s="146" t="str">
        <f t="shared" si="48"/>
        <v/>
      </c>
      <c r="AD107" s="148" t="str">
        <f t="shared" si="46"/>
        <v/>
      </c>
      <c r="AE107" s="147" t="str">
        <f t="shared" si="39"/>
        <v/>
      </c>
      <c r="AF107" s="111" t="str">
        <f t="shared" si="40"/>
        <v/>
      </c>
      <c r="AG107" s="111" t="str">
        <f t="shared" si="41"/>
        <v/>
      </c>
      <c r="AH107" s="112" t="str">
        <f t="shared" si="42"/>
        <v/>
      </c>
      <c r="AI107" t="str">
        <f t="shared" si="47"/>
        <v/>
      </c>
      <c r="AJ107" t="str">
        <f t="shared" si="49"/>
        <v/>
      </c>
    </row>
    <row r="108" spans="1:36" ht="15" customHeight="1" x14ac:dyDescent="0.25">
      <c r="A108" s="114"/>
      <c r="B108" s="116"/>
      <c r="C108" s="116"/>
      <c r="D108" s="42" t="str">
        <f t="shared" si="26"/>
        <v/>
      </c>
      <c r="E108" s="43"/>
      <c r="F108" s="118"/>
      <c r="G108" s="44" t="str">
        <f t="shared" si="27"/>
        <v/>
      </c>
      <c r="H108" s="118"/>
      <c r="I108" s="34" t="str">
        <f t="shared" si="28"/>
        <v/>
      </c>
      <c r="J108" s="118"/>
      <c r="K108" s="34" t="str">
        <f t="shared" si="29"/>
        <v/>
      </c>
      <c r="L108" s="118"/>
      <c r="M108" s="121"/>
      <c r="N108" s="122" t="str">
        <f t="shared" si="30"/>
        <v/>
      </c>
      <c r="O108" s="35" t="str">
        <f t="shared" si="31"/>
        <v/>
      </c>
      <c r="P108" s="124"/>
      <c r="Q108" s="36" t="str">
        <f t="shared" si="43"/>
        <v/>
      </c>
      <c r="R108" s="46" t="str">
        <f t="shared" si="32"/>
        <v/>
      </c>
      <c r="S108" s="38" t="str">
        <f t="shared" si="33"/>
        <v/>
      </c>
      <c r="T108" s="39" t="str">
        <f t="shared" si="34"/>
        <v/>
      </c>
      <c r="U108" s="40" t="str">
        <f t="shared" si="35"/>
        <v/>
      </c>
      <c r="V108" s="39" t="str">
        <f t="shared" si="36"/>
        <v/>
      </c>
      <c r="W108" s="34" t="str">
        <f t="shared" si="37"/>
        <v/>
      </c>
      <c r="X108" s="41" t="str">
        <f t="shared" si="44"/>
        <v/>
      </c>
      <c r="Y108" s="98" t="str">
        <f t="shared" si="38"/>
        <v/>
      </c>
      <c r="Z108" s="16" t="str">
        <f t="shared" si="45"/>
        <v/>
      </c>
      <c r="AB108" s="139"/>
      <c r="AC108" s="146" t="str">
        <f t="shared" si="48"/>
        <v/>
      </c>
      <c r="AD108" s="148" t="str">
        <f t="shared" si="46"/>
        <v/>
      </c>
      <c r="AE108" s="147" t="str">
        <f t="shared" si="39"/>
        <v/>
      </c>
      <c r="AF108" s="111" t="str">
        <f t="shared" si="40"/>
        <v/>
      </c>
      <c r="AG108" s="111" t="str">
        <f t="shared" si="41"/>
        <v/>
      </c>
      <c r="AH108" s="112" t="str">
        <f t="shared" si="42"/>
        <v/>
      </c>
      <c r="AI108" t="str">
        <f t="shared" si="47"/>
        <v/>
      </c>
      <c r="AJ108" t="str">
        <f t="shared" si="49"/>
        <v/>
      </c>
    </row>
    <row r="109" spans="1:36" ht="15" customHeight="1" x14ac:dyDescent="0.25">
      <c r="A109" s="114"/>
      <c r="B109" s="116"/>
      <c r="C109" s="116"/>
      <c r="D109" s="42" t="str">
        <f t="shared" si="26"/>
        <v/>
      </c>
      <c r="E109" s="43"/>
      <c r="F109" s="118"/>
      <c r="G109" s="44" t="str">
        <f t="shared" si="27"/>
        <v/>
      </c>
      <c r="H109" s="118"/>
      <c r="I109" s="34" t="str">
        <f t="shared" si="28"/>
        <v/>
      </c>
      <c r="J109" s="118"/>
      <c r="K109" s="34" t="str">
        <f t="shared" si="29"/>
        <v/>
      </c>
      <c r="L109" s="118"/>
      <c r="M109" s="121"/>
      <c r="N109" s="122" t="str">
        <f t="shared" si="30"/>
        <v/>
      </c>
      <c r="O109" s="35" t="str">
        <f t="shared" si="31"/>
        <v/>
      </c>
      <c r="P109" s="124"/>
      <c r="Q109" s="36" t="str">
        <f t="shared" si="43"/>
        <v/>
      </c>
      <c r="R109" s="46" t="str">
        <f t="shared" si="32"/>
        <v/>
      </c>
      <c r="S109" s="38" t="str">
        <f t="shared" si="33"/>
        <v/>
      </c>
      <c r="T109" s="39" t="str">
        <f t="shared" si="34"/>
        <v/>
      </c>
      <c r="U109" s="40" t="str">
        <f t="shared" si="35"/>
        <v/>
      </c>
      <c r="V109" s="39" t="str">
        <f t="shared" si="36"/>
        <v/>
      </c>
      <c r="W109" s="34" t="str">
        <f t="shared" si="37"/>
        <v/>
      </c>
      <c r="X109" s="41" t="str">
        <f t="shared" si="44"/>
        <v/>
      </c>
      <c r="Y109" s="98" t="str">
        <f t="shared" si="38"/>
        <v/>
      </c>
      <c r="Z109" s="16" t="str">
        <f t="shared" si="45"/>
        <v/>
      </c>
      <c r="AB109" s="139"/>
      <c r="AC109" s="146" t="str">
        <f t="shared" si="48"/>
        <v/>
      </c>
      <c r="AD109" s="148" t="str">
        <f t="shared" si="46"/>
        <v/>
      </c>
      <c r="AE109" s="147" t="str">
        <f t="shared" si="39"/>
        <v/>
      </c>
      <c r="AF109" s="111" t="str">
        <f t="shared" si="40"/>
        <v/>
      </c>
      <c r="AG109" s="111" t="str">
        <f t="shared" si="41"/>
        <v/>
      </c>
      <c r="AH109" s="112" t="str">
        <f t="shared" si="42"/>
        <v/>
      </c>
      <c r="AI109" t="str">
        <f t="shared" si="47"/>
        <v/>
      </c>
      <c r="AJ109" t="str">
        <f t="shared" si="49"/>
        <v/>
      </c>
    </row>
    <row r="110" spans="1:36" ht="15" customHeight="1" x14ac:dyDescent="0.25">
      <c r="A110" s="114"/>
      <c r="B110" s="116"/>
      <c r="C110" s="116"/>
      <c r="D110" s="42" t="str">
        <f t="shared" si="26"/>
        <v/>
      </c>
      <c r="E110" s="43"/>
      <c r="F110" s="118"/>
      <c r="G110" s="44" t="str">
        <f t="shared" si="27"/>
        <v/>
      </c>
      <c r="H110" s="118"/>
      <c r="I110" s="34" t="str">
        <f t="shared" si="28"/>
        <v/>
      </c>
      <c r="J110" s="118"/>
      <c r="K110" s="34" t="str">
        <f t="shared" si="29"/>
        <v/>
      </c>
      <c r="L110" s="118"/>
      <c r="M110" s="121"/>
      <c r="N110" s="122" t="str">
        <f t="shared" si="30"/>
        <v/>
      </c>
      <c r="O110" s="35" t="str">
        <f t="shared" si="31"/>
        <v/>
      </c>
      <c r="P110" s="124"/>
      <c r="Q110" s="36" t="str">
        <f t="shared" si="43"/>
        <v/>
      </c>
      <c r="R110" s="46" t="str">
        <f t="shared" si="32"/>
        <v/>
      </c>
      <c r="S110" s="38" t="str">
        <f t="shared" si="33"/>
        <v/>
      </c>
      <c r="T110" s="39" t="str">
        <f t="shared" si="34"/>
        <v/>
      </c>
      <c r="U110" s="40" t="str">
        <f t="shared" si="35"/>
        <v/>
      </c>
      <c r="V110" s="39" t="str">
        <f t="shared" si="36"/>
        <v/>
      </c>
      <c r="W110" s="34" t="str">
        <f t="shared" si="37"/>
        <v/>
      </c>
      <c r="X110" s="41" t="str">
        <f t="shared" si="44"/>
        <v/>
      </c>
      <c r="Y110" s="98" t="str">
        <f t="shared" si="38"/>
        <v/>
      </c>
      <c r="Z110" s="16" t="str">
        <f t="shared" si="45"/>
        <v/>
      </c>
      <c r="AB110" s="139"/>
      <c r="AC110" s="146" t="str">
        <f t="shared" si="48"/>
        <v/>
      </c>
      <c r="AD110" s="148" t="str">
        <f t="shared" si="46"/>
        <v/>
      </c>
      <c r="AE110" s="147" t="str">
        <f t="shared" si="39"/>
        <v/>
      </c>
      <c r="AF110" s="111" t="str">
        <f t="shared" si="40"/>
        <v/>
      </c>
      <c r="AG110" s="111" t="str">
        <f t="shared" si="41"/>
        <v/>
      </c>
      <c r="AH110" s="112" t="str">
        <f t="shared" si="42"/>
        <v/>
      </c>
      <c r="AI110" t="str">
        <f t="shared" si="47"/>
        <v/>
      </c>
      <c r="AJ110" t="str">
        <f t="shared" si="49"/>
        <v/>
      </c>
    </row>
    <row r="111" spans="1:36" ht="15" customHeight="1" x14ac:dyDescent="0.25">
      <c r="A111" s="114"/>
      <c r="B111" s="116"/>
      <c r="C111" s="116"/>
      <c r="D111" s="42" t="str">
        <f t="shared" si="26"/>
        <v/>
      </c>
      <c r="E111" s="43"/>
      <c r="F111" s="118"/>
      <c r="G111" s="44" t="str">
        <f t="shared" si="27"/>
        <v/>
      </c>
      <c r="H111" s="118"/>
      <c r="I111" s="34" t="str">
        <f t="shared" si="28"/>
        <v/>
      </c>
      <c r="J111" s="118"/>
      <c r="K111" s="34" t="str">
        <f t="shared" si="29"/>
        <v/>
      </c>
      <c r="L111" s="118"/>
      <c r="M111" s="121"/>
      <c r="N111" s="122" t="str">
        <f t="shared" si="30"/>
        <v/>
      </c>
      <c r="O111" s="35" t="str">
        <f t="shared" si="31"/>
        <v/>
      </c>
      <c r="P111" s="124"/>
      <c r="Q111" s="36" t="str">
        <f t="shared" si="43"/>
        <v/>
      </c>
      <c r="R111" s="46" t="str">
        <f t="shared" si="32"/>
        <v/>
      </c>
      <c r="S111" s="38" t="str">
        <f t="shared" si="33"/>
        <v/>
      </c>
      <c r="T111" s="39" t="str">
        <f t="shared" si="34"/>
        <v/>
      </c>
      <c r="U111" s="40" t="str">
        <f t="shared" si="35"/>
        <v/>
      </c>
      <c r="V111" s="39" t="str">
        <f t="shared" si="36"/>
        <v/>
      </c>
      <c r="W111" s="34" t="str">
        <f t="shared" si="37"/>
        <v/>
      </c>
      <c r="X111" s="41" t="str">
        <f t="shared" si="44"/>
        <v/>
      </c>
      <c r="Y111" s="98" t="str">
        <f t="shared" si="38"/>
        <v/>
      </c>
      <c r="Z111" s="16" t="str">
        <f t="shared" si="45"/>
        <v/>
      </c>
      <c r="AB111" s="139"/>
      <c r="AC111" s="146" t="str">
        <f t="shared" si="48"/>
        <v/>
      </c>
      <c r="AD111" s="148" t="str">
        <f t="shared" si="46"/>
        <v/>
      </c>
      <c r="AE111" s="147" t="str">
        <f t="shared" si="39"/>
        <v/>
      </c>
      <c r="AF111" s="111" t="str">
        <f t="shared" si="40"/>
        <v/>
      </c>
      <c r="AG111" s="111" t="str">
        <f t="shared" si="41"/>
        <v/>
      </c>
      <c r="AH111" s="112" t="str">
        <f t="shared" si="42"/>
        <v/>
      </c>
      <c r="AI111" t="str">
        <f t="shared" si="47"/>
        <v/>
      </c>
      <c r="AJ111" t="str">
        <f t="shared" si="49"/>
        <v/>
      </c>
    </row>
    <row r="112" spans="1:36" ht="15" customHeight="1" x14ac:dyDescent="0.25">
      <c r="A112" s="114"/>
      <c r="B112" s="116"/>
      <c r="C112" s="116"/>
      <c r="D112" s="42" t="str">
        <f t="shared" si="26"/>
        <v/>
      </c>
      <c r="E112" s="43"/>
      <c r="F112" s="118"/>
      <c r="G112" s="44" t="str">
        <f t="shared" si="27"/>
        <v/>
      </c>
      <c r="H112" s="118"/>
      <c r="I112" s="34" t="str">
        <f t="shared" si="28"/>
        <v/>
      </c>
      <c r="J112" s="118"/>
      <c r="K112" s="34" t="str">
        <f t="shared" si="29"/>
        <v/>
      </c>
      <c r="L112" s="118"/>
      <c r="M112" s="121"/>
      <c r="N112" s="122" t="str">
        <f t="shared" si="30"/>
        <v/>
      </c>
      <c r="O112" s="35" t="str">
        <f t="shared" si="31"/>
        <v/>
      </c>
      <c r="P112" s="124"/>
      <c r="Q112" s="36" t="str">
        <f t="shared" si="43"/>
        <v/>
      </c>
      <c r="R112" s="46" t="str">
        <f t="shared" si="32"/>
        <v/>
      </c>
      <c r="S112" s="38" t="str">
        <f t="shared" si="33"/>
        <v/>
      </c>
      <c r="T112" s="39" t="str">
        <f t="shared" si="34"/>
        <v/>
      </c>
      <c r="U112" s="40" t="str">
        <f t="shared" si="35"/>
        <v/>
      </c>
      <c r="V112" s="39" t="str">
        <f t="shared" si="36"/>
        <v/>
      </c>
      <c r="W112" s="34" t="str">
        <f t="shared" si="37"/>
        <v/>
      </c>
      <c r="X112" s="41" t="str">
        <f t="shared" si="44"/>
        <v/>
      </c>
      <c r="Y112" s="98" t="str">
        <f t="shared" si="38"/>
        <v/>
      </c>
      <c r="Z112" s="16" t="str">
        <f t="shared" si="45"/>
        <v/>
      </c>
      <c r="AB112" s="139"/>
      <c r="AC112" s="146" t="str">
        <f t="shared" si="48"/>
        <v/>
      </c>
      <c r="AD112" s="148" t="str">
        <f t="shared" si="46"/>
        <v/>
      </c>
      <c r="AE112" s="147" t="str">
        <f t="shared" si="39"/>
        <v/>
      </c>
      <c r="AF112" s="111" t="str">
        <f t="shared" si="40"/>
        <v/>
      </c>
      <c r="AG112" s="111" t="str">
        <f t="shared" si="41"/>
        <v/>
      </c>
      <c r="AH112" s="112" t="str">
        <f t="shared" si="42"/>
        <v/>
      </c>
      <c r="AI112" t="str">
        <f t="shared" si="47"/>
        <v/>
      </c>
      <c r="AJ112" t="str">
        <f t="shared" si="49"/>
        <v/>
      </c>
    </row>
    <row r="113" spans="1:36" ht="15" customHeight="1" x14ac:dyDescent="0.25">
      <c r="A113" s="114"/>
      <c r="B113" s="116"/>
      <c r="C113" s="116"/>
      <c r="D113" s="42" t="str">
        <f t="shared" si="26"/>
        <v/>
      </c>
      <c r="E113" s="43"/>
      <c r="F113" s="118"/>
      <c r="G113" s="44" t="str">
        <f t="shared" si="27"/>
        <v/>
      </c>
      <c r="H113" s="118"/>
      <c r="I113" s="34" t="str">
        <f t="shared" si="28"/>
        <v/>
      </c>
      <c r="J113" s="118"/>
      <c r="K113" s="34" t="str">
        <f t="shared" si="29"/>
        <v/>
      </c>
      <c r="L113" s="118"/>
      <c r="M113" s="121"/>
      <c r="N113" s="122" t="str">
        <f t="shared" si="30"/>
        <v/>
      </c>
      <c r="O113" s="35" t="str">
        <f t="shared" si="31"/>
        <v/>
      </c>
      <c r="P113" s="124"/>
      <c r="Q113" s="36" t="str">
        <f t="shared" si="43"/>
        <v/>
      </c>
      <c r="R113" s="46" t="str">
        <f t="shared" si="32"/>
        <v/>
      </c>
      <c r="S113" s="38" t="str">
        <f t="shared" si="33"/>
        <v/>
      </c>
      <c r="T113" s="39" t="str">
        <f t="shared" si="34"/>
        <v/>
      </c>
      <c r="U113" s="40" t="str">
        <f t="shared" si="35"/>
        <v/>
      </c>
      <c r="V113" s="39" t="str">
        <f t="shared" si="36"/>
        <v/>
      </c>
      <c r="W113" s="34" t="str">
        <f t="shared" si="37"/>
        <v/>
      </c>
      <c r="X113" s="41" t="str">
        <f t="shared" si="44"/>
        <v/>
      </c>
      <c r="Y113" s="98" t="str">
        <f t="shared" si="38"/>
        <v/>
      </c>
      <c r="Z113" s="16" t="str">
        <f t="shared" si="45"/>
        <v/>
      </c>
      <c r="AB113" s="139"/>
      <c r="AC113" s="146" t="str">
        <f t="shared" si="48"/>
        <v/>
      </c>
      <c r="AD113" s="148" t="str">
        <f t="shared" si="46"/>
        <v/>
      </c>
      <c r="AE113" s="147" t="str">
        <f t="shared" si="39"/>
        <v/>
      </c>
      <c r="AF113" s="111" t="str">
        <f t="shared" si="40"/>
        <v/>
      </c>
      <c r="AG113" s="111" t="str">
        <f t="shared" si="41"/>
        <v/>
      </c>
      <c r="AH113" s="112" t="str">
        <f t="shared" si="42"/>
        <v/>
      </c>
      <c r="AI113" t="str">
        <f t="shared" si="47"/>
        <v/>
      </c>
      <c r="AJ113" t="str">
        <f t="shared" si="49"/>
        <v/>
      </c>
    </row>
    <row r="114" spans="1:36" ht="15" customHeight="1" x14ac:dyDescent="0.25">
      <c r="A114" s="114"/>
      <c r="B114" s="116"/>
      <c r="C114" s="116"/>
      <c r="D114" s="42" t="str">
        <f t="shared" si="26"/>
        <v/>
      </c>
      <c r="E114" s="43"/>
      <c r="F114" s="118"/>
      <c r="G114" s="44" t="str">
        <f t="shared" si="27"/>
        <v/>
      </c>
      <c r="H114" s="118"/>
      <c r="I114" s="34" t="str">
        <f t="shared" si="28"/>
        <v/>
      </c>
      <c r="J114" s="118"/>
      <c r="K114" s="34" t="str">
        <f t="shared" si="29"/>
        <v/>
      </c>
      <c r="L114" s="118"/>
      <c r="M114" s="121"/>
      <c r="N114" s="122" t="str">
        <f t="shared" si="30"/>
        <v/>
      </c>
      <c r="O114" s="35" t="str">
        <f t="shared" si="31"/>
        <v/>
      </c>
      <c r="P114" s="124"/>
      <c r="Q114" s="36" t="str">
        <f t="shared" si="43"/>
        <v/>
      </c>
      <c r="R114" s="46" t="str">
        <f t="shared" si="32"/>
        <v/>
      </c>
      <c r="S114" s="38" t="str">
        <f t="shared" si="33"/>
        <v/>
      </c>
      <c r="T114" s="39" t="str">
        <f t="shared" si="34"/>
        <v/>
      </c>
      <c r="U114" s="40" t="str">
        <f t="shared" si="35"/>
        <v/>
      </c>
      <c r="V114" s="39" t="str">
        <f t="shared" si="36"/>
        <v/>
      </c>
      <c r="W114" s="34" t="str">
        <f t="shared" si="37"/>
        <v/>
      </c>
      <c r="X114" s="41" t="str">
        <f t="shared" si="44"/>
        <v/>
      </c>
      <c r="Y114" s="98" t="str">
        <f t="shared" si="38"/>
        <v/>
      </c>
      <c r="Z114" s="16" t="str">
        <f t="shared" si="45"/>
        <v/>
      </c>
      <c r="AB114" s="139"/>
      <c r="AC114" s="146" t="str">
        <f t="shared" si="48"/>
        <v/>
      </c>
      <c r="AD114" s="148" t="str">
        <f t="shared" si="46"/>
        <v/>
      </c>
      <c r="AE114" s="147" t="str">
        <f t="shared" si="39"/>
        <v/>
      </c>
      <c r="AF114" s="111" t="str">
        <f t="shared" si="40"/>
        <v/>
      </c>
      <c r="AG114" s="111" t="str">
        <f t="shared" si="41"/>
        <v/>
      </c>
      <c r="AH114" s="112" t="str">
        <f t="shared" si="42"/>
        <v/>
      </c>
      <c r="AI114" t="str">
        <f t="shared" si="47"/>
        <v/>
      </c>
      <c r="AJ114" t="str">
        <f t="shared" si="49"/>
        <v/>
      </c>
    </row>
    <row r="115" spans="1:36" ht="15" customHeight="1" x14ac:dyDescent="0.25">
      <c r="A115" s="114"/>
      <c r="B115" s="116"/>
      <c r="C115" s="116"/>
      <c r="D115" s="42" t="str">
        <f t="shared" si="26"/>
        <v/>
      </c>
      <c r="E115" s="43"/>
      <c r="F115" s="118"/>
      <c r="G115" s="44" t="str">
        <f t="shared" si="27"/>
        <v/>
      </c>
      <c r="H115" s="118"/>
      <c r="I115" s="34" t="str">
        <f t="shared" si="28"/>
        <v/>
      </c>
      <c r="J115" s="118"/>
      <c r="K115" s="34" t="str">
        <f t="shared" si="29"/>
        <v/>
      </c>
      <c r="L115" s="118"/>
      <c r="M115" s="121"/>
      <c r="N115" s="122" t="str">
        <f t="shared" si="30"/>
        <v/>
      </c>
      <c r="O115" s="35" t="str">
        <f t="shared" si="31"/>
        <v/>
      </c>
      <c r="P115" s="124"/>
      <c r="Q115" s="36" t="str">
        <f t="shared" si="43"/>
        <v/>
      </c>
      <c r="R115" s="46" t="str">
        <f t="shared" si="32"/>
        <v/>
      </c>
      <c r="S115" s="38" t="str">
        <f t="shared" si="33"/>
        <v/>
      </c>
      <c r="T115" s="39" t="str">
        <f t="shared" si="34"/>
        <v/>
      </c>
      <c r="U115" s="40" t="str">
        <f t="shared" si="35"/>
        <v/>
      </c>
      <c r="V115" s="39" t="str">
        <f t="shared" si="36"/>
        <v/>
      </c>
      <c r="W115" s="34" t="str">
        <f t="shared" si="37"/>
        <v/>
      </c>
      <c r="X115" s="41" t="str">
        <f t="shared" si="44"/>
        <v/>
      </c>
      <c r="Y115" s="98" t="str">
        <f t="shared" si="38"/>
        <v/>
      </c>
      <c r="Z115" s="16" t="str">
        <f t="shared" si="45"/>
        <v/>
      </c>
      <c r="AB115" s="139"/>
      <c r="AC115" s="146" t="str">
        <f t="shared" si="48"/>
        <v/>
      </c>
      <c r="AD115" s="148" t="str">
        <f t="shared" si="46"/>
        <v/>
      </c>
      <c r="AE115" s="147" t="str">
        <f t="shared" si="39"/>
        <v/>
      </c>
      <c r="AF115" s="111" t="str">
        <f t="shared" si="40"/>
        <v/>
      </c>
      <c r="AG115" s="111" t="str">
        <f t="shared" si="41"/>
        <v/>
      </c>
      <c r="AH115" s="112" t="str">
        <f t="shared" si="42"/>
        <v/>
      </c>
      <c r="AI115" t="str">
        <f t="shared" si="47"/>
        <v/>
      </c>
      <c r="AJ115" t="str">
        <f t="shared" si="49"/>
        <v/>
      </c>
    </row>
    <row r="116" spans="1:36" ht="15" customHeight="1" x14ac:dyDescent="0.25">
      <c r="A116" s="114"/>
      <c r="B116" s="116"/>
      <c r="C116" s="116"/>
      <c r="D116" s="42" t="str">
        <f t="shared" si="26"/>
        <v/>
      </c>
      <c r="E116" s="43"/>
      <c r="F116" s="118"/>
      <c r="G116" s="44" t="str">
        <f t="shared" si="27"/>
        <v/>
      </c>
      <c r="H116" s="118"/>
      <c r="I116" s="34" t="str">
        <f t="shared" si="28"/>
        <v/>
      </c>
      <c r="J116" s="118"/>
      <c r="K116" s="34" t="str">
        <f t="shared" si="29"/>
        <v/>
      </c>
      <c r="L116" s="118"/>
      <c r="M116" s="121"/>
      <c r="N116" s="122" t="str">
        <f t="shared" si="30"/>
        <v/>
      </c>
      <c r="O116" s="35" t="str">
        <f t="shared" si="31"/>
        <v/>
      </c>
      <c r="P116" s="124"/>
      <c r="Q116" s="36" t="str">
        <f t="shared" si="43"/>
        <v/>
      </c>
      <c r="R116" s="46" t="str">
        <f t="shared" si="32"/>
        <v/>
      </c>
      <c r="S116" s="38" t="str">
        <f t="shared" si="33"/>
        <v/>
      </c>
      <c r="T116" s="39" t="str">
        <f t="shared" si="34"/>
        <v/>
      </c>
      <c r="U116" s="40" t="str">
        <f t="shared" si="35"/>
        <v/>
      </c>
      <c r="V116" s="39" t="str">
        <f t="shared" si="36"/>
        <v/>
      </c>
      <c r="W116" s="34" t="str">
        <f t="shared" si="37"/>
        <v/>
      </c>
      <c r="X116" s="41" t="str">
        <f t="shared" si="44"/>
        <v/>
      </c>
      <c r="Y116" s="98" t="str">
        <f t="shared" si="38"/>
        <v/>
      </c>
      <c r="Z116" s="16" t="str">
        <f t="shared" si="45"/>
        <v/>
      </c>
      <c r="AB116" s="139"/>
      <c r="AC116" s="146" t="str">
        <f t="shared" si="48"/>
        <v/>
      </c>
      <c r="AD116" s="148" t="str">
        <f t="shared" si="46"/>
        <v/>
      </c>
      <c r="AE116" s="147" t="str">
        <f t="shared" si="39"/>
        <v/>
      </c>
      <c r="AF116" s="111" t="str">
        <f t="shared" si="40"/>
        <v/>
      </c>
      <c r="AG116" s="111" t="str">
        <f t="shared" si="41"/>
        <v/>
      </c>
      <c r="AH116" s="112" t="str">
        <f t="shared" si="42"/>
        <v/>
      </c>
      <c r="AI116" t="str">
        <f t="shared" si="47"/>
        <v/>
      </c>
      <c r="AJ116" t="str">
        <f t="shared" si="49"/>
        <v/>
      </c>
    </row>
    <row r="117" spans="1:36" ht="15" customHeight="1" x14ac:dyDescent="0.25">
      <c r="A117" s="114"/>
      <c r="B117" s="116"/>
      <c r="C117" s="116"/>
      <c r="D117" s="42" t="str">
        <f t="shared" si="26"/>
        <v/>
      </c>
      <c r="E117" s="43"/>
      <c r="F117" s="118"/>
      <c r="G117" s="44" t="str">
        <f t="shared" si="27"/>
        <v/>
      </c>
      <c r="H117" s="118"/>
      <c r="I117" s="34" t="str">
        <f t="shared" si="28"/>
        <v/>
      </c>
      <c r="J117" s="118"/>
      <c r="K117" s="34" t="str">
        <f t="shared" si="29"/>
        <v/>
      </c>
      <c r="L117" s="118"/>
      <c r="M117" s="121"/>
      <c r="N117" s="122" t="str">
        <f t="shared" si="30"/>
        <v/>
      </c>
      <c r="O117" s="35" t="str">
        <f t="shared" si="31"/>
        <v/>
      </c>
      <c r="P117" s="124"/>
      <c r="Q117" s="36" t="str">
        <f t="shared" si="43"/>
        <v/>
      </c>
      <c r="R117" s="46" t="str">
        <f t="shared" si="32"/>
        <v/>
      </c>
      <c r="S117" s="38" t="str">
        <f t="shared" si="33"/>
        <v/>
      </c>
      <c r="T117" s="39" t="str">
        <f t="shared" si="34"/>
        <v/>
      </c>
      <c r="U117" s="40" t="str">
        <f t="shared" si="35"/>
        <v/>
      </c>
      <c r="V117" s="39" t="str">
        <f t="shared" si="36"/>
        <v/>
      </c>
      <c r="W117" s="34" t="str">
        <f t="shared" si="37"/>
        <v/>
      </c>
      <c r="X117" s="41" t="str">
        <f t="shared" si="44"/>
        <v/>
      </c>
      <c r="Y117" s="98" t="str">
        <f t="shared" si="38"/>
        <v/>
      </c>
      <c r="Z117" s="16" t="str">
        <f t="shared" si="45"/>
        <v/>
      </c>
      <c r="AB117" s="139"/>
      <c r="AC117" s="146" t="str">
        <f t="shared" si="48"/>
        <v/>
      </c>
      <c r="AD117" s="148" t="str">
        <f t="shared" si="46"/>
        <v/>
      </c>
      <c r="AE117" s="147" t="str">
        <f t="shared" si="39"/>
        <v/>
      </c>
      <c r="AF117" s="111" t="str">
        <f t="shared" si="40"/>
        <v/>
      </c>
      <c r="AG117" s="111" t="str">
        <f t="shared" si="41"/>
        <v/>
      </c>
      <c r="AH117" s="112" t="str">
        <f t="shared" si="42"/>
        <v/>
      </c>
      <c r="AI117" t="str">
        <f t="shared" si="47"/>
        <v/>
      </c>
      <c r="AJ117" t="str">
        <f t="shared" si="49"/>
        <v/>
      </c>
    </row>
    <row r="118" spans="1:36" ht="15" customHeight="1" x14ac:dyDescent="0.25">
      <c r="A118" s="114"/>
      <c r="B118" s="116"/>
      <c r="C118" s="116"/>
      <c r="D118" s="42" t="str">
        <f t="shared" si="26"/>
        <v/>
      </c>
      <c r="E118" s="43"/>
      <c r="F118" s="118"/>
      <c r="G118" s="44" t="str">
        <f t="shared" si="27"/>
        <v/>
      </c>
      <c r="H118" s="118"/>
      <c r="I118" s="34" t="str">
        <f t="shared" si="28"/>
        <v/>
      </c>
      <c r="J118" s="118"/>
      <c r="K118" s="34" t="str">
        <f t="shared" si="29"/>
        <v/>
      </c>
      <c r="L118" s="118"/>
      <c r="M118" s="121"/>
      <c r="N118" s="122" t="str">
        <f t="shared" si="30"/>
        <v/>
      </c>
      <c r="O118" s="35" t="str">
        <f t="shared" si="31"/>
        <v/>
      </c>
      <c r="P118" s="124"/>
      <c r="Q118" s="36" t="str">
        <f t="shared" si="43"/>
        <v/>
      </c>
      <c r="R118" s="46" t="str">
        <f t="shared" si="32"/>
        <v/>
      </c>
      <c r="S118" s="38" t="str">
        <f t="shared" si="33"/>
        <v/>
      </c>
      <c r="T118" s="39" t="str">
        <f t="shared" si="34"/>
        <v/>
      </c>
      <c r="U118" s="40" t="str">
        <f t="shared" si="35"/>
        <v/>
      </c>
      <c r="V118" s="39" t="str">
        <f t="shared" si="36"/>
        <v/>
      </c>
      <c r="W118" s="34" t="str">
        <f t="shared" si="37"/>
        <v/>
      </c>
      <c r="X118" s="41" t="str">
        <f t="shared" si="44"/>
        <v/>
      </c>
      <c r="Y118" s="98" t="str">
        <f t="shared" si="38"/>
        <v/>
      </c>
      <c r="Z118" s="16" t="str">
        <f t="shared" si="45"/>
        <v/>
      </c>
      <c r="AB118" s="139"/>
      <c r="AC118" s="146" t="str">
        <f t="shared" si="48"/>
        <v/>
      </c>
      <c r="AD118" s="148" t="str">
        <f t="shared" si="46"/>
        <v/>
      </c>
      <c r="AE118" s="147" t="str">
        <f t="shared" si="39"/>
        <v/>
      </c>
      <c r="AF118" s="111" t="str">
        <f t="shared" si="40"/>
        <v/>
      </c>
      <c r="AG118" s="111" t="str">
        <f t="shared" si="41"/>
        <v/>
      </c>
      <c r="AH118" s="112" t="str">
        <f t="shared" si="42"/>
        <v/>
      </c>
      <c r="AI118" t="str">
        <f t="shared" si="47"/>
        <v/>
      </c>
      <c r="AJ118" t="str">
        <f t="shared" si="49"/>
        <v/>
      </c>
    </row>
    <row r="119" spans="1:36" ht="15" customHeight="1" x14ac:dyDescent="0.25">
      <c r="A119" s="114"/>
      <c r="B119" s="116"/>
      <c r="C119" s="116"/>
      <c r="D119" s="42" t="str">
        <f t="shared" si="26"/>
        <v/>
      </c>
      <c r="E119" s="43"/>
      <c r="F119" s="118"/>
      <c r="G119" s="44" t="str">
        <f t="shared" si="27"/>
        <v/>
      </c>
      <c r="H119" s="118"/>
      <c r="I119" s="34" t="str">
        <f t="shared" si="28"/>
        <v/>
      </c>
      <c r="J119" s="118"/>
      <c r="K119" s="34" t="str">
        <f t="shared" si="29"/>
        <v/>
      </c>
      <c r="L119" s="118"/>
      <c r="M119" s="121"/>
      <c r="N119" s="122" t="str">
        <f t="shared" si="30"/>
        <v/>
      </c>
      <c r="O119" s="35" t="str">
        <f t="shared" si="31"/>
        <v/>
      </c>
      <c r="P119" s="124"/>
      <c r="Q119" s="36" t="str">
        <f t="shared" si="43"/>
        <v/>
      </c>
      <c r="R119" s="46" t="str">
        <f t="shared" si="32"/>
        <v/>
      </c>
      <c r="S119" s="38" t="str">
        <f t="shared" si="33"/>
        <v/>
      </c>
      <c r="T119" s="39" t="str">
        <f t="shared" si="34"/>
        <v/>
      </c>
      <c r="U119" s="40" t="str">
        <f t="shared" si="35"/>
        <v/>
      </c>
      <c r="V119" s="39" t="str">
        <f t="shared" si="36"/>
        <v/>
      </c>
      <c r="W119" s="34" t="str">
        <f t="shared" si="37"/>
        <v/>
      </c>
      <c r="X119" s="41" t="str">
        <f t="shared" si="44"/>
        <v/>
      </c>
      <c r="Y119" s="98" t="str">
        <f t="shared" si="38"/>
        <v/>
      </c>
      <c r="Z119" s="16" t="str">
        <f t="shared" si="45"/>
        <v/>
      </c>
      <c r="AB119" s="139"/>
      <c r="AC119" s="146" t="str">
        <f t="shared" si="48"/>
        <v/>
      </c>
      <c r="AD119" s="148" t="str">
        <f t="shared" si="46"/>
        <v/>
      </c>
      <c r="AE119" s="147" t="str">
        <f t="shared" si="39"/>
        <v/>
      </c>
      <c r="AF119" s="111" t="str">
        <f t="shared" si="40"/>
        <v/>
      </c>
      <c r="AG119" s="111" t="str">
        <f t="shared" si="41"/>
        <v/>
      </c>
      <c r="AH119" s="112" t="str">
        <f t="shared" si="42"/>
        <v/>
      </c>
      <c r="AI119" t="str">
        <f t="shared" si="47"/>
        <v/>
      </c>
      <c r="AJ119" t="str">
        <f t="shared" si="49"/>
        <v/>
      </c>
    </row>
    <row r="120" spans="1:36" ht="15" customHeight="1" x14ac:dyDescent="0.25">
      <c r="A120" s="114"/>
      <c r="B120" s="116"/>
      <c r="C120" s="116"/>
      <c r="D120" s="42" t="str">
        <f t="shared" si="26"/>
        <v/>
      </c>
      <c r="E120" s="43"/>
      <c r="F120" s="118"/>
      <c r="G120" s="44" t="str">
        <f t="shared" si="27"/>
        <v/>
      </c>
      <c r="H120" s="118"/>
      <c r="I120" s="34" t="str">
        <f t="shared" si="28"/>
        <v/>
      </c>
      <c r="J120" s="118"/>
      <c r="K120" s="34" t="str">
        <f t="shared" si="29"/>
        <v/>
      </c>
      <c r="L120" s="118"/>
      <c r="M120" s="121"/>
      <c r="N120" s="122" t="str">
        <f t="shared" si="30"/>
        <v/>
      </c>
      <c r="O120" s="35" t="str">
        <f t="shared" si="31"/>
        <v/>
      </c>
      <c r="P120" s="124"/>
      <c r="Q120" s="36" t="str">
        <f t="shared" si="43"/>
        <v/>
      </c>
      <c r="R120" s="46" t="str">
        <f t="shared" si="32"/>
        <v/>
      </c>
      <c r="S120" s="38" t="str">
        <f t="shared" si="33"/>
        <v/>
      </c>
      <c r="T120" s="39" t="str">
        <f t="shared" si="34"/>
        <v/>
      </c>
      <c r="U120" s="40" t="str">
        <f t="shared" si="35"/>
        <v/>
      </c>
      <c r="V120" s="39" t="str">
        <f t="shared" si="36"/>
        <v/>
      </c>
      <c r="W120" s="34" t="str">
        <f t="shared" si="37"/>
        <v/>
      </c>
      <c r="X120" s="41" t="str">
        <f t="shared" si="44"/>
        <v/>
      </c>
      <c r="Y120" s="98" t="str">
        <f t="shared" si="38"/>
        <v/>
      </c>
      <c r="Z120" s="16" t="str">
        <f t="shared" si="45"/>
        <v/>
      </c>
      <c r="AB120" s="139"/>
      <c r="AC120" s="146" t="str">
        <f t="shared" si="48"/>
        <v/>
      </c>
      <c r="AD120" s="148" t="str">
        <f t="shared" si="46"/>
        <v/>
      </c>
      <c r="AE120" s="147" t="str">
        <f t="shared" si="39"/>
        <v/>
      </c>
      <c r="AF120" s="111" t="str">
        <f t="shared" si="40"/>
        <v/>
      </c>
      <c r="AG120" s="111" t="str">
        <f t="shared" si="41"/>
        <v/>
      </c>
      <c r="AH120" s="112" t="str">
        <f t="shared" si="42"/>
        <v/>
      </c>
      <c r="AI120" t="str">
        <f t="shared" si="47"/>
        <v/>
      </c>
      <c r="AJ120" t="str">
        <f t="shared" si="49"/>
        <v/>
      </c>
    </row>
    <row r="121" spans="1:36" ht="15" customHeight="1" x14ac:dyDescent="0.25">
      <c r="A121" s="114"/>
      <c r="B121" s="116"/>
      <c r="C121" s="116"/>
      <c r="D121" s="42" t="str">
        <f t="shared" si="26"/>
        <v/>
      </c>
      <c r="E121" s="43"/>
      <c r="F121" s="118"/>
      <c r="G121" s="44" t="str">
        <f t="shared" si="27"/>
        <v/>
      </c>
      <c r="H121" s="118"/>
      <c r="I121" s="34" t="str">
        <f t="shared" si="28"/>
        <v/>
      </c>
      <c r="J121" s="118"/>
      <c r="K121" s="34" t="str">
        <f t="shared" si="29"/>
        <v/>
      </c>
      <c r="L121" s="118"/>
      <c r="M121" s="121"/>
      <c r="N121" s="122" t="str">
        <f t="shared" si="30"/>
        <v/>
      </c>
      <c r="O121" s="35" t="str">
        <f t="shared" si="31"/>
        <v/>
      </c>
      <c r="P121" s="124"/>
      <c r="Q121" s="36" t="str">
        <f t="shared" si="43"/>
        <v/>
      </c>
      <c r="R121" s="46" t="str">
        <f t="shared" si="32"/>
        <v/>
      </c>
      <c r="S121" s="38" t="str">
        <f t="shared" si="33"/>
        <v/>
      </c>
      <c r="T121" s="39" t="str">
        <f t="shared" si="34"/>
        <v/>
      </c>
      <c r="U121" s="40" t="str">
        <f t="shared" si="35"/>
        <v/>
      </c>
      <c r="V121" s="39" t="str">
        <f t="shared" si="36"/>
        <v/>
      </c>
      <c r="W121" s="34" t="str">
        <f t="shared" si="37"/>
        <v/>
      </c>
      <c r="X121" s="41" t="str">
        <f t="shared" si="44"/>
        <v/>
      </c>
      <c r="Y121" s="98" t="str">
        <f t="shared" si="38"/>
        <v/>
      </c>
      <c r="Z121" s="16" t="str">
        <f t="shared" si="45"/>
        <v/>
      </c>
      <c r="AB121" s="139"/>
      <c r="AC121" s="146" t="str">
        <f t="shared" si="48"/>
        <v/>
      </c>
      <c r="AD121" s="148" t="str">
        <f t="shared" si="46"/>
        <v/>
      </c>
      <c r="AE121" s="147" t="str">
        <f t="shared" si="39"/>
        <v/>
      </c>
      <c r="AF121" s="111" t="str">
        <f t="shared" si="40"/>
        <v/>
      </c>
      <c r="AG121" s="111" t="str">
        <f t="shared" si="41"/>
        <v/>
      </c>
      <c r="AH121" s="112" t="str">
        <f t="shared" si="42"/>
        <v/>
      </c>
      <c r="AI121" t="str">
        <f t="shared" si="47"/>
        <v/>
      </c>
      <c r="AJ121" t="str">
        <f t="shared" si="49"/>
        <v/>
      </c>
    </row>
    <row r="122" spans="1:36" ht="15" customHeight="1" x14ac:dyDescent="0.25">
      <c r="A122" s="114"/>
      <c r="B122" s="116"/>
      <c r="C122" s="116"/>
      <c r="D122" s="42" t="str">
        <f t="shared" si="26"/>
        <v/>
      </c>
      <c r="E122" s="43"/>
      <c r="F122" s="118"/>
      <c r="G122" s="44" t="str">
        <f t="shared" si="27"/>
        <v/>
      </c>
      <c r="H122" s="118"/>
      <c r="I122" s="34" t="str">
        <f t="shared" si="28"/>
        <v/>
      </c>
      <c r="J122" s="118"/>
      <c r="K122" s="34" t="str">
        <f t="shared" si="29"/>
        <v/>
      </c>
      <c r="L122" s="118"/>
      <c r="M122" s="121"/>
      <c r="N122" s="122" t="str">
        <f t="shared" si="30"/>
        <v/>
      </c>
      <c r="O122" s="35" t="str">
        <f t="shared" si="31"/>
        <v/>
      </c>
      <c r="P122" s="124"/>
      <c r="Q122" s="36" t="str">
        <f t="shared" si="43"/>
        <v/>
      </c>
      <c r="R122" s="46" t="str">
        <f t="shared" si="32"/>
        <v/>
      </c>
      <c r="S122" s="38" t="str">
        <f t="shared" si="33"/>
        <v/>
      </c>
      <c r="T122" s="39" t="str">
        <f t="shared" si="34"/>
        <v/>
      </c>
      <c r="U122" s="40" t="str">
        <f t="shared" si="35"/>
        <v/>
      </c>
      <c r="V122" s="39" t="str">
        <f t="shared" si="36"/>
        <v/>
      </c>
      <c r="W122" s="34" t="str">
        <f t="shared" si="37"/>
        <v/>
      </c>
      <c r="X122" s="41" t="str">
        <f t="shared" si="44"/>
        <v/>
      </c>
      <c r="Y122" s="98" t="str">
        <f t="shared" si="38"/>
        <v/>
      </c>
      <c r="Z122" s="16" t="str">
        <f t="shared" si="45"/>
        <v/>
      </c>
      <c r="AB122" s="139"/>
      <c r="AC122" s="146" t="str">
        <f t="shared" si="48"/>
        <v/>
      </c>
      <c r="AD122" s="148" t="str">
        <f t="shared" si="46"/>
        <v/>
      </c>
      <c r="AE122" s="147" t="str">
        <f t="shared" si="39"/>
        <v/>
      </c>
      <c r="AF122" s="111" t="str">
        <f t="shared" si="40"/>
        <v/>
      </c>
      <c r="AG122" s="111" t="str">
        <f t="shared" si="41"/>
        <v/>
      </c>
      <c r="AH122" s="112" t="str">
        <f t="shared" si="42"/>
        <v/>
      </c>
      <c r="AI122" t="str">
        <f t="shared" si="47"/>
        <v/>
      </c>
      <c r="AJ122" t="str">
        <f t="shared" si="49"/>
        <v/>
      </c>
    </row>
    <row r="123" spans="1:36" ht="15" customHeight="1" x14ac:dyDescent="0.25">
      <c r="A123" s="114"/>
      <c r="B123" s="116"/>
      <c r="C123" s="116"/>
      <c r="D123" s="42" t="str">
        <f t="shared" si="26"/>
        <v/>
      </c>
      <c r="E123" s="43"/>
      <c r="F123" s="118"/>
      <c r="G123" s="44" t="str">
        <f t="shared" si="27"/>
        <v/>
      </c>
      <c r="H123" s="118"/>
      <c r="I123" s="34" t="str">
        <f t="shared" si="28"/>
        <v/>
      </c>
      <c r="J123" s="118"/>
      <c r="K123" s="34" t="str">
        <f t="shared" si="29"/>
        <v/>
      </c>
      <c r="L123" s="118"/>
      <c r="M123" s="121"/>
      <c r="N123" s="122" t="str">
        <f t="shared" si="30"/>
        <v/>
      </c>
      <c r="O123" s="35" t="str">
        <f t="shared" si="31"/>
        <v/>
      </c>
      <c r="P123" s="124"/>
      <c r="Q123" s="36" t="str">
        <f t="shared" si="43"/>
        <v/>
      </c>
      <c r="R123" s="46" t="str">
        <f t="shared" si="32"/>
        <v/>
      </c>
      <c r="S123" s="38" t="str">
        <f t="shared" si="33"/>
        <v/>
      </c>
      <c r="T123" s="39" t="str">
        <f t="shared" si="34"/>
        <v/>
      </c>
      <c r="U123" s="40" t="str">
        <f t="shared" si="35"/>
        <v/>
      </c>
      <c r="V123" s="39" t="str">
        <f t="shared" si="36"/>
        <v/>
      </c>
      <c r="W123" s="34" t="str">
        <f t="shared" si="37"/>
        <v/>
      </c>
      <c r="X123" s="41" t="str">
        <f t="shared" si="44"/>
        <v/>
      </c>
      <c r="Y123" s="98" t="str">
        <f t="shared" si="38"/>
        <v/>
      </c>
      <c r="Z123" s="16" t="str">
        <f t="shared" si="45"/>
        <v/>
      </c>
      <c r="AB123" s="139"/>
      <c r="AC123" s="146" t="str">
        <f t="shared" si="48"/>
        <v/>
      </c>
      <c r="AD123" s="148" t="str">
        <f t="shared" si="46"/>
        <v/>
      </c>
      <c r="AE123" s="147" t="str">
        <f t="shared" si="39"/>
        <v/>
      </c>
      <c r="AF123" s="111" t="str">
        <f t="shared" si="40"/>
        <v/>
      </c>
      <c r="AG123" s="111" t="str">
        <f t="shared" si="41"/>
        <v/>
      </c>
      <c r="AH123" s="112" t="str">
        <f t="shared" si="42"/>
        <v/>
      </c>
      <c r="AI123" t="str">
        <f t="shared" si="47"/>
        <v/>
      </c>
      <c r="AJ123" t="str">
        <f t="shared" si="49"/>
        <v/>
      </c>
    </row>
    <row r="124" spans="1:36" ht="15" customHeight="1" x14ac:dyDescent="0.25">
      <c r="A124" s="114"/>
      <c r="B124" s="116"/>
      <c r="C124" s="116"/>
      <c r="D124" s="42" t="str">
        <f t="shared" si="26"/>
        <v/>
      </c>
      <c r="E124" s="43"/>
      <c r="F124" s="118"/>
      <c r="G124" s="44" t="str">
        <f t="shared" si="27"/>
        <v/>
      </c>
      <c r="H124" s="118"/>
      <c r="I124" s="34" t="str">
        <f t="shared" si="28"/>
        <v/>
      </c>
      <c r="J124" s="118"/>
      <c r="K124" s="34" t="str">
        <f t="shared" si="29"/>
        <v/>
      </c>
      <c r="L124" s="118"/>
      <c r="M124" s="121"/>
      <c r="N124" s="122" t="str">
        <f t="shared" si="30"/>
        <v/>
      </c>
      <c r="O124" s="35" t="str">
        <f t="shared" si="31"/>
        <v/>
      </c>
      <c r="P124" s="124"/>
      <c r="Q124" s="36" t="str">
        <f t="shared" si="43"/>
        <v/>
      </c>
      <c r="R124" s="46" t="str">
        <f t="shared" si="32"/>
        <v/>
      </c>
      <c r="S124" s="38" t="str">
        <f t="shared" si="33"/>
        <v/>
      </c>
      <c r="T124" s="39" t="str">
        <f t="shared" si="34"/>
        <v/>
      </c>
      <c r="U124" s="40" t="str">
        <f t="shared" si="35"/>
        <v/>
      </c>
      <c r="V124" s="39" t="str">
        <f t="shared" si="36"/>
        <v/>
      </c>
      <c r="W124" s="34" t="str">
        <f t="shared" si="37"/>
        <v/>
      </c>
      <c r="X124" s="41" t="str">
        <f t="shared" si="44"/>
        <v/>
      </c>
      <c r="Y124" s="98" t="str">
        <f t="shared" si="38"/>
        <v/>
      </c>
      <c r="Z124" s="16" t="str">
        <f t="shared" si="45"/>
        <v/>
      </c>
      <c r="AB124" s="139"/>
      <c r="AC124" s="146" t="str">
        <f t="shared" si="48"/>
        <v/>
      </c>
      <c r="AD124" s="148" t="str">
        <f t="shared" si="46"/>
        <v/>
      </c>
      <c r="AE124" s="147" t="str">
        <f t="shared" si="39"/>
        <v/>
      </c>
      <c r="AF124" s="111" t="str">
        <f t="shared" si="40"/>
        <v/>
      </c>
      <c r="AG124" s="111" t="str">
        <f t="shared" si="41"/>
        <v/>
      </c>
      <c r="AH124" s="112" t="str">
        <f t="shared" si="42"/>
        <v/>
      </c>
      <c r="AI124" t="str">
        <f t="shared" si="47"/>
        <v/>
      </c>
      <c r="AJ124" t="str">
        <f t="shared" si="49"/>
        <v/>
      </c>
    </row>
    <row r="125" spans="1:36" ht="15" customHeight="1" x14ac:dyDescent="0.25">
      <c r="A125" s="114"/>
      <c r="B125" s="116"/>
      <c r="C125" s="116"/>
      <c r="D125" s="42" t="str">
        <f t="shared" si="26"/>
        <v/>
      </c>
      <c r="E125" s="43"/>
      <c r="F125" s="118"/>
      <c r="G125" s="44" t="str">
        <f t="shared" si="27"/>
        <v/>
      </c>
      <c r="H125" s="118"/>
      <c r="I125" s="34" t="str">
        <f t="shared" si="28"/>
        <v/>
      </c>
      <c r="J125" s="118"/>
      <c r="K125" s="34" t="str">
        <f t="shared" si="29"/>
        <v/>
      </c>
      <c r="L125" s="118"/>
      <c r="M125" s="121"/>
      <c r="N125" s="122" t="str">
        <f t="shared" si="30"/>
        <v/>
      </c>
      <c r="O125" s="35" t="str">
        <f t="shared" si="31"/>
        <v/>
      </c>
      <c r="P125" s="124"/>
      <c r="Q125" s="36" t="str">
        <f t="shared" si="43"/>
        <v/>
      </c>
      <c r="R125" s="46" t="str">
        <f t="shared" si="32"/>
        <v/>
      </c>
      <c r="S125" s="38" t="str">
        <f t="shared" si="33"/>
        <v/>
      </c>
      <c r="T125" s="39" t="str">
        <f t="shared" si="34"/>
        <v/>
      </c>
      <c r="U125" s="40" t="str">
        <f t="shared" si="35"/>
        <v/>
      </c>
      <c r="V125" s="39" t="str">
        <f t="shared" si="36"/>
        <v/>
      </c>
      <c r="W125" s="34" t="str">
        <f t="shared" si="37"/>
        <v/>
      </c>
      <c r="X125" s="41" t="str">
        <f t="shared" si="44"/>
        <v/>
      </c>
      <c r="Y125" s="98" t="str">
        <f t="shared" si="38"/>
        <v/>
      </c>
      <c r="Z125" s="16" t="str">
        <f t="shared" si="45"/>
        <v/>
      </c>
      <c r="AB125" s="139"/>
      <c r="AC125" s="146" t="str">
        <f t="shared" si="48"/>
        <v/>
      </c>
      <c r="AD125" s="148" t="str">
        <f t="shared" si="46"/>
        <v/>
      </c>
      <c r="AE125" s="147" t="str">
        <f t="shared" si="39"/>
        <v/>
      </c>
      <c r="AF125" s="111" t="str">
        <f t="shared" si="40"/>
        <v/>
      </c>
      <c r="AG125" s="111" t="str">
        <f t="shared" si="41"/>
        <v/>
      </c>
      <c r="AH125" s="112" t="str">
        <f t="shared" si="42"/>
        <v/>
      </c>
      <c r="AI125" t="str">
        <f t="shared" si="47"/>
        <v/>
      </c>
      <c r="AJ125" t="str">
        <f t="shared" si="49"/>
        <v/>
      </c>
    </row>
    <row r="126" spans="1:36" ht="15" customHeight="1" x14ac:dyDescent="0.25">
      <c r="A126" s="114"/>
      <c r="B126" s="116"/>
      <c r="C126" s="116"/>
      <c r="D126" s="42" t="str">
        <f t="shared" si="26"/>
        <v/>
      </c>
      <c r="E126" s="43"/>
      <c r="F126" s="118"/>
      <c r="G126" s="44" t="str">
        <f t="shared" si="27"/>
        <v/>
      </c>
      <c r="H126" s="118"/>
      <c r="I126" s="34" t="str">
        <f t="shared" si="28"/>
        <v/>
      </c>
      <c r="J126" s="118"/>
      <c r="K126" s="34" t="str">
        <f t="shared" si="29"/>
        <v/>
      </c>
      <c r="L126" s="118"/>
      <c r="M126" s="121"/>
      <c r="N126" s="122" t="str">
        <f t="shared" si="30"/>
        <v/>
      </c>
      <c r="O126" s="35" t="str">
        <f t="shared" si="31"/>
        <v/>
      </c>
      <c r="P126" s="124"/>
      <c r="Q126" s="36" t="str">
        <f t="shared" si="43"/>
        <v/>
      </c>
      <c r="R126" s="46" t="str">
        <f t="shared" si="32"/>
        <v/>
      </c>
      <c r="S126" s="38" t="str">
        <f t="shared" si="33"/>
        <v/>
      </c>
      <c r="T126" s="39" t="str">
        <f t="shared" si="34"/>
        <v/>
      </c>
      <c r="U126" s="40" t="str">
        <f t="shared" si="35"/>
        <v/>
      </c>
      <c r="V126" s="39" t="str">
        <f t="shared" si="36"/>
        <v/>
      </c>
      <c r="W126" s="34" t="str">
        <f t="shared" si="37"/>
        <v/>
      </c>
      <c r="X126" s="41" t="str">
        <f t="shared" si="44"/>
        <v/>
      </c>
      <c r="Y126" s="98" t="str">
        <f t="shared" si="38"/>
        <v/>
      </c>
      <c r="Z126" s="16" t="str">
        <f t="shared" si="45"/>
        <v/>
      </c>
      <c r="AB126" s="139"/>
      <c r="AC126" s="146" t="str">
        <f t="shared" si="48"/>
        <v/>
      </c>
      <c r="AD126" s="148" t="str">
        <f t="shared" si="46"/>
        <v/>
      </c>
      <c r="AE126" s="147" t="str">
        <f t="shared" si="39"/>
        <v/>
      </c>
      <c r="AF126" s="111" t="str">
        <f t="shared" si="40"/>
        <v/>
      </c>
      <c r="AG126" s="111" t="str">
        <f t="shared" si="41"/>
        <v/>
      </c>
      <c r="AH126" s="112" t="str">
        <f t="shared" si="42"/>
        <v/>
      </c>
      <c r="AI126" t="str">
        <f t="shared" si="47"/>
        <v/>
      </c>
      <c r="AJ126" t="str">
        <f t="shared" si="49"/>
        <v/>
      </c>
    </row>
    <row r="127" spans="1:36" ht="15" customHeight="1" x14ac:dyDescent="0.25">
      <c r="A127" s="114"/>
      <c r="B127" s="116"/>
      <c r="C127" s="116"/>
      <c r="D127" s="42" t="str">
        <f t="shared" si="26"/>
        <v/>
      </c>
      <c r="E127" s="43"/>
      <c r="F127" s="118"/>
      <c r="G127" s="44" t="str">
        <f t="shared" si="27"/>
        <v/>
      </c>
      <c r="H127" s="118"/>
      <c r="I127" s="34" t="str">
        <f t="shared" si="28"/>
        <v/>
      </c>
      <c r="J127" s="118"/>
      <c r="K127" s="34" t="str">
        <f t="shared" si="29"/>
        <v/>
      </c>
      <c r="L127" s="118"/>
      <c r="M127" s="121"/>
      <c r="N127" s="122" t="str">
        <f t="shared" si="30"/>
        <v/>
      </c>
      <c r="O127" s="35" t="str">
        <f t="shared" si="31"/>
        <v/>
      </c>
      <c r="P127" s="124"/>
      <c r="Q127" s="36" t="str">
        <f t="shared" si="43"/>
        <v/>
      </c>
      <c r="R127" s="46" t="str">
        <f t="shared" si="32"/>
        <v/>
      </c>
      <c r="S127" s="38" t="str">
        <f t="shared" si="33"/>
        <v/>
      </c>
      <c r="T127" s="39" t="str">
        <f t="shared" si="34"/>
        <v/>
      </c>
      <c r="U127" s="40" t="str">
        <f t="shared" si="35"/>
        <v/>
      </c>
      <c r="V127" s="39" t="str">
        <f t="shared" si="36"/>
        <v/>
      </c>
      <c r="W127" s="34" t="str">
        <f t="shared" si="37"/>
        <v/>
      </c>
      <c r="X127" s="41" t="str">
        <f t="shared" si="44"/>
        <v/>
      </c>
      <c r="Y127" s="98" t="str">
        <f t="shared" si="38"/>
        <v/>
      </c>
      <c r="Z127" s="16" t="str">
        <f t="shared" si="45"/>
        <v/>
      </c>
      <c r="AB127" s="139"/>
      <c r="AC127" s="146" t="str">
        <f t="shared" si="48"/>
        <v/>
      </c>
      <c r="AD127" s="148" t="str">
        <f t="shared" si="46"/>
        <v/>
      </c>
      <c r="AE127" s="147" t="str">
        <f t="shared" si="39"/>
        <v/>
      </c>
      <c r="AF127" s="111" t="str">
        <f t="shared" si="40"/>
        <v/>
      </c>
      <c r="AG127" s="111" t="str">
        <f t="shared" si="41"/>
        <v/>
      </c>
      <c r="AH127" s="112" t="str">
        <f t="shared" si="42"/>
        <v/>
      </c>
      <c r="AI127" t="str">
        <f t="shared" si="47"/>
        <v/>
      </c>
      <c r="AJ127" t="str">
        <f t="shared" si="49"/>
        <v/>
      </c>
    </row>
    <row r="128" spans="1:36" ht="15" customHeight="1" x14ac:dyDescent="0.25">
      <c r="A128" s="114"/>
      <c r="B128" s="116"/>
      <c r="C128" s="116"/>
      <c r="D128" s="42" t="str">
        <f t="shared" si="26"/>
        <v/>
      </c>
      <c r="E128" s="43"/>
      <c r="F128" s="118"/>
      <c r="G128" s="44" t="str">
        <f t="shared" si="27"/>
        <v/>
      </c>
      <c r="H128" s="118"/>
      <c r="I128" s="34" t="str">
        <f t="shared" si="28"/>
        <v/>
      </c>
      <c r="J128" s="118"/>
      <c r="K128" s="34" t="str">
        <f t="shared" si="29"/>
        <v/>
      </c>
      <c r="L128" s="118"/>
      <c r="M128" s="121"/>
      <c r="N128" s="122" t="str">
        <f t="shared" si="30"/>
        <v/>
      </c>
      <c r="O128" s="35" t="str">
        <f t="shared" si="31"/>
        <v/>
      </c>
      <c r="P128" s="124"/>
      <c r="Q128" s="36" t="str">
        <f t="shared" si="43"/>
        <v/>
      </c>
      <c r="R128" s="46" t="str">
        <f t="shared" si="32"/>
        <v/>
      </c>
      <c r="S128" s="38" t="str">
        <f t="shared" si="33"/>
        <v/>
      </c>
      <c r="T128" s="39" t="str">
        <f t="shared" si="34"/>
        <v/>
      </c>
      <c r="U128" s="40" t="str">
        <f t="shared" si="35"/>
        <v/>
      </c>
      <c r="V128" s="39" t="str">
        <f t="shared" si="36"/>
        <v/>
      </c>
      <c r="W128" s="34" t="str">
        <f t="shared" si="37"/>
        <v/>
      </c>
      <c r="X128" s="41" t="str">
        <f t="shared" si="44"/>
        <v/>
      </c>
      <c r="Y128" s="98" t="str">
        <f t="shared" si="38"/>
        <v/>
      </c>
      <c r="Z128" s="16" t="str">
        <f t="shared" si="45"/>
        <v/>
      </c>
      <c r="AB128" s="139"/>
      <c r="AC128" s="146" t="str">
        <f t="shared" si="48"/>
        <v/>
      </c>
      <c r="AD128" s="148" t="str">
        <f t="shared" si="46"/>
        <v/>
      </c>
      <c r="AE128" s="147" t="str">
        <f t="shared" si="39"/>
        <v/>
      </c>
      <c r="AF128" s="111" t="str">
        <f t="shared" si="40"/>
        <v/>
      </c>
      <c r="AG128" s="111" t="str">
        <f t="shared" si="41"/>
        <v/>
      </c>
      <c r="AH128" s="112" t="str">
        <f t="shared" si="42"/>
        <v/>
      </c>
      <c r="AI128" t="str">
        <f t="shared" si="47"/>
        <v/>
      </c>
      <c r="AJ128" t="str">
        <f t="shared" si="49"/>
        <v/>
      </c>
    </row>
    <row r="129" spans="1:36" ht="15" customHeight="1" x14ac:dyDescent="0.25">
      <c r="A129" s="114"/>
      <c r="B129" s="116"/>
      <c r="C129" s="116"/>
      <c r="D129" s="42" t="str">
        <f t="shared" si="26"/>
        <v/>
      </c>
      <c r="E129" s="43"/>
      <c r="F129" s="118"/>
      <c r="G129" s="44" t="str">
        <f t="shared" si="27"/>
        <v/>
      </c>
      <c r="H129" s="118"/>
      <c r="I129" s="34" t="str">
        <f t="shared" si="28"/>
        <v/>
      </c>
      <c r="J129" s="118"/>
      <c r="K129" s="34" t="str">
        <f t="shared" si="29"/>
        <v/>
      </c>
      <c r="L129" s="118"/>
      <c r="M129" s="121"/>
      <c r="N129" s="122" t="str">
        <f t="shared" si="30"/>
        <v/>
      </c>
      <c r="O129" s="35" t="str">
        <f t="shared" si="31"/>
        <v/>
      </c>
      <c r="P129" s="124"/>
      <c r="Q129" s="36" t="str">
        <f t="shared" si="43"/>
        <v/>
      </c>
      <c r="R129" s="46" t="str">
        <f t="shared" si="32"/>
        <v/>
      </c>
      <c r="S129" s="38" t="str">
        <f t="shared" si="33"/>
        <v/>
      </c>
      <c r="T129" s="39" t="str">
        <f t="shared" si="34"/>
        <v/>
      </c>
      <c r="U129" s="40" t="str">
        <f t="shared" si="35"/>
        <v/>
      </c>
      <c r="V129" s="39" t="str">
        <f t="shared" si="36"/>
        <v/>
      </c>
      <c r="W129" s="34" t="str">
        <f t="shared" si="37"/>
        <v/>
      </c>
      <c r="X129" s="41" t="str">
        <f t="shared" si="44"/>
        <v/>
      </c>
      <c r="Y129" s="98" t="str">
        <f t="shared" si="38"/>
        <v/>
      </c>
      <c r="Z129" s="16" t="str">
        <f t="shared" si="45"/>
        <v/>
      </c>
      <c r="AB129" s="139"/>
      <c r="AC129" s="146" t="str">
        <f t="shared" si="48"/>
        <v/>
      </c>
      <c r="AD129" s="148" t="str">
        <f t="shared" si="46"/>
        <v/>
      </c>
      <c r="AE129" s="147" t="str">
        <f t="shared" si="39"/>
        <v/>
      </c>
      <c r="AF129" s="111" t="str">
        <f t="shared" si="40"/>
        <v/>
      </c>
      <c r="AG129" s="111" t="str">
        <f t="shared" si="41"/>
        <v/>
      </c>
      <c r="AH129" s="112" t="str">
        <f t="shared" si="42"/>
        <v/>
      </c>
      <c r="AI129" t="str">
        <f t="shared" si="47"/>
        <v/>
      </c>
      <c r="AJ129" t="str">
        <f t="shared" si="49"/>
        <v/>
      </c>
    </row>
    <row r="130" spans="1:36" ht="15" customHeight="1" x14ac:dyDescent="0.25">
      <c r="A130" s="114"/>
      <c r="B130" s="116"/>
      <c r="C130" s="116"/>
      <c r="D130" s="42" t="str">
        <f t="shared" si="26"/>
        <v/>
      </c>
      <c r="E130" s="43"/>
      <c r="F130" s="118"/>
      <c r="G130" s="44" t="str">
        <f t="shared" si="27"/>
        <v/>
      </c>
      <c r="H130" s="118"/>
      <c r="I130" s="34" t="str">
        <f t="shared" si="28"/>
        <v/>
      </c>
      <c r="J130" s="118"/>
      <c r="K130" s="34" t="str">
        <f t="shared" si="29"/>
        <v/>
      </c>
      <c r="L130" s="118"/>
      <c r="M130" s="121"/>
      <c r="N130" s="122" t="str">
        <f t="shared" si="30"/>
        <v/>
      </c>
      <c r="O130" s="35" t="str">
        <f t="shared" si="31"/>
        <v/>
      </c>
      <c r="P130" s="124"/>
      <c r="Q130" s="36" t="str">
        <f t="shared" si="43"/>
        <v/>
      </c>
      <c r="R130" s="46" t="str">
        <f t="shared" si="32"/>
        <v/>
      </c>
      <c r="S130" s="38" t="str">
        <f t="shared" si="33"/>
        <v/>
      </c>
      <c r="T130" s="39" t="str">
        <f t="shared" si="34"/>
        <v/>
      </c>
      <c r="U130" s="40" t="str">
        <f t="shared" si="35"/>
        <v/>
      </c>
      <c r="V130" s="39" t="str">
        <f t="shared" si="36"/>
        <v/>
      </c>
      <c r="W130" s="34" t="str">
        <f t="shared" si="37"/>
        <v/>
      </c>
      <c r="X130" s="41" t="str">
        <f t="shared" si="44"/>
        <v/>
      </c>
      <c r="Y130" s="98" t="str">
        <f t="shared" si="38"/>
        <v/>
      </c>
      <c r="Z130" s="16" t="str">
        <f t="shared" si="45"/>
        <v/>
      </c>
      <c r="AB130" s="139"/>
      <c r="AC130" s="146" t="str">
        <f t="shared" si="48"/>
        <v/>
      </c>
      <c r="AD130" s="148" t="str">
        <f t="shared" si="46"/>
        <v/>
      </c>
      <c r="AE130" s="147" t="str">
        <f t="shared" si="39"/>
        <v/>
      </c>
      <c r="AF130" s="111" t="str">
        <f t="shared" si="40"/>
        <v/>
      </c>
      <c r="AG130" s="111" t="str">
        <f t="shared" si="41"/>
        <v/>
      </c>
      <c r="AH130" s="112" t="str">
        <f t="shared" si="42"/>
        <v/>
      </c>
      <c r="AI130" t="str">
        <f t="shared" si="47"/>
        <v/>
      </c>
      <c r="AJ130" t="str">
        <f t="shared" si="49"/>
        <v/>
      </c>
    </row>
    <row r="131" spans="1:36" ht="15" customHeight="1" x14ac:dyDescent="0.25">
      <c r="A131" s="114"/>
      <c r="B131" s="116"/>
      <c r="C131" s="116"/>
      <c r="D131" s="42" t="str">
        <f t="shared" si="26"/>
        <v/>
      </c>
      <c r="E131" s="43"/>
      <c r="F131" s="118"/>
      <c r="G131" s="44" t="str">
        <f t="shared" si="27"/>
        <v/>
      </c>
      <c r="H131" s="118"/>
      <c r="I131" s="34" t="str">
        <f t="shared" si="28"/>
        <v/>
      </c>
      <c r="J131" s="118"/>
      <c r="K131" s="34" t="str">
        <f t="shared" si="29"/>
        <v/>
      </c>
      <c r="L131" s="118"/>
      <c r="M131" s="121"/>
      <c r="N131" s="122" t="str">
        <f t="shared" si="30"/>
        <v/>
      </c>
      <c r="O131" s="35" t="str">
        <f t="shared" si="31"/>
        <v/>
      </c>
      <c r="P131" s="124"/>
      <c r="Q131" s="36" t="str">
        <f t="shared" si="43"/>
        <v/>
      </c>
      <c r="R131" s="46" t="str">
        <f t="shared" si="32"/>
        <v/>
      </c>
      <c r="S131" s="38" t="str">
        <f t="shared" si="33"/>
        <v/>
      </c>
      <c r="T131" s="39" t="str">
        <f t="shared" si="34"/>
        <v/>
      </c>
      <c r="U131" s="40" t="str">
        <f t="shared" si="35"/>
        <v/>
      </c>
      <c r="V131" s="39" t="str">
        <f t="shared" si="36"/>
        <v/>
      </c>
      <c r="W131" s="34" t="str">
        <f t="shared" si="37"/>
        <v/>
      </c>
      <c r="X131" s="41" t="str">
        <f t="shared" si="44"/>
        <v/>
      </c>
      <c r="Y131" s="98" t="str">
        <f t="shared" si="38"/>
        <v/>
      </c>
      <c r="Z131" s="16" t="str">
        <f t="shared" si="45"/>
        <v/>
      </c>
      <c r="AB131" s="139"/>
      <c r="AC131" s="146" t="str">
        <f t="shared" si="48"/>
        <v/>
      </c>
      <c r="AD131" s="148" t="str">
        <f t="shared" si="46"/>
        <v/>
      </c>
      <c r="AE131" s="147" t="str">
        <f t="shared" si="39"/>
        <v/>
      </c>
      <c r="AF131" s="111" t="str">
        <f t="shared" si="40"/>
        <v/>
      </c>
      <c r="AG131" s="111" t="str">
        <f t="shared" si="41"/>
        <v/>
      </c>
      <c r="AH131" s="112" t="str">
        <f t="shared" si="42"/>
        <v/>
      </c>
      <c r="AI131" t="str">
        <f t="shared" si="47"/>
        <v/>
      </c>
      <c r="AJ131" t="str">
        <f t="shared" si="49"/>
        <v/>
      </c>
    </row>
    <row r="132" spans="1:36" ht="15" customHeight="1" x14ac:dyDescent="0.25">
      <c r="A132" s="114"/>
      <c r="B132" s="116"/>
      <c r="C132" s="116"/>
      <c r="D132" s="42" t="str">
        <f t="shared" si="26"/>
        <v/>
      </c>
      <c r="E132" s="43"/>
      <c r="F132" s="118"/>
      <c r="G132" s="44" t="str">
        <f t="shared" si="27"/>
        <v/>
      </c>
      <c r="H132" s="118"/>
      <c r="I132" s="34" t="str">
        <f t="shared" si="28"/>
        <v/>
      </c>
      <c r="J132" s="118"/>
      <c r="K132" s="34" t="str">
        <f t="shared" si="29"/>
        <v/>
      </c>
      <c r="L132" s="118"/>
      <c r="M132" s="121"/>
      <c r="N132" s="122" t="str">
        <f t="shared" si="30"/>
        <v/>
      </c>
      <c r="O132" s="35" t="str">
        <f t="shared" si="31"/>
        <v/>
      </c>
      <c r="P132" s="124"/>
      <c r="Q132" s="36" t="str">
        <f t="shared" si="43"/>
        <v/>
      </c>
      <c r="R132" s="46" t="str">
        <f t="shared" si="32"/>
        <v/>
      </c>
      <c r="S132" s="38" t="str">
        <f t="shared" si="33"/>
        <v/>
      </c>
      <c r="T132" s="39" t="str">
        <f t="shared" si="34"/>
        <v/>
      </c>
      <c r="U132" s="40" t="str">
        <f t="shared" si="35"/>
        <v/>
      </c>
      <c r="V132" s="39" t="str">
        <f t="shared" si="36"/>
        <v/>
      </c>
      <c r="W132" s="34" t="str">
        <f t="shared" si="37"/>
        <v/>
      </c>
      <c r="X132" s="41" t="str">
        <f t="shared" si="44"/>
        <v/>
      </c>
      <c r="Y132" s="98" t="str">
        <f t="shared" si="38"/>
        <v/>
      </c>
      <c r="Z132" s="16" t="str">
        <f t="shared" si="45"/>
        <v/>
      </c>
      <c r="AB132" s="139"/>
      <c r="AC132" s="146" t="str">
        <f t="shared" si="48"/>
        <v/>
      </c>
      <c r="AD132" s="148" t="str">
        <f t="shared" si="46"/>
        <v/>
      </c>
      <c r="AE132" s="147" t="str">
        <f t="shared" si="39"/>
        <v/>
      </c>
      <c r="AF132" s="111" t="str">
        <f t="shared" si="40"/>
        <v/>
      </c>
      <c r="AG132" s="111" t="str">
        <f t="shared" si="41"/>
        <v/>
      </c>
      <c r="AH132" s="112" t="str">
        <f t="shared" si="42"/>
        <v/>
      </c>
      <c r="AI132" t="str">
        <f t="shared" si="47"/>
        <v/>
      </c>
      <c r="AJ132" t="str">
        <f t="shared" si="49"/>
        <v/>
      </c>
    </row>
    <row r="133" spans="1:36" ht="15" customHeight="1" x14ac:dyDescent="0.25">
      <c r="A133" s="114"/>
      <c r="B133" s="116"/>
      <c r="C133" s="116"/>
      <c r="D133" s="42" t="str">
        <f t="shared" si="26"/>
        <v/>
      </c>
      <c r="E133" s="43"/>
      <c r="F133" s="118"/>
      <c r="G133" s="44" t="str">
        <f t="shared" si="27"/>
        <v/>
      </c>
      <c r="H133" s="118"/>
      <c r="I133" s="34" t="str">
        <f t="shared" si="28"/>
        <v/>
      </c>
      <c r="J133" s="118"/>
      <c r="K133" s="34" t="str">
        <f t="shared" si="29"/>
        <v/>
      </c>
      <c r="L133" s="118"/>
      <c r="M133" s="121"/>
      <c r="N133" s="122" t="str">
        <f t="shared" si="30"/>
        <v/>
      </c>
      <c r="O133" s="35" t="str">
        <f t="shared" si="31"/>
        <v/>
      </c>
      <c r="P133" s="124"/>
      <c r="Q133" s="36" t="str">
        <f t="shared" si="43"/>
        <v/>
      </c>
      <c r="R133" s="46" t="str">
        <f t="shared" si="32"/>
        <v/>
      </c>
      <c r="S133" s="38" t="str">
        <f t="shared" si="33"/>
        <v/>
      </c>
      <c r="T133" s="39" t="str">
        <f t="shared" si="34"/>
        <v/>
      </c>
      <c r="U133" s="40" t="str">
        <f t="shared" si="35"/>
        <v/>
      </c>
      <c r="V133" s="39" t="str">
        <f t="shared" si="36"/>
        <v/>
      </c>
      <c r="W133" s="34" t="str">
        <f t="shared" si="37"/>
        <v/>
      </c>
      <c r="X133" s="41" t="str">
        <f t="shared" si="44"/>
        <v/>
      </c>
      <c r="Y133" s="98" t="str">
        <f t="shared" si="38"/>
        <v/>
      </c>
      <c r="Z133" s="16" t="str">
        <f t="shared" si="45"/>
        <v/>
      </c>
      <c r="AB133" s="139"/>
      <c r="AC133" s="146" t="str">
        <f t="shared" si="48"/>
        <v/>
      </c>
      <c r="AD133" s="148" t="str">
        <f t="shared" si="46"/>
        <v/>
      </c>
      <c r="AE133" s="147" t="str">
        <f t="shared" si="39"/>
        <v/>
      </c>
      <c r="AF133" s="111" t="str">
        <f t="shared" si="40"/>
        <v/>
      </c>
      <c r="AG133" s="111" t="str">
        <f t="shared" si="41"/>
        <v/>
      </c>
      <c r="AH133" s="112" t="str">
        <f t="shared" si="42"/>
        <v/>
      </c>
      <c r="AI133" t="str">
        <f t="shared" si="47"/>
        <v/>
      </c>
      <c r="AJ133" t="str">
        <f t="shared" si="49"/>
        <v/>
      </c>
    </row>
    <row r="134" spans="1:36" ht="15" customHeight="1" x14ac:dyDescent="0.25">
      <c r="A134" s="114"/>
      <c r="B134" s="116"/>
      <c r="C134" s="116"/>
      <c r="D134" s="42" t="str">
        <f t="shared" si="26"/>
        <v/>
      </c>
      <c r="E134" s="43"/>
      <c r="F134" s="118"/>
      <c r="G134" s="44" t="str">
        <f t="shared" si="27"/>
        <v/>
      </c>
      <c r="H134" s="118"/>
      <c r="I134" s="34" t="str">
        <f t="shared" si="28"/>
        <v/>
      </c>
      <c r="J134" s="118"/>
      <c r="K134" s="34" t="str">
        <f t="shared" si="29"/>
        <v/>
      </c>
      <c r="L134" s="118"/>
      <c r="M134" s="121"/>
      <c r="N134" s="122" t="str">
        <f t="shared" si="30"/>
        <v/>
      </c>
      <c r="O134" s="35" t="str">
        <f t="shared" si="31"/>
        <v/>
      </c>
      <c r="P134" s="124"/>
      <c r="Q134" s="36" t="str">
        <f t="shared" si="43"/>
        <v/>
      </c>
      <c r="R134" s="46" t="str">
        <f t="shared" si="32"/>
        <v/>
      </c>
      <c r="S134" s="38" t="str">
        <f t="shared" si="33"/>
        <v/>
      </c>
      <c r="T134" s="39" t="str">
        <f t="shared" si="34"/>
        <v/>
      </c>
      <c r="U134" s="40" t="str">
        <f t="shared" si="35"/>
        <v/>
      </c>
      <c r="V134" s="39" t="str">
        <f t="shared" si="36"/>
        <v/>
      </c>
      <c r="W134" s="34" t="str">
        <f t="shared" si="37"/>
        <v/>
      </c>
      <c r="X134" s="41" t="str">
        <f t="shared" si="44"/>
        <v/>
      </c>
      <c r="Y134" s="98" t="str">
        <f t="shared" si="38"/>
        <v/>
      </c>
      <c r="Z134" s="16" t="str">
        <f t="shared" si="45"/>
        <v/>
      </c>
      <c r="AB134" s="139"/>
      <c r="AC134" s="146" t="str">
        <f t="shared" si="48"/>
        <v/>
      </c>
      <c r="AD134" s="148" t="str">
        <f t="shared" si="46"/>
        <v/>
      </c>
      <c r="AE134" s="147" t="str">
        <f t="shared" si="39"/>
        <v/>
      </c>
      <c r="AF134" s="111" t="str">
        <f t="shared" si="40"/>
        <v/>
      </c>
      <c r="AG134" s="111" t="str">
        <f t="shared" si="41"/>
        <v/>
      </c>
      <c r="AH134" s="112" t="str">
        <f t="shared" si="42"/>
        <v/>
      </c>
      <c r="AI134" t="str">
        <f t="shared" si="47"/>
        <v/>
      </c>
      <c r="AJ134" t="str">
        <f t="shared" si="49"/>
        <v/>
      </c>
    </row>
    <row r="135" spans="1:36" ht="15" customHeight="1" x14ac:dyDescent="0.25">
      <c r="A135" s="114"/>
      <c r="B135" s="116"/>
      <c r="C135" s="116"/>
      <c r="D135" s="42" t="str">
        <f t="shared" si="26"/>
        <v/>
      </c>
      <c r="E135" s="43"/>
      <c r="F135" s="118"/>
      <c r="G135" s="44" t="str">
        <f t="shared" si="27"/>
        <v/>
      </c>
      <c r="H135" s="118"/>
      <c r="I135" s="34" t="str">
        <f t="shared" si="28"/>
        <v/>
      </c>
      <c r="J135" s="118"/>
      <c r="K135" s="34" t="str">
        <f t="shared" si="29"/>
        <v/>
      </c>
      <c r="L135" s="118"/>
      <c r="M135" s="121"/>
      <c r="N135" s="122" t="str">
        <f t="shared" si="30"/>
        <v/>
      </c>
      <c r="O135" s="35" t="str">
        <f t="shared" si="31"/>
        <v/>
      </c>
      <c r="P135" s="124"/>
      <c r="Q135" s="36" t="str">
        <f t="shared" si="43"/>
        <v/>
      </c>
      <c r="R135" s="46" t="str">
        <f t="shared" si="32"/>
        <v/>
      </c>
      <c r="S135" s="38" t="str">
        <f t="shared" si="33"/>
        <v/>
      </c>
      <c r="T135" s="39" t="str">
        <f t="shared" si="34"/>
        <v/>
      </c>
      <c r="U135" s="40" t="str">
        <f t="shared" si="35"/>
        <v/>
      </c>
      <c r="V135" s="39" t="str">
        <f t="shared" si="36"/>
        <v/>
      </c>
      <c r="W135" s="34" t="str">
        <f t="shared" si="37"/>
        <v/>
      </c>
      <c r="X135" s="41" t="str">
        <f t="shared" si="44"/>
        <v/>
      </c>
      <c r="Y135" s="98" t="str">
        <f t="shared" si="38"/>
        <v/>
      </c>
      <c r="Z135" s="16" t="str">
        <f t="shared" si="45"/>
        <v/>
      </c>
      <c r="AB135" s="139"/>
      <c r="AC135" s="146" t="str">
        <f t="shared" si="48"/>
        <v/>
      </c>
      <c r="AD135" s="148" t="str">
        <f t="shared" si="46"/>
        <v/>
      </c>
      <c r="AE135" s="147" t="str">
        <f t="shared" si="39"/>
        <v/>
      </c>
      <c r="AF135" s="111" t="str">
        <f t="shared" si="40"/>
        <v/>
      </c>
      <c r="AG135" s="111" t="str">
        <f t="shared" si="41"/>
        <v/>
      </c>
      <c r="AH135" s="112" t="str">
        <f t="shared" si="42"/>
        <v/>
      </c>
      <c r="AI135" t="str">
        <f t="shared" si="47"/>
        <v/>
      </c>
      <c r="AJ135" t="str">
        <f t="shared" si="49"/>
        <v/>
      </c>
    </row>
    <row r="136" spans="1:36" ht="15" customHeight="1" x14ac:dyDescent="0.25">
      <c r="A136" s="114"/>
      <c r="B136" s="116"/>
      <c r="C136" s="116"/>
      <c r="D136" s="42" t="str">
        <f t="shared" ref="D136:D199" si="50">IF(A136="","",B136*C136)</f>
        <v/>
      </c>
      <c r="E136" s="43"/>
      <c r="F136" s="118"/>
      <c r="G136" s="44" t="str">
        <f t="shared" ref="G136:G199" si="51">IF(A136="","",F136*B136)</f>
        <v/>
      </c>
      <c r="H136" s="118"/>
      <c r="I136" s="34" t="str">
        <f t="shared" ref="I136:I199" si="52">IF(OR(H136=0,C136=0,H136="",C136=""),"",H136/C136)</f>
        <v/>
      </c>
      <c r="J136" s="118"/>
      <c r="K136" s="34" t="str">
        <f t="shared" ref="K136:K199" si="53">IF(OR(J136=0,C136=0,J136="",C136=""),"",J136/C136)</f>
        <v/>
      </c>
      <c r="L136" s="118"/>
      <c r="M136" s="121"/>
      <c r="N136" s="122" t="str">
        <f t="shared" ref="N136:N199" si="54">IF(A136="","",IF(P136&gt;0,IF(G136&gt;0,P136/G136,0),IF(E136&gt;0,0,IF($I$3&gt;0,IF($I$4&gt;0,MAX($I$3-SUM($P$8:$P$1007),0)/$I$4,0),$I$2))))</f>
        <v/>
      </c>
      <c r="O136" s="35" t="str">
        <f t="shared" ref="O136:O199" si="55">IF(A136="","",IF(P136&gt;0,P136,IF(E136&gt;0,0,G136*IF($I$3&gt;0,IF($I$4&gt;0,MAX($I$3-SUM($P$8:$P$1007),0)/$I$4,0),$I$2))))</f>
        <v/>
      </c>
      <c r="P136" s="124"/>
      <c r="Q136" s="36" t="str">
        <f t="shared" si="43"/>
        <v/>
      </c>
      <c r="R136" s="46" t="str">
        <f t="shared" ref="R136:R199" si="56">IF(OR(A136="",Q136=""),"",Q136*C136)</f>
        <v/>
      </c>
      <c r="S136" s="38" t="str">
        <f t="shared" ref="S136:S199" si="57">IF(OR(A136="",H136&lt;=0,R136=""),"",(H136-R136)/H136)</f>
        <v/>
      </c>
      <c r="T136" s="39" t="str">
        <f t="shared" ref="T136:T199" si="58">IF(OR(H136=0,R136=0,H136="",R136=""),"",H136-R136)</f>
        <v/>
      </c>
      <c r="U136" s="40" t="str">
        <f t="shared" ref="U136:U199" si="59">IF(OR(A136="",J136&lt;=0,R136=""),"",(J136-R136)/J136)</f>
        <v/>
      </c>
      <c r="V136" s="39" t="str">
        <f t="shared" ref="V136:V199" si="60">IF(OR(J136=0,R136=0,J136="",R136=""),"",J136-R136)</f>
        <v/>
      </c>
      <c r="W136" s="34" t="str">
        <f t="shared" ref="W136:W199" si="61">IF(OR(G136="",G136=0,$M$5="",$K$3=0),"",($M$5/$K$3)*G136)</f>
        <v/>
      </c>
      <c r="X136" s="41" t="str">
        <f t="shared" si="44"/>
        <v/>
      </c>
      <c r="Y136" s="98" t="str">
        <f t="shared" ref="Y136:Y199" si="62">IF(OR(Q136=0,Q136="",D136=0,D136=""),"",Q136*(D136+E136))</f>
        <v/>
      </c>
      <c r="Z136" s="16" t="str">
        <f t="shared" si="45"/>
        <v/>
      </c>
      <c r="AB136" s="139"/>
      <c r="AC136" s="146" t="str">
        <f t="shared" si="48"/>
        <v/>
      </c>
      <c r="AD136" s="148" t="str">
        <f t="shared" si="46"/>
        <v/>
      </c>
      <c r="AE136" s="147" t="str">
        <f t="shared" ref="AE136:AE199" si="63">IF(AD136="","",AD136*$AC$1+IF(SUM($AD$8:$AD$1007)=0,0,$AC$2*AD136/SUM($AD$8:$AD$1007)))</f>
        <v/>
      </c>
      <c r="AF136" s="111" t="str">
        <f t="shared" ref="AF136:AF199" si="64">IF(AD136="","",AD136-AE136)</f>
        <v/>
      </c>
      <c r="AG136" s="111" t="str">
        <f t="shared" ref="AG136:AG199" si="65">IF(AF136="","",AH136-AF136)</f>
        <v/>
      </c>
      <c r="AH136" s="112" t="str">
        <f t="shared" ref="AH136:AH199" si="66">IF(AF136="","",ROUND(AF136,0))</f>
        <v/>
      </c>
      <c r="AI136" t="str">
        <f t="shared" si="47"/>
        <v/>
      </c>
      <c r="AJ136" t="str">
        <f t="shared" si="49"/>
        <v/>
      </c>
    </row>
    <row r="137" spans="1:36" ht="15" customHeight="1" x14ac:dyDescent="0.25">
      <c r="A137" s="114"/>
      <c r="B137" s="116"/>
      <c r="C137" s="116"/>
      <c r="D137" s="42" t="str">
        <f t="shared" si="50"/>
        <v/>
      </c>
      <c r="E137" s="43"/>
      <c r="F137" s="118"/>
      <c r="G137" s="44" t="str">
        <f t="shared" si="51"/>
        <v/>
      </c>
      <c r="H137" s="118"/>
      <c r="I137" s="34" t="str">
        <f t="shared" si="52"/>
        <v/>
      </c>
      <c r="J137" s="118"/>
      <c r="K137" s="34" t="str">
        <f t="shared" si="53"/>
        <v/>
      </c>
      <c r="L137" s="118"/>
      <c r="M137" s="121"/>
      <c r="N137" s="122" t="str">
        <f t="shared" si="54"/>
        <v/>
      </c>
      <c r="O137" s="35" t="str">
        <f t="shared" si="55"/>
        <v/>
      </c>
      <c r="P137" s="124"/>
      <c r="Q137" s="36" t="str">
        <f t="shared" ref="Q137:Q200" si="67">IF(A137="","",IF(OR(B137=0,B137="",C137&lt;=0,D137+E137&lt;=0),"",(G137-O137)/(D137+E137)-IF(W137&gt;=0,W137/D137,0)+IF(ISNUMBER(X137),X137/(D137+E137),0)))</f>
        <v/>
      </c>
      <c r="R137" s="46" t="str">
        <f t="shared" si="56"/>
        <v/>
      </c>
      <c r="S137" s="38" t="str">
        <f t="shared" si="57"/>
        <v/>
      </c>
      <c r="T137" s="39" t="str">
        <f t="shared" si="58"/>
        <v/>
      </c>
      <c r="U137" s="40" t="str">
        <f t="shared" si="59"/>
        <v/>
      </c>
      <c r="V137" s="39" t="str">
        <f t="shared" si="60"/>
        <v/>
      </c>
      <c r="W137" s="34" t="str">
        <f t="shared" si="61"/>
        <v/>
      </c>
      <c r="X137" s="41" t="str">
        <f t="shared" ref="X137:X200" si="68">IF(OR(G137="",G137=0,($K$3-$K$2)=0),"",($I$1/($K$3-$K$2))*(G137-O137))</f>
        <v/>
      </c>
      <c r="Y137" s="98" t="str">
        <f t="shared" si="62"/>
        <v/>
      </c>
      <c r="Z137" s="16" t="str">
        <f t="shared" ref="Z137:Z200" si="69">IF(OR(B137=0,B137=""),"",G137)</f>
        <v/>
      </c>
      <c r="AB137" s="139"/>
      <c r="AC137" s="146" t="str">
        <f t="shared" si="48"/>
        <v/>
      </c>
      <c r="AD137" s="148" t="str">
        <f t="shared" ref="AD137:AD200" si="70">IF(OR(AB137="",AC137=""),"",AB137*AC137)</f>
        <v/>
      </c>
      <c r="AE137" s="147" t="str">
        <f t="shared" si="63"/>
        <v/>
      </c>
      <c r="AF137" s="111" t="str">
        <f t="shared" si="64"/>
        <v/>
      </c>
      <c r="AG137" s="111" t="str">
        <f t="shared" si="65"/>
        <v/>
      </c>
      <c r="AH137" s="112" t="str">
        <f t="shared" si="66"/>
        <v/>
      </c>
      <c r="AI137" t="str">
        <f t="shared" ref="AI137:AI200" si="71">IF(OR(AB137=0,AB137=""),"",AE137/AB137)</f>
        <v/>
      </c>
      <c r="AJ137" t="str">
        <f t="shared" si="49"/>
        <v/>
      </c>
    </row>
    <row r="138" spans="1:36" ht="15" customHeight="1" x14ac:dyDescent="0.25">
      <c r="A138" s="114"/>
      <c r="B138" s="116"/>
      <c r="C138" s="116"/>
      <c r="D138" s="42" t="str">
        <f t="shared" si="50"/>
        <v/>
      </c>
      <c r="E138" s="43"/>
      <c r="F138" s="118"/>
      <c r="G138" s="44" t="str">
        <f t="shared" si="51"/>
        <v/>
      </c>
      <c r="H138" s="118"/>
      <c r="I138" s="34" t="str">
        <f t="shared" si="52"/>
        <v/>
      </c>
      <c r="J138" s="118"/>
      <c r="K138" s="34" t="str">
        <f t="shared" si="53"/>
        <v/>
      </c>
      <c r="L138" s="118"/>
      <c r="M138" s="121"/>
      <c r="N138" s="122" t="str">
        <f t="shared" si="54"/>
        <v/>
      </c>
      <c r="O138" s="35" t="str">
        <f t="shared" si="55"/>
        <v/>
      </c>
      <c r="P138" s="124"/>
      <c r="Q138" s="36" t="str">
        <f t="shared" si="67"/>
        <v/>
      </c>
      <c r="R138" s="46" t="str">
        <f t="shared" si="56"/>
        <v/>
      </c>
      <c r="S138" s="38" t="str">
        <f t="shared" si="57"/>
        <v/>
      </c>
      <c r="T138" s="39" t="str">
        <f t="shared" si="58"/>
        <v/>
      </c>
      <c r="U138" s="40" t="str">
        <f t="shared" si="59"/>
        <v/>
      </c>
      <c r="V138" s="39" t="str">
        <f t="shared" si="60"/>
        <v/>
      </c>
      <c r="W138" s="34" t="str">
        <f t="shared" si="61"/>
        <v/>
      </c>
      <c r="X138" s="41" t="str">
        <f t="shared" si="68"/>
        <v/>
      </c>
      <c r="Y138" s="98" t="str">
        <f t="shared" si="62"/>
        <v/>
      </c>
      <c r="Z138" s="16" t="str">
        <f t="shared" si="69"/>
        <v/>
      </c>
      <c r="AB138" s="139"/>
      <c r="AC138" s="146" t="str">
        <f t="shared" si="48"/>
        <v/>
      </c>
      <c r="AD138" s="148" t="str">
        <f t="shared" si="70"/>
        <v/>
      </c>
      <c r="AE138" s="147" t="str">
        <f t="shared" si="63"/>
        <v/>
      </c>
      <c r="AF138" s="111" t="str">
        <f t="shared" si="64"/>
        <v/>
      </c>
      <c r="AG138" s="111" t="str">
        <f t="shared" si="65"/>
        <v/>
      </c>
      <c r="AH138" s="112" t="str">
        <f t="shared" si="66"/>
        <v/>
      </c>
      <c r="AI138" t="str">
        <f t="shared" si="71"/>
        <v/>
      </c>
      <c r="AJ138" t="str">
        <f t="shared" si="49"/>
        <v/>
      </c>
    </row>
    <row r="139" spans="1:36" ht="15" customHeight="1" x14ac:dyDescent="0.25">
      <c r="A139" s="114"/>
      <c r="B139" s="116"/>
      <c r="C139" s="116"/>
      <c r="D139" s="42" t="str">
        <f t="shared" si="50"/>
        <v/>
      </c>
      <c r="E139" s="43"/>
      <c r="F139" s="118"/>
      <c r="G139" s="44" t="str">
        <f t="shared" si="51"/>
        <v/>
      </c>
      <c r="H139" s="118"/>
      <c r="I139" s="34" t="str">
        <f t="shared" si="52"/>
        <v/>
      </c>
      <c r="J139" s="118"/>
      <c r="K139" s="34" t="str">
        <f t="shared" si="53"/>
        <v/>
      </c>
      <c r="L139" s="118"/>
      <c r="M139" s="121"/>
      <c r="N139" s="122" t="str">
        <f t="shared" si="54"/>
        <v/>
      </c>
      <c r="O139" s="35" t="str">
        <f t="shared" si="55"/>
        <v/>
      </c>
      <c r="P139" s="124"/>
      <c r="Q139" s="36" t="str">
        <f t="shared" si="67"/>
        <v/>
      </c>
      <c r="R139" s="46" t="str">
        <f t="shared" si="56"/>
        <v/>
      </c>
      <c r="S139" s="38" t="str">
        <f t="shared" si="57"/>
        <v/>
      </c>
      <c r="T139" s="39" t="str">
        <f t="shared" si="58"/>
        <v/>
      </c>
      <c r="U139" s="40" t="str">
        <f t="shared" si="59"/>
        <v/>
      </c>
      <c r="V139" s="39" t="str">
        <f t="shared" si="60"/>
        <v/>
      </c>
      <c r="W139" s="34" t="str">
        <f t="shared" si="61"/>
        <v/>
      </c>
      <c r="X139" s="41" t="str">
        <f t="shared" si="68"/>
        <v/>
      </c>
      <c r="Y139" s="98" t="str">
        <f t="shared" si="62"/>
        <v/>
      </c>
      <c r="Z139" s="16" t="str">
        <f t="shared" si="69"/>
        <v/>
      </c>
      <c r="AB139" s="139"/>
      <c r="AC139" s="146" t="str">
        <f t="shared" si="48"/>
        <v/>
      </c>
      <c r="AD139" s="148" t="str">
        <f t="shared" si="70"/>
        <v/>
      </c>
      <c r="AE139" s="147" t="str">
        <f t="shared" si="63"/>
        <v/>
      </c>
      <c r="AF139" s="111" t="str">
        <f t="shared" si="64"/>
        <v/>
      </c>
      <c r="AG139" s="111" t="str">
        <f t="shared" si="65"/>
        <v/>
      </c>
      <c r="AH139" s="112" t="str">
        <f t="shared" si="66"/>
        <v/>
      </c>
      <c r="AI139" t="str">
        <f t="shared" si="71"/>
        <v/>
      </c>
      <c r="AJ139" t="str">
        <f t="shared" si="49"/>
        <v/>
      </c>
    </row>
    <row r="140" spans="1:36" ht="15" customHeight="1" x14ac:dyDescent="0.25">
      <c r="A140" s="114"/>
      <c r="B140" s="116"/>
      <c r="C140" s="116"/>
      <c r="D140" s="42" t="str">
        <f t="shared" si="50"/>
        <v/>
      </c>
      <c r="E140" s="43"/>
      <c r="F140" s="118"/>
      <c r="G140" s="44" t="str">
        <f t="shared" si="51"/>
        <v/>
      </c>
      <c r="H140" s="118"/>
      <c r="I140" s="34" t="str">
        <f t="shared" si="52"/>
        <v/>
      </c>
      <c r="J140" s="118"/>
      <c r="K140" s="34" t="str">
        <f t="shared" si="53"/>
        <v/>
      </c>
      <c r="L140" s="118"/>
      <c r="M140" s="121"/>
      <c r="N140" s="122" t="str">
        <f t="shared" si="54"/>
        <v/>
      </c>
      <c r="O140" s="35" t="str">
        <f t="shared" si="55"/>
        <v/>
      </c>
      <c r="P140" s="124"/>
      <c r="Q140" s="36" t="str">
        <f t="shared" si="67"/>
        <v/>
      </c>
      <c r="R140" s="46" t="str">
        <f t="shared" si="56"/>
        <v/>
      </c>
      <c r="S140" s="38" t="str">
        <f t="shared" si="57"/>
        <v/>
      </c>
      <c r="T140" s="39" t="str">
        <f t="shared" si="58"/>
        <v/>
      </c>
      <c r="U140" s="40" t="str">
        <f t="shared" si="59"/>
        <v/>
      </c>
      <c r="V140" s="39" t="str">
        <f t="shared" si="60"/>
        <v/>
      </c>
      <c r="W140" s="34" t="str">
        <f t="shared" si="61"/>
        <v/>
      </c>
      <c r="X140" s="41" t="str">
        <f t="shared" si="68"/>
        <v/>
      </c>
      <c r="Y140" s="98" t="str">
        <f t="shared" si="62"/>
        <v/>
      </c>
      <c r="Z140" s="16" t="str">
        <f t="shared" si="69"/>
        <v/>
      </c>
      <c r="AB140" s="139"/>
      <c r="AC140" s="146" t="str">
        <f t="shared" ref="AC140:AC203" si="72">IF(AB140="","",Q140)</f>
        <v/>
      </c>
      <c r="AD140" s="148" t="str">
        <f t="shared" si="70"/>
        <v/>
      </c>
      <c r="AE140" s="147" t="str">
        <f t="shared" si="63"/>
        <v/>
      </c>
      <c r="AF140" s="111" t="str">
        <f t="shared" si="64"/>
        <v/>
      </c>
      <c r="AG140" s="111" t="str">
        <f t="shared" si="65"/>
        <v/>
      </c>
      <c r="AH140" s="112" t="str">
        <f t="shared" si="66"/>
        <v/>
      </c>
      <c r="AI140" t="str">
        <f t="shared" si="71"/>
        <v/>
      </c>
      <c r="AJ140" t="str">
        <f t="shared" ref="AJ140:AJ203" si="73">IF(OR(AB140=0,AB140=""),"",AC140*C140)</f>
        <v/>
      </c>
    </row>
    <row r="141" spans="1:36" ht="15" customHeight="1" x14ac:dyDescent="0.25">
      <c r="A141" s="114"/>
      <c r="B141" s="116"/>
      <c r="C141" s="116"/>
      <c r="D141" s="42" t="str">
        <f t="shared" si="50"/>
        <v/>
      </c>
      <c r="E141" s="43"/>
      <c r="F141" s="118"/>
      <c r="G141" s="44" t="str">
        <f t="shared" si="51"/>
        <v/>
      </c>
      <c r="H141" s="118"/>
      <c r="I141" s="34" t="str">
        <f t="shared" si="52"/>
        <v/>
      </c>
      <c r="J141" s="118"/>
      <c r="K141" s="34" t="str">
        <f t="shared" si="53"/>
        <v/>
      </c>
      <c r="L141" s="118"/>
      <c r="M141" s="121"/>
      <c r="N141" s="122" t="str">
        <f t="shared" si="54"/>
        <v/>
      </c>
      <c r="O141" s="35" t="str">
        <f t="shared" si="55"/>
        <v/>
      </c>
      <c r="P141" s="124"/>
      <c r="Q141" s="36" t="str">
        <f t="shared" si="67"/>
        <v/>
      </c>
      <c r="R141" s="46" t="str">
        <f t="shared" si="56"/>
        <v/>
      </c>
      <c r="S141" s="38" t="str">
        <f t="shared" si="57"/>
        <v/>
      </c>
      <c r="T141" s="39" t="str">
        <f t="shared" si="58"/>
        <v/>
      </c>
      <c r="U141" s="40" t="str">
        <f t="shared" si="59"/>
        <v/>
      </c>
      <c r="V141" s="39" t="str">
        <f t="shared" si="60"/>
        <v/>
      </c>
      <c r="W141" s="34" t="str">
        <f t="shared" si="61"/>
        <v/>
      </c>
      <c r="X141" s="41" t="str">
        <f t="shared" si="68"/>
        <v/>
      </c>
      <c r="Y141" s="98" t="str">
        <f t="shared" si="62"/>
        <v/>
      </c>
      <c r="Z141" s="16" t="str">
        <f t="shared" si="69"/>
        <v/>
      </c>
      <c r="AB141" s="139"/>
      <c r="AC141" s="146" t="str">
        <f t="shared" si="72"/>
        <v/>
      </c>
      <c r="AD141" s="148" t="str">
        <f t="shared" si="70"/>
        <v/>
      </c>
      <c r="AE141" s="147" t="str">
        <f t="shared" si="63"/>
        <v/>
      </c>
      <c r="AF141" s="111" t="str">
        <f t="shared" si="64"/>
        <v/>
      </c>
      <c r="AG141" s="111" t="str">
        <f t="shared" si="65"/>
        <v/>
      </c>
      <c r="AH141" s="112" t="str">
        <f t="shared" si="66"/>
        <v/>
      </c>
      <c r="AI141" t="str">
        <f t="shared" si="71"/>
        <v/>
      </c>
      <c r="AJ141" t="str">
        <f t="shared" si="73"/>
        <v/>
      </c>
    </row>
    <row r="142" spans="1:36" ht="15" customHeight="1" x14ac:dyDescent="0.25">
      <c r="A142" s="114"/>
      <c r="B142" s="116"/>
      <c r="C142" s="116"/>
      <c r="D142" s="42" t="str">
        <f t="shared" si="50"/>
        <v/>
      </c>
      <c r="E142" s="43"/>
      <c r="F142" s="118"/>
      <c r="G142" s="44" t="str">
        <f t="shared" si="51"/>
        <v/>
      </c>
      <c r="H142" s="118"/>
      <c r="I142" s="34" t="str">
        <f t="shared" si="52"/>
        <v/>
      </c>
      <c r="J142" s="118"/>
      <c r="K142" s="34" t="str">
        <f t="shared" si="53"/>
        <v/>
      </c>
      <c r="L142" s="118"/>
      <c r="M142" s="121"/>
      <c r="N142" s="122" t="str">
        <f t="shared" si="54"/>
        <v/>
      </c>
      <c r="O142" s="35" t="str">
        <f t="shared" si="55"/>
        <v/>
      </c>
      <c r="P142" s="124"/>
      <c r="Q142" s="36" t="str">
        <f t="shared" si="67"/>
        <v/>
      </c>
      <c r="R142" s="46" t="str">
        <f t="shared" si="56"/>
        <v/>
      </c>
      <c r="S142" s="38" t="str">
        <f t="shared" si="57"/>
        <v/>
      </c>
      <c r="T142" s="39" t="str">
        <f t="shared" si="58"/>
        <v/>
      </c>
      <c r="U142" s="40" t="str">
        <f t="shared" si="59"/>
        <v/>
      </c>
      <c r="V142" s="39" t="str">
        <f t="shared" si="60"/>
        <v/>
      </c>
      <c r="W142" s="34" t="str">
        <f t="shared" si="61"/>
        <v/>
      </c>
      <c r="X142" s="41" t="str">
        <f t="shared" si="68"/>
        <v/>
      </c>
      <c r="Y142" s="98" t="str">
        <f t="shared" si="62"/>
        <v/>
      </c>
      <c r="Z142" s="16" t="str">
        <f t="shared" si="69"/>
        <v/>
      </c>
      <c r="AB142" s="139"/>
      <c r="AC142" s="146" t="str">
        <f t="shared" si="72"/>
        <v/>
      </c>
      <c r="AD142" s="148" t="str">
        <f t="shared" si="70"/>
        <v/>
      </c>
      <c r="AE142" s="147" t="str">
        <f t="shared" si="63"/>
        <v/>
      </c>
      <c r="AF142" s="111" t="str">
        <f t="shared" si="64"/>
        <v/>
      </c>
      <c r="AG142" s="111" t="str">
        <f t="shared" si="65"/>
        <v/>
      </c>
      <c r="AH142" s="112" t="str">
        <f t="shared" si="66"/>
        <v/>
      </c>
      <c r="AI142" t="str">
        <f t="shared" si="71"/>
        <v/>
      </c>
      <c r="AJ142" t="str">
        <f t="shared" si="73"/>
        <v/>
      </c>
    </row>
    <row r="143" spans="1:36" ht="15" customHeight="1" x14ac:dyDescent="0.25">
      <c r="A143" s="114"/>
      <c r="B143" s="116"/>
      <c r="C143" s="116"/>
      <c r="D143" s="42" t="str">
        <f t="shared" si="50"/>
        <v/>
      </c>
      <c r="E143" s="43"/>
      <c r="F143" s="118"/>
      <c r="G143" s="44" t="str">
        <f t="shared" si="51"/>
        <v/>
      </c>
      <c r="H143" s="118"/>
      <c r="I143" s="34" t="str">
        <f t="shared" si="52"/>
        <v/>
      </c>
      <c r="J143" s="118"/>
      <c r="K143" s="34" t="str">
        <f t="shared" si="53"/>
        <v/>
      </c>
      <c r="L143" s="118"/>
      <c r="M143" s="121"/>
      <c r="N143" s="122" t="str">
        <f t="shared" si="54"/>
        <v/>
      </c>
      <c r="O143" s="35" t="str">
        <f t="shared" si="55"/>
        <v/>
      </c>
      <c r="P143" s="124"/>
      <c r="Q143" s="36" t="str">
        <f t="shared" si="67"/>
        <v/>
      </c>
      <c r="R143" s="46" t="str">
        <f t="shared" si="56"/>
        <v/>
      </c>
      <c r="S143" s="38" t="str">
        <f t="shared" si="57"/>
        <v/>
      </c>
      <c r="T143" s="39" t="str">
        <f t="shared" si="58"/>
        <v/>
      </c>
      <c r="U143" s="40" t="str">
        <f t="shared" si="59"/>
        <v/>
      </c>
      <c r="V143" s="39" t="str">
        <f t="shared" si="60"/>
        <v/>
      </c>
      <c r="W143" s="34" t="str">
        <f t="shared" si="61"/>
        <v/>
      </c>
      <c r="X143" s="41" t="str">
        <f t="shared" si="68"/>
        <v/>
      </c>
      <c r="Y143" s="98" t="str">
        <f t="shared" si="62"/>
        <v/>
      </c>
      <c r="Z143" s="16" t="str">
        <f t="shared" si="69"/>
        <v/>
      </c>
      <c r="AB143" s="139"/>
      <c r="AC143" s="146" t="str">
        <f t="shared" si="72"/>
        <v/>
      </c>
      <c r="AD143" s="148" t="str">
        <f t="shared" si="70"/>
        <v/>
      </c>
      <c r="AE143" s="147" t="str">
        <f t="shared" si="63"/>
        <v/>
      </c>
      <c r="AF143" s="111" t="str">
        <f t="shared" si="64"/>
        <v/>
      </c>
      <c r="AG143" s="111" t="str">
        <f t="shared" si="65"/>
        <v/>
      </c>
      <c r="AH143" s="112" t="str">
        <f t="shared" si="66"/>
        <v/>
      </c>
      <c r="AI143" t="str">
        <f t="shared" si="71"/>
        <v/>
      </c>
      <c r="AJ143" t="str">
        <f t="shared" si="73"/>
        <v/>
      </c>
    </row>
    <row r="144" spans="1:36" ht="15" customHeight="1" x14ac:dyDescent="0.25">
      <c r="A144" s="114"/>
      <c r="B144" s="116"/>
      <c r="C144" s="116"/>
      <c r="D144" s="42" t="str">
        <f t="shared" si="50"/>
        <v/>
      </c>
      <c r="E144" s="43"/>
      <c r="F144" s="118"/>
      <c r="G144" s="44" t="str">
        <f t="shared" si="51"/>
        <v/>
      </c>
      <c r="H144" s="118"/>
      <c r="I144" s="34" t="str">
        <f t="shared" si="52"/>
        <v/>
      </c>
      <c r="J144" s="118"/>
      <c r="K144" s="34" t="str">
        <f t="shared" si="53"/>
        <v/>
      </c>
      <c r="L144" s="118"/>
      <c r="M144" s="121"/>
      <c r="N144" s="122" t="str">
        <f t="shared" si="54"/>
        <v/>
      </c>
      <c r="O144" s="35" t="str">
        <f t="shared" si="55"/>
        <v/>
      </c>
      <c r="P144" s="124"/>
      <c r="Q144" s="36" t="str">
        <f t="shared" si="67"/>
        <v/>
      </c>
      <c r="R144" s="46" t="str">
        <f t="shared" si="56"/>
        <v/>
      </c>
      <c r="S144" s="38" t="str">
        <f t="shared" si="57"/>
        <v/>
      </c>
      <c r="T144" s="39" t="str">
        <f t="shared" si="58"/>
        <v/>
      </c>
      <c r="U144" s="40" t="str">
        <f t="shared" si="59"/>
        <v/>
      </c>
      <c r="V144" s="39" t="str">
        <f t="shared" si="60"/>
        <v/>
      </c>
      <c r="W144" s="34" t="str">
        <f t="shared" si="61"/>
        <v/>
      </c>
      <c r="X144" s="41" t="str">
        <f t="shared" si="68"/>
        <v/>
      </c>
      <c r="Y144" s="98" t="str">
        <f t="shared" si="62"/>
        <v/>
      </c>
      <c r="Z144" s="16" t="str">
        <f t="shared" si="69"/>
        <v/>
      </c>
      <c r="AB144" s="139"/>
      <c r="AC144" s="146" t="str">
        <f t="shared" si="72"/>
        <v/>
      </c>
      <c r="AD144" s="148" t="str">
        <f t="shared" si="70"/>
        <v/>
      </c>
      <c r="AE144" s="147" t="str">
        <f t="shared" si="63"/>
        <v/>
      </c>
      <c r="AF144" s="111" t="str">
        <f t="shared" si="64"/>
        <v/>
      </c>
      <c r="AG144" s="111" t="str">
        <f t="shared" si="65"/>
        <v/>
      </c>
      <c r="AH144" s="112" t="str">
        <f t="shared" si="66"/>
        <v/>
      </c>
      <c r="AI144" t="str">
        <f t="shared" si="71"/>
        <v/>
      </c>
      <c r="AJ144" t="str">
        <f t="shared" si="73"/>
        <v/>
      </c>
    </row>
    <row r="145" spans="1:36" ht="15" customHeight="1" x14ac:dyDescent="0.25">
      <c r="A145" s="114"/>
      <c r="B145" s="116"/>
      <c r="C145" s="116"/>
      <c r="D145" s="42" t="str">
        <f t="shared" si="50"/>
        <v/>
      </c>
      <c r="E145" s="43"/>
      <c r="F145" s="118"/>
      <c r="G145" s="44" t="str">
        <f t="shared" si="51"/>
        <v/>
      </c>
      <c r="H145" s="118"/>
      <c r="I145" s="34" t="str">
        <f t="shared" si="52"/>
        <v/>
      </c>
      <c r="J145" s="118"/>
      <c r="K145" s="34" t="str">
        <f t="shared" si="53"/>
        <v/>
      </c>
      <c r="L145" s="118"/>
      <c r="M145" s="121"/>
      <c r="N145" s="122" t="str">
        <f t="shared" si="54"/>
        <v/>
      </c>
      <c r="O145" s="35" t="str">
        <f t="shared" si="55"/>
        <v/>
      </c>
      <c r="P145" s="124"/>
      <c r="Q145" s="36" t="str">
        <f t="shared" si="67"/>
        <v/>
      </c>
      <c r="R145" s="46" t="str">
        <f t="shared" si="56"/>
        <v/>
      </c>
      <c r="S145" s="38" t="str">
        <f t="shared" si="57"/>
        <v/>
      </c>
      <c r="T145" s="39" t="str">
        <f t="shared" si="58"/>
        <v/>
      </c>
      <c r="U145" s="40" t="str">
        <f t="shared" si="59"/>
        <v/>
      </c>
      <c r="V145" s="39" t="str">
        <f t="shared" si="60"/>
        <v/>
      </c>
      <c r="W145" s="34" t="str">
        <f t="shared" si="61"/>
        <v/>
      </c>
      <c r="X145" s="41" t="str">
        <f t="shared" si="68"/>
        <v/>
      </c>
      <c r="Y145" s="98" t="str">
        <f t="shared" si="62"/>
        <v/>
      </c>
      <c r="Z145" s="16" t="str">
        <f t="shared" si="69"/>
        <v/>
      </c>
      <c r="AB145" s="139"/>
      <c r="AC145" s="146" t="str">
        <f t="shared" si="72"/>
        <v/>
      </c>
      <c r="AD145" s="148" t="str">
        <f t="shared" si="70"/>
        <v/>
      </c>
      <c r="AE145" s="147" t="str">
        <f t="shared" si="63"/>
        <v/>
      </c>
      <c r="AF145" s="111" t="str">
        <f t="shared" si="64"/>
        <v/>
      </c>
      <c r="AG145" s="111" t="str">
        <f t="shared" si="65"/>
        <v/>
      </c>
      <c r="AH145" s="112" t="str">
        <f t="shared" si="66"/>
        <v/>
      </c>
      <c r="AI145" t="str">
        <f t="shared" si="71"/>
        <v/>
      </c>
      <c r="AJ145" t="str">
        <f t="shared" si="73"/>
        <v/>
      </c>
    </row>
    <row r="146" spans="1:36" ht="15" customHeight="1" x14ac:dyDescent="0.25">
      <c r="A146" s="114"/>
      <c r="B146" s="116"/>
      <c r="C146" s="116"/>
      <c r="D146" s="42" t="str">
        <f t="shared" si="50"/>
        <v/>
      </c>
      <c r="E146" s="43"/>
      <c r="F146" s="118"/>
      <c r="G146" s="44" t="str">
        <f t="shared" si="51"/>
        <v/>
      </c>
      <c r="H146" s="118"/>
      <c r="I146" s="34" t="str">
        <f t="shared" si="52"/>
        <v/>
      </c>
      <c r="J146" s="118"/>
      <c r="K146" s="34" t="str">
        <f t="shared" si="53"/>
        <v/>
      </c>
      <c r="L146" s="118"/>
      <c r="M146" s="121"/>
      <c r="N146" s="122" t="str">
        <f t="shared" si="54"/>
        <v/>
      </c>
      <c r="O146" s="35" t="str">
        <f t="shared" si="55"/>
        <v/>
      </c>
      <c r="P146" s="124"/>
      <c r="Q146" s="36" t="str">
        <f t="shared" si="67"/>
        <v/>
      </c>
      <c r="R146" s="46" t="str">
        <f t="shared" si="56"/>
        <v/>
      </c>
      <c r="S146" s="38" t="str">
        <f t="shared" si="57"/>
        <v/>
      </c>
      <c r="T146" s="39" t="str">
        <f t="shared" si="58"/>
        <v/>
      </c>
      <c r="U146" s="40" t="str">
        <f t="shared" si="59"/>
        <v/>
      </c>
      <c r="V146" s="39" t="str">
        <f t="shared" si="60"/>
        <v/>
      </c>
      <c r="W146" s="34" t="str">
        <f t="shared" si="61"/>
        <v/>
      </c>
      <c r="X146" s="41" t="str">
        <f t="shared" si="68"/>
        <v/>
      </c>
      <c r="Y146" s="98" t="str">
        <f t="shared" si="62"/>
        <v/>
      </c>
      <c r="Z146" s="16" t="str">
        <f t="shared" si="69"/>
        <v/>
      </c>
      <c r="AB146" s="139"/>
      <c r="AC146" s="146" t="str">
        <f t="shared" si="72"/>
        <v/>
      </c>
      <c r="AD146" s="148" t="str">
        <f t="shared" si="70"/>
        <v/>
      </c>
      <c r="AE146" s="147" t="str">
        <f t="shared" si="63"/>
        <v/>
      </c>
      <c r="AF146" s="111" t="str">
        <f t="shared" si="64"/>
        <v/>
      </c>
      <c r="AG146" s="111" t="str">
        <f t="shared" si="65"/>
        <v/>
      </c>
      <c r="AH146" s="112" t="str">
        <f t="shared" si="66"/>
        <v/>
      </c>
      <c r="AI146" t="str">
        <f t="shared" si="71"/>
        <v/>
      </c>
      <c r="AJ146" t="str">
        <f t="shared" si="73"/>
        <v/>
      </c>
    </row>
    <row r="147" spans="1:36" ht="15" customHeight="1" x14ac:dyDescent="0.25">
      <c r="A147" s="114"/>
      <c r="B147" s="116"/>
      <c r="C147" s="116"/>
      <c r="D147" s="42" t="str">
        <f t="shared" si="50"/>
        <v/>
      </c>
      <c r="E147" s="43"/>
      <c r="F147" s="118"/>
      <c r="G147" s="44" t="str">
        <f t="shared" si="51"/>
        <v/>
      </c>
      <c r="H147" s="118"/>
      <c r="I147" s="34" t="str">
        <f t="shared" si="52"/>
        <v/>
      </c>
      <c r="J147" s="118"/>
      <c r="K147" s="34" t="str">
        <f t="shared" si="53"/>
        <v/>
      </c>
      <c r="L147" s="118"/>
      <c r="M147" s="121"/>
      <c r="N147" s="122" t="str">
        <f t="shared" si="54"/>
        <v/>
      </c>
      <c r="O147" s="35" t="str">
        <f t="shared" si="55"/>
        <v/>
      </c>
      <c r="P147" s="124"/>
      <c r="Q147" s="36" t="str">
        <f t="shared" si="67"/>
        <v/>
      </c>
      <c r="R147" s="46" t="str">
        <f t="shared" si="56"/>
        <v/>
      </c>
      <c r="S147" s="38" t="str">
        <f t="shared" si="57"/>
        <v/>
      </c>
      <c r="T147" s="39" t="str">
        <f t="shared" si="58"/>
        <v/>
      </c>
      <c r="U147" s="40" t="str">
        <f t="shared" si="59"/>
        <v/>
      </c>
      <c r="V147" s="39" t="str">
        <f t="shared" si="60"/>
        <v/>
      </c>
      <c r="W147" s="34" t="str">
        <f t="shared" si="61"/>
        <v/>
      </c>
      <c r="X147" s="41" t="str">
        <f t="shared" si="68"/>
        <v/>
      </c>
      <c r="Y147" s="98" t="str">
        <f t="shared" si="62"/>
        <v/>
      </c>
      <c r="Z147" s="16" t="str">
        <f t="shared" si="69"/>
        <v/>
      </c>
      <c r="AB147" s="139"/>
      <c r="AC147" s="146" t="str">
        <f t="shared" si="72"/>
        <v/>
      </c>
      <c r="AD147" s="148" t="str">
        <f t="shared" si="70"/>
        <v/>
      </c>
      <c r="AE147" s="147" t="str">
        <f t="shared" si="63"/>
        <v/>
      </c>
      <c r="AF147" s="111" t="str">
        <f t="shared" si="64"/>
        <v/>
      </c>
      <c r="AG147" s="111" t="str">
        <f t="shared" si="65"/>
        <v/>
      </c>
      <c r="AH147" s="112" t="str">
        <f t="shared" si="66"/>
        <v/>
      </c>
      <c r="AI147" t="str">
        <f t="shared" si="71"/>
        <v/>
      </c>
      <c r="AJ147" t="str">
        <f t="shared" si="73"/>
        <v/>
      </c>
    </row>
    <row r="148" spans="1:36" ht="15" customHeight="1" x14ac:dyDescent="0.25">
      <c r="A148" s="114"/>
      <c r="B148" s="116"/>
      <c r="C148" s="116"/>
      <c r="D148" s="42" t="str">
        <f t="shared" si="50"/>
        <v/>
      </c>
      <c r="E148" s="43"/>
      <c r="F148" s="118"/>
      <c r="G148" s="44" t="str">
        <f t="shared" si="51"/>
        <v/>
      </c>
      <c r="H148" s="118"/>
      <c r="I148" s="34" t="str">
        <f t="shared" si="52"/>
        <v/>
      </c>
      <c r="J148" s="118"/>
      <c r="K148" s="34" t="str">
        <f t="shared" si="53"/>
        <v/>
      </c>
      <c r="L148" s="118"/>
      <c r="M148" s="121"/>
      <c r="N148" s="122" t="str">
        <f t="shared" si="54"/>
        <v/>
      </c>
      <c r="O148" s="35" t="str">
        <f t="shared" si="55"/>
        <v/>
      </c>
      <c r="P148" s="124"/>
      <c r="Q148" s="36" t="str">
        <f t="shared" si="67"/>
        <v/>
      </c>
      <c r="R148" s="46" t="str">
        <f t="shared" si="56"/>
        <v/>
      </c>
      <c r="S148" s="38" t="str">
        <f t="shared" si="57"/>
        <v/>
      </c>
      <c r="T148" s="39" t="str">
        <f t="shared" si="58"/>
        <v/>
      </c>
      <c r="U148" s="40" t="str">
        <f t="shared" si="59"/>
        <v/>
      </c>
      <c r="V148" s="39" t="str">
        <f t="shared" si="60"/>
        <v/>
      </c>
      <c r="W148" s="34" t="str">
        <f t="shared" si="61"/>
        <v/>
      </c>
      <c r="X148" s="41" t="str">
        <f t="shared" si="68"/>
        <v/>
      </c>
      <c r="Y148" s="98" t="str">
        <f t="shared" si="62"/>
        <v/>
      </c>
      <c r="Z148" s="16" t="str">
        <f t="shared" si="69"/>
        <v/>
      </c>
      <c r="AB148" s="139"/>
      <c r="AC148" s="146" t="str">
        <f t="shared" si="72"/>
        <v/>
      </c>
      <c r="AD148" s="148" t="str">
        <f t="shared" si="70"/>
        <v/>
      </c>
      <c r="AE148" s="147" t="str">
        <f t="shared" si="63"/>
        <v/>
      </c>
      <c r="AF148" s="111" t="str">
        <f t="shared" si="64"/>
        <v/>
      </c>
      <c r="AG148" s="111" t="str">
        <f t="shared" si="65"/>
        <v/>
      </c>
      <c r="AH148" s="112" t="str">
        <f t="shared" si="66"/>
        <v/>
      </c>
      <c r="AI148" t="str">
        <f t="shared" si="71"/>
        <v/>
      </c>
      <c r="AJ148" t="str">
        <f t="shared" si="73"/>
        <v/>
      </c>
    </row>
    <row r="149" spans="1:36" ht="15" customHeight="1" x14ac:dyDescent="0.25">
      <c r="A149" s="114"/>
      <c r="B149" s="116"/>
      <c r="C149" s="116"/>
      <c r="D149" s="42" t="str">
        <f t="shared" si="50"/>
        <v/>
      </c>
      <c r="E149" s="43"/>
      <c r="F149" s="118"/>
      <c r="G149" s="44" t="str">
        <f t="shared" si="51"/>
        <v/>
      </c>
      <c r="H149" s="118"/>
      <c r="I149" s="34" t="str">
        <f t="shared" si="52"/>
        <v/>
      </c>
      <c r="J149" s="118"/>
      <c r="K149" s="34" t="str">
        <f t="shared" si="53"/>
        <v/>
      </c>
      <c r="L149" s="118"/>
      <c r="M149" s="121"/>
      <c r="N149" s="122" t="str">
        <f t="shared" si="54"/>
        <v/>
      </c>
      <c r="O149" s="35" t="str">
        <f t="shared" si="55"/>
        <v/>
      </c>
      <c r="P149" s="124"/>
      <c r="Q149" s="36" t="str">
        <f t="shared" si="67"/>
        <v/>
      </c>
      <c r="R149" s="46" t="str">
        <f t="shared" si="56"/>
        <v/>
      </c>
      <c r="S149" s="38" t="str">
        <f t="shared" si="57"/>
        <v/>
      </c>
      <c r="T149" s="39" t="str">
        <f t="shared" si="58"/>
        <v/>
      </c>
      <c r="U149" s="40" t="str">
        <f t="shared" si="59"/>
        <v/>
      </c>
      <c r="V149" s="39" t="str">
        <f t="shared" si="60"/>
        <v/>
      </c>
      <c r="W149" s="34" t="str">
        <f t="shared" si="61"/>
        <v/>
      </c>
      <c r="X149" s="41" t="str">
        <f t="shared" si="68"/>
        <v/>
      </c>
      <c r="Y149" s="98" t="str">
        <f t="shared" si="62"/>
        <v/>
      </c>
      <c r="Z149" s="16" t="str">
        <f t="shared" si="69"/>
        <v/>
      </c>
      <c r="AB149" s="139"/>
      <c r="AC149" s="146" t="str">
        <f t="shared" si="72"/>
        <v/>
      </c>
      <c r="AD149" s="148" t="str">
        <f t="shared" si="70"/>
        <v/>
      </c>
      <c r="AE149" s="147" t="str">
        <f t="shared" si="63"/>
        <v/>
      </c>
      <c r="AF149" s="111" t="str">
        <f t="shared" si="64"/>
        <v/>
      </c>
      <c r="AG149" s="111" t="str">
        <f t="shared" si="65"/>
        <v/>
      </c>
      <c r="AH149" s="112" t="str">
        <f t="shared" si="66"/>
        <v/>
      </c>
      <c r="AI149" t="str">
        <f t="shared" si="71"/>
        <v/>
      </c>
      <c r="AJ149" t="str">
        <f t="shared" si="73"/>
        <v/>
      </c>
    </row>
    <row r="150" spans="1:36" ht="15" customHeight="1" x14ac:dyDescent="0.25">
      <c r="A150" s="114"/>
      <c r="B150" s="116"/>
      <c r="C150" s="116"/>
      <c r="D150" s="42" t="str">
        <f t="shared" si="50"/>
        <v/>
      </c>
      <c r="E150" s="43"/>
      <c r="F150" s="118"/>
      <c r="G150" s="44" t="str">
        <f t="shared" si="51"/>
        <v/>
      </c>
      <c r="H150" s="118"/>
      <c r="I150" s="34" t="str">
        <f t="shared" si="52"/>
        <v/>
      </c>
      <c r="J150" s="118"/>
      <c r="K150" s="34" t="str">
        <f t="shared" si="53"/>
        <v/>
      </c>
      <c r="L150" s="118"/>
      <c r="M150" s="121"/>
      <c r="N150" s="122" t="str">
        <f t="shared" si="54"/>
        <v/>
      </c>
      <c r="O150" s="35" t="str">
        <f t="shared" si="55"/>
        <v/>
      </c>
      <c r="P150" s="124"/>
      <c r="Q150" s="36" t="str">
        <f t="shared" si="67"/>
        <v/>
      </c>
      <c r="R150" s="46" t="str">
        <f t="shared" si="56"/>
        <v/>
      </c>
      <c r="S150" s="38" t="str">
        <f t="shared" si="57"/>
        <v/>
      </c>
      <c r="T150" s="39" t="str">
        <f t="shared" si="58"/>
        <v/>
      </c>
      <c r="U150" s="40" t="str">
        <f t="shared" si="59"/>
        <v/>
      </c>
      <c r="V150" s="39" t="str">
        <f t="shared" si="60"/>
        <v/>
      </c>
      <c r="W150" s="34" t="str">
        <f t="shared" si="61"/>
        <v/>
      </c>
      <c r="X150" s="41" t="str">
        <f t="shared" si="68"/>
        <v/>
      </c>
      <c r="Y150" s="98" t="str">
        <f t="shared" si="62"/>
        <v/>
      </c>
      <c r="Z150" s="16" t="str">
        <f t="shared" si="69"/>
        <v/>
      </c>
      <c r="AB150" s="139"/>
      <c r="AC150" s="146" t="str">
        <f t="shared" si="72"/>
        <v/>
      </c>
      <c r="AD150" s="148" t="str">
        <f t="shared" si="70"/>
        <v/>
      </c>
      <c r="AE150" s="147" t="str">
        <f t="shared" si="63"/>
        <v/>
      </c>
      <c r="AF150" s="111" t="str">
        <f t="shared" si="64"/>
        <v/>
      </c>
      <c r="AG150" s="111" t="str">
        <f t="shared" si="65"/>
        <v/>
      </c>
      <c r="AH150" s="112" t="str">
        <f t="shared" si="66"/>
        <v/>
      </c>
      <c r="AI150" t="str">
        <f t="shared" si="71"/>
        <v/>
      </c>
      <c r="AJ150" t="str">
        <f t="shared" si="73"/>
        <v/>
      </c>
    </row>
    <row r="151" spans="1:36" ht="15" customHeight="1" x14ac:dyDescent="0.25">
      <c r="A151" s="114"/>
      <c r="B151" s="116"/>
      <c r="C151" s="116"/>
      <c r="D151" s="42" t="str">
        <f t="shared" si="50"/>
        <v/>
      </c>
      <c r="E151" s="43"/>
      <c r="F151" s="118"/>
      <c r="G151" s="44" t="str">
        <f t="shared" si="51"/>
        <v/>
      </c>
      <c r="H151" s="118"/>
      <c r="I151" s="34" t="str">
        <f t="shared" si="52"/>
        <v/>
      </c>
      <c r="J151" s="118"/>
      <c r="K151" s="34" t="str">
        <f t="shared" si="53"/>
        <v/>
      </c>
      <c r="L151" s="118"/>
      <c r="M151" s="121"/>
      <c r="N151" s="122" t="str">
        <f t="shared" si="54"/>
        <v/>
      </c>
      <c r="O151" s="35" t="str">
        <f t="shared" si="55"/>
        <v/>
      </c>
      <c r="P151" s="124"/>
      <c r="Q151" s="36" t="str">
        <f t="shared" si="67"/>
        <v/>
      </c>
      <c r="R151" s="46" t="str">
        <f t="shared" si="56"/>
        <v/>
      </c>
      <c r="S151" s="38" t="str">
        <f t="shared" si="57"/>
        <v/>
      </c>
      <c r="T151" s="39" t="str">
        <f t="shared" si="58"/>
        <v/>
      </c>
      <c r="U151" s="40" t="str">
        <f t="shared" si="59"/>
        <v/>
      </c>
      <c r="V151" s="39" t="str">
        <f t="shared" si="60"/>
        <v/>
      </c>
      <c r="W151" s="34" t="str">
        <f t="shared" si="61"/>
        <v/>
      </c>
      <c r="X151" s="41" t="str">
        <f t="shared" si="68"/>
        <v/>
      </c>
      <c r="Y151" s="98" t="str">
        <f t="shared" si="62"/>
        <v/>
      </c>
      <c r="Z151" s="16" t="str">
        <f t="shared" si="69"/>
        <v/>
      </c>
      <c r="AB151" s="139"/>
      <c r="AC151" s="146" t="str">
        <f t="shared" si="72"/>
        <v/>
      </c>
      <c r="AD151" s="148" t="str">
        <f t="shared" si="70"/>
        <v/>
      </c>
      <c r="AE151" s="147" t="str">
        <f t="shared" si="63"/>
        <v/>
      </c>
      <c r="AF151" s="111" t="str">
        <f t="shared" si="64"/>
        <v/>
      </c>
      <c r="AG151" s="111" t="str">
        <f t="shared" si="65"/>
        <v/>
      </c>
      <c r="AH151" s="112" t="str">
        <f t="shared" si="66"/>
        <v/>
      </c>
      <c r="AI151" t="str">
        <f t="shared" si="71"/>
        <v/>
      </c>
      <c r="AJ151" t="str">
        <f t="shared" si="73"/>
        <v/>
      </c>
    </row>
    <row r="152" spans="1:36" ht="15" customHeight="1" x14ac:dyDescent="0.25">
      <c r="A152" s="114"/>
      <c r="B152" s="116"/>
      <c r="C152" s="116"/>
      <c r="D152" s="42" t="str">
        <f t="shared" si="50"/>
        <v/>
      </c>
      <c r="E152" s="43"/>
      <c r="F152" s="118"/>
      <c r="G152" s="44" t="str">
        <f t="shared" si="51"/>
        <v/>
      </c>
      <c r="H152" s="118"/>
      <c r="I152" s="34" t="str">
        <f t="shared" si="52"/>
        <v/>
      </c>
      <c r="J152" s="118"/>
      <c r="K152" s="34" t="str">
        <f t="shared" si="53"/>
        <v/>
      </c>
      <c r="L152" s="118"/>
      <c r="M152" s="121"/>
      <c r="N152" s="122" t="str">
        <f t="shared" si="54"/>
        <v/>
      </c>
      <c r="O152" s="35" t="str">
        <f t="shared" si="55"/>
        <v/>
      </c>
      <c r="P152" s="124"/>
      <c r="Q152" s="36" t="str">
        <f t="shared" si="67"/>
        <v/>
      </c>
      <c r="R152" s="46" t="str">
        <f t="shared" si="56"/>
        <v/>
      </c>
      <c r="S152" s="38" t="str">
        <f t="shared" si="57"/>
        <v/>
      </c>
      <c r="T152" s="39" t="str">
        <f t="shared" si="58"/>
        <v/>
      </c>
      <c r="U152" s="40" t="str">
        <f t="shared" si="59"/>
        <v/>
      </c>
      <c r="V152" s="39" t="str">
        <f t="shared" si="60"/>
        <v/>
      </c>
      <c r="W152" s="34" t="str">
        <f t="shared" si="61"/>
        <v/>
      </c>
      <c r="X152" s="41" t="str">
        <f t="shared" si="68"/>
        <v/>
      </c>
      <c r="Y152" s="98" t="str">
        <f t="shared" si="62"/>
        <v/>
      </c>
      <c r="Z152" s="16" t="str">
        <f t="shared" si="69"/>
        <v/>
      </c>
      <c r="AB152" s="139"/>
      <c r="AC152" s="146" t="str">
        <f t="shared" si="72"/>
        <v/>
      </c>
      <c r="AD152" s="148" t="str">
        <f t="shared" si="70"/>
        <v/>
      </c>
      <c r="AE152" s="147" t="str">
        <f t="shared" si="63"/>
        <v/>
      </c>
      <c r="AF152" s="111" t="str">
        <f t="shared" si="64"/>
        <v/>
      </c>
      <c r="AG152" s="111" t="str">
        <f t="shared" si="65"/>
        <v/>
      </c>
      <c r="AH152" s="112" t="str">
        <f t="shared" si="66"/>
        <v/>
      </c>
      <c r="AI152" t="str">
        <f t="shared" si="71"/>
        <v/>
      </c>
      <c r="AJ152" t="str">
        <f t="shared" si="73"/>
        <v/>
      </c>
    </row>
    <row r="153" spans="1:36" ht="15" customHeight="1" x14ac:dyDescent="0.25">
      <c r="A153" s="114"/>
      <c r="B153" s="116"/>
      <c r="C153" s="116"/>
      <c r="D153" s="42" t="str">
        <f t="shared" si="50"/>
        <v/>
      </c>
      <c r="E153" s="43"/>
      <c r="F153" s="118"/>
      <c r="G153" s="44" t="str">
        <f t="shared" si="51"/>
        <v/>
      </c>
      <c r="H153" s="118"/>
      <c r="I153" s="34" t="str">
        <f t="shared" si="52"/>
        <v/>
      </c>
      <c r="J153" s="118"/>
      <c r="K153" s="34" t="str">
        <f t="shared" si="53"/>
        <v/>
      </c>
      <c r="L153" s="118"/>
      <c r="M153" s="121"/>
      <c r="N153" s="122" t="str">
        <f t="shared" si="54"/>
        <v/>
      </c>
      <c r="O153" s="35" t="str">
        <f t="shared" si="55"/>
        <v/>
      </c>
      <c r="P153" s="124"/>
      <c r="Q153" s="36" t="str">
        <f t="shared" si="67"/>
        <v/>
      </c>
      <c r="R153" s="46" t="str">
        <f t="shared" si="56"/>
        <v/>
      </c>
      <c r="S153" s="38" t="str">
        <f t="shared" si="57"/>
        <v/>
      </c>
      <c r="T153" s="39" t="str">
        <f t="shared" si="58"/>
        <v/>
      </c>
      <c r="U153" s="40" t="str">
        <f t="shared" si="59"/>
        <v/>
      </c>
      <c r="V153" s="39" t="str">
        <f t="shared" si="60"/>
        <v/>
      </c>
      <c r="W153" s="34" t="str">
        <f t="shared" si="61"/>
        <v/>
      </c>
      <c r="X153" s="41" t="str">
        <f t="shared" si="68"/>
        <v/>
      </c>
      <c r="Y153" s="98" t="str">
        <f t="shared" si="62"/>
        <v/>
      </c>
      <c r="Z153" s="16" t="str">
        <f t="shared" si="69"/>
        <v/>
      </c>
      <c r="AB153" s="139"/>
      <c r="AC153" s="146" t="str">
        <f t="shared" si="72"/>
        <v/>
      </c>
      <c r="AD153" s="148" t="str">
        <f t="shared" si="70"/>
        <v/>
      </c>
      <c r="AE153" s="147" t="str">
        <f t="shared" si="63"/>
        <v/>
      </c>
      <c r="AF153" s="111" t="str">
        <f t="shared" si="64"/>
        <v/>
      </c>
      <c r="AG153" s="111" t="str">
        <f t="shared" si="65"/>
        <v/>
      </c>
      <c r="AH153" s="112" t="str">
        <f t="shared" si="66"/>
        <v/>
      </c>
      <c r="AI153" t="str">
        <f t="shared" si="71"/>
        <v/>
      </c>
      <c r="AJ153" t="str">
        <f t="shared" si="73"/>
        <v/>
      </c>
    </row>
    <row r="154" spans="1:36" ht="15" customHeight="1" x14ac:dyDescent="0.25">
      <c r="A154" s="114"/>
      <c r="B154" s="116"/>
      <c r="C154" s="116"/>
      <c r="D154" s="42" t="str">
        <f t="shared" si="50"/>
        <v/>
      </c>
      <c r="E154" s="43"/>
      <c r="F154" s="118"/>
      <c r="G154" s="44" t="str">
        <f t="shared" si="51"/>
        <v/>
      </c>
      <c r="H154" s="118"/>
      <c r="I154" s="34" t="str">
        <f t="shared" si="52"/>
        <v/>
      </c>
      <c r="J154" s="118"/>
      <c r="K154" s="34" t="str">
        <f t="shared" si="53"/>
        <v/>
      </c>
      <c r="L154" s="118"/>
      <c r="M154" s="121"/>
      <c r="N154" s="122" t="str">
        <f t="shared" si="54"/>
        <v/>
      </c>
      <c r="O154" s="35" t="str">
        <f t="shared" si="55"/>
        <v/>
      </c>
      <c r="P154" s="124"/>
      <c r="Q154" s="36" t="str">
        <f t="shared" si="67"/>
        <v/>
      </c>
      <c r="R154" s="46" t="str">
        <f t="shared" si="56"/>
        <v/>
      </c>
      <c r="S154" s="38" t="str">
        <f t="shared" si="57"/>
        <v/>
      </c>
      <c r="T154" s="39" t="str">
        <f t="shared" si="58"/>
        <v/>
      </c>
      <c r="U154" s="40" t="str">
        <f t="shared" si="59"/>
        <v/>
      </c>
      <c r="V154" s="39" t="str">
        <f t="shared" si="60"/>
        <v/>
      </c>
      <c r="W154" s="34" t="str">
        <f t="shared" si="61"/>
        <v/>
      </c>
      <c r="X154" s="41" t="str">
        <f t="shared" si="68"/>
        <v/>
      </c>
      <c r="Y154" s="98" t="str">
        <f t="shared" si="62"/>
        <v/>
      </c>
      <c r="Z154" s="16" t="str">
        <f t="shared" si="69"/>
        <v/>
      </c>
      <c r="AB154" s="139"/>
      <c r="AC154" s="146" t="str">
        <f t="shared" si="72"/>
        <v/>
      </c>
      <c r="AD154" s="148" t="str">
        <f t="shared" si="70"/>
        <v/>
      </c>
      <c r="AE154" s="147" t="str">
        <f t="shared" si="63"/>
        <v/>
      </c>
      <c r="AF154" s="111" t="str">
        <f t="shared" si="64"/>
        <v/>
      </c>
      <c r="AG154" s="111" t="str">
        <f t="shared" si="65"/>
        <v/>
      </c>
      <c r="AH154" s="112" t="str">
        <f t="shared" si="66"/>
        <v/>
      </c>
      <c r="AI154" t="str">
        <f t="shared" si="71"/>
        <v/>
      </c>
      <c r="AJ154" t="str">
        <f t="shared" si="73"/>
        <v/>
      </c>
    </row>
    <row r="155" spans="1:36" ht="15" customHeight="1" x14ac:dyDescent="0.25">
      <c r="A155" s="114"/>
      <c r="B155" s="116"/>
      <c r="C155" s="116"/>
      <c r="D155" s="42" t="str">
        <f t="shared" si="50"/>
        <v/>
      </c>
      <c r="E155" s="43"/>
      <c r="F155" s="118"/>
      <c r="G155" s="44" t="str">
        <f t="shared" si="51"/>
        <v/>
      </c>
      <c r="H155" s="118"/>
      <c r="I155" s="34" t="str">
        <f t="shared" si="52"/>
        <v/>
      </c>
      <c r="J155" s="118"/>
      <c r="K155" s="34" t="str">
        <f t="shared" si="53"/>
        <v/>
      </c>
      <c r="L155" s="118"/>
      <c r="M155" s="121"/>
      <c r="N155" s="122" t="str">
        <f t="shared" si="54"/>
        <v/>
      </c>
      <c r="O155" s="35" t="str">
        <f t="shared" si="55"/>
        <v/>
      </c>
      <c r="P155" s="124"/>
      <c r="Q155" s="36" t="str">
        <f t="shared" si="67"/>
        <v/>
      </c>
      <c r="R155" s="46" t="str">
        <f t="shared" si="56"/>
        <v/>
      </c>
      <c r="S155" s="38" t="str">
        <f t="shared" si="57"/>
        <v/>
      </c>
      <c r="T155" s="39" t="str">
        <f t="shared" si="58"/>
        <v/>
      </c>
      <c r="U155" s="40" t="str">
        <f t="shared" si="59"/>
        <v/>
      </c>
      <c r="V155" s="39" t="str">
        <f t="shared" si="60"/>
        <v/>
      </c>
      <c r="W155" s="34" t="str">
        <f t="shared" si="61"/>
        <v/>
      </c>
      <c r="X155" s="41" t="str">
        <f t="shared" si="68"/>
        <v/>
      </c>
      <c r="Y155" s="98" t="str">
        <f t="shared" si="62"/>
        <v/>
      </c>
      <c r="Z155" s="16" t="str">
        <f t="shared" si="69"/>
        <v/>
      </c>
      <c r="AB155" s="139"/>
      <c r="AC155" s="146" t="str">
        <f t="shared" si="72"/>
        <v/>
      </c>
      <c r="AD155" s="148" t="str">
        <f t="shared" si="70"/>
        <v/>
      </c>
      <c r="AE155" s="147" t="str">
        <f t="shared" si="63"/>
        <v/>
      </c>
      <c r="AF155" s="111" t="str">
        <f t="shared" si="64"/>
        <v/>
      </c>
      <c r="AG155" s="111" t="str">
        <f t="shared" si="65"/>
        <v/>
      </c>
      <c r="AH155" s="112" t="str">
        <f t="shared" si="66"/>
        <v/>
      </c>
      <c r="AI155" t="str">
        <f t="shared" si="71"/>
        <v/>
      </c>
      <c r="AJ155" t="str">
        <f t="shared" si="73"/>
        <v/>
      </c>
    </row>
    <row r="156" spans="1:36" ht="15" customHeight="1" x14ac:dyDescent="0.25">
      <c r="A156" s="114"/>
      <c r="B156" s="116"/>
      <c r="C156" s="116"/>
      <c r="D156" s="42" t="str">
        <f t="shared" si="50"/>
        <v/>
      </c>
      <c r="E156" s="43"/>
      <c r="F156" s="118"/>
      <c r="G156" s="44" t="str">
        <f t="shared" si="51"/>
        <v/>
      </c>
      <c r="H156" s="118"/>
      <c r="I156" s="34" t="str">
        <f t="shared" si="52"/>
        <v/>
      </c>
      <c r="J156" s="118"/>
      <c r="K156" s="34" t="str">
        <f t="shared" si="53"/>
        <v/>
      </c>
      <c r="L156" s="118"/>
      <c r="M156" s="121"/>
      <c r="N156" s="122" t="str">
        <f t="shared" si="54"/>
        <v/>
      </c>
      <c r="O156" s="35" t="str">
        <f t="shared" si="55"/>
        <v/>
      </c>
      <c r="P156" s="124"/>
      <c r="Q156" s="36" t="str">
        <f t="shared" si="67"/>
        <v/>
      </c>
      <c r="R156" s="46" t="str">
        <f t="shared" si="56"/>
        <v/>
      </c>
      <c r="S156" s="38" t="str">
        <f t="shared" si="57"/>
        <v/>
      </c>
      <c r="T156" s="39" t="str">
        <f t="shared" si="58"/>
        <v/>
      </c>
      <c r="U156" s="40" t="str">
        <f t="shared" si="59"/>
        <v/>
      </c>
      <c r="V156" s="39" t="str">
        <f t="shared" si="60"/>
        <v/>
      </c>
      <c r="W156" s="34" t="str">
        <f t="shared" si="61"/>
        <v/>
      </c>
      <c r="X156" s="41" t="str">
        <f t="shared" si="68"/>
        <v/>
      </c>
      <c r="Y156" s="98" t="str">
        <f t="shared" si="62"/>
        <v/>
      </c>
      <c r="Z156" s="16" t="str">
        <f t="shared" si="69"/>
        <v/>
      </c>
      <c r="AB156" s="139"/>
      <c r="AC156" s="146" t="str">
        <f t="shared" si="72"/>
        <v/>
      </c>
      <c r="AD156" s="148" t="str">
        <f t="shared" si="70"/>
        <v/>
      </c>
      <c r="AE156" s="147" t="str">
        <f t="shared" si="63"/>
        <v/>
      </c>
      <c r="AF156" s="111" t="str">
        <f t="shared" si="64"/>
        <v/>
      </c>
      <c r="AG156" s="111" t="str">
        <f t="shared" si="65"/>
        <v/>
      </c>
      <c r="AH156" s="112" t="str">
        <f t="shared" si="66"/>
        <v/>
      </c>
      <c r="AI156" t="str">
        <f t="shared" si="71"/>
        <v/>
      </c>
      <c r="AJ156" t="str">
        <f t="shared" si="73"/>
        <v/>
      </c>
    </row>
    <row r="157" spans="1:36" ht="15" customHeight="1" x14ac:dyDescent="0.25">
      <c r="A157" s="114"/>
      <c r="B157" s="116"/>
      <c r="C157" s="116"/>
      <c r="D157" s="42" t="str">
        <f t="shared" si="50"/>
        <v/>
      </c>
      <c r="E157" s="43"/>
      <c r="F157" s="118"/>
      <c r="G157" s="44" t="str">
        <f t="shared" si="51"/>
        <v/>
      </c>
      <c r="H157" s="118"/>
      <c r="I157" s="34" t="str">
        <f t="shared" si="52"/>
        <v/>
      </c>
      <c r="J157" s="118"/>
      <c r="K157" s="34" t="str">
        <f t="shared" si="53"/>
        <v/>
      </c>
      <c r="L157" s="118"/>
      <c r="M157" s="121"/>
      <c r="N157" s="122" t="str">
        <f t="shared" si="54"/>
        <v/>
      </c>
      <c r="O157" s="35" t="str">
        <f t="shared" si="55"/>
        <v/>
      </c>
      <c r="P157" s="124"/>
      <c r="Q157" s="36" t="str">
        <f t="shared" si="67"/>
        <v/>
      </c>
      <c r="R157" s="46" t="str">
        <f t="shared" si="56"/>
        <v/>
      </c>
      <c r="S157" s="38" t="str">
        <f t="shared" si="57"/>
        <v/>
      </c>
      <c r="T157" s="39" t="str">
        <f t="shared" si="58"/>
        <v/>
      </c>
      <c r="U157" s="40" t="str">
        <f t="shared" si="59"/>
        <v/>
      </c>
      <c r="V157" s="39" t="str">
        <f t="shared" si="60"/>
        <v/>
      </c>
      <c r="W157" s="34" t="str">
        <f t="shared" si="61"/>
        <v/>
      </c>
      <c r="X157" s="41" t="str">
        <f t="shared" si="68"/>
        <v/>
      </c>
      <c r="Y157" s="98" t="str">
        <f t="shared" si="62"/>
        <v/>
      </c>
      <c r="Z157" s="16" t="str">
        <f t="shared" si="69"/>
        <v/>
      </c>
      <c r="AB157" s="139"/>
      <c r="AC157" s="146" t="str">
        <f t="shared" si="72"/>
        <v/>
      </c>
      <c r="AD157" s="148" t="str">
        <f t="shared" si="70"/>
        <v/>
      </c>
      <c r="AE157" s="147" t="str">
        <f t="shared" si="63"/>
        <v/>
      </c>
      <c r="AF157" s="111" t="str">
        <f t="shared" si="64"/>
        <v/>
      </c>
      <c r="AG157" s="111" t="str">
        <f t="shared" si="65"/>
        <v/>
      </c>
      <c r="AH157" s="112" t="str">
        <f t="shared" si="66"/>
        <v/>
      </c>
      <c r="AI157" t="str">
        <f t="shared" si="71"/>
        <v/>
      </c>
      <c r="AJ157" t="str">
        <f t="shared" si="73"/>
        <v/>
      </c>
    </row>
    <row r="158" spans="1:36" ht="15" customHeight="1" x14ac:dyDescent="0.25">
      <c r="A158" s="114"/>
      <c r="B158" s="116"/>
      <c r="C158" s="116"/>
      <c r="D158" s="42" t="str">
        <f t="shared" si="50"/>
        <v/>
      </c>
      <c r="E158" s="43"/>
      <c r="F158" s="118"/>
      <c r="G158" s="44" t="str">
        <f t="shared" si="51"/>
        <v/>
      </c>
      <c r="H158" s="118"/>
      <c r="I158" s="34" t="str">
        <f t="shared" si="52"/>
        <v/>
      </c>
      <c r="J158" s="118"/>
      <c r="K158" s="34" t="str">
        <f t="shared" si="53"/>
        <v/>
      </c>
      <c r="L158" s="118"/>
      <c r="M158" s="121"/>
      <c r="N158" s="122" t="str">
        <f t="shared" si="54"/>
        <v/>
      </c>
      <c r="O158" s="35" t="str">
        <f t="shared" si="55"/>
        <v/>
      </c>
      <c r="P158" s="124"/>
      <c r="Q158" s="36" t="str">
        <f t="shared" si="67"/>
        <v/>
      </c>
      <c r="R158" s="46" t="str">
        <f t="shared" si="56"/>
        <v/>
      </c>
      <c r="S158" s="38" t="str">
        <f t="shared" si="57"/>
        <v/>
      </c>
      <c r="T158" s="39" t="str">
        <f t="shared" si="58"/>
        <v/>
      </c>
      <c r="U158" s="40" t="str">
        <f t="shared" si="59"/>
        <v/>
      </c>
      <c r="V158" s="39" t="str">
        <f t="shared" si="60"/>
        <v/>
      </c>
      <c r="W158" s="34" t="str">
        <f t="shared" si="61"/>
        <v/>
      </c>
      <c r="X158" s="41" t="str">
        <f t="shared" si="68"/>
        <v/>
      </c>
      <c r="Y158" s="98" t="str">
        <f t="shared" si="62"/>
        <v/>
      </c>
      <c r="Z158" s="16" t="str">
        <f t="shared" si="69"/>
        <v/>
      </c>
      <c r="AB158" s="139"/>
      <c r="AC158" s="146" t="str">
        <f t="shared" si="72"/>
        <v/>
      </c>
      <c r="AD158" s="148" t="str">
        <f t="shared" si="70"/>
        <v/>
      </c>
      <c r="AE158" s="147" t="str">
        <f t="shared" si="63"/>
        <v/>
      </c>
      <c r="AF158" s="111" t="str">
        <f t="shared" si="64"/>
        <v/>
      </c>
      <c r="AG158" s="111" t="str">
        <f t="shared" si="65"/>
        <v/>
      </c>
      <c r="AH158" s="112" t="str">
        <f t="shared" si="66"/>
        <v/>
      </c>
      <c r="AI158" t="str">
        <f t="shared" si="71"/>
        <v/>
      </c>
      <c r="AJ158" t="str">
        <f t="shared" si="73"/>
        <v/>
      </c>
    </row>
    <row r="159" spans="1:36" ht="15" customHeight="1" x14ac:dyDescent="0.25">
      <c r="A159" s="114"/>
      <c r="B159" s="116"/>
      <c r="C159" s="116"/>
      <c r="D159" s="42" t="str">
        <f t="shared" si="50"/>
        <v/>
      </c>
      <c r="E159" s="43"/>
      <c r="F159" s="118"/>
      <c r="G159" s="44" t="str">
        <f t="shared" si="51"/>
        <v/>
      </c>
      <c r="H159" s="118"/>
      <c r="I159" s="34" t="str">
        <f t="shared" si="52"/>
        <v/>
      </c>
      <c r="J159" s="118"/>
      <c r="K159" s="34" t="str">
        <f t="shared" si="53"/>
        <v/>
      </c>
      <c r="L159" s="118"/>
      <c r="M159" s="121"/>
      <c r="N159" s="122" t="str">
        <f t="shared" si="54"/>
        <v/>
      </c>
      <c r="O159" s="35" t="str">
        <f t="shared" si="55"/>
        <v/>
      </c>
      <c r="P159" s="124"/>
      <c r="Q159" s="36" t="str">
        <f t="shared" si="67"/>
        <v/>
      </c>
      <c r="R159" s="46" t="str">
        <f t="shared" si="56"/>
        <v/>
      </c>
      <c r="S159" s="38" t="str">
        <f t="shared" si="57"/>
        <v/>
      </c>
      <c r="T159" s="39" t="str">
        <f t="shared" si="58"/>
        <v/>
      </c>
      <c r="U159" s="40" t="str">
        <f t="shared" si="59"/>
        <v/>
      </c>
      <c r="V159" s="39" t="str">
        <f t="shared" si="60"/>
        <v/>
      </c>
      <c r="W159" s="34" t="str">
        <f t="shared" si="61"/>
        <v/>
      </c>
      <c r="X159" s="41" t="str">
        <f t="shared" si="68"/>
        <v/>
      </c>
      <c r="Y159" s="98" t="str">
        <f t="shared" si="62"/>
        <v/>
      </c>
      <c r="Z159" s="16" t="str">
        <f t="shared" si="69"/>
        <v/>
      </c>
      <c r="AB159" s="139"/>
      <c r="AC159" s="146" t="str">
        <f t="shared" si="72"/>
        <v/>
      </c>
      <c r="AD159" s="148" t="str">
        <f t="shared" si="70"/>
        <v/>
      </c>
      <c r="AE159" s="147" t="str">
        <f t="shared" si="63"/>
        <v/>
      </c>
      <c r="AF159" s="111" t="str">
        <f t="shared" si="64"/>
        <v/>
      </c>
      <c r="AG159" s="111" t="str">
        <f t="shared" si="65"/>
        <v/>
      </c>
      <c r="AH159" s="112" t="str">
        <f t="shared" si="66"/>
        <v/>
      </c>
      <c r="AI159" t="str">
        <f t="shared" si="71"/>
        <v/>
      </c>
      <c r="AJ159" t="str">
        <f t="shared" si="73"/>
        <v/>
      </c>
    </row>
    <row r="160" spans="1:36" ht="15" customHeight="1" x14ac:dyDescent="0.25">
      <c r="A160" s="114"/>
      <c r="B160" s="116"/>
      <c r="C160" s="116"/>
      <c r="D160" s="42" t="str">
        <f t="shared" si="50"/>
        <v/>
      </c>
      <c r="E160" s="43"/>
      <c r="F160" s="118"/>
      <c r="G160" s="44" t="str">
        <f t="shared" si="51"/>
        <v/>
      </c>
      <c r="H160" s="118"/>
      <c r="I160" s="34" t="str">
        <f t="shared" si="52"/>
        <v/>
      </c>
      <c r="J160" s="118"/>
      <c r="K160" s="34" t="str">
        <f t="shared" si="53"/>
        <v/>
      </c>
      <c r="L160" s="118"/>
      <c r="M160" s="121"/>
      <c r="N160" s="122" t="str">
        <f t="shared" si="54"/>
        <v/>
      </c>
      <c r="O160" s="35" t="str">
        <f t="shared" si="55"/>
        <v/>
      </c>
      <c r="P160" s="124"/>
      <c r="Q160" s="36" t="str">
        <f t="shared" si="67"/>
        <v/>
      </c>
      <c r="R160" s="46" t="str">
        <f t="shared" si="56"/>
        <v/>
      </c>
      <c r="S160" s="38" t="str">
        <f t="shared" si="57"/>
        <v/>
      </c>
      <c r="T160" s="39" t="str">
        <f t="shared" si="58"/>
        <v/>
      </c>
      <c r="U160" s="40" t="str">
        <f t="shared" si="59"/>
        <v/>
      </c>
      <c r="V160" s="39" t="str">
        <f t="shared" si="60"/>
        <v/>
      </c>
      <c r="W160" s="34" t="str">
        <f t="shared" si="61"/>
        <v/>
      </c>
      <c r="X160" s="41" t="str">
        <f t="shared" si="68"/>
        <v/>
      </c>
      <c r="Y160" s="98" t="str">
        <f t="shared" si="62"/>
        <v/>
      </c>
      <c r="Z160" s="16" t="str">
        <f t="shared" si="69"/>
        <v/>
      </c>
      <c r="AB160" s="139"/>
      <c r="AC160" s="146" t="str">
        <f t="shared" si="72"/>
        <v/>
      </c>
      <c r="AD160" s="148" t="str">
        <f t="shared" si="70"/>
        <v/>
      </c>
      <c r="AE160" s="147" t="str">
        <f t="shared" si="63"/>
        <v/>
      </c>
      <c r="AF160" s="111" t="str">
        <f t="shared" si="64"/>
        <v/>
      </c>
      <c r="AG160" s="111" t="str">
        <f t="shared" si="65"/>
        <v/>
      </c>
      <c r="AH160" s="112" t="str">
        <f t="shared" si="66"/>
        <v/>
      </c>
      <c r="AI160" t="str">
        <f t="shared" si="71"/>
        <v/>
      </c>
      <c r="AJ160" t="str">
        <f t="shared" si="73"/>
        <v/>
      </c>
    </row>
    <row r="161" spans="1:36" ht="15" customHeight="1" x14ac:dyDescent="0.25">
      <c r="A161" s="114"/>
      <c r="B161" s="116"/>
      <c r="C161" s="116"/>
      <c r="D161" s="42" t="str">
        <f t="shared" si="50"/>
        <v/>
      </c>
      <c r="E161" s="43"/>
      <c r="F161" s="118"/>
      <c r="G161" s="44" t="str">
        <f t="shared" si="51"/>
        <v/>
      </c>
      <c r="H161" s="118"/>
      <c r="I161" s="34" t="str">
        <f t="shared" si="52"/>
        <v/>
      </c>
      <c r="J161" s="118"/>
      <c r="K161" s="34" t="str">
        <f t="shared" si="53"/>
        <v/>
      </c>
      <c r="L161" s="118"/>
      <c r="M161" s="121"/>
      <c r="N161" s="122" t="str">
        <f t="shared" si="54"/>
        <v/>
      </c>
      <c r="O161" s="35" t="str">
        <f t="shared" si="55"/>
        <v/>
      </c>
      <c r="P161" s="124"/>
      <c r="Q161" s="36" t="str">
        <f t="shared" si="67"/>
        <v/>
      </c>
      <c r="R161" s="46" t="str">
        <f t="shared" si="56"/>
        <v/>
      </c>
      <c r="S161" s="38" t="str">
        <f t="shared" si="57"/>
        <v/>
      </c>
      <c r="T161" s="39" t="str">
        <f t="shared" si="58"/>
        <v/>
      </c>
      <c r="U161" s="40" t="str">
        <f t="shared" si="59"/>
        <v/>
      </c>
      <c r="V161" s="39" t="str">
        <f t="shared" si="60"/>
        <v/>
      </c>
      <c r="W161" s="34" t="str">
        <f t="shared" si="61"/>
        <v/>
      </c>
      <c r="X161" s="41" t="str">
        <f t="shared" si="68"/>
        <v/>
      </c>
      <c r="Y161" s="98" t="str">
        <f t="shared" si="62"/>
        <v/>
      </c>
      <c r="Z161" s="16" t="str">
        <f t="shared" si="69"/>
        <v/>
      </c>
      <c r="AB161" s="139"/>
      <c r="AC161" s="146" t="str">
        <f t="shared" si="72"/>
        <v/>
      </c>
      <c r="AD161" s="148" t="str">
        <f t="shared" si="70"/>
        <v/>
      </c>
      <c r="AE161" s="147" t="str">
        <f t="shared" si="63"/>
        <v/>
      </c>
      <c r="AF161" s="111" t="str">
        <f t="shared" si="64"/>
        <v/>
      </c>
      <c r="AG161" s="111" t="str">
        <f t="shared" si="65"/>
        <v/>
      </c>
      <c r="AH161" s="112" t="str">
        <f t="shared" si="66"/>
        <v/>
      </c>
      <c r="AI161" t="str">
        <f t="shared" si="71"/>
        <v/>
      </c>
      <c r="AJ161" t="str">
        <f t="shared" si="73"/>
        <v/>
      </c>
    </row>
    <row r="162" spans="1:36" ht="15" customHeight="1" x14ac:dyDescent="0.25">
      <c r="A162" s="114"/>
      <c r="B162" s="116"/>
      <c r="C162" s="116"/>
      <c r="D162" s="42" t="str">
        <f t="shared" si="50"/>
        <v/>
      </c>
      <c r="E162" s="43"/>
      <c r="F162" s="118"/>
      <c r="G162" s="44" t="str">
        <f t="shared" si="51"/>
        <v/>
      </c>
      <c r="H162" s="118"/>
      <c r="I162" s="34" t="str">
        <f t="shared" si="52"/>
        <v/>
      </c>
      <c r="J162" s="118"/>
      <c r="K162" s="34" t="str">
        <f t="shared" si="53"/>
        <v/>
      </c>
      <c r="L162" s="118"/>
      <c r="M162" s="121"/>
      <c r="N162" s="122" t="str">
        <f t="shared" si="54"/>
        <v/>
      </c>
      <c r="O162" s="35" t="str">
        <f t="shared" si="55"/>
        <v/>
      </c>
      <c r="P162" s="124"/>
      <c r="Q162" s="36" t="str">
        <f t="shared" si="67"/>
        <v/>
      </c>
      <c r="R162" s="46" t="str">
        <f t="shared" si="56"/>
        <v/>
      </c>
      <c r="S162" s="38" t="str">
        <f t="shared" si="57"/>
        <v/>
      </c>
      <c r="T162" s="39" t="str">
        <f t="shared" si="58"/>
        <v/>
      </c>
      <c r="U162" s="40" t="str">
        <f t="shared" si="59"/>
        <v/>
      </c>
      <c r="V162" s="39" t="str">
        <f t="shared" si="60"/>
        <v/>
      </c>
      <c r="W162" s="34" t="str">
        <f t="shared" si="61"/>
        <v/>
      </c>
      <c r="X162" s="41" t="str">
        <f t="shared" si="68"/>
        <v/>
      </c>
      <c r="Y162" s="98" t="str">
        <f t="shared" si="62"/>
        <v/>
      </c>
      <c r="Z162" s="16" t="str">
        <f t="shared" si="69"/>
        <v/>
      </c>
      <c r="AB162" s="139"/>
      <c r="AC162" s="146" t="str">
        <f t="shared" si="72"/>
        <v/>
      </c>
      <c r="AD162" s="148" t="str">
        <f t="shared" si="70"/>
        <v/>
      </c>
      <c r="AE162" s="147" t="str">
        <f t="shared" si="63"/>
        <v/>
      </c>
      <c r="AF162" s="111" t="str">
        <f t="shared" si="64"/>
        <v/>
      </c>
      <c r="AG162" s="111" t="str">
        <f t="shared" si="65"/>
        <v/>
      </c>
      <c r="AH162" s="112" t="str">
        <f t="shared" si="66"/>
        <v/>
      </c>
      <c r="AI162" t="str">
        <f t="shared" si="71"/>
        <v/>
      </c>
      <c r="AJ162" t="str">
        <f t="shared" si="73"/>
        <v/>
      </c>
    </row>
    <row r="163" spans="1:36" ht="15" customHeight="1" x14ac:dyDescent="0.25">
      <c r="A163" s="114"/>
      <c r="B163" s="116"/>
      <c r="C163" s="116"/>
      <c r="D163" s="42" t="str">
        <f t="shared" si="50"/>
        <v/>
      </c>
      <c r="E163" s="43"/>
      <c r="F163" s="118"/>
      <c r="G163" s="44" t="str">
        <f t="shared" si="51"/>
        <v/>
      </c>
      <c r="H163" s="118"/>
      <c r="I163" s="34" t="str">
        <f t="shared" si="52"/>
        <v/>
      </c>
      <c r="J163" s="118"/>
      <c r="K163" s="34" t="str">
        <f t="shared" si="53"/>
        <v/>
      </c>
      <c r="L163" s="118"/>
      <c r="M163" s="121"/>
      <c r="N163" s="122" t="str">
        <f t="shared" si="54"/>
        <v/>
      </c>
      <c r="O163" s="35" t="str">
        <f t="shared" si="55"/>
        <v/>
      </c>
      <c r="P163" s="124"/>
      <c r="Q163" s="36" t="str">
        <f t="shared" si="67"/>
        <v/>
      </c>
      <c r="R163" s="46" t="str">
        <f t="shared" si="56"/>
        <v/>
      </c>
      <c r="S163" s="38" t="str">
        <f t="shared" si="57"/>
        <v/>
      </c>
      <c r="T163" s="39" t="str">
        <f t="shared" si="58"/>
        <v/>
      </c>
      <c r="U163" s="40" t="str">
        <f t="shared" si="59"/>
        <v/>
      </c>
      <c r="V163" s="39" t="str">
        <f t="shared" si="60"/>
        <v/>
      </c>
      <c r="W163" s="34" t="str">
        <f t="shared" si="61"/>
        <v/>
      </c>
      <c r="X163" s="41" t="str">
        <f t="shared" si="68"/>
        <v/>
      </c>
      <c r="Y163" s="98" t="str">
        <f t="shared" si="62"/>
        <v/>
      </c>
      <c r="Z163" s="16" t="str">
        <f t="shared" si="69"/>
        <v/>
      </c>
      <c r="AB163" s="139"/>
      <c r="AC163" s="146" t="str">
        <f t="shared" si="72"/>
        <v/>
      </c>
      <c r="AD163" s="148" t="str">
        <f t="shared" si="70"/>
        <v/>
      </c>
      <c r="AE163" s="147" t="str">
        <f t="shared" si="63"/>
        <v/>
      </c>
      <c r="AF163" s="111" t="str">
        <f t="shared" si="64"/>
        <v/>
      </c>
      <c r="AG163" s="111" t="str">
        <f t="shared" si="65"/>
        <v/>
      </c>
      <c r="AH163" s="112" t="str">
        <f t="shared" si="66"/>
        <v/>
      </c>
      <c r="AI163" t="str">
        <f t="shared" si="71"/>
        <v/>
      </c>
      <c r="AJ163" t="str">
        <f t="shared" si="73"/>
        <v/>
      </c>
    </row>
    <row r="164" spans="1:36" ht="15" customHeight="1" x14ac:dyDescent="0.25">
      <c r="A164" s="114"/>
      <c r="B164" s="116"/>
      <c r="C164" s="116"/>
      <c r="D164" s="42" t="str">
        <f t="shared" si="50"/>
        <v/>
      </c>
      <c r="E164" s="43"/>
      <c r="F164" s="118"/>
      <c r="G164" s="44" t="str">
        <f t="shared" si="51"/>
        <v/>
      </c>
      <c r="H164" s="118"/>
      <c r="I164" s="34" t="str">
        <f t="shared" si="52"/>
        <v/>
      </c>
      <c r="J164" s="118"/>
      <c r="K164" s="34" t="str">
        <f t="shared" si="53"/>
        <v/>
      </c>
      <c r="L164" s="118"/>
      <c r="M164" s="121"/>
      <c r="N164" s="122" t="str">
        <f t="shared" si="54"/>
        <v/>
      </c>
      <c r="O164" s="35" t="str">
        <f t="shared" si="55"/>
        <v/>
      </c>
      <c r="P164" s="124"/>
      <c r="Q164" s="36" t="str">
        <f t="shared" si="67"/>
        <v/>
      </c>
      <c r="R164" s="46" t="str">
        <f t="shared" si="56"/>
        <v/>
      </c>
      <c r="S164" s="38" t="str">
        <f t="shared" si="57"/>
        <v/>
      </c>
      <c r="T164" s="39" t="str">
        <f t="shared" si="58"/>
        <v/>
      </c>
      <c r="U164" s="40" t="str">
        <f t="shared" si="59"/>
        <v/>
      </c>
      <c r="V164" s="39" t="str">
        <f t="shared" si="60"/>
        <v/>
      </c>
      <c r="W164" s="34" t="str">
        <f t="shared" si="61"/>
        <v/>
      </c>
      <c r="X164" s="41" t="str">
        <f t="shared" si="68"/>
        <v/>
      </c>
      <c r="Y164" s="98" t="str">
        <f t="shared" si="62"/>
        <v/>
      </c>
      <c r="Z164" s="16" t="str">
        <f t="shared" si="69"/>
        <v/>
      </c>
      <c r="AB164" s="139"/>
      <c r="AC164" s="146" t="str">
        <f t="shared" si="72"/>
        <v/>
      </c>
      <c r="AD164" s="148" t="str">
        <f t="shared" si="70"/>
        <v/>
      </c>
      <c r="AE164" s="147" t="str">
        <f t="shared" si="63"/>
        <v/>
      </c>
      <c r="AF164" s="111" t="str">
        <f t="shared" si="64"/>
        <v/>
      </c>
      <c r="AG164" s="111" t="str">
        <f t="shared" si="65"/>
        <v/>
      </c>
      <c r="AH164" s="112" t="str">
        <f t="shared" si="66"/>
        <v/>
      </c>
      <c r="AI164" t="str">
        <f t="shared" si="71"/>
        <v/>
      </c>
      <c r="AJ164" t="str">
        <f t="shared" si="73"/>
        <v/>
      </c>
    </row>
    <row r="165" spans="1:36" ht="15" customHeight="1" x14ac:dyDescent="0.25">
      <c r="A165" s="114"/>
      <c r="B165" s="116"/>
      <c r="C165" s="116"/>
      <c r="D165" s="42" t="str">
        <f t="shared" si="50"/>
        <v/>
      </c>
      <c r="E165" s="43"/>
      <c r="F165" s="118"/>
      <c r="G165" s="44" t="str">
        <f t="shared" si="51"/>
        <v/>
      </c>
      <c r="H165" s="118"/>
      <c r="I165" s="34" t="str">
        <f t="shared" si="52"/>
        <v/>
      </c>
      <c r="J165" s="118"/>
      <c r="K165" s="34" t="str">
        <f t="shared" si="53"/>
        <v/>
      </c>
      <c r="L165" s="118"/>
      <c r="M165" s="121"/>
      <c r="N165" s="122" t="str">
        <f t="shared" si="54"/>
        <v/>
      </c>
      <c r="O165" s="35" t="str">
        <f t="shared" si="55"/>
        <v/>
      </c>
      <c r="P165" s="124"/>
      <c r="Q165" s="36" t="str">
        <f t="shared" si="67"/>
        <v/>
      </c>
      <c r="R165" s="46" t="str">
        <f t="shared" si="56"/>
        <v/>
      </c>
      <c r="S165" s="38" t="str">
        <f t="shared" si="57"/>
        <v/>
      </c>
      <c r="T165" s="39" t="str">
        <f t="shared" si="58"/>
        <v/>
      </c>
      <c r="U165" s="40" t="str">
        <f t="shared" si="59"/>
        <v/>
      </c>
      <c r="V165" s="39" t="str">
        <f t="shared" si="60"/>
        <v/>
      </c>
      <c r="W165" s="34" t="str">
        <f t="shared" si="61"/>
        <v/>
      </c>
      <c r="X165" s="41" t="str">
        <f t="shared" si="68"/>
        <v/>
      </c>
      <c r="Y165" s="98" t="str">
        <f t="shared" si="62"/>
        <v/>
      </c>
      <c r="Z165" s="16" t="str">
        <f t="shared" si="69"/>
        <v/>
      </c>
      <c r="AB165" s="139"/>
      <c r="AC165" s="146" t="str">
        <f t="shared" si="72"/>
        <v/>
      </c>
      <c r="AD165" s="148" t="str">
        <f t="shared" si="70"/>
        <v/>
      </c>
      <c r="AE165" s="147" t="str">
        <f t="shared" si="63"/>
        <v/>
      </c>
      <c r="AF165" s="111" t="str">
        <f t="shared" si="64"/>
        <v/>
      </c>
      <c r="AG165" s="111" t="str">
        <f t="shared" si="65"/>
        <v/>
      </c>
      <c r="AH165" s="112" t="str">
        <f t="shared" si="66"/>
        <v/>
      </c>
      <c r="AI165" t="str">
        <f t="shared" si="71"/>
        <v/>
      </c>
      <c r="AJ165" t="str">
        <f t="shared" si="73"/>
        <v/>
      </c>
    </row>
    <row r="166" spans="1:36" ht="15" customHeight="1" x14ac:dyDescent="0.25">
      <c r="A166" s="114"/>
      <c r="B166" s="116"/>
      <c r="C166" s="116"/>
      <c r="D166" s="42" t="str">
        <f t="shared" si="50"/>
        <v/>
      </c>
      <c r="E166" s="43"/>
      <c r="F166" s="118"/>
      <c r="G166" s="44" t="str">
        <f t="shared" si="51"/>
        <v/>
      </c>
      <c r="H166" s="118"/>
      <c r="I166" s="34" t="str">
        <f t="shared" si="52"/>
        <v/>
      </c>
      <c r="J166" s="118"/>
      <c r="K166" s="34" t="str">
        <f t="shared" si="53"/>
        <v/>
      </c>
      <c r="L166" s="118"/>
      <c r="M166" s="121"/>
      <c r="N166" s="122" t="str">
        <f t="shared" si="54"/>
        <v/>
      </c>
      <c r="O166" s="35" t="str">
        <f t="shared" si="55"/>
        <v/>
      </c>
      <c r="P166" s="124"/>
      <c r="Q166" s="36" t="str">
        <f t="shared" si="67"/>
        <v/>
      </c>
      <c r="R166" s="46" t="str">
        <f t="shared" si="56"/>
        <v/>
      </c>
      <c r="S166" s="38" t="str">
        <f t="shared" si="57"/>
        <v/>
      </c>
      <c r="T166" s="39" t="str">
        <f t="shared" si="58"/>
        <v/>
      </c>
      <c r="U166" s="40" t="str">
        <f t="shared" si="59"/>
        <v/>
      </c>
      <c r="V166" s="39" t="str">
        <f t="shared" si="60"/>
        <v/>
      </c>
      <c r="W166" s="34" t="str">
        <f t="shared" si="61"/>
        <v/>
      </c>
      <c r="X166" s="41" t="str">
        <f t="shared" si="68"/>
        <v/>
      </c>
      <c r="Y166" s="98" t="str">
        <f t="shared" si="62"/>
        <v/>
      </c>
      <c r="Z166" s="16" t="str">
        <f t="shared" si="69"/>
        <v/>
      </c>
      <c r="AB166" s="139"/>
      <c r="AC166" s="146" t="str">
        <f t="shared" si="72"/>
        <v/>
      </c>
      <c r="AD166" s="148" t="str">
        <f t="shared" si="70"/>
        <v/>
      </c>
      <c r="AE166" s="147" t="str">
        <f t="shared" si="63"/>
        <v/>
      </c>
      <c r="AF166" s="111" t="str">
        <f t="shared" si="64"/>
        <v/>
      </c>
      <c r="AG166" s="111" t="str">
        <f t="shared" si="65"/>
        <v/>
      </c>
      <c r="AH166" s="112" t="str">
        <f t="shared" si="66"/>
        <v/>
      </c>
      <c r="AI166" t="str">
        <f t="shared" si="71"/>
        <v/>
      </c>
      <c r="AJ166" t="str">
        <f t="shared" si="73"/>
        <v/>
      </c>
    </row>
    <row r="167" spans="1:36" ht="15" customHeight="1" x14ac:dyDescent="0.25">
      <c r="A167" s="114"/>
      <c r="B167" s="116"/>
      <c r="C167" s="116"/>
      <c r="D167" s="42" t="str">
        <f t="shared" si="50"/>
        <v/>
      </c>
      <c r="E167" s="43"/>
      <c r="F167" s="118"/>
      <c r="G167" s="44" t="str">
        <f t="shared" si="51"/>
        <v/>
      </c>
      <c r="H167" s="118"/>
      <c r="I167" s="34" t="str">
        <f t="shared" si="52"/>
        <v/>
      </c>
      <c r="J167" s="118"/>
      <c r="K167" s="34" t="str">
        <f t="shared" si="53"/>
        <v/>
      </c>
      <c r="L167" s="118"/>
      <c r="M167" s="121"/>
      <c r="N167" s="122" t="str">
        <f t="shared" si="54"/>
        <v/>
      </c>
      <c r="O167" s="35" t="str">
        <f t="shared" si="55"/>
        <v/>
      </c>
      <c r="P167" s="124"/>
      <c r="Q167" s="36" t="str">
        <f t="shared" si="67"/>
        <v/>
      </c>
      <c r="R167" s="46" t="str">
        <f t="shared" si="56"/>
        <v/>
      </c>
      <c r="S167" s="38" t="str">
        <f t="shared" si="57"/>
        <v/>
      </c>
      <c r="T167" s="39" t="str">
        <f t="shared" si="58"/>
        <v/>
      </c>
      <c r="U167" s="40" t="str">
        <f t="shared" si="59"/>
        <v/>
      </c>
      <c r="V167" s="39" t="str">
        <f t="shared" si="60"/>
        <v/>
      </c>
      <c r="W167" s="34" t="str">
        <f t="shared" si="61"/>
        <v/>
      </c>
      <c r="X167" s="41" t="str">
        <f t="shared" si="68"/>
        <v/>
      </c>
      <c r="Y167" s="98" t="str">
        <f t="shared" si="62"/>
        <v/>
      </c>
      <c r="Z167" s="16" t="str">
        <f t="shared" si="69"/>
        <v/>
      </c>
      <c r="AB167" s="139"/>
      <c r="AC167" s="146" t="str">
        <f t="shared" si="72"/>
        <v/>
      </c>
      <c r="AD167" s="148" t="str">
        <f t="shared" si="70"/>
        <v/>
      </c>
      <c r="AE167" s="147" t="str">
        <f t="shared" si="63"/>
        <v/>
      </c>
      <c r="AF167" s="111" t="str">
        <f t="shared" si="64"/>
        <v/>
      </c>
      <c r="AG167" s="111" t="str">
        <f t="shared" si="65"/>
        <v/>
      </c>
      <c r="AH167" s="112" t="str">
        <f t="shared" si="66"/>
        <v/>
      </c>
      <c r="AI167" t="str">
        <f t="shared" si="71"/>
        <v/>
      </c>
      <c r="AJ167" t="str">
        <f t="shared" si="73"/>
        <v/>
      </c>
    </row>
    <row r="168" spans="1:36" ht="15" customHeight="1" x14ac:dyDescent="0.25">
      <c r="A168" s="114"/>
      <c r="B168" s="116"/>
      <c r="C168" s="116"/>
      <c r="D168" s="42" t="str">
        <f t="shared" si="50"/>
        <v/>
      </c>
      <c r="E168" s="43"/>
      <c r="F168" s="118"/>
      <c r="G168" s="44" t="str">
        <f t="shared" si="51"/>
        <v/>
      </c>
      <c r="H168" s="118"/>
      <c r="I168" s="34" t="str">
        <f t="shared" si="52"/>
        <v/>
      </c>
      <c r="J168" s="118"/>
      <c r="K168" s="34" t="str">
        <f t="shared" si="53"/>
        <v/>
      </c>
      <c r="L168" s="118"/>
      <c r="M168" s="121"/>
      <c r="N168" s="122" t="str">
        <f t="shared" si="54"/>
        <v/>
      </c>
      <c r="O168" s="35" t="str">
        <f t="shared" si="55"/>
        <v/>
      </c>
      <c r="P168" s="124"/>
      <c r="Q168" s="36" t="str">
        <f t="shared" si="67"/>
        <v/>
      </c>
      <c r="R168" s="46" t="str">
        <f t="shared" si="56"/>
        <v/>
      </c>
      <c r="S168" s="38" t="str">
        <f t="shared" si="57"/>
        <v/>
      </c>
      <c r="T168" s="39" t="str">
        <f t="shared" si="58"/>
        <v/>
      </c>
      <c r="U168" s="40" t="str">
        <f t="shared" si="59"/>
        <v/>
      </c>
      <c r="V168" s="39" t="str">
        <f t="shared" si="60"/>
        <v/>
      </c>
      <c r="W168" s="34" t="str">
        <f t="shared" si="61"/>
        <v/>
      </c>
      <c r="X168" s="41" t="str">
        <f t="shared" si="68"/>
        <v/>
      </c>
      <c r="Y168" s="98" t="str">
        <f t="shared" si="62"/>
        <v/>
      </c>
      <c r="Z168" s="16" t="str">
        <f t="shared" si="69"/>
        <v/>
      </c>
      <c r="AB168" s="139"/>
      <c r="AC168" s="146" t="str">
        <f t="shared" si="72"/>
        <v/>
      </c>
      <c r="AD168" s="148" t="str">
        <f t="shared" si="70"/>
        <v/>
      </c>
      <c r="AE168" s="147" t="str">
        <f t="shared" si="63"/>
        <v/>
      </c>
      <c r="AF168" s="111" t="str">
        <f t="shared" si="64"/>
        <v/>
      </c>
      <c r="AG168" s="111" t="str">
        <f t="shared" si="65"/>
        <v/>
      </c>
      <c r="AH168" s="112" t="str">
        <f t="shared" si="66"/>
        <v/>
      </c>
      <c r="AI168" t="str">
        <f t="shared" si="71"/>
        <v/>
      </c>
      <c r="AJ168" t="str">
        <f t="shared" si="73"/>
        <v/>
      </c>
    </row>
    <row r="169" spans="1:36" ht="15" customHeight="1" x14ac:dyDescent="0.25">
      <c r="A169" s="114"/>
      <c r="B169" s="116"/>
      <c r="C169" s="116"/>
      <c r="D169" s="42" t="str">
        <f t="shared" si="50"/>
        <v/>
      </c>
      <c r="E169" s="43"/>
      <c r="F169" s="118"/>
      <c r="G169" s="44" t="str">
        <f t="shared" si="51"/>
        <v/>
      </c>
      <c r="H169" s="118"/>
      <c r="I169" s="34" t="str">
        <f t="shared" si="52"/>
        <v/>
      </c>
      <c r="J169" s="118"/>
      <c r="K169" s="34" t="str">
        <f t="shared" si="53"/>
        <v/>
      </c>
      <c r="L169" s="118"/>
      <c r="M169" s="121"/>
      <c r="N169" s="122" t="str">
        <f t="shared" si="54"/>
        <v/>
      </c>
      <c r="O169" s="35" t="str">
        <f t="shared" si="55"/>
        <v/>
      </c>
      <c r="P169" s="124"/>
      <c r="Q169" s="36" t="str">
        <f t="shared" si="67"/>
        <v/>
      </c>
      <c r="R169" s="46" t="str">
        <f t="shared" si="56"/>
        <v/>
      </c>
      <c r="S169" s="38" t="str">
        <f t="shared" si="57"/>
        <v/>
      </c>
      <c r="T169" s="39" t="str">
        <f t="shared" si="58"/>
        <v/>
      </c>
      <c r="U169" s="40" t="str">
        <f t="shared" si="59"/>
        <v/>
      </c>
      <c r="V169" s="39" t="str">
        <f t="shared" si="60"/>
        <v/>
      </c>
      <c r="W169" s="34" t="str">
        <f t="shared" si="61"/>
        <v/>
      </c>
      <c r="X169" s="41" t="str">
        <f t="shared" si="68"/>
        <v/>
      </c>
      <c r="Y169" s="98" t="str">
        <f t="shared" si="62"/>
        <v/>
      </c>
      <c r="Z169" s="16" t="str">
        <f t="shared" si="69"/>
        <v/>
      </c>
      <c r="AB169" s="139"/>
      <c r="AC169" s="146" t="str">
        <f t="shared" si="72"/>
        <v/>
      </c>
      <c r="AD169" s="148" t="str">
        <f t="shared" si="70"/>
        <v/>
      </c>
      <c r="AE169" s="147" t="str">
        <f t="shared" si="63"/>
        <v/>
      </c>
      <c r="AF169" s="111" t="str">
        <f t="shared" si="64"/>
        <v/>
      </c>
      <c r="AG169" s="111" t="str">
        <f t="shared" si="65"/>
        <v/>
      </c>
      <c r="AH169" s="112" t="str">
        <f t="shared" si="66"/>
        <v/>
      </c>
      <c r="AI169" t="str">
        <f t="shared" si="71"/>
        <v/>
      </c>
      <c r="AJ169" t="str">
        <f t="shared" si="73"/>
        <v/>
      </c>
    </row>
    <row r="170" spans="1:36" ht="15" customHeight="1" x14ac:dyDescent="0.25">
      <c r="A170" s="114"/>
      <c r="B170" s="116"/>
      <c r="C170" s="116"/>
      <c r="D170" s="42" t="str">
        <f t="shared" si="50"/>
        <v/>
      </c>
      <c r="E170" s="43"/>
      <c r="F170" s="118"/>
      <c r="G170" s="44" t="str">
        <f t="shared" si="51"/>
        <v/>
      </c>
      <c r="H170" s="118"/>
      <c r="I170" s="34" t="str">
        <f t="shared" si="52"/>
        <v/>
      </c>
      <c r="J170" s="118"/>
      <c r="K170" s="34" t="str">
        <f t="shared" si="53"/>
        <v/>
      </c>
      <c r="L170" s="118"/>
      <c r="M170" s="121"/>
      <c r="N170" s="122" t="str">
        <f t="shared" si="54"/>
        <v/>
      </c>
      <c r="O170" s="35" t="str">
        <f t="shared" si="55"/>
        <v/>
      </c>
      <c r="P170" s="124"/>
      <c r="Q170" s="36" t="str">
        <f t="shared" si="67"/>
        <v/>
      </c>
      <c r="R170" s="46" t="str">
        <f t="shared" si="56"/>
        <v/>
      </c>
      <c r="S170" s="38" t="str">
        <f t="shared" si="57"/>
        <v/>
      </c>
      <c r="T170" s="39" t="str">
        <f t="shared" si="58"/>
        <v/>
      </c>
      <c r="U170" s="40" t="str">
        <f t="shared" si="59"/>
        <v/>
      </c>
      <c r="V170" s="39" t="str">
        <f t="shared" si="60"/>
        <v/>
      </c>
      <c r="W170" s="34" t="str">
        <f t="shared" si="61"/>
        <v/>
      </c>
      <c r="X170" s="41" t="str">
        <f t="shared" si="68"/>
        <v/>
      </c>
      <c r="Y170" s="98" t="str">
        <f t="shared" si="62"/>
        <v/>
      </c>
      <c r="Z170" s="16" t="str">
        <f t="shared" si="69"/>
        <v/>
      </c>
      <c r="AB170" s="139"/>
      <c r="AC170" s="146" t="str">
        <f t="shared" si="72"/>
        <v/>
      </c>
      <c r="AD170" s="148" t="str">
        <f t="shared" si="70"/>
        <v/>
      </c>
      <c r="AE170" s="147" t="str">
        <f t="shared" si="63"/>
        <v/>
      </c>
      <c r="AF170" s="111" t="str">
        <f t="shared" si="64"/>
        <v/>
      </c>
      <c r="AG170" s="111" t="str">
        <f t="shared" si="65"/>
        <v/>
      </c>
      <c r="AH170" s="112" t="str">
        <f t="shared" si="66"/>
        <v/>
      </c>
      <c r="AI170" t="str">
        <f t="shared" si="71"/>
        <v/>
      </c>
      <c r="AJ170" t="str">
        <f t="shared" si="73"/>
        <v/>
      </c>
    </row>
    <row r="171" spans="1:36" ht="15" customHeight="1" x14ac:dyDescent="0.25">
      <c r="A171" s="114"/>
      <c r="B171" s="116"/>
      <c r="C171" s="116"/>
      <c r="D171" s="42" t="str">
        <f t="shared" si="50"/>
        <v/>
      </c>
      <c r="E171" s="43"/>
      <c r="F171" s="118"/>
      <c r="G171" s="44" t="str">
        <f t="shared" si="51"/>
        <v/>
      </c>
      <c r="H171" s="118"/>
      <c r="I171" s="34" t="str">
        <f t="shared" si="52"/>
        <v/>
      </c>
      <c r="J171" s="118"/>
      <c r="K171" s="34" t="str">
        <f t="shared" si="53"/>
        <v/>
      </c>
      <c r="L171" s="118"/>
      <c r="M171" s="121"/>
      <c r="N171" s="122" t="str">
        <f t="shared" si="54"/>
        <v/>
      </c>
      <c r="O171" s="35" t="str">
        <f t="shared" si="55"/>
        <v/>
      </c>
      <c r="P171" s="124"/>
      <c r="Q171" s="36" t="str">
        <f t="shared" si="67"/>
        <v/>
      </c>
      <c r="R171" s="46" t="str">
        <f t="shared" si="56"/>
        <v/>
      </c>
      <c r="S171" s="38" t="str">
        <f t="shared" si="57"/>
        <v/>
      </c>
      <c r="T171" s="39" t="str">
        <f t="shared" si="58"/>
        <v/>
      </c>
      <c r="U171" s="40" t="str">
        <f t="shared" si="59"/>
        <v/>
      </c>
      <c r="V171" s="39" t="str">
        <f t="shared" si="60"/>
        <v/>
      </c>
      <c r="W171" s="34" t="str">
        <f t="shared" si="61"/>
        <v/>
      </c>
      <c r="X171" s="41" t="str">
        <f t="shared" si="68"/>
        <v/>
      </c>
      <c r="Y171" s="98" t="str">
        <f t="shared" si="62"/>
        <v/>
      </c>
      <c r="Z171" s="16" t="str">
        <f t="shared" si="69"/>
        <v/>
      </c>
      <c r="AB171" s="139"/>
      <c r="AC171" s="146" t="str">
        <f t="shared" si="72"/>
        <v/>
      </c>
      <c r="AD171" s="148" t="str">
        <f t="shared" si="70"/>
        <v/>
      </c>
      <c r="AE171" s="147" t="str">
        <f t="shared" si="63"/>
        <v/>
      </c>
      <c r="AF171" s="111" t="str">
        <f t="shared" si="64"/>
        <v/>
      </c>
      <c r="AG171" s="111" t="str">
        <f t="shared" si="65"/>
        <v/>
      </c>
      <c r="AH171" s="112" t="str">
        <f t="shared" si="66"/>
        <v/>
      </c>
      <c r="AI171" t="str">
        <f t="shared" si="71"/>
        <v/>
      </c>
      <c r="AJ171" t="str">
        <f t="shared" si="73"/>
        <v/>
      </c>
    </row>
    <row r="172" spans="1:36" ht="15" customHeight="1" x14ac:dyDescent="0.25">
      <c r="A172" s="114"/>
      <c r="B172" s="116"/>
      <c r="C172" s="116"/>
      <c r="D172" s="42" t="str">
        <f t="shared" si="50"/>
        <v/>
      </c>
      <c r="E172" s="43"/>
      <c r="F172" s="118"/>
      <c r="G172" s="44" t="str">
        <f t="shared" si="51"/>
        <v/>
      </c>
      <c r="H172" s="118"/>
      <c r="I172" s="34" t="str">
        <f t="shared" si="52"/>
        <v/>
      </c>
      <c r="J172" s="118"/>
      <c r="K172" s="34" t="str">
        <f t="shared" si="53"/>
        <v/>
      </c>
      <c r="L172" s="118"/>
      <c r="M172" s="121"/>
      <c r="N172" s="122" t="str">
        <f t="shared" si="54"/>
        <v/>
      </c>
      <c r="O172" s="35" t="str">
        <f t="shared" si="55"/>
        <v/>
      </c>
      <c r="P172" s="124"/>
      <c r="Q172" s="36" t="str">
        <f t="shared" si="67"/>
        <v/>
      </c>
      <c r="R172" s="46" t="str">
        <f t="shared" si="56"/>
        <v/>
      </c>
      <c r="S172" s="38" t="str">
        <f t="shared" si="57"/>
        <v/>
      </c>
      <c r="T172" s="39" t="str">
        <f t="shared" si="58"/>
        <v/>
      </c>
      <c r="U172" s="40" t="str">
        <f t="shared" si="59"/>
        <v/>
      </c>
      <c r="V172" s="39" t="str">
        <f t="shared" si="60"/>
        <v/>
      </c>
      <c r="W172" s="34" t="str">
        <f t="shared" si="61"/>
        <v/>
      </c>
      <c r="X172" s="41" t="str">
        <f t="shared" si="68"/>
        <v/>
      </c>
      <c r="Y172" s="98" t="str">
        <f t="shared" si="62"/>
        <v/>
      </c>
      <c r="Z172" s="16" t="str">
        <f t="shared" si="69"/>
        <v/>
      </c>
      <c r="AB172" s="139"/>
      <c r="AC172" s="146" t="str">
        <f t="shared" si="72"/>
        <v/>
      </c>
      <c r="AD172" s="148" t="str">
        <f t="shared" si="70"/>
        <v/>
      </c>
      <c r="AE172" s="147" t="str">
        <f t="shared" si="63"/>
        <v/>
      </c>
      <c r="AF172" s="111" t="str">
        <f t="shared" si="64"/>
        <v/>
      </c>
      <c r="AG172" s="111" t="str">
        <f t="shared" si="65"/>
        <v/>
      </c>
      <c r="AH172" s="112" t="str">
        <f t="shared" si="66"/>
        <v/>
      </c>
      <c r="AI172" t="str">
        <f t="shared" si="71"/>
        <v/>
      </c>
      <c r="AJ172" t="str">
        <f t="shared" si="73"/>
        <v/>
      </c>
    </row>
    <row r="173" spans="1:36" ht="15" customHeight="1" x14ac:dyDescent="0.25">
      <c r="A173" s="114"/>
      <c r="B173" s="116"/>
      <c r="C173" s="116"/>
      <c r="D173" s="42" t="str">
        <f t="shared" si="50"/>
        <v/>
      </c>
      <c r="E173" s="43"/>
      <c r="F173" s="118"/>
      <c r="G173" s="44" t="str">
        <f t="shared" si="51"/>
        <v/>
      </c>
      <c r="H173" s="118"/>
      <c r="I173" s="34" t="str">
        <f t="shared" si="52"/>
        <v/>
      </c>
      <c r="J173" s="118"/>
      <c r="K173" s="34" t="str">
        <f t="shared" si="53"/>
        <v/>
      </c>
      <c r="L173" s="118"/>
      <c r="M173" s="121"/>
      <c r="N173" s="122" t="str">
        <f t="shared" si="54"/>
        <v/>
      </c>
      <c r="O173" s="35" t="str">
        <f t="shared" si="55"/>
        <v/>
      </c>
      <c r="P173" s="124"/>
      <c r="Q173" s="36" t="str">
        <f t="shared" si="67"/>
        <v/>
      </c>
      <c r="R173" s="46" t="str">
        <f t="shared" si="56"/>
        <v/>
      </c>
      <c r="S173" s="38" t="str">
        <f t="shared" si="57"/>
        <v/>
      </c>
      <c r="T173" s="39" t="str">
        <f t="shared" si="58"/>
        <v/>
      </c>
      <c r="U173" s="40" t="str">
        <f t="shared" si="59"/>
        <v/>
      </c>
      <c r="V173" s="39" t="str">
        <f t="shared" si="60"/>
        <v/>
      </c>
      <c r="W173" s="34" t="str">
        <f t="shared" si="61"/>
        <v/>
      </c>
      <c r="X173" s="41" t="str">
        <f t="shared" si="68"/>
        <v/>
      </c>
      <c r="Y173" s="98" t="str">
        <f t="shared" si="62"/>
        <v/>
      </c>
      <c r="Z173" s="16" t="str">
        <f t="shared" si="69"/>
        <v/>
      </c>
      <c r="AB173" s="139"/>
      <c r="AC173" s="146" t="str">
        <f t="shared" si="72"/>
        <v/>
      </c>
      <c r="AD173" s="148" t="str">
        <f t="shared" si="70"/>
        <v/>
      </c>
      <c r="AE173" s="147" t="str">
        <f t="shared" si="63"/>
        <v/>
      </c>
      <c r="AF173" s="111" t="str">
        <f t="shared" si="64"/>
        <v/>
      </c>
      <c r="AG173" s="111" t="str">
        <f t="shared" si="65"/>
        <v/>
      </c>
      <c r="AH173" s="112" t="str">
        <f t="shared" si="66"/>
        <v/>
      </c>
      <c r="AI173" t="str">
        <f t="shared" si="71"/>
        <v/>
      </c>
      <c r="AJ173" t="str">
        <f t="shared" si="73"/>
        <v/>
      </c>
    </row>
    <row r="174" spans="1:36" ht="15" customHeight="1" x14ac:dyDescent="0.25">
      <c r="A174" s="114"/>
      <c r="B174" s="116"/>
      <c r="C174" s="116"/>
      <c r="D174" s="42" t="str">
        <f t="shared" si="50"/>
        <v/>
      </c>
      <c r="E174" s="43"/>
      <c r="F174" s="118"/>
      <c r="G174" s="44" t="str">
        <f t="shared" si="51"/>
        <v/>
      </c>
      <c r="H174" s="118"/>
      <c r="I174" s="34" t="str">
        <f t="shared" si="52"/>
        <v/>
      </c>
      <c r="J174" s="118"/>
      <c r="K174" s="34" t="str">
        <f t="shared" si="53"/>
        <v/>
      </c>
      <c r="L174" s="118"/>
      <c r="M174" s="121"/>
      <c r="N174" s="122" t="str">
        <f t="shared" si="54"/>
        <v/>
      </c>
      <c r="O174" s="35" t="str">
        <f t="shared" si="55"/>
        <v/>
      </c>
      <c r="P174" s="124"/>
      <c r="Q174" s="36" t="str">
        <f t="shared" si="67"/>
        <v/>
      </c>
      <c r="R174" s="46" t="str">
        <f t="shared" si="56"/>
        <v/>
      </c>
      <c r="S174" s="38" t="str">
        <f t="shared" si="57"/>
        <v/>
      </c>
      <c r="T174" s="39" t="str">
        <f t="shared" si="58"/>
        <v/>
      </c>
      <c r="U174" s="40" t="str">
        <f t="shared" si="59"/>
        <v/>
      </c>
      <c r="V174" s="39" t="str">
        <f t="shared" si="60"/>
        <v/>
      </c>
      <c r="W174" s="34" t="str">
        <f t="shared" si="61"/>
        <v/>
      </c>
      <c r="X174" s="41" t="str">
        <f t="shared" si="68"/>
        <v/>
      </c>
      <c r="Y174" s="98" t="str">
        <f t="shared" si="62"/>
        <v/>
      </c>
      <c r="Z174" s="16" t="str">
        <f t="shared" si="69"/>
        <v/>
      </c>
      <c r="AB174" s="139"/>
      <c r="AC174" s="146" t="str">
        <f t="shared" si="72"/>
        <v/>
      </c>
      <c r="AD174" s="148" t="str">
        <f t="shared" si="70"/>
        <v/>
      </c>
      <c r="AE174" s="147" t="str">
        <f t="shared" si="63"/>
        <v/>
      </c>
      <c r="AF174" s="111" t="str">
        <f t="shared" si="64"/>
        <v/>
      </c>
      <c r="AG174" s="111" t="str">
        <f t="shared" si="65"/>
        <v/>
      </c>
      <c r="AH174" s="112" t="str">
        <f t="shared" si="66"/>
        <v/>
      </c>
      <c r="AI174" t="str">
        <f t="shared" si="71"/>
        <v/>
      </c>
      <c r="AJ174" t="str">
        <f t="shared" si="73"/>
        <v/>
      </c>
    </row>
    <row r="175" spans="1:36" ht="15" customHeight="1" x14ac:dyDescent="0.25">
      <c r="A175" s="114"/>
      <c r="B175" s="116"/>
      <c r="C175" s="116"/>
      <c r="D175" s="42" t="str">
        <f t="shared" si="50"/>
        <v/>
      </c>
      <c r="E175" s="43"/>
      <c r="F175" s="118"/>
      <c r="G175" s="44" t="str">
        <f t="shared" si="51"/>
        <v/>
      </c>
      <c r="H175" s="118"/>
      <c r="I175" s="34" t="str">
        <f t="shared" si="52"/>
        <v/>
      </c>
      <c r="J175" s="118"/>
      <c r="K175" s="34" t="str">
        <f t="shared" si="53"/>
        <v/>
      </c>
      <c r="L175" s="118"/>
      <c r="M175" s="121"/>
      <c r="N175" s="122" t="str">
        <f t="shared" si="54"/>
        <v/>
      </c>
      <c r="O175" s="35" t="str">
        <f t="shared" si="55"/>
        <v/>
      </c>
      <c r="P175" s="124"/>
      <c r="Q175" s="36" t="str">
        <f t="shared" si="67"/>
        <v/>
      </c>
      <c r="R175" s="46" t="str">
        <f t="shared" si="56"/>
        <v/>
      </c>
      <c r="S175" s="38" t="str">
        <f t="shared" si="57"/>
        <v/>
      </c>
      <c r="T175" s="39" t="str">
        <f t="shared" si="58"/>
        <v/>
      </c>
      <c r="U175" s="40" t="str">
        <f t="shared" si="59"/>
        <v/>
      </c>
      <c r="V175" s="39" t="str">
        <f t="shared" si="60"/>
        <v/>
      </c>
      <c r="W175" s="34" t="str">
        <f t="shared" si="61"/>
        <v/>
      </c>
      <c r="X175" s="41" t="str">
        <f t="shared" si="68"/>
        <v/>
      </c>
      <c r="Y175" s="98" t="str">
        <f t="shared" si="62"/>
        <v/>
      </c>
      <c r="Z175" s="16" t="str">
        <f t="shared" si="69"/>
        <v/>
      </c>
      <c r="AB175" s="139"/>
      <c r="AC175" s="146" t="str">
        <f t="shared" si="72"/>
        <v/>
      </c>
      <c r="AD175" s="148" t="str">
        <f t="shared" si="70"/>
        <v/>
      </c>
      <c r="AE175" s="147" t="str">
        <f t="shared" si="63"/>
        <v/>
      </c>
      <c r="AF175" s="111" t="str">
        <f t="shared" si="64"/>
        <v/>
      </c>
      <c r="AG175" s="111" t="str">
        <f t="shared" si="65"/>
        <v/>
      </c>
      <c r="AH175" s="112" t="str">
        <f t="shared" si="66"/>
        <v/>
      </c>
      <c r="AI175" t="str">
        <f t="shared" si="71"/>
        <v/>
      </c>
      <c r="AJ175" t="str">
        <f t="shared" si="73"/>
        <v/>
      </c>
    </row>
    <row r="176" spans="1:36" ht="15" customHeight="1" x14ac:dyDescent="0.25">
      <c r="A176" s="114"/>
      <c r="B176" s="116"/>
      <c r="C176" s="116"/>
      <c r="D176" s="42" t="str">
        <f t="shared" si="50"/>
        <v/>
      </c>
      <c r="E176" s="43"/>
      <c r="F176" s="118"/>
      <c r="G176" s="44" t="str">
        <f t="shared" si="51"/>
        <v/>
      </c>
      <c r="H176" s="118"/>
      <c r="I176" s="34" t="str">
        <f t="shared" si="52"/>
        <v/>
      </c>
      <c r="J176" s="118"/>
      <c r="K176" s="34" t="str">
        <f t="shared" si="53"/>
        <v/>
      </c>
      <c r="L176" s="118"/>
      <c r="M176" s="121"/>
      <c r="N176" s="122" t="str">
        <f t="shared" si="54"/>
        <v/>
      </c>
      <c r="O176" s="35" t="str">
        <f t="shared" si="55"/>
        <v/>
      </c>
      <c r="P176" s="124"/>
      <c r="Q176" s="36" t="str">
        <f t="shared" si="67"/>
        <v/>
      </c>
      <c r="R176" s="46" t="str">
        <f t="shared" si="56"/>
        <v/>
      </c>
      <c r="S176" s="38" t="str">
        <f t="shared" si="57"/>
        <v/>
      </c>
      <c r="T176" s="39" t="str">
        <f t="shared" si="58"/>
        <v/>
      </c>
      <c r="U176" s="40" t="str">
        <f t="shared" si="59"/>
        <v/>
      </c>
      <c r="V176" s="39" t="str">
        <f t="shared" si="60"/>
        <v/>
      </c>
      <c r="W176" s="34" t="str">
        <f t="shared" si="61"/>
        <v/>
      </c>
      <c r="X176" s="41" t="str">
        <f t="shared" si="68"/>
        <v/>
      </c>
      <c r="Y176" s="98" t="str">
        <f t="shared" si="62"/>
        <v/>
      </c>
      <c r="Z176" s="16" t="str">
        <f t="shared" si="69"/>
        <v/>
      </c>
      <c r="AB176" s="139"/>
      <c r="AC176" s="146" t="str">
        <f t="shared" si="72"/>
        <v/>
      </c>
      <c r="AD176" s="148" t="str">
        <f t="shared" si="70"/>
        <v/>
      </c>
      <c r="AE176" s="147" t="str">
        <f t="shared" si="63"/>
        <v/>
      </c>
      <c r="AF176" s="111" t="str">
        <f t="shared" si="64"/>
        <v/>
      </c>
      <c r="AG176" s="111" t="str">
        <f t="shared" si="65"/>
        <v/>
      </c>
      <c r="AH176" s="112" t="str">
        <f t="shared" si="66"/>
        <v/>
      </c>
      <c r="AI176" t="str">
        <f t="shared" si="71"/>
        <v/>
      </c>
      <c r="AJ176" t="str">
        <f t="shared" si="73"/>
        <v/>
      </c>
    </row>
    <row r="177" spans="1:36" ht="15" customHeight="1" x14ac:dyDescent="0.25">
      <c r="A177" s="114"/>
      <c r="B177" s="116"/>
      <c r="C177" s="116"/>
      <c r="D177" s="42" t="str">
        <f t="shared" si="50"/>
        <v/>
      </c>
      <c r="E177" s="43"/>
      <c r="F177" s="118"/>
      <c r="G177" s="44" t="str">
        <f t="shared" si="51"/>
        <v/>
      </c>
      <c r="H177" s="118"/>
      <c r="I177" s="34" t="str">
        <f t="shared" si="52"/>
        <v/>
      </c>
      <c r="J177" s="118"/>
      <c r="K177" s="34" t="str">
        <f t="shared" si="53"/>
        <v/>
      </c>
      <c r="L177" s="118"/>
      <c r="M177" s="121"/>
      <c r="N177" s="122" t="str">
        <f t="shared" si="54"/>
        <v/>
      </c>
      <c r="O177" s="35" t="str">
        <f t="shared" si="55"/>
        <v/>
      </c>
      <c r="P177" s="124"/>
      <c r="Q177" s="36" t="str">
        <f t="shared" si="67"/>
        <v/>
      </c>
      <c r="R177" s="46" t="str">
        <f t="shared" si="56"/>
        <v/>
      </c>
      <c r="S177" s="38" t="str">
        <f t="shared" si="57"/>
        <v/>
      </c>
      <c r="T177" s="39" t="str">
        <f t="shared" si="58"/>
        <v/>
      </c>
      <c r="U177" s="40" t="str">
        <f t="shared" si="59"/>
        <v/>
      </c>
      <c r="V177" s="39" t="str">
        <f t="shared" si="60"/>
        <v/>
      </c>
      <c r="W177" s="34" t="str">
        <f t="shared" si="61"/>
        <v/>
      </c>
      <c r="X177" s="41" t="str">
        <f t="shared" si="68"/>
        <v/>
      </c>
      <c r="Y177" s="98" t="str">
        <f t="shared" si="62"/>
        <v/>
      </c>
      <c r="Z177" s="16" t="str">
        <f t="shared" si="69"/>
        <v/>
      </c>
      <c r="AB177" s="139"/>
      <c r="AC177" s="146" t="str">
        <f t="shared" si="72"/>
        <v/>
      </c>
      <c r="AD177" s="148" t="str">
        <f t="shared" si="70"/>
        <v/>
      </c>
      <c r="AE177" s="147" t="str">
        <f t="shared" si="63"/>
        <v/>
      </c>
      <c r="AF177" s="111" t="str">
        <f t="shared" si="64"/>
        <v/>
      </c>
      <c r="AG177" s="111" t="str">
        <f t="shared" si="65"/>
        <v/>
      </c>
      <c r="AH177" s="112" t="str">
        <f t="shared" si="66"/>
        <v/>
      </c>
      <c r="AI177" t="str">
        <f t="shared" si="71"/>
        <v/>
      </c>
      <c r="AJ177" t="str">
        <f t="shared" si="73"/>
        <v/>
      </c>
    </row>
    <row r="178" spans="1:36" ht="15" customHeight="1" x14ac:dyDescent="0.25">
      <c r="A178" s="114"/>
      <c r="B178" s="116"/>
      <c r="C178" s="116"/>
      <c r="D178" s="42" t="str">
        <f t="shared" si="50"/>
        <v/>
      </c>
      <c r="E178" s="43"/>
      <c r="F178" s="118"/>
      <c r="G178" s="44" t="str">
        <f t="shared" si="51"/>
        <v/>
      </c>
      <c r="H178" s="118"/>
      <c r="I178" s="34" t="str">
        <f t="shared" si="52"/>
        <v/>
      </c>
      <c r="J178" s="118"/>
      <c r="K178" s="34" t="str">
        <f t="shared" si="53"/>
        <v/>
      </c>
      <c r="L178" s="118"/>
      <c r="M178" s="121"/>
      <c r="N178" s="122" t="str">
        <f t="shared" si="54"/>
        <v/>
      </c>
      <c r="O178" s="35" t="str">
        <f t="shared" si="55"/>
        <v/>
      </c>
      <c r="P178" s="124"/>
      <c r="Q178" s="36" t="str">
        <f t="shared" si="67"/>
        <v/>
      </c>
      <c r="R178" s="46" t="str">
        <f t="shared" si="56"/>
        <v/>
      </c>
      <c r="S178" s="38" t="str">
        <f t="shared" si="57"/>
        <v/>
      </c>
      <c r="T178" s="39" t="str">
        <f t="shared" si="58"/>
        <v/>
      </c>
      <c r="U178" s="40" t="str">
        <f t="shared" si="59"/>
        <v/>
      </c>
      <c r="V178" s="39" t="str">
        <f t="shared" si="60"/>
        <v/>
      </c>
      <c r="W178" s="34" t="str">
        <f t="shared" si="61"/>
        <v/>
      </c>
      <c r="X178" s="41" t="str">
        <f t="shared" si="68"/>
        <v/>
      </c>
      <c r="Y178" s="98" t="str">
        <f t="shared" si="62"/>
        <v/>
      </c>
      <c r="Z178" s="16" t="str">
        <f t="shared" si="69"/>
        <v/>
      </c>
      <c r="AB178" s="139"/>
      <c r="AC178" s="146" t="str">
        <f t="shared" si="72"/>
        <v/>
      </c>
      <c r="AD178" s="148" t="str">
        <f t="shared" si="70"/>
        <v/>
      </c>
      <c r="AE178" s="147" t="str">
        <f t="shared" si="63"/>
        <v/>
      </c>
      <c r="AF178" s="111" t="str">
        <f t="shared" si="64"/>
        <v/>
      </c>
      <c r="AG178" s="111" t="str">
        <f t="shared" si="65"/>
        <v/>
      </c>
      <c r="AH178" s="112" t="str">
        <f t="shared" si="66"/>
        <v/>
      </c>
      <c r="AI178" t="str">
        <f t="shared" si="71"/>
        <v/>
      </c>
      <c r="AJ178" t="str">
        <f t="shared" si="73"/>
        <v/>
      </c>
    </row>
    <row r="179" spans="1:36" ht="15" customHeight="1" x14ac:dyDescent="0.25">
      <c r="A179" s="114"/>
      <c r="B179" s="116"/>
      <c r="C179" s="116"/>
      <c r="D179" s="42" t="str">
        <f t="shared" si="50"/>
        <v/>
      </c>
      <c r="E179" s="43"/>
      <c r="F179" s="118"/>
      <c r="G179" s="44" t="str">
        <f t="shared" si="51"/>
        <v/>
      </c>
      <c r="H179" s="118"/>
      <c r="I179" s="34" t="str">
        <f t="shared" si="52"/>
        <v/>
      </c>
      <c r="J179" s="118"/>
      <c r="K179" s="34" t="str">
        <f t="shared" si="53"/>
        <v/>
      </c>
      <c r="L179" s="118"/>
      <c r="M179" s="121"/>
      <c r="N179" s="122" t="str">
        <f t="shared" si="54"/>
        <v/>
      </c>
      <c r="O179" s="35" t="str">
        <f t="shared" si="55"/>
        <v/>
      </c>
      <c r="P179" s="124"/>
      <c r="Q179" s="36" t="str">
        <f t="shared" si="67"/>
        <v/>
      </c>
      <c r="R179" s="46" t="str">
        <f t="shared" si="56"/>
        <v/>
      </c>
      <c r="S179" s="38" t="str">
        <f t="shared" si="57"/>
        <v/>
      </c>
      <c r="T179" s="39" t="str">
        <f t="shared" si="58"/>
        <v/>
      </c>
      <c r="U179" s="40" t="str">
        <f t="shared" si="59"/>
        <v/>
      </c>
      <c r="V179" s="39" t="str">
        <f t="shared" si="60"/>
        <v/>
      </c>
      <c r="W179" s="34" t="str">
        <f t="shared" si="61"/>
        <v/>
      </c>
      <c r="X179" s="41" t="str">
        <f t="shared" si="68"/>
        <v/>
      </c>
      <c r="Y179" s="98" t="str">
        <f t="shared" si="62"/>
        <v/>
      </c>
      <c r="Z179" s="16" t="str">
        <f t="shared" si="69"/>
        <v/>
      </c>
      <c r="AB179" s="139"/>
      <c r="AC179" s="146" t="str">
        <f t="shared" si="72"/>
        <v/>
      </c>
      <c r="AD179" s="148" t="str">
        <f t="shared" si="70"/>
        <v/>
      </c>
      <c r="AE179" s="147" t="str">
        <f t="shared" si="63"/>
        <v/>
      </c>
      <c r="AF179" s="111" t="str">
        <f t="shared" si="64"/>
        <v/>
      </c>
      <c r="AG179" s="111" t="str">
        <f t="shared" si="65"/>
        <v/>
      </c>
      <c r="AH179" s="112" t="str">
        <f t="shared" si="66"/>
        <v/>
      </c>
      <c r="AI179" t="str">
        <f t="shared" si="71"/>
        <v/>
      </c>
      <c r="AJ179" t="str">
        <f t="shared" si="73"/>
        <v/>
      </c>
    </row>
    <row r="180" spans="1:36" ht="15" customHeight="1" x14ac:dyDescent="0.25">
      <c r="A180" s="114"/>
      <c r="B180" s="116"/>
      <c r="C180" s="116"/>
      <c r="D180" s="42" t="str">
        <f t="shared" si="50"/>
        <v/>
      </c>
      <c r="E180" s="43"/>
      <c r="F180" s="118"/>
      <c r="G180" s="44" t="str">
        <f t="shared" si="51"/>
        <v/>
      </c>
      <c r="H180" s="118"/>
      <c r="I180" s="34" t="str">
        <f t="shared" si="52"/>
        <v/>
      </c>
      <c r="J180" s="118"/>
      <c r="K180" s="34" t="str">
        <f t="shared" si="53"/>
        <v/>
      </c>
      <c r="L180" s="118"/>
      <c r="M180" s="121"/>
      <c r="N180" s="122" t="str">
        <f t="shared" si="54"/>
        <v/>
      </c>
      <c r="O180" s="35" t="str">
        <f t="shared" si="55"/>
        <v/>
      </c>
      <c r="P180" s="124"/>
      <c r="Q180" s="36" t="str">
        <f t="shared" si="67"/>
        <v/>
      </c>
      <c r="R180" s="46" t="str">
        <f t="shared" si="56"/>
        <v/>
      </c>
      <c r="S180" s="38" t="str">
        <f t="shared" si="57"/>
        <v/>
      </c>
      <c r="T180" s="39" t="str">
        <f t="shared" si="58"/>
        <v/>
      </c>
      <c r="U180" s="40" t="str">
        <f t="shared" si="59"/>
        <v/>
      </c>
      <c r="V180" s="39" t="str">
        <f t="shared" si="60"/>
        <v/>
      </c>
      <c r="W180" s="34" t="str">
        <f t="shared" si="61"/>
        <v/>
      </c>
      <c r="X180" s="41" t="str">
        <f t="shared" si="68"/>
        <v/>
      </c>
      <c r="Y180" s="98" t="str">
        <f t="shared" si="62"/>
        <v/>
      </c>
      <c r="Z180" s="16" t="str">
        <f t="shared" si="69"/>
        <v/>
      </c>
      <c r="AB180" s="139"/>
      <c r="AC180" s="146" t="str">
        <f t="shared" si="72"/>
        <v/>
      </c>
      <c r="AD180" s="148" t="str">
        <f t="shared" si="70"/>
        <v/>
      </c>
      <c r="AE180" s="147" t="str">
        <f t="shared" si="63"/>
        <v/>
      </c>
      <c r="AF180" s="111" t="str">
        <f t="shared" si="64"/>
        <v/>
      </c>
      <c r="AG180" s="111" t="str">
        <f t="shared" si="65"/>
        <v/>
      </c>
      <c r="AH180" s="112" t="str">
        <f t="shared" si="66"/>
        <v/>
      </c>
      <c r="AI180" t="str">
        <f t="shared" si="71"/>
        <v/>
      </c>
      <c r="AJ180" t="str">
        <f t="shared" si="73"/>
        <v/>
      </c>
    </row>
    <row r="181" spans="1:36" ht="15" customHeight="1" x14ac:dyDescent="0.25">
      <c r="A181" s="114"/>
      <c r="B181" s="116"/>
      <c r="C181" s="116"/>
      <c r="D181" s="42" t="str">
        <f t="shared" si="50"/>
        <v/>
      </c>
      <c r="E181" s="43"/>
      <c r="F181" s="118"/>
      <c r="G181" s="44" t="str">
        <f t="shared" si="51"/>
        <v/>
      </c>
      <c r="H181" s="118"/>
      <c r="I181" s="34" t="str">
        <f t="shared" si="52"/>
        <v/>
      </c>
      <c r="J181" s="118"/>
      <c r="K181" s="34" t="str">
        <f t="shared" si="53"/>
        <v/>
      </c>
      <c r="L181" s="118"/>
      <c r="M181" s="121"/>
      <c r="N181" s="122" t="str">
        <f t="shared" si="54"/>
        <v/>
      </c>
      <c r="O181" s="35" t="str">
        <f t="shared" si="55"/>
        <v/>
      </c>
      <c r="P181" s="124"/>
      <c r="Q181" s="36" t="str">
        <f t="shared" si="67"/>
        <v/>
      </c>
      <c r="R181" s="46" t="str">
        <f t="shared" si="56"/>
        <v/>
      </c>
      <c r="S181" s="38" t="str">
        <f t="shared" si="57"/>
        <v/>
      </c>
      <c r="T181" s="39" t="str">
        <f t="shared" si="58"/>
        <v/>
      </c>
      <c r="U181" s="40" t="str">
        <f t="shared" si="59"/>
        <v/>
      </c>
      <c r="V181" s="39" t="str">
        <f t="shared" si="60"/>
        <v/>
      </c>
      <c r="W181" s="34" t="str">
        <f t="shared" si="61"/>
        <v/>
      </c>
      <c r="X181" s="41" t="str">
        <f t="shared" si="68"/>
        <v/>
      </c>
      <c r="Y181" s="98" t="str">
        <f t="shared" si="62"/>
        <v/>
      </c>
      <c r="Z181" s="16" t="str">
        <f t="shared" si="69"/>
        <v/>
      </c>
      <c r="AB181" s="139"/>
      <c r="AC181" s="146" t="str">
        <f t="shared" si="72"/>
        <v/>
      </c>
      <c r="AD181" s="148" t="str">
        <f t="shared" si="70"/>
        <v/>
      </c>
      <c r="AE181" s="147" t="str">
        <f t="shared" si="63"/>
        <v/>
      </c>
      <c r="AF181" s="111" t="str">
        <f t="shared" si="64"/>
        <v/>
      </c>
      <c r="AG181" s="111" t="str">
        <f t="shared" si="65"/>
        <v/>
      </c>
      <c r="AH181" s="112" t="str">
        <f t="shared" si="66"/>
        <v/>
      </c>
      <c r="AI181" t="str">
        <f t="shared" si="71"/>
        <v/>
      </c>
      <c r="AJ181" t="str">
        <f t="shared" si="73"/>
        <v/>
      </c>
    </row>
    <row r="182" spans="1:36" ht="15" customHeight="1" x14ac:dyDescent="0.25">
      <c r="A182" s="114"/>
      <c r="B182" s="116"/>
      <c r="C182" s="116"/>
      <c r="D182" s="42" t="str">
        <f t="shared" si="50"/>
        <v/>
      </c>
      <c r="E182" s="43"/>
      <c r="F182" s="118"/>
      <c r="G182" s="44" t="str">
        <f t="shared" si="51"/>
        <v/>
      </c>
      <c r="H182" s="118"/>
      <c r="I182" s="34" t="str">
        <f t="shared" si="52"/>
        <v/>
      </c>
      <c r="J182" s="118"/>
      <c r="K182" s="34" t="str">
        <f t="shared" si="53"/>
        <v/>
      </c>
      <c r="L182" s="118"/>
      <c r="M182" s="121"/>
      <c r="N182" s="122" t="str">
        <f t="shared" si="54"/>
        <v/>
      </c>
      <c r="O182" s="35" t="str">
        <f t="shared" si="55"/>
        <v/>
      </c>
      <c r="P182" s="124"/>
      <c r="Q182" s="36" t="str">
        <f t="shared" si="67"/>
        <v/>
      </c>
      <c r="R182" s="46" t="str">
        <f t="shared" si="56"/>
        <v/>
      </c>
      <c r="S182" s="38" t="str">
        <f t="shared" si="57"/>
        <v/>
      </c>
      <c r="T182" s="39" t="str">
        <f t="shared" si="58"/>
        <v/>
      </c>
      <c r="U182" s="40" t="str">
        <f t="shared" si="59"/>
        <v/>
      </c>
      <c r="V182" s="39" t="str">
        <f t="shared" si="60"/>
        <v/>
      </c>
      <c r="W182" s="34" t="str">
        <f t="shared" si="61"/>
        <v/>
      </c>
      <c r="X182" s="41" t="str">
        <f t="shared" si="68"/>
        <v/>
      </c>
      <c r="Y182" s="98" t="str">
        <f t="shared" si="62"/>
        <v/>
      </c>
      <c r="Z182" s="16" t="str">
        <f t="shared" si="69"/>
        <v/>
      </c>
      <c r="AB182" s="139"/>
      <c r="AC182" s="146" t="str">
        <f t="shared" si="72"/>
        <v/>
      </c>
      <c r="AD182" s="148" t="str">
        <f t="shared" si="70"/>
        <v/>
      </c>
      <c r="AE182" s="147" t="str">
        <f t="shared" si="63"/>
        <v/>
      </c>
      <c r="AF182" s="111" t="str">
        <f t="shared" si="64"/>
        <v/>
      </c>
      <c r="AG182" s="111" t="str">
        <f t="shared" si="65"/>
        <v/>
      </c>
      <c r="AH182" s="112" t="str">
        <f t="shared" si="66"/>
        <v/>
      </c>
      <c r="AI182" t="str">
        <f t="shared" si="71"/>
        <v/>
      </c>
      <c r="AJ182" t="str">
        <f t="shared" si="73"/>
        <v/>
      </c>
    </row>
    <row r="183" spans="1:36" ht="15" customHeight="1" x14ac:dyDescent="0.25">
      <c r="A183" s="114"/>
      <c r="B183" s="116"/>
      <c r="C183" s="116"/>
      <c r="D183" s="42" t="str">
        <f t="shared" si="50"/>
        <v/>
      </c>
      <c r="E183" s="43"/>
      <c r="F183" s="118"/>
      <c r="G183" s="44" t="str">
        <f t="shared" si="51"/>
        <v/>
      </c>
      <c r="H183" s="118"/>
      <c r="I183" s="34" t="str">
        <f t="shared" si="52"/>
        <v/>
      </c>
      <c r="J183" s="118"/>
      <c r="K183" s="34" t="str">
        <f t="shared" si="53"/>
        <v/>
      </c>
      <c r="L183" s="118"/>
      <c r="M183" s="121"/>
      <c r="N183" s="122" t="str">
        <f t="shared" si="54"/>
        <v/>
      </c>
      <c r="O183" s="35" t="str">
        <f t="shared" si="55"/>
        <v/>
      </c>
      <c r="P183" s="124"/>
      <c r="Q183" s="36" t="str">
        <f t="shared" si="67"/>
        <v/>
      </c>
      <c r="R183" s="46" t="str">
        <f t="shared" si="56"/>
        <v/>
      </c>
      <c r="S183" s="38" t="str">
        <f t="shared" si="57"/>
        <v/>
      </c>
      <c r="T183" s="39" t="str">
        <f t="shared" si="58"/>
        <v/>
      </c>
      <c r="U183" s="40" t="str">
        <f t="shared" si="59"/>
        <v/>
      </c>
      <c r="V183" s="39" t="str">
        <f t="shared" si="60"/>
        <v/>
      </c>
      <c r="W183" s="34" t="str">
        <f t="shared" si="61"/>
        <v/>
      </c>
      <c r="X183" s="41" t="str">
        <f t="shared" si="68"/>
        <v/>
      </c>
      <c r="Y183" s="98" t="str">
        <f t="shared" si="62"/>
        <v/>
      </c>
      <c r="Z183" s="16" t="str">
        <f t="shared" si="69"/>
        <v/>
      </c>
      <c r="AB183" s="139"/>
      <c r="AC183" s="146" t="str">
        <f t="shared" si="72"/>
        <v/>
      </c>
      <c r="AD183" s="148" t="str">
        <f t="shared" si="70"/>
        <v/>
      </c>
      <c r="AE183" s="147" t="str">
        <f t="shared" si="63"/>
        <v/>
      </c>
      <c r="AF183" s="111" t="str">
        <f t="shared" si="64"/>
        <v/>
      </c>
      <c r="AG183" s="111" t="str">
        <f t="shared" si="65"/>
        <v/>
      </c>
      <c r="AH183" s="112" t="str">
        <f t="shared" si="66"/>
        <v/>
      </c>
      <c r="AI183" t="str">
        <f t="shared" si="71"/>
        <v/>
      </c>
      <c r="AJ183" t="str">
        <f t="shared" si="73"/>
        <v/>
      </c>
    </row>
    <row r="184" spans="1:36" ht="15" customHeight="1" x14ac:dyDescent="0.25">
      <c r="A184" s="114"/>
      <c r="B184" s="116"/>
      <c r="C184" s="116"/>
      <c r="D184" s="42" t="str">
        <f t="shared" si="50"/>
        <v/>
      </c>
      <c r="E184" s="43"/>
      <c r="F184" s="118"/>
      <c r="G184" s="44" t="str">
        <f t="shared" si="51"/>
        <v/>
      </c>
      <c r="H184" s="118"/>
      <c r="I184" s="34" t="str">
        <f t="shared" si="52"/>
        <v/>
      </c>
      <c r="J184" s="118"/>
      <c r="K184" s="34" t="str">
        <f t="shared" si="53"/>
        <v/>
      </c>
      <c r="L184" s="118"/>
      <c r="M184" s="121"/>
      <c r="N184" s="122" t="str">
        <f t="shared" si="54"/>
        <v/>
      </c>
      <c r="O184" s="35" t="str">
        <f t="shared" si="55"/>
        <v/>
      </c>
      <c r="P184" s="124"/>
      <c r="Q184" s="36" t="str">
        <f t="shared" si="67"/>
        <v/>
      </c>
      <c r="R184" s="46" t="str">
        <f t="shared" si="56"/>
        <v/>
      </c>
      <c r="S184" s="38" t="str">
        <f t="shared" si="57"/>
        <v/>
      </c>
      <c r="T184" s="39" t="str">
        <f t="shared" si="58"/>
        <v/>
      </c>
      <c r="U184" s="40" t="str">
        <f t="shared" si="59"/>
        <v/>
      </c>
      <c r="V184" s="39" t="str">
        <f t="shared" si="60"/>
        <v/>
      </c>
      <c r="W184" s="34" t="str">
        <f t="shared" si="61"/>
        <v/>
      </c>
      <c r="X184" s="41" t="str">
        <f t="shared" si="68"/>
        <v/>
      </c>
      <c r="Y184" s="98" t="str">
        <f t="shared" si="62"/>
        <v/>
      </c>
      <c r="Z184" s="16" t="str">
        <f t="shared" si="69"/>
        <v/>
      </c>
      <c r="AB184" s="139"/>
      <c r="AC184" s="146" t="str">
        <f t="shared" si="72"/>
        <v/>
      </c>
      <c r="AD184" s="148" t="str">
        <f t="shared" si="70"/>
        <v/>
      </c>
      <c r="AE184" s="147" t="str">
        <f t="shared" si="63"/>
        <v/>
      </c>
      <c r="AF184" s="111" t="str">
        <f t="shared" si="64"/>
        <v/>
      </c>
      <c r="AG184" s="111" t="str">
        <f t="shared" si="65"/>
        <v/>
      </c>
      <c r="AH184" s="112" t="str">
        <f t="shared" si="66"/>
        <v/>
      </c>
      <c r="AI184" t="str">
        <f t="shared" si="71"/>
        <v/>
      </c>
      <c r="AJ184" t="str">
        <f t="shared" si="73"/>
        <v/>
      </c>
    </row>
    <row r="185" spans="1:36" ht="15" customHeight="1" x14ac:dyDescent="0.25">
      <c r="A185" s="114"/>
      <c r="B185" s="116"/>
      <c r="C185" s="116"/>
      <c r="D185" s="42" t="str">
        <f t="shared" si="50"/>
        <v/>
      </c>
      <c r="E185" s="43"/>
      <c r="F185" s="118"/>
      <c r="G185" s="44" t="str">
        <f t="shared" si="51"/>
        <v/>
      </c>
      <c r="H185" s="118"/>
      <c r="I185" s="34" t="str">
        <f t="shared" si="52"/>
        <v/>
      </c>
      <c r="J185" s="118"/>
      <c r="K185" s="34" t="str">
        <f t="shared" si="53"/>
        <v/>
      </c>
      <c r="L185" s="118"/>
      <c r="M185" s="121"/>
      <c r="N185" s="122" t="str">
        <f t="shared" si="54"/>
        <v/>
      </c>
      <c r="O185" s="35" t="str">
        <f t="shared" si="55"/>
        <v/>
      </c>
      <c r="P185" s="124"/>
      <c r="Q185" s="36" t="str">
        <f t="shared" si="67"/>
        <v/>
      </c>
      <c r="R185" s="46" t="str">
        <f t="shared" si="56"/>
        <v/>
      </c>
      <c r="S185" s="38" t="str">
        <f t="shared" si="57"/>
        <v/>
      </c>
      <c r="T185" s="39" t="str">
        <f t="shared" si="58"/>
        <v/>
      </c>
      <c r="U185" s="40" t="str">
        <f t="shared" si="59"/>
        <v/>
      </c>
      <c r="V185" s="39" t="str">
        <f t="shared" si="60"/>
        <v/>
      </c>
      <c r="W185" s="34" t="str">
        <f t="shared" si="61"/>
        <v/>
      </c>
      <c r="X185" s="41" t="str">
        <f t="shared" si="68"/>
        <v/>
      </c>
      <c r="Y185" s="98" t="str">
        <f t="shared" si="62"/>
        <v/>
      </c>
      <c r="Z185" s="16" t="str">
        <f t="shared" si="69"/>
        <v/>
      </c>
      <c r="AB185" s="139"/>
      <c r="AC185" s="146" t="str">
        <f t="shared" si="72"/>
        <v/>
      </c>
      <c r="AD185" s="148" t="str">
        <f t="shared" si="70"/>
        <v/>
      </c>
      <c r="AE185" s="147" t="str">
        <f t="shared" si="63"/>
        <v/>
      </c>
      <c r="AF185" s="111" t="str">
        <f t="shared" si="64"/>
        <v/>
      </c>
      <c r="AG185" s="111" t="str">
        <f t="shared" si="65"/>
        <v/>
      </c>
      <c r="AH185" s="112" t="str">
        <f t="shared" si="66"/>
        <v/>
      </c>
      <c r="AI185" t="str">
        <f t="shared" si="71"/>
        <v/>
      </c>
      <c r="AJ185" t="str">
        <f t="shared" si="73"/>
        <v/>
      </c>
    </row>
    <row r="186" spans="1:36" ht="15" customHeight="1" x14ac:dyDescent="0.25">
      <c r="A186" s="114"/>
      <c r="B186" s="116"/>
      <c r="C186" s="116"/>
      <c r="D186" s="42" t="str">
        <f t="shared" si="50"/>
        <v/>
      </c>
      <c r="E186" s="43"/>
      <c r="F186" s="118"/>
      <c r="G186" s="44" t="str">
        <f t="shared" si="51"/>
        <v/>
      </c>
      <c r="H186" s="118"/>
      <c r="I186" s="34" t="str">
        <f t="shared" si="52"/>
        <v/>
      </c>
      <c r="J186" s="118"/>
      <c r="K186" s="34" t="str">
        <f t="shared" si="53"/>
        <v/>
      </c>
      <c r="L186" s="118"/>
      <c r="M186" s="121"/>
      <c r="N186" s="122" t="str">
        <f t="shared" si="54"/>
        <v/>
      </c>
      <c r="O186" s="35" t="str">
        <f t="shared" si="55"/>
        <v/>
      </c>
      <c r="P186" s="124"/>
      <c r="Q186" s="36" t="str">
        <f t="shared" si="67"/>
        <v/>
      </c>
      <c r="R186" s="46" t="str">
        <f t="shared" si="56"/>
        <v/>
      </c>
      <c r="S186" s="38" t="str">
        <f t="shared" si="57"/>
        <v/>
      </c>
      <c r="T186" s="39" t="str">
        <f t="shared" si="58"/>
        <v/>
      </c>
      <c r="U186" s="40" t="str">
        <f t="shared" si="59"/>
        <v/>
      </c>
      <c r="V186" s="39" t="str">
        <f t="shared" si="60"/>
        <v/>
      </c>
      <c r="W186" s="34" t="str">
        <f t="shared" si="61"/>
        <v/>
      </c>
      <c r="X186" s="41" t="str">
        <f t="shared" si="68"/>
        <v/>
      </c>
      <c r="Y186" s="98" t="str">
        <f t="shared" si="62"/>
        <v/>
      </c>
      <c r="Z186" s="16" t="str">
        <f t="shared" si="69"/>
        <v/>
      </c>
      <c r="AB186" s="139"/>
      <c r="AC186" s="146" t="str">
        <f t="shared" si="72"/>
        <v/>
      </c>
      <c r="AD186" s="148" t="str">
        <f t="shared" si="70"/>
        <v/>
      </c>
      <c r="AE186" s="147" t="str">
        <f t="shared" si="63"/>
        <v/>
      </c>
      <c r="AF186" s="111" t="str">
        <f t="shared" si="64"/>
        <v/>
      </c>
      <c r="AG186" s="111" t="str">
        <f t="shared" si="65"/>
        <v/>
      </c>
      <c r="AH186" s="112" t="str">
        <f t="shared" si="66"/>
        <v/>
      </c>
      <c r="AI186" t="str">
        <f t="shared" si="71"/>
        <v/>
      </c>
      <c r="AJ186" t="str">
        <f t="shared" si="73"/>
        <v/>
      </c>
    </row>
    <row r="187" spans="1:36" ht="15" customHeight="1" x14ac:dyDescent="0.25">
      <c r="A187" s="114"/>
      <c r="B187" s="116"/>
      <c r="C187" s="116"/>
      <c r="D187" s="42" t="str">
        <f t="shared" si="50"/>
        <v/>
      </c>
      <c r="E187" s="43"/>
      <c r="F187" s="118"/>
      <c r="G187" s="44" t="str">
        <f t="shared" si="51"/>
        <v/>
      </c>
      <c r="H187" s="118"/>
      <c r="I187" s="34" t="str">
        <f t="shared" si="52"/>
        <v/>
      </c>
      <c r="J187" s="118"/>
      <c r="K187" s="34" t="str">
        <f t="shared" si="53"/>
        <v/>
      </c>
      <c r="L187" s="118"/>
      <c r="M187" s="121"/>
      <c r="N187" s="122" t="str">
        <f t="shared" si="54"/>
        <v/>
      </c>
      <c r="O187" s="35" t="str">
        <f t="shared" si="55"/>
        <v/>
      </c>
      <c r="P187" s="124"/>
      <c r="Q187" s="36" t="str">
        <f t="shared" si="67"/>
        <v/>
      </c>
      <c r="R187" s="46" t="str">
        <f t="shared" si="56"/>
        <v/>
      </c>
      <c r="S187" s="38" t="str">
        <f t="shared" si="57"/>
        <v/>
      </c>
      <c r="T187" s="39" t="str">
        <f t="shared" si="58"/>
        <v/>
      </c>
      <c r="U187" s="40" t="str">
        <f t="shared" si="59"/>
        <v/>
      </c>
      <c r="V187" s="39" t="str">
        <f t="shared" si="60"/>
        <v/>
      </c>
      <c r="W187" s="34" t="str">
        <f t="shared" si="61"/>
        <v/>
      </c>
      <c r="X187" s="41" t="str">
        <f t="shared" si="68"/>
        <v/>
      </c>
      <c r="Y187" s="98" t="str">
        <f t="shared" si="62"/>
        <v/>
      </c>
      <c r="Z187" s="16" t="str">
        <f t="shared" si="69"/>
        <v/>
      </c>
      <c r="AB187" s="139"/>
      <c r="AC187" s="146" t="str">
        <f t="shared" si="72"/>
        <v/>
      </c>
      <c r="AD187" s="148" t="str">
        <f t="shared" si="70"/>
        <v/>
      </c>
      <c r="AE187" s="147" t="str">
        <f t="shared" si="63"/>
        <v/>
      </c>
      <c r="AF187" s="111" t="str">
        <f t="shared" si="64"/>
        <v/>
      </c>
      <c r="AG187" s="111" t="str">
        <f t="shared" si="65"/>
        <v/>
      </c>
      <c r="AH187" s="112" t="str">
        <f t="shared" si="66"/>
        <v/>
      </c>
      <c r="AI187" t="str">
        <f t="shared" si="71"/>
        <v/>
      </c>
      <c r="AJ187" t="str">
        <f t="shared" si="73"/>
        <v/>
      </c>
    </row>
    <row r="188" spans="1:36" ht="15" customHeight="1" x14ac:dyDescent="0.25">
      <c r="A188" s="114"/>
      <c r="B188" s="116"/>
      <c r="C188" s="116"/>
      <c r="D188" s="42" t="str">
        <f t="shared" si="50"/>
        <v/>
      </c>
      <c r="E188" s="43"/>
      <c r="F188" s="118"/>
      <c r="G188" s="44" t="str">
        <f t="shared" si="51"/>
        <v/>
      </c>
      <c r="H188" s="118"/>
      <c r="I188" s="34" t="str">
        <f t="shared" si="52"/>
        <v/>
      </c>
      <c r="J188" s="118"/>
      <c r="K188" s="34" t="str">
        <f t="shared" si="53"/>
        <v/>
      </c>
      <c r="L188" s="118"/>
      <c r="M188" s="121"/>
      <c r="N188" s="122" t="str">
        <f t="shared" si="54"/>
        <v/>
      </c>
      <c r="O188" s="35" t="str">
        <f t="shared" si="55"/>
        <v/>
      </c>
      <c r="P188" s="124"/>
      <c r="Q188" s="36" t="str">
        <f t="shared" si="67"/>
        <v/>
      </c>
      <c r="R188" s="46" t="str">
        <f t="shared" si="56"/>
        <v/>
      </c>
      <c r="S188" s="38" t="str">
        <f t="shared" si="57"/>
        <v/>
      </c>
      <c r="T188" s="39" t="str">
        <f t="shared" si="58"/>
        <v/>
      </c>
      <c r="U188" s="40" t="str">
        <f t="shared" si="59"/>
        <v/>
      </c>
      <c r="V188" s="39" t="str">
        <f t="shared" si="60"/>
        <v/>
      </c>
      <c r="W188" s="34" t="str">
        <f t="shared" si="61"/>
        <v/>
      </c>
      <c r="X188" s="41" t="str">
        <f t="shared" si="68"/>
        <v/>
      </c>
      <c r="Y188" s="98" t="str">
        <f t="shared" si="62"/>
        <v/>
      </c>
      <c r="Z188" s="16" t="str">
        <f t="shared" si="69"/>
        <v/>
      </c>
      <c r="AB188" s="139"/>
      <c r="AC188" s="146" t="str">
        <f t="shared" si="72"/>
        <v/>
      </c>
      <c r="AD188" s="148" t="str">
        <f t="shared" si="70"/>
        <v/>
      </c>
      <c r="AE188" s="147" t="str">
        <f t="shared" si="63"/>
        <v/>
      </c>
      <c r="AF188" s="111" t="str">
        <f t="shared" si="64"/>
        <v/>
      </c>
      <c r="AG188" s="111" t="str">
        <f t="shared" si="65"/>
        <v/>
      </c>
      <c r="AH188" s="112" t="str">
        <f t="shared" si="66"/>
        <v/>
      </c>
      <c r="AI188" t="str">
        <f t="shared" si="71"/>
        <v/>
      </c>
      <c r="AJ188" t="str">
        <f t="shared" si="73"/>
        <v/>
      </c>
    </row>
    <row r="189" spans="1:36" ht="15" customHeight="1" x14ac:dyDescent="0.25">
      <c r="A189" s="114"/>
      <c r="B189" s="116"/>
      <c r="C189" s="116"/>
      <c r="D189" s="42" t="str">
        <f t="shared" si="50"/>
        <v/>
      </c>
      <c r="E189" s="43"/>
      <c r="F189" s="118"/>
      <c r="G189" s="44" t="str">
        <f t="shared" si="51"/>
        <v/>
      </c>
      <c r="H189" s="118"/>
      <c r="I189" s="34" t="str">
        <f t="shared" si="52"/>
        <v/>
      </c>
      <c r="J189" s="118"/>
      <c r="K189" s="34" t="str">
        <f t="shared" si="53"/>
        <v/>
      </c>
      <c r="L189" s="118"/>
      <c r="M189" s="121"/>
      <c r="N189" s="122" t="str">
        <f t="shared" si="54"/>
        <v/>
      </c>
      <c r="O189" s="35" t="str">
        <f t="shared" si="55"/>
        <v/>
      </c>
      <c r="P189" s="124"/>
      <c r="Q189" s="36" t="str">
        <f t="shared" si="67"/>
        <v/>
      </c>
      <c r="R189" s="46" t="str">
        <f t="shared" si="56"/>
        <v/>
      </c>
      <c r="S189" s="38" t="str">
        <f t="shared" si="57"/>
        <v/>
      </c>
      <c r="T189" s="39" t="str">
        <f t="shared" si="58"/>
        <v/>
      </c>
      <c r="U189" s="40" t="str">
        <f t="shared" si="59"/>
        <v/>
      </c>
      <c r="V189" s="39" t="str">
        <f t="shared" si="60"/>
        <v/>
      </c>
      <c r="W189" s="34" t="str">
        <f t="shared" si="61"/>
        <v/>
      </c>
      <c r="X189" s="41" t="str">
        <f t="shared" si="68"/>
        <v/>
      </c>
      <c r="Y189" s="98" t="str">
        <f t="shared" si="62"/>
        <v/>
      </c>
      <c r="Z189" s="16" t="str">
        <f t="shared" si="69"/>
        <v/>
      </c>
      <c r="AB189" s="139"/>
      <c r="AC189" s="146" t="str">
        <f t="shared" si="72"/>
        <v/>
      </c>
      <c r="AD189" s="148" t="str">
        <f t="shared" si="70"/>
        <v/>
      </c>
      <c r="AE189" s="147" t="str">
        <f t="shared" si="63"/>
        <v/>
      </c>
      <c r="AF189" s="111" t="str">
        <f t="shared" si="64"/>
        <v/>
      </c>
      <c r="AG189" s="111" t="str">
        <f t="shared" si="65"/>
        <v/>
      </c>
      <c r="AH189" s="112" t="str">
        <f t="shared" si="66"/>
        <v/>
      </c>
      <c r="AI189" t="str">
        <f t="shared" si="71"/>
        <v/>
      </c>
      <c r="AJ189" t="str">
        <f t="shared" si="73"/>
        <v/>
      </c>
    </row>
    <row r="190" spans="1:36" ht="15" customHeight="1" x14ac:dyDescent="0.25">
      <c r="A190" s="114"/>
      <c r="B190" s="116"/>
      <c r="C190" s="116"/>
      <c r="D190" s="42" t="str">
        <f t="shared" si="50"/>
        <v/>
      </c>
      <c r="E190" s="43"/>
      <c r="F190" s="118"/>
      <c r="G190" s="44" t="str">
        <f t="shared" si="51"/>
        <v/>
      </c>
      <c r="H190" s="118"/>
      <c r="I190" s="34" t="str">
        <f t="shared" si="52"/>
        <v/>
      </c>
      <c r="J190" s="118"/>
      <c r="K190" s="34" t="str">
        <f t="shared" si="53"/>
        <v/>
      </c>
      <c r="L190" s="118"/>
      <c r="M190" s="121"/>
      <c r="N190" s="122" t="str">
        <f t="shared" si="54"/>
        <v/>
      </c>
      <c r="O190" s="35" t="str">
        <f t="shared" si="55"/>
        <v/>
      </c>
      <c r="P190" s="124"/>
      <c r="Q190" s="36" t="str">
        <f t="shared" si="67"/>
        <v/>
      </c>
      <c r="R190" s="46" t="str">
        <f t="shared" si="56"/>
        <v/>
      </c>
      <c r="S190" s="38" t="str">
        <f t="shared" si="57"/>
        <v/>
      </c>
      <c r="T190" s="39" t="str">
        <f t="shared" si="58"/>
        <v/>
      </c>
      <c r="U190" s="40" t="str">
        <f t="shared" si="59"/>
        <v/>
      </c>
      <c r="V190" s="39" t="str">
        <f t="shared" si="60"/>
        <v/>
      </c>
      <c r="W190" s="34" t="str">
        <f t="shared" si="61"/>
        <v/>
      </c>
      <c r="X190" s="41" t="str">
        <f t="shared" si="68"/>
        <v/>
      </c>
      <c r="Y190" s="98" t="str">
        <f t="shared" si="62"/>
        <v/>
      </c>
      <c r="Z190" s="16" t="str">
        <f t="shared" si="69"/>
        <v/>
      </c>
      <c r="AB190" s="139"/>
      <c r="AC190" s="146" t="str">
        <f t="shared" si="72"/>
        <v/>
      </c>
      <c r="AD190" s="148" t="str">
        <f t="shared" si="70"/>
        <v/>
      </c>
      <c r="AE190" s="147" t="str">
        <f t="shared" si="63"/>
        <v/>
      </c>
      <c r="AF190" s="111" t="str">
        <f t="shared" si="64"/>
        <v/>
      </c>
      <c r="AG190" s="111" t="str">
        <f t="shared" si="65"/>
        <v/>
      </c>
      <c r="AH190" s="112" t="str">
        <f t="shared" si="66"/>
        <v/>
      </c>
      <c r="AI190" t="str">
        <f t="shared" si="71"/>
        <v/>
      </c>
      <c r="AJ190" t="str">
        <f t="shared" si="73"/>
        <v/>
      </c>
    </row>
    <row r="191" spans="1:36" ht="15" customHeight="1" x14ac:dyDescent="0.25">
      <c r="A191" s="114"/>
      <c r="B191" s="116"/>
      <c r="C191" s="116"/>
      <c r="D191" s="42" t="str">
        <f t="shared" si="50"/>
        <v/>
      </c>
      <c r="E191" s="43"/>
      <c r="F191" s="118"/>
      <c r="G191" s="44" t="str">
        <f t="shared" si="51"/>
        <v/>
      </c>
      <c r="H191" s="118"/>
      <c r="I191" s="34" t="str">
        <f t="shared" si="52"/>
        <v/>
      </c>
      <c r="J191" s="118"/>
      <c r="K191" s="34" t="str">
        <f t="shared" si="53"/>
        <v/>
      </c>
      <c r="L191" s="118"/>
      <c r="M191" s="121"/>
      <c r="N191" s="122" t="str">
        <f t="shared" si="54"/>
        <v/>
      </c>
      <c r="O191" s="35" t="str">
        <f t="shared" si="55"/>
        <v/>
      </c>
      <c r="P191" s="124"/>
      <c r="Q191" s="36" t="str">
        <f t="shared" si="67"/>
        <v/>
      </c>
      <c r="R191" s="46" t="str">
        <f t="shared" si="56"/>
        <v/>
      </c>
      <c r="S191" s="38" t="str">
        <f t="shared" si="57"/>
        <v/>
      </c>
      <c r="T191" s="39" t="str">
        <f t="shared" si="58"/>
        <v/>
      </c>
      <c r="U191" s="40" t="str">
        <f t="shared" si="59"/>
        <v/>
      </c>
      <c r="V191" s="39" t="str">
        <f t="shared" si="60"/>
        <v/>
      </c>
      <c r="W191" s="34" t="str">
        <f t="shared" si="61"/>
        <v/>
      </c>
      <c r="X191" s="41" t="str">
        <f t="shared" si="68"/>
        <v/>
      </c>
      <c r="Y191" s="98" t="str">
        <f t="shared" si="62"/>
        <v/>
      </c>
      <c r="Z191" s="16" t="str">
        <f t="shared" si="69"/>
        <v/>
      </c>
      <c r="AB191" s="139"/>
      <c r="AC191" s="146" t="str">
        <f t="shared" si="72"/>
        <v/>
      </c>
      <c r="AD191" s="148" t="str">
        <f t="shared" si="70"/>
        <v/>
      </c>
      <c r="AE191" s="147" t="str">
        <f t="shared" si="63"/>
        <v/>
      </c>
      <c r="AF191" s="111" t="str">
        <f t="shared" si="64"/>
        <v/>
      </c>
      <c r="AG191" s="111" t="str">
        <f t="shared" si="65"/>
        <v/>
      </c>
      <c r="AH191" s="112" t="str">
        <f t="shared" si="66"/>
        <v/>
      </c>
      <c r="AI191" t="str">
        <f t="shared" si="71"/>
        <v/>
      </c>
      <c r="AJ191" t="str">
        <f t="shared" si="73"/>
        <v/>
      </c>
    </row>
    <row r="192" spans="1:36" ht="15" customHeight="1" x14ac:dyDescent="0.25">
      <c r="A192" s="114"/>
      <c r="B192" s="116"/>
      <c r="C192" s="116"/>
      <c r="D192" s="42" t="str">
        <f t="shared" si="50"/>
        <v/>
      </c>
      <c r="E192" s="43"/>
      <c r="F192" s="118"/>
      <c r="G192" s="44" t="str">
        <f t="shared" si="51"/>
        <v/>
      </c>
      <c r="H192" s="118"/>
      <c r="I192" s="34" t="str">
        <f t="shared" si="52"/>
        <v/>
      </c>
      <c r="J192" s="118"/>
      <c r="K192" s="34" t="str">
        <f t="shared" si="53"/>
        <v/>
      </c>
      <c r="L192" s="118"/>
      <c r="M192" s="121"/>
      <c r="N192" s="122" t="str">
        <f t="shared" si="54"/>
        <v/>
      </c>
      <c r="O192" s="35" t="str">
        <f t="shared" si="55"/>
        <v/>
      </c>
      <c r="P192" s="124"/>
      <c r="Q192" s="36" t="str">
        <f t="shared" si="67"/>
        <v/>
      </c>
      <c r="R192" s="46" t="str">
        <f t="shared" si="56"/>
        <v/>
      </c>
      <c r="S192" s="38" t="str">
        <f t="shared" si="57"/>
        <v/>
      </c>
      <c r="T192" s="39" t="str">
        <f t="shared" si="58"/>
        <v/>
      </c>
      <c r="U192" s="40" t="str">
        <f t="shared" si="59"/>
        <v/>
      </c>
      <c r="V192" s="39" t="str">
        <f t="shared" si="60"/>
        <v/>
      </c>
      <c r="W192" s="34" t="str">
        <f t="shared" si="61"/>
        <v/>
      </c>
      <c r="X192" s="41" t="str">
        <f t="shared" si="68"/>
        <v/>
      </c>
      <c r="Y192" s="98" t="str">
        <f t="shared" si="62"/>
        <v/>
      </c>
      <c r="Z192" s="16" t="str">
        <f t="shared" si="69"/>
        <v/>
      </c>
      <c r="AB192" s="139"/>
      <c r="AC192" s="146" t="str">
        <f t="shared" si="72"/>
        <v/>
      </c>
      <c r="AD192" s="148" t="str">
        <f t="shared" si="70"/>
        <v/>
      </c>
      <c r="AE192" s="147" t="str">
        <f t="shared" si="63"/>
        <v/>
      </c>
      <c r="AF192" s="111" t="str">
        <f t="shared" si="64"/>
        <v/>
      </c>
      <c r="AG192" s="111" t="str">
        <f t="shared" si="65"/>
        <v/>
      </c>
      <c r="AH192" s="112" t="str">
        <f t="shared" si="66"/>
        <v/>
      </c>
      <c r="AI192" t="str">
        <f t="shared" si="71"/>
        <v/>
      </c>
      <c r="AJ192" t="str">
        <f t="shared" si="73"/>
        <v/>
      </c>
    </row>
    <row r="193" spans="1:36" ht="15" customHeight="1" x14ac:dyDescent="0.25">
      <c r="A193" s="114"/>
      <c r="B193" s="116"/>
      <c r="C193" s="116"/>
      <c r="D193" s="42" t="str">
        <f t="shared" si="50"/>
        <v/>
      </c>
      <c r="E193" s="43"/>
      <c r="F193" s="118"/>
      <c r="G193" s="44" t="str">
        <f t="shared" si="51"/>
        <v/>
      </c>
      <c r="H193" s="118"/>
      <c r="I193" s="34" t="str">
        <f t="shared" si="52"/>
        <v/>
      </c>
      <c r="J193" s="118"/>
      <c r="K193" s="34" t="str">
        <f t="shared" si="53"/>
        <v/>
      </c>
      <c r="L193" s="118"/>
      <c r="M193" s="121"/>
      <c r="N193" s="122" t="str">
        <f t="shared" si="54"/>
        <v/>
      </c>
      <c r="O193" s="35" t="str">
        <f t="shared" si="55"/>
        <v/>
      </c>
      <c r="P193" s="124"/>
      <c r="Q193" s="36" t="str">
        <f t="shared" si="67"/>
        <v/>
      </c>
      <c r="R193" s="46" t="str">
        <f t="shared" si="56"/>
        <v/>
      </c>
      <c r="S193" s="38" t="str">
        <f t="shared" si="57"/>
        <v/>
      </c>
      <c r="T193" s="39" t="str">
        <f t="shared" si="58"/>
        <v/>
      </c>
      <c r="U193" s="40" t="str">
        <f t="shared" si="59"/>
        <v/>
      </c>
      <c r="V193" s="39" t="str">
        <f t="shared" si="60"/>
        <v/>
      </c>
      <c r="W193" s="34" t="str">
        <f t="shared" si="61"/>
        <v/>
      </c>
      <c r="X193" s="41" t="str">
        <f t="shared" si="68"/>
        <v/>
      </c>
      <c r="Y193" s="98" t="str">
        <f t="shared" si="62"/>
        <v/>
      </c>
      <c r="Z193" s="16" t="str">
        <f t="shared" si="69"/>
        <v/>
      </c>
      <c r="AB193" s="139"/>
      <c r="AC193" s="146" t="str">
        <f t="shared" si="72"/>
        <v/>
      </c>
      <c r="AD193" s="148" t="str">
        <f t="shared" si="70"/>
        <v/>
      </c>
      <c r="AE193" s="147" t="str">
        <f t="shared" si="63"/>
        <v/>
      </c>
      <c r="AF193" s="111" t="str">
        <f t="shared" si="64"/>
        <v/>
      </c>
      <c r="AG193" s="111" t="str">
        <f t="shared" si="65"/>
        <v/>
      </c>
      <c r="AH193" s="112" t="str">
        <f t="shared" si="66"/>
        <v/>
      </c>
      <c r="AI193" t="str">
        <f t="shared" si="71"/>
        <v/>
      </c>
      <c r="AJ193" t="str">
        <f t="shared" si="73"/>
        <v/>
      </c>
    </row>
    <row r="194" spans="1:36" ht="15" customHeight="1" x14ac:dyDescent="0.25">
      <c r="A194" s="114"/>
      <c r="B194" s="116"/>
      <c r="C194" s="116"/>
      <c r="D194" s="42" t="str">
        <f t="shared" si="50"/>
        <v/>
      </c>
      <c r="E194" s="43"/>
      <c r="F194" s="118"/>
      <c r="G194" s="44" t="str">
        <f t="shared" si="51"/>
        <v/>
      </c>
      <c r="H194" s="118"/>
      <c r="I194" s="34" t="str">
        <f t="shared" si="52"/>
        <v/>
      </c>
      <c r="J194" s="118"/>
      <c r="K194" s="34" t="str">
        <f t="shared" si="53"/>
        <v/>
      </c>
      <c r="L194" s="118"/>
      <c r="M194" s="121"/>
      <c r="N194" s="122" t="str">
        <f t="shared" si="54"/>
        <v/>
      </c>
      <c r="O194" s="35" t="str">
        <f t="shared" si="55"/>
        <v/>
      </c>
      <c r="P194" s="124"/>
      <c r="Q194" s="36" t="str">
        <f t="shared" si="67"/>
        <v/>
      </c>
      <c r="R194" s="46" t="str">
        <f t="shared" si="56"/>
        <v/>
      </c>
      <c r="S194" s="38" t="str">
        <f t="shared" si="57"/>
        <v/>
      </c>
      <c r="T194" s="39" t="str">
        <f t="shared" si="58"/>
        <v/>
      </c>
      <c r="U194" s="40" t="str">
        <f t="shared" si="59"/>
        <v/>
      </c>
      <c r="V194" s="39" t="str">
        <f t="shared" si="60"/>
        <v/>
      </c>
      <c r="W194" s="34" t="str">
        <f t="shared" si="61"/>
        <v/>
      </c>
      <c r="X194" s="41" t="str">
        <f t="shared" si="68"/>
        <v/>
      </c>
      <c r="Y194" s="98" t="str">
        <f t="shared" si="62"/>
        <v/>
      </c>
      <c r="Z194" s="16" t="str">
        <f t="shared" si="69"/>
        <v/>
      </c>
      <c r="AB194" s="139"/>
      <c r="AC194" s="146" t="str">
        <f t="shared" si="72"/>
        <v/>
      </c>
      <c r="AD194" s="148" t="str">
        <f t="shared" si="70"/>
        <v/>
      </c>
      <c r="AE194" s="147" t="str">
        <f t="shared" si="63"/>
        <v/>
      </c>
      <c r="AF194" s="111" t="str">
        <f t="shared" si="64"/>
        <v/>
      </c>
      <c r="AG194" s="111" t="str">
        <f t="shared" si="65"/>
        <v/>
      </c>
      <c r="AH194" s="112" t="str">
        <f t="shared" si="66"/>
        <v/>
      </c>
      <c r="AI194" t="str">
        <f t="shared" si="71"/>
        <v/>
      </c>
      <c r="AJ194" t="str">
        <f t="shared" si="73"/>
        <v/>
      </c>
    </row>
    <row r="195" spans="1:36" ht="15" customHeight="1" x14ac:dyDescent="0.25">
      <c r="A195" s="114"/>
      <c r="B195" s="116"/>
      <c r="C195" s="116"/>
      <c r="D195" s="42" t="str">
        <f t="shared" si="50"/>
        <v/>
      </c>
      <c r="E195" s="43"/>
      <c r="F195" s="118"/>
      <c r="G195" s="44" t="str">
        <f t="shared" si="51"/>
        <v/>
      </c>
      <c r="H195" s="118"/>
      <c r="I195" s="34" t="str">
        <f t="shared" si="52"/>
        <v/>
      </c>
      <c r="J195" s="118"/>
      <c r="K195" s="34" t="str">
        <f t="shared" si="53"/>
        <v/>
      </c>
      <c r="L195" s="118"/>
      <c r="M195" s="121"/>
      <c r="N195" s="122" t="str">
        <f t="shared" si="54"/>
        <v/>
      </c>
      <c r="O195" s="35" t="str">
        <f t="shared" si="55"/>
        <v/>
      </c>
      <c r="P195" s="124"/>
      <c r="Q195" s="36" t="str">
        <f t="shared" si="67"/>
        <v/>
      </c>
      <c r="R195" s="46" t="str">
        <f t="shared" si="56"/>
        <v/>
      </c>
      <c r="S195" s="38" t="str">
        <f t="shared" si="57"/>
        <v/>
      </c>
      <c r="T195" s="39" t="str">
        <f t="shared" si="58"/>
        <v/>
      </c>
      <c r="U195" s="40" t="str">
        <f t="shared" si="59"/>
        <v/>
      </c>
      <c r="V195" s="39" t="str">
        <f t="shared" si="60"/>
        <v/>
      </c>
      <c r="W195" s="34" t="str">
        <f t="shared" si="61"/>
        <v/>
      </c>
      <c r="X195" s="41" t="str">
        <f t="shared" si="68"/>
        <v/>
      </c>
      <c r="Y195" s="98" t="str">
        <f t="shared" si="62"/>
        <v/>
      </c>
      <c r="Z195" s="16" t="str">
        <f t="shared" si="69"/>
        <v/>
      </c>
      <c r="AB195" s="139"/>
      <c r="AC195" s="146" t="str">
        <f t="shared" si="72"/>
        <v/>
      </c>
      <c r="AD195" s="148" t="str">
        <f t="shared" si="70"/>
        <v/>
      </c>
      <c r="AE195" s="147" t="str">
        <f t="shared" si="63"/>
        <v/>
      </c>
      <c r="AF195" s="111" t="str">
        <f t="shared" si="64"/>
        <v/>
      </c>
      <c r="AG195" s="111" t="str">
        <f t="shared" si="65"/>
        <v/>
      </c>
      <c r="AH195" s="112" t="str">
        <f t="shared" si="66"/>
        <v/>
      </c>
      <c r="AI195" t="str">
        <f t="shared" si="71"/>
        <v/>
      </c>
      <c r="AJ195" t="str">
        <f t="shared" si="73"/>
        <v/>
      </c>
    </row>
    <row r="196" spans="1:36" ht="15" customHeight="1" x14ac:dyDescent="0.25">
      <c r="A196" s="114"/>
      <c r="B196" s="116"/>
      <c r="C196" s="116"/>
      <c r="D196" s="42" t="str">
        <f t="shared" si="50"/>
        <v/>
      </c>
      <c r="E196" s="43"/>
      <c r="F196" s="118"/>
      <c r="G196" s="44" t="str">
        <f t="shared" si="51"/>
        <v/>
      </c>
      <c r="H196" s="118"/>
      <c r="I196" s="34" t="str">
        <f t="shared" si="52"/>
        <v/>
      </c>
      <c r="J196" s="118"/>
      <c r="K196" s="34" t="str">
        <f t="shared" si="53"/>
        <v/>
      </c>
      <c r="L196" s="118"/>
      <c r="M196" s="121"/>
      <c r="N196" s="122" t="str">
        <f t="shared" si="54"/>
        <v/>
      </c>
      <c r="O196" s="35" t="str">
        <f t="shared" si="55"/>
        <v/>
      </c>
      <c r="P196" s="124"/>
      <c r="Q196" s="36" t="str">
        <f t="shared" si="67"/>
        <v/>
      </c>
      <c r="R196" s="46" t="str">
        <f t="shared" si="56"/>
        <v/>
      </c>
      <c r="S196" s="38" t="str">
        <f t="shared" si="57"/>
        <v/>
      </c>
      <c r="T196" s="39" t="str">
        <f t="shared" si="58"/>
        <v/>
      </c>
      <c r="U196" s="40" t="str">
        <f t="shared" si="59"/>
        <v/>
      </c>
      <c r="V196" s="39" t="str">
        <f t="shared" si="60"/>
        <v/>
      </c>
      <c r="W196" s="34" t="str">
        <f t="shared" si="61"/>
        <v/>
      </c>
      <c r="X196" s="41" t="str">
        <f t="shared" si="68"/>
        <v/>
      </c>
      <c r="Y196" s="98" t="str">
        <f t="shared" si="62"/>
        <v/>
      </c>
      <c r="Z196" s="16" t="str">
        <f t="shared" si="69"/>
        <v/>
      </c>
      <c r="AB196" s="139"/>
      <c r="AC196" s="146" t="str">
        <f t="shared" si="72"/>
        <v/>
      </c>
      <c r="AD196" s="148" t="str">
        <f t="shared" si="70"/>
        <v/>
      </c>
      <c r="AE196" s="147" t="str">
        <f t="shared" si="63"/>
        <v/>
      </c>
      <c r="AF196" s="111" t="str">
        <f t="shared" si="64"/>
        <v/>
      </c>
      <c r="AG196" s="111" t="str">
        <f t="shared" si="65"/>
        <v/>
      </c>
      <c r="AH196" s="112" t="str">
        <f t="shared" si="66"/>
        <v/>
      </c>
      <c r="AI196" t="str">
        <f t="shared" si="71"/>
        <v/>
      </c>
      <c r="AJ196" t="str">
        <f t="shared" si="73"/>
        <v/>
      </c>
    </row>
    <row r="197" spans="1:36" ht="15" customHeight="1" x14ac:dyDescent="0.25">
      <c r="A197" s="114"/>
      <c r="B197" s="116"/>
      <c r="C197" s="116"/>
      <c r="D197" s="42" t="str">
        <f t="shared" si="50"/>
        <v/>
      </c>
      <c r="E197" s="43"/>
      <c r="F197" s="118"/>
      <c r="G197" s="44" t="str">
        <f t="shared" si="51"/>
        <v/>
      </c>
      <c r="H197" s="118"/>
      <c r="I197" s="34" t="str">
        <f t="shared" si="52"/>
        <v/>
      </c>
      <c r="J197" s="118"/>
      <c r="K197" s="34" t="str">
        <f t="shared" si="53"/>
        <v/>
      </c>
      <c r="L197" s="118"/>
      <c r="M197" s="121"/>
      <c r="N197" s="122" t="str">
        <f t="shared" si="54"/>
        <v/>
      </c>
      <c r="O197" s="35" t="str">
        <f t="shared" si="55"/>
        <v/>
      </c>
      <c r="P197" s="124"/>
      <c r="Q197" s="36" t="str">
        <f t="shared" si="67"/>
        <v/>
      </c>
      <c r="R197" s="46" t="str">
        <f t="shared" si="56"/>
        <v/>
      </c>
      <c r="S197" s="38" t="str">
        <f t="shared" si="57"/>
        <v/>
      </c>
      <c r="T197" s="39" t="str">
        <f t="shared" si="58"/>
        <v/>
      </c>
      <c r="U197" s="40" t="str">
        <f t="shared" si="59"/>
        <v/>
      </c>
      <c r="V197" s="39" t="str">
        <f t="shared" si="60"/>
        <v/>
      </c>
      <c r="W197" s="34" t="str">
        <f t="shared" si="61"/>
        <v/>
      </c>
      <c r="X197" s="41" t="str">
        <f t="shared" si="68"/>
        <v/>
      </c>
      <c r="Y197" s="98" t="str">
        <f t="shared" si="62"/>
        <v/>
      </c>
      <c r="Z197" s="16" t="str">
        <f t="shared" si="69"/>
        <v/>
      </c>
      <c r="AB197" s="139"/>
      <c r="AC197" s="146" t="str">
        <f t="shared" si="72"/>
        <v/>
      </c>
      <c r="AD197" s="148" t="str">
        <f t="shared" si="70"/>
        <v/>
      </c>
      <c r="AE197" s="147" t="str">
        <f t="shared" si="63"/>
        <v/>
      </c>
      <c r="AF197" s="111" t="str">
        <f t="shared" si="64"/>
        <v/>
      </c>
      <c r="AG197" s="111" t="str">
        <f t="shared" si="65"/>
        <v/>
      </c>
      <c r="AH197" s="112" t="str">
        <f t="shared" si="66"/>
        <v/>
      </c>
      <c r="AI197" t="str">
        <f t="shared" si="71"/>
        <v/>
      </c>
      <c r="AJ197" t="str">
        <f t="shared" si="73"/>
        <v/>
      </c>
    </row>
    <row r="198" spans="1:36" ht="15" customHeight="1" x14ac:dyDescent="0.25">
      <c r="A198" s="114"/>
      <c r="B198" s="116"/>
      <c r="C198" s="116"/>
      <c r="D198" s="42" t="str">
        <f t="shared" si="50"/>
        <v/>
      </c>
      <c r="E198" s="43"/>
      <c r="F198" s="118"/>
      <c r="G198" s="44" t="str">
        <f t="shared" si="51"/>
        <v/>
      </c>
      <c r="H198" s="118"/>
      <c r="I198" s="34" t="str">
        <f t="shared" si="52"/>
        <v/>
      </c>
      <c r="J198" s="118"/>
      <c r="K198" s="34" t="str">
        <f t="shared" si="53"/>
        <v/>
      </c>
      <c r="L198" s="118"/>
      <c r="M198" s="121"/>
      <c r="N198" s="122" t="str">
        <f t="shared" si="54"/>
        <v/>
      </c>
      <c r="O198" s="35" t="str">
        <f t="shared" si="55"/>
        <v/>
      </c>
      <c r="P198" s="124"/>
      <c r="Q198" s="36" t="str">
        <f t="shared" si="67"/>
        <v/>
      </c>
      <c r="R198" s="46" t="str">
        <f t="shared" si="56"/>
        <v/>
      </c>
      <c r="S198" s="38" t="str">
        <f t="shared" si="57"/>
        <v/>
      </c>
      <c r="T198" s="39" t="str">
        <f t="shared" si="58"/>
        <v/>
      </c>
      <c r="U198" s="40" t="str">
        <f t="shared" si="59"/>
        <v/>
      </c>
      <c r="V198" s="39" t="str">
        <f t="shared" si="60"/>
        <v/>
      </c>
      <c r="W198" s="34" t="str">
        <f t="shared" si="61"/>
        <v/>
      </c>
      <c r="X198" s="41" t="str">
        <f t="shared" si="68"/>
        <v/>
      </c>
      <c r="Y198" s="98" t="str">
        <f t="shared" si="62"/>
        <v/>
      </c>
      <c r="Z198" s="16" t="str">
        <f t="shared" si="69"/>
        <v/>
      </c>
      <c r="AB198" s="139"/>
      <c r="AC198" s="146" t="str">
        <f t="shared" si="72"/>
        <v/>
      </c>
      <c r="AD198" s="148" t="str">
        <f t="shared" si="70"/>
        <v/>
      </c>
      <c r="AE198" s="147" t="str">
        <f t="shared" si="63"/>
        <v/>
      </c>
      <c r="AF198" s="111" t="str">
        <f t="shared" si="64"/>
        <v/>
      </c>
      <c r="AG198" s="111" t="str">
        <f t="shared" si="65"/>
        <v/>
      </c>
      <c r="AH198" s="112" t="str">
        <f t="shared" si="66"/>
        <v/>
      </c>
      <c r="AI198" t="str">
        <f t="shared" si="71"/>
        <v/>
      </c>
      <c r="AJ198" t="str">
        <f t="shared" si="73"/>
        <v/>
      </c>
    </row>
    <row r="199" spans="1:36" ht="15" customHeight="1" x14ac:dyDescent="0.25">
      <c r="A199" s="114"/>
      <c r="B199" s="116"/>
      <c r="C199" s="116"/>
      <c r="D199" s="42" t="str">
        <f t="shared" si="50"/>
        <v/>
      </c>
      <c r="E199" s="43"/>
      <c r="F199" s="118"/>
      <c r="G199" s="44" t="str">
        <f t="shared" si="51"/>
        <v/>
      </c>
      <c r="H199" s="118"/>
      <c r="I199" s="34" t="str">
        <f t="shared" si="52"/>
        <v/>
      </c>
      <c r="J199" s="118"/>
      <c r="K199" s="34" t="str">
        <f t="shared" si="53"/>
        <v/>
      </c>
      <c r="L199" s="118"/>
      <c r="M199" s="121"/>
      <c r="N199" s="122" t="str">
        <f t="shared" si="54"/>
        <v/>
      </c>
      <c r="O199" s="35" t="str">
        <f t="shared" si="55"/>
        <v/>
      </c>
      <c r="P199" s="124"/>
      <c r="Q199" s="36" t="str">
        <f t="shared" si="67"/>
        <v/>
      </c>
      <c r="R199" s="46" t="str">
        <f t="shared" si="56"/>
        <v/>
      </c>
      <c r="S199" s="38" t="str">
        <f t="shared" si="57"/>
        <v/>
      </c>
      <c r="T199" s="39" t="str">
        <f t="shared" si="58"/>
        <v/>
      </c>
      <c r="U199" s="40" t="str">
        <f t="shared" si="59"/>
        <v/>
      </c>
      <c r="V199" s="39" t="str">
        <f t="shared" si="60"/>
        <v/>
      </c>
      <c r="W199" s="34" t="str">
        <f t="shared" si="61"/>
        <v/>
      </c>
      <c r="X199" s="41" t="str">
        <f t="shared" si="68"/>
        <v/>
      </c>
      <c r="Y199" s="98" t="str">
        <f t="shared" si="62"/>
        <v/>
      </c>
      <c r="Z199" s="16" t="str">
        <f t="shared" si="69"/>
        <v/>
      </c>
      <c r="AB199" s="139"/>
      <c r="AC199" s="146" t="str">
        <f t="shared" si="72"/>
        <v/>
      </c>
      <c r="AD199" s="148" t="str">
        <f t="shared" si="70"/>
        <v/>
      </c>
      <c r="AE199" s="147" t="str">
        <f t="shared" si="63"/>
        <v/>
      </c>
      <c r="AF199" s="111" t="str">
        <f t="shared" si="64"/>
        <v/>
      </c>
      <c r="AG199" s="111" t="str">
        <f t="shared" si="65"/>
        <v/>
      </c>
      <c r="AH199" s="112" t="str">
        <f t="shared" si="66"/>
        <v/>
      </c>
      <c r="AI199" t="str">
        <f t="shared" si="71"/>
        <v/>
      </c>
      <c r="AJ199" t="str">
        <f t="shared" si="73"/>
        <v/>
      </c>
    </row>
    <row r="200" spans="1:36" ht="15" customHeight="1" x14ac:dyDescent="0.25">
      <c r="A200" s="114"/>
      <c r="B200" s="116"/>
      <c r="C200" s="116"/>
      <c r="D200" s="42" t="str">
        <f t="shared" ref="D200:D263" si="74">IF(A200="","",B200*C200)</f>
        <v/>
      </c>
      <c r="E200" s="43"/>
      <c r="F200" s="118"/>
      <c r="G200" s="44" t="str">
        <f t="shared" ref="G200:G263" si="75">IF(A200="","",F200*B200)</f>
        <v/>
      </c>
      <c r="H200" s="118"/>
      <c r="I200" s="34" t="str">
        <f t="shared" ref="I200:I263" si="76">IF(OR(H200=0,C200=0,H200="",C200=""),"",H200/C200)</f>
        <v/>
      </c>
      <c r="J200" s="118"/>
      <c r="K200" s="34" t="str">
        <f t="shared" ref="K200:K263" si="77">IF(OR(J200=0,C200=0,J200="",C200=""),"",J200/C200)</f>
        <v/>
      </c>
      <c r="L200" s="118"/>
      <c r="M200" s="121"/>
      <c r="N200" s="122" t="str">
        <f t="shared" ref="N200:N263" si="78">IF(A200="","",IF(P200&gt;0,IF(G200&gt;0,P200/G200,0),IF(E200&gt;0,0,IF($I$3&gt;0,IF($I$4&gt;0,MAX($I$3-SUM($P$8:$P$1007),0)/$I$4,0),$I$2))))</f>
        <v/>
      </c>
      <c r="O200" s="35" t="str">
        <f t="shared" ref="O200:O263" si="79">IF(A200="","",IF(P200&gt;0,P200,IF(E200&gt;0,0,G200*IF($I$3&gt;0,IF($I$4&gt;0,MAX($I$3-SUM($P$8:$P$1007),0)/$I$4,0),$I$2))))</f>
        <v/>
      </c>
      <c r="P200" s="124"/>
      <c r="Q200" s="36" t="str">
        <f t="shared" si="67"/>
        <v/>
      </c>
      <c r="R200" s="46" t="str">
        <f t="shared" ref="R200:R263" si="80">IF(OR(A200="",Q200=""),"",Q200*C200)</f>
        <v/>
      </c>
      <c r="S200" s="38" t="str">
        <f t="shared" ref="S200:S263" si="81">IF(OR(A200="",H200&lt;=0,R200=""),"",(H200-R200)/H200)</f>
        <v/>
      </c>
      <c r="T200" s="39" t="str">
        <f t="shared" ref="T200:T263" si="82">IF(OR(H200=0,R200=0,H200="",R200=""),"",H200-R200)</f>
        <v/>
      </c>
      <c r="U200" s="40" t="str">
        <f t="shared" ref="U200:U263" si="83">IF(OR(A200="",J200&lt;=0,R200=""),"",(J200-R200)/J200)</f>
        <v/>
      </c>
      <c r="V200" s="39" t="str">
        <f t="shared" ref="V200:V263" si="84">IF(OR(J200=0,R200=0,J200="",R200=""),"",J200-R200)</f>
        <v/>
      </c>
      <c r="W200" s="34" t="str">
        <f t="shared" ref="W200:W263" si="85">IF(OR(G200="",G200=0,$M$5="",$K$3=0),"",($M$5/$K$3)*G200)</f>
        <v/>
      </c>
      <c r="X200" s="41" t="str">
        <f t="shared" si="68"/>
        <v/>
      </c>
      <c r="Y200" s="98" t="str">
        <f t="shared" ref="Y200:Y263" si="86">IF(OR(Q200=0,Q200="",D200=0,D200=""),"",Q200*(D200+E200))</f>
        <v/>
      </c>
      <c r="Z200" s="16" t="str">
        <f t="shared" si="69"/>
        <v/>
      </c>
      <c r="AB200" s="139"/>
      <c r="AC200" s="146" t="str">
        <f t="shared" si="72"/>
        <v/>
      </c>
      <c r="AD200" s="148" t="str">
        <f t="shared" si="70"/>
        <v/>
      </c>
      <c r="AE200" s="147" t="str">
        <f t="shared" ref="AE200:AE263" si="87">IF(AD200="","",AD200*$AC$1+IF(SUM($AD$8:$AD$1007)=0,0,$AC$2*AD200/SUM($AD$8:$AD$1007)))</f>
        <v/>
      </c>
      <c r="AF200" s="111" t="str">
        <f t="shared" ref="AF200:AF263" si="88">IF(AD200="","",AD200-AE200)</f>
        <v/>
      </c>
      <c r="AG200" s="111" t="str">
        <f t="shared" ref="AG200:AG263" si="89">IF(AF200="","",AH200-AF200)</f>
        <v/>
      </c>
      <c r="AH200" s="112" t="str">
        <f t="shared" ref="AH200:AH263" si="90">IF(AF200="","",ROUND(AF200,0))</f>
        <v/>
      </c>
      <c r="AI200" t="str">
        <f t="shared" si="71"/>
        <v/>
      </c>
      <c r="AJ200" t="str">
        <f t="shared" si="73"/>
        <v/>
      </c>
    </row>
    <row r="201" spans="1:36" ht="15" customHeight="1" x14ac:dyDescent="0.25">
      <c r="A201" s="114"/>
      <c r="B201" s="116"/>
      <c r="C201" s="116"/>
      <c r="D201" s="42" t="str">
        <f t="shared" si="74"/>
        <v/>
      </c>
      <c r="E201" s="43"/>
      <c r="F201" s="118"/>
      <c r="G201" s="44" t="str">
        <f t="shared" si="75"/>
        <v/>
      </c>
      <c r="H201" s="118"/>
      <c r="I201" s="34" t="str">
        <f t="shared" si="76"/>
        <v/>
      </c>
      <c r="J201" s="118"/>
      <c r="K201" s="34" t="str">
        <f t="shared" si="77"/>
        <v/>
      </c>
      <c r="L201" s="118"/>
      <c r="M201" s="121"/>
      <c r="N201" s="122" t="str">
        <f t="shared" si="78"/>
        <v/>
      </c>
      <c r="O201" s="35" t="str">
        <f t="shared" si="79"/>
        <v/>
      </c>
      <c r="P201" s="124"/>
      <c r="Q201" s="36" t="str">
        <f t="shared" ref="Q201:Q264" si="91">IF(A201="","",IF(OR(B201=0,B201="",C201&lt;=0,D201+E201&lt;=0),"",(G201-O201)/(D201+E201)-IF(W201&gt;=0,W201/D201,0)+IF(ISNUMBER(X201),X201/(D201+E201),0)))</f>
        <v/>
      </c>
      <c r="R201" s="46" t="str">
        <f t="shared" si="80"/>
        <v/>
      </c>
      <c r="S201" s="38" t="str">
        <f t="shared" si="81"/>
        <v/>
      </c>
      <c r="T201" s="39" t="str">
        <f t="shared" si="82"/>
        <v/>
      </c>
      <c r="U201" s="40" t="str">
        <f t="shared" si="83"/>
        <v/>
      </c>
      <c r="V201" s="39" t="str">
        <f t="shared" si="84"/>
        <v/>
      </c>
      <c r="W201" s="34" t="str">
        <f t="shared" si="85"/>
        <v/>
      </c>
      <c r="X201" s="41" t="str">
        <f t="shared" ref="X201:X264" si="92">IF(OR(G201="",G201=0,($K$3-$K$2)=0),"",($I$1/($K$3-$K$2))*(G201-O201))</f>
        <v/>
      </c>
      <c r="Y201" s="98" t="str">
        <f t="shared" si="86"/>
        <v/>
      </c>
      <c r="Z201" s="16" t="str">
        <f t="shared" ref="Z201:Z264" si="93">IF(OR(B201=0,B201=""),"",G201)</f>
        <v/>
      </c>
      <c r="AB201" s="139"/>
      <c r="AC201" s="146" t="str">
        <f t="shared" si="72"/>
        <v/>
      </c>
      <c r="AD201" s="148" t="str">
        <f t="shared" ref="AD201:AD264" si="94">IF(OR(AB201="",AC201=""),"",AB201*AC201)</f>
        <v/>
      </c>
      <c r="AE201" s="147" t="str">
        <f t="shared" si="87"/>
        <v/>
      </c>
      <c r="AF201" s="111" t="str">
        <f t="shared" si="88"/>
        <v/>
      </c>
      <c r="AG201" s="111" t="str">
        <f t="shared" si="89"/>
        <v/>
      </c>
      <c r="AH201" s="112" t="str">
        <f t="shared" si="90"/>
        <v/>
      </c>
      <c r="AI201" t="str">
        <f t="shared" ref="AI201:AI264" si="95">IF(OR(AB201=0,AB201=""),"",AE201/AB201)</f>
        <v/>
      </c>
      <c r="AJ201" t="str">
        <f t="shared" si="73"/>
        <v/>
      </c>
    </row>
    <row r="202" spans="1:36" ht="15" customHeight="1" x14ac:dyDescent="0.25">
      <c r="A202" s="114"/>
      <c r="B202" s="116"/>
      <c r="C202" s="116"/>
      <c r="D202" s="42" t="str">
        <f t="shared" si="74"/>
        <v/>
      </c>
      <c r="E202" s="43"/>
      <c r="F202" s="118"/>
      <c r="G202" s="44" t="str">
        <f t="shared" si="75"/>
        <v/>
      </c>
      <c r="H202" s="118"/>
      <c r="I202" s="34" t="str">
        <f t="shared" si="76"/>
        <v/>
      </c>
      <c r="J202" s="118"/>
      <c r="K202" s="34" t="str">
        <f t="shared" si="77"/>
        <v/>
      </c>
      <c r="L202" s="118"/>
      <c r="M202" s="121"/>
      <c r="N202" s="122" t="str">
        <f t="shared" si="78"/>
        <v/>
      </c>
      <c r="O202" s="35" t="str">
        <f t="shared" si="79"/>
        <v/>
      </c>
      <c r="P202" s="124"/>
      <c r="Q202" s="36" t="str">
        <f t="shared" si="91"/>
        <v/>
      </c>
      <c r="R202" s="46" t="str">
        <f t="shared" si="80"/>
        <v/>
      </c>
      <c r="S202" s="38" t="str">
        <f t="shared" si="81"/>
        <v/>
      </c>
      <c r="T202" s="39" t="str">
        <f t="shared" si="82"/>
        <v/>
      </c>
      <c r="U202" s="40" t="str">
        <f t="shared" si="83"/>
        <v/>
      </c>
      <c r="V202" s="39" t="str">
        <f t="shared" si="84"/>
        <v/>
      </c>
      <c r="W202" s="34" t="str">
        <f t="shared" si="85"/>
        <v/>
      </c>
      <c r="X202" s="41" t="str">
        <f t="shared" si="92"/>
        <v/>
      </c>
      <c r="Y202" s="98" t="str">
        <f t="shared" si="86"/>
        <v/>
      </c>
      <c r="Z202" s="16" t="str">
        <f t="shared" si="93"/>
        <v/>
      </c>
      <c r="AB202" s="139"/>
      <c r="AC202" s="146" t="str">
        <f t="shared" si="72"/>
        <v/>
      </c>
      <c r="AD202" s="148" t="str">
        <f t="shared" si="94"/>
        <v/>
      </c>
      <c r="AE202" s="147" t="str">
        <f t="shared" si="87"/>
        <v/>
      </c>
      <c r="AF202" s="111" t="str">
        <f t="shared" si="88"/>
        <v/>
      </c>
      <c r="AG202" s="111" t="str">
        <f t="shared" si="89"/>
        <v/>
      </c>
      <c r="AH202" s="112" t="str">
        <f t="shared" si="90"/>
        <v/>
      </c>
      <c r="AI202" t="str">
        <f t="shared" si="95"/>
        <v/>
      </c>
      <c r="AJ202" t="str">
        <f t="shared" si="73"/>
        <v/>
      </c>
    </row>
    <row r="203" spans="1:36" ht="15" customHeight="1" x14ac:dyDescent="0.25">
      <c r="A203" s="114"/>
      <c r="B203" s="116"/>
      <c r="C203" s="116"/>
      <c r="D203" s="42" t="str">
        <f t="shared" si="74"/>
        <v/>
      </c>
      <c r="E203" s="43"/>
      <c r="F203" s="118"/>
      <c r="G203" s="44" t="str">
        <f t="shared" si="75"/>
        <v/>
      </c>
      <c r="H203" s="118"/>
      <c r="I203" s="34" t="str">
        <f t="shared" si="76"/>
        <v/>
      </c>
      <c r="J203" s="118"/>
      <c r="K203" s="34" t="str">
        <f t="shared" si="77"/>
        <v/>
      </c>
      <c r="L203" s="118"/>
      <c r="M203" s="121"/>
      <c r="N203" s="122" t="str">
        <f t="shared" si="78"/>
        <v/>
      </c>
      <c r="O203" s="35" t="str">
        <f t="shared" si="79"/>
        <v/>
      </c>
      <c r="P203" s="124"/>
      <c r="Q203" s="36" t="str">
        <f t="shared" si="91"/>
        <v/>
      </c>
      <c r="R203" s="46" t="str">
        <f t="shared" si="80"/>
        <v/>
      </c>
      <c r="S203" s="38" t="str">
        <f t="shared" si="81"/>
        <v/>
      </c>
      <c r="T203" s="39" t="str">
        <f t="shared" si="82"/>
        <v/>
      </c>
      <c r="U203" s="40" t="str">
        <f t="shared" si="83"/>
        <v/>
      </c>
      <c r="V203" s="39" t="str">
        <f t="shared" si="84"/>
        <v/>
      </c>
      <c r="W203" s="34" t="str">
        <f t="shared" si="85"/>
        <v/>
      </c>
      <c r="X203" s="41" t="str">
        <f t="shared" si="92"/>
        <v/>
      </c>
      <c r="Y203" s="98" t="str">
        <f t="shared" si="86"/>
        <v/>
      </c>
      <c r="Z203" s="16" t="str">
        <f t="shared" si="93"/>
        <v/>
      </c>
      <c r="AB203" s="139"/>
      <c r="AC203" s="146" t="str">
        <f t="shared" si="72"/>
        <v/>
      </c>
      <c r="AD203" s="148" t="str">
        <f t="shared" si="94"/>
        <v/>
      </c>
      <c r="AE203" s="147" t="str">
        <f t="shared" si="87"/>
        <v/>
      </c>
      <c r="AF203" s="111" t="str">
        <f t="shared" si="88"/>
        <v/>
      </c>
      <c r="AG203" s="111" t="str">
        <f t="shared" si="89"/>
        <v/>
      </c>
      <c r="AH203" s="112" t="str">
        <f t="shared" si="90"/>
        <v/>
      </c>
      <c r="AI203" t="str">
        <f t="shared" si="95"/>
        <v/>
      </c>
      <c r="AJ203" t="str">
        <f t="shared" si="73"/>
        <v/>
      </c>
    </row>
    <row r="204" spans="1:36" ht="15" customHeight="1" x14ac:dyDescent="0.25">
      <c r="A204" s="114"/>
      <c r="B204" s="116"/>
      <c r="C204" s="116"/>
      <c r="D204" s="42" t="str">
        <f t="shared" si="74"/>
        <v/>
      </c>
      <c r="E204" s="43"/>
      <c r="F204" s="118"/>
      <c r="G204" s="44" t="str">
        <f t="shared" si="75"/>
        <v/>
      </c>
      <c r="H204" s="118"/>
      <c r="I204" s="34" t="str">
        <f t="shared" si="76"/>
        <v/>
      </c>
      <c r="J204" s="118"/>
      <c r="K204" s="34" t="str">
        <f t="shared" si="77"/>
        <v/>
      </c>
      <c r="L204" s="118"/>
      <c r="M204" s="121"/>
      <c r="N204" s="122" t="str">
        <f t="shared" si="78"/>
        <v/>
      </c>
      <c r="O204" s="35" t="str">
        <f t="shared" si="79"/>
        <v/>
      </c>
      <c r="P204" s="124"/>
      <c r="Q204" s="36" t="str">
        <f t="shared" si="91"/>
        <v/>
      </c>
      <c r="R204" s="46" t="str">
        <f t="shared" si="80"/>
        <v/>
      </c>
      <c r="S204" s="38" t="str">
        <f t="shared" si="81"/>
        <v/>
      </c>
      <c r="T204" s="39" t="str">
        <f t="shared" si="82"/>
        <v/>
      </c>
      <c r="U204" s="40" t="str">
        <f t="shared" si="83"/>
        <v/>
      </c>
      <c r="V204" s="39" t="str">
        <f t="shared" si="84"/>
        <v/>
      </c>
      <c r="W204" s="34" t="str">
        <f t="shared" si="85"/>
        <v/>
      </c>
      <c r="X204" s="41" t="str">
        <f t="shared" si="92"/>
        <v/>
      </c>
      <c r="Y204" s="98" t="str">
        <f t="shared" si="86"/>
        <v/>
      </c>
      <c r="Z204" s="16" t="str">
        <f t="shared" si="93"/>
        <v/>
      </c>
      <c r="AB204" s="139"/>
      <c r="AC204" s="146" t="str">
        <f t="shared" ref="AC204:AC267" si="96">IF(AB204="","",Q204)</f>
        <v/>
      </c>
      <c r="AD204" s="148" t="str">
        <f t="shared" si="94"/>
        <v/>
      </c>
      <c r="AE204" s="147" t="str">
        <f t="shared" si="87"/>
        <v/>
      </c>
      <c r="AF204" s="111" t="str">
        <f t="shared" si="88"/>
        <v/>
      </c>
      <c r="AG204" s="111" t="str">
        <f t="shared" si="89"/>
        <v/>
      </c>
      <c r="AH204" s="112" t="str">
        <f t="shared" si="90"/>
        <v/>
      </c>
      <c r="AI204" t="str">
        <f t="shared" si="95"/>
        <v/>
      </c>
      <c r="AJ204" t="str">
        <f t="shared" ref="AJ204:AJ267" si="97">IF(OR(AB204=0,AB204=""),"",AC204*C204)</f>
        <v/>
      </c>
    </row>
    <row r="205" spans="1:36" ht="15" customHeight="1" x14ac:dyDescent="0.25">
      <c r="A205" s="114"/>
      <c r="B205" s="116"/>
      <c r="C205" s="116"/>
      <c r="D205" s="42" t="str">
        <f t="shared" si="74"/>
        <v/>
      </c>
      <c r="E205" s="43"/>
      <c r="F205" s="118"/>
      <c r="G205" s="44" t="str">
        <f t="shared" si="75"/>
        <v/>
      </c>
      <c r="H205" s="118"/>
      <c r="I205" s="34" t="str">
        <f t="shared" si="76"/>
        <v/>
      </c>
      <c r="J205" s="118"/>
      <c r="K205" s="34" t="str">
        <f t="shared" si="77"/>
        <v/>
      </c>
      <c r="L205" s="118"/>
      <c r="M205" s="121"/>
      <c r="N205" s="122" t="str">
        <f t="shared" si="78"/>
        <v/>
      </c>
      <c r="O205" s="35" t="str">
        <f t="shared" si="79"/>
        <v/>
      </c>
      <c r="P205" s="124"/>
      <c r="Q205" s="36" t="str">
        <f t="shared" si="91"/>
        <v/>
      </c>
      <c r="R205" s="46" t="str">
        <f t="shared" si="80"/>
        <v/>
      </c>
      <c r="S205" s="38" t="str">
        <f t="shared" si="81"/>
        <v/>
      </c>
      <c r="T205" s="39" t="str">
        <f t="shared" si="82"/>
        <v/>
      </c>
      <c r="U205" s="40" t="str">
        <f t="shared" si="83"/>
        <v/>
      </c>
      <c r="V205" s="39" t="str">
        <f t="shared" si="84"/>
        <v/>
      </c>
      <c r="W205" s="34" t="str">
        <f t="shared" si="85"/>
        <v/>
      </c>
      <c r="X205" s="41" t="str">
        <f t="shared" si="92"/>
        <v/>
      </c>
      <c r="Y205" s="98" t="str">
        <f t="shared" si="86"/>
        <v/>
      </c>
      <c r="Z205" s="16" t="str">
        <f t="shared" si="93"/>
        <v/>
      </c>
      <c r="AB205" s="139"/>
      <c r="AC205" s="146" t="str">
        <f t="shared" si="96"/>
        <v/>
      </c>
      <c r="AD205" s="148" t="str">
        <f t="shared" si="94"/>
        <v/>
      </c>
      <c r="AE205" s="147" t="str">
        <f t="shared" si="87"/>
        <v/>
      </c>
      <c r="AF205" s="111" t="str">
        <f t="shared" si="88"/>
        <v/>
      </c>
      <c r="AG205" s="111" t="str">
        <f t="shared" si="89"/>
        <v/>
      </c>
      <c r="AH205" s="112" t="str">
        <f t="shared" si="90"/>
        <v/>
      </c>
      <c r="AI205" t="str">
        <f t="shared" si="95"/>
        <v/>
      </c>
      <c r="AJ205" t="str">
        <f t="shared" si="97"/>
        <v/>
      </c>
    </row>
    <row r="206" spans="1:36" ht="15" customHeight="1" x14ac:dyDescent="0.25">
      <c r="A206" s="114"/>
      <c r="B206" s="116"/>
      <c r="C206" s="116"/>
      <c r="D206" s="42" t="str">
        <f t="shared" si="74"/>
        <v/>
      </c>
      <c r="E206" s="43"/>
      <c r="F206" s="118"/>
      <c r="G206" s="44" t="str">
        <f t="shared" si="75"/>
        <v/>
      </c>
      <c r="H206" s="118"/>
      <c r="I206" s="34" t="str">
        <f t="shared" si="76"/>
        <v/>
      </c>
      <c r="J206" s="118"/>
      <c r="K206" s="34" t="str">
        <f t="shared" si="77"/>
        <v/>
      </c>
      <c r="L206" s="118"/>
      <c r="M206" s="121"/>
      <c r="N206" s="122" t="str">
        <f t="shared" si="78"/>
        <v/>
      </c>
      <c r="O206" s="35" t="str">
        <f t="shared" si="79"/>
        <v/>
      </c>
      <c r="P206" s="124"/>
      <c r="Q206" s="36" t="str">
        <f t="shared" si="91"/>
        <v/>
      </c>
      <c r="R206" s="46" t="str">
        <f t="shared" si="80"/>
        <v/>
      </c>
      <c r="S206" s="38" t="str">
        <f t="shared" si="81"/>
        <v/>
      </c>
      <c r="T206" s="39" t="str">
        <f t="shared" si="82"/>
        <v/>
      </c>
      <c r="U206" s="40" t="str">
        <f t="shared" si="83"/>
        <v/>
      </c>
      <c r="V206" s="39" t="str">
        <f t="shared" si="84"/>
        <v/>
      </c>
      <c r="W206" s="34" t="str">
        <f t="shared" si="85"/>
        <v/>
      </c>
      <c r="X206" s="41" t="str">
        <f t="shared" si="92"/>
        <v/>
      </c>
      <c r="Y206" s="98" t="str">
        <f t="shared" si="86"/>
        <v/>
      </c>
      <c r="Z206" s="16" t="str">
        <f t="shared" si="93"/>
        <v/>
      </c>
      <c r="AB206" s="139"/>
      <c r="AC206" s="146" t="str">
        <f t="shared" si="96"/>
        <v/>
      </c>
      <c r="AD206" s="148" t="str">
        <f t="shared" si="94"/>
        <v/>
      </c>
      <c r="AE206" s="147" t="str">
        <f t="shared" si="87"/>
        <v/>
      </c>
      <c r="AF206" s="111" t="str">
        <f t="shared" si="88"/>
        <v/>
      </c>
      <c r="AG206" s="111" t="str">
        <f t="shared" si="89"/>
        <v/>
      </c>
      <c r="AH206" s="112" t="str">
        <f t="shared" si="90"/>
        <v/>
      </c>
      <c r="AI206" t="str">
        <f t="shared" si="95"/>
        <v/>
      </c>
      <c r="AJ206" t="str">
        <f t="shared" si="97"/>
        <v/>
      </c>
    </row>
    <row r="207" spans="1:36" ht="15" customHeight="1" x14ac:dyDescent="0.25">
      <c r="A207" s="114"/>
      <c r="B207" s="116"/>
      <c r="C207" s="116"/>
      <c r="D207" s="42" t="str">
        <f t="shared" si="74"/>
        <v/>
      </c>
      <c r="E207" s="43"/>
      <c r="F207" s="118"/>
      <c r="G207" s="44" t="str">
        <f t="shared" si="75"/>
        <v/>
      </c>
      <c r="H207" s="118"/>
      <c r="I207" s="34" t="str">
        <f t="shared" si="76"/>
        <v/>
      </c>
      <c r="J207" s="118"/>
      <c r="K207" s="34" t="str">
        <f t="shared" si="77"/>
        <v/>
      </c>
      <c r="L207" s="118"/>
      <c r="M207" s="121"/>
      <c r="N207" s="122" t="str">
        <f t="shared" si="78"/>
        <v/>
      </c>
      <c r="O207" s="35" t="str">
        <f t="shared" si="79"/>
        <v/>
      </c>
      <c r="P207" s="124"/>
      <c r="Q207" s="36" t="str">
        <f t="shared" si="91"/>
        <v/>
      </c>
      <c r="R207" s="46" t="str">
        <f t="shared" si="80"/>
        <v/>
      </c>
      <c r="S207" s="38" t="str">
        <f t="shared" si="81"/>
        <v/>
      </c>
      <c r="T207" s="39" t="str">
        <f t="shared" si="82"/>
        <v/>
      </c>
      <c r="U207" s="40" t="str">
        <f t="shared" si="83"/>
        <v/>
      </c>
      <c r="V207" s="39" t="str">
        <f t="shared" si="84"/>
        <v/>
      </c>
      <c r="W207" s="34" t="str">
        <f t="shared" si="85"/>
        <v/>
      </c>
      <c r="X207" s="41" t="str">
        <f t="shared" si="92"/>
        <v/>
      </c>
      <c r="Y207" s="98" t="str">
        <f t="shared" si="86"/>
        <v/>
      </c>
      <c r="Z207" s="16" t="str">
        <f t="shared" si="93"/>
        <v/>
      </c>
      <c r="AB207" s="139"/>
      <c r="AC207" s="146" t="str">
        <f t="shared" si="96"/>
        <v/>
      </c>
      <c r="AD207" s="148" t="str">
        <f t="shared" si="94"/>
        <v/>
      </c>
      <c r="AE207" s="147" t="str">
        <f t="shared" si="87"/>
        <v/>
      </c>
      <c r="AF207" s="111" t="str">
        <f t="shared" si="88"/>
        <v/>
      </c>
      <c r="AG207" s="111" t="str">
        <f t="shared" si="89"/>
        <v/>
      </c>
      <c r="AH207" s="112" t="str">
        <f t="shared" si="90"/>
        <v/>
      </c>
      <c r="AI207" t="str">
        <f t="shared" si="95"/>
        <v/>
      </c>
      <c r="AJ207" t="str">
        <f t="shared" si="97"/>
        <v/>
      </c>
    </row>
    <row r="208" spans="1:36" ht="15" customHeight="1" x14ac:dyDescent="0.25">
      <c r="A208" s="114"/>
      <c r="B208" s="116"/>
      <c r="C208" s="116"/>
      <c r="D208" s="42" t="str">
        <f t="shared" si="74"/>
        <v/>
      </c>
      <c r="E208" s="43"/>
      <c r="F208" s="118"/>
      <c r="G208" s="44" t="str">
        <f t="shared" si="75"/>
        <v/>
      </c>
      <c r="H208" s="118"/>
      <c r="I208" s="34" t="str">
        <f t="shared" si="76"/>
        <v/>
      </c>
      <c r="J208" s="118"/>
      <c r="K208" s="34" t="str">
        <f t="shared" si="77"/>
        <v/>
      </c>
      <c r="L208" s="118"/>
      <c r="M208" s="121"/>
      <c r="N208" s="122" t="str">
        <f t="shared" si="78"/>
        <v/>
      </c>
      <c r="O208" s="35" t="str">
        <f t="shared" si="79"/>
        <v/>
      </c>
      <c r="P208" s="124"/>
      <c r="Q208" s="36" t="str">
        <f t="shared" si="91"/>
        <v/>
      </c>
      <c r="R208" s="46" t="str">
        <f t="shared" si="80"/>
        <v/>
      </c>
      <c r="S208" s="38" t="str">
        <f t="shared" si="81"/>
        <v/>
      </c>
      <c r="T208" s="39" t="str">
        <f t="shared" si="82"/>
        <v/>
      </c>
      <c r="U208" s="40" t="str">
        <f t="shared" si="83"/>
        <v/>
      </c>
      <c r="V208" s="39" t="str">
        <f t="shared" si="84"/>
        <v/>
      </c>
      <c r="W208" s="34" t="str">
        <f t="shared" si="85"/>
        <v/>
      </c>
      <c r="X208" s="41" t="str">
        <f t="shared" si="92"/>
        <v/>
      </c>
      <c r="Y208" s="98" t="str">
        <f t="shared" si="86"/>
        <v/>
      </c>
      <c r="Z208" s="16" t="str">
        <f t="shared" si="93"/>
        <v/>
      </c>
      <c r="AB208" s="139"/>
      <c r="AC208" s="146" t="str">
        <f t="shared" si="96"/>
        <v/>
      </c>
      <c r="AD208" s="148" t="str">
        <f t="shared" si="94"/>
        <v/>
      </c>
      <c r="AE208" s="147" t="str">
        <f t="shared" si="87"/>
        <v/>
      </c>
      <c r="AF208" s="111" t="str">
        <f t="shared" si="88"/>
        <v/>
      </c>
      <c r="AG208" s="111" t="str">
        <f t="shared" si="89"/>
        <v/>
      </c>
      <c r="AH208" s="112" t="str">
        <f t="shared" si="90"/>
        <v/>
      </c>
      <c r="AI208" t="str">
        <f t="shared" si="95"/>
        <v/>
      </c>
      <c r="AJ208" t="str">
        <f t="shared" si="97"/>
        <v/>
      </c>
    </row>
    <row r="209" spans="1:36" ht="15" customHeight="1" x14ac:dyDescent="0.25">
      <c r="A209" s="114"/>
      <c r="B209" s="116"/>
      <c r="C209" s="116"/>
      <c r="D209" s="42" t="str">
        <f t="shared" si="74"/>
        <v/>
      </c>
      <c r="E209" s="43"/>
      <c r="F209" s="118"/>
      <c r="G209" s="44" t="str">
        <f t="shared" si="75"/>
        <v/>
      </c>
      <c r="H209" s="118"/>
      <c r="I209" s="34" t="str">
        <f t="shared" si="76"/>
        <v/>
      </c>
      <c r="J209" s="118"/>
      <c r="K209" s="34" t="str">
        <f t="shared" si="77"/>
        <v/>
      </c>
      <c r="L209" s="118"/>
      <c r="M209" s="121"/>
      <c r="N209" s="122" t="str">
        <f t="shared" si="78"/>
        <v/>
      </c>
      <c r="O209" s="35" t="str">
        <f t="shared" si="79"/>
        <v/>
      </c>
      <c r="P209" s="124"/>
      <c r="Q209" s="36" t="str">
        <f t="shared" si="91"/>
        <v/>
      </c>
      <c r="R209" s="46" t="str">
        <f t="shared" si="80"/>
        <v/>
      </c>
      <c r="S209" s="38" t="str">
        <f t="shared" si="81"/>
        <v/>
      </c>
      <c r="T209" s="39" t="str">
        <f t="shared" si="82"/>
        <v/>
      </c>
      <c r="U209" s="40" t="str">
        <f t="shared" si="83"/>
        <v/>
      </c>
      <c r="V209" s="39" t="str">
        <f t="shared" si="84"/>
        <v/>
      </c>
      <c r="W209" s="34" t="str">
        <f t="shared" si="85"/>
        <v/>
      </c>
      <c r="X209" s="41" t="str">
        <f t="shared" si="92"/>
        <v/>
      </c>
      <c r="Y209" s="98" t="str">
        <f t="shared" si="86"/>
        <v/>
      </c>
      <c r="Z209" s="16" t="str">
        <f t="shared" si="93"/>
        <v/>
      </c>
      <c r="AB209" s="139"/>
      <c r="AC209" s="146" t="str">
        <f t="shared" si="96"/>
        <v/>
      </c>
      <c r="AD209" s="148" t="str">
        <f t="shared" si="94"/>
        <v/>
      </c>
      <c r="AE209" s="147" t="str">
        <f t="shared" si="87"/>
        <v/>
      </c>
      <c r="AF209" s="111" t="str">
        <f t="shared" si="88"/>
        <v/>
      </c>
      <c r="AG209" s="111" t="str">
        <f t="shared" si="89"/>
        <v/>
      </c>
      <c r="AH209" s="112" t="str">
        <f t="shared" si="90"/>
        <v/>
      </c>
      <c r="AI209" t="str">
        <f t="shared" si="95"/>
        <v/>
      </c>
      <c r="AJ209" t="str">
        <f t="shared" si="97"/>
        <v/>
      </c>
    </row>
    <row r="210" spans="1:36" ht="15" customHeight="1" x14ac:dyDescent="0.25">
      <c r="A210" s="114"/>
      <c r="B210" s="116"/>
      <c r="C210" s="116"/>
      <c r="D210" s="42" t="str">
        <f t="shared" si="74"/>
        <v/>
      </c>
      <c r="E210" s="43"/>
      <c r="F210" s="118"/>
      <c r="G210" s="44" t="str">
        <f t="shared" si="75"/>
        <v/>
      </c>
      <c r="H210" s="118"/>
      <c r="I210" s="34" t="str">
        <f t="shared" si="76"/>
        <v/>
      </c>
      <c r="J210" s="118"/>
      <c r="K210" s="34" t="str">
        <f t="shared" si="77"/>
        <v/>
      </c>
      <c r="L210" s="118"/>
      <c r="M210" s="121"/>
      <c r="N210" s="122" t="str">
        <f t="shared" si="78"/>
        <v/>
      </c>
      <c r="O210" s="35" t="str">
        <f t="shared" si="79"/>
        <v/>
      </c>
      <c r="P210" s="124"/>
      <c r="Q210" s="36" t="str">
        <f t="shared" si="91"/>
        <v/>
      </c>
      <c r="R210" s="46" t="str">
        <f t="shared" si="80"/>
        <v/>
      </c>
      <c r="S210" s="38" t="str">
        <f t="shared" si="81"/>
        <v/>
      </c>
      <c r="T210" s="39" t="str">
        <f t="shared" si="82"/>
        <v/>
      </c>
      <c r="U210" s="40" t="str">
        <f t="shared" si="83"/>
        <v/>
      </c>
      <c r="V210" s="39" t="str">
        <f t="shared" si="84"/>
        <v/>
      </c>
      <c r="W210" s="34" t="str">
        <f t="shared" si="85"/>
        <v/>
      </c>
      <c r="X210" s="41" t="str">
        <f t="shared" si="92"/>
        <v/>
      </c>
      <c r="Y210" s="98" t="str">
        <f t="shared" si="86"/>
        <v/>
      </c>
      <c r="Z210" s="16" t="str">
        <f t="shared" si="93"/>
        <v/>
      </c>
      <c r="AB210" s="139"/>
      <c r="AC210" s="146" t="str">
        <f t="shared" si="96"/>
        <v/>
      </c>
      <c r="AD210" s="148" t="str">
        <f t="shared" si="94"/>
        <v/>
      </c>
      <c r="AE210" s="147" t="str">
        <f t="shared" si="87"/>
        <v/>
      </c>
      <c r="AF210" s="111" t="str">
        <f t="shared" si="88"/>
        <v/>
      </c>
      <c r="AG210" s="111" t="str">
        <f t="shared" si="89"/>
        <v/>
      </c>
      <c r="AH210" s="112" t="str">
        <f t="shared" si="90"/>
        <v/>
      </c>
      <c r="AI210" t="str">
        <f t="shared" si="95"/>
        <v/>
      </c>
      <c r="AJ210" t="str">
        <f t="shared" si="97"/>
        <v/>
      </c>
    </row>
    <row r="211" spans="1:36" ht="15" customHeight="1" x14ac:dyDescent="0.25">
      <c r="A211" s="114"/>
      <c r="B211" s="116"/>
      <c r="C211" s="116"/>
      <c r="D211" s="42" t="str">
        <f t="shared" si="74"/>
        <v/>
      </c>
      <c r="E211" s="43"/>
      <c r="F211" s="118"/>
      <c r="G211" s="44" t="str">
        <f t="shared" si="75"/>
        <v/>
      </c>
      <c r="H211" s="118"/>
      <c r="I211" s="34" t="str">
        <f t="shared" si="76"/>
        <v/>
      </c>
      <c r="J211" s="118"/>
      <c r="K211" s="34" t="str">
        <f t="shared" si="77"/>
        <v/>
      </c>
      <c r="L211" s="118"/>
      <c r="M211" s="121"/>
      <c r="N211" s="122" t="str">
        <f t="shared" si="78"/>
        <v/>
      </c>
      <c r="O211" s="35" t="str">
        <f t="shared" si="79"/>
        <v/>
      </c>
      <c r="P211" s="124"/>
      <c r="Q211" s="36" t="str">
        <f t="shared" si="91"/>
        <v/>
      </c>
      <c r="R211" s="46" t="str">
        <f t="shared" si="80"/>
        <v/>
      </c>
      <c r="S211" s="38" t="str">
        <f t="shared" si="81"/>
        <v/>
      </c>
      <c r="T211" s="39" t="str">
        <f t="shared" si="82"/>
        <v/>
      </c>
      <c r="U211" s="40" t="str">
        <f t="shared" si="83"/>
        <v/>
      </c>
      <c r="V211" s="39" t="str">
        <f t="shared" si="84"/>
        <v/>
      </c>
      <c r="W211" s="34" t="str">
        <f t="shared" si="85"/>
        <v/>
      </c>
      <c r="X211" s="41" t="str">
        <f t="shared" si="92"/>
        <v/>
      </c>
      <c r="Y211" s="98" t="str">
        <f t="shared" si="86"/>
        <v/>
      </c>
      <c r="Z211" s="16" t="str">
        <f t="shared" si="93"/>
        <v/>
      </c>
      <c r="AB211" s="139"/>
      <c r="AC211" s="146" t="str">
        <f t="shared" si="96"/>
        <v/>
      </c>
      <c r="AD211" s="148" t="str">
        <f t="shared" si="94"/>
        <v/>
      </c>
      <c r="AE211" s="147" t="str">
        <f t="shared" si="87"/>
        <v/>
      </c>
      <c r="AF211" s="111" t="str">
        <f t="shared" si="88"/>
        <v/>
      </c>
      <c r="AG211" s="111" t="str">
        <f t="shared" si="89"/>
        <v/>
      </c>
      <c r="AH211" s="112" t="str">
        <f t="shared" si="90"/>
        <v/>
      </c>
      <c r="AI211" t="str">
        <f t="shared" si="95"/>
        <v/>
      </c>
      <c r="AJ211" t="str">
        <f t="shared" si="97"/>
        <v/>
      </c>
    </row>
    <row r="212" spans="1:36" ht="15" customHeight="1" x14ac:dyDescent="0.25">
      <c r="A212" s="114"/>
      <c r="B212" s="116"/>
      <c r="C212" s="116"/>
      <c r="D212" s="42" t="str">
        <f t="shared" si="74"/>
        <v/>
      </c>
      <c r="E212" s="43"/>
      <c r="F212" s="118"/>
      <c r="G212" s="44" t="str">
        <f t="shared" si="75"/>
        <v/>
      </c>
      <c r="H212" s="118"/>
      <c r="I212" s="34" t="str">
        <f t="shared" si="76"/>
        <v/>
      </c>
      <c r="J212" s="118"/>
      <c r="K212" s="34" t="str">
        <f t="shared" si="77"/>
        <v/>
      </c>
      <c r="L212" s="118"/>
      <c r="M212" s="121"/>
      <c r="N212" s="122" t="str">
        <f t="shared" si="78"/>
        <v/>
      </c>
      <c r="O212" s="35" t="str">
        <f t="shared" si="79"/>
        <v/>
      </c>
      <c r="P212" s="124"/>
      <c r="Q212" s="36" t="str">
        <f t="shared" si="91"/>
        <v/>
      </c>
      <c r="R212" s="46" t="str">
        <f t="shared" si="80"/>
        <v/>
      </c>
      <c r="S212" s="38" t="str">
        <f t="shared" si="81"/>
        <v/>
      </c>
      <c r="T212" s="39" t="str">
        <f t="shared" si="82"/>
        <v/>
      </c>
      <c r="U212" s="40" t="str">
        <f t="shared" si="83"/>
        <v/>
      </c>
      <c r="V212" s="39" t="str">
        <f t="shared" si="84"/>
        <v/>
      </c>
      <c r="W212" s="34" t="str">
        <f t="shared" si="85"/>
        <v/>
      </c>
      <c r="X212" s="41" t="str">
        <f t="shared" si="92"/>
        <v/>
      </c>
      <c r="Y212" s="98" t="str">
        <f t="shared" si="86"/>
        <v/>
      </c>
      <c r="Z212" s="16" t="str">
        <f t="shared" si="93"/>
        <v/>
      </c>
      <c r="AB212" s="139"/>
      <c r="AC212" s="146" t="str">
        <f t="shared" si="96"/>
        <v/>
      </c>
      <c r="AD212" s="148" t="str">
        <f t="shared" si="94"/>
        <v/>
      </c>
      <c r="AE212" s="147" t="str">
        <f t="shared" si="87"/>
        <v/>
      </c>
      <c r="AF212" s="111" t="str">
        <f t="shared" si="88"/>
        <v/>
      </c>
      <c r="AG212" s="111" t="str">
        <f t="shared" si="89"/>
        <v/>
      </c>
      <c r="AH212" s="112" t="str">
        <f t="shared" si="90"/>
        <v/>
      </c>
      <c r="AI212" t="str">
        <f t="shared" si="95"/>
        <v/>
      </c>
      <c r="AJ212" t="str">
        <f t="shared" si="97"/>
        <v/>
      </c>
    </row>
    <row r="213" spans="1:36" ht="15" customHeight="1" x14ac:dyDescent="0.25">
      <c r="A213" s="114"/>
      <c r="B213" s="116"/>
      <c r="C213" s="116"/>
      <c r="D213" s="42" t="str">
        <f t="shared" si="74"/>
        <v/>
      </c>
      <c r="E213" s="43"/>
      <c r="F213" s="118"/>
      <c r="G213" s="44" t="str">
        <f t="shared" si="75"/>
        <v/>
      </c>
      <c r="H213" s="118"/>
      <c r="I213" s="34" t="str">
        <f t="shared" si="76"/>
        <v/>
      </c>
      <c r="J213" s="118"/>
      <c r="K213" s="34" t="str">
        <f t="shared" si="77"/>
        <v/>
      </c>
      <c r="L213" s="118"/>
      <c r="M213" s="121"/>
      <c r="N213" s="122" t="str">
        <f t="shared" si="78"/>
        <v/>
      </c>
      <c r="O213" s="35" t="str">
        <f t="shared" si="79"/>
        <v/>
      </c>
      <c r="P213" s="124"/>
      <c r="Q213" s="36" t="str">
        <f t="shared" si="91"/>
        <v/>
      </c>
      <c r="R213" s="46" t="str">
        <f t="shared" si="80"/>
        <v/>
      </c>
      <c r="S213" s="38" t="str">
        <f t="shared" si="81"/>
        <v/>
      </c>
      <c r="T213" s="39" t="str">
        <f t="shared" si="82"/>
        <v/>
      </c>
      <c r="U213" s="40" t="str">
        <f t="shared" si="83"/>
        <v/>
      </c>
      <c r="V213" s="39" t="str">
        <f t="shared" si="84"/>
        <v/>
      </c>
      <c r="W213" s="34" t="str">
        <f t="shared" si="85"/>
        <v/>
      </c>
      <c r="X213" s="41" t="str">
        <f t="shared" si="92"/>
        <v/>
      </c>
      <c r="Y213" s="98" t="str">
        <f t="shared" si="86"/>
        <v/>
      </c>
      <c r="Z213" s="16" t="str">
        <f t="shared" si="93"/>
        <v/>
      </c>
      <c r="AB213" s="139"/>
      <c r="AC213" s="146" t="str">
        <f t="shared" si="96"/>
        <v/>
      </c>
      <c r="AD213" s="148" t="str">
        <f t="shared" si="94"/>
        <v/>
      </c>
      <c r="AE213" s="147" t="str">
        <f t="shared" si="87"/>
        <v/>
      </c>
      <c r="AF213" s="111" t="str">
        <f t="shared" si="88"/>
        <v/>
      </c>
      <c r="AG213" s="111" t="str">
        <f t="shared" si="89"/>
        <v/>
      </c>
      <c r="AH213" s="112" t="str">
        <f t="shared" si="90"/>
        <v/>
      </c>
      <c r="AI213" t="str">
        <f t="shared" si="95"/>
        <v/>
      </c>
      <c r="AJ213" t="str">
        <f t="shared" si="97"/>
        <v/>
      </c>
    </row>
    <row r="214" spans="1:36" ht="15" customHeight="1" x14ac:dyDescent="0.25">
      <c r="A214" s="114"/>
      <c r="B214" s="116"/>
      <c r="C214" s="116"/>
      <c r="D214" s="42" t="str">
        <f t="shared" si="74"/>
        <v/>
      </c>
      <c r="E214" s="43"/>
      <c r="F214" s="118"/>
      <c r="G214" s="44" t="str">
        <f t="shared" si="75"/>
        <v/>
      </c>
      <c r="H214" s="118"/>
      <c r="I214" s="34" t="str">
        <f t="shared" si="76"/>
        <v/>
      </c>
      <c r="J214" s="118"/>
      <c r="K214" s="34" t="str">
        <f t="shared" si="77"/>
        <v/>
      </c>
      <c r="L214" s="118"/>
      <c r="M214" s="121"/>
      <c r="N214" s="122" t="str">
        <f t="shared" si="78"/>
        <v/>
      </c>
      <c r="O214" s="35" t="str">
        <f t="shared" si="79"/>
        <v/>
      </c>
      <c r="P214" s="124"/>
      <c r="Q214" s="36" t="str">
        <f t="shared" si="91"/>
        <v/>
      </c>
      <c r="R214" s="46" t="str">
        <f t="shared" si="80"/>
        <v/>
      </c>
      <c r="S214" s="38" t="str">
        <f t="shared" si="81"/>
        <v/>
      </c>
      <c r="T214" s="39" t="str">
        <f t="shared" si="82"/>
        <v/>
      </c>
      <c r="U214" s="40" t="str">
        <f t="shared" si="83"/>
        <v/>
      </c>
      <c r="V214" s="39" t="str">
        <f t="shared" si="84"/>
        <v/>
      </c>
      <c r="W214" s="34" t="str">
        <f t="shared" si="85"/>
        <v/>
      </c>
      <c r="X214" s="41" t="str">
        <f t="shared" si="92"/>
        <v/>
      </c>
      <c r="Y214" s="98" t="str">
        <f t="shared" si="86"/>
        <v/>
      </c>
      <c r="Z214" s="16" t="str">
        <f t="shared" si="93"/>
        <v/>
      </c>
      <c r="AB214" s="139"/>
      <c r="AC214" s="146" t="str">
        <f t="shared" si="96"/>
        <v/>
      </c>
      <c r="AD214" s="148" t="str">
        <f t="shared" si="94"/>
        <v/>
      </c>
      <c r="AE214" s="147" t="str">
        <f t="shared" si="87"/>
        <v/>
      </c>
      <c r="AF214" s="111" t="str">
        <f t="shared" si="88"/>
        <v/>
      </c>
      <c r="AG214" s="111" t="str">
        <f t="shared" si="89"/>
        <v/>
      </c>
      <c r="AH214" s="112" t="str">
        <f t="shared" si="90"/>
        <v/>
      </c>
      <c r="AI214" t="str">
        <f t="shared" si="95"/>
        <v/>
      </c>
      <c r="AJ214" t="str">
        <f t="shared" si="97"/>
        <v/>
      </c>
    </row>
    <row r="215" spans="1:36" ht="15" customHeight="1" x14ac:dyDescent="0.25">
      <c r="A215" s="114"/>
      <c r="B215" s="116"/>
      <c r="C215" s="116"/>
      <c r="D215" s="42" t="str">
        <f t="shared" si="74"/>
        <v/>
      </c>
      <c r="E215" s="43"/>
      <c r="F215" s="118"/>
      <c r="G215" s="44" t="str">
        <f t="shared" si="75"/>
        <v/>
      </c>
      <c r="H215" s="118"/>
      <c r="I215" s="34" t="str">
        <f t="shared" si="76"/>
        <v/>
      </c>
      <c r="J215" s="118"/>
      <c r="K215" s="34" t="str">
        <f t="shared" si="77"/>
        <v/>
      </c>
      <c r="L215" s="118"/>
      <c r="M215" s="121"/>
      <c r="N215" s="122" t="str">
        <f t="shared" si="78"/>
        <v/>
      </c>
      <c r="O215" s="35" t="str">
        <f t="shared" si="79"/>
        <v/>
      </c>
      <c r="P215" s="124"/>
      <c r="Q215" s="36" t="str">
        <f t="shared" si="91"/>
        <v/>
      </c>
      <c r="R215" s="46" t="str">
        <f t="shared" si="80"/>
        <v/>
      </c>
      <c r="S215" s="38" t="str">
        <f t="shared" si="81"/>
        <v/>
      </c>
      <c r="T215" s="39" t="str">
        <f t="shared" si="82"/>
        <v/>
      </c>
      <c r="U215" s="40" t="str">
        <f t="shared" si="83"/>
        <v/>
      </c>
      <c r="V215" s="39" t="str">
        <f t="shared" si="84"/>
        <v/>
      </c>
      <c r="W215" s="34" t="str">
        <f t="shared" si="85"/>
        <v/>
      </c>
      <c r="X215" s="41" t="str">
        <f t="shared" si="92"/>
        <v/>
      </c>
      <c r="Y215" s="98" t="str">
        <f t="shared" si="86"/>
        <v/>
      </c>
      <c r="Z215" s="16" t="str">
        <f t="shared" si="93"/>
        <v/>
      </c>
      <c r="AB215" s="139"/>
      <c r="AC215" s="146" t="str">
        <f t="shared" si="96"/>
        <v/>
      </c>
      <c r="AD215" s="148" t="str">
        <f t="shared" si="94"/>
        <v/>
      </c>
      <c r="AE215" s="147" t="str">
        <f t="shared" si="87"/>
        <v/>
      </c>
      <c r="AF215" s="111" t="str">
        <f t="shared" si="88"/>
        <v/>
      </c>
      <c r="AG215" s="111" t="str">
        <f t="shared" si="89"/>
        <v/>
      </c>
      <c r="AH215" s="112" t="str">
        <f t="shared" si="90"/>
        <v/>
      </c>
      <c r="AI215" t="str">
        <f t="shared" si="95"/>
        <v/>
      </c>
      <c r="AJ215" t="str">
        <f t="shared" si="97"/>
        <v/>
      </c>
    </row>
    <row r="216" spans="1:36" ht="15" customHeight="1" x14ac:dyDescent="0.25">
      <c r="A216" s="114"/>
      <c r="B216" s="116"/>
      <c r="C216" s="116"/>
      <c r="D216" s="42" t="str">
        <f t="shared" si="74"/>
        <v/>
      </c>
      <c r="E216" s="43"/>
      <c r="F216" s="118"/>
      <c r="G216" s="44" t="str">
        <f t="shared" si="75"/>
        <v/>
      </c>
      <c r="H216" s="118"/>
      <c r="I216" s="34" t="str">
        <f t="shared" si="76"/>
        <v/>
      </c>
      <c r="J216" s="118"/>
      <c r="K216" s="34" t="str">
        <f t="shared" si="77"/>
        <v/>
      </c>
      <c r="L216" s="118"/>
      <c r="M216" s="121"/>
      <c r="N216" s="122" t="str">
        <f t="shared" si="78"/>
        <v/>
      </c>
      <c r="O216" s="35" t="str">
        <f t="shared" si="79"/>
        <v/>
      </c>
      <c r="P216" s="124"/>
      <c r="Q216" s="36" t="str">
        <f t="shared" si="91"/>
        <v/>
      </c>
      <c r="R216" s="46" t="str">
        <f t="shared" si="80"/>
        <v/>
      </c>
      <c r="S216" s="38" t="str">
        <f t="shared" si="81"/>
        <v/>
      </c>
      <c r="T216" s="39" t="str">
        <f t="shared" si="82"/>
        <v/>
      </c>
      <c r="U216" s="40" t="str">
        <f t="shared" si="83"/>
        <v/>
      </c>
      <c r="V216" s="39" t="str">
        <f t="shared" si="84"/>
        <v/>
      </c>
      <c r="W216" s="34" t="str">
        <f t="shared" si="85"/>
        <v/>
      </c>
      <c r="X216" s="41" t="str">
        <f t="shared" si="92"/>
        <v/>
      </c>
      <c r="Y216" s="98" t="str">
        <f t="shared" si="86"/>
        <v/>
      </c>
      <c r="Z216" s="16" t="str">
        <f t="shared" si="93"/>
        <v/>
      </c>
      <c r="AB216" s="139"/>
      <c r="AC216" s="146" t="str">
        <f t="shared" si="96"/>
        <v/>
      </c>
      <c r="AD216" s="148" t="str">
        <f t="shared" si="94"/>
        <v/>
      </c>
      <c r="AE216" s="147" t="str">
        <f t="shared" si="87"/>
        <v/>
      </c>
      <c r="AF216" s="111" t="str">
        <f t="shared" si="88"/>
        <v/>
      </c>
      <c r="AG216" s="111" t="str">
        <f t="shared" si="89"/>
        <v/>
      </c>
      <c r="AH216" s="112" t="str">
        <f t="shared" si="90"/>
        <v/>
      </c>
      <c r="AI216" t="str">
        <f t="shared" si="95"/>
        <v/>
      </c>
      <c r="AJ216" t="str">
        <f t="shared" si="97"/>
        <v/>
      </c>
    </row>
    <row r="217" spans="1:36" ht="15" customHeight="1" x14ac:dyDescent="0.25">
      <c r="A217" s="114"/>
      <c r="B217" s="116"/>
      <c r="C217" s="116"/>
      <c r="D217" s="42" t="str">
        <f t="shared" si="74"/>
        <v/>
      </c>
      <c r="E217" s="43"/>
      <c r="F217" s="118"/>
      <c r="G217" s="44" t="str">
        <f t="shared" si="75"/>
        <v/>
      </c>
      <c r="H217" s="118"/>
      <c r="I217" s="34" t="str">
        <f t="shared" si="76"/>
        <v/>
      </c>
      <c r="J217" s="118"/>
      <c r="K217" s="34" t="str">
        <f t="shared" si="77"/>
        <v/>
      </c>
      <c r="L217" s="118"/>
      <c r="M217" s="121"/>
      <c r="N217" s="122" t="str">
        <f t="shared" si="78"/>
        <v/>
      </c>
      <c r="O217" s="35" t="str">
        <f t="shared" si="79"/>
        <v/>
      </c>
      <c r="P217" s="124"/>
      <c r="Q217" s="36" t="str">
        <f t="shared" si="91"/>
        <v/>
      </c>
      <c r="R217" s="46" t="str">
        <f t="shared" si="80"/>
        <v/>
      </c>
      <c r="S217" s="38" t="str">
        <f t="shared" si="81"/>
        <v/>
      </c>
      <c r="T217" s="39" t="str">
        <f t="shared" si="82"/>
        <v/>
      </c>
      <c r="U217" s="40" t="str">
        <f t="shared" si="83"/>
        <v/>
      </c>
      <c r="V217" s="39" t="str">
        <f t="shared" si="84"/>
        <v/>
      </c>
      <c r="W217" s="34" t="str">
        <f t="shared" si="85"/>
        <v/>
      </c>
      <c r="X217" s="41" t="str">
        <f t="shared" si="92"/>
        <v/>
      </c>
      <c r="Y217" s="98" t="str">
        <f t="shared" si="86"/>
        <v/>
      </c>
      <c r="Z217" s="16" t="str">
        <f t="shared" si="93"/>
        <v/>
      </c>
      <c r="AB217" s="139"/>
      <c r="AC217" s="146" t="str">
        <f t="shared" si="96"/>
        <v/>
      </c>
      <c r="AD217" s="148" t="str">
        <f t="shared" si="94"/>
        <v/>
      </c>
      <c r="AE217" s="147" t="str">
        <f t="shared" si="87"/>
        <v/>
      </c>
      <c r="AF217" s="111" t="str">
        <f t="shared" si="88"/>
        <v/>
      </c>
      <c r="AG217" s="111" t="str">
        <f t="shared" si="89"/>
        <v/>
      </c>
      <c r="AH217" s="112" t="str">
        <f t="shared" si="90"/>
        <v/>
      </c>
      <c r="AI217" t="str">
        <f t="shared" si="95"/>
        <v/>
      </c>
      <c r="AJ217" t="str">
        <f t="shared" si="97"/>
        <v/>
      </c>
    </row>
    <row r="218" spans="1:36" ht="15" customHeight="1" x14ac:dyDescent="0.25">
      <c r="A218" s="114"/>
      <c r="B218" s="116"/>
      <c r="C218" s="116"/>
      <c r="D218" s="42" t="str">
        <f t="shared" si="74"/>
        <v/>
      </c>
      <c r="E218" s="43"/>
      <c r="F218" s="118"/>
      <c r="G218" s="44" t="str">
        <f t="shared" si="75"/>
        <v/>
      </c>
      <c r="H218" s="118"/>
      <c r="I218" s="34" t="str">
        <f t="shared" si="76"/>
        <v/>
      </c>
      <c r="J218" s="118"/>
      <c r="K218" s="34" t="str">
        <f t="shared" si="77"/>
        <v/>
      </c>
      <c r="L218" s="118"/>
      <c r="M218" s="121"/>
      <c r="N218" s="122" t="str">
        <f t="shared" si="78"/>
        <v/>
      </c>
      <c r="O218" s="35" t="str">
        <f t="shared" si="79"/>
        <v/>
      </c>
      <c r="P218" s="124"/>
      <c r="Q218" s="36" t="str">
        <f t="shared" si="91"/>
        <v/>
      </c>
      <c r="R218" s="46" t="str">
        <f t="shared" si="80"/>
        <v/>
      </c>
      <c r="S218" s="38" t="str">
        <f t="shared" si="81"/>
        <v/>
      </c>
      <c r="T218" s="39" t="str">
        <f t="shared" si="82"/>
        <v/>
      </c>
      <c r="U218" s="40" t="str">
        <f t="shared" si="83"/>
        <v/>
      </c>
      <c r="V218" s="39" t="str">
        <f t="shared" si="84"/>
        <v/>
      </c>
      <c r="W218" s="34" t="str">
        <f t="shared" si="85"/>
        <v/>
      </c>
      <c r="X218" s="41" t="str">
        <f t="shared" si="92"/>
        <v/>
      </c>
      <c r="Y218" s="98" t="str">
        <f t="shared" si="86"/>
        <v/>
      </c>
      <c r="Z218" s="16" t="str">
        <f t="shared" si="93"/>
        <v/>
      </c>
      <c r="AB218" s="139"/>
      <c r="AC218" s="146" t="str">
        <f t="shared" si="96"/>
        <v/>
      </c>
      <c r="AD218" s="148" t="str">
        <f t="shared" si="94"/>
        <v/>
      </c>
      <c r="AE218" s="147" t="str">
        <f t="shared" si="87"/>
        <v/>
      </c>
      <c r="AF218" s="111" t="str">
        <f t="shared" si="88"/>
        <v/>
      </c>
      <c r="AG218" s="111" t="str">
        <f t="shared" si="89"/>
        <v/>
      </c>
      <c r="AH218" s="112" t="str">
        <f t="shared" si="90"/>
        <v/>
      </c>
      <c r="AI218" t="str">
        <f t="shared" si="95"/>
        <v/>
      </c>
      <c r="AJ218" t="str">
        <f t="shared" si="97"/>
        <v/>
      </c>
    </row>
    <row r="219" spans="1:36" ht="15" customHeight="1" x14ac:dyDescent="0.25">
      <c r="A219" s="114"/>
      <c r="B219" s="116"/>
      <c r="C219" s="116"/>
      <c r="D219" s="42" t="str">
        <f t="shared" si="74"/>
        <v/>
      </c>
      <c r="E219" s="43"/>
      <c r="F219" s="118"/>
      <c r="G219" s="44" t="str">
        <f t="shared" si="75"/>
        <v/>
      </c>
      <c r="H219" s="118"/>
      <c r="I219" s="34" t="str">
        <f t="shared" si="76"/>
        <v/>
      </c>
      <c r="J219" s="118"/>
      <c r="K219" s="34" t="str">
        <f t="shared" si="77"/>
        <v/>
      </c>
      <c r="L219" s="118"/>
      <c r="M219" s="121"/>
      <c r="N219" s="122" t="str">
        <f t="shared" si="78"/>
        <v/>
      </c>
      <c r="O219" s="35" t="str">
        <f t="shared" si="79"/>
        <v/>
      </c>
      <c r="P219" s="124"/>
      <c r="Q219" s="36" t="str">
        <f t="shared" si="91"/>
        <v/>
      </c>
      <c r="R219" s="46" t="str">
        <f t="shared" si="80"/>
        <v/>
      </c>
      <c r="S219" s="38" t="str">
        <f t="shared" si="81"/>
        <v/>
      </c>
      <c r="T219" s="39" t="str">
        <f t="shared" si="82"/>
        <v/>
      </c>
      <c r="U219" s="40" t="str">
        <f t="shared" si="83"/>
        <v/>
      </c>
      <c r="V219" s="39" t="str">
        <f t="shared" si="84"/>
        <v/>
      </c>
      <c r="W219" s="34" t="str">
        <f t="shared" si="85"/>
        <v/>
      </c>
      <c r="X219" s="41" t="str">
        <f t="shared" si="92"/>
        <v/>
      </c>
      <c r="Y219" s="98" t="str">
        <f t="shared" si="86"/>
        <v/>
      </c>
      <c r="Z219" s="16" t="str">
        <f t="shared" si="93"/>
        <v/>
      </c>
      <c r="AB219" s="139"/>
      <c r="AC219" s="146" t="str">
        <f t="shared" si="96"/>
        <v/>
      </c>
      <c r="AD219" s="148" t="str">
        <f t="shared" si="94"/>
        <v/>
      </c>
      <c r="AE219" s="147" t="str">
        <f t="shared" si="87"/>
        <v/>
      </c>
      <c r="AF219" s="111" t="str">
        <f t="shared" si="88"/>
        <v/>
      </c>
      <c r="AG219" s="111" t="str">
        <f t="shared" si="89"/>
        <v/>
      </c>
      <c r="AH219" s="112" t="str">
        <f t="shared" si="90"/>
        <v/>
      </c>
      <c r="AI219" t="str">
        <f t="shared" si="95"/>
        <v/>
      </c>
      <c r="AJ219" t="str">
        <f t="shared" si="97"/>
        <v/>
      </c>
    </row>
    <row r="220" spans="1:36" ht="15" customHeight="1" x14ac:dyDescent="0.25">
      <c r="A220" s="114"/>
      <c r="B220" s="116"/>
      <c r="C220" s="116"/>
      <c r="D220" s="42" t="str">
        <f t="shared" si="74"/>
        <v/>
      </c>
      <c r="E220" s="43"/>
      <c r="F220" s="118"/>
      <c r="G220" s="44" t="str">
        <f t="shared" si="75"/>
        <v/>
      </c>
      <c r="H220" s="118"/>
      <c r="I220" s="34" t="str">
        <f t="shared" si="76"/>
        <v/>
      </c>
      <c r="J220" s="118"/>
      <c r="K220" s="34" t="str">
        <f t="shared" si="77"/>
        <v/>
      </c>
      <c r="L220" s="118"/>
      <c r="M220" s="121"/>
      <c r="N220" s="122" t="str">
        <f t="shared" si="78"/>
        <v/>
      </c>
      <c r="O220" s="35" t="str">
        <f t="shared" si="79"/>
        <v/>
      </c>
      <c r="P220" s="124"/>
      <c r="Q220" s="36" t="str">
        <f t="shared" si="91"/>
        <v/>
      </c>
      <c r="R220" s="46" t="str">
        <f t="shared" si="80"/>
        <v/>
      </c>
      <c r="S220" s="38" t="str">
        <f t="shared" si="81"/>
        <v/>
      </c>
      <c r="T220" s="39" t="str">
        <f t="shared" si="82"/>
        <v/>
      </c>
      <c r="U220" s="40" t="str">
        <f t="shared" si="83"/>
        <v/>
      </c>
      <c r="V220" s="39" t="str">
        <f t="shared" si="84"/>
        <v/>
      </c>
      <c r="W220" s="34" t="str">
        <f t="shared" si="85"/>
        <v/>
      </c>
      <c r="X220" s="41" t="str">
        <f t="shared" si="92"/>
        <v/>
      </c>
      <c r="Y220" s="98" t="str">
        <f t="shared" si="86"/>
        <v/>
      </c>
      <c r="Z220" s="16" t="str">
        <f t="shared" si="93"/>
        <v/>
      </c>
      <c r="AB220" s="139"/>
      <c r="AC220" s="146" t="str">
        <f t="shared" si="96"/>
        <v/>
      </c>
      <c r="AD220" s="148" t="str">
        <f t="shared" si="94"/>
        <v/>
      </c>
      <c r="AE220" s="147" t="str">
        <f t="shared" si="87"/>
        <v/>
      </c>
      <c r="AF220" s="111" t="str">
        <f t="shared" si="88"/>
        <v/>
      </c>
      <c r="AG220" s="111" t="str">
        <f t="shared" si="89"/>
        <v/>
      </c>
      <c r="AH220" s="112" t="str">
        <f t="shared" si="90"/>
        <v/>
      </c>
      <c r="AI220" t="str">
        <f t="shared" si="95"/>
        <v/>
      </c>
      <c r="AJ220" t="str">
        <f t="shared" si="97"/>
        <v/>
      </c>
    </row>
    <row r="221" spans="1:36" ht="15" customHeight="1" x14ac:dyDescent="0.25">
      <c r="A221" s="114"/>
      <c r="B221" s="116"/>
      <c r="C221" s="116"/>
      <c r="D221" s="42" t="str">
        <f t="shared" si="74"/>
        <v/>
      </c>
      <c r="E221" s="43"/>
      <c r="F221" s="118"/>
      <c r="G221" s="44" t="str">
        <f t="shared" si="75"/>
        <v/>
      </c>
      <c r="H221" s="118"/>
      <c r="I221" s="34" t="str">
        <f t="shared" si="76"/>
        <v/>
      </c>
      <c r="J221" s="118"/>
      <c r="K221" s="34" t="str">
        <f t="shared" si="77"/>
        <v/>
      </c>
      <c r="L221" s="118"/>
      <c r="M221" s="121"/>
      <c r="N221" s="122" t="str">
        <f t="shared" si="78"/>
        <v/>
      </c>
      <c r="O221" s="35" t="str">
        <f t="shared" si="79"/>
        <v/>
      </c>
      <c r="P221" s="124"/>
      <c r="Q221" s="36" t="str">
        <f t="shared" si="91"/>
        <v/>
      </c>
      <c r="R221" s="46" t="str">
        <f t="shared" si="80"/>
        <v/>
      </c>
      <c r="S221" s="38" t="str">
        <f t="shared" si="81"/>
        <v/>
      </c>
      <c r="T221" s="39" t="str">
        <f t="shared" si="82"/>
        <v/>
      </c>
      <c r="U221" s="40" t="str">
        <f t="shared" si="83"/>
        <v/>
      </c>
      <c r="V221" s="39" t="str">
        <f t="shared" si="84"/>
        <v/>
      </c>
      <c r="W221" s="34" t="str">
        <f t="shared" si="85"/>
        <v/>
      </c>
      <c r="X221" s="41" t="str">
        <f t="shared" si="92"/>
        <v/>
      </c>
      <c r="Y221" s="98" t="str">
        <f t="shared" si="86"/>
        <v/>
      </c>
      <c r="Z221" s="16" t="str">
        <f t="shared" si="93"/>
        <v/>
      </c>
      <c r="AB221" s="139"/>
      <c r="AC221" s="146" t="str">
        <f t="shared" si="96"/>
        <v/>
      </c>
      <c r="AD221" s="148" t="str">
        <f t="shared" si="94"/>
        <v/>
      </c>
      <c r="AE221" s="147" t="str">
        <f t="shared" si="87"/>
        <v/>
      </c>
      <c r="AF221" s="111" t="str">
        <f t="shared" si="88"/>
        <v/>
      </c>
      <c r="AG221" s="111" t="str">
        <f t="shared" si="89"/>
        <v/>
      </c>
      <c r="AH221" s="112" t="str">
        <f t="shared" si="90"/>
        <v/>
      </c>
      <c r="AI221" t="str">
        <f t="shared" si="95"/>
        <v/>
      </c>
      <c r="AJ221" t="str">
        <f t="shared" si="97"/>
        <v/>
      </c>
    </row>
    <row r="222" spans="1:36" ht="15" customHeight="1" x14ac:dyDescent="0.25">
      <c r="A222" s="114"/>
      <c r="B222" s="116"/>
      <c r="C222" s="116"/>
      <c r="D222" s="42" t="str">
        <f t="shared" si="74"/>
        <v/>
      </c>
      <c r="E222" s="43"/>
      <c r="F222" s="118"/>
      <c r="G222" s="44" t="str">
        <f t="shared" si="75"/>
        <v/>
      </c>
      <c r="H222" s="118"/>
      <c r="I222" s="34" t="str">
        <f t="shared" si="76"/>
        <v/>
      </c>
      <c r="J222" s="118"/>
      <c r="K222" s="34" t="str">
        <f t="shared" si="77"/>
        <v/>
      </c>
      <c r="L222" s="118"/>
      <c r="M222" s="121"/>
      <c r="N222" s="122" t="str">
        <f t="shared" si="78"/>
        <v/>
      </c>
      <c r="O222" s="35" t="str">
        <f t="shared" si="79"/>
        <v/>
      </c>
      <c r="P222" s="124"/>
      <c r="Q222" s="36" t="str">
        <f t="shared" si="91"/>
        <v/>
      </c>
      <c r="R222" s="46" t="str">
        <f t="shared" si="80"/>
        <v/>
      </c>
      <c r="S222" s="38" t="str">
        <f t="shared" si="81"/>
        <v/>
      </c>
      <c r="T222" s="39" t="str">
        <f t="shared" si="82"/>
        <v/>
      </c>
      <c r="U222" s="40" t="str">
        <f t="shared" si="83"/>
        <v/>
      </c>
      <c r="V222" s="39" t="str">
        <f t="shared" si="84"/>
        <v/>
      </c>
      <c r="W222" s="34" t="str">
        <f t="shared" si="85"/>
        <v/>
      </c>
      <c r="X222" s="41" t="str">
        <f t="shared" si="92"/>
        <v/>
      </c>
      <c r="Y222" s="98" t="str">
        <f t="shared" si="86"/>
        <v/>
      </c>
      <c r="Z222" s="16" t="str">
        <f t="shared" si="93"/>
        <v/>
      </c>
      <c r="AB222" s="139"/>
      <c r="AC222" s="146" t="str">
        <f t="shared" si="96"/>
        <v/>
      </c>
      <c r="AD222" s="148" t="str">
        <f t="shared" si="94"/>
        <v/>
      </c>
      <c r="AE222" s="147" t="str">
        <f t="shared" si="87"/>
        <v/>
      </c>
      <c r="AF222" s="111" t="str">
        <f t="shared" si="88"/>
        <v/>
      </c>
      <c r="AG222" s="111" t="str">
        <f t="shared" si="89"/>
        <v/>
      </c>
      <c r="AH222" s="112" t="str">
        <f t="shared" si="90"/>
        <v/>
      </c>
      <c r="AI222" t="str">
        <f t="shared" si="95"/>
        <v/>
      </c>
      <c r="AJ222" t="str">
        <f t="shared" si="97"/>
        <v/>
      </c>
    </row>
    <row r="223" spans="1:36" ht="15" customHeight="1" x14ac:dyDescent="0.25">
      <c r="A223" s="114"/>
      <c r="B223" s="116"/>
      <c r="C223" s="116"/>
      <c r="D223" s="42" t="str">
        <f t="shared" si="74"/>
        <v/>
      </c>
      <c r="E223" s="43"/>
      <c r="F223" s="118"/>
      <c r="G223" s="44" t="str">
        <f t="shared" si="75"/>
        <v/>
      </c>
      <c r="H223" s="118"/>
      <c r="I223" s="34" t="str">
        <f t="shared" si="76"/>
        <v/>
      </c>
      <c r="J223" s="118"/>
      <c r="K223" s="34" t="str">
        <f t="shared" si="77"/>
        <v/>
      </c>
      <c r="L223" s="118"/>
      <c r="M223" s="121"/>
      <c r="N223" s="122" t="str">
        <f t="shared" si="78"/>
        <v/>
      </c>
      <c r="O223" s="35" t="str">
        <f t="shared" si="79"/>
        <v/>
      </c>
      <c r="P223" s="124"/>
      <c r="Q223" s="36" t="str">
        <f t="shared" si="91"/>
        <v/>
      </c>
      <c r="R223" s="46" t="str">
        <f t="shared" si="80"/>
        <v/>
      </c>
      <c r="S223" s="38" t="str">
        <f t="shared" si="81"/>
        <v/>
      </c>
      <c r="T223" s="39" t="str">
        <f t="shared" si="82"/>
        <v/>
      </c>
      <c r="U223" s="40" t="str">
        <f t="shared" si="83"/>
        <v/>
      </c>
      <c r="V223" s="39" t="str">
        <f t="shared" si="84"/>
        <v/>
      </c>
      <c r="W223" s="34" t="str">
        <f t="shared" si="85"/>
        <v/>
      </c>
      <c r="X223" s="41" t="str">
        <f t="shared" si="92"/>
        <v/>
      </c>
      <c r="Y223" s="98" t="str">
        <f t="shared" si="86"/>
        <v/>
      </c>
      <c r="Z223" s="16" t="str">
        <f t="shared" si="93"/>
        <v/>
      </c>
      <c r="AB223" s="139"/>
      <c r="AC223" s="146" t="str">
        <f t="shared" si="96"/>
        <v/>
      </c>
      <c r="AD223" s="148" t="str">
        <f t="shared" si="94"/>
        <v/>
      </c>
      <c r="AE223" s="147" t="str">
        <f t="shared" si="87"/>
        <v/>
      </c>
      <c r="AF223" s="111" t="str">
        <f t="shared" si="88"/>
        <v/>
      </c>
      <c r="AG223" s="111" t="str">
        <f t="shared" si="89"/>
        <v/>
      </c>
      <c r="AH223" s="112" t="str">
        <f t="shared" si="90"/>
        <v/>
      </c>
      <c r="AI223" t="str">
        <f t="shared" si="95"/>
        <v/>
      </c>
      <c r="AJ223" t="str">
        <f t="shared" si="97"/>
        <v/>
      </c>
    </row>
    <row r="224" spans="1:36" ht="15" customHeight="1" x14ac:dyDescent="0.25">
      <c r="A224" s="114"/>
      <c r="B224" s="116"/>
      <c r="C224" s="116"/>
      <c r="D224" s="42" t="str">
        <f t="shared" si="74"/>
        <v/>
      </c>
      <c r="E224" s="43"/>
      <c r="F224" s="118"/>
      <c r="G224" s="44" t="str">
        <f t="shared" si="75"/>
        <v/>
      </c>
      <c r="H224" s="118"/>
      <c r="I224" s="34" t="str">
        <f t="shared" si="76"/>
        <v/>
      </c>
      <c r="J224" s="118"/>
      <c r="K224" s="34" t="str">
        <f t="shared" si="77"/>
        <v/>
      </c>
      <c r="L224" s="118"/>
      <c r="M224" s="121"/>
      <c r="N224" s="122" t="str">
        <f t="shared" si="78"/>
        <v/>
      </c>
      <c r="O224" s="35" t="str">
        <f t="shared" si="79"/>
        <v/>
      </c>
      <c r="P224" s="124"/>
      <c r="Q224" s="36" t="str">
        <f t="shared" si="91"/>
        <v/>
      </c>
      <c r="R224" s="46" t="str">
        <f t="shared" si="80"/>
        <v/>
      </c>
      <c r="S224" s="38" t="str">
        <f t="shared" si="81"/>
        <v/>
      </c>
      <c r="T224" s="39" t="str">
        <f t="shared" si="82"/>
        <v/>
      </c>
      <c r="U224" s="40" t="str">
        <f t="shared" si="83"/>
        <v/>
      </c>
      <c r="V224" s="39" t="str">
        <f t="shared" si="84"/>
        <v/>
      </c>
      <c r="W224" s="34" t="str">
        <f t="shared" si="85"/>
        <v/>
      </c>
      <c r="X224" s="41" t="str">
        <f t="shared" si="92"/>
        <v/>
      </c>
      <c r="Y224" s="98" t="str">
        <f t="shared" si="86"/>
        <v/>
      </c>
      <c r="Z224" s="16" t="str">
        <f t="shared" si="93"/>
        <v/>
      </c>
      <c r="AB224" s="139"/>
      <c r="AC224" s="146" t="str">
        <f t="shared" si="96"/>
        <v/>
      </c>
      <c r="AD224" s="148" t="str">
        <f t="shared" si="94"/>
        <v/>
      </c>
      <c r="AE224" s="147" t="str">
        <f t="shared" si="87"/>
        <v/>
      </c>
      <c r="AF224" s="111" t="str">
        <f t="shared" si="88"/>
        <v/>
      </c>
      <c r="AG224" s="111" t="str">
        <f t="shared" si="89"/>
        <v/>
      </c>
      <c r="AH224" s="112" t="str">
        <f t="shared" si="90"/>
        <v/>
      </c>
      <c r="AI224" t="str">
        <f t="shared" si="95"/>
        <v/>
      </c>
      <c r="AJ224" t="str">
        <f t="shared" si="97"/>
        <v/>
      </c>
    </row>
    <row r="225" spans="1:36" ht="15" customHeight="1" x14ac:dyDescent="0.25">
      <c r="A225" s="114"/>
      <c r="B225" s="116"/>
      <c r="C225" s="116"/>
      <c r="D225" s="42" t="str">
        <f t="shared" si="74"/>
        <v/>
      </c>
      <c r="E225" s="43"/>
      <c r="F225" s="118"/>
      <c r="G225" s="44" t="str">
        <f t="shared" si="75"/>
        <v/>
      </c>
      <c r="H225" s="118"/>
      <c r="I225" s="34" t="str">
        <f t="shared" si="76"/>
        <v/>
      </c>
      <c r="J225" s="118"/>
      <c r="K225" s="34" t="str">
        <f t="shared" si="77"/>
        <v/>
      </c>
      <c r="L225" s="118"/>
      <c r="M225" s="121"/>
      <c r="N225" s="122" t="str">
        <f t="shared" si="78"/>
        <v/>
      </c>
      <c r="O225" s="35" t="str">
        <f t="shared" si="79"/>
        <v/>
      </c>
      <c r="P225" s="124"/>
      <c r="Q225" s="36" t="str">
        <f t="shared" si="91"/>
        <v/>
      </c>
      <c r="R225" s="46" t="str">
        <f t="shared" si="80"/>
        <v/>
      </c>
      <c r="S225" s="38" t="str">
        <f t="shared" si="81"/>
        <v/>
      </c>
      <c r="T225" s="39" t="str">
        <f t="shared" si="82"/>
        <v/>
      </c>
      <c r="U225" s="40" t="str">
        <f t="shared" si="83"/>
        <v/>
      </c>
      <c r="V225" s="39" t="str">
        <f t="shared" si="84"/>
        <v/>
      </c>
      <c r="W225" s="34" t="str">
        <f t="shared" si="85"/>
        <v/>
      </c>
      <c r="X225" s="41" t="str">
        <f t="shared" si="92"/>
        <v/>
      </c>
      <c r="Y225" s="98" t="str">
        <f t="shared" si="86"/>
        <v/>
      </c>
      <c r="Z225" s="16" t="str">
        <f t="shared" si="93"/>
        <v/>
      </c>
      <c r="AB225" s="139"/>
      <c r="AC225" s="146" t="str">
        <f t="shared" si="96"/>
        <v/>
      </c>
      <c r="AD225" s="148" t="str">
        <f t="shared" si="94"/>
        <v/>
      </c>
      <c r="AE225" s="147" t="str">
        <f t="shared" si="87"/>
        <v/>
      </c>
      <c r="AF225" s="111" t="str">
        <f t="shared" si="88"/>
        <v/>
      </c>
      <c r="AG225" s="111" t="str">
        <f t="shared" si="89"/>
        <v/>
      </c>
      <c r="AH225" s="112" t="str">
        <f t="shared" si="90"/>
        <v/>
      </c>
      <c r="AI225" t="str">
        <f t="shared" si="95"/>
        <v/>
      </c>
      <c r="AJ225" t="str">
        <f t="shared" si="97"/>
        <v/>
      </c>
    </row>
    <row r="226" spans="1:36" ht="15" customHeight="1" x14ac:dyDescent="0.25">
      <c r="A226" s="114"/>
      <c r="B226" s="116"/>
      <c r="C226" s="116"/>
      <c r="D226" s="42" t="str">
        <f t="shared" si="74"/>
        <v/>
      </c>
      <c r="E226" s="43"/>
      <c r="F226" s="118"/>
      <c r="G226" s="44" t="str">
        <f t="shared" si="75"/>
        <v/>
      </c>
      <c r="H226" s="118"/>
      <c r="I226" s="34" t="str">
        <f t="shared" si="76"/>
        <v/>
      </c>
      <c r="J226" s="118"/>
      <c r="K226" s="34" t="str">
        <f t="shared" si="77"/>
        <v/>
      </c>
      <c r="L226" s="118"/>
      <c r="M226" s="121"/>
      <c r="N226" s="122" t="str">
        <f t="shared" si="78"/>
        <v/>
      </c>
      <c r="O226" s="35" t="str">
        <f t="shared" si="79"/>
        <v/>
      </c>
      <c r="P226" s="124"/>
      <c r="Q226" s="36" t="str">
        <f t="shared" si="91"/>
        <v/>
      </c>
      <c r="R226" s="46" t="str">
        <f t="shared" si="80"/>
        <v/>
      </c>
      <c r="S226" s="38" t="str">
        <f t="shared" si="81"/>
        <v/>
      </c>
      <c r="T226" s="39" t="str">
        <f t="shared" si="82"/>
        <v/>
      </c>
      <c r="U226" s="40" t="str">
        <f t="shared" si="83"/>
        <v/>
      </c>
      <c r="V226" s="39" t="str">
        <f t="shared" si="84"/>
        <v/>
      </c>
      <c r="W226" s="34" t="str">
        <f t="shared" si="85"/>
        <v/>
      </c>
      <c r="X226" s="41" t="str">
        <f t="shared" si="92"/>
        <v/>
      </c>
      <c r="Y226" s="98" t="str">
        <f t="shared" si="86"/>
        <v/>
      </c>
      <c r="Z226" s="16" t="str">
        <f t="shared" si="93"/>
        <v/>
      </c>
      <c r="AB226" s="139"/>
      <c r="AC226" s="146" t="str">
        <f t="shared" si="96"/>
        <v/>
      </c>
      <c r="AD226" s="148" t="str">
        <f t="shared" si="94"/>
        <v/>
      </c>
      <c r="AE226" s="147" t="str">
        <f t="shared" si="87"/>
        <v/>
      </c>
      <c r="AF226" s="111" t="str">
        <f t="shared" si="88"/>
        <v/>
      </c>
      <c r="AG226" s="111" t="str">
        <f t="shared" si="89"/>
        <v/>
      </c>
      <c r="AH226" s="112" t="str">
        <f t="shared" si="90"/>
        <v/>
      </c>
      <c r="AI226" t="str">
        <f t="shared" si="95"/>
        <v/>
      </c>
      <c r="AJ226" t="str">
        <f t="shared" si="97"/>
        <v/>
      </c>
    </row>
    <row r="227" spans="1:36" ht="15" customHeight="1" x14ac:dyDescent="0.25">
      <c r="A227" s="114"/>
      <c r="B227" s="116"/>
      <c r="C227" s="116"/>
      <c r="D227" s="42" t="str">
        <f t="shared" si="74"/>
        <v/>
      </c>
      <c r="E227" s="43"/>
      <c r="F227" s="118"/>
      <c r="G227" s="44" t="str">
        <f t="shared" si="75"/>
        <v/>
      </c>
      <c r="H227" s="118"/>
      <c r="I227" s="34" t="str">
        <f t="shared" si="76"/>
        <v/>
      </c>
      <c r="J227" s="118"/>
      <c r="K227" s="34" t="str">
        <f t="shared" si="77"/>
        <v/>
      </c>
      <c r="L227" s="118"/>
      <c r="M227" s="121"/>
      <c r="N227" s="122" t="str">
        <f t="shared" si="78"/>
        <v/>
      </c>
      <c r="O227" s="35" t="str">
        <f t="shared" si="79"/>
        <v/>
      </c>
      <c r="P227" s="124"/>
      <c r="Q227" s="36" t="str">
        <f t="shared" si="91"/>
        <v/>
      </c>
      <c r="R227" s="46" t="str">
        <f t="shared" si="80"/>
        <v/>
      </c>
      <c r="S227" s="38" t="str">
        <f t="shared" si="81"/>
        <v/>
      </c>
      <c r="T227" s="39" t="str">
        <f t="shared" si="82"/>
        <v/>
      </c>
      <c r="U227" s="40" t="str">
        <f t="shared" si="83"/>
        <v/>
      </c>
      <c r="V227" s="39" t="str">
        <f t="shared" si="84"/>
        <v/>
      </c>
      <c r="W227" s="34" t="str">
        <f t="shared" si="85"/>
        <v/>
      </c>
      <c r="X227" s="41" t="str">
        <f t="shared" si="92"/>
        <v/>
      </c>
      <c r="Y227" s="98" t="str">
        <f t="shared" si="86"/>
        <v/>
      </c>
      <c r="Z227" s="16" t="str">
        <f t="shared" si="93"/>
        <v/>
      </c>
      <c r="AB227" s="139"/>
      <c r="AC227" s="146" t="str">
        <f t="shared" si="96"/>
        <v/>
      </c>
      <c r="AD227" s="148" t="str">
        <f t="shared" si="94"/>
        <v/>
      </c>
      <c r="AE227" s="147" t="str">
        <f t="shared" si="87"/>
        <v/>
      </c>
      <c r="AF227" s="111" t="str">
        <f t="shared" si="88"/>
        <v/>
      </c>
      <c r="AG227" s="111" t="str">
        <f t="shared" si="89"/>
        <v/>
      </c>
      <c r="AH227" s="112" t="str">
        <f t="shared" si="90"/>
        <v/>
      </c>
      <c r="AI227" t="str">
        <f t="shared" si="95"/>
        <v/>
      </c>
      <c r="AJ227" t="str">
        <f t="shared" si="97"/>
        <v/>
      </c>
    </row>
    <row r="228" spans="1:36" ht="15" customHeight="1" x14ac:dyDescent="0.25">
      <c r="A228" s="114"/>
      <c r="B228" s="116"/>
      <c r="C228" s="116"/>
      <c r="D228" s="42" t="str">
        <f t="shared" si="74"/>
        <v/>
      </c>
      <c r="E228" s="43"/>
      <c r="F228" s="118"/>
      <c r="G228" s="44" t="str">
        <f t="shared" si="75"/>
        <v/>
      </c>
      <c r="H228" s="118"/>
      <c r="I228" s="34" t="str">
        <f t="shared" si="76"/>
        <v/>
      </c>
      <c r="J228" s="118"/>
      <c r="K228" s="34" t="str">
        <f t="shared" si="77"/>
        <v/>
      </c>
      <c r="L228" s="118"/>
      <c r="M228" s="121"/>
      <c r="N228" s="122" t="str">
        <f t="shared" si="78"/>
        <v/>
      </c>
      <c r="O228" s="35" t="str">
        <f t="shared" si="79"/>
        <v/>
      </c>
      <c r="P228" s="124"/>
      <c r="Q228" s="36" t="str">
        <f t="shared" si="91"/>
        <v/>
      </c>
      <c r="R228" s="46" t="str">
        <f t="shared" si="80"/>
        <v/>
      </c>
      <c r="S228" s="38" t="str">
        <f t="shared" si="81"/>
        <v/>
      </c>
      <c r="T228" s="39" t="str">
        <f t="shared" si="82"/>
        <v/>
      </c>
      <c r="U228" s="40" t="str">
        <f t="shared" si="83"/>
        <v/>
      </c>
      <c r="V228" s="39" t="str">
        <f t="shared" si="84"/>
        <v/>
      </c>
      <c r="W228" s="34" t="str">
        <f t="shared" si="85"/>
        <v/>
      </c>
      <c r="X228" s="41" t="str">
        <f t="shared" si="92"/>
        <v/>
      </c>
      <c r="Y228" s="98" t="str">
        <f t="shared" si="86"/>
        <v/>
      </c>
      <c r="Z228" s="16" t="str">
        <f t="shared" si="93"/>
        <v/>
      </c>
      <c r="AB228" s="139"/>
      <c r="AC228" s="146" t="str">
        <f t="shared" si="96"/>
        <v/>
      </c>
      <c r="AD228" s="148" t="str">
        <f t="shared" si="94"/>
        <v/>
      </c>
      <c r="AE228" s="147" t="str">
        <f t="shared" si="87"/>
        <v/>
      </c>
      <c r="AF228" s="111" t="str">
        <f t="shared" si="88"/>
        <v/>
      </c>
      <c r="AG228" s="111" t="str">
        <f t="shared" si="89"/>
        <v/>
      </c>
      <c r="AH228" s="112" t="str">
        <f t="shared" si="90"/>
        <v/>
      </c>
      <c r="AI228" t="str">
        <f t="shared" si="95"/>
        <v/>
      </c>
      <c r="AJ228" t="str">
        <f t="shared" si="97"/>
        <v/>
      </c>
    </row>
    <row r="229" spans="1:36" ht="15" customHeight="1" x14ac:dyDescent="0.25">
      <c r="A229" s="114"/>
      <c r="B229" s="116"/>
      <c r="C229" s="116"/>
      <c r="D229" s="42" t="str">
        <f t="shared" si="74"/>
        <v/>
      </c>
      <c r="E229" s="43"/>
      <c r="F229" s="118"/>
      <c r="G229" s="44" t="str">
        <f t="shared" si="75"/>
        <v/>
      </c>
      <c r="H229" s="118"/>
      <c r="I229" s="34" t="str">
        <f t="shared" si="76"/>
        <v/>
      </c>
      <c r="J229" s="118"/>
      <c r="K229" s="34" t="str">
        <f t="shared" si="77"/>
        <v/>
      </c>
      <c r="L229" s="118"/>
      <c r="M229" s="121"/>
      <c r="N229" s="122" t="str">
        <f t="shared" si="78"/>
        <v/>
      </c>
      <c r="O229" s="35" t="str">
        <f t="shared" si="79"/>
        <v/>
      </c>
      <c r="P229" s="124"/>
      <c r="Q229" s="36" t="str">
        <f t="shared" si="91"/>
        <v/>
      </c>
      <c r="R229" s="46" t="str">
        <f t="shared" si="80"/>
        <v/>
      </c>
      <c r="S229" s="38" t="str">
        <f t="shared" si="81"/>
        <v/>
      </c>
      <c r="T229" s="39" t="str">
        <f t="shared" si="82"/>
        <v/>
      </c>
      <c r="U229" s="40" t="str">
        <f t="shared" si="83"/>
        <v/>
      </c>
      <c r="V229" s="39" t="str">
        <f t="shared" si="84"/>
        <v/>
      </c>
      <c r="W229" s="34" t="str">
        <f t="shared" si="85"/>
        <v/>
      </c>
      <c r="X229" s="41" t="str">
        <f t="shared" si="92"/>
        <v/>
      </c>
      <c r="Y229" s="98" t="str">
        <f t="shared" si="86"/>
        <v/>
      </c>
      <c r="Z229" s="16" t="str">
        <f t="shared" si="93"/>
        <v/>
      </c>
      <c r="AB229" s="139"/>
      <c r="AC229" s="146" t="str">
        <f t="shared" si="96"/>
        <v/>
      </c>
      <c r="AD229" s="148" t="str">
        <f t="shared" si="94"/>
        <v/>
      </c>
      <c r="AE229" s="147" t="str">
        <f t="shared" si="87"/>
        <v/>
      </c>
      <c r="AF229" s="111" t="str">
        <f t="shared" si="88"/>
        <v/>
      </c>
      <c r="AG229" s="111" t="str">
        <f t="shared" si="89"/>
        <v/>
      </c>
      <c r="AH229" s="112" t="str">
        <f t="shared" si="90"/>
        <v/>
      </c>
      <c r="AI229" t="str">
        <f t="shared" si="95"/>
        <v/>
      </c>
      <c r="AJ229" t="str">
        <f t="shared" si="97"/>
        <v/>
      </c>
    </row>
    <row r="230" spans="1:36" ht="15" customHeight="1" x14ac:dyDescent="0.25">
      <c r="A230" s="114"/>
      <c r="B230" s="116"/>
      <c r="C230" s="116"/>
      <c r="D230" s="42" t="str">
        <f t="shared" si="74"/>
        <v/>
      </c>
      <c r="E230" s="43"/>
      <c r="F230" s="118"/>
      <c r="G230" s="44" t="str">
        <f t="shared" si="75"/>
        <v/>
      </c>
      <c r="H230" s="118"/>
      <c r="I230" s="34" t="str">
        <f t="shared" si="76"/>
        <v/>
      </c>
      <c r="J230" s="118"/>
      <c r="K230" s="34" t="str">
        <f t="shared" si="77"/>
        <v/>
      </c>
      <c r="L230" s="118"/>
      <c r="M230" s="121"/>
      <c r="N230" s="122" t="str">
        <f t="shared" si="78"/>
        <v/>
      </c>
      <c r="O230" s="35" t="str">
        <f t="shared" si="79"/>
        <v/>
      </c>
      <c r="P230" s="124"/>
      <c r="Q230" s="36" t="str">
        <f t="shared" si="91"/>
        <v/>
      </c>
      <c r="R230" s="46" t="str">
        <f t="shared" si="80"/>
        <v/>
      </c>
      <c r="S230" s="38" t="str">
        <f t="shared" si="81"/>
        <v/>
      </c>
      <c r="T230" s="39" t="str">
        <f t="shared" si="82"/>
        <v/>
      </c>
      <c r="U230" s="40" t="str">
        <f t="shared" si="83"/>
        <v/>
      </c>
      <c r="V230" s="39" t="str">
        <f t="shared" si="84"/>
        <v/>
      </c>
      <c r="W230" s="34" t="str">
        <f t="shared" si="85"/>
        <v/>
      </c>
      <c r="X230" s="41" t="str">
        <f t="shared" si="92"/>
        <v/>
      </c>
      <c r="Y230" s="98" t="str">
        <f t="shared" si="86"/>
        <v/>
      </c>
      <c r="Z230" s="16" t="str">
        <f t="shared" si="93"/>
        <v/>
      </c>
      <c r="AB230" s="139"/>
      <c r="AC230" s="146" t="str">
        <f t="shared" si="96"/>
        <v/>
      </c>
      <c r="AD230" s="148" t="str">
        <f t="shared" si="94"/>
        <v/>
      </c>
      <c r="AE230" s="147" t="str">
        <f t="shared" si="87"/>
        <v/>
      </c>
      <c r="AF230" s="111" t="str">
        <f t="shared" si="88"/>
        <v/>
      </c>
      <c r="AG230" s="111" t="str">
        <f t="shared" si="89"/>
        <v/>
      </c>
      <c r="AH230" s="112" t="str">
        <f t="shared" si="90"/>
        <v/>
      </c>
      <c r="AI230" t="str">
        <f t="shared" si="95"/>
        <v/>
      </c>
      <c r="AJ230" t="str">
        <f t="shared" si="97"/>
        <v/>
      </c>
    </row>
    <row r="231" spans="1:36" ht="15" customHeight="1" x14ac:dyDescent="0.25">
      <c r="A231" s="114"/>
      <c r="B231" s="116"/>
      <c r="C231" s="116"/>
      <c r="D231" s="42" t="str">
        <f t="shared" si="74"/>
        <v/>
      </c>
      <c r="E231" s="43"/>
      <c r="F231" s="118"/>
      <c r="G231" s="44" t="str">
        <f t="shared" si="75"/>
        <v/>
      </c>
      <c r="H231" s="118"/>
      <c r="I231" s="34" t="str">
        <f t="shared" si="76"/>
        <v/>
      </c>
      <c r="J231" s="118"/>
      <c r="K231" s="34" t="str">
        <f t="shared" si="77"/>
        <v/>
      </c>
      <c r="L231" s="118"/>
      <c r="M231" s="121"/>
      <c r="N231" s="122" t="str">
        <f t="shared" si="78"/>
        <v/>
      </c>
      <c r="O231" s="35" t="str">
        <f t="shared" si="79"/>
        <v/>
      </c>
      <c r="P231" s="124"/>
      <c r="Q231" s="36" t="str">
        <f t="shared" si="91"/>
        <v/>
      </c>
      <c r="R231" s="46" t="str">
        <f t="shared" si="80"/>
        <v/>
      </c>
      <c r="S231" s="38" t="str">
        <f t="shared" si="81"/>
        <v/>
      </c>
      <c r="T231" s="39" t="str">
        <f t="shared" si="82"/>
        <v/>
      </c>
      <c r="U231" s="40" t="str">
        <f t="shared" si="83"/>
        <v/>
      </c>
      <c r="V231" s="39" t="str">
        <f t="shared" si="84"/>
        <v/>
      </c>
      <c r="W231" s="34" t="str">
        <f t="shared" si="85"/>
        <v/>
      </c>
      <c r="X231" s="41" t="str">
        <f t="shared" si="92"/>
        <v/>
      </c>
      <c r="Y231" s="98" t="str">
        <f t="shared" si="86"/>
        <v/>
      </c>
      <c r="Z231" s="16" t="str">
        <f t="shared" si="93"/>
        <v/>
      </c>
      <c r="AB231" s="139"/>
      <c r="AC231" s="146" t="str">
        <f t="shared" si="96"/>
        <v/>
      </c>
      <c r="AD231" s="148" t="str">
        <f t="shared" si="94"/>
        <v/>
      </c>
      <c r="AE231" s="147" t="str">
        <f t="shared" si="87"/>
        <v/>
      </c>
      <c r="AF231" s="111" t="str">
        <f t="shared" si="88"/>
        <v/>
      </c>
      <c r="AG231" s="111" t="str">
        <f t="shared" si="89"/>
        <v/>
      </c>
      <c r="AH231" s="112" t="str">
        <f t="shared" si="90"/>
        <v/>
      </c>
      <c r="AI231" t="str">
        <f t="shared" si="95"/>
        <v/>
      </c>
      <c r="AJ231" t="str">
        <f t="shared" si="97"/>
        <v/>
      </c>
    </row>
    <row r="232" spans="1:36" ht="15" customHeight="1" x14ac:dyDescent="0.25">
      <c r="A232" s="114"/>
      <c r="B232" s="116"/>
      <c r="C232" s="116"/>
      <c r="D232" s="42" t="str">
        <f t="shared" si="74"/>
        <v/>
      </c>
      <c r="E232" s="43"/>
      <c r="F232" s="118"/>
      <c r="G232" s="44" t="str">
        <f t="shared" si="75"/>
        <v/>
      </c>
      <c r="H232" s="118"/>
      <c r="I232" s="34" t="str">
        <f t="shared" si="76"/>
        <v/>
      </c>
      <c r="J232" s="118"/>
      <c r="K232" s="34" t="str">
        <f t="shared" si="77"/>
        <v/>
      </c>
      <c r="L232" s="118"/>
      <c r="M232" s="121"/>
      <c r="N232" s="122" t="str">
        <f t="shared" si="78"/>
        <v/>
      </c>
      <c r="O232" s="35" t="str">
        <f t="shared" si="79"/>
        <v/>
      </c>
      <c r="P232" s="124"/>
      <c r="Q232" s="36" t="str">
        <f t="shared" si="91"/>
        <v/>
      </c>
      <c r="R232" s="46" t="str">
        <f t="shared" si="80"/>
        <v/>
      </c>
      <c r="S232" s="38" t="str">
        <f t="shared" si="81"/>
        <v/>
      </c>
      <c r="T232" s="39" t="str">
        <f t="shared" si="82"/>
        <v/>
      </c>
      <c r="U232" s="40" t="str">
        <f t="shared" si="83"/>
        <v/>
      </c>
      <c r="V232" s="39" t="str">
        <f t="shared" si="84"/>
        <v/>
      </c>
      <c r="W232" s="34" t="str">
        <f t="shared" si="85"/>
        <v/>
      </c>
      <c r="X232" s="41" t="str">
        <f t="shared" si="92"/>
        <v/>
      </c>
      <c r="Y232" s="98" t="str">
        <f t="shared" si="86"/>
        <v/>
      </c>
      <c r="Z232" s="16" t="str">
        <f t="shared" si="93"/>
        <v/>
      </c>
      <c r="AB232" s="139"/>
      <c r="AC232" s="146" t="str">
        <f t="shared" si="96"/>
        <v/>
      </c>
      <c r="AD232" s="148" t="str">
        <f t="shared" si="94"/>
        <v/>
      </c>
      <c r="AE232" s="147" t="str">
        <f t="shared" si="87"/>
        <v/>
      </c>
      <c r="AF232" s="111" t="str">
        <f t="shared" si="88"/>
        <v/>
      </c>
      <c r="AG232" s="111" t="str">
        <f t="shared" si="89"/>
        <v/>
      </c>
      <c r="AH232" s="112" t="str">
        <f t="shared" si="90"/>
        <v/>
      </c>
      <c r="AI232" t="str">
        <f t="shared" si="95"/>
        <v/>
      </c>
      <c r="AJ232" t="str">
        <f t="shared" si="97"/>
        <v/>
      </c>
    </row>
    <row r="233" spans="1:36" ht="15" customHeight="1" x14ac:dyDescent="0.25">
      <c r="A233" s="114"/>
      <c r="B233" s="116"/>
      <c r="C233" s="116"/>
      <c r="D233" s="42" t="str">
        <f t="shared" si="74"/>
        <v/>
      </c>
      <c r="E233" s="43"/>
      <c r="F233" s="118"/>
      <c r="G233" s="44" t="str">
        <f t="shared" si="75"/>
        <v/>
      </c>
      <c r="H233" s="118"/>
      <c r="I233" s="34" t="str">
        <f t="shared" si="76"/>
        <v/>
      </c>
      <c r="J233" s="118"/>
      <c r="K233" s="34" t="str">
        <f t="shared" si="77"/>
        <v/>
      </c>
      <c r="L233" s="118"/>
      <c r="M233" s="121"/>
      <c r="N233" s="122" t="str">
        <f t="shared" si="78"/>
        <v/>
      </c>
      <c r="O233" s="35" t="str">
        <f t="shared" si="79"/>
        <v/>
      </c>
      <c r="P233" s="124"/>
      <c r="Q233" s="36" t="str">
        <f t="shared" si="91"/>
        <v/>
      </c>
      <c r="R233" s="46" t="str">
        <f t="shared" si="80"/>
        <v/>
      </c>
      <c r="S233" s="38" t="str">
        <f t="shared" si="81"/>
        <v/>
      </c>
      <c r="T233" s="39" t="str">
        <f t="shared" si="82"/>
        <v/>
      </c>
      <c r="U233" s="40" t="str">
        <f t="shared" si="83"/>
        <v/>
      </c>
      <c r="V233" s="39" t="str">
        <f t="shared" si="84"/>
        <v/>
      </c>
      <c r="W233" s="34" t="str">
        <f t="shared" si="85"/>
        <v/>
      </c>
      <c r="X233" s="41" t="str">
        <f t="shared" si="92"/>
        <v/>
      </c>
      <c r="Y233" s="98" t="str">
        <f t="shared" si="86"/>
        <v/>
      </c>
      <c r="Z233" s="16" t="str">
        <f t="shared" si="93"/>
        <v/>
      </c>
      <c r="AB233" s="139"/>
      <c r="AC233" s="146" t="str">
        <f t="shared" si="96"/>
        <v/>
      </c>
      <c r="AD233" s="148" t="str">
        <f t="shared" si="94"/>
        <v/>
      </c>
      <c r="AE233" s="147" t="str">
        <f t="shared" si="87"/>
        <v/>
      </c>
      <c r="AF233" s="111" t="str">
        <f t="shared" si="88"/>
        <v/>
      </c>
      <c r="AG233" s="111" t="str">
        <f t="shared" si="89"/>
        <v/>
      </c>
      <c r="AH233" s="112" t="str">
        <f t="shared" si="90"/>
        <v/>
      </c>
      <c r="AI233" t="str">
        <f t="shared" si="95"/>
        <v/>
      </c>
      <c r="AJ233" t="str">
        <f t="shared" si="97"/>
        <v/>
      </c>
    </row>
    <row r="234" spans="1:36" ht="15" customHeight="1" x14ac:dyDescent="0.25">
      <c r="A234" s="114"/>
      <c r="B234" s="116"/>
      <c r="C234" s="116"/>
      <c r="D234" s="42" t="str">
        <f t="shared" si="74"/>
        <v/>
      </c>
      <c r="E234" s="43"/>
      <c r="F234" s="118"/>
      <c r="G234" s="44" t="str">
        <f t="shared" si="75"/>
        <v/>
      </c>
      <c r="H234" s="118"/>
      <c r="I234" s="34" t="str">
        <f t="shared" si="76"/>
        <v/>
      </c>
      <c r="J234" s="118"/>
      <c r="K234" s="34" t="str">
        <f t="shared" si="77"/>
        <v/>
      </c>
      <c r="L234" s="118"/>
      <c r="M234" s="121"/>
      <c r="N234" s="122" t="str">
        <f t="shared" si="78"/>
        <v/>
      </c>
      <c r="O234" s="35" t="str">
        <f t="shared" si="79"/>
        <v/>
      </c>
      <c r="P234" s="124"/>
      <c r="Q234" s="36" t="str">
        <f t="shared" si="91"/>
        <v/>
      </c>
      <c r="R234" s="46" t="str">
        <f t="shared" si="80"/>
        <v/>
      </c>
      <c r="S234" s="38" t="str">
        <f t="shared" si="81"/>
        <v/>
      </c>
      <c r="T234" s="39" t="str">
        <f t="shared" si="82"/>
        <v/>
      </c>
      <c r="U234" s="40" t="str">
        <f t="shared" si="83"/>
        <v/>
      </c>
      <c r="V234" s="39" t="str">
        <f t="shared" si="84"/>
        <v/>
      </c>
      <c r="W234" s="34" t="str">
        <f t="shared" si="85"/>
        <v/>
      </c>
      <c r="X234" s="41" t="str">
        <f t="shared" si="92"/>
        <v/>
      </c>
      <c r="Y234" s="98" t="str">
        <f t="shared" si="86"/>
        <v/>
      </c>
      <c r="Z234" s="16" t="str">
        <f t="shared" si="93"/>
        <v/>
      </c>
      <c r="AB234" s="139"/>
      <c r="AC234" s="146" t="str">
        <f t="shared" si="96"/>
        <v/>
      </c>
      <c r="AD234" s="148" t="str">
        <f t="shared" si="94"/>
        <v/>
      </c>
      <c r="AE234" s="147" t="str">
        <f t="shared" si="87"/>
        <v/>
      </c>
      <c r="AF234" s="111" t="str">
        <f t="shared" si="88"/>
        <v/>
      </c>
      <c r="AG234" s="111" t="str">
        <f t="shared" si="89"/>
        <v/>
      </c>
      <c r="AH234" s="112" t="str">
        <f t="shared" si="90"/>
        <v/>
      </c>
      <c r="AI234" t="str">
        <f t="shared" si="95"/>
        <v/>
      </c>
      <c r="AJ234" t="str">
        <f t="shared" si="97"/>
        <v/>
      </c>
    </row>
    <row r="235" spans="1:36" ht="15" customHeight="1" x14ac:dyDescent="0.25">
      <c r="A235" s="114"/>
      <c r="B235" s="116"/>
      <c r="C235" s="116"/>
      <c r="D235" s="42" t="str">
        <f t="shared" si="74"/>
        <v/>
      </c>
      <c r="E235" s="43"/>
      <c r="F235" s="118"/>
      <c r="G235" s="44" t="str">
        <f t="shared" si="75"/>
        <v/>
      </c>
      <c r="H235" s="118"/>
      <c r="I235" s="34" t="str">
        <f t="shared" si="76"/>
        <v/>
      </c>
      <c r="J235" s="118"/>
      <c r="K235" s="34" t="str">
        <f t="shared" si="77"/>
        <v/>
      </c>
      <c r="L235" s="118"/>
      <c r="M235" s="121"/>
      <c r="N235" s="122" t="str">
        <f t="shared" si="78"/>
        <v/>
      </c>
      <c r="O235" s="35" t="str">
        <f t="shared" si="79"/>
        <v/>
      </c>
      <c r="P235" s="124"/>
      <c r="Q235" s="36" t="str">
        <f t="shared" si="91"/>
        <v/>
      </c>
      <c r="R235" s="46" t="str">
        <f t="shared" si="80"/>
        <v/>
      </c>
      <c r="S235" s="38" t="str">
        <f t="shared" si="81"/>
        <v/>
      </c>
      <c r="T235" s="39" t="str">
        <f t="shared" si="82"/>
        <v/>
      </c>
      <c r="U235" s="40" t="str">
        <f t="shared" si="83"/>
        <v/>
      </c>
      <c r="V235" s="39" t="str">
        <f t="shared" si="84"/>
        <v/>
      </c>
      <c r="W235" s="34" t="str">
        <f t="shared" si="85"/>
        <v/>
      </c>
      <c r="X235" s="41" t="str">
        <f t="shared" si="92"/>
        <v/>
      </c>
      <c r="Y235" s="98" t="str">
        <f t="shared" si="86"/>
        <v/>
      </c>
      <c r="Z235" s="16" t="str">
        <f t="shared" si="93"/>
        <v/>
      </c>
      <c r="AB235" s="139"/>
      <c r="AC235" s="146" t="str">
        <f t="shared" si="96"/>
        <v/>
      </c>
      <c r="AD235" s="148" t="str">
        <f t="shared" si="94"/>
        <v/>
      </c>
      <c r="AE235" s="147" t="str">
        <f t="shared" si="87"/>
        <v/>
      </c>
      <c r="AF235" s="111" t="str">
        <f t="shared" si="88"/>
        <v/>
      </c>
      <c r="AG235" s="111" t="str">
        <f t="shared" si="89"/>
        <v/>
      </c>
      <c r="AH235" s="112" t="str">
        <f t="shared" si="90"/>
        <v/>
      </c>
      <c r="AI235" t="str">
        <f t="shared" si="95"/>
        <v/>
      </c>
      <c r="AJ235" t="str">
        <f t="shared" si="97"/>
        <v/>
      </c>
    </row>
    <row r="236" spans="1:36" ht="15" customHeight="1" x14ac:dyDescent="0.25">
      <c r="A236" s="114"/>
      <c r="B236" s="116"/>
      <c r="C236" s="116"/>
      <c r="D236" s="42" t="str">
        <f t="shared" si="74"/>
        <v/>
      </c>
      <c r="E236" s="43"/>
      <c r="F236" s="118"/>
      <c r="G236" s="44" t="str">
        <f t="shared" si="75"/>
        <v/>
      </c>
      <c r="H236" s="118"/>
      <c r="I236" s="34" t="str">
        <f t="shared" si="76"/>
        <v/>
      </c>
      <c r="J236" s="118"/>
      <c r="K236" s="34" t="str">
        <f t="shared" si="77"/>
        <v/>
      </c>
      <c r="L236" s="118"/>
      <c r="M236" s="121"/>
      <c r="N236" s="122" t="str">
        <f t="shared" si="78"/>
        <v/>
      </c>
      <c r="O236" s="35" t="str">
        <f t="shared" si="79"/>
        <v/>
      </c>
      <c r="P236" s="124"/>
      <c r="Q236" s="36" t="str">
        <f t="shared" si="91"/>
        <v/>
      </c>
      <c r="R236" s="46" t="str">
        <f t="shared" si="80"/>
        <v/>
      </c>
      <c r="S236" s="38" t="str">
        <f t="shared" si="81"/>
        <v/>
      </c>
      <c r="T236" s="39" t="str">
        <f t="shared" si="82"/>
        <v/>
      </c>
      <c r="U236" s="40" t="str">
        <f t="shared" si="83"/>
        <v/>
      </c>
      <c r="V236" s="39" t="str">
        <f t="shared" si="84"/>
        <v/>
      </c>
      <c r="W236" s="34" t="str">
        <f t="shared" si="85"/>
        <v/>
      </c>
      <c r="X236" s="41" t="str">
        <f t="shared" si="92"/>
        <v/>
      </c>
      <c r="Y236" s="98" t="str">
        <f t="shared" si="86"/>
        <v/>
      </c>
      <c r="Z236" s="16" t="str">
        <f t="shared" si="93"/>
        <v/>
      </c>
      <c r="AB236" s="139"/>
      <c r="AC236" s="146" t="str">
        <f t="shared" si="96"/>
        <v/>
      </c>
      <c r="AD236" s="148" t="str">
        <f t="shared" si="94"/>
        <v/>
      </c>
      <c r="AE236" s="147" t="str">
        <f t="shared" si="87"/>
        <v/>
      </c>
      <c r="AF236" s="111" t="str">
        <f t="shared" si="88"/>
        <v/>
      </c>
      <c r="AG236" s="111" t="str">
        <f t="shared" si="89"/>
        <v/>
      </c>
      <c r="AH236" s="112" t="str">
        <f t="shared" si="90"/>
        <v/>
      </c>
      <c r="AI236" t="str">
        <f t="shared" si="95"/>
        <v/>
      </c>
      <c r="AJ236" t="str">
        <f t="shared" si="97"/>
        <v/>
      </c>
    </row>
    <row r="237" spans="1:36" ht="15" customHeight="1" x14ac:dyDescent="0.25">
      <c r="A237" s="114"/>
      <c r="B237" s="116"/>
      <c r="C237" s="116"/>
      <c r="D237" s="42" t="str">
        <f t="shared" si="74"/>
        <v/>
      </c>
      <c r="E237" s="43"/>
      <c r="F237" s="118"/>
      <c r="G237" s="44" t="str">
        <f t="shared" si="75"/>
        <v/>
      </c>
      <c r="H237" s="118"/>
      <c r="I237" s="34" t="str">
        <f t="shared" si="76"/>
        <v/>
      </c>
      <c r="J237" s="118"/>
      <c r="K237" s="34" t="str">
        <f t="shared" si="77"/>
        <v/>
      </c>
      <c r="L237" s="118"/>
      <c r="M237" s="121"/>
      <c r="N237" s="122" t="str">
        <f t="shared" si="78"/>
        <v/>
      </c>
      <c r="O237" s="35" t="str">
        <f t="shared" si="79"/>
        <v/>
      </c>
      <c r="P237" s="124"/>
      <c r="Q237" s="36" t="str">
        <f t="shared" si="91"/>
        <v/>
      </c>
      <c r="R237" s="46" t="str">
        <f t="shared" si="80"/>
        <v/>
      </c>
      <c r="S237" s="38" t="str">
        <f t="shared" si="81"/>
        <v/>
      </c>
      <c r="T237" s="39" t="str">
        <f t="shared" si="82"/>
        <v/>
      </c>
      <c r="U237" s="40" t="str">
        <f t="shared" si="83"/>
        <v/>
      </c>
      <c r="V237" s="39" t="str">
        <f t="shared" si="84"/>
        <v/>
      </c>
      <c r="W237" s="34" t="str">
        <f t="shared" si="85"/>
        <v/>
      </c>
      <c r="X237" s="41" t="str">
        <f t="shared" si="92"/>
        <v/>
      </c>
      <c r="Y237" s="98" t="str">
        <f t="shared" si="86"/>
        <v/>
      </c>
      <c r="Z237" s="16" t="str">
        <f t="shared" si="93"/>
        <v/>
      </c>
      <c r="AB237" s="139"/>
      <c r="AC237" s="146" t="str">
        <f t="shared" si="96"/>
        <v/>
      </c>
      <c r="AD237" s="148" t="str">
        <f t="shared" si="94"/>
        <v/>
      </c>
      <c r="AE237" s="147" t="str">
        <f t="shared" si="87"/>
        <v/>
      </c>
      <c r="AF237" s="111" t="str">
        <f t="shared" si="88"/>
        <v/>
      </c>
      <c r="AG237" s="111" t="str">
        <f t="shared" si="89"/>
        <v/>
      </c>
      <c r="AH237" s="112" t="str">
        <f t="shared" si="90"/>
        <v/>
      </c>
      <c r="AI237" t="str">
        <f t="shared" si="95"/>
        <v/>
      </c>
      <c r="AJ237" t="str">
        <f t="shared" si="97"/>
        <v/>
      </c>
    </row>
    <row r="238" spans="1:36" ht="15" customHeight="1" x14ac:dyDescent="0.25">
      <c r="A238" s="114"/>
      <c r="B238" s="116"/>
      <c r="C238" s="116"/>
      <c r="D238" s="42" t="str">
        <f t="shared" si="74"/>
        <v/>
      </c>
      <c r="E238" s="43"/>
      <c r="F238" s="118"/>
      <c r="G238" s="44" t="str">
        <f t="shared" si="75"/>
        <v/>
      </c>
      <c r="H238" s="118"/>
      <c r="I238" s="34" t="str">
        <f t="shared" si="76"/>
        <v/>
      </c>
      <c r="J238" s="118"/>
      <c r="K238" s="34" t="str">
        <f t="shared" si="77"/>
        <v/>
      </c>
      <c r="L238" s="118"/>
      <c r="M238" s="121"/>
      <c r="N238" s="122" t="str">
        <f t="shared" si="78"/>
        <v/>
      </c>
      <c r="O238" s="35" t="str">
        <f t="shared" si="79"/>
        <v/>
      </c>
      <c r="P238" s="124"/>
      <c r="Q238" s="36" t="str">
        <f t="shared" si="91"/>
        <v/>
      </c>
      <c r="R238" s="46" t="str">
        <f t="shared" si="80"/>
        <v/>
      </c>
      <c r="S238" s="38" t="str">
        <f t="shared" si="81"/>
        <v/>
      </c>
      <c r="T238" s="39" t="str">
        <f t="shared" si="82"/>
        <v/>
      </c>
      <c r="U238" s="40" t="str">
        <f t="shared" si="83"/>
        <v/>
      </c>
      <c r="V238" s="39" t="str">
        <f t="shared" si="84"/>
        <v/>
      </c>
      <c r="W238" s="34" t="str">
        <f t="shared" si="85"/>
        <v/>
      </c>
      <c r="X238" s="41" t="str">
        <f t="shared" si="92"/>
        <v/>
      </c>
      <c r="Y238" s="98" t="str">
        <f t="shared" si="86"/>
        <v/>
      </c>
      <c r="Z238" s="16" t="str">
        <f t="shared" si="93"/>
        <v/>
      </c>
      <c r="AB238" s="139"/>
      <c r="AC238" s="146" t="str">
        <f t="shared" si="96"/>
        <v/>
      </c>
      <c r="AD238" s="148" t="str">
        <f t="shared" si="94"/>
        <v/>
      </c>
      <c r="AE238" s="147" t="str">
        <f t="shared" si="87"/>
        <v/>
      </c>
      <c r="AF238" s="111" t="str">
        <f t="shared" si="88"/>
        <v/>
      </c>
      <c r="AG238" s="111" t="str">
        <f t="shared" si="89"/>
        <v/>
      </c>
      <c r="AH238" s="112" t="str">
        <f t="shared" si="90"/>
        <v/>
      </c>
      <c r="AI238" t="str">
        <f t="shared" si="95"/>
        <v/>
      </c>
      <c r="AJ238" t="str">
        <f t="shared" si="97"/>
        <v/>
      </c>
    </row>
    <row r="239" spans="1:36" ht="15" customHeight="1" x14ac:dyDescent="0.25">
      <c r="A239" s="114"/>
      <c r="B239" s="116"/>
      <c r="C239" s="116"/>
      <c r="D239" s="42" t="str">
        <f t="shared" si="74"/>
        <v/>
      </c>
      <c r="E239" s="43"/>
      <c r="F239" s="118"/>
      <c r="G239" s="44" t="str">
        <f t="shared" si="75"/>
        <v/>
      </c>
      <c r="H239" s="118"/>
      <c r="I239" s="34" t="str">
        <f t="shared" si="76"/>
        <v/>
      </c>
      <c r="J239" s="118"/>
      <c r="K239" s="34" t="str">
        <f t="shared" si="77"/>
        <v/>
      </c>
      <c r="L239" s="118"/>
      <c r="M239" s="121"/>
      <c r="N239" s="122" t="str">
        <f t="shared" si="78"/>
        <v/>
      </c>
      <c r="O239" s="35" t="str">
        <f t="shared" si="79"/>
        <v/>
      </c>
      <c r="P239" s="124"/>
      <c r="Q239" s="36" t="str">
        <f t="shared" si="91"/>
        <v/>
      </c>
      <c r="R239" s="46" t="str">
        <f t="shared" si="80"/>
        <v/>
      </c>
      <c r="S239" s="38" t="str">
        <f t="shared" si="81"/>
        <v/>
      </c>
      <c r="T239" s="39" t="str">
        <f t="shared" si="82"/>
        <v/>
      </c>
      <c r="U239" s="40" t="str">
        <f t="shared" si="83"/>
        <v/>
      </c>
      <c r="V239" s="39" t="str">
        <f t="shared" si="84"/>
        <v/>
      </c>
      <c r="W239" s="34" t="str">
        <f t="shared" si="85"/>
        <v/>
      </c>
      <c r="X239" s="41" t="str">
        <f t="shared" si="92"/>
        <v/>
      </c>
      <c r="Y239" s="98" t="str">
        <f t="shared" si="86"/>
        <v/>
      </c>
      <c r="Z239" s="16" t="str">
        <f t="shared" si="93"/>
        <v/>
      </c>
      <c r="AB239" s="139"/>
      <c r="AC239" s="146" t="str">
        <f t="shared" si="96"/>
        <v/>
      </c>
      <c r="AD239" s="148" t="str">
        <f t="shared" si="94"/>
        <v/>
      </c>
      <c r="AE239" s="147" t="str">
        <f t="shared" si="87"/>
        <v/>
      </c>
      <c r="AF239" s="111" t="str">
        <f t="shared" si="88"/>
        <v/>
      </c>
      <c r="AG239" s="111" t="str">
        <f t="shared" si="89"/>
        <v/>
      </c>
      <c r="AH239" s="112" t="str">
        <f t="shared" si="90"/>
        <v/>
      </c>
      <c r="AI239" t="str">
        <f t="shared" si="95"/>
        <v/>
      </c>
      <c r="AJ239" t="str">
        <f t="shared" si="97"/>
        <v/>
      </c>
    </row>
    <row r="240" spans="1:36" ht="15" customHeight="1" x14ac:dyDescent="0.25">
      <c r="A240" s="114"/>
      <c r="B240" s="116"/>
      <c r="C240" s="116"/>
      <c r="D240" s="42" t="str">
        <f t="shared" si="74"/>
        <v/>
      </c>
      <c r="E240" s="43"/>
      <c r="F240" s="118"/>
      <c r="G240" s="44" t="str">
        <f t="shared" si="75"/>
        <v/>
      </c>
      <c r="H240" s="118"/>
      <c r="I240" s="34" t="str">
        <f t="shared" si="76"/>
        <v/>
      </c>
      <c r="J240" s="118"/>
      <c r="K240" s="34" t="str">
        <f t="shared" si="77"/>
        <v/>
      </c>
      <c r="L240" s="118"/>
      <c r="M240" s="121"/>
      <c r="N240" s="122" t="str">
        <f t="shared" si="78"/>
        <v/>
      </c>
      <c r="O240" s="35" t="str">
        <f t="shared" si="79"/>
        <v/>
      </c>
      <c r="P240" s="124"/>
      <c r="Q240" s="36" t="str">
        <f t="shared" si="91"/>
        <v/>
      </c>
      <c r="R240" s="46" t="str">
        <f t="shared" si="80"/>
        <v/>
      </c>
      <c r="S240" s="38" t="str">
        <f t="shared" si="81"/>
        <v/>
      </c>
      <c r="T240" s="39" t="str">
        <f t="shared" si="82"/>
        <v/>
      </c>
      <c r="U240" s="40" t="str">
        <f t="shared" si="83"/>
        <v/>
      </c>
      <c r="V240" s="39" t="str">
        <f t="shared" si="84"/>
        <v/>
      </c>
      <c r="W240" s="34" t="str">
        <f t="shared" si="85"/>
        <v/>
      </c>
      <c r="X240" s="41" t="str">
        <f t="shared" si="92"/>
        <v/>
      </c>
      <c r="Y240" s="98" t="str">
        <f t="shared" si="86"/>
        <v/>
      </c>
      <c r="Z240" s="16" t="str">
        <f t="shared" si="93"/>
        <v/>
      </c>
      <c r="AB240" s="139"/>
      <c r="AC240" s="146" t="str">
        <f t="shared" si="96"/>
        <v/>
      </c>
      <c r="AD240" s="148" t="str">
        <f t="shared" si="94"/>
        <v/>
      </c>
      <c r="AE240" s="147" t="str">
        <f t="shared" si="87"/>
        <v/>
      </c>
      <c r="AF240" s="111" t="str">
        <f t="shared" si="88"/>
        <v/>
      </c>
      <c r="AG240" s="111" t="str">
        <f t="shared" si="89"/>
        <v/>
      </c>
      <c r="AH240" s="112" t="str">
        <f t="shared" si="90"/>
        <v/>
      </c>
      <c r="AI240" t="str">
        <f t="shared" si="95"/>
        <v/>
      </c>
      <c r="AJ240" t="str">
        <f t="shared" si="97"/>
        <v/>
      </c>
    </row>
    <row r="241" spans="1:36" ht="15" customHeight="1" x14ac:dyDescent="0.25">
      <c r="A241" s="114"/>
      <c r="B241" s="116"/>
      <c r="C241" s="116"/>
      <c r="D241" s="42" t="str">
        <f t="shared" si="74"/>
        <v/>
      </c>
      <c r="E241" s="43"/>
      <c r="F241" s="118"/>
      <c r="G241" s="44" t="str">
        <f t="shared" si="75"/>
        <v/>
      </c>
      <c r="H241" s="118"/>
      <c r="I241" s="34" t="str">
        <f t="shared" si="76"/>
        <v/>
      </c>
      <c r="J241" s="118"/>
      <c r="K241" s="34" t="str">
        <f t="shared" si="77"/>
        <v/>
      </c>
      <c r="L241" s="118"/>
      <c r="M241" s="121"/>
      <c r="N241" s="122" t="str">
        <f t="shared" si="78"/>
        <v/>
      </c>
      <c r="O241" s="35" t="str">
        <f t="shared" si="79"/>
        <v/>
      </c>
      <c r="P241" s="124"/>
      <c r="Q241" s="36" t="str">
        <f t="shared" si="91"/>
        <v/>
      </c>
      <c r="R241" s="46" t="str">
        <f t="shared" si="80"/>
        <v/>
      </c>
      <c r="S241" s="38" t="str">
        <f t="shared" si="81"/>
        <v/>
      </c>
      <c r="T241" s="39" t="str">
        <f t="shared" si="82"/>
        <v/>
      </c>
      <c r="U241" s="40" t="str">
        <f t="shared" si="83"/>
        <v/>
      </c>
      <c r="V241" s="39" t="str">
        <f t="shared" si="84"/>
        <v/>
      </c>
      <c r="W241" s="34" t="str">
        <f t="shared" si="85"/>
        <v/>
      </c>
      <c r="X241" s="41" t="str">
        <f t="shared" si="92"/>
        <v/>
      </c>
      <c r="Y241" s="98" t="str">
        <f t="shared" si="86"/>
        <v/>
      </c>
      <c r="Z241" s="16" t="str">
        <f t="shared" si="93"/>
        <v/>
      </c>
      <c r="AB241" s="139"/>
      <c r="AC241" s="146" t="str">
        <f t="shared" si="96"/>
        <v/>
      </c>
      <c r="AD241" s="148" t="str">
        <f t="shared" si="94"/>
        <v/>
      </c>
      <c r="AE241" s="147" t="str">
        <f t="shared" si="87"/>
        <v/>
      </c>
      <c r="AF241" s="111" t="str">
        <f t="shared" si="88"/>
        <v/>
      </c>
      <c r="AG241" s="111" t="str">
        <f t="shared" si="89"/>
        <v/>
      </c>
      <c r="AH241" s="112" t="str">
        <f t="shared" si="90"/>
        <v/>
      </c>
      <c r="AI241" t="str">
        <f t="shared" si="95"/>
        <v/>
      </c>
      <c r="AJ241" t="str">
        <f t="shared" si="97"/>
        <v/>
      </c>
    </row>
    <row r="242" spans="1:36" ht="15" customHeight="1" x14ac:dyDescent="0.25">
      <c r="A242" s="114"/>
      <c r="B242" s="116"/>
      <c r="C242" s="116"/>
      <c r="D242" s="42" t="str">
        <f t="shared" si="74"/>
        <v/>
      </c>
      <c r="E242" s="43"/>
      <c r="F242" s="118"/>
      <c r="G242" s="44" t="str">
        <f t="shared" si="75"/>
        <v/>
      </c>
      <c r="H242" s="118"/>
      <c r="I242" s="34" t="str">
        <f t="shared" si="76"/>
        <v/>
      </c>
      <c r="J242" s="118"/>
      <c r="K242" s="34" t="str">
        <f t="shared" si="77"/>
        <v/>
      </c>
      <c r="L242" s="118"/>
      <c r="M242" s="121"/>
      <c r="N242" s="122" t="str">
        <f t="shared" si="78"/>
        <v/>
      </c>
      <c r="O242" s="35" t="str">
        <f t="shared" si="79"/>
        <v/>
      </c>
      <c r="P242" s="124"/>
      <c r="Q242" s="36" t="str">
        <f t="shared" si="91"/>
        <v/>
      </c>
      <c r="R242" s="46" t="str">
        <f t="shared" si="80"/>
        <v/>
      </c>
      <c r="S242" s="38" t="str">
        <f t="shared" si="81"/>
        <v/>
      </c>
      <c r="T242" s="39" t="str">
        <f t="shared" si="82"/>
        <v/>
      </c>
      <c r="U242" s="40" t="str">
        <f t="shared" si="83"/>
        <v/>
      </c>
      <c r="V242" s="39" t="str">
        <f t="shared" si="84"/>
        <v/>
      </c>
      <c r="W242" s="34" t="str">
        <f t="shared" si="85"/>
        <v/>
      </c>
      <c r="X242" s="41" t="str">
        <f t="shared" si="92"/>
        <v/>
      </c>
      <c r="Y242" s="98" t="str">
        <f t="shared" si="86"/>
        <v/>
      </c>
      <c r="Z242" s="16" t="str">
        <f t="shared" si="93"/>
        <v/>
      </c>
      <c r="AB242" s="139"/>
      <c r="AC242" s="146" t="str">
        <f t="shared" si="96"/>
        <v/>
      </c>
      <c r="AD242" s="148" t="str">
        <f t="shared" si="94"/>
        <v/>
      </c>
      <c r="AE242" s="147" t="str">
        <f t="shared" si="87"/>
        <v/>
      </c>
      <c r="AF242" s="111" t="str">
        <f t="shared" si="88"/>
        <v/>
      </c>
      <c r="AG242" s="111" t="str">
        <f t="shared" si="89"/>
        <v/>
      </c>
      <c r="AH242" s="112" t="str">
        <f t="shared" si="90"/>
        <v/>
      </c>
      <c r="AI242" t="str">
        <f t="shared" si="95"/>
        <v/>
      </c>
      <c r="AJ242" t="str">
        <f t="shared" si="97"/>
        <v/>
      </c>
    </row>
    <row r="243" spans="1:36" ht="15" customHeight="1" x14ac:dyDescent="0.25">
      <c r="A243" s="114"/>
      <c r="B243" s="116"/>
      <c r="C243" s="116"/>
      <c r="D243" s="42" t="str">
        <f t="shared" si="74"/>
        <v/>
      </c>
      <c r="E243" s="43"/>
      <c r="F243" s="118"/>
      <c r="G243" s="44" t="str">
        <f t="shared" si="75"/>
        <v/>
      </c>
      <c r="H243" s="118"/>
      <c r="I243" s="34" t="str">
        <f t="shared" si="76"/>
        <v/>
      </c>
      <c r="J243" s="118"/>
      <c r="K243" s="34" t="str">
        <f t="shared" si="77"/>
        <v/>
      </c>
      <c r="L243" s="118"/>
      <c r="M243" s="121"/>
      <c r="N243" s="122" t="str">
        <f t="shared" si="78"/>
        <v/>
      </c>
      <c r="O243" s="35" t="str">
        <f t="shared" si="79"/>
        <v/>
      </c>
      <c r="P243" s="124"/>
      <c r="Q243" s="36" t="str">
        <f t="shared" si="91"/>
        <v/>
      </c>
      <c r="R243" s="46" t="str">
        <f t="shared" si="80"/>
        <v/>
      </c>
      <c r="S243" s="38" t="str">
        <f t="shared" si="81"/>
        <v/>
      </c>
      <c r="T243" s="39" t="str">
        <f t="shared" si="82"/>
        <v/>
      </c>
      <c r="U243" s="40" t="str">
        <f t="shared" si="83"/>
        <v/>
      </c>
      <c r="V243" s="39" t="str">
        <f t="shared" si="84"/>
        <v/>
      </c>
      <c r="W243" s="34" t="str">
        <f t="shared" si="85"/>
        <v/>
      </c>
      <c r="X243" s="41" t="str">
        <f t="shared" si="92"/>
        <v/>
      </c>
      <c r="Y243" s="98" t="str">
        <f t="shared" si="86"/>
        <v/>
      </c>
      <c r="Z243" s="16" t="str">
        <f t="shared" si="93"/>
        <v/>
      </c>
      <c r="AB243" s="139"/>
      <c r="AC243" s="146" t="str">
        <f t="shared" si="96"/>
        <v/>
      </c>
      <c r="AD243" s="148" t="str">
        <f t="shared" si="94"/>
        <v/>
      </c>
      <c r="AE243" s="147" t="str">
        <f t="shared" si="87"/>
        <v/>
      </c>
      <c r="AF243" s="111" t="str">
        <f t="shared" si="88"/>
        <v/>
      </c>
      <c r="AG243" s="111" t="str">
        <f t="shared" si="89"/>
        <v/>
      </c>
      <c r="AH243" s="112" t="str">
        <f t="shared" si="90"/>
        <v/>
      </c>
      <c r="AI243" t="str">
        <f t="shared" si="95"/>
        <v/>
      </c>
      <c r="AJ243" t="str">
        <f t="shared" si="97"/>
        <v/>
      </c>
    </row>
    <row r="244" spans="1:36" ht="15" customHeight="1" x14ac:dyDescent="0.25">
      <c r="A244" s="114"/>
      <c r="B244" s="116"/>
      <c r="C244" s="116"/>
      <c r="D244" s="42" t="str">
        <f t="shared" si="74"/>
        <v/>
      </c>
      <c r="E244" s="43"/>
      <c r="F244" s="118"/>
      <c r="G244" s="44" t="str">
        <f t="shared" si="75"/>
        <v/>
      </c>
      <c r="H244" s="118"/>
      <c r="I244" s="34" t="str">
        <f t="shared" si="76"/>
        <v/>
      </c>
      <c r="J244" s="118"/>
      <c r="K244" s="34" t="str">
        <f t="shared" si="77"/>
        <v/>
      </c>
      <c r="L244" s="118"/>
      <c r="M244" s="121"/>
      <c r="N244" s="122" t="str">
        <f t="shared" si="78"/>
        <v/>
      </c>
      <c r="O244" s="35" t="str">
        <f t="shared" si="79"/>
        <v/>
      </c>
      <c r="P244" s="124"/>
      <c r="Q244" s="36" t="str">
        <f t="shared" si="91"/>
        <v/>
      </c>
      <c r="R244" s="46" t="str">
        <f t="shared" si="80"/>
        <v/>
      </c>
      <c r="S244" s="38" t="str">
        <f t="shared" si="81"/>
        <v/>
      </c>
      <c r="T244" s="39" t="str">
        <f t="shared" si="82"/>
        <v/>
      </c>
      <c r="U244" s="40" t="str">
        <f t="shared" si="83"/>
        <v/>
      </c>
      <c r="V244" s="39" t="str">
        <f t="shared" si="84"/>
        <v/>
      </c>
      <c r="W244" s="34" t="str">
        <f t="shared" si="85"/>
        <v/>
      </c>
      <c r="X244" s="41" t="str">
        <f t="shared" si="92"/>
        <v/>
      </c>
      <c r="Y244" s="98" t="str">
        <f t="shared" si="86"/>
        <v/>
      </c>
      <c r="Z244" s="16" t="str">
        <f t="shared" si="93"/>
        <v/>
      </c>
      <c r="AB244" s="139"/>
      <c r="AC244" s="146" t="str">
        <f t="shared" si="96"/>
        <v/>
      </c>
      <c r="AD244" s="148" t="str">
        <f t="shared" si="94"/>
        <v/>
      </c>
      <c r="AE244" s="147" t="str">
        <f t="shared" si="87"/>
        <v/>
      </c>
      <c r="AF244" s="111" t="str">
        <f t="shared" si="88"/>
        <v/>
      </c>
      <c r="AG244" s="111" t="str">
        <f t="shared" si="89"/>
        <v/>
      </c>
      <c r="AH244" s="112" t="str">
        <f t="shared" si="90"/>
        <v/>
      </c>
      <c r="AI244" t="str">
        <f t="shared" si="95"/>
        <v/>
      </c>
      <c r="AJ244" t="str">
        <f t="shared" si="97"/>
        <v/>
      </c>
    </row>
    <row r="245" spans="1:36" ht="15" customHeight="1" x14ac:dyDescent="0.25">
      <c r="A245" s="114"/>
      <c r="B245" s="116"/>
      <c r="C245" s="116"/>
      <c r="D245" s="42" t="str">
        <f t="shared" si="74"/>
        <v/>
      </c>
      <c r="E245" s="43"/>
      <c r="F245" s="118"/>
      <c r="G245" s="44" t="str">
        <f t="shared" si="75"/>
        <v/>
      </c>
      <c r="H245" s="118"/>
      <c r="I245" s="34" t="str">
        <f t="shared" si="76"/>
        <v/>
      </c>
      <c r="J245" s="118"/>
      <c r="K245" s="34" t="str">
        <f t="shared" si="77"/>
        <v/>
      </c>
      <c r="L245" s="118"/>
      <c r="M245" s="121"/>
      <c r="N245" s="122" t="str">
        <f t="shared" si="78"/>
        <v/>
      </c>
      <c r="O245" s="35" t="str">
        <f t="shared" si="79"/>
        <v/>
      </c>
      <c r="P245" s="124"/>
      <c r="Q245" s="36" t="str">
        <f t="shared" si="91"/>
        <v/>
      </c>
      <c r="R245" s="46" t="str">
        <f t="shared" si="80"/>
        <v/>
      </c>
      <c r="S245" s="38" t="str">
        <f t="shared" si="81"/>
        <v/>
      </c>
      <c r="T245" s="39" t="str">
        <f t="shared" si="82"/>
        <v/>
      </c>
      <c r="U245" s="40" t="str">
        <f t="shared" si="83"/>
        <v/>
      </c>
      <c r="V245" s="39" t="str">
        <f t="shared" si="84"/>
        <v/>
      </c>
      <c r="W245" s="34" t="str">
        <f t="shared" si="85"/>
        <v/>
      </c>
      <c r="X245" s="41" t="str">
        <f t="shared" si="92"/>
        <v/>
      </c>
      <c r="Y245" s="98" t="str">
        <f t="shared" si="86"/>
        <v/>
      </c>
      <c r="Z245" s="16" t="str">
        <f t="shared" si="93"/>
        <v/>
      </c>
      <c r="AB245" s="139"/>
      <c r="AC245" s="146" t="str">
        <f t="shared" si="96"/>
        <v/>
      </c>
      <c r="AD245" s="148" t="str">
        <f t="shared" si="94"/>
        <v/>
      </c>
      <c r="AE245" s="147" t="str">
        <f t="shared" si="87"/>
        <v/>
      </c>
      <c r="AF245" s="111" t="str">
        <f t="shared" si="88"/>
        <v/>
      </c>
      <c r="AG245" s="111" t="str">
        <f t="shared" si="89"/>
        <v/>
      </c>
      <c r="AH245" s="112" t="str">
        <f t="shared" si="90"/>
        <v/>
      </c>
      <c r="AI245" t="str">
        <f t="shared" si="95"/>
        <v/>
      </c>
      <c r="AJ245" t="str">
        <f t="shared" si="97"/>
        <v/>
      </c>
    </row>
    <row r="246" spans="1:36" ht="15" customHeight="1" x14ac:dyDescent="0.25">
      <c r="A246" s="114"/>
      <c r="B246" s="116"/>
      <c r="C246" s="116"/>
      <c r="D246" s="42" t="str">
        <f t="shared" si="74"/>
        <v/>
      </c>
      <c r="E246" s="43"/>
      <c r="F246" s="118"/>
      <c r="G246" s="44" t="str">
        <f t="shared" si="75"/>
        <v/>
      </c>
      <c r="H246" s="118"/>
      <c r="I246" s="34" t="str">
        <f t="shared" si="76"/>
        <v/>
      </c>
      <c r="J246" s="118"/>
      <c r="K246" s="34" t="str">
        <f t="shared" si="77"/>
        <v/>
      </c>
      <c r="L246" s="118"/>
      <c r="M246" s="121"/>
      <c r="N246" s="122" t="str">
        <f t="shared" si="78"/>
        <v/>
      </c>
      <c r="O246" s="35" t="str">
        <f t="shared" si="79"/>
        <v/>
      </c>
      <c r="P246" s="124"/>
      <c r="Q246" s="36" t="str">
        <f t="shared" si="91"/>
        <v/>
      </c>
      <c r="R246" s="46" t="str">
        <f t="shared" si="80"/>
        <v/>
      </c>
      <c r="S246" s="38" t="str">
        <f t="shared" si="81"/>
        <v/>
      </c>
      <c r="T246" s="39" t="str">
        <f t="shared" si="82"/>
        <v/>
      </c>
      <c r="U246" s="40" t="str">
        <f t="shared" si="83"/>
        <v/>
      </c>
      <c r="V246" s="39" t="str">
        <f t="shared" si="84"/>
        <v/>
      </c>
      <c r="W246" s="34" t="str">
        <f t="shared" si="85"/>
        <v/>
      </c>
      <c r="X246" s="41" t="str">
        <f t="shared" si="92"/>
        <v/>
      </c>
      <c r="Y246" s="98" t="str">
        <f t="shared" si="86"/>
        <v/>
      </c>
      <c r="Z246" s="16" t="str">
        <f t="shared" si="93"/>
        <v/>
      </c>
      <c r="AB246" s="139"/>
      <c r="AC246" s="146" t="str">
        <f t="shared" si="96"/>
        <v/>
      </c>
      <c r="AD246" s="148" t="str">
        <f t="shared" si="94"/>
        <v/>
      </c>
      <c r="AE246" s="147" t="str">
        <f t="shared" si="87"/>
        <v/>
      </c>
      <c r="AF246" s="111" t="str">
        <f t="shared" si="88"/>
        <v/>
      </c>
      <c r="AG246" s="111" t="str">
        <f t="shared" si="89"/>
        <v/>
      </c>
      <c r="AH246" s="112" t="str">
        <f t="shared" si="90"/>
        <v/>
      </c>
      <c r="AI246" t="str">
        <f t="shared" si="95"/>
        <v/>
      </c>
      <c r="AJ246" t="str">
        <f t="shared" si="97"/>
        <v/>
      </c>
    </row>
    <row r="247" spans="1:36" ht="15" customHeight="1" x14ac:dyDescent="0.25">
      <c r="A247" s="114"/>
      <c r="B247" s="116"/>
      <c r="C247" s="116"/>
      <c r="D247" s="42" t="str">
        <f t="shared" si="74"/>
        <v/>
      </c>
      <c r="E247" s="43"/>
      <c r="F247" s="118"/>
      <c r="G247" s="44" t="str">
        <f t="shared" si="75"/>
        <v/>
      </c>
      <c r="H247" s="118"/>
      <c r="I247" s="34" t="str">
        <f t="shared" si="76"/>
        <v/>
      </c>
      <c r="J247" s="118"/>
      <c r="K247" s="34" t="str">
        <f t="shared" si="77"/>
        <v/>
      </c>
      <c r="L247" s="118"/>
      <c r="M247" s="121"/>
      <c r="N247" s="122" t="str">
        <f t="shared" si="78"/>
        <v/>
      </c>
      <c r="O247" s="35" t="str">
        <f t="shared" si="79"/>
        <v/>
      </c>
      <c r="P247" s="124"/>
      <c r="Q247" s="36" t="str">
        <f t="shared" si="91"/>
        <v/>
      </c>
      <c r="R247" s="46" t="str">
        <f t="shared" si="80"/>
        <v/>
      </c>
      <c r="S247" s="38" t="str">
        <f t="shared" si="81"/>
        <v/>
      </c>
      <c r="T247" s="39" t="str">
        <f t="shared" si="82"/>
        <v/>
      </c>
      <c r="U247" s="40" t="str">
        <f t="shared" si="83"/>
        <v/>
      </c>
      <c r="V247" s="39" t="str">
        <f t="shared" si="84"/>
        <v/>
      </c>
      <c r="W247" s="34" t="str">
        <f t="shared" si="85"/>
        <v/>
      </c>
      <c r="X247" s="41" t="str">
        <f t="shared" si="92"/>
        <v/>
      </c>
      <c r="Y247" s="98" t="str">
        <f t="shared" si="86"/>
        <v/>
      </c>
      <c r="Z247" s="16" t="str">
        <f t="shared" si="93"/>
        <v/>
      </c>
      <c r="AB247" s="139"/>
      <c r="AC247" s="146" t="str">
        <f t="shared" si="96"/>
        <v/>
      </c>
      <c r="AD247" s="148" t="str">
        <f t="shared" si="94"/>
        <v/>
      </c>
      <c r="AE247" s="147" t="str">
        <f t="shared" si="87"/>
        <v/>
      </c>
      <c r="AF247" s="111" t="str">
        <f t="shared" si="88"/>
        <v/>
      </c>
      <c r="AG247" s="111" t="str">
        <f t="shared" si="89"/>
        <v/>
      </c>
      <c r="AH247" s="112" t="str">
        <f t="shared" si="90"/>
        <v/>
      </c>
      <c r="AI247" t="str">
        <f t="shared" si="95"/>
        <v/>
      </c>
      <c r="AJ247" t="str">
        <f t="shared" si="97"/>
        <v/>
      </c>
    </row>
    <row r="248" spans="1:36" ht="15" customHeight="1" x14ac:dyDescent="0.25">
      <c r="A248" s="114"/>
      <c r="B248" s="116"/>
      <c r="C248" s="116"/>
      <c r="D248" s="42" t="str">
        <f t="shared" si="74"/>
        <v/>
      </c>
      <c r="E248" s="43"/>
      <c r="F248" s="118"/>
      <c r="G248" s="44" t="str">
        <f t="shared" si="75"/>
        <v/>
      </c>
      <c r="H248" s="118"/>
      <c r="I248" s="34" t="str">
        <f t="shared" si="76"/>
        <v/>
      </c>
      <c r="J248" s="118"/>
      <c r="K248" s="34" t="str">
        <f t="shared" si="77"/>
        <v/>
      </c>
      <c r="L248" s="118"/>
      <c r="M248" s="121"/>
      <c r="N248" s="122" t="str">
        <f t="shared" si="78"/>
        <v/>
      </c>
      <c r="O248" s="35" t="str">
        <f t="shared" si="79"/>
        <v/>
      </c>
      <c r="P248" s="124"/>
      <c r="Q248" s="36" t="str">
        <f t="shared" si="91"/>
        <v/>
      </c>
      <c r="R248" s="46" t="str">
        <f t="shared" si="80"/>
        <v/>
      </c>
      <c r="S248" s="38" t="str">
        <f t="shared" si="81"/>
        <v/>
      </c>
      <c r="T248" s="39" t="str">
        <f t="shared" si="82"/>
        <v/>
      </c>
      <c r="U248" s="40" t="str">
        <f t="shared" si="83"/>
        <v/>
      </c>
      <c r="V248" s="39" t="str">
        <f t="shared" si="84"/>
        <v/>
      </c>
      <c r="W248" s="34" t="str">
        <f t="shared" si="85"/>
        <v/>
      </c>
      <c r="X248" s="41" t="str">
        <f t="shared" si="92"/>
        <v/>
      </c>
      <c r="Y248" s="98" t="str">
        <f t="shared" si="86"/>
        <v/>
      </c>
      <c r="Z248" s="16" t="str">
        <f t="shared" si="93"/>
        <v/>
      </c>
      <c r="AB248" s="139"/>
      <c r="AC248" s="146" t="str">
        <f t="shared" si="96"/>
        <v/>
      </c>
      <c r="AD248" s="148" t="str">
        <f t="shared" si="94"/>
        <v/>
      </c>
      <c r="AE248" s="147" t="str">
        <f t="shared" si="87"/>
        <v/>
      </c>
      <c r="AF248" s="111" t="str">
        <f t="shared" si="88"/>
        <v/>
      </c>
      <c r="AG248" s="111" t="str">
        <f t="shared" si="89"/>
        <v/>
      </c>
      <c r="AH248" s="112" t="str">
        <f t="shared" si="90"/>
        <v/>
      </c>
      <c r="AI248" t="str">
        <f t="shared" si="95"/>
        <v/>
      </c>
      <c r="AJ248" t="str">
        <f t="shared" si="97"/>
        <v/>
      </c>
    </row>
    <row r="249" spans="1:36" ht="15" customHeight="1" x14ac:dyDescent="0.25">
      <c r="A249" s="114"/>
      <c r="B249" s="116"/>
      <c r="C249" s="116"/>
      <c r="D249" s="42" t="str">
        <f t="shared" si="74"/>
        <v/>
      </c>
      <c r="E249" s="43"/>
      <c r="F249" s="118"/>
      <c r="G249" s="44" t="str">
        <f t="shared" si="75"/>
        <v/>
      </c>
      <c r="H249" s="118"/>
      <c r="I249" s="34" t="str">
        <f t="shared" si="76"/>
        <v/>
      </c>
      <c r="J249" s="118"/>
      <c r="K249" s="34" t="str">
        <f t="shared" si="77"/>
        <v/>
      </c>
      <c r="L249" s="118"/>
      <c r="M249" s="121"/>
      <c r="N249" s="122" t="str">
        <f t="shared" si="78"/>
        <v/>
      </c>
      <c r="O249" s="35" t="str">
        <f t="shared" si="79"/>
        <v/>
      </c>
      <c r="P249" s="124"/>
      <c r="Q249" s="36" t="str">
        <f t="shared" si="91"/>
        <v/>
      </c>
      <c r="R249" s="46" t="str">
        <f t="shared" si="80"/>
        <v/>
      </c>
      <c r="S249" s="38" t="str">
        <f t="shared" si="81"/>
        <v/>
      </c>
      <c r="T249" s="39" t="str">
        <f t="shared" si="82"/>
        <v/>
      </c>
      <c r="U249" s="40" t="str">
        <f t="shared" si="83"/>
        <v/>
      </c>
      <c r="V249" s="39" t="str">
        <f t="shared" si="84"/>
        <v/>
      </c>
      <c r="W249" s="34" t="str">
        <f t="shared" si="85"/>
        <v/>
      </c>
      <c r="X249" s="41" t="str">
        <f t="shared" si="92"/>
        <v/>
      </c>
      <c r="Y249" s="98" t="str">
        <f t="shared" si="86"/>
        <v/>
      </c>
      <c r="Z249" s="16" t="str">
        <f t="shared" si="93"/>
        <v/>
      </c>
      <c r="AB249" s="139"/>
      <c r="AC249" s="146" t="str">
        <f t="shared" si="96"/>
        <v/>
      </c>
      <c r="AD249" s="148" t="str">
        <f t="shared" si="94"/>
        <v/>
      </c>
      <c r="AE249" s="147" t="str">
        <f t="shared" si="87"/>
        <v/>
      </c>
      <c r="AF249" s="111" t="str">
        <f t="shared" si="88"/>
        <v/>
      </c>
      <c r="AG249" s="111" t="str">
        <f t="shared" si="89"/>
        <v/>
      </c>
      <c r="AH249" s="112" t="str">
        <f t="shared" si="90"/>
        <v/>
      </c>
      <c r="AI249" t="str">
        <f t="shared" si="95"/>
        <v/>
      </c>
      <c r="AJ249" t="str">
        <f t="shared" si="97"/>
        <v/>
      </c>
    </row>
    <row r="250" spans="1:36" ht="15" customHeight="1" x14ac:dyDescent="0.25">
      <c r="A250" s="114"/>
      <c r="B250" s="116"/>
      <c r="C250" s="116"/>
      <c r="D250" s="42" t="str">
        <f t="shared" si="74"/>
        <v/>
      </c>
      <c r="E250" s="43"/>
      <c r="F250" s="118"/>
      <c r="G250" s="44" t="str">
        <f t="shared" si="75"/>
        <v/>
      </c>
      <c r="H250" s="118"/>
      <c r="I250" s="34" t="str">
        <f t="shared" si="76"/>
        <v/>
      </c>
      <c r="J250" s="118"/>
      <c r="K250" s="34" t="str">
        <f t="shared" si="77"/>
        <v/>
      </c>
      <c r="L250" s="118"/>
      <c r="M250" s="121"/>
      <c r="N250" s="122" t="str">
        <f t="shared" si="78"/>
        <v/>
      </c>
      <c r="O250" s="35" t="str">
        <f t="shared" si="79"/>
        <v/>
      </c>
      <c r="P250" s="124"/>
      <c r="Q250" s="36" t="str">
        <f t="shared" si="91"/>
        <v/>
      </c>
      <c r="R250" s="46" t="str">
        <f t="shared" si="80"/>
        <v/>
      </c>
      <c r="S250" s="38" t="str">
        <f t="shared" si="81"/>
        <v/>
      </c>
      <c r="T250" s="39" t="str">
        <f t="shared" si="82"/>
        <v/>
      </c>
      <c r="U250" s="40" t="str">
        <f t="shared" si="83"/>
        <v/>
      </c>
      <c r="V250" s="39" t="str">
        <f t="shared" si="84"/>
        <v/>
      </c>
      <c r="W250" s="34" t="str">
        <f t="shared" si="85"/>
        <v/>
      </c>
      <c r="X250" s="41" t="str">
        <f t="shared" si="92"/>
        <v/>
      </c>
      <c r="Y250" s="98" t="str">
        <f t="shared" si="86"/>
        <v/>
      </c>
      <c r="Z250" s="16" t="str">
        <f t="shared" si="93"/>
        <v/>
      </c>
      <c r="AB250" s="139"/>
      <c r="AC250" s="146" t="str">
        <f t="shared" si="96"/>
        <v/>
      </c>
      <c r="AD250" s="148" t="str">
        <f t="shared" si="94"/>
        <v/>
      </c>
      <c r="AE250" s="147" t="str">
        <f t="shared" si="87"/>
        <v/>
      </c>
      <c r="AF250" s="111" t="str">
        <f t="shared" si="88"/>
        <v/>
      </c>
      <c r="AG250" s="111" t="str">
        <f t="shared" si="89"/>
        <v/>
      </c>
      <c r="AH250" s="112" t="str">
        <f t="shared" si="90"/>
        <v/>
      </c>
      <c r="AI250" t="str">
        <f t="shared" si="95"/>
        <v/>
      </c>
      <c r="AJ250" t="str">
        <f t="shared" si="97"/>
        <v/>
      </c>
    </row>
    <row r="251" spans="1:36" ht="15" customHeight="1" x14ac:dyDescent="0.25">
      <c r="A251" s="114"/>
      <c r="B251" s="116"/>
      <c r="C251" s="116"/>
      <c r="D251" s="42" t="str">
        <f t="shared" si="74"/>
        <v/>
      </c>
      <c r="E251" s="43"/>
      <c r="F251" s="118"/>
      <c r="G251" s="44" t="str">
        <f t="shared" si="75"/>
        <v/>
      </c>
      <c r="H251" s="118"/>
      <c r="I251" s="34" t="str">
        <f t="shared" si="76"/>
        <v/>
      </c>
      <c r="J251" s="118"/>
      <c r="K251" s="34" t="str">
        <f t="shared" si="77"/>
        <v/>
      </c>
      <c r="L251" s="118"/>
      <c r="M251" s="121"/>
      <c r="N251" s="122" t="str">
        <f t="shared" si="78"/>
        <v/>
      </c>
      <c r="O251" s="35" t="str">
        <f t="shared" si="79"/>
        <v/>
      </c>
      <c r="P251" s="124"/>
      <c r="Q251" s="36" t="str">
        <f t="shared" si="91"/>
        <v/>
      </c>
      <c r="R251" s="46" t="str">
        <f t="shared" si="80"/>
        <v/>
      </c>
      <c r="S251" s="38" t="str">
        <f t="shared" si="81"/>
        <v/>
      </c>
      <c r="T251" s="39" t="str">
        <f t="shared" si="82"/>
        <v/>
      </c>
      <c r="U251" s="40" t="str">
        <f t="shared" si="83"/>
        <v/>
      </c>
      <c r="V251" s="39" t="str">
        <f t="shared" si="84"/>
        <v/>
      </c>
      <c r="W251" s="34" t="str">
        <f t="shared" si="85"/>
        <v/>
      </c>
      <c r="X251" s="41" t="str">
        <f t="shared" si="92"/>
        <v/>
      </c>
      <c r="Y251" s="98" t="str">
        <f t="shared" si="86"/>
        <v/>
      </c>
      <c r="Z251" s="16" t="str">
        <f t="shared" si="93"/>
        <v/>
      </c>
      <c r="AB251" s="139"/>
      <c r="AC251" s="146" t="str">
        <f t="shared" si="96"/>
        <v/>
      </c>
      <c r="AD251" s="148" t="str">
        <f t="shared" si="94"/>
        <v/>
      </c>
      <c r="AE251" s="147" t="str">
        <f t="shared" si="87"/>
        <v/>
      </c>
      <c r="AF251" s="111" t="str">
        <f t="shared" si="88"/>
        <v/>
      </c>
      <c r="AG251" s="111" t="str">
        <f t="shared" si="89"/>
        <v/>
      </c>
      <c r="AH251" s="112" t="str">
        <f t="shared" si="90"/>
        <v/>
      </c>
      <c r="AI251" t="str">
        <f t="shared" si="95"/>
        <v/>
      </c>
      <c r="AJ251" t="str">
        <f t="shared" si="97"/>
        <v/>
      </c>
    </row>
    <row r="252" spans="1:36" ht="15" customHeight="1" x14ac:dyDescent="0.25">
      <c r="A252" s="114"/>
      <c r="B252" s="116"/>
      <c r="C252" s="116"/>
      <c r="D252" s="42" t="str">
        <f t="shared" si="74"/>
        <v/>
      </c>
      <c r="E252" s="43"/>
      <c r="F252" s="118"/>
      <c r="G252" s="44" t="str">
        <f t="shared" si="75"/>
        <v/>
      </c>
      <c r="H252" s="118"/>
      <c r="I252" s="34" t="str">
        <f t="shared" si="76"/>
        <v/>
      </c>
      <c r="J252" s="118"/>
      <c r="K252" s="34" t="str">
        <f t="shared" si="77"/>
        <v/>
      </c>
      <c r="L252" s="118"/>
      <c r="M252" s="121"/>
      <c r="N252" s="122" t="str">
        <f t="shared" si="78"/>
        <v/>
      </c>
      <c r="O252" s="35" t="str">
        <f t="shared" si="79"/>
        <v/>
      </c>
      <c r="P252" s="124"/>
      <c r="Q252" s="36" t="str">
        <f t="shared" si="91"/>
        <v/>
      </c>
      <c r="R252" s="46" t="str">
        <f t="shared" si="80"/>
        <v/>
      </c>
      <c r="S252" s="38" t="str">
        <f t="shared" si="81"/>
        <v/>
      </c>
      <c r="T252" s="39" t="str">
        <f t="shared" si="82"/>
        <v/>
      </c>
      <c r="U252" s="40" t="str">
        <f t="shared" si="83"/>
        <v/>
      </c>
      <c r="V252" s="39" t="str">
        <f t="shared" si="84"/>
        <v/>
      </c>
      <c r="W252" s="34" t="str">
        <f t="shared" si="85"/>
        <v/>
      </c>
      <c r="X252" s="41" t="str">
        <f t="shared" si="92"/>
        <v/>
      </c>
      <c r="Y252" s="98" t="str">
        <f t="shared" si="86"/>
        <v/>
      </c>
      <c r="Z252" s="16" t="str">
        <f t="shared" si="93"/>
        <v/>
      </c>
      <c r="AB252" s="139"/>
      <c r="AC252" s="146" t="str">
        <f t="shared" si="96"/>
        <v/>
      </c>
      <c r="AD252" s="148" t="str">
        <f t="shared" si="94"/>
        <v/>
      </c>
      <c r="AE252" s="147" t="str">
        <f t="shared" si="87"/>
        <v/>
      </c>
      <c r="AF252" s="111" t="str">
        <f t="shared" si="88"/>
        <v/>
      </c>
      <c r="AG252" s="111" t="str">
        <f t="shared" si="89"/>
        <v/>
      </c>
      <c r="AH252" s="112" t="str">
        <f t="shared" si="90"/>
        <v/>
      </c>
      <c r="AI252" t="str">
        <f t="shared" si="95"/>
        <v/>
      </c>
      <c r="AJ252" t="str">
        <f t="shared" si="97"/>
        <v/>
      </c>
    </row>
    <row r="253" spans="1:36" ht="15" customHeight="1" x14ac:dyDescent="0.25">
      <c r="A253" s="114"/>
      <c r="B253" s="116"/>
      <c r="C253" s="116"/>
      <c r="D253" s="42" t="str">
        <f t="shared" si="74"/>
        <v/>
      </c>
      <c r="E253" s="43"/>
      <c r="F253" s="118"/>
      <c r="G253" s="44" t="str">
        <f t="shared" si="75"/>
        <v/>
      </c>
      <c r="H253" s="118"/>
      <c r="I253" s="34" t="str">
        <f t="shared" si="76"/>
        <v/>
      </c>
      <c r="J253" s="118"/>
      <c r="K253" s="34" t="str">
        <f t="shared" si="77"/>
        <v/>
      </c>
      <c r="L253" s="118"/>
      <c r="M253" s="121"/>
      <c r="N253" s="122" t="str">
        <f t="shared" si="78"/>
        <v/>
      </c>
      <c r="O253" s="35" t="str">
        <f t="shared" si="79"/>
        <v/>
      </c>
      <c r="P253" s="124"/>
      <c r="Q253" s="36" t="str">
        <f t="shared" si="91"/>
        <v/>
      </c>
      <c r="R253" s="46" t="str">
        <f t="shared" si="80"/>
        <v/>
      </c>
      <c r="S253" s="38" t="str">
        <f t="shared" si="81"/>
        <v/>
      </c>
      <c r="T253" s="39" t="str">
        <f t="shared" si="82"/>
        <v/>
      </c>
      <c r="U253" s="40" t="str">
        <f t="shared" si="83"/>
        <v/>
      </c>
      <c r="V253" s="39" t="str">
        <f t="shared" si="84"/>
        <v/>
      </c>
      <c r="W253" s="34" t="str">
        <f t="shared" si="85"/>
        <v/>
      </c>
      <c r="X253" s="41" t="str">
        <f t="shared" si="92"/>
        <v/>
      </c>
      <c r="Y253" s="98" t="str">
        <f t="shared" si="86"/>
        <v/>
      </c>
      <c r="Z253" s="16" t="str">
        <f t="shared" si="93"/>
        <v/>
      </c>
      <c r="AB253" s="139"/>
      <c r="AC253" s="146" t="str">
        <f t="shared" si="96"/>
        <v/>
      </c>
      <c r="AD253" s="148" t="str">
        <f t="shared" si="94"/>
        <v/>
      </c>
      <c r="AE253" s="147" t="str">
        <f t="shared" si="87"/>
        <v/>
      </c>
      <c r="AF253" s="111" t="str">
        <f t="shared" si="88"/>
        <v/>
      </c>
      <c r="AG253" s="111" t="str">
        <f t="shared" si="89"/>
        <v/>
      </c>
      <c r="AH253" s="112" t="str">
        <f t="shared" si="90"/>
        <v/>
      </c>
      <c r="AI253" t="str">
        <f t="shared" si="95"/>
        <v/>
      </c>
      <c r="AJ253" t="str">
        <f t="shared" si="97"/>
        <v/>
      </c>
    </row>
    <row r="254" spans="1:36" ht="15" customHeight="1" x14ac:dyDescent="0.25">
      <c r="A254" s="114"/>
      <c r="B254" s="116"/>
      <c r="C254" s="116"/>
      <c r="D254" s="42" t="str">
        <f t="shared" si="74"/>
        <v/>
      </c>
      <c r="E254" s="43"/>
      <c r="F254" s="118"/>
      <c r="G254" s="44" t="str">
        <f t="shared" si="75"/>
        <v/>
      </c>
      <c r="H254" s="118"/>
      <c r="I254" s="34" t="str">
        <f t="shared" si="76"/>
        <v/>
      </c>
      <c r="J254" s="118"/>
      <c r="K254" s="34" t="str">
        <f t="shared" si="77"/>
        <v/>
      </c>
      <c r="L254" s="118"/>
      <c r="M254" s="121"/>
      <c r="N254" s="122" t="str">
        <f t="shared" si="78"/>
        <v/>
      </c>
      <c r="O254" s="35" t="str">
        <f t="shared" si="79"/>
        <v/>
      </c>
      <c r="P254" s="124"/>
      <c r="Q254" s="36" t="str">
        <f t="shared" si="91"/>
        <v/>
      </c>
      <c r="R254" s="46" t="str">
        <f t="shared" si="80"/>
        <v/>
      </c>
      <c r="S254" s="38" t="str">
        <f t="shared" si="81"/>
        <v/>
      </c>
      <c r="T254" s="39" t="str">
        <f t="shared" si="82"/>
        <v/>
      </c>
      <c r="U254" s="40" t="str">
        <f t="shared" si="83"/>
        <v/>
      </c>
      <c r="V254" s="39" t="str">
        <f t="shared" si="84"/>
        <v/>
      </c>
      <c r="W254" s="34" t="str">
        <f t="shared" si="85"/>
        <v/>
      </c>
      <c r="X254" s="41" t="str">
        <f t="shared" si="92"/>
        <v/>
      </c>
      <c r="Y254" s="98" t="str">
        <f t="shared" si="86"/>
        <v/>
      </c>
      <c r="Z254" s="16" t="str">
        <f t="shared" si="93"/>
        <v/>
      </c>
      <c r="AB254" s="139"/>
      <c r="AC254" s="146" t="str">
        <f t="shared" si="96"/>
        <v/>
      </c>
      <c r="AD254" s="148" t="str">
        <f t="shared" si="94"/>
        <v/>
      </c>
      <c r="AE254" s="147" t="str">
        <f t="shared" si="87"/>
        <v/>
      </c>
      <c r="AF254" s="111" t="str">
        <f t="shared" si="88"/>
        <v/>
      </c>
      <c r="AG254" s="111" t="str">
        <f t="shared" si="89"/>
        <v/>
      </c>
      <c r="AH254" s="112" t="str">
        <f t="shared" si="90"/>
        <v/>
      </c>
      <c r="AI254" t="str">
        <f t="shared" si="95"/>
        <v/>
      </c>
      <c r="AJ254" t="str">
        <f t="shared" si="97"/>
        <v/>
      </c>
    </row>
    <row r="255" spans="1:36" ht="15" customHeight="1" x14ac:dyDescent="0.25">
      <c r="A255" s="114"/>
      <c r="B255" s="116"/>
      <c r="C255" s="116"/>
      <c r="D255" s="42" t="str">
        <f t="shared" si="74"/>
        <v/>
      </c>
      <c r="E255" s="43"/>
      <c r="F255" s="118"/>
      <c r="G255" s="44" t="str">
        <f t="shared" si="75"/>
        <v/>
      </c>
      <c r="H255" s="118"/>
      <c r="I255" s="34" t="str">
        <f t="shared" si="76"/>
        <v/>
      </c>
      <c r="J255" s="118"/>
      <c r="K255" s="34" t="str">
        <f t="shared" si="77"/>
        <v/>
      </c>
      <c r="L255" s="118"/>
      <c r="M255" s="121"/>
      <c r="N255" s="122" t="str">
        <f t="shared" si="78"/>
        <v/>
      </c>
      <c r="O255" s="35" t="str">
        <f t="shared" si="79"/>
        <v/>
      </c>
      <c r="P255" s="124"/>
      <c r="Q255" s="36" t="str">
        <f t="shared" si="91"/>
        <v/>
      </c>
      <c r="R255" s="46" t="str">
        <f t="shared" si="80"/>
        <v/>
      </c>
      <c r="S255" s="38" t="str">
        <f t="shared" si="81"/>
        <v/>
      </c>
      <c r="T255" s="39" t="str">
        <f t="shared" si="82"/>
        <v/>
      </c>
      <c r="U255" s="40" t="str">
        <f t="shared" si="83"/>
        <v/>
      </c>
      <c r="V255" s="39" t="str">
        <f t="shared" si="84"/>
        <v/>
      </c>
      <c r="W255" s="34" t="str">
        <f t="shared" si="85"/>
        <v/>
      </c>
      <c r="X255" s="41" t="str">
        <f t="shared" si="92"/>
        <v/>
      </c>
      <c r="Y255" s="98" t="str">
        <f t="shared" si="86"/>
        <v/>
      </c>
      <c r="Z255" s="16" t="str">
        <f t="shared" si="93"/>
        <v/>
      </c>
      <c r="AB255" s="139"/>
      <c r="AC255" s="146" t="str">
        <f t="shared" si="96"/>
        <v/>
      </c>
      <c r="AD255" s="148" t="str">
        <f t="shared" si="94"/>
        <v/>
      </c>
      <c r="AE255" s="147" t="str">
        <f t="shared" si="87"/>
        <v/>
      </c>
      <c r="AF255" s="111" t="str">
        <f t="shared" si="88"/>
        <v/>
      </c>
      <c r="AG255" s="111" t="str">
        <f t="shared" si="89"/>
        <v/>
      </c>
      <c r="AH255" s="112" t="str">
        <f t="shared" si="90"/>
        <v/>
      </c>
      <c r="AI255" t="str">
        <f t="shared" si="95"/>
        <v/>
      </c>
      <c r="AJ255" t="str">
        <f t="shared" si="97"/>
        <v/>
      </c>
    </row>
    <row r="256" spans="1:36" ht="15" customHeight="1" x14ac:dyDescent="0.25">
      <c r="A256" s="114"/>
      <c r="B256" s="116"/>
      <c r="C256" s="116"/>
      <c r="D256" s="42" t="str">
        <f t="shared" si="74"/>
        <v/>
      </c>
      <c r="E256" s="43"/>
      <c r="F256" s="118"/>
      <c r="G256" s="44" t="str">
        <f t="shared" si="75"/>
        <v/>
      </c>
      <c r="H256" s="118"/>
      <c r="I256" s="34" t="str">
        <f t="shared" si="76"/>
        <v/>
      </c>
      <c r="J256" s="118"/>
      <c r="K256" s="34" t="str">
        <f t="shared" si="77"/>
        <v/>
      </c>
      <c r="L256" s="118"/>
      <c r="M256" s="121"/>
      <c r="N256" s="122" t="str">
        <f t="shared" si="78"/>
        <v/>
      </c>
      <c r="O256" s="35" t="str">
        <f t="shared" si="79"/>
        <v/>
      </c>
      <c r="P256" s="124"/>
      <c r="Q256" s="36" t="str">
        <f t="shared" si="91"/>
        <v/>
      </c>
      <c r="R256" s="46" t="str">
        <f t="shared" si="80"/>
        <v/>
      </c>
      <c r="S256" s="38" t="str">
        <f t="shared" si="81"/>
        <v/>
      </c>
      <c r="T256" s="39" t="str">
        <f t="shared" si="82"/>
        <v/>
      </c>
      <c r="U256" s="40" t="str">
        <f t="shared" si="83"/>
        <v/>
      </c>
      <c r="V256" s="39" t="str">
        <f t="shared" si="84"/>
        <v/>
      </c>
      <c r="W256" s="34" t="str">
        <f t="shared" si="85"/>
        <v/>
      </c>
      <c r="X256" s="41" t="str">
        <f t="shared" si="92"/>
        <v/>
      </c>
      <c r="Y256" s="98" t="str">
        <f t="shared" si="86"/>
        <v/>
      </c>
      <c r="Z256" s="16" t="str">
        <f t="shared" si="93"/>
        <v/>
      </c>
      <c r="AB256" s="139"/>
      <c r="AC256" s="146" t="str">
        <f t="shared" si="96"/>
        <v/>
      </c>
      <c r="AD256" s="148" t="str">
        <f t="shared" si="94"/>
        <v/>
      </c>
      <c r="AE256" s="147" t="str">
        <f t="shared" si="87"/>
        <v/>
      </c>
      <c r="AF256" s="111" t="str">
        <f t="shared" si="88"/>
        <v/>
      </c>
      <c r="AG256" s="111" t="str">
        <f t="shared" si="89"/>
        <v/>
      </c>
      <c r="AH256" s="112" t="str">
        <f t="shared" si="90"/>
        <v/>
      </c>
      <c r="AI256" t="str">
        <f t="shared" si="95"/>
        <v/>
      </c>
      <c r="AJ256" t="str">
        <f t="shared" si="97"/>
        <v/>
      </c>
    </row>
    <row r="257" spans="1:36" ht="15" customHeight="1" x14ac:dyDescent="0.25">
      <c r="A257" s="114"/>
      <c r="B257" s="116"/>
      <c r="C257" s="116"/>
      <c r="D257" s="42" t="str">
        <f t="shared" si="74"/>
        <v/>
      </c>
      <c r="E257" s="43"/>
      <c r="F257" s="118"/>
      <c r="G257" s="44" t="str">
        <f t="shared" si="75"/>
        <v/>
      </c>
      <c r="H257" s="118"/>
      <c r="I257" s="34" t="str">
        <f t="shared" si="76"/>
        <v/>
      </c>
      <c r="J257" s="118"/>
      <c r="K257" s="34" t="str">
        <f t="shared" si="77"/>
        <v/>
      </c>
      <c r="L257" s="118"/>
      <c r="M257" s="121"/>
      <c r="N257" s="122" t="str">
        <f t="shared" si="78"/>
        <v/>
      </c>
      <c r="O257" s="35" t="str">
        <f t="shared" si="79"/>
        <v/>
      </c>
      <c r="P257" s="124"/>
      <c r="Q257" s="36" t="str">
        <f t="shared" si="91"/>
        <v/>
      </c>
      <c r="R257" s="46" t="str">
        <f t="shared" si="80"/>
        <v/>
      </c>
      <c r="S257" s="38" t="str">
        <f t="shared" si="81"/>
        <v/>
      </c>
      <c r="T257" s="39" t="str">
        <f t="shared" si="82"/>
        <v/>
      </c>
      <c r="U257" s="40" t="str">
        <f t="shared" si="83"/>
        <v/>
      </c>
      <c r="V257" s="39" t="str">
        <f t="shared" si="84"/>
        <v/>
      </c>
      <c r="W257" s="34" t="str">
        <f t="shared" si="85"/>
        <v/>
      </c>
      <c r="X257" s="41" t="str">
        <f t="shared" si="92"/>
        <v/>
      </c>
      <c r="Y257" s="98" t="str">
        <f t="shared" si="86"/>
        <v/>
      </c>
      <c r="Z257" s="16" t="str">
        <f t="shared" si="93"/>
        <v/>
      </c>
      <c r="AB257" s="139"/>
      <c r="AC257" s="146" t="str">
        <f t="shared" si="96"/>
        <v/>
      </c>
      <c r="AD257" s="148" t="str">
        <f t="shared" si="94"/>
        <v/>
      </c>
      <c r="AE257" s="147" t="str">
        <f t="shared" si="87"/>
        <v/>
      </c>
      <c r="AF257" s="111" t="str">
        <f t="shared" si="88"/>
        <v/>
      </c>
      <c r="AG257" s="111" t="str">
        <f t="shared" si="89"/>
        <v/>
      </c>
      <c r="AH257" s="112" t="str">
        <f t="shared" si="90"/>
        <v/>
      </c>
      <c r="AI257" t="str">
        <f t="shared" si="95"/>
        <v/>
      </c>
      <c r="AJ257" t="str">
        <f t="shared" si="97"/>
        <v/>
      </c>
    </row>
    <row r="258" spans="1:36" ht="15" customHeight="1" x14ac:dyDescent="0.25">
      <c r="A258" s="114"/>
      <c r="B258" s="116"/>
      <c r="C258" s="116"/>
      <c r="D258" s="42" t="str">
        <f t="shared" si="74"/>
        <v/>
      </c>
      <c r="E258" s="43"/>
      <c r="F258" s="118"/>
      <c r="G258" s="44" t="str">
        <f t="shared" si="75"/>
        <v/>
      </c>
      <c r="H258" s="118"/>
      <c r="I258" s="34" t="str">
        <f t="shared" si="76"/>
        <v/>
      </c>
      <c r="J258" s="118"/>
      <c r="K258" s="34" t="str">
        <f t="shared" si="77"/>
        <v/>
      </c>
      <c r="L258" s="118"/>
      <c r="M258" s="121"/>
      <c r="N258" s="122" t="str">
        <f t="shared" si="78"/>
        <v/>
      </c>
      <c r="O258" s="35" t="str">
        <f t="shared" si="79"/>
        <v/>
      </c>
      <c r="P258" s="124"/>
      <c r="Q258" s="36" t="str">
        <f t="shared" si="91"/>
        <v/>
      </c>
      <c r="R258" s="46" t="str">
        <f t="shared" si="80"/>
        <v/>
      </c>
      <c r="S258" s="38" t="str">
        <f t="shared" si="81"/>
        <v/>
      </c>
      <c r="T258" s="39" t="str">
        <f t="shared" si="82"/>
        <v/>
      </c>
      <c r="U258" s="40" t="str">
        <f t="shared" si="83"/>
        <v/>
      </c>
      <c r="V258" s="39" t="str">
        <f t="shared" si="84"/>
        <v/>
      </c>
      <c r="W258" s="34" t="str">
        <f t="shared" si="85"/>
        <v/>
      </c>
      <c r="X258" s="41" t="str">
        <f t="shared" si="92"/>
        <v/>
      </c>
      <c r="Y258" s="98" t="str">
        <f t="shared" si="86"/>
        <v/>
      </c>
      <c r="Z258" s="16" t="str">
        <f t="shared" si="93"/>
        <v/>
      </c>
      <c r="AB258" s="139"/>
      <c r="AC258" s="146" t="str">
        <f t="shared" si="96"/>
        <v/>
      </c>
      <c r="AD258" s="148" t="str">
        <f t="shared" si="94"/>
        <v/>
      </c>
      <c r="AE258" s="147" t="str">
        <f t="shared" si="87"/>
        <v/>
      </c>
      <c r="AF258" s="111" t="str">
        <f t="shared" si="88"/>
        <v/>
      </c>
      <c r="AG258" s="111" t="str">
        <f t="shared" si="89"/>
        <v/>
      </c>
      <c r="AH258" s="112" t="str">
        <f t="shared" si="90"/>
        <v/>
      </c>
      <c r="AI258" t="str">
        <f t="shared" si="95"/>
        <v/>
      </c>
      <c r="AJ258" t="str">
        <f t="shared" si="97"/>
        <v/>
      </c>
    </row>
    <row r="259" spans="1:36" ht="15" customHeight="1" x14ac:dyDescent="0.25">
      <c r="A259" s="114"/>
      <c r="B259" s="116"/>
      <c r="C259" s="116"/>
      <c r="D259" s="42" t="str">
        <f t="shared" si="74"/>
        <v/>
      </c>
      <c r="E259" s="43"/>
      <c r="F259" s="118"/>
      <c r="G259" s="44" t="str">
        <f t="shared" si="75"/>
        <v/>
      </c>
      <c r="H259" s="118"/>
      <c r="I259" s="34" t="str">
        <f t="shared" si="76"/>
        <v/>
      </c>
      <c r="J259" s="118"/>
      <c r="K259" s="34" t="str">
        <f t="shared" si="77"/>
        <v/>
      </c>
      <c r="L259" s="118"/>
      <c r="M259" s="121"/>
      <c r="N259" s="122" t="str">
        <f t="shared" si="78"/>
        <v/>
      </c>
      <c r="O259" s="35" t="str">
        <f t="shared" si="79"/>
        <v/>
      </c>
      <c r="P259" s="124"/>
      <c r="Q259" s="36" t="str">
        <f t="shared" si="91"/>
        <v/>
      </c>
      <c r="R259" s="46" t="str">
        <f t="shared" si="80"/>
        <v/>
      </c>
      <c r="S259" s="38" t="str">
        <f t="shared" si="81"/>
        <v/>
      </c>
      <c r="T259" s="39" t="str">
        <f t="shared" si="82"/>
        <v/>
      </c>
      <c r="U259" s="40" t="str">
        <f t="shared" si="83"/>
        <v/>
      </c>
      <c r="V259" s="39" t="str">
        <f t="shared" si="84"/>
        <v/>
      </c>
      <c r="W259" s="34" t="str">
        <f t="shared" si="85"/>
        <v/>
      </c>
      <c r="X259" s="41" t="str">
        <f t="shared" si="92"/>
        <v/>
      </c>
      <c r="Y259" s="98" t="str">
        <f t="shared" si="86"/>
        <v/>
      </c>
      <c r="Z259" s="16" t="str">
        <f t="shared" si="93"/>
        <v/>
      </c>
      <c r="AB259" s="139"/>
      <c r="AC259" s="146" t="str">
        <f t="shared" si="96"/>
        <v/>
      </c>
      <c r="AD259" s="148" t="str">
        <f t="shared" si="94"/>
        <v/>
      </c>
      <c r="AE259" s="147" t="str">
        <f t="shared" si="87"/>
        <v/>
      </c>
      <c r="AF259" s="111" t="str">
        <f t="shared" si="88"/>
        <v/>
      </c>
      <c r="AG259" s="111" t="str">
        <f t="shared" si="89"/>
        <v/>
      </c>
      <c r="AH259" s="112" t="str">
        <f t="shared" si="90"/>
        <v/>
      </c>
      <c r="AI259" t="str">
        <f t="shared" si="95"/>
        <v/>
      </c>
      <c r="AJ259" t="str">
        <f t="shared" si="97"/>
        <v/>
      </c>
    </row>
    <row r="260" spans="1:36" ht="15" customHeight="1" x14ac:dyDescent="0.25">
      <c r="A260" s="114"/>
      <c r="B260" s="116"/>
      <c r="C260" s="116"/>
      <c r="D260" s="42" t="str">
        <f t="shared" si="74"/>
        <v/>
      </c>
      <c r="E260" s="43"/>
      <c r="F260" s="118"/>
      <c r="G260" s="44" t="str">
        <f t="shared" si="75"/>
        <v/>
      </c>
      <c r="H260" s="118"/>
      <c r="I260" s="34" t="str">
        <f t="shared" si="76"/>
        <v/>
      </c>
      <c r="J260" s="118"/>
      <c r="K260" s="34" t="str">
        <f t="shared" si="77"/>
        <v/>
      </c>
      <c r="L260" s="118"/>
      <c r="M260" s="121"/>
      <c r="N260" s="122" t="str">
        <f t="shared" si="78"/>
        <v/>
      </c>
      <c r="O260" s="35" t="str">
        <f t="shared" si="79"/>
        <v/>
      </c>
      <c r="P260" s="124"/>
      <c r="Q260" s="36" t="str">
        <f t="shared" si="91"/>
        <v/>
      </c>
      <c r="R260" s="46" t="str">
        <f t="shared" si="80"/>
        <v/>
      </c>
      <c r="S260" s="38" t="str">
        <f t="shared" si="81"/>
        <v/>
      </c>
      <c r="T260" s="39" t="str">
        <f t="shared" si="82"/>
        <v/>
      </c>
      <c r="U260" s="40" t="str">
        <f t="shared" si="83"/>
        <v/>
      </c>
      <c r="V260" s="39" t="str">
        <f t="shared" si="84"/>
        <v/>
      </c>
      <c r="W260" s="34" t="str">
        <f t="shared" si="85"/>
        <v/>
      </c>
      <c r="X260" s="41" t="str">
        <f t="shared" si="92"/>
        <v/>
      </c>
      <c r="Y260" s="98" t="str">
        <f t="shared" si="86"/>
        <v/>
      </c>
      <c r="Z260" s="16" t="str">
        <f t="shared" si="93"/>
        <v/>
      </c>
      <c r="AB260" s="139"/>
      <c r="AC260" s="146" t="str">
        <f t="shared" si="96"/>
        <v/>
      </c>
      <c r="AD260" s="148" t="str">
        <f t="shared" si="94"/>
        <v/>
      </c>
      <c r="AE260" s="147" t="str">
        <f t="shared" si="87"/>
        <v/>
      </c>
      <c r="AF260" s="111" t="str">
        <f t="shared" si="88"/>
        <v/>
      </c>
      <c r="AG260" s="111" t="str">
        <f t="shared" si="89"/>
        <v/>
      </c>
      <c r="AH260" s="112" t="str">
        <f t="shared" si="90"/>
        <v/>
      </c>
      <c r="AI260" t="str">
        <f t="shared" si="95"/>
        <v/>
      </c>
      <c r="AJ260" t="str">
        <f t="shared" si="97"/>
        <v/>
      </c>
    </row>
    <row r="261" spans="1:36" ht="15" customHeight="1" x14ac:dyDescent="0.25">
      <c r="A261" s="114"/>
      <c r="B261" s="116"/>
      <c r="C261" s="116"/>
      <c r="D261" s="42" t="str">
        <f t="shared" si="74"/>
        <v/>
      </c>
      <c r="E261" s="43"/>
      <c r="F261" s="118"/>
      <c r="G261" s="44" t="str">
        <f t="shared" si="75"/>
        <v/>
      </c>
      <c r="H261" s="118"/>
      <c r="I261" s="34" t="str">
        <f t="shared" si="76"/>
        <v/>
      </c>
      <c r="J261" s="118"/>
      <c r="K261" s="34" t="str">
        <f t="shared" si="77"/>
        <v/>
      </c>
      <c r="L261" s="118"/>
      <c r="M261" s="121"/>
      <c r="N261" s="122" t="str">
        <f t="shared" si="78"/>
        <v/>
      </c>
      <c r="O261" s="35" t="str">
        <f t="shared" si="79"/>
        <v/>
      </c>
      <c r="P261" s="124"/>
      <c r="Q261" s="36" t="str">
        <f t="shared" si="91"/>
        <v/>
      </c>
      <c r="R261" s="46" t="str">
        <f t="shared" si="80"/>
        <v/>
      </c>
      <c r="S261" s="38" t="str">
        <f t="shared" si="81"/>
        <v/>
      </c>
      <c r="T261" s="39" t="str">
        <f t="shared" si="82"/>
        <v/>
      </c>
      <c r="U261" s="40" t="str">
        <f t="shared" si="83"/>
        <v/>
      </c>
      <c r="V261" s="39" t="str">
        <f t="shared" si="84"/>
        <v/>
      </c>
      <c r="W261" s="34" t="str">
        <f t="shared" si="85"/>
        <v/>
      </c>
      <c r="X261" s="41" t="str">
        <f t="shared" si="92"/>
        <v/>
      </c>
      <c r="Y261" s="98" t="str">
        <f t="shared" si="86"/>
        <v/>
      </c>
      <c r="Z261" s="16" t="str">
        <f t="shared" si="93"/>
        <v/>
      </c>
      <c r="AB261" s="139"/>
      <c r="AC261" s="146" t="str">
        <f t="shared" si="96"/>
        <v/>
      </c>
      <c r="AD261" s="148" t="str">
        <f t="shared" si="94"/>
        <v/>
      </c>
      <c r="AE261" s="147" t="str">
        <f t="shared" si="87"/>
        <v/>
      </c>
      <c r="AF261" s="111" t="str">
        <f t="shared" si="88"/>
        <v/>
      </c>
      <c r="AG261" s="111" t="str">
        <f t="shared" si="89"/>
        <v/>
      </c>
      <c r="AH261" s="112" t="str">
        <f t="shared" si="90"/>
        <v/>
      </c>
      <c r="AI261" t="str">
        <f t="shared" si="95"/>
        <v/>
      </c>
      <c r="AJ261" t="str">
        <f t="shared" si="97"/>
        <v/>
      </c>
    </row>
    <row r="262" spans="1:36" ht="15" customHeight="1" x14ac:dyDescent="0.25">
      <c r="A262" s="114"/>
      <c r="B262" s="116"/>
      <c r="C262" s="116"/>
      <c r="D262" s="42" t="str">
        <f t="shared" si="74"/>
        <v/>
      </c>
      <c r="E262" s="43"/>
      <c r="F262" s="118"/>
      <c r="G262" s="44" t="str">
        <f t="shared" si="75"/>
        <v/>
      </c>
      <c r="H262" s="118"/>
      <c r="I262" s="34" t="str">
        <f t="shared" si="76"/>
        <v/>
      </c>
      <c r="J262" s="118"/>
      <c r="K262" s="34" t="str">
        <f t="shared" si="77"/>
        <v/>
      </c>
      <c r="L262" s="118"/>
      <c r="M262" s="121"/>
      <c r="N262" s="122" t="str">
        <f t="shared" si="78"/>
        <v/>
      </c>
      <c r="O262" s="35" t="str">
        <f t="shared" si="79"/>
        <v/>
      </c>
      <c r="P262" s="124"/>
      <c r="Q262" s="36" t="str">
        <f t="shared" si="91"/>
        <v/>
      </c>
      <c r="R262" s="46" t="str">
        <f t="shared" si="80"/>
        <v/>
      </c>
      <c r="S262" s="38" t="str">
        <f t="shared" si="81"/>
        <v/>
      </c>
      <c r="T262" s="39" t="str">
        <f t="shared" si="82"/>
        <v/>
      </c>
      <c r="U262" s="40" t="str">
        <f t="shared" si="83"/>
        <v/>
      </c>
      <c r="V262" s="39" t="str">
        <f t="shared" si="84"/>
        <v/>
      </c>
      <c r="W262" s="34" t="str">
        <f t="shared" si="85"/>
        <v/>
      </c>
      <c r="X262" s="41" t="str">
        <f t="shared" si="92"/>
        <v/>
      </c>
      <c r="Y262" s="98" t="str">
        <f t="shared" si="86"/>
        <v/>
      </c>
      <c r="Z262" s="16" t="str">
        <f t="shared" si="93"/>
        <v/>
      </c>
      <c r="AB262" s="139"/>
      <c r="AC262" s="146" t="str">
        <f t="shared" si="96"/>
        <v/>
      </c>
      <c r="AD262" s="148" t="str">
        <f t="shared" si="94"/>
        <v/>
      </c>
      <c r="AE262" s="147" t="str">
        <f t="shared" si="87"/>
        <v/>
      </c>
      <c r="AF262" s="111" t="str">
        <f t="shared" si="88"/>
        <v/>
      </c>
      <c r="AG262" s="111" t="str">
        <f t="shared" si="89"/>
        <v/>
      </c>
      <c r="AH262" s="112" t="str">
        <f t="shared" si="90"/>
        <v/>
      </c>
      <c r="AI262" t="str">
        <f t="shared" si="95"/>
        <v/>
      </c>
      <c r="AJ262" t="str">
        <f t="shared" si="97"/>
        <v/>
      </c>
    </row>
    <row r="263" spans="1:36" ht="15" customHeight="1" x14ac:dyDescent="0.25">
      <c r="A263" s="114"/>
      <c r="B263" s="116"/>
      <c r="C263" s="116"/>
      <c r="D263" s="42" t="str">
        <f t="shared" si="74"/>
        <v/>
      </c>
      <c r="E263" s="43"/>
      <c r="F263" s="118"/>
      <c r="G263" s="44" t="str">
        <f t="shared" si="75"/>
        <v/>
      </c>
      <c r="H263" s="118"/>
      <c r="I263" s="34" t="str">
        <f t="shared" si="76"/>
        <v/>
      </c>
      <c r="J263" s="118"/>
      <c r="K263" s="34" t="str">
        <f t="shared" si="77"/>
        <v/>
      </c>
      <c r="L263" s="118"/>
      <c r="M263" s="121"/>
      <c r="N263" s="122" t="str">
        <f t="shared" si="78"/>
        <v/>
      </c>
      <c r="O263" s="35" t="str">
        <f t="shared" si="79"/>
        <v/>
      </c>
      <c r="P263" s="124"/>
      <c r="Q263" s="36" t="str">
        <f t="shared" si="91"/>
        <v/>
      </c>
      <c r="R263" s="46" t="str">
        <f t="shared" si="80"/>
        <v/>
      </c>
      <c r="S263" s="38" t="str">
        <f t="shared" si="81"/>
        <v/>
      </c>
      <c r="T263" s="39" t="str">
        <f t="shared" si="82"/>
        <v/>
      </c>
      <c r="U263" s="40" t="str">
        <f t="shared" si="83"/>
        <v/>
      </c>
      <c r="V263" s="39" t="str">
        <f t="shared" si="84"/>
        <v/>
      </c>
      <c r="W263" s="34" t="str">
        <f t="shared" si="85"/>
        <v/>
      </c>
      <c r="X263" s="41" t="str">
        <f t="shared" si="92"/>
        <v/>
      </c>
      <c r="Y263" s="98" t="str">
        <f t="shared" si="86"/>
        <v/>
      </c>
      <c r="Z263" s="16" t="str">
        <f t="shared" si="93"/>
        <v/>
      </c>
      <c r="AB263" s="139"/>
      <c r="AC263" s="146" t="str">
        <f t="shared" si="96"/>
        <v/>
      </c>
      <c r="AD263" s="148" t="str">
        <f t="shared" si="94"/>
        <v/>
      </c>
      <c r="AE263" s="147" t="str">
        <f t="shared" si="87"/>
        <v/>
      </c>
      <c r="AF263" s="111" t="str">
        <f t="shared" si="88"/>
        <v/>
      </c>
      <c r="AG263" s="111" t="str">
        <f t="shared" si="89"/>
        <v/>
      </c>
      <c r="AH263" s="112" t="str">
        <f t="shared" si="90"/>
        <v/>
      </c>
      <c r="AI263" t="str">
        <f t="shared" si="95"/>
        <v/>
      </c>
      <c r="AJ263" t="str">
        <f t="shared" si="97"/>
        <v/>
      </c>
    </row>
    <row r="264" spans="1:36" ht="15" customHeight="1" x14ac:dyDescent="0.25">
      <c r="A264" s="114"/>
      <c r="B264" s="116"/>
      <c r="C264" s="116"/>
      <c r="D264" s="42" t="str">
        <f t="shared" ref="D264:D327" si="98">IF(A264="","",B264*C264)</f>
        <v/>
      </c>
      <c r="E264" s="43"/>
      <c r="F264" s="118"/>
      <c r="G264" s="44" t="str">
        <f t="shared" ref="G264:G327" si="99">IF(A264="","",F264*B264)</f>
        <v/>
      </c>
      <c r="H264" s="118"/>
      <c r="I264" s="34" t="str">
        <f t="shared" ref="I264:I327" si="100">IF(OR(H264=0,C264=0,H264="",C264=""),"",H264/C264)</f>
        <v/>
      </c>
      <c r="J264" s="118"/>
      <c r="K264" s="34" t="str">
        <f t="shared" ref="K264:K327" si="101">IF(OR(J264=0,C264=0,J264="",C264=""),"",J264/C264)</f>
        <v/>
      </c>
      <c r="L264" s="118"/>
      <c r="M264" s="121"/>
      <c r="N264" s="122" t="str">
        <f t="shared" ref="N264:N327" si="102">IF(A264="","",IF(P264&gt;0,IF(G264&gt;0,P264/G264,0),IF(E264&gt;0,0,IF($I$3&gt;0,IF($I$4&gt;0,MAX($I$3-SUM($P$8:$P$1007),0)/$I$4,0),$I$2))))</f>
        <v/>
      </c>
      <c r="O264" s="35" t="str">
        <f t="shared" ref="O264:O327" si="103">IF(A264="","",IF(P264&gt;0,P264,IF(E264&gt;0,0,G264*IF($I$3&gt;0,IF($I$4&gt;0,MAX($I$3-SUM($P$8:$P$1007),0)/$I$4,0),$I$2))))</f>
        <v/>
      </c>
      <c r="P264" s="124"/>
      <c r="Q264" s="36" t="str">
        <f t="shared" si="91"/>
        <v/>
      </c>
      <c r="R264" s="46" t="str">
        <f t="shared" ref="R264:R327" si="104">IF(OR(A264="",Q264=""),"",Q264*C264)</f>
        <v/>
      </c>
      <c r="S264" s="38" t="str">
        <f t="shared" ref="S264:S327" si="105">IF(OR(A264="",H264&lt;=0,R264=""),"",(H264-R264)/H264)</f>
        <v/>
      </c>
      <c r="T264" s="39" t="str">
        <f t="shared" ref="T264:T327" si="106">IF(OR(H264=0,R264=0,H264="",R264=""),"",H264-R264)</f>
        <v/>
      </c>
      <c r="U264" s="40" t="str">
        <f t="shared" ref="U264:U327" si="107">IF(OR(A264="",J264&lt;=0,R264=""),"",(J264-R264)/J264)</f>
        <v/>
      </c>
      <c r="V264" s="39" t="str">
        <f t="shared" ref="V264:V327" si="108">IF(OR(J264=0,R264=0,J264="",R264=""),"",J264-R264)</f>
        <v/>
      </c>
      <c r="W264" s="34" t="str">
        <f t="shared" ref="W264:W327" si="109">IF(OR(G264="",G264=0,$M$5="",$K$3=0),"",($M$5/$K$3)*G264)</f>
        <v/>
      </c>
      <c r="X264" s="41" t="str">
        <f t="shared" si="92"/>
        <v/>
      </c>
      <c r="Y264" s="98" t="str">
        <f t="shared" ref="Y264:Y327" si="110">IF(OR(Q264=0,Q264="",D264=0,D264=""),"",Q264*(D264+E264))</f>
        <v/>
      </c>
      <c r="Z264" s="16" t="str">
        <f t="shared" si="93"/>
        <v/>
      </c>
      <c r="AB264" s="139"/>
      <c r="AC264" s="146" t="str">
        <f t="shared" si="96"/>
        <v/>
      </c>
      <c r="AD264" s="148" t="str">
        <f t="shared" si="94"/>
        <v/>
      </c>
      <c r="AE264" s="147" t="str">
        <f t="shared" ref="AE264:AE327" si="111">IF(AD264="","",AD264*$AC$1+IF(SUM($AD$8:$AD$1007)=0,0,$AC$2*AD264/SUM($AD$8:$AD$1007)))</f>
        <v/>
      </c>
      <c r="AF264" s="111" t="str">
        <f t="shared" ref="AF264:AF327" si="112">IF(AD264="","",AD264-AE264)</f>
        <v/>
      </c>
      <c r="AG264" s="111" t="str">
        <f t="shared" ref="AG264:AG327" si="113">IF(AF264="","",AH264-AF264)</f>
        <v/>
      </c>
      <c r="AH264" s="112" t="str">
        <f t="shared" ref="AH264:AH327" si="114">IF(AF264="","",ROUND(AF264,0))</f>
        <v/>
      </c>
      <c r="AI264" t="str">
        <f t="shared" si="95"/>
        <v/>
      </c>
      <c r="AJ264" t="str">
        <f t="shared" si="97"/>
        <v/>
      </c>
    </row>
    <row r="265" spans="1:36" ht="15" customHeight="1" x14ac:dyDescent="0.25">
      <c r="A265" s="114"/>
      <c r="B265" s="116"/>
      <c r="C265" s="116"/>
      <c r="D265" s="42" t="str">
        <f t="shared" si="98"/>
        <v/>
      </c>
      <c r="E265" s="43"/>
      <c r="F265" s="118"/>
      <c r="G265" s="44" t="str">
        <f t="shared" si="99"/>
        <v/>
      </c>
      <c r="H265" s="118"/>
      <c r="I265" s="34" t="str">
        <f t="shared" si="100"/>
        <v/>
      </c>
      <c r="J265" s="118"/>
      <c r="K265" s="34" t="str">
        <f t="shared" si="101"/>
        <v/>
      </c>
      <c r="L265" s="118"/>
      <c r="M265" s="121"/>
      <c r="N265" s="122" t="str">
        <f t="shared" si="102"/>
        <v/>
      </c>
      <c r="O265" s="35" t="str">
        <f t="shared" si="103"/>
        <v/>
      </c>
      <c r="P265" s="124"/>
      <c r="Q265" s="36" t="str">
        <f t="shared" ref="Q265:Q328" si="115">IF(A265="","",IF(OR(B265=0,B265="",C265&lt;=0,D265+E265&lt;=0),"",(G265-O265)/(D265+E265)-IF(W265&gt;=0,W265/D265,0)+IF(ISNUMBER(X265),X265/(D265+E265),0)))</f>
        <v/>
      </c>
      <c r="R265" s="46" t="str">
        <f t="shared" si="104"/>
        <v/>
      </c>
      <c r="S265" s="38" t="str">
        <f t="shared" si="105"/>
        <v/>
      </c>
      <c r="T265" s="39" t="str">
        <f t="shared" si="106"/>
        <v/>
      </c>
      <c r="U265" s="40" t="str">
        <f t="shared" si="107"/>
        <v/>
      </c>
      <c r="V265" s="39" t="str">
        <f t="shared" si="108"/>
        <v/>
      </c>
      <c r="W265" s="34" t="str">
        <f t="shared" si="109"/>
        <v/>
      </c>
      <c r="X265" s="41" t="str">
        <f t="shared" ref="X265:X328" si="116">IF(OR(G265="",G265=0,($K$3-$K$2)=0),"",($I$1/($K$3-$K$2))*(G265-O265))</f>
        <v/>
      </c>
      <c r="Y265" s="98" t="str">
        <f t="shared" si="110"/>
        <v/>
      </c>
      <c r="Z265" s="16" t="str">
        <f t="shared" ref="Z265:Z328" si="117">IF(OR(B265=0,B265=""),"",G265)</f>
        <v/>
      </c>
      <c r="AB265" s="139"/>
      <c r="AC265" s="146" t="str">
        <f t="shared" si="96"/>
        <v/>
      </c>
      <c r="AD265" s="148" t="str">
        <f t="shared" ref="AD265:AD328" si="118">IF(OR(AB265="",AC265=""),"",AB265*AC265)</f>
        <v/>
      </c>
      <c r="AE265" s="147" t="str">
        <f t="shared" si="111"/>
        <v/>
      </c>
      <c r="AF265" s="111" t="str">
        <f t="shared" si="112"/>
        <v/>
      </c>
      <c r="AG265" s="111" t="str">
        <f t="shared" si="113"/>
        <v/>
      </c>
      <c r="AH265" s="112" t="str">
        <f t="shared" si="114"/>
        <v/>
      </c>
      <c r="AI265" t="str">
        <f t="shared" ref="AI265:AI328" si="119">IF(OR(AB265=0,AB265=""),"",AE265/AB265)</f>
        <v/>
      </c>
      <c r="AJ265" t="str">
        <f t="shared" si="97"/>
        <v/>
      </c>
    </row>
    <row r="266" spans="1:36" ht="15" customHeight="1" x14ac:dyDescent="0.25">
      <c r="A266" s="114"/>
      <c r="B266" s="116"/>
      <c r="C266" s="116"/>
      <c r="D266" s="42" t="str">
        <f t="shared" si="98"/>
        <v/>
      </c>
      <c r="E266" s="43"/>
      <c r="F266" s="118"/>
      <c r="G266" s="44" t="str">
        <f t="shared" si="99"/>
        <v/>
      </c>
      <c r="H266" s="118"/>
      <c r="I266" s="34" t="str">
        <f t="shared" si="100"/>
        <v/>
      </c>
      <c r="J266" s="118"/>
      <c r="K266" s="34" t="str">
        <f t="shared" si="101"/>
        <v/>
      </c>
      <c r="L266" s="118"/>
      <c r="M266" s="121"/>
      <c r="N266" s="122" t="str">
        <f t="shared" si="102"/>
        <v/>
      </c>
      <c r="O266" s="35" t="str">
        <f t="shared" si="103"/>
        <v/>
      </c>
      <c r="P266" s="124"/>
      <c r="Q266" s="36" t="str">
        <f t="shared" si="115"/>
        <v/>
      </c>
      <c r="R266" s="46" t="str">
        <f t="shared" si="104"/>
        <v/>
      </c>
      <c r="S266" s="38" t="str">
        <f t="shared" si="105"/>
        <v/>
      </c>
      <c r="T266" s="39" t="str">
        <f t="shared" si="106"/>
        <v/>
      </c>
      <c r="U266" s="40" t="str">
        <f t="shared" si="107"/>
        <v/>
      </c>
      <c r="V266" s="39" t="str">
        <f t="shared" si="108"/>
        <v/>
      </c>
      <c r="W266" s="34" t="str">
        <f t="shared" si="109"/>
        <v/>
      </c>
      <c r="X266" s="41" t="str">
        <f t="shared" si="116"/>
        <v/>
      </c>
      <c r="Y266" s="98" t="str">
        <f t="shared" si="110"/>
        <v/>
      </c>
      <c r="Z266" s="16" t="str">
        <f t="shared" si="117"/>
        <v/>
      </c>
      <c r="AB266" s="139"/>
      <c r="AC266" s="146" t="str">
        <f t="shared" si="96"/>
        <v/>
      </c>
      <c r="AD266" s="148" t="str">
        <f t="shared" si="118"/>
        <v/>
      </c>
      <c r="AE266" s="147" t="str">
        <f t="shared" si="111"/>
        <v/>
      </c>
      <c r="AF266" s="111" t="str">
        <f t="shared" si="112"/>
        <v/>
      </c>
      <c r="AG266" s="111" t="str">
        <f t="shared" si="113"/>
        <v/>
      </c>
      <c r="AH266" s="112" t="str">
        <f t="shared" si="114"/>
        <v/>
      </c>
      <c r="AI266" t="str">
        <f t="shared" si="119"/>
        <v/>
      </c>
      <c r="AJ266" t="str">
        <f t="shared" si="97"/>
        <v/>
      </c>
    </row>
    <row r="267" spans="1:36" ht="15" customHeight="1" x14ac:dyDescent="0.25">
      <c r="A267" s="114"/>
      <c r="B267" s="116"/>
      <c r="C267" s="116"/>
      <c r="D267" s="42" t="str">
        <f t="shared" si="98"/>
        <v/>
      </c>
      <c r="E267" s="43"/>
      <c r="F267" s="118"/>
      <c r="G267" s="44" t="str">
        <f t="shared" si="99"/>
        <v/>
      </c>
      <c r="H267" s="118"/>
      <c r="I267" s="34" t="str">
        <f t="shared" si="100"/>
        <v/>
      </c>
      <c r="J267" s="118"/>
      <c r="K267" s="34" t="str">
        <f t="shared" si="101"/>
        <v/>
      </c>
      <c r="L267" s="118"/>
      <c r="M267" s="121"/>
      <c r="N267" s="122" t="str">
        <f t="shared" si="102"/>
        <v/>
      </c>
      <c r="O267" s="35" t="str">
        <f t="shared" si="103"/>
        <v/>
      </c>
      <c r="P267" s="124"/>
      <c r="Q267" s="36" t="str">
        <f t="shared" si="115"/>
        <v/>
      </c>
      <c r="R267" s="46" t="str">
        <f t="shared" si="104"/>
        <v/>
      </c>
      <c r="S267" s="38" t="str">
        <f t="shared" si="105"/>
        <v/>
      </c>
      <c r="T267" s="39" t="str">
        <f t="shared" si="106"/>
        <v/>
      </c>
      <c r="U267" s="40" t="str">
        <f t="shared" si="107"/>
        <v/>
      </c>
      <c r="V267" s="39" t="str">
        <f t="shared" si="108"/>
        <v/>
      </c>
      <c r="W267" s="34" t="str">
        <f t="shared" si="109"/>
        <v/>
      </c>
      <c r="X267" s="41" t="str">
        <f t="shared" si="116"/>
        <v/>
      </c>
      <c r="Y267" s="98" t="str">
        <f t="shared" si="110"/>
        <v/>
      </c>
      <c r="Z267" s="16" t="str">
        <f t="shared" si="117"/>
        <v/>
      </c>
      <c r="AB267" s="139"/>
      <c r="AC267" s="146" t="str">
        <f t="shared" si="96"/>
        <v/>
      </c>
      <c r="AD267" s="148" t="str">
        <f t="shared" si="118"/>
        <v/>
      </c>
      <c r="AE267" s="147" t="str">
        <f t="shared" si="111"/>
        <v/>
      </c>
      <c r="AF267" s="111" t="str">
        <f t="shared" si="112"/>
        <v/>
      </c>
      <c r="AG267" s="111" t="str">
        <f t="shared" si="113"/>
        <v/>
      </c>
      <c r="AH267" s="112" t="str">
        <f t="shared" si="114"/>
        <v/>
      </c>
      <c r="AI267" t="str">
        <f t="shared" si="119"/>
        <v/>
      </c>
      <c r="AJ267" t="str">
        <f t="shared" si="97"/>
        <v/>
      </c>
    </row>
    <row r="268" spans="1:36" ht="15" customHeight="1" x14ac:dyDescent="0.25">
      <c r="A268" s="114"/>
      <c r="B268" s="116"/>
      <c r="C268" s="116"/>
      <c r="D268" s="42" t="str">
        <f t="shared" si="98"/>
        <v/>
      </c>
      <c r="E268" s="43"/>
      <c r="F268" s="118"/>
      <c r="G268" s="44" t="str">
        <f t="shared" si="99"/>
        <v/>
      </c>
      <c r="H268" s="118"/>
      <c r="I268" s="34" t="str">
        <f t="shared" si="100"/>
        <v/>
      </c>
      <c r="J268" s="118"/>
      <c r="K268" s="34" t="str">
        <f t="shared" si="101"/>
        <v/>
      </c>
      <c r="L268" s="118"/>
      <c r="M268" s="121"/>
      <c r="N268" s="122" t="str">
        <f t="shared" si="102"/>
        <v/>
      </c>
      <c r="O268" s="35" t="str">
        <f t="shared" si="103"/>
        <v/>
      </c>
      <c r="P268" s="124"/>
      <c r="Q268" s="36" t="str">
        <f t="shared" si="115"/>
        <v/>
      </c>
      <c r="R268" s="46" t="str">
        <f t="shared" si="104"/>
        <v/>
      </c>
      <c r="S268" s="38" t="str">
        <f t="shared" si="105"/>
        <v/>
      </c>
      <c r="T268" s="39" t="str">
        <f t="shared" si="106"/>
        <v/>
      </c>
      <c r="U268" s="40" t="str">
        <f t="shared" si="107"/>
        <v/>
      </c>
      <c r="V268" s="39" t="str">
        <f t="shared" si="108"/>
        <v/>
      </c>
      <c r="W268" s="34" t="str">
        <f t="shared" si="109"/>
        <v/>
      </c>
      <c r="X268" s="41" t="str">
        <f t="shared" si="116"/>
        <v/>
      </c>
      <c r="Y268" s="98" t="str">
        <f t="shared" si="110"/>
        <v/>
      </c>
      <c r="Z268" s="16" t="str">
        <f t="shared" si="117"/>
        <v/>
      </c>
      <c r="AB268" s="139"/>
      <c r="AC268" s="146" t="str">
        <f t="shared" ref="AC268:AC331" si="120">IF(AB268="","",Q268)</f>
        <v/>
      </c>
      <c r="AD268" s="148" t="str">
        <f t="shared" si="118"/>
        <v/>
      </c>
      <c r="AE268" s="147" t="str">
        <f t="shared" si="111"/>
        <v/>
      </c>
      <c r="AF268" s="111" t="str">
        <f t="shared" si="112"/>
        <v/>
      </c>
      <c r="AG268" s="111" t="str">
        <f t="shared" si="113"/>
        <v/>
      </c>
      <c r="AH268" s="112" t="str">
        <f t="shared" si="114"/>
        <v/>
      </c>
      <c r="AI268" t="str">
        <f t="shared" si="119"/>
        <v/>
      </c>
      <c r="AJ268" t="str">
        <f t="shared" ref="AJ268:AJ331" si="121">IF(OR(AB268=0,AB268=""),"",AC268*C268)</f>
        <v/>
      </c>
    </row>
    <row r="269" spans="1:36" ht="15" customHeight="1" x14ac:dyDescent="0.25">
      <c r="A269" s="114"/>
      <c r="B269" s="116"/>
      <c r="C269" s="116"/>
      <c r="D269" s="42" t="str">
        <f t="shared" si="98"/>
        <v/>
      </c>
      <c r="E269" s="43"/>
      <c r="F269" s="118"/>
      <c r="G269" s="44" t="str">
        <f t="shared" si="99"/>
        <v/>
      </c>
      <c r="H269" s="118"/>
      <c r="I269" s="34" t="str">
        <f t="shared" si="100"/>
        <v/>
      </c>
      <c r="J269" s="118"/>
      <c r="K269" s="34" t="str">
        <f t="shared" si="101"/>
        <v/>
      </c>
      <c r="L269" s="118"/>
      <c r="M269" s="121"/>
      <c r="N269" s="122" t="str">
        <f t="shared" si="102"/>
        <v/>
      </c>
      <c r="O269" s="35" t="str">
        <f t="shared" si="103"/>
        <v/>
      </c>
      <c r="P269" s="124"/>
      <c r="Q269" s="36" t="str">
        <f t="shared" si="115"/>
        <v/>
      </c>
      <c r="R269" s="46" t="str">
        <f t="shared" si="104"/>
        <v/>
      </c>
      <c r="S269" s="38" t="str">
        <f t="shared" si="105"/>
        <v/>
      </c>
      <c r="T269" s="39" t="str">
        <f t="shared" si="106"/>
        <v/>
      </c>
      <c r="U269" s="40" t="str">
        <f t="shared" si="107"/>
        <v/>
      </c>
      <c r="V269" s="39" t="str">
        <f t="shared" si="108"/>
        <v/>
      </c>
      <c r="W269" s="34" t="str">
        <f t="shared" si="109"/>
        <v/>
      </c>
      <c r="X269" s="41" t="str">
        <f t="shared" si="116"/>
        <v/>
      </c>
      <c r="Y269" s="98" t="str">
        <f t="shared" si="110"/>
        <v/>
      </c>
      <c r="Z269" s="16" t="str">
        <f t="shared" si="117"/>
        <v/>
      </c>
      <c r="AB269" s="139"/>
      <c r="AC269" s="146" t="str">
        <f t="shared" si="120"/>
        <v/>
      </c>
      <c r="AD269" s="148" t="str">
        <f t="shared" si="118"/>
        <v/>
      </c>
      <c r="AE269" s="147" t="str">
        <f t="shared" si="111"/>
        <v/>
      </c>
      <c r="AF269" s="111" t="str">
        <f t="shared" si="112"/>
        <v/>
      </c>
      <c r="AG269" s="111" t="str">
        <f t="shared" si="113"/>
        <v/>
      </c>
      <c r="AH269" s="112" t="str">
        <f t="shared" si="114"/>
        <v/>
      </c>
      <c r="AI269" t="str">
        <f t="shared" si="119"/>
        <v/>
      </c>
      <c r="AJ269" t="str">
        <f t="shared" si="121"/>
        <v/>
      </c>
    </row>
    <row r="270" spans="1:36" ht="15" customHeight="1" x14ac:dyDescent="0.25">
      <c r="A270" s="114"/>
      <c r="B270" s="116"/>
      <c r="C270" s="116"/>
      <c r="D270" s="42" t="str">
        <f t="shared" si="98"/>
        <v/>
      </c>
      <c r="E270" s="43"/>
      <c r="F270" s="118"/>
      <c r="G270" s="44" t="str">
        <f t="shared" si="99"/>
        <v/>
      </c>
      <c r="H270" s="118"/>
      <c r="I270" s="34" t="str">
        <f t="shared" si="100"/>
        <v/>
      </c>
      <c r="J270" s="118"/>
      <c r="K270" s="34" t="str">
        <f t="shared" si="101"/>
        <v/>
      </c>
      <c r="L270" s="118"/>
      <c r="M270" s="121"/>
      <c r="N270" s="122" t="str">
        <f t="shared" si="102"/>
        <v/>
      </c>
      <c r="O270" s="35" t="str">
        <f t="shared" si="103"/>
        <v/>
      </c>
      <c r="P270" s="124"/>
      <c r="Q270" s="36" t="str">
        <f t="shared" si="115"/>
        <v/>
      </c>
      <c r="R270" s="46" t="str">
        <f t="shared" si="104"/>
        <v/>
      </c>
      <c r="S270" s="38" t="str">
        <f t="shared" si="105"/>
        <v/>
      </c>
      <c r="T270" s="39" t="str">
        <f t="shared" si="106"/>
        <v/>
      </c>
      <c r="U270" s="40" t="str">
        <f t="shared" si="107"/>
        <v/>
      </c>
      <c r="V270" s="39" t="str">
        <f t="shared" si="108"/>
        <v/>
      </c>
      <c r="W270" s="34" t="str">
        <f t="shared" si="109"/>
        <v/>
      </c>
      <c r="X270" s="41" t="str">
        <f t="shared" si="116"/>
        <v/>
      </c>
      <c r="Y270" s="98" t="str">
        <f t="shared" si="110"/>
        <v/>
      </c>
      <c r="Z270" s="16" t="str">
        <f t="shared" si="117"/>
        <v/>
      </c>
      <c r="AB270" s="139"/>
      <c r="AC270" s="146" t="str">
        <f t="shared" si="120"/>
        <v/>
      </c>
      <c r="AD270" s="148" t="str">
        <f t="shared" si="118"/>
        <v/>
      </c>
      <c r="AE270" s="147" t="str">
        <f t="shared" si="111"/>
        <v/>
      </c>
      <c r="AF270" s="111" t="str">
        <f t="shared" si="112"/>
        <v/>
      </c>
      <c r="AG270" s="111" t="str">
        <f t="shared" si="113"/>
        <v/>
      </c>
      <c r="AH270" s="112" t="str">
        <f t="shared" si="114"/>
        <v/>
      </c>
      <c r="AI270" t="str">
        <f t="shared" si="119"/>
        <v/>
      </c>
      <c r="AJ270" t="str">
        <f t="shared" si="121"/>
        <v/>
      </c>
    </row>
    <row r="271" spans="1:36" ht="15" customHeight="1" x14ac:dyDescent="0.25">
      <c r="A271" s="114"/>
      <c r="B271" s="116"/>
      <c r="C271" s="116"/>
      <c r="D271" s="42" t="str">
        <f t="shared" si="98"/>
        <v/>
      </c>
      <c r="E271" s="43"/>
      <c r="F271" s="118"/>
      <c r="G271" s="44" t="str">
        <f t="shared" si="99"/>
        <v/>
      </c>
      <c r="H271" s="118"/>
      <c r="I271" s="34" t="str">
        <f t="shared" si="100"/>
        <v/>
      </c>
      <c r="J271" s="118"/>
      <c r="K271" s="34" t="str">
        <f t="shared" si="101"/>
        <v/>
      </c>
      <c r="L271" s="118"/>
      <c r="M271" s="121"/>
      <c r="N271" s="122" t="str">
        <f t="shared" si="102"/>
        <v/>
      </c>
      <c r="O271" s="35" t="str">
        <f t="shared" si="103"/>
        <v/>
      </c>
      <c r="P271" s="124"/>
      <c r="Q271" s="36" t="str">
        <f t="shared" si="115"/>
        <v/>
      </c>
      <c r="R271" s="46" t="str">
        <f t="shared" si="104"/>
        <v/>
      </c>
      <c r="S271" s="38" t="str">
        <f t="shared" si="105"/>
        <v/>
      </c>
      <c r="T271" s="39" t="str">
        <f t="shared" si="106"/>
        <v/>
      </c>
      <c r="U271" s="40" t="str">
        <f t="shared" si="107"/>
        <v/>
      </c>
      <c r="V271" s="39" t="str">
        <f t="shared" si="108"/>
        <v/>
      </c>
      <c r="W271" s="34" t="str">
        <f t="shared" si="109"/>
        <v/>
      </c>
      <c r="X271" s="41" t="str">
        <f t="shared" si="116"/>
        <v/>
      </c>
      <c r="Y271" s="98" t="str">
        <f t="shared" si="110"/>
        <v/>
      </c>
      <c r="Z271" s="16" t="str">
        <f t="shared" si="117"/>
        <v/>
      </c>
      <c r="AB271" s="139"/>
      <c r="AC271" s="146" t="str">
        <f t="shared" si="120"/>
        <v/>
      </c>
      <c r="AD271" s="148" t="str">
        <f t="shared" si="118"/>
        <v/>
      </c>
      <c r="AE271" s="147" t="str">
        <f t="shared" si="111"/>
        <v/>
      </c>
      <c r="AF271" s="111" t="str">
        <f t="shared" si="112"/>
        <v/>
      </c>
      <c r="AG271" s="111" t="str">
        <f t="shared" si="113"/>
        <v/>
      </c>
      <c r="AH271" s="112" t="str">
        <f t="shared" si="114"/>
        <v/>
      </c>
      <c r="AI271" t="str">
        <f t="shared" si="119"/>
        <v/>
      </c>
      <c r="AJ271" t="str">
        <f t="shared" si="121"/>
        <v/>
      </c>
    </row>
    <row r="272" spans="1:36" ht="15" customHeight="1" x14ac:dyDescent="0.25">
      <c r="A272" s="114"/>
      <c r="B272" s="116"/>
      <c r="C272" s="116"/>
      <c r="D272" s="42" t="str">
        <f t="shared" si="98"/>
        <v/>
      </c>
      <c r="E272" s="43"/>
      <c r="F272" s="118"/>
      <c r="G272" s="44" t="str">
        <f t="shared" si="99"/>
        <v/>
      </c>
      <c r="H272" s="118"/>
      <c r="I272" s="34" t="str">
        <f t="shared" si="100"/>
        <v/>
      </c>
      <c r="J272" s="118"/>
      <c r="K272" s="34" t="str">
        <f t="shared" si="101"/>
        <v/>
      </c>
      <c r="L272" s="118"/>
      <c r="M272" s="121"/>
      <c r="N272" s="122" t="str">
        <f t="shared" si="102"/>
        <v/>
      </c>
      <c r="O272" s="35" t="str">
        <f t="shared" si="103"/>
        <v/>
      </c>
      <c r="P272" s="124"/>
      <c r="Q272" s="36" t="str">
        <f t="shared" si="115"/>
        <v/>
      </c>
      <c r="R272" s="46" t="str">
        <f t="shared" si="104"/>
        <v/>
      </c>
      <c r="S272" s="38" t="str">
        <f t="shared" si="105"/>
        <v/>
      </c>
      <c r="T272" s="39" t="str">
        <f t="shared" si="106"/>
        <v/>
      </c>
      <c r="U272" s="40" t="str">
        <f t="shared" si="107"/>
        <v/>
      </c>
      <c r="V272" s="39" t="str">
        <f t="shared" si="108"/>
        <v/>
      </c>
      <c r="W272" s="34" t="str">
        <f t="shared" si="109"/>
        <v/>
      </c>
      <c r="X272" s="41" t="str">
        <f t="shared" si="116"/>
        <v/>
      </c>
      <c r="Y272" s="98" t="str">
        <f t="shared" si="110"/>
        <v/>
      </c>
      <c r="Z272" s="16" t="str">
        <f t="shared" si="117"/>
        <v/>
      </c>
      <c r="AB272" s="139"/>
      <c r="AC272" s="146" t="str">
        <f t="shared" si="120"/>
        <v/>
      </c>
      <c r="AD272" s="148" t="str">
        <f t="shared" si="118"/>
        <v/>
      </c>
      <c r="AE272" s="147" t="str">
        <f t="shared" si="111"/>
        <v/>
      </c>
      <c r="AF272" s="111" t="str">
        <f t="shared" si="112"/>
        <v/>
      </c>
      <c r="AG272" s="111" t="str">
        <f t="shared" si="113"/>
        <v/>
      </c>
      <c r="AH272" s="112" t="str">
        <f t="shared" si="114"/>
        <v/>
      </c>
      <c r="AI272" t="str">
        <f t="shared" si="119"/>
        <v/>
      </c>
      <c r="AJ272" t="str">
        <f t="shared" si="121"/>
        <v/>
      </c>
    </row>
    <row r="273" spans="1:36" ht="15" customHeight="1" x14ac:dyDescent="0.25">
      <c r="A273" s="114"/>
      <c r="B273" s="116"/>
      <c r="C273" s="116"/>
      <c r="D273" s="42" t="str">
        <f t="shared" si="98"/>
        <v/>
      </c>
      <c r="E273" s="43"/>
      <c r="F273" s="118"/>
      <c r="G273" s="44" t="str">
        <f t="shared" si="99"/>
        <v/>
      </c>
      <c r="H273" s="118"/>
      <c r="I273" s="34" t="str">
        <f t="shared" si="100"/>
        <v/>
      </c>
      <c r="J273" s="118"/>
      <c r="K273" s="34" t="str">
        <f t="shared" si="101"/>
        <v/>
      </c>
      <c r="L273" s="118"/>
      <c r="M273" s="121"/>
      <c r="N273" s="122" t="str">
        <f t="shared" si="102"/>
        <v/>
      </c>
      <c r="O273" s="35" t="str">
        <f t="shared" si="103"/>
        <v/>
      </c>
      <c r="P273" s="124"/>
      <c r="Q273" s="36" t="str">
        <f t="shared" si="115"/>
        <v/>
      </c>
      <c r="R273" s="46" t="str">
        <f t="shared" si="104"/>
        <v/>
      </c>
      <c r="S273" s="38" t="str">
        <f t="shared" si="105"/>
        <v/>
      </c>
      <c r="T273" s="39" t="str">
        <f t="shared" si="106"/>
        <v/>
      </c>
      <c r="U273" s="40" t="str">
        <f t="shared" si="107"/>
        <v/>
      </c>
      <c r="V273" s="39" t="str">
        <f t="shared" si="108"/>
        <v/>
      </c>
      <c r="W273" s="34" t="str">
        <f t="shared" si="109"/>
        <v/>
      </c>
      <c r="X273" s="41" t="str">
        <f t="shared" si="116"/>
        <v/>
      </c>
      <c r="Y273" s="98" t="str">
        <f t="shared" si="110"/>
        <v/>
      </c>
      <c r="Z273" s="16" t="str">
        <f t="shared" si="117"/>
        <v/>
      </c>
      <c r="AB273" s="139"/>
      <c r="AC273" s="146" t="str">
        <f t="shared" si="120"/>
        <v/>
      </c>
      <c r="AD273" s="148" t="str">
        <f t="shared" si="118"/>
        <v/>
      </c>
      <c r="AE273" s="147" t="str">
        <f t="shared" si="111"/>
        <v/>
      </c>
      <c r="AF273" s="111" t="str">
        <f t="shared" si="112"/>
        <v/>
      </c>
      <c r="AG273" s="111" t="str">
        <f t="shared" si="113"/>
        <v/>
      </c>
      <c r="AH273" s="112" t="str">
        <f t="shared" si="114"/>
        <v/>
      </c>
      <c r="AI273" t="str">
        <f t="shared" si="119"/>
        <v/>
      </c>
      <c r="AJ273" t="str">
        <f t="shared" si="121"/>
        <v/>
      </c>
    </row>
    <row r="274" spans="1:36" ht="15" customHeight="1" x14ac:dyDescent="0.25">
      <c r="A274" s="114"/>
      <c r="B274" s="116"/>
      <c r="C274" s="116"/>
      <c r="D274" s="42" t="str">
        <f t="shared" si="98"/>
        <v/>
      </c>
      <c r="E274" s="43"/>
      <c r="F274" s="118"/>
      <c r="G274" s="44" t="str">
        <f t="shared" si="99"/>
        <v/>
      </c>
      <c r="H274" s="118"/>
      <c r="I274" s="34" t="str">
        <f t="shared" si="100"/>
        <v/>
      </c>
      <c r="J274" s="118"/>
      <c r="K274" s="34" t="str">
        <f t="shared" si="101"/>
        <v/>
      </c>
      <c r="L274" s="118"/>
      <c r="M274" s="121"/>
      <c r="N274" s="122" t="str">
        <f t="shared" si="102"/>
        <v/>
      </c>
      <c r="O274" s="35" t="str">
        <f t="shared" si="103"/>
        <v/>
      </c>
      <c r="P274" s="124"/>
      <c r="Q274" s="36" t="str">
        <f t="shared" si="115"/>
        <v/>
      </c>
      <c r="R274" s="46" t="str">
        <f t="shared" si="104"/>
        <v/>
      </c>
      <c r="S274" s="38" t="str">
        <f t="shared" si="105"/>
        <v/>
      </c>
      <c r="T274" s="39" t="str">
        <f t="shared" si="106"/>
        <v/>
      </c>
      <c r="U274" s="40" t="str">
        <f t="shared" si="107"/>
        <v/>
      </c>
      <c r="V274" s="39" t="str">
        <f t="shared" si="108"/>
        <v/>
      </c>
      <c r="W274" s="34" t="str">
        <f t="shared" si="109"/>
        <v/>
      </c>
      <c r="X274" s="41" t="str">
        <f t="shared" si="116"/>
        <v/>
      </c>
      <c r="Y274" s="98" t="str">
        <f t="shared" si="110"/>
        <v/>
      </c>
      <c r="Z274" s="16" t="str">
        <f t="shared" si="117"/>
        <v/>
      </c>
      <c r="AB274" s="139"/>
      <c r="AC274" s="146" t="str">
        <f t="shared" si="120"/>
        <v/>
      </c>
      <c r="AD274" s="148" t="str">
        <f t="shared" si="118"/>
        <v/>
      </c>
      <c r="AE274" s="147" t="str">
        <f t="shared" si="111"/>
        <v/>
      </c>
      <c r="AF274" s="111" t="str">
        <f t="shared" si="112"/>
        <v/>
      </c>
      <c r="AG274" s="111" t="str">
        <f t="shared" si="113"/>
        <v/>
      </c>
      <c r="AH274" s="112" t="str">
        <f t="shared" si="114"/>
        <v/>
      </c>
      <c r="AI274" t="str">
        <f t="shared" si="119"/>
        <v/>
      </c>
      <c r="AJ274" t="str">
        <f t="shared" si="121"/>
        <v/>
      </c>
    </row>
    <row r="275" spans="1:36" ht="15" customHeight="1" x14ac:dyDescent="0.25">
      <c r="A275" s="114"/>
      <c r="B275" s="116"/>
      <c r="C275" s="116"/>
      <c r="D275" s="42" t="str">
        <f t="shared" si="98"/>
        <v/>
      </c>
      <c r="E275" s="43"/>
      <c r="F275" s="118"/>
      <c r="G275" s="44" t="str">
        <f t="shared" si="99"/>
        <v/>
      </c>
      <c r="H275" s="118"/>
      <c r="I275" s="34" t="str">
        <f t="shared" si="100"/>
        <v/>
      </c>
      <c r="J275" s="118"/>
      <c r="K275" s="34" t="str">
        <f t="shared" si="101"/>
        <v/>
      </c>
      <c r="L275" s="118"/>
      <c r="M275" s="121"/>
      <c r="N275" s="122" t="str">
        <f t="shared" si="102"/>
        <v/>
      </c>
      <c r="O275" s="35" t="str">
        <f t="shared" si="103"/>
        <v/>
      </c>
      <c r="P275" s="124"/>
      <c r="Q275" s="36" t="str">
        <f t="shared" si="115"/>
        <v/>
      </c>
      <c r="R275" s="46" t="str">
        <f t="shared" si="104"/>
        <v/>
      </c>
      <c r="S275" s="38" t="str">
        <f t="shared" si="105"/>
        <v/>
      </c>
      <c r="T275" s="39" t="str">
        <f t="shared" si="106"/>
        <v/>
      </c>
      <c r="U275" s="40" t="str">
        <f t="shared" si="107"/>
        <v/>
      </c>
      <c r="V275" s="39" t="str">
        <f t="shared" si="108"/>
        <v/>
      </c>
      <c r="W275" s="34" t="str">
        <f t="shared" si="109"/>
        <v/>
      </c>
      <c r="X275" s="41" t="str">
        <f t="shared" si="116"/>
        <v/>
      </c>
      <c r="Y275" s="98" t="str">
        <f t="shared" si="110"/>
        <v/>
      </c>
      <c r="Z275" s="16" t="str">
        <f t="shared" si="117"/>
        <v/>
      </c>
      <c r="AB275" s="139"/>
      <c r="AC275" s="146" t="str">
        <f t="shared" si="120"/>
        <v/>
      </c>
      <c r="AD275" s="148" t="str">
        <f t="shared" si="118"/>
        <v/>
      </c>
      <c r="AE275" s="147" t="str">
        <f t="shared" si="111"/>
        <v/>
      </c>
      <c r="AF275" s="111" t="str">
        <f t="shared" si="112"/>
        <v/>
      </c>
      <c r="AG275" s="111" t="str">
        <f t="shared" si="113"/>
        <v/>
      </c>
      <c r="AH275" s="112" t="str">
        <f t="shared" si="114"/>
        <v/>
      </c>
      <c r="AI275" t="str">
        <f t="shared" si="119"/>
        <v/>
      </c>
      <c r="AJ275" t="str">
        <f t="shared" si="121"/>
        <v/>
      </c>
    </row>
    <row r="276" spans="1:36" ht="15" customHeight="1" x14ac:dyDescent="0.25">
      <c r="A276" s="114"/>
      <c r="B276" s="116"/>
      <c r="C276" s="116"/>
      <c r="D276" s="42" t="str">
        <f t="shared" si="98"/>
        <v/>
      </c>
      <c r="E276" s="43"/>
      <c r="F276" s="118"/>
      <c r="G276" s="44" t="str">
        <f t="shared" si="99"/>
        <v/>
      </c>
      <c r="H276" s="118"/>
      <c r="I276" s="34" t="str">
        <f t="shared" si="100"/>
        <v/>
      </c>
      <c r="J276" s="118"/>
      <c r="K276" s="34" t="str">
        <f t="shared" si="101"/>
        <v/>
      </c>
      <c r="L276" s="118"/>
      <c r="M276" s="121"/>
      <c r="N276" s="122" t="str">
        <f t="shared" si="102"/>
        <v/>
      </c>
      <c r="O276" s="35" t="str">
        <f t="shared" si="103"/>
        <v/>
      </c>
      <c r="P276" s="124"/>
      <c r="Q276" s="36" t="str">
        <f t="shared" si="115"/>
        <v/>
      </c>
      <c r="R276" s="46" t="str">
        <f t="shared" si="104"/>
        <v/>
      </c>
      <c r="S276" s="38" t="str">
        <f t="shared" si="105"/>
        <v/>
      </c>
      <c r="T276" s="39" t="str">
        <f t="shared" si="106"/>
        <v/>
      </c>
      <c r="U276" s="40" t="str">
        <f t="shared" si="107"/>
        <v/>
      </c>
      <c r="V276" s="39" t="str">
        <f t="shared" si="108"/>
        <v/>
      </c>
      <c r="W276" s="34" t="str">
        <f t="shared" si="109"/>
        <v/>
      </c>
      <c r="X276" s="41" t="str">
        <f t="shared" si="116"/>
        <v/>
      </c>
      <c r="Y276" s="98" t="str">
        <f t="shared" si="110"/>
        <v/>
      </c>
      <c r="Z276" s="16" t="str">
        <f t="shared" si="117"/>
        <v/>
      </c>
      <c r="AB276" s="139"/>
      <c r="AC276" s="146" t="str">
        <f t="shared" si="120"/>
        <v/>
      </c>
      <c r="AD276" s="148" t="str">
        <f t="shared" si="118"/>
        <v/>
      </c>
      <c r="AE276" s="147" t="str">
        <f t="shared" si="111"/>
        <v/>
      </c>
      <c r="AF276" s="111" t="str">
        <f t="shared" si="112"/>
        <v/>
      </c>
      <c r="AG276" s="111" t="str">
        <f t="shared" si="113"/>
        <v/>
      </c>
      <c r="AH276" s="112" t="str">
        <f t="shared" si="114"/>
        <v/>
      </c>
      <c r="AI276" t="str">
        <f t="shared" si="119"/>
        <v/>
      </c>
      <c r="AJ276" t="str">
        <f t="shared" si="121"/>
        <v/>
      </c>
    </row>
    <row r="277" spans="1:36" ht="15" customHeight="1" x14ac:dyDescent="0.25">
      <c r="A277" s="114"/>
      <c r="B277" s="116"/>
      <c r="C277" s="116"/>
      <c r="D277" s="42" t="str">
        <f t="shared" si="98"/>
        <v/>
      </c>
      <c r="E277" s="43"/>
      <c r="F277" s="118"/>
      <c r="G277" s="44" t="str">
        <f t="shared" si="99"/>
        <v/>
      </c>
      <c r="H277" s="118"/>
      <c r="I277" s="34" t="str">
        <f t="shared" si="100"/>
        <v/>
      </c>
      <c r="J277" s="118"/>
      <c r="K277" s="34" t="str">
        <f t="shared" si="101"/>
        <v/>
      </c>
      <c r="L277" s="118"/>
      <c r="M277" s="121"/>
      <c r="N277" s="122" t="str">
        <f t="shared" si="102"/>
        <v/>
      </c>
      <c r="O277" s="35" t="str">
        <f t="shared" si="103"/>
        <v/>
      </c>
      <c r="P277" s="124"/>
      <c r="Q277" s="36" t="str">
        <f t="shared" si="115"/>
        <v/>
      </c>
      <c r="R277" s="46" t="str">
        <f t="shared" si="104"/>
        <v/>
      </c>
      <c r="S277" s="38" t="str">
        <f t="shared" si="105"/>
        <v/>
      </c>
      <c r="T277" s="39" t="str">
        <f t="shared" si="106"/>
        <v/>
      </c>
      <c r="U277" s="40" t="str">
        <f t="shared" si="107"/>
        <v/>
      </c>
      <c r="V277" s="39" t="str">
        <f t="shared" si="108"/>
        <v/>
      </c>
      <c r="W277" s="34" t="str">
        <f t="shared" si="109"/>
        <v/>
      </c>
      <c r="X277" s="41" t="str">
        <f t="shared" si="116"/>
        <v/>
      </c>
      <c r="Y277" s="98" t="str">
        <f t="shared" si="110"/>
        <v/>
      </c>
      <c r="Z277" s="16" t="str">
        <f t="shared" si="117"/>
        <v/>
      </c>
      <c r="AB277" s="139"/>
      <c r="AC277" s="146" t="str">
        <f t="shared" si="120"/>
        <v/>
      </c>
      <c r="AD277" s="148" t="str">
        <f t="shared" si="118"/>
        <v/>
      </c>
      <c r="AE277" s="147" t="str">
        <f t="shared" si="111"/>
        <v/>
      </c>
      <c r="AF277" s="111" t="str">
        <f t="shared" si="112"/>
        <v/>
      </c>
      <c r="AG277" s="111" t="str">
        <f t="shared" si="113"/>
        <v/>
      </c>
      <c r="AH277" s="112" t="str">
        <f t="shared" si="114"/>
        <v/>
      </c>
      <c r="AI277" t="str">
        <f t="shared" si="119"/>
        <v/>
      </c>
      <c r="AJ277" t="str">
        <f t="shared" si="121"/>
        <v/>
      </c>
    </row>
    <row r="278" spans="1:36" ht="15" customHeight="1" x14ac:dyDescent="0.25">
      <c r="A278" s="114"/>
      <c r="B278" s="116"/>
      <c r="C278" s="116"/>
      <c r="D278" s="42" t="str">
        <f t="shared" si="98"/>
        <v/>
      </c>
      <c r="E278" s="43"/>
      <c r="F278" s="118"/>
      <c r="G278" s="44" t="str">
        <f t="shared" si="99"/>
        <v/>
      </c>
      <c r="H278" s="118"/>
      <c r="I278" s="34" t="str">
        <f t="shared" si="100"/>
        <v/>
      </c>
      <c r="J278" s="118"/>
      <c r="K278" s="34" t="str">
        <f t="shared" si="101"/>
        <v/>
      </c>
      <c r="L278" s="118"/>
      <c r="M278" s="121"/>
      <c r="N278" s="122" t="str">
        <f t="shared" si="102"/>
        <v/>
      </c>
      <c r="O278" s="35" t="str">
        <f t="shared" si="103"/>
        <v/>
      </c>
      <c r="P278" s="124"/>
      <c r="Q278" s="36" t="str">
        <f t="shared" si="115"/>
        <v/>
      </c>
      <c r="R278" s="46" t="str">
        <f t="shared" si="104"/>
        <v/>
      </c>
      <c r="S278" s="38" t="str">
        <f t="shared" si="105"/>
        <v/>
      </c>
      <c r="T278" s="39" t="str">
        <f t="shared" si="106"/>
        <v/>
      </c>
      <c r="U278" s="40" t="str">
        <f t="shared" si="107"/>
        <v/>
      </c>
      <c r="V278" s="39" t="str">
        <f t="shared" si="108"/>
        <v/>
      </c>
      <c r="W278" s="34" t="str">
        <f t="shared" si="109"/>
        <v/>
      </c>
      <c r="X278" s="41" t="str">
        <f t="shared" si="116"/>
        <v/>
      </c>
      <c r="Y278" s="98" t="str">
        <f t="shared" si="110"/>
        <v/>
      </c>
      <c r="Z278" s="16" t="str">
        <f t="shared" si="117"/>
        <v/>
      </c>
      <c r="AB278" s="139"/>
      <c r="AC278" s="146" t="str">
        <f t="shared" si="120"/>
        <v/>
      </c>
      <c r="AD278" s="148" t="str">
        <f t="shared" si="118"/>
        <v/>
      </c>
      <c r="AE278" s="147" t="str">
        <f t="shared" si="111"/>
        <v/>
      </c>
      <c r="AF278" s="111" t="str">
        <f t="shared" si="112"/>
        <v/>
      </c>
      <c r="AG278" s="111" t="str">
        <f t="shared" si="113"/>
        <v/>
      </c>
      <c r="AH278" s="112" t="str">
        <f t="shared" si="114"/>
        <v/>
      </c>
      <c r="AI278" t="str">
        <f t="shared" si="119"/>
        <v/>
      </c>
      <c r="AJ278" t="str">
        <f t="shared" si="121"/>
        <v/>
      </c>
    </row>
    <row r="279" spans="1:36" ht="15" customHeight="1" x14ac:dyDescent="0.25">
      <c r="A279" s="114"/>
      <c r="B279" s="116"/>
      <c r="C279" s="116"/>
      <c r="D279" s="42" t="str">
        <f t="shared" si="98"/>
        <v/>
      </c>
      <c r="E279" s="43"/>
      <c r="F279" s="118"/>
      <c r="G279" s="44" t="str">
        <f t="shared" si="99"/>
        <v/>
      </c>
      <c r="H279" s="118"/>
      <c r="I279" s="34" t="str">
        <f t="shared" si="100"/>
        <v/>
      </c>
      <c r="J279" s="118"/>
      <c r="K279" s="34" t="str">
        <f t="shared" si="101"/>
        <v/>
      </c>
      <c r="L279" s="118"/>
      <c r="M279" s="121"/>
      <c r="N279" s="122" t="str">
        <f t="shared" si="102"/>
        <v/>
      </c>
      <c r="O279" s="35" t="str">
        <f t="shared" si="103"/>
        <v/>
      </c>
      <c r="P279" s="124"/>
      <c r="Q279" s="36" t="str">
        <f t="shared" si="115"/>
        <v/>
      </c>
      <c r="R279" s="46" t="str">
        <f t="shared" si="104"/>
        <v/>
      </c>
      <c r="S279" s="38" t="str">
        <f t="shared" si="105"/>
        <v/>
      </c>
      <c r="T279" s="39" t="str">
        <f t="shared" si="106"/>
        <v/>
      </c>
      <c r="U279" s="40" t="str">
        <f t="shared" si="107"/>
        <v/>
      </c>
      <c r="V279" s="39" t="str">
        <f t="shared" si="108"/>
        <v/>
      </c>
      <c r="W279" s="34" t="str">
        <f t="shared" si="109"/>
        <v/>
      </c>
      <c r="X279" s="41" t="str">
        <f t="shared" si="116"/>
        <v/>
      </c>
      <c r="Y279" s="98" t="str">
        <f t="shared" si="110"/>
        <v/>
      </c>
      <c r="Z279" s="16" t="str">
        <f t="shared" si="117"/>
        <v/>
      </c>
      <c r="AB279" s="139"/>
      <c r="AC279" s="146" t="str">
        <f t="shared" si="120"/>
        <v/>
      </c>
      <c r="AD279" s="148" t="str">
        <f t="shared" si="118"/>
        <v/>
      </c>
      <c r="AE279" s="147" t="str">
        <f t="shared" si="111"/>
        <v/>
      </c>
      <c r="AF279" s="111" t="str">
        <f t="shared" si="112"/>
        <v/>
      </c>
      <c r="AG279" s="111" t="str">
        <f t="shared" si="113"/>
        <v/>
      </c>
      <c r="AH279" s="112" t="str">
        <f t="shared" si="114"/>
        <v/>
      </c>
      <c r="AI279" t="str">
        <f t="shared" si="119"/>
        <v/>
      </c>
      <c r="AJ279" t="str">
        <f t="shared" si="121"/>
        <v/>
      </c>
    </row>
    <row r="280" spans="1:36" ht="15" customHeight="1" x14ac:dyDescent="0.25">
      <c r="A280" s="114"/>
      <c r="B280" s="116"/>
      <c r="C280" s="116"/>
      <c r="D280" s="42" t="str">
        <f t="shared" si="98"/>
        <v/>
      </c>
      <c r="E280" s="43"/>
      <c r="F280" s="118"/>
      <c r="G280" s="44" t="str">
        <f t="shared" si="99"/>
        <v/>
      </c>
      <c r="H280" s="118"/>
      <c r="I280" s="34" t="str">
        <f t="shared" si="100"/>
        <v/>
      </c>
      <c r="J280" s="118"/>
      <c r="K280" s="34" t="str">
        <f t="shared" si="101"/>
        <v/>
      </c>
      <c r="L280" s="118"/>
      <c r="M280" s="121"/>
      <c r="N280" s="122" t="str">
        <f t="shared" si="102"/>
        <v/>
      </c>
      <c r="O280" s="35" t="str">
        <f t="shared" si="103"/>
        <v/>
      </c>
      <c r="P280" s="124"/>
      <c r="Q280" s="36" t="str">
        <f t="shared" si="115"/>
        <v/>
      </c>
      <c r="R280" s="46" t="str">
        <f t="shared" si="104"/>
        <v/>
      </c>
      <c r="S280" s="38" t="str">
        <f t="shared" si="105"/>
        <v/>
      </c>
      <c r="T280" s="39" t="str">
        <f t="shared" si="106"/>
        <v/>
      </c>
      <c r="U280" s="40" t="str">
        <f t="shared" si="107"/>
        <v/>
      </c>
      <c r="V280" s="39" t="str">
        <f t="shared" si="108"/>
        <v/>
      </c>
      <c r="W280" s="34" t="str">
        <f t="shared" si="109"/>
        <v/>
      </c>
      <c r="X280" s="41" t="str">
        <f t="shared" si="116"/>
        <v/>
      </c>
      <c r="Y280" s="98" t="str">
        <f t="shared" si="110"/>
        <v/>
      </c>
      <c r="Z280" s="16" t="str">
        <f t="shared" si="117"/>
        <v/>
      </c>
      <c r="AB280" s="139"/>
      <c r="AC280" s="146" t="str">
        <f t="shared" si="120"/>
        <v/>
      </c>
      <c r="AD280" s="148" t="str">
        <f t="shared" si="118"/>
        <v/>
      </c>
      <c r="AE280" s="147" t="str">
        <f t="shared" si="111"/>
        <v/>
      </c>
      <c r="AF280" s="111" t="str">
        <f t="shared" si="112"/>
        <v/>
      </c>
      <c r="AG280" s="111" t="str">
        <f t="shared" si="113"/>
        <v/>
      </c>
      <c r="AH280" s="112" t="str">
        <f t="shared" si="114"/>
        <v/>
      </c>
      <c r="AI280" t="str">
        <f t="shared" si="119"/>
        <v/>
      </c>
      <c r="AJ280" t="str">
        <f t="shared" si="121"/>
        <v/>
      </c>
    </row>
    <row r="281" spans="1:36" ht="15" customHeight="1" x14ac:dyDescent="0.25">
      <c r="A281" s="114"/>
      <c r="B281" s="116"/>
      <c r="C281" s="116"/>
      <c r="D281" s="42" t="str">
        <f t="shared" si="98"/>
        <v/>
      </c>
      <c r="E281" s="43"/>
      <c r="F281" s="118"/>
      <c r="G281" s="44" t="str">
        <f t="shared" si="99"/>
        <v/>
      </c>
      <c r="H281" s="118"/>
      <c r="I281" s="34" t="str">
        <f t="shared" si="100"/>
        <v/>
      </c>
      <c r="J281" s="118"/>
      <c r="K281" s="34" t="str">
        <f t="shared" si="101"/>
        <v/>
      </c>
      <c r="L281" s="118"/>
      <c r="M281" s="121"/>
      <c r="N281" s="122" t="str">
        <f t="shared" si="102"/>
        <v/>
      </c>
      <c r="O281" s="35" t="str">
        <f t="shared" si="103"/>
        <v/>
      </c>
      <c r="P281" s="124"/>
      <c r="Q281" s="36" t="str">
        <f t="shared" si="115"/>
        <v/>
      </c>
      <c r="R281" s="46" t="str">
        <f t="shared" si="104"/>
        <v/>
      </c>
      <c r="S281" s="38" t="str">
        <f t="shared" si="105"/>
        <v/>
      </c>
      <c r="T281" s="39" t="str">
        <f t="shared" si="106"/>
        <v/>
      </c>
      <c r="U281" s="40" t="str">
        <f t="shared" si="107"/>
        <v/>
      </c>
      <c r="V281" s="39" t="str">
        <f t="shared" si="108"/>
        <v/>
      </c>
      <c r="W281" s="34" t="str">
        <f t="shared" si="109"/>
        <v/>
      </c>
      <c r="X281" s="41" t="str">
        <f t="shared" si="116"/>
        <v/>
      </c>
      <c r="Y281" s="98" t="str">
        <f t="shared" si="110"/>
        <v/>
      </c>
      <c r="Z281" s="16" t="str">
        <f t="shared" si="117"/>
        <v/>
      </c>
      <c r="AB281" s="139"/>
      <c r="AC281" s="146" t="str">
        <f t="shared" si="120"/>
        <v/>
      </c>
      <c r="AD281" s="148" t="str">
        <f t="shared" si="118"/>
        <v/>
      </c>
      <c r="AE281" s="147" t="str">
        <f t="shared" si="111"/>
        <v/>
      </c>
      <c r="AF281" s="111" t="str">
        <f t="shared" si="112"/>
        <v/>
      </c>
      <c r="AG281" s="111" t="str">
        <f t="shared" si="113"/>
        <v/>
      </c>
      <c r="AH281" s="112" t="str">
        <f t="shared" si="114"/>
        <v/>
      </c>
      <c r="AI281" t="str">
        <f t="shared" si="119"/>
        <v/>
      </c>
      <c r="AJ281" t="str">
        <f t="shared" si="121"/>
        <v/>
      </c>
    </row>
    <row r="282" spans="1:36" ht="15" customHeight="1" x14ac:dyDescent="0.25">
      <c r="A282" s="114"/>
      <c r="B282" s="116"/>
      <c r="C282" s="116"/>
      <c r="D282" s="42" t="str">
        <f t="shared" si="98"/>
        <v/>
      </c>
      <c r="E282" s="43"/>
      <c r="F282" s="118"/>
      <c r="G282" s="44" t="str">
        <f t="shared" si="99"/>
        <v/>
      </c>
      <c r="H282" s="118"/>
      <c r="I282" s="34" t="str">
        <f t="shared" si="100"/>
        <v/>
      </c>
      <c r="J282" s="118"/>
      <c r="K282" s="34" t="str">
        <f t="shared" si="101"/>
        <v/>
      </c>
      <c r="L282" s="118"/>
      <c r="M282" s="121"/>
      <c r="N282" s="122" t="str">
        <f t="shared" si="102"/>
        <v/>
      </c>
      <c r="O282" s="35" t="str">
        <f t="shared" si="103"/>
        <v/>
      </c>
      <c r="P282" s="124"/>
      <c r="Q282" s="36" t="str">
        <f t="shared" si="115"/>
        <v/>
      </c>
      <c r="R282" s="46" t="str">
        <f t="shared" si="104"/>
        <v/>
      </c>
      <c r="S282" s="38" t="str">
        <f t="shared" si="105"/>
        <v/>
      </c>
      <c r="T282" s="39" t="str">
        <f t="shared" si="106"/>
        <v/>
      </c>
      <c r="U282" s="40" t="str">
        <f t="shared" si="107"/>
        <v/>
      </c>
      <c r="V282" s="39" t="str">
        <f t="shared" si="108"/>
        <v/>
      </c>
      <c r="W282" s="34" t="str">
        <f t="shared" si="109"/>
        <v/>
      </c>
      <c r="X282" s="41" t="str">
        <f t="shared" si="116"/>
        <v/>
      </c>
      <c r="Y282" s="98" t="str">
        <f t="shared" si="110"/>
        <v/>
      </c>
      <c r="Z282" s="16" t="str">
        <f t="shared" si="117"/>
        <v/>
      </c>
      <c r="AB282" s="139"/>
      <c r="AC282" s="146" t="str">
        <f t="shared" si="120"/>
        <v/>
      </c>
      <c r="AD282" s="148" t="str">
        <f t="shared" si="118"/>
        <v/>
      </c>
      <c r="AE282" s="147" t="str">
        <f t="shared" si="111"/>
        <v/>
      </c>
      <c r="AF282" s="111" t="str">
        <f t="shared" si="112"/>
        <v/>
      </c>
      <c r="AG282" s="111" t="str">
        <f t="shared" si="113"/>
        <v/>
      </c>
      <c r="AH282" s="112" t="str">
        <f t="shared" si="114"/>
        <v/>
      </c>
      <c r="AI282" t="str">
        <f t="shared" si="119"/>
        <v/>
      </c>
      <c r="AJ282" t="str">
        <f t="shared" si="121"/>
        <v/>
      </c>
    </row>
    <row r="283" spans="1:36" ht="15" customHeight="1" x14ac:dyDescent="0.25">
      <c r="A283" s="114"/>
      <c r="B283" s="116"/>
      <c r="C283" s="116"/>
      <c r="D283" s="42" t="str">
        <f t="shared" si="98"/>
        <v/>
      </c>
      <c r="E283" s="43"/>
      <c r="F283" s="118"/>
      <c r="G283" s="44" t="str">
        <f t="shared" si="99"/>
        <v/>
      </c>
      <c r="H283" s="118"/>
      <c r="I283" s="34" t="str">
        <f t="shared" si="100"/>
        <v/>
      </c>
      <c r="J283" s="118"/>
      <c r="K283" s="34" t="str">
        <f t="shared" si="101"/>
        <v/>
      </c>
      <c r="L283" s="118"/>
      <c r="M283" s="121"/>
      <c r="N283" s="122" t="str">
        <f t="shared" si="102"/>
        <v/>
      </c>
      <c r="O283" s="35" t="str">
        <f t="shared" si="103"/>
        <v/>
      </c>
      <c r="P283" s="124"/>
      <c r="Q283" s="36" t="str">
        <f t="shared" si="115"/>
        <v/>
      </c>
      <c r="R283" s="46" t="str">
        <f t="shared" si="104"/>
        <v/>
      </c>
      <c r="S283" s="38" t="str">
        <f t="shared" si="105"/>
        <v/>
      </c>
      <c r="T283" s="39" t="str">
        <f t="shared" si="106"/>
        <v/>
      </c>
      <c r="U283" s="40" t="str">
        <f t="shared" si="107"/>
        <v/>
      </c>
      <c r="V283" s="39" t="str">
        <f t="shared" si="108"/>
        <v/>
      </c>
      <c r="W283" s="34" t="str">
        <f t="shared" si="109"/>
        <v/>
      </c>
      <c r="X283" s="41" t="str">
        <f t="shared" si="116"/>
        <v/>
      </c>
      <c r="Y283" s="98" t="str">
        <f t="shared" si="110"/>
        <v/>
      </c>
      <c r="Z283" s="16" t="str">
        <f t="shared" si="117"/>
        <v/>
      </c>
      <c r="AB283" s="139"/>
      <c r="AC283" s="146" t="str">
        <f t="shared" si="120"/>
        <v/>
      </c>
      <c r="AD283" s="148" t="str">
        <f t="shared" si="118"/>
        <v/>
      </c>
      <c r="AE283" s="147" t="str">
        <f t="shared" si="111"/>
        <v/>
      </c>
      <c r="AF283" s="111" t="str">
        <f t="shared" si="112"/>
        <v/>
      </c>
      <c r="AG283" s="111" t="str">
        <f t="shared" si="113"/>
        <v/>
      </c>
      <c r="AH283" s="112" t="str">
        <f t="shared" si="114"/>
        <v/>
      </c>
      <c r="AI283" t="str">
        <f t="shared" si="119"/>
        <v/>
      </c>
      <c r="AJ283" t="str">
        <f t="shared" si="121"/>
        <v/>
      </c>
    </row>
    <row r="284" spans="1:36" ht="15" customHeight="1" x14ac:dyDescent="0.25">
      <c r="A284" s="114"/>
      <c r="B284" s="116"/>
      <c r="C284" s="116"/>
      <c r="D284" s="42" t="str">
        <f t="shared" si="98"/>
        <v/>
      </c>
      <c r="E284" s="43"/>
      <c r="F284" s="118"/>
      <c r="G284" s="44" t="str">
        <f t="shared" si="99"/>
        <v/>
      </c>
      <c r="H284" s="118"/>
      <c r="I284" s="34" t="str">
        <f t="shared" si="100"/>
        <v/>
      </c>
      <c r="J284" s="118"/>
      <c r="K284" s="34" t="str">
        <f t="shared" si="101"/>
        <v/>
      </c>
      <c r="L284" s="118"/>
      <c r="M284" s="121"/>
      <c r="N284" s="122" t="str">
        <f t="shared" si="102"/>
        <v/>
      </c>
      <c r="O284" s="35" t="str">
        <f t="shared" si="103"/>
        <v/>
      </c>
      <c r="P284" s="124"/>
      <c r="Q284" s="36" t="str">
        <f t="shared" si="115"/>
        <v/>
      </c>
      <c r="R284" s="46" t="str">
        <f t="shared" si="104"/>
        <v/>
      </c>
      <c r="S284" s="38" t="str">
        <f t="shared" si="105"/>
        <v/>
      </c>
      <c r="T284" s="39" t="str">
        <f t="shared" si="106"/>
        <v/>
      </c>
      <c r="U284" s="40" t="str">
        <f t="shared" si="107"/>
        <v/>
      </c>
      <c r="V284" s="39" t="str">
        <f t="shared" si="108"/>
        <v/>
      </c>
      <c r="W284" s="34" t="str">
        <f t="shared" si="109"/>
        <v/>
      </c>
      <c r="X284" s="41" t="str">
        <f t="shared" si="116"/>
        <v/>
      </c>
      <c r="Y284" s="98" t="str">
        <f t="shared" si="110"/>
        <v/>
      </c>
      <c r="Z284" s="16" t="str">
        <f t="shared" si="117"/>
        <v/>
      </c>
      <c r="AB284" s="139"/>
      <c r="AC284" s="146" t="str">
        <f t="shared" si="120"/>
        <v/>
      </c>
      <c r="AD284" s="148" t="str">
        <f t="shared" si="118"/>
        <v/>
      </c>
      <c r="AE284" s="147" t="str">
        <f t="shared" si="111"/>
        <v/>
      </c>
      <c r="AF284" s="111" t="str">
        <f t="shared" si="112"/>
        <v/>
      </c>
      <c r="AG284" s="111" t="str">
        <f t="shared" si="113"/>
        <v/>
      </c>
      <c r="AH284" s="112" t="str">
        <f t="shared" si="114"/>
        <v/>
      </c>
      <c r="AI284" t="str">
        <f t="shared" si="119"/>
        <v/>
      </c>
      <c r="AJ284" t="str">
        <f t="shared" si="121"/>
        <v/>
      </c>
    </row>
    <row r="285" spans="1:36" ht="15" customHeight="1" x14ac:dyDescent="0.25">
      <c r="A285" s="114"/>
      <c r="B285" s="116"/>
      <c r="C285" s="116"/>
      <c r="D285" s="42" t="str">
        <f t="shared" si="98"/>
        <v/>
      </c>
      <c r="E285" s="43"/>
      <c r="F285" s="118"/>
      <c r="G285" s="44" t="str">
        <f t="shared" si="99"/>
        <v/>
      </c>
      <c r="H285" s="118"/>
      <c r="I285" s="34" t="str">
        <f t="shared" si="100"/>
        <v/>
      </c>
      <c r="J285" s="118"/>
      <c r="K285" s="34" t="str">
        <f t="shared" si="101"/>
        <v/>
      </c>
      <c r="L285" s="118"/>
      <c r="M285" s="121"/>
      <c r="N285" s="122" t="str">
        <f t="shared" si="102"/>
        <v/>
      </c>
      <c r="O285" s="35" t="str">
        <f t="shared" si="103"/>
        <v/>
      </c>
      <c r="P285" s="124"/>
      <c r="Q285" s="36" t="str">
        <f t="shared" si="115"/>
        <v/>
      </c>
      <c r="R285" s="46" t="str">
        <f t="shared" si="104"/>
        <v/>
      </c>
      <c r="S285" s="38" t="str">
        <f t="shared" si="105"/>
        <v/>
      </c>
      <c r="T285" s="39" t="str">
        <f t="shared" si="106"/>
        <v/>
      </c>
      <c r="U285" s="40" t="str">
        <f t="shared" si="107"/>
        <v/>
      </c>
      <c r="V285" s="39" t="str">
        <f t="shared" si="108"/>
        <v/>
      </c>
      <c r="W285" s="34" t="str">
        <f t="shared" si="109"/>
        <v/>
      </c>
      <c r="X285" s="41" t="str">
        <f t="shared" si="116"/>
        <v/>
      </c>
      <c r="Y285" s="98" t="str">
        <f t="shared" si="110"/>
        <v/>
      </c>
      <c r="Z285" s="16" t="str">
        <f t="shared" si="117"/>
        <v/>
      </c>
      <c r="AB285" s="139"/>
      <c r="AC285" s="146" t="str">
        <f t="shared" si="120"/>
        <v/>
      </c>
      <c r="AD285" s="148" t="str">
        <f t="shared" si="118"/>
        <v/>
      </c>
      <c r="AE285" s="147" t="str">
        <f t="shared" si="111"/>
        <v/>
      </c>
      <c r="AF285" s="111" t="str">
        <f t="shared" si="112"/>
        <v/>
      </c>
      <c r="AG285" s="111" t="str">
        <f t="shared" si="113"/>
        <v/>
      </c>
      <c r="AH285" s="112" t="str">
        <f t="shared" si="114"/>
        <v/>
      </c>
      <c r="AI285" t="str">
        <f t="shared" si="119"/>
        <v/>
      </c>
      <c r="AJ285" t="str">
        <f t="shared" si="121"/>
        <v/>
      </c>
    </row>
    <row r="286" spans="1:36" ht="15" customHeight="1" x14ac:dyDescent="0.25">
      <c r="A286" s="114"/>
      <c r="B286" s="116"/>
      <c r="C286" s="116"/>
      <c r="D286" s="42" t="str">
        <f t="shared" si="98"/>
        <v/>
      </c>
      <c r="E286" s="43"/>
      <c r="F286" s="118"/>
      <c r="G286" s="44" t="str">
        <f t="shared" si="99"/>
        <v/>
      </c>
      <c r="H286" s="118"/>
      <c r="I286" s="34" t="str">
        <f t="shared" si="100"/>
        <v/>
      </c>
      <c r="J286" s="118"/>
      <c r="K286" s="34" t="str">
        <f t="shared" si="101"/>
        <v/>
      </c>
      <c r="L286" s="118"/>
      <c r="M286" s="121"/>
      <c r="N286" s="122" t="str">
        <f t="shared" si="102"/>
        <v/>
      </c>
      <c r="O286" s="35" t="str">
        <f t="shared" si="103"/>
        <v/>
      </c>
      <c r="P286" s="124"/>
      <c r="Q286" s="36" t="str">
        <f t="shared" si="115"/>
        <v/>
      </c>
      <c r="R286" s="46" t="str">
        <f t="shared" si="104"/>
        <v/>
      </c>
      <c r="S286" s="38" t="str">
        <f t="shared" si="105"/>
        <v/>
      </c>
      <c r="T286" s="39" t="str">
        <f t="shared" si="106"/>
        <v/>
      </c>
      <c r="U286" s="40" t="str">
        <f t="shared" si="107"/>
        <v/>
      </c>
      <c r="V286" s="39" t="str">
        <f t="shared" si="108"/>
        <v/>
      </c>
      <c r="W286" s="34" t="str">
        <f t="shared" si="109"/>
        <v/>
      </c>
      <c r="X286" s="41" t="str">
        <f t="shared" si="116"/>
        <v/>
      </c>
      <c r="Y286" s="98" t="str">
        <f t="shared" si="110"/>
        <v/>
      </c>
      <c r="Z286" s="16" t="str">
        <f t="shared" si="117"/>
        <v/>
      </c>
      <c r="AB286" s="139"/>
      <c r="AC286" s="146" t="str">
        <f t="shared" si="120"/>
        <v/>
      </c>
      <c r="AD286" s="148" t="str">
        <f t="shared" si="118"/>
        <v/>
      </c>
      <c r="AE286" s="147" t="str">
        <f t="shared" si="111"/>
        <v/>
      </c>
      <c r="AF286" s="111" t="str">
        <f t="shared" si="112"/>
        <v/>
      </c>
      <c r="AG286" s="111" t="str">
        <f t="shared" si="113"/>
        <v/>
      </c>
      <c r="AH286" s="112" t="str">
        <f t="shared" si="114"/>
        <v/>
      </c>
      <c r="AI286" t="str">
        <f t="shared" si="119"/>
        <v/>
      </c>
      <c r="AJ286" t="str">
        <f t="shared" si="121"/>
        <v/>
      </c>
    </row>
    <row r="287" spans="1:36" ht="15" customHeight="1" x14ac:dyDescent="0.25">
      <c r="A287" s="114"/>
      <c r="B287" s="116"/>
      <c r="C287" s="116"/>
      <c r="D287" s="42" t="str">
        <f t="shared" si="98"/>
        <v/>
      </c>
      <c r="E287" s="43"/>
      <c r="F287" s="118"/>
      <c r="G287" s="44" t="str">
        <f t="shared" si="99"/>
        <v/>
      </c>
      <c r="H287" s="118"/>
      <c r="I287" s="34" t="str">
        <f t="shared" si="100"/>
        <v/>
      </c>
      <c r="J287" s="118"/>
      <c r="K287" s="34" t="str">
        <f t="shared" si="101"/>
        <v/>
      </c>
      <c r="L287" s="118"/>
      <c r="M287" s="121"/>
      <c r="N287" s="122" t="str">
        <f t="shared" si="102"/>
        <v/>
      </c>
      <c r="O287" s="35" t="str">
        <f t="shared" si="103"/>
        <v/>
      </c>
      <c r="P287" s="124"/>
      <c r="Q287" s="36" t="str">
        <f t="shared" si="115"/>
        <v/>
      </c>
      <c r="R287" s="46" t="str">
        <f t="shared" si="104"/>
        <v/>
      </c>
      <c r="S287" s="38" t="str">
        <f t="shared" si="105"/>
        <v/>
      </c>
      <c r="T287" s="39" t="str">
        <f t="shared" si="106"/>
        <v/>
      </c>
      <c r="U287" s="40" t="str">
        <f t="shared" si="107"/>
        <v/>
      </c>
      <c r="V287" s="39" t="str">
        <f t="shared" si="108"/>
        <v/>
      </c>
      <c r="W287" s="34" t="str">
        <f t="shared" si="109"/>
        <v/>
      </c>
      <c r="X287" s="41" t="str">
        <f t="shared" si="116"/>
        <v/>
      </c>
      <c r="Y287" s="98" t="str">
        <f t="shared" si="110"/>
        <v/>
      </c>
      <c r="Z287" s="16" t="str">
        <f t="shared" si="117"/>
        <v/>
      </c>
      <c r="AB287" s="139"/>
      <c r="AC287" s="146" t="str">
        <f t="shared" si="120"/>
        <v/>
      </c>
      <c r="AD287" s="148" t="str">
        <f t="shared" si="118"/>
        <v/>
      </c>
      <c r="AE287" s="147" t="str">
        <f t="shared" si="111"/>
        <v/>
      </c>
      <c r="AF287" s="111" t="str">
        <f t="shared" si="112"/>
        <v/>
      </c>
      <c r="AG287" s="111" t="str">
        <f t="shared" si="113"/>
        <v/>
      </c>
      <c r="AH287" s="112" t="str">
        <f t="shared" si="114"/>
        <v/>
      </c>
      <c r="AI287" t="str">
        <f t="shared" si="119"/>
        <v/>
      </c>
      <c r="AJ287" t="str">
        <f t="shared" si="121"/>
        <v/>
      </c>
    </row>
    <row r="288" spans="1:36" ht="15" customHeight="1" x14ac:dyDescent="0.25">
      <c r="A288" s="114"/>
      <c r="B288" s="116"/>
      <c r="C288" s="116"/>
      <c r="D288" s="42" t="str">
        <f t="shared" si="98"/>
        <v/>
      </c>
      <c r="E288" s="43"/>
      <c r="F288" s="118"/>
      <c r="G288" s="44" t="str">
        <f t="shared" si="99"/>
        <v/>
      </c>
      <c r="H288" s="118"/>
      <c r="I288" s="34" t="str">
        <f t="shared" si="100"/>
        <v/>
      </c>
      <c r="J288" s="118"/>
      <c r="K288" s="34" t="str">
        <f t="shared" si="101"/>
        <v/>
      </c>
      <c r="L288" s="118"/>
      <c r="M288" s="121"/>
      <c r="N288" s="122" t="str">
        <f t="shared" si="102"/>
        <v/>
      </c>
      <c r="O288" s="35" t="str">
        <f t="shared" si="103"/>
        <v/>
      </c>
      <c r="P288" s="124"/>
      <c r="Q288" s="36" t="str">
        <f t="shared" si="115"/>
        <v/>
      </c>
      <c r="R288" s="46" t="str">
        <f t="shared" si="104"/>
        <v/>
      </c>
      <c r="S288" s="38" t="str">
        <f t="shared" si="105"/>
        <v/>
      </c>
      <c r="T288" s="39" t="str">
        <f t="shared" si="106"/>
        <v/>
      </c>
      <c r="U288" s="40" t="str">
        <f t="shared" si="107"/>
        <v/>
      </c>
      <c r="V288" s="39" t="str">
        <f t="shared" si="108"/>
        <v/>
      </c>
      <c r="W288" s="34" t="str">
        <f t="shared" si="109"/>
        <v/>
      </c>
      <c r="X288" s="41" t="str">
        <f t="shared" si="116"/>
        <v/>
      </c>
      <c r="Y288" s="98" t="str">
        <f t="shared" si="110"/>
        <v/>
      </c>
      <c r="Z288" s="16" t="str">
        <f t="shared" si="117"/>
        <v/>
      </c>
      <c r="AB288" s="139"/>
      <c r="AC288" s="146" t="str">
        <f t="shared" si="120"/>
        <v/>
      </c>
      <c r="AD288" s="148" t="str">
        <f t="shared" si="118"/>
        <v/>
      </c>
      <c r="AE288" s="147" t="str">
        <f t="shared" si="111"/>
        <v/>
      </c>
      <c r="AF288" s="111" t="str">
        <f t="shared" si="112"/>
        <v/>
      </c>
      <c r="AG288" s="111" t="str">
        <f t="shared" si="113"/>
        <v/>
      </c>
      <c r="AH288" s="112" t="str">
        <f t="shared" si="114"/>
        <v/>
      </c>
      <c r="AI288" t="str">
        <f t="shared" si="119"/>
        <v/>
      </c>
      <c r="AJ288" t="str">
        <f t="shared" si="121"/>
        <v/>
      </c>
    </row>
    <row r="289" spans="1:36" ht="15" customHeight="1" x14ac:dyDescent="0.25">
      <c r="A289" s="114"/>
      <c r="B289" s="116"/>
      <c r="C289" s="116"/>
      <c r="D289" s="42" t="str">
        <f t="shared" si="98"/>
        <v/>
      </c>
      <c r="E289" s="43"/>
      <c r="F289" s="118"/>
      <c r="G289" s="44" t="str">
        <f t="shared" si="99"/>
        <v/>
      </c>
      <c r="H289" s="118"/>
      <c r="I289" s="34" t="str">
        <f t="shared" si="100"/>
        <v/>
      </c>
      <c r="J289" s="118"/>
      <c r="K289" s="34" t="str">
        <f t="shared" si="101"/>
        <v/>
      </c>
      <c r="L289" s="118"/>
      <c r="M289" s="121"/>
      <c r="N289" s="122" t="str">
        <f t="shared" si="102"/>
        <v/>
      </c>
      <c r="O289" s="35" t="str">
        <f t="shared" si="103"/>
        <v/>
      </c>
      <c r="P289" s="124"/>
      <c r="Q289" s="36" t="str">
        <f t="shared" si="115"/>
        <v/>
      </c>
      <c r="R289" s="46" t="str">
        <f t="shared" si="104"/>
        <v/>
      </c>
      <c r="S289" s="38" t="str">
        <f t="shared" si="105"/>
        <v/>
      </c>
      <c r="T289" s="39" t="str">
        <f t="shared" si="106"/>
        <v/>
      </c>
      <c r="U289" s="40" t="str">
        <f t="shared" si="107"/>
        <v/>
      </c>
      <c r="V289" s="39" t="str">
        <f t="shared" si="108"/>
        <v/>
      </c>
      <c r="W289" s="34" t="str">
        <f t="shared" si="109"/>
        <v/>
      </c>
      <c r="X289" s="41" t="str">
        <f t="shared" si="116"/>
        <v/>
      </c>
      <c r="Y289" s="98" t="str">
        <f t="shared" si="110"/>
        <v/>
      </c>
      <c r="Z289" s="16" t="str">
        <f t="shared" si="117"/>
        <v/>
      </c>
      <c r="AB289" s="139"/>
      <c r="AC289" s="146" t="str">
        <f t="shared" si="120"/>
        <v/>
      </c>
      <c r="AD289" s="148" t="str">
        <f t="shared" si="118"/>
        <v/>
      </c>
      <c r="AE289" s="147" t="str">
        <f t="shared" si="111"/>
        <v/>
      </c>
      <c r="AF289" s="111" t="str">
        <f t="shared" si="112"/>
        <v/>
      </c>
      <c r="AG289" s="111" t="str">
        <f t="shared" si="113"/>
        <v/>
      </c>
      <c r="AH289" s="112" t="str">
        <f t="shared" si="114"/>
        <v/>
      </c>
      <c r="AI289" t="str">
        <f t="shared" si="119"/>
        <v/>
      </c>
      <c r="AJ289" t="str">
        <f t="shared" si="121"/>
        <v/>
      </c>
    </row>
    <row r="290" spans="1:36" ht="15" customHeight="1" x14ac:dyDescent="0.25">
      <c r="A290" s="114"/>
      <c r="B290" s="116"/>
      <c r="C290" s="116"/>
      <c r="D290" s="42" t="str">
        <f t="shared" si="98"/>
        <v/>
      </c>
      <c r="E290" s="43"/>
      <c r="F290" s="118"/>
      <c r="G290" s="44" t="str">
        <f t="shared" si="99"/>
        <v/>
      </c>
      <c r="H290" s="118"/>
      <c r="I290" s="34" t="str">
        <f t="shared" si="100"/>
        <v/>
      </c>
      <c r="J290" s="118"/>
      <c r="K290" s="34" t="str">
        <f t="shared" si="101"/>
        <v/>
      </c>
      <c r="L290" s="118"/>
      <c r="M290" s="121"/>
      <c r="N290" s="122" t="str">
        <f t="shared" si="102"/>
        <v/>
      </c>
      <c r="O290" s="35" t="str">
        <f t="shared" si="103"/>
        <v/>
      </c>
      <c r="P290" s="124"/>
      <c r="Q290" s="36" t="str">
        <f t="shared" si="115"/>
        <v/>
      </c>
      <c r="R290" s="46" t="str">
        <f t="shared" si="104"/>
        <v/>
      </c>
      <c r="S290" s="38" t="str">
        <f t="shared" si="105"/>
        <v/>
      </c>
      <c r="T290" s="39" t="str">
        <f t="shared" si="106"/>
        <v/>
      </c>
      <c r="U290" s="40" t="str">
        <f t="shared" si="107"/>
        <v/>
      </c>
      <c r="V290" s="39" t="str">
        <f t="shared" si="108"/>
        <v/>
      </c>
      <c r="W290" s="34" t="str">
        <f t="shared" si="109"/>
        <v/>
      </c>
      <c r="X290" s="41" t="str">
        <f t="shared" si="116"/>
        <v/>
      </c>
      <c r="Y290" s="98" t="str">
        <f t="shared" si="110"/>
        <v/>
      </c>
      <c r="Z290" s="16" t="str">
        <f t="shared" si="117"/>
        <v/>
      </c>
      <c r="AB290" s="139"/>
      <c r="AC290" s="146" t="str">
        <f t="shared" si="120"/>
        <v/>
      </c>
      <c r="AD290" s="148" t="str">
        <f t="shared" si="118"/>
        <v/>
      </c>
      <c r="AE290" s="147" t="str">
        <f t="shared" si="111"/>
        <v/>
      </c>
      <c r="AF290" s="111" t="str">
        <f t="shared" si="112"/>
        <v/>
      </c>
      <c r="AG290" s="111" t="str">
        <f t="shared" si="113"/>
        <v/>
      </c>
      <c r="AH290" s="112" t="str">
        <f t="shared" si="114"/>
        <v/>
      </c>
      <c r="AI290" t="str">
        <f t="shared" si="119"/>
        <v/>
      </c>
      <c r="AJ290" t="str">
        <f t="shared" si="121"/>
        <v/>
      </c>
    </row>
    <row r="291" spans="1:36" ht="15" customHeight="1" x14ac:dyDescent="0.25">
      <c r="A291" s="114"/>
      <c r="B291" s="116"/>
      <c r="C291" s="116"/>
      <c r="D291" s="42" t="str">
        <f t="shared" si="98"/>
        <v/>
      </c>
      <c r="E291" s="43"/>
      <c r="F291" s="118"/>
      <c r="G291" s="44" t="str">
        <f t="shared" si="99"/>
        <v/>
      </c>
      <c r="H291" s="118"/>
      <c r="I291" s="34" t="str">
        <f t="shared" si="100"/>
        <v/>
      </c>
      <c r="J291" s="118"/>
      <c r="K291" s="34" t="str">
        <f t="shared" si="101"/>
        <v/>
      </c>
      <c r="L291" s="118"/>
      <c r="M291" s="121"/>
      <c r="N291" s="122" t="str">
        <f t="shared" si="102"/>
        <v/>
      </c>
      <c r="O291" s="35" t="str">
        <f t="shared" si="103"/>
        <v/>
      </c>
      <c r="P291" s="124"/>
      <c r="Q291" s="36" t="str">
        <f t="shared" si="115"/>
        <v/>
      </c>
      <c r="R291" s="46" t="str">
        <f t="shared" si="104"/>
        <v/>
      </c>
      <c r="S291" s="38" t="str">
        <f t="shared" si="105"/>
        <v/>
      </c>
      <c r="T291" s="39" t="str">
        <f t="shared" si="106"/>
        <v/>
      </c>
      <c r="U291" s="40" t="str">
        <f t="shared" si="107"/>
        <v/>
      </c>
      <c r="V291" s="39" t="str">
        <f t="shared" si="108"/>
        <v/>
      </c>
      <c r="W291" s="34" t="str">
        <f t="shared" si="109"/>
        <v/>
      </c>
      <c r="X291" s="41" t="str">
        <f t="shared" si="116"/>
        <v/>
      </c>
      <c r="Y291" s="98" t="str">
        <f t="shared" si="110"/>
        <v/>
      </c>
      <c r="Z291" s="16" t="str">
        <f t="shared" si="117"/>
        <v/>
      </c>
      <c r="AB291" s="139"/>
      <c r="AC291" s="146" t="str">
        <f t="shared" si="120"/>
        <v/>
      </c>
      <c r="AD291" s="148" t="str">
        <f t="shared" si="118"/>
        <v/>
      </c>
      <c r="AE291" s="147" t="str">
        <f t="shared" si="111"/>
        <v/>
      </c>
      <c r="AF291" s="111" t="str">
        <f t="shared" si="112"/>
        <v/>
      </c>
      <c r="AG291" s="111" t="str">
        <f t="shared" si="113"/>
        <v/>
      </c>
      <c r="AH291" s="112" t="str">
        <f t="shared" si="114"/>
        <v/>
      </c>
      <c r="AI291" t="str">
        <f t="shared" si="119"/>
        <v/>
      </c>
      <c r="AJ291" t="str">
        <f t="shared" si="121"/>
        <v/>
      </c>
    </row>
    <row r="292" spans="1:36" ht="15" customHeight="1" x14ac:dyDescent="0.25">
      <c r="A292" s="114"/>
      <c r="B292" s="116"/>
      <c r="C292" s="116"/>
      <c r="D292" s="42" t="str">
        <f t="shared" si="98"/>
        <v/>
      </c>
      <c r="E292" s="43"/>
      <c r="F292" s="118"/>
      <c r="G292" s="44" t="str">
        <f t="shared" si="99"/>
        <v/>
      </c>
      <c r="H292" s="118"/>
      <c r="I292" s="34" t="str">
        <f t="shared" si="100"/>
        <v/>
      </c>
      <c r="J292" s="118"/>
      <c r="K292" s="34" t="str">
        <f t="shared" si="101"/>
        <v/>
      </c>
      <c r="L292" s="118"/>
      <c r="M292" s="121"/>
      <c r="N292" s="122" t="str">
        <f t="shared" si="102"/>
        <v/>
      </c>
      <c r="O292" s="35" t="str">
        <f t="shared" si="103"/>
        <v/>
      </c>
      <c r="P292" s="124"/>
      <c r="Q292" s="36" t="str">
        <f t="shared" si="115"/>
        <v/>
      </c>
      <c r="R292" s="46" t="str">
        <f t="shared" si="104"/>
        <v/>
      </c>
      <c r="S292" s="38" t="str">
        <f t="shared" si="105"/>
        <v/>
      </c>
      <c r="T292" s="39" t="str">
        <f t="shared" si="106"/>
        <v/>
      </c>
      <c r="U292" s="40" t="str">
        <f t="shared" si="107"/>
        <v/>
      </c>
      <c r="V292" s="39" t="str">
        <f t="shared" si="108"/>
        <v/>
      </c>
      <c r="W292" s="34" t="str">
        <f t="shared" si="109"/>
        <v/>
      </c>
      <c r="X292" s="41" t="str">
        <f t="shared" si="116"/>
        <v/>
      </c>
      <c r="Y292" s="98" t="str">
        <f t="shared" si="110"/>
        <v/>
      </c>
      <c r="Z292" s="16" t="str">
        <f t="shared" si="117"/>
        <v/>
      </c>
      <c r="AB292" s="139"/>
      <c r="AC292" s="146" t="str">
        <f t="shared" si="120"/>
        <v/>
      </c>
      <c r="AD292" s="148" t="str">
        <f t="shared" si="118"/>
        <v/>
      </c>
      <c r="AE292" s="147" t="str">
        <f t="shared" si="111"/>
        <v/>
      </c>
      <c r="AF292" s="111" t="str">
        <f t="shared" si="112"/>
        <v/>
      </c>
      <c r="AG292" s="111" t="str">
        <f t="shared" si="113"/>
        <v/>
      </c>
      <c r="AH292" s="112" t="str">
        <f t="shared" si="114"/>
        <v/>
      </c>
      <c r="AI292" t="str">
        <f t="shared" si="119"/>
        <v/>
      </c>
      <c r="AJ292" t="str">
        <f t="shared" si="121"/>
        <v/>
      </c>
    </row>
    <row r="293" spans="1:36" ht="15" customHeight="1" x14ac:dyDescent="0.25">
      <c r="A293" s="114"/>
      <c r="B293" s="116"/>
      <c r="C293" s="116"/>
      <c r="D293" s="42" t="str">
        <f t="shared" si="98"/>
        <v/>
      </c>
      <c r="E293" s="43"/>
      <c r="F293" s="118"/>
      <c r="G293" s="44" t="str">
        <f t="shared" si="99"/>
        <v/>
      </c>
      <c r="H293" s="118"/>
      <c r="I293" s="34" t="str">
        <f t="shared" si="100"/>
        <v/>
      </c>
      <c r="J293" s="118"/>
      <c r="K293" s="34" t="str">
        <f t="shared" si="101"/>
        <v/>
      </c>
      <c r="L293" s="118"/>
      <c r="M293" s="121"/>
      <c r="N293" s="122" t="str">
        <f t="shared" si="102"/>
        <v/>
      </c>
      <c r="O293" s="35" t="str">
        <f t="shared" si="103"/>
        <v/>
      </c>
      <c r="P293" s="124"/>
      <c r="Q293" s="36" t="str">
        <f t="shared" si="115"/>
        <v/>
      </c>
      <c r="R293" s="46" t="str">
        <f t="shared" si="104"/>
        <v/>
      </c>
      <c r="S293" s="38" t="str">
        <f t="shared" si="105"/>
        <v/>
      </c>
      <c r="T293" s="39" t="str">
        <f t="shared" si="106"/>
        <v/>
      </c>
      <c r="U293" s="40" t="str">
        <f t="shared" si="107"/>
        <v/>
      </c>
      <c r="V293" s="39" t="str">
        <f t="shared" si="108"/>
        <v/>
      </c>
      <c r="W293" s="34" t="str">
        <f t="shared" si="109"/>
        <v/>
      </c>
      <c r="X293" s="41" t="str">
        <f t="shared" si="116"/>
        <v/>
      </c>
      <c r="Y293" s="98" t="str">
        <f t="shared" si="110"/>
        <v/>
      </c>
      <c r="Z293" s="16" t="str">
        <f t="shared" si="117"/>
        <v/>
      </c>
      <c r="AB293" s="139"/>
      <c r="AC293" s="146" t="str">
        <f t="shared" si="120"/>
        <v/>
      </c>
      <c r="AD293" s="148" t="str">
        <f t="shared" si="118"/>
        <v/>
      </c>
      <c r="AE293" s="147" t="str">
        <f t="shared" si="111"/>
        <v/>
      </c>
      <c r="AF293" s="111" t="str">
        <f t="shared" si="112"/>
        <v/>
      </c>
      <c r="AG293" s="111" t="str">
        <f t="shared" si="113"/>
        <v/>
      </c>
      <c r="AH293" s="112" t="str">
        <f t="shared" si="114"/>
        <v/>
      </c>
      <c r="AI293" t="str">
        <f t="shared" si="119"/>
        <v/>
      </c>
      <c r="AJ293" t="str">
        <f t="shared" si="121"/>
        <v/>
      </c>
    </row>
    <row r="294" spans="1:36" ht="15" customHeight="1" x14ac:dyDescent="0.25">
      <c r="A294" s="114"/>
      <c r="B294" s="116"/>
      <c r="C294" s="116"/>
      <c r="D294" s="42" t="str">
        <f t="shared" si="98"/>
        <v/>
      </c>
      <c r="E294" s="43"/>
      <c r="F294" s="118"/>
      <c r="G294" s="44" t="str">
        <f t="shared" si="99"/>
        <v/>
      </c>
      <c r="H294" s="118"/>
      <c r="I294" s="34" t="str">
        <f t="shared" si="100"/>
        <v/>
      </c>
      <c r="J294" s="118"/>
      <c r="K294" s="34" t="str">
        <f t="shared" si="101"/>
        <v/>
      </c>
      <c r="L294" s="118"/>
      <c r="M294" s="121"/>
      <c r="N294" s="122" t="str">
        <f t="shared" si="102"/>
        <v/>
      </c>
      <c r="O294" s="35" t="str">
        <f t="shared" si="103"/>
        <v/>
      </c>
      <c r="P294" s="124"/>
      <c r="Q294" s="36" t="str">
        <f t="shared" si="115"/>
        <v/>
      </c>
      <c r="R294" s="46" t="str">
        <f t="shared" si="104"/>
        <v/>
      </c>
      <c r="S294" s="38" t="str">
        <f t="shared" si="105"/>
        <v/>
      </c>
      <c r="T294" s="39" t="str">
        <f t="shared" si="106"/>
        <v/>
      </c>
      <c r="U294" s="40" t="str">
        <f t="shared" si="107"/>
        <v/>
      </c>
      <c r="V294" s="39" t="str">
        <f t="shared" si="108"/>
        <v/>
      </c>
      <c r="W294" s="34" t="str">
        <f t="shared" si="109"/>
        <v/>
      </c>
      <c r="X294" s="41" t="str">
        <f t="shared" si="116"/>
        <v/>
      </c>
      <c r="Y294" s="98" t="str">
        <f t="shared" si="110"/>
        <v/>
      </c>
      <c r="Z294" s="16" t="str">
        <f t="shared" si="117"/>
        <v/>
      </c>
      <c r="AB294" s="139"/>
      <c r="AC294" s="146" t="str">
        <f t="shared" si="120"/>
        <v/>
      </c>
      <c r="AD294" s="148" t="str">
        <f t="shared" si="118"/>
        <v/>
      </c>
      <c r="AE294" s="147" t="str">
        <f t="shared" si="111"/>
        <v/>
      </c>
      <c r="AF294" s="111" t="str">
        <f t="shared" si="112"/>
        <v/>
      </c>
      <c r="AG294" s="111" t="str">
        <f t="shared" si="113"/>
        <v/>
      </c>
      <c r="AH294" s="112" t="str">
        <f t="shared" si="114"/>
        <v/>
      </c>
      <c r="AI294" t="str">
        <f t="shared" si="119"/>
        <v/>
      </c>
      <c r="AJ294" t="str">
        <f t="shared" si="121"/>
        <v/>
      </c>
    </row>
    <row r="295" spans="1:36" ht="15" customHeight="1" x14ac:dyDescent="0.25">
      <c r="A295" s="114"/>
      <c r="B295" s="116"/>
      <c r="C295" s="116"/>
      <c r="D295" s="42" t="str">
        <f t="shared" si="98"/>
        <v/>
      </c>
      <c r="E295" s="43"/>
      <c r="F295" s="118"/>
      <c r="G295" s="44" t="str">
        <f t="shared" si="99"/>
        <v/>
      </c>
      <c r="H295" s="118"/>
      <c r="I295" s="34" t="str">
        <f t="shared" si="100"/>
        <v/>
      </c>
      <c r="J295" s="118"/>
      <c r="K295" s="34" t="str">
        <f t="shared" si="101"/>
        <v/>
      </c>
      <c r="L295" s="118"/>
      <c r="M295" s="121"/>
      <c r="N295" s="122" t="str">
        <f t="shared" si="102"/>
        <v/>
      </c>
      <c r="O295" s="35" t="str">
        <f t="shared" si="103"/>
        <v/>
      </c>
      <c r="P295" s="124"/>
      <c r="Q295" s="36" t="str">
        <f t="shared" si="115"/>
        <v/>
      </c>
      <c r="R295" s="46" t="str">
        <f t="shared" si="104"/>
        <v/>
      </c>
      <c r="S295" s="38" t="str">
        <f t="shared" si="105"/>
        <v/>
      </c>
      <c r="T295" s="39" t="str">
        <f t="shared" si="106"/>
        <v/>
      </c>
      <c r="U295" s="40" t="str">
        <f t="shared" si="107"/>
        <v/>
      </c>
      <c r="V295" s="39" t="str">
        <f t="shared" si="108"/>
        <v/>
      </c>
      <c r="W295" s="34" t="str">
        <f t="shared" si="109"/>
        <v/>
      </c>
      <c r="X295" s="41" t="str">
        <f t="shared" si="116"/>
        <v/>
      </c>
      <c r="Y295" s="98" t="str">
        <f t="shared" si="110"/>
        <v/>
      </c>
      <c r="Z295" s="16" t="str">
        <f t="shared" si="117"/>
        <v/>
      </c>
      <c r="AB295" s="139"/>
      <c r="AC295" s="146" t="str">
        <f t="shared" si="120"/>
        <v/>
      </c>
      <c r="AD295" s="148" t="str">
        <f t="shared" si="118"/>
        <v/>
      </c>
      <c r="AE295" s="147" t="str">
        <f t="shared" si="111"/>
        <v/>
      </c>
      <c r="AF295" s="111" t="str">
        <f t="shared" si="112"/>
        <v/>
      </c>
      <c r="AG295" s="111" t="str">
        <f t="shared" si="113"/>
        <v/>
      </c>
      <c r="AH295" s="112" t="str">
        <f t="shared" si="114"/>
        <v/>
      </c>
      <c r="AI295" t="str">
        <f t="shared" si="119"/>
        <v/>
      </c>
      <c r="AJ295" t="str">
        <f t="shared" si="121"/>
        <v/>
      </c>
    </row>
    <row r="296" spans="1:36" ht="15" customHeight="1" x14ac:dyDescent="0.25">
      <c r="A296" s="114"/>
      <c r="B296" s="116"/>
      <c r="C296" s="116"/>
      <c r="D296" s="42" t="str">
        <f t="shared" si="98"/>
        <v/>
      </c>
      <c r="E296" s="43"/>
      <c r="F296" s="118"/>
      <c r="G296" s="44" t="str">
        <f t="shared" si="99"/>
        <v/>
      </c>
      <c r="H296" s="118"/>
      <c r="I296" s="34" t="str">
        <f t="shared" si="100"/>
        <v/>
      </c>
      <c r="J296" s="118"/>
      <c r="K296" s="34" t="str">
        <f t="shared" si="101"/>
        <v/>
      </c>
      <c r="L296" s="118"/>
      <c r="M296" s="121"/>
      <c r="N296" s="122" t="str">
        <f t="shared" si="102"/>
        <v/>
      </c>
      <c r="O296" s="35" t="str">
        <f t="shared" si="103"/>
        <v/>
      </c>
      <c r="P296" s="124"/>
      <c r="Q296" s="36" t="str">
        <f t="shared" si="115"/>
        <v/>
      </c>
      <c r="R296" s="46" t="str">
        <f t="shared" si="104"/>
        <v/>
      </c>
      <c r="S296" s="38" t="str">
        <f t="shared" si="105"/>
        <v/>
      </c>
      <c r="T296" s="39" t="str">
        <f t="shared" si="106"/>
        <v/>
      </c>
      <c r="U296" s="40" t="str">
        <f t="shared" si="107"/>
        <v/>
      </c>
      <c r="V296" s="39" t="str">
        <f t="shared" si="108"/>
        <v/>
      </c>
      <c r="W296" s="34" t="str">
        <f t="shared" si="109"/>
        <v/>
      </c>
      <c r="X296" s="41" t="str">
        <f t="shared" si="116"/>
        <v/>
      </c>
      <c r="Y296" s="98" t="str">
        <f t="shared" si="110"/>
        <v/>
      </c>
      <c r="Z296" s="16" t="str">
        <f t="shared" si="117"/>
        <v/>
      </c>
      <c r="AB296" s="139"/>
      <c r="AC296" s="146" t="str">
        <f t="shared" si="120"/>
        <v/>
      </c>
      <c r="AD296" s="148" t="str">
        <f t="shared" si="118"/>
        <v/>
      </c>
      <c r="AE296" s="147" t="str">
        <f t="shared" si="111"/>
        <v/>
      </c>
      <c r="AF296" s="111" t="str">
        <f t="shared" si="112"/>
        <v/>
      </c>
      <c r="AG296" s="111" t="str">
        <f t="shared" si="113"/>
        <v/>
      </c>
      <c r="AH296" s="112" t="str">
        <f t="shared" si="114"/>
        <v/>
      </c>
      <c r="AI296" t="str">
        <f t="shared" si="119"/>
        <v/>
      </c>
      <c r="AJ296" t="str">
        <f t="shared" si="121"/>
        <v/>
      </c>
    </row>
    <row r="297" spans="1:36" ht="15" customHeight="1" x14ac:dyDescent="0.25">
      <c r="A297" s="114"/>
      <c r="B297" s="116"/>
      <c r="C297" s="116"/>
      <c r="D297" s="42" t="str">
        <f t="shared" si="98"/>
        <v/>
      </c>
      <c r="E297" s="43"/>
      <c r="F297" s="118"/>
      <c r="G297" s="44" t="str">
        <f t="shared" si="99"/>
        <v/>
      </c>
      <c r="H297" s="118"/>
      <c r="I297" s="34" t="str">
        <f t="shared" si="100"/>
        <v/>
      </c>
      <c r="J297" s="118"/>
      <c r="K297" s="34" t="str">
        <f t="shared" si="101"/>
        <v/>
      </c>
      <c r="L297" s="118"/>
      <c r="M297" s="121"/>
      <c r="N297" s="122" t="str">
        <f t="shared" si="102"/>
        <v/>
      </c>
      <c r="O297" s="35" t="str">
        <f t="shared" si="103"/>
        <v/>
      </c>
      <c r="P297" s="124"/>
      <c r="Q297" s="36" t="str">
        <f t="shared" si="115"/>
        <v/>
      </c>
      <c r="R297" s="46" t="str">
        <f t="shared" si="104"/>
        <v/>
      </c>
      <c r="S297" s="38" t="str">
        <f t="shared" si="105"/>
        <v/>
      </c>
      <c r="T297" s="39" t="str">
        <f t="shared" si="106"/>
        <v/>
      </c>
      <c r="U297" s="40" t="str">
        <f t="shared" si="107"/>
        <v/>
      </c>
      <c r="V297" s="39" t="str">
        <f t="shared" si="108"/>
        <v/>
      </c>
      <c r="W297" s="34" t="str">
        <f t="shared" si="109"/>
        <v/>
      </c>
      <c r="X297" s="41" t="str">
        <f t="shared" si="116"/>
        <v/>
      </c>
      <c r="Y297" s="98" t="str">
        <f t="shared" si="110"/>
        <v/>
      </c>
      <c r="Z297" s="16" t="str">
        <f t="shared" si="117"/>
        <v/>
      </c>
      <c r="AB297" s="139"/>
      <c r="AC297" s="146" t="str">
        <f t="shared" si="120"/>
        <v/>
      </c>
      <c r="AD297" s="148" t="str">
        <f t="shared" si="118"/>
        <v/>
      </c>
      <c r="AE297" s="147" t="str">
        <f t="shared" si="111"/>
        <v/>
      </c>
      <c r="AF297" s="111" t="str">
        <f t="shared" si="112"/>
        <v/>
      </c>
      <c r="AG297" s="111" t="str">
        <f t="shared" si="113"/>
        <v/>
      </c>
      <c r="AH297" s="112" t="str">
        <f t="shared" si="114"/>
        <v/>
      </c>
      <c r="AI297" t="str">
        <f t="shared" si="119"/>
        <v/>
      </c>
      <c r="AJ297" t="str">
        <f t="shared" si="121"/>
        <v/>
      </c>
    </row>
    <row r="298" spans="1:36" ht="15" customHeight="1" x14ac:dyDescent="0.25">
      <c r="A298" s="114"/>
      <c r="B298" s="116"/>
      <c r="C298" s="116"/>
      <c r="D298" s="42" t="str">
        <f t="shared" si="98"/>
        <v/>
      </c>
      <c r="E298" s="43"/>
      <c r="F298" s="118"/>
      <c r="G298" s="44" t="str">
        <f t="shared" si="99"/>
        <v/>
      </c>
      <c r="H298" s="118"/>
      <c r="I298" s="34" t="str">
        <f t="shared" si="100"/>
        <v/>
      </c>
      <c r="J298" s="118"/>
      <c r="K298" s="34" t="str">
        <f t="shared" si="101"/>
        <v/>
      </c>
      <c r="L298" s="118"/>
      <c r="M298" s="121"/>
      <c r="N298" s="122" t="str">
        <f t="shared" si="102"/>
        <v/>
      </c>
      <c r="O298" s="35" t="str">
        <f t="shared" si="103"/>
        <v/>
      </c>
      <c r="P298" s="124"/>
      <c r="Q298" s="36" t="str">
        <f t="shared" si="115"/>
        <v/>
      </c>
      <c r="R298" s="46" t="str">
        <f t="shared" si="104"/>
        <v/>
      </c>
      <c r="S298" s="38" t="str">
        <f t="shared" si="105"/>
        <v/>
      </c>
      <c r="T298" s="39" t="str">
        <f t="shared" si="106"/>
        <v/>
      </c>
      <c r="U298" s="40" t="str">
        <f t="shared" si="107"/>
        <v/>
      </c>
      <c r="V298" s="39" t="str">
        <f t="shared" si="108"/>
        <v/>
      </c>
      <c r="W298" s="34" t="str">
        <f t="shared" si="109"/>
        <v/>
      </c>
      <c r="X298" s="41" t="str">
        <f t="shared" si="116"/>
        <v/>
      </c>
      <c r="Y298" s="98" t="str">
        <f t="shared" si="110"/>
        <v/>
      </c>
      <c r="Z298" s="16" t="str">
        <f t="shared" si="117"/>
        <v/>
      </c>
      <c r="AB298" s="139"/>
      <c r="AC298" s="146" t="str">
        <f t="shared" si="120"/>
        <v/>
      </c>
      <c r="AD298" s="148" t="str">
        <f t="shared" si="118"/>
        <v/>
      </c>
      <c r="AE298" s="147" t="str">
        <f t="shared" si="111"/>
        <v/>
      </c>
      <c r="AF298" s="111" t="str">
        <f t="shared" si="112"/>
        <v/>
      </c>
      <c r="AG298" s="111" t="str">
        <f t="shared" si="113"/>
        <v/>
      </c>
      <c r="AH298" s="112" t="str">
        <f t="shared" si="114"/>
        <v/>
      </c>
      <c r="AI298" t="str">
        <f t="shared" si="119"/>
        <v/>
      </c>
      <c r="AJ298" t="str">
        <f t="shared" si="121"/>
        <v/>
      </c>
    </row>
    <row r="299" spans="1:36" ht="15" customHeight="1" x14ac:dyDescent="0.25">
      <c r="A299" s="114"/>
      <c r="B299" s="116"/>
      <c r="C299" s="116"/>
      <c r="D299" s="42" t="str">
        <f t="shared" si="98"/>
        <v/>
      </c>
      <c r="E299" s="43"/>
      <c r="F299" s="118"/>
      <c r="G299" s="44" t="str">
        <f t="shared" si="99"/>
        <v/>
      </c>
      <c r="H299" s="118"/>
      <c r="I299" s="34" t="str">
        <f t="shared" si="100"/>
        <v/>
      </c>
      <c r="J299" s="118"/>
      <c r="K299" s="34" t="str">
        <f t="shared" si="101"/>
        <v/>
      </c>
      <c r="L299" s="118"/>
      <c r="M299" s="121"/>
      <c r="N299" s="122" t="str">
        <f t="shared" si="102"/>
        <v/>
      </c>
      <c r="O299" s="35" t="str">
        <f t="shared" si="103"/>
        <v/>
      </c>
      <c r="P299" s="124"/>
      <c r="Q299" s="36" t="str">
        <f t="shared" si="115"/>
        <v/>
      </c>
      <c r="R299" s="46" t="str">
        <f t="shared" si="104"/>
        <v/>
      </c>
      <c r="S299" s="38" t="str">
        <f t="shared" si="105"/>
        <v/>
      </c>
      <c r="T299" s="39" t="str">
        <f t="shared" si="106"/>
        <v/>
      </c>
      <c r="U299" s="40" t="str">
        <f t="shared" si="107"/>
        <v/>
      </c>
      <c r="V299" s="39" t="str">
        <f t="shared" si="108"/>
        <v/>
      </c>
      <c r="W299" s="34" t="str">
        <f t="shared" si="109"/>
        <v/>
      </c>
      <c r="X299" s="41" t="str">
        <f t="shared" si="116"/>
        <v/>
      </c>
      <c r="Y299" s="98" t="str">
        <f t="shared" si="110"/>
        <v/>
      </c>
      <c r="Z299" s="16" t="str">
        <f t="shared" si="117"/>
        <v/>
      </c>
      <c r="AB299" s="139"/>
      <c r="AC299" s="146" t="str">
        <f t="shared" si="120"/>
        <v/>
      </c>
      <c r="AD299" s="148" t="str">
        <f t="shared" si="118"/>
        <v/>
      </c>
      <c r="AE299" s="147" t="str">
        <f t="shared" si="111"/>
        <v/>
      </c>
      <c r="AF299" s="111" t="str">
        <f t="shared" si="112"/>
        <v/>
      </c>
      <c r="AG299" s="111" t="str">
        <f t="shared" si="113"/>
        <v/>
      </c>
      <c r="AH299" s="112" t="str">
        <f t="shared" si="114"/>
        <v/>
      </c>
      <c r="AI299" t="str">
        <f t="shared" si="119"/>
        <v/>
      </c>
      <c r="AJ299" t="str">
        <f t="shared" si="121"/>
        <v/>
      </c>
    </row>
    <row r="300" spans="1:36" ht="15" customHeight="1" x14ac:dyDescent="0.25">
      <c r="A300" s="114"/>
      <c r="B300" s="116"/>
      <c r="C300" s="116"/>
      <c r="D300" s="42" t="str">
        <f t="shared" si="98"/>
        <v/>
      </c>
      <c r="E300" s="43"/>
      <c r="F300" s="118"/>
      <c r="G300" s="44" t="str">
        <f t="shared" si="99"/>
        <v/>
      </c>
      <c r="H300" s="118"/>
      <c r="I300" s="34" t="str">
        <f t="shared" si="100"/>
        <v/>
      </c>
      <c r="J300" s="118"/>
      <c r="K300" s="34" t="str">
        <f t="shared" si="101"/>
        <v/>
      </c>
      <c r="L300" s="118"/>
      <c r="M300" s="121"/>
      <c r="N300" s="122" t="str">
        <f t="shared" si="102"/>
        <v/>
      </c>
      <c r="O300" s="35" t="str">
        <f t="shared" si="103"/>
        <v/>
      </c>
      <c r="P300" s="124"/>
      <c r="Q300" s="36" t="str">
        <f t="shared" si="115"/>
        <v/>
      </c>
      <c r="R300" s="46" t="str">
        <f t="shared" si="104"/>
        <v/>
      </c>
      <c r="S300" s="38" t="str">
        <f t="shared" si="105"/>
        <v/>
      </c>
      <c r="T300" s="39" t="str">
        <f t="shared" si="106"/>
        <v/>
      </c>
      <c r="U300" s="40" t="str">
        <f t="shared" si="107"/>
        <v/>
      </c>
      <c r="V300" s="39" t="str">
        <f t="shared" si="108"/>
        <v/>
      </c>
      <c r="W300" s="34" t="str">
        <f t="shared" si="109"/>
        <v/>
      </c>
      <c r="X300" s="41" t="str">
        <f t="shared" si="116"/>
        <v/>
      </c>
      <c r="Y300" s="98" t="str">
        <f t="shared" si="110"/>
        <v/>
      </c>
      <c r="Z300" s="16" t="str">
        <f t="shared" si="117"/>
        <v/>
      </c>
      <c r="AB300" s="139"/>
      <c r="AC300" s="146" t="str">
        <f t="shared" si="120"/>
        <v/>
      </c>
      <c r="AD300" s="148" t="str">
        <f t="shared" si="118"/>
        <v/>
      </c>
      <c r="AE300" s="147" t="str">
        <f t="shared" si="111"/>
        <v/>
      </c>
      <c r="AF300" s="111" t="str">
        <f t="shared" si="112"/>
        <v/>
      </c>
      <c r="AG300" s="111" t="str">
        <f t="shared" si="113"/>
        <v/>
      </c>
      <c r="AH300" s="112" t="str">
        <f t="shared" si="114"/>
        <v/>
      </c>
      <c r="AI300" t="str">
        <f t="shared" si="119"/>
        <v/>
      </c>
      <c r="AJ300" t="str">
        <f t="shared" si="121"/>
        <v/>
      </c>
    </row>
    <row r="301" spans="1:36" ht="15" customHeight="1" x14ac:dyDescent="0.25">
      <c r="A301" s="114"/>
      <c r="B301" s="116"/>
      <c r="C301" s="116"/>
      <c r="D301" s="42" t="str">
        <f t="shared" si="98"/>
        <v/>
      </c>
      <c r="E301" s="43"/>
      <c r="F301" s="118"/>
      <c r="G301" s="44" t="str">
        <f t="shared" si="99"/>
        <v/>
      </c>
      <c r="H301" s="118"/>
      <c r="I301" s="34" t="str">
        <f t="shared" si="100"/>
        <v/>
      </c>
      <c r="J301" s="118"/>
      <c r="K301" s="34" t="str">
        <f t="shared" si="101"/>
        <v/>
      </c>
      <c r="L301" s="118"/>
      <c r="M301" s="121"/>
      <c r="N301" s="122" t="str">
        <f t="shared" si="102"/>
        <v/>
      </c>
      <c r="O301" s="35" t="str">
        <f t="shared" si="103"/>
        <v/>
      </c>
      <c r="P301" s="124"/>
      <c r="Q301" s="36" t="str">
        <f t="shared" si="115"/>
        <v/>
      </c>
      <c r="R301" s="46" t="str">
        <f t="shared" si="104"/>
        <v/>
      </c>
      <c r="S301" s="38" t="str">
        <f t="shared" si="105"/>
        <v/>
      </c>
      <c r="T301" s="39" t="str">
        <f t="shared" si="106"/>
        <v/>
      </c>
      <c r="U301" s="40" t="str">
        <f t="shared" si="107"/>
        <v/>
      </c>
      <c r="V301" s="39" t="str">
        <f t="shared" si="108"/>
        <v/>
      </c>
      <c r="W301" s="34" t="str">
        <f t="shared" si="109"/>
        <v/>
      </c>
      <c r="X301" s="41" t="str">
        <f t="shared" si="116"/>
        <v/>
      </c>
      <c r="Y301" s="98" t="str">
        <f t="shared" si="110"/>
        <v/>
      </c>
      <c r="Z301" s="16" t="str">
        <f t="shared" si="117"/>
        <v/>
      </c>
      <c r="AB301" s="139"/>
      <c r="AC301" s="146" t="str">
        <f t="shared" si="120"/>
        <v/>
      </c>
      <c r="AD301" s="148" t="str">
        <f t="shared" si="118"/>
        <v/>
      </c>
      <c r="AE301" s="147" t="str">
        <f t="shared" si="111"/>
        <v/>
      </c>
      <c r="AF301" s="111" t="str">
        <f t="shared" si="112"/>
        <v/>
      </c>
      <c r="AG301" s="111" t="str">
        <f t="shared" si="113"/>
        <v/>
      </c>
      <c r="AH301" s="112" t="str">
        <f t="shared" si="114"/>
        <v/>
      </c>
      <c r="AI301" t="str">
        <f t="shared" si="119"/>
        <v/>
      </c>
      <c r="AJ301" t="str">
        <f t="shared" si="121"/>
        <v/>
      </c>
    </row>
    <row r="302" spans="1:36" ht="15" customHeight="1" x14ac:dyDescent="0.25">
      <c r="A302" s="114"/>
      <c r="B302" s="116"/>
      <c r="C302" s="116"/>
      <c r="D302" s="42" t="str">
        <f t="shared" si="98"/>
        <v/>
      </c>
      <c r="E302" s="43"/>
      <c r="F302" s="118"/>
      <c r="G302" s="44" t="str">
        <f t="shared" si="99"/>
        <v/>
      </c>
      <c r="H302" s="118"/>
      <c r="I302" s="34" t="str">
        <f t="shared" si="100"/>
        <v/>
      </c>
      <c r="J302" s="118"/>
      <c r="K302" s="34" t="str">
        <f t="shared" si="101"/>
        <v/>
      </c>
      <c r="L302" s="118"/>
      <c r="M302" s="121"/>
      <c r="N302" s="122" t="str">
        <f t="shared" si="102"/>
        <v/>
      </c>
      <c r="O302" s="35" t="str">
        <f t="shared" si="103"/>
        <v/>
      </c>
      <c r="P302" s="124"/>
      <c r="Q302" s="36" t="str">
        <f t="shared" si="115"/>
        <v/>
      </c>
      <c r="R302" s="46" t="str">
        <f t="shared" si="104"/>
        <v/>
      </c>
      <c r="S302" s="38" t="str">
        <f t="shared" si="105"/>
        <v/>
      </c>
      <c r="T302" s="39" t="str">
        <f t="shared" si="106"/>
        <v/>
      </c>
      <c r="U302" s="40" t="str">
        <f t="shared" si="107"/>
        <v/>
      </c>
      <c r="V302" s="39" t="str">
        <f t="shared" si="108"/>
        <v/>
      </c>
      <c r="W302" s="34" t="str">
        <f t="shared" si="109"/>
        <v/>
      </c>
      <c r="X302" s="41" t="str">
        <f t="shared" si="116"/>
        <v/>
      </c>
      <c r="Y302" s="98" t="str">
        <f t="shared" si="110"/>
        <v/>
      </c>
      <c r="Z302" s="16" t="str">
        <f t="shared" si="117"/>
        <v/>
      </c>
      <c r="AB302" s="139"/>
      <c r="AC302" s="146" t="str">
        <f t="shared" si="120"/>
        <v/>
      </c>
      <c r="AD302" s="148" t="str">
        <f t="shared" si="118"/>
        <v/>
      </c>
      <c r="AE302" s="147" t="str">
        <f t="shared" si="111"/>
        <v/>
      </c>
      <c r="AF302" s="111" t="str">
        <f t="shared" si="112"/>
        <v/>
      </c>
      <c r="AG302" s="111" t="str">
        <f t="shared" si="113"/>
        <v/>
      </c>
      <c r="AH302" s="112" t="str">
        <f t="shared" si="114"/>
        <v/>
      </c>
      <c r="AI302" t="str">
        <f t="shared" si="119"/>
        <v/>
      </c>
      <c r="AJ302" t="str">
        <f t="shared" si="121"/>
        <v/>
      </c>
    </row>
    <row r="303" spans="1:36" ht="15" customHeight="1" x14ac:dyDescent="0.25">
      <c r="A303" s="114"/>
      <c r="B303" s="116"/>
      <c r="C303" s="116"/>
      <c r="D303" s="42" t="str">
        <f t="shared" si="98"/>
        <v/>
      </c>
      <c r="E303" s="43"/>
      <c r="F303" s="118"/>
      <c r="G303" s="44" t="str">
        <f t="shared" si="99"/>
        <v/>
      </c>
      <c r="H303" s="118"/>
      <c r="I303" s="34" t="str">
        <f t="shared" si="100"/>
        <v/>
      </c>
      <c r="J303" s="118"/>
      <c r="K303" s="34" t="str">
        <f t="shared" si="101"/>
        <v/>
      </c>
      <c r="L303" s="118"/>
      <c r="M303" s="121"/>
      <c r="N303" s="122" t="str">
        <f t="shared" si="102"/>
        <v/>
      </c>
      <c r="O303" s="35" t="str">
        <f t="shared" si="103"/>
        <v/>
      </c>
      <c r="P303" s="124"/>
      <c r="Q303" s="36" t="str">
        <f t="shared" si="115"/>
        <v/>
      </c>
      <c r="R303" s="46" t="str">
        <f t="shared" si="104"/>
        <v/>
      </c>
      <c r="S303" s="38" t="str">
        <f t="shared" si="105"/>
        <v/>
      </c>
      <c r="T303" s="39" t="str">
        <f t="shared" si="106"/>
        <v/>
      </c>
      <c r="U303" s="40" t="str">
        <f t="shared" si="107"/>
        <v/>
      </c>
      <c r="V303" s="39" t="str">
        <f t="shared" si="108"/>
        <v/>
      </c>
      <c r="W303" s="34" t="str">
        <f t="shared" si="109"/>
        <v/>
      </c>
      <c r="X303" s="41" t="str">
        <f t="shared" si="116"/>
        <v/>
      </c>
      <c r="Y303" s="98" t="str">
        <f t="shared" si="110"/>
        <v/>
      </c>
      <c r="Z303" s="16" t="str">
        <f t="shared" si="117"/>
        <v/>
      </c>
      <c r="AB303" s="139"/>
      <c r="AC303" s="146" t="str">
        <f t="shared" si="120"/>
        <v/>
      </c>
      <c r="AD303" s="148" t="str">
        <f t="shared" si="118"/>
        <v/>
      </c>
      <c r="AE303" s="147" t="str">
        <f t="shared" si="111"/>
        <v/>
      </c>
      <c r="AF303" s="111" t="str">
        <f t="shared" si="112"/>
        <v/>
      </c>
      <c r="AG303" s="111" t="str">
        <f t="shared" si="113"/>
        <v/>
      </c>
      <c r="AH303" s="112" t="str">
        <f t="shared" si="114"/>
        <v/>
      </c>
      <c r="AI303" t="str">
        <f t="shared" si="119"/>
        <v/>
      </c>
      <c r="AJ303" t="str">
        <f t="shared" si="121"/>
        <v/>
      </c>
    </row>
    <row r="304" spans="1:36" ht="15" customHeight="1" x14ac:dyDescent="0.25">
      <c r="A304" s="114"/>
      <c r="B304" s="116"/>
      <c r="C304" s="116"/>
      <c r="D304" s="42" t="str">
        <f t="shared" si="98"/>
        <v/>
      </c>
      <c r="E304" s="43"/>
      <c r="F304" s="118"/>
      <c r="G304" s="44" t="str">
        <f t="shared" si="99"/>
        <v/>
      </c>
      <c r="H304" s="118"/>
      <c r="I304" s="34" t="str">
        <f t="shared" si="100"/>
        <v/>
      </c>
      <c r="J304" s="118"/>
      <c r="K304" s="34" t="str">
        <f t="shared" si="101"/>
        <v/>
      </c>
      <c r="L304" s="118"/>
      <c r="M304" s="121"/>
      <c r="N304" s="122" t="str">
        <f t="shared" si="102"/>
        <v/>
      </c>
      <c r="O304" s="35" t="str">
        <f t="shared" si="103"/>
        <v/>
      </c>
      <c r="P304" s="124"/>
      <c r="Q304" s="36" t="str">
        <f t="shared" si="115"/>
        <v/>
      </c>
      <c r="R304" s="46" t="str">
        <f t="shared" si="104"/>
        <v/>
      </c>
      <c r="S304" s="38" t="str">
        <f t="shared" si="105"/>
        <v/>
      </c>
      <c r="T304" s="39" t="str">
        <f t="shared" si="106"/>
        <v/>
      </c>
      <c r="U304" s="40" t="str">
        <f t="shared" si="107"/>
        <v/>
      </c>
      <c r="V304" s="39" t="str">
        <f t="shared" si="108"/>
        <v/>
      </c>
      <c r="W304" s="34" t="str">
        <f t="shared" si="109"/>
        <v/>
      </c>
      <c r="X304" s="41" t="str">
        <f t="shared" si="116"/>
        <v/>
      </c>
      <c r="Y304" s="98" t="str">
        <f t="shared" si="110"/>
        <v/>
      </c>
      <c r="Z304" s="16" t="str">
        <f t="shared" si="117"/>
        <v/>
      </c>
      <c r="AB304" s="139"/>
      <c r="AC304" s="146" t="str">
        <f t="shared" si="120"/>
        <v/>
      </c>
      <c r="AD304" s="148" t="str">
        <f t="shared" si="118"/>
        <v/>
      </c>
      <c r="AE304" s="147" t="str">
        <f t="shared" si="111"/>
        <v/>
      </c>
      <c r="AF304" s="111" t="str">
        <f t="shared" si="112"/>
        <v/>
      </c>
      <c r="AG304" s="111" t="str">
        <f t="shared" si="113"/>
        <v/>
      </c>
      <c r="AH304" s="112" t="str">
        <f t="shared" si="114"/>
        <v/>
      </c>
      <c r="AI304" t="str">
        <f t="shared" si="119"/>
        <v/>
      </c>
      <c r="AJ304" t="str">
        <f t="shared" si="121"/>
        <v/>
      </c>
    </row>
    <row r="305" spans="1:36" ht="15" customHeight="1" x14ac:dyDescent="0.25">
      <c r="A305" s="114"/>
      <c r="B305" s="116"/>
      <c r="C305" s="116"/>
      <c r="D305" s="42" t="str">
        <f t="shared" si="98"/>
        <v/>
      </c>
      <c r="E305" s="43"/>
      <c r="F305" s="118"/>
      <c r="G305" s="44" t="str">
        <f t="shared" si="99"/>
        <v/>
      </c>
      <c r="H305" s="118"/>
      <c r="I305" s="34" t="str">
        <f t="shared" si="100"/>
        <v/>
      </c>
      <c r="J305" s="118"/>
      <c r="K305" s="34" t="str">
        <f t="shared" si="101"/>
        <v/>
      </c>
      <c r="L305" s="118"/>
      <c r="M305" s="121"/>
      <c r="N305" s="122" t="str">
        <f t="shared" si="102"/>
        <v/>
      </c>
      <c r="O305" s="35" t="str">
        <f t="shared" si="103"/>
        <v/>
      </c>
      <c r="P305" s="124"/>
      <c r="Q305" s="36" t="str">
        <f t="shared" si="115"/>
        <v/>
      </c>
      <c r="R305" s="46" t="str">
        <f t="shared" si="104"/>
        <v/>
      </c>
      <c r="S305" s="38" t="str">
        <f t="shared" si="105"/>
        <v/>
      </c>
      <c r="T305" s="39" t="str">
        <f t="shared" si="106"/>
        <v/>
      </c>
      <c r="U305" s="40" t="str">
        <f t="shared" si="107"/>
        <v/>
      </c>
      <c r="V305" s="39" t="str">
        <f t="shared" si="108"/>
        <v/>
      </c>
      <c r="W305" s="34" t="str">
        <f t="shared" si="109"/>
        <v/>
      </c>
      <c r="X305" s="41" t="str">
        <f t="shared" si="116"/>
        <v/>
      </c>
      <c r="Y305" s="98" t="str">
        <f t="shared" si="110"/>
        <v/>
      </c>
      <c r="Z305" s="16" t="str">
        <f t="shared" si="117"/>
        <v/>
      </c>
      <c r="AB305" s="139"/>
      <c r="AC305" s="146" t="str">
        <f t="shared" si="120"/>
        <v/>
      </c>
      <c r="AD305" s="148" t="str">
        <f t="shared" si="118"/>
        <v/>
      </c>
      <c r="AE305" s="147" t="str">
        <f t="shared" si="111"/>
        <v/>
      </c>
      <c r="AF305" s="111" t="str">
        <f t="shared" si="112"/>
        <v/>
      </c>
      <c r="AG305" s="111" t="str">
        <f t="shared" si="113"/>
        <v/>
      </c>
      <c r="AH305" s="112" t="str">
        <f t="shared" si="114"/>
        <v/>
      </c>
      <c r="AI305" t="str">
        <f t="shared" si="119"/>
        <v/>
      </c>
      <c r="AJ305" t="str">
        <f t="shared" si="121"/>
        <v/>
      </c>
    </row>
    <row r="306" spans="1:36" ht="15" customHeight="1" x14ac:dyDescent="0.25">
      <c r="A306" s="114"/>
      <c r="B306" s="116"/>
      <c r="C306" s="116"/>
      <c r="D306" s="42" t="str">
        <f t="shared" si="98"/>
        <v/>
      </c>
      <c r="E306" s="43"/>
      <c r="F306" s="118"/>
      <c r="G306" s="44" t="str">
        <f t="shared" si="99"/>
        <v/>
      </c>
      <c r="H306" s="118"/>
      <c r="I306" s="34" t="str">
        <f t="shared" si="100"/>
        <v/>
      </c>
      <c r="J306" s="118"/>
      <c r="K306" s="34" t="str">
        <f t="shared" si="101"/>
        <v/>
      </c>
      <c r="L306" s="118"/>
      <c r="M306" s="121"/>
      <c r="N306" s="122" t="str">
        <f t="shared" si="102"/>
        <v/>
      </c>
      <c r="O306" s="35" t="str">
        <f t="shared" si="103"/>
        <v/>
      </c>
      <c r="P306" s="124"/>
      <c r="Q306" s="36" t="str">
        <f t="shared" si="115"/>
        <v/>
      </c>
      <c r="R306" s="46" t="str">
        <f t="shared" si="104"/>
        <v/>
      </c>
      <c r="S306" s="38" t="str">
        <f t="shared" si="105"/>
        <v/>
      </c>
      <c r="T306" s="39" t="str">
        <f t="shared" si="106"/>
        <v/>
      </c>
      <c r="U306" s="40" t="str">
        <f t="shared" si="107"/>
        <v/>
      </c>
      <c r="V306" s="39" t="str">
        <f t="shared" si="108"/>
        <v/>
      </c>
      <c r="W306" s="34" t="str">
        <f t="shared" si="109"/>
        <v/>
      </c>
      <c r="X306" s="41" t="str">
        <f t="shared" si="116"/>
        <v/>
      </c>
      <c r="Y306" s="98" t="str">
        <f t="shared" si="110"/>
        <v/>
      </c>
      <c r="Z306" s="16" t="str">
        <f t="shared" si="117"/>
        <v/>
      </c>
      <c r="AB306" s="139"/>
      <c r="AC306" s="146" t="str">
        <f t="shared" si="120"/>
        <v/>
      </c>
      <c r="AD306" s="148" t="str">
        <f t="shared" si="118"/>
        <v/>
      </c>
      <c r="AE306" s="147" t="str">
        <f t="shared" si="111"/>
        <v/>
      </c>
      <c r="AF306" s="111" t="str">
        <f t="shared" si="112"/>
        <v/>
      </c>
      <c r="AG306" s="111" t="str">
        <f t="shared" si="113"/>
        <v/>
      </c>
      <c r="AH306" s="112" t="str">
        <f t="shared" si="114"/>
        <v/>
      </c>
      <c r="AI306" t="str">
        <f t="shared" si="119"/>
        <v/>
      </c>
      <c r="AJ306" t="str">
        <f t="shared" si="121"/>
        <v/>
      </c>
    </row>
    <row r="307" spans="1:36" ht="15" customHeight="1" x14ac:dyDescent="0.25">
      <c r="A307" s="114"/>
      <c r="B307" s="116"/>
      <c r="C307" s="116"/>
      <c r="D307" s="42" t="str">
        <f t="shared" si="98"/>
        <v/>
      </c>
      <c r="E307" s="43"/>
      <c r="F307" s="118"/>
      <c r="G307" s="44" t="str">
        <f t="shared" si="99"/>
        <v/>
      </c>
      <c r="H307" s="118"/>
      <c r="I307" s="34" t="str">
        <f t="shared" si="100"/>
        <v/>
      </c>
      <c r="J307" s="118"/>
      <c r="K307" s="34" t="str">
        <f t="shared" si="101"/>
        <v/>
      </c>
      <c r="L307" s="118"/>
      <c r="M307" s="121"/>
      <c r="N307" s="122" t="str">
        <f t="shared" si="102"/>
        <v/>
      </c>
      <c r="O307" s="35" t="str">
        <f t="shared" si="103"/>
        <v/>
      </c>
      <c r="P307" s="124"/>
      <c r="Q307" s="36" t="str">
        <f t="shared" si="115"/>
        <v/>
      </c>
      <c r="R307" s="46" t="str">
        <f t="shared" si="104"/>
        <v/>
      </c>
      <c r="S307" s="38" t="str">
        <f t="shared" si="105"/>
        <v/>
      </c>
      <c r="T307" s="39" t="str">
        <f t="shared" si="106"/>
        <v/>
      </c>
      <c r="U307" s="40" t="str">
        <f t="shared" si="107"/>
        <v/>
      </c>
      <c r="V307" s="39" t="str">
        <f t="shared" si="108"/>
        <v/>
      </c>
      <c r="W307" s="34" t="str">
        <f t="shared" si="109"/>
        <v/>
      </c>
      <c r="X307" s="41" t="str">
        <f t="shared" si="116"/>
        <v/>
      </c>
      <c r="Y307" s="98" t="str">
        <f t="shared" si="110"/>
        <v/>
      </c>
      <c r="Z307" s="16" t="str">
        <f t="shared" si="117"/>
        <v/>
      </c>
      <c r="AB307" s="139"/>
      <c r="AC307" s="146" t="str">
        <f t="shared" si="120"/>
        <v/>
      </c>
      <c r="AD307" s="148" t="str">
        <f t="shared" si="118"/>
        <v/>
      </c>
      <c r="AE307" s="147" t="str">
        <f t="shared" si="111"/>
        <v/>
      </c>
      <c r="AF307" s="111" t="str">
        <f t="shared" si="112"/>
        <v/>
      </c>
      <c r="AG307" s="111" t="str">
        <f t="shared" si="113"/>
        <v/>
      </c>
      <c r="AH307" s="112" t="str">
        <f t="shared" si="114"/>
        <v/>
      </c>
      <c r="AI307" t="str">
        <f t="shared" si="119"/>
        <v/>
      </c>
      <c r="AJ307" t="str">
        <f t="shared" si="121"/>
        <v/>
      </c>
    </row>
    <row r="308" spans="1:36" ht="15" customHeight="1" x14ac:dyDescent="0.25">
      <c r="A308" s="114"/>
      <c r="B308" s="116"/>
      <c r="C308" s="116"/>
      <c r="D308" s="42" t="str">
        <f t="shared" si="98"/>
        <v/>
      </c>
      <c r="E308" s="43"/>
      <c r="F308" s="118"/>
      <c r="G308" s="44" t="str">
        <f t="shared" si="99"/>
        <v/>
      </c>
      <c r="H308" s="118"/>
      <c r="I308" s="34" t="str">
        <f t="shared" si="100"/>
        <v/>
      </c>
      <c r="J308" s="118"/>
      <c r="K308" s="34" t="str">
        <f t="shared" si="101"/>
        <v/>
      </c>
      <c r="L308" s="118"/>
      <c r="M308" s="121"/>
      <c r="N308" s="122" t="str">
        <f t="shared" si="102"/>
        <v/>
      </c>
      <c r="O308" s="35" t="str">
        <f t="shared" si="103"/>
        <v/>
      </c>
      <c r="P308" s="124"/>
      <c r="Q308" s="36" t="str">
        <f t="shared" si="115"/>
        <v/>
      </c>
      <c r="R308" s="46" t="str">
        <f t="shared" si="104"/>
        <v/>
      </c>
      <c r="S308" s="38" t="str">
        <f t="shared" si="105"/>
        <v/>
      </c>
      <c r="T308" s="39" t="str">
        <f t="shared" si="106"/>
        <v/>
      </c>
      <c r="U308" s="40" t="str">
        <f t="shared" si="107"/>
        <v/>
      </c>
      <c r="V308" s="39" t="str">
        <f t="shared" si="108"/>
        <v/>
      </c>
      <c r="W308" s="34" t="str">
        <f t="shared" si="109"/>
        <v/>
      </c>
      <c r="X308" s="41" t="str">
        <f t="shared" si="116"/>
        <v/>
      </c>
      <c r="Y308" s="98" t="str">
        <f t="shared" si="110"/>
        <v/>
      </c>
      <c r="Z308" s="16" t="str">
        <f t="shared" si="117"/>
        <v/>
      </c>
      <c r="AB308" s="139"/>
      <c r="AC308" s="146" t="str">
        <f t="shared" si="120"/>
        <v/>
      </c>
      <c r="AD308" s="148" t="str">
        <f t="shared" si="118"/>
        <v/>
      </c>
      <c r="AE308" s="147" t="str">
        <f t="shared" si="111"/>
        <v/>
      </c>
      <c r="AF308" s="111" t="str">
        <f t="shared" si="112"/>
        <v/>
      </c>
      <c r="AG308" s="111" t="str">
        <f t="shared" si="113"/>
        <v/>
      </c>
      <c r="AH308" s="112" t="str">
        <f t="shared" si="114"/>
        <v/>
      </c>
      <c r="AI308" t="str">
        <f t="shared" si="119"/>
        <v/>
      </c>
      <c r="AJ308" t="str">
        <f t="shared" si="121"/>
        <v/>
      </c>
    </row>
    <row r="309" spans="1:36" ht="15" customHeight="1" x14ac:dyDescent="0.25">
      <c r="A309" s="114"/>
      <c r="B309" s="116"/>
      <c r="C309" s="116"/>
      <c r="D309" s="42" t="str">
        <f t="shared" si="98"/>
        <v/>
      </c>
      <c r="E309" s="43"/>
      <c r="F309" s="118"/>
      <c r="G309" s="44" t="str">
        <f t="shared" si="99"/>
        <v/>
      </c>
      <c r="H309" s="118"/>
      <c r="I309" s="34" t="str">
        <f t="shared" si="100"/>
        <v/>
      </c>
      <c r="J309" s="118"/>
      <c r="K309" s="34" t="str">
        <f t="shared" si="101"/>
        <v/>
      </c>
      <c r="L309" s="118"/>
      <c r="M309" s="121"/>
      <c r="N309" s="122" t="str">
        <f t="shared" si="102"/>
        <v/>
      </c>
      <c r="O309" s="35" t="str">
        <f t="shared" si="103"/>
        <v/>
      </c>
      <c r="P309" s="124"/>
      <c r="Q309" s="36" t="str">
        <f t="shared" si="115"/>
        <v/>
      </c>
      <c r="R309" s="46" t="str">
        <f t="shared" si="104"/>
        <v/>
      </c>
      <c r="S309" s="38" t="str">
        <f t="shared" si="105"/>
        <v/>
      </c>
      <c r="T309" s="39" t="str">
        <f t="shared" si="106"/>
        <v/>
      </c>
      <c r="U309" s="40" t="str">
        <f t="shared" si="107"/>
        <v/>
      </c>
      <c r="V309" s="39" t="str">
        <f t="shared" si="108"/>
        <v/>
      </c>
      <c r="W309" s="34" t="str">
        <f t="shared" si="109"/>
        <v/>
      </c>
      <c r="X309" s="41" t="str">
        <f t="shared" si="116"/>
        <v/>
      </c>
      <c r="Y309" s="98" t="str">
        <f t="shared" si="110"/>
        <v/>
      </c>
      <c r="Z309" s="16" t="str">
        <f t="shared" si="117"/>
        <v/>
      </c>
      <c r="AB309" s="139"/>
      <c r="AC309" s="146" t="str">
        <f t="shared" si="120"/>
        <v/>
      </c>
      <c r="AD309" s="148" t="str">
        <f t="shared" si="118"/>
        <v/>
      </c>
      <c r="AE309" s="147" t="str">
        <f t="shared" si="111"/>
        <v/>
      </c>
      <c r="AF309" s="111" t="str">
        <f t="shared" si="112"/>
        <v/>
      </c>
      <c r="AG309" s="111" t="str">
        <f t="shared" si="113"/>
        <v/>
      </c>
      <c r="AH309" s="112" t="str">
        <f t="shared" si="114"/>
        <v/>
      </c>
      <c r="AI309" t="str">
        <f t="shared" si="119"/>
        <v/>
      </c>
      <c r="AJ309" t="str">
        <f t="shared" si="121"/>
        <v/>
      </c>
    </row>
    <row r="310" spans="1:36" ht="15" customHeight="1" x14ac:dyDescent="0.25">
      <c r="A310" s="114"/>
      <c r="B310" s="116"/>
      <c r="C310" s="116"/>
      <c r="D310" s="42" t="str">
        <f t="shared" si="98"/>
        <v/>
      </c>
      <c r="E310" s="43"/>
      <c r="F310" s="118"/>
      <c r="G310" s="44" t="str">
        <f t="shared" si="99"/>
        <v/>
      </c>
      <c r="H310" s="118"/>
      <c r="I310" s="34" t="str">
        <f t="shared" si="100"/>
        <v/>
      </c>
      <c r="J310" s="118"/>
      <c r="K310" s="34" t="str">
        <f t="shared" si="101"/>
        <v/>
      </c>
      <c r="L310" s="118"/>
      <c r="M310" s="121"/>
      <c r="N310" s="122" t="str">
        <f t="shared" si="102"/>
        <v/>
      </c>
      <c r="O310" s="35" t="str">
        <f t="shared" si="103"/>
        <v/>
      </c>
      <c r="P310" s="124"/>
      <c r="Q310" s="36" t="str">
        <f t="shared" si="115"/>
        <v/>
      </c>
      <c r="R310" s="46" t="str">
        <f t="shared" si="104"/>
        <v/>
      </c>
      <c r="S310" s="38" t="str">
        <f t="shared" si="105"/>
        <v/>
      </c>
      <c r="T310" s="39" t="str">
        <f t="shared" si="106"/>
        <v/>
      </c>
      <c r="U310" s="40" t="str">
        <f t="shared" si="107"/>
        <v/>
      </c>
      <c r="V310" s="39" t="str">
        <f t="shared" si="108"/>
        <v/>
      </c>
      <c r="W310" s="34" t="str">
        <f t="shared" si="109"/>
        <v/>
      </c>
      <c r="X310" s="41" t="str">
        <f t="shared" si="116"/>
        <v/>
      </c>
      <c r="Y310" s="98" t="str">
        <f t="shared" si="110"/>
        <v/>
      </c>
      <c r="Z310" s="16" t="str">
        <f t="shared" si="117"/>
        <v/>
      </c>
      <c r="AB310" s="139"/>
      <c r="AC310" s="146" t="str">
        <f t="shared" si="120"/>
        <v/>
      </c>
      <c r="AD310" s="148" t="str">
        <f t="shared" si="118"/>
        <v/>
      </c>
      <c r="AE310" s="147" t="str">
        <f t="shared" si="111"/>
        <v/>
      </c>
      <c r="AF310" s="111" t="str">
        <f t="shared" si="112"/>
        <v/>
      </c>
      <c r="AG310" s="111" t="str">
        <f t="shared" si="113"/>
        <v/>
      </c>
      <c r="AH310" s="112" t="str">
        <f t="shared" si="114"/>
        <v/>
      </c>
      <c r="AI310" t="str">
        <f t="shared" si="119"/>
        <v/>
      </c>
      <c r="AJ310" t="str">
        <f t="shared" si="121"/>
        <v/>
      </c>
    </row>
    <row r="311" spans="1:36" ht="15" customHeight="1" x14ac:dyDescent="0.25">
      <c r="A311" s="114"/>
      <c r="B311" s="116"/>
      <c r="C311" s="116"/>
      <c r="D311" s="42" t="str">
        <f t="shared" si="98"/>
        <v/>
      </c>
      <c r="E311" s="43"/>
      <c r="F311" s="118"/>
      <c r="G311" s="44" t="str">
        <f t="shared" si="99"/>
        <v/>
      </c>
      <c r="H311" s="118"/>
      <c r="I311" s="34" t="str">
        <f t="shared" si="100"/>
        <v/>
      </c>
      <c r="J311" s="118"/>
      <c r="K311" s="34" t="str">
        <f t="shared" si="101"/>
        <v/>
      </c>
      <c r="L311" s="118"/>
      <c r="M311" s="121"/>
      <c r="N311" s="122" t="str">
        <f t="shared" si="102"/>
        <v/>
      </c>
      <c r="O311" s="35" t="str">
        <f t="shared" si="103"/>
        <v/>
      </c>
      <c r="P311" s="124"/>
      <c r="Q311" s="36" t="str">
        <f t="shared" si="115"/>
        <v/>
      </c>
      <c r="R311" s="46" t="str">
        <f t="shared" si="104"/>
        <v/>
      </c>
      <c r="S311" s="38" t="str">
        <f t="shared" si="105"/>
        <v/>
      </c>
      <c r="T311" s="39" t="str">
        <f t="shared" si="106"/>
        <v/>
      </c>
      <c r="U311" s="40" t="str">
        <f t="shared" si="107"/>
        <v/>
      </c>
      <c r="V311" s="39" t="str">
        <f t="shared" si="108"/>
        <v/>
      </c>
      <c r="W311" s="34" t="str">
        <f t="shared" si="109"/>
        <v/>
      </c>
      <c r="X311" s="41" t="str">
        <f t="shared" si="116"/>
        <v/>
      </c>
      <c r="Y311" s="98" t="str">
        <f t="shared" si="110"/>
        <v/>
      </c>
      <c r="Z311" s="16" t="str">
        <f t="shared" si="117"/>
        <v/>
      </c>
      <c r="AB311" s="139"/>
      <c r="AC311" s="146" t="str">
        <f t="shared" si="120"/>
        <v/>
      </c>
      <c r="AD311" s="148" t="str">
        <f t="shared" si="118"/>
        <v/>
      </c>
      <c r="AE311" s="147" t="str">
        <f t="shared" si="111"/>
        <v/>
      </c>
      <c r="AF311" s="111" t="str">
        <f t="shared" si="112"/>
        <v/>
      </c>
      <c r="AG311" s="111" t="str">
        <f t="shared" si="113"/>
        <v/>
      </c>
      <c r="AH311" s="112" t="str">
        <f t="shared" si="114"/>
        <v/>
      </c>
      <c r="AI311" t="str">
        <f t="shared" si="119"/>
        <v/>
      </c>
      <c r="AJ311" t="str">
        <f t="shared" si="121"/>
        <v/>
      </c>
    </row>
    <row r="312" spans="1:36" ht="15" customHeight="1" x14ac:dyDescent="0.25">
      <c r="A312" s="114"/>
      <c r="B312" s="116"/>
      <c r="C312" s="116"/>
      <c r="D312" s="42" t="str">
        <f t="shared" si="98"/>
        <v/>
      </c>
      <c r="E312" s="43"/>
      <c r="F312" s="118"/>
      <c r="G312" s="44" t="str">
        <f t="shared" si="99"/>
        <v/>
      </c>
      <c r="H312" s="118"/>
      <c r="I312" s="34" t="str">
        <f t="shared" si="100"/>
        <v/>
      </c>
      <c r="J312" s="118"/>
      <c r="K312" s="34" t="str">
        <f t="shared" si="101"/>
        <v/>
      </c>
      <c r="L312" s="118"/>
      <c r="M312" s="121"/>
      <c r="N312" s="122" t="str">
        <f t="shared" si="102"/>
        <v/>
      </c>
      <c r="O312" s="35" t="str">
        <f t="shared" si="103"/>
        <v/>
      </c>
      <c r="P312" s="124"/>
      <c r="Q312" s="36" t="str">
        <f t="shared" si="115"/>
        <v/>
      </c>
      <c r="R312" s="46" t="str">
        <f t="shared" si="104"/>
        <v/>
      </c>
      <c r="S312" s="38" t="str">
        <f t="shared" si="105"/>
        <v/>
      </c>
      <c r="T312" s="39" t="str">
        <f t="shared" si="106"/>
        <v/>
      </c>
      <c r="U312" s="40" t="str">
        <f t="shared" si="107"/>
        <v/>
      </c>
      <c r="V312" s="39" t="str">
        <f t="shared" si="108"/>
        <v/>
      </c>
      <c r="W312" s="34" t="str">
        <f t="shared" si="109"/>
        <v/>
      </c>
      <c r="X312" s="41" t="str">
        <f t="shared" si="116"/>
        <v/>
      </c>
      <c r="Y312" s="98" t="str">
        <f t="shared" si="110"/>
        <v/>
      </c>
      <c r="Z312" s="16" t="str">
        <f t="shared" si="117"/>
        <v/>
      </c>
      <c r="AB312" s="139"/>
      <c r="AC312" s="146" t="str">
        <f t="shared" si="120"/>
        <v/>
      </c>
      <c r="AD312" s="148" t="str">
        <f t="shared" si="118"/>
        <v/>
      </c>
      <c r="AE312" s="147" t="str">
        <f t="shared" si="111"/>
        <v/>
      </c>
      <c r="AF312" s="111" t="str">
        <f t="shared" si="112"/>
        <v/>
      </c>
      <c r="AG312" s="111" t="str">
        <f t="shared" si="113"/>
        <v/>
      </c>
      <c r="AH312" s="112" t="str">
        <f t="shared" si="114"/>
        <v/>
      </c>
      <c r="AI312" t="str">
        <f t="shared" si="119"/>
        <v/>
      </c>
      <c r="AJ312" t="str">
        <f t="shared" si="121"/>
        <v/>
      </c>
    </row>
    <row r="313" spans="1:36" ht="15" customHeight="1" x14ac:dyDescent="0.25">
      <c r="A313" s="114"/>
      <c r="B313" s="116"/>
      <c r="C313" s="116"/>
      <c r="D313" s="42" t="str">
        <f t="shared" si="98"/>
        <v/>
      </c>
      <c r="E313" s="43"/>
      <c r="F313" s="118"/>
      <c r="G313" s="44" t="str">
        <f t="shared" si="99"/>
        <v/>
      </c>
      <c r="H313" s="118"/>
      <c r="I313" s="34" t="str">
        <f t="shared" si="100"/>
        <v/>
      </c>
      <c r="J313" s="118"/>
      <c r="K313" s="34" t="str">
        <f t="shared" si="101"/>
        <v/>
      </c>
      <c r="L313" s="118"/>
      <c r="M313" s="121"/>
      <c r="N313" s="122" t="str">
        <f t="shared" si="102"/>
        <v/>
      </c>
      <c r="O313" s="35" t="str">
        <f t="shared" si="103"/>
        <v/>
      </c>
      <c r="P313" s="124"/>
      <c r="Q313" s="36" t="str">
        <f t="shared" si="115"/>
        <v/>
      </c>
      <c r="R313" s="46" t="str">
        <f t="shared" si="104"/>
        <v/>
      </c>
      <c r="S313" s="38" t="str">
        <f t="shared" si="105"/>
        <v/>
      </c>
      <c r="T313" s="39" t="str">
        <f t="shared" si="106"/>
        <v/>
      </c>
      <c r="U313" s="40" t="str">
        <f t="shared" si="107"/>
        <v/>
      </c>
      <c r="V313" s="39" t="str">
        <f t="shared" si="108"/>
        <v/>
      </c>
      <c r="W313" s="34" t="str">
        <f t="shared" si="109"/>
        <v/>
      </c>
      <c r="X313" s="41" t="str">
        <f t="shared" si="116"/>
        <v/>
      </c>
      <c r="Y313" s="98" t="str">
        <f t="shared" si="110"/>
        <v/>
      </c>
      <c r="Z313" s="16" t="str">
        <f t="shared" si="117"/>
        <v/>
      </c>
      <c r="AB313" s="139"/>
      <c r="AC313" s="146" t="str">
        <f t="shared" si="120"/>
        <v/>
      </c>
      <c r="AD313" s="148" t="str">
        <f t="shared" si="118"/>
        <v/>
      </c>
      <c r="AE313" s="147" t="str">
        <f t="shared" si="111"/>
        <v/>
      </c>
      <c r="AF313" s="111" t="str">
        <f t="shared" si="112"/>
        <v/>
      </c>
      <c r="AG313" s="111" t="str">
        <f t="shared" si="113"/>
        <v/>
      </c>
      <c r="AH313" s="112" t="str">
        <f t="shared" si="114"/>
        <v/>
      </c>
      <c r="AI313" t="str">
        <f t="shared" si="119"/>
        <v/>
      </c>
      <c r="AJ313" t="str">
        <f t="shared" si="121"/>
        <v/>
      </c>
    </row>
    <row r="314" spans="1:36" ht="15" customHeight="1" x14ac:dyDescent="0.25">
      <c r="A314" s="114"/>
      <c r="B314" s="116"/>
      <c r="C314" s="116"/>
      <c r="D314" s="42" t="str">
        <f t="shared" si="98"/>
        <v/>
      </c>
      <c r="E314" s="43"/>
      <c r="F314" s="118"/>
      <c r="G314" s="44" t="str">
        <f t="shared" si="99"/>
        <v/>
      </c>
      <c r="H314" s="118"/>
      <c r="I314" s="34" t="str">
        <f t="shared" si="100"/>
        <v/>
      </c>
      <c r="J314" s="118"/>
      <c r="K314" s="34" t="str">
        <f t="shared" si="101"/>
        <v/>
      </c>
      <c r="L314" s="118"/>
      <c r="M314" s="121"/>
      <c r="N314" s="122" t="str">
        <f t="shared" si="102"/>
        <v/>
      </c>
      <c r="O314" s="35" t="str">
        <f t="shared" si="103"/>
        <v/>
      </c>
      <c r="P314" s="124"/>
      <c r="Q314" s="36" t="str">
        <f t="shared" si="115"/>
        <v/>
      </c>
      <c r="R314" s="46" t="str">
        <f t="shared" si="104"/>
        <v/>
      </c>
      <c r="S314" s="38" t="str">
        <f t="shared" si="105"/>
        <v/>
      </c>
      <c r="T314" s="39" t="str">
        <f t="shared" si="106"/>
        <v/>
      </c>
      <c r="U314" s="40" t="str">
        <f t="shared" si="107"/>
        <v/>
      </c>
      <c r="V314" s="39" t="str">
        <f t="shared" si="108"/>
        <v/>
      </c>
      <c r="W314" s="34" t="str">
        <f t="shared" si="109"/>
        <v/>
      </c>
      <c r="X314" s="41" t="str">
        <f t="shared" si="116"/>
        <v/>
      </c>
      <c r="Y314" s="98" t="str">
        <f t="shared" si="110"/>
        <v/>
      </c>
      <c r="Z314" s="16" t="str">
        <f t="shared" si="117"/>
        <v/>
      </c>
      <c r="AB314" s="139"/>
      <c r="AC314" s="146" t="str">
        <f t="shared" si="120"/>
        <v/>
      </c>
      <c r="AD314" s="148" t="str">
        <f t="shared" si="118"/>
        <v/>
      </c>
      <c r="AE314" s="147" t="str">
        <f t="shared" si="111"/>
        <v/>
      </c>
      <c r="AF314" s="111" t="str">
        <f t="shared" si="112"/>
        <v/>
      </c>
      <c r="AG314" s="111" t="str">
        <f t="shared" si="113"/>
        <v/>
      </c>
      <c r="AH314" s="112" t="str">
        <f t="shared" si="114"/>
        <v/>
      </c>
      <c r="AI314" t="str">
        <f t="shared" si="119"/>
        <v/>
      </c>
      <c r="AJ314" t="str">
        <f t="shared" si="121"/>
        <v/>
      </c>
    </row>
    <row r="315" spans="1:36" ht="15" customHeight="1" x14ac:dyDescent="0.25">
      <c r="A315" s="114"/>
      <c r="B315" s="116"/>
      <c r="C315" s="116"/>
      <c r="D315" s="42" t="str">
        <f t="shared" si="98"/>
        <v/>
      </c>
      <c r="E315" s="43"/>
      <c r="F315" s="118"/>
      <c r="G315" s="44" t="str">
        <f t="shared" si="99"/>
        <v/>
      </c>
      <c r="H315" s="118"/>
      <c r="I315" s="34" t="str">
        <f t="shared" si="100"/>
        <v/>
      </c>
      <c r="J315" s="118"/>
      <c r="K315" s="34" t="str">
        <f t="shared" si="101"/>
        <v/>
      </c>
      <c r="L315" s="118"/>
      <c r="M315" s="121"/>
      <c r="N315" s="122" t="str">
        <f t="shared" si="102"/>
        <v/>
      </c>
      <c r="O315" s="35" t="str">
        <f t="shared" si="103"/>
        <v/>
      </c>
      <c r="P315" s="124"/>
      <c r="Q315" s="36" t="str">
        <f t="shared" si="115"/>
        <v/>
      </c>
      <c r="R315" s="46" t="str">
        <f t="shared" si="104"/>
        <v/>
      </c>
      <c r="S315" s="38" t="str">
        <f t="shared" si="105"/>
        <v/>
      </c>
      <c r="T315" s="39" t="str">
        <f t="shared" si="106"/>
        <v/>
      </c>
      <c r="U315" s="40" t="str">
        <f t="shared" si="107"/>
        <v/>
      </c>
      <c r="V315" s="39" t="str">
        <f t="shared" si="108"/>
        <v/>
      </c>
      <c r="W315" s="34" t="str">
        <f t="shared" si="109"/>
        <v/>
      </c>
      <c r="X315" s="41" t="str">
        <f t="shared" si="116"/>
        <v/>
      </c>
      <c r="Y315" s="98" t="str">
        <f t="shared" si="110"/>
        <v/>
      </c>
      <c r="Z315" s="16" t="str">
        <f t="shared" si="117"/>
        <v/>
      </c>
      <c r="AB315" s="139"/>
      <c r="AC315" s="146" t="str">
        <f t="shared" si="120"/>
        <v/>
      </c>
      <c r="AD315" s="148" t="str">
        <f t="shared" si="118"/>
        <v/>
      </c>
      <c r="AE315" s="147" t="str">
        <f t="shared" si="111"/>
        <v/>
      </c>
      <c r="AF315" s="111" t="str">
        <f t="shared" si="112"/>
        <v/>
      </c>
      <c r="AG315" s="111" t="str">
        <f t="shared" si="113"/>
        <v/>
      </c>
      <c r="AH315" s="112" t="str">
        <f t="shared" si="114"/>
        <v/>
      </c>
      <c r="AI315" t="str">
        <f t="shared" si="119"/>
        <v/>
      </c>
      <c r="AJ315" t="str">
        <f t="shared" si="121"/>
        <v/>
      </c>
    </row>
    <row r="316" spans="1:36" ht="15" customHeight="1" x14ac:dyDescent="0.25">
      <c r="A316" s="114"/>
      <c r="B316" s="116"/>
      <c r="C316" s="116"/>
      <c r="D316" s="42" t="str">
        <f t="shared" si="98"/>
        <v/>
      </c>
      <c r="E316" s="43"/>
      <c r="F316" s="118"/>
      <c r="G316" s="44" t="str">
        <f t="shared" si="99"/>
        <v/>
      </c>
      <c r="H316" s="118"/>
      <c r="I316" s="34" t="str">
        <f t="shared" si="100"/>
        <v/>
      </c>
      <c r="J316" s="118"/>
      <c r="K316" s="34" t="str">
        <f t="shared" si="101"/>
        <v/>
      </c>
      <c r="L316" s="118"/>
      <c r="M316" s="121"/>
      <c r="N316" s="122" t="str">
        <f t="shared" si="102"/>
        <v/>
      </c>
      <c r="O316" s="35" t="str">
        <f t="shared" si="103"/>
        <v/>
      </c>
      <c r="P316" s="124"/>
      <c r="Q316" s="36" t="str">
        <f t="shared" si="115"/>
        <v/>
      </c>
      <c r="R316" s="46" t="str">
        <f t="shared" si="104"/>
        <v/>
      </c>
      <c r="S316" s="38" t="str">
        <f t="shared" si="105"/>
        <v/>
      </c>
      <c r="T316" s="39" t="str">
        <f t="shared" si="106"/>
        <v/>
      </c>
      <c r="U316" s="40" t="str">
        <f t="shared" si="107"/>
        <v/>
      </c>
      <c r="V316" s="39" t="str">
        <f t="shared" si="108"/>
        <v/>
      </c>
      <c r="W316" s="34" t="str">
        <f t="shared" si="109"/>
        <v/>
      </c>
      <c r="X316" s="41" t="str">
        <f t="shared" si="116"/>
        <v/>
      </c>
      <c r="Y316" s="98" t="str">
        <f t="shared" si="110"/>
        <v/>
      </c>
      <c r="Z316" s="16" t="str">
        <f t="shared" si="117"/>
        <v/>
      </c>
      <c r="AB316" s="139"/>
      <c r="AC316" s="146" t="str">
        <f t="shared" si="120"/>
        <v/>
      </c>
      <c r="AD316" s="148" t="str">
        <f t="shared" si="118"/>
        <v/>
      </c>
      <c r="AE316" s="147" t="str">
        <f t="shared" si="111"/>
        <v/>
      </c>
      <c r="AF316" s="111" t="str">
        <f t="shared" si="112"/>
        <v/>
      </c>
      <c r="AG316" s="111" t="str">
        <f t="shared" si="113"/>
        <v/>
      </c>
      <c r="AH316" s="112" t="str">
        <f t="shared" si="114"/>
        <v/>
      </c>
      <c r="AI316" t="str">
        <f t="shared" si="119"/>
        <v/>
      </c>
      <c r="AJ316" t="str">
        <f t="shared" si="121"/>
        <v/>
      </c>
    </row>
    <row r="317" spans="1:36" ht="15" customHeight="1" x14ac:dyDescent="0.25">
      <c r="A317" s="114"/>
      <c r="B317" s="116"/>
      <c r="C317" s="116"/>
      <c r="D317" s="42" t="str">
        <f t="shared" si="98"/>
        <v/>
      </c>
      <c r="E317" s="43"/>
      <c r="F317" s="118"/>
      <c r="G317" s="44" t="str">
        <f t="shared" si="99"/>
        <v/>
      </c>
      <c r="H317" s="118"/>
      <c r="I317" s="34" t="str">
        <f t="shared" si="100"/>
        <v/>
      </c>
      <c r="J317" s="118"/>
      <c r="K317" s="34" t="str">
        <f t="shared" si="101"/>
        <v/>
      </c>
      <c r="L317" s="118"/>
      <c r="M317" s="121"/>
      <c r="N317" s="122" t="str">
        <f t="shared" si="102"/>
        <v/>
      </c>
      <c r="O317" s="35" t="str">
        <f t="shared" si="103"/>
        <v/>
      </c>
      <c r="P317" s="124"/>
      <c r="Q317" s="36" t="str">
        <f t="shared" si="115"/>
        <v/>
      </c>
      <c r="R317" s="46" t="str">
        <f t="shared" si="104"/>
        <v/>
      </c>
      <c r="S317" s="38" t="str">
        <f t="shared" si="105"/>
        <v/>
      </c>
      <c r="T317" s="39" t="str">
        <f t="shared" si="106"/>
        <v/>
      </c>
      <c r="U317" s="40" t="str">
        <f t="shared" si="107"/>
        <v/>
      </c>
      <c r="V317" s="39" t="str">
        <f t="shared" si="108"/>
        <v/>
      </c>
      <c r="W317" s="34" t="str">
        <f t="shared" si="109"/>
        <v/>
      </c>
      <c r="X317" s="41" t="str">
        <f t="shared" si="116"/>
        <v/>
      </c>
      <c r="Y317" s="98" t="str">
        <f t="shared" si="110"/>
        <v/>
      </c>
      <c r="Z317" s="16" t="str">
        <f t="shared" si="117"/>
        <v/>
      </c>
      <c r="AB317" s="139"/>
      <c r="AC317" s="146" t="str">
        <f t="shared" si="120"/>
        <v/>
      </c>
      <c r="AD317" s="148" t="str">
        <f t="shared" si="118"/>
        <v/>
      </c>
      <c r="AE317" s="147" t="str">
        <f t="shared" si="111"/>
        <v/>
      </c>
      <c r="AF317" s="111" t="str">
        <f t="shared" si="112"/>
        <v/>
      </c>
      <c r="AG317" s="111" t="str">
        <f t="shared" si="113"/>
        <v/>
      </c>
      <c r="AH317" s="112" t="str">
        <f t="shared" si="114"/>
        <v/>
      </c>
      <c r="AI317" t="str">
        <f t="shared" si="119"/>
        <v/>
      </c>
      <c r="AJ317" t="str">
        <f t="shared" si="121"/>
        <v/>
      </c>
    </row>
    <row r="318" spans="1:36" ht="15" customHeight="1" x14ac:dyDescent="0.25">
      <c r="A318" s="114"/>
      <c r="B318" s="116"/>
      <c r="C318" s="116"/>
      <c r="D318" s="42" t="str">
        <f t="shared" si="98"/>
        <v/>
      </c>
      <c r="E318" s="43"/>
      <c r="F318" s="118"/>
      <c r="G318" s="44" t="str">
        <f t="shared" si="99"/>
        <v/>
      </c>
      <c r="H318" s="118"/>
      <c r="I318" s="34" t="str">
        <f t="shared" si="100"/>
        <v/>
      </c>
      <c r="J318" s="118"/>
      <c r="K318" s="34" t="str">
        <f t="shared" si="101"/>
        <v/>
      </c>
      <c r="L318" s="118"/>
      <c r="M318" s="121"/>
      <c r="N318" s="122" t="str">
        <f t="shared" si="102"/>
        <v/>
      </c>
      <c r="O318" s="35" t="str">
        <f t="shared" si="103"/>
        <v/>
      </c>
      <c r="P318" s="124"/>
      <c r="Q318" s="36" t="str">
        <f t="shared" si="115"/>
        <v/>
      </c>
      <c r="R318" s="46" t="str">
        <f t="shared" si="104"/>
        <v/>
      </c>
      <c r="S318" s="38" t="str">
        <f t="shared" si="105"/>
        <v/>
      </c>
      <c r="T318" s="39" t="str">
        <f t="shared" si="106"/>
        <v/>
      </c>
      <c r="U318" s="40" t="str">
        <f t="shared" si="107"/>
        <v/>
      </c>
      <c r="V318" s="39" t="str">
        <f t="shared" si="108"/>
        <v/>
      </c>
      <c r="W318" s="34" t="str">
        <f t="shared" si="109"/>
        <v/>
      </c>
      <c r="X318" s="41" t="str">
        <f t="shared" si="116"/>
        <v/>
      </c>
      <c r="Y318" s="98" t="str">
        <f t="shared" si="110"/>
        <v/>
      </c>
      <c r="Z318" s="16" t="str">
        <f t="shared" si="117"/>
        <v/>
      </c>
      <c r="AB318" s="139"/>
      <c r="AC318" s="146" t="str">
        <f t="shared" si="120"/>
        <v/>
      </c>
      <c r="AD318" s="148" t="str">
        <f t="shared" si="118"/>
        <v/>
      </c>
      <c r="AE318" s="147" t="str">
        <f t="shared" si="111"/>
        <v/>
      </c>
      <c r="AF318" s="111" t="str">
        <f t="shared" si="112"/>
        <v/>
      </c>
      <c r="AG318" s="111" t="str">
        <f t="shared" si="113"/>
        <v/>
      </c>
      <c r="AH318" s="112" t="str">
        <f t="shared" si="114"/>
        <v/>
      </c>
      <c r="AI318" t="str">
        <f t="shared" si="119"/>
        <v/>
      </c>
      <c r="AJ318" t="str">
        <f t="shared" si="121"/>
        <v/>
      </c>
    </row>
    <row r="319" spans="1:36" ht="15" customHeight="1" x14ac:dyDescent="0.25">
      <c r="A319" s="114"/>
      <c r="B319" s="116"/>
      <c r="C319" s="116"/>
      <c r="D319" s="42" t="str">
        <f t="shared" si="98"/>
        <v/>
      </c>
      <c r="E319" s="43"/>
      <c r="F319" s="118"/>
      <c r="G319" s="44" t="str">
        <f t="shared" si="99"/>
        <v/>
      </c>
      <c r="H319" s="118"/>
      <c r="I319" s="34" t="str">
        <f t="shared" si="100"/>
        <v/>
      </c>
      <c r="J319" s="118"/>
      <c r="K319" s="34" t="str">
        <f t="shared" si="101"/>
        <v/>
      </c>
      <c r="L319" s="118"/>
      <c r="M319" s="121"/>
      <c r="N319" s="122" t="str">
        <f t="shared" si="102"/>
        <v/>
      </c>
      <c r="O319" s="35" t="str">
        <f t="shared" si="103"/>
        <v/>
      </c>
      <c r="P319" s="124"/>
      <c r="Q319" s="36" t="str">
        <f t="shared" si="115"/>
        <v/>
      </c>
      <c r="R319" s="46" t="str">
        <f t="shared" si="104"/>
        <v/>
      </c>
      <c r="S319" s="38" t="str">
        <f t="shared" si="105"/>
        <v/>
      </c>
      <c r="T319" s="39" t="str">
        <f t="shared" si="106"/>
        <v/>
      </c>
      <c r="U319" s="40" t="str">
        <f t="shared" si="107"/>
        <v/>
      </c>
      <c r="V319" s="39" t="str">
        <f t="shared" si="108"/>
        <v/>
      </c>
      <c r="W319" s="34" t="str">
        <f t="shared" si="109"/>
        <v/>
      </c>
      <c r="X319" s="41" t="str">
        <f t="shared" si="116"/>
        <v/>
      </c>
      <c r="Y319" s="98" t="str">
        <f t="shared" si="110"/>
        <v/>
      </c>
      <c r="Z319" s="16" t="str">
        <f t="shared" si="117"/>
        <v/>
      </c>
      <c r="AB319" s="139"/>
      <c r="AC319" s="146" t="str">
        <f t="shared" si="120"/>
        <v/>
      </c>
      <c r="AD319" s="148" t="str">
        <f t="shared" si="118"/>
        <v/>
      </c>
      <c r="AE319" s="147" t="str">
        <f t="shared" si="111"/>
        <v/>
      </c>
      <c r="AF319" s="111" t="str">
        <f t="shared" si="112"/>
        <v/>
      </c>
      <c r="AG319" s="111" t="str">
        <f t="shared" si="113"/>
        <v/>
      </c>
      <c r="AH319" s="112" t="str">
        <f t="shared" si="114"/>
        <v/>
      </c>
      <c r="AI319" t="str">
        <f t="shared" si="119"/>
        <v/>
      </c>
      <c r="AJ319" t="str">
        <f t="shared" si="121"/>
        <v/>
      </c>
    </row>
    <row r="320" spans="1:36" ht="15" customHeight="1" x14ac:dyDescent="0.25">
      <c r="A320" s="114"/>
      <c r="B320" s="116"/>
      <c r="C320" s="116"/>
      <c r="D320" s="42" t="str">
        <f t="shared" si="98"/>
        <v/>
      </c>
      <c r="E320" s="43"/>
      <c r="F320" s="118"/>
      <c r="G320" s="44" t="str">
        <f t="shared" si="99"/>
        <v/>
      </c>
      <c r="H320" s="118"/>
      <c r="I320" s="34" t="str">
        <f t="shared" si="100"/>
        <v/>
      </c>
      <c r="J320" s="118"/>
      <c r="K320" s="34" t="str">
        <f t="shared" si="101"/>
        <v/>
      </c>
      <c r="L320" s="118"/>
      <c r="M320" s="121"/>
      <c r="N320" s="122" t="str">
        <f t="shared" si="102"/>
        <v/>
      </c>
      <c r="O320" s="35" t="str">
        <f t="shared" si="103"/>
        <v/>
      </c>
      <c r="P320" s="124"/>
      <c r="Q320" s="36" t="str">
        <f t="shared" si="115"/>
        <v/>
      </c>
      <c r="R320" s="46" t="str">
        <f t="shared" si="104"/>
        <v/>
      </c>
      <c r="S320" s="38" t="str">
        <f t="shared" si="105"/>
        <v/>
      </c>
      <c r="T320" s="39" t="str">
        <f t="shared" si="106"/>
        <v/>
      </c>
      <c r="U320" s="40" t="str">
        <f t="shared" si="107"/>
        <v/>
      </c>
      <c r="V320" s="39" t="str">
        <f t="shared" si="108"/>
        <v/>
      </c>
      <c r="W320" s="34" t="str">
        <f t="shared" si="109"/>
        <v/>
      </c>
      <c r="X320" s="41" t="str">
        <f t="shared" si="116"/>
        <v/>
      </c>
      <c r="Y320" s="98" t="str">
        <f t="shared" si="110"/>
        <v/>
      </c>
      <c r="Z320" s="16" t="str">
        <f t="shared" si="117"/>
        <v/>
      </c>
      <c r="AB320" s="139"/>
      <c r="AC320" s="146" t="str">
        <f t="shared" si="120"/>
        <v/>
      </c>
      <c r="AD320" s="148" t="str">
        <f t="shared" si="118"/>
        <v/>
      </c>
      <c r="AE320" s="147" t="str">
        <f t="shared" si="111"/>
        <v/>
      </c>
      <c r="AF320" s="111" t="str">
        <f t="shared" si="112"/>
        <v/>
      </c>
      <c r="AG320" s="111" t="str">
        <f t="shared" si="113"/>
        <v/>
      </c>
      <c r="AH320" s="112" t="str">
        <f t="shared" si="114"/>
        <v/>
      </c>
      <c r="AI320" t="str">
        <f t="shared" si="119"/>
        <v/>
      </c>
      <c r="AJ320" t="str">
        <f t="shared" si="121"/>
        <v/>
      </c>
    </row>
    <row r="321" spans="1:36" ht="15" customHeight="1" x14ac:dyDescent="0.25">
      <c r="A321" s="114"/>
      <c r="B321" s="116"/>
      <c r="C321" s="116"/>
      <c r="D321" s="42" t="str">
        <f t="shared" si="98"/>
        <v/>
      </c>
      <c r="E321" s="43"/>
      <c r="F321" s="118"/>
      <c r="G321" s="44" t="str">
        <f t="shared" si="99"/>
        <v/>
      </c>
      <c r="H321" s="118"/>
      <c r="I321" s="34" t="str">
        <f t="shared" si="100"/>
        <v/>
      </c>
      <c r="J321" s="118"/>
      <c r="K321" s="34" t="str">
        <f t="shared" si="101"/>
        <v/>
      </c>
      <c r="L321" s="118"/>
      <c r="M321" s="121"/>
      <c r="N321" s="122" t="str">
        <f t="shared" si="102"/>
        <v/>
      </c>
      <c r="O321" s="35" t="str">
        <f t="shared" si="103"/>
        <v/>
      </c>
      <c r="P321" s="124"/>
      <c r="Q321" s="36" t="str">
        <f t="shared" si="115"/>
        <v/>
      </c>
      <c r="R321" s="46" t="str">
        <f t="shared" si="104"/>
        <v/>
      </c>
      <c r="S321" s="38" t="str">
        <f t="shared" si="105"/>
        <v/>
      </c>
      <c r="T321" s="39" t="str">
        <f t="shared" si="106"/>
        <v/>
      </c>
      <c r="U321" s="40" t="str">
        <f t="shared" si="107"/>
        <v/>
      </c>
      <c r="V321" s="39" t="str">
        <f t="shared" si="108"/>
        <v/>
      </c>
      <c r="W321" s="34" t="str">
        <f t="shared" si="109"/>
        <v/>
      </c>
      <c r="X321" s="41" t="str">
        <f t="shared" si="116"/>
        <v/>
      </c>
      <c r="Y321" s="98" t="str">
        <f t="shared" si="110"/>
        <v/>
      </c>
      <c r="Z321" s="16" t="str">
        <f t="shared" si="117"/>
        <v/>
      </c>
      <c r="AB321" s="139"/>
      <c r="AC321" s="146" t="str">
        <f t="shared" si="120"/>
        <v/>
      </c>
      <c r="AD321" s="148" t="str">
        <f t="shared" si="118"/>
        <v/>
      </c>
      <c r="AE321" s="147" t="str">
        <f t="shared" si="111"/>
        <v/>
      </c>
      <c r="AF321" s="111" t="str">
        <f t="shared" si="112"/>
        <v/>
      </c>
      <c r="AG321" s="111" t="str">
        <f t="shared" si="113"/>
        <v/>
      </c>
      <c r="AH321" s="112" t="str">
        <f t="shared" si="114"/>
        <v/>
      </c>
      <c r="AI321" t="str">
        <f t="shared" si="119"/>
        <v/>
      </c>
      <c r="AJ321" t="str">
        <f t="shared" si="121"/>
        <v/>
      </c>
    </row>
    <row r="322" spans="1:36" ht="15" customHeight="1" x14ac:dyDescent="0.25">
      <c r="A322" s="114"/>
      <c r="B322" s="116"/>
      <c r="C322" s="116"/>
      <c r="D322" s="42" t="str">
        <f t="shared" si="98"/>
        <v/>
      </c>
      <c r="E322" s="43"/>
      <c r="F322" s="118"/>
      <c r="G322" s="44" t="str">
        <f t="shared" si="99"/>
        <v/>
      </c>
      <c r="H322" s="118"/>
      <c r="I322" s="34" t="str">
        <f t="shared" si="100"/>
        <v/>
      </c>
      <c r="J322" s="118"/>
      <c r="K322" s="34" t="str">
        <f t="shared" si="101"/>
        <v/>
      </c>
      <c r="L322" s="118"/>
      <c r="M322" s="121"/>
      <c r="N322" s="122" t="str">
        <f t="shared" si="102"/>
        <v/>
      </c>
      <c r="O322" s="35" t="str">
        <f t="shared" si="103"/>
        <v/>
      </c>
      <c r="P322" s="124"/>
      <c r="Q322" s="36" t="str">
        <f t="shared" si="115"/>
        <v/>
      </c>
      <c r="R322" s="46" t="str">
        <f t="shared" si="104"/>
        <v/>
      </c>
      <c r="S322" s="38" t="str">
        <f t="shared" si="105"/>
        <v/>
      </c>
      <c r="T322" s="39" t="str">
        <f t="shared" si="106"/>
        <v/>
      </c>
      <c r="U322" s="40" t="str">
        <f t="shared" si="107"/>
        <v/>
      </c>
      <c r="V322" s="39" t="str">
        <f t="shared" si="108"/>
        <v/>
      </c>
      <c r="W322" s="34" t="str">
        <f t="shared" si="109"/>
        <v/>
      </c>
      <c r="X322" s="41" t="str">
        <f t="shared" si="116"/>
        <v/>
      </c>
      <c r="Y322" s="98" t="str">
        <f t="shared" si="110"/>
        <v/>
      </c>
      <c r="Z322" s="16" t="str">
        <f t="shared" si="117"/>
        <v/>
      </c>
      <c r="AB322" s="139"/>
      <c r="AC322" s="146" t="str">
        <f t="shared" si="120"/>
        <v/>
      </c>
      <c r="AD322" s="148" t="str">
        <f t="shared" si="118"/>
        <v/>
      </c>
      <c r="AE322" s="147" t="str">
        <f t="shared" si="111"/>
        <v/>
      </c>
      <c r="AF322" s="111" t="str">
        <f t="shared" si="112"/>
        <v/>
      </c>
      <c r="AG322" s="111" t="str">
        <f t="shared" si="113"/>
        <v/>
      </c>
      <c r="AH322" s="112" t="str">
        <f t="shared" si="114"/>
        <v/>
      </c>
      <c r="AI322" t="str">
        <f t="shared" si="119"/>
        <v/>
      </c>
      <c r="AJ322" t="str">
        <f t="shared" si="121"/>
        <v/>
      </c>
    </row>
    <row r="323" spans="1:36" ht="15" customHeight="1" x14ac:dyDescent="0.25">
      <c r="A323" s="114"/>
      <c r="B323" s="116"/>
      <c r="C323" s="116"/>
      <c r="D323" s="42" t="str">
        <f t="shared" si="98"/>
        <v/>
      </c>
      <c r="E323" s="43"/>
      <c r="F323" s="118"/>
      <c r="G323" s="44" t="str">
        <f t="shared" si="99"/>
        <v/>
      </c>
      <c r="H323" s="118"/>
      <c r="I323" s="34" t="str">
        <f t="shared" si="100"/>
        <v/>
      </c>
      <c r="J323" s="118"/>
      <c r="K323" s="34" t="str">
        <f t="shared" si="101"/>
        <v/>
      </c>
      <c r="L323" s="118"/>
      <c r="M323" s="121"/>
      <c r="N323" s="122" t="str">
        <f t="shared" si="102"/>
        <v/>
      </c>
      <c r="O323" s="35" t="str">
        <f t="shared" si="103"/>
        <v/>
      </c>
      <c r="P323" s="124"/>
      <c r="Q323" s="36" t="str">
        <f t="shared" si="115"/>
        <v/>
      </c>
      <c r="R323" s="46" t="str">
        <f t="shared" si="104"/>
        <v/>
      </c>
      <c r="S323" s="38" t="str">
        <f t="shared" si="105"/>
        <v/>
      </c>
      <c r="T323" s="39" t="str">
        <f t="shared" si="106"/>
        <v/>
      </c>
      <c r="U323" s="40" t="str">
        <f t="shared" si="107"/>
        <v/>
      </c>
      <c r="V323" s="39" t="str">
        <f t="shared" si="108"/>
        <v/>
      </c>
      <c r="W323" s="34" t="str">
        <f t="shared" si="109"/>
        <v/>
      </c>
      <c r="X323" s="41" t="str">
        <f t="shared" si="116"/>
        <v/>
      </c>
      <c r="Y323" s="98" t="str">
        <f t="shared" si="110"/>
        <v/>
      </c>
      <c r="Z323" s="16" t="str">
        <f t="shared" si="117"/>
        <v/>
      </c>
      <c r="AB323" s="139"/>
      <c r="AC323" s="146" t="str">
        <f t="shared" si="120"/>
        <v/>
      </c>
      <c r="AD323" s="148" t="str">
        <f t="shared" si="118"/>
        <v/>
      </c>
      <c r="AE323" s="147" t="str">
        <f t="shared" si="111"/>
        <v/>
      </c>
      <c r="AF323" s="111" t="str">
        <f t="shared" si="112"/>
        <v/>
      </c>
      <c r="AG323" s="111" t="str">
        <f t="shared" si="113"/>
        <v/>
      </c>
      <c r="AH323" s="112" t="str">
        <f t="shared" si="114"/>
        <v/>
      </c>
      <c r="AI323" t="str">
        <f t="shared" si="119"/>
        <v/>
      </c>
      <c r="AJ323" t="str">
        <f t="shared" si="121"/>
        <v/>
      </c>
    </row>
    <row r="324" spans="1:36" ht="15" customHeight="1" x14ac:dyDescent="0.25">
      <c r="A324" s="114"/>
      <c r="B324" s="116"/>
      <c r="C324" s="116"/>
      <c r="D324" s="42" t="str">
        <f t="shared" si="98"/>
        <v/>
      </c>
      <c r="E324" s="43"/>
      <c r="F324" s="118"/>
      <c r="G324" s="44" t="str">
        <f t="shared" si="99"/>
        <v/>
      </c>
      <c r="H324" s="118"/>
      <c r="I324" s="34" t="str">
        <f t="shared" si="100"/>
        <v/>
      </c>
      <c r="J324" s="118"/>
      <c r="K324" s="34" t="str">
        <f t="shared" si="101"/>
        <v/>
      </c>
      <c r="L324" s="118"/>
      <c r="M324" s="121"/>
      <c r="N324" s="122" t="str">
        <f t="shared" si="102"/>
        <v/>
      </c>
      <c r="O324" s="35" t="str">
        <f t="shared" si="103"/>
        <v/>
      </c>
      <c r="P324" s="124"/>
      <c r="Q324" s="36" t="str">
        <f t="shared" si="115"/>
        <v/>
      </c>
      <c r="R324" s="46" t="str">
        <f t="shared" si="104"/>
        <v/>
      </c>
      <c r="S324" s="38" t="str">
        <f t="shared" si="105"/>
        <v/>
      </c>
      <c r="T324" s="39" t="str">
        <f t="shared" si="106"/>
        <v/>
      </c>
      <c r="U324" s="40" t="str">
        <f t="shared" si="107"/>
        <v/>
      </c>
      <c r="V324" s="39" t="str">
        <f t="shared" si="108"/>
        <v/>
      </c>
      <c r="W324" s="34" t="str">
        <f t="shared" si="109"/>
        <v/>
      </c>
      <c r="X324" s="41" t="str">
        <f t="shared" si="116"/>
        <v/>
      </c>
      <c r="Y324" s="98" t="str">
        <f t="shared" si="110"/>
        <v/>
      </c>
      <c r="Z324" s="16" t="str">
        <f t="shared" si="117"/>
        <v/>
      </c>
      <c r="AB324" s="139"/>
      <c r="AC324" s="146" t="str">
        <f t="shared" si="120"/>
        <v/>
      </c>
      <c r="AD324" s="148" t="str">
        <f t="shared" si="118"/>
        <v/>
      </c>
      <c r="AE324" s="147" t="str">
        <f t="shared" si="111"/>
        <v/>
      </c>
      <c r="AF324" s="111" t="str">
        <f t="shared" si="112"/>
        <v/>
      </c>
      <c r="AG324" s="111" t="str">
        <f t="shared" si="113"/>
        <v/>
      </c>
      <c r="AH324" s="112" t="str">
        <f t="shared" si="114"/>
        <v/>
      </c>
      <c r="AI324" t="str">
        <f t="shared" si="119"/>
        <v/>
      </c>
      <c r="AJ324" t="str">
        <f t="shared" si="121"/>
        <v/>
      </c>
    </row>
    <row r="325" spans="1:36" ht="15" customHeight="1" x14ac:dyDescent="0.25">
      <c r="A325" s="114"/>
      <c r="B325" s="116"/>
      <c r="C325" s="116"/>
      <c r="D325" s="42" t="str">
        <f t="shared" si="98"/>
        <v/>
      </c>
      <c r="E325" s="43"/>
      <c r="F325" s="118"/>
      <c r="G325" s="44" t="str">
        <f t="shared" si="99"/>
        <v/>
      </c>
      <c r="H325" s="118"/>
      <c r="I325" s="34" t="str">
        <f t="shared" si="100"/>
        <v/>
      </c>
      <c r="J325" s="118"/>
      <c r="K325" s="34" t="str">
        <f t="shared" si="101"/>
        <v/>
      </c>
      <c r="L325" s="118"/>
      <c r="M325" s="121"/>
      <c r="N325" s="122" t="str">
        <f t="shared" si="102"/>
        <v/>
      </c>
      <c r="O325" s="35" t="str">
        <f t="shared" si="103"/>
        <v/>
      </c>
      <c r="P325" s="124"/>
      <c r="Q325" s="36" t="str">
        <f t="shared" si="115"/>
        <v/>
      </c>
      <c r="R325" s="46" t="str">
        <f t="shared" si="104"/>
        <v/>
      </c>
      <c r="S325" s="38" t="str">
        <f t="shared" si="105"/>
        <v/>
      </c>
      <c r="T325" s="39" t="str">
        <f t="shared" si="106"/>
        <v/>
      </c>
      <c r="U325" s="40" t="str">
        <f t="shared" si="107"/>
        <v/>
      </c>
      <c r="V325" s="39" t="str">
        <f t="shared" si="108"/>
        <v/>
      </c>
      <c r="W325" s="34" t="str">
        <f t="shared" si="109"/>
        <v/>
      </c>
      <c r="X325" s="41" t="str">
        <f t="shared" si="116"/>
        <v/>
      </c>
      <c r="Y325" s="98" t="str">
        <f t="shared" si="110"/>
        <v/>
      </c>
      <c r="Z325" s="16" t="str">
        <f t="shared" si="117"/>
        <v/>
      </c>
      <c r="AB325" s="139"/>
      <c r="AC325" s="146" t="str">
        <f t="shared" si="120"/>
        <v/>
      </c>
      <c r="AD325" s="148" t="str">
        <f t="shared" si="118"/>
        <v/>
      </c>
      <c r="AE325" s="147" t="str">
        <f t="shared" si="111"/>
        <v/>
      </c>
      <c r="AF325" s="111" t="str">
        <f t="shared" si="112"/>
        <v/>
      </c>
      <c r="AG325" s="111" t="str">
        <f t="shared" si="113"/>
        <v/>
      </c>
      <c r="AH325" s="112" t="str">
        <f t="shared" si="114"/>
        <v/>
      </c>
      <c r="AI325" t="str">
        <f t="shared" si="119"/>
        <v/>
      </c>
      <c r="AJ325" t="str">
        <f t="shared" si="121"/>
        <v/>
      </c>
    </row>
    <row r="326" spans="1:36" ht="15" customHeight="1" x14ac:dyDescent="0.25">
      <c r="A326" s="114"/>
      <c r="B326" s="116"/>
      <c r="C326" s="116"/>
      <c r="D326" s="42" t="str">
        <f t="shared" si="98"/>
        <v/>
      </c>
      <c r="E326" s="43"/>
      <c r="F326" s="118"/>
      <c r="G326" s="44" t="str">
        <f t="shared" si="99"/>
        <v/>
      </c>
      <c r="H326" s="118"/>
      <c r="I326" s="34" t="str">
        <f t="shared" si="100"/>
        <v/>
      </c>
      <c r="J326" s="118"/>
      <c r="K326" s="34" t="str">
        <f t="shared" si="101"/>
        <v/>
      </c>
      <c r="L326" s="118"/>
      <c r="M326" s="121"/>
      <c r="N326" s="122" t="str">
        <f t="shared" si="102"/>
        <v/>
      </c>
      <c r="O326" s="35" t="str">
        <f t="shared" si="103"/>
        <v/>
      </c>
      <c r="P326" s="124"/>
      <c r="Q326" s="36" t="str">
        <f t="shared" si="115"/>
        <v/>
      </c>
      <c r="R326" s="46" t="str">
        <f t="shared" si="104"/>
        <v/>
      </c>
      <c r="S326" s="38" t="str">
        <f t="shared" si="105"/>
        <v/>
      </c>
      <c r="T326" s="39" t="str">
        <f t="shared" si="106"/>
        <v/>
      </c>
      <c r="U326" s="40" t="str">
        <f t="shared" si="107"/>
        <v/>
      </c>
      <c r="V326" s="39" t="str">
        <f t="shared" si="108"/>
        <v/>
      </c>
      <c r="W326" s="34" t="str">
        <f t="shared" si="109"/>
        <v/>
      </c>
      <c r="X326" s="41" t="str">
        <f t="shared" si="116"/>
        <v/>
      </c>
      <c r="Y326" s="98" t="str">
        <f t="shared" si="110"/>
        <v/>
      </c>
      <c r="Z326" s="16" t="str">
        <f t="shared" si="117"/>
        <v/>
      </c>
      <c r="AB326" s="139"/>
      <c r="AC326" s="146" t="str">
        <f t="shared" si="120"/>
        <v/>
      </c>
      <c r="AD326" s="148" t="str">
        <f t="shared" si="118"/>
        <v/>
      </c>
      <c r="AE326" s="147" t="str">
        <f t="shared" si="111"/>
        <v/>
      </c>
      <c r="AF326" s="111" t="str">
        <f t="shared" si="112"/>
        <v/>
      </c>
      <c r="AG326" s="111" t="str">
        <f t="shared" si="113"/>
        <v/>
      </c>
      <c r="AH326" s="112" t="str">
        <f t="shared" si="114"/>
        <v/>
      </c>
      <c r="AI326" t="str">
        <f t="shared" si="119"/>
        <v/>
      </c>
      <c r="AJ326" t="str">
        <f t="shared" si="121"/>
        <v/>
      </c>
    </row>
    <row r="327" spans="1:36" ht="15" customHeight="1" x14ac:dyDescent="0.25">
      <c r="A327" s="114"/>
      <c r="B327" s="116"/>
      <c r="C327" s="116"/>
      <c r="D327" s="42" t="str">
        <f t="shared" si="98"/>
        <v/>
      </c>
      <c r="E327" s="43"/>
      <c r="F327" s="118"/>
      <c r="G327" s="44" t="str">
        <f t="shared" si="99"/>
        <v/>
      </c>
      <c r="H327" s="118"/>
      <c r="I327" s="34" t="str">
        <f t="shared" si="100"/>
        <v/>
      </c>
      <c r="J327" s="118"/>
      <c r="K327" s="34" t="str">
        <f t="shared" si="101"/>
        <v/>
      </c>
      <c r="L327" s="118"/>
      <c r="M327" s="121"/>
      <c r="N327" s="122" t="str">
        <f t="shared" si="102"/>
        <v/>
      </c>
      <c r="O327" s="35" t="str">
        <f t="shared" si="103"/>
        <v/>
      </c>
      <c r="P327" s="124"/>
      <c r="Q327" s="36" t="str">
        <f t="shared" si="115"/>
        <v/>
      </c>
      <c r="R327" s="46" t="str">
        <f t="shared" si="104"/>
        <v/>
      </c>
      <c r="S327" s="38" t="str">
        <f t="shared" si="105"/>
        <v/>
      </c>
      <c r="T327" s="39" t="str">
        <f t="shared" si="106"/>
        <v/>
      </c>
      <c r="U327" s="40" t="str">
        <f t="shared" si="107"/>
        <v/>
      </c>
      <c r="V327" s="39" t="str">
        <f t="shared" si="108"/>
        <v/>
      </c>
      <c r="W327" s="34" t="str">
        <f t="shared" si="109"/>
        <v/>
      </c>
      <c r="X327" s="41" t="str">
        <f t="shared" si="116"/>
        <v/>
      </c>
      <c r="Y327" s="98" t="str">
        <f t="shared" si="110"/>
        <v/>
      </c>
      <c r="Z327" s="16" t="str">
        <f t="shared" si="117"/>
        <v/>
      </c>
      <c r="AB327" s="139"/>
      <c r="AC327" s="146" t="str">
        <f t="shared" si="120"/>
        <v/>
      </c>
      <c r="AD327" s="148" t="str">
        <f t="shared" si="118"/>
        <v/>
      </c>
      <c r="AE327" s="147" t="str">
        <f t="shared" si="111"/>
        <v/>
      </c>
      <c r="AF327" s="111" t="str">
        <f t="shared" si="112"/>
        <v/>
      </c>
      <c r="AG327" s="111" t="str">
        <f t="shared" si="113"/>
        <v/>
      </c>
      <c r="AH327" s="112" t="str">
        <f t="shared" si="114"/>
        <v/>
      </c>
      <c r="AI327" t="str">
        <f t="shared" si="119"/>
        <v/>
      </c>
      <c r="AJ327" t="str">
        <f t="shared" si="121"/>
        <v/>
      </c>
    </row>
    <row r="328" spans="1:36" ht="15" customHeight="1" x14ac:dyDescent="0.25">
      <c r="A328" s="114"/>
      <c r="B328" s="116"/>
      <c r="C328" s="116"/>
      <c r="D328" s="42" t="str">
        <f t="shared" ref="D328:D391" si="122">IF(A328="","",B328*C328)</f>
        <v/>
      </c>
      <c r="E328" s="43"/>
      <c r="F328" s="118"/>
      <c r="G328" s="44" t="str">
        <f t="shared" ref="G328:G391" si="123">IF(A328="","",F328*B328)</f>
        <v/>
      </c>
      <c r="H328" s="118"/>
      <c r="I328" s="34" t="str">
        <f t="shared" ref="I328:I391" si="124">IF(OR(H328=0,C328=0,H328="",C328=""),"",H328/C328)</f>
        <v/>
      </c>
      <c r="J328" s="118"/>
      <c r="K328" s="34" t="str">
        <f t="shared" ref="K328:K391" si="125">IF(OR(J328=0,C328=0,J328="",C328=""),"",J328/C328)</f>
        <v/>
      </c>
      <c r="L328" s="118"/>
      <c r="M328" s="121"/>
      <c r="N328" s="122" t="str">
        <f t="shared" ref="N328:N391" si="126">IF(A328="","",IF(P328&gt;0,IF(G328&gt;0,P328/G328,0),IF(E328&gt;0,0,IF($I$3&gt;0,IF($I$4&gt;0,MAX($I$3-SUM($P$8:$P$1007),0)/$I$4,0),$I$2))))</f>
        <v/>
      </c>
      <c r="O328" s="35" t="str">
        <f t="shared" ref="O328:O391" si="127">IF(A328="","",IF(P328&gt;0,P328,IF(E328&gt;0,0,G328*IF($I$3&gt;0,IF($I$4&gt;0,MAX($I$3-SUM($P$8:$P$1007),0)/$I$4,0),$I$2))))</f>
        <v/>
      </c>
      <c r="P328" s="124"/>
      <c r="Q328" s="36" t="str">
        <f t="shared" si="115"/>
        <v/>
      </c>
      <c r="R328" s="46" t="str">
        <f t="shared" ref="R328:R391" si="128">IF(OR(A328="",Q328=""),"",Q328*C328)</f>
        <v/>
      </c>
      <c r="S328" s="38" t="str">
        <f t="shared" ref="S328:S391" si="129">IF(OR(A328="",H328&lt;=0,R328=""),"",(H328-R328)/H328)</f>
        <v/>
      </c>
      <c r="T328" s="39" t="str">
        <f t="shared" ref="T328:T391" si="130">IF(OR(H328=0,R328=0,H328="",R328=""),"",H328-R328)</f>
        <v/>
      </c>
      <c r="U328" s="40" t="str">
        <f t="shared" ref="U328:U391" si="131">IF(OR(A328="",J328&lt;=0,R328=""),"",(J328-R328)/J328)</f>
        <v/>
      </c>
      <c r="V328" s="39" t="str">
        <f t="shared" ref="V328:V391" si="132">IF(OR(J328=0,R328=0,J328="",R328=""),"",J328-R328)</f>
        <v/>
      </c>
      <c r="W328" s="34" t="str">
        <f t="shared" ref="W328:W391" si="133">IF(OR(G328="",G328=0,$M$5="",$K$3=0),"",($M$5/$K$3)*G328)</f>
        <v/>
      </c>
      <c r="X328" s="41" t="str">
        <f t="shared" si="116"/>
        <v/>
      </c>
      <c r="Y328" s="98" t="str">
        <f t="shared" ref="Y328:Y391" si="134">IF(OR(Q328=0,Q328="",D328=0,D328=""),"",Q328*(D328+E328))</f>
        <v/>
      </c>
      <c r="Z328" s="16" t="str">
        <f t="shared" si="117"/>
        <v/>
      </c>
      <c r="AB328" s="139"/>
      <c r="AC328" s="146" t="str">
        <f t="shared" si="120"/>
        <v/>
      </c>
      <c r="AD328" s="148" t="str">
        <f t="shared" si="118"/>
        <v/>
      </c>
      <c r="AE328" s="147" t="str">
        <f t="shared" ref="AE328:AE391" si="135">IF(AD328="","",AD328*$AC$1+IF(SUM($AD$8:$AD$1007)=0,0,$AC$2*AD328/SUM($AD$8:$AD$1007)))</f>
        <v/>
      </c>
      <c r="AF328" s="111" t="str">
        <f t="shared" ref="AF328:AF391" si="136">IF(AD328="","",AD328-AE328)</f>
        <v/>
      </c>
      <c r="AG328" s="111" t="str">
        <f t="shared" ref="AG328:AG391" si="137">IF(AF328="","",AH328-AF328)</f>
        <v/>
      </c>
      <c r="AH328" s="112" t="str">
        <f t="shared" ref="AH328:AH391" si="138">IF(AF328="","",ROUND(AF328,0))</f>
        <v/>
      </c>
      <c r="AI328" t="str">
        <f t="shared" si="119"/>
        <v/>
      </c>
      <c r="AJ328" t="str">
        <f t="shared" si="121"/>
        <v/>
      </c>
    </row>
    <row r="329" spans="1:36" ht="15" customHeight="1" x14ac:dyDescent="0.25">
      <c r="A329" s="114"/>
      <c r="B329" s="116"/>
      <c r="C329" s="116"/>
      <c r="D329" s="42" t="str">
        <f t="shared" si="122"/>
        <v/>
      </c>
      <c r="E329" s="43"/>
      <c r="F329" s="118"/>
      <c r="G329" s="44" t="str">
        <f t="shared" si="123"/>
        <v/>
      </c>
      <c r="H329" s="118"/>
      <c r="I329" s="34" t="str">
        <f t="shared" si="124"/>
        <v/>
      </c>
      <c r="J329" s="118"/>
      <c r="K329" s="34" t="str">
        <f t="shared" si="125"/>
        <v/>
      </c>
      <c r="L329" s="118"/>
      <c r="M329" s="121"/>
      <c r="N329" s="122" t="str">
        <f t="shared" si="126"/>
        <v/>
      </c>
      <c r="O329" s="35" t="str">
        <f t="shared" si="127"/>
        <v/>
      </c>
      <c r="P329" s="124"/>
      <c r="Q329" s="36" t="str">
        <f t="shared" ref="Q329:Q392" si="139">IF(A329="","",IF(OR(B329=0,B329="",C329&lt;=0,D329+E329&lt;=0),"",(G329-O329)/(D329+E329)-IF(W329&gt;=0,W329/D329,0)+IF(ISNUMBER(X329),X329/(D329+E329),0)))</f>
        <v/>
      </c>
      <c r="R329" s="46" t="str">
        <f t="shared" si="128"/>
        <v/>
      </c>
      <c r="S329" s="38" t="str">
        <f t="shared" si="129"/>
        <v/>
      </c>
      <c r="T329" s="39" t="str">
        <f t="shared" si="130"/>
        <v/>
      </c>
      <c r="U329" s="40" t="str">
        <f t="shared" si="131"/>
        <v/>
      </c>
      <c r="V329" s="39" t="str">
        <f t="shared" si="132"/>
        <v/>
      </c>
      <c r="W329" s="34" t="str">
        <f t="shared" si="133"/>
        <v/>
      </c>
      <c r="X329" s="41" t="str">
        <f t="shared" ref="X329:X392" si="140">IF(OR(G329="",G329=0,($K$3-$K$2)=0),"",($I$1/($K$3-$K$2))*(G329-O329))</f>
        <v/>
      </c>
      <c r="Y329" s="98" t="str">
        <f t="shared" si="134"/>
        <v/>
      </c>
      <c r="Z329" s="16" t="str">
        <f t="shared" ref="Z329:Z392" si="141">IF(OR(B329=0,B329=""),"",G329)</f>
        <v/>
      </c>
      <c r="AB329" s="139"/>
      <c r="AC329" s="146" t="str">
        <f t="shared" si="120"/>
        <v/>
      </c>
      <c r="AD329" s="148" t="str">
        <f t="shared" ref="AD329:AD392" si="142">IF(OR(AB329="",AC329=""),"",AB329*AC329)</f>
        <v/>
      </c>
      <c r="AE329" s="147" t="str">
        <f t="shared" si="135"/>
        <v/>
      </c>
      <c r="AF329" s="111" t="str">
        <f t="shared" si="136"/>
        <v/>
      </c>
      <c r="AG329" s="111" t="str">
        <f t="shared" si="137"/>
        <v/>
      </c>
      <c r="AH329" s="112" t="str">
        <f t="shared" si="138"/>
        <v/>
      </c>
      <c r="AI329" t="str">
        <f t="shared" ref="AI329:AI392" si="143">IF(OR(AB329=0,AB329=""),"",AE329/AB329)</f>
        <v/>
      </c>
      <c r="AJ329" t="str">
        <f t="shared" si="121"/>
        <v/>
      </c>
    </row>
    <row r="330" spans="1:36" ht="15" customHeight="1" x14ac:dyDescent="0.25">
      <c r="A330" s="114"/>
      <c r="B330" s="116"/>
      <c r="C330" s="116"/>
      <c r="D330" s="42" t="str">
        <f t="shared" si="122"/>
        <v/>
      </c>
      <c r="E330" s="43"/>
      <c r="F330" s="118"/>
      <c r="G330" s="44" t="str">
        <f t="shared" si="123"/>
        <v/>
      </c>
      <c r="H330" s="118"/>
      <c r="I330" s="34" t="str">
        <f t="shared" si="124"/>
        <v/>
      </c>
      <c r="J330" s="118"/>
      <c r="K330" s="34" t="str">
        <f t="shared" si="125"/>
        <v/>
      </c>
      <c r="L330" s="118"/>
      <c r="M330" s="121"/>
      <c r="N330" s="122" t="str">
        <f t="shared" si="126"/>
        <v/>
      </c>
      <c r="O330" s="35" t="str">
        <f t="shared" si="127"/>
        <v/>
      </c>
      <c r="P330" s="124"/>
      <c r="Q330" s="36" t="str">
        <f t="shared" si="139"/>
        <v/>
      </c>
      <c r="R330" s="46" t="str">
        <f t="shared" si="128"/>
        <v/>
      </c>
      <c r="S330" s="38" t="str">
        <f t="shared" si="129"/>
        <v/>
      </c>
      <c r="T330" s="39" t="str">
        <f t="shared" si="130"/>
        <v/>
      </c>
      <c r="U330" s="40" t="str">
        <f t="shared" si="131"/>
        <v/>
      </c>
      <c r="V330" s="39" t="str">
        <f t="shared" si="132"/>
        <v/>
      </c>
      <c r="W330" s="34" t="str">
        <f t="shared" si="133"/>
        <v/>
      </c>
      <c r="X330" s="41" t="str">
        <f t="shared" si="140"/>
        <v/>
      </c>
      <c r="Y330" s="98" t="str">
        <f t="shared" si="134"/>
        <v/>
      </c>
      <c r="Z330" s="16" t="str">
        <f t="shared" si="141"/>
        <v/>
      </c>
      <c r="AB330" s="139"/>
      <c r="AC330" s="146" t="str">
        <f t="shared" si="120"/>
        <v/>
      </c>
      <c r="AD330" s="148" t="str">
        <f t="shared" si="142"/>
        <v/>
      </c>
      <c r="AE330" s="147" t="str">
        <f t="shared" si="135"/>
        <v/>
      </c>
      <c r="AF330" s="111" t="str">
        <f t="shared" si="136"/>
        <v/>
      </c>
      <c r="AG330" s="111" t="str">
        <f t="shared" si="137"/>
        <v/>
      </c>
      <c r="AH330" s="112" t="str">
        <f t="shared" si="138"/>
        <v/>
      </c>
      <c r="AI330" t="str">
        <f t="shared" si="143"/>
        <v/>
      </c>
      <c r="AJ330" t="str">
        <f t="shared" si="121"/>
        <v/>
      </c>
    </row>
    <row r="331" spans="1:36" ht="15" customHeight="1" x14ac:dyDescent="0.25">
      <c r="A331" s="114"/>
      <c r="B331" s="116"/>
      <c r="C331" s="116"/>
      <c r="D331" s="42" t="str">
        <f t="shared" si="122"/>
        <v/>
      </c>
      <c r="E331" s="43"/>
      <c r="F331" s="118"/>
      <c r="G331" s="44" t="str">
        <f t="shared" si="123"/>
        <v/>
      </c>
      <c r="H331" s="118"/>
      <c r="I331" s="34" t="str">
        <f t="shared" si="124"/>
        <v/>
      </c>
      <c r="J331" s="118"/>
      <c r="K331" s="34" t="str">
        <f t="shared" si="125"/>
        <v/>
      </c>
      <c r="L331" s="118"/>
      <c r="M331" s="121"/>
      <c r="N331" s="122" t="str">
        <f t="shared" si="126"/>
        <v/>
      </c>
      <c r="O331" s="35" t="str">
        <f t="shared" si="127"/>
        <v/>
      </c>
      <c r="P331" s="124"/>
      <c r="Q331" s="36" t="str">
        <f t="shared" si="139"/>
        <v/>
      </c>
      <c r="R331" s="46" t="str">
        <f t="shared" si="128"/>
        <v/>
      </c>
      <c r="S331" s="38" t="str">
        <f t="shared" si="129"/>
        <v/>
      </c>
      <c r="T331" s="39" t="str">
        <f t="shared" si="130"/>
        <v/>
      </c>
      <c r="U331" s="40" t="str">
        <f t="shared" si="131"/>
        <v/>
      </c>
      <c r="V331" s="39" t="str">
        <f t="shared" si="132"/>
        <v/>
      </c>
      <c r="W331" s="34" t="str">
        <f t="shared" si="133"/>
        <v/>
      </c>
      <c r="X331" s="41" t="str">
        <f t="shared" si="140"/>
        <v/>
      </c>
      <c r="Y331" s="98" t="str">
        <f t="shared" si="134"/>
        <v/>
      </c>
      <c r="Z331" s="16" t="str">
        <f t="shared" si="141"/>
        <v/>
      </c>
      <c r="AB331" s="139"/>
      <c r="AC331" s="146" t="str">
        <f t="shared" si="120"/>
        <v/>
      </c>
      <c r="AD331" s="148" t="str">
        <f t="shared" si="142"/>
        <v/>
      </c>
      <c r="AE331" s="147" t="str">
        <f t="shared" si="135"/>
        <v/>
      </c>
      <c r="AF331" s="111" t="str">
        <f t="shared" si="136"/>
        <v/>
      </c>
      <c r="AG331" s="111" t="str">
        <f t="shared" si="137"/>
        <v/>
      </c>
      <c r="AH331" s="112" t="str">
        <f t="shared" si="138"/>
        <v/>
      </c>
      <c r="AI331" t="str">
        <f t="shared" si="143"/>
        <v/>
      </c>
      <c r="AJ331" t="str">
        <f t="shared" si="121"/>
        <v/>
      </c>
    </row>
    <row r="332" spans="1:36" ht="15" customHeight="1" x14ac:dyDescent="0.25">
      <c r="A332" s="114"/>
      <c r="B332" s="116"/>
      <c r="C332" s="116"/>
      <c r="D332" s="42" t="str">
        <f t="shared" si="122"/>
        <v/>
      </c>
      <c r="E332" s="43"/>
      <c r="F332" s="118"/>
      <c r="G332" s="44" t="str">
        <f t="shared" si="123"/>
        <v/>
      </c>
      <c r="H332" s="118"/>
      <c r="I332" s="34" t="str">
        <f t="shared" si="124"/>
        <v/>
      </c>
      <c r="J332" s="118"/>
      <c r="K332" s="34" t="str">
        <f t="shared" si="125"/>
        <v/>
      </c>
      <c r="L332" s="118"/>
      <c r="M332" s="121"/>
      <c r="N332" s="122" t="str">
        <f t="shared" si="126"/>
        <v/>
      </c>
      <c r="O332" s="35" t="str">
        <f t="shared" si="127"/>
        <v/>
      </c>
      <c r="P332" s="124"/>
      <c r="Q332" s="36" t="str">
        <f t="shared" si="139"/>
        <v/>
      </c>
      <c r="R332" s="46" t="str">
        <f t="shared" si="128"/>
        <v/>
      </c>
      <c r="S332" s="38" t="str">
        <f t="shared" si="129"/>
        <v/>
      </c>
      <c r="T332" s="39" t="str">
        <f t="shared" si="130"/>
        <v/>
      </c>
      <c r="U332" s="40" t="str">
        <f t="shared" si="131"/>
        <v/>
      </c>
      <c r="V332" s="39" t="str">
        <f t="shared" si="132"/>
        <v/>
      </c>
      <c r="W332" s="34" t="str">
        <f t="shared" si="133"/>
        <v/>
      </c>
      <c r="X332" s="41" t="str">
        <f t="shared" si="140"/>
        <v/>
      </c>
      <c r="Y332" s="98" t="str">
        <f t="shared" si="134"/>
        <v/>
      </c>
      <c r="Z332" s="16" t="str">
        <f t="shared" si="141"/>
        <v/>
      </c>
      <c r="AB332" s="139"/>
      <c r="AC332" s="146" t="str">
        <f t="shared" ref="AC332:AC395" si="144">IF(AB332="","",Q332)</f>
        <v/>
      </c>
      <c r="AD332" s="148" t="str">
        <f t="shared" si="142"/>
        <v/>
      </c>
      <c r="AE332" s="147" t="str">
        <f t="shared" si="135"/>
        <v/>
      </c>
      <c r="AF332" s="111" t="str">
        <f t="shared" si="136"/>
        <v/>
      </c>
      <c r="AG332" s="111" t="str">
        <f t="shared" si="137"/>
        <v/>
      </c>
      <c r="AH332" s="112" t="str">
        <f t="shared" si="138"/>
        <v/>
      </c>
      <c r="AI332" t="str">
        <f t="shared" si="143"/>
        <v/>
      </c>
      <c r="AJ332" t="str">
        <f t="shared" ref="AJ332:AJ395" si="145">IF(OR(AB332=0,AB332=""),"",AC332*C332)</f>
        <v/>
      </c>
    </row>
    <row r="333" spans="1:36" ht="15" customHeight="1" x14ac:dyDescent="0.25">
      <c r="A333" s="114"/>
      <c r="B333" s="116"/>
      <c r="C333" s="116"/>
      <c r="D333" s="42" t="str">
        <f t="shared" si="122"/>
        <v/>
      </c>
      <c r="E333" s="43"/>
      <c r="F333" s="118"/>
      <c r="G333" s="44" t="str">
        <f t="shared" si="123"/>
        <v/>
      </c>
      <c r="H333" s="118"/>
      <c r="I333" s="34" t="str">
        <f t="shared" si="124"/>
        <v/>
      </c>
      <c r="J333" s="118"/>
      <c r="K333" s="34" t="str">
        <f t="shared" si="125"/>
        <v/>
      </c>
      <c r="L333" s="118"/>
      <c r="M333" s="121"/>
      <c r="N333" s="122" t="str">
        <f t="shared" si="126"/>
        <v/>
      </c>
      <c r="O333" s="35" t="str">
        <f t="shared" si="127"/>
        <v/>
      </c>
      <c r="P333" s="124"/>
      <c r="Q333" s="36" t="str">
        <f t="shared" si="139"/>
        <v/>
      </c>
      <c r="R333" s="46" t="str">
        <f t="shared" si="128"/>
        <v/>
      </c>
      <c r="S333" s="38" t="str">
        <f t="shared" si="129"/>
        <v/>
      </c>
      <c r="T333" s="39" t="str">
        <f t="shared" si="130"/>
        <v/>
      </c>
      <c r="U333" s="40" t="str">
        <f t="shared" si="131"/>
        <v/>
      </c>
      <c r="V333" s="39" t="str">
        <f t="shared" si="132"/>
        <v/>
      </c>
      <c r="W333" s="34" t="str">
        <f t="shared" si="133"/>
        <v/>
      </c>
      <c r="X333" s="41" t="str">
        <f t="shared" si="140"/>
        <v/>
      </c>
      <c r="Y333" s="98" t="str">
        <f t="shared" si="134"/>
        <v/>
      </c>
      <c r="Z333" s="16" t="str">
        <f t="shared" si="141"/>
        <v/>
      </c>
      <c r="AB333" s="139"/>
      <c r="AC333" s="146" t="str">
        <f t="shared" si="144"/>
        <v/>
      </c>
      <c r="AD333" s="148" t="str">
        <f t="shared" si="142"/>
        <v/>
      </c>
      <c r="AE333" s="147" t="str">
        <f t="shared" si="135"/>
        <v/>
      </c>
      <c r="AF333" s="111" t="str">
        <f t="shared" si="136"/>
        <v/>
      </c>
      <c r="AG333" s="111" t="str">
        <f t="shared" si="137"/>
        <v/>
      </c>
      <c r="AH333" s="112" t="str">
        <f t="shared" si="138"/>
        <v/>
      </c>
      <c r="AI333" t="str">
        <f t="shared" si="143"/>
        <v/>
      </c>
      <c r="AJ333" t="str">
        <f t="shared" si="145"/>
        <v/>
      </c>
    </row>
    <row r="334" spans="1:36" ht="15" customHeight="1" x14ac:dyDescent="0.25">
      <c r="A334" s="114"/>
      <c r="B334" s="116"/>
      <c r="C334" s="116"/>
      <c r="D334" s="42" t="str">
        <f t="shared" si="122"/>
        <v/>
      </c>
      <c r="E334" s="43"/>
      <c r="F334" s="118"/>
      <c r="G334" s="44" t="str">
        <f t="shared" si="123"/>
        <v/>
      </c>
      <c r="H334" s="118"/>
      <c r="I334" s="34" t="str">
        <f t="shared" si="124"/>
        <v/>
      </c>
      <c r="J334" s="118"/>
      <c r="K334" s="34" t="str">
        <f t="shared" si="125"/>
        <v/>
      </c>
      <c r="L334" s="118"/>
      <c r="M334" s="121"/>
      <c r="N334" s="122" t="str">
        <f t="shared" si="126"/>
        <v/>
      </c>
      <c r="O334" s="35" t="str">
        <f t="shared" si="127"/>
        <v/>
      </c>
      <c r="P334" s="124"/>
      <c r="Q334" s="36" t="str">
        <f t="shared" si="139"/>
        <v/>
      </c>
      <c r="R334" s="46" t="str">
        <f t="shared" si="128"/>
        <v/>
      </c>
      <c r="S334" s="38" t="str">
        <f t="shared" si="129"/>
        <v/>
      </c>
      <c r="T334" s="39" t="str">
        <f t="shared" si="130"/>
        <v/>
      </c>
      <c r="U334" s="40" t="str">
        <f t="shared" si="131"/>
        <v/>
      </c>
      <c r="V334" s="39" t="str">
        <f t="shared" si="132"/>
        <v/>
      </c>
      <c r="W334" s="34" t="str">
        <f t="shared" si="133"/>
        <v/>
      </c>
      <c r="X334" s="41" t="str">
        <f t="shared" si="140"/>
        <v/>
      </c>
      <c r="Y334" s="98" t="str">
        <f t="shared" si="134"/>
        <v/>
      </c>
      <c r="Z334" s="16" t="str">
        <f t="shared" si="141"/>
        <v/>
      </c>
      <c r="AB334" s="139"/>
      <c r="AC334" s="146" t="str">
        <f t="shared" si="144"/>
        <v/>
      </c>
      <c r="AD334" s="148" t="str">
        <f t="shared" si="142"/>
        <v/>
      </c>
      <c r="AE334" s="147" t="str">
        <f t="shared" si="135"/>
        <v/>
      </c>
      <c r="AF334" s="111" t="str">
        <f t="shared" si="136"/>
        <v/>
      </c>
      <c r="AG334" s="111" t="str">
        <f t="shared" si="137"/>
        <v/>
      </c>
      <c r="AH334" s="112" t="str">
        <f t="shared" si="138"/>
        <v/>
      </c>
      <c r="AI334" t="str">
        <f t="shared" si="143"/>
        <v/>
      </c>
      <c r="AJ334" t="str">
        <f t="shared" si="145"/>
        <v/>
      </c>
    </row>
    <row r="335" spans="1:36" ht="15" customHeight="1" x14ac:dyDescent="0.25">
      <c r="A335" s="114"/>
      <c r="B335" s="116"/>
      <c r="C335" s="116"/>
      <c r="D335" s="42" t="str">
        <f t="shared" si="122"/>
        <v/>
      </c>
      <c r="E335" s="43"/>
      <c r="F335" s="118"/>
      <c r="G335" s="44" t="str">
        <f t="shared" si="123"/>
        <v/>
      </c>
      <c r="H335" s="118"/>
      <c r="I335" s="34" t="str">
        <f t="shared" si="124"/>
        <v/>
      </c>
      <c r="J335" s="118"/>
      <c r="K335" s="34" t="str">
        <f t="shared" si="125"/>
        <v/>
      </c>
      <c r="L335" s="118"/>
      <c r="M335" s="121"/>
      <c r="N335" s="122" t="str">
        <f t="shared" si="126"/>
        <v/>
      </c>
      <c r="O335" s="35" t="str">
        <f t="shared" si="127"/>
        <v/>
      </c>
      <c r="P335" s="124"/>
      <c r="Q335" s="36" t="str">
        <f t="shared" si="139"/>
        <v/>
      </c>
      <c r="R335" s="46" t="str">
        <f t="shared" si="128"/>
        <v/>
      </c>
      <c r="S335" s="38" t="str">
        <f t="shared" si="129"/>
        <v/>
      </c>
      <c r="T335" s="39" t="str">
        <f t="shared" si="130"/>
        <v/>
      </c>
      <c r="U335" s="40" t="str">
        <f t="shared" si="131"/>
        <v/>
      </c>
      <c r="V335" s="39" t="str">
        <f t="shared" si="132"/>
        <v/>
      </c>
      <c r="W335" s="34" t="str">
        <f t="shared" si="133"/>
        <v/>
      </c>
      <c r="X335" s="41" t="str">
        <f t="shared" si="140"/>
        <v/>
      </c>
      <c r="Y335" s="98" t="str">
        <f t="shared" si="134"/>
        <v/>
      </c>
      <c r="Z335" s="16" t="str">
        <f t="shared" si="141"/>
        <v/>
      </c>
      <c r="AB335" s="139"/>
      <c r="AC335" s="146" t="str">
        <f t="shared" si="144"/>
        <v/>
      </c>
      <c r="AD335" s="148" t="str">
        <f t="shared" si="142"/>
        <v/>
      </c>
      <c r="AE335" s="147" t="str">
        <f t="shared" si="135"/>
        <v/>
      </c>
      <c r="AF335" s="111" t="str">
        <f t="shared" si="136"/>
        <v/>
      </c>
      <c r="AG335" s="111" t="str">
        <f t="shared" si="137"/>
        <v/>
      </c>
      <c r="AH335" s="112" t="str">
        <f t="shared" si="138"/>
        <v/>
      </c>
      <c r="AI335" t="str">
        <f t="shared" si="143"/>
        <v/>
      </c>
      <c r="AJ335" t="str">
        <f t="shared" si="145"/>
        <v/>
      </c>
    </row>
    <row r="336" spans="1:36" ht="15" customHeight="1" x14ac:dyDescent="0.25">
      <c r="A336" s="114"/>
      <c r="B336" s="116"/>
      <c r="C336" s="116"/>
      <c r="D336" s="42" t="str">
        <f t="shared" si="122"/>
        <v/>
      </c>
      <c r="E336" s="43"/>
      <c r="F336" s="118"/>
      <c r="G336" s="44" t="str">
        <f t="shared" si="123"/>
        <v/>
      </c>
      <c r="H336" s="118"/>
      <c r="I336" s="34" t="str">
        <f t="shared" si="124"/>
        <v/>
      </c>
      <c r="J336" s="118"/>
      <c r="K336" s="34" t="str">
        <f t="shared" si="125"/>
        <v/>
      </c>
      <c r="L336" s="118"/>
      <c r="M336" s="121"/>
      <c r="N336" s="122" t="str">
        <f t="shared" si="126"/>
        <v/>
      </c>
      <c r="O336" s="35" t="str">
        <f t="shared" si="127"/>
        <v/>
      </c>
      <c r="P336" s="124"/>
      <c r="Q336" s="36" t="str">
        <f t="shared" si="139"/>
        <v/>
      </c>
      <c r="R336" s="46" t="str">
        <f t="shared" si="128"/>
        <v/>
      </c>
      <c r="S336" s="38" t="str">
        <f t="shared" si="129"/>
        <v/>
      </c>
      <c r="T336" s="39" t="str">
        <f t="shared" si="130"/>
        <v/>
      </c>
      <c r="U336" s="40" t="str">
        <f t="shared" si="131"/>
        <v/>
      </c>
      <c r="V336" s="39" t="str">
        <f t="shared" si="132"/>
        <v/>
      </c>
      <c r="W336" s="34" t="str">
        <f t="shared" si="133"/>
        <v/>
      </c>
      <c r="X336" s="41" t="str">
        <f t="shared" si="140"/>
        <v/>
      </c>
      <c r="Y336" s="98" t="str">
        <f t="shared" si="134"/>
        <v/>
      </c>
      <c r="Z336" s="16" t="str">
        <f t="shared" si="141"/>
        <v/>
      </c>
      <c r="AB336" s="139"/>
      <c r="AC336" s="146" t="str">
        <f t="shared" si="144"/>
        <v/>
      </c>
      <c r="AD336" s="148" t="str">
        <f t="shared" si="142"/>
        <v/>
      </c>
      <c r="AE336" s="147" t="str">
        <f t="shared" si="135"/>
        <v/>
      </c>
      <c r="AF336" s="111" t="str">
        <f t="shared" si="136"/>
        <v/>
      </c>
      <c r="AG336" s="111" t="str">
        <f t="shared" si="137"/>
        <v/>
      </c>
      <c r="AH336" s="112" t="str">
        <f t="shared" si="138"/>
        <v/>
      </c>
      <c r="AI336" t="str">
        <f t="shared" si="143"/>
        <v/>
      </c>
      <c r="AJ336" t="str">
        <f t="shared" si="145"/>
        <v/>
      </c>
    </row>
    <row r="337" spans="1:36" ht="15" customHeight="1" x14ac:dyDescent="0.25">
      <c r="A337" s="114"/>
      <c r="B337" s="116"/>
      <c r="C337" s="116"/>
      <c r="D337" s="42" t="str">
        <f t="shared" si="122"/>
        <v/>
      </c>
      <c r="E337" s="43"/>
      <c r="F337" s="118"/>
      <c r="G337" s="44" t="str">
        <f t="shared" si="123"/>
        <v/>
      </c>
      <c r="H337" s="118"/>
      <c r="I337" s="34" t="str">
        <f t="shared" si="124"/>
        <v/>
      </c>
      <c r="J337" s="118"/>
      <c r="K337" s="34" t="str">
        <f t="shared" si="125"/>
        <v/>
      </c>
      <c r="L337" s="118"/>
      <c r="M337" s="121"/>
      <c r="N337" s="122" t="str">
        <f t="shared" si="126"/>
        <v/>
      </c>
      <c r="O337" s="35" t="str">
        <f t="shared" si="127"/>
        <v/>
      </c>
      <c r="P337" s="124"/>
      <c r="Q337" s="36" t="str">
        <f t="shared" si="139"/>
        <v/>
      </c>
      <c r="R337" s="46" t="str">
        <f t="shared" si="128"/>
        <v/>
      </c>
      <c r="S337" s="38" t="str">
        <f t="shared" si="129"/>
        <v/>
      </c>
      <c r="T337" s="39" t="str">
        <f t="shared" si="130"/>
        <v/>
      </c>
      <c r="U337" s="40" t="str">
        <f t="shared" si="131"/>
        <v/>
      </c>
      <c r="V337" s="39" t="str">
        <f t="shared" si="132"/>
        <v/>
      </c>
      <c r="W337" s="34" t="str">
        <f t="shared" si="133"/>
        <v/>
      </c>
      <c r="X337" s="41" t="str">
        <f t="shared" si="140"/>
        <v/>
      </c>
      <c r="Y337" s="98" t="str">
        <f t="shared" si="134"/>
        <v/>
      </c>
      <c r="Z337" s="16" t="str">
        <f t="shared" si="141"/>
        <v/>
      </c>
      <c r="AB337" s="139"/>
      <c r="AC337" s="146" t="str">
        <f t="shared" si="144"/>
        <v/>
      </c>
      <c r="AD337" s="148" t="str">
        <f t="shared" si="142"/>
        <v/>
      </c>
      <c r="AE337" s="147" t="str">
        <f t="shared" si="135"/>
        <v/>
      </c>
      <c r="AF337" s="111" t="str">
        <f t="shared" si="136"/>
        <v/>
      </c>
      <c r="AG337" s="111" t="str">
        <f t="shared" si="137"/>
        <v/>
      </c>
      <c r="AH337" s="112" t="str">
        <f t="shared" si="138"/>
        <v/>
      </c>
      <c r="AI337" t="str">
        <f t="shared" si="143"/>
        <v/>
      </c>
      <c r="AJ337" t="str">
        <f t="shared" si="145"/>
        <v/>
      </c>
    </row>
    <row r="338" spans="1:36" ht="15" customHeight="1" x14ac:dyDescent="0.25">
      <c r="A338" s="114"/>
      <c r="B338" s="116"/>
      <c r="C338" s="116"/>
      <c r="D338" s="42" t="str">
        <f t="shared" si="122"/>
        <v/>
      </c>
      <c r="E338" s="43"/>
      <c r="F338" s="118"/>
      <c r="G338" s="44" t="str">
        <f t="shared" si="123"/>
        <v/>
      </c>
      <c r="H338" s="118"/>
      <c r="I338" s="34" t="str">
        <f t="shared" si="124"/>
        <v/>
      </c>
      <c r="J338" s="118"/>
      <c r="K338" s="34" t="str">
        <f t="shared" si="125"/>
        <v/>
      </c>
      <c r="L338" s="118"/>
      <c r="M338" s="121"/>
      <c r="N338" s="122" t="str">
        <f t="shared" si="126"/>
        <v/>
      </c>
      <c r="O338" s="35" t="str">
        <f t="shared" si="127"/>
        <v/>
      </c>
      <c r="P338" s="124"/>
      <c r="Q338" s="36" t="str">
        <f t="shared" si="139"/>
        <v/>
      </c>
      <c r="R338" s="46" t="str">
        <f t="shared" si="128"/>
        <v/>
      </c>
      <c r="S338" s="38" t="str">
        <f t="shared" si="129"/>
        <v/>
      </c>
      <c r="T338" s="39" t="str">
        <f t="shared" si="130"/>
        <v/>
      </c>
      <c r="U338" s="40" t="str">
        <f t="shared" si="131"/>
        <v/>
      </c>
      <c r="V338" s="39" t="str">
        <f t="shared" si="132"/>
        <v/>
      </c>
      <c r="W338" s="34" t="str">
        <f t="shared" si="133"/>
        <v/>
      </c>
      <c r="X338" s="41" t="str">
        <f t="shared" si="140"/>
        <v/>
      </c>
      <c r="Y338" s="98" t="str">
        <f t="shared" si="134"/>
        <v/>
      </c>
      <c r="Z338" s="16" t="str">
        <f t="shared" si="141"/>
        <v/>
      </c>
      <c r="AB338" s="139"/>
      <c r="AC338" s="146" t="str">
        <f t="shared" si="144"/>
        <v/>
      </c>
      <c r="AD338" s="148" t="str">
        <f t="shared" si="142"/>
        <v/>
      </c>
      <c r="AE338" s="147" t="str">
        <f t="shared" si="135"/>
        <v/>
      </c>
      <c r="AF338" s="111" t="str">
        <f t="shared" si="136"/>
        <v/>
      </c>
      <c r="AG338" s="111" t="str">
        <f t="shared" si="137"/>
        <v/>
      </c>
      <c r="AH338" s="112" t="str">
        <f t="shared" si="138"/>
        <v/>
      </c>
      <c r="AI338" t="str">
        <f t="shared" si="143"/>
        <v/>
      </c>
      <c r="AJ338" t="str">
        <f t="shared" si="145"/>
        <v/>
      </c>
    </row>
    <row r="339" spans="1:36" ht="15" customHeight="1" x14ac:dyDescent="0.25">
      <c r="A339" s="114"/>
      <c r="B339" s="116"/>
      <c r="C339" s="116"/>
      <c r="D339" s="42" t="str">
        <f t="shared" si="122"/>
        <v/>
      </c>
      <c r="E339" s="43"/>
      <c r="F339" s="118"/>
      <c r="G339" s="44" t="str">
        <f t="shared" si="123"/>
        <v/>
      </c>
      <c r="H339" s="118"/>
      <c r="I339" s="34" t="str">
        <f t="shared" si="124"/>
        <v/>
      </c>
      <c r="J339" s="118"/>
      <c r="K339" s="34" t="str">
        <f t="shared" si="125"/>
        <v/>
      </c>
      <c r="L339" s="118"/>
      <c r="M339" s="121"/>
      <c r="N339" s="122" t="str">
        <f t="shared" si="126"/>
        <v/>
      </c>
      <c r="O339" s="35" t="str">
        <f t="shared" si="127"/>
        <v/>
      </c>
      <c r="P339" s="124"/>
      <c r="Q339" s="36" t="str">
        <f t="shared" si="139"/>
        <v/>
      </c>
      <c r="R339" s="46" t="str">
        <f t="shared" si="128"/>
        <v/>
      </c>
      <c r="S339" s="38" t="str">
        <f t="shared" si="129"/>
        <v/>
      </c>
      <c r="T339" s="39" t="str">
        <f t="shared" si="130"/>
        <v/>
      </c>
      <c r="U339" s="40" t="str">
        <f t="shared" si="131"/>
        <v/>
      </c>
      <c r="V339" s="39" t="str">
        <f t="shared" si="132"/>
        <v/>
      </c>
      <c r="W339" s="34" t="str">
        <f t="shared" si="133"/>
        <v/>
      </c>
      <c r="X339" s="41" t="str">
        <f t="shared" si="140"/>
        <v/>
      </c>
      <c r="Y339" s="98" t="str">
        <f t="shared" si="134"/>
        <v/>
      </c>
      <c r="Z339" s="16" t="str">
        <f t="shared" si="141"/>
        <v/>
      </c>
      <c r="AB339" s="139"/>
      <c r="AC339" s="146" t="str">
        <f t="shared" si="144"/>
        <v/>
      </c>
      <c r="AD339" s="148" t="str">
        <f t="shared" si="142"/>
        <v/>
      </c>
      <c r="AE339" s="147" t="str">
        <f t="shared" si="135"/>
        <v/>
      </c>
      <c r="AF339" s="111" t="str">
        <f t="shared" si="136"/>
        <v/>
      </c>
      <c r="AG339" s="111" t="str">
        <f t="shared" si="137"/>
        <v/>
      </c>
      <c r="AH339" s="112" t="str">
        <f t="shared" si="138"/>
        <v/>
      </c>
      <c r="AI339" t="str">
        <f t="shared" si="143"/>
        <v/>
      </c>
      <c r="AJ339" t="str">
        <f t="shared" si="145"/>
        <v/>
      </c>
    </row>
    <row r="340" spans="1:36" ht="15" customHeight="1" x14ac:dyDescent="0.25">
      <c r="A340" s="114"/>
      <c r="B340" s="116"/>
      <c r="C340" s="116"/>
      <c r="D340" s="42" t="str">
        <f t="shared" si="122"/>
        <v/>
      </c>
      <c r="E340" s="43"/>
      <c r="F340" s="118"/>
      <c r="G340" s="44" t="str">
        <f t="shared" si="123"/>
        <v/>
      </c>
      <c r="H340" s="118"/>
      <c r="I340" s="34" t="str">
        <f t="shared" si="124"/>
        <v/>
      </c>
      <c r="J340" s="118"/>
      <c r="K340" s="34" t="str">
        <f t="shared" si="125"/>
        <v/>
      </c>
      <c r="L340" s="118"/>
      <c r="M340" s="121"/>
      <c r="N340" s="122" t="str">
        <f t="shared" si="126"/>
        <v/>
      </c>
      <c r="O340" s="35" t="str">
        <f t="shared" si="127"/>
        <v/>
      </c>
      <c r="P340" s="124"/>
      <c r="Q340" s="36" t="str">
        <f t="shared" si="139"/>
        <v/>
      </c>
      <c r="R340" s="46" t="str">
        <f t="shared" si="128"/>
        <v/>
      </c>
      <c r="S340" s="38" t="str">
        <f t="shared" si="129"/>
        <v/>
      </c>
      <c r="T340" s="39" t="str">
        <f t="shared" si="130"/>
        <v/>
      </c>
      <c r="U340" s="40" t="str">
        <f t="shared" si="131"/>
        <v/>
      </c>
      <c r="V340" s="39" t="str">
        <f t="shared" si="132"/>
        <v/>
      </c>
      <c r="W340" s="34" t="str">
        <f t="shared" si="133"/>
        <v/>
      </c>
      <c r="X340" s="41" t="str">
        <f t="shared" si="140"/>
        <v/>
      </c>
      <c r="Y340" s="98" t="str">
        <f t="shared" si="134"/>
        <v/>
      </c>
      <c r="Z340" s="16" t="str">
        <f t="shared" si="141"/>
        <v/>
      </c>
      <c r="AB340" s="139"/>
      <c r="AC340" s="146" t="str">
        <f t="shared" si="144"/>
        <v/>
      </c>
      <c r="AD340" s="148" t="str">
        <f t="shared" si="142"/>
        <v/>
      </c>
      <c r="AE340" s="147" t="str">
        <f t="shared" si="135"/>
        <v/>
      </c>
      <c r="AF340" s="111" t="str">
        <f t="shared" si="136"/>
        <v/>
      </c>
      <c r="AG340" s="111" t="str">
        <f t="shared" si="137"/>
        <v/>
      </c>
      <c r="AH340" s="112" t="str">
        <f t="shared" si="138"/>
        <v/>
      </c>
      <c r="AI340" t="str">
        <f t="shared" si="143"/>
        <v/>
      </c>
      <c r="AJ340" t="str">
        <f t="shared" si="145"/>
        <v/>
      </c>
    </row>
    <row r="341" spans="1:36" ht="15" customHeight="1" x14ac:dyDescent="0.25">
      <c r="A341" s="114"/>
      <c r="B341" s="116"/>
      <c r="C341" s="116"/>
      <c r="D341" s="42" t="str">
        <f t="shared" si="122"/>
        <v/>
      </c>
      <c r="E341" s="43"/>
      <c r="F341" s="118"/>
      <c r="G341" s="44" t="str">
        <f t="shared" si="123"/>
        <v/>
      </c>
      <c r="H341" s="118"/>
      <c r="I341" s="34" t="str">
        <f t="shared" si="124"/>
        <v/>
      </c>
      <c r="J341" s="118"/>
      <c r="K341" s="34" t="str">
        <f t="shared" si="125"/>
        <v/>
      </c>
      <c r="L341" s="118"/>
      <c r="M341" s="121"/>
      <c r="N341" s="122" t="str">
        <f t="shared" si="126"/>
        <v/>
      </c>
      <c r="O341" s="35" t="str">
        <f t="shared" si="127"/>
        <v/>
      </c>
      <c r="P341" s="124"/>
      <c r="Q341" s="36" t="str">
        <f t="shared" si="139"/>
        <v/>
      </c>
      <c r="R341" s="46" t="str">
        <f t="shared" si="128"/>
        <v/>
      </c>
      <c r="S341" s="38" t="str">
        <f t="shared" si="129"/>
        <v/>
      </c>
      <c r="T341" s="39" t="str">
        <f t="shared" si="130"/>
        <v/>
      </c>
      <c r="U341" s="40" t="str">
        <f t="shared" si="131"/>
        <v/>
      </c>
      <c r="V341" s="39" t="str">
        <f t="shared" si="132"/>
        <v/>
      </c>
      <c r="W341" s="34" t="str">
        <f t="shared" si="133"/>
        <v/>
      </c>
      <c r="X341" s="41" t="str">
        <f t="shared" si="140"/>
        <v/>
      </c>
      <c r="Y341" s="98" t="str">
        <f t="shared" si="134"/>
        <v/>
      </c>
      <c r="Z341" s="16" t="str">
        <f t="shared" si="141"/>
        <v/>
      </c>
      <c r="AB341" s="139"/>
      <c r="AC341" s="146" t="str">
        <f t="shared" si="144"/>
        <v/>
      </c>
      <c r="AD341" s="148" t="str">
        <f t="shared" si="142"/>
        <v/>
      </c>
      <c r="AE341" s="147" t="str">
        <f t="shared" si="135"/>
        <v/>
      </c>
      <c r="AF341" s="111" t="str">
        <f t="shared" si="136"/>
        <v/>
      </c>
      <c r="AG341" s="111" t="str">
        <f t="shared" si="137"/>
        <v/>
      </c>
      <c r="AH341" s="112" t="str">
        <f t="shared" si="138"/>
        <v/>
      </c>
      <c r="AI341" t="str">
        <f t="shared" si="143"/>
        <v/>
      </c>
      <c r="AJ341" t="str">
        <f t="shared" si="145"/>
        <v/>
      </c>
    </row>
    <row r="342" spans="1:36" ht="15" customHeight="1" x14ac:dyDescent="0.25">
      <c r="A342" s="114"/>
      <c r="B342" s="116"/>
      <c r="C342" s="116"/>
      <c r="D342" s="42" t="str">
        <f t="shared" si="122"/>
        <v/>
      </c>
      <c r="E342" s="43"/>
      <c r="F342" s="118"/>
      <c r="G342" s="44" t="str">
        <f t="shared" si="123"/>
        <v/>
      </c>
      <c r="H342" s="118"/>
      <c r="I342" s="34" t="str">
        <f t="shared" si="124"/>
        <v/>
      </c>
      <c r="J342" s="118"/>
      <c r="K342" s="34" t="str">
        <f t="shared" si="125"/>
        <v/>
      </c>
      <c r="L342" s="118"/>
      <c r="M342" s="121"/>
      <c r="N342" s="122" t="str">
        <f t="shared" si="126"/>
        <v/>
      </c>
      <c r="O342" s="35" t="str">
        <f t="shared" si="127"/>
        <v/>
      </c>
      <c r="P342" s="124"/>
      <c r="Q342" s="36" t="str">
        <f t="shared" si="139"/>
        <v/>
      </c>
      <c r="R342" s="46" t="str">
        <f t="shared" si="128"/>
        <v/>
      </c>
      <c r="S342" s="38" t="str">
        <f t="shared" si="129"/>
        <v/>
      </c>
      <c r="T342" s="39" t="str">
        <f t="shared" si="130"/>
        <v/>
      </c>
      <c r="U342" s="40" t="str">
        <f t="shared" si="131"/>
        <v/>
      </c>
      <c r="V342" s="39" t="str">
        <f t="shared" si="132"/>
        <v/>
      </c>
      <c r="W342" s="34" t="str">
        <f t="shared" si="133"/>
        <v/>
      </c>
      <c r="X342" s="41" t="str">
        <f t="shared" si="140"/>
        <v/>
      </c>
      <c r="Y342" s="98" t="str">
        <f t="shared" si="134"/>
        <v/>
      </c>
      <c r="Z342" s="16" t="str">
        <f t="shared" si="141"/>
        <v/>
      </c>
      <c r="AB342" s="139"/>
      <c r="AC342" s="146" t="str">
        <f t="shared" si="144"/>
        <v/>
      </c>
      <c r="AD342" s="148" t="str">
        <f t="shared" si="142"/>
        <v/>
      </c>
      <c r="AE342" s="147" t="str">
        <f t="shared" si="135"/>
        <v/>
      </c>
      <c r="AF342" s="111" t="str">
        <f t="shared" si="136"/>
        <v/>
      </c>
      <c r="AG342" s="111" t="str">
        <f t="shared" si="137"/>
        <v/>
      </c>
      <c r="AH342" s="112" t="str">
        <f t="shared" si="138"/>
        <v/>
      </c>
      <c r="AI342" t="str">
        <f t="shared" si="143"/>
        <v/>
      </c>
      <c r="AJ342" t="str">
        <f t="shared" si="145"/>
        <v/>
      </c>
    </row>
    <row r="343" spans="1:36" ht="15" customHeight="1" x14ac:dyDescent="0.25">
      <c r="A343" s="114"/>
      <c r="B343" s="116"/>
      <c r="C343" s="116"/>
      <c r="D343" s="42" t="str">
        <f t="shared" si="122"/>
        <v/>
      </c>
      <c r="E343" s="43"/>
      <c r="F343" s="118"/>
      <c r="G343" s="44" t="str">
        <f t="shared" si="123"/>
        <v/>
      </c>
      <c r="H343" s="118"/>
      <c r="I343" s="34" t="str">
        <f t="shared" si="124"/>
        <v/>
      </c>
      <c r="J343" s="118"/>
      <c r="K343" s="34" t="str">
        <f t="shared" si="125"/>
        <v/>
      </c>
      <c r="L343" s="118"/>
      <c r="M343" s="121"/>
      <c r="N343" s="122" t="str">
        <f t="shared" si="126"/>
        <v/>
      </c>
      <c r="O343" s="35" t="str">
        <f t="shared" si="127"/>
        <v/>
      </c>
      <c r="P343" s="124"/>
      <c r="Q343" s="36" t="str">
        <f t="shared" si="139"/>
        <v/>
      </c>
      <c r="R343" s="46" t="str">
        <f t="shared" si="128"/>
        <v/>
      </c>
      <c r="S343" s="38" t="str">
        <f t="shared" si="129"/>
        <v/>
      </c>
      <c r="T343" s="39" t="str">
        <f t="shared" si="130"/>
        <v/>
      </c>
      <c r="U343" s="40" t="str">
        <f t="shared" si="131"/>
        <v/>
      </c>
      <c r="V343" s="39" t="str">
        <f t="shared" si="132"/>
        <v/>
      </c>
      <c r="W343" s="34" t="str">
        <f t="shared" si="133"/>
        <v/>
      </c>
      <c r="X343" s="41" t="str">
        <f t="shared" si="140"/>
        <v/>
      </c>
      <c r="Y343" s="98" t="str">
        <f t="shared" si="134"/>
        <v/>
      </c>
      <c r="Z343" s="16" t="str">
        <f t="shared" si="141"/>
        <v/>
      </c>
      <c r="AB343" s="139"/>
      <c r="AC343" s="146" t="str">
        <f t="shared" si="144"/>
        <v/>
      </c>
      <c r="AD343" s="148" t="str">
        <f t="shared" si="142"/>
        <v/>
      </c>
      <c r="AE343" s="147" t="str">
        <f t="shared" si="135"/>
        <v/>
      </c>
      <c r="AF343" s="111" t="str">
        <f t="shared" si="136"/>
        <v/>
      </c>
      <c r="AG343" s="111" t="str">
        <f t="shared" si="137"/>
        <v/>
      </c>
      <c r="AH343" s="112" t="str">
        <f t="shared" si="138"/>
        <v/>
      </c>
      <c r="AI343" t="str">
        <f t="shared" si="143"/>
        <v/>
      </c>
      <c r="AJ343" t="str">
        <f t="shared" si="145"/>
        <v/>
      </c>
    </row>
    <row r="344" spans="1:36" ht="15" customHeight="1" x14ac:dyDescent="0.25">
      <c r="A344" s="114"/>
      <c r="B344" s="116"/>
      <c r="C344" s="116"/>
      <c r="D344" s="42" t="str">
        <f t="shared" si="122"/>
        <v/>
      </c>
      <c r="E344" s="43"/>
      <c r="F344" s="118"/>
      <c r="G344" s="44" t="str">
        <f t="shared" si="123"/>
        <v/>
      </c>
      <c r="H344" s="118"/>
      <c r="I344" s="34" t="str">
        <f t="shared" si="124"/>
        <v/>
      </c>
      <c r="J344" s="118"/>
      <c r="K344" s="34" t="str">
        <f t="shared" si="125"/>
        <v/>
      </c>
      <c r="L344" s="118"/>
      <c r="M344" s="121"/>
      <c r="N344" s="122" t="str">
        <f t="shared" si="126"/>
        <v/>
      </c>
      <c r="O344" s="35" t="str">
        <f t="shared" si="127"/>
        <v/>
      </c>
      <c r="P344" s="124"/>
      <c r="Q344" s="36" t="str">
        <f t="shared" si="139"/>
        <v/>
      </c>
      <c r="R344" s="46" t="str">
        <f t="shared" si="128"/>
        <v/>
      </c>
      <c r="S344" s="38" t="str">
        <f t="shared" si="129"/>
        <v/>
      </c>
      <c r="T344" s="39" t="str">
        <f t="shared" si="130"/>
        <v/>
      </c>
      <c r="U344" s="40" t="str">
        <f t="shared" si="131"/>
        <v/>
      </c>
      <c r="V344" s="39" t="str">
        <f t="shared" si="132"/>
        <v/>
      </c>
      <c r="W344" s="34" t="str">
        <f t="shared" si="133"/>
        <v/>
      </c>
      <c r="X344" s="41" t="str">
        <f t="shared" si="140"/>
        <v/>
      </c>
      <c r="Y344" s="98" t="str">
        <f t="shared" si="134"/>
        <v/>
      </c>
      <c r="Z344" s="16" t="str">
        <f t="shared" si="141"/>
        <v/>
      </c>
      <c r="AB344" s="139"/>
      <c r="AC344" s="146" t="str">
        <f t="shared" si="144"/>
        <v/>
      </c>
      <c r="AD344" s="148" t="str">
        <f t="shared" si="142"/>
        <v/>
      </c>
      <c r="AE344" s="147" t="str">
        <f t="shared" si="135"/>
        <v/>
      </c>
      <c r="AF344" s="111" t="str">
        <f t="shared" si="136"/>
        <v/>
      </c>
      <c r="AG344" s="111" t="str">
        <f t="shared" si="137"/>
        <v/>
      </c>
      <c r="AH344" s="112" t="str">
        <f t="shared" si="138"/>
        <v/>
      </c>
      <c r="AI344" t="str">
        <f t="shared" si="143"/>
        <v/>
      </c>
      <c r="AJ344" t="str">
        <f t="shared" si="145"/>
        <v/>
      </c>
    </row>
    <row r="345" spans="1:36" ht="15" customHeight="1" x14ac:dyDescent="0.25">
      <c r="A345" s="114"/>
      <c r="B345" s="116"/>
      <c r="C345" s="116"/>
      <c r="D345" s="42" t="str">
        <f t="shared" si="122"/>
        <v/>
      </c>
      <c r="E345" s="43"/>
      <c r="F345" s="118"/>
      <c r="G345" s="44" t="str">
        <f t="shared" si="123"/>
        <v/>
      </c>
      <c r="H345" s="118"/>
      <c r="I345" s="34" t="str">
        <f t="shared" si="124"/>
        <v/>
      </c>
      <c r="J345" s="118"/>
      <c r="K345" s="34" t="str">
        <f t="shared" si="125"/>
        <v/>
      </c>
      <c r="L345" s="118"/>
      <c r="M345" s="121"/>
      <c r="N345" s="122" t="str">
        <f t="shared" si="126"/>
        <v/>
      </c>
      <c r="O345" s="35" t="str">
        <f t="shared" si="127"/>
        <v/>
      </c>
      <c r="P345" s="124"/>
      <c r="Q345" s="36" t="str">
        <f t="shared" si="139"/>
        <v/>
      </c>
      <c r="R345" s="46" t="str">
        <f t="shared" si="128"/>
        <v/>
      </c>
      <c r="S345" s="38" t="str">
        <f t="shared" si="129"/>
        <v/>
      </c>
      <c r="T345" s="39" t="str">
        <f t="shared" si="130"/>
        <v/>
      </c>
      <c r="U345" s="40" t="str">
        <f t="shared" si="131"/>
        <v/>
      </c>
      <c r="V345" s="39" t="str">
        <f t="shared" si="132"/>
        <v/>
      </c>
      <c r="W345" s="34" t="str">
        <f t="shared" si="133"/>
        <v/>
      </c>
      <c r="X345" s="41" t="str">
        <f t="shared" si="140"/>
        <v/>
      </c>
      <c r="Y345" s="98" t="str">
        <f t="shared" si="134"/>
        <v/>
      </c>
      <c r="Z345" s="16" t="str">
        <f t="shared" si="141"/>
        <v/>
      </c>
      <c r="AB345" s="139"/>
      <c r="AC345" s="146" t="str">
        <f t="shared" si="144"/>
        <v/>
      </c>
      <c r="AD345" s="148" t="str">
        <f t="shared" si="142"/>
        <v/>
      </c>
      <c r="AE345" s="147" t="str">
        <f t="shared" si="135"/>
        <v/>
      </c>
      <c r="AF345" s="111" t="str">
        <f t="shared" si="136"/>
        <v/>
      </c>
      <c r="AG345" s="111" t="str">
        <f t="shared" si="137"/>
        <v/>
      </c>
      <c r="AH345" s="112" t="str">
        <f t="shared" si="138"/>
        <v/>
      </c>
      <c r="AI345" t="str">
        <f t="shared" si="143"/>
        <v/>
      </c>
      <c r="AJ345" t="str">
        <f t="shared" si="145"/>
        <v/>
      </c>
    </row>
    <row r="346" spans="1:36" ht="15" customHeight="1" x14ac:dyDescent="0.25">
      <c r="A346" s="114"/>
      <c r="B346" s="116"/>
      <c r="C346" s="116"/>
      <c r="D346" s="42" t="str">
        <f t="shared" si="122"/>
        <v/>
      </c>
      <c r="E346" s="43"/>
      <c r="F346" s="118"/>
      <c r="G346" s="44" t="str">
        <f t="shared" si="123"/>
        <v/>
      </c>
      <c r="H346" s="118"/>
      <c r="I346" s="34" t="str">
        <f t="shared" si="124"/>
        <v/>
      </c>
      <c r="J346" s="118"/>
      <c r="K346" s="34" t="str">
        <f t="shared" si="125"/>
        <v/>
      </c>
      <c r="L346" s="118"/>
      <c r="M346" s="121"/>
      <c r="N346" s="122" t="str">
        <f t="shared" si="126"/>
        <v/>
      </c>
      <c r="O346" s="35" t="str">
        <f t="shared" si="127"/>
        <v/>
      </c>
      <c r="P346" s="124"/>
      <c r="Q346" s="36" t="str">
        <f t="shared" si="139"/>
        <v/>
      </c>
      <c r="R346" s="46" t="str">
        <f t="shared" si="128"/>
        <v/>
      </c>
      <c r="S346" s="38" t="str">
        <f t="shared" si="129"/>
        <v/>
      </c>
      <c r="T346" s="39" t="str">
        <f t="shared" si="130"/>
        <v/>
      </c>
      <c r="U346" s="40" t="str">
        <f t="shared" si="131"/>
        <v/>
      </c>
      <c r="V346" s="39" t="str">
        <f t="shared" si="132"/>
        <v/>
      </c>
      <c r="W346" s="34" t="str">
        <f t="shared" si="133"/>
        <v/>
      </c>
      <c r="X346" s="41" t="str">
        <f t="shared" si="140"/>
        <v/>
      </c>
      <c r="Y346" s="98" t="str">
        <f t="shared" si="134"/>
        <v/>
      </c>
      <c r="Z346" s="16" t="str">
        <f t="shared" si="141"/>
        <v/>
      </c>
      <c r="AB346" s="139"/>
      <c r="AC346" s="146" t="str">
        <f t="shared" si="144"/>
        <v/>
      </c>
      <c r="AD346" s="148" t="str">
        <f t="shared" si="142"/>
        <v/>
      </c>
      <c r="AE346" s="147" t="str">
        <f t="shared" si="135"/>
        <v/>
      </c>
      <c r="AF346" s="111" t="str">
        <f t="shared" si="136"/>
        <v/>
      </c>
      <c r="AG346" s="111" t="str">
        <f t="shared" si="137"/>
        <v/>
      </c>
      <c r="AH346" s="112" t="str">
        <f t="shared" si="138"/>
        <v/>
      </c>
      <c r="AI346" t="str">
        <f t="shared" si="143"/>
        <v/>
      </c>
      <c r="AJ346" t="str">
        <f t="shared" si="145"/>
        <v/>
      </c>
    </row>
    <row r="347" spans="1:36" ht="15" customHeight="1" x14ac:dyDescent="0.25">
      <c r="A347" s="114"/>
      <c r="B347" s="116"/>
      <c r="C347" s="116"/>
      <c r="D347" s="42" t="str">
        <f t="shared" si="122"/>
        <v/>
      </c>
      <c r="E347" s="43"/>
      <c r="F347" s="118"/>
      <c r="G347" s="44" t="str">
        <f t="shared" si="123"/>
        <v/>
      </c>
      <c r="H347" s="118"/>
      <c r="I347" s="34" t="str">
        <f t="shared" si="124"/>
        <v/>
      </c>
      <c r="J347" s="118"/>
      <c r="K347" s="34" t="str">
        <f t="shared" si="125"/>
        <v/>
      </c>
      <c r="L347" s="118"/>
      <c r="M347" s="121"/>
      <c r="N347" s="122" t="str">
        <f t="shared" si="126"/>
        <v/>
      </c>
      <c r="O347" s="35" t="str">
        <f t="shared" si="127"/>
        <v/>
      </c>
      <c r="P347" s="124"/>
      <c r="Q347" s="36" t="str">
        <f t="shared" si="139"/>
        <v/>
      </c>
      <c r="R347" s="46" t="str">
        <f t="shared" si="128"/>
        <v/>
      </c>
      <c r="S347" s="38" t="str">
        <f t="shared" si="129"/>
        <v/>
      </c>
      <c r="T347" s="39" t="str">
        <f t="shared" si="130"/>
        <v/>
      </c>
      <c r="U347" s="40" t="str">
        <f t="shared" si="131"/>
        <v/>
      </c>
      <c r="V347" s="39" t="str">
        <f t="shared" si="132"/>
        <v/>
      </c>
      <c r="W347" s="34" t="str">
        <f t="shared" si="133"/>
        <v/>
      </c>
      <c r="X347" s="41" t="str">
        <f t="shared" si="140"/>
        <v/>
      </c>
      <c r="Y347" s="98" t="str">
        <f t="shared" si="134"/>
        <v/>
      </c>
      <c r="Z347" s="16" t="str">
        <f t="shared" si="141"/>
        <v/>
      </c>
      <c r="AB347" s="139"/>
      <c r="AC347" s="146" t="str">
        <f t="shared" si="144"/>
        <v/>
      </c>
      <c r="AD347" s="148" t="str">
        <f t="shared" si="142"/>
        <v/>
      </c>
      <c r="AE347" s="147" t="str">
        <f t="shared" si="135"/>
        <v/>
      </c>
      <c r="AF347" s="111" t="str">
        <f t="shared" si="136"/>
        <v/>
      </c>
      <c r="AG347" s="111" t="str">
        <f t="shared" si="137"/>
        <v/>
      </c>
      <c r="AH347" s="112" t="str">
        <f t="shared" si="138"/>
        <v/>
      </c>
      <c r="AI347" t="str">
        <f t="shared" si="143"/>
        <v/>
      </c>
      <c r="AJ347" t="str">
        <f t="shared" si="145"/>
        <v/>
      </c>
    </row>
    <row r="348" spans="1:36" ht="15" customHeight="1" x14ac:dyDescent="0.25">
      <c r="A348" s="114"/>
      <c r="B348" s="116"/>
      <c r="C348" s="116"/>
      <c r="D348" s="42" t="str">
        <f t="shared" si="122"/>
        <v/>
      </c>
      <c r="E348" s="43"/>
      <c r="F348" s="118"/>
      <c r="G348" s="44" t="str">
        <f t="shared" si="123"/>
        <v/>
      </c>
      <c r="H348" s="118"/>
      <c r="I348" s="34" t="str">
        <f t="shared" si="124"/>
        <v/>
      </c>
      <c r="J348" s="118"/>
      <c r="K348" s="34" t="str">
        <f t="shared" si="125"/>
        <v/>
      </c>
      <c r="L348" s="118"/>
      <c r="M348" s="121"/>
      <c r="N348" s="122" t="str">
        <f t="shared" si="126"/>
        <v/>
      </c>
      <c r="O348" s="35" t="str">
        <f t="shared" si="127"/>
        <v/>
      </c>
      <c r="P348" s="124"/>
      <c r="Q348" s="36" t="str">
        <f t="shared" si="139"/>
        <v/>
      </c>
      <c r="R348" s="46" t="str">
        <f t="shared" si="128"/>
        <v/>
      </c>
      <c r="S348" s="38" t="str">
        <f t="shared" si="129"/>
        <v/>
      </c>
      <c r="T348" s="39" t="str">
        <f t="shared" si="130"/>
        <v/>
      </c>
      <c r="U348" s="40" t="str">
        <f t="shared" si="131"/>
        <v/>
      </c>
      <c r="V348" s="39" t="str">
        <f t="shared" si="132"/>
        <v/>
      </c>
      <c r="W348" s="34" t="str">
        <f t="shared" si="133"/>
        <v/>
      </c>
      <c r="X348" s="41" t="str">
        <f t="shared" si="140"/>
        <v/>
      </c>
      <c r="Y348" s="98" t="str">
        <f t="shared" si="134"/>
        <v/>
      </c>
      <c r="Z348" s="16" t="str">
        <f t="shared" si="141"/>
        <v/>
      </c>
      <c r="AB348" s="139"/>
      <c r="AC348" s="146" t="str">
        <f t="shared" si="144"/>
        <v/>
      </c>
      <c r="AD348" s="148" t="str">
        <f t="shared" si="142"/>
        <v/>
      </c>
      <c r="AE348" s="147" t="str">
        <f t="shared" si="135"/>
        <v/>
      </c>
      <c r="AF348" s="111" t="str">
        <f t="shared" si="136"/>
        <v/>
      </c>
      <c r="AG348" s="111" t="str">
        <f t="shared" si="137"/>
        <v/>
      </c>
      <c r="AH348" s="112" t="str">
        <f t="shared" si="138"/>
        <v/>
      </c>
      <c r="AI348" t="str">
        <f t="shared" si="143"/>
        <v/>
      </c>
      <c r="AJ348" t="str">
        <f t="shared" si="145"/>
        <v/>
      </c>
    </row>
    <row r="349" spans="1:36" ht="15" customHeight="1" x14ac:dyDescent="0.25">
      <c r="A349" s="114"/>
      <c r="B349" s="116"/>
      <c r="C349" s="116"/>
      <c r="D349" s="42" t="str">
        <f t="shared" si="122"/>
        <v/>
      </c>
      <c r="E349" s="43"/>
      <c r="F349" s="118"/>
      <c r="G349" s="44" t="str">
        <f t="shared" si="123"/>
        <v/>
      </c>
      <c r="H349" s="118"/>
      <c r="I349" s="34" t="str">
        <f t="shared" si="124"/>
        <v/>
      </c>
      <c r="J349" s="118"/>
      <c r="K349" s="34" t="str">
        <f t="shared" si="125"/>
        <v/>
      </c>
      <c r="L349" s="118"/>
      <c r="M349" s="121"/>
      <c r="N349" s="122" t="str">
        <f t="shared" si="126"/>
        <v/>
      </c>
      <c r="O349" s="35" t="str">
        <f t="shared" si="127"/>
        <v/>
      </c>
      <c r="P349" s="124"/>
      <c r="Q349" s="36" t="str">
        <f t="shared" si="139"/>
        <v/>
      </c>
      <c r="R349" s="46" t="str">
        <f t="shared" si="128"/>
        <v/>
      </c>
      <c r="S349" s="38" t="str">
        <f t="shared" si="129"/>
        <v/>
      </c>
      <c r="T349" s="39" t="str">
        <f t="shared" si="130"/>
        <v/>
      </c>
      <c r="U349" s="40" t="str">
        <f t="shared" si="131"/>
        <v/>
      </c>
      <c r="V349" s="39" t="str">
        <f t="shared" si="132"/>
        <v/>
      </c>
      <c r="W349" s="34" t="str">
        <f t="shared" si="133"/>
        <v/>
      </c>
      <c r="X349" s="41" t="str">
        <f t="shared" si="140"/>
        <v/>
      </c>
      <c r="Y349" s="98" t="str">
        <f t="shared" si="134"/>
        <v/>
      </c>
      <c r="Z349" s="16" t="str">
        <f t="shared" si="141"/>
        <v/>
      </c>
      <c r="AB349" s="139"/>
      <c r="AC349" s="146" t="str">
        <f t="shared" si="144"/>
        <v/>
      </c>
      <c r="AD349" s="148" t="str">
        <f t="shared" si="142"/>
        <v/>
      </c>
      <c r="AE349" s="147" t="str">
        <f t="shared" si="135"/>
        <v/>
      </c>
      <c r="AF349" s="111" t="str">
        <f t="shared" si="136"/>
        <v/>
      </c>
      <c r="AG349" s="111" t="str">
        <f t="shared" si="137"/>
        <v/>
      </c>
      <c r="AH349" s="112" t="str">
        <f t="shared" si="138"/>
        <v/>
      </c>
      <c r="AI349" t="str">
        <f t="shared" si="143"/>
        <v/>
      </c>
      <c r="AJ349" t="str">
        <f t="shared" si="145"/>
        <v/>
      </c>
    </row>
    <row r="350" spans="1:36" ht="15" customHeight="1" x14ac:dyDescent="0.25">
      <c r="A350" s="114"/>
      <c r="B350" s="116"/>
      <c r="C350" s="116"/>
      <c r="D350" s="42" t="str">
        <f t="shared" si="122"/>
        <v/>
      </c>
      <c r="E350" s="43"/>
      <c r="F350" s="118"/>
      <c r="G350" s="44" t="str">
        <f t="shared" si="123"/>
        <v/>
      </c>
      <c r="H350" s="118"/>
      <c r="I350" s="34" t="str">
        <f t="shared" si="124"/>
        <v/>
      </c>
      <c r="J350" s="118"/>
      <c r="K350" s="34" t="str">
        <f t="shared" si="125"/>
        <v/>
      </c>
      <c r="L350" s="118"/>
      <c r="M350" s="121"/>
      <c r="N350" s="122" t="str">
        <f t="shared" si="126"/>
        <v/>
      </c>
      <c r="O350" s="35" t="str">
        <f t="shared" si="127"/>
        <v/>
      </c>
      <c r="P350" s="124"/>
      <c r="Q350" s="36" t="str">
        <f t="shared" si="139"/>
        <v/>
      </c>
      <c r="R350" s="46" t="str">
        <f t="shared" si="128"/>
        <v/>
      </c>
      <c r="S350" s="38" t="str">
        <f t="shared" si="129"/>
        <v/>
      </c>
      <c r="T350" s="39" t="str">
        <f t="shared" si="130"/>
        <v/>
      </c>
      <c r="U350" s="40" t="str">
        <f t="shared" si="131"/>
        <v/>
      </c>
      <c r="V350" s="39" t="str">
        <f t="shared" si="132"/>
        <v/>
      </c>
      <c r="W350" s="34" t="str">
        <f t="shared" si="133"/>
        <v/>
      </c>
      <c r="X350" s="41" t="str">
        <f t="shared" si="140"/>
        <v/>
      </c>
      <c r="Y350" s="98" t="str">
        <f t="shared" si="134"/>
        <v/>
      </c>
      <c r="Z350" s="16" t="str">
        <f t="shared" si="141"/>
        <v/>
      </c>
      <c r="AB350" s="139"/>
      <c r="AC350" s="146" t="str">
        <f t="shared" si="144"/>
        <v/>
      </c>
      <c r="AD350" s="148" t="str">
        <f t="shared" si="142"/>
        <v/>
      </c>
      <c r="AE350" s="147" t="str">
        <f t="shared" si="135"/>
        <v/>
      </c>
      <c r="AF350" s="111" t="str">
        <f t="shared" si="136"/>
        <v/>
      </c>
      <c r="AG350" s="111" t="str">
        <f t="shared" si="137"/>
        <v/>
      </c>
      <c r="AH350" s="112" t="str">
        <f t="shared" si="138"/>
        <v/>
      </c>
      <c r="AI350" t="str">
        <f t="shared" si="143"/>
        <v/>
      </c>
      <c r="AJ350" t="str">
        <f t="shared" si="145"/>
        <v/>
      </c>
    </row>
    <row r="351" spans="1:36" ht="15" customHeight="1" x14ac:dyDescent="0.25">
      <c r="A351" s="114"/>
      <c r="B351" s="116"/>
      <c r="C351" s="116"/>
      <c r="D351" s="42" t="str">
        <f t="shared" si="122"/>
        <v/>
      </c>
      <c r="E351" s="43"/>
      <c r="F351" s="118"/>
      <c r="G351" s="44" t="str">
        <f t="shared" si="123"/>
        <v/>
      </c>
      <c r="H351" s="118"/>
      <c r="I351" s="34" t="str">
        <f t="shared" si="124"/>
        <v/>
      </c>
      <c r="J351" s="118"/>
      <c r="K351" s="34" t="str">
        <f t="shared" si="125"/>
        <v/>
      </c>
      <c r="L351" s="118"/>
      <c r="M351" s="121"/>
      <c r="N351" s="122" t="str">
        <f t="shared" si="126"/>
        <v/>
      </c>
      <c r="O351" s="35" t="str">
        <f t="shared" si="127"/>
        <v/>
      </c>
      <c r="P351" s="124"/>
      <c r="Q351" s="36" t="str">
        <f t="shared" si="139"/>
        <v/>
      </c>
      <c r="R351" s="46" t="str">
        <f t="shared" si="128"/>
        <v/>
      </c>
      <c r="S351" s="38" t="str">
        <f t="shared" si="129"/>
        <v/>
      </c>
      <c r="T351" s="39" t="str">
        <f t="shared" si="130"/>
        <v/>
      </c>
      <c r="U351" s="40" t="str">
        <f t="shared" si="131"/>
        <v/>
      </c>
      <c r="V351" s="39" t="str">
        <f t="shared" si="132"/>
        <v/>
      </c>
      <c r="W351" s="34" t="str">
        <f t="shared" si="133"/>
        <v/>
      </c>
      <c r="X351" s="41" t="str">
        <f t="shared" si="140"/>
        <v/>
      </c>
      <c r="Y351" s="98" t="str">
        <f t="shared" si="134"/>
        <v/>
      </c>
      <c r="Z351" s="16" t="str">
        <f t="shared" si="141"/>
        <v/>
      </c>
      <c r="AB351" s="139"/>
      <c r="AC351" s="146" t="str">
        <f t="shared" si="144"/>
        <v/>
      </c>
      <c r="AD351" s="148" t="str">
        <f t="shared" si="142"/>
        <v/>
      </c>
      <c r="AE351" s="147" t="str">
        <f t="shared" si="135"/>
        <v/>
      </c>
      <c r="AF351" s="111" t="str">
        <f t="shared" si="136"/>
        <v/>
      </c>
      <c r="AG351" s="111" t="str">
        <f t="shared" si="137"/>
        <v/>
      </c>
      <c r="AH351" s="112" t="str">
        <f t="shared" si="138"/>
        <v/>
      </c>
      <c r="AI351" t="str">
        <f t="shared" si="143"/>
        <v/>
      </c>
      <c r="AJ351" t="str">
        <f t="shared" si="145"/>
        <v/>
      </c>
    </row>
    <row r="352" spans="1:36" ht="15" customHeight="1" x14ac:dyDescent="0.25">
      <c r="A352" s="114"/>
      <c r="B352" s="116"/>
      <c r="C352" s="116"/>
      <c r="D352" s="42" t="str">
        <f t="shared" si="122"/>
        <v/>
      </c>
      <c r="E352" s="43"/>
      <c r="F352" s="118"/>
      <c r="G352" s="44" t="str">
        <f t="shared" si="123"/>
        <v/>
      </c>
      <c r="H352" s="118"/>
      <c r="I352" s="34" t="str">
        <f t="shared" si="124"/>
        <v/>
      </c>
      <c r="J352" s="118"/>
      <c r="K352" s="34" t="str">
        <f t="shared" si="125"/>
        <v/>
      </c>
      <c r="L352" s="118"/>
      <c r="M352" s="121"/>
      <c r="N352" s="122" t="str">
        <f t="shared" si="126"/>
        <v/>
      </c>
      <c r="O352" s="35" t="str">
        <f t="shared" si="127"/>
        <v/>
      </c>
      <c r="P352" s="124"/>
      <c r="Q352" s="36" t="str">
        <f t="shared" si="139"/>
        <v/>
      </c>
      <c r="R352" s="46" t="str">
        <f t="shared" si="128"/>
        <v/>
      </c>
      <c r="S352" s="38" t="str">
        <f t="shared" si="129"/>
        <v/>
      </c>
      <c r="T352" s="39" t="str">
        <f t="shared" si="130"/>
        <v/>
      </c>
      <c r="U352" s="40" t="str">
        <f t="shared" si="131"/>
        <v/>
      </c>
      <c r="V352" s="39" t="str">
        <f t="shared" si="132"/>
        <v/>
      </c>
      <c r="W352" s="34" t="str">
        <f t="shared" si="133"/>
        <v/>
      </c>
      <c r="X352" s="41" t="str">
        <f t="shared" si="140"/>
        <v/>
      </c>
      <c r="Y352" s="98" t="str">
        <f t="shared" si="134"/>
        <v/>
      </c>
      <c r="Z352" s="16" t="str">
        <f t="shared" si="141"/>
        <v/>
      </c>
      <c r="AB352" s="139"/>
      <c r="AC352" s="146" t="str">
        <f t="shared" si="144"/>
        <v/>
      </c>
      <c r="AD352" s="148" t="str">
        <f t="shared" si="142"/>
        <v/>
      </c>
      <c r="AE352" s="147" t="str">
        <f t="shared" si="135"/>
        <v/>
      </c>
      <c r="AF352" s="111" t="str">
        <f t="shared" si="136"/>
        <v/>
      </c>
      <c r="AG352" s="111" t="str">
        <f t="shared" si="137"/>
        <v/>
      </c>
      <c r="AH352" s="112" t="str">
        <f t="shared" si="138"/>
        <v/>
      </c>
      <c r="AI352" t="str">
        <f t="shared" si="143"/>
        <v/>
      </c>
      <c r="AJ352" t="str">
        <f t="shared" si="145"/>
        <v/>
      </c>
    </row>
    <row r="353" spans="1:36" ht="15" customHeight="1" x14ac:dyDescent="0.25">
      <c r="A353" s="114"/>
      <c r="B353" s="116"/>
      <c r="C353" s="116"/>
      <c r="D353" s="42" t="str">
        <f t="shared" si="122"/>
        <v/>
      </c>
      <c r="E353" s="43"/>
      <c r="F353" s="118"/>
      <c r="G353" s="44" t="str">
        <f t="shared" si="123"/>
        <v/>
      </c>
      <c r="H353" s="118"/>
      <c r="I353" s="34" t="str">
        <f t="shared" si="124"/>
        <v/>
      </c>
      <c r="J353" s="118"/>
      <c r="K353" s="34" t="str">
        <f t="shared" si="125"/>
        <v/>
      </c>
      <c r="L353" s="118"/>
      <c r="M353" s="121"/>
      <c r="N353" s="122" t="str">
        <f t="shared" si="126"/>
        <v/>
      </c>
      <c r="O353" s="35" t="str">
        <f t="shared" si="127"/>
        <v/>
      </c>
      <c r="P353" s="124"/>
      <c r="Q353" s="36" t="str">
        <f t="shared" si="139"/>
        <v/>
      </c>
      <c r="R353" s="46" t="str">
        <f t="shared" si="128"/>
        <v/>
      </c>
      <c r="S353" s="38" t="str">
        <f t="shared" si="129"/>
        <v/>
      </c>
      <c r="T353" s="39" t="str">
        <f t="shared" si="130"/>
        <v/>
      </c>
      <c r="U353" s="40" t="str">
        <f t="shared" si="131"/>
        <v/>
      </c>
      <c r="V353" s="39" t="str">
        <f t="shared" si="132"/>
        <v/>
      </c>
      <c r="W353" s="34" t="str">
        <f t="shared" si="133"/>
        <v/>
      </c>
      <c r="X353" s="41" t="str">
        <f t="shared" si="140"/>
        <v/>
      </c>
      <c r="Y353" s="98" t="str">
        <f t="shared" si="134"/>
        <v/>
      </c>
      <c r="Z353" s="16" t="str">
        <f t="shared" si="141"/>
        <v/>
      </c>
      <c r="AB353" s="139"/>
      <c r="AC353" s="146" t="str">
        <f t="shared" si="144"/>
        <v/>
      </c>
      <c r="AD353" s="148" t="str">
        <f t="shared" si="142"/>
        <v/>
      </c>
      <c r="AE353" s="147" t="str">
        <f t="shared" si="135"/>
        <v/>
      </c>
      <c r="AF353" s="111" t="str">
        <f t="shared" si="136"/>
        <v/>
      </c>
      <c r="AG353" s="111" t="str">
        <f t="shared" si="137"/>
        <v/>
      </c>
      <c r="AH353" s="112" t="str">
        <f t="shared" si="138"/>
        <v/>
      </c>
      <c r="AI353" t="str">
        <f t="shared" si="143"/>
        <v/>
      </c>
      <c r="AJ353" t="str">
        <f t="shared" si="145"/>
        <v/>
      </c>
    </row>
    <row r="354" spans="1:36" ht="15" customHeight="1" x14ac:dyDescent="0.25">
      <c r="A354" s="114"/>
      <c r="B354" s="116"/>
      <c r="C354" s="116"/>
      <c r="D354" s="42" t="str">
        <f t="shared" si="122"/>
        <v/>
      </c>
      <c r="E354" s="43"/>
      <c r="F354" s="118"/>
      <c r="G354" s="44" t="str">
        <f t="shared" si="123"/>
        <v/>
      </c>
      <c r="H354" s="118"/>
      <c r="I354" s="34" t="str">
        <f t="shared" si="124"/>
        <v/>
      </c>
      <c r="J354" s="118"/>
      <c r="K354" s="34" t="str">
        <f t="shared" si="125"/>
        <v/>
      </c>
      <c r="L354" s="118"/>
      <c r="M354" s="121"/>
      <c r="N354" s="122" t="str">
        <f t="shared" si="126"/>
        <v/>
      </c>
      <c r="O354" s="35" t="str">
        <f t="shared" si="127"/>
        <v/>
      </c>
      <c r="P354" s="124"/>
      <c r="Q354" s="36" t="str">
        <f t="shared" si="139"/>
        <v/>
      </c>
      <c r="R354" s="46" t="str">
        <f t="shared" si="128"/>
        <v/>
      </c>
      <c r="S354" s="38" t="str">
        <f t="shared" si="129"/>
        <v/>
      </c>
      <c r="T354" s="39" t="str">
        <f t="shared" si="130"/>
        <v/>
      </c>
      <c r="U354" s="40" t="str">
        <f t="shared" si="131"/>
        <v/>
      </c>
      <c r="V354" s="39" t="str">
        <f t="shared" si="132"/>
        <v/>
      </c>
      <c r="W354" s="34" t="str">
        <f t="shared" si="133"/>
        <v/>
      </c>
      <c r="X354" s="41" t="str">
        <f t="shared" si="140"/>
        <v/>
      </c>
      <c r="Y354" s="98" t="str">
        <f t="shared" si="134"/>
        <v/>
      </c>
      <c r="Z354" s="16" t="str">
        <f t="shared" si="141"/>
        <v/>
      </c>
      <c r="AB354" s="139"/>
      <c r="AC354" s="146" t="str">
        <f t="shared" si="144"/>
        <v/>
      </c>
      <c r="AD354" s="148" t="str">
        <f t="shared" si="142"/>
        <v/>
      </c>
      <c r="AE354" s="147" t="str">
        <f t="shared" si="135"/>
        <v/>
      </c>
      <c r="AF354" s="111" t="str">
        <f t="shared" si="136"/>
        <v/>
      </c>
      <c r="AG354" s="111" t="str">
        <f t="shared" si="137"/>
        <v/>
      </c>
      <c r="AH354" s="112" t="str">
        <f t="shared" si="138"/>
        <v/>
      </c>
      <c r="AI354" t="str">
        <f t="shared" si="143"/>
        <v/>
      </c>
      <c r="AJ354" t="str">
        <f t="shared" si="145"/>
        <v/>
      </c>
    </row>
    <row r="355" spans="1:36" ht="15" customHeight="1" x14ac:dyDescent="0.25">
      <c r="A355" s="114"/>
      <c r="B355" s="116"/>
      <c r="C355" s="116"/>
      <c r="D355" s="42" t="str">
        <f t="shared" si="122"/>
        <v/>
      </c>
      <c r="E355" s="43"/>
      <c r="F355" s="118"/>
      <c r="G355" s="44" t="str">
        <f t="shared" si="123"/>
        <v/>
      </c>
      <c r="H355" s="118"/>
      <c r="I355" s="34" t="str">
        <f t="shared" si="124"/>
        <v/>
      </c>
      <c r="J355" s="118"/>
      <c r="K355" s="34" t="str">
        <f t="shared" si="125"/>
        <v/>
      </c>
      <c r="L355" s="118"/>
      <c r="M355" s="121"/>
      <c r="N355" s="122" t="str">
        <f t="shared" si="126"/>
        <v/>
      </c>
      <c r="O355" s="35" t="str">
        <f t="shared" si="127"/>
        <v/>
      </c>
      <c r="P355" s="124"/>
      <c r="Q355" s="36" t="str">
        <f t="shared" si="139"/>
        <v/>
      </c>
      <c r="R355" s="46" t="str">
        <f t="shared" si="128"/>
        <v/>
      </c>
      <c r="S355" s="38" t="str">
        <f t="shared" si="129"/>
        <v/>
      </c>
      <c r="T355" s="39" t="str">
        <f t="shared" si="130"/>
        <v/>
      </c>
      <c r="U355" s="40" t="str">
        <f t="shared" si="131"/>
        <v/>
      </c>
      <c r="V355" s="39" t="str">
        <f t="shared" si="132"/>
        <v/>
      </c>
      <c r="W355" s="34" t="str">
        <f t="shared" si="133"/>
        <v/>
      </c>
      <c r="X355" s="41" t="str">
        <f t="shared" si="140"/>
        <v/>
      </c>
      <c r="Y355" s="98" t="str">
        <f t="shared" si="134"/>
        <v/>
      </c>
      <c r="Z355" s="16" t="str">
        <f t="shared" si="141"/>
        <v/>
      </c>
      <c r="AB355" s="139"/>
      <c r="AC355" s="146" t="str">
        <f t="shared" si="144"/>
        <v/>
      </c>
      <c r="AD355" s="148" t="str">
        <f t="shared" si="142"/>
        <v/>
      </c>
      <c r="AE355" s="147" t="str">
        <f t="shared" si="135"/>
        <v/>
      </c>
      <c r="AF355" s="111" t="str">
        <f t="shared" si="136"/>
        <v/>
      </c>
      <c r="AG355" s="111" t="str">
        <f t="shared" si="137"/>
        <v/>
      </c>
      <c r="AH355" s="112" t="str">
        <f t="shared" si="138"/>
        <v/>
      </c>
      <c r="AI355" t="str">
        <f t="shared" si="143"/>
        <v/>
      </c>
      <c r="AJ355" t="str">
        <f t="shared" si="145"/>
        <v/>
      </c>
    </row>
    <row r="356" spans="1:36" ht="15" customHeight="1" x14ac:dyDescent="0.25">
      <c r="A356" s="114"/>
      <c r="B356" s="116"/>
      <c r="C356" s="116"/>
      <c r="D356" s="42" t="str">
        <f t="shared" si="122"/>
        <v/>
      </c>
      <c r="E356" s="43"/>
      <c r="F356" s="118"/>
      <c r="G356" s="44" t="str">
        <f t="shared" si="123"/>
        <v/>
      </c>
      <c r="H356" s="118"/>
      <c r="I356" s="34" t="str">
        <f t="shared" si="124"/>
        <v/>
      </c>
      <c r="J356" s="118"/>
      <c r="K356" s="34" t="str">
        <f t="shared" si="125"/>
        <v/>
      </c>
      <c r="L356" s="118"/>
      <c r="M356" s="121"/>
      <c r="N356" s="122" t="str">
        <f t="shared" si="126"/>
        <v/>
      </c>
      <c r="O356" s="35" t="str">
        <f t="shared" si="127"/>
        <v/>
      </c>
      <c r="P356" s="124"/>
      <c r="Q356" s="36" t="str">
        <f t="shared" si="139"/>
        <v/>
      </c>
      <c r="R356" s="46" t="str">
        <f t="shared" si="128"/>
        <v/>
      </c>
      <c r="S356" s="38" t="str">
        <f t="shared" si="129"/>
        <v/>
      </c>
      <c r="T356" s="39" t="str">
        <f t="shared" si="130"/>
        <v/>
      </c>
      <c r="U356" s="40" t="str">
        <f t="shared" si="131"/>
        <v/>
      </c>
      <c r="V356" s="39" t="str">
        <f t="shared" si="132"/>
        <v/>
      </c>
      <c r="W356" s="34" t="str">
        <f t="shared" si="133"/>
        <v/>
      </c>
      <c r="X356" s="41" t="str">
        <f t="shared" si="140"/>
        <v/>
      </c>
      <c r="Y356" s="98" t="str">
        <f t="shared" si="134"/>
        <v/>
      </c>
      <c r="Z356" s="16" t="str">
        <f t="shared" si="141"/>
        <v/>
      </c>
      <c r="AB356" s="139"/>
      <c r="AC356" s="146" t="str">
        <f t="shared" si="144"/>
        <v/>
      </c>
      <c r="AD356" s="148" t="str">
        <f t="shared" si="142"/>
        <v/>
      </c>
      <c r="AE356" s="147" t="str">
        <f t="shared" si="135"/>
        <v/>
      </c>
      <c r="AF356" s="111" t="str">
        <f t="shared" si="136"/>
        <v/>
      </c>
      <c r="AG356" s="111" t="str">
        <f t="shared" si="137"/>
        <v/>
      </c>
      <c r="AH356" s="112" t="str">
        <f t="shared" si="138"/>
        <v/>
      </c>
      <c r="AI356" t="str">
        <f t="shared" si="143"/>
        <v/>
      </c>
      <c r="AJ356" t="str">
        <f t="shared" si="145"/>
        <v/>
      </c>
    </row>
    <row r="357" spans="1:36" ht="15" customHeight="1" x14ac:dyDescent="0.25">
      <c r="A357" s="114"/>
      <c r="B357" s="116"/>
      <c r="C357" s="116"/>
      <c r="D357" s="42" t="str">
        <f t="shared" si="122"/>
        <v/>
      </c>
      <c r="E357" s="43"/>
      <c r="F357" s="118"/>
      <c r="G357" s="44" t="str">
        <f t="shared" si="123"/>
        <v/>
      </c>
      <c r="H357" s="118"/>
      <c r="I357" s="34" t="str">
        <f t="shared" si="124"/>
        <v/>
      </c>
      <c r="J357" s="118"/>
      <c r="K357" s="34" t="str">
        <f t="shared" si="125"/>
        <v/>
      </c>
      <c r="L357" s="118"/>
      <c r="M357" s="121"/>
      <c r="N357" s="122" t="str">
        <f t="shared" si="126"/>
        <v/>
      </c>
      <c r="O357" s="35" t="str">
        <f t="shared" si="127"/>
        <v/>
      </c>
      <c r="P357" s="124"/>
      <c r="Q357" s="36" t="str">
        <f t="shared" si="139"/>
        <v/>
      </c>
      <c r="R357" s="46" t="str">
        <f t="shared" si="128"/>
        <v/>
      </c>
      <c r="S357" s="38" t="str">
        <f t="shared" si="129"/>
        <v/>
      </c>
      <c r="T357" s="39" t="str">
        <f t="shared" si="130"/>
        <v/>
      </c>
      <c r="U357" s="40" t="str">
        <f t="shared" si="131"/>
        <v/>
      </c>
      <c r="V357" s="39" t="str">
        <f t="shared" si="132"/>
        <v/>
      </c>
      <c r="W357" s="34" t="str">
        <f t="shared" si="133"/>
        <v/>
      </c>
      <c r="X357" s="41" t="str">
        <f t="shared" si="140"/>
        <v/>
      </c>
      <c r="Y357" s="98" t="str">
        <f t="shared" si="134"/>
        <v/>
      </c>
      <c r="Z357" s="16" t="str">
        <f t="shared" si="141"/>
        <v/>
      </c>
      <c r="AB357" s="139"/>
      <c r="AC357" s="146" t="str">
        <f t="shared" si="144"/>
        <v/>
      </c>
      <c r="AD357" s="148" t="str">
        <f t="shared" si="142"/>
        <v/>
      </c>
      <c r="AE357" s="147" t="str">
        <f t="shared" si="135"/>
        <v/>
      </c>
      <c r="AF357" s="111" t="str">
        <f t="shared" si="136"/>
        <v/>
      </c>
      <c r="AG357" s="111" t="str">
        <f t="shared" si="137"/>
        <v/>
      </c>
      <c r="AH357" s="112" t="str">
        <f t="shared" si="138"/>
        <v/>
      </c>
      <c r="AI357" t="str">
        <f t="shared" si="143"/>
        <v/>
      </c>
      <c r="AJ357" t="str">
        <f t="shared" si="145"/>
        <v/>
      </c>
    </row>
    <row r="358" spans="1:36" ht="15" customHeight="1" x14ac:dyDescent="0.25">
      <c r="A358" s="114"/>
      <c r="B358" s="116"/>
      <c r="C358" s="116"/>
      <c r="D358" s="42" t="str">
        <f t="shared" si="122"/>
        <v/>
      </c>
      <c r="E358" s="43"/>
      <c r="F358" s="118"/>
      <c r="G358" s="44" t="str">
        <f t="shared" si="123"/>
        <v/>
      </c>
      <c r="H358" s="118"/>
      <c r="I358" s="34" t="str">
        <f t="shared" si="124"/>
        <v/>
      </c>
      <c r="J358" s="118"/>
      <c r="K358" s="34" t="str">
        <f t="shared" si="125"/>
        <v/>
      </c>
      <c r="L358" s="118"/>
      <c r="M358" s="121"/>
      <c r="N358" s="122" t="str">
        <f t="shared" si="126"/>
        <v/>
      </c>
      <c r="O358" s="35" t="str">
        <f t="shared" si="127"/>
        <v/>
      </c>
      <c r="P358" s="124"/>
      <c r="Q358" s="36" t="str">
        <f t="shared" si="139"/>
        <v/>
      </c>
      <c r="R358" s="46" t="str">
        <f t="shared" si="128"/>
        <v/>
      </c>
      <c r="S358" s="38" t="str">
        <f t="shared" si="129"/>
        <v/>
      </c>
      <c r="T358" s="39" t="str">
        <f t="shared" si="130"/>
        <v/>
      </c>
      <c r="U358" s="40" t="str">
        <f t="shared" si="131"/>
        <v/>
      </c>
      <c r="V358" s="39" t="str">
        <f t="shared" si="132"/>
        <v/>
      </c>
      <c r="W358" s="34" t="str">
        <f t="shared" si="133"/>
        <v/>
      </c>
      <c r="X358" s="41" t="str">
        <f t="shared" si="140"/>
        <v/>
      </c>
      <c r="Y358" s="98" t="str">
        <f t="shared" si="134"/>
        <v/>
      </c>
      <c r="Z358" s="16" t="str">
        <f t="shared" si="141"/>
        <v/>
      </c>
      <c r="AB358" s="139"/>
      <c r="AC358" s="146" t="str">
        <f t="shared" si="144"/>
        <v/>
      </c>
      <c r="AD358" s="148" t="str">
        <f t="shared" si="142"/>
        <v/>
      </c>
      <c r="AE358" s="147" t="str">
        <f t="shared" si="135"/>
        <v/>
      </c>
      <c r="AF358" s="111" t="str">
        <f t="shared" si="136"/>
        <v/>
      </c>
      <c r="AG358" s="111" t="str">
        <f t="shared" si="137"/>
        <v/>
      </c>
      <c r="AH358" s="112" t="str">
        <f t="shared" si="138"/>
        <v/>
      </c>
      <c r="AI358" t="str">
        <f t="shared" si="143"/>
        <v/>
      </c>
      <c r="AJ358" t="str">
        <f t="shared" si="145"/>
        <v/>
      </c>
    </row>
    <row r="359" spans="1:36" ht="15" customHeight="1" x14ac:dyDescent="0.25">
      <c r="A359" s="114"/>
      <c r="B359" s="116"/>
      <c r="C359" s="116"/>
      <c r="D359" s="42" t="str">
        <f t="shared" si="122"/>
        <v/>
      </c>
      <c r="E359" s="43"/>
      <c r="F359" s="118"/>
      <c r="G359" s="44" t="str">
        <f t="shared" si="123"/>
        <v/>
      </c>
      <c r="H359" s="118"/>
      <c r="I359" s="34" t="str">
        <f t="shared" si="124"/>
        <v/>
      </c>
      <c r="J359" s="118"/>
      <c r="K359" s="34" t="str">
        <f t="shared" si="125"/>
        <v/>
      </c>
      <c r="L359" s="118"/>
      <c r="M359" s="121"/>
      <c r="N359" s="122" t="str">
        <f t="shared" si="126"/>
        <v/>
      </c>
      <c r="O359" s="35" t="str">
        <f t="shared" si="127"/>
        <v/>
      </c>
      <c r="P359" s="124"/>
      <c r="Q359" s="36" t="str">
        <f t="shared" si="139"/>
        <v/>
      </c>
      <c r="R359" s="46" t="str">
        <f t="shared" si="128"/>
        <v/>
      </c>
      <c r="S359" s="38" t="str">
        <f t="shared" si="129"/>
        <v/>
      </c>
      <c r="T359" s="39" t="str">
        <f t="shared" si="130"/>
        <v/>
      </c>
      <c r="U359" s="40" t="str">
        <f t="shared" si="131"/>
        <v/>
      </c>
      <c r="V359" s="39" t="str">
        <f t="shared" si="132"/>
        <v/>
      </c>
      <c r="W359" s="34" t="str">
        <f t="shared" si="133"/>
        <v/>
      </c>
      <c r="X359" s="41" t="str">
        <f t="shared" si="140"/>
        <v/>
      </c>
      <c r="Y359" s="98" t="str">
        <f t="shared" si="134"/>
        <v/>
      </c>
      <c r="Z359" s="16" t="str">
        <f t="shared" si="141"/>
        <v/>
      </c>
      <c r="AB359" s="139"/>
      <c r="AC359" s="146" t="str">
        <f t="shared" si="144"/>
        <v/>
      </c>
      <c r="AD359" s="148" t="str">
        <f t="shared" si="142"/>
        <v/>
      </c>
      <c r="AE359" s="147" t="str">
        <f t="shared" si="135"/>
        <v/>
      </c>
      <c r="AF359" s="111" t="str">
        <f t="shared" si="136"/>
        <v/>
      </c>
      <c r="AG359" s="111" t="str">
        <f t="shared" si="137"/>
        <v/>
      </c>
      <c r="AH359" s="112" t="str">
        <f t="shared" si="138"/>
        <v/>
      </c>
      <c r="AI359" t="str">
        <f t="shared" si="143"/>
        <v/>
      </c>
      <c r="AJ359" t="str">
        <f t="shared" si="145"/>
        <v/>
      </c>
    </row>
    <row r="360" spans="1:36" ht="15" customHeight="1" x14ac:dyDescent="0.25">
      <c r="A360" s="114"/>
      <c r="B360" s="116"/>
      <c r="C360" s="116"/>
      <c r="D360" s="42" t="str">
        <f t="shared" si="122"/>
        <v/>
      </c>
      <c r="E360" s="43"/>
      <c r="F360" s="118"/>
      <c r="G360" s="44" t="str">
        <f t="shared" si="123"/>
        <v/>
      </c>
      <c r="H360" s="118"/>
      <c r="I360" s="34" t="str">
        <f t="shared" si="124"/>
        <v/>
      </c>
      <c r="J360" s="118"/>
      <c r="K360" s="34" t="str">
        <f t="shared" si="125"/>
        <v/>
      </c>
      <c r="L360" s="118"/>
      <c r="M360" s="121"/>
      <c r="N360" s="122" t="str">
        <f t="shared" si="126"/>
        <v/>
      </c>
      <c r="O360" s="35" t="str">
        <f t="shared" si="127"/>
        <v/>
      </c>
      <c r="P360" s="124"/>
      <c r="Q360" s="36" t="str">
        <f t="shared" si="139"/>
        <v/>
      </c>
      <c r="R360" s="46" t="str">
        <f t="shared" si="128"/>
        <v/>
      </c>
      <c r="S360" s="38" t="str">
        <f t="shared" si="129"/>
        <v/>
      </c>
      <c r="T360" s="39" t="str">
        <f t="shared" si="130"/>
        <v/>
      </c>
      <c r="U360" s="40" t="str">
        <f t="shared" si="131"/>
        <v/>
      </c>
      <c r="V360" s="39" t="str">
        <f t="shared" si="132"/>
        <v/>
      </c>
      <c r="W360" s="34" t="str">
        <f t="shared" si="133"/>
        <v/>
      </c>
      <c r="X360" s="41" t="str">
        <f t="shared" si="140"/>
        <v/>
      </c>
      <c r="Y360" s="98" t="str">
        <f t="shared" si="134"/>
        <v/>
      </c>
      <c r="Z360" s="16" t="str">
        <f t="shared" si="141"/>
        <v/>
      </c>
      <c r="AB360" s="139"/>
      <c r="AC360" s="146" t="str">
        <f t="shared" si="144"/>
        <v/>
      </c>
      <c r="AD360" s="148" t="str">
        <f t="shared" si="142"/>
        <v/>
      </c>
      <c r="AE360" s="147" t="str">
        <f t="shared" si="135"/>
        <v/>
      </c>
      <c r="AF360" s="111" t="str">
        <f t="shared" si="136"/>
        <v/>
      </c>
      <c r="AG360" s="111" t="str">
        <f t="shared" si="137"/>
        <v/>
      </c>
      <c r="AH360" s="112" t="str">
        <f t="shared" si="138"/>
        <v/>
      </c>
      <c r="AI360" t="str">
        <f t="shared" si="143"/>
        <v/>
      </c>
      <c r="AJ360" t="str">
        <f t="shared" si="145"/>
        <v/>
      </c>
    </row>
    <row r="361" spans="1:36" ht="15" customHeight="1" x14ac:dyDescent="0.25">
      <c r="A361" s="114"/>
      <c r="B361" s="116"/>
      <c r="C361" s="116"/>
      <c r="D361" s="42" t="str">
        <f t="shared" si="122"/>
        <v/>
      </c>
      <c r="E361" s="43"/>
      <c r="F361" s="118"/>
      <c r="G361" s="44" t="str">
        <f t="shared" si="123"/>
        <v/>
      </c>
      <c r="H361" s="118"/>
      <c r="I361" s="34" t="str">
        <f t="shared" si="124"/>
        <v/>
      </c>
      <c r="J361" s="118"/>
      <c r="K361" s="34" t="str">
        <f t="shared" si="125"/>
        <v/>
      </c>
      <c r="L361" s="118"/>
      <c r="M361" s="121"/>
      <c r="N361" s="122" t="str">
        <f t="shared" si="126"/>
        <v/>
      </c>
      <c r="O361" s="35" t="str">
        <f t="shared" si="127"/>
        <v/>
      </c>
      <c r="P361" s="124"/>
      <c r="Q361" s="36" t="str">
        <f t="shared" si="139"/>
        <v/>
      </c>
      <c r="R361" s="46" t="str">
        <f t="shared" si="128"/>
        <v/>
      </c>
      <c r="S361" s="38" t="str">
        <f t="shared" si="129"/>
        <v/>
      </c>
      <c r="T361" s="39" t="str">
        <f t="shared" si="130"/>
        <v/>
      </c>
      <c r="U361" s="40" t="str">
        <f t="shared" si="131"/>
        <v/>
      </c>
      <c r="V361" s="39" t="str">
        <f t="shared" si="132"/>
        <v/>
      </c>
      <c r="W361" s="34" t="str">
        <f t="shared" si="133"/>
        <v/>
      </c>
      <c r="X361" s="41" t="str">
        <f t="shared" si="140"/>
        <v/>
      </c>
      <c r="Y361" s="98" t="str">
        <f t="shared" si="134"/>
        <v/>
      </c>
      <c r="Z361" s="16" t="str">
        <f t="shared" si="141"/>
        <v/>
      </c>
      <c r="AB361" s="139"/>
      <c r="AC361" s="146" t="str">
        <f t="shared" si="144"/>
        <v/>
      </c>
      <c r="AD361" s="148" t="str">
        <f t="shared" si="142"/>
        <v/>
      </c>
      <c r="AE361" s="147" t="str">
        <f t="shared" si="135"/>
        <v/>
      </c>
      <c r="AF361" s="111" t="str">
        <f t="shared" si="136"/>
        <v/>
      </c>
      <c r="AG361" s="111" t="str">
        <f t="shared" si="137"/>
        <v/>
      </c>
      <c r="AH361" s="112" t="str">
        <f t="shared" si="138"/>
        <v/>
      </c>
      <c r="AI361" t="str">
        <f t="shared" si="143"/>
        <v/>
      </c>
      <c r="AJ361" t="str">
        <f t="shared" si="145"/>
        <v/>
      </c>
    </row>
    <row r="362" spans="1:36" ht="15" customHeight="1" x14ac:dyDescent="0.25">
      <c r="A362" s="114"/>
      <c r="B362" s="116"/>
      <c r="C362" s="116"/>
      <c r="D362" s="42" t="str">
        <f t="shared" si="122"/>
        <v/>
      </c>
      <c r="E362" s="43"/>
      <c r="F362" s="118"/>
      <c r="G362" s="44" t="str">
        <f t="shared" si="123"/>
        <v/>
      </c>
      <c r="H362" s="118"/>
      <c r="I362" s="34" t="str">
        <f t="shared" si="124"/>
        <v/>
      </c>
      <c r="J362" s="118"/>
      <c r="K362" s="34" t="str">
        <f t="shared" si="125"/>
        <v/>
      </c>
      <c r="L362" s="118"/>
      <c r="M362" s="121"/>
      <c r="N362" s="122" t="str">
        <f t="shared" si="126"/>
        <v/>
      </c>
      <c r="O362" s="35" t="str">
        <f t="shared" si="127"/>
        <v/>
      </c>
      <c r="P362" s="124"/>
      <c r="Q362" s="36" t="str">
        <f t="shared" si="139"/>
        <v/>
      </c>
      <c r="R362" s="46" t="str">
        <f t="shared" si="128"/>
        <v/>
      </c>
      <c r="S362" s="38" t="str">
        <f t="shared" si="129"/>
        <v/>
      </c>
      <c r="T362" s="39" t="str">
        <f t="shared" si="130"/>
        <v/>
      </c>
      <c r="U362" s="40" t="str">
        <f t="shared" si="131"/>
        <v/>
      </c>
      <c r="V362" s="39" t="str">
        <f t="shared" si="132"/>
        <v/>
      </c>
      <c r="W362" s="34" t="str">
        <f t="shared" si="133"/>
        <v/>
      </c>
      <c r="X362" s="41" t="str">
        <f t="shared" si="140"/>
        <v/>
      </c>
      <c r="Y362" s="98" t="str">
        <f t="shared" si="134"/>
        <v/>
      </c>
      <c r="Z362" s="16" t="str">
        <f t="shared" si="141"/>
        <v/>
      </c>
      <c r="AB362" s="139"/>
      <c r="AC362" s="146" t="str">
        <f t="shared" si="144"/>
        <v/>
      </c>
      <c r="AD362" s="148" t="str">
        <f t="shared" si="142"/>
        <v/>
      </c>
      <c r="AE362" s="147" t="str">
        <f t="shared" si="135"/>
        <v/>
      </c>
      <c r="AF362" s="111" t="str">
        <f t="shared" si="136"/>
        <v/>
      </c>
      <c r="AG362" s="111" t="str">
        <f t="shared" si="137"/>
        <v/>
      </c>
      <c r="AH362" s="112" t="str">
        <f t="shared" si="138"/>
        <v/>
      </c>
      <c r="AI362" t="str">
        <f t="shared" si="143"/>
        <v/>
      </c>
      <c r="AJ362" t="str">
        <f t="shared" si="145"/>
        <v/>
      </c>
    </row>
    <row r="363" spans="1:36" ht="15" customHeight="1" x14ac:dyDescent="0.25">
      <c r="A363" s="114"/>
      <c r="B363" s="116"/>
      <c r="C363" s="116"/>
      <c r="D363" s="42" t="str">
        <f t="shared" si="122"/>
        <v/>
      </c>
      <c r="E363" s="43"/>
      <c r="F363" s="118"/>
      <c r="G363" s="44" t="str">
        <f t="shared" si="123"/>
        <v/>
      </c>
      <c r="H363" s="118"/>
      <c r="I363" s="34" t="str">
        <f t="shared" si="124"/>
        <v/>
      </c>
      <c r="J363" s="118"/>
      <c r="K363" s="34" t="str">
        <f t="shared" si="125"/>
        <v/>
      </c>
      <c r="L363" s="118"/>
      <c r="M363" s="121"/>
      <c r="N363" s="122" t="str">
        <f t="shared" si="126"/>
        <v/>
      </c>
      <c r="O363" s="35" t="str">
        <f t="shared" si="127"/>
        <v/>
      </c>
      <c r="P363" s="124"/>
      <c r="Q363" s="36" t="str">
        <f t="shared" si="139"/>
        <v/>
      </c>
      <c r="R363" s="46" t="str">
        <f t="shared" si="128"/>
        <v/>
      </c>
      <c r="S363" s="38" t="str">
        <f t="shared" si="129"/>
        <v/>
      </c>
      <c r="T363" s="39" t="str">
        <f t="shared" si="130"/>
        <v/>
      </c>
      <c r="U363" s="40" t="str">
        <f t="shared" si="131"/>
        <v/>
      </c>
      <c r="V363" s="39" t="str">
        <f t="shared" si="132"/>
        <v/>
      </c>
      <c r="W363" s="34" t="str">
        <f t="shared" si="133"/>
        <v/>
      </c>
      <c r="X363" s="41" t="str">
        <f t="shared" si="140"/>
        <v/>
      </c>
      <c r="Y363" s="98" t="str">
        <f t="shared" si="134"/>
        <v/>
      </c>
      <c r="Z363" s="16" t="str">
        <f t="shared" si="141"/>
        <v/>
      </c>
      <c r="AB363" s="139"/>
      <c r="AC363" s="146" t="str">
        <f t="shared" si="144"/>
        <v/>
      </c>
      <c r="AD363" s="148" t="str">
        <f t="shared" si="142"/>
        <v/>
      </c>
      <c r="AE363" s="147" t="str">
        <f t="shared" si="135"/>
        <v/>
      </c>
      <c r="AF363" s="111" t="str">
        <f t="shared" si="136"/>
        <v/>
      </c>
      <c r="AG363" s="111" t="str">
        <f t="shared" si="137"/>
        <v/>
      </c>
      <c r="AH363" s="112" t="str">
        <f t="shared" si="138"/>
        <v/>
      </c>
      <c r="AI363" t="str">
        <f t="shared" si="143"/>
        <v/>
      </c>
      <c r="AJ363" t="str">
        <f t="shared" si="145"/>
        <v/>
      </c>
    </row>
    <row r="364" spans="1:36" ht="15" customHeight="1" x14ac:dyDescent="0.25">
      <c r="A364" s="114"/>
      <c r="B364" s="116"/>
      <c r="C364" s="116"/>
      <c r="D364" s="42" t="str">
        <f t="shared" si="122"/>
        <v/>
      </c>
      <c r="E364" s="43"/>
      <c r="F364" s="118"/>
      <c r="G364" s="44" t="str">
        <f t="shared" si="123"/>
        <v/>
      </c>
      <c r="H364" s="118"/>
      <c r="I364" s="34" t="str">
        <f t="shared" si="124"/>
        <v/>
      </c>
      <c r="J364" s="118"/>
      <c r="K364" s="34" t="str">
        <f t="shared" si="125"/>
        <v/>
      </c>
      <c r="L364" s="118"/>
      <c r="M364" s="121"/>
      <c r="N364" s="122" t="str">
        <f t="shared" si="126"/>
        <v/>
      </c>
      <c r="O364" s="35" t="str">
        <f t="shared" si="127"/>
        <v/>
      </c>
      <c r="P364" s="124"/>
      <c r="Q364" s="36" t="str">
        <f t="shared" si="139"/>
        <v/>
      </c>
      <c r="R364" s="46" t="str">
        <f t="shared" si="128"/>
        <v/>
      </c>
      <c r="S364" s="38" t="str">
        <f t="shared" si="129"/>
        <v/>
      </c>
      <c r="T364" s="39" t="str">
        <f t="shared" si="130"/>
        <v/>
      </c>
      <c r="U364" s="40" t="str">
        <f t="shared" si="131"/>
        <v/>
      </c>
      <c r="V364" s="39" t="str">
        <f t="shared" si="132"/>
        <v/>
      </c>
      <c r="W364" s="34" t="str">
        <f t="shared" si="133"/>
        <v/>
      </c>
      <c r="X364" s="41" t="str">
        <f t="shared" si="140"/>
        <v/>
      </c>
      <c r="Y364" s="98" t="str">
        <f t="shared" si="134"/>
        <v/>
      </c>
      <c r="Z364" s="16" t="str">
        <f t="shared" si="141"/>
        <v/>
      </c>
      <c r="AB364" s="139"/>
      <c r="AC364" s="146" t="str">
        <f t="shared" si="144"/>
        <v/>
      </c>
      <c r="AD364" s="148" t="str">
        <f t="shared" si="142"/>
        <v/>
      </c>
      <c r="AE364" s="147" t="str">
        <f t="shared" si="135"/>
        <v/>
      </c>
      <c r="AF364" s="111" t="str">
        <f t="shared" si="136"/>
        <v/>
      </c>
      <c r="AG364" s="111" t="str">
        <f t="shared" si="137"/>
        <v/>
      </c>
      <c r="AH364" s="112" t="str">
        <f t="shared" si="138"/>
        <v/>
      </c>
      <c r="AI364" t="str">
        <f t="shared" si="143"/>
        <v/>
      </c>
      <c r="AJ364" t="str">
        <f t="shared" si="145"/>
        <v/>
      </c>
    </row>
    <row r="365" spans="1:36" ht="15" customHeight="1" x14ac:dyDescent="0.25">
      <c r="A365" s="114"/>
      <c r="B365" s="116"/>
      <c r="C365" s="116"/>
      <c r="D365" s="42" t="str">
        <f t="shared" si="122"/>
        <v/>
      </c>
      <c r="E365" s="43"/>
      <c r="F365" s="118"/>
      <c r="G365" s="44" t="str">
        <f t="shared" si="123"/>
        <v/>
      </c>
      <c r="H365" s="118"/>
      <c r="I365" s="34" t="str">
        <f t="shared" si="124"/>
        <v/>
      </c>
      <c r="J365" s="118"/>
      <c r="K365" s="34" t="str">
        <f t="shared" si="125"/>
        <v/>
      </c>
      <c r="L365" s="118"/>
      <c r="M365" s="121"/>
      <c r="N365" s="122" t="str">
        <f t="shared" si="126"/>
        <v/>
      </c>
      <c r="O365" s="35" t="str">
        <f t="shared" si="127"/>
        <v/>
      </c>
      <c r="P365" s="124"/>
      <c r="Q365" s="36" t="str">
        <f t="shared" si="139"/>
        <v/>
      </c>
      <c r="R365" s="46" t="str">
        <f t="shared" si="128"/>
        <v/>
      </c>
      <c r="S365" s="38" t="str">
        <f t="shared" si="129"/>
        <v/>
      </c>
      <c r="T365" s="39" t="str">
        <f t="shared" si="130"/>
        <v/>
      </c>
      <c r="U365" s="40" t="str">
        <f t="shared" si="131"/>
        <v/>
      </c>
      <c r="V365" s="39" t="str">
        <f t="shared" si="132"/>
        <v/>
      </c>
      <c r="W365" s="34" t="str">
        <f t="shared" si="133"/>
        <v/>
      </c>
      <c r="X365" s="41" t="str">
        <f t="shared" si="140"/>
        <v/>
      </c>
      <c r="Y365" s="98" t="str">
        <f t="shared" si="134"/>
        <v/>
      </c>
      <c r="Z365" s="16" t="str">
        <f t="shared" si="141"/>
        <v/>
      </c>
      <c r="AB365" s="139"/>
      <c r="AC365" s="146" t="str">
        <f t="shared" si="144"/>
        <v/>
      </c>
      <c r="AD365" s="148" t="str">
        <f t="shared" si="142"/>
        <v/>
      </c>
      <c r="AE365" s="147" t="str">
        <f t="shared" si="135"/>
        <v/>
      </c>
      <c r="AF365" s="111" t="str">
        <f t="shared" si="136"/>
        <v/>
      </c>
      <c r="AG365" s="111" t="str">
        <f t="shared" si="137"/>
        <v/>
      </c>
      <c r="AH365" s="112" t="str">
        <f t="shared" si="138"/>
        <v/>
      </c>
      <c r="AI365" t="str">
        <f t="shared" si="143"/>
        <v/>
      </c>
      <c r="AJ365" t="str">
        <f t="shared" si="145"/>
        <v/>
      </c>
    </row>
    <row r="366" spans="1:36" ht="15" customHeight="1" x14ac:dyDescent="0.25">
      <c r="A366" s="114"/>
      <c r="B366" s="116"/>
      <c r="C366" s="116"/>
      <c r="D366" s="42" t="str">
        <f t="shared" si="122"/>
        <v/>
      </c>
      <c r="E366" s="43"/>
      <c r="F366" s="118"/>
      <c r="G366" s="44" t="str">
        <f t="shared" si="123"/>
        <v/>
      </c>
      <c r="H366" s="118"/>
      <c r="I366" s="34" t="str">
        <f t="shared" si="124"/>
        <v/>
      </c>
      <c r="J366" s="118"/>
      <c r="K366" s="34" t="str">
        <f t="shared" si="125"/>
        <v/>
      </c>
      <c r="L366" s="118"/>
      <c r="M366" s="121"/>
      <c r="N366" s="122" t="str">
        <f t="shared" si="126"/>
        <v/>
      </c>
      <c r="O366" s="35" t="str">
        <f t="shared" si="127"/>
        <v/>
      </c>
      <c r="P366" s="124"/>
      <c r="Q366" s="36" t="str">
        <f t="shared" si="139"/>
        <v/>
      </c>
      <c r="R366" s="46" t="str">
        <f t="shared" si="128"/>
        <v/>
      </c>
      <c r="S366" s="38" t="str">
        <f t="shared" si="129"/>
        <v/>
      </c>
      <c r="T366" s="39" t="str">
        <f t="shared" si="130"/>
        <v/>
      </c>
      <c r="U366" s="40" t="str">
        <f t="shared" si="131"/>
        <v/>
      </c>
      <c r="V366" s="39" t="str">
        <f t="shared" si="132"/>
        <v/>
      </c>
      <c r="W366" s="34" t="str">
        <f t="shared" si="133"/>
        <v/>
      </c>
      <c r="X366" s="41" t="str">
        <f t="shared" si="140"/>
        <v/>
      </c>
      <c r="Y366" s="98" t="str">
        <f t="shared" si="134"/>
        <v/>
      </c>
      <c r="Z366" s="16" t="str">
        <f t="shared" si="141"/>
        <v/>
      </c>
      <c r="AB366" s="139"/>
      <c r="AC366" s="146" t="str">
        <f t="shared" si="144"/>
        <v/>
      </c>
      <c r="AD366" s="148" t="str">
        <f t="shared" si="142"/>
        <v/>
      </c>
      <c r="AE366" s="147" t="str">
        <f t="shared" si="135"/>
        <v/>
      </c>
      <c r="AF366" s="111" t="str">
        <f t="shared" si="136"/>
        <v/>
      </c>
      <c r="AG366" s="111" t="str">
        <f t="shared" si="137"/>
        <v/>
      </c>
      <c r="AH366" s="112" t="str">
        <f t="shared" si="138"/>
        <v/>
      </c>
      <c r="AI366" t="str">
        <f t="shared" si="143"/>
        <v/>
      </c>
      <c r="AJ366" t="str">
        <f t="shared" si="145"/>
        <v/>
      </c>
    </row>
    <row r="367" spans="1:36" ht="15" customHeight="1" x14ac:dyDescent="0.25">
      <c r="A367" s="114"/>
      <c r="B367" s="116"/>
      <c r="C367" s="116"/>
      <c r="D367" s="42" t="str">
        <f t="shared" si="122"/>
        <v/>
      </c>
      <c r="E367" s="43"/>
      <c r="F367" s="118"/>
      <c r="G367" s="44" t="str">
        <f t="shared" si="123"/>
        <v/>
      </c>
      <c r="H367" s="118"/>
      <c r="I367" s="34" t="str">
        <f t="shared" si="124"/>
        <v/>
      </c>
      <c r="J367" s="118"/>
      <c r="K367" s="34" t="str">
        <f t="shared" si="125"/>
        <v/>
      </c>
      <c r="L367" s="118"/>
      <c r="M367" s="121"/>
      <c r="N367" s="122" t="str">
        <f t="shared" si="126"/>
        <v/>
      </c>
      <c r="O367" s="35" t="str">
        <f t="shared" si="127"/>
        <v/>
      </c>
      <c r="P367" s="124"/>
      <c r="Q367" s="36" t="str">
        <f t="shared" si="139"/>
        <v/>
      </c>
      <c r="R367" s="46" t="str">
        <f t="shared" si="128"/>
        <v/>
      </c>
      <c r="S367" s="38" t="str">
        <f t="shared" si="129"/>
        <v/>
      </c>
      <c r="T367" s="39" t="str">
        <f t="shared" si="130"/>
        <v/>
      </c>
      <c r="U367" s="40" t="str">
        <f t="shared" si="131"/>
        <v/>
      </c>
      <c r="V367" s="39" t="str">
        <f t="shared" si="132"/>
        <v/>
      </c>
      <c r="W367" s="34" t="str">
        <f t="shared" si="133"/>
        <v/>
      </c>
      <c r="X367" s="41" t="str">
        <f t="shared" si="140"/>
        <v/>
      </c>
      <c r="Y367" s="98" t="str">
        <f t="shared" si="134"/>
        <v/>
      </c>
      <c r="Z367" s="16" t="str">
        <f t="shared" si="141"/>
        <v/>
      </c>
      <c r="AB367" s="139"/>
      <c r="AC367" s="146" t="str">
        <f t="shared" si="144"/>
        <v/>
      </c>
      <c r="AD367" s="148" t="str">
        <f t="shared" si="142"/>
        <v/>
      </c>
      <c r="AE367" s="147" t="str">
        <f t="shared" si="135"/>
        <v/>
      </c>
      <c r="AF367" s="111" t="str">
        <f t="shared" si="136"/>
        <v/>
      </c>
      <c r="AG367" s="111" t="str">
        <f t="shared" si="137"/>
        <v/>
      </c>
      <c r="AH367" s="112" t="str">
        <f t="shared" si="138"/>
        <v/>
      </c>
      <c r="AI367" t="str">
        <f t="shared" si="143"/>
        <v/>
      </c>
      <c r="AJ367" t="str">
        <f t="shared" si="145"/>
        <v/>
      </c>
    </row>
    <row r="368" spans="1:36" ht="15" customHeight="1" x14ac:dyDescent="0.25">
      <c r="A368" s="114"/>
      <c r="B368" s="116"/>
      <c r="C368" s="116"/>
      <c r="D368" s="42" t="str">
        <f t="shared" si="122"/>
        <v/>
      </c>
      <c r="E368" s="43"/>
      <c r="F368" s="118"/>
      <c r="G368" s="44" t="str">
        <f t="shared" si="123"/>
        <v/>
      </c>
      <c r="H368" s="118"/>
      <c r="I368" s="34" t="str">
        <f t="shared" si="124"/>
        <v/>
      </c>
      <c r="J368" s="118"/>
      <c r="K368" s="34" t="str">
        <f t="shared" si="125"/>
        <v/>
      </c>
      <c r="L368" s="118"/>
      <c r="M368" s="121"/>
      <c r="N368" s="122" t="str">
        <f t="shared" si="126"/>
        <v/>
      </c>
      <c r="O368" s="35" t="str">
        <f t="shared" si="127"/>
        <v/>
      </c>
      <c r="P368" s="124"/>
      <c r="Q368" s="36" t="str">
        <f t="shared" si="139"/>
        <v/>
      </c>
      <c r="R368" s="46" t="str">
        <f t="shared" si="128"/>
        <v/>
      </c>
      <c r="S368" s="38" t="str">
        <f t="shared" si="129"/>
        <v/>
      </c>
      <c r="T368" s="39" t="str">
        <f t="shared" si="130"/>
        <v/>
      </c>
      <c r="U368" s="40" t="str">
        <f t="shared" si="131"/>
        <v/>
      </c>
      <c r="V368" s="39" t="str">
        <f t="shared" si="132"/>
        <v/>
      </c>
      <c r="W368" s="34" t="str">
        <f t="shared" si="133"/>
        <v/>
      </c>
      <c r="X368" s="41" t="str">
        <f t="shared" si="140"/>
        <v/>
      </c>
      <c r="Y368" s="98" t="str">
        <f t="shared" si="134"/>
        <v/>
      </c>
      <c r="Z368" s="16" t="str">
        <f t="shared" si="141"/>
        <v/>
      </c>
      <c r="AB368" s="139"/>
      <c r="AC368" s="146" t="str">
        <f t="shared" si="144"/>
        <v/>
      </c>
      <c r="AD368" s="148" t="str">
        <f t="shared" si="142"/>
        <v/>
      </c>
      <c r="AE368" s="147" t="str">
        <f t="shared" si="135"/>
        <v/>
      </c>
      <c r="AF368" s="111" t="str">
        <f t="shared" si="136"/>
        <v/>
      </c>
      <c r="AG368" s="111" t="str">
        <f t="shared" si="137"/>
        <v/>
      </c>
      <c r="AH368" s="112" t="str">
        <f t="shared" si="138"/>
        <v/>
      </c>
      <c r="AI368" t="str">
        <f t="shared" si="143"/>
        <v/>
      </c>
      <c r="AJ368" t="str">
        <f t="shared" si="145"/>
        <v/>
      </c>
    </row>
    <row r="369" spans="1:36" ht="15" customHeight="1" x14ac:dyDescent="0.25">
      <c r="A369" s="114"/>
      <c r="B369" s="116"/>
      <c r="C369" s="116"/>
      <c r="D369" s="42" t="str">
        <f t="shared" si="122"/>
        <v/>
      </c>
      <c r="E369" s="43"/>
      <c r="F369" s="118"/>
      <c r="G369" s="44" t="str">
        <f t="shared" si="123"/>
        <v/>
      </c>
      <c r="H369" s="118"/>
      <c r="I369" s="34" t="str">
        <f t="shared" si="124"/>
        <v/>
      </c>
      <c r="J369" s="118"/>
      <c r="K369" s="34" t="str">
        <f t="shared" si="125"/>
        <v/>
      </c>
      <c r="L369" s="118"/>
      <c r="M369" s="121"/>
      <c r="N369" s="122" t="str">
        <f t="shared" si="126"/>
        <v/>
      </c>
      <c r="O369" s="35" t="str">
        <f t="shared" si="127"/>
        <v/>
      </c>
      <c r="P369" s="124"/>
      <c r="Q369" s="36" t="str">
        <f t="shared" si="139"/>
        <v/>
      </c>
      <c r="R369" s="46" t="str">
        <f t="shared" si="128"/>
        <v/>
      </c>
      <c r="S369" s="38" t="str">
        <f t="shared" si="129"/>
        <v/>
      </c>
      <c r="T369" s="39" t="str">
        <f t="shared" si="130"/>
        <v/>
      </c>
      <c r="U369" s="40" t="str">
        <f t="shared" si="131"/>
        <v/>
      </c>
      <c r="V369" s="39" t="str">
        <f t="shared" si="132"/>
        <v/>
      </c>
      <c r="W369" s="34" t="str">
        <f t="shared" si="133"/>
        <v/>
      </c>
      <c r="X369" s="41" t="str">
        <f t="shared" si="140"/>
        <v/>
      </c>
      <c r="Y369" s="98" t="str">
        <f t="shared" si="134"/>
        <v/>
      </c>
      <c r="Z369" s="16" t="str">
        <f t="shared" si="141"/>
        <v/>
      </c>
      <c r="AB369" s="139"/>
      <c r="AC369" s="146" t="str">
        <f t="shared" si="144"/>
        <v/>
      </c>
      <c r="AD369" s="148" t="str">
        <f t="shared" si="142"/>
        <v/>
      </c>
      <c r="AE369" s="147" t="str">
        <f t="shared" si="135"/>
        <v/>
      </c>
      <c r="AF369" s="111" t="str">
        <f t="shared" si="136"/>
        <v/>
      </c>
      <c r="AG369" s="111" t="str">
        <f t="shared" si="137"/>
        <v/>
      </c>
      <c r="AH369" s="112" t="str">
        <f t="shared" si="138"/>
        <v/>
      </c>
      <c r="AI369" t="str">
        <f t="shared" si="143"/>
        <v/>
      </c>
      <c r="AJ369" t="str">
        <f t="shared" si="145"/>
        <v/>
      </c>
    </row>
    <row r="370" spans="1:36" ht="15" customHeight="1" x14ac:dyDescent="0.25">
      <c r="A370" s="114"/>
      <c r="B370" s="116"/>
      <c r="C370" s="116"/>
      <c r="D370" s="42" t="str">
        <f t="shared" si="122"/>
        <v/>
      </c>
      <c r="E370" s="43"/>
      <c r="F370" s="118"/>
      <c r="G370" s="44" t="str">
        <f t="shared" si="123"/>
        <v/>
      </c>
      <c r="H370" s="118"/>
      <c r="I370" s="34" t="str">
        <f t="shared" si="124"/>
        <v/>
      </c>
      <c r="J370" s="118"/>
      <c r="K370" s="34" t="str">
        <f t="shared" si="125"/>
        <v/>
      </c>
      <c r="L370" s="118"/>
      <c r="M370" s="121"/>
      <c r="N370" s="122" t="str">
        <f t="shared" si="126"/>
        <v/>
      </c>
      <c r="O370" s="35" t="str">
        <f t="shared" si="127"/>
        <v/>
      </c>
      <c r="P370" s="124"/>
      <c r="Q370" s="36" t="str">
        <f t="shared" si="139"/>
        <v/>
      </c>
      <c r="R370" s="46" t="str">
        <f t="shared" si="128"/>
        <v/>
      </c>
      <c r="S370" s="38" t="str">
        <f t="shared" si="129"/>
        <v/>
      </c>
      <c r="T370" s="39" t="str">
        <f t="shared" si="130"/>
        <v/>
      </c>
      <c r="U370" s="40" t="str">
        <f t="shared" si="131"/>
        <v/>
      </c>
      <c r="V370" s="39" t="str">
        <f t="shared" si="132"/>
        <v/>
      </c>
      <c r="W370" s="34" t="str">
        <f t="shared" si="133"/>
        <v/>
      </c>
      <c r="X370" s="41" t="str">
        <f t="shared" si="140"/>
        <v/>
      </c>
      <c r="Y370" s="98" t="str">
        <f t="shared" si="134"/>
        <v/>
      </c>
      <c r="Z370" s="16" t="str">
        <f t="shared" si="141"/>
        <v/>
      </c>
      <c r="AB370" s="139"/>
      <c r="AC370" s="146" t="str">
        <f t="shared" si="144"/>
        <v/>
      </c>
      <c r="AD370" s="148" t="str">
        <f t="shared" si="142"/>
        <v/>
      </c>
      <c r="AE370" s="147" t="str">
        <f t="shared" si="135"/>
        <v/>
      </c>
      <c r="AF370" s="111" t="str">
        <f t="shared" si="136"/>
        <v/>
      </c>
      <c r="AG370" s="111" t="str">
        <f t="shared" si="137"/>
        <v/>
      </c>
      <c r="AH370" s="112" t="str">
        <f t="shared" si="138"/>
        <v/>
      </c>
      <c r="AI370" t="str">
        <f t="shared" si="143"/>
        <v/>
      </c>
      <c r="AJ370" t="str">
        <f t="shared" si="145"/>
        <v/>
      </c>
    </row>
    <row r="371" spans="1:36" ht="15" customHeight="1" x14ac:dyDescent="0.25">
      <c r="A371" s="114"/>
      <c r="B371" s="116"/>
      <c r="C371" s="116"/>
      <c r="D371" s="42" t="str">
        <f t="shared" si="122"/>
        <v/>
      </c>
      <c r="E371" s="43"/>
      <c r="F371" s="118"/>
      <c r="G371" s="44" t="str">
        <f t="shared" si="123"/>
        <v/>
      </c>
      <c r="H371" s="118"/>
      <c r="I371" s="34" t="str">
        <f t="shared" si="124"/>
        <v/>
      </c>
      <c r="J371" s="118"/>
      <c r="K371" s="34" t="str">
        <f t="shared" si="125"/>
        <v/>
      </c>
      <c r="L371" s="118"/>
      <c r="M371" s="121"/>
      <c r="N371" s="122" t="str">
        <f t="shared" si="126"/>
        <v/>
      </c>
      <c r="O371" s="35" t="str">
        <f t="shared" si="127"/>
        <v/>
      </c>
      <c r="P371" s="124"/>
      <c r="Q371" s="36" t="str">
        <f t="shared" si="139"/>
        <v/>
      </c>
      <c r="R371" s="46" t="str">
        <f t="shared" si="128"/>
        <v/>
      </c>
      <c r="S371" s="38" t="str">
        <f t="shared" si="129"/>
        <v/>
      </c>
      <c r="T371" s="39" t="str">
        <f t="shared" si="130"/>
        <v/>
      </c>
      <c r="U371" s="40" t="str">
        <f t="shared" si="131"/>
        <v/>
      </c>
      <c r="V371" s="39" t="str">
        <f t="shared" si="132"/>
        <v/>
      </c>
      <c r="W371" s="34" t="str">
        <f t="shared" si="133"/>
        <v/>
      </c>
      <c r="X371" s="41" t="str">
        <f t="shared" si="140"/>
        <v/>
      </c>
      <c r="Y371" s="98" t="str">
        <f t="shared" si="134"/>
        <v/>
      </c>
      <c r="Z371" s="16" t="str">
        <f t="shared" si="141"/>
        <v/>
      </c>
      <c r="AB371" s="139"/>
      <c r="AC371" s="146" t="str">
        <f t="shared" si="144"/>
        <v/>
      </c>
      <c r="AD371" s="148" t="str">
        <f t="shared" si="142"/>
        <v/>
      </c>
      <c r="AE371" s="147" t="str">
        <f t="shared" si="135"/>
        <v/>
      </c>
      <c r="AF371" s="111" t="str">
        <f t="shared" si="136"/>
        <v/>
      </c>
      <c r="AG371" s="111" t="str">
        <f t="shared" si="137"/>
        <v/>
      </c>
      <c r="AH371" s="112" t="str">
        <f t="shared" si="138"/>
        <v/>
      </c>
      <c r="AI371" t="str">
        <f t="shared" si="143"/>
        <v/>
      </c>
      <c r="AJ371" t="str">
        <f t="shared" si="145"/>
        <v/>
      </c>
    </row>
    <row r="372" spans="1:36" ht="15" customHeight="1" x14ac:dyDescent="0.25">
      <c r="A372" s="114"/>
      <c r="B372" s="116"/>
      <c r="C372" s="116"/>
      <c r="D372" s="42" t="str">
        <f t="shared" si="122"/>
        <v/>
      </c>
      <c r="E372" s="43"/>
      <c r="F372" s="118"/>
      <c r="G372" s="44" t="str">
        <f t="shared" si="123"/>
        <v/>
      </c>
      <c r="H372" s="118"/>
      <c r="I372" s="34" t="str">
        <f t="shared" si="124"/>
        <v/>
      </c>
      <c r="J372" s="118"/>
      <c r="K372" s="34" t="str">
        <f t="shared" si="125"/>
        <v/>
      </c>
      <c r="L372" s="118"/>
      <c r="M372" s="121"/>
      <c r="N372" s="122" t="str">
        <f t="shared" si="126"/>
        <v/>
      </c>
      <c r="O372" s="35" t="str">
        <f t="shared" si="127"/>
        <v/>
      </c>
      <c r="P372" s="124"/>
      <c r="Q372" s="36" t="str">
        <f t="shared" si="139"/>
        <v/>
      </c>
      <c r="R372" s="46" t="str">
        <f t="shared" si="128"/>
        <v/>
      </c>
      <c r="S372" s="38" t="str">
        <f t="shared" si="129"/>
        <v/>
      </c>
      <c r="T372" s="39" t="str">
        <f t="shared" si="130"/>
        <v/>
      </c>
      <c r="U372" s="40" t="str">
        <f t="shared" si="131"/>
        <v/>
      </c>
      <c r="V372" s="39" t="str">
        <f t="shared" si="132"/>
        <v/>
      </c>
      <c r="W372" s="34" t="str">
        <f t="shared" si="133"/>
        <v/>
      </c>
      <c r="X372" s="41" t="str">
        <f t="shared" si="140"/>
        <v/>
      </c>
      <c r="Y372" s="98" t="str">
        <f t="shared" si="134"/>
        <v/>
      </c>
      <c r="Z372" s="16" t="str">
        <f t="shared" si="141"/>
        <v/>
      </c>
      <c r="AB372" s="139"/>
      <c r="AC372" s="146" t="str">
        <f t="shared" si="144"/>
        <v/>
      </c>
      <c r="AD372" s="148" t="str">
        <f t="shared" si="142"/>
        <v/>
      </c>
      <c r="AE372" s="147" t="str">
        <f t="shared" si="135"/>
        <v/>
      </c>
      <c r="AF372" s="111" t="str">
        <f t="shared" si="136"/>
        <v/>
      </c>
      <c r="AG372" s="111" t="str">
        <f t="shared" si="137"/>
        <v/>
      </c>
      <c r="AH372" s="112" t="str">
        <f t="shared" si="138"/>
        <v/>
      </c>
      <c r="AI372" t="str">
        <f t="shared" si="143"/>
        <v/>
      </c>
      <c r="AJ372" t="str">
        <f t="shared" si="145"/>
        <v/>
      </c>
    </row>
    <row r="373" spans="1:36" ht="15" customHeight="1" x14ac:dyDescent="0.25">
      <c r="A373" s="114"/>
      <c r="B373" s="116"/>
      <c r="C373" s="116"/>
      <c r="D373" s="42" t="str">
        <f t="shared" si="122"/>
        <v/>
      </c>
      <c r="E373" s="43"/>
      <c r="F373" s="118"/>
      <c r="G373" s="44" t="str">
        <f t="shared" si="123"/>
        <v/>
      </c>
      <c r="H373" s="118"/>
      <c r="I373" s="34" t="str">
        <f t="shared" si="124"/>
        <v/>
      </c>
      <c r="J373" s="118"/>
      <c r="K373" s="34" t="str">
        <f t="shared" si="125"/>
        <v/>
      </c>
      <c r="L373" s="118"/>
      <c r="M373" s="121"/>
      <c r="N373" s="122" t="str">
        <f t="shared" si="126"/>
        <v/>
      </c>
      <c r="O373" s="35" t="str">
        <f t="shared" si="127"/>
        <v/>
      </c>
      <c r="P373" s="124"/>
      <c r="Q373" s="36" t="str">
        <f t="shared" si="139"/>
        <v/>
      </c>
      <c r="R373" s="46" t="str">
        <f t="shared" si="128"/>
        <v/>
      </c>
      <c r="S373" s="38" t="str">
        <f t="shared" si="129"/>
        <v/>
      </c>
      <c r="T373" s="39" t="str">
        <f t="shared" si="130"/>
        <v/>
      </c>
      <c r="U373" s="40" t="str">
        <f t="shared" si="131"/>
        <v/>
      </c>
      <c r="V373" s="39" t="str">
        <f t="shared" si="132"/>
        <v/>
      </c>
      <c r="W373" s="34" t="str">
        <f t="shared" si="133"/>
        <v/>
      </c>
      <c r="X373" s="41" t="str">
        <f t="shared" si="140"/>
        <v/>
      </c>
      <c r="Y373" s="98" t="str">
        <f t="shared" si="134"/>
        <v/>
      </c>
      <c r="Z373" s="16" t="str">
        <f t="shared" si="141"/>
        <v/>
      </c>
      <c r="AB373" s="139"/>
      <c r="AC373" s="146" t="str">
        <f t="shared" si="144"/>
        <v/>
      </c>
      <c r="AD373" s="148" t="str">
        <f t="shared" si="142"/>
        <v/>
      </c>
      <c r="AE373" s="147" t="str">
        <f t="shared" si="135"/>
        <v/>
      </c>
      <c r="AF373" s="111" t="str">
        <f t="shared" si="136"/>
        <v/>
      </c>
      <c r="AG373" s="111" t="str">
        <f t="shared" si="137"/>
        <v/>
      </c>
      <c r="AH373" s="112" t="str">
        <f t="shared" si="138"/>
        <v/>
      </c>
      <c r="AI373" t="str">
        <f t="shared" si="143"/>
        <v/>
      </c>
      <c r="AJ373" t="str">
        <f t="shared" si="145"/>
        <v/>
      </c>
    </row>
    <row r="374" spans="1:36" ht="15" customHeight="1" x14ac:dyDescent="0.25">
      <c r="A374" s="114"/>
      <c r="B374" s="116"/>
      <c r="C374" s="116"/>
      <c r="D374" s="42" t="str">
        <f t="shared" si="122"/>
        <v/>
      </c>
      <c r="E374" s="43"/>
      <c r="F374" s="118"/>
      <c r="G374" s="44" t="str">
        <f t="shared" si="123"/>
        <v/>
      </c>
      <c r="H374" s="118"/>
      <c r="I374" s="34" t="str">
        <f t="shared" si="124"/>
        <v/>
      </c>
      <c r="J374" s="118"/>
      <c r="K374" s="34" t="str">
        <f t="shared" si="125"/>
        <v/>
      </c>
      <c r="L374" s="118"/>
      <c r="M374" s="121"/>
      <c r="N374" s="122" t="str">
        <f t="shared" si="126"/>
        <v/>
      </c>
      <c r="O374" s="35" t="str">
        <f t="shared" si="127"/>
        <v/>
      </c>
      <c r="P374" s="124"/>
      <c r="Q374" s="36" t="str">
        <f t="shared" si="139"/>
        <v/>
      </c>
      <c r="R374" s="46" t="str">
        <f t="shared" si="128"/>
        <v/>
      </c>
      <c r="S374" s="38" t="str">
        <f t="shared" si="129"/>
        <v/>
      </c>
      <c r="T374" s="39" t="str">
        <f t="shared" si="130"/>
        <v/>
      </c>
      <c r="U374" s="40" t="str">
        <f t="shared" si="131"/>
        <v/>
      </c>
      <c r="V374" s="39" t="str">
        <f t="shared" si="132"/>
        <v/>
      </c>
      <c r="W374" s="34" t="str">
        <f t="shared" si="133"/>
        <v/>
      </c>
      <c r="X374" s="41" t="str">
        <f t="shared" si="140"/>
        <v/>
      </c>
      <c r="Y374" s="98" t="str">
        <f t="shared" si="134"/>
        <v/>
      </c>
      <c r="Z374" s="16" t="str">
        <f t="shared" si="141"/>
        <v/>
      </c>
      <c r="AB374" s="139"/>
      <c r="AC374" s="146" t="str">
        <f t="shared" si="144"/>
        <v/>
      </c>
      <c r="AD374" s="148" t="str">
        <f t="shared" si="142"/>
        <v/>
      </c>
      <c r="AE374" s="147" t="str">
        <f t="shared" si="135"/>
        <v/>
      </c>
      <c r="AF374" s="111" t="str">
        <f t="shared" si="136"/>
        <v/>
      </c>
      <c r="AG374" s="111" t="str">
        <f t="shared" si="137"/>
        <v/>
      </c>
      <c r="AH374" s="112" t="str">
        <f t="shared" si="138"/>
        <v/>
      </c>
      <c r="AI374" t="str">
        <f t="shared" si="143"/>
        <v/>
      </c>
      <c r="AJ374" t="str">
        <f t="shared" si="145"/>
        <v/>
      </c>
    </row>
    <row r="375" spans="1:36" ht="15" customHeight="1" x14ac:dyDescent="0.25">
      <c r="A375" s="114"/>
      <c r="B375" s="116"/>
      <c r="C375" s="116"/>
      <c r="D375" s="42" t="str">
        <f t="shared" si="122"/>
        <v/>
      </c>
      <c r="E375" s="43"/>
      <c r="F375" s="118"/>
      <c r="G375" s="44" t="str">
        <f t="shared" si="123"/>
        <v/>
      </c>
      <c r="H375" s="118"/>
      <c r="I375" s="34" t="str">
        <f t="shared" si="124"/>
        <v/>
      </c>
      <c r="J375" s="118"/>
      <c r="K375" s="34" t="str">
        <f t="shared" si="125"/>
        <v/>
      </c>
      <c r="L375" s="118"/>
      <c r="M375" s="121"/>
      <c r="N375" s="122" t="str">
        <f t="shared" si="126"/>
        <v/>
      </c>
      <c r="O375" s="35" t="str">
        <f t="shared" si="127"/>
        <v/>
      </c>
      <c r="P375" s="124"/>
      <c r="Q375" s="36" t="str">
        <f t="shared" si="139"/>
        <v/>
      </c>
      <c r="R375" s="46" t="str">
        <f t="shared" si="128"/>
        <v/>
      </c>
      <c r="S375" s="38" t="str">
        <f t="shared" si="129"/>
        <v/>
      </c>
      <c r="T375" s="39" t="str">
        <f t="shared" si="130"/>
        <v/>
      </c>
      <c r="U375" s="40" t="str">
        <f t="shared" si="131"/>
        <v/>
      </c>
      <c r="V375" s="39" t="str">
        <f t="shared" si="132"/>
        <v/>
      </c>
      <c r="W375" s="34" t="str">
        <f t="shared" si="133"/>
        <v/>
      </c>
      <c r="X375" s="41" t="str">
        <f t="shared" si="140"/>
        <v/>
      </c>
      <c r="Y375" s="98" t="str">
        <f t="shared" si="134"/>
        <v/>
      </c>
      <c r="Z375" s="16" t="str">
        <f t="shared" si="141"/>
        <v/>
      </c>
      <c r="AB375" s="139"/>
      <c r="AC375" s="146" t="str">
        <f t="shared" si="144"/>
        <v/>
      </c>
      <c r="AD375" s="148" t="str">
        <f t="shared" si="142"/>
        <v/>
      </c>
      <c r="AE375" s="147" t="str">
        <f t="shared" si="135"/>
        <v/>
      </c>
      <c r="AF375" s="111" t="str">
        <f t="shared" si="136"/>
        <v/>
      </c>
      <c r="AG375" s="111" t="str">
        <f t="shared" si="137"/>
        <v/>
      </c>
      <c r="AH375" s="112" t="str">
        <f t="shared" si="138"/>
        <v/>
      </c>
      <c r="AI375" t="str">
        <f t="shared" si="143"/>
        <v/>
      </c>
      <c r="AJ375" t="str">
        <f t="shared" si="145"/>
        <v/>
      </c>
    </row>
    <row r="376" spans="1:36" ht="15" customHeight="1" x14ac:dyDescent="0.25">
      <c r="A376" s="114"/>
      <c r="B376" s="116"/>
      <c r="C376" s="116"/>
      <c r="D376" s="42" t="str">
        <f t="shared" si="122"/>
        <v/>
      </c>
      <c r="E376" s="43"/>
      <c r="F376" s="118"/>
      <c r="G376" s="44" t="str">
        <f t="shared" si="123"/>
        <v/>
      </c>
      <c r="H376" s="118"/>
      <c r="I376" s="34" t="str">
        <f t="shared" si="124"/>
        <v/>
      </c>
      <c r="J376" s="118"/>
      <c r="K376" s="34" t="str">
        <f t="shared" si="125"/>
        <v/>
      </c>
      <c r="L376" s="118"/>
      <c r="M376" s="121"/>
      <c r="N376" s="122" t="str">
        <f t="shared" si="126"/>
        <v/>
      </c>
      <c r="O376" s="35" t="str">
        <f t="shared" si="127"/>
        <v/>
      </c>
      <c r="P376" s="124"/>
      <c r="Q376" s="36" t="str">
        <f t="shared" si="139"/>
        <v/>
      </c>
      <c r="R376" s="46" t="str">
        <f t="shared" si="128"/>
        <v/>
      </c>
      <c r="S376" s="38" t="str">
        <f t="shared" si="129"/>
        <v/>
      </c>
      <c r="T376" s="39" t="str">
        <f t="shared" si="130"/>
        <v/>
      </c>
      <c r="U376" s="40" t="str">
        <f t="shared" si="131"/>
        <v/>
      </c>
      <c r="V376" s="39" t="str">
        <f t="shared" si="132"/>
        <v/>
      </c>
      <c r="W376" s="34" t="str">
        <f t="shared" si="133"/>
        <v/>
      </c>
      <c r="X376" s="41" t="str">
        <f t="shared" si="140"/>
        <v/>
      </c>
      <c r="Y376" s="98" t="str">
        <f t="shared" si="134"/>
        <v/>
      </c>
      <c r="Z376" s="16" t="str">
        <f t="shared" si="141"/>
        <v/>
      </c>
      <c r="AB376" s="139"/>
      <c r="AC376" s="146" t="str">
        <f t="shared" si="144"/>
        <v/>
      </c>
      <c r="AD376" s="148" t="str">
        <f t="shared" si="142"/>
        <v/>
      </c>
      <c r="AE376" s="147" t="str">
        <f t="shared" si="135"/>
        <v/>
      </c>
      <c r="AF376" s="111" t="str">
        <f t="shared" si="136"/>
        <v/>
      </c>
      <c r="AG376" s="111" t="str">
        <f t="shared" si="137"/>
        <v/>
      </c>
      <c r="AH376" s="112" t="str">
        <f t="shared" si="138"/>
        <v/>
      </c>
      <c r="AI376" t="str">
        <f t="shared" si="143"/>
        <v/>
      </c>
      <c r="AJ376" t="str">
        <f t="shared" si="145"/>
        <v/>
      </c>
    </row>
    <row r="377" spans="1:36" ht="15" customHeight="1" x14ac:dyDescent="0.25">
      <c r="A377" s="114"/>
      <c r="B377" s="116"/>
      <c r="C377" s="116"/>
      <c r="D377" s="42" t="str">
        <f t="shared" si="122"/>
        <v/>
      </c>
      <c r="E377" s="43"/>
      <c r="F377" s="118"/>
      <c r="G377" s="44" t="str">
        <f t="shared" si="123"/>
        <v/>
      </c>
      <c r="H377" s="118"/>
      <c r="I377" s="34" t="str">
        <f t="shared" si="124"/>
        <v/>
      </c>
      <c r="J377" s="118"/>
      <c r="K377" s="34" t="str">
        <f t="shared" si="125"/>
        <v/>
      </c>
      <c r="L377" s="118"/>
      <c r="M377" s="121"/>
      <c r="N377" s="122" t="str">
        <f t="shared" si="126"/>
        <v/>
      </c>
      <c r="O377" s="35" t="str">
        <f t="shared" si="127"/>
        <v/>
      </c>
      <c r="P377" s="124"/>
      <c r="Q377" s="36" t="str">
        <f t="shared" si="139"/>
        <v/>
      </c>
      <c r="R377" s="46" t="str">
        <f t="shared" si="128"/>
        <v/>
      </c>
      <c r="S377" s="38" t="str">
        <f t="shared" si="129"/>
        <v/>
      </c>
      <c r="T377" s="39" t="str">
        <f t="shared" si="130"/>
        <v/>
      </c>
      <c r="U377" s="40" t="str">
        <f t="shared" si="131"/>
        <v/>
      </c>
      <c r="V377" s="39" t="str">
        <f t="shared" si="132"/>
        <v/>
      </c>
      <c r="W377" s="34" t="str">
        <f t="shared" si="133"/>
        <v/>
      </c>
      <c r="X377" s="41" t="str">
        <f t="shared" si="140"/>
        <v/>
      </c>
      <c r="Y377" s="98" t="str">
        <f t="shared" si="134"/>
        <v/>
      </c>
      <c r="Z377" s="16" t="str">
        <f t="shared" si="141"/>
        <v/>
      </c>
      <c r="AB377" s="139"/>
      <c r="AC377" s="146" t="str">
        <f t="shared" si="144"/>
        <v/>
      </c>
      <c r="AD377" s="148" t="str">
        <f t="shared" si="142"/>
        <v/>
      </c>
      <c r="AE377" s="147" t="str">
        <f t="shared" si="135"/>
        <v/>
      </c>
      <c r="AF377" s="111" t="str">
        <f t="shared" si="136"/>
        <v/>
      </c>
      <c r="AG377" s="111" t="str">
        <f t="shared" si="137"/>
        <v/>
      </c>
      <c r="AH377" s="112" t="str">
        <f t="shared" si="138"/>
        <v/>
      </c>
      <c r="AI377" t="str">
        <f t="shared" si="143"/>
        <v/>
      </c>
      <c r="AJ377" t="str">
        <f t="shared" si="145"/>
        <v/>
      </c>
    </row>
    <row r="378" spans="1:36" ht="15" customHeight="1" x14ac:dyDescent="0.25">
      <c r="A378" s="114"/>
      <c r="B378" s="116"/>
      <c r="C378" s="116"/>
      <c r="D378" s="42" t="str">
        <f t="shared" si="122"/>
        <v/>
      </c>
      <c r="E378" s="43"/>
      <c r="F378" s="118"/>
      <c r="G378" s="44" t="str">
        <f t="shared" si="123"/>
        <v/>
      </c>
      <c r="H378" s="118"/>
      <c r="I378" s="34" t="str">
        <f t="shared" si="124"/>
        <v/>
      </c>
      <c r="J378" s="118"/>
      <c r="K378" s="34" t="str">
        <f t="shared" si="125"/>
        <v/>
      </c>
      <c r="L378" s="118"/>
      <c r="M378" s="121"/>
      <c r="N378" s="122" t="str">
        <f t="shared" si="126"/>
        <v/>
      </c>
      <c r="O378" s="35" t="str">
        <f t="shared" si="127"/>
        <v/>
      </c>
      <c r="P378" s="124"/>
      <c r="Q378" s="36" t="str">
        <f t="shared" si="139"/>
        <v/>
      </c>
      <c r="R378" s="46" t="str">
        <f t="shared" si="128"/>
        <v/>
      </c>
      <c r="S378" s="38" t="str">
        <f t="shared" si="129"/>
        <v/>
      </c>
      <c r="T378" s="39" t="str">
        <f t="shared" si="130"/>
        <v/>
      </c>
      <c r="U378" s="40" t="str">
        <f t="shared" si="131"/>
        <v/>
      </c>
      <c r="V378" s="39" t="str">
        <f t="shared" si="132"/>
        <v/>
      </c>
      <c r="W378" s="34" t="str">
        <f t="shared" si="133"/>
        <v/>
      </c>
      <c r="X378" s="41" t="str">
        <f t="shared" si="140"/>
        <v/>
      </c>
      <c r="Y378" s="98" t="str">
        <f t="shared" si="134"/>
        <v/>
      </c>
      <c r="Z378" s="16" t="str">
        <f t="shared" si="141"/>
        <v/>
      </c>
      <c r="AB378" s="139"/>
      <c r="AC378" s="146" t="str">
        <f t="shared" si="144"/>
        <v/>
      </c>
      <c r="AD378" s="148" t="str">
        <f t="shared" si="142"/>
        <v/>
      </c>
      <c r="AE378" s="147" t="str">
        <f t="shared" si="135"/>
        <v/>
      </c>
      <c r="AF378" s="111" t="str">
        <f t="shared" si="136"/>
        <v/>
      </c>
      <c r="AG378" s="111" t="str">
        <f t="shared" si="137"/>
        <v/>
      </c>
      <c r="AH378" s="112" t="str">
        <f t="shared" si="138"/>
        <v/>
      </c>
      <c r="AI378" t="str">
        <f t="shared" si="143"/>
        <v/>
      </c>
      <c r="AJ378" t="str">
        <f t="shared" si="145"/>
        <v/>
      </c>
    </row>
    <row r="379" spans="1:36" ht="15" customHeight="1" x14ac:dyDescent="0.25">
      <c r="A379" s="114"/>
      <c r="B379" s="116"/>
      <c r="C379" s="116"/>
      <c r="D379" s="42" t="str">
        <f t="shared" si="122"/>
        <v/>
      </c>
      <c r="E379" s="43"/>
      <c r="F379" s="118"/>
      <c r="G379" s="44" t="str">
        <f t="shared" si="123"/>
        <v/>
      </c>
      <c r="H379" s="118"/>
      <c r="I379" s="34" t="str">
        <f t="shared" si="124"/>
        <v/>
      </c>
      <c r="J379" s="118"/>
      <c r="K379" s="34" t="str">
        <f t="shared" si="125"/>
        <v/>
      </c>
      <c r="L379" s="118"/>
      <c r="M379" s="121"/>
      <c r="N379" s="122" t="str">
        <f t="shared" si="126"/>
        <v/>
      </c>
      <c r="O379" s="35" t="str">
        <f t="shared" si="127"/>
        <v/>
      </c>
      <c r="P379" s="124"/>
      <c r="Q379" s="36" t="str">
        <f t="shared" si="139"/>
        <v/>
      </c>
      <c r="R379" s="46" t="str">
        <f t="shared" si="128"/>
        <v/>
      </c>
      <c r="S379" s="38" t="str">
        <f t="shared" si="129"/>
        <v/>
      </c>
      <c r="T379" s="39" t="str">
        <f t="shared" si="130"/>
        <v/>
      </c>
      <c r="U379" s="40" t="str">
        <f t="shared" si="131"/>
        <v/>
      </c>
      <c r="V379" s="39" t="str">
        <f t="shared" si="132"/>
        <v/>
      </c>
      <c r="W379" s="34" t="str">
        <f t="shared" si="133"/>
        <v/>
      </c>
      <c r="X379" s="41" t="str">
        <f t="shared" si="140"/>
        <v/>
      </c>
      <c r="Y379" s="98" t="str">
        <f t="shared" si="134"/>
        <v/>
      </c>
      <c r="Z379" s="16" t="str">
        <f t="shared" si="141"/>
        <v/>
      </c>
      <c r="AB379" s="139"/>
      <c r="AC379" s="146" t="str">
        <f t="shared" si="144"/>
        <v/>
      </c>
      <c r="AD379" s="148" t="str">
        <f t="shared" si="142"/>
        <v/>
      </c>
      <c r="AE379" s="147" t="str">
        <f t="shared" si="135"/>
        <v/>
      </c>
      <c r="AF379" s="111" t="str">
        <f t="shared" si="136"/>
        <v/>
      </c>
      <c r="AG379" s="111" t="str">
        <f t="shared" si="137"/>
        <v/>
      </c>
      <c r="AH379" s="112" t="str">
        <f t="shared" si="138"/>
        <v/>
      </c>
      <c r="AI379" t="str">
        <f t="shared" si="143"/>
        <v/>
      </c>
      <c r="AJ379" t="str">
        <f t="shared" si="145"/>
        <v/>
      </c>
    </row>
    <row r="380" spans="1:36" ht="15" customHeight="1" x14ac:dyDescent="0.25">
      <c r="A380" s="114"/>
      <c r="B380" s="116"/>
      <c r="C380" s="116"/>
      <c r="D380" s="42" t="str">
        <f t="shared" si="122"/>
        <v/>
      </c>
      <c r="E380" s="43"/>
      <c r="F380" s="118"/>
      <c r="G380" s="44" t="str">
        <f t="shared" si="123"/>
        <v/>
      </c>
      <c r="H380" s="118"/>
      <c r="I380" s="34" t="str">
        <f t="shared" si="124"/>
        <v/>
      </c>
      <c r="J380" s="118"/>
      <c r="K380" s="34" t="str">
        <f t="shared" si="125"/>
        <v/>
      </c>
      <c r="L380" s="118"/>
      <c r="M380" s="121"/>
      <c r="N380" s="122" t="str">
        <f t="shared" si="126"/>
        <v/>
      </c>
      <c r="O380" s="35" t="str">
        <f t="shared" si="127"/>
        <v/>
      </c>
      <c r="P380" s="124"/>
      <c r="Q380" s="36" t="str">
        <f t="shared" si="139"/>
        <v/>
      </c>
      <c r="R380" s="46" t="str">
        <f t="shared" si="128"/>
        <v/>
      </c>
      <c r="S380" s="38" t="str">
        <f t="shared" si="129"/>
        <v/>
      </c>
      <c r="T380" s="39" t="str">
        <f t="shared" si="130"/>
        <v/>
      </c>
      <c r="U380" s="40" t="str">
        <f t="shared" si="131"/>
        <v/>
      </c>
      <c r="V380" s="39" t="str">
        <f t="shared" si="132"/>
        <v/>
      </c>
      <c r="W380" s="34" t="str">
        <f t="shared" si="133"/>
        <v/>
      </c>
      <c r="X380" s="41" t="str">
        <f t="shared" si="140"/>
        <v/>
      </c>
      <c r="Y380" s="98" t="str">
        <f t="shared" si="134"/>
        <v/>
      </c>
      <c r="Z380" s="16" t="str">
        <f t="shared" si="141"/>
        <v/>
      </c>
      <c r="AB380" s="139"/>
      <c r="AC380" s="146" t="str">
        <f t="shared" si="144"/>
        <v/>
      </c>
      <c r="AD380" s="148" t="str">
        <f t="shared" si="142"/>
        <v/>
      </c>
      <c r="AE380" s="147" t="str">
        <f t="shared" si="135"/>
        <v/>
      </c>
      <c r="AF380" s="111" t="str">
        <f t="shared" si="136"/>
        <v/>
      </c>
      <c r="AG380" s="111" t="str">
        <f t="shared" si="137"/>
        <v/>
      </c>
      <c r="AH380" s="112" t="str">
        <f t="shared" si="138"/>
        <v/>
      </c>
      <c r="AI380" t="str">
        <f t="shared" si="143"/>
        <v/>
      </c>
      <c r="AJ380" t="str">
        <f t="shared" si="145"/>
        <v/>
      </c>
    </row>
    <row r="381" spans="1:36" ht="15" customHeight="1" x14ac:dyDescent="0.25">
      <c r="A381" s="114"/>
      <c r="B381" s="116"/>
      <c r="C381" s="116"/>
      <c r="D381" s="42" t="str">
        <f t="shared" si="122"/>
        <v/>
      </c>
      <c r="E381" s="43"/>
      <c r="F381" s="118"/>
      <c r="G381" s="44" t="str">
        <f t="shared" si="123"/>
        <v/>
      </c>
      <c r="H381" s="118"/>
      <c r="I381" s="34" t="str">
        <f t="shared" si="124"/>
        <v/>
      </c>
      <c r="J381" s="118"/>
      <c r="K381" s="34" t="str">
        <f t="shared" si="125"/>
        <v/>
      </c>
      <c r="L381" s="118"/>
      <c r="M381" s="121"/>
      <c r="N381" s="122" t="str">
        <f t="shared" si="126"/>
        <v/>
      </c>
      <c r="O381" s="35" t="str">
        <f t="shared" si="127"/>
        <v/>
      </c>
      <c r="P381" s="124"/>
      <c r="Q381" s="36" t="str">
        <f t="shared" si="139"/>
        <v/>
      </c>
      <c r="R381" s="46" t="str">
        <f t="shared" si="128"/>
        <v/>
      </c>
      <c r="S381" s="38" t="str">
        <f t="shared" si="129"/>
        <v/>
      </c>
      <c r="T381" s="39" t="str">
        <f t="shared" si="130"/>
        <v/>
      </c>
      <c r="U381" s="40" t="str">
        <f t="shared" si="131"/>
        <v/>
      </c>
      <c r="V381" s="39" t="str">
        <f t="shared" si="132"/>
        <v/>
      </c>
      <c r="W381" s="34" t="str">
        <f t="shared" si="133"/>
        <v/>
      </c>
      <c r="X381" s="41" t="str">
        <f t="shared" si="140"/>
        <v/>
      </c>
      <c r="Y381" s="98" t="str">
        <f t="shared" si="134"/>
        <v/>
      </c>
      <c r="Z381" s="16" t="str">
        <f t="shared" si="141"/>
        <v/>
      </c>
      <c r="AB381" s="139"/>
      <c r="AC381" s="146" t="str">
        <f t="shared" si="144"/>
        <v/>
      </c>
      <c r="AD381" s="148" t="str">
        <f t="shared" si="142"/>
        <v/>
      </c>
      <c r="AE381" s="147" t="str">
        <f t="shared" si="135"/>
        <v/>
      </c>
      <c r="AF381" s="111" t="str">
        <f t="shared" si="136"/>
        <v/>
      </c>
      <c r="AG381" s="111" t="str">
        <f t="shared" si="137"/>
        <v/>
      </c>
      <c r="AH381" s="112" t="str">
        <f t="shared" si="138"/>
        <v/>
      </c>
      <c r="AI381" t="str">
        <f t="shared" si="143"/>
        <v/>
      </c>
      <c r="AJ381" t="str">
        <f t="shared" si="145"/>
        <v/>
      </c>
    </row>
    <row r="382" spans="1:36" ht="15" customHeight="1" x14ac:dyDescent="0.25">
      <c r="A382" s="114"/>
      <c r="B382" s="116"/>
      <c r="C382" s="116"/>
      <c r="D382" s="42" t="str">
        <f t="shared" si="122"/>
        <v/>
      </c>
      <c r="E382" s="43"/>
      <c r="F382" s="118"/>
      <c r="G382" s="44" t="str">
        <f t="shared" si="123"/>
        <v/>
      </c>
      <c r="H382" s="118"/>
      <c r="I382" s="34" t="str">
        <f t="shared" si="124"/>
        <v/>
      </c>
      <c r="J382" s="118"/>
      <c r="K382" s="34" t="str">
        <f t="shared" si="125"/>
        <v/>
      </c>
      <c r="L382" s="118"/>
      <c r="M382" s="121"/>
      <c r="N382" s="122" t="str">
        <f t="shared" si="126"/>
        <v/>
      </c>
      <c r="O382" s="35" t="str">
        <f t="shared" si="127"/>
        <v/>
      </c>
      <c r="P382" s="124"/>
      <c r="Q382" s="36" t="str">
        <f t="shared" si="139"/>
        <v/>
      </c>
      <c r="R382" s="46" t="str">
        <f t="shared" si="128"/>
        <v/>
      </c>
      <c r="S382" s="38" t="str">
        <f t="shared" si="129"/>
        <v/>
      </c>
      <c r="T382" s="39" t="str">
        <f t="shared" si="130"/>
        <v/>
      </c>
      <c r="U382" s="40" t="str">
        <f t="shared" si="131"/>
        <v/>
      </c>
      <c r="V382" s="39" t="str">
        <f t="shared" si="132"/>
        <v/>
      </c>
      <c r="W382" s="34" t="str">
        <f t="shared" si="133"/>
        <v/>
      </c>
      <c r="X382" s="41" t="str">
        <f t="shared" si="140"/>
        <v/>
      </c>
      <c r="Y382" s="98" t="str">
        <f t="shared" si="134"/>
        <v/>
      </c>
      <c r="Z382" s="16" t="str">
        <f t="shared" si="141"/>
        <v/>
      </c>
      <c r="AB382" s="139"/>
      <c r="AC382" s="146" t="str">
        <f t="shared" si="144"/>
        <v/>
      </c>
      <c r="AD382" s="148" t="str">
        <f t="shared" si="142"/>
        <v/>
      </c>
      <c r="AE382" s="147" t="str">
        <f t="shared" si="135"/>
        <v/>
      </c>
      <c r="AF382" s="111" t="str">
        <f t="shared" si="136"/>
        <v/>
      </c>
      <c r="AG382" s="111" t="str">
        <f t="shared" si="137"/>
        <v/>
      </c>
      <c r="AH382" s="112" t="str">
        <f t="shared" si="138"/>
        <v/>
      </c>
      <c r="AI382" t="str">
        <f t="shared" si="143"/>
        <v/>
      </c>
      <c r="AJ382" t="str">
        <f t="shared" si="145"/>
        <v/>
      </c>
    </row>
    <row r="383" spans="1:36" ht="15" customHeight="1" x14ac:dyDescent="0.25">
      <c r="A383" s="114"/>
      <c r="B383" s="116"/>
      <c r="C383" s="116"/>
      <c r="D383" s="42" t="str">
        <f t="shared" si="122"/>
        <v/>
      </c>
      <c r="E383" s="43"/>
      <c r="F383" s="118"/>
      <c r="G383" s="44" t="str">
        <f t="shared" si="123"/>
        <v/>
      </c>
      <c r="H383" s="118"/>
      <c r="I383" s="34" t="str">
        <f t="shared" si="124"/>
        <v/>
      </c>
      <c r="J383" s="118"/>
      <c r="K383" s="34" t="str">
        <f t="shared" si="125"/>
        <v/>
      </c>
      <c r="L383" s="118"/>
      <c r="M383" s="121"/>
      <c r="N383" s="122" t="str">
        <f t="shared" si="126"/>
        <v/>
      </c>
      <c r="O383" s="35" t="str">
        <f t="shared" si="127"/>
        <v/>
      </c>
      <c r="P383" s="124"/>
      <c r="Q383" s="36" t="str">
        <f t="shared" si="139"/>
        <v/>
      </c>
      <c r="R383" s="46" t="str">
        <f t="shared" si="128"/>
        <v/>
      </c>
      <c r="S383" s="38" t="str">
        <f t="shared" si="129"/>
        <v/>
      </c>
      <c r="T383" s="39" t="str">
        <f t="shared" si="130"/>
        <v/>
      </c>
      <c r="U383" s="40" t="str">
        <f t="shared" si="131"/>
        <v/>
      </c>
      <c r="V383" s="39" t="str">
        <f t="shared" si="132"/>
        <v/>
      </c>
      <c r="W383" s="34" t="str">
        <f t="shared" si="133"/>
        <v/>
      </c>
      <c r="X383" s="41" t="str">
        <f t="shared" si="140"/>
        <v/>
      </c>
      <c r="Y383" s="98" t="str">
        <f t="shared" si="134"/>
        <v/>
      </c>
      <c r="Z383" s="16" t="str">
        <f t="shared" si="141"/>
        <v/>
      </c>
      <c r="AB383" s="139"/>
      <c r="AC383" s="146" t="str">
        <f t="shared" si="144"/>
        <v/>
      </c>
      <c r="AD383" s="148" t="str">
        <f t="shared" si="142"/>
        <v/>
      </c>
      <c r="AE383" s="147" t="str">
        <f t="shared" si="135"/>
        <v/>
      </c>
      <c r="AF383" s="111" t="str">
        <f t="shared" si="136"/>
        <v/>
      </c>
      <c r="AG383" s="111" t="str">
        <f t="shared" si="137"/>
        <v/>
      </c>
      <c r="AH383" s="112" t="str">
        <f t="shared" si="138"/>
        <v/>
      </c>
      <c r="AI383" t="str">
        <f t="shared" si="143"/>
        <v/>
      </c>
      <c r="AJ383" t="str">
        <f t="shared" si="145"/>
        <v/>
      </c>
    </row>
    <row r="384" spans="1:36" ht="15" customHeight="1" x14ac:dyDescent="0.25">
      <c r="A384" s="114"/>
      <c r="B384" s="116"/>
      <c r="C384" s="116"/>
      <c r="D384" s="42" t="str">
        <f t="shared" si="122"/>
        <v/>
      </c>
      <c r="E384" s="43"/>
      <c r="F384" s="118"/>
      <c r="G384" s="44" t="str">
        <f t="shared" si="123"/>
        <v/>
      </c>
      <c r="H384" s="118"/>
      <c r="I384" s="34" t="str">
        <f t="shared" si="124"/>
        <v/>
      </c>
      <c r="J384" s="118"/>
      <c r="K384" s="34" t="str">
        <f t="shared" si="125"/>
        <v/>
      </c>
      <c r="L384" s="118"/>
      <c r="M384" s="121"/>
      <c r="N384" s="122" t="str">
        <f t="shared" si="126"/>
        <v/>
      </c>
      <c r="O384" s="35" t="str">
        <f t="shared" si="127"/>
        <v/>
      </c>
      <c r="P384" s="124"/>
      <c r="Q384" s="36" t="str">
        <f t="shared" si="139"/>
        <v/>
      </c>
      <c r="R384" s="46" t="str">
        <f t="shared" si="128"/>
        <v/>
      </c>
      <c r="S384" s="38" t="str">
        <f t="shared" si="129"/>
        <v/>
      </c>
      <c r="T384" s="39" t="str">
        <f t="shared" si="130"/>
        <v/>
      </c>
      <c r="U384" s="40" t="str">
        <f t="shared" si="131"/>
        <v/>
      </c>
      <c r="V384" s="39" t="str">
        <f t="shared" si="132"/>
        <v/>
      </c>
      <c r="W384" s="34" t="str">
        <f t="shared" si="133"/>
        <v/>
      </c>
      <c r="X384" s="41" t="str">
        <f t="shared" si="140"/>
        <v/>
      </c>
      <c r="Y384" s="98" t="str">
        <f t="shared" si="134"/>
        <v/>
      </c>
      <c r="Z384" s="16" t="str">
        <f t="shared" si="141"/>
        <v/>
      </c>
      <c r="AB384" s="139"/>
      <c r="AC384" s="146" t="str">
        <f t="shared" si="144"/>
        <v/>
      </c>
      <c r="AD384" s="148" t="str">
        <f t="shared" si="142"/>
        <v/>
      </c>
      <c r="AE384" s="147" t="str">
        <f t="shared" si="135"/>
        <v/>
      </c>
      <c r="AF384" s="111" t="str">
        <f t="shared" si="136"/>
        <v/>
      </c>
      <c r="AG384" s="111" t="str">
        <f t="shared" si="137"/>
        <v/>
      </c>
      <c r="AH384" s="112" t="str">
        <f t="shared" si="138"/>
        <v/>
      </c>
      <c r="AI384" t="str">
        <f t="shared" si="143"/>
        <v/>
      </c>
      <c r="AJ384" t="str">
        <f t="shared" si="145"/>
        <v/>
      </c>
    </row>
    <row r="385" spans="1:36" ht="15" customHeight="1" x14ac:dyDescent="0.25">
      <c r="A385" s="114"/>
      <c r="B385" s="116"/>
      <c r="C385" s="116"/>
      <c r="D385" s="42" t="str">
        <f t="shared" si="122"/>
        <v/>
      </c>
      <c r="E385" s="43"/>
      <c r="F385" s="118"/>
      <c r="G385" s="44" t="str">
        <f t="shared" si="123"/>
        <v/>
      </c>
      <c r="H385" s="118"/>
      <c r="I385" s="34" t="str">
        <f t="shared" si="124"/>
        <v/>
      </c>
      <c r="J385" s="118"/>
      <c r="K385" s="34" t="str">
        <f t="shared" si="125"/>
        <v/>
      </c>
      <c r="L385" s="118"/>
      <c r="M385" s="121"/>
      <c r="N385" s="122" t="str">
        <f t="shared" si="126"/>
        <v/>
      </c>
      <c r="O385" s="35" t="str">
        <f t="shared" si="127"/>
        <v/>
      </c>
      <c r="P385" s="124"/>
      <c r="Q385" s="36" t="str">
        <f t="shared" si="139"/>
        <v/>
      </c>
      <c r="R385" s="46" t="str">
        <f t="shared" si="128"/>
        <v/>
      </c>
      <c r="S385" s="38" t="str">
        <f t="shared" si="129"/>
        <v/>
      </c>
      <c r="T385" s="39" t="str">
        <f t="shared" si="130"/>
        <v/>
      </c>
      <c r="U385" s="40" t="str">
        <f t="shared" si="131"/>
        <v/>
      </c>
      <c r="V385" s="39" t="str">
        <f t="shared" si="132"/>
        <v/>
      </c>
      <c r="W385" s="34" t="str">
        <f t="shared" si="133"/>
        <v/>
      </c>
      <c r="X385" s="41" t="str">
        <f t="shared" si="140"/>
        <v/>
      </c>
      <c r="Y385" s="98" t="str">
        <f t="shared" si="134"/>
        <v/>
      </c>
      <c r="Z385" s="16" t="str">
        <f t="shared" si="141"/>
        <v/>
      </c>
      <c r="AB385" s="139"/>
      <c r="AC385" s="146" t="str">
        <f t="shared" si="144"/>
        <v/>
      </c>
      <c r="AD385" s="148" t="str">
        <f t="shared" si="142"/>
        <v/>
      </c>
      <c r="AE385" s="147" t="str">
        <f t="shared" si="135"/>
        <v/>
      </c>
      <c r="AF385" s="111" t="str">
        <f t="shared" si="136"/>
        <v/>
      </c>
      <c r="AG385" s="111" t="str">
        <f t="shared" si="137"/>
        <v/>
      </c>
      <c r="AH385" s="112" t="str">
        <f t="shared" si="138"/>
        <v/>
      </c>
      <c r="AI385" t="str">
        <f t="shared" si="143"/>
        <v/>
      </c>
      <c r="AJ385" t="str">
        <f t="shared" si="145"/>
        <v/>
      </c>
    </row>
    <row r="386" spans="1:36" ht="15" customHeight="1" x14ac:dyDescent="0.25">
      <c r="A386" s="114"/>
      <c r="B386" s="116"/>
      <c r="C386" s="116"/>
      <c r="D386" s="42" t="str">
        <f t="shared" si="122"/>
        <v/>
      </c>
      <c r="E386" s="43"/>
      <c r="F386" s="118"/>
      <c r="G386" s="44" t="str">
        <f t="shared" si="123"/>
        <v/>
      </c>
      <c r="H386" s="118"/>
      <c r="I386" s="34" t="str">
        <f t="shared" si="124"/>
        <v/>
      </c>
      <c r="J386" s="118"/>
      <c r="K386" s="34" t="str">
        <f t="shared" si="125"/>
        <v/>
      </c>
      <c r="L386" s="118"/>
      <c r="M386" s="121"/>
      <c r="N386" s="122" t="str">
        <f t="shared" si="126"/>
        <v/>
      </c>
      <c r="O386" s="35" t="str">
        <f t="shared" si="127"/>
        <v/>
      </c>
      <c r="P386" s="124"/>
      <c r="Q386" s="36" t="str">
        <f t="shared" si="139"/>
        <v/>
      </c>
      <c r="R386" s="46" t="str">
        <f t="shared" si="128"/>
        <v/>
      </c>
      <c r="S386" s="38" t="str">
        <f t="shared" si="129"/>
        <v/>
      </c>
      <c r="T386" s="39" t="str">
        <f t="shared" si="130"/>
        <v/>
      </c>
      <c r="U386" s="40" t="str">
        <f t="shared" si="131"/>
        <v/>
      </c>
      <c r="V386" s="39" t="str">
        <f t="shared" si="132"/>
        <v/>
      </c>
      <c r="W386" s="34" t="str">
        <f t="shared" si="133"/>
        <v/>
      </c>
      <c r="X386" s="41" t="str">
        <f t="shared" si="140"/>
        <v/>
      </c>
      <c r="Y386" s="98" t="str">
        <f t="shared" si="134"/>
        <v/>
      </c>
      <c r="Z386" s="16" t="str">
        <f t="shared" si="141"/>
        <v/>
      </c>
      <c r="AB386" s="139"/>
      <c r="AC386" s="146" t="str">
        <f t="shared" si="144"/>
        <v/>
      </c>
      <c r="AD386" s="148" t="str">
        <f t="shared" si="142"/>
        <v/>
      </c>
      <c r="AE386" s="147" t="str">
        <f t="shared" si="135"/>
        <v/>
      </c>
      <c r="AF386" s="111" t="str">
        <f t="shared" si="136"/>
        <v/>
      </c>
      <c r="AG386" s="111" t="str">
        <f t="shared" si="137"/>
        <v/>
      </c>
      <c r="AH386" s="112" t="str">
        <f t="shared" si="138"/>
        <v/>
      </c>
      <c r="AI386" t="str">
        <f t="shared" si="143"/>
        <v/>
      </c>
      <c r="AJ386" t="str">
        <f t="shared" si="145"/>
        <v/>
      </c>
    </row>
    <row r="387" spans="1:36" ht="15" customHeight="1" x14ac:dyDescent="0.25">
      <c r="A387" s="114"/>
      <c r="B387" s="116"/>
      <c r="C387" s="116"/>
      <c r="D387" s="42" t="str">
        <f t="shared" si="122"/>
        <v/>
      </c>
      <c r="E387" s="43"/>
      <c r="F387" s="118"/>
      <c r="G387" s="44" t="str">
        <f t="shared" si="123"/>
        <v/>
      </c>
      <c r="H387" s="118"/>
      <c r="I387" s="34" t="str">
        <f t="shared" si="124"/>
        <v/>
      </c>
      <c r="J387" s="118"/>
      <c r="K387" s="34" t="str">
        <f t="shared" si="125"/>
        <v/>
      </c>
      <c r="L387" s="118"/>
      <c r="M387" s="121"/>
      <c r="N387" s="122" t="str">
        <f t="shared" si="126"/>
        <v/>
      </c>
      <c r="O387" s="35" t="str">
        <f t="shared" si="127"/>
        <v/>
      </c>
      <c r="P387" s="124"/>
      <c r="Q387" s="36" t="str">
        <f t="shared" si="139"/>
        <v/>
      </c>
      <c r="R387" s="46" t="str">
        <f t="shared" si="128"/>
        <v/>
      </c>
      <c r="S387" s="38" t="str">
        <f t="shared" si="129"/>
        <v/>
      </c>
      <c r="T387" s="39" t="str">
        <f t="shared" si="130"/>
        <v/>
      </c>
      <c r="U387" s="40" t="str">
        <f t="shared" si="131"/>
        <v/>
      </c>
      <c r="V387" s="39" t="str">
        <f t="shared" si="132"/>
        <v/>
      </c>
      <c r="W387" s="34" t="str">
        <f t="shared" si="133"/>
        <v/>
      </c>
      <c r="X387" s="41" t="str">
        <f t="shared" si="140"/>
        <v/>
      </c>
      <c r="Y387" s="98" t="str">
        <f t="shared" si="134"/>
        <v/>
      </c>
      <c r="Z387" s="16" t="str">
        <f t="shared" si="141"/>
        <v/>
      </c>
      <c r="AB387" s="139"/>
      <c r="AC387" s="146" t="str">
        <f t="shared" si="144"/>
        <v/>
      </c>
      <c r="AD387" s="148" t="str">
        <f t="shared" si="142"/>
        <v/>
      </c>
      <c r="AE387" s="147" t="str">
        <f t="shared" si="135"/>
        <v/>
      </c>
      <c r="AF387" s="111" t="str">
        <f t="shared" si="136"/>
        <v/>
      </c>
      <c r="AG387" s="111" t="str">
        <f t="shared" si="137"/>
        <v/>
      </c>
      <c r="AH387" s="112" t="str">
        <f t="shared" si="138"/>
        <v/>
      </c>
      <c r="AI387" t="str">
        <f t="shared" si="143"/>
        <v/>
      </c>
      <c r="AJ387" t="str">
        <f t="shared" si="145"/>
        <v/>
      </c>
    </row>
    <row r="388" spans="1:36" ht="15" customHeight="1" x14ac:dyDescent="0.25">
      <c r="A388" s="114"/>
      <c r="B388" s="116"/>
      <c r="C388" s="116"/>
      <c r="D388" s="42" t="str">
        <f t="shared" si="122"/>
        <v/>
      </c>
      <c r="E388" s="43"/>
      <c r="F388" s="118"/>
      <c r="G388" s="44" t="str">
        <f t="shared" si="123"/>
        <v/>
      </c>
      <c r="H388" s="118"/>
      <c r="I388" s="34" t="str">
        <f t="shared" si="124"/>
        <v/>
      </c>
      <c r="J388" s="118"/>
      <c r="K388" s="34" t="str">
        <f t="shared" si="125"/>
        <v/>
      </c>
      <c r="L388" s="118"/>
      <c r="M388" s="121"/>
      <c r="N388" s="122" t="str">
        <f t="shared" si="126"/>
        <v/>
      </c>
      <c r="O388" s="35" t="str">
        <f t="shared" si="127"/>
        <v/>
      </c>
      <c r="P388" s="124"/>
      <c r="Q388" s="36" t="str">
        <f t="shared" si="139"/>
        <v/>
      </c>
      <c r="R388" s="46" t="str">
        <f t="shared" si="128"/>
        <v/>
      </c>
      <c r="S388" s="38" t="str">
        <f t="shared" si="129"/>
        <v/>
      </c>
      <c r="T388" s="39" t="str">
        <f t="shared" si="130"/>
        <v/>
      </c>
      <c r="U388" s="40" t="str">
        <f t="shared" si="131"/>
        <v/>
      </c>
      <c r="V388" s="39" t="str">
        <f t="shared" si="132"/>
        <v/>
      </c>
      <c r="W388" s="34" t="str">
        <f t="shared" si="133"/>
        <v/>
      </c>
      <c r="X388" s="41" t="str">
        <f t="shared" si="140"/>
        <v/>
      </c>
      <c r="Y388" s="98" t="str">
        <f t="shared" si="134"/>
        <v/>
      </c>
      <c r="Z388" s="16" t="str">
        <f t="shared" si="141"/>
        <v/>
      </c>
      <c r="AB388" s="139"/>
      <c r="AC388" s="146" t="str">
        <f t="shared" si="144"/>
        <v/>
      </c>
      <c r="AD388" s="148" t="str">
        <f t="shared" si="142"/>
        <v/>
      </c>
      <c r="AE388" s="147" t="str">
        <f t="shared" si="135"/>
        <v/>
      </c>
      <c r="AF388" s="111" t="str">
        <f t="shared" si="136"/>
        <v/>
      </c>
      <c r="AG388" s="111" t="str">
        <f t="shared" si="137"/>
        <v/>
      </c>
      <c r="AH388" s="112" t="str">
        <f t="shared" si="138"/>
        <v/>
      </c>
      <c r="AI388" t="str">
        <f t="shared" si="143"/>
        <v/>
      </c>
      <c r="AJ388" t="str">
        <f t="shared" si="145"/>
        <v/>
      </c>
    </row>
    <row r="389" spans="1:36" ht="15" customHeight="1" x14ac:dyDescent="0.25">
      <c r="A389" s="114"/>
      <c r="B389" s="116"/>
      <c r="C389" s="116"/>
      <c r="D389" s="42" t="str">
        <f t="shared" si="122"/>
        <v/>
      </c>
      <c r="E389" s="43"/>
      <c r="F389" s="118"/>
      <c r="G389" s="44" t="str">
        <f t="shared" si="123"/>
        <v/>
      </c>
      <c r="H389" s="118"/>
      <c r="I389" s="34" t="str">
        <f t="shared" si="124"/>
        <v/>
      </c>
      <c r="J389" s="118"/>
      <c r="K389" s="34" t="str">
        <f t="shared" si="125"/>
        <v/>
      </c>
      <c r="L389" s="118"/>
      <c r="M389" s="121"/>
      <c r="N389" s="122" t="str">
        <f t="shared" si="126"/>
        <v/>
      </c>
      <c r="O389" s="35" t="str">
        <f t="shared" si="127"/>
        <v/>
      </c>
      <c r="P389" s="124"/>
      <c r="Q389" s="36" t="str">
        <f t="shared" si="139"/>
        <v/>
      </c>
      <c r="R389" s="46" t="str">
        <f t="shared" si="128"/>
        <v/>
      </c>
      <c r="S389" s="38" t="str">
        <f t="shared" si="129"/>
        <v/>
      </c>
      <c r="T389" s="39" t="str">
        <f t="shared" si="130"/>
        <v/>
      </c>
      <c r="U389" s="40" t="str">
        <f t="shared" si="131"/>
        <v/>
      </c>
      <c r="V389" s="39" t="str">
        <f t="shared" si="132"/>
        <v/>
      </c>
      <c r="W389" s="34" t="str">
        <f t="shared" si="133"/>
        <v/>
      </c>
      <c r="X389" s="41" t="str">
        <f t="shared" si="140"/>
        <v/>
      </c>
      <c r="Y389" s="98" t="str">
        <f t="shared" si="134"/>
        <v/>
      </c>
      <c r="Z389" s="16" t="str">
        <f t="shared" si="141"/>
        <v/>
      </c>
      <c r="AB389" s="139"/>
      <c r="AC389" s="146" t="str">
        <f t="shared" si="144"/>
        <v/>
      </c>
      <c r="AD389" s="148" t="str">
        <f t="shared" si="142"/>
        <v/>
      </c>
      <c r="AE389" s="147" t="str">
        <f t="shared" si="135"/>
        <v/>
      </c>
      <c r="AF389" s="111" t="str">
        <f t="shared" si="136"/>
        <v/>
      </c>
      <c r="AG389" s="111" t="str">
        <f t="shared" si="137"/>
        <v/>
      </c>
      <c r="AH389" s="112" t="str">
        <f t="shared" si="138"/>
        <v/>
      </c>
      <c r="AI389" t="str">
        <f t="shared" si="143"/>
        <v/>
      </c>
      <c r="AJ389" t="str">
        <f t="shared" si="145"/>
        <v/>
      </c>
    </row>
    <row r="390" spans="1:36" ht="15" customHeight="1" x14ac:dyDescent="0.25">
      <c r="A390" s="114"/>
      <c r="B390" s="116"/>
      <c r="C390" s="116"/>
      <c r="D390" s="42" t="str">
        <f t="shared" si="122"/>
        <v/>
      </c>
      <c r="E390" s="43"/>
      <c r="F390" s="118"/>
      <c r="G390" s="44" t="str">
        <f t="shared" si="123"/>
        <v/>
      </c>
      <c r="H390" s="118"/>
      <c r="I390" s="34" t="str">
        <f t="shared" si="124"/>
        <v/>
      </c>
      <c r="J390" s="118"/>
      <c r="K390" s="34" t="str">
        <f t="shared" si="125"/>
        <v/>
      </c>
      <c r="L390" s="118"/>
      <c r="M390" s="121"/>
      <c r="N390" s="122" t="str">
        <f t="shared" si="126"/>
        <v/>
      </c>
      <c r="O390" s="35" t="str">
        <f t="shared" si="127"/>
        <v/>
      </c>
      <c r="P390" s="124"/>
      <c r="Q390" s="36" t="str">
        <f t="shared" si="139"/>
        <v/>
      </c>
      <c r="R390" s="46" t="str">
        <f t="shared" si="128"/>
        <v/>
      </c>
      <c r="S390" s="38" t="str">
        <f t="shared" si="129"/>
        <v/>
      </c>
      <c r="T390" s="39" t="str">
        <f t="shared" si="130"/>
        <v/>
      </c>
      <c r="U390" s="40" t="str">
        <f t="shared" si="131"/>
        <v/>
      </c>
      <c r="V390" s="39" t="str">
        <f t="shared" si="132"/>
        <v/>
      </c>
      <c r="W390" s="34" t="str">
        <f t="shared" si="133"/>
        <v/>
      </c>
      <c r="X390" s="41" t="str">
        <f t="shared" si="140"/>
        <v/>
      </c>
      <c r="Y390" s="98" t="str">
        <f t="shared" si="134"/>
        <v/>
      </c>
      <c r="Z390" s="16" t="str">
        <f t="shared" si="141"/>
        <v/>
      </c>
      <c r="AB390" s="139"/>
      <c r="AC390" s="146" t="str">
        <f t="shared" si="144"/>
        <v/>
      </c>
      <c r="AD390" s="148" t="str">
        <f t="shared" si="142"/>
        <v/>
      </c>
      <c r="AE390" s="147" t="str">
        <f t="shared" si="135"/>
        <v/>
      </c>
      <c r="AF390" s="111" t="str">
        <f t="shared" si="136"/>
        <v/>
      </c>
      <c r="AG390" s="111" t="str">
        <f t="shared" si="137"/>
        <v/>
      </c>
      <c r="AH390" s="112" t="str">
        <f t="shared" si="138"/>
        <v/>
      </c>
      <c r="AI390" t="str">
        <f t="shared" si="143"/>
        <v/>
      </c>
      <c r="AJ390" t="str">
        <f t="shared" si="145"/>
        <v/>
      </c>
    </row>
    <row r="391" spans="1:36" ht="15" customHeight="1" x14ac:dyDescent="0.25">
      <c r="A391" s="114"/>
      <c r="B391" s="116"/>
      <c r="C391" s="116"/>
      <c r="D391" s="42" t="str">
        <f t="shared" si="122"/>
        <v/>
      </c>
      <c r="E391" s="43"/>
      <c r="F391" s="118"/>
      <c r="G391" s="44" t="str">
        <f t="shared" si="123"/>
        <v/>
      </c>
      <c r="H391" s="118"/>
      <c r="I391" s="34" t="str">
        <f t="shared" si="124"/>
        <v/>
      </c>
      <c r="J391" s="118"/>
      <c r="K391" s="34" t="str">
        <f t="shared" si="125"/>
        <v/>
      </c>
      <c r="L391" s="118"/>
      <c r="M391" s="121"/>
      <c r="N391" s="122" t="str">
        <f t="shared" si="126"/>
        <v/>
      </c>
      <c r="O391" s="35" t="str">
        <f t="shared" si="127"/>
        <v/>
      </c>
      <c r="P391" s="124"/>
      <c r="Q391" s="36" t="str">
        <f t="shared" si="139"/>
        <v/>
      </c>
      <c r="R391" s="46" t="str">
        <f t="shared" si="128"/>
        <v/>
      </c>
      <c r="S391" s="38" t="str">
        <f t="shared" si="129"/>
        <v/>
      </c>
      <c r="T391" s="39" t="str">
        <f t="shared" si="130"/>
        <v/>
      </c>
      <c r="U391" s="40" t="str">
        <f t="shared" si="131"/>
        <v/>
      </c>
      <c r="V391" s="39" t="str">
        <f t="shared" si="132"/>
        <v/>
      </c>
      <c r="W391" s="34" t="str">
        <f t="shared" si="133"/>
        <v/>
      </c>
      <c r="X391" s="41" t="str">
        <f t="shared" si="140"/>
        <v/>
      </c>
      <c r="Y391" s="98" t="str">
        <f t="shared" si="134"/>
        <v/>
      </c>
      <c r="Z391" s="16" t="str">
        <f t="shared" si="141"/>
        <v/>
      </c>
      <c r="AB391" s="139"/>
      <c r="AC391" s="146" t="str">
        <f t="shared" si="144"/>
        <v/>
      </c>
      <c r="AD391" s="148" t="str">
        <f t="shared" si="142"/>
        <v/>
      </c>
      <c r="AE391" s="147" t="str">
        <f t="shared" si="135"/>
        <v/>
      </c>
      <c r="AF391" s="111" t="str">
        <f t="shared" si="136"/>
        <v/>
      </c>
      <c r="AG391" s="111" t="str">
        <f t="shared" si="137"/>
        <v/>
      </c>
      <c r="AH391" s="112" t="str">
        <f t="shared" si="138"/>
        <v/>
      </c>
      <c r="AI391" t="str">
        <f t="shared" si="143"/>
        <v/>
      </c>
      <c r="AJ391" t="str">
        <f t="shared" si="145"/>
        <v/>
      </c>
    </row>
    <row r="392" spans="1:36" ht="15" customHeight="1" x14ac:dyDescent="0.25">
      <c r="A392" s="114"/>
      <c r="B392" s="116"/>
      <c r="C392" s="116"/>
      <c r="D392" s="42" t="str">
        <f t="shared" ref="D392:D455" si="146">IF(A392="","",B392*C392)</f>
        <v/>
      </c>
      <c r="E392" s="43"/>
      <c r="F392" s="118"/>
      <c r="G392" s="44" t="str">
        <f t="shared" ref="G392:G455" si="147">IF(A392="","",F392*B392)</f>
        <v/>
      </c>
      <c r="H392" s="118"/>
      <c r="I392" s="34" t="str">
        <f t="shared" ref="I392:I455" si="148">IF(OR(H392=0,C392=0,H392="",C392=""),"",H392/C392)</f>
        <v/>
      </c>
      <c r="J392" s="118"/>
      <c r="K392" s="34" t="str">
        <f t="shared" ref="K392:K455" si="149">IF(OR(J392=0,C392=0,J392="",C392=""),"",J392/C392)</f>
        <v/>
      </c>
      <c r="L392" s="118"/>
      <c r="M392" s="121"/>
      <c r="N392" s="122" t="str">
        <f t="shared" ref="N392:N455" si="150">IF(A392="","",IF(P392&gt;0,IF(G392&gt;0,P392/G392,0),IF(E392&gt;0,0,IF($I$3&gt;0,IF($I$4&gt;0,MAX($I$3-SUM($P$8:$P$1007),0)/$I$4,0),$I$2))))</f>
        <v/>
      </c>
      <c r="O392" s="35" t="str">
        <f t="shared" ref="O392:O455" si="151">IF(A392="","",IF(P392&gt;0,P392,IF(E392&gt;0,0,G392*IF($I$3&gt;0,IF($I$4&gt;0,MAX($I$3-SUM($P$8:$P$1007),0)/$I$4,0),$I$2))))</f>
        <v/>
      </c>
      <c r="P392" s="124"/>
      <c r="Q392" s="36" t="str">
        <f t="shared" si="139"/>
        <v/>
      </c>
      <c r="R392" s="46" t="str">
        <f t="shared" ref="R392:R455" si="152">IF(OR(A392="",Q392=""),"",Q392*C392)</f>
        <v/>
      </c>
      <c r="S392" s="38" t="str">
        <f t="shared" ref="S392:S455" si="153">IF(OR(A392="",H392&lt;=0,R392=""),"",(H392-R392)/H392)</f>
        <v/>
      </c>
      <c r="T392" s="39" t="str">
        <f t="shared" ref="T392:T455" si="154">IF(OR(H392=0,R392=0,H392="",R392=""),"",H392-R392)</f>
        <v/>
      </c>
      <c r="U392" s="40" t="str">
        <f t="shared" ref="U392:U455" si="155">IF(OR(A392="",J392&lt;=0,R392=""),"",(J392-R392)/J392)</f>
        <v/>
      </c>
      <c r="V392" s="39" t="str">
        <f t="shared" ref="V392:V455" si="156">IF(OR(J392=0,R392=0,J392="",R392=""),"",J392-R392)</f>
        <v/>
      </c>
      <c r="W392" s="34" t="str">
        <f t="shared" ref="W392:W455" si="157">IF(OR(G392="",G392=0,$M$5="",$K$3=0),"",($M$5/$K$3)*G392)</f>
        <v/>
      </c>
      <c r="X392" s="41" t="str">
        <f t="shared" si="140"/>
        <v/>
      </c>
      <c r="Y392" s="98" t="str">
        <f t="shared" ref="Y392:Y455" si="158">IF(OR(Q392=0,Q392="",D392=0,D392=""),"",Q392*(D392+E392))</f>
        <v/>
      </c>
      <c r="Z392" s="16" t="str">
        <f t="shared" si="141"/>
        <v/>
      </c>
      <c r="AB392" s="139"/>
      <c r="AC392" s="146" t="str">
        <f t="shared" si="144"/>
        <v/>
      </c>
      <c r="AD392" s="148" t="str">
        <f t="shared" si="142"/>
        <v/>
      </c>
      <c r="AE392" s="147" t="str">
        <f t="shared" ref="AE392:AE455" si="159">IF(AD392="","",AD392*$AC$1+IF(SUM($AD$8:$AD$1007)=0,0,$AC$2*AD392/SUM($AD$8:$AD$1007)))</f>
        <v/>
      </c>
      <c r="AF392" s="111" t="str">
        <f t="shared" ref="AF392:AF455" si="160">IF(AD392="","",AD392-AE392)</f>
        <v/>
      </c>
      <c r="AG392" s="111" t="str">
        <f t="shared" ref="AG392:AG455" si="161">IF(AF392="","",AH392-AF392)</f>
        <v/>
      </c>
      <c r="AH392" s="112" t="str">
        <f t="shared" ref="AH392:AH455" si="162">IF(AF392="","",ROUND(AF392,0))</f>
        <v/>
      </c>
      <c r="AI392" t="str">
        <f t="shared" si="143"/>
        <v/>
      </c>
      <c r="AJ392" t="str">
        <f t="shared" si="145"/>
        <v/>
      </c>
    </row>
    <row r="393" spans="1:36" ht="15" customHeight="1" x14ac:dyDescent="0.25">
      <c r="A393" s="114"/>
      <c r="B393" s="116"/>
      <c r="C393" s="116"/>
      <c r="D393" s="42" t="str">
        <f t="shared" si="146"/>
        <v/>
      </c>
      <c r="E393" s="43"/>
      <c r="F393" s="118"/>
      <c r="G393" s="44" t="str">
        <f t="shared" si="147"/>
        <v/>
      </c>
      <c r="H393" s="118"/>
      <c r="I393" s="34" t="str">
        <f t="shared" si="148"/>
        <v/>
      </c>
      <c r="J393" s="118"/>
      <c r="K393" s="34" t="str">
        <f t="shared" si="149"/>
        <v/>
      </c>
      <c r="L393" s="118"/>
      <c r="M393" s="121"/>
      <c r="N393" s="122" t="str">
        <f t="shared" si="150"/>
        <v/>
      </c>
      <c r="O393" s="35" t="str">
        <f t="shared" si="151"/>
        <v/>
      </c>
      <c r="P393" s="124"/>
      <c r="Q393" s="36" t="str">
        <f t="shared" ref="Q393:Q456" si="163">IF(A393="","",IF(OR(B393=0,B393="",C393&lt;=0,D393+E393&lt;=0),"",(G393-O393)/(D393+E393)-IF(W393&gt;=0,W393/D393,0)+IF(ISNUMBER(X393),X393/(D393+E393),0)))</f>
        <v/>
      </c>
      <c r="R393" s="46" t="str">
        <f t="shared" si="152"/>
        <v/>
      </c>
      <c r="S393" s="38" t="str">
        <f t="shared" si="153"/>
        <v/>
      </c>
      <c r="T393" s="39" t="str">
        <f t="shared" si="154"/>
        <v/>
      </c>
      <c r="U393" s="40" t="str">
        <f t="shared" si="155"/>
        <v/>
      </c>
      <c r="V393" s="39" t="str">
        <f t="shared" si="156"/>
        <v/>
      </c>
      <c r="W393" s="34" t="str">
        <f t="shared" si="157"/>
        <v/>
      </c>
      <c r="X393" s="41" t="str">
        <f t="shared" ref="X393:X456" si="164">IF(OR(G393="",G393=0,($K$3-$K$2)=0),"",($I$1/($K$3-$K$2))*(G393-O393))</f>
        <v/>
      </c>
      <c r="Y393" s="98" t="str">
        <f t="shared" si="158"/>
        <v/>
      </c>
      <c r="Z393" s="16" t="str">
        <f t="shared" ref="Z393:Z456" si="165">IF(OR(B393=0,B393=""),"",G393)</f>
        <v/>
      </c>
      <c r="AB393" s="139"/>
      <c r="AC393" s="146" t="str">
        <f t="shared" si="144"/>
        <v/>
      </c>
      <c r="AD393" s="148" t="str">
        <f t="shared" ref="AD393:AD456" si="166">IF(OR(AB393="",AC393=""),"",AB393*AC393)</f>
        <v/>
      </c>
      <c r="AE393" s="147" t="str">
        <f t="shared" si="159"/>
        <v/>
      </c>
      <c r="AF393" s="111" t="str">
        <f t="shared" si="160"/>
        <v/>
      </c>
      <c r="AG393" s="111" t="str">
        <f t="shared" si="161"/>
        <v/>
      </c>
      <c r="AH393" s="112" t="str">
        <f t="shared" si="162"/>
        <v/>
      </c>
      <c r="AI393" t="str">
        <f t="shared" ref="AI393:AI456" si="167">IF(OR(AB393=0,AB393=""),"",AE393/AB393)</f>
        <v/>
      </c>
      <c r="AJ393" t="str">
        <f t="shared" si="145"/>
        <v/>
      </c>
    </row>
    <row r="394" spans="1:36" ht="15" customHeight="1" x14ac:dyDescent="0.25">
      <c r="A394" s="114"/>
      <c r="B394" s="116"/>
      <c r="C394" s="116"/>
      <c r="D394" s="42" t="str">
        <f t="shared" si="146"/>
        <v/>
      </c>
      <c r="E394" s="43"/>
      <c r="F394" s="118"/>
      <c r="G394" s="44" t="str">
        <f t="shared" si="147"/>
        <v/>
      </c>
      <c r="H394" s="118"/>
      <c r="I394" s="34" t="str">
        <f t="shared" si="148"/>
        <v/>
      </c>
      <c r="J394" s="118"/>
      <c r="K394" s="34" t="str">
        <f t="shared" si="149"/>
        <v/>
      </c>
      <c r="L394" s="118"/>
      <c r="M394" s="121"/>
      <c r="N394" s="122" t="str">
        <f t="shared" si="150"/>
        <v/>
      </c>
      <c r="O394" s="35" t="str">
        <f t="shared" si="151"/>
        <v/>
      </c>
      <c r="P394" s="124"/>
      <c r="Q394" s="36" t="str">
        <f t="shared" si="163"/>
        <v/>
      </c>
      <c r="R394" s="46" t="str">
        <f t="shared" si="152"/>
        <v/>
      </c>
      <c r="S394" s="38" t="str">
        <f t="shared" si="153"/>
        <v/>
      </c>
      <c r="T394" s="39" t="str">
        <f t="shared" si="154"/>
        <v/>
      </c>
      <c r="U394" s="40" t="str">
        <f t="shared" si="155"/>
        <v/>
      </c>
      <c r="V394" s="39" t="str">
        <f t="shared" si="156"/>
        <v/>
      </c>
      <c r="W394" s="34" t="str">
        <f t="shared" si="157"/>
        <v/>
      </c>
      <c r="X394" s="41" t="str">
        <f t="shared" si="164"/>
        <v/>
      </c>
      <c r="Y394" s="98" t="str">
        <f t="shared" si="158"/>
        <v/>
      </c>
      <c r="Z394" s="16" t="str">
        <f t="shared" si="165"/>
        <v/>
      </c>
      <c r="AB394" s="139"/>
      <c r="AC394" s="146" t="str">
        <f t="shared" si="144"/>
        <v/>
      </c>
      <c r="AD394" s="148" t="str">
        <f t="shared" si="166"/>
        <v/>
      </c>
      <c r="AE394" s="147" t="str">
        <f t="shared" si="159"/>
        <v/>
      </c>
      <c r="AF394" s="111" t="str">
        <f t="shared" si="160"/>
        <v/>
      </c>
      <c r="AG394" s="111" t="str">
        <f t="shared" si="161"/>
        <v/>
      </c>
      <c r="AH394" s="112" t="str">
        <f t="shared" si="162"/>
        <v/>
      </c>
      <c r="AI394" t="str">
        <f t="shared" si="167"/>
        <v/>
      </c>
      <c r="AJ394" t="str">
        <f t="shared" si="145"/>
        <v/>
      </c>
    </row>
    <row r="395" spans="1:36" ht="15" customHeight="1" x14ac:dyDescent="0.25">
      <c r="A395" s="114"/>
      <c r="B395" s="116"/>
      <c r="C395" s="116"/>
      <c r="D395" s="42" t="str">
        <f t="shared" si="146"/>
        <v/>
      </c>
      <c r="E395" s="43"/>
      <c r="F395" s="118"/>
      <c r="G395" s="44" t="str">
        <f t="shared" si="147"/>
        <v/>
      </c>
      <c r="H395" s="118"/>
      <c r="I395" s="34" t="str">
        <f t="shared" si="148"/>
        <v/>
      </c>
      <c r="J395" s="118"/>
      <c r="K395" s="34" t="str">
        <f t="shared" si="149"/>
        <v/>
      </c>
      <c r="L395" s="118"/>
      <c r="M395" s="121"/>
      <c r="N395" s="122" t="str">
        <f t="shared" si="150"/>
        <v/>
      </c>
      <c r="O395" s="35" t="str">
        <f t="shared" si="151"/>
        <v/>
      </c>
      <c r="P395" s="124"/>
      <c r="Q395" s="36" t="str">
        <f t="shared" si="163"/>
        <v/>
      </c>
      <c r="R395" s="46" t="str">
        <f t="shared" si="152"/>
        <v/>
      </c>
      <c r="S395" s="38" t="str">
        <f t="shared" si="153"/>
        <v/>
      </c>
      <c r="T395" s="39" t="str">
        <f t="shared" si="154"/>
        <v/>
      </c>
      <c r="U395" s="40" t="str">
        <f t="shared" si="155"/>
        <v/>
      </c>
      <c r="V395" s="39" t="str">
        <f t="shared" si="156"/>
        <v/>
      </c>
      <c r="W395" s="34" t="str">
        <f t="shared" si="157"/>
        <v/>
      </c>
      <c r="X395" s="41" t="str">
        <f t="shared" si="164"/>
        <v/>
      </c>
      <c r="Y395" s="98" t="str">
        <f t="shared" si="158"/>
        <v/>
      </c>
      <c r="Z395" s="16" t="str">
        <f t="shared" si="165"/>
        <v/>
      </c>
      <c r="AB395" s="139"/>
      <c r="AC395" s="146" t="str">
        <f t="shared" si="144"/>
        <v/>
      </c>
      <c r="AD395" s="148" t="str">
        <f t="shared" si="166"/>
        <v/>
      </c>
      <c r="AE395" s="147" t="str">
        <f t="shared" si="159"/>
        <v/>
      </c>
      <c r="AF395" s="111" t="str">
        <f t="shared" si="160"/>
        <v/>
      </c>
      <c r="AG395" s="111" t="str">
        <f t="shared" si="161"/>
        <v/>
      </c>
      <c r="AH395" s="112" t="str">
        <f t="shared" si="162"/>
        <v/>
      </c>
      <c r="AI395" t="str">
        <f t="shared" si="167"/>
        <v/>
      </c>
      <c r="AJ395" t="str">
        <f t="shared" si="145"/>
        <v/>
      </c>
    </row>
    <row r="396" spans="1:36" ht="15" customHeight="1" x14ac:dyDescent="0.25">
      <c r="A396" s="114"/>
      <c r="B396" s="116"/>
      <c r="C396" s="116"/>
      <c r="D396" s="42" t="str">
        <f t="shared" si="146"/>
        <v/>
      </c>
      <c r="E396" s="43"/>
      <c r="F396" s="118"/>
      <c r="G396" s="44" t="str">
        <f t="shared" si="147"/>
        <v/>
      </c>
      <c r="H396" s="118"/>
      <c r="I396" s="34" t="str">
        <f t="shared" si="148"/>
        <v/>
      </c>
      <c r="J396" s="118"/>
      <c r="K396" s="34" t="str">
        <f t="shared" si="149"/>
        <v/>
      </c>
      <c r="L396" s="118"/>
      <c r="M396" s="121"/>
      <c r="N396" s="122" t="str">
        <f t="shared" si="150"/>
        <v/>
      </c>
      <c r="O396" s="35" t="str">
        <f t="shared" si="151"/>
        <v/>
      </c>
      <c r="P396" s="124"/>
      <c r="Q396" s="36" t="str">
        <f t="shared" si="163"/>
        <v/>
      </c>
      <c r="R396" s="46" t="str">
        <f t="shared" si="152"/>
        <v/>
      </c>
      <c r="S396" s="38" t="str">
        <f t="shared" si="153"/>
        <v/>
      </c>
      <c r="T396" s="39" t="str">
        <f t="shared" si="154"/>
        <v/>
      </c>
      <c r="U396" s="40" t="str">
        <f t="shared" si="155"/>
        <v/>
      </c>
      <c r="V396" s="39" t="str">
        <f t="shared" si="156"/>
        <v/>
      </c>
      <c r="W396" s="34" t="str">
        <f t="shared" si="157"/>
        <v/>
      </c>
      <c r="X396" s="41" t="str">
        <f t="shared" si="164"/>
        <v/>
      </c>
      <c r="Y396" s="98" t="str">
        <f t="shared" si="158"/>
        <v/>
      </c>
      <c r="Z396" s="16" t="str">
        <f t="shared" si="165"/>
        <v/>
      </c>
      <c r="AB396" s="139"/>
      <c r="AC396" s="146" t="str">
        <f t="shared" ref="AC396:AC459" si="168">IF(AB396="","",Q396)</f>
        <v/>
      </c>
      <c r="AD396" s="148" t="str">
        <f t="shared" si="166"/>
        <v/>
      </c>
      <c r="AE396" s="147" t="str">
        <f t="shared" si="159"/>
        <v/>
      </c>
      <c r="AF396" s="111" t="str">
        <f t="shared" si="160"/>
        <v/>
      </c>
      <c r="AG396" s="111" t="str">
        <f t="shared" si="161"/>
        <v/>
      </c>
      <c r="AH396" s="112" t="str">
        <f t="shared" si="162"/>
        <v/>
      </c>
      <c r="AI396" t="str">
        <f t="shared" si="167"/>
        <v/>
      </c>
      <c r="AJ396" t="str">
        <f t="shared" ref="AJ396:AJ459" si="169">IF(OR(AB396=0,AB396=""),"",AC396*C396)</f>
        <v/>
      </c>
    </row>
    <row r="397" spans="1:36" ht="15" customHeight="1" x14ac:dyDescent="0.25">
      <c r="A397" s="114"/>
      <c r="B397" s="116"/>
      <c r="C397" s="116"/>
      <c r="D397" s="42" t="str">
        <f t="shared" si="146"/>
        <v/>
      </c>
      <c r="E397" s="43"/>
      <c r="F397" s="118"/>
      <c r="G397" s="44" t="str">
        <f t="shared" si="147"/>
        <v/>
      </c>
      <c r="H397" s="118"/>
      <c r="I397" s="34" t="str">
        <f t="shared" si="148"/>
        <v/>
      </c>
      <c r="J397" s="118"/>
      <c r="K397" s="34" t="str">
        <f t="shared" si="149"/>
        <v/>
      </c>
      <c r="L397" s="118"/>
      <c r="M397" s="121"/>
      <c r="N397" s="122" t="str">
        <f t="shared" si="150"/>
        <v/>
      </c>
      <c r="O397" s="35" t="str">
        <f t="shared" si="151"/>
        <v/>
      </c>
      <c r="P397" s="124"/>
      <c r="Q397" s="36" t="str">
        <f t="shared" si="163"/>
        <v/>
      </c>
      <c r="R397" s="46" t="str">
        <f t="shared" si="152"/>
        <v/>
      </c>
      <c r="S397" s="38" t="str">
        <f t="shared" si="153"/>
        <v/>
      </c>
      <c r="T397" s="39" t="str">
        <f t="shared" si="154"/>
        <v/>
      </c>
      <c r="U397" s="40" t="str">
        <f t="shared" si="155"/>
        <v/>
      </c>
      <c r="V397" s="39" t="str">
        <f t="shared" si="156"/>
        <v/>
      </c>
      <c r="W397" s="34" t="str">
        <f t="shared" si="157"/>
        <v/>
      </c>
      <c r="X397" s="41" t="str">
        <f t="shared" si="164"/>
        <v/>
      </c>
      <c r="Y397" s="98" t="str">
        <f t="shared" si="158"/>
        <v/>
      </c>
      <c r="Z397" s="16" t="str">
        <f t="shared" si="165"/>
        <v/>
      </c>
      <c r="AB397" s="139"/>
      <c r="AC397" s="146" t="str">
        <f t="shared" si="168"/>
        <v/>
      </c>
      <c r="AD397" s="148" t="str">
        <f t="shared" si="166"/>
        <v/>
      </c>
      <c r="AE397" s="147" t="str">
        <f t="shared" si="159"/>
        <v/>
      </c>
      <c r="AF397" s="111" t="str">
        <f t="shared" si="160"/>
        <v/>
      </c>
      <c r="AG397" s="111" t="str">
        <f t="shared" si="161"/>
        <v/>
      </c>
      <c r="AH397" s="112" t="str">
        <f t="shared" si="162"/>
        <v/>
      </c>
      <c r="AI397" t="str">
        <f t="shared" si="167"/>
        <v/>
      </c>
      <c r="AJ397" t="str">
        <f t="shared" si="169"/>
        <v/>
      </c>
    </row>
    <row r="398" spans="1:36" ht="15" customHeight="1" x14ac:dyDescent="0.25">
      <c r="A398" s="114"/>
      <c r="B398" s="116"/>
      <c r="C398" s="116"/>
      <c r="D398" s="42" t="str">
        <f t="shared" si="146"/>
        <v/>
      </c>
      <c r="E398" s="43"/>
      <c r="F398" s="118"/>
      <c r="G398" s="44" t="str">
        <f t="shared" si="147"/>
        <v/>
      </c>
      <c r="H398" s="118"/>
      <c r="I398" s="34" t="str">
        <f t="shared" si="148"/>
        <v/>
      </c>
      <c r="J398" s="118"/>
      <c r="K398" s="34" t="str">
        <f t="shared" si="149"/>
        <v/>
      </c>
      <c r="L398" s="118"/>
      <c r="M398" s="121"/>
      <c r="N398" s="122" t="str">
        <f t="shared" si="150"/>
        <v/>
      </c>
      <c r="O398" s="35" t="str">
        <f t="shared" si="151"/>
        <v/>
      </c>
      <c r="P398" s="124"/>
      <c r="Q398" s="36" t="str">
        <f t="shared" si="163"/>
        <v/>
      </c>
      <c r="R398" s="46" t="str">
        <f t="shared" si="152"/>
        <v/>
      </c>
      <c r="S398" s="38" t="str">
        <f t="shared" si="153"/>
        <v/>
      </c>
      <c r="T398" s="39" t="str">
        <f t="shared" si="154"/>
        <v/>
      </c>
      <c r="U398" s="40" t="str">
        <f t="shared" si="155"/>
        <v/>
      </c>
      <c r="V398" s="39" t="str">
        <f t="shared" si="156"/>
        <v/>
      </c>
      <c r="W398" s="34" t="str">
        <f t="shared" si="157"/>
        <v/>
      </c>
      <c r="X398" s="41" t="str">
        <f t="shared" si="164"/>
        <v/>
      </c>
      <c r="Y398" s="98" t="str">
        <f t="shared" si="158"/>
        <v/>
      </c>
      <c r="Z398" s="16" t="str">
        <f t="shared" si="165"/>
        <v/>
      </c>
      <c r="AB398" s="139"/>
      <c r="AC398" s="146" t="str">
        <f t="shared" si="168"/>
        <v/>
      </c>
      <c r="AD398" s="148" t="str">
        <f t="shared" si="166"/>
        <v/>
      </c>
      <c r="AE398" s="147" t="str">
        <f t="shared" si="159"/>
        <v/>
      </c>
      <c r="AF398" s="111" t="str">
        <f t="shared" si="160"/>
        <v/>
      </c>
      <c r="AG398" s="111" t="str">
        <f t="shared" si="161"/>
        <v/>
      </c>
      <c r="AH398" s="112" t="str">
        <f t="shared" si="162"/>
        <v/>
      </c>
      <c r="AI398" t="str">
        <f t="shared" si="167"/>
        <v/>
      </c>
      <c r="AJ398" t="str">
        <f t="shared" si="169"/>
        <v/>
      </c>
    </row>
    <row r="399" spans="1:36" ht="15" customHeight="1" x14ac:dyDescent="0.25">
      <c r="A399" s="114"/>
      <c r="B399" s="116"/>
      <c r="C399" s="116"/>
      <c r="D399" s="42" t="str">
        <f t="shared" si="146"/>
        <v/>
      </c>
      <c r="E399" s="43"/>
      <c r="F399" s="118"/>
      <c r="G399" s="44" t="str">
        <f t="shared" si="147"/>
        <v/>
      </c>
      <c r="H399" s="118"/>
      <c r="I399" s="34" t="str">
        <f t="shared" si="148"/>
        <v/>
      </c>
      <c r="J399" s="118"/>
      <c r="K399" s="34" t="str">
        <f t="shared" si="149"/>
        <v/>
      </c>
      <c r="L399" s="118"/>
      <c r="M399" s="121"/>
      <c r="N399" s="122" t="str">
        <f t="shared" si="150"/>
        <v/>
      </c>
      <c r="O399" s="35" t="str">
        <f t="shared" si="151"/>
        <v/>
      </c>
      <c r="P399" s="124"/>
      <c r="Q399" s="36" t="str">
        <f t="shared" si="163"/>
        <v/>
      </c>
      <c r="R399" s="46" t="str">
        <f t="shared" si="152"/>
        <v/>
      </c>
      <c r="S399" s="38" t="str">
        <f t="shared" si="153"/>
        <v/>
      </c>
      <c r="T399" s="39" t="str">
        <f t="shared" si="154"/>
        <v/>
      </c>
      <c r="U399" s="40" t="str">
        <f t="shared" si="155"/>
        <v/>
      </c>
      <c r="V399" s="39" t="str">
        <f t="shared" si="156"/>
        <v/>
      </c>
      <c r="W399" s="34" t="str">
        <f t="shared" si="157"/>
        <v/>
      </c>
      <c r="X399" s="41" t="str">
        <f t="shared" si="164"/>
        <v/>
      </c>
      <c r="Y399" s="98" t="str">
        <f t="shared" si="158"/>
        <v/>
      </c>
      <c r="Z399" s="16" t="str">
        <f t="shared" si="165"/>
        <v/>
      </c>
      <c r="AB399" s="139"/>
      <c r="AC399" s="146" t="str">
        <f t="shared" si="168"/>
        <v/>
      </c>
      <c r="AD399" s="148" t="str">
        <f t="shared" si="166"/>
        <v/>
      </c>
      <c r="AE399" s="147" t="str">
        <f t="shared" si="159"/>
        <v/>
      </c>
      <c r="AF399" s="111" t="str">
        <f t="shared" si="160"/>
        <v/>
      </c>
      <c r="AG399" s="111" t="str">
        <f t="shared" si="161"/>
        <v/>
      </c>
      <c r="AH399" s="112" t="str">
        <f t="shared" si="162"/>
        <v/>
      </c>
      <c r="AI399" t="str">
        <f t="shared" si="167"/>
        <v/>
      </c>
      <c r="AJ399" t="str">
        <f t="shared" si="169"/>
        <v/>
      </c>
    </row>
    <row r="400" spans="1:36" ht="15" customHeight="1" x14ac:dyDescent="0.25">
      <c r="A400" s="114"/>
      <c r="B400" s="116"/>
      <c r="C400" s="116"/>
      <c r="D400" s="42" t="str">
        <f t="shared" si="146"/>
        <v/>
      </c>
      <c r="E400" s="43"/>
      <c r="F400" s="118"/>
      <c r="G400" s="44" t="str">
        <f t="shared" si="147"/>
        <v/>
      </c>
      <c r="H400" s="118"/>
      <c r="I400" s="34" t="str">
        <f t="shared" si="148"/>
        <v/>
      </c>
      <c r="J400" s="118"/>
      <c r="K400" s="34" t="str">
        <f t="shared" si="149"/>
        <v/>
      </c>
      <c r="L400" s="118"/>
      <c r="M400" s="121"/>
      <c r="N400" s="122" t="str">
        <f t="shared" si="150"/>
        <v/>
      </c>
      <c r="O400" s="35" t="str">
        <f t="shared" si="151"/>
        <v/>
      </c>
      <c r="P400" s="124"/>
      <c r="Q400" s="36" t="str">
        <f t="shared" si="163"/>
        <v/>
      </c>
      <c r="R400" s="46" t="str">
        <f t="shared" si="152"/>
        <v/>
      </c>
      <c r="S400" s="38" t="str">
        <f t="shared" si="153"/>
        <v/>
      </c>
      <c r="T400" s="39" t="str">
        <f t="shared" si="154"/>
        <v/>
      </c>
      <c r="U400" s="40" t="str">
        <f t="shared" si="155"/>
        <v/>
      </c>
      <c r="V400" s="39" t="str">
        <f t="shared" si="156"/>
        <v/>
      </c>
      <c r="W400" s="34" t="str">
        <f t="shared" si="157"/>
        <v/>
      </c>
      <c r="X400" s="41" t="str">
        <f t="shared" si="164"/>
        <v/>
      </c>
      <c r="Y400" s="98" t="str">
        <f t="shared" si="158"/>
        <v/>
      </c>
      <c r="Z400" s="16" t="str">
        <f t="shared" si="165"/>
        <v/>
      </c>
      <c r="AB400" s="139"/>
      <c r="AC400" s="146" t="str">
        <f t="shared" si="168"/>
        <v/>
      </c>
      <c r="AD400" s="148" t="str">
        <f t="shared" si="166"/>
        <v/>
      </c>
      <c r="AE400" s="147" t="str">
        <f t="shared" si="159"/>
        <v/>
      </c>
      <c r="AF400" s="111" t="str">
        <f t="shared" si="160"/>
        <v/>
      </c>
      <c r="AG400" s="111" t="str">
        <f t="shared" si="161"/>
        <v/>
      </c>
      <c r="AH400" s="112" t="str">
        <f t="shared" si="162"/>
        <v/>
      </c>
      <c r="AI400" t="str">
        <f t="shared" si="167"/>
        <v/>
      </c>
      <c r="AJ400" t="str">
        <f t="shared" si="169"/>
        <v/>
      </c>
    </row>
    <row r="401" spans="1:36" ht="15" customHeight="1" x14ac:dyDescent="0.25">
      <c r="A401" s="114"/>
      <c r="B401" s="116"/>
      <c r="C401" s="116"/>
      <c r="D401" s="42" t="str">
        <f t="shared" si="146"/>
        <v/>
      </c>
      <c r="E401" s="43"/>
      <c r="F401" s="118"/>
      <c r="G401" s="44" t="str">
        <f t="shared" si="147"/>
        <v/>
      </c>
      <c r="H401" s="118"/>
      <c r="I401" s="34" t="str">
        <f t="shared" si="148"/>
        <v/>
      </c>
      <c r="J401" s="118"/>
      <c r="K401" s="34" t="str">
        <f t="shared" si="149"/>
        <v/>
      </c>
      <c r="L401" s="118"/>
      <c r="M401" s="121"/>
      <c r="N401" s="122" t="str">
        <f t="shared" si="150"/>
        <v/>
      </c>
      <c r="O401" s="35" t="str">
        <f t="shared" si="151"/>
        <v/>
      </c>
      <c r="P401" s="124"/>
      <c r="Q401" s="36" t="str">
        <f t="shared" si="163"/>
        <v/>
      </c>
      <c r="R401" s="46" t="str">
        <f t="shared" si="152"/>
        <v/>
      </c>
      <c r="S401" s="38" t="str">
        <f t="shared" si="153"/>
        <v/>
      </c>
      <c r="T401" s="39" t="str">
        <f t="shared" si="154"/>
        <v/>
      </c>
      <c r="U401" s="40" t="str">
        <f t="shared" si="155"/>
        <v/>
      </c>
      <c r="V401" s="39" t="str">
        <f t="shared" si="156"/>
        <v/>
      </c>
      <c r="W401" s="34" t="str">
        <f t="shared" si="157"/>
        <v/>
      </c>
      <c r="X401" s="41" t="str">
        <f t="shared" si="164"/>
        <v/>
      </c>
      <c r="Y401" s="98" t="str">
        <f t="shared" si="158"/>
        <v/>
      </c>
      <c r="Z401" s="16" t="str">
        <f t="shared" si="165"/>
        <v/>
      </c>
      <c r="AB401" s="139"/>
      <c r="AC401" s="146" t="str">
        <f t="shared" si="168"/>
        <v/>
      </c>
      <c r="AD401" s="148" t="str">
        <f t="shared" si="166"/>
        <v/>
      </c>
      <c r="AE401" s="147" t="str">
        <f t="shared" si="159"/>
        <v/>
      </c>
      <c r="AF401" s="111" t="str">
        <f t="shared" si="160"/>
        <v/>
      </c>
      <c r="AG401" s="111" t="str">
        <f t="shared" si="161"/>
        <v/>
      </c>
      <c r="AH401" s="112" t="str">
        <f t="shared" si="162"/>
        <v/>
      </c>
      <c r="AI401" t="str">
        <f t="shared" si="167"/>
        <v/>
      </c>
      <c r="AJ401" t="str">
        <f t="shared" si="169"/>
        <v/>
      </c>
    </row>
    <row r="402" spans="1:36" ht="15" customHeight="1" x14ac:dyDescent="0.25">
      <c r="A402" s="114"/>
      <c r="B402" s="116"/>
      <c r="C402" s="116"/>
      <c r="D402" s="42" t="str">
        <f t="shared" si="146"/>
        <v/>
      </c>
      <c r="E402" s="43"/>
      <c r="F402" s="118"/>
      <c r="G402" s="44" t="str">
        <f t="shared" si="147"/>
        <v/>
      </c>
      <c r="H402" s="118"/>
      <c r="I402" s="34" t="str">
        <f t="shared" si="148"/>
        <v/>
      </c>
      <c r="J402" s="118"/>
      <c r="K402" s="34" t="str">
        <f t="shared" si="149"/>
        <v/>
      </c>
      <c r="L402" s="118"/>
      <c r="M402" s="121"/>
      <c r="N402" s="122" t="str">
        <f t="shared" si="150"/>
        <v/>
      </c>
      <c r="O402" s="35" t="str">
        <f t="shared" si="151"/>
        <v/>
      </c>
      <c r="P402" s="124"/>
      <c r="Q402" s="36" t="str">
        <f t="shared" si="163"/>
        <v/>
      </c>
      <c r="R402" s="46" t="str">
        <f t="shared" si="152"/>
        <v/>
      </c>
      <c r="S402" s="38" t="str">
        <f t="shared" si="153"/>
        <v/>
      </c>
      <c r="T402" s="39" t="str">
        <f t="shared" si="154"/>
        <v/>
      </c>
      <c r="U402" s="40" t="str">
        <f t="shared" si="155"/>
        <v/>
      </c>
      <c r="V402" s="39" t="str">
        <f t="shared" si="156"/>
        <v/>
      </c>
      <c r="W402" s="34" t="str">
        <f t="shared" si="157"/>
        <v/>
      </c>
      <c r="X402" s="41" t="str">
        <f t="shared" si="164"/>
        <v/>
      </c>
      <c r="Y402" s="98" t="str">
        <f t="shared" si="158"/>
        <v/>
      </c>
      <c r="Z402" s="16" t="str">
        <f t="shared" si="165"/>
        <v/>
      </c>
      <c r="AB402" s="139"/>
      <c r="AC402" s="146" t="str">
        <f t="shared" si="168"/>
        <v/>
      </c>
      <c r="AD402" s="148" t="str">
        <f t="shared" si="166"/>
        <v/>
      </c>
      <c r="AE402" s="147" t="str">
        <f t="shared" si="159"/>
        <v/>
      </c>
      <c r="AF402" s="111" t="str">
        <f t="shared" si="160"/>
        <v/>
      </c>
      <c r="AG402" s="111" t="str">
        <f t="shared" si="161"/>
        <v/>
      </c>
      <c r="AH402" s="112" t="str">
        <f t="shared" si="162"/>
        <v/>
      </c>
      <c r="AI402" t="str">
        <f t="shared" si="167"/>
        <v/>
      </c>
      <c r="AJ402" t="str">
        <f t="shared" si="169"/>
        <v/>
      </c>
    </row>
    <row r="403" spans="1:36" ht="15" customHeight="1" x14ac:dyDescent="0.25">
      <c r="A403" s="114"/>
      <c r="B403" s="116"/>
      <c r="C403" s="116"/>
      <c r="D403" s="42" t="str">
        <f t="shared" si="146"/>
        <v/>
      </c>
      <c r="E403" s="43"/>
      <c r="F403" s="118"/>
      <c r="G403" s="44" t="str">
        <f t="shared" si="147"/>
        <v/>
      </c>
      <c r="H403" s="118"/>
      <c r="I403" s="34" t="str">
        <f t="shared" si="148"/>
        <v/>
      </c>
      <c r="J403" s="118"/>
      <c r="K403" s="34" t="str">
        <f t="shared" si="149"/>
        <v/>
      </c>
      <c r="L403" s="118"/>
      <c r="M403" s="121"/>
      <c r="N403" s="122" t="str">
        <f t="shared" si="150"/>
        <v/>
      </c>
      <c r="O403" s="35" t="str">
        <f t="shared" si="151"/>
        <v/>
      </c>
      <c r="P403" s="124"/>
      <c r="Q403" s="36" t="str">
        <f t="shared" si="163"/>
        <v/>
      </c>
      <c r="R403" s="46" t="str">
        <f t="shared" si="152"/>
        <v/>
      </c>
      <c r="S403" s="38" t="str">
        <f t="shared" si="153"/>
        <v/>
      </c>
      <c r="T403" s="39" t="str">
        <f t="shared" si="154"/>
        <v/>
      </c>
      <c r="U403" s="40" t="str">
        <f t="shared" si="155"/>
        <v/>
      </c>
      <c r="V403" s="39" t="str">
        <f t="shared" si="156"/>
        <v/>
      </c>
      <c r="W403" s="34" t="str">
        <f t="shared" si="157"/>
        <v/>
      </c>
      <c r="X403" s="41" t="str">
        <f t="shared" si="164"/>
        <v/>
      </c>
      <c r="Y403" s="98" t="str">
        <f t="shared" si="158"/>
        <v/>
      </c>
      <c r="Z403" s="16" t="str">
        <f t="shared" si="165"/>
        <v/>
      </c>
      <c r="AB403" s="139"/>
      <c r="AC403" s="146" t="str">
        <f t="shared" si="168"/>
        <v/>
      </c>
      <c r="AD403" s="148" t="str">
        <f t="shared" si="166"/>
        <v/>
      </c>
      <c r="AE403" s="147" t="str">
        <f t="shared" si="159"/>
        <v/>
      </c>
      <c r="AF403" s="111" t="str">
        <f t="shared" si="160"/>
        <v/>
      </c>
      <c r="AG403" s="111" t="str">
        <f t="shared" si="161"/>
        <v/>
      </c>
      <c r="AH403" s="112" t="str">
        <f t="shared" si="162"/>
        <v/>
      </c>
      <c r="AI403" t="str">
        <f t="shared" si="167"/>
        <v/>
      </c>
      <c r="AJ403" t="str">
        <f t="shared" si="169"/>
        <v/>
      </c>
    </row>
    <row r="404" spans="1:36" ht="15" customHeight="1" x14ac:dyDescent="0.25">
      <c r="A404" s="114"/>
      <c r="B404" s="116"/>
      <c r="C404" s="116"/>
      <c r="D404" s="42" t="str">
        <f t="shared" si="146"/>
        <v/>
      </c>
      <c r="E404" s="43"/>
      <c r="F404" s="118"/>
      <c r="G404" s="44" t="str">
        <f t="shared" si="147"/>
        <v/>
      </c>
      <c r="H404" s="118"/>
      <c r="I404" s="34" t="str">
        <f t="shared" si="148"/>
        <v/>
      </c>
      <c r="J404" s="118"/>
      <c r="K404" s="34" t="str">
        <f t="shared" si="149"/>
        <v/>
      </c>
      <c r="L404" s="118"/>
      <c r="M404" s="121"/>
      <c r="N404" s="122" t="str">
        <f t="shared" si="150"/>
        <v/>
      </c>
      <c r="O404" s="35" t="str">
        <f t="shared" si="151"/>
        <v/>
      </c>
      <c r="P404" s="124"/>
      <c r="Q404" s="36" t="str">
        <f t="shared" si="163"/>
        <v/>
      </c>
      <c r="R404" s="46" t="str">
        <f t="shared" si="152"/>
        <v/>
      </c>
      <c r="S404" s="38" t="str">
        <f t="shared" si="153"/>
        <v/>
      </c>
      <c r="T404" s="39" t="str">
        <f t="shared" si="154"/>
        <v/>
      </c>
      <c r="U404" s="40" t="str">
        <f t="shared" si="155"/>
        <v/>
      </c>
      <c r="V404" s="39" t="str">
        <f t="shared" si="156"/>
        <v/>
      </c>
      <c r="W404" s="34" t="str">
        <f t="shared" si="157"/>
        <v/>
      </c>
      <c r="X404" s="41" t="str">
        <f t="shared" si="164"/>
        <v/>
      </c>
      <c r="Y404" s="98" t="str">
        <f t="shared" si="158"/>
        <v/>
      </c>
      <c r="Z404" s="16" t="str">
        <f t="shared" si="165"/>
        <v/>
      </c>
      <c r="AB404" s="139"/>
      <c r="AC404" s="146" t="str">
        <f t="shared" si="168"/>
        <v/>
      </c>
      <c r="AD404" s="148" t="str">
        <f t="shared" si="166"/>
        <v/>
      </c>
      <c r="AE404" s="147" t="str">
        <f t="shared" si="159"/>
        <v/>
      </c>
      <c r="AF404" s="111" t="str">
        <f t="shared" si="160"/>
        <v/>
      </c>
      <c r="AG404" s="111" t="str">
        <f t="shared" si="161"/>
        <v/>
      </c>
      <c r="AH404" s="112" t="str">
        <f t="shared" si="162"/>
        <v/>
      </c>
      <c r="AI404" t="str">
        <f t="shared" si="167"/>
        <v/>
      </c>
      <c r="AJ404" t="str">
        <f t="shared" si="169"/>
        <v/>
      </c>
    </row>
    <row r="405" spans="1:36" ht="15" customHeight="1" x14ac:dyDescent="0.25">
      <c r="A405" s="114"/>
      <c r="B405" s="116"/>
      <c r="C405" s="116"/>
      <c r="D405" s="42" t="str">
        <f t="shared" si="146"/>
        <v/>
      </c>
      <c r="E405" s="43"/>
      <c r="F405" s="118"/>
      <c r="G405" s="44" t="str">
        <f t="shared" si="147"/>
        <v/>
      </c>
      <c r="H405" s="118"/>
      <c r="I405" s="34" t="str">
        <f t="shared" si="148"/>
        <v/>
      </c>
      <c r="J405" s="118"/>
      <c r="K405" s="34" t="str">
        <f t="shared" si="149"/>
        <v/>
      </c>
      <c r="L405" s="118"/>
      <c r="M405" s="121"/>
      <c r="N405" s="122" t="str">
        <f t="shared" si="150"/>
        <v/>
      </c>
      <c r="O405" s="35" t="str">
        <f t="shared" si="151"/>
        <v/>
      </c>
      <c r="P405" s="124"/>
      <c r="Q405" s="36" t="str">
        <f t="shared" si="163"/>
        <v/>
      </c>
      <c r="R405" s="46" t="str">
        <f t="shared" si="152"/>
        <v/>
      </c>
      <c r="S405" s="38" t="str">
        <f t="shared" si="153"/>
        <v/>
      </c>
      <c r="T405" s="39" t="str">
        <f t="shared" si="154"/>
        <v/>
      </c>
      <c r="U405" s="40" t="str">
        <f t="shared" si="155"/>
        <v/>
      </c>
      <c r="V405" s="39" t="str">
        <f t="shared" si="156"/>
        <v/>
      </c>
      <c r="W405" s="34" t="str">
        <f t="shared" si="157"/>
        <v/>
      </c>
      <c r="X405" s="41" t="str">
        <f t="shared" si="164"/>
        <v/>
      </c>
      <c r="Y405" s="98" t="str">
        <f t="shared" si="158"/>
        <v/>
      </c>
      <c r="Z405" s="16" t="str">
        <f t="shared" si="165"/>
        <v/>
      </c>
      <c r="AB405" s="139"/>
      <c r="AC405" s="146" t="str">
        <f t="shared" si="168"/>
        <v/>
      </c>
      <c r="AD405" s="148" t="str">
        <f t="shared" si="166"/>
        <v/>
      </c>
      <c r="AE405" s="147" t="str">
        <f t="shared" si="159"/>
        <v/>
      </c>
      <c r="AF405" s="111" t="str">
        <f t="shared" si="160"/>
        <v/>
      </c>
      <c r="AG405" s="111" t="str">
        <f t="shared" si="161"/>
        <v/>
      </c>
      <c r="AH405" s="112" t="str">
        <f t="shared" si="162"/>
        <v/>
      </c>
      <c r="AI405" t="str">
        <f t="shared" si="167"/>
        <v/>
      </c>
      <c r="AJ405" t="str">
        <f t="shared" si="169"/>
        <v/>
      </c>
    </row>
    <row r="406" spans="1:36" ht="15" customHeight="1" x14ac:dyDescent="0.25">
      <c r="A406" s="114"/>
      <c r="B406" s="116"/>
      <c r="C406" s="116"/>
      <c r="D406" s="42" t="str">
        <f t="shared" si="146"/>
        <v/>
      </c>
      <c r="E406" s="43"/>
      <c r="F406" s="118"/>
      <c r="G406" s="44" t="str">
        <f t="shared" si="147"/>
        <v/>
      </c>
      <c r="H406" s="118"/>
      <c r="I406" s="34" t="str">
        <f t="shared" si="148"/>
        <v/>
      </c>
      <c r="J406" s="118"/>
      <c r="K406" s="34" t="str">
        <f t="shared" si="149"/>
        <v/>
      </c>
      <c r="L406" s="118"/>
      <c r="M406" s="121"/>
      <c r="N406" s="122" t="str">
        <f t="shared" si="150"/>
        <v/>
      </c>
      <c r="O406" s="35" t="str">
        <f t="shared" si="151"/>
        <v/>
      </c>
      <c r="P406" s="124"/>
      <c r="Q406" s="36" t="str">
        <f t="shared" si="163"/>
        <v/>
      </c>
      <c r="R406" s="46" t="str">
        <f t="shared" si="152"/>
        <v/>
      </c>
      <c r="S406" s="38" t="str">
        <f t="shared" si="153"/>
        <v/>
      </c>
      <c r="T406" s="39" t="str">
        <f t="shared" si="154"/>
        <v/>
      </c>
      <c r="U406" s="40" t="str">
        <f t="shared" si="155"/>
        <v/>
      </c>
      <c r="V406" s="39" t="str">
        <f t="shared" si="156"/>
        <v/>
      </c>
      <c r="W406" s="34" t="str">
        <f t="shared" si="157"/>
        <v/>
      </c>
      <c r="X406" s="41" t="str">
        <f t="shared" si="164"/>
        <v/>
      </c>
      <c r="Y406" s="98" t="str">
        <f t="shared" si="158"/>
        <v/>
      </c>
      <c r="Z406" s="16" t="str">
        <f t="shared" si="165"/>
        <v/>
      </c>
      <c r="AB406" s="139"/>
      <c r="AC406" s="146" t="str">
        <f t="shared" si="168"/>
        <v/>
      </c>
      <c r="AD406" s="148" t="str">
        <f t="shared" si="166"/>
        <v/>
      </c>
      <c r="AE406" s="147" t="str">
        <f t="shared" si="159"/>
        <v/>
      </c>
      <c r="AF406" s="111" t="str">
        <f t="shared" si="160"/>
        <v/>
      </c>
      <c r="AG406" s="111" t="str">
        <f t="shared" si="161"/>
        <v/>
      </c>
      <c r="AH406" s="112" t="str">
        <f t="shared" si="162"/>
        <v/>
      </c>
      <c r="AI406" t="str">
        <f t="shared" si="167"/>
        <v/>
      </c>
      <c r="AJ406" t="str">
        <f t="shared" si="169"/>
        <v/>
      </c>
    </row>
    <row r="407" spans="1:36" ht="15" customHeight="1" x14ac:dyDescent="0.25">
      <c r="A407" s="114"/>
      <c r="B407" s="116"/>
      <c r="C407" s="116"/>
      <c r="D407" s="42" t="str">
        <f t="shared" si="146"/>
        <v/>
      </c>
      <c r="E407" s="43"/>
      <c r="F407" s="118"/>
      <c r="G407" s="44" t="str">
        <f t="shared" si="147"/>
        <v/>
      </c>
      <c r="H407" s="118"/>
      <c r="I407" s="34" t="str">
        <f t="shared" si="148"/>
        <v/>
      </c>
      <c r="J407" s="118"/>
      <c r="K407" s="34" t="str">
        <f t="shared" si="149"/>
        <v/>
      </c>
      <c r="L407" s="118"/>
      <c r="M407" s="121"/>
      <c r="N407" s="122" t="str">
        <f t="shared" si="150"/>
        <v/>
      </c>
      <c r="O407" s="35" t="str">
        <f t="shared" si="151"/>
        <v/>
      </c>
      <c r="P407" s="124"/>
      <c r="Q407" s="36" t="str">
        <f t="shared" si="163"/>
        <v/>
      </c>
      <c r="R407" s="46" t="str">
        <f t="shared" si="152"/>
        <v/>
      </c>
      <c r="S407" s="38" t="str">
        <f t="shared" si="153"/>
        <v/>
      </c>
      <c r="T407" s="39" t="str">
        <f t="shared" si="154"/>
        <v/>
      </c>
      <c r="U407" s="40" t="str">
        <f t="shared" si="155"/>
        <v/>
      </c>
      <c r="V407" s="39" t="str">
        <f t="shared" si="156"/>
        <v/>
      </c>
      <c r="W407" s="34" t="str">
        <f t="shared" si="157"/>
        <v/>
      </c>
      <c r="X407" s="41" t="str">
        <f t="shared" si="164"/>
        <v/>
      </c>
      <c r="Y407" s="98" t="str">
        <f t="shared" si="158"/>
        <v/>
      </c>
      <c r="Z407" s="16" t="str">
        <f t="shared" si="165"/>
        <v/>
      </c>
      <c r="AB407" s="139"/>
      <c r="AC407" s="146" t="str">
        <f t="shared" si="168"/>
        <v/>
      </c>
      <c r="AD407" s="148" t="str">
        <f t="shared" si="166"/>
        <v/>
      </c>
      <c r="AE407" s="147" t="str">
        <f t="shared" si="159"/>
        <v/>
      </c>
      <c r="AF407" s="111" t="str">
        <f t="shared" si="160"/>
        <v/>
      </c>
      <c r="AG407" s="111" t="str">
        <f t="shared" si="161"/>
        <v/>
      </c>
      <c r="AH407" s="112" t="str">
        <f t="shared" si="162"/>
        <v/>
      </c>
      <c r="AI407" t="str">
        <f t="shared" si="167"/>
        <v/>
      </c>
      <c r="AJ407" t="str">
        <f t="shared" si="169"/>
        <v/>
      </c>
    </row>
    <row r="408" spans="1:36" ht="15" customHeight="1" x14ac:dyDescent="0.25">
      <c r="A408" s="114"/>
      <c r="B408" s="116"/>
      <c r="C408" s="116"/>
      <c r="D408" s="42" t="str">
        <f t="shared" si="146"/>
        <v/>
      </c>
      <c r="E408" s="43"/>
      <c r="F408" s="118"/>
      <c r="G408" s="44" t="str">
        <f t="shared" si="147"/>
        <v/>
      </c>
      <c r="H408" s="118"/>
      <c r="I408" s="34" t="str">
        <f t="shared" si="148"/>
        <v/>
      </c>
      <c r="J408" s="118"/>
      <c r="K408" s="34" t="str">
        <f t="shared" si="149"/>
        <v/>
      </c>
      <c r="L408" s="118"/>
      <c r="M408" s="121"/>
      <c r="N408" s="122" t="str">
        <f t="shared" si="150"/>
        <v/>
      </c>
      <c r="O408" s="35" t="str">
        <f t="shared" si="151"/>
        <v/>
      </c>
      <c r="P408" s="124"/>
      <c r="Q408" s="36" t="str">
        <f t="shared" si="163"/>
        <v/>
      </c>
      <c r="R408" s="46" t="str">
        <f t="shared" si="152"/>
        <v/>
      </c>
      <c r="S408" s="38" t="str">
        <f t="shared" si="153"/>
        <v/>
      </c>
      <c r="T408" s="39" t="str">
        <f t="shared" si="154"/>
        <v/>
      </c>
      <c r="U408" s="40" t="str">
        <f t="shared" si="155"/>
        <v/>
      </c>
      <c r="V408" s="39" t="str">
        <f t="shared" si="156"/>
        <v/>
      </c>
      <c r="W408" s="34" t="str">
        <f t="shared" si="157"/>
        <v/>
      </c>
      <c r="X408" s="41" t="str">
        <f t="shared" si="164"/>
        <v/>
      </c>
      <c r="Y408" s="98" t="str">
        <f t="shared" si="158"/>
        <v/>
      </c>
      <c r="Z408" s="16" t="str">
        <f t="shared" si="165"/>
        <v/>
      </c>
      <c r="AB408" s="139"/>
      <c r="AC408" s="146" t="str">
        <f t="shared" si="168"/>
        <v/>
      </c>
      <c r="AD408" s="148" t="str">
        <f t="shared" si="166"/>
        <v/>
      </c>
      <c r="AE408" s="147" t="str">
        <f t="shared" si="159"/>
        <v/>
      </c>
      <c r="AF408" s="111" t="str">
        <f t="shared" si="160"/>
        <v/>
      </c>
      <c r="AG408" s="111" t="str">
        <f t="shared" si="161"/>
        <v/>
      </c>
      <c r="AH408" s="112" t="str">
        <f t="shared" si="162"/>
        <v/>
      </c>
      <c r="AI408" t="str">
        <f t="shared" si="167"/>
        <v/>
      </c>
      <c r="AJ408" t="str">
        <f t="shared" si="169"/>
        <v/>
      </c>
    </row>
    <row r="409" spans="1:36" ht="15" customHeight="1" x14ac:dyDescent="0.25">
      <c r="A409" s="114"/>
      <c r="B409" s="116"/>
      <c r="C409" s="116"/>
      <c r="D409" s="42" t="str">
        <f t="shared" si="146"/>
        <v/>
      </c>
      <c r="E409" s="43"/>
      <c r="F409" s="118"/>
      <c r="G409" s="44" t="str">
        <f t="shared" si="147"/>
        <v/>
      </c>
      <c r="H409" s="118"/>
      <c r="I409" s="34" t="str">
        <f t="shared" si="148"/>
        <v/>
      </c>
      <c r="J409" s="118"/>
      <c r="K409" s="34" t="str">
        <f t="shared" si="149"/>
        <v/>
      </c>
      <c r="L409" s="118"/>
      <c r="M409" s="121"/>
      <c r="N409" s="122" t="str">
        <f t="shared" si="150"/>
        <v/>
      </c>
      <c r="O409" s="35" t="str">
        <f t="shared" si="151"/>
        <v/>
      </c>
      <c r="P409" s="124"/>
      <c r="Q409" s="36" t="str">
        <f t="shared" si="163"/>
        <v/>
      </c>
      <c r="R409" s="46" t="str">
        <f t="shared" si="152"/>
        <v/>
      </c>
      <c r="S409" s="38" t="str">
        <f t="shared" si="153"/>
        <v/>
      </c>
      <c r="T409" s="39" t="str">
        <f t="shared" si="154"/>
        <v/>
      </c>
      <c r="U409" s="40" t="str">
        <f t="shared" si="155"/>
        <v/>
      </c>
      <c r="V409" s="39" t="str">
        <f t="shared" si="156"/>
        <v/>
      </c>
      <c r="W409" s="34" t="str">
        <f t="shared" si="157"/>
        <v/>
      </c>
      <c r="X409" s="41" t="str">
        <f t="shared" si="164"/>
        <v/>
      </c>
      <c r="Y409" s="98" t="str">
        <f t="shared" si="158"/>
        <v/>
      </c>
      <c r="Z409" s="16" t="str">
        <f t="shared" si="165"/>
        <v/>
      </c>
      <c r="AB409" s="139"/>
      <c r="AC409" s="146" t="str">
        <f t="shared" si="168"/>
        <v/>
      </c>
      <c r="AD409" s="148" t="str">
        <f t="shared" si="166"/>
        <v/>
      </c>
      <c r="AE409" s="147" t="str">
        <f t="shared" si="159"/>
        <v/>
      </c>
      <c r="AF409" s="111" t="str">
        <f t="shared" si="160"/>
        <v/>
      </c>
      <c r="AG409" s="111" t="str">
        <f t="shared" si="161"/>
        <v/>
      </c>
      <c r="AH409" s="112" t="str">
        <f t="shared" si="162"/>
        <v/>
      </c>
      <c r="AI409" t="str">
        <f t="shared" si="167"/>
        <v/>
      </c>
      <c r="AJ409" t="str">
        <f t="shared" si="169"/>
        <v/>
      </c>
    </row>
    <row r="410" spans="1:36" ht="15" customHeight="1" x14ac:dyDescent="0.25">
      <c r="A410" s="114"/>
      <c r="B410" s="116"/>
      <c r="C410" s="116"/>
      <c r="D410" s="42" t="str">
        <f t="shared" si="146"/>
        <v/>
      </c>
      <c r="E410" s="43"/>
      <c r="F410" s="118"/>
      <c r="G410" s="44" t="str">
        <f t="shared" si="147"/>
        <v/>
      </c>
      <c r="H410" s="118"/>
      <c r="I410" s="34" t="str">
        <f t="shared" si="148"/>
        <v/>
      </c>
      <c r="J410" s="118"/>
      <c r="K410" s="34" t="str">
        <f t="shared" si="149"/>
        <v/>
      </c>
      <c r="L410" s="118"/>
      <c r="M410" s="121"/>
      <c r="N410" s="122" t="str">
        <f t="shared" si="150"/>
        <v/>
      </c>
      <c r="O410" s="35" t="str">
        <f t="shared" si="151"/>
        <v/>
      </c>
      <c r="P410" s="124"/>
      <c r="Q410" s="36" t="str">
        <f t="shared" si="163"/>
        <v/>
      </c>
      <c r="R410" s="46" t="str">
        <f t="shared" si="152"/>
        <v/>
      </c>
      <c r="S410" s="38" t="str">
        <f t="shared" si="153"/>
        <v/>
      </c>
      <c r="T410" s="39" t="str">
        <f t="shared" si="154"/>
        <v/>
      </c>
      <c r="U410" s="40" t="str">
        <f t="shared" si="155"/>
        <v/>
      </c>
      <c r="V410" s="39" t="str">
        <f t="shared" si="156"/>
        <v/>
      </c>
      <c r="W410" s="34" t="str">
        <f t="shared" si="157"/>
        <v/>
      </c>
      <c r="X410" s="41" t="str">
        <f t="shared" si="164"/>
        <v/>
      </c>
      <c r="Y410" s="98" t="str">
        <f t="shared" si="158"/>
        <v/>
      </c>
      <c r="Z410" s="16" t="str">
        <f t="shared" si="165"/>
        <v/>
      </c>
      <c r="AB410" s="139"/>
      <c r="AC410" s="146" t="str">
        <f t="shared" si="168"/>
        <v/>
      </c>
      <c r="AD410" s="148" t="str">
        <f t="shared" si="166"/>
        <v/>
      </c>
      <c r="AE410" s="147" t="str">
        <f t="shared" si="159"/>
        <v/>
      </c>
      <c r="AF410" s="111" t="str">
        <f t="shared" si="160"/>
        <v/>
      </c>
      <c r="AG410" s="111" t="str">
        <f t="shared" si="161"/>
        <v/>
      </c>
      <c r="AH410" s="112" t="str">
        <f t="shared" si="162"/>
        <v/>
      </c>
      <c r="AI410" t="str">
        <f t="shared" si="167"/>
        <v/>
      </c>
      <c r="AJ410" t="str">
        <f t="shared" si="169"/>
        <v/>
      </c>
    </row>
    <row r="411" spans="1:36" ht="15" customHeight="1" x14ac:dyDescent="0.25">
      <c r="A411" s="114"/>
      <c r="B411" s="116"/>
      <c r="C411" s="116"/>
      <c r="D411" s="42" t="str">
        <f t="shared" si="146"/>
        <v/>
      </c>
      <c r="E411" s="43"/>
      <c r="F411" s="118"/>
      <c r="G411" s="44" t="str">
        <f t="shared" si="147"/>
        <v/>
      </c>
      <c r="H411" s="118"/>
      <c r="I411" s="34" t="str">
        <f t="shared" si="148"/>
        <v/>
      </c>
      <c r="J411" s="118"/>
      <c r="K411" s="34" t="str">
        <f t="shared" si="149"/>
        <v/>
      </c>
      <c r="L411" s="118"/>
      <c r="M411" s="121"/>
      <c r="N411" s="122" t="str">
        <f t="shared" si="150"/>
        <v/>
      </c>
      <c r="O411" s="35" t="str">
        <f t="shared" si="151"/>
        <v/>
      </c>
      <c r="P411" s="124"/>
      <c r="Q411" s="36" t="str">
        <f t="shared" si="163"/>
        <v/>
      </c>
      <c r="R411" s="46" t="str">
        <f t="shared" si="152"/>
        <v/>
      </c>
      <c r="S411" s="38" t="str">
        <f t="shared" si="153"/>
        <v/>
      </c>
      <c r="T411" s="39" t="str">
        <f t="shared" si="154"/>
        <v/>
      </c>
      <c r="U411" s="40" t="str">
        <f t="shared" si="155"/>
        <v/>
      </c>
      <c r="V411" s="39" t="str">
        <f t="shared" si="156"/>
        <v/>
      </c>
      <c r="W411" s="34" t="str">
        <f t="shared" si="157"/>
        <v/>
      </c>
      <c r="X411" s="41" t="str">
        <f t="shared" si="164"/>
        <v/>
      </c>
      <c r="Y411" s="98" t="str">
        <f t="shared" si="158"/>
        <v/>
      </c>
      <c r="Z411" s="16" t="str">
        <f t="shared" si="165"/>
        <v/>
      </c>
      <c r="AB411" s="139"/>
      <c r="AC411" s="146" t="str">
        <f t="shared" si="168"/>
        <v/>
      </c>
      <c r="AD411" s="148" t="str">
        <f t="shared" si="166"/>
        <v/>
      </c>
      <c r="AE411" s="147" t="str">
        <f t="shared" si="159"/>
        <v/>
      </c>
      <c r="AF411" s="111" t="str">
        <f t="shared" si="160"/>
        <v/>
      </c>
      <c r="AG411" s="111" t="str">
        <f t="shared" si="161"/>
        <v/>
      </c>
      <c r="AH411" s="112" t="str">
        <f t="shared" si="162"/>
        <v/>
      </c>
      <c r="AI411" t="str">
        <f t="shared" si="167"/>
        <v/>
      </c>
      <c r="AJ411" t="str">
        <f t="shared" si="169"/>
        <v/>
      </c>
    </row>
    <row r="412" spans="1:36" ht="15" customHeight="1" x14ac:dyDescent="0.25">
      <c r="A412" s="114"/>
      <c r="B412" s="116"/>
      <c r="C412" s="116"/>
      <c r="D412" s="42" t="str">
        <f t="shared" si="146"/>
        <v/>
      </c>
      <c r="E412" s="43"/>
      <c r="F412" s="118"/>
      <c r="G412" s="44" t="str">
        <f t="shared" si="147"/>
        <v/>
      </c>
      <c r="H412" s="118"/>
      <c r="I412" s="34" t="str">
        <f t="shared" si="148"/>
        <v/>
      </c>
      <c r="J412" s="118"/>
      <c r="K412" s="34" t="str">
        <f t="shared" si="149"/>
        <v/>
      </c>
      <c r="L412" s="118"/>
      <c r="M412" s="121"/>
      <c r="N412" s="122" t="str">
        <f t="shared" si="150"/>
        <v/>
      </c>
      <c r="O412" s="35" t="str">
        <f t="shared" si="151"/>
        <v/>
      </c>
      <c r="P412" s="124"/>
      <c r="Q412" s="36" t="str">
        <f t="shared" si="163"/>
        <v/>
      </c>
      <c r="R412" s="46" t="str">
        <f t="shared" si="152"/>
        <v/>
      </c>
      <c r="S412" s="38" t="str">
        <f t="shared" si="153"/>
        <v/>
      </c>
      <c r="T412" s="39" t="str">
        <f t="shared" si="154"/>
        <v/>
      </c>
      <c r="U412" s="40" t="str">
        <f t="shared" si="155"/>
        <v/>
      </c>
      <c r="V412" s="39" t="str">
        <f t="shared" si="156"/>
        <v/>
      </c>
      <c r="W412" s="34" t="str">
        <f t="shared" si="157"/>
        <v/>
      </c>
      <c r="X412" s="41" t="str">
        <f t="shared" si="164"/>
        <v/>
      </c>
      <c r="Y412" s="98" t="str">
        <f t="shared" si="158"/>
        <v/>
      </c>
      <c r="Z412" s="16" t="str">
        <f t="shared" si="165"/>
        <v/>
      </c>
      <c r="AB412" s="139"/>
      <c r="AC412" s="146" t="str">
        <f t="shared" si="168"/>
        <v/>
      </c>
      <c r="AD412" s="148" t="str">
        <f t="shared" si="166"/>
        <v/>
      </c>
      <c r="AE412" s="147" t="str">
        <f t="shared" si="159"/>
        <v/>
      </c>
      <c r="AF412" s="111" t="str">
        <f t="shared" si="160"/>
        <v/>
      </c>
      <c r="AG412" s="111" t="str">
        <f t="shared" si="161"/>
        <v/>
      </c>
      <c r="AH412" s="112" t="str">
        <f t="shared" si="162"/>
        <v/>
      </c>
      <c r="AI412" t="str">
        <f t="shared" si="167"/>
        <v/>
      </c>
      <c r="AJ412" t="str">
        <f t="shared" si="169"/>
        <v/>
      </c>
    </row>
    <row r="413" spans="1:36" ht="15" customHeight="1" x14ac:dyDescent="0.25">
      <c r="A413" s="114"/>
      <c r="B413" s="116"/>
      <c r="C413" s="116"/>
      <c r="D413" s="42" t="str">
        <f t="shared" si="146"/>
        <v/>
      </c>
      <c r="E413" s="43"/>
      <c r="F413" s="118"/>
      <c r="G413" s="44" t="str">
        <f t="shared" si="147"/>
        <v/>
      </c>
      <c r="H413" s="118"/>
      <c r="I413" s="34" t="str">
        <f t="shared" si="148"/>
        <v/>
      </c>
      <c r="J413" s="118"/>
      <c r="K413" s="34" t="str">
        <f t="shared" si="149"/>
        <v/>
      </c>
      <c r="L413" s="118"/>
      <c r="M413" s="121"/>
      <c r="N413" s="122" t="str">
        <f t="shared" si="150"/>
        <v/>
      </c>
      <c r="O413" s="35" t="str">
        <f t="shared" si="151"/>
        <v/>
      </c>
      <c r="P413" s="124"/>
      <c r="Q413" s="36" t="str">
        <f t="shared" si="163"/>
        <v/>
      </c>
      <c r="R413" s="46" t="str">
        <f t="shared" si="152"/>
        <v/>
      </c>
      <c r="S413" s="38" t="str">
        <f t="shared" si="153"/>
        <v/>
      </c>
      <c r="T413" s="39" t="str">
        <f t="shared" si="154"/>
        <v/>
      </c>
      <c r="U413" s="40" t="str">
        <f t="shared" si="155"/>
        <v/>
      </c>
      <c r="V413" s="39" t="str">
        <f t="shared" si="156"/>
        <v/>
      </c>
      <c r="W413" s="34" t="str">
        <f t="shared" si="157"/>
        <v/>
      </c>
      <c r="X413" s="41" t="str">
        <f t="shared" si="164"/>
        <v/>
      </c>
      <c r="Y413" s="98" t="str">
        <f t="shared" si="158"/>
        <v/>
      </c>
      <c r="Z413" s="16" t="str">
        <f t="shared" si="165"/>
        <v/>
      </c>
      <c r="AB413" s="139"/>
      <c r="AC413" s="146" t="str">
        <f t="shared" si="168"/>
        <v/>
      </c>
      <c r="AD413" s="148" t="str">
        <f t="shared" si="166"/>
        <v/>
      </c>
      <c r="AE413" s="147" t="str">
        <f t="shared" si="159"/>
        <v/>
      </c>
      <c r="AF413" s="111" t="str">
        <f t="shared" si="160"/>
        <v/>
      </c>
      <c r="AG413" s="111" t="str">
        <f t="shared" si="161"/>
        <v/>
      </c>
      <c r="AH413" s="112" t="str">
        <f t="shared" si="162"/>
        <v/>
      </c>
      <c r="AI413" t="str">
        <f t="shared" si="167"/>
        <v/>
      </c>
      <c r="AJ413" t="str">
        <f t="shared" si="169"/>
        <v/>
      </c>
    </row>
    <row r="414" spans="1:36" ht="15" customHeight="1" x14ac:dyDescent="0.25">
      <c r="A414" s="114"/>
      <c r="B414" s="116"/>
      <c r="C414" s="116"/>
      <c r="D414" s="42" t="str">
        <f t="shared" si="146"/>
        <v/>
      </c>
      <c r="E414" s="43"/>
      <c r="F414" s="118"/>
      <c r="G414" s="44" t="str">
        <f t="shared" si="147"/>
        <v/>
      </c>
      <c r="H414" s="118"/>
      <c r="I414" s="34" t="str">
        <f t="shared" si="148"/>
        <v/>
      </c>
      <c r="J414" s="118"/>
      <c r="K414" s="34" t="str">
        <f t="shared" si="149"/>
        <v/>
      </c>
      <c r="L414" s="118"/>
      <c r="M414" s="121"/>
      <c r="N414" s="122" t="str">
        <f t="shared" si="150"/>
        <v/>
      </c>
      <c r="O414" s="35" t="str">
        <f t="shared" si="151"/>
        <v/>
      </c>
      <c r="P414" s="124"/>
      <c r="Q414" s="36" t="str">
        <f t="shared" si="163"/>
        <v/>
      </c>
      <c r="R414" s="46" t="str">
        <f t="shared" si="152"/>
        <v/>
      </c>
      <c r="S414" s="38" t="str">
        <f t="shared" si="153"/>
        <v/>
      </c>
      <c r="T414" s="39" t="str">
        <f t="shared" si="154"/>
        <v/>
      </c>
      <c r="U414" s="40" t="str">
        <f t="shared" si="155"/>
        <v/>
      </c>
      <c r="V414" s="39" t="str">
        <f t="shared" si="156"/>
        <v/>
      </c>
      <c r="W414" s="34" t="str">
        <f t="shared" si="157"/>
        <v/>
      </c>
      <c r="X414" s="41" t="str">
        <f t="shared" si="164"/>
        <v/>
      </c>
      <c r="Y414" s="98" t="str">
        <f t="shared" si="158"/>
        <v/>
      </c>
      <c r="Z414" s="16" t="str">
        <f t="shared" si="165"/>
        <v/>
      </c>
      <c r="AB414" s="139"/>
      <c r="AC414" s="146" t="str">
        <f t="shared" si="168"/>
        <v/>
      </c>
      <c r="AD414" s="148" t="str">
        <f t="shared" si="166"/>
        <v/>
      </c>
      <c r="AE414" s="147" t="str">
        <f t="shared" si="159"/>
        <v/>
      </c>
      <c r="AF414" s="111" t="str">
        <f t="shared" si="160"/>
        <v/>
      </c>
      <c r="AG414" s="111" t="str">
        <f t="shared" si="161"/>
        <v/>
      </c>
      <c r="AH414" s="112" t="str">
        <f t="shared" si="162"/>
        <v/>
      </c>
      <c r="AI414" t="str">
        <f t="shared" si="167"/>
        <v/>
      </c>
      <c r="AJ414" t="str">
        <f t="shared" si="169"/>
        <v/>
      </c>
    </row>
    <row r="415" spans="1:36" ht="15" customHeight="1" x14ac:dyDescent="0.25">
      <c r="A415" s="114"/>
      <c r="B415" s="116"/>
      <c r="C415" s="116"/>
      <c r="D415" s="42" t="str">
        <f t="shared" si="146"/>
        <v/>
      </c>
      <c r="E415" s="43"/>
      <c r="F415" s="118"/>
      <c r="G415" s="44" t="str">
        <f t="shared" si="147"/>
        <v/>
      </c>
      <c r="H415" s="118"/>
      <c r="I415" s="34" t="str">
        <f t="shared" si="148"/>
        <v/>
      </c>
      <c r="J415" s="118"/>
      <c r="K415" s="34" t="str">
        <f t="shared" si="149"/>
        <v/>
      </c>
      <c r="L415" s="118"/>
      <c r="M415" s="121"/>
      <c r="N415" s="122" t="str">
        <f t="shared" si="150"/>
        <v/>
      </c>
      <c r="O415" s="35" t="str">
        <f t="shared" si="151"/>
        <v/>
      </c>
      <c r="P415" s="124"/>
      <c r="Q415" s="36" t="str">
        <f t="shared" si="163"/>
        <v/>
      </c>
      <c r="R415" s="46" t="str">
        <f t="shared" si="152"/>
        <v/>
      </c>
      <c r="S415" s="38" t="str">
        <f t="shared" si="153"/>
        <v/>
      </c>
      <c r="T415" s="39" t="str">
        <f t="shared" si="154"/>
        <v/>
      </c>
      <c r="U415" s="40" t="str">
        <f t="shared" si="155"/>
        <v/>
      </c>
      <c r="V415" s="39" t="str">
        <f t="shared" si="156"/>
        <v/>
      </c>
      <c r="W415" s="34" t="str">
        <f t="shared" si="157"/>
        <v/>
      </c>
      <c r="X415" s="41" t="str">
        <f t="shared" si="164"/>
        <v/>
      </c>
      <c r="Y415" s="98" t="str">
        <f t="shared" si="158"/>
        <v/>
      </c>
      <c r="Z415" s="16" t="str">
        <f t="shared" si="165"/>
        <v/>
      </c>
      <c r="AB415" s="139"/>
      <c r="AC415" s="146" t="str">
        <f t="shared" si="168"/>
        <v/>
      </c>
      <c r="AD415" s="148" t="str">
        <f t="shared" si="166"/>
        <v/>
      </c>
      <c r="AE415" s="147" t="str">
        <f t="shared" si="159"/>
        <v/>
      </c>
      <c r="AF415" s="111" t="str">
        <f t="shared" si="160"/>
        <v/>
      </c>
      <c r="AG415" s="111" t="str">
        <f t="shared" si="161"/>
        <v/>
      </c>
      <c r="AH415" s="112" t="str">
        <f t="shared" si="162"/>
        <v/>
      </c>
      <c r="AI415" t="str">
        <f t="shared" si="167"/>
        <v/>
      </c>
      <c r="AJ415" t="str">
        <f t="shared" si="169"/>
        <v/>
      </c>
    </row>
    <row r="416" spans="1:36" ht="15" customHeight="1" x14ac:dyDescent="0.25">
      <c r="A416" s="114"/>
      <c r="B416" s="116"/>
      <c r="C416" s="116"/>
      <c r="D416" s="42" t="str">
        <f t="shared" si="146"/>
        <v/>
      </c>
      <c r="E416" s="43"/>
      <c r="F416" s="118"/>
      <c r="G416" s="44" t="str">
        <f t="shared" si="147"/>
        <v/>
      </c>
      <c r="H416" s="118"/>
      <c r="I416" s="34" t="str">
        <f t="shared" si="148"/>
        <v/>
      </c>
      <c r="J416" s="118"/>
      <c r="K416" s="34" t="str">
        <f t="shared" si="149"/>
        <v/>
      </c>
      <c r="L416" s="118"/>
      <c r="M416" s="121"/>
      <c r="N416" s="122" t="str">
        <f t="shared" si="150"/>
        <v/>
      </c>
      <c r="O416" s="35" t="str">
        <f t="shared" si="151"/>
        <v/>
      </c>
      <c r="P416" s="124"/>
      <c r="Q416" s="36" t="str">
        <f t="shared" si="163"/>
        <v/>
      </c>
      <c r="R416" s="46" t="str">
        <f t="shared" si="152"/>
        <v/>
      </c>
      <c r="S416" s="38" t="str">
        <f t="shared" si="153"/>
        <v/>
      </c>
      <c r="T416" s="39" t="str">
        <f t="shared" si="154"/>
        <v/>
      </c>
      <c r="U416" s="40" t="str">
        <f t="shared" si="155"/>
        <v/>
      </c>
      <c r="V416" s="39" t="str">
        <f t="shared" si="156"/>
        <v/>
      </c>
      <c r="W416" s="34" t="str">
        <f t="shared" si="157"/>
        <v/>
      </c>
      <c r="X416" s="41" t="str">
        <f t="shared" si="164"/>
        <v/>
      </c>
      <c r="Y416" s="98" t="str">
        <f t="shared" si="158"/>
        <v/>
      </c>
      <c r="Z416" s="16" t="str">
        <f t="shared" si="165"/>
        <v/>
      </c>
      <c r="AB416" s="139"/>
      <c r="AC416" s="146" t="str">
        <f t="shared" si="168"/>
        <v/>
      </c>
      <c r="AD416" s="148" t="str">
        <f t="shared" si="166"/>
        <v/>
      </c>
      <c r="AE416" s="147" t="str">
        <f t="shared" si="159"/>
        <v/>
      </c>
      <c r="AF416" s="111" t="str">
        <f t="shared" si="160"/>
        <v/>
      </c>
      <c r="AG416" s="111" t="str">
        <f t="shared" si="161"/>
        <v/>
      </c>
      <c r="AH416" s="112" t="str">
        <f t="shared" si="162"/>
        <v/>
      </c>
      <c r="AI416" t="str">
        <f t="shared" si="167"/>
        <v/>
      </c>
      <c r="AJ416" t="str">
        <f t="shared" si="169"/>
        <v/>
      </c>
    </row>
    <row r="417" spans="1:36" ht="15" customHeight="1" x14ac:dyDescent="0.25">
      <c r="A417" s="114"/>
      <c r="B417" s="116"/>
      <c r="C417" s="116"/>
      <c r="D417" s="42" t="str">
        <f t="shared" si="146"/>
        <v/>
      </c>
      <c r="E417" s="43"/>
      <c r="F417" s="118"/>
      <c r="G417" s="44" t="str">
        <f t="shared" si="147"/>
        <v/>
      </c>
      <c r="H417" s="118"/>
      <c r="I417" s="34" t="str">
        <f t="shared" si="148"/>
        <v/>
      </c>
      <c r="J417" s="118"/>
      <c r="K417" s="34" t="str">
        <f t="shared" si="149"/>
        <v/>
      </c>
      <c r="L417" s="118"/>
      <c r="M417" s="121"/>
      <c r="N417" s="122" t="str">
        <f t="shared" si="150"/>
        <v/>
      </c>
      <c r="O417" s="35" t="str">
        <f t="shared" si="151"/>
        <v/>
      </c>
      <c r="P417" s="124"/>
      <c r="Q417" s="36" t="str">
        <f t="shared" si="163"/>
        <v/>
      </c>
      <c r="R417" s="46" t="str">
        <f t="shared" si="152"/>
        <v/>
      </c>
      <c r="S417" s="38" t="str">
        <f t="shared" si="153"/>
        <v/>
      </c>
      <c r="T417" s="39" t="str">
        <f t="shared" si="154"/>
        <v/>
      </c>
      <c r="U417" s="40" t="str">
        <f t="shared" si="155"/>
        <v/>
      </c>
      <c r="V417" s="39" t="str">
        <f t="shared" si="156"/>
        <v/>
      </c>
      <c r="W417" s="34" t="str">
        <f t="shared" si="157"/>
        <v/>
      </c>
      <c r="X417" s="41" t="str">
        <f t="shared" si="164"/>
        <v/>
      </c>
      <c r="Y417" s="98" t="str">
        <f t="shared" si="158"/>
        <v/>
      </c>
      <c r="Z417" s="16" t="str">
        <f t="shared" si="165"/>
        <v/>
      </c>
      <c r="AB417" s="139"/>
      <c r="AC417" s="146" t="str">
        <f t="shared" si="168"/>
        <v/>
      </c>
      <c r="AD417" s="148" t="str">
        <f t="shared" si="166"/>
        <v/>
      </c>
      <c r="AE417" s="147" t="str">
        <f t="shared" si="159"/>
        <v/>
      </c>
      <c r="AF417" s="111" t="str">
        <f t="shared" si="160"/>
        <v/>
      </c>
      <c r="AG417" s="111" t="str">
        <f t="shared" si="161"/>
        <v/>
      </c>
      <c r="AH417" s="112" t="str">
        <f t="shared" si="162"/>
        <v/>
      </c>
      <c r="AI417" t="str">
        <f t="shared" si="167"/>
        <v/>
      </c>
      <c r="AJ417" t="str">
        <f t="shared" si="169"/>
        <v/>
      </c>
    </row>
    <row r="418" spans="1:36" ht="15" customHeight="1" x14ac:dyDescent="0.25">
      <c r="A418" s="114"/>
      <c r="B418" s="116"/>
      <c r="C418" s="116"/>
      <c r="D418" s="42" t="str">
        <f t="shared" si="146"/>
        <v/>
      </c>
      <c r="E418" s="43"/>
      <c r="F418" s="118"/>
      <c r="G418" s="44" t="str">
        <f t="shared" si="147"/>
        <v/>
      </c>
      <c r="H418" s="118"/>
      <c r="I418" s="34" t="str">
        <f t="shared" si="148"/>
        <v/>
      </c>
      <c r="J418" s="118"/>
      <c r="K418" s="34" t="str">
        <f t="shared" si="149"/>
        <v/>
      </c>
      <c r="L418" s="118"/>
      <c r="M418" s="121"/>
      <c r="N418" s="122" t="str">
        <f t="shared" si="150"/>
        <v/>
      </c>
      <c r="O418" s="35" t="str">
        <f t="shared" si="151"/>
        <v/>
      </c>
      <c r="P418" s="124"/>
      <c r="Q418" s="36" t="str">
        <f t="shared" si="163"/>
        <v/>
      </c>
      <c r="R418" s="46" t="str">
        <f t="shared" si="152"/>
        <v/>
      </c>
      <c r="S418" s="38" t="str">
        <f t="shared" si="153"/>
        <v/>
      </c>
      <c r="T418" s="39" t="str">
        <f t="shared" si="154"/>
        <v/>
      </c>
      <c r="U418" s="40" t="str">
        <f t="shared" si="155"/>
        <v/>
      </c>
      <c r="V418" s="39" t="str">
        <f t="shared" si="156"/>
        <v/>
      </c>
      <c r="W418" s="34" t="str">
        <f t="shared" si="157"/>
        <v/>
      </c>
      <c r="X418" s="41" t="str">
        <f t="shared" si="164"/>
        <v/>
      </c>
      <c r="Y418" s="98" t="str">
        <f t="shared" si="158"/>
        <v/>
      </c>
      <c r="Z418" s="16" t="str">
        <f t="shared" si="165"/>
        <v/>
      </c>
      <c r="AB418" s="139"/>
      <c r="AC418" s="146" t="str">
        <f t="shared" si="168"/>
        <v/>
      </c>
      <c r="AD418" s="148" t="str">
        <f t="shared" si="166"/>
        <v/>
      </c>
      <c r="AE418" s="147" t="str">
        <f t="shared" si="159"/>
        <v/>
      </c>
      <c r="AF418" s="111" t="str">
        <f t="shared" si="160"/>
        <v/>
      </c>
      <c r="AG418" s="111" t="str">
        <f t="shared" si="161"/>
        <v/>
      </c>
      <c r="AH418" s="112" t="str">
        <f t="shared" si="162"/>
        <v/>
      </c>
      <c r="AI418" t="str">
        <f t="shared" si="167"/>
        <v/>
      </c>
      <c r="AJ418" t="str">
        <f t="shared" si="169"/>
        <v/>
      </c>
    </row>
    <row r="419" spans="1:36" ht="15" customHeight="1" x14ac:dyDescent="0.25">
      <c r="A419" s="114"/>
      <c r="B419" s="116"/>
      <c r="C419" s="116"/>
      <c r="D419" s="42" t="str">
        <f t="shared" si="146"/>
        <v/>
      </c>
      <c r="E419" s="43"/>
      <c r="F419" s="118"/>
      <c r="G419" s="44" t="str">
        <f t="shared" si="147"/>
        <v/>
      </c>
      <c r="H419" s="118"/>
      <c r="I419" s="34" t="str">
        <f t="shared" si="148"/>
        <v/>
      </c>
      <c r="J419" s="118"/>
      <c r="K419" s="34" t="str">
        <f t="shared" si="149"/>
        <v/>
      </c>
      <c r="L419" s="118"/>
      <c r="M419" s="121"/>
      <c r="N419" s="122" t="str">
        <f t="shared" si="150"/>
        <v/>
      </c>
      <c r="O419" s="35" t="str">
        <f t="shared" si="151"/>
        <v/>
      </c>
      <c r="P419" s="124"/>
      <c r="Q419" s="36" t="str">
        <f t="shared" si="163"/>
        <v/>
      </c>
      <c r="R419" s="46" t="str">
        <f t="shared" si="152"/>
        <v/>
      </c>
      <c r="S419" s="38" t="str">
        <f t="shared" si="153"/>
        <v/>
      </c>
      <c r="T419" s="39" t="str">
        <f t="shared" si="154"/>
        <v/>
      </c>
      <c r="U419" s="40" t="str">
        <f t="shared" si="155"/>
        <v/>
      </c>
      <c r="V419" s="39" t="str">
        <f t="shared" si="156"/>
        <v/>
      </c>
      <c r="W419" s="34" t="str">
        <f t="shared" si="157"/>
        <v/>
      </c>
      <c r="X419" s="41" t="str">
        <f t="shared" si="164"/>
        <v/>
      </c>
      <c r="Y419" s="98" t="str">
        <f t="shared" si="158"/>
        <v/>
      </c>
      <c r="Z419" s="16" t="str">
        <f t="shared" si="165"/>
        <v/>
      </c>
      <c r="AB419" s="139"/>
      <c r="AC419" s="146" t="str">
        <f t="shared" si="168"/>
        <v/>
      </c>
      <c r="AD419" s="148" t="str">
        <f t="shared" si="166"/>
        <v/>
      </c>
      <c r="AE419" s="147" t="str">
        <f t="shared" si="159"/>
        <v/>
      </c>
      <c r="AF419" s="111" t="str">
        <f t="shared" si="160"/>
        <v/>
      </c>
      <c r="AG419" s="111" t="str">
        <f t="shared" si="161"/>
        <v/>
      </c>
      <c r="AH419" s="112" t="str">
        <f t="shared" si="162"/>
        <v/>
      </c>
      <c r="AI419" t="str">
        <f t="shared" si="167"/>
        <v/>
      </c>
      <c r="AJ419" t="str">
        <f t="shared" si="169"/>
        <v/>
      </c>
    </row>
    <row r="420" spans="1:36" ht="15" customHeight="1" x14ac:dyDescent="0.25">
      <c r="A420" s="114"/>
      <c r="B420" s="116"/>
      <c r="C420" s="116"/>
      <c r="D420" s="42" t="str">
        <f t="shared" si="146"/>
        <v/>
      </c>
      <c r="E420" s="43"/>
      <c r="F420" s="118"/>
      <c r="G420" s="44" t="str">
        <f t="shared" si="147"/>
        <v/>
      </c>
      <c r="H420" s="118"/>
      <c r="I420" s="34" t="str">
        <f t="shared" si="148"/>
        <v/>
      </c>
      <c r="J420" s="118"/>
      <c r="K420" s="34" t="str">
        <f t="shared" si="149"/>
        <v/>
      </c>
      <c r="L420" s="118"/>
      <c r="M420" s="121"/>
      <c r="N420" s="122" t="str">
        <f t="shared" si="150"/>
        <v/>
      </c>
      <c r="O420" s="35" t="str">
        <f t="shared" si="151"/>
        <v/>
      </c>
      <c r="P420" s="124"/>
      <c r="Q420" s="36" t="str">
        <f t="shared" si="163"/>
        <v/>
      </c>
      <c r="R420" s="46" t="str">
        <f t="shared" si="152"/>
        <v/>
      </c>
      <c r="S420" s="38" t="str">
        <f t="shared" si="153"/>
        <v/>
      </c>
      <c r="T420" s="39" t="str">
        <f t="shared" si="154"/>
        <v/>
      </c>
      <c r="U420" s="40" t="str">
        <f t="shared" si="155"/>
        <v/>
      </c>
      <c r="V420" s="39" t="str">
        <f t="shared" si="156"/>
        <v/>
      </c>
      <c r="W420" s="34" t="str">
        <f t="shared" si="157"/>
        <v/>
      </c>
      <c r="X420" s="41" t="str">
        <f t="shared" si="164"/>
        <v/>
      </c>
      <c r="Y420" s="98" t="str">
        <f t="shared" si="158"/>
        <v/>
      </c>
      <c r="Z420" s="16" t="str">
        <f t="shared" si="165"/>
        <v/>
      </c>
      <c r="AB420" s="139"/>
      <c r="AC420" s="146" t="str">
        <f t="shared" si="168"/>
        <v/>
      </c>
      <c r="AD420" s="148" t="str">
        <f t="shared" si="166"/>
        <v/>
      </c>
      <c r="AE420" s="147" t="str">
        <f t="shared" si="159"/>
        <v/>
      </c>
      <c r="AF420" s="111" t="str">
        <f t="shared" si="160"/>
        <v/>
      </c>
      <c r="AG420" s="111" t="str">
        <f t="shared" si="161"/>
        <v/>
      </c>
      <c r="AH420" s="112" t="str">
        <f t="shared" si="162"/>
        <v/>
      </c>
      <c r="AI420" t="str">
        <f t="shared" si="167"/>
        <v/>
      </c>
      <c r="AJ420" t="str">
        <f t="shared" si="169"/>
        <v/>
      </c>
    </row>
    <row r="421" spans="1:36" ht="15" customHeight="1" x14ac:dyDescent="0.25">
      <c r="A421" s="114"/>
      <c r="B421" s="116"/>
      <c r="C421" s="116"/>
      <c r="D421" s="42" t="str">
        <f t="shared" si="146"/>
        <v/>
      </c>
      <c r="E421" s="43"/>
      <c r="F421" s="118"/>
      <c r="G421" s="44" t="str">
        <f t="shared" si="147"/>
        <v/>
      </c>
      <c r="H421" s="118"/>
      <c r="I421" s="34" t="str">
        <f t="shared" si="148"/>
        <v/>
      </c>
      <c r="J421" s="118"/>
      <c r="K421" s="34" t="str">
        <f t="shared" si="149"/>
        <v/>
      </c>
      <c r="L421" s="118"/>
      <c r="M421" s="121"/>
      <c r="N421" s="122" t="str">
        <f t="shared" si="150"/>
        <v/>
      </c>
      <c r="O421" s="35" t="str">
        <f t="shared" si="151"/>
        <v/>
      </c>
      <c r="P421" s="124"/>
      <c r="Q421" s="36" t="str">
        <f t="shared" si="163"/>
        <v/>
      </c>
      <c r="R421" s="46" t="str">
        <f t="shared" si="152"/>
        <v/>
      </c>
      <c r="S421" s="38" t="str">
        <f t="shared" si="153"/>
        <v/>
      </c>
      <c r="T421" s="39" t="str">
        <f t="shared" si="154"/>
        <v/>
      </c>
      <c r="U421" s="40" t="str">
        <f t="shared" si="155"/>
        <v/>
      </c>
      <c r="V421" s="39" t="str">
        <f t="shared" si="156"/>
        <v/>
      </c>
      <c r="W421" s="34" t="str">
        <f t="shared" si="157"/>
        <v/>
      </c>
      <c r="X421" s="41" t="str">
        <f t="shared" si="164"/>
        <v/>
      </c>
      <c r="Y421" s="98" t="str">
        <f t="shared" si="158"/>
        <v/>
      </c>
      <c r="Z421" s="16" t="str">
        <f t="shared" si="165"/>
        <v/>
      </c>
      <c r="AB421" s="139"/>
      <c r="AC421" s="146" t="str">
        <f t="shared" si="168"/>
        <v/>
      </c>
      <c r="AD421" s="148" t="str">
        <f t="shared" si="166"/>
        <v/>
      </c>
      <c r="AE421" s="147" t="str">
        <f t="shared" si="159"/>
        <v/>
      </c>
      <c r="AF421" s="111" t="str">
        <f t="shared" si="160"/>
        <v/>
      </c>
      <c r="AG421" s="111" t="str">
        <f t="shared" si="161"/>
        <v/>
      </c>
      <c r="AH421" s="112" t="str">
        <f t="shared" si="162"/>
        <v/>
      </c>
      <c r="AI421" t="str">
        <f t="shared" si="167"/>
        <v/>
      </c>
      <c r="AJ421" t="str">
        <f t="shared" si="169"/>
        <v/>
      </c>
    </row>
    <row r="422" spans="1:36" ht="15" customHeight="1" x14ac:dyDescent="0.25">
      <c r="A422" s="114"/>
      <c r="B422" s="116"/>
      <c r="C422" s="116"/>
      <c r="D422" s="42" t="str">
        <f t="shared" si="146"/>
        <v/>
      </c>
      <c r="E422" s="43"/>
      <c r="F422" s="118"/>
      <c r="G422" s="44" t="str">
        <f t="shared" si="147"/>
        <v/>
      </c>
      <c r="H422" s="118"/>
      <c r="I422" s="34" t="str">
        <f t="shared" si="148"/>
        <v/>
      </c>
      <c r="J422" s="118"/>
      <c r="K422" s="34" t="str">
        <f t="shared" si="149"/>
        <v/>
      </c>
      <c r="L422" s="118"/>
      <c r="M422" s="121"/>
      <c r="N422" s="122" t="str">
        <f t="shared" si="150"/>
        <v/>
      </c>
      <c r="O422" s="35" t="str">
        <f t="shared" si="151"/>
        <v/>
      </c>
      <c r="P422" s="124"/>
      <c r="Q422" s="36" t="str">
        <f t="shared" si="163"/>
        <v/>
      </c>
      <c r="R422" s="46" t="str">
        <f t="shared" si="152"/>
        <v/>
      </c>
      <c r="S422" s="38" t="str">
        <f t="shared" si="153"/>
        <v/>
      </c>
      <c r="T422" s="39" t="str">
        <f t="shared" si="154"/>
        <v/>
      </c>
      <c r="U422" s="40" t="str">
        <f t="shared" si="155"/>
        <v/>
      </c>
      <c r="V422" s="39" t="str">
        <f t="shared" si="156"/>
        <v/>
      </c>
      <c r="W422" s="34" t="str">
        <f t="shared" si="157"/>
        <v/>
      </c>
      <c r="X422" s="41" t="str">
        <f t="shared" si="164"/>
        <v/>
      </c>
      <c r="Y422" s="98" t="str">
        <f t="shared" si="158"/>
        <v/>
      </c>
      <c r="Z422" s="16" t="str">
        <f t="shared" si="165"/>
        <v/>
      </c>
      <c r="AB422" s="139"/>
      <c r="AC422" s="146" t="str">
        <f t="shared" si="168"/>
        <v/>
      </c>
      <c r="AD422" s="148" t="str">
        <f t="shared" si="166"/>
        <v/>
      </c>
      <c r="AE422" s="147" t="str">
        <f t="shared" si="159"/>
        <v/>
      </c>
      <c r="AF422" s="111" t="str">
        <f t="shared" si="160"/>
        <v/>
      </c>
      <c r="AG422" s="111" t="str">
        <f t="shared" si="161"/>
        <v/>
      </c>
      <c r="AH422" s="112" t="str">
        <f t="shared" si="162"/>
        <v/>
      </c>
      <c r="AI422" t="str">
        <f t="shared" si="167"/>
        <v/>
      </c>
      <c r="AJ422" t="str">
        <f t="shared" si="169"/>
        <v/>
      </c>
    </row>
    <row r="423" spans="1:36" ht="15" customHeight="1" x14ac:dyDescent="0.25">
      <c r="A423" s="114"/>
      <c r="B423" s="116"/>
      <c r="C423" s="116"/>
      <c r="D423" s="42" t="str">
        <f t="shared" si="146"/>
        <v/>
      </c>
      <c r="E423" s="43"/>
      <c r="F423" s="118"/>
      <c r="G423" s="44" t="str">
        <f t="shared" si="147"/>
        <v/>
      </c>
      <c r="H423" s="118"/>
      <c r="I423" s="34" t="str">
        <f t="shared" si="148"/>
        <v/>
      </c>
      <c r="J423" s="118"/>
      <c r="K423" s="34" t="str">
        <f t="shared" si="149"/>
        <v/>
      </c>
      <c r="L423" s="118"/>
      <c r="M423" s="121"/>
      <c r="N423" s="122" t="str">
        <f t="shared" si="150"/>
        <v/>
      </c>
      <c r="O423" s="35" t="str">
        <f t="shared" si="151"/>
        <v/>
      </c>
      <c r="P423" s="124"/>
      <c r="Q423" s="36" t="str">
        <f t="shared" si="163"/>
        <v/>
      </c>
      <c r="R423" s="46" t="str">
        <f t="shared" si="152"/>
        <v/>
      </c>
      <c r="S423" s="38" t="str">
        <f t="shared" si="153"/>
        <v/>
      </c>
      <c r="T423" s="39" t="str">
        <f t="shared" si="154"/>
        <v/>
      </c>
      <c r="U423" s="40" t="str">
        <f t="shared" si="155"/>
        <v/>
      </c>
      <c r="V423" s="39" t="str">
        <f t="shared" si="156"/>
        <v/>
      </c>
      <c r="W423" s="34" t="str">
        <f t="shared" si="157"/>
        <v/>
      </c>
      <c r="X423" s="41" t="str">
        <f t="shared" si="164"/>
        <v/>
      </c>
      <c r="Y423" s="98" t="str">
        <f t="shared" si="158"/>
        <v/>
      </c>
      <c r="Z423" s="16" t="str">
        <f t="shared" si="165"/>
        <v/>
      </c>
      <c r="AB423" s="139"/>
      <c r="AC423" s="146" t="str">
        <f t="shared" si="168"/>
        <v/>
      </c>
      <c r="AD423" s="148" t="str">
        <f t="shared" si="166"/>
        <v/>
      </c>
      <c r="AE423" s="147" t="str">
        <f t="shared" si="159"/>
        <v/>
      </c>
      <c r="AF423" s="111" t="str">
        <f t="shared" si="160"/>
        <v/>
      </c>
      <c r="AG423" s="111" t="str">
        <f t="shared" si="161"/>
        <v/>
      </c>
      <c r="AH423" s="112" t="str">
        <f t="shared" si="162"/>
        <v/>
      </c>
      <c r="AI423" t="str">
        <f t="shared" si="167"/>
        <v/>
      </c>
      <c r="AJ423" t="str">
        <f t="shared" si="169"/>
        <v/>
      </c>
    </row>
    <row r="424" spans="1:36" ht="15" customHeight="1" x14ac:dyDescent="0.25">
      <c r="A424" s="114"/>
      <c r="B424" s="116"/>
      <c r="C424" s="116"/>
      <c r="D424" s="42" t="str">
        <f t="shared" si="146"/>
        <v/>
      </c>
      <c r="E424" s="43"/>
      <c r="F424" s="118"/>
      <c r="G424" s="44" t="str">
        <f t="shared" si="147"/>
        <v/>
      </c>
      <c r="H424" s="118"/>
      <c r="I424" s="34" t="str">
        <f t="shared" si="148"/>
        <v/>
      </c>
      <c r="J424" s="118"/>
      <c r="K424" s="34" t="str">
        <f t="shared" si="149"/>
        <v/>
      </c>
      <c r="L424" s="118"/>
      <c r="M424" s="121"/>
      <c r="N424" s="122" t="str">
        <f t="shared" si="150"/>
        <v/>
      </c>
      <c r="O424" s="35" t="str">
        <f t="shared" si="151"/>
        <v/>
      </c>
      <c r="P424" s="124"/>
      <c r="Q424" s="36" t="str">
        <f t="shared" si="163"/>
        <v/>
      </c>
      <c r="R424" s="46" t="str">
        <f t="shared" si="152"/>
        <v/>
      </c>
      <c r="S424" s="38" t="str">
        <f t="shared" si="153"/>
        <v/>
      </c>
      <c r="T424" s="39" t="str">
        <f t="shared" si="154"/>
        <v/>
      </c>
      <c r="U424" s="40" t="str">
        <f t="shared" si="155"/>
        <v/>
      </c>
      <c r="V424" s="39" t="str">
        <f t="shared" si="156"/>
        <v/>
      </c>
      <c r="W424" s="34" t="str">
        <f t="shared" si="157"/>
        <v/>
      </c>
      <c r="X424" s="41" t="str">
        <f t="shared" si="164"/>
        <v/>
      </c>
      <c r="Y424" s="98" t="str">
        <f t="shared" si="158"/>
        <v/>
      </c>
      <c r="Z424" s="16" t="str">
        <f t="shared" si="165"/>
        <v/>
      </c>
      <c r="AB424" s="139"/>
      <c r="AC424" s="146" t="str">
        <f t="shared" si="168"/>
        <v/>
      </c>
      <c r="AD424" s="148" t="str">
        <f t="shared" si="166"/>
        <v/>
      </c>
      <c r="AE424" s="147" t="str">
        <f t="shared" si="159"/>
        <v/>
      </c>
      <c r="AF424" s="111" t="str">
        <f t="shared" si="160"/>
        <v/>
      </c>
      <c r="AG424" s="111" t="str">
        <f t="shared" si="161"/>
        <v/>
      </c>
      <c r="AH424" s="112" t="str">
        <f t="shared" si="162"/>
        <v/>
      </c>
      <c r="AI424" t="str">
        <f t="shared" si="167"/>
        <v/>
      </c>
      <c r="AJ424" t="str">
        <f t="shared" si="169"/>
        <v/>
      </c>
    </row>
    <row r="425" spans="1:36" ht="15" customHeight="1" x14ac:dyDescent="0.25">
      <c r="A425" s="114"/>
      <c r="B425" s="116"/>
      <c r="C425" s="116"/>
      <c r="D425" s="42" t="str">
        <f t="shared" si="146"/>
        <v/>
      </c>
      <c r="E425" s="43"/>
      <c r="F425" s="118"/>
      <c r="G425" s="44" t="str">
        <f t="shared" si="147"/>
        <v/>
      </c>
      <c r="H425" s="118"/>
      <c r="I425" s="34" t="str">
        <f t="shared" si="148"/>
        <v/>
      </c>
      <c r="J425" s="118"/>
      <c r="K425" s="34" t="str">
        <f t="shared" si="149"/>
        <v/>
      </c>
      <c r="L425" s="118"/>
      <c r="M425" s="121"/>
      <c r="N425" s="122" t="str">
        <f t="shared" si="150"/>
        <v/>
      </c>
      <c r="O425" s="35" t="str">
        <f t="shared" si="151"/>
        <v/>
      </c>
      <c r="P425" s="124"/>
      <c r="Q425" s="36" t="str">
        <f t="shared" si="163"/>
        <v/>
      </c>
      <c r="R425" s="46" t="str">
        <f t="shared" si="152"/>
        <v/>
      </c>
      <c r="S425" s="38" t="str">
        <f t="shared" si="153"/>
        <v/>
      </c>
      <c r="T425" s="39" t="str">
        <f t="shared" si="154"/>
        <v/>
      </c>
      <c r="U425" s="40" t="str">
        <f t="shared" si="155"/>
        <v/>
      </c>
      <c r="V425" s="39" t="str">
        <f t="shared" si="156"/>
        <v/>
      </c>
      <c r="W425" s="34" t="str">
        <f t="shared" si="157"/>
        <v/>
      </c>
      <c r="X425" s="41" t="str">
        <f t="shared" si="164"/>
        <v/>
      </c>
      <c r="Y425" s="98" t="str">
        <f t="shared" si="158"/>
        <v/>
      </c>
      <c r="Z425" s="16" t="str">
        <f t="shared" si="165"/>
        <v/>
      </c>
      <c r="AB425" s="139"/>
      <c r="AC425" s="146" t="str">
        <f t="shared" si="168"/>
        <v/>
      </c>
      <c r="AD425" s="148" t="str">
        <f t="shared" si="166"/>
        <v/>
      </c>
      <c r="AE425" s="147" t="str">
        <f t="shared" si="159"/>
        <v/>
      </c>
      <c r="AF425" s="111" t="str">
        <f t="shared" si="160"/>
        <v/>
      </c>
      <c r="AG425" s="111" t="str">
        <f t="shared" si="161"/>
        <v/>
      </c>
      <c r="AH425" s="112" t="str">
        <f t="shared" si="162"/>
        <v/>
      </c>
      <c r="AI425" t="str">
        <f t="shared" si="167"/>
        <v/>
      </c>
      <c r="AJ425" t="str">
        <f t="shared" si="169"/>
        <v/>
      </c>
    </row>
    <row r="426" spans="1:36" ht="15" customHeight="1" x14ac:dyDescent="0.25">
      <c r="A426" s="114"/>
      <c r="B426" s="116"/>
      <c r="C426" s="116"/>
      <c r="D426" s="42" t="str">
        <f t="shared" si="146"/>
        <v/>
      </c>
      <c r="E426" s="43"/>
      <c r="F426" s="118"/>
      <c r="G426" s="44" t="str">
        <f t="shared" si="147"/>
        <v/>
      </c>
      <c r="H426" s="118"/>
      <c r="I426" s="34" t="str">
        <f t="shared" si="148"/>
        <v/>
      </c>
      <c r="J426" s="118"/>
      <c r="K426" s="34" t="str">
        <f t="shared" si="149"/>
        <v/>
      </c>
      <c r="L426" s="118"/>
      <c r="M426" s="121"/>
      <c r="N426" s="122" t="str">
        <f t="shared" si="150"/>
        <v/>
      </c>
      <c r="O426" s="35" t="str">
        <f t="shared" si="151"/>
        <v/>
      </c>
      <c r="P426" s="124"/>
      <c r="Q426" s="36" t="str">
        <f t="shared" si="163"/>
        <v/>
      </c>
      <c r="R426" s="46" t="str">
        <f t="shared" si="152"/>
        <v/>
      </c>
      <c r="S426" s="38" t="str">
        <f t="shared" si="153"/>
        <v/>
      </c>
      <c r="T426" s="39" t="str">
        <f t="shared" si="154"/>
        <v/>
      </c>
      <c r="U426" s="40" t="str">
        <f t="shared" si="155"/>
        <v/>
      </c>
      <c r="V426" s="39" t="str">
        <f t="shared" si="156"/>
        <v/>
      </c>
      <c r="W426" s="34" t="str">
        <f t="shared" si="157"/>
        <v/>
      </c>
      <c r="X426" s="41" t="str">
        <f t="shared" si="164"/>
        <v/>
      </c>
      <c r="Y426" s="98" t="str">
        <f t="shared" si="158"/>
        <v/>
      </c>
      <c r="Z426" s="16" t="str">
        <f t="shared" si="165"/>
        <v/>
      </c>
      <c r="AB426" s="139"/>
      <c r="AC426" s="146" t="str">
        <f t="shared" si="168"/>
        <v/>
      </c>
      <c r="AD426" s="148" t="str">
        <f t="shared" si="166"/>
        <v/>
      </c>
      <c r="AE426" s="147" t="str">
        <f t="shared" si="159"/>
        <v/>
      </c>
      <c r="AF426" s="111" t="str">
        <f t="shared" si="160"/>
        <v/>
      </c>
      <c r="AG426" s="111" t="str">
        <f t="shared" si="161"/>
        <v/>
      </c>
      <c r="AH426" s="112" t="str">
        <f t="shared" si="162"/>
        <v/>
      </c>
      <c r="AI426" t="str">
        <f t="shared" si="167"/>
        <v/>
      </c>
      <c r="AJ426" t="str">
        <f t="shared" si="169"/>
        <v/>
      </c>
    </row>
    <row r="427" spans="1:36" ht="15" customHeight="1" x14ac:dyDescent="0.25">
      <c r="A427" s="114"/>
      <c r="B427" s="116"/>
      <c r="C427" s="116"/>
      <c r="D427" s="42" t="str">
        <f t="shared" si="146"/>
        <v/>
      </c>
      <c r="E427" s="43"/>
      <c r="F427" s="118"/>
      <c r="G427" s="44" t="str">
        <f t="shared" si="147"/>
        <v/>
      </c>
      <c r="H427" s="118"/>
      <c r="I427" s="34" t="str">
        <f t="shared" si="148"/>
        <v/>
      </c>
      <c r="J427" s="118"/>
      <c r="K427" s="34" t="str">
        <f t="shared" si="149"/>
        <v/>
      </c>
      <c r="L427" s="118"/>
      <c r="M427" s="121"/>
      <c r="N427" s="122" t="str">
        <f t="shared" si="150"/>
        <v/>
      </c>
      <c r="O427" s="35" t="str">
        <f t="shared" si="151"/>
        <v/>
      </c>
      <c r="P427" s="124"/>
      <c r="Q427" s="36" t="str">
        <f t="shared" si="163"/>
        <v/>
      </c>
      <c r="R427" s="46" t="str">
        <f t="shared" si="152"/>
        <v/>
      </c>
      <c r="S427" s="38" t="str">
        <f t="shared" si="153"/>
        <v/>
      </c>
      <c r="T427" s="39" t="str">
        <f t="shared" si="154"/>
        <v/>
      </c>
      <c r="U427" s="40" t="str">
        <f t="shared" si="155"/>
        <v/>
      </c>
      <c r="V427" s="39" t="str">
        <f t="shared" si="156"/>
        <v/>
      </c>
      <c r="W427" s="34" t="str">
        <f t="shared" si="157"/>
        <v/>
      </c>
      <c r="X427" s="41" t="str">
        <f t="shared" si="164"/>
        <v/>
      </c>
      <c r="Y427" s="98" t="str">
        <f t="shared" si="158"/>
        <v/>
      </c>
      <c r="Z427" s="16" t="str">
        <f t="shared" si="165"/>
        <v/>
      </c>
      <c r="AB427" s="139"/>
      <c r="AC427" s="146" t="str">
        <f t="shared" si="168"/>
        <v/>
      </c>
      <c r="AD427" s="148" t="str">
        <f t="shared" si="166"/>
        <v/>
      </c>
      <c r="AE427" s="147" t="str">
        <f t="shared" si="159"/>
        <v/>
      </c>
      <c r="AF427" s="111" t="str">
        <f t="shared" si="160"/>
        <v/>
      </c>
      <c r="AG427" s="111" t="str">
        <f t="shared" si="161"/>
        <v/>
      </c>
      <c r="AH427" s="112" t="str">
        <f t="shared" si="162"/>
        <v/>
      </c>
      <c r="AI427" t="str">
        <f t="shared" si="167"/>
        <v/>
      </c>
      <c r="AJ427" t="str">
        <f t="shared" si="169"/>
        <v/>
      </c>
    </row>
    <row r="428" spans="1:36" ht="15" customHeight="1" x14ac:dyDescent="0.25">
      <c r="A428" s="114"/>
      <c r="B428" s="116"/>
      <c r="C428" s="116"/>
      <c r="D428" s="42" t="str">
        <f t="shared" si="146"/>
        <v/>
      </c>
      <c r="E428" s="43"/>
      <c r="F428" s="118"/>
      <c r="G428" s="44" t="str">
        <f t="shared" si="147"/>
        <v/>
      </c>
      <c r="H428" s="118"/>
      <c r="I428" s="34" t="str">
        <f t="shared" si="148"/>
        <v/>
      </c>
      <c r="J428" s="118"/>
      <c r="K428" s="34" t="str">
        <f t="shared" si="149"/>
        <v/>
      </c>
      <c r="L428" s="118"/>
      <c r="M428" s="121"/>
      <c r="N428" s="122" t="str">
        <f t="shared" si="150"/>
        <v/>
      </c>
      <c r="O428" s="35" t="str">
        <f t="shared" si="151"/>
        <v/>
      </c>
      <c r="P428" s="124"/>
      <c r="Q428" s="36" t="str">
        <f t="shared" si="163"/>
        <v/>
      </c>
      <c r="R428" s="46" t="str">
        <f t="shared" si="152"/>
        <v/>
      </c>
      <c r="S428" s="38" t="str">
        <f t="shared" si="153"/>
        <v/>
      </c>
      <c r="T428" s="39" t="str">
        <f t="shared" si="154"/>
        <v/>
      </c>
      <c r="U428" s="40" t="str">
        <f t="shared" si="155"/>
        <v/>
      </c>
      <c r="V428" s="39" t="str">
        <f t="shared" si="156"/>
        <v/>
      </c>
      <c r="W428" s="34" t="str">
        <f t="shared" si="157"/>
        <v/>
      </c>
      <c r="X428" s="41" t="str">
        <f t="shared" si="164"/>
        <v/>
      </c>
      <c r="Y428" s="98" t="str">
        <f t="shared" si="158"/>
        <v/>
      </c>
      <c r="Z428" s="16" t="str">
        <f t="shared" si="165"/>
        <v/>
      </c>
      <c r="AB428" s="139"/>
      <c r="AC428" s="146" t="str">
        <f t="shared" si="168"/>
        <v/>
      </c>
      <c r="AD428" s="148" t="str">
        <f t="shared" si="166"/>
        <v/>
      </c>
      <c r="AE428" s="147" t="str">
        <f t="shared" si="159"/>
        <v/>
      </c>
      <c r="AF428" s="111" t="str">
        <f t="shared" si="160"/>
        <v/>
      </c>
      <c r="AG428" s="111" t="str">
        <f t="shared" si="161"/>
        <v/>
      </c>
      <c r="AH428" s="112" t="str">
        <f t="shared" si="162"/>
        <v/>
      </c>
      <c r="AI428" t="str">
        <f t="shared" si="167"/>
        <v/>
      </c>
      <c r="AJ428" t="str">
        <f t="shared" si="169"/>
        <v/>
      </c>
    </row>
    <row r="429" spans="1:36" ht="15" customHeight="1" x14ac:dyDescent="0.25">
      <c r="A429" s="114"/>
      <c r="B429" s="116"/>
      <c r="C429" s="116"/>
      <c r="D429" s="42" t="str">
        <f t="shared" si="146"/>
        <v/>
      </c>
      <c r="E429" s="43"/>
      <c r="F429" s="118"/>
      <c r="G429" s="44" t="str">
        <f t="shared" si="147"/>
        <v/>
      </c>
      <c r="H429" s="118"/>
      <c r="I429" s="34" t="str">
        <f t="shared" si="148"/>
        <v/>
      </c>
      <c r="J429" s="118"/>
      <c r="K429" s="34" t="str">
        <f t="shared" si="149"/>
        <v/>
      </c>
      <c r="L429" s="118"/>
      <c r="M429" s="121"/>
      <c r="N429" s="122" t="str">
        <f t="shared" si="150"/>
        <v/>
      </c>
      <c r="O429" s="35" t="str">
        <f t="shared" si="151"/>
        <v/>
      </c>
      <c r="P429" s="124"/>
      <c r="Q429" s="36" t="str">
        <f t="shared" si="163"/>
        <v/>
      </c>
      <c r="R429" s="46" t="str">
        <f t="shared" si="152"/>
        <v/>
      </c>
      <c r="S429" s="38" t="str">
        <f t="shared" si="153"/>
        <v/>
      </c>
      <c r="T429" s="39" t="str">
        <f t="shared" si="154"/>
        <v/>
      </c>
      <c r="U429" s="40" t="str">
        <f t="shared" si="155"/>
        <v/>
      </c>
      <c r="V429" s="39" t="str">
        <f t="shared" si="156"/>
        <v/>
      </c>
      <c r="W429" s="34" t="str">
        <f t="shared" si="157"/>
        <v/>
      </c>
      <c r="X429" s="41" t="str">
        <f t="shared" si="164"/>
        <v/>
      </c>
      <c r="Y429" s="98" t="str">
        <f t="shared" si="158"/>
        <v/>
      </c>
      <c r="Z429" s="16" t="str">
        <f t="shared" si="165"/>
        <v/>
      </c>
      <c r="AB429" s="139"/>
      <c r="AC429" s="146" t="str">
        <f t="shared" si="168"/>
        <v/>
      </c>
      <c r="AD429" s="148" t="str">
        <f t="shared" si="166"/>
        <v/>
      </c>
      <c r="AE429" s="147" t="str">
        <f t="shared" si="159"/>
        <v/>
      </c>
      <c r="AF429" s="111" t="str">
        <f t="shared" si="160"/>
        <v/>
      </c>
      <c r="AG429" s="111" t="str">
        <f t="shared" si="161"/>
        <v/>
      </c>
      <c r="AH429" s="112" t="str">
        <f t="shared" si="162"/>
        <v/>
      </c>
      <c r="AI429" t="str">
        <f t="shared" si="167"/>
        <v/>
      </c>
      <c r="AJ429" t="str">
        <f t="shared" si="169"/>
        <v/>
      </c>
    </row>
    <row r="430" spans="1:36" ht="15" customHeight="1" x14ac:dyDescent="0.25">
      <c r="A430" s="114"/>
      <c r="B430" s="116"/>
      <c r="C430" s="116"/>
      <c r="D430" s="42" t="str">
        <f t="shared" si="146"/>
        <v/>
      </c>
      <c r="E430" s="43"/>
      <c r="F430" s="118"/>
      <c r="G430" s="44" t="str">
        <f t="shared" si="147"/>
        <v/>
      </c>
      <c r="H430" s="118"/>
      <c r="I430" s="34" t="str">
        <f t="shared" si="148"/>
        <v/>
      </c>
      <c r="J430" s="118"/>
      <c r="K430" s="34" t="str">
        <f t="shared" si="149"/>
        <v/>
      </c>
      <c r="L430" s="118"/>
      <c r="M430" s="121"/>
      <c r="N430" s="122" t="str">
        <f t="shared" si="150"/>
        <v/>
      </c>
      <c r="O430" s="35" t="str">
        <f t="shared" si="151"/>
        <v/>
      </c>
      <c r="P430" s="124"/>
      <c r="Q430" s="36" t="str">
        <f t="shared" si="163"/>
        <v/>
      </c>
      <c r="R430" s="46" t="str">
        <f t="shared" si="152"/>
        <v/>
      </c>
      <c r="S430" s="38" t="str">
        <f t="shared" si="153"/>
        <v/>
      </c>
      <c r="T430" s="39" t="str">
        <f t="shared" si="154"/>
        <v/>
      </c>
      <c r="U430" s="40" t="str">
        <f t="shared" si="155"/>
        <v/>
      </c>
      <c r="V430" s="39" t="str">
        <f t="shared" si="156"/>
        <v/>
      </c>
      <c r="W430" s="34" t="str">
        <f t="shared" si="157"/>
        <v/>
      </c>
      <c r="X430" s="41" t="str">
        <f t="shared" si="164"/>
        <v/>
      </c>
      <c r="Y430" s="98" t="str">
        <f t="shared" si="158"/>
        <v/>
      </c>
      <c r="Z430" s="16" t="str">
        <f t="shared" si="165"/>
        <v/>
      </c>
      <c r="AB430" s="139"/>
      <c r="AC430" s="146" t="str">
        <f t="shared" si="168"/>
        <v/>
      </c>
      <c r="AD430" s="148" t="str">
        <f t="shared" si="166"/>
        <v/>
      </c>
      <c r="AE430" s="147" t="str">
        <f t="shared" si="159"/>
        <v/>
      </c>
      <c r="AF430" s="111" t="str">
        <f t="shared" si="160"/>
        <v/>
      </c>
      <c r="AG430" s="111" t="str">
        <f t="shared" si="161"/>
        <v/>
      </c>
      <c r="AH430" s="112" t="str">
        <f t="shared" si="162"/>
        <v/>
      </c>
      <c r="AI430" t="str">
        <f t="shared" si="167"/>
        <v/>
      </c>
      <c r="AJ430" t="str">
        <f t="shared" si="169"/>
        <v/>
      </c>
    </row>
    <row r="431" spans="1:36" ht="15" customHeight="1" x14ac:dyDescent="0.25">
      <c r="A431" s="114"/>
      <c r="B431" s="116"/>
      <c r="C431" s="116"/>
      <c r="D431" s="42" t="str">
        <f t="shared" si="146"/>
        <v/>
      </c>
      <c r="E431" s="43"/>
      <c r="F431" s="118"/>
      <c r="G431" s="44" t="str">
        <f t="shared" si="147"/>
        <v/>
      </c>
      <c r="H431" s="118"/>
      <c r="I431" s="34" t="str">
        <f t="shared" si="148"/>
        <v/>
      </c>
      <c r="J431" s="118"/>
      <c r="K431" s="34" t="str">
        <f t="shared" si="149"/>
        <v/>
      </c>
      <c r="L431" s="118"/>
      <c r="M431" s="121"/>
      <c r="N431" s="122" t="str">
        <f t="shared" si="150"/>
        <v/>
      </c>
      <c r="O431" s="35" t="str">
        <f t="shared" si="151"/>
        <v/>
      </c>
      <c r="P431" s="124"/>
      <c r="Q431" s="36" t="str">
        <f t="shared" si="163"/>
        <v/>
      </c>
      <c r="R431" s="46" t="str">
        <f t="shared" si="152"/>
        <v/>
      </c>
      <c r="S431" s="38" t="str">
        <f t="shared" si="153"/>
        <v/>
      </c>
      <c r="T431" s="39" t="str">
        <f t="shared" si="154"/>
        <v/>
      </c>
      <c r="U431" s="40" t="str">
        <f t="shared" si="155"/>
        <v/>
      </c>
      <c r="V431" s="39" t="str">
        <f t="shared" si="156"/>
        <v/>
      </c>
      <c r="W431" s="34" t="str">
        <f t="shared" si="157"/>
        <v/>
      </c>
      <c r="X431" s="41" t="str">
        <f t="shared" si="164"/>
        <v/>
      </c>
      <c r="Y431" s="98" t="str">
        <f t="shared" si="158"/>
        <v/>
      </c>
      <c r="Z431" s="16" t="str">
        <f t="shared" si="165"/>
        <v/>
      </c>
      <c r="AB431" s="139"/>
      <c r="AC431" s="146" t="str">
        <f t="shared" si="168"/>
        <v/>
      </c>
      <c r="AD431" s="148" t="str">
        <f t="shared" si="166"/>
        <v/>
      </c>
      <c r="AE431" s="147" t="str">
        <f t="shared" si="159"/>
        <v/>
      </c>
      <c r="AF431" s="111" t="str">
        <f t="shared" si="160"/>
        <v/>
      </c>
      <c r="AG431" s="111" t="str">
        <f t="shared" si="161"/>
        <v/>
      </c>
      <c r="AH431" s="112" t="str">
        <f t="shared" si="162"/>
        <v/>
      </c>
      <c r="AI431" t="str">
        <f t="shared" si="167"/>
        <v/>
      </c>
      <c r="AJ431" t="str">
        <f t="shared" si="169"/>
        <v/>
      </c>
    </row>
    <row r="432" spans="1:36" ht="15" customHeight="1" x14ac:dyDescent="0.25">
      <c r="A432" s="114"/>
      <c r="B432" s="116"/>
      <c r="C432" s="116"/>
      <c r="D432" s="42" t="str">
        <f t="shared" si="146"/>
        <v/>
      </c>
      <c r="E432" s="43"/>
      <c r="F432" s="118"/>
      <c r="G432" s="44" t="str">
        <f t="shared" si="147"/>
        <v/>
      </c>
      <c r="H432" s="118"/>
      <c r="I432" s="34" t="str">
        <f t="shared" si="148"/>
        <v/>
      </c>
      <c r="J432" s="118"/>
      <c r="K432" s="34" t="str">
        <f t="shared" si="149"/>
        <v/>
      </c>
      <c r="L432" s="118"/>
      <c r="M432" s="121"/>
      <c r="N432" s="122" t="str">
        <f t="shared" si="150"/>
        <v/>
      </c>
      <c r="O432" s="35" t="str">
        <f t="shared" si="151"/>
        <v/>
      </c>
      <c r="P432" s="124"/>
      <c r="Q432" s="36" t="str">
        <f t="shared" si="163"/>
        <v/>
      </c>
      <c r="R432" s="46" t="str">
        <f t="shared" si="152"/>
        <v/>
      </c>
      <c r="S432" s="38" t="str">
        <f t="shared" si="153"/>
        <v/>
      </c>
      <c r="T432" s="39" t="str">
        <f t="shared" si="154"/>
        <v/>
      </c>
      <c r="U432" s="40" t="str">
        <f t="shared" si="155"/>
        <v/>
      </c>
      <c r="V432" s="39" t="str">
        <f t="shared" si="156"/>
        <v/>
      </c>
      <c r="W432" s="34" t="str">
        <f t="shared" si="157"/>
        <v/>
      </c>
      <c r="X432" s="41" t="str">
        <f t="shared" si="164"/>
        <v/>
      </c>
      <c r="Y432" s="98" t="str">
        <f t="shared" si="158"/>
        <v/>
      </c>
      <c r="Z432" s="16" t="str">
        <f t="shared" si="165"/>
        <v/>
      </c>
      <c r="AB432" s="139"/>
      <c r="AC432" s="146" t="str">
        <f t="shared" si="168"/>
        <v/>
      </c>
      <c r="AD432" s="148" t="str">
        <f t="shared" si="166"/>
        <v/>
      </c>
      <c r="AE432" s="147" t="str">
        <f t="shared" si="159"/>
        <v/>
      </c>
      <c r="AF432" s="111" t="str">
        <f t="shared" si="160"/>
        <v/>
      </c>
      <c r="AG432" s="111" t="str">
        <f t="shared" si="161"/>
        <v/>
      </c>
      <c r="AH432" s="112" t="str">
        <f t="shared" si="162"/>
        <v/>
      </c>
      <c r="AI432" t="str">
        <f t="shared" si="167"/>
        <v/>
      </c>
      <c r="AJ432" t="str">
        <f t="shared" si="169"/>
        <v/>
      </c>
    </row>
    <row r="433" spans="1:36" ht="15" customHeight="1" x14ac:dyDescent="0.25">
      <c r="A433" s="114"/>
      <c r="B433" s="116"/>
      <c r="C433" s="116"/>
      <c r="D433" s="42" t="str">
        <f t="shared" si="146"/>
        <v/>
      </c>
      <c r="E433" s="43"/>
      <c r="F433" s="118"/>
      <c r="G433" s="44" t="str">
        <f t="shared" si="147"/>
        <v/>
      </c>
      <c r="H433" s="118"/>
      <c r="I433" s="34" t="str">
        <f t="shared" si="148"/>
        <v/>
      </c>
      <c r="J433" s="118"/>
      <c r="K433" s="34" t="str">
        <f t="shared" si="149"/>
        <v/>
      </c>
      <c r="L433" s="118"/>
      <c r="M433" s="121"/>
      <c r="N433" s="122" t="str">
        <f t="shared" si="150"/>
        <v/>
      </c>
      <c r="O433" s="35" t="str">
        <f t="shared" si="151"/>
        <v/>
      </c>
      <c r="P433" s="124"/>
      <c r="Q433" s="36" t="str">
        <f t="shared" si="163"/>
        <v/>
      </c>
      <c r="R433" s="46" t="str">
        <f t="shared" si="152"/>
        <v/>
      </c>
      <c r="S433" s="38" t="str">
        <f t="shared" si="153"/>
        <v/>
      </c>
      <c r="T433" s="39" t="str">
        <f t="shared" si="154"/>
        <v/>
      </c>
      <c r="U433" s="40" t="str">
        <f t="shared" si="155"/>
        <v/>
      </c>
      <c r="V433" s="39" t="str">
        <f t="shared" si="156"/>
        <v/>
      </c>
      <c r="W433" s="34" t="str">
        <f t="shared" si="157"/>
        <v/>
      </c>
      <c r="X433" s="41" t="str">
        <f t="shared" si="164"/>
        <v/>
      </c>
      <c r="Y433" s="98" t="str">
        <f t="shared" si="158"/>
        <v/>
      </c>
      <c r="Z433" s="16" t="str">
        <f t="shared" si="165"/>
        <v/>
      </c>
      <c r="AB433" s="139"/>
      <c r="AC433" s="146" t="str">
        <f t="shared" si="168"/>
        <v/>
      </c>
      <c r="AD433" s="148" t="str">
        <f t="shared" si="166"/>
        <v/>
      </c>
      <c r="AE433" s="147" t="str">
        <f t="shared" si="159"/>
        <v/>
      </c>
      <c r="AF433" s="111" t="str">
        <f t="shared" si="160"/>
        <v/>
      </c>
      <c r="AG433" s="111" t="str">
        <f t="shared" si="161"/>
        <v/>
      </c>
      <c r="AH433" s="112" t="str">
        <f t="shared" si="162"/>
        <v/>
      </c>
      <c r="AI433" t="str">
        <f t="shared" si="167"/>
        <v/>
      </c>
      <c r="AJ433" t="str">
        <f t="shared" si="169"/>
        <v/>
      </c>
    </row>
    <row r="434" spans="1:36" ht="15" customHeight="1" x14ac:dyDescent="0.25">
      <c r="A434" s="114"/>
      <c r="B434" s="116"/>
      <c r="C434" s="116"/>
      <c r="D434" s="42" t="str">
        <f t="shared" si="146"/>
        <v/>
      </c>
      <c r="E434" s="43"/>
      <c r="F434" s="118"/>
      <c r="G434" s="44" t="str">
        <f t="shared" si="147"/>
        <v/>
      </c>
      <c r="H434" s="118"/>
      <c r="I434" s="34" t="str">
        <f t="shared" si="148"/>
        <v/>
      </c>
      <c r="J434" s="118"/>
      <c r="K434" s="34" t="str">
        <f t="shared" si="149"/>
        <v/>
      </c>
      <c r="L434" s="118"/>
      <c r="M434" s="121"/>
      <c r="N434" s="122" t="str">
        <f t="shared" si="150"/>
        <v/>
      </c>
      <c r="O434" s="35" t="str">
        <f t="shared" si="151"/>
        <v/>
      </c>
      <c r="P434" s="124"/>
      <c r="Q434" s="36" t="str">
        <f t="shared" si="163"/>
        <v/>
      </c>
      <c r="R434" s="46" t="str">
        <f t="shared" si="152"/>
        <v/>
      </c>
      <c r="S434" s="38" t="str">
        <f t="shared" si="153"/>
        <v/>
      </c>
      <c r="T434" s="39" t="str">
        <f t="shared" si="154"/>
        <v/>
      </c>
      <c r="U434" s="40" t="str">
        <f t="shared" si="155"/>
        <v/>
      </c>
      <c r="V434" s="39" t="str">
        <f t="shared" si="156"/>
        <v/>
      </c>
      <c r="W434" s="34" t="str">
        <f t="shared" si="157"/>
        <v/>
      </c>
      <c r="X434" s="41" t="str">
        <f t="shared" si="164"/>
        <v/>
      </c>
      <c r="Y434" s="98" t="str">
        <f t="shared" si="158"/>
        <v/>
      </c>
      <c r="Z434" s="16" t="str">
        <f t="shared" si="165"/>
        <v/>
      </c>
      <c r="AB434" s="139"/>
      <c r="AC434" s="146" t="str">
        <f t="shared" si="168"/>
        <v/>
      </c>
      <c r="AD434" s="148" t="str">
        <f t="shared" si="166"/>
        <v/>
      </c>
      <c r="AE434" s="147" t="str">
        <f t="shared" si="159"/>
        <v/>
      </c>
      <c r="AF434" s="111" t="str">
        <f t="shared" si="160"/>
        <v/>
      </c>
      <c r="AG434" s="111" t="str">
        <f t="shared" si="161"/>
        <v/>
      </c>
      <c r="AH434" s="112" t="str">
        <f t="shared" si="162"/>
        <v/>
      </c>
      <c r="AI434" t="str">
        <f t="shared" si="167"/>
        <v/>
      </c>
      <c r="AJ434" t="str">
        <f t="shared" si="169"/>
        <v/>
      </c>
    </row>
    <row r="435" spans="1:36" ht="15" customHeight="1" x14ac:dyDescent="0.25">
      <c r="A435" s="114"/>
      <c r="B435" s="116"/>
      <c r="C435" s="116"/>
      <c r="D435" s="42" t="str">
        <f t="shared" si="146"/>
        <v/>
      </c>
      <c r="E435" s="43"/>
      <c r="F435" s="118"/>
      <c r="G435" s="44" t="str">
        <f t="shared" si="147"/>
        <v/>
      </c>
      <c r="H435" s="118"/>
      <c r="I435" s="34" t="str">
        <f t="shared" si="148"/>
        <v/>
      </c>
      <c r="J435" s="118"/>
      <c r="K435" s="34" t="str">
        <f t="shared" si="149"/>
        <v/>
      </c>
      <c r="L435" s="118"/>
      <c r="M435" s="121"/>
      <c r="N435" s="122" t="str">
        <f t="shared" si="150"/>
        <v/>
      </c>
      <c r="O435" s="35" t="str">
        <f t="shared" si="151"/>
        <v/>
      </c>
      <c r="P435" s="124"/>
      <c r="Q435" s="36" t="str">
        <f t="shared" si="163"/>
        <v/>
      </c>
      <c r="R435" s="46" t="str">
        <f t="shared" si="152"/>
        <v/>
      </c>
      <c r="S435" s="38" t="str">
        <f t="shared" si="153"/>
        <v/>
      </c>
      <c r="T435" s="39" t="str">
        <f t="shared" si="154"/>
        <v/>
      </c>
      <c r="U435" s="40" t="str">
        <f t="shared" si="155"/>
        <v/>
      </c>
      <c r="V435" s="39" t="str">
        <f t="shared" si="156"/>
        <v/>
      </c>
      <c r="W435" s="34" t="str">
        <f t="shared" si="157"/>
        <v/>
      </c>
      <c r="X435" s="41" t="str">
        <f t="shared" si="164"/>
        <v/>
      </c>
      <c r="Y435" s="98" t="str">
        <f t="shared" si="158"/>
        <v/>
      </c>
      <c r="Z435" s="16" t="str">
        <f t="shared" si="165"/>
        <v/>
      </c>
      <c r="AB435" s="139"/>
      <c r="AC435" s="146" t="str">
        <f t="shared" si="168"/>
        <v/>
      </c>
      <c r="AD435" s="148" t="str">
        <f t="shared" si="166"/>
        <v/>
      </c>
      <c r="AE435" s="147" t="str">
        <f t="shared" si="159"/>
        <v/>
      </c>
      <c r="AF435" s="111" t="str">
        <f t="shared" si="160"/>
        <v/>
      </c>
      <c r="AG435" s="111" t="str">
        <f t="shared" si="161"/>
        <v/>
      </c>
      <c r="AH435" s="112" t="str">
        <f t="shared" si="162"/>
        <v/>
      </c>
      <c r="AI435" t="str">
        <f t="shared" si="167"/>
        <v/>
      </c>
      <c r="AJ435" t="str">
        <f t="shared" si="169"/>
        <v/>
      </c>
    </row>
    <row r="436" spans="1:36" ht="15" customHeight="1" x14ac:dyDescent="0.25">
      <c r="A436" s="114"/>
      <c r="B436" s="116"/>
      <c r="C436" s="116"/>
      <c r="D436" s="42" t="str">
        <f t="shared" si="146"/>
        <v/>
      </c>
      <c r="E436" s="43"/>
      <c r="F436" s="118"/>
      <c r="G436" s="44" t="str">
        <f t="shared" si="147"/>
        <v/>
      </c>
      <c r="H436" s="118"/>
      <c r="I436" s="34" t="str">
        <f t="shared" si="148"/>
        <v/>
      </c>
      <c r="J436" s="118"/>
      <c r="K436" s="34" t="str">
        <f t="shared" si="149"/>
        <v/>
      </c>
      <c r="L436" s="118"/>
      <c r="M436" s="121"/>
      <c r="N436" s="122" t="str">
        <f t="shared" si="150"/>
        <v/>
      </c>
      <c r="O436" s="35" t="str">
        <f t="shared" si="151"/>
        <v/>
      </c>
      <c r="P436" s="124"/>
      <c r="Q436" s="36" t="str">
        <f t="shared" si="163"/>
        <v/>
      </c>
      <c r="R436" s="46" t="str">
        <f t="shared" si="152"/>
        <v/>
      </c>
      <c r="S436" s="38" t="str">
        <f t="shared" si="153"/>
        <v/>
      </c>
      <c r="T436" s="39" t="str">
        <f t="shared" si="154"/>
        <v/>
      </c>
      <c r="U436" s="40" t="str">
        <f t="shared" si="155"/>
        <v/>
      </c>
      <c r="V436" s="39" t="str">
        <f t="shared" si="156"/>
        <v/>
      </c>
      <c r="W436" s="34" t="str">
        <f t="shared" si="157"/>
        <v/>
      </c>
      <c r="X436" s="41" t="str">
        <f t="shared" si="164"/>
        <v/>
      </c>
      <c r="Y436" s="98" t="str">
        <f t="shared" si="158"/>
        <v/>
      </c>
      <c r="Z436" s="16" t="str">
        <f t="shared" si="165"/>
        <v/>
      </c>
      <c r="AB436" s="139"/>
      <c r="AC436" s="146" t="str">
        <f t="shared" si="168"/>
        <v/>
      </c>
      <c r="AD436" s="148" t="str">
        <f t="shared" si="166"/>
        <v/>
      </c>
      <c r="AE436" s="147" t="str">
        <f t="shared" si="159"/>
        <v/>
      </c>
      <c r="AF436" s="111" t="str">
        <f t="shared" si="160"/>
        <v/>
      </c>
      <c r="AG436" s="111" t="str">
        <f t="shared" si="161"/>
        <v/>
      </c>
      <c r="AH436" s="112" t="str">
        <f t="shared" si="162"/>
        <v/>
      </c>
      <c r="AI436" t="str">
        <f t="shared" si="167"/>
        <v/>
      </c>
      <c r="AJ436" t="str">
        <f t="shared" si="169"/>
        <v/>
      </c>
    </row>
    <row r="437" spans="1:36" ht="15" customHeight="1" x14ac:dyDescent="0.25">
      <c r="A437" s="114"/>
      <c r="B437" s="116"/>
      <c r="C437" s="116"/>
      <c r="D437" s="42" t="str">
        <f t="shared" si="146"/>
        <v/>
      </c>
      <c r="E437" s="43"/>
      <c r="F437" s="118"/>
      <c r="G437" s="44" t="str">
        <f t="shared" si="147"/>
        <v/>
      </c>
      <c r="H437" s="118"/>
      <c r="I437" s="34" t="str">
        <f t="shared" si="148"/>
        <v/>
      </c>
      <c r="J437" s="118"/>
      <c r="K437" s="34" t="str">
        <f t="shared" si="149"/>
        <v/>
      </c>
      <c r="L437" s="118"/>
      <c r="M437" s="121"/>
      <c r="N437" s="122" t="str">
        <f t="shared" si="150"/>
        <v/>
      </c>
      <c r="O437" s="35" t="str">
        <f t="shared" si="151"/>
        <v/>
      </c>
      <c r="P437" s="124"/>
      <c r="Q437" s="36" t="str">
        <f t="shared" si="163"/>
        <v/>
      </c>
      <c r="R437" s="46" t="str">
        <f t="shared" si="152"/>
        <v/>
      </c>
      <c r="S437" s="38" t="str">
        <f t="shared" si="153"/>
        <v/>
      </c>
      <c r="T437" s="39" t="str">
        <f t="shared" si="154"/>
        <v/>
      </c>
      <c r="U437" s="40" t="str">
        <f t="shared" si="155"/>
        <v/>
      </c>
      <c r="V437" s="39" t="str">
        <f t="shared" si="156"/>
        <v/>
      </c>
      <c r="W437" s="34" t="str">
        <f t="shared" si="157"/>
        <v/>
      </c>
      <c r="X437" s="41" t="str">
        <f t="shared" si="164"/>
        <v/>
      </c>
      <c r="Y437" s="98" t="str">
        <f t="shared" si="158"/>
        <v/>
      </c>
      <c r="Z437" s="16" t="str">
        <f t="shared" si="165"/>
        <v/>
      </c>
      <c r="AB437" s="139"/>
      <c r="AC437" s="146" t="str">
        <f t="shared" si="168"/>
        <v/>
      </c>
      <c r="AD437" s="148" t="str">
        <f t="shared" si="166"/>
        <v/>
      </c>
      <c r="AE437" s="147" t="str">
        <f t="shared" si="159"/>
        <v/>
      </c>
      <c r="AF437" s="111" t="str">
        <f t="shared" si="160"/>
        <v/>
      </c>
      <c r="AG437" s="111" t="str">
        <f t="shared" si="161"/>
        <v/>
      </c>
      <c r="AH437" s="112" t="str">
        <f t="shared" si="162"/>
        <v/>
      </c>
      <c r="AI437" t="str">
        <f t="shared" si="167"/>
        <v/>
      </c>
      <c r="AJ437" t="str">
        <f t="shared" si="169"/>
        <v/>
      </c>
    </row>
    <row r="438" spans="1:36" ht="15" customHeight="1" x14ac:dyDescent="0.25">
      <c r="A438" s="114"/>
      <c r="B438" s="116"/>
      <c r="C438" s="116"/>
      <c r="D438" s="42" t="str">
        <f t="shared" si="146"/>
        <v/>
      </c>
      <c r="E438" s="43"/>
      <c r="F438" s="118"/>
      <c r="G438" s="44" t="str">
        <f t="shared" si="147"/>
        <v/>
      </c>
      <c r="H438" s="118"/>
      <c r="I438" s="34" t="str">
        <f t="shared" si="148"/>
        <v/>
      </c>
      <c r="J438" s="118"/>
      <c r="K438" s="34" t="str">
        <f t="shared" si="149"/>
        <v/>
      </c>
      <c r="L438" s="118"/>
      <c r="M438" s="121"/>
      <c r="N438" s="122" t="str">
        <f t="shared" si="150"/>
        <v/>
      </c>
      <c r="O438" s="35" t="str">
        <f t="shared" si="151"/>
        <v/>
      </c>
      <c r="P438" s="124"/>
      <c r="Q438" s="36" t="str">
        <f t="shared" si="163"/>
        <v/>
      </c>
      <c r="R438" s="46" t="str">
        <f t="shared" si="152"/>
        <v/>
      </c>
      <c r="S438" s="38" t="str">
        <f t="shared" si="153"/>
        <v/>
      </c>
      <c r="T438" s="39" t="str">
        <f t="shared" si="154"/>
        <v/>
      </c>
      <c r="U438" s="40" t="str">
        <f t="shared" si="155"/>
        <v/>
      </c>
      <c r="V438" s="39" t="str">
        <f t="shared" si="156"/>
        <v/>
      </c>
      <c r="W438" s="34" t="str">
        <f t="shared" si="157"/>
        <v/>
      </c>
      <c r="X438" s="41" t="str">
        <f t="shared" si="164"/>
        <v/>
      </c>
      <c r="Y438" s="98" t="str">
        <f t="shared" si="158"/>
        <v/>
      </c>
      <c r="Z438" s="16" t="str">
        <f t="shared" si="165"/>
        <v/>
      </c>
      <c r="AB438" s="139"/>
      <c r="AC438" s="146" t="str">
        <f t="shared" si="168"/>
        <v/>
      </c>
      <c r="AD438" s="148" t="str">
        <f t="shared" si="166"/>
        <v/>
      </c>
      <c r="AE438" s="147" t="str">
        <f t="shared" si="159"/>
        <v/>
      </c>
      <c r="AF438" s="111" t="str">
        <f t="shared" si="160"/>
        <v/>
      </c>
      <c r="AG438" s="111" t="str">
        <f t="shared" si="161"/>
        <v/>
      </c>
      <c r="AH438" s="112" t="str">
        <f t="shared" si="162"/>
        <v/>
      </c>
      <c r="AI438" t="str">
        <f t="shared" si="167"/>
        <v/>
      </c>
      <c r="AJ438" t="str">
        <f t="shared" si="169"/>
        <v/>
      </c>
    </row>
    <row r="439" spans="1:36" ht="15" customHeight="1" x14ac:dyDescent="0.25">
      <c r="A439" s="114"/>
      <c r="B439" s="116"/>
      <c r="C439" s="116"/>
      <c r="D439" s="42" t="str">
        <f t="shared" si="146"/>
        <v/>
      </c>
      <c r="E439" s="43"/>
      <c r="F439" s="118"/>
      <c r="G439" s="44" t="str">
        <f t="shared" si="147"/>
        <v/>
      </c>
      <c r="H439" s="118"/>
      <c r="I439" s="34" t="str">
        <f t="shared" si="148"/>
        <v/>
      </c>
      <c r="J439" s="118"/>
      <c r="K439" s="34" t="str">
        <f t="shared" si="149"/>
        <v/>
      </c>
      <c r="L439" s="118"/>
      <c r="M439" s="121"/>
      <c r="N439" s="122" t="str">
        <f t="shared" si="150"/>
        <v/>
      </c>
      <c r="O439" s="35" t="str">
        <f t="shared" si="151"/>
        <v/>
      </c>
      <c r="P439" s="124"/>
      <c r="Q439" s="36" t="str">
        <f t="shared" si="163"/>
        <v/>
      </c>
      <c r="R439" s="46" t="str">
        <f t="shared" si="152"/>
        <v/>
      </c>
      <c r="S439" s="38" t="str">
        <f t="shared" si="153"/>
        <v/>
      </c>
      <c r="T439" s="39" t="str">
        <f t="shared" si="154"/>
        <v/>
      </c>
      <c r="U439" s="40" t="str">
        <f t="shared" si="155"/>
        <v/>
      </c>
      <c r="V439" s="39" t="str">
        <f t="shared" si="156"/>
        <v/>
      </c>
      <c r="W439" s="34" t="str">
        <f t="shared" si="157"/>
        <v/>
      </c>
      <c r="X439" s="41" t="str">
        <f t="shared" si="164"/>
        <v/>
      </c>
      <c r="Y439" s="98" t="str">
        <f t="shared" si="158"/>
        <v/>
      </c>
      <c r="Z439" s="16" t="str">
        <f t="shared" si="165"/>
        <v/>
      </c>
      <c r="AB439" s="139"/>
      <c r="AC439" s="146" t="str">
        <f t="shared" si="168"/>
        <v/>
      </c>
      <c r="AD439" s="148" t="str">
        <f t="shared" si="166"/>
        <v/>
      </c>
      <c r="AE439" s="147" t="str">
        <f t="shared" si="159"/>
        <v/>
      </c>
      <c r="AF439" s="111" t="str">
        <f t="shared" si="160"/>
        <v/>
      </c>
      <c r="AG439" s="111" t="str">
        <f t="shared" si="161"/>
        <v/>
      </c>
      <c r="AH439" s="112" t="str">
        <f t="shared" si="162"/>
        <v/>
      </c>
      <c r="AI439" t="str">
        <f t="shared" si="167"/>
        <v/>
      </c>
      <c r="AJ439" t="str">
        <f t="shared" si="169"/>
        <v/>
      </c>
    </row>
    <row r="440" spans="1:36" ht="15" customHeight="1" x14ac:dyDescent="0.25">
      <c r="A440" s="114"/>
      <c r="B440" s="116"/>
      <c r="C440" s="116"/>
      <c r="D440" s="42" t="str">
        <f t="shared" si="146"/>
        <v/>
      </c>
      <c r="E440" s="43"/>
      <c r="F440" s="118"/>
      <c r="G440" s="44" t="str">
        <f t="shared" si="147"/>
        <v/>
      </c>
      <c r="H440" s="118"/>
      <c r="I440" s="34" t="str">
        <f t="shared" si="148"/>
        <v/>
      </c>
      <c r="J440" s="118"/>
      <c r="K440" s="34" t="str">
        <f t="shared" si="149"/>
        <v/>
      </c>
      <c r="L440" s="118"/>
      <c r="M440" s="121"/>
      <c r="N440" s="122" t="str">
        <f t="shared" si="150"/>
        <v/>
      </c>
      <c r="O440" s="35" t="str">
        <f t="shared" si="151"/>
        <v/>
      </c>
      <c r="P440" s="124"/>
      <c r="Q440" s="36" t="str">
        <f t="shared" si="163"/>
        <v/>
      </c>
      <c r="R440" s="46" t="str">
        <f t="shared" si="152"/>
        <v/>
      </c>
      <c r="S440" s="38" t="str">
        <f t="shared" si="153"/>
        <v/>
      </c>
      <c r="T440" s="39" t="str">
        <f t="shared" si="154"/>
        <v/>
      </c>
      <c r="U440" s="40" t="str">
        <f t="shared" si="155"/>
        <v/>
      </c>
      <c r="V440" s="39" t="str">
        <f t="shared" si="156"/>
        <v/>
      </c>
      <c r="W440" s="34" t="str">
        <f t="shared" si="157"/>
        <v/>
      </c>
      <c r="X440" s="41" t="str">
        <f t="shared" si="164"/>
        <v/>
      </c>
      <c r="Y440" s="98" t="str">
        <f t="shared" si="158"/>
        <v/>
      </c>
      <c r="Z440" s="16" t="str">
        <f t="shared" si="165"/>
        <v/>
      </c>
      <c r="AB440" s="139"/>
      <c r="AC440" s="146" t="str">
        <f t="shared" si="168"/>
        <v/>
      </c>
      <c r="AD440" s="148" t="str">
        <f t="shared" si="166"/>
        <v/>
      </c>
      <c r="AE440" s="147" t="str">
        <f t="shared" si="159"/>
        <v/>
      </c>
      <c r="AF440" s="111" t="str">
        <f t="shared" si="160"/>
        <v/>
      </c>
      <c r="AG440" s="111" t="str">
        <f t="shared" si="161"/>
        <v/>
      </c>
      <c r="AH440" s="112" t="str">
        <f t="shared" si="162"/>
        <v/>
      </c>
      <c r="AI440" t="str">
        <f t="shared" si="167"/>
        <v/>
      </c>
      <c r="AJ440" t="str">
        <f t="shared" si="169"/>
        <v/>
      </c>
    </row>
    <row r="441" spans="1:36" ht="15" customHeight="1" x14ac:dyDescent="0.25">
      <c r="A441" s="114"/>
      <c r="B441" s="116"/>
      <c r="C441" s="116"/>
      <c r="D441" s="42" t="str">
        <f t="shared" si="146"/>
        <v/>
      </c>
      <c r="E441" s="43"/>
      <c r="F441" s="118"/>
      <c r="G441" s="44" t="str">
        <f t="shared" si="147"/>
        <v/>
      </c>
      <c r="H441" s="118"/>
      <c r="I441" s="34" t="str">
        <f t="shared" si="148"/>
        <v/>
      </c>
      <c r="J441" s="118"/>
      <c r="K441" s="34" t="str">
        <f t="shared" si="149"/>
        <v/>
      </c>
      <c r="L441" s="118"/>
      <c r="M441" s="121"/>
      <c r="N441" s="122" t="str">
        <f t="shared" si="150"/>
        <v/>
      </c>
      <c r="O441" s="35" t="str">
        <f t="shared" si="151"/>
        <v/>
      </c>
      <c r="P441" s="124"/>
      <c r="Q441" s="36" t="str">
        <f t="shared" si="163"/>
        <v/>
      </c>
      <c r="R441" s="46" t="str">
        <f t="shared" si="152"/>
        <v/>
      </c>
      <c r="S441" s="38" t="str">
        <f t="shared" si="153"/>
        <v/>
      </c>
      <c r="T441" s="39" t="str">
        <f t="shared" si="154"/>
        <v/>
      </c>
      <c r="U441" s="40" t="str">
        <f t="shared" si="155"/>
        <v/>
      </c>
      <c r="V441" s="39" t="str">
        <f t="shared" si="156"/>
        <v/>
      </c>
      <c r="W441" s="34" t="str">
        <f t="shared" si="157"/>
        <v/>
      </c>
      <c r="X441" s="41" t="str">
        <f t="shared" si="164"/>
        <v/>
      </c>
      <c r="Y441" s="98" t="str">
        <f t="shared" si="158"/>
        <v/>
      </c>
      <c r="Z441" s="16" t="str">
        <f t="shared" si="165"/>
        <v/>
      </c>
      <c r="AB441" s="139"/>
      <c r="AC441" s="146" t="str">
        <f t="shared" si="168"/>
        <v/>
      </c>
      <c r="AD441" s="148" t="str">
        <f t="shared" si="166"/>
        <v/>
      </c>
      <c r="AE441" s="147" t="str">
        <f t="shared" si="159"/>
        <v/>
      </c>
      <c r="AF441" s="111" t="str">
        <f t="shared" si="160"/>
        <v/>
      </c>
      <c r="AG441" s="111" t="str">
        <f t="shared" si="161"/>
        <v/>
      </c>
      <c r="AH441" s="112" t="str">
        <f t="shared" si="162"/>
        <v/>
      </c>
      <c r="AI441" t="str">
        <f t="shared" si="167"/>
        <v/>
      </c>
      <c r="AJ441" t="str">
        <f t="shared" si="169"/>
        <v/>
      </c>
    </row>
    <row r="442" spans="1:36" ht="15" customHeight="1" x14ac:dyDescent="0.25">
      <c r="A442" s="114"/>
      <c r="B442" s="116"/>
      <c r="C442" s="116"/>
      <c r="D442" s="42" t="str">
        <f t="shared" si="146"/>
        <v/>
      </c>
      <c r="E442" s="43"/>
      <c r="F442" s="118"/>
      <c r="G442" s="44" t="str">
        <f t="shared" si="147"/>
        <v/>
      </c>
      <c r="H442" s="118"/>
      <c r="I442" s="34" t="str">
        <f t="shared" si="148"/>
        <v/>
      </c>
      <c r="J442" s="118"/>
      <c r="K442" s="34" t="str">
        <f t="shared" si="149"/>
        <v/>
      </c>
      <c r="L442" s="118"/>
      <c r="M442" s="121"/>
      <c r="N442" s="122" t="str">
        <f t="shared" si="150"/>
        <v/>
      </c>
      <c r="O442" s="35" t="str">
        <f t="shared" si="151"/>
        <v/>
      </c>
      <c r="P442" s="124"/>
      <c r="Q442" s="36" t="str">
        <f t="shared" si="163"/>
        <v/>
      </c>
      <c r="R442" s="46" t="str">
        <f t="shared" si="152"/>
        <v/>
      </c>
      <c r="S442" s="38" t="str">
        <f t="shared" si="153"/>
        <v/>
      </c>
      <c r="T442" s="39" t="str">
        <f t="shared" si="154"/>
        <v/>
      </c>
      <c r="U442" s="40" t="str">
        <f t="shared" si="155"/>
        <v/>
      </c>
      <c r="V442" s="39" t="str">
        <f t="shared" si="156"/>
        <v/>
      </c>
      <c r="W442" s="34" t="str">
        <f t="shared" si="157"/>
        <v/>
      </c>
      <c r="X442" s="41" t="str">
        <f t="shared" si="164"/>
        <v/>
      </c>
      <c r="Y442" s="98" t="str">
        <f t="shared" si="158"/>
        <v/>
      </c>
      <c r="Z442" s="16" t="str">
        <f t="shared" si="165"/>
        <v/>
      </c>
      <c r="AB442" s="139"/>
      <c r="AC442" s="146" t="str">
        <f t="shared" si="168"/>
        <v/>
      </c>
      <c r="AD442" s="148" t="str">
        <f t="shared" si="166"/>
        <v/>
      </c>
      <c r="AE442" s="147" t="str">
        <f t="shared" si="159"/>
        <v/>
      </c>
      <c r="AF442" s="111" t="str">
        <f t="shared" si="160"/>
        <v/>
      </c>
      <c r="AG442" s="111" t="str">
        <f t="shared" si="161"/>
        <v/>
      </c>
      <c r="AH442" s="112" t="str">
        <f t="shared" si="162"/>
        <v/>
      </c>
      <c r="AI442" t="str">
        <f t="shared" si="167"/>
        <v/>
      </c>
      <c r="AJ442" t="str">
        <f t="shared" si="169"/>
        <v/>
      </c>
    </row>
    <row r="443" spans="1:36" ht="15" customHeight="1" x14ac:dyDescent="0.25">
      <c r="A443" s="114"/>
      <c r="B443" s="116"/>
      <c r="C443" s="116"/>
      <c r="D443" s="42" t="str">
        <f t="shared" si="146"/>
        <v/>
      </c>
      <c r="E443" s="43"/>
      <c r="F443" s="118"/>
      <c r="G443" s="44" t="str">
        <f t="shared" si="147"/>
        <v/>
      </c>
      <c r="H443" s="118"/>
      <c r="I443" s="34" t="str">
        <f t="shared" si="148"/>
        <v/>
      </c>
      <c r="J443" s="118"/>
      <c r="K443" s="34" t="str">
        <f t="shared" si="149"/>
        <v/>
      </c>
      <c r="L443" s="118"/>
      <c r="M443" s="121"/>
      <c r="N443" s="122" t="str">
        <f t="shared" si="150"/>
        <v/>
      </c>
      <c r="O443" s="35" t="str">
        <f t="shared" si="151"/>
        <v/>
      </c>
      <c r="P443" s="124"/>
      <c r="Q443" s="36" t="str">
        <f t="shared" si="163"/>
        <v/>
      </c>
      <c r="R443" s="46" t="str">
        <f t="shared" si="152"/>
        <v/>
      </c>
      <c r="S443" s="38" t="str">
        <f t="shared" si="153"/>
        <v/>
      </c>
      <c r="T443" s="39" t="str">
        <f t="shared" si="154"/>
        <v/>
      </c>
      <c r="U443" s="40" t="str">
        <f t="shared" si="155"/>
        <v/>
      </c>
      <c r="V443" s="39" t="str">
        <f t="shared" si="156"/>
        <v/>
      </c>
      <c r="W443" s="34" t="str">
        <f t="shared" si="157"/>
        <v/>
      </c>
      <c r="X443" s="41" t="str">
        <f t="shared" si="164"/>
        <v/>
      </c>
      <c r="Y443" s="98" t="str">
        <f t="shared" si="158"/>
        <v/>
      </c>
      <c r="Z443" s="16" t="str">
        <f t="shared" si="165"/>
        <v/>
      </c>
      <c r="AB443" s="139"/>
      <c r="AC443" s="146" t="str">
        <f t="shared" si="168"/>
        <v/>
      </c>
      <c r="AD443" s="148" t="str">
        <f t="shared" si="166"/>
        <v/>
      </c>
      <c r="AE443" s="147" t="str">
        <f t="shared" si="159"/>
        <v/>
      </c>
      <c r="AF443" s="111" t="str">
        <f t="shared" si="160"/>
        <v/>
      </c>
      <c r="AG443" s="111" t="str">
        <f t="shared" si="161"/>
        <v/>
      </c>
      <c r="AH443" s="112" t="str">
        <f t="shared" si="162"/>
        <v/>
      </c>
      <c r="AI443" t="str">
        <f t="shared" si="167"/>
        <v/>
      </c>
      <c r="AJ443" t="str">
        <f t="shared" si="169"/>
        <v/>
      </c>
    </row>
    <row r="444" spans="1:36" ht="15" customHeight="1" x14ac:dyDescent="0.25">
      <c r="A444" s="114"/>
      <c r="B444" s="116"/>
      <c r="C444" s="116"/>
      <c r="D444" s="42" t="str">
        <f t="shared" si="146"/>
        <v/>
      </c>
      <c r="E444" s="43"/>
      <c r="F444" s="118"/>
      <c r="G444" s="44" t="str">
        <f t="shared" si="147"/>
        <v/>
      </c>
      <c r="H444" s="118"/>
      <c r="I444" s="34" t="str">
        <f t="shared" si="148"/>
        <v/>
      </c>
      <c r="J444" s="118"/>
      <c r="K444" s="34" t="str">
        <f t="shared" si="149"/>
        <v/>
      </c>
      <c r="L444" s="118"/>
      <c r="M444" s="121"/>
      <c r="N444" s="122" t="str">
        <f t="shared" si="150"/>
        <v/>
      </c>
      <c r="O444" s="35" t="str">
        <f t="shared" si="151"/>
        <v/>
      </c>
      <c r="P444" s="124"/>
      <c r="Q444" s="36" t="str">
        <f t="shared" si="163"/>
        <v/>
      </c>
      <c r="R444" s="46" t="str">
        <f t="shared" si="152"/>
        <v/>
      </c>
      <c r="S444" s="38" t="str">
        <f t="shared" si="153"/>
        <v/>
      </c>
      <c r="T444" s="39" t="str">
        <f t="shared" si="154"/>
        <v/>
      </c>
      <c r="U444" s="40" t="str">
        <f t="shared" si="155"/>
        <v/>
      </c>
      <c r="V444" s="39" t="str">
        <f t="shared" si="156"/>
        <v/>
      </c>
      <c r="W444" s="34" t="str">
        <f t="shared" si="157"/>
        <v/>
      </c>
      <c r="X444" s="41" t="str">
        <f t="shared" si="164"/>
        <v/>
      </c>
      <c r="Y444" s="98" t="str">
        <f t="shared" si="158"/>
        <v/>
      </c>
      <c r="Z444" s="16" t="str">
        <f t="shared" si="165"/>
        <v/>
      </c>
      <c r="AB444" s="139"/>
      <c r="AC444" s="146" t="str">
        <f t="shared" si="168"/>
        <v/>
      </c>
      <c r="AD444" s="148" t="str">
        <f t="shared" si="166"/>
        <v/>
      </c>
      <c r="AE444" s="147" t="str">
        <f t="shared" si="159"/>
        <v/>
      </c>
      <c r="AF444" s="111" t="str">
        <f t="shared" si="160"/>
        <v/>
      </c>
      <c r="AG444" s="111" t="str">
        <f t="shared" si="161"/>
        <v/>
      </c>
      <c r="AH444" s="112" t="str">
        <f t="shared" si="162"/>
        <v/>
      </c>
      <c r="AI444" t="str">
        <f t="shared" si="167"/>
        <v/>
      </c>
      <c r="AJ444" t="str">
        <f t="shared" si="169"/>
        <v/>
      </c>
    </row>
    <row r="445" spans="1:36" ht="15" customHeight="1" x14ac:dyDescent="0.25">
      <c r="A445" s="114"/>
      <c r="B445" s="116"/>
      <c r="C445" s="116"/>
      <c r="D445" s="42" t="str">
        <f t="shared" si="146"/>
        <v/>
      </c>
      <c r="E445" s="43"/>
      <c r="F445" s="118"/>
      <c r="G445" s="44" t="str">
        <f t="shared" si="147"/>
        <v/>
      </c>
      <c r="H445" s="118"/>
      <c r="I445" s="34" t="str">
        <f t="shared" si="148"/>
        <v/>
      </c>
      <c r="J445" s="118"/>
      <c r="K445" s="34" t="str">
        <f t="shared" si="149"/>
        <v/>
      </c>
      <c r="L445" s="118"/>
      <c r="M445" s="121"/>
      <c r="N445" s="122" t="str">
        <f t="shared" si="150"/>
        <v/>
      </c>
      <c r="O445" s="35" t="str">
        <f t="shared" si="151"/>
        <v/>
      </c>
      <c r="P445" s="124"/>
      <c r="Q445" s="36" t="str">
        <f t="shared" si="163"/>
        <v/>
      </c>
      <c r="R445" s="46" t="str">
        <f t="shared" si="152"/>
        <v/>
      </c>
      <c r="S445" s="38" t="str">
        <f t="shared" si="153"/>
        <v/>
      </c>
      <c r="T445" s="39" t="str">
        <f t="shared" si="154"/>
        <v/>
      </c>
      <c r="U445" s="40" t="str">
        <f t="shared" si="155"/>
        <v/>
      </c>
      <c r="V445" s="39" t="str">
        <f t="shared" si="156"/>
        <v/>
      </c>
      <c r="W445" s="34" t="str">
        <f t="shared" si="157"/>
        <v/>
      </c>
      <c r="X445" s="41" t="str">
        <f t="shared" si="164"/>
        <v/>
      </c>
      <c r="Y445" s="98" t="str">
        <f t="shared" si="158"/>
        <v/>
      </c>
      <c r="Z445" s="16" t="str">
        <f t="shared" si="165"/>
        <v/>
      </c>
      <c r="AB445" s="139"/>
      <c r="AC445" s="146" t="str">
        <f t="shared" si="168"/>
        <v/>
      </c>
      <c r="AD445" s="148" t="str">
        <f t="shared" si="166"/>
        <v/>
      </c>
      <c r="AE445" s="147" t="str">
        <f t="shared" si="159"/>
        <v/>
      </c>
      <c r="AF445" s="111" t="str">
        <f t="shared" si="160"/>
        <v/>
      </c>
      <c r="AG445" s="111" t="str">
        <f t="shared" si="161"/>
        <v/>
      </c>
      <c r="AH445" s="112" t="str">
        <f t="shared" si="162"/>
        <v/>
      </c>
      <c r="AI445" t="str">
        <f t="shared" si="167"/>
        <v/>
      </c>
      <c r="AJ445" t="str">
        <f t="shared" si="169"/>
        <v/>
      </c>
    </row>
    <row r="446" spans="1:36" ht="15" customHeight="1" x14ac:dyDescent="0.25">
      <c r="A446" s="114"/>
      <c r="B446" s="116"/>
      <c r="C446" s="116"/>
      <c r="D446" s="42" t="str">
        <f t="shared" si="146"/>
        <v/>
      </c>
      <c r="E446" s="43"/>
      <c r="F446" s="118"/>
      <c r="G446" s="44" t="str">
        <f t="shared" si="147"/>
        <v/>
      </c>
      <c r="H446" s="118"/>
      <c r="I446" s="34" t="str">
        <f t="shared" si="148"/>
        <v/>
      </c>
      <c r="J446" s="118"/>
      <c r="K446" s="34" t="str">
        <f t="shared" si="149"/>
        <v/>
      </c>
      <c r="L446" s="118"/>
      <c r="M446" s="121"/>
      <c r="N446" s="122" t="str">
        <f t="shared" si="150"/>
        <v/>
      </c>
      <c r="O446" s="35" t="str">
        <f t="shared" si="151"/>
        <v/>
      </c>
      <c r="P446" s="124"/>
      <c r="Q446" s="36" t="str">
        <f t="shared" si="163"/>
        <v/>
      </c>
      <c r="R446" s="46" t="str">
        <f t="shared" si="152"/>
        <v/>
      </c>
      <c r="S446" s="38" t="str">
        <f t="shared" si="153"/>
        <v/>
      </c>
      <c r="T446" s="39" t="str">
        <f t="shared" si="154"/>
        <v/>
      </c>
      <c r="U446" s="40" t="str">
        <f t="shared" si="155"/>
        <v/>
      </c>
      <c r="V446" s="39" t="str">
        <f t="shared" si="156"/>
        <v/>
      </c>
      <c r="W446" s="34" t="str">
        <f t="shared" si="157"/>
        <v/>
      </c>
      <c r="X446" s="41" t="str">
        <f t="shared" si="164"/>
        <v/>
      </c>
      <c r="Y446" s="98" t="str">
        <f t="shared" si="158"/>
        <v/>
      </c>
      <c r="Z446" s="16" t="str">
        <f t="shared" si="165"/>
        <v/>
      </c>
      <c r="AB446" s="139"/>
      <c r="AC446" s="146" t="str">
        <f t="shared" si="168"/>
        <v/>
      </c>
      <c r="AD446" s="148" t="str">
        <f t="shared" si="166"/>
        <v/>
      </c>
      <c r="AE446" s="147" t="str">
        <f t="shared" si="159"/>
        <v/>
      </c>
      <c r="AF446" s="111" t="str">
        <f t="shared" si="160"/>
        <v/>
      </c>
      <c r="AG446" s="111" t="str">
        <f t="shared" si="161"/>
        <v/>
      </c>
      <c r="AH446" s="112" t="str">
        <f t="shared" si="162"/>
        <v/>
      </c>
      <c r="AI446" t="str">
        <f t="shared" si="167"/>
        <v/>
      </c>
      <c r="AJ446" t="str">
        <f t="shared" si="169"/>
        <v/>
      </c>
    </row>
    <row r="447" spans="1:36" ht="15" customHeight="1" x14ac:dyDescent="0.25">
      <c r="A447" s="114"/>
      <c r="B447" s="116"/>
      <c r="C447" s="116"/>
      <c r="D447" s="42" t="str">
        <f t="shared" si="146"/>
        <v/>
      </c>
      <c r="E447" s="43"/>
      <c r="F447" s="118"/>
      <c r="G447" s="44" t="str">
        <f t="shared" si="147"/>
        <v/>
      </c>
      <c r="H447" s="118"/>
      <c r="I447" s="34" t="str">
        <f t="shared" si="148"/>
        <v/>
      </c>
      <c r="J447" s="118"/>
      <c r="K447" s="34" t="str">
        <f t="shared" si="149"/>
        <v/>
      </c>
      <c r="L447" s="118"/>
      <c r="M447" s="121"/>
      <c r="N447" s="122" t="str">
        <f t="shared" si="150"/>
        <v/>
      </c>
      <c r="O447" s="35" t="str">
        <f t="shared" si="151"/>
        <v/>
      </c>
      <c r="P447" s="124"/>
      <c r="Q447" s="36" t="str">
        <f t="shared" si="163"/>
        <v/>
      </c>
      <c r="R447" s="46" t="str">
        <f t="shared" si="152"/>
        <v/>
      </c>
      <c r="S447" s="38" t="str">
        <f t="shared" si="153"/>
        <v/>
      </c>
      <c r="T447" s="39" t="str">
        <f t="shared" si="154"/>
        <v/>
      </c>
      <c r="U447" s="40" t="str">
        <f t="shared" si="155"/>
        <v/>
      </c>
      <c r="V447" s="39" t="str">
        <f t="shared" si="156"/>
        <v/>
      </c>
      <c r="W447" s="34" t="str">
        <f t="shared" si="157"/>
        <v/>
      </c>
      <c r="X447" s="41" t="str">
        <f t="shared" si="164"/>
        <v/>
      </c>
      <c r="Y447" s="98" t="str">
        <f t="shared" si="158"/>
        <v/>
      </c>
      <c r="Z447" s="16" t="str">
        <f t="shared" si="165"/>
        <v/>
      </c>
      <c r="AB447" s="139"/>
      <c r="AC447" s="146" t="str">
        <f t="shared" si="168"/>
        <v/>
      </c>
      <c r="AD447" s="148" t="str">
        <f t="shared" si="166"/>
        <v/>
      </c>
      <c r="AE447" s="147" t="str">
        <f t="shared" si="159"/>
        <v/>
      </c>
      <c r="AF447" s="111" t="str">
        <f t="shared" si="160"/>
        <v/>
      </c>
      <c r="AG447" s="111" t="str">
        <f t="shared" si="161"/>
        <v/>
      </c>
      <c r="AH447" s="112" t="str">
        <f t="shared" si="162"/>
        <v/>
      </c>
      <c r="AI447" t="str">
        <f t="shared" si="167"/>
        <v/>
      </c>
      <c r="AJ447" t="str">
        <f t="shared" si="169"/>
        <v/>
      </c>
    </row>
    <row r="448" spans="1:36" ht="15" customHeight="1" x14ac:dyDescent="0.25">
      <c r="A448" s="114"/>
      <c r="B448" s="116"/>
      <c r="C448" s="116"/>
      <c r="D448" s="42" t="str">
        <f t="shared" si="146"/>
        <v/>
      </c>
      <c r="E448" s="43"/>
      <c r="F448" s="118"/>
      <c r="G448" s="44" t="str">
        <f t="shared" si="147"/>
        <v/>
      </c>
      <c r="H448" s="118"/>
      <c r="I448" s="34" t="str">
        <f t="shared" si="148"/>
        <v/>
      </c>
      <c r="J448" s="118"/>
      <c r="K448" s="34" t="str">
        <f t="shared" si="149"/>
        <v/>
      </c>
      <c r="L448" s="118"/>
      <c r="M448" s="121"/>
      <c r="N448" s="122" t="str">
        <f t="shared" si="150"/>
        <v/>
      </c>
      <c r="O448" s="35" t="str">
        <f t="shared" si="151"/>
        <v/>
      </c>
      <c r="P448" s="124"/>
      <c r="Q448" s="36" t="str">
        <f t="shared" si="163"/>
        <v/>
      </c>
      <c r="R448" s="46" t="str">
        <f t="shared" si="152"/>
        <v/>
      </c>
      <c r="S448" s="38" t="str">
        <f t="shared" si="153"/>
        <v/>
      </c>
      <c r="T448" s="39" t="str">
        <f t="shared" si="154"/>
        <v/>
      </c>
      <c r="U448" s="40" t="str">
        <f t="shared" si="155"/>
        <v/>
      </c>
      <c r="V448" s="39" t="str">
        <f t="shared" si="156"/>
        <v/>
      </c>
      <c r="W448" s="34" t="str">
        <f t="shared" si="157"/>
        <v/>
      </c>
      <c r="X448" s="41" t="str">
        <f t="shared" si="164"/>
        <v/>
      </c>
      <c r="Y448" s="98" t="str">
        <f t="shared" si="158"/>
        <v/>
      </c>
      <c r="Z448" s="16" t="str">
        <f t="shared" si="165"/>
        <v/>
      </c>
      <c r="AB448" s="139"/>
      <c r="AC448" s="146" t="str">
        <f t="shared" si="168"/>
        <v/>
      </c>
      <c r="AD448" s="148" t="str">
        <f t="shared" si="166"/>
        <v/>
      </c>
      <c r="AE448" s="147" t="str">
        <f t="shared" si="159"/>
        <v/>
      </c>
      <c r="AF448" s="111" t="str">
        <f t="shared" si="160"/>
        <v/>
      </c>
      <c r="AG448" s="111" t="str">
        <f t="shared" si="161"/>
        <v/>
      </c>
      <c r="AH448" s="112" t="str">
        <f t="shared" si="162"/>
        <v/>
      </c>
      <c r="AI448" t="str">
        <f t="shared" si="167"/>
        <v/>
      </c>
      <c r="AJ448" t="str">
        <f t="shared" si="169"/>
        <v/>
      </c>
    </row>
    <row r="449" spans="1:36" ht="15" customHeight="1" x14ac:dyDescent="0.25">
      <c r="A449" s="114"/>
      <c r="B449" s="116"/>
      <c r="C449" s="116"/>
      <c r="D449" s="42" t="str">
        <f t="shared" si="146"/>
        <v/>
      </c>
      <c r="E449" s="43"/>
      <c r="F449" s="118"/>
      <c r="G449" s="44" t="str">
        <f t="shared" si="147"/>
        <v/>
      </c>
      <c r="H449" s="118"/>
      <c r="I449" s="34" t="str">
        <f t="shared" si="148"/>
        <v/>
      </c>
      <c r="J449" s="118"/>
      <c r="K449" s="34" t="str">
        <f t="shared" si="149"/>
        <v/>
      </c>
      <c r="L449" s="118"/>
      <c r="M449" s="121"/>
      <c r="N449" s="122" t="str">
        <f t="shared" si="150"/>
        <v/>
      </c>
      <c r="O449" s="35" t="str">
        <f t="shared" si="151"/>
        <v/>
      </c>
      <c r="P449" s="124"/>
      <c r="Q449" s="36" t="str">
        <f t="shared" si="163"/>
        <v/>
      </c>
      <c r="R449" s="46" t="str">
        <f t="shared" si="152"/>
        <v/>
      </c>
      <c r="S449" s="38" t="str">
        <f t="shared" si="153"/>
        <v/>
      </c>
      <c r="T449" s="39" t="str">
        <f t="shared" si="154"/>
        <v/>
      </c>
      <c r="U449" s="40" t="str">
        <f t="shared" si="155"/>
        <v/>
      </c>
      <c r="V449" s="39" t="str">
        <f t="shared" si="156"/>
        <v/>
      </c>
      <c r="W449" s="34" t="str">
        <f t="shared" si="157"/>
        <v/>
      </c>
      <c r="X449" s="41" t="str">
        <f t="shared" si="164"/>
        <v/>
      </c>
      <c r="Y449" s="98" t="str">
        <f t="shared" si="158"/>
        <v/>
      </c>
      <c r="Z449" s="16" t="str">
        <f t="shared" si="165"/>
        <v/>
      </c>
      <c r="AB449" s="139"/>
      <c r="AC449" s="146" t="str">
        <f t="shared" si="168"/>
        <v/>
      </c>
      <c r="AD449" s="148" t="str">
        <f t="shared" si="166"/>
        <v/>
      </c>
      <c r="AE449" s="147" t="str">
        <f t="shared" si="159"/>
        <v/>
      </c>
      <c r="AF449" s="111" t="str">
        <f t="shared" si="160"/>
        <v/>
      </c>
      <c r="AG449" s="111" t="str">
        <f t="shared" si="161"/>
        <v/>
      </c>
      <c r="AH449" s="112" t="str">
        <f t="shared" si="162"/>
        <v/>
      </c>
      <c r="AI449" t="str">
        <f t="shared" si="167"/>
        <v/>
      </c>
      <c r="AJ449" t="str">
        <f t="shared" si="169"/>
        <v/>
      </c>
    </row>
    <row r="450" spans="1:36" ht="15" customHeight="1" x14ac:dyDescent="0.25">
      <c r="A450" s="114"/>
      <c r="B450" s="116"/>
      <c r="C450" s="116"/>
      <c r="D450" s="42" t="str">
        <f t="shared" si="146"/>
        <v/>
      </c>
      <c r="E450" s="43"/>
      <c r="F450" s="118"/>
      <c r="G450" s="44" t="str">
        <f t="shared" si="147"/>
        <v/>
      </c>
      <c r="H450" s="118"/>
      <c r="I450" s="34" t="str">
        <f t="shared" si="148"/>
        <v/>
      </c>
      <c r="J450" s="118"/>
      <c r="K450" s="34" t="str">
        <f t="shared" si="149"/>
        <v/>
      </c>
      <c r="L450" s="118"/>
      <c r="M450" s="121"/>
      <c r="N450" s="122" t="str">
        <f t="shared" si="150"/>
        <v/>
      </c>
      <c r="O450" s="35" t="str">
        <f t="shared" si="151"/>
        <v/>
      </c>
      <c r="P450" s="124"/>
      <c r="Q450" s="36" t="str">
        <f t="shared" si="163"/>
        <v/>
      </c>
      <c r="R450" s="46" t="str">
        <f t="shared" si="152"/>
        <v/>
      </c>
      <c r="S450" s="38" t="str">
        <f t="shared" si="153"/>
        <v/>
      </c>
      <c r="T450" s="39" t="str">
        <f t="shared" si="154"/>
        <v/>
      </c>
      <c r="U450" s="40" t="str">
        <f t="shared" si="155"/>
        <v/>
      </c>
      <c r="V450" s="39" t="str">
        <f t="shared" si="156"/>
        <v/>
      </c>
      <c r="W450" s="34" t="str">
        <f t="shared" si="157"/>
        <v/>
      </c>
      <c r="X450" s="41" t="str">
        <f t="shared" si="164"/>
        <v/>
      </c>
      <c r="Y450" s="98" t="str">
        <f t="shared" si="158"/>
        <v/>
      </c>
      <c r="Z450" s="16" t="str">
        <f t="shared" si="165"/>
        <v/>
      </c>
      <c r="AB450" s="139"/>
      <c r="AC450" s="146" t="str">
        <f t="shared" si="168"/>
        <v/>
      </c>
      <c r="AD450" s="148" t="str">
        <f t="shared" si="166"/>
        <v/>
      </c>
      <c r="AE450" s="147" t="str">
        <f t="shared" si="159"/>
        <v/>
      </c>
      <c r="AF450" s="111" t="str">
        <f t="shared" si="160"/>
        <v/>
      </c>
      <c r="AG450" s="111" t="str">
        <f t="shared" si="161"/>
        <v/>
      </c>
      <c r="AH450" s="112" t="str">
        <f t="shared" si="162"/>
        <v/>
      </c>
      <c r="AI450" t="str">
        <f t="shared" si="167"/>
        <v/>
      </c>
      <c r="AJ450" t="str">
        <f t="shared" si="169"/>
        <v/>
      </c>
    </row>
    <row r="451" spans="1:36" ht="15" customHeight="1" x14ac:dyDescent="0.25">
      <c r="A451" s="114"/>
      <c r="B451" s="116"/>
      <c r="C451" s="116"/>
      <c r="D451" s="42" t="str">
        <f t="shared" si="146"/>
        <v/>
      </c>
      <c r="E451" s="43"/>
      <c r="F451" s="118"/>
      <c r="G451" s="44" t="str">
        <f t="shared" si="147"/>
        <v/>
      </c>
      <c r="H451" s="118"/>
      <c r="I451" s="34" t="str">
        <f t="shared" si="148"/>
        <v/>
      </c>
      <c r="J451" s="118"/>
      <c r="K451" s="34" t="str">
        <f t="shared" si="149"/>
        <v/>
      </c>
      <c r="L451" s="118"/>
      <c r="M451" s="121"/>
      <c r="N451" s="122" t="str">
        <f t="shared" si="150"/>
        <v/>
      </c>
      <c r="O451" s="35" t="str">
        <f t="shared" si="151"/>
        <v/>
      </c>
      <c r="P451" s="124"/>
      <c r="Q451" s="36" t="str">
        <f t="shared" si="163"/>
        <v/>
      </c>
      <c r="R451" s="46" t="str">
        <f t="shared" si="152"/>
        <v/>
      </c>
      <c r="S451" s="38" t="str">
        <f t="shared" si="153"/>
        <v/>
      </c>
      <c r="T451" s="39" t="str">
        <f t="shared" si="154"/>
        <v/>
      </c>
      <c r="U451" s="40" t="str">
        <f t="shared" si="155"/>
        <v/>
      </c>
      <c r="V451" s="39" t="str">
        <f t="shared" si="156"/>
        <v/>
      </c>
      <c r="W451" s="34" t="str">
        <f t="shared" si="157"/>
        <v/>
      </c>
      <c r="X451" s="41" t="str">
        <f t="shared" si="164"/>
        <v/>
      </c>
      <c r="Y451" s="98" t="str">
        <f t="shared" si="158"/>
        <v/>
      </c>
      <c r="Z451" s="16" t="str">
        <f t="shared" si="165"/>
        <v/>
      </c>
      <c r="AB451" s="139"/>
      <c r="AC451" s="146" t="str">
        <f t="shared" si="168"/>
        <v/>
      </c>
      <c r="AD451" s="148" t="str">
        <f t="shared" si="166"/>
        <v/>
      </c>
      <c r="AE451" s="147" t="str">
        <f t="shared" si="159"/>
        <v/>
      </c>
      <c r="AF451" s="111" t="str">
        <f t="shared" si="160"/>
        <v/>
      </c>
      <c r="AG451" s="111" t="str">
        <f t="shared" si="161"/>
        <v/>
      </c>
      <c r="AH451" s="112" t="str">
        <f t="shared" si="162"/>
        <v/>
      </c>
      <c r="AI451" t="str">
        <f t="shared" si="167"/>
        <v/>
      </c>
      <c r="AJ451" t="str">
        <f t="shared" si="169"/>
        <v/>
      </c>
    </row>
    <row r="452" spans="1:36" ht="15" customHeight="1" x14ac:dyDescent="0.25">
      <c r="A452" s="114"/>
      <c r="B452" s="116"/>
      <c r="C452" s="116"/>
      <c r="D452" s="42" t="str">
        <f t="shared" si="146"/>
        <v/>
      </c>
      <c r="E452" s="43"/>
      <c r="F452" s="118"/>
      <c r="G452" s="44" t="str">
        <f t="shared" si="147"/>
        <v/>
      </c>
      <c r="H452" s="118"/>
      <c r="I452" s="34" t="str">
        <f t="shared" si="148"/>
        <v/>
      </c>
      <c r="J452" s="118"/>
      <c r="K452" s="34" t="str">
        <f t="shared" si="149"/>
        <v/>
      </c>
      <c r="L452" s="118"/>
      <c r="M452" s="121"/>
      <c r="N452" s="122" t="str">
        <f t="shared" si="150"/>
        <v/>
      </c>
      <c r="O452" s="35" t="str">
        <f t="shared" si="151"/>
        <v/>
      </c>
      <c r="P452" s="124"/>
      <c r="Q452" s="36" t="str">
        <f t="shared" si="163"/>
        <v/>
      </c>
      <c r="R452" s="46" t="str">
        <f t="shared" si="152"/>
        <v/>
      </c>
      <c r="S452" s="38" t="str">
        <f t="shared" si="153"/>
        <v/>
      </c>
      <c r="T452" s="39" t="str">
        <f t="shared" si="154"/>
        <v/>
      </c>
      <c r="U452" s="40" t="str">
        <f t="shared" si="155"/>
        <v/>
      </c>
      <c r="V452" s="39" t="str">
        <f t="shared" si="156"/>
        <v/>
      </c>
      <c r="W452" s="34" t="str">
        <f t="shared" si="157"/>
        <v/>
      </c>
      <c r="X452" s="41" t="str">
        <f t="shared" si="164"/>
        <v/>
      </c>
      <c r="Y452" s="98" t="str">
        <f t="shared" si="158"/>
        <v/>
      </c>
      <c r="Z452" s="16" t="str">
        <f t="shared" si="165"/>
        <v/>
      </c>
      <c r="AB452" s="139"/>
      <c r="AC452" s="146" t="str">
        <f t="shared" si="168"/>
        <v/>
      </c>
      <c r="AD452" s="148" t="str">
        <f t="shared" si="166"/>
        <v/>
      </c>
      <c r="AE452" s="147" t="str">
        <f t="shared" si="159"/>
        <v/>
      </c>
      <c r="AF452" s="111" t="str">
        <f t="shared" si="160"/>
        <v/>
      </c>
      <c r="AG452" s="111" t="str">
        <f t="shared" si="161"/>
        <v/>
      </c>
      <c r="AH452" s="112" t="str">
        <f t="shared" si="162"/>
        <v/>
      </c>
      <c r="AI452" t="str">
        <f t="shared" si="167"/>
        <v/>
      </c>
      <c r="AJ452" t="str">
        <f t="shared" si="169"/>
        <v/>
      </c>
    </row>
    <row r="453" spans="1:36" ht="15" customHeight="1" x14ac:dyDescent="0.25">
      <c r="A453" s="114"/>
      <c r="B453" s="116"/>
      <c r="C453" s="116"/>
      <c r="D453" s="42" t="str">
        <f t="shared" si="146"/>
        <v/>
      </c>
      <c r="E453" s="43"/>
      <c r="F453" s="118"/>
      <c r="G453" s="44" t="str">
        <f t="shared" si="147"/>
        <v/>
      </c>
      <c r="H453" s="118"/>
      <c r="I453" s="34" t="str">
        <f t="shared" si="148"/>
        <v/>
      </c>
      <c r="J453" s="118"/>
      <c r="K453" s="34" t="str">
        <f t="shared" si="149"/>
        <v/>
      </c>
      <c r="L453" s="118"/>
      <c r="M453" s="121"/>
      <c r="N453" s="122" t="str">
        <f t="shared" si="150"/>
        <v/>
      </c>
      <c r="O453" s="35" t="str">
        <f t="shared" si="151"/>
        <v/>
      </c>
      <c r="P453" s="124"/>
      <c r="Q453" s="36" t="str">
        <f t="shared" si="163"/>
        <v/>
      </c>
      <c r="R453" s="46" t="str">
        <f t="shared" si="152"/>
        <v/>
      </c>
      <c r="S453" s="38" t="str">
        <f t="shared" si="153"/>
        <v/>
      </c>
      <c r="T453" s="39" t="str">
        <f t="shared" si="154"/>
        <v/>
      </c>
      <c r="U453" s="40" t="str">
        <f t="shared" si="155"/>
        <v/>
      </c>
      <c r="V453" s="39" t="str">
        <f t="shared" si="156"/>
        <v/>
      </c>
      <c r="W453" s="34" t="str">
        <f t="shared" si="157"/>
        <v/>
      </c>
      <c r="X453" s="41" t="str">
        <f t="shared" si="164"/>
        <v/>
      </c>
      <c r="Y453" s="98" t="str">
        <f t="shared" si="158"/>
        <v/>
      </c>
      <c r="Z453" s="16" t="str">
        <f t="shared" si="165"/>
        <v/>
      </c>
      <c r="AB453" s="139"/>
      <c r="AC453" s="146" t="str">
        <f t="shared" si="168"/>
        <v/>
      </c>
      <c r="AD453" s="148" t="str">
        <f t="shared" si="166"/>
        <v/>
      </c>
      <c r="AE453" s="147" t="str">
        <f t="shared" si="159"/>
        <v/>
      </c>
      <c r="AF453" s="111" t="str">
        <f t="shared" si="160"/>
        <v/>
      </c>
      <c r="AG453" s="111" t="str">
        <f t="shared" si="161"/>
        <v/>
      </c>
      <c r="AH453" s="112" t="str">
        <f t="shared" si="162"/>
        <v/>
      </c>
      <c r="AI453" t="str">
        <f t="shared" si="167"/>
        <v/>
      </c>
      <c r="AJ453" t="str">
        <f t="shared" si="169"/>
        <v/>
      </c>
    </row>
    <row r="454" spans="1:36" ht="15" customHeight="1" x14ac:dyDescent="0.25">
      <c r="A454" s="114"/>
      <c r="B454" s="116"/>
      <c r="C454" s="116"/>
      <c r="D454" s="42" t="str">
        <f t="shared" si="146"/>
        <v/>
      </c>
      <c r="E454" s="43"/>
      <c r="F454" s="118"/>
      <c r="G454" s="44" t="str">
        <f t="shared" si="147"/>
        <v/>
      </c>
      <c r="H454" s="118"/>
      <c r="I454" s="34" t="str">
        <f t="shared" si="148"/>
        <v/>
      </c>
      <c r="J454" s="118"/>
      <c r="K454" s="34" t="str">
        <f t="shared" si="149"/>
        <v/>
      </c>
      <c r="L454" s="118"/>
      <c r="M454" s="121"/>
      <c r="N454" s="122" t="str">
        <f t="shared" si="150"/>
        <v/>
      </c>
      <c r="O454" s="35" t="str">
        <f t="shared" si="151"/>
        <v/>
      </c>
      <c r="P454" s="124"/>
      <c r="Q454" s="36" t="str">
        <f t="shared" si="163"/>
        <v/>
      </c>
      <c r="R454" s="46" t="str">
        <f t="shared" si="152"/>
        <v/>
      </c>
      <c r="S454" s="38" t="str">
        <f t="shared" si="153"/>
        <v/>
      </c>
      <c r="T454" s="39" t="str">
        <f t="shared" si="154"/>
        <v/>
      </c>
      <c r="U454" s="40" t="str">
        <f t="shared" si="155"/>
        <v/>
      </c>
      <c r="V454" s="39" t="str">
        <f t="shared" si="156"/>
        <v/>
      </c>
      <c r="W454" s="34" t="str">
        <f t="shared" si="157"/>
        <v/>
      </c>
      <c r="X454" s="41" t="str">
        <f t="shared" si="164"/>
        <v/>
      </c>
      <c r="Y454" s="98" t="str">
        <f t="shared" si="158"/>
        <v/>
      </c>
      <c r="Z454" s="16" t="str">
        <f t="shared" si="165"/>
        <v/>
      </c>
      <c r="AB454" s="139"/>
      <c r="AC454" s="146" t="str">
        <f t="shared" si="168"/>
        <v/>
      </c>
      <c r="AD454" s="148" t="str">
        <f t="shared" si="166"/>
        <v/>
      </c>
      <c r="AE454" s="147" t="str">
        <f t="shared" si="159"/>
        <v/>
      </c>
      <c r="AF454" s="111" t="str">
        <f t="shared" si="160"/>
        <v/>
      </c>
      <c r="AG454" s="111" t="str">
        <f t="shared" si="161"/>
        <v/>
      </c>
      <c r="AH454" s="112" t="str">
        <f t="shared" si="162"/>
        <v/>
      </c>
      <c r="AI454" t="str">
        <f t="shared" si="167"/>
        <v/>
      </c>
      <c r="AJ454" t="str">
        <f t="shared" si="169"/>
        <v/>
      </c>
    </row>
    <row r="455" spans="1:36" ht="15" customHeight="1" x14ac:dyDescent="0.25">
      <c r="A455" s="114"/>
      <c r="B455" s="116"/>
      <c r="C455" s="116"/>
      <c r="D455" s="42" t="str">
        <f t="shared" si="146"/>
        <v/>
      </c>
      <c r="E455" s="43"/>
      <c r="F455" s="118"/>
      <c r="G455" s="44" t="str">
        <f t="shared" si="147"/>
        <v/>
      </c>
      <c r="H455" s="118"/>
      <c r="I455" s="34" t="str">
        <f t="shared" si="148"/>
        <v/>
      </c>
      <c r="J455" s="118"/>
      <c r="K455" s="34" t="str">
        <f t="shared" si="149"/>
        <v/>
      </c>
      <c r="L455" s="118"/>
      <c r="M455" s="121"/>
      <c r="N455" s="122" t="str">
        <f t="shared" si="150"/>
        <v/>
      </c>
      <c r="O455" s="35" t="str">
        <f t="shared" si="151"/>
        <v/>
      </c>
      <c r="P455" s="124"/>
      <c r="Q455" s="36" t="str">
        <f t="shared" si="163"/>
        <v/>
      </c>
      <c r="R455" s="46" t="str">
        <f t="shared" si="152"/>
        <v/>
      </c>
      <c r="S455" s="38" t="str">
        <f t="shared" si="153"/>
        <v/>
      </c>
      <c r="T455" s="39" t="str">
        <f t="shared" si="154"/>
        <v/>
      </c>
      <c r="U455" s="40" t="str">
        <f t="shared" si="155"/>
        <v/>
      </c>
      <c r="V455" s="39" t="str">
        <f t="shared" si="156"/>
        <v/>
      </c>
      <c r="W455" s="34" t="str">
        <f t="shared" si="157"/>
        <v/>
      </c>
      <c r="X455" s="41" t="str">
        <f t="shared" si="164"/>
        <v/>
      </c>
      <c r="Y455" s="98" t="str">
        <f t="shared" si="158"/>
        <v/>
      </c>
      <c r="Z455" s="16" t="str">
        <f t="shared" si="165"/>
        <v/>
      </c>
      <c r="AB455" s="139"/>
      <c r="AC455" s="146" t="str">
        <f t="shared" si="168"/>
        <v/>
      </c>
      <c r="AD455" s="148" t="str">
        <f t="shared" si="166"/>
        <v/>
      </c>
      <c r="AE455" s="147" t="str">
        <f t="shared" si="159"/>
        <v/>
      </c>
      <c r="AF455" s="111" t="str">
        <f t="shared" si="160"/>
        <v/>
      </c>
      <c r="AG455" s="111" t="str">
        <f t="shared" si="161"/>
        <v/>
      </c>
      <c r="AH455" s="112" t="str">
        <f t="shared" si="162"/>
        <v/>
      </c>
      <c r="AI455" t="str">
        <f t="shared" si="167"/>
        <v/>
      </c>
      <c r="AJ455" t="str">
        <f t="shared" si="169"/>
        <v/>
      </c>
    </row>
    <row r="456" spans="1:36" ht="15" customHeight="1" x14ac:dyDescent="0.25">
      <c r="A456" s="114"/>
      <c r="B456" s="116"/>
      <c r="C456" s="116"/>
      <c r="D456" s="42" t="str">
        <f t="shared" ref="D456:D519" si="170">IF(A456="","",B456*C456)</f>
        <v/>
      </c>
      <c r="E456" s="43"/>
      <c r="F456" s="118"/>
      <c r="G456" s="44" t="str">
        <f t="shared" ref="G456:G519" si="171">IF(A456="","",F456*B456)</f>
        <v/>
      </c>
      <c r="H456" s="118"/>
      <c r="I456" s="34" t="str">
        <f t="shared" ref="I456:I519" si="172">IF(OR(H456=0,C456=0,H456="",C456=""),"",H456/C456)</f>
        <v/>
      </c>
      <c r="J456" s="118"/>
      <c r="K456" s="34" t="str">
        <f t="shared" ref="K456:K519" si="173">IF(OR(J456=0,C456=0,J456="",C456=""),"",J456/C456)</f>
        <v/>
      </c>
      <c r="L456" s="118"/>
      <c r="M456" s="121"/>
      <c r="N456" s="122" t="str">
        <f t="shared" ref="N456:N519" si="174">IF(A456="","",IF(P456&gt;0,IF(G456&gt;0,P456/G456,0),IF(E456&gt;0,0,IF($I$3&gt;0,IF($I$4&gt;0,MAX($I$3-SUM($P$8:$P$1007),0)/$I$4,0),$I$2))))</f>
        <v/>
      </c>
      <c r="O456" s="35" t="str">
        <f t="shared" ref="O456:O519" si="175">IF(A456="","",IF(P456&gt;0,P456,IF(E456&gt;0,0,G456*IF($I$3&gt;0,IF($I$4&gt;0,MAX($I$3-SUM($P$8:$P$1007),0)/$I$4,0),$I$2))))</f>
        <v/>
      </c>
      <c r="P456" s="124"/>
      <c r="Q456" s="36" t="str">
        <f t="shared" si="163"/>
        <v/>
      </c>
      <c r="R456" s="46" t="str">
        <f t="shared" ref="R456:R519" si="176">IF(OR(A456="",Q456=""),"",Q456*C456)</f>
        <v/>
      </c>
      <c r="S456" s="38" t="str">
        <f t="shared" ref="S456:S519" si="177">IF(OR(A456="",H456&lt;=0,R456=""),"",(H456-R456)/H456)</f>
        <v/>
      </c>
      <c r="T456" s="39" t="str">
        <f t="shared" ref="T456:T519" si="178">IF(OR(H456=0,R456=0,H456="",R456=""),"",H456-R456)</f>
        <v/>
      </c>
      <c r="U456" s="40" t="str">
        <f t="shared" ref="U456:U519" si="179">IF(OR(A456="",J456&lt;=0,R456=""),"",(J456-R456)/J456)</f>
        <v/>
      </c>
      <c r="V456" s="39" t="str">
        <f t="shared" ref="V456:V519" si="180">IF(OR(J456=0,R456=0,J456="",R456=""),"",J456-R456)</f>
        <v/>
      </c>
      <c r="W456" s="34" t="str">
        <f t="shared" ref="W456:W519" si="181">IF(OR(G456="",G456=0,$M$5="",$K$3=0),"",($M$5/$K$3)*G456)</f>
        <v/>
      </c>
      <c r="X456" s="41" t="str">
        <f t="shared" si="164"/>
        <v/>
      </c>
      <c r="Y456" s="98" t="str">
        <f t="shared" ref="Y456:Y519" si="182">IF(OR(Q456=0,Q456="",D456=0,D456=""),"",Q456*(D456+E456))</f>
        <v/>
      </c>
      <c r="Z456" s="16" t="str">
        <f t="shared" si="165"/>
        <v/>
      </c>
      <c r="AB456" s="139"/>
      <c r="AC456" s="146" t="str">
        <f t="shared" si="168"/>
        <v/>
      </c>
      <c r="AD456" s="148" t="str">
        <f t="shared" si="166"/>
        <v/>
      </c>
      <c r="AE456" s="147" t="str">
        <f t="shared" ref="AE456:AE519" si="183">IF(AD456="","",AD456*$AC$1+IF(SUM($AD$8:$AD$1007)=0,0,$AC$2*AD456/SUM($AD$8:$AD$1007)))</f>
        <v/>
      </c>
      <c r="AF456" s="111" t="str">
        <f t="shared" ref="AF456:AF519" si="184">IF(AD456="","",AD456-AE456)</f>
        <v/>
      </c>
      <c r="AG456" s="111" t="str">
        <f t="shared" ref="AG456:AG519" si="185">IF(AF456="","",AH456-AF456)</f>
        <v/>
      </c>
      <c r="AH456" s="112" t="str">
        <f t="shared" ref="AH456:AH519" si="186">IF(AF456="","",ROUND(AF456,0))</f>
        <v/>
      </c>
      <c r="AI456" t="str">
        <f t="shared" si="167"/>
        <v/>
      </c>
      <c r="AJ456" t="str">
        <f t="shared" si="169"/>
        <v/>
      </c>
    </row>
    <row r="457" spans="1:36" ht="15" customHeight="1" x14ac:dyDescent="0.25">
      <c r="A457" s="114"/>
      <c r="B457" s="116"/>
      <c r="C457" s="116"/>
      <c r="D457" s="42" t="str">
        <f t="shared" si="170"/>
        <v/>
      </c>
      <c r="E457" s="43"/>
      <c r="F457" s="118"/>
      <c r="G457" s="44" t="str">
        <f t="shared" si="171"/>
        <v/>
      </c>
      <c r="H457" s="118"/>
      <c r="I457" s="34" t="str">
        <f t="shared" si="172"/>
        <v/>
      </c>
      <c r="J457" s="118"/>
      <c r="K457" s="34" t="str">
        <f t="shared" si="173"/>
        <v/>
      </c>
      <c r="L457" s="118"/>
      <c r="M457" s="121"/>
      <c r="N457" s="122" t="str">
        <f t="shared" si="174"/>
        <v/>
      </c>
      <c r="O457" s="35" t="str">
        <f t="shared" si="175"/>
        <v/>
      </c>
      <c r="P457" s="124"/>
      <c r="Q457" s="36" t="str">
        <f t="shared" ref="Q457:Q520" si="187">IF(A457="","",IF(OR(B457=0,B457="",C457&lt;=0,D457+E457&lt;=0),"",(G457-O457)/(D457+E457)-IF(W457&gt;=0,W457/D457,0)+IF(ISNUMBER(X457),X457/(D457+E457),0)))</f>
        <v/>
      </c>
      <c r="R457" s="46" t="str">
        <f t="shared" si="176"/>
        <v/>
      </c>
      <c r="S457" s="38" t="str">
        <f t="shared" si="177"/>
        <v/>
      </c>
      <c r="T457" s="39" t="str">
        <f t="shared" si="178"/>
        <v/>
      </c>
      <c r="U457" s="40" t="str">
        <f t="shared" si="179"/>
        <v/>
      </c>
      <c r="V457" s="39" t="str">
        <f t="shared" si="180"/>
        <v/>
      </c>
      <c r="W457" s="34" t="str">
        <f t="shared" si="181"/>
        <v/>
      </c>
      <c r="X457" s="41" t="str">
        <f t="shared" ref="X457:X520" si="188">IF(OR(G457="",G457=0,($K$3-$K$2)=0),"",($I$1/($K$3-$K$2))*(G457-O457))</f>
        <v/>
      </c>
      <c r="Y457" s="98" t="str">
        <f t="shared" si="182"/>
        <v/>
      </c>
      <c r="Z457" s="16" t="str">
        <f t="shared" ref="Z457:Z520" si="189">IF(OR(B457=0,B457=""),"",G457)</f>
        <v/>
      </c>
      <c r="AB457" s="139"/>
      <c r="AC457" s="146" t="str">
        <f t="shared" si="168"/>
        <v/>
      </c>
      <c r="AD457" s="148" t="str">
        <f t="shared" ref="AD457:AD520" si="190">IF(OR(AB457="",AC457=""),"",AB457*AC457)</f>
        <v/>
      </c>
      <c r="AE457" s="147" t="str">
        <f t="shared" si="183"/>
        <v/>
      </c>
      <c r="AF457" s="111" t="str">
        <f t="shared" si="184"/>
        <v/>
      </c>
      <c r="AG457" s="111" t="str">
        <f t="shared" si="185"/>
        <v/>
      </c>
      <c r="AH457" s="112" t="str">
        <f t="shared" si="186"/>
        <v/>
      </c>
      <c r="AI457" t="str">
        <f t="shared" ref="AI457:AI520" si="191">IF(OR(AB457=0,AB457=""),"",AE457/AB457)</f>
        <v/>
      </c>
      <c r="AJ457" t="str">
        <f t="shared" si="169"/>
        <v/>
      </c>
    </row>
    <row r="458" spans="1:36" ht="15" customHeight="1" x14ac:dyDescent="0.25">
      <c r="A458" s="114"/>
      <c r="B458" s="116"/>
      <c r="C458" s="116"/>
      <c r="D458" s="42" t="str">
        <f t="shared" si="170"/>
        <v/>
      </c>
      <c r="E458" s="43"/>
      <c r="F458" s="118"/>
      <c r="G458" s="44" t="str">
        <f t="shared" si="171"/>
        <v/>
      </c>
      <c r="H458" s="118"/>
      <c r="I458" s="34" t="str">
        <f t="shared" si="172"/>
        <v/>
      </c>
      <c r="J458" s="118"/>
      <c r="K458" s="34" t="str">
        <f t="shared" si="173"/>
        <v/>
      </c>
      <c r="L458" s="118"/>
      <c r="M458" s="121"/>
      <c r="N458" s="122" t="str">
        <f t="shared" si="174"/>
        <v/>
      </c>
      <c r="O458" s="35" t="str">
        <f t="shared" si="175"/>
        <v/>
      </c>
      <c r="P458" s="124"/>
      <c r="Q458" s="36" t="str">
        <f t="shared" si="187"/>
        <v/>
      </c>
      <c r="R458" s="46" t="str">
        <f t="shared" si="176"/>
        <v/>
      </c>
      <c r="S458" s="38" t="str">
        <f t="shared" si="177"/>
        <v/>
      </c>
      <c r="T458" s="39" t="str">
        <f t="shared" si="178"/>
        <v/>
      </c>
      <c r="U458" s="40" t="str">
        <f t="shared" si="179"/>
        <v/>
      </c>
      <c r="V458" s="39" t="str">
        <f t="shared" si="180"/>
        <v/>
      </c>
      <c r="W458" s="34" t="str">
        <f t="shared" si="181"/>
        <v/>
      </c>
      <c r="X458" s="41" t="str">
        <f t="shared" si="188"/>
        <v/>
      </c>
      <c r="Y458" s="98" t="str">
        <f t="shared" si="182"/>
        <v/>
      </c>
      <c r="Z458" s="16" t="str">
        <f t="shared" si="189"/>
        <v/>
      </c>
      <c r="AB458" s="139"/>
      <c r="AC458" s="146" t="str">
        <f t="shared" si="168"/>
        <v/>
      </c>
      <c r="AD458" s="148" t="str">
        <f t="shared" si="190"/>
        <v/>
      </c>
      <c r="AE458" s="147" t="str">
        <f t="shared" si="183"/>
        <v/>
      </c>
      <c r="AF458" s="111" t="str">
        <f t="shared" si="184"/>
        <v/>
      </c>
      <c r="AG458" s="111" t="str">
        <f t="shared" si="185"/>
        <v/>
      </c>
      <c r="AH458" s="112" t="str">
        <f t="shared" si="186"/>
        <v/>
      </c>
      <c r="AI458" t="str">
        <f t="shared" si="191"/>
        <v/>
      </c>
      <c r="AJ458" t="str">
        <f t="shared" si="169"/>
        <v/>
      </c>
    </row>
    <row r="459" spans="1:36" ht="15" customHeight="1" x14ac:dyDescent="0.25">
      <c r="A459" s="114"/>
      <c r="B459" s="116"/>
      <c r="C459" s="116"/>
      <c r="D459" s="42" t="str">
        <f t="shared" si="170"/>
        <v/>
      </c>
      <c r="E459" s="43"/>
      <c r="F459" s="118"/>
      <c r="G459" s="44" t="str">
        <f t="shared" si="171"/>
        <v/>
      </c>
      <c r="H459" s="118"/>
      <c r="I459" s="34" t="str">
        <f t="shared" si="172"/>
        <v/>
      </c>
      <c r="J459" s="118"/>
      <c r="K459" s="34" t="str">
        <f t="shared" si="173"/>
        <v/>
      </c>
      <c r="L459" s="118"/>
      <c r="M459" s="121"/>
      <c r="N459" s="122" t="str">
        <f t="shared" si="174"/>
        <v/>
      </c>
      <c r="O459" s="35" t="str">
        <f t="shared" si="175"/>
        <v/>
      </c>
      <c r="P459" s="124"/>
      <c r="Q459" s="36" t="str">
        <f t="shared" si="187"/>
        <v/>
      </c>
      <c r="R459" s="46" t="str">
        <f t="shared" si="176"/>
        <v/>
      </c>
      <c r="S459" s="38" t="str">
        <f t="shared" si="177"/>
        <v/>
      </c>
      <c r="T459" s="39" t="str">
        <f t="shared" si="178"/>
        <v/>
      </c>
      <c r="U459" s="40" t="str">
        <f t="shared" si="179"/>
        <v/>
      </c>
      <c r="V459" s="39" t="str">
        <f t="shared" si="180"/>
        <v/>
      </c>
      <c r="W459" s="34" t="str">
        <f t="shared" si="181"/>
        <v/>
      </c>
      <c r="X459" s="41" t="str">
        <f t="shared" si="188"/>
        <v/>
      </c>
      <c r="Y459" s="98" t="str">
        <f t="shared" si="182"/>
        <v/>
      </c>
      <c r="Z459" s="16" t="str">
        <f t="shared" si="189"/>
        <v/>
      </c>
      <c r="AB459" s="139"/>
      <c r="AC459" s="146" t="str">
        <f t="shared" si="168"/>
        <v/>
      </c>
      <c r="AD459" s="148" t="str">
        <f t="shared" si="190"/>
        <v/>
      </c>
      <c r="AE459" s="147" t="str">
        <f t="shared" si="183"/>
        <v/>
      </c>
      <c r="AF459" s="111" t="str">
        <f t="shared" si="184"/>
        <v/>
      </c>
      <c r="AG459" s="111" t="str">
        <f t="shared" si="185"/>
        <v/>
      </c>
      <c r="AH459" s="112" t="str">
        <f t="shared" si="186"/>
        <v/>
      </c>
      <c r="AI459" t="str">
        <f t="shared" si="191"/>
        <v/>
      </c>
      <c r="AJ459" t="str">
        <f t="shared" si="169"/>
        <v/>
      </c>
    </row>
    <row r="460" spans="1:36" ht="15" customHeight="1" x14ac:dyDescent="0.25">
      <c r="A460" s="114"/>
      <c r="B460" s="116"/>
      <c r="C460" s="116"/>
      <c r="D460" s="42" t="str">
        <f t="shared" si="170"/>
        <v/>
      </c>
      <c r="E460" s="43"/>
      <c r="F460" s="118"/>
      <c r="G460" s="44" t="str">
        <f t="shared" si="171"/>
        <v/>
      </c>
      <c r="H460" s="118"/>
      <c r="I460" s="34" t="str">
        <f t="shared" si="172"/>
        <v/>
      </c>
      <c r="J460" s="118"/>
      <c r="K460" s="34" t="str">
        <f t="shared" si="173"/>
        <v/>
      </c>
      <c r="L460" s="118"/>
      <c r="M460" s="121"/>
      <c r="N460" s="122" t="str">
        <f t="shared" si="174"/>
        <v/>
      </c>
      <c r="O460" s="35" t="str">
        <f t="shared" si="175"/>
        <v/>
      </c>
      <c r="P460" s="124"/>
      <c r="Q460" s="36" t="str">
        <f t="shared" si="187"/>
        <v/>
      </c>
      <c r="R460" s="46" t="str">
        <f t="shared" si="176"/>
        <v/>
      </c>
      <c r="S460" s="38" t="str">
        <f t="shared" si="177"/>
        <v/>
      </c>
      <c r="T460" s="39" t="str">
        <f t="shared" si="178"/>
        <v/>
      </c>
      <c r="U460" s="40" t="str">
        <f t="shared" si="179"/>
        <v/>
      </c>
      <c r="V460" s="39" t="str">
        <f t="shared" si="180"/>
        <v/>
      </c>
      <c r="W460" s="34" t="str">
        <f t="shared" si="181"/>
        <v/>
      </c>
      <c r="X460" s="41" t="str">
        <f t="shared" si="188"/>
        <v/>
      </c>
      <c r="Y460" s="98" t="str">
        <f t="shared" si="182"/>
        <v/>
      </c>
      <c r="Z460" s="16" t="str">
        <f t="shared" si="189"/>
        <v/>
      </c>
      <c r="AB460" s="139"/>
      <c r="AC460" s="146" t="str">
        <f t="shared" ref="AC460:AC523" si="192">IF(AB460="","",Q460)</f>
        <v/>
      </c>
      <c r="AD460" s="148" t="str">
        <f t="shared" si="190"/>
        <v/>
      </c>
      <c r="AE460" s="147" t="str">
        <f t="shared" si="183"/>
        <v/>
      </c>
      <c r="AF460" s="111" t="str">
        <f t="shared" si="184"/>
        <v/>
      </c>
      <c r="AG460" s="111" t="str">
        <f t="shared" si="185"/>
        <v/>
      </c>
      <c r="AH460" s="112" t="str">
        <f t="shared" si="186"/>
        <v/>
      </c>
      <c r="AI460" t="str">
        <f t="shared" si="191"/>
        <v/>
      </c>
      <c r="AJ460" t="str">
        <f t="shared" ref="AJ460:AJ523" si="193">IF(OR(AB460=0,AB460=""),"",AC460*C460)</f>
        <v/>
      </c>
    </row>
    <row r="461" spans="1:36" ht="15" customHeight="1" x14ac:dyDescent="0.25">
      <c r="A461" s="114"/>
      <c r="B461" s="116"/>
      <c r="C461" s="116"/>
      <c r="D461" s="42" t="str">
        <f t="shared" si="170"/>
        <v/>
      </c>
      <c r="E461" s="43"/>
      <c r="F461" s="118"/>
      <c r="G461" s="44" t="str">
        <f t="shared" si="171"/>
        <v/>
      </c>
      <c r="H461" s="118"/>
      <c r="I461" s="34" t="str">
        <f t="shared" si="172"/>
        <v/>
      </c>
      <c r="J461" s="118"/>
      <c r="K461" s="34" t="str">
        <f t="shared" si="173"/>
        <v/>
      </c>
      <c r="L461" s="118"/>
      <c r="M461" s="121"/>
      <c r="N461" s="122" t="str">
        <f t="shared" si="174"/>
        <v/>
      </c>
      <c r="O461" s="35" t="str">
        <f t="shared" si="175"/>
        <v/>
      </c>
      <c r="P461" s="124"/>
      <c r="Q461" s="36" t="str">
        <f t="shared" si="187"/>
        <v/>
      </c>
      <c r="R461" s="46" t="str">
        <f t="shared" si="176"/>
        <v/>
      </c>
      <c r="S461" s="38" t="str">
        <f t="shared" si="177"/>
        <v/>
      </c>
      <c r="T461" s="39" t="str">
        <f t="shared" si="178"/>
        <v/>
      </c>
      <c r="U461" s="40" t="str">
        <f t="shared" si="179"/>
        <v/>
      </c>
      <c r="V461" s="39" t="str">
        <f t="shared" si="180"/>
        <v/>
      </c>
      <c r="W461" s="34" t="str">
        <f t="shared" si="181"/>
        <v/>
      </c>
      <c r="X461" s="41" t="str">
        <f t="shared" si="188"/>
        <v/>
      </c>
      <c r="Y461" s="98" t="str">
        <f t="shared" si="182"/>
        <v/>
      </c>
      <c r="Z461" s="16" t="str">
        <f t="shared" si="189"/>
        <v/>
      </c>
      <c r="AB461" s="139"/>
      <c r="AC461" s="146" t="str">
        <f t="shared" si="192"/>
        <v/>
      </c>
      <c r="AD461" s="148" t="str">
        <f t="shared" si="190"/>
        <v/>
      </c>
      <c r="AE461" s="147" t="str">
        <f t="shared" si="183"/>
        <v/>
      </c>
      <c r="AF461" s="111" t="str">
        <f t="shared" si="184"/>
        <v/>
      </c>
      <c r="AG461" s="111" t="str">
        <f t="shared" si="185"/>
        <v/>
      </c>
      <c r="AH461" s="112" t="str">
        <f t="shared" si="186"/>
        <v/>
      </c>
      <c r="AI461" t="str">
        <f t="shared" si="191"/>
        <v/>
      </c>
      <c r="AJ461" t="str">
        <f t="shared" si="193"/>
        <v/>
      </c>
    </row>
    <row r="462" spans="1:36" ht="15" customHeight="1" x14ac:dyDescent="0.25">
      <c r="A462" s="114"/>
      <c r="B462" s="116"/>
      <c r="C462" s="116"/>
      <c r="D462" s="42" t="str">
        <f t="shared" si="170"/>
        <v/>
      </c>
      <c r="E462" s="43"/>
      <c r="F462" s="118"/>
      <c r="G462" s="44" t="str">
        <f t="shared" si="171"/>
        <v/>
      </c>
      <c r="H462" s="118"/>
      <c r="I462" s="34" t="str">
        <f t="shared" si="172"/>
        <v/>
      </c>
      <c r="J462" s="118"/>
      <c r="K462" s="34" t="str">
        <f t="shared" si="173"/>
        <v/>
      </c>
      <c r="L462" s="118"/>
      <c r="M462" s="121"/>
      <c r="N462" s="122" t="str">
        <f t="shared" si="174"/>
        <v/>
      </c>
      <c r="O462" s="35" t="str">
        <f t="shared" si="175"/>
        <v/>
      </c>
      <c r="P462" s="124"/>
      <c r="Q462" s="36" t="str">
        <f t="shared" si="187"/>
        <v/>
      </c>
      <c r="R462" s="46" t="str">
        <f t="shared" si="176"/>
        <v/>
      </c>
      <c r="S462" s="38" t="str">
        <f t="shared" si="177"/>
        <v/>
      </c>
      <c r="T462" s="39" t="str">
        <f t="shared" si="178"/>
        <v/>
      </c>
      <c r="U462" s="40" t="str">
        <f t="shared" si="179"/>
        <v/>
      </c>
      <c r="V462" s="39" t="str">
        <f t="shared" si="180"/>
        <v/>
      </c>
      <c r="W462" s="34" t="str">
        <f t="shared" si="181"/>
        <v/>
      </c>
      <c r="X462" s="41" t="str">
        <f t="shared" si="188"/>
        <v/>
      </c>
      <c r="Y462" s="98" t="str">
        <f t="shared" si="182"/>
        <v/>
      </c>
      <c r="Z462" s="16" t="str">
        <f t="shared" si="189"/>
        <v/>
      </c>
      <c r="AB462" s="139"/>
      <c r="AC462" s="146" t="str">
        <f t="shared" si="192"/>
        <v/>
      </c>
      <c r="AD462" s="148" t="str">
        <f t="shared" si="190"/>
        <v/>
      </c>
      <c r="AE462" s="147" t="str">
        <f t="shared" si="183"/>
        <v/>
      </c>
      <c r="AF462" s="111" t="str">
        <f t="shared" si="184"/>
        <v/>
      </c>
      <c r="AG462" s="111" t="str">
        <f t="shared" si="185"/>
        <v/>
      </c>
      <c r="AH462" s="112" t="str">
        <f t="shared" si="186"/>
        <v/>
      </c>
      <c r="AI462" t="str">
        <f t="shared" si="191"/>
        <v/>
      </c>
      <c r="AJ462" t="str">
        <f t="shared" si="193"/>
        <v/>
      </c>
    </row>
    <row r="463" spans="1:36" ht="15" customHeight="1" x14ac:dyDescent="0.25">
      <c r="A463" s="114"/>
      <c r="B463" s="116"/>
      <c r="C463" s="116"/>
      <c r="D463" s="42" t="str">
        <f t="shared" si="170"/>
        <v/>
      </c>
      <c r="E463" s="43"/>
      <c r="F463" s="118"/>
      <c r="G463" s="44" t="str">
        <f t="shared" si="171"/>
        <v/>
      </c>
      <c r="H463" s="118"/>
      <c r="I463" s="34" t="str">
        <f t="shared" si="172"/>
        <v/>
      </c>
      <c r="J463" s="118"/>
      <c r="K463" s="34" t="str">
        <f t="shared" si="173"/>
        <v/>
      </c>
      <c r="L463" s="118"/>
      <c r="M463" s="121"/>
      <c r="N463" s="122" t="str">
        <f t="shared" si="174"/>
        <v/>
      </c>
      <c r="O463" s="35" t="str">
        <f t="shared" si="175"/>
        <v/>
      </c>
      <c r="P463" s="124"/>
      <c r="Q463" s="36" t="str">
        <f t="shared" si="187"/>
        <v/>
      </c>
      <c r="R463" s="46" t="str">
        <f t="shared" si="176"/>
        <v/>
      </c>
      <c r="S463" s="38" t="str">
        <f t="shared" si="177"/>
        <v/>
      </c>
      <c r="T463" s="39" t="str">
        <f t="shared" si="178"/>
        <v/>
      </c>
      <c r="U463" s="40" t="str">
        <f t="shared" si="179"/>
        <v/>
      </c>
      <c r="V463" s="39" t="str">
        <f t="shared" si="180"/>
        <v/>
      </c>
      <c r="W463" s="34" t="str">
        <f t="shared" si="181"/>
        <v/>
      </c>
      <c r="X463" s="41" t="str">
        <f t="shared" si="188"/>
        <v/>
      </c>
      <c r="Y463" s="98" t="str">
        <f t="shared" si="182"/>
        <v/>
      </c>
      <c r="Z463" s="16" t="str">
        <f t="shared" si="189"/>
        <v/>
      </c>
      <c r="AB463" s="139"/>
      <c r="AC463" s="146" t="str">
        <f t="shared" si="192"/>
        <v/>
      </c>
      <c r="AD463" s="148" t="str">
        <f t="shared" si="190"/>
        <v/>
      </c>
      <c r="AE463" s="147" t="str">
        <f t="shared" si="183"/>
        <v/>
      </c>
      <c r="AF463" s="111" t="str">
        <f t="shared" si="184"/>
        <v/>
      </c>
      <c r="AG463" s="111" t="str">
        <f t="shared" si="185"/>
        <v/>
      </c>
      <c r="AH463" s="112" t="str">
        <f t="shared" si="186"/>
        <v/>
      </c>
      <c r="AI463" t="str">
        <f t="shared" si="191"/>
        <v/>
      </c>
      <c r="AJ463" t="str">
        <f t="shared" si="193"/>
        <v/>
      </c>
    </row>
    <row r="464" spans="1:36" ht="15" customHeight="1" x14ac:dyDescent="0.25">
      <c r="A464" s="114"/>
      <c r="B464" s="116"/>
      <c r="C464" s="116"/>
      <c r="D464" s="42" t="str">
        <f t="shared" si="170"/>
        <v/>
      </c>
      <c r="E464" s="43"/>
      <c r="F464" s="118"/>
      <c r="G464" s="44" t="str">
        <f t="shared" si="171"/>
        <v/>
      </c>
      <c r="H464" s="118"/>
      <c r="I464" s="34" t="str">
        <f t="shared" si="172"/>
        <v/>
      </c>
      <c r="J464" s="118"/>
      <c r="K464" s="34" t="str">
        <f t="shared" si="173"/>
        <v/>
      </c>
      <c r="L464" s="118"/>
      <c r="M464" s="121"/>
      <c r="N464" s="122" t="str">
        <f t="shared" si="174"/>
        <v/>
      </c>
      <c r="O464" s="35" t="str">
        <f t="shared" si="175"/>
        <v/>
      </c>
      <c r="P464" s="124"/>
      <c r="Q464" s="36" t="str">
        <f t="shared" si="187"/>
        <v/>
      </c>
      <c r="R464" s="46" t="str">
        <f t="shared" si="176"/>
        <v/>
      </c>
      <c r="S464" s="38" t="str">
        <f t="shared" si="177"/>
        <v/>
      </c>
      <c r="T464" s="39" t="str">
        <f t="shared" si="178"/>
        <v/>
      </c>
      <c r="U464" s="40" t="str">
        <f t="shared" si="179"/>
        <v/>
      </c>
      <c r="V464" s="39" t="str">
        <f t="shared" si="180"/>
        <v/>
      </c>
      <c r="W464" s="34" t="str">
        <f t="shared" si="181"/>
        <v/>
      </c>
      <c r="X464" s="41" t="str">
        <f t="shared" si="188"/>
        <v/>
      </c>
      <c r="Y464" s="98" t="str">
        <f t="shared" si="182"/>
        <v/>
      </c>
      <c r="Z464" s="16" t="str">
        <f t="shared" si="189"/>
        <v/>
      </c>
      <c r="AB464" s="139"/>
      <c r="AC464" s="146" t="str">
        <f t="shared" si="192"/>
        <v/>
      </c>
      <c r="AD464" s="148" t="str">
        <f t="shared" si="190"/>
        <v/>
      </c>
      <c r="AE464" s="147" t="str">
        <f t="shared" si="183"/>
        <v/>
      </c>
      <c r="AF464" s="111" t="str">
        <f t="shared" si="184"/>
        <v/>
      </c>
      <c r="AG464" s="111" t="str">
        <f t="shared" si="185"/>
        <v/>
      </c>
      <c r="AH464" s="112" t="str">
        <f t="shared" si="186"/>
        <v/>
      </c>
      <c r="AI464" t="str">
        <f t="shared" si="191"/>
        <v/>
      </c>
      <c r="AJ464" t="str">
        <f t="shared" si="193"/>
        <v/>
      </c>
    </row>
    <row r="465" spans="1:36" ht="15" customHeight="1" x14ac:dyDescent="0.25">
      <c r="A465" s="114"/>
      <c r="B465" s="116"/>
      <c r="C465" s="116"/>
      <c r="D465" s="42" t="str">
        <f t="shared" si="170"/>
        <v/>
      </c>
      <c r="E465" s="43"/>
      <c r="F465" s="118"/>
      <c r="G465" s="44" t="str">
        <f t="shared" si="171"/>
        <v/>
      </c>
      <c r="H465" s="118"/>
      <c r="I465" s="34" t="str">
        <f t="shared" si="172"/>
        <v/>
      </c>
      <c r="J465" s="118"/>
      <c r="K465" s="34" t="str">
        <f t="shared" si="173"/>
        <v/>
      </c>
      <c r="L465" s="118"/>
      <c r="M465" s="121"/>
      <c r="N465" s="122" t="str">
        <f t="shared" si="174"/>
        <v/>
      </c>
      <c r="O465" s="35" t="str">
        <f t="shared" si="175"/>
        <v/>
      </c>
      <c r="P465" s="124"/>
      <c r="Q465" s="36" t="str">
        <f t="shared" si="187"/>
        <v/>
      </c>
      <c r="R465" s="46" t="str">
        <f t="shared" si="176"/>
        <v/>
      </c>
      <c r="S465" s="38" t="str">
        <f t="shared" si="177"/>
        <v/>
      </c>
      <c r="T465" s="39" t="str">
        <f t="shared" si="178"/>
        <v/>
      </c>
      <c r="U465" s="40" t="str">
        <f t="shared" si="179"/>
        <v/>
      </c>
      <c r="V465" s="39" t="str">
        <f t="shared" si="180"/>
        <v/>
      </c>
      <c r="W465" s="34" t="str">
        <f t="shared" si="181"/>
        <v/>
      </c>
      <c r="X465" s="41" t="str">
        <f t="shared" si="188"/>
        <v/>
      </c>
      <c r="Y465" s="98" t="str">
        <f t="shared" si="182"/>
        <v/>
      </c>
      <c r="Z465" s="16" t="str">
        <f t="shared" si="189"/>
        <v/>
      </c>
      <c r="AB465" s="139"/>
      <c r="AC465" s="146" t="str">
        <f t="shared" si="192"/>
        <v/>
      </c>
      <c r="AD465" s="148" t="str">
        <f t="shared" si="190"/>
        <v/>
      </c>
      <c r="AE465" s="147" t="str">
        <f t="shared" si="183"/>
        <v/>
      </c>
      <c r="AF465" s="111" t="str">
        <f t="shared" si="184"/>
        <v/>
      </c>
      <c r="AG465" s="111" t="str">
        <f t="shared" si="185"/>
        <v/>
      </c>
      <c r="AH465" s="112" t="str">
        <f t="shared" si="186"/>
        <v/>
      </c>
      <c r="AI465" t="str">
        <f t="shared" si="191"/>
        <v/>
      </c>
      <c r="AJ465" t="str">
        <f t="shared" si="193"/>
        <v/>
      </c>
    </row>
    <row r="466" spans="1:36" ht="15" customHeight="1" x14ac:dyDescent="0.25">
      <c r="A466" s="114"/>
      <c r="B466" s="116"/>
      <c r="C466" s="116"/>
      <c r="D466" s="42" t="str">
        <f t="shared" si="170"/>
        <v/>
      </c>
      <c r="E466" s="43"/>
      <c r="F466" s="118"/>
      <c r="G466" s="44" t="str">
        <f t="shared" si="171"/>
        <v/>
      </c>
      <c r="H466" s="118"/>
      <c r="I466" s="34" t="str">
        <f t="shared" si="172"/>
        <v/>
      </c>
      <c r="J466" s="118"/>
      <c r="K466" s="34" t="str">
        <f t="shared" si="173"/>
        <v/>
      </c>
      <c r="L466" s="118"/>
      <c r="M466" s="121"/>
      <c r="N466" s="122" t="str">
        <f t="shared" si="174"/>
        <v/>
      </c>
      <c r="O466" s="35" t="str">
        <f t="shared" si="175"/>
        <v/>
      </c>
      <c r="P466" s="124"/>
      <c r="Q466" s="36" t="str">
        <f t="shared" si="187"/>
        <v/>
      </c>
      <c r="R466" s="46" t="str">
        <f t="shared" si="176"/>
        <v/>
      </c>
      <c r="S466" s="38" t="str">
        <f t="shared" si="177"/>
        <v/>
      </c>
      <c r="T466" s="39" t="str">
        <f t="shared" si="178"/>
        <v/>
      </c>
      <c r="U466" s="40" t="str">
        <f t="shared" si="179"/>
        <v/>
      </c>
      <c r="V466" s="39" t="str">
        <f t="shared" si="180"/>
        <v/>
      </c>
      <c r="W466" s="34" t="str">
        <f t="shared" si="181"/>
        <v/>
      </c>
      <c r="X466" s="41" t="str">
        <f t="shared" si="188"/>
        <v/>
      </c>
      <c r="Y466" s="98" t="str">
        <f t="shared" si="182"/>
        <v/>
      </c>
      <c r="Z466" s="16" t="str">
        <f t="shared" si="189"/>
        <v/>
      </c>
      <c r="AB466" s="139"/>
      <c r="AC466" s="146" t="str">
        <f t="shared" si="192"/>
        <v/>
      </c>
      <c r="AD466" s="148" t="str">
        <f t="shared" si="190"/>
        <v/>
      </c>
      <c r="AE466" s="147" t="str">
        <f t="shared" si="183"/>
        <v/>
      </c>
      <c r="AF466" s="111" t="str">
        <f t="shared" si="184"/>
        <v/>
      </c>
      <c r="AG466" s="111" t="str">
        <f t="shared" si="185"/>
        <v/>
      </c>
      <c r="AH466" s="112" t="str">
        <f t="shared" si="186"/>
        <v/>
      </c>
      <c r="AI466" t="str">
        <f t="shared" si="191"/>
        <v/>
      </c>
      <c r="AJ466" t="str">
        <f t="shared" si="193"/>
        <v/>
      </c>
    </row>
    <row r="467" spans="1:36" ht="15" customHeight="1" x14ac:dyDescent="0.25">
      <c r="A467" s="114"/>
      <c r="B467" s="116"/>
      <c r="C467" s="116"/>
      <c r="D467" s="42" t="str">
        <f t="shared" si="170"/>
        <v/>
      </c>
      <c r="E467" s="43"/>
      <c r="F467" s="118"/>
      <c r="G467" s="44" t="str">
        <f t="shared" si="171"/>
        <v/>
      </c>
      <c r="H467" s="118"/>
      <c r="I467" s="34" t="str">
        <f t="shared" si="172"/>
        <v/>
      </c>
      <c r="J467" s="118"/>
      <c r="K467" s="34" t="str">
        <f t="shared" si="173"/>
        <v/>
      </c>
      <c r="L467" s="118"/>
      <c r="M467" s="121"/>
      <c r="N467" s="122" t="str">
        <f t="shared" si="174"/>
        <v/>
      </c>
      <c r="O467" s="35" t="str">
        <f t="shared" si="175"/>
        <v/>
      </c>
      <c r="P467" s="124"/>
      <c r="Q467" s="36" t="str">
        <f t="shared" si="187"/>
        <v/>
      </c>
      <c r="R467" s="46" t="str">
        <f t="shared" si="176"/>
        <v/>
      </c>
      <c r="S467" s="38" t="str">
        <f t="shared" si="177"/>
        <v/>
      </c>
      <c r="T467" s="39" t="str">
        <f t="shared" si="178"/>
        <v/>
      </c>
      <c r="U467" s="40" t="str">
        <f t="shared" si="179"/>
        <v/>
      </c>
      <c r="V467" s="39" t="str">
        <f t="shared" si="180"/>
        <v/>
      </c>
      <c r="W467" s="34" t="str">
        <f t="shared" si="181"/>
        <v/>
      </c>
      <c r="X467" s="41" t="str">
        <f t="shared" si="188"/>
        <v/>
      </c>
      <c r="Y467" s="98" t="str">
        <f t="shared" si="182"/>
        <v/>
      </c>
      <c r="Z467" s="16" t="str">
        <f t="shared" si="189"/>
        <v/>
      </c>
      <c r="AB467" s="139"/>
      <c r="AC467" s="146" t="str">
        <f t="shared" si="192"/>
        <v/>
      </c>
      <c r="AD467" s="148" t="str">
        <f t="shared" si="190"/>
        <v/>
      </c>
      <c r="AE467" s="147" t="str">
        <f t="shared" si="183"/>
        <v/>
      </c>
      <c r="AF467" s="111" t="str">
        <f t="shared" si="184"/>
        <v/>
      </c>
      <c r="AG467" s="111" t="str">
        <f t="shared" si="185"/>
        <v/>
      </c>
      <c r="AH467" s="112" t="str">
        <f t="shared" si="186"/>
        <v/>
      </c>
      <c r="AI467" t="str">
        <f t="shared" si="191"/>
        <v/>
      </c>
      <c r="AJ467" t="str">
        <f t="shared" si="193"/>
        <v/>
      </c>
    </row>
    <row r="468" spans="1:36" ht="15" customHeight="1" x14ac:dyDescent="0.25">
      <c r="A468" s="114"/>
      <c r="B468" s="116"/>
      <c r="C468" s="116"/>
      <c r="D468" s="42" t="str">
        <f t="shared" si="170"/>
        <v/>
      </c>
      <c r="E468" s="43"/>
      <c r="F468" s="118"/>
      <c r="G468" s="44" t="str">
        <f t="shared" si="171"/>
        <v/>
      </c>
      <c r="H468" s="118"/>
      <c r="I468" s="34" t="str">
        <f t="shared" si="172"/>
        <v/>
      </c>
      <c r="J468" s="118"/>
      <c r="K468" s="34" t="str">
        <f t="shared" si="173"/>
        <v/>
      </c>
      <c r="L468" s="118"/>
      <c r="M468" s="121"/>
      <c r="N468" s="122" t="str">
        <f t="shared" si="174"/>
        <v/>
      </c>
      <c r="O468" s="35" t="str">
        <f t="shared" si="175"/>
        <v/>
      </c>
      <c r="P468" s="124"/>
      <c r="Q468" s="36" t="str">
        <f t="shared" si="187"/>
        <v/>
      </c>
      <c r="R468" s="46" t="str">
        <f t="shared" si="176"/>
        <v/>
      </c>
      <c r="S468" s="38" t="str">
        <f t="shared" si="177"/>
        <v/>
      </c>
      <c r="T468" s="39" t="str">
        <f t="shared" si="178"/>
        <v/>
      </c>
      <c r="U468" s="40" t="str">
        <f t="shared" si="179"/>
        <v/>
      </c>
      <c r="V468" s="39" t="str">
        <f t="shared" si="180"/>
        <v/>
      </c>
      <c r="W468" s="34" t="str">
        <f t="shared" si="181"/>
        <v/>
      </c>
      <c r="X468" s="41" t="str">
        <f t="shared" si="188"/>
        <v/>
      </c>
      <c r="Y468" s="98" t="str">
        <f t="shared" si="182"/>
        <v/>
      </c>
      <c r="Z468" s="16" t="str">
        <f t="shared" si="189"/>
        <v/>
      </c>
      <c r="AB468" s="139"/>
      <c r="AC468" s="146" t="str">
        <f t="shared" si="192"/>
        <v/>
      </c>
      <c r="AD468" s="148" t="str">
        <f t="shared" si="190"/>
        <v/>
      </c>
      <c r="AE468" s="147" t="str">
        <f t="shared" si="183"/>
        <v/>
      </c>
      <c r="AF468" s="111" t="str">
        <f t="shared" si="184"/>
        <v/>
      </c>
      <c r="AG468" s="111" t="str">
        <f t="shared" si="185"/>
        <v/>
      </c>
      <c r="AH468" s="112" t="str">
        <f t="shared" si="186"/>
        <v/>
      </c>
      <c r="AI468" t="str">
        <f t="shared" si="191"/>
        <v/>
      </c>
      <c r="AJ468" t="str">
        <f t="shared" si="193"/>
        <v/>
      </c>
    </row>
    <row r="469" spans="1:36" ht="15" customHeight="1" x14ac:dyDescent="0.25">
      <c r="A469" s="114"/>
      <c r="B469" s="116"/>
      <c r="C469" s="116"/>
      <c r="D469" s="42" t="str">
        <f t="shared" si="170"/>
        <v/>
      </c>
      <c r="E469" s="43"/>
      <c r="F469" s="118"/>
      <c r="G469" s="44" t="str">
        <f t="shared" si="171"/>
        <v/>
      </c>
      <c r="H469" s="118"/>
      <c r="I469" s="34" t="str">
        <f t="shared" si="172"/>
        <v/>
      </c>
      <c r="J469" s="118"/>
      <c r="K469" s="34" t="str">
        <f t="shared" si="173"/>
        <v/>
      </c>
      <c r="L469" s="118"/>
      <c r="M469" s="121"/>
      <c r="N469" s="122" t="str">
        <f t="shared" si="174"/>
        <v/>
      </c>
      <c r="O469" s="35" t="str">
        <f t="shared" si="175"/>
        <v/>
      </c>
      <c r="P469" s="124"/>
      <c r="Q469" s="36" t="str">
        <f t="shared" si="187"/>
        <v/>
      </c>
      <c r="R469" s="46" t="str">
        <f t="shared" si="176"/>
        <v/>
      </c>
      <c r="S469" s="38" t="str">
        <f t="shared" si="177"/>
        <v/>
      </c>
      <c r="T469" s="39" t="str">
        <f t="shared" si="178"/>
        <v/>
      </c>
      <c r="U469" s="40" t="str">
        <f t="shared" si="179"/>
        <v/>
      </c>
      <c r="V469" s="39" t="str">
        <f t="shared" si="180"/>
        <v/>
      </c>
      <c r="W469" s="34" t="str">
        <f t="shared" si="181"/>
        <v/>
      </c>
      <c r="X469" s="41" t="str">
        <f t="shared" si="188"/>
        <v/>
      </c>
      <c r="Y469" s="98" t="str">
        <f t="shared" si="182"/>
        <v/>
      </c>
      <c r="Z469" s="16" t="str">
        <f t="shared" si="189"/>
        <v/>
      </c>
      <c r="AB469" s="139"/>
      <c r="AC469" s="146" t="str">
        <f t="shared" si="192"/>
        <v/>
      </c>
      <c r="AD469" s="148" t="str">
        <f t="shared" si="190"/>
        <v/>
      </c>
      <c r="AE469" s="147" t="str">
        <f t="shared" si="183"/>
        <v/>
      </c>
      <c r="AF469" s="111" t="str">
        <f t="shared" si="184"/>
        <v/>
      </c>
      <c r="AG469" s="111" t="str">
        <f t="shared" si="185"/>
        <v/>
      </c>
      <c r="AH469" s="112" t="str">
        <f t="shared" si="186"/>
        <v/>
      </c>
      <c r="AI469" t="str">
        <f t="shared" si="191"/>
        <v/>
      </c>
      <c r="AJ469" t="str">
        <f t="shared" si="193"/>
        <v/>
      </c>
    </row>
    <row r="470" spans="1:36" ht="15" customHeight="1" x14ac:dyDescent="0.25">
      <c r="A470" s="114"/>
      <c r="B470" s="116"/>
      <c r="C470" s="116"/>
      <c r="D470" s="42" t="str">
        <f t="shared" si="170"/>
        <v/>
      </c>
      <c r="E470" s="43"/>
      <c r="F470" s="118"/>
      <c r="G470" s="44" t="str">
        <f t="shared" si="171"/>
        <v/>
      </c>
      <c r="H470" s="118"/>
      <c r="I470" s="34" t="str">
        <f t="shared" si="172"/>
        <v/>
      </c>
      <c r="J470" s="118"/>
      <c r="K470" s="34" t="str">
        <f t="shared" si="173"/>
        <v/>
      </c>
      <c r="L470" s="118"/>
      <c r="M470" s="121"/>
      <c r="N470" s="122" t="str">
        <f t="shared" si="174"/>
        <v/>
      </c>
      <c r="O470" s="35" t="str">
        <f t="shared" si="175"/>
        <v/>
      </c>
      <c r="P470" s="124"/>
      <c r="Q470" s="36" t="str">
        <f t="shared" si="187"/>
        <v/>
      </c>
      <c r="R470" s="46" t="str">
        <f t="shared" si="176"/>
        <v/>
      </c>
      <c r="S470" s="38" t="str">
        <f t="shared" si="177"/>
        <v/>
      </c>
      <c r="T470" s="39" t="str">
        <f t="shared" si="178"/>
        <v/>
      </c>
      <c r="U470" s="40" t="str">
        <f t="shared" si="179"/>
        <v/>
      </c>
      <c r="V470" s="39" t="str">
        <f t="shared" si="180"/>
        <v/>
      </c>
      <c r="W470" s="34" t="str">
        <f t="shared" si="181"/>
        <v/>
      </c>
      <c r="X470" s="41" t="str">
        <f t="shared" si="188"/>
        <v/>
      </c>
      <c r="Y470" s="98" t="str">
        <f t="shared" si="182"/>
        <v/>
      </c>
      <c r="Z470" s="16" t="str">
        <f t="shared" si="189"/>
        <v/>
      </c>
      <c r="AB470" s="139"/>
      <c r="AC470" s="146" t="str">
        <f t="shared" si="192"/>
        <v/>
      </c>
      <c r="AD470" s="148" t="str">
        <f t="shared" si="190"/>
        <v/>
      </c>
      <c r="AE470" s="147" t="str">
        <f t="shared" si="183"/>
        <v/>
      </c>
      <c r="AF470" s="111" t="str">
        <f t="shared" si="184"/>
        <v/>
      </c>
      <c r="AG470" s="111" t="str">
        <f t="shared" si="185"/>
        <v/>
      </c>
      <c r="AH470" s="112" t="str">
        <f t="shared" si="186"/>
        <v/>
      </c>
      <c r="AI470" t="str">
        <f t="shared" si="191"/>
        <v/>
      </c>
      <c r="AJ470" t="str">
        <f t="shared" si="193"/>
        <v/>
      </c>
    </row>
    <row r="471" spans="1:36" ht="15" customHeight="1" x14ac:dyDescent="0.25">
      <c r="A471" s="114"/>
      <c r="B471" s="116"/>
      <c r="C471" s="116"/>
      <c r="D471" s="42" t="str">
        <f t="shared" si="170"/>
        <v/>
      </c>
      <c r="E471" s="43"/>
      <c r="F471" s="118"/>
      <c r="G471" s="44" t="str">
        <f t="shared" si="171"/>
        <v/>
      </c>
      <c r="H471" s="118"/>
      <c r="I471" s="34" t="str">
        <f t="shared" si="172"/>
        <v/>
      </c>
      <c r="J471" s="118"/>
      <c r="K471" s="34" t="str">
        <f t="shared" si="173"/>
        <v/>
      </c>
      <c r="L471" s="118"/>
      <c r="M471" s="121"/>
      <c r="N471" s="122" t="str">
        <f t="shared" si="174"/>
        <v/>
      </c>
      <c r="O471" s="35" t="str">
        <f t="shared" si="175"/>
        <v/>
      </c>
      <c r="P471" s="124"/>
      <c r="Q471" s="36" t="str">
        <f t="shared" si="187"/>
        <v/>
      </c>
      <c r="R471" s="46" t="str">
        <f t="shared" si="176"/>
        <v/>
      </c>
      <c r="S471" s="38" t="str">
        <f t="shared" si="177"/>
        <v/>
      </c>
      <c r="T471" s="39" t="str">
        <f t="shared" si="178"/>
        <v/>
      </c>
      <c r="U471" s="40" t="str">
        <f t="shared" si="179"/>
        <v/>
      </c>
      <c r="V471" s="39" t="str">
        <f t="shared" si="180"/>
        <v/>
      </c>
      <c r="W471" s="34" t="str">
        <f t="shared" si="181"/>
        <v/>
      </c>
      <c r="X471" s="41" t="str">
        <f t="shared" si="188"/>
        <v/>
      </c>
      <c r="Y471" s="98" t="str">
        <f t="shared" si="182"/>
        <v/>
      </c>
      <c r="Z471" s="16" t="str">
        <f t="shared" si="189"/>
        <v/>
      </c>
      <c r="AB471" s="139"/>
      <c r="AC471" s="146" t="str">
        <f t="shared" si="192"/>
        <v/>
      </c>
      <c r="AD471" s="148" t="str">
        <f t="shared" si="190"/>
        <v/>
      </c>
      <c r="AE471" s="147" t="str">
        <f t="shared" si="183"/>
        <v/>
      </c>
      <c r="AF471" s="111" t="str">
        <f t="shared" si="184"/>
        <v/>
      </c>
      <c r="AG471" s="111" t="str">
        <f t="shared" si="185"/>
        <v/>
      </c>
      <c r="AH471" s="112" t="str">
        <f t="shared" si="186"/>
        <v/>
      </c>
      <c r="AI471" t="str">
        <f t="shared" si="191"/>
        <v/>
      </c>
      <c r="AJ471" t="str">
        <f t="shared" si="193"/>
        <v/>
      </c>
    </row>
    <row r="472" spans="1:36" ht="15" customHeight="1" x14ac:dyDescent="0.25">
      <c r="A472" s="114"/>
      <c r="B472" s="116"/>
      <c r="C472" s="116"/>
      <c r="D472" s="42" t="str">
        <f t="shared" si="170"/>
        <v/>
      </c>
      <c r="E472" s="43"/>
      <c r="F472" s="118"/>
      <c r="G472" s="44" t="str">
        <f t="shared" si="171"/>
        <v/>
      </c>
      <c r="H472" s="118"/>
      <c r="I472" s="34" t="str">
        <f t="shared" si="172"/>
        <v/>
      </c>
      <c r="J472" s="118"/>
      <c r="K472" s="34" t="str">
        <f t="shared" si="173"/>
        <v/>
      </c>
      <c r="L472" s="118"/>
      <c r="M472" s="121"/>
      <c r="N472" s="122" t="str">
        <f t="shared" si="174"/>
        <v/>
      </c>
      <c r="O472" s="35" t="str">
        <f t="shared" si="175"/>
        <v/>
      </c>
      <c r="P472" s="124"/>
      <c r="Q472" s="36" t="str">
        <f t="shared" si="187"/>
        <v/>
      </c>
      <c r="R472" s="46" t="str">
        <f t="shared" si="176"/>
        <v/>
      </c>
      <c r="S472" s="38" t="str">
        <f t="shared" si="177"/>
        <v/>
      </c>
      <c r="T472" s="39" t="str">
        <f t="shared" si="178"/>
        <v/>
      </c>
      <c r="U472" s="40" t="str">
        <f t="shared" si="179"/>
        <v/>
      </c>
      <c r="V472" s="39" t="str">
        <f t="shared" si="180"/>
        <v/>
      </c>
      <c r="W472" s="34" t="str">
        <f t="shared" si="181"/>
        <v/>
      </c>
      <c r="X472" s="41" t="str">
        <f t="shared" si="188"/>
        <v/>
      </c>
      <c r="Y472" s="98" t="str">
        <f t="shared" si="182"/>
        <v/>
      </c>
      <c r="Z472" s="16" t="str">
        <f t="shared" si="189"/>
        <v/>
      </c>
      <c r="AB472" s="139"/>
      <c r="AC472" s="146" t="str">
        <f t="shared" si="192"/>
        <v/>
      </c>
      <c r="AD472" s="148" t="str">
        <f t="shared" si="190"/>
        <v/>
      </c>
      <c r="AE472" s="147" t="str">
        <f t="shared" si="183"/>
        <v/>
      </c>
      <c r="AF472" s="111" t="str">
        <f t="shared" si="184"/>
        <v/>
      </c>
      <c r="AG472" s="111" t="str">
        <f t="shared" si="185"/>
        <v/>
      </c>
      <c r="AH472" s="112" t="str">
        <f t="shared" si="186"/>
        <v/>
      </c>
      <c r="AI472" t="str">
        <f t="shared" si="191"/>
        <v/>
      </c>
      <c r="AJ472" t="str">
        <f t="shared" si="193"/>
        <v/>
      </c>
    </row>
    <row r="473" spans="1:36" ht="15" customHeight="1" x14ac:dyDescent="0.25">
      <c r="A473" s="114"/>
      <c r="B473" s="116"/>
      <c r="C473" s="116"/>
      <c r="D473" s="42" t="str">
        <f t="shared" si="170"/>
        <v/>
      </c>
      <c r="E473" s="43"/>
      <c r="F473" s="118"/>
      <c r="G473" s="44" t="str">
        <f t="shared" si="171"/>
        <v/>
      </c>
      <c r="H473" s="118"/>
      <c r="I473" s="34" t="str">
        <f t="shared" si="172"/>
        <v/>
      </c>
      <c r="J473" s="118"/>
      <c r="K473" s="34" t="str">
        <f t="shared" si="173"/>
        <v/>
      </c>
      <c r="L473" s="118"/>
      <c r="M473" s="121"/>
      <c r="N473" s="122" t="str">
        <f t="shared" si="174"/>
        <v/>
      </c>
      <c r="O473" s="35" t="str">
        <f t="shared" si="175"/>
        <v/>
      </c>
      <c r="P473" s="124"/>
      <c r="Q473" s="36" t="str">
        <f t="shared" si="187"/>
        <v/>
      </c>
      <c r="R473" s="46" t="str">
        <f t="shared" si="176"/>
        <v/>
      </c>
      <c r="S473" s="38" t="str">
        <f t="shared" si="177"/>
        <v/>
      </c>
      <c r="T473" s="39" t="str">
        <f t="shared" si="178"/>
        <v/>
      </c>
      <c r="U473" s="40" t="str">
        <f t="shared" si="179"/>
        <v/>
      </c>
      <c r="V473" s="39" t="str">
        <f t="shared" si="180"/>
        <v/>
      </c>
      <c r="W473" s="34" t="str">
        <f t="shared" si="181"/>
        <v/>
      </c>
      <c r="X473" s="41" t="str">
        <f t="shared" si="188"/>
        <v/>
      </c>
      <c r="Y473" s="98" t="str">
        <f t="shared" si="182"/>
        <v/>
      </c>
      <c r="Z473" s="16" t="str">
        <f t="shared" si="189"/>
        <v/>
      </c>
      <c r="AB473" s="139"/>
      <c r="AC473" s="146" t="str">
        <f t="shared" si="192"/>
        <v/>
      </c>
      <c r="AD473" s="148" t="str">
        <f t="shared" si="190"/>
        <v/>
      </c>
      <c r="AE473" s="147" t="str">
        <f t="shared" si="183"/>
        <v/>
      </c>
      <c r="AF473" s="111" t="str">
        <f t="shared" si="184"/>
        <v/>
      </c>
      <c r="AG473" s="111" t="str">
        <f t="shared" si="185"/>
        <v/>
      </c>
      <c r="AH473" s="112" t="str">
        <f t="shared" si="186"/>
        <v/>
      </c>
      <c r="AI473" t="str">
        <f t="shared" si="191"/>
        <v/>
      </c>
      <c r="AJ473" t="str">
        <f t="shared" si="193"/>
        <v/>
      </c>
    </row>
    <row r="474" spans="1:36" ht="15" customHeight="1" x14ac:dyDescent="0.25">
      <c r="A474" s="114"/>
      <c r="B474" s="116"/>
      <c r="C474" s="116"/>
      <c r="D474" s="42" t="str">
        <f t="shared" si="170"/>
        <v/>
      </c>
      <c r="E474" s="43"/>
      <c r="F474" s="118"/>
      <c r="G474" s="44" t="str">
        <f t="shared" si="171"/>
        <v/>
      </c>
      <c r="H474" s="118"/>
      <c r="I474" s="34" t="str">
        <f t="shared" si="172"/>
        <v/>
      </c>
      <c r="J474" s="118"/>
      <c r="K474" s="34" t="str">
        <f t="shared" si="173"/>
        <v/>
      </c>
      <c r="L474" s="118"/>
      <c r="M474" s="121"/>
      <c r="N474" s="122" t="str">
        <f t="shared" si="174"/>
        <v/>
      </c>
      <c r="O474" s="35" t="str">
        <f t="shared" si="175"/>
        <v/>
      </c>
      <c r="P474" s="124"/>
      <c r="Q474" s="36" t="str">
        <f t="shared" si="187"/>
        <v/>
      </c>
      <c r="R474" s="46" t="str">
        <f t="shared" si="176"/>
        <v/>
      </c>
      <c r="S474" s="38" t="str">
        <f t="shared" si="177"/>
        <v/>
      </c>
      <c r="T474" s="39" t="str">
        <f t="shared" si="178"/>
        <v/>
      </c>
      <c r="U474" s="40" t="str">
        <f t="shared" si="179"/>
        <v/>
      </c>
      <c r="V474" s="39" t="str">
        <f t="shared" si="180"/>
        <v/>
      </c>
      <c r="W474" s="34" t="str">
        <f t="shared" si="181"/>
        <v/>
      </c>
      <c r="X474" s="41" t="str">
        <f t="shared" si="188"/>
        <v/>
      </c>
      <c r="Y474" s="98" t="str">
        <f t="shared" si="182"/>
        <v/>
      </c>
      <c r="Z474" s="16" t="str">
        <f t="shared" si="189"/>
        <v/>
      </c>
      <c r="AB474" s="139"/>
      <c r="AC474" s="146" t="str">
        <f t="shared" si="192"/>
        <v/>
      </c>
      <c r="AD474" s="148" t="str">
        <f t="shared" si="190"/>
        <v/>
      </c>
      <c r="AE474" s="147" t="str">
        <f t="shared" si="183"/>
        <v/>
      </c>
      <c r="AF474" s="111" t="str">
        <f t="shared" si="184"/>
        <v/>
      </c>
      <c r="AG474" s="111" t="str">
        <f t="shared" si="185"/>
        <v/>
      </c>
      <c r="AH474" s="112" t="str">
        <f t="shared" si="186"/>
        <v/>
      </c>
      <c r="AI474" t="str">
        <f t="shared" si="191"/>
        <v/>
      </c>
      <c r="AJ474" t="str">
        <f t="shared" si="193"/>
        <v/>
      </c>
    </row>
    <row r="475" spans="1:36" ht="15" customHeight="1" x14ac:dyDescent="0.25">
      <c r="A475" s="114"/>
      <c r="B475" s="116"/>
      <c r="C475" s="116"/>
      <c r="D475" s="42" t="str">
        <f t="shared" si="170"/>
        <v/>
      </c>
      <c r="E475" s="43"/>
      <c r="F475" s="118"/>
      <c r="G475" s="44" t="str">
        <f t="shared" si="171"/>
        <v/>
      </c>
      <c r="H475" s="118"/>
      <c r="I475" s="34" t="str">
        <f t="shared" si="172"/>
        <v/>
      </c>
      <c r="J475" s="118"/>
      <c r="K475" s="34" t="str">
        <f t="shared" si="173"/>
        <v/>
      </c>
      <c r="L475" s="118"/>
      <c r="M475" s="121"/>
      <c r="N475" s="122" t="str">
        <f t="shared" si="174"/>
        <v/>
      </c>
      <c r="O475" s="35" t="str">
        <f t="shared" si="175"/>
        <v/>
      </c>
      <c r="P475" s="124"/>
      <c r="Q475" s="36" t="str">
        <f t="shared" si="187"/>
        <v/>
      </c>
      <c r="R475" s="46" t="str">
        <f t="shared" si="176"/>
        <v/>
      </c>
      <c r="S475" s="38" t="str">
        <f t="shared" si="177"/>
        <v/>
      </c>
      <c r="T475" s="39" t="str">
        <f t="shared" si="178"/>
        <v/>
      </c>
      <c r="U475" s="40" t="str">
        <f t="shared" si="179"/>
        <v/>
      </c>
      <c r="V475" s="39" t="str">
        <f t="shared" si="180"/>
        <v/>
      </c>
      <c r="W475" s="34" t="str">
        <f t="shared" si="181"/>
        <v/>
      </c>
      <c r="X475" s="41" t="str">
        <f t="shared" si="188"/>
        <v/>
      </c>
      <c r="Y475" s="98" t="str">
        <f t="shared" si="182"/>
        <v/>
      </c>
      <c r="Z475" s="16" t="str">
        <f t="shared" si="189"/>
        <v/>
      </c>
      <c r="AB475" s="139"/>
      <c r="AC475" s="146" t="str">
        <f t="shared" si="192"/>
        <v/>
      </c>
      <c r="AD475" s="148" t="str">
        <f t="shared" si="190"/>
        <v/>
      </c>
      <c r="AE475" s="147" t="str">
        <f t="shared" si="183"/>
        <v/>
      </c>
      <c r="AF475" s="111" t="str">
        <f t="shared" si="184"/>
        <v/>
      </c>
      <c r="AG475" s="111" t="str">
        <f t="shared" si="185"/>
        <v/>
      </c>
      <c r="AH475" s="112" t="str">
        <f t="shared" si="186"/>
        <v/>
      </c>
      <c r="AI475" t="str">
        <f t="shared" si="191"/>
        <v/>
      </c>
      <c r="AJ475" t="str">
        <f t="shared" si="193"/>
        <v/>
      </c>
    </row>
    <row r="476" spans="1:36" ht="15" customHeight="1" x14ac:dyDescent="0.25">
      <c r="A476" s="114"/>
      <c r="B476" s="116"/>
      <c r="C476" s="116"/>
      <c r="D476" s="42" t="str">
        <f t="shared" si="170"/>
        <v/>
      </c>
      <c r="E476" s="43"/>
      <c r="F476" s="118"/>
      <c r="G476" s="44" t="str">
        <f t="shared" si="171"/>
        <v/>
      </c>
      <c r="H476" s="118"/>
      <c r="I476" s="34" t="str">
        <f t="shared" si="172"/>
        <v/>
      </c>
      <c r="J476" s="118"/>
      <c r="K476" s="34" t="str">
        <f t="shared" si="173"/>
        <v/>
      </c>
      <c r="L476" s="118"/>
      <c r="M476" s="121"/>
      <c r="N476" s="122" t="str">
        <f t="shared" si="174"/>
        <v/>
      </c>
      <c r="O476" s="35" t="str">
        <f t="shared" si="175"/>
        <v/>
      </c>
      <c r="P476" s="124"/>
      <c r="Q476" s="36" t="str">
        <f t="shared" si="187"/>
        <v/>
      </c>
      <c r="R476" s="46" t="str">
        <f t="shared" si="176"/>
        <v/>
      </c>
      <c r="S476" s="38" t="str">
        <f t="shared" si="177"/>
        <v/>
      </c>
      <c r="T476" s="39" t="str">
        <f t="shared" si="178"/>
        <v/>
      </c>
      <c r="U476" s="40" t="str">
        <f t="shared" si="179"/>
        <v/>
      </c>
      <c r="V476" s="39" t="str">
        <f t="shared" si="180"/>
        <v/>
      </c>
      <c r="W476" s="34" t="str">
        <f t="shared" si="181"/>
        <v/>
      </c>
      <c r="X476" s="41" t="str">
        <f t="shared" si="188"/>
        <v/>
      </c>
      <c r="Y476" s="98" t="str">
        <f t="shared" si="182"/>
        <v/>
      </c>
      <c r="Z476" s="16" t="str">
        <f t="shared" si="189"/>
        <v/>
      </c>
      <c r="AB476" s="139"/>
      <c r="AC476" s="146" t="str">
        <f t="shared" si="192"/>
        <v/>
      </c>
      <c r="AD476" s="148" t="str">
        <f t="shared" si="190"/>
        <v/>
      </c>
      <c r="AE476" s="147" t="str">
        <f t="shared" si="183"/>
        <v/>
      </c>
      <c r="AF476" s="111" t="str">
        <f t="shared" si="184"/>
        <v/>
      </c>
      <c r="AG476" s="111" t="str">
        <f t="shared" si="185"/>
        <v/>
      </c>
      <c r="AH476" s="112" t="str">
        <f t="shared" si="186"/>
        <v/>
      </c>
      <c r="AI476" t="str">
        <f t="shared" si="191"/>
        <v/>
      </c>
      <c r="AJ476" t="str">
        <f t="shared" si="193"/>
        <v/>
      </c>
    </row>
    <row r="477" spans="1:36" ht="15" customHeight="1" x14ac:dyDescent="0.25">
      <c r="A477" s="114"/>
      <c r="B477" s="116"/>
      <c r="C477" s="116"/>
      <c r="D477" s="42" t="str">
        <f t="shared" si="170"/>
        <v/>
      </c>
      <c r="E477" s="43"/>
      <c r="F477" s="118"/>
      <c r="G477" s="44" t="str">
        <f t="shared" si="171"/>
        <v/>
      </c>
      <c r="H477" s="118"/>
      <c r="I477" s="34" t="str">
        <f t="shared" si="172"/>
        <v/>
      </c>
      <c r="J477" s="118"/>
      <c r="K477" s="34" t="str">
        <f t="shared" si="173"/>
        <v/>
      </c>
      <c r="L477" s="118"/>
      <c r="M477" s="121"/>
      <c r="N477" s="122" t="str">
        <f t="shared" si="174"/>
        <v/>
      </c>
      <c r="O477" s="35" t="str">
        <f t="shared" si="175"/>
        <v/>
      </c>
      <c r="P477" s="124"/>
      <c r="Q477" s="36" t="str">
        <f t="shared" si="187"/>
        <v/>
      </c>
      <c r="R477" s="46" t="str">
        <f t="shared" si="176"/>
        <v/>
      </c>
      <c r="S477" s="38" t="str">
        <f t="shared" si="177"/>
        <v/>
      </c>
      <c r="T477" s="39" t="str">
        <f t="shared" si="178"/>
        <v/>
      </c>
      <c r="U477" s="40" t="str">
        <f t="shared" si="179"/>
        <v/>
      </c>
      <c r="V477" s="39" t="str">
        <f t="shared" si="180"/>
        <v/>
      </c>
      <c r="W477" s="34" t="str">
        <f t="shared" si="181"/>
        <v/>
      </c>
      <c r="X477" s="41" t="str">
        <f t="shared" si="188"/>
        <v/>
      </c>
      <c r="Y477" s="98" t="str">
        <f t="shared" si="182"/>
        <v/>
      </c>
      <c r="Z477" s="16" t="str">
        <f t="shared" si="189"/>
        <v/>
      </c>
      <c r="AB477" s="139"/>
      <c r="AC477" s="146" t="str">
        <f t="shared" si="192"/>
        <v/>
      </c>
      <c r="AD477" s="148" t="str">
        <f t="shared" si="190"/>
        <v/>
      </c>
      <c r="AE477" s="147" t="str">
        <f t="shared" si="183"/>
        <v/>
      </c>
      <c r="AF477" s="111" t="str">
        <f t="shared" si="184"/>
        <v/>
      </c>
      <c r="AG477" s="111" t="str">
        <f t="shared" si="185"/>
        <v/>
      </c>
      <c r="AH477" s="112" t="str">
        <f t="shared" si="186"/>
        <v/>
      </c>
      <c r="AI477" t="str">
        <f t="shared" si="191"/>
        <v/>
      </c>
      <c r="AJ477" t="str">
        <f t="shared" si="193"/>
        <v/>
      </c>
    </row>
    <row r="478" spans="1:36" ht="15" customHeight="1" x14ac:dyDescent="0.25">
      <c r="A478" s="114"/>
      <c r="B478" s="116"/>
      <c r="C478" s="116"/>
      <c r="D478" s="42" t="str">
        <f t="shared" si="170"/>
        <v/>
      </c>
      <c r="E478" s="43"/>
      <c r="F478" s="118"/>
      <c r="G478" s="44" t="str">
        <f t="shared" si="171"/>
        <v/>
      </c>
      <c r="H478" s="118"/>
      <c r="I478" s="34" t="str">
        <f t="shared" si="172"/>
        <v/>
      </c>
      <c r="J478" s="118"/>
      <c r="K478" s="34" t="str">
        <f t="shared" si="173"/>
        <v/>
      </c>
      <c r="L478" s="118"/>
      <c r="M478" s="121"/>
      <c r="N478" s="122" t="str">
        <f t="shared" si="174"/>
        <v/>
      </c>
      <c r="O478" s="35" t="str">
        <f t="shared" si="175"/>
        <v/>
      </c>
      <c r="P478" s="124"/>
      <c r="Q478" s="36" t="str">
        <f t="shared" si="187"/>
        <v/>
      </c>
      <c r="R478" s="46" t="str">
        <f t="shared" si="176"/>
        <v/>
      </c>
      <c r="S478" s="38" t="str">
        <f t="shared" si="177"/>
        <v/>
      </c>
      <c r="T478" s="39" t="str">
        <f t="shared" si="178"/>
        <v/>
      </c>
      <c r="U478" s="40" t="str">
        <f t="shared" si="179"/>
        <v/>
      </c>
      <c r="V478" s="39" t="str">
        <f t="shared" si="180"/>
        <v/>
      </c>
      <c r="W478" s="34" t="str">
        <f t="shared" si="181"/>
        <v/>
      </c>
      <c r="X478" s="41" t="str">
        <f t="shared" si="188"/>
        <v/>
      </c>
      <c r="Y478" s="98" t="str">
        <f t="shared" si="182"/>
        <v/>
      </c>
      <c r="Z478" s="16" t="str">
        <f t="shared" si="189"/>
        <v/>
      </c>
      <c r="AB478" s="139"/>
      <c r="AC478" s="146" t="str">
        <f t="shared" si="192"/>
        <v/>
      </c>
      <c r="AD478" s="148" t="str">
        <f t="shared" si="190"/>
        <v/>
      </c>
      <c r="AE478" s="147" t="str">
        <f t="shared" si="183"/>
        <v/>
      </c>
      <c r="AF478" s="111" t="str">
        <f t="shared" si="184"/>
        <v/>
      </c>
      <c r="AG478" s="111" t="str">
        <f t="shared" si="185"/>
        <v/>
      </c>
      <c r="AH478" s="112" t="str">
        <f t="shared" si="186"/>
        <v/>
      </c>
      <c r="AI478" t="str">
        <f t="shared" si="191"/>
        <v/>
      </c>
      <c r="AJ478" t="str">
        <f t="shared" si="193"/>
        <v/>
      </c>
    </row>
    <row r="479" spans="1:36" ht="15" customHeight="1" x14ac:dyDescent="0.25">
      <c r="A479" s="114"/>
      <c r="B479" s="116"/>
      <c r="C479" s="116"/>
      <c r="D479" s="42" t="str">
        <f t="shared" si="170"/>
        <v/>
      </c>
      <c r="E479" s="43"/>
      <c r="F479" s="118"/>
      <c r="G479" s="44" t="str">
        <f t="shared" si="171"/>
        <v/>
      </c>
      <c r="H479" s="118"/>
      <c r="I479" s="34" t="str">
        <f t="shared" si="172"/>
        <v/>
      </c>
      <c r="J479" s="118"/>
      <c r="K479" s="34" t="str">
        <f t="shared" si="173"/>
        <v/>
      </c>
      <c r="L479" s="118"/>
      <c r="M479" s="121"/>
      <c r="N479" s="122" t="str">
        <f t="shared" si="174"/>
        <v/>
      </c>
      <c r="O479" s="35" t="str">
        <f t="shared" si="175"/>
        <v/>
      </c>
      <c r="P479" s="124"/>
      <c r="Q479" s="36" t="str">
        <f t="shared" si="187"/>
        <v/>
      </c>
      <c r="R479" s="46" t="str">
        <f t="shared" si="176"/>
        <v/>
      </c>
      <c r="S479" s="38" t="str">
        <f t="shared" si="177"/>
        <v/>
      </c>
      <c r="T479" s="39" t="str">
        <f t="shared" si="178"/>
        <v/>
      </c>
      <c r="U479" s="40" t="str">
        <f t="shared" si="179"/>
        <v/>
      </c>
      <c r="V479" s="39" t="str">
        <f t="shared" si="180"/>
        <v/>
      </c>
      <c r="W479" s="34" t="str">
        <f t="shared" si="181"/>
        <v/>
      </c>
      <c r="X479" s="41" t="str">
        <f t="shared" si="188"/>
        <v/>
      </c>
      <c r="Y479" s="98" t="str">
        <f t="shared" si="182"/>
        <v/>
      </c>
      <c r="Z479" s="16" t="str">
        <f t="shared" si="189"/>
        <v/>
      </c>
      <c r="AB479" s="139"/>
      <c r="AC479" s="146" t="str">
        <f t="shared" si="192"/>
        <v/>
      </c>
      <c r="AD479" s="148" t="str">
        <f t="shared" si="190"/>
        <v/>
      </c>
      <c r="AE479" s="147" t="str">
        <f t="shared" si="183"/>
        <v/>
      </c>
      <c r="AF479" s="111" t="str">
        <f t="shared" si="184"/>
        <v/>
      </c>
      <c r="AG479" s="111" t="str">
        <f t="shared" si="185"/>
        <v/>
      </c>
      <c r="AH479" s="112" t="str">
        <f t="shared" si="186"/>
        <v/>
      </c>
      <c r="AI479" t="str">
        <f t="shared" si="191"/>
        <v/>
      </c>
      <c r="AJ479" t="str">
        <f t="shared" si="193"/>
        <v/>
      </c>
    </row>
    <row r="480" spans="1:36" ht="15" customHeight="1" x14ac:dyDescent="0.25">
      <c r="A480" s="114"/>
      <c r="B480" s="116"/>
      <c r="C480" s="116"/>
      <c r="D480" s="42" t="str">
        <f t="shared" si="170"/>
        <v/>
      </c>
      <c r="E480" s="43"/>
      <c r="F480" s="118"/>
      <c r="G480" s="44" t="str">
        <f t="shared" si="171"/>
        <v/>
      </c>
      <c r="H480" s="118"/>
      <c r="I480" s="34" t="str">
        <f t="shared" si="172"/>
        <v/>
      </c>
      <c r="J480" s="118"/>
      <c r="K480" s="34" t="str">
        <f t="shared" si="173"/>
        <v/>
      </c>
      <c r="L480" s="118"/>
      <c r="M480" s="121"/>
      <c r="N480" s="122" t="str">
        <f t="shared" si="174"/>
        <v/>
      </c>
      <c r="O480" s="35" t="str">
        <f t="shared" si="175"/>
        <v/>
      </c>
      <c r="P480" s="124"/>
      <c r="Q480" s="36" t="str">
        <f t="shared" si="187"/>
        <v/>
      </c>
      <c r="R480" s="46" t="str">
        <f t="shared" si="176"/>
        <v/>
      </c>
      <c r="S480" s="38" t="str">
        <f t="shared" si="177"/>
        <v/>
      </c>
      <c r="T480" s="39" t="str">
        <f t="shared" si="178"/>
        <v/>
      </c>
      <c r="U480" s="40" t="str">
        <f t="shared" si="179"/>
        <v/>
      </c>
      <c r="V480" s="39" t="str">
        <f t="shared" si="180"/>
        <v/>
      </c>
      <c r="W480" s="34" t="str">
        <f t="shared" si="181"/>
        <v/>
      </c>
      <c r="X480" s="41" t="str">
        <f t="shared" si="188"/>
        <v/>
      </c>
      <c r="Y480" s="98" t="str">
        <f t="shared" si="182"/>
        <v/>
      </c>
      <c r="Z480" s="16" t="str">
        <f t="shared" si="189"/>
        <v/>
      </c>
      <c r="AB480" s="139"/>
      <c r="AC480" s="146" t="str">
        <f t="shared" si="192"/>
        <v/>
      </c>
      <c r="AD480" s="148" t="str">
        <f t="shared" si="190"/>
        <v/>
      </c>
      <c r="AE480" s="147" t="str">
        <f t="shared" si="183"/>
        <v/>
      </c>
      <c r="AF480" s="111" t="str">
        <f t="shared" si="184"/>
        <v/>
      </c>
      <c r="AG480" s="111" t="str">
        <f t="shared" si="185"/>
        <v/>
      </c>
      <c r="AH480" s="112" t="str">
        <f t="shared" si="186"/>
        <v/>
      </c>
      <c r="AI480" t="str">
        <f t="shared" si="191"/>
        <v/>
      </c>
      <c r="AJ480" t="str">
        <f t="shared" si="193"/>
        <v/>
      </c>
    </row>
    <row r="481" spans="1:36" ht="15" customHeight="1" x14ac:dyDescent="0.25">
      <c r="A481" s="114"/>
      <c r="B481" s="116"/>
      <c r="C481" s="116"/>
      <c r="D481" s="42" t="str">
        <f t="shared" si="170"/>
        <v/>
      </c>
      <c r="E481" s="43"/>
      <c r="F481" s="118"/>
      <c r="G481" s="44" t="str">
        <f t="shared" si="171"/>
        <v/>
      </c>
      <c r="H481" s="118"/>
      <c r="I481" s="34" t="str">
        <f t="shared" si="172"/>
        <v/>
      </c>
      <c r="J481" s="118"/>
      <c r="K481" s="34" t="str">
        <f t="shared" si="173"/>
        <v/>
      </c>
      <c r="L481" s="118"/>
      <c r="M481" s="121"/>
      <c r="N481" s="122" t="str">
        <f t="shared" si="174"/>
        <v/>
      </c>
      <c r="O481" s="35" t="str">
        <f t="shared" si="175"/>
        <v/>
      </c>
      <c r="P481" s="124"/>
      <c r="Q481" s="36" t="str">
        <f t="shared" si="187"/>
        <v/>
      </c>
      <c r="R481" s="46" t="str">
        <f t="shared" si="176"/>
        <v/>
      </c>
      <c r="S481" s="38" t="str">
        <f t="shared" si="177"/>
        <v/>
      </c>
      <c r="T481" s="39" t="str">
        <f t="shared" si="178"/>
        <v/>
      </c>
      <c r="U481" s="40" t="str">
        <f t="shared" si="179"/>
        <v/>
      </c>
      <c r="V481" s="39" t="str">
        <f t="shared" si="180"/>
        <v/>
      </c>
      <c r="W481" s="34" t="str">
        <f t="shared" si="181"/>
        <v/>
      </c>
      <c r="X481" s="41" t="str">
        <f t="shared" si="188"/>
        <v/>
      </c>
      <c r="Y481" s="98" t="str">
        <f t="shared" si="182"/>
        <v/>
      </c>
      <c r="Z481" s="16" t="str">
        <f t="shared" si="189"/>
        <v/>
      </c>
      <c r="AB481" s="139"/>
      <c r="AC481" s="146" t="str">
        <f t="shared" si="192"/>
        <v/>
      </c>
      <c r="AD481" s="148" t="str">
        <f t="shared" si="190"/>
        <v/>
      </c>
      <c r="AE481" s="147" t="str">
        <f t="shared" si="183"/>
        <v/>
      </c>
      <c r="AF481" s="111" t="str">
        <f t="shared" si="184"/>
        <v/>
      </c>
      <c r="AG481" s="111" t="str">
        <f t="shared" si="185"/>
        <v/>
      </c>
      <c r="AH481" s="112" t="str">
        <f t="shared" si="186"/>
        <v/>
      </c>
      <c r="AI481" t="str">
        <f t="shared" si="191"/>
        <v/>
      </c>
      <c r="AJ481" t="str">
        <f t="shared" si="193"/>
        <v/>
      </c>
    </row>
    <row r="482" spans="1:36" ht="15" customHeight="1" x14ac:dyDescent="0.25">
      <c r="A482" s="114"/>
      <c r="B482" s="116"/>
      <c r="C482" s="116"/>
      <c r="D482" s="42" t="str">
        <f t="shared" si="170"/>
        <v/>
      </c>
      <c r="E482" s="43"/>
      <c r="F482" s="118"/>
      <c r="G482" s="44" t="str">
        <f t="shared" si="171"/>
        <v/>
      </c>
      <c r="H482" s="118"/>
      <c r="I482" s="34" t="str">
        <f t="shared" si="172"/>
        <v/>
      </c>
      <c r="J482" s="118"/>
      <c r="K482" s="34" t="str">
        <f t="shared" si="173"/>
        <v/>
      </c>
      <c r="L482" s="118"/>
      <c r="M482" s="121"/>
      <c r="N482" s="122" t="str">
        <f t="shared" si="174"/>
        <v/>
      </c>
      <c r="O482" s="35" t="str">
        <f t="shared" si="175"/>
        <v/>
      </c>
      <c r="P482" s="124"/>
      <c r="Q482" s="36" t="str">
        <f t="shared" si="187"/>
        <v/>
      </c>
      <c r="R482" s="46" t="str">
        <f t="shared" si="176"/>
        <v/>
      </c>
      <c r="S482" s="38" t="str">
        <f t="shared" si="177"/>
        <v/>
      </c>
      <c r="T482" s="39" t="str">
        <f t="shared" si="178"/>
        <v/>
      </c>
      <c r="U482" s="40" t="str">
        <f t="shared" si="179"/>
        <v/>
      </c>
      <c r="V482" s="39" t="str">
        <f t="shared" si="180"/>
        <v/>
      </c>
      <c r="W482" s="34" t="str">
        <f t="shared" si="181"/>
        <v/>
      </c>
      <c r="X482" s="41" t="str">
        <f t="shared" si="188"/>
        <v/>
      </c>
      <c r="Y482" s="98" t="str">
        <f t="shared" si="182"/>
        <v/>
      </c>
      <c r="Z482" s="16" t="str">
        <f t="shared" si="189"/>
        <v/>
      </c>
      <c r="AB482" s="139"/>
      <c r="AC482" s="146" t="str">
        <f t="shared" si="192"/>
        <v/>
      </c>
      <c r="AD482" s="148" t="str">
        <f t="shared" si="190"/>
        <v/>
      </c>
      <c r="AE482" s="147" t="str">
        <f t="shared" si="183"/>
        <v/>
      </c>
      <c r="AF482" s="111" t="str">
        <f t="shared" si="184"/>
        <v/>
      </c>
      <c r="AG482" s="111" t="str">
        <f t="shared" si="185"/>
        <v/>
      </c>
      <c r="AH482" s="112" t="str">
        <f t="shared" si="186"/>
        <v/>
      </c>
      <c r="AI482" t="str">
        <f t="shared" si="191"/>
        <v/>
      </c>
      <c r="AJ482" t="str">
        <f t="shared" si="193"/>
        <v/>
      </c>
    </row>
    <row r="483" spans="1:36" ht="15" customHeight="1" x14ac:dyDescent="0.25">
      <c r="A483" s="114"/>
      <c r="B483" s="116"/>
      <c r="C483" s="116"/>
      <c r="D483" s="42" t="str">
        <f t="shared" si="170"/>
        <v/>
      </c>
      <c r="E483" s="43"/>
      <c r="F483" s="118"/>
      <c r="G483" s="44" t="str">
        <f t="shared" si="171"/>
        <v/>
      </c>
      <c r="H483" s="118"/>
      <c r="I483" s="34" t="str">
        <f t="shared" si="172"/>
        <v/>
      </c>
      <c r="J483" s="118"/>
      <c r="K483" s="34" t="str">
        <f t="shared" si="173"/>
        <v/>
      </c>
      <c r="L483" s="118"/>
      <c r="M483" s="121"/>
      <c r="N483" s="122" t="str">
        <f t="shared" si="174"/>
        <v/>
      </c>
      <c r="O483" s="35" t="str">
        <f t="shared" si="175"/>
        <v/>
      </c>
      <c r="P483" s="124"/>
      <c r="Q483" s="36" t="str">
        <f t="shared" si="187"/>
        <v/>
      </c>
      <c r="R483" s="46" t="str">
        <f t="shared" si="176"/>
        <v/>
      </c>
      <c r="S483" s="38" t="str">
        <f t="shared" si="177"/>
        <v/>
      </c>
      <c r="T483" s="39" t="str">
        <f t="shared" si="178"/>
        <v/>
      </c>
      <c r="U483" s="40" t="str">
        <f t="shared" si="179"/>
        <v/>
      </c>
      <c r="V483" s="39" t="str">
        <f t="shared" si="180"/>
        <v/>
      </c>
      <c r="W483" s="34" t="str">
        <f t="shared" si="181"/>
        <v/>
      </c>
      <c r="X483" s="41" t="str">
        <f t="shared" si="188"/>
        <v/>
      </c>
      <c r="Y483" s="98" t="str">
        <f t="shared" si="182"/>
        <v/>
      </c>
      <c r="Z483" s="16" t="str">
        <f t="shared" si="189"/>
        <v/>
      </c>
      <c r="AB483" s="139"/>
      <c r="AC483" s="146" t="str">
        <f t="shared" si="192"/>
        <v/>
      </c>
      <c r="AD483" s="148" t="str">
        <f t="shared" si="190"/>
        <v/>
      </c>
      <c r="AE483" s="147" t="str">
        <f t="shared" si="183"/>
        <v/>
      </c>
      <c r="AF483" s="111" t="str">
        <f t="shared" si="184"/>
        <v/>
      </c>
      <c r="AG483" s="111" t="str">
        <f t="shared" si="185"/>
        <v/>
      </c>
      <c r="AH483" s="112" t="str">
        <f t="shared" si="186"/>
        <v/>
      </c>
      <c r="AI483" t="str">
        <f t="shared" si="191"/>
        <v/>
      </c>
      <c r="AJ483" t="str">
        <f t="shared" si="193"/>
        <v/>
      </c>
    </row>
    <row r="484" spans="1:36" ht="15" customHeight="1" x14ac:dyDescent="0.25">
      <c r="A484" s="114"/>
      <c r="B484" s="116"/>
      <c r="C484" s="116"/>
      <c r="D484" s="42" t="str">
        <f t="shared" si="170"/>
        <v/>
      </c>
      <c r="E484" s="43"/>
      <c r="F484" s="118"/>
      <c r="G484" s="44" t="str">
        <f t="shared" si="171"/>
        <v/>
      </c>
      <c r="H484" s="118"/>
      <c r="I484" s="34" t="str">
        <f t="shared" si="172"/>
        <v/>
      </c>
      <c r="J484" s="118"/>
      <c r="K484" s="34" t="str">
        <f t="shared" si="173"/>
        <v/>
      </c>
      <c r="L484" s="118"/>
      <c r="M484" s="121"/>
      <c r="N484" s="122" t="str">
        <f t="shared" si="174"/>
        <v/>
      </c>
      <c r="O484" s="35" t="str">
        <f t="shared" si="175"/>
        <v/>
      </c>
      <c r="P484" s="124"/>
      <c r="Q484" s="36" t="str">
        <f t="shared" si="187"/>
        <v/>
      </c>
      <c r="R484" s="46" t="str">
        <f t="shared" si="176"/>
        <v/>
      </c>
      <c r="S484" s="38" t="str">
        <f t="shared" si="177"/>
        <v/>
      </c>
      <c r="T484" s="39" t="str">
        <f t="shared" si="178"/>
        <v/>
      </c>
      <c r="U484" s="40" t="str">
        <f t="shared" si="179"/>
        <v/>
      </c>
      <c r="V484" s="39" t="str">
        <f t="shared" si="180"/>
        <v/>
      </c>
      <c r="W484" s="34" t="str">
        <f t="shared" si="181"/>
        <v/>
      </c>
      <c r="X484" s="41" t="str">
        <f t="shared" si="188"/>
        <v/>
      </c>
      <c r="Y484" s="98" t="str">
        <f t="shared" si="182"/>
        <v/>
      </c>
      <c r="Z484" s="16" t="str">
        <f t="shared" si="189"/>
        <v/>
      </c>
      <c r="AB484" s="139"/>
      <c r="AC484" s="146" t="str">
        <f t="shared" si="192"/>
        <v/>
      </c>
      <c r="AD484" s="148" t="str">
        <f t="shared" si="190"/>
        <v/>
      </c>
      <c r="AE484" s="147" t="str">
        <f t="shared" si="183"/>
        <v/>
      </c>
      <c r="AF484" s="111" t="str">
        <f t="shared" si="184"/>
        <v/>
      </c>
      <c r="AG484" s="111" t="str">
        <f t="shared" si="185"/>
        <v/>
      </c>
      <c r="AH484" s="112" t="str">
        <f t="shared" si="186"/>
        <v/>
      </c>
      <c r="AI484" t="str">
        <f t="shared" si="191"/>
        <v/>
      </c>
      <c r="AJ484" t="str">
        <f t="shared" si="193"/>
        <v/>
      </c>
    </row>
    <row r="485" spans="1:36" ht="15" customHeight="1" x14ac:dyDescent="0.25">
      <c r="A485" s="114"/>
      <c r="B485" s="116"/>
      <c r="C485" s="116"/>
      <c r="D485" s="42" t="str">
        <f t="shared" si="170"/>
        <v/>
      </c>
      <c r="E485" s="43"/>
      <c r="F485" s="118"/>
      <c r="G485" s="44" t="str">
        <f t="shared" si="171"/>
        <v/>
      </c>
      <c r="H485" s="118"/>
      <c r="I485" s="34" t="str">
        <f t="shared" si="172"/>
        <v/>
      </c>
      <c r="J485" s="118"/>
      <c r="K485" s="34" t="str">
        <f t="shared" si="173"/>
        <v/>
      </c>
      <c r="L485" s="118"/>
      <c r="M485" s="121"/>
      <c r="N485" s="122" t="str">
        <f t="shared" si="174"/>
        <v/>
      </c>
      <c r="O485" s="35" t="str">
        <f t="shared" si="175"/>
        <v/>
      </c>
      <c r="P485" s="124"/>
      <c r="Q485" s="36" t="str">
        <f t="shared" si="187"/>
        <v/>
      </c>
      <c r="R485" s="46" t="str">
        <f t="shared" si="176"/>
        <v/>
      </c>
      <c r="S485" s="38" t="str">
        <f t="shared" si="177"/>
        <v/>
      </c>
      <c r="T485" s="39" t="str">
        <f t="shared" si="178"/>
        <v/>
      </c>
      <c r="U485" s="40" t="str">
        <f t="shared" si="179"/>
        <v/>
      </c>
      <c r="V485" s="39" t="str">
        <f t="shared" si="180"/>
        <v/>
      </c>
      <c r="W485" s="34" t="str">
        <f t="shared" si="181"/>
        <v/>
      </c>
      <c r="X485" s="41" t="str">
        <f t="shared" si="188"/>
        <v/>
      </c>
      <c r="Y485" s="98" t="str">
        <f t="shared" si="182"/>
        <v/>
      </c>
      <c r="Z485" s="16" t="str">
        <f t="shared" si="189"/>
        <v/>
      </c>
      <c r="AB485" s="139"/>
      <c r="AC485" s="146" t="str">
        <f t="shared" si="192"/>
        <v/>
      </c>
      <c r="AD485" s="148" t="str">
        <f t="shared" si="190"/>
        <v/>
      </c>
      <c r="AE485" s="147" t="str">
        <f t="shared" si="183"/>
        <v/>
      </c>
      <c r="AF485" s="111" t="str">
        <f t="shared" si="184"/>
        <v/>
      </c>
      <c r="AG485" s="111" t="str">
        <f t="shared" si="185"/>
        <v/>
      </c>
      <c r="AH485" s="112" t="str">
        <f t="shared" si="186"/>
        <v/>
      </c>
      <c r="AI485" t="str">
        <f t="shared" si="191"/>
        <v/>
      </c>
      <c r="AJ485" t="str">
        <f t="shared" si="193"/>
        <v/>
      </c>
    </row>
    <row r="486" spans="1:36" ht="15" customHeight="1" x14ac:dyDescent="0.25">
      <c r="A486" s="114"/>
      <c r="B486" s="116"/>
      <c r="C486" s="116"/>
      <c r="D486" s="42" t="str">
        <f t="shared" si="170"/>
        <v/>
      </c>
      <c r="E486" s="43"/>
      <c r="F486" s="118"/>
      <c r="G486" s="44" t="str">
        <f t="shared" si="171"/>
        <v/>
      </c>
      <c r="H486" s="118"/>
      <c r="I486" s="34" t="str">
        <f t="shared" si="172"/>
        <v/>
      </c>
      <c r="J486" s="118"/>
      <c r="K486" s="34" t="str">
        <f t="shared" si="173"/>
        <v/>
      </c>
      <c r="L486" s="118"/>
      <c r="M486" s="121"/>
      <c r="N486" s="122" t="str">
        <f t="shared" si="174"/>
        <v/>
      </c>
      <c r="O486" s="35" t="str">
        <f t="shared" si="175"/>
        <v/>
      </c>
      <c r="P486" s="124"/>
      <c r="Q486" s="36" t="str">
        <f t="shared" si="187"/>
        <v/>
      </c>
      <c r="R486" s="46" t="str">
        <f t="shared" si="176"/>
        <v/>
      </c>
      <c r="S486" s="38" t="str">
        <f t="shared" si="177"/>
        <v/>
      </c>
      <c r="T486" s="39" t="str">
        <f t="shared" si="178"/>
        <v/>
      </c>
      <c r="U486" s="40" t="str">
        <f t="shared" si="179"/>
        <v/>
      </c>
      <c r="V486" s="39" t="str">
        <f t="shared" si="180"/>
        <v/>
      </c>
      <c r="W486" s="34" t="str">
        <f t="shared" si="181"/>
        <v/>
      </c>
      <c r="X486" s="41" t="str">
        <f t="shared" si="188"/>
        <v/>
      </c>
      <c r="Y486" s="98" t="str">
        <f t="shared" si="182"/>
        <v/>
      </c>
      <c r="Z486" s="16" t="str">
        <f t="shared" si="189"/>
        <v/>
      </c>
      <c r="AB486" s="139"/>
      <c r="AC486" s="146" t="str">
        <f t="shared" si="192"/>
        <v/>
      </c>
      <c r="AD486" s="148" t="str">
        <f t="shared" si="190"/>
        <v/>
      </c>
      <c r="AE486" s="147" t="str">
        <f t="shared" si="183"/>
        <v/>
      </c>
      <c r="AF486" s="111" t="str">
        <f t="shared" si="184"/>
        <v/>
      </c>
      <c r="AG486" s="111" t="str">
        <f t="shared" si="185"/>
        <v/>
      </c>
      <c r="AH486" s="112" t="str">
        <f t="shared" si="186"/>
        <v/>
      </c>
      <c r="AI486" t="str">
        <f t="shared" si="191"/>
        <v/>
      </c>
      <c r="AJ486" t="str">
        <f t="shared" si="193"/>
        <v/>
      </c>
    </row>
    <row r="487" spans="1:36" ht="15" customHeight="1" x14ac:dyDescent="0.25">
      <c r="A487" s="114"/>
      <c r="B487" s="116"/>
      <c r="C487" s="116"/>
      <c r="D487" s="42" t="str">
        <f t="shared" si="170"/>
        <v/>
      </c>
      <c r="E487" s="43"/>
      <c r="F487" s="118"/>
      <c r="G487" s="44" t="str">
        <f t="shared" si="171"/>
        <v/>
      </c>
      <c r="H487" s="118"/>
      <c r="I487" s="34" t="str">
        <f t="shared" si="172"/>
        <v/>
      </c>
      <c r="J487" s="118"/>
      <c r="K487" s="34" t="str">
        <f t="shared" si="173"/>
        <v/>
      </c>
      <c r="L487" s="118"/>
      <c r="M487" s="121"/>
      <c r="N487" s="122" t="str">
        <f t="shared" si="174"/>
        <v/>
      </c>
      <c r="O487" s="35" t="str">
        <f t="shared" si="175"/>
        <v/>
      </c>
      <c r="P487" s="124"/>
      <c r="Q487" s="36" t="str">
        <f t="shared" si="187"/>
        <v/>
      </c>
      <c r="R487" s="46" t="str">
        <f t="shared" si="176"/>
        <v/>
      </c>
      <c r="S487" s="38" t="str">
        <f t="shared" si="177"/>
        <v/>
      </c>
      <c r="T487" s="39" t="str">
        <f t="shared" si="178"/>
        <v/>
      </c>
      <c r="U487" s="40" t="str">
        <f t="shared" si="179"/>
        <v/>
      </c>
      <c r="V487" s="39" t="str">
        <f t="shared" si="180"/>
        <v/>
      </c>
      <c r="W487" s="34" t="str">
        <f t="shared" si="181"/>
        <v/>
      </c>
      <c r="X487" s="41" t="str">
        <f t="shared" si="188"/>
        <v/>
      </c>
      <c r="Y487" s="98" t="str">
        <f t="shared" si="182"/>
        <v/>
      </c>
      <c r="Z487" s="16" t="str">
        <f t="shared" si="189"/>
        <v/>
      </c>
      <c r="AB487" s="139"/>
      <c r="AC487" s="146" t="str">
        <f t="shared" si="192"/>
        <v/>
      </c>
      <c r="AD487" s="148" t="str">
        <f t="shared" si="190"/>
        <v/>
      </c>
      <c r="AE487" s="147" t="str">
        <f t="shared" si="183"/>
        <v/>
      </c>
      <c r="AF487" s="111" t="str">
        <f t="shared" si="184"/>
        <v/>
      </c>
      <c r="AG487" s="111" t="str">
        <f t="shared" si="185"/>
        <v/>
      </c>
      <c r="AH487" s="112" t="str">
        <f t="shared" si="186"/>
        <v/>
      </c>
      <c r="AI487" t="str">
        <f t="shared" si="191"/>
        <v/>
      </c>
      <c r="AJ487" t="str">
        <f t="shared" si="193"/>
        <v/>
      </c>
    </row>
    <row r="488" spans="1:36" ht="15" customHeight="1" x14ac:dyDescent="0.25">
      <c r="A488" s="114"/>
      <c r="B488" s="116"/>
      <c r="C488" s="116"/>
      <c r="D488" s="42" t="str">
        <f t="shared" si="170"/>
        <v/>
      </c>
      <c r="E488" s="43"/>
      <c r="F488" s="118"/>
      <c r="G488" s="44" t="str">
        <f t="shared" si="171"/>
        <v/>
      </c>
      <c r="H488" s="118"/>
      <c r="I488" s="34" t="str">
        <f t="shared" si="172"/>
        <v/>
      </c>
      <c r="J488" s="118"/>
      <c r="K488" s="34" t="str">
        <f t="shared" si="173"/>
        <v/>
      </c>
      <c r="L488" s="118"/>
      <c r="M488" s="121"/>
      <c r="N488" s="122" t="str">
        <f t="shared" si="174"/>
        <v/>
      </c>
      <c r="O488" s="35" t="str">
        <f t="shared" si="175"/>
        <v/>
      </c>
      <c r="P488" s="124"/>
      <c r="Q488" s="36" t="str">
        <f t="shared" si="187"/>
        <v/>
      </c>
      <c r="R488" s="46" t="str">
        <f t="shared" si="176"/>
        <v/>
      </c>
      <c r="S488" s="38" t="str">
        <f t="shared" si="177"/>
        <v/>
      </c>
      <c r="T488" s="39" t="str">
        <f t="shared" si="178"/>
        <v/>
      </c>
      <c r="U488" s="40" t="str">
        <f t="shared" si="179"/>
        <v/>
      </c>
      <c r="V488" s="39" t="str">
        <f t="shared" si="180"/>
        <v/>
      </c>
      <c r="W488" s="34" t="str">
        <f t="shared" si="181"/>
        <v/>
      </c>
      <c r="X488" s="41" t="str">
        <f t="shared" si="188"/>
        <v/>
      </c>
      <c r="Y488" s="98" t="str">
        <f t="shared" si="182"/>
        <v/>
      </c>
      <c r="Z488" s="16" t="str">
        <f t="shared" si="189"/>
        <v/>
      </c>
      <c r="AB488" s="139"/>
      <c r="AC488" s="146" t="str">
        <f t="shared" si="192"/>
        <v/>
      </c>
      <c r="AD488" s="148" t="str">
        <f t="shared" si="190"/>
        <v/>
      </c>
      <c r="AE488" s="147" t="str">
        <f t="shared" si="183"/>
        <v/>
      </c>
      <c r="AF488" s="111" t="str">
        <f t="shared" si="184"/>
        <v/>
      </c>
      <c r="AG488" s="111" t="str">
        <f t="shared" si="185"/>
        <v/>
      </c>
      <c r="AH488" s="112" t="str">
        <f t="shared" si="186"/>
        <v/>
      </c>
      <c r="AI488" t="str">
        <f t="shared" si="191"/>
        <v/>
      </c>
      <c r="AJ488" t="str">
        <f t="shared" si="193"/>
        <v/>
      </c>
    </row>
    <row r="489" spans="1:36" ht="15" customHeight="1" x14ac:dyDescent="0.25">
      <c r="A489" s="114"/>
      <c r="B489" s="116"/>
      <c r="C489" s="116"/>
      <c r="D489" s="42" t="str">
        <f t="shared" si="170"/>
        <v/>
      </c>
      <c r="E489" s="43"/>
      <c r="F489" s="118"/>
      <c r="G489" s="44" t="str">
        <f t="shared" si="171"/>
        <v/>
      </c>
      <c r="H489" s="118"/>
      <c r="I489" s="34" t="str">
        <f t="shared" si="172"/>
        <v/>
      </c>
      <c r="J489" s="118"/>
      <c r="K489" s="34" t="str">
        <f t="shared" si="173"/>
        <v/>
      </c>
      <c r="L489" s="118"/>
      <c r="M489" s="121"/>
      <c r="N489" s="122" t="str">
        <f t="shared" si="174"/>
        <v/>
      </c>
      <c r="O489" s="35" t="str">
        <f t="shared" si="175"/>
        <v/>
      </c>
      <c r="P489" s="124"/>
      <c r="Q489" s="36" t="str">
        <f t="shared" si="187"/>
        <v/>
      </c>
      <c r="R489" s="46" t="str">
        <f t="shared" si="176"/>
        <v/>
      </c>
      <c r="S489" s="38" t="str">
        <f t="shared" si="177"/>
        <v/>
      </c>
      <c r="T489" s="39" t="str">
        <f t="shared" si="178"/>
        <v/>
      </c>
      <c r="U489" s="40" t="str">
        <f t="shared" si="179"/>
        <v/>
      </c>
      <c r="V489" s="39" t="str">
        <f t="shared" si="180"/>
        <v/>
      </c>
      <c r="W489" s="34" t="str">
        <f t="shared" si="181"/>
        <v/>
      </c>
      <c r="X489" s="41" t="str">
        <f t="shared" si="188"/>
        <v/>
      </c>
      <c r="Y489" s="98" t="str">
        <f t="shared" si="182"/>
        <v/>
      </c>
      <c r="Z489" s="16" t="str">
        <f t="shared" si="189"/>
        <v/>
      </c>
      <c r="AB489" s="139"/>
      <c r="AC489" s="146" t="str">
        <f t="shared" si="192"/>
        <v/>
      </c>
      <c r="AD489" s="148" t="str">
        <f t="shared" si="190"/>
        <v/>
      </c>
      <c r="AE489" s="147" t="str">
        <f t="shared" si="183"/>
        <v/>
      </c>
      <c r="AF489" s="111" t="str">
        <f t="shared" si="184"/>
        <v/>
      </c>
      <c r="AG489" s="111" t="str">
        <f t="shared" si="185"/>
        <v/>
      </c>
      <c r="AH489" s="112" t="str">
        <f t="shared" si="186"/>
        <v/>
      </c>
      <c r="AI489" t="str">
        <f t="shared" si="191"/>
        <v/>
      </c>
      <c r="AJ489" t="str">
        <f t="shared" si="193"/>
        <v/>
      </c>
    </row>
    <row r="490" spans="1:36" ht="15" customHeight="1" x14ac:dyDescent="0.25">
      <c r="A490" s="114"/>
      <c r="B490" s="116"/>
      <c r="C490" s="116"/>
      <c r="D490" s="42" t="str">
        <f t="shared" si="170"/>
        <v/>
      </c>
      <c r="E490" s="43"/>
      <c r="F490" s="118"/>
      <c r="G490" s="44" t="str">
        <f t="shared" si="171"/>
        <v/>
      </c>
      <c r="H490" s="118"/>
      <c r="I490" s="34" t="str">
        <f t="shared" si="172"/>
        <v/>
      </c>
      <c r="J490" s="118"/>
      <c r="K490" s="34" t="str">
        <f t="shared" si="173"/>
        <v/>
      </c>
      <c r="L490" s="118"/>
      <c r="M490" s="121"/>
      <c r="N490" s="122" t="str">
        <f t="shared" si="174"/>
        <v/>
      </c>
      <c r="O490" s="35" t="str">
        <f t="shared" si="175"/>
        <v/>
      </c>
      <c r="P490" s="124"/>
      <c r="Q490" s="36" t="str">
        <f t="shared" si="187"/>
        <v/>
      </c>
      <c r="R490" s="46" t="str">
        <f t="shared" si="176"/>
        <v/>
      </c>
      <c r="S490" s="38" t="str">
        <f t="shared" si="177"/>
        <v/>
      </c>
      <c r="T490" s="39" t="str">
        <f t="shared" si="178"/>
        <v/>
      </c>
      <c r="U490" s="40" t="str">
        <f t="shared" si="179"/>
        <v/>
      </c>
      <c r="V490" s="39" t="str">
        <f t="shared" si="180"/>
        <v/>
      </c>
      <c r="W490" s="34" t="str">
        <f t="shared" si="181"/>
        <v/>
      </c>
      <c r="X490" s="41" t="str">
        <f t="shared" si="188"/>
        <v/>
      </c>
      <c r="Y490" s="98" t="str">
        <f t="shared" si="182"/>
        <v/>
      </c>
      <c r="Z490" s="16" t="str">
        <f t="shared" si="189"/>
        <v/>
      </c>
      <c r="AB490" s="139"/>
      <c r="AC490" s="146" t="str">
        <f t="shared" si="192"/>
        <v/>
      </c>
      <c r="AD490" s="148" t="str">
        <f t="shared" si="190"/>
        <v/>
      </c>
      <c r="AE490" s="147" t="str">
        <f t="shared" si="183"/>
        <v/>
      </c>
      <c r="AF490" s="111" t="str">
        <f t="shared" si="184"/>
        <v/>
      </c>
      <c r="AG490" s="111" t="str">
        <f t="shared" si="185"/>
        <v/>
      </c>
      <c r="AH490" s="112" t="str">
        <f t="shared" si="186"/>
        <v/>
      </c>
      <c r="AI490" t="str">
        <f t="shared" si="191"/>
        <v/>
      </c>
      <c r="AJ490" t="str">
        <f t="shared" si="193"/>
        <v/>
      </c>
    </row>
    <row r="491" spans="1:36" ht="15" customHeight="1" x14ac:dyDescent="0.25">
      <c r="A491" s="114"/>
      <c r="B491" s="116"/>
      <c r="C491" s="116"/>
      <c r="D491" s="42" t="str">
        <f t="shared" si="170"/>
        <v/>
      </c>
      <c r="E491" s="43"/>
      <c r="F491" s="118"/>
      <c r="G491" s="44" t="str">
        <f t="shared" si="171"/>
        <v/>
      </c>
      <c r="H491" s="118"/>
      <c r="I491" s="34" t="str">
        <f t="shared" si="172"/>
        <v/>
      </c>
      <c r="J491" s="118"/>
      <c r="K491" s="34" t="str">
        <f t="shared" si="173"/>
        <v/>
      </c>
      <c r="L491" s="118"/>
      <c r="M491" s="121"/>
      <c r="N491" s="122" t="str">
        <f t="shared" si="174"/>
        <v/>
      </c>
      <c r="O491" s="35" t="str">
        <f t="shared" si="175"/>
        <v/>
      </c>
      <c r="P491" s="124"/>
      <c r="Q491" s="36" t="str">
        <f t="shared" si="187"/>
        <v/>
      </c>
      <c r="R491" s="46" t="str">
        <f t="shared" si="176"/>
        <v/>
      </c>
      <c r="S491" s="38" t="str">
        <f t="shared" si="177"/>
        <v/>
      </c>
      <c r="T491" s="39" t="str">
        <f t="shared" si="178"/>
        <v/>
      </c>
      <c r="U491" s="40" t="str">
        <f t="shared" si="179"/>
        <v/>
      </c>
      <c r="V491" s="39" t="str">
        <f t="shared" si="180"/>
        <v/>
      </c>
      <c r="W491" s="34" t="str">
        <f t="shared" si="181"/>
        <v/>
      </c>
      <c r="X491" s="41" t="str">
        <f t="shared" si="188"/>
        <v/>
      </c>
      <c r="Y491" s="98" t="str">
        <f t="shared" si="182"/>
        <v/>
      </c>
      <c r="Z491" s="16" t="str">
        <f t="shared" si="189"/>
        <v/>
      </c>
      <c r="AB491" s="139"/>
      <c r="AC491" s="146" t="str">
        <f t="shared" si="192"/>
        <v/>
      </c>
      <c r="AD491" s="148" t="str">
        <f t="shared" si="190"/>
        <v/>
      </c>
      <c r="AE491" s="147" t="str">
        <f t="shared" si="183"/>
        <v/>
      </c>
      <c r="AF491" s="111" t="str">
        <f t="shared" si="184"/>
        <v/>
      </c>
      <c r="AG491" s="111" t="str">
        <f t="shared" si="185"/>
        <v/>
      </c>
      <c r="AH491" s="112" t="str">
        <f t="shared" si="186"/>
        <v/>
      </c>
      <c r="AI491" t="str">
        <f t="shared" si="191"/>
        <v/>
      </c>
      <c r="AJ491" t="str">
        <f t="shared" si="193"/>
        <v/>
      </c>
    </row>
    <row r="492" spans="1:36" ht="15" customHeight="1" x14ac:dyDescent="0.25">
      <c r="A492" s="114"/>
      <c r="B492" s="116"/>
      <c r="C492" s="116"/>
      <c r="D492" s="42" t="str">
        <f t="shared" si="170"/>
        <v/>
      </c>
      <c r="E492" s="43"/>
      <c r="F492" s="118"/>
      <c r="G492" s="44" t="str">
        <f t="shared" si="171"/>
        <v/>
      </c>
      <c r="H492" s="118"/>
      <c r="I492" s="34" t="str">
        <f t="shared" si="172"/>
        <v/>
      </c>
      <c r="J492" s="118"/>
      <c r="K492" s="34" t="str">
        <f t="shared" si="173"/>
        <v/>
      </c>
      <c r="L492" s="118"/>
      <c r="M492" s="121"/>
      <c r="N492" s="122" t="str">
        <f t="shared" si="174"/>
        <v/>
      </c>
      <c r="O492" s="35" t="str">
        <f t="shared" si="175"/>
        <v/>
      </c>
      <c r="P492" s="124"/>
      <c r="Q492" s="36" t="str">
        <f t="shared" si="187"/>
        <v/>
      </c>
      <c r="R492" s="46" t="str">
        <f t="shared" si="176"/>
        <v/>
      </c>
      <c r="S492" s="38" t="str">
        <f t="shared" si="177"/>
        <v/>
      </c>
      <c r="T492" s="39" t="str">
        <f t="shared" si="178"/>
        <v/>
      </c>
      <c r="U492" s="40" t="str">
        <f t="shared" si="179"/>
        <v/>
      </c>
      <c r="V492" s="39" t="str">
        <f t="shared" si="180"/>
        <v/>
      </c>
      <c r="W492" s="34" t="str">
        <f t="shared" si="181"/>
        <v/>
      </c>
      <c r="X492" s="41" t="str">
        <f t="shared" si="188"/>
        <v/>
      </c>
      <c r="Y492" s="98" t="str">
        <f t="shared" si="182"/>
        <v/>
      </c>
      <c r="Z492" s="16" t="str">
        <f t="shared" si="189"/>
        <v/>
      </c>
      <c r="AB492" s="139"/>
      <c r="AC492" s="146" t="str">
        <f t="shared" si="192"/>
        <v/>
      </c>
      <c r="AD492" s="148" t="str">
        <f t="shared" si="190"/>
        <v/>
      </c>
      <c r="AE492" s="147" t="str">
        <f t="shared" si="183"/>
        <v/>
      </c>
      <c r="AF492" s="111" t="str">
        <f t="shared" si="184"/>
        <v/>
      </c>
      <c r="AG492" s="111" t="str">
        <f t="shared" si="185"/>
        <v/>
      </c>
      <c r="AH492" s="112" t="str">
        <f t="shared" si="186"/>
        <v/>
      </c>
      <c r="AI492" t="str">
        <f t="shared" si="191"/>
        <v/>
      </c>
      <c r="AJ492" t="str">
        <f t="shared" si="193"/>
        <v/>
      </c>
    </row>
    <row r="493" spans="1:36" ht="15" customHeight="1" x14ac:dyDescent="0.25">
      <c r="A493" s="114"/>
      <c r="B493" s="116"/>
      <c r="C493" s="116"/>
      <c r="D493" s="42" t="str">
        <f t="shared" si="170"/>
        <v/>
      </c>
      <c r="E493" s="43"/>
      <c r="F493" s="118"/>
      <c r="G493" s="44" t="str">
        <f t="shared" si="171"/>
        <v/>
      </c>
      <c r="H493" s="118"/>
      <c r="I493" s="34" t="str">
        <f t="shared" si="172"/>
        <v/>
      </c>
      <c r="J493" s="118"/>
      <c r="K493" s="34" t="str">
        <f t="shared" si="173"/>
        <v/>
      </c>
      <c r="L493" s="118"/>
      <c r="M493" s="121"/>
      <c r="N493" s="122" t="str">
        <f t="shared" si="174"/>
        <v/>
      </c>
      <c r="O493" s="35" t="str">
        <f t="shared" si="175"/>
        <v/>
      </c>
      <c r="P493" s="124"/>
      <c r="Q493" s="36" t="str">
        <f t="shared" si="187"/>
        <v/>
      </c>
      <c r="R493" s="46" t="str">
        <f t="shared" si="176"/>
        <v/>
      </c>
      <c r="S493" s="38" t="str">
        <f t="shared" si="177"/>
        <v/>
      </c>
      <c r="T493" s="39" t="str">
        <f t="shared" si="178"/>
        <v/>
      </c>
      <c r="U493" s="40" t="str">
        <f t="shared" si="179"/>
        <v/>
      </c>
      <c r="V493" s="39" t="str">
        <f t="shared" si="180"/>
        <v/>
      </c>
      <c r="W493" s="34" t="str">
        <f t="shared" si="181"/>
        <v/>
      </c>
      <c r="X493" s="41" t="str">
        <f t="shared" si="188"/>
        <v/>
      </c>
      <c r="Y493" s="98" t="str">
        <f t="shared" si="182"/>
        <v/>
      </c>
      <c r="Z493" s="16" t="str">
        <f t="shared" si="189"/>
        <v/>
      </c>
      <c r="AB493" s="139"/>
      <c r="AC493" s="146" t="str">
        <f t="shared" si="192"/>
        <v/>
      </c>
      <c r="AD493" s="148" t="str">
        <f t="shared" si="190"/>
        <v/>
      </c>
      <c r="AE493" s="147" t="str">
        <f t="shared" si="183"/>
        <v/>
      </c>
      <c r="AF493" s="111" t="str">
        <f t="shared" si="184"/>
        <v/>
      </c>
      <c r="AG493" s="111" t="str">
        <f t="shared" si="185"/>
        <v/>
      </c>
      <c r="AH493" s="112" t="str">
        <f t="shared" si="186"/>
        <v/>
      </c>
      <c r="AI493" t="str">
        <f t="shared" si="191"/>
        <v/>
      </c>
      <c r="AJ493" t="str">
        <f t="shared" si="193"/>
        <v/>
      </c>
    </row>
    <row r="494" spans="1:36" ht="15" customHeight="1" x14ac:dyDescent="0.25">
      <c r="A494" s="114"/>
      <c r="B494" s="116"/>
      <c r="C494" s="116"/>
      <c r="D494" s="42" t="str">
        <f t="shared" si="170"/>
        <v/>
      </c>
      <c r="E494" s="43"/>
      <c r="F494" s="118"/>
      <c r="G494" s="44" t="str">
        <f t="shared" si="171"/>
        <v/>
      </c>
      <c r="H494" s="118"/>
      <c r="I494" s="34" t="str">
        <f t="shared" si="172"/>
        <v/>
      </c>
      <c r="J494" s="118"/>
      <c r="K494" s="34" t="str">
        <f t="shared" si="173"/>
        <v/>
      </c>
      <c r="L494" s="118"/>
      <c r="M494" s="121"/>
      <c r="N494" s="122" t="str">
        <f t="shared" si="174"/>
        <v/>
      </c>
      <c r="O494" s="35" t="str">
        <f t="shared" si="175"/>
        <v/>
      </c>
      <c r="P494" s="124"/>
      <c r="Q494" s="36" t="str">
        <f t="shared" si="187"/>
        <v/>
      </c>
      <c r="R494" s="46" t="str">
        <f t="shared" si="176"/>
        <v/>
      </c>
      <c r="S494" s="38" t="str">
        <f t="shared" si="177"/>
        <v/>
      </c>
      <c r="T494" s="39" t="str">
        <f t="shared" si="178"/>
        <v/>
      </c>
      <c r="U494" s="40" t="str">
        <f t="shared" si="179"/>
        <v/>
      </c>
      <c r="V494" s="39" t="str">
        <f t="shared" si="180"/>
        <v/>
      </c>
      <c r="W494" s="34" t="str">
        <f t="shared" si="181"/>
        <v/>
      </c>
      <c r="X494" s="41" t="str">
        <f t="shared" si="188"/>
        <v/>
      </c>
      <c r="Y494" s="98" t="str">
        <f t="shared" si="182"/>
        <v/>
      </c>
      <c r="Z494" s="16" t="str">
        <f t="shared" si="189"/>
        <v/>
      </c>
      <c r="AB494" s="139"/>
      <c r="AC494" s="146" t="str">
        <f t="shared" si="192"/>
        <v/>
      </c>
      <c r="AD494" s="148" t="str">
        <f t="shared" si="190"/>
        <v/>
      </c>
      <c r="AE494" s="147" t="str">
        <f t="shared" si="183"/>
        <v/>
      </c>
      <c r="AF494" s="111" t="str">
        <f t="shared" si="184"/>
        <v/>
      </c>
      <c r="AG494" s="111" t="str">
        <f t="shared" si="185"/>
        <v/>
      </c>
      <c r="AH494" s="112" t="str">
        <f t="shared" si="186"/>
        <v/>
      </c>
      <c r="AI494" t="str">
        <f t="shared" si="191"/>
        <v/>
      </c>
      <c r="AJ494" t="str">
        <f t="shared" si="193"/>
        <v/>
      </c>
    </row>
    <row r="495" spans="1:36" ht="15" customHeight="1" x14ac:dyDescent="0.25">
      <c r="A495" s="114"/>
      <c r="B495" s="116"/>
      <c r="C495" s="116"/>
      <c r="D495" s="42" t="str">
        <f t="shared" si="170"/>
        <v/>
      </c>
      <c r="E495" s="43"/>
      <c r="F495" s="118"/>
      <c r="G495" s="44" t="str">
        <f t="shared" si="171"/>
        <v/>
      </c>
      <c r="H495" s="118"/>
      <c r="I495" s="34" t="str">
        <f t="shared" si="172"/>
        <v/>
      </c>
      <c r="J495" s="118"/>
      <c r="K495" s="34" t="str">
        <f t="shared" si="173"/>
        <v/>
      </c>
      <c r="L495" s="118"/>
      <c r="M495" s="121"/>
      <c r="N495" s="122" t="str">
        <f t="shared" si="174"/>
        <v/>
      </c>
      <c r="O495" s="35" t="str">
        <f t="shared" si="175"/>
        <v/>
      </c>
      <c r="P495" s="124"/>
      <c r="Q495" s="36" t="str">
        <f t="shared" si="187"/>
        <v/>
      </c>
      <c r="R495" s="46" t="str">
        <f t="shared" si="176"/>
        <v/>
      </c>
      <c r="S495" s="38" t="str">
        <f t="shared" si="177"/>
        <v/>
      </c>
      <c r="T495" s="39" t="str">
        <f t="shared" si="178"/>
        <v/>
      </c>
      <c r="U495" s="40" t="str">
        <f t="shared" si="179"/>
        <v/>
      </c>
      <c r="V495" s="39" t="str">
        <f t="shared" si="180"/>
        <v/>
      </c>
      <c r="W495" s="34" t="str">
        <f t="shared" si="181"/>
        <v/>
      </c>
      <c r="X495" s="41" t="str">
        <f t="shared" si="188"/>
        <v/>
      </c>
      <c r="Y495" s="98" t="str">
        <f t="shared" si="182"/>
        <v/>
      </c>
      <c r="Z495" s="16" t="str">
        <f t="shared" si="189"/>
        <v/>
      </c>
      <c r="AB495" s="139"/>
      <c r="AC495" s="146" t="str">
        <f t="shared" si="192"/>
        <v/>
      </c>
      <c r="AD495" s="148" t="str">
        <f t="shared" si="190"/>
        <v/>
      </c>
      <c r="AE495" s="147" t="str">
        <f t="shared" si="183"/>
        <v/>
      </c>
      <c r="AF495" s="111" t="str">
        <f t="shared" si="184"/>
        <v/>
      </c>
      <c r="AG495" s="111" t="str">
        <f t="shared" si="185"/>
        <v/>
      </c>
      <c r="AH495" s="112" t="str">
        <f t="shared" si="186"/>
        <v/>
      </c>
      <c r="AI495" t="str">
        <f t="shared" si="191"/>
        <v/>
      </c>
      <c r="AJ495" t="str">
        <f t="shared" si="193"/>
        <v/>
      </c>
    </row>
    <row r="496" spans="1:36" ht="15" customHeight="1" x14ac:dyDescent="0.25">
      <c r="A496" s="114"/>
      <c r="B496" s="116"/>
      <c r="C496" s="116"/>
      <c r="D496" s="42" t="str">
        <f t="shared" si="170"/>
        <v/>
      </c>
      <c r="E496" s="43"/>
      <c r="F496" s="118"/>
      <c r="G496" s="44" t="str">
        <f t="shared" si="171"/>
        <v/>
      </c>
      <c r="H496" s="118"/>
      <c r="I496" s="34" t="str">
        <f t="shared" si="172"/>
        <v/>
      </c>
      <c r="J496" s="118"/>
      <c r="K496" s="34" t="str">
        <f t="shared" si="173"/>
        <v/>
      </c>
      <c r="L496" s="118"/>
      <c r="M496" s="121"/>
      <c r="N496" s="122" t="str">
        <f t="shared" si="174"/>
        <v/>
      </c>
      <c r="O496" s="35" t="str">
        <f t="shared" si="175"/>
        <v/>
      </c>
      <c r="P496" s="124"/>
      <c r="Q496" s="36" t="str">
        <f t="shared" si="187"/>
        <v/>
      </c>
      <c r="R496" s="46" t="str">
        <f t="shared" si="176"/>
        <v/>
      </c>
      <c r="S496" s="38" t="str">
        <f t="shared" si="177"/>
        <v/>
      </c>
      <c r="T496" s="39" t="str">
        <f t="shared" si="178"/>
        <v/>
      </c>
      <c r="U496" s="40" t="str">
        <f t="shared" si="179"/>
        <v/>
      </c>
      <c r="V496" s="39" t="str">
        <f t="shared" si="180"/>
        <v/>
      </c>
      <c r="W496" s="34" t="str">
        <f t="shared" si="181"/>
        <v/>
      </c>
      <c r="X496" s="41" t="str">
        <f t="shared" si="188"/>
        <v/>
      </c>
      <c r="Y496" s="98" t="str">
        <f t="shared" si="182"/>
        <v/>
      </c>
      <c r="Z496" s="16" t="str">
        <f t="shared" si="189"/>
        <v/>
      </c>
      <c r="AB496" s="139"/>
      <c r="AC496" s="146" t="str">
        <f t="shared" si="192"/>
        <v/>
      </c>
      <c r="AD496" s="148" t="str">
        <f t="shared" si="190"/>
        <v/>
      </c>
      <c r="AE496" s="147" t="str">
        <f t="shared" si="183"/>
        <v/>
      </c>
      <c r="AF496" s="111" t="str">
        <f t="shared" si="184"/>
        <v/>
      </c>
      <c r="AG496" s="111" t="str">
        <f t="shared" si="185"/>
        <v/>
      </c>
      <c r="AH496" s="112" t="str">
        <f t="shared" si="186"/>
        <v/>
      </c>
      <c r="AI496" t="str">
        <f t="shared" si="191"/>
        <v/>
      </c>
      <c r="AJ496" t="str">
        <f t="shared" si="193"/>
        <v/>
      </c>
    </row>
    <row r="497" spans="1:36" ht="15" customHeight="1" x14ac:dyDescent="0.25">
      <c r="A497" s="114"/>
      <c r="B497" s="116"/>
      <c r="C497" s="116"/>
      <c r="D497" s="42" t="str">
        <f t="shared" si="170"/>
        <v/>
      </c>
      <c r="E497" s="43"/>
      <c r="F497" s="118"/>
      <c r="G497" s="44" t="str">
        <f t="shared" si="171"/>
        <v/>
      </c>
      <c r="H497" s="118"/>
      <c r="I497" s="34" t="str">
        <f t="shared" si="172"/>
        <v/>
      </c>
      <c r="J497" s="118"/>
      <c r="K497" s="34" t="str">
        <f t="shared" si="173"/>
        <v/>
      </c>
      <c r="L497" s="118"/>
      <c r="M497" s="121"/>
      <c r="N497" s="122" t="str">
        <f t="shared" si="174"/>
        <v/>
      </c>
      <c r="O497" s="35" t="str">
        <f t="shared" si="175"/>
        <v/>
      </c>
      <c r="P497" s="124"/>
      <c r="Q497" s="36" t="str">
        <f t="shared" si="187"/>
        <v/>
      </c>
      <c r="R497" s="46" t="str">
        <f t="shared" si="176"/>
        <v/>
      </c>
      <c r="S497" s="38" t="str">
        <f t="shared" si="177"/>
        <v/>
      </c>
      <c r="T497" s="39" t="str">
        <f t="shared" si="178"/>
        <v/>
      </c>
      <c r="U497" s="40" t="str">
        <f t="shared" si="179"/>
        <v/>
      </c>
      <c r="V497" s="39" t="str">
        <f t="shared" si="180"/>
        <v/>
      </c>
      <c r="W497" s="34" t="str">
        <f t="shared" si="181"/>
        <v/>
      </c>
      <c r="X497" s="41" t="str">
        <f t="shared" si="188"/>
        <v/>
      </c>
      <c r="Y497" s="98" t="str">
        <f t="shared" si="182"/>
        <v/>
      </c>
      <c r="Z497" s="16" t="str">
        <f t="shared" si="189"/>
        <v/>
      </c>
      <c r="AB497" s="139"/>
      <c r="AC497" s="146" t="str">
        <f t="shared" si="192"/>
        <v/>
      </c>
      <c r="AD497" s="148" t="str">
        <f t="shared" si="190"/>
        <v/>
      </c>
      <c r="AE497" s="147" t="str">
        <f t="shared" si="183"/>
        <v/>
      </c>
      <c r="AF497" s="111" t="str">
        <f t="shared" si="184"/>
        <v/>
      </c>
      <c r="AG497" s="111" t="str">
        <f t="shared" si="185"/>
        <v/>
      </c>
      <c r="AH497" s="112" t="str">
        <f t="shared" si="186"/>
        <v/>
      </c>
      <c r="AI497" t="str">
        <f t="shared" si="191"/>
        <v/>
      </c>
      <c r="AJ497" t="str">
        <f t="shared" si="193"/>
        <v/>
      </c>
    </row>
    <row r="498" spans="1:36" ht="15" customHeight="1" x14ac:dyDescent="0.25">
      <c r="A498" s="114"/>
      <c r="B498" s="116"/>
      <c r="C498" s="116"/>
      <c r="D498" s="42" t="str">
        <f t="shared" si="170"/>
        <v/>
      </c>
      <c r="E498" s="43"/>
      <c r="F498" s="118"/>
      <c r="G498" s="44" t="str">
        <f t="shared" si="171"/>
        <v/>
      </c>
      <c r="H498" s="118"/>
      <c r="I498" s="34" t="str">
        <f t="shared" si="172"/>
        <v/>
      </c>
      <c r="J498" s="118"/>
      <c r="K498" s="34" t="str">
        <f t="shared" si="173"/>
        <v/>
      </c>
      <c r="L498" s="118"/>
      <c r="M498" s="121"/>
      <c r="N498" s="122" t="str">
        <f t="shared" si="174"/>
        <v/>
      </c>
      <c r="O498" s="35" t="str">
        <f t="shared" si="175"/>
        <v/>
      </c>
      <c r="P498" s="124"/>
      <c r="Q498" s="36" t="str">
        <f t="shared" si="187"/>
        <v/>
      </c>
      <c r="R498" s="46" t="str">
        <f t="shared" si="176"/>
        <v/>
      </c>
      <c r="S498" s="38" t="str">
        <f t="shared" si="177"/>
        <v/>
      </c>
      <c r="T498" s="39" t="str">
        <f t="shared" si="178"/>
        <v/>
      </c>
      <c r="U498" s="40" t="str">
        <f t="shared" si="179"/>
        <v/>
      </c>
      <c r="V498" s="39" t="str">
        <f t="shared" si="180"/>
        <v/>
      </c>
      <c r="W498" s="34" t="str">
        <f t="shared" si="181"/>
        <v/>
      </c>
      <c r="X498" s="41" t="str">
        <f t="shared" si="188"/>
        <v/>
      </c>
      <c r="Y498" s="98" t="str">
        <f t="shared" si="182"/>
        <v/>
      </c>
      <c r="Z498" s="16" t="str">
        <f t="shared" si="189"/>
        <v/>
      </c>
      <c r="AB498" s="139"/>
      <c r="AC498" s="146" t="str">
        <f t="shared" si="192"/>
        <v/>
      </c>
      <c r="AD498" s="148" t="str">
        <f t="shared" si="190"/>
        <v/>
      </c>
      <c r="AE498" s="147" t="str">
        <f t="shared" si="183"/>
        <v/>
      </c>
      <c r="AF498" s="111" t="str">
        <f t="shared" si="184"/>
        <v/>
      </c>
      <c r="AG498" s="111" t="str">
        <f t="shared" si="185"/>
        <v/>
      </c>
      <c r="AH498" s="112" t="str">
        <f t="shared" si="186"/>
        <v/>
      </c>
      <c r="AI498" t="str">
        <f t="shared" si="191"/>
        <v/>
      </c>
      <c r="AJ498" t="str">
        <f t="shared" si="193"/>
        <v/>
      </c>
    </row>
    <row r="499" spans="1:36" ht="15" customHeight="1" x14ac:dyDescent="0.25">
      <c r="A499" s="114"/>
      <c r="B499" s="116"/>
      <c r="C499" s="116"/>
      <c r="D499" s="42" t="str">
        <f t="shared" si="170"/>
        <v/>
      </c>
      <c r="E499" s="43"/>
      <c r="F499" s="118"/>
      <c r="G499" s="44" t="str">
        <f t="shared" si="171"/>
        <v/>
      </c>
      <c r="H499" s="118"/>
      <c r="I499" s="34" t="str">
        <f t="shared" si="172"/>
        <v/>
      </c>
      <c r="J499" s="118"/>
      <c r="K499" s="34" t="str">
        <f t="shared" si="173"/>
        <v/>
      </c>
      <c r="L499" s="118"/>
      <c r="M499" s="121"/>
      <c r="N499" s="122" t="str">
        <f t="shared" si="174"/>
        <v/>
      </c>
      <c r="O499" s="35" t="str">
        <f t="shared" si="175"/>
        <v/>
      </c>
      <c r="P499" s="124"/>
      <c r="Q499" s="36" t="str">
        <f t="shared" si="187"/>
        <v/>
      </c>
      <c r="R499" s="46" t="str">
        <f t="shared" si="176"/>
        <v/>
      </c>
      <c r="S499" s="38" t="str">
        <f t="shared" si="177"/>
        <v/>
      </c>
      <c r="T499" s="39" t="str">
        <f t="shared" si="178"/>
        <v/>
      </c>
      <c r="U499" s="40" t="str">
        <f t="shared" si="179"/>
        <v/>
      </c>
      <c r="V499" s="39" t="str">
        <f t="shared" si="180"/>
        <v/>
      </c>
      <c r="W499" s="34" t="str">
        <f t="shared" si="181"/>
        <v/>
      </c>
      <c r="X499" s="41" t="str">
        <f t="shared" si="188"/>
        <v/>
      </c>
      <c r="Y499" s="98" t="str">
        <f t="shared" si="182"/>
        <v/>
      </c>
      <c r="Z499" s="16" t="str">
        <f t="shared" si="189"/>
        <v/>
      </c>
      <c r="AB499" s="139"/>
      <c r="AC499" s="146" t="str">
        <f t="shared" si="192"/>
        <v/>
      </c>
      <c r="AD499" s="148" t="str">
        <f t="shared" si="190"/>
        <v/>
      </c>
      <c r="AE499" s="147" t="str">
        <f t="shared" si="183"/>
        <v/>
      </c>
      <c r="AF499" s="111" t="str">
        <f t="shared" si="184"/>
        <v/>
      </c>
      <c r="AG499" s="111" t="str">
        <f t="shared" si="185"/>
        <v/>
      </c>
      <c r="AH499" s="112" t="str">
        <f t="shared" si="186"/>
        <v/>
      </c>
      <c r="AI499" t="str">
        <f t="shared" si="191"/>
        <v/>
      </c>
      <c r="AJ499" t="str">
        <f t="shared" si="193"/>
        <v/>
      </c>
    </row>
    <row r="500" spans="1:36" ht="15" customHeight="1" x14ac:dyDescent="0.25">
      <c r="A500" s="114"/>
      <c r="B500" s="116"/>
      <c r="C500" s="116"/>
      <c r="D500" s="42" t="str">
        <f t="shared" si="170"/>
        <v/>
      </c>
      <c r="E500" s="43"/>
      <c r="F500" s="118"/>
      <c r="G500" s="44" t="str">
        <f t="shared" si="171"/>
        <v/>
      </c>
      <c r="H500" s="118"/>
      <c r="I500" s="34" t="str">
        <f t="shared" si="172"/>
        <v/>
      </c>
      <c r="J500" s="118"/>
      <c r="K500" s="34" t="str">
        <f t="shared" si="173"/>
        <v/>
      </c>
      <c r="L500" s="118"/>
      <c r="M500" s="121"/>
      <c r="N500" s="122" t="str">
        <f t="shared" si="174"/>
        <v/>
      </c>
      <c r="O500" s="35" t="str">
        <f t="shared" si="175"/>
        <v/>
      </c>
      <c r="P500" s="124"/>
      <c r="Q500" s="36" t="str">
        <f t="shared" si="187"/>
        <v/>
      </c>
      <c r="R500" s="46" t="str">
        <f t="shared" si="176"/>
        <v/>
      </c>
      <c r="S500" s="38" t="str">
        <f t="shared" si="177"/>
        <v/>
      </c>
      <c r="T500" s="39" t="str">
        <f t="shared" si="178"/>
        <v/>
      </c>
      <c r="U500" s="40" t="str">
        <f t="shared" si="179"/>
        <v/>
      </c>
      <c r="V500" s="39" t="str">
        <f t="shared" si="180"/>
        <v/>
      </c>
      <c r="W500" s="34" t="str">
        <f t="shared" si="181"/>
        <v/>
      </c>
      <c r="X500" s="41" t="str">
        <f t="shared" si="188"/>
        <v/>
      </c>
      <c r="Y500" s="98" t="str">
        <f t="shared" si="182"/>
        <v/>
      </c>
      <c r="Z500" s="16" t="str">
        <f t="shared" si="189"/>
        <v/>
      </c>
      <c r="AB500" s="139"/>
      <c r="AC500" s="146" t="str">
        <f t="shared" si="192"/>
        <v/>
      </c>
      <c r="AD500" s="148" t="str">
        <f t="shared" si="190"/>
        <v/>
      </c>
      <c r="AE500" s="147" t="str">
        <f t="shared" si="183"/>
        <v/>
      </c>
      <c r="AF500" s="111" t="str">
        <f t="shared" si="184"/>
        <v/>
      </c>
      <c r="AG500" s="111" t="str">
        <f t="shared" si="185"/>
        <v/>
      </c>
      <c r="AH500" s="112" t="str">
        <f t="shared" si="186"/>
        <v/>
      </c>
      <c r="AI500" t="str">
        <f t="shared" si="191"/>
        <v/>
      </c>
      <c r="AJ500" t="str">
        <f t="shared" si="193"/>
        <v/>
      </c>
    </row>
    <row r="501" spans="1:36" ht="15" customHeight="1" x14ac:dyDescent="0.25">
      <c r="A501" s="114"/>
      <c r="B501" s="116"/>
      <c r="C501" s="116"/>
      <c r="D501" s="42" t="str">
        <f t="shared" si="170"/>
        <v/>
      </c>
      <c r="E501" s="43"/>
      <c r="F501" s="118"/>
      <c r="G501" s="44" t="str">
        <f t="shared" si="171"/>
        <v/>
      </c>
      <c r="H501" s="118"/>
      <c r="I501" s="34" t="str">
        <f t="shared" si="172"/>
        <v/>
      </c>
      <c r="J501" s="118"/>
      <c r="K501" s="34" t="str">
        <f t="shared" si="173"/>
        <v/>
      </c>
      <c r="L501" s="118"/>
      <c r="M501" s="121"/>
      <c r="N501" s="122" t="str">
        <f t="shared" si="174"/>
        <v/>
      </c>
      <c r="O501" s="35" t="str">
        <f t="shared" si="175"/>
        <v/>
      </c>
      <c r="P501" s="124"/>
      <c r="Q501" s="36" t="str">
        <f t="shared" si="187"/>
        <v/>
      </c>
      <c r="R501" s="46" t="str">
        <f t="shared" si="176"/>
        <v/>
      </c>
      <c r="S501" s="38" t="str">
        <f t="shared" si="177"/>
        <v/>
      </c>
      <c r="T501" s="39" t="str">
        <f t="shared" si="178"/>
        <v/>
      </c>
      <c r="U501" s="40" t="str">
        <f t="shared" si="179"/>
        <v/>
      </c>
      <c r="V501" s="39" t="str">
        <f t="shared" si="180"/>
        <v/>
      </c>
      <c r="W501" s="34" t="str">
        <f t="shared" si="181"/>
        <v/>
      </c>
      <c r="X501" s="41" t="str">
        <f t="shared" si="188"/>
        <v/>
      </c>
      <c r="Y501" s="98" t="str">
        <f t="shared" si="182"/>
        <v/>
      </c>
      <c r="Z501" s="16" t="str">
        <f t="shared" si="189"/>
        <v/>
      </c>
      <c r="AB501" s="139"/>
      <c r="AC501" s="146" t="str">
        <f t="shared" si="192"/>
        <v/>
      </c>
      <c r="AD501" s="148" t="str">
        <f t="shared" si="190"/>
        <v/>
      </c>
      <c r="AE501" s="147" t="str">
        <f t="shared" si="183"/>
        <v/>
      </c>
      <c r="AF501" s="111" t="str">
        <f t="shared" si="184"/>
        <v/>
      </c>
      <c r="AG501" s="111" t="str">
        <f t="shared" si="185"/>
        <v/>
      </c>
      <c r="AH501" s="112" t="str">
        <f t="shared" si="186"/>
        <v/>
      </c>
      <c r="AI501" t="str">
        <f t="shared" si="191"/>
        <v/>
      </c>
      <c r="AJ501" t="str">
        <f t="shared" si="193"/>
        <v/>
      </c>
    </row>
    <row r="502" spans="1:36" ht="15" customHeight="1" x14ac:dyDescent="0.25">
      <c r="A502" s="114"/>
      <c r="B502" s="116"/>
      <c r="C502" s="116"/>
      <c r="D502" s="42" t="str">
        <f t="shared" si="170"/>
        <v/>
      </c>
      <c r="E502" s="43"/>
      <c r="F502" s="118"/>
      <c r="G502" s="44" t="str">
        <f t="shared" si="171"/>
        <v/>
      </c>
      <c r="H502" s="118"/>
      <c r="I502" s="34" t="str">
        <f t="shared" si="172"/>
        <v/>
      </c>
      <c r="J502" s="118"/>
      <c r="K502" s="34" t="str">
        <f t="shared" si="173"/>
        <v/>
      </c>
      <c r="L502" s="118"/>
      <c r="M502" s="121"/>
      <c r="N502" s="122" t="str">
        <f t="shared" si="174"/>
        <v/>
      </c>
      <c r="O502" s="35" t="str">
        <f t="shared" si="175"/>
        <v/>
      </c>
      <c r="P502" s="124"/>
      <c r="Q502" s="36" t="str">
        <f t="shared" si="187"/>
        <v/>
      </c>
      <c r="R502" s="46" t="str">
        <f t="shared" si="176"/>
        <v/>
      </c>
      <c r="S502" s="38" t="str">
        <f t="shared" si="177"/>
        <v/>
      </c>
      <c r="T502" s="39" t="str">
        <f t="shared" si="178"/>
        <v/>
      </c>
      <c r="U502" s="40" t="str">
        <f t="shared" si="179"/>
        <v/>
      </c>
      <c r="V502" s="39" t="str">
        <f t="shared" si="180"/>
        <v/>
      </c>
      <c r="W502" s="34" t="str">
        <f t="shared" si="181"/>
        <v/>
      </c>
      <c r="X502" s="41" t="str">
        <f t="shared" si="188"/>
        <v/>
      </c>
      <c r="Y502" s="98" t="str">
        <f t="shared" si="182"/>
        <v/>
      </c>
      <c r="Z502" s="16" t="str">
        <f t="shared" si="189"/>
        <v/>
      </c>
      <c r="AB502" s="139"/>
      <c r="AC502" s="146" t="str">
        <f t="shared" si="192"/>
        <v/>
      </c>
      <c r="AD502" s="148" t="str">
        <f t="shared" si="190"/>
        <v/>
      </c>
      <c r="AE502" s="147" t="str">
        <f t="shared" si="183"/>
        <v/>
      </c>
      <c r="AF502" s="111" t="str">
        <f t="shared" si="184"/>
        <v/>
      </c>
      <c r="AG502" s="111" t="str">
        <f t="shared" si="185"/>
        <v/>
      </c>
      <c r="AH502" s="112" t="str">
        <f t="shared" si="186"/>
        <v/>
      </c>
      <c r="AI502" t="str">
        <f t="shared" si="191"/>
        <v/>
      </c>
      <c r="AJ502" t="str">
        <f t="shared" si="193"/>
        <v/>
      </c>
    </row>
    <row r="503" spans="1:36" ht="15" customHeight="1" x14ac:dyDescent="0.25">
      <c r="A503" s="114"/>
      <c r="B503" s="116"/>
      <c r="C503" s="116"/>
      <c r="D503" s="42" t="str">
        <f t="shared" si="170"/>
        <v/>
      </c>
      <c r="E503" s="43"/>
      <c r="F503" s="118"/>
      <c r="G503" s="44" t="str">
        <f t="shared" si="171"/>
        <v/>
      </c>
      <c r="H503" s="118"/>
      <c r="I503" s="34" t="str">
        <f t="shared" si="172"/>
        <v/>
      </c>
      <c r="J503" s="118"/>
      <c r="K503" s="34" t="str">
        <f t="shared" si="173"/>
        <v/>
      </c>
      <c r="L503" s="118"/>
      <c r="M503" s="121"/>
      <c r="N503" s="122" t="str">
        <f t="shared" si="174"/>
        <v/>
      </c>
      <c r="O503" s="35" t="str">
        <f t="shared" si="175"/>
        <v/>
      </c>
      <c r="P503" s="124"/>
      <c r="Q503" s="36" t="str">
        <f t="shared" si="187"/>
        <v/>
      </c>
      <c r="R503" s="46" t="str">
        <f t="shared" si="176"/>
        <v/>
      </c>
      <c r="S503" s="38" t="str">
        <f t="shared" si="177"/>
        <v/>
      </c>
      <c r="T503" s="39" t="str">
        <f t="shared" si="178"/>
        <v/>
      </c>
      <c r="U503" s="40" t="str">
        <f t="shared" si="179"/>
        <v/>
      </c>
      <c r="V503" s="39" t="str">
        <f t="shared" si="180"/>
        <v/>
      </c>
      <c r="W503" s="34" t="str">
        <f t="shared" si="181"/>
        <v/>
      </c>
      <c r="X503" s="41" t="str">
        <f t="shared" si="188"/>
        <v/>
      </c>
      <c r="Y503" s="98" t="str">
        <f t="shared" si="182"/>
        <v/>
      </c>
      <c r="Z503" s="16" t="str">
        <f t="shared" si="189"/>
        <v/>
      </c>
      <c r="AB503" s="139"/>
      <c r="AC503" s="146" t="str">
        <f t="shared" si="192"/>
        <v/>
      </c>
      <c r="AD503" s="148" t="str">
        <f t="shared" si="190"/>
        <v/>
      </c>
      <c r="AE503" s="147" t="str">
        <f t="shared" si="183"/>
        <v/>
      </c>
      <c r="AF503" s="111" t="str">
        <f t="shared" si="184"/>
        <v/>
      </c>
      <c r="AG503" s="111" t="str">
        <f t="shared" si="185"/>
        <v/>
      </c>
      <c r="AH503" s="112" t="str">
        <f t="shared" si="186"/>
        <v/>
      </c>
      <c r="AI503" t="str">
        <f t="shared" si="191"/>
        <v/>
      </c>
      <c r="AJ503" t="str">
        <f t="shared" si="193"/>
        <v/>
      </c>
    </row>
    <row r="504" spans="1:36" ht="15" customHeight="1" x14ac:dyDescent="0.25">
      <c r="A504" s="114"/>
      <c r="B504" s="116"/>
      <c r="C504" s="116"/>
      <c r="D504" s="42" t="str">
        <f t="shared" si="170"/>
        <v/>
      </c>
      <c r="E504" s="43"/>
      <c r="F504" s="118"/>
      <c r="G504" s="44" t="str">
        <f t="shared" si="171"/>
        <v/>
      </c>
      <c r="H504" s="118"/>
      <c r="I504" s="34" t="str">
        <f t="shared" si="172"/>
        <v/>
      </c>
      <c r="J504" s="118"/>
      <c r="K504" s="34" t="str">
        <f t="shared" si="173"/>
        <v/>
      </c>
      <c r="L504" s="118"/>
      <c r="M504" s="121"/>
      <c r="N504" s="122" t="str">
        <f t="shared" si="174"/>
        <v/>
      </c>
      <c r="O504" s="35" t="str">
        <f t="shared" si="175"/>
        <v/>
      </c>
      <c r="P504" s="124"/>
      <c r="Q504" s="36" t="str">
        <f t="shared" si="187"/>
        <v/>
      </c>
      <c r="R504" s="46" t="str">
        <f t="shared" si="176"/>
        <v/>
      </c>
      <c r="S504" s="38" t="str">
        <f t="shared" si="177"/>
        <v/>
      </c>
      <c r="T504" s="39" t="str">
        <f t="shared" si="178"/>
        <v/>
      </c>
      <c r="U504" s="40" t="str">
        <f t="shared" si="179"/>
        <v/>
      </c>
      <c r="V504" s="39" t="str">
        <f t="shared" si="180"/>
        <v/>
      </c>
      <c r="W504" s="34" t="str">
        <f t="shared" si="181"/>
        <v/>
      </c>
      <c r="X504" s="41" t="str">
        <f t="shared" si="188"/>
        <v/>
      </c>
      <c r="Y504" s="98" t="str">
        <f t="shared" si="182"/>
        <v/>
      </c>
      <c r="Z504" s="16" t="str">
        <f t="shared" si="189"/>
        <v/>
      </c>
      <c r="AB504" s="139"/>
      <c r="AC504" s="146" t="str">
        <f t="shared" si="192"/>
        <v/>
      </c>
      <c r="AD504" s="148" t="str">
        <f t="shared" si="190"/>
        <v/>
      </c>
      <c r="AE504" s="147" t="str">
        <f t="shared" si="183"/>
        <v/>
      </c>
      <c r="AF504" s="111" t="str">
        <f t="shared" si="184"/>
        <v/>
      </c>
      <c r="AG504" s="111" t="str">
        <f t="shared" si="185"/>
        <v/>
      </c>
      <c r="AH504" s="112" t="str">
        <f t="shared" si="186"/>
        <v/>
      </c>
      <c r="AI504" t="str">
        <f t="shared" si="191"/>
        <v/>
      </c>
      <c r="AJ504" t="str">
        <f t="shared" si="193"/>
        <v/>
      </c>
    </row>
    <row r="505" spans="1:36" ht="15" customHeight="1" x14ac:dyDescent="0.25">
      <c r="A505" s="114"/>
      <c r="B505" s="116"/>
      <c r="C505" s="116"/>
      <c r="D505" s="42" t="str">
        <f t="shared" si="170"/>
        <v/>
      </c>
      <c r="E505" s="43"/>
      <c r="F505" s="118"/>
      <c r="G505" s="44" t="str">
        <f t="shared" si="171"/>
        <v/>
      </c>
      <c r="H505" s="118"/>
      <c r="I505" s="34" t="str">
        <f t="shared" si="172"/>
        <v/>
      </c>
      <c r="J505" s="118"/>
      <c r="K505" s="34" t="str">
        <f t="shared" si="173"/>
        <v/>
      </c>
      <c r="L505" s="118"/>
      <c r="M505" s="121"/>
      <c r="N505" s="122" t="str">
        <f t="shared" si="174"/>
        <v/>
      </c>
      <c r="O505" s="35" t="str">
        <f t="shared" si="175"/>
        <v/>
      </c>
      <c r="P505" s="124"/>
      <c r="Q505" s="36" t="str">
        <f t="shared" si="187"/>
        <v/>
      </c>
      <c r="R505" s="46" t="str">
        <f t="shared" si="176"/>
        <v/>
      </c>
      <c r="S505" s="38" t="str">
        <f t="shared" si="177"/>
        <v/>
      </c>
      <c r="T505" s="39" t="str">
        <f t="shared" si="178"/>
        <v/>
      </c>
      <c r="U505" s="40" t="str">
        <f t="shared" si="179"/>
        <v/>
      </c>
      <c r="V505" s="39" t="str">
        <f t="shared" si="180"/>
        <v/>
      </c>
      <c r="W505" s="34" t="str">
        <f t="shared" si="181"/>
        <v/>
      </c>
      <c r="X505" s="41" t="str">
        <f t="shared" si="188"/>
        <v/>
      </c>
      <c r="Y505" s="98" t="str">
        <f t="shared" si="182"/>
        <v/>
      </c>
      <c r="Z505" s="16" t="str">
        <f t="shared" si="189"/>
        <v/>
      </c>
      <c r="AB505" s="139"/>
      <c r="AC505" s="146" t="str">
        <f t="shared" si="192"/>
        <v/>
      </c>
      <c r="AD505" s="148" t="str">
        <f t="shared" si="190"/>
        <v/>
      </c>
      <c r="AE505" s="147" t="str">
        <f t="shared" si="183"/>
        <v/>
      </c>
      <c r="AF505" s="111" t="str">
        <f t="shared" si="184"/>
        <v/>
      </c>
      <c r="AG505" s="111" t="str">
        <f t="shared" si="185"/>
        <v/>
      </c>
      <c r="AH505" s="112" t="str">
        <f t="shared" si="186"/>
        <v/>
      </c>
      <c r="AI505" t="str">
        <f t="shared" si="191"/>
        <v/>
      </c>
      <c r="AJ505" t="str">
        <f t="shared" si="193"/>
        <v/>
      </c>
    </row>
    <row r="506" spans="1:36" ht="15" customHeight="1" x14ac:dyDescent="0.25">
      <c r="A506" s="114"/>
      <c r="B506" s="116"/>
      <c r="C506" s="116"/>
      <c r="D506" s="42" t="str">
        <f t="shared" si="170"/>
        <v/>
      </c>
      <c r="E506" s="43"/>
      <c r="F506" s="118"/>
      <c r="G506" s="44" t="str">
        <f t="shared" si="171"/>
        <v/>
      </c>
      <c r="H506" s="118"/>
      <c r="I506" s="34" t="str">
        <f t="shared" si="172"/>
        <v/>
      </c>
      <c r="J506" s="118"/>
      <c r="K506" s="34" t="str">
        <f t="shared" si="173"/>
        <v/>
      </c>
      <c r="L506" s="118"/>
      <c r="M506" s="121"/>
      <c r="N506" s="122" t="str">
        <f t="shared" si="174"/>
        <v/>
      </c>
      <c r="O506" s="35" t="str">
        <f t="shared" si="175"/>
        <v/>
      </c>
      <c r="P506" s="124"/>
      <c r="Q506" s="36" t="str">
        <f t="shared" si="187"/>
        <v/>
      </c>
      <c r="R506" s="46" t="str">
        <f t="shared" si="176"/>
        <v/>
      </c>
      <c r="S506" s="38" t="str">
        <f t="shared" si="177"/>
        <v/>
      </c>
      <c r="T506" s="39" t="str">
        <f t="shared" si="178"/>
        <v/>
      </c>
      <c r="U506" s="40" t="str">
        <f t="shared" si="179"/>
        <v/>
      </c>
      <c r="V506" s="39" t="str">
        <f t="shared" si="180"/>
        <v/>
      </c>
      <c r="W506" s="34" t="str">
        <f t="shared" si="181"/>
        <v/>
      </c>
      <c r="X506" s="41" t="str">
        <f t="shared" si="188"/>
        <v/>
      </c>
      <c r="Y506" s="98" t="str">
        <f t="shared" si="182"/>
        <v/>
      </c>
      <c r="Z506" s="16" t="str">
        <f t="shared" si="189"/>
        <v/>
      </c>
      <c r="AB506" s="139"/>
      <c r="AC506" s="146" t="str">
        <f t="shared" si="192"/>
        <v/>
      </c>
      <c r="AD506" s="148" t="str">
        <f t="shared" si="190"/>
        <v/>
      </c>
      <c r="AE506" s="147" t="str">
        <f t="shared" si="183"/>
        <v/>
      </c>
      <c r="AF506" s="111" t="str">
        <f t="shared" si="184"/>
        <v/>
      </c>
      <c r="AG506" s="111" t="str">
        <f t="shared" si="185"/>
        <v/>
      </c>
      <c r="AH506" s="112" t="str">
        <f t="shared" si="186"/>
        <v/>
      </c>
      <c r="AI506" t="str">
        <f t="shared" si="191"/>
        <v/>
      </c>
      <c r="AJ506" t="str">
        <f t="shared" si="193"/>
        <v/>
      </c>
    </row>
    <row r="507" spans="1:36" ht="15" customHeight="1" x14ac:dyDescent="0.25">
      <c r="A507" s="114"/>
      <c r="B507" s="116"/>
      <c r="C507" s="116"/>
      <c r="D507" s="42" t="str">
        <f t="shared" si="170"/>
        <v/>
      </c>
      <c r="E507" s="43"/>
      <c r="F507" s="118"/>
      <c r="G507" s="44" t="str">
        <f t="shared" si="171"/>
        <v/>
      </c>
      <c r="H507" s="118"/>
      <c r="I507" s="34" t="str">
        <f t="shared" si="172"/>
        <v/>
      </c>
      <c r="J507" s="118"/>
      <c r="K507" s="34" t="str">
        <f t="shared" si="173"/>
        <v/>
      </c>
      <c r="L507" s="118"/>
      <c r="M507" s="121"/>
      <c r="N507" s="122" t="str">
        <f t="shared" si="174"/>
        <v/>
      </c>
      <c r="O507" s="35" t="str">
        <f t="shared" si="175"/>
        <v/>
      </c>
      <c r="P507" s="124"/>
      <c r="Q507" s="36" t="str">
        <f t="shared" si="187"/>
        <v/>
      </c>
      <c r="R507" s="46" t="str">
        <f t="shared" si="176"/>
        <v/>
      </c>
      <c r="S507" s="38" t="str">
        <f t="shared" si="177"/>
        <v/>
      </c>
      <c r="T507" s="39" t="str">
        <f t="shared" si="178"/>
        <v/>
      </c>
      <c r="U507" s="40" t="str">
        <f t="shared" si="179"/>
        <v/>
      </c>
      <c r="V507" s="39" t="str">
        <f t="shared" si="180"/>
        <v/>
      </c>
      <c r="W507" s="34" t="str">
        <f t="shared" si="181"/>
        <v/>
      </c>
      <c r="X507" s="41" t="str">
        <f t="shared" si="188"/>
        <v/>
      </c>
      <c r="Y507" s="98" t="str">
        <f t="shared" si="182"/>
        <v/>
      </c>
      <c r="Z507" s="16" t="str">
        <f t="shared" si="189"/>
        <v/>
      </c>
      <c r="AB507" s="139"/>
      <c r="AC507" s="146" t="str">
        <f t="shared" si="192"/>
        <v/>
      </c>
      <c r="AD507" s="148" t="str">
        <f t="shared" si="190"/>
        <v/>
      </c>
      <c r="AE507" s="147" t="str">
        <f t="shared" si="183"/>
        <v/>
      </c>
      <c r="AF507" s="111" t="str">
        <f t="shared" si="184"/>
        <v/>
      </c>
      <c r="AG507" s="111" t="str">
        <f t="shared" si="185"/>
        <v/>
      </c>
      <c r="AH507" s="112" t="str">
        <f t="shared" si="186"/>
        <v/>
      </c>
      <c r="AI507" t="str">
        <f t="shared" si="191"/>
        <v/>
      </c>
      <c r="AJ507" t="str">
        <f t="shared" si="193"/>
        <v/>
      </c>
    </row>
    <row r="508" spans="1:36" ht="15" customHeight="1" x14ac:dyDescent="0.25">
      <c r="A508" s="114"/>
      <c r="B508" s="116"/>
      <c r="C508" s="116"/>
      <c r="D508" s="42" t="str">
        <f t="shared" si="170"/>
        <v/>
      </c>
      <c r="E508" s="43"/>
      <c r="F508" s="118"/>
      <c r="G508" s="44" t="str">
        <f t="shared" si="171"/>
        <v/>
      </c>
      <c r="H508" s="118"/>
      <c r="I508" s="34" t="str">
        <f t="shared" si="172"/>
        <v/>
      </c>
      <c r="J508" s="118"/>
      <c r="K508" s="34" t="str">
        <f t="shared" si="173"/>
        <v/>
      </c>
      <c r="L508" s="118"/>
      <c r="M508" s="121"/>
      <c r="N508" s="122" t="str">
        <f t="shared" si="174"/>
        <v/>
      </c>
      <c r="O508" s="35" t="str">
        <f t="shared" si="175"/>
        <v/>
      </c>
      <c r="P508" s="124"/>
      <c r="Q508" s="36" t="str">
        <f t="shared" si="187"/>
        <v/>
      </c>
      <c r="R508" s="46" t="str">
        <f t="shared" si="176"/>
        <v/>
      </c>
      <c r="S508" s="38" t="str">
        <f t="shared" si="177"/>
        <v/>
      </c>
      <c r="T508" s="39" t="str">
        <f t="shared" si="178"/>
        <v/>
      </c>
      <c r="U508" s="40" t="str">
        <f t="shared" si="179"/>
        <v/>
      </c>
      <c r="V508" s="39" t="str">
        <f t="shared" si="180"/>
        <v/>
      </c>
      <c r="W508" s="34" t="str">
        <f t="shared" si="181"/>
        <v/>
      </c>
      <c r="X508" s="41" t="str">
        <f t="shared" si="188"/>
        <v/>
      </c>
      <c r="Y508" s="98" t="str">
        <f t="shared" si="182"/>
        <v/>
      </c>
      <c r="Z508" s="16" t="str">
        <f t="shared" si="189"/>
        <v/>
      </c>
      <c r="AB508" s="139"/>
      <c r="AC508" s="146" t="str">
        <f t="shared" si="192"/>
        <v/>
      </c>
      <c r="AD508" s="148" t="str">
        <f t="shared" si="190"/>
        <v/>
      </c>
      <c r="AE508" s="147" t="str">
        <f t="shared" si="183"/>
        <v/>
      </c>
      <c r="AF508" s="111" t="str">
        <f t="shared" si="184"/>
        <v/>
      </c>
      <c r="AG508" s="111" t="str">
        <f t="shared" si="185"/>
        <v/>
      </c>
      <c r="AH508" s="112" t="str">
        <f t="shared" si="186"/>
        <v/>
      </c>
      <c r="AI508" t="str">
        <f t="shared" si="191"/>
        <v/>
      </c>
      <c r="AJ508" t="str">
        <f t="shared" si="193"/>
        <v/>
      </c>
    </row>
    <row r="509" spans="1:36" ht="15" customHeight="1" x14ac:dyDescent="0.25">
      <c r="A509" s="114"/>
      <c r="B509" s="116"/>
      <c r="C509" s="116"/>
      <c r="D509" s="42" t="str">
        <f t="shared" si="170"/>
        <v/>
      </c>
      <c r="E509" s="43"/>
      <c r="F509" s="118"/>
      <c r="G509" s="44" t="str">
        <f t="shared" si="171"/>
        <v/>
      </c>
      <c r="H509" s="118"/>
      <c r="I509" s="34" t="str">
        <f t="shared" si="172"/>
        <v/>
      </c>
      <c r="J509" s="118"/>
      <c r="K509" s="34" t="str">
        <f t="shared" si="173"/>
        <v/>
      </c>
      <c r="L509" s="118"/>
      <c r="M509" s="121"/>
      <c r="N509" s="122" t="str">
        <f t="shared" si="174"/>
        <v/>
      </c>
      <c r="O509" s="35" t="str">
        <f t="shared" si="175"/>
        <v/>
      </c>
      <c r="P509" s="124"/>
      <c r="Q509" s="36" t="str">
        <f t="shared" si="187"/>
        <v/>
      </c>
      <c r="R509" s="46" t="str">
        <f t="shared" si="176"/>
        <v/>
      </c>
      <c r="S509" s="38" t="str">
        <f t="shared" si="177"/>
        <v/>
      </c>
      <c r="T509" s="39" t="str">
        <f t="shared" si="178"/>
        <v/>
      </c>
      <c r="U509" s="40" t="str">
        <f t="shared" si="179"/>
        <v/>
      </c>
      <c r="V509" s="39" t="str">
        <f t="shared" si="180"/>
        <v/>
      </c>
      <c r="W509" s="34" t="str">
        <f t="shared" si="181"/>
        <v/>
      </c>
      <c r="X509" s="41" t="str">
        <f t="shared" si="188"/>
        <v/>
      </c>
      <c r="Y509" s="98" t="str">
        <f t="shared" si="182"/>
        <v/>
      </c>
      <c r="Z509" s="16" t="str">
        <f t="shared" si="189"/>
        <v/>
      </c>
      <c r="AB509" s="139"/>
      <c r="AC509" s="146" t="str">
        <f t="shared" si="192"/>
        <v/>
      </c>
      <c r="AD509" s="148" t="str">
        <f t="shared" si="190"/>
        <v/>
      </c>
      <c r="AE509" s="147" t="str">
        <f t="shared" si="183"/>
        <v/>
      </c>
      <c r="AF509" s="111" t="str">
        <f t="shared" si="184"/>
        <v/>
      </c>
      <c r="AG509" s="111" t="str">
        <f t="shared" si="185"/>
        <v/>
      </c>
      <c r="AH509" s="112" t="str">
        <f t="shared" si="186"/>
        <v/>
      </c>
      <c r="AI509" t="str">
        <f t="shared" si="191"/>
        <v/>
      </c>
      <c r="AJ509" t="str">
        <f t="shared" si="193"/>
        <v/>
      </c>
    </row>
    <row r="510" spans="1:36" ht="15" customHeight="1" x14ac:dyDescent="0.25">
      <c r="A510" s="114"/>
      <c r="B510" s="116"/>
      <c r="C510" s="116"/>
      <c r="D510" s="42" t="str">
        <f t="shared" si="170"/>
        <v/>
      </c>
      <c r="E510" s="43"/>
      <c r="F510" s="118"/>
      <c r="G510" s="44" t="str">
        <f t="shared" si="171"/>
        <v/>
      </c>
      <c r="H510" s="118"/>
      <c r="I510" s="34" t="str">
        <f t="shared" si="172"/>
        <v/>
      </c>
      <c r="J510" s="118"/>
      <c r="K510" s="34" t="str">
        <f t="shared" si="173"/>
        <v/>
      </c>
      <c r="L510" s="118"/>
      <c r="M510" s="121"/>
      <c r="N510" s="122" t="str">
        <f t="shared" si="174"/>
        <v/>
      </c>
      <c r="O510" s="35" t="str">
        <f t="shared" si="175"/>
        <v/>
      </c>
      <c r="P510" s="124"/>
      <c r="Q510" s="36" t="str">
        <f t="shared" si="187"/>
        <v/>
      </c>
      <c r="R510" s="46" t="str">
        <f t="shared" si="176"/>
        <v/>
      </c>
      <c r="S510" s="38" t="str">
        <f t="shared" si="177"/>
        <v/>
      </c>
      <c r="T510" s="39" t="str">
        <f t="shared" si="178"/>
        <v/>
      </c>
      <c r="U510" s="40" t="str">
        <f t="shared" si="179"/>
        <v/>
      </c>
      <c r="V510" s="39" t="str">
        <f t="shared" si="180"/>
        <v/>
      </c>
      <c r="W510" s="34" t="str">
        <f t="shared" si="181"/>
        <v/>
      </c>
      <c r="X510" s="41" t="str">
        <f t="shared" si="188"/>
        <v/>
      </c>
      <c r="Y510" s="98" t="str">
        <f t="shared" si="182"/>
        <v/>
      </c>
      <c r="Z510" s="16" t="str">
        <f t="shared" si="189"/>
        <v/>
      </c>
      <c r="AB510" s="139"/>
      <c r="AC510" s="146" t="str">
        <f t="shared" si="192"/>
        <v/>
      </c>
      <c r="AD510" s="148" t="str">
        <f t="shared" si="190"/>
        <v/>
      </c>
      <c r="AE510" s="147" t="str">
        <f t="shared" si="183"/>
        <v/>
      </c>
      <c r="AF510" s="111" t="str">
        <f t="shared" si="184"/>
        <v/>
      </c>
      <c r="AG510" s="111" t="str">
        <f t="shared" si="185"/>
        <v/>
      </c>
      <c r="AH510" s="112" t="str">
        <f t="shared" si="186"/>
        <v/>
      </c>
      <c r="AI510" t="str">
        <f t="shared" si="191"/>
        <v/>
      </c>
      <c r="AJ510" t="str">
        <f t="shared" si="193"/>
        <v/>
      </c>
    </row>
    <row r="511" spans="1:36" ht="15" customHeight="1" x14ac:dyDescent="0.25">
      <c r="A511" s="114"/>
      <c r="B511" s="116"/>
      <c r="C511" s="116"/>
      <c r="D511" s="42" t="str">
        <f t="shared" si="170"/>
        <v/>
      </c>
      <c r="E511" s="43"/>
      <c r="F511" s="118"/>
      <c r="G511" s="44" t="str">
        <f t="shared" si="171"/>
        <v/>
      </c>
      <c r="H511" s="118"/>
      <c r="I511" s="34" t="str">
        <f t="shared" si="172"/>
        <v/>
      </c>
      <c r="J511" s="118"/>
      <c r="K511" s="34" t="str">
        <f t="shared" si="173"/>
        <v/>
      </c>
      <c r="L511" s="118"/>
      <c r="M511" s="121"/>
      <c r="N511" s="122" t="str">
        <f t="shared" si="174"/>
        <v/>
      </c>
      <c r="O511" s="35" t="str">
        <f t="shared" si="175"/>
        <v/>
      </c>
      <c r="P511" s="124"/>
      <c r="Q511" s="36" t="str">
        <f t="shared" si="187"/>
        <v/>
      </c>
      <c r="R511" s="46" t="str">
        <f t="shared" si="176"/>
        <v/>
      </c>
      <c r="S511" s="38" t="str">
        <f t="shared" si="177"/>
        <v/>
      </c>
      <c r="T511" s="39" t="str">
        <f t="shared" si="178"/>
        <v/>
      </c>
      <c r="U511" s="40" t="str">
        <f t="shared" si="179"/>
        <v/>
      </c>
      <c r="V511" s="39" t="str">
        <f t="shared" si="180"/>
        <v/>
      </c>
      <c r="W511" s="34" t="str">
        <f t="shared" si="181"/>
        <v/>
      </c>
      <c r="X511" s="41" t="str">
        <f t="shared" si="188"/>
        <v/>
      </c>
      <c r="Y511" s="98" t="str">
        <f t="shared" si="182"/>
        <v/>
      </c>
      <c r="Z511" s="16" t="str">
        <f t="shared" si="189"/>
        <v/>
      </c>
      <c r="AB511" s="139"/>
      <c r="AC511" s="146" t="str">
        <f t="shared" si="192"/>
        <v/>
      </c>
      <c r="AD511" s="148" t="str">
        <f t="shared" si="190"/>
        <v/>
      </c>
      <c r="AE511" s="147" t="str">
        <f t="shared" si="183"/>
        <v/>
      </c>
      <c r="AF511" s="111" t="str">
        <f t="shared" si="184"/>
        <v/>
      </c>
      <c r="AG511" s="111" t="str">
        <f t="shared" si="185"/>
        <v/>
      </c>
      <c r="AH511" s="112" t="str">
        <f t="shared" si="186"/>
        <v/>
      </c>
      <c r="AI511" t="str">
        <f t="shared" si="191"/>
        <v/>
      </c>
      <c r="AJ511" t="str">
        <f t="shared" si="193"/>
        <v/>
      </c>
    </row>
    <row r="512" spans="1:36" ht="15" customHeight="1" x14ac:dyDescent="0.25">
      <c r="A512" s="114"/>
      <c r="B512" s="116"/>
      <c r="C512" s="116"/>
      <c r="D512" s="42" t="str">
        <f t="shared" si="170"/>
        <v/>
      </c>
      <c r="E512" s="43"/>
      <c r="F512" s="118"/>
      <c r="G512" s="44" t="str">
        <f t="shared" si="171"/>
        <v/>
      </c>
      <c r="H512" s="118"/>
      <c r="I512" s="34" t="str">
        <f t="shared" si="172"/>
        <v/>
      </c>
      <c r="J512" s="118"/>
      <c r="K512" s="34" t="str">
        <f t="shared" si="173"/>
        <v/>
      </c>
      <c r="L512" s="118"/>
      <c r="M512" s="121"/>
      <c r="N512" s="122" t="str">
        <f t="shared" si="174"/>
        <v/>
      </c>
      <c r="O512" s="35" t="str">
        <f t="shared" si="175"/>
        <v/>
      </c>
      <c r="P512" s="124"/>
      <c r="Q512" s="36" t="str">
        <f t="shared" si="187"/>
        <v/>
      </c>
      <c r="R512" s="46" t="str">
        <f t="shared" si="176"/>
        <v/>
      </c>
      <c r="S512" s="38" t="str">
        <f t="shared" si="177"/>
        <v/>
      </c>
      <c r="T512" s="39" t="str">
        <f t="shared" si="178"/>
        <v/>
      </c>
      <c r="U512" s="40" t="str">
        <f t="shared" si="179"/>
        <v/>
      </c>
      <c r="V512" s="39" t="str">
        <f t="shared" si="180"/>
        <v/>
      </c>
      <c r="W512" s="34" t="str">
        <f t="shared" si="181"/>
        <v/>
      </c>
      <c r="X512" s="41" t="str">
        <f t="shared" si="188"/>
        <v/>
      </c>
      <c r="Y512" s="98" t="str">
        <f t="shared" si="182"/>
        <v/>
      </c>
      <c r="Z512" s="16" t="str">
        <f t="shared" si="189"/>
        <v/>
      </c>
      <c r="AB512" s="139"/>
      <c r="AC512" s="146" t="str">
        <f t="shared" si="192"/>
        <v/>
      </c>
      <c r="AD512" s="148" t="str">
        <f t="shared" si="190"/>
        <v/>
      </c>
      <c r="AE512" s="147" t="str">
        <f t="shared" si="183"/>
        <v/>
      </c>
      <c r="AF512" s="111" t="str">
        <f t="shared" si="184"/>
        <v/>
      </c>
      <c r="AG512" s="111" t="str">
        <f t="shared" si="185"/>
        <v/>
      </c>
      <c r="AH512" s="112" t="str">
        <f t="shared" si="186"/>
        <v/>
      </c>
      <c r="AI512" t="str">
        <f t="shared" si="191"/>
        <v/>
      </c>
      <c r="AJ512" t="str">
        <f t="shared" si="193"/>
        <v/>
      </c>
    </row>
    <row r="513" spans="1:36" ht="15" customHeight="1" x14ac:dyDescent="0.25">
      <c r="A513" s="114"/>
      <c r="B513" s="116"/>
      <c r="C513" s="116"/>
      <c r="D513" s="42" t="str">
        <f t="shared" si="170"/>
        <v/>
      </c>
      <c r="E513" s="43"/>
      <c r="F513" s="118"/>
      <c r="G513" s="44" t="str">
        <f t="shared" si="171"/>
        <v/>
      </c>
      <c r="H513" s="118"/>
      <c r="I513" s="34" t="str">
        <f t="shared" si="172"/>
        <v/>
      </c>
      <c r="J513" s="118"/>
      <c r="K513" s="34" t="str">
        <f t="shared" si="173"/>
        <v/>
      </c>
      <c r="L513" s="118"/>
      <c r="M513" s="121"/>
      <c r="N513" s="122" t="str">
        <f t="shared" si="174"/>
        <v/>
      </c>
      <c r="O513" s="35" t="str">
        <f t="shared" si="175"/>
        <v/>
      </c>
      <c r="P513" s="124"/>
      <c r="Q513" s="36" t="str">
        <f t="shared" si="187"/>
        <v/>
      </c>
      <c r="R513" s="46" t="str">
        <f t="shared" si="176"/>
        <v/>
      </c>
      <c r="S513" s="38" t="str">
        <f t="shared" si="177"/>
        <v/>
      </c>
      <c r="T513" s="39" t="str">
        <f t="shared" si="178"/>
        <v/>
      </c>
      <c r="U513" s="40" t="str">
        <f t="shared" si="179"/>
        <v/>
      </c>
      <c r="V513" s="39" t="str">
        <f t="shared" si="180"/>
        <v/>
      </c>
      <c r="W513" s="34" t="str">
        <f t="shared" si="181"/>
        <v/>
      </c>
      <c r="X513" s="41" t="str">
        <f t="shared" si="188"/>
        <v/>
      </c>
      <c r="Y513" s="98" t="str">
        <f t="shared" si="182"/>
        <v/>
      </c>
      <c r="Z513" s="16" t="str">
        <f t="shared" si="189"/>
        <v/>
      </c>
      <c r="AB513" s="139"/>
      <c r="AC513" s="146" t="str">
        <f t="shared" si="192"/>
        <v/>
      </c>
      <c r="AD513" s="148" t="str">
        <f t="shared" si="190"/>
        <v/>
      </c>
      <c r="AE513" s="147" t="str">
        <f t="shared" si="183"/>
        <v/>
      </c>
      <c r="AF513" s="111" t="str">
        <f t="shared" si="184"/>
        <v/>
      </c>
      <c r="AG513" s="111" t="str">
        <f t="shared" si="185"/>
        <v/>
      </c>
      <c r="AH513" s="112" t="str">
        <f t="shared" si="186"/>
        <v/>
      </c>
      <c r="AI513" t="str">
        <f t="shared" si="191"/>
        <v/>
      </c>
      <c r="AJ513" t="str">
        <f t="shared" si="193"/>
        <v/>
      </c>
    </row>
    <row r="514" spans="1:36" ht="15" customHeight="1" x14ac:dyDescent="0.25">
      <c r="A514" s="114"/>
      <c r="B514" s="116"/>
      <c r="C514" s="116"/>
      <c r="D514" s="42" t="str">
        <f t="shared" si="170"/>
        <v/>
      </c>
      <c r="E514" s="43"/>
      <c r="F514" s="118"/>
      <c r="G514" s="44" t="str">
        <f t="shared" si="171"/>
        <v/>
      </c>
      <c r="H514" s="118"/>
      <c r="I514" s="34" t="str">
        <f t="shared" si="172"/>
        <v/>
      </c>
      <c r="J514" s="118"/>
      <c r="K514" s="34" t="str">
        <f t="shared" si="173"/>
        <v/>
      </c>
      <c r="L514" s="118"/>
      <c r="M514" s="121"/>
      <c r="N514" s="122" t="str">
        <f t="shared" si="174"/>
        <v/>
      </c>
      <c r="O514" s="35" t="str">
        <f t="shared" si="175"/>
        <v/>
      </c>
      <c r="P514" s="124"/>
      <c r="Q514" s="36" t="str">
        <f t="shared" si="187"/>
        <v/>
      </c>
      <c r="R514" s="46" t="str">
        <f t="shared" si="176"/>
        <v/>
      </c>
      <c r="S514" s="38" t="str">
        <f t="shared" si="177"/>
        <v/>
      </c>
      <c r="T514" s="39" t="str">
        <f t="shared" si="178"/>
        <v/>
      </c>
      <c r="U514" s="40" t="str">
        <f t="shared" si="179"/>
        <v/>
      </c>
      <c r="V514" s="39" t="str">
        <f t="shared" si="180"/>
        <v/>
      </c>
      <c r="W514" s="34" t="str">
        <f t="shared" si="181"/>
        <v/>
      </c>
      <c r="X514" s="41" t="str">
        <f t="shared" si="188"/>
        <v/>
      </c>
      <c r="Y514" s="98" t="str">
        <f t="shared" si="182"/>
        <v/>
      </c>
      <c r="Z514" s="16" t="str">
        <f t="shared" si="189"/>
        <v/>
      </c>
      <c r="AB514" s="139"/>
      <c r="AC514" s="146" t="str">
        <f t="shared" si="192"/>
        <v/>
      </c>
      <c r="AD514" s="148" t="str">
        <f t="shared" si="190"/>
        <v/>
      </c>
      <c r="AE514" s="147" t="str">
        <f t="shared" si="183"/>
        <v/>
      </c>
      <c r="AF514" s="111" t="str">
        <f t="shared" si="184"/>
        <v/>
      </c>
      <c r="AG514" s="111" t="str">
        <f t="shared" si="185"/>
        <v/>
      </c>
      <c r="AH514" s="112" t="str">
        <f t="shared" si="186"/>
        <v/>
      </c>
      <c r="AI514" t="str">
        <f t="shared" si="191"/>
        <v/>
      </c>
      <c r="AJ514" t="str">
        <f t="shared" si="193"/>
        <v/>
      </c>
    </row>
    <row r="515" spans="1:36" ht="15" customHeight="1" x14ac:dyDescent="0.25">
      <c r="A515" s="114"/>
      <c r="B515" s="116"/>
      <c r="C515" s="116"/>
      <c r="D515" s="42" t="str">
        <f t="shared" si="170"/>
        <v/>
      </c>
      <c r="E515" s="43"/>
      <c r="F515" s="118"/>
      <c r="G515" s="44" t="str">
        <f t="shared" si="171"/>
        <v/>
      </c>
      <c r="H515" s="118"/>
      <c r="I515" s="34" t="str">
        <f t="shared" si="172"/>
        <v/>
      </c>
      <c r="J515" s="118"/>
      <c r="K515" s="34" t="str">
        <f t="shared" si="173"/>
        <v/>
      </c>
      <c r="L515" s="118"/>
      <c r="M515" s="121"/>
      <c r="N515" s="122" t="str">
        <f t="shared" si="174"/>
        <v/>
      </c>
      <c r="O515" s="35" t="str">
        <f t="shared" si="175"/>
        <v/>
      </c>
      <c r="P515" s="124"/>
      <c r="Q515" s="36" t="str">
        <f t="shared" si="187"/>
        <v/>
      </c>
      <c r="R515" s="46" t="str">
        <f t="shared" si="176"/>
        <v/>
      </c>
      <c r="S515" s="38" t="str">
        <f t="shared" si="177"/>
        <v/>
      </c>
      <c r="T515" s="39" t="str">
        <f t="shared" si="178"/>
        <v/>
      </c>
      <c r="U515" s="40" t="str">
        <f t="shared" si="179"/>
        <v/>
      </c>
      <c r="V515" s="39" t="str">
        <f t="shared" si="180"/>
        <v/>
      </c>
      <c r="W515" s="34" t="str">
        <f t="shared" si="181"/>
        <v/>
      </c>
      <c r="X515" s="41" t="str">
        <f t="shared" si="188"/>
        <v/>
      </c>
      <c r="Y515" s="98" t="str">
        <f t="shared" si="182"/>
        <v/>
      </c>
      <c r="Z515" s="16" t="str">
        <f t="shared" si="189"/>
        <v/>
      </c>
      <c r="AB515" s="139"/>
      <c r="AC515" s="146" t="str">
        <f t="shared" si="192"/>
        <v/>
      </c>
      <c r="AD515" s="148" t="str">
        <f t="shared" si="190"/>
        <v/>
      </c>
      <c r="AE515" s="147" t="str">
        <f t="shared" si="183"/>
        <v/>
      </c>
      <c r="AF515" s="111" t="str">
        <f t="shared" si="184"/>
        <v/>
      </c>
      <c r="AG515" s="111" t="str">
        <f t="shared" si="185"/>
        <v/>
      </c>
      <c r="AH515" s="112" t="str">
        <f t="shared" si="186"/>
        <v/>
      </c>
      <c r="AI515" t="str">
        <f t="shared" si="191"/>
        <v/>
      </c>
      <c r="AJ515" t="str">
        <f t="shared" si="193"/>
        <v/>
      </c>
    </row>
    <row r="516" spans="1:36" ht="15" customHeight="1" x14ac:dyDescent="0.25">
      <c r="A516" s="114"/>
      <c r="B516" s="116"/>
      <c r="C516" s="116"/>
      <c r="D516" s="42" t="str">
        <f t="shared" si="170"/>
        <v/>
      </c>
      <c r="E516" s="43"/>
      <c r="F516" s="118"/>
      <c r="G516" s="44" t="str">
        <f t="shared" si="171"/>
        <v/>
      </c>
      <c r="H516" s="118"/>
      <c r="I516" s="34" t="str">
        <f t="shared" si="172"/>
        <v/>
      </c>
      <c r="J516" s="118"/>
      <c r="K516" s="34" t="str">
        <f t="shared" si="173"/>
        <v/>
      </c>
      <c r="L516" s="118"/>
      <c r="M516" s="121"/>
      <c r="N516" s="122" t="str">
        <f t="shared" si="174"/>
        <v/>
      </c>
      <c r="O516" s="35" t="str">
        <f t="shared" si="175"/>
        <v/>
      </c>
      <c r="P516" s="124"/>
      <c r="Q516" s="36" t="str">
        <f t="shared" si="187"/>
        <v/>
      </c>
      <c r="R516" s="46" t="str">
        <f t="shared" si="176"/>
        <v/>
      </c>
      <c r="S516" s="38" t="str">
        <f t="shared" si="177"/>
        <v/>
      </c>
      <c r="T516" s="39" t="str">
        <f t="shared" si="178"/>
        <v/>
      </c>
      <c r="U516" s="40" t="str">
        <f t="shared" si="179"/>
        <v/>
      </c>
      <c r="V516" s="39" t="str">
        <f t="shared" si="180"/>
        <v/>
      </c>
      <c r="W516" s="34" t="str">
        <f t="shared" si="181"/>
        <v/>
      </c>
      <c r="X516" s="41" t="str">
        <f t="shared" si="188"/>
        <v/>
      </c>
      <c r="Y516" s="98" t="str">
        <f t="shared" si="182"/>
        <v/>
      </c>
      <c r="Z516" s="16" t="str">
        <f t="shared" si="189"/>
        <v/>
      </c>
      <c r="AB516" s="139"/>
      <c r="AC516" s="146" t="str">
        <f t="shared" si="192"/>
        <v/>
      </c>
      <c r="AD516" s="148" t="str">
        <f t="shared" si="190"/>
        <v/>
      </c>
      <c r="AE516" s="147" t="str">
        <f t="shared" si="183"/>
        <v/>
      </c>
      <c r="AF516" s="111" t="str">
        <f t="shared" si="184"/>
        <v/>
      </c>
      <c r="AG516" s="111" t="str">
        <f t="shared" si="185"/>
        <v/>
      </c>
      <c r="AH516" s="112" t="str">
        <f t="shared" si="186"/>
        <v/>
      </c>
      <c r="AI516" t="str">
        <f t="shared" si="191"/>
        <v/>
      </c>
      <c r="AJ516" t="str">
        <f t="shared" si="193"/>
        <v/>
      </c>
    </row>
    <row r="517" spans="1:36" ht="15" customHeight="1" x14ac:dyDescent="0.25">
      <c r="A517" s="114"/>
      <c r="B517" s="116"/>
      <c r="C517" s="116"/>
      <c r="D517" s="42" t="str">
        <f t="shared" si="170"/>
        <v/>
      </c>
      <c r="E517" s="43"/>
      <c r="F517" s="118"/>
      <c r="G517" s="44" t="str">
        <f t="shared" si="171"/>
        <v/>
      </c>
      <c r="H517" s="118"/>
      <c r="I517" s="34" t="str">
        <f t="shared" si="172"/>
        <v/>
      </c>
      <c r="J517" s="118"/>
      <c r="K517" s="34" t="str">
        <f t="shared" si="173"/>
        <v/>
      </c>
      <c r="L517" s="118"/>
      <c r="M517" s="121"/>
      <c r="N517" s="122" t="str">
        <f t="shared" si="174"/>
        <v/>
      </c>
      <c r="O517" s="35" t="str">
        <f t="shared" si="175"/>
        <v/>
      </c>
      <c r="P517" s="124"/>
      <c r="Q517" s="36" t="str">
        <f t="shared" si="187"/>
        <v/>
      </c>
      <c r="R517" s="46" t="str">
        <f t="shared" si="176"/>
        <v/>
      </c>
      <c r="S517" s="38" t="str">
        <f t="shared" si="177"/>
        <v/>
      </c>
      <c r="T517" s="39" t="str">
        <f t="shared" si="178"/>
        <v/>
      </c>
      <c r="U517" s="40" t="str">
        <f t="shared" si="179"/>
        <v/>
      </c>
      <c r="V517" s="39" t="str">
        <f t="shared" si="180"/>
        <v/>
      </c>
      <c r="W517" s="34" t="str">
        <f t="shared" si="181"/>
        <v/>
      </c>
      <c r="X517" s="41" t="str">
        <f t="shared" si="188"/>
        <v/>
      </c>
      <c r="Y517" s="98" t="str">
        <f t="shared" si="182"/>
        <v/>
      </c>
      <c r="Z517" s="16" t="str">
        <f t="shared" si="189"/>
        <v/>
      </c>
      <c r="AB517" s="139"/>
      <c r="AC517" s="146" t="str">
        <f t="shared" si="192"/>
        <v/>
      </c>
      <c r="AD517" s="148" t="str">
        <f t="shared" si="190"/>
        <v/>
      </c>
      <c r="AE517" s="147" t="str">
        <f t="shared" si="183"/>
        <v/>
      </c>
      <c r="AF517" s="111" t="str">
        <f t="shared" si="184"/>
        <v/>
      </c>
      <c r="AG517" s="111" t="str">
        <f t="shared" si="185"/>
        <v/>
      </c>
      <c r="AH517" s="112" t="str">
        <f t="shared" si="186"/>
        <v/>
      </c>
      <c r="AI517" t="str">
        <f t="shared" si="191"/>
        <v/>
      </c>
      <c r="AJ517" t="str">
        <f t="shared" si="193"/>
        <v/>
      </c>
    </row>
    <row r="518" spans="1:36" ht="15" customHeight="1" x14ac:dyDescent="0.25">
      <c r="A518" s="114"/>
      <c r="B518" s="116"/>
      <c r="C518" s="116"/>
      <c r="D518" s="42" t="str">
        <f t="shared" si="170"/>
        <v/>
      </c>
      <c r="E518" s="43"/>
      <c r="F518" s="118"/>
      <c r="G518" s="44" t="str">
        <f t="shared" si="171"/>
        <v/>
      </c>
      <c r="H518" s="118"/>
      <c r="I518" s="34" t="str">
        <f t="shared" si="172"/>
        <v/>
      </c>
      <c r="J518" s="118"/>
      <c r="K518" s="34" t="str">
        <f t="shared" si="173"/>
        <v/>
      </c>
      <c r="L518" s="118"/>
      <c r="M518" s="121"/>
      <c r="N518" s="122" t="str">
        <f t="shared" si="174"/>
        <v/>
      </c>
      <c r="O518" s="35" t="str">
        <f t="shared" si="175"/>
        <v/>
      </c>
      <c r="P518" s="124"/>
      <c r="Q518" s="36" t="str">
        <f t="shared" si="187"/>
        <v/>
      </c>
      <c r="R518" s="46" t="str">
        <f t="shared" si="176"/>
        <v/>
      </c>
      <c r="S518" s="38" t="str">
        <f t="shared" si="177"/>
        <v/>
      </c>
      <c r="T518" s="39" t="str">
        <f t="shared" si="178"/>
        <v/>
      </c>
      <c r="U518" s="40" t="str">
        <f t="shared" si="179"/>
        <v/>
      </c>
      <c r="V518" s="39" t="str">
        <f t="shared" si="180"/>
        <v/>
      </c>
      <c r="W518" s="34" t="str">
        <f t="shared" si="181"/>
        <v/>
      </c>
      <c r="X518" s="41" t="str">
        <f t="shared" si="188"/>
        <v/>
      </c>
      <c r="Y518" s="98" t="str">
        <f t="shared" si="182"/>
        <v/>
      </c>
      <c r="Z518" s="16" t="str">
        <f t="shared" si="189"/>
        <v/>
      </c>
      <c r="AB518" s="139"/>
      <c r="AC518" s="146" t="str">
        <f t="shared" si="192"/>
        <v/>
      </c>
      <c r="AD518" s="148" t="str">
        <f t="shared" si="190"/>
        <v/>
      </c>
      <c r="AE518" s="147" t="str">
        <f t="shared" si="183"/>
        <v/>
      </c>
      <c r="AF518" s="111" t="str">
        <f t="shared" si="184"/>
        <v/>
      </c>
      <c r="AG518" s="111" t="str">
        <f t="shared" si="185"/>
        <v/>
      </c>
      <c r="AH518" s="112" t="str">
        <f t="shared" si="186"/>
        <v/>
      </c>
      <c r="AI518" t="str">
        <f t="shared" si="191"/>
        <v/>
      </c>
      <c r="AJ518" t="str">
        <f t="shared" si="193"/>
        <v/>
      </c>
    </row>
    <row r="519" spans="1:36" ht="15" customHeight="1" x14ac:dyDescent="0.25">
      <c r="A519" s="114"/>
      <c r="B519" s="116"/>
      <c r="C519" s="116"/>
      <c r="D519" s="42" t="str">
        <f t="shared" si="170"/>
        <v/>
      </c>
      <c r="E519" s="43"/>
      <c r="F519" s="118"/>
      <c r="G519" s="44" t="str">
        <f t="shared" si="171"/>
        <v/>
      </c>
      <c r="H519" s="118"/>
      <c r="I519" s="34" t="str">
        <f t="shared" si="172"/>
        <v/>
      </c>
      <c r="J519" s="118"/>
      <c r="K519" s="34" t="str">
        <f t="shared" si="173"/>
        <v/>
      </c>
      <c r="L519" s="118"/>
      <c r="M519" s="121"/>
      <c r="N519" s="122" t="str">
        <f t="shared" si="174"/>
        <v/>
      </c>
      <c r="O519" s="35" t="str">
        <f t="shared" si="175"/>
        <v/>
      </c>
      <c r="P519" s="124"/>
      <c r="Q519" s="36" t="str">
        <f t="shared" si="187"/>
        <v/>
      </c>
      <c r="R519" s="46" t="str">
        <f t="shared" si="176"/>
        <v/>
      </c>
      <c r="S519" s="38" t="str">
        <f t="shared" si="177"/>
        <v/>
      </c>
      <c r="T519" s="39" t="str">
        <f t="shared" si="178"/>
        <v/>
      </c>
      <c r="U519" s="40" t="str">
        <f t="shared" si="179"/>
        <v/>
      </c>
      <c r="V519" s="39" t="str">
        <f t="shared" si="180"/>
        <v/>
      </c>
      <c r="W519" s="34" t="str">
        <f t="shared" si="181"/>
        <v/>
      </c>
      <c r="X519" s="41" t="str">
        <f t="shared" si="188"/>
        <v/>
      </c>
      <c r="Y519" s="98" t="str">
        <f t="shared" si="182"/>
        <v/>
      </c>
      <c r="Z519" s="16" t="str">
        <f t="shared" si="189"/>
        <v/>
      </c>
      <c r="AB519" s="139"/>
      <c r="AC519" s="146" t="str">
        <f t="shared" si="192"/>
        <v/>
      </c>
      <c r="AD519" s="148" t="str">
        <f t="shared" si="190"/>
        <v/>
      </c>
      <c r="AE519" s="147" t="str">
        <f t="shared" si="183"/>
        <v/>
      </c>
      <c r="AF519" s="111" t="str">
        <f t="shared" si="184"/>
        <v/>
      </c>
      <c r="AG519" s="111" t="str">
        <f t="shared" si="185"/>
        <v/>
      </c>
      <c r="AH519" s="112" t="str">
        <f t="shared" si="186"/>
        <v/>
      </c>
      <c r="AI519" t="str">
        <f t="shared" si="191"/>
        <v/>
      </c>
      <c r="AJ519" t="str">
        <f t="shared" si="193"/>
        <v/>
      </c>
    </row>
    <row r="520" spans="1:36" ht="15" customHeight="1" x14ac:dyDescent="0.25">
      <c r="A520" s="114"/>
      <c r="B520" s="116"/>
      <c r="C520" s="116"/>
      <c r="D520" s="42" t="str">
        <f t="shared" ref="D520:D583" si="194">IF(A520="","",B520*C520)</f>
        <v/>
      </c>
      <c r="E520" s="43"/>
      <c r="F520" s="118"/>
      <c r="G520" s="44" t="str">
        <f t="shared" ref="G520:G583" si="195">IF(A520="","",F520*B520)</f>
        <v/>
      </c>
      <c r="H520" s="118"/>
      <c r="I520" s="34" t="str">
        <f t="shared" ref="I520:I583" si="196">IF(OR(H520=0,C520=0,H520="",C520=""),"",H520/C520)</f>
        <v/>
      </c>
      <c r="J520" s="118"/>
      <c r="K520" s="34" t="str">
        <f t="shared" ref="K520:K583" si="197">IF(OR(J520=0,C520=0,J520="",C520=""),"",J520/C520)</f>
        <v/>
      </c>
      <c r="L520" s="118"/>
      <c r="M520" s="121"/>
      <c r="N520" s="122" t="str">
        <f t="shared" ref="N520:N583" si="198">IF(A520="","",IF(P520&gt;0,IF(G520&gt;0,P520/G520,0),IF(E520&gt;0,0,IF($I$3&gt;0,IF($I$4&gt;0,MAX($I$3-SUM($P$8:$P$1007),0)/$I$4,0),$I$2))))</f>
        <v/>
      </c>
      <c r="O520" s="35" t="str">
        <f t="shared" ref="O520:O583" si="199">IF(A520="","",IF(P520&gt;0,P520,IF(E520&gt;0,0,G520*IF($I$3&gt;0,IF($I$4&gt;0,MAX($I$3-SUM($P$8:$P$1007),0)/$I$4,0),$I$2))))</f>
        <v/>
      </c>
      <c r="P520" s="124"/>
      <c r="Q520" s="36" t="str">
        <f t="shared" si="187"/>
        <v/>
      </c>
      <c r="R520" s="46" t="str">
        <f t="shared" ref="R520:R583" si="200">IF(OR(A520="",Q520=""),"",Q520*C520)</f>
        <v/>
      </c>
      <c r="S520" s="38" t="str">
        <f t="shared" ref="S520:S583" si="201">IF(OR(A520="",H520&lt;=0,R520=""),"",(H520-R520)/H520)</f>
        <v/>
      </c>
      <c r="T520" s="39" t="str">
        <f t="shared" ref="T520:T583" si="202">IF(OR(H520=0,R520=0,H520="",R520=""),"",H520-R520)</f>
        <v/>
      </c>
      <c r="U520" s="40" t="str">
        <f t="shared" ref="U520:U583" si="203">IF(OR(A520="",J520&lt;=0,R520=""),"",(J520-R520)/J520)</f>
        <v/>
      </c>
      <c r="V520" s="39" t="str">
        <f t="shared" ref="V520:V583" si="204">IF(OR(J520=0,R520=0,J520="",R520=""),"",J520-R520)</f>
        <v/>
      </c>
      <c r="W520" s="34" t="str">
        <f t="shared" ref="W520:W583" si="205">IF(OR(G520="",G520=0,$M$5="",$K$3=0),"",($M$5/$K$3)*G520)</f>
        <v/>
      </c>
      <c r="X520" s="41" t="str">
        <f t="shared" si="188"/>
        <v/>
      </c>
      <c r="Y520" s="98" t="str">
        <f t="shared" ref="Y520:Y583" si="206">IF(OR(Q520=0,Q520="",D520=0,D520=""),"",Q520*(D520+E520))</f>
        <v/>
      </c>
      <c r="Z520" s="16" t="str">
        <f t="shared" si="189"/>
        <v/>
      </c>
      <c r="AB520" s="139"/>
      <c r="AC520" s="146" t="str">
        <f t="shared" si="192"/>
        <v/>
      </c>
      <c r="AD520" s="148" t="str">
        <f t="shared" si="190"/>
        <v/>
      </c>
      <c r="AE520" s="147" t="str">
        <f t="shared" ref="AE520:AE583" si="207">IF(AD520="","",AD520*$AC$1+IF(SUM($AD$8:$AD$1007)=0,0,$AC$2*AD520/SUM($AD$8:$AD$1007)))</f>
        <v/>
      </c>
      <c r="AF520" s="111" t="str">
        <f t="shared" ref="AF520:AF583" si="208">IF(AD520="","",AD520-AE520)</f>
        <v/>
      </c>
      <c r="AG520" s="111" t="str">
        <f t="shared" ref="AG520:AG583" si="209">IF(AF520="","",AH520-AF520)</f>
        <v/>
      </c>
      <c r="AH520" s="112" t="str">
        <f t="shared" ref="AH520:AH583" si="210">IF(AF520="","",ROUND(AF520,0))</f>
        <v/>
      </c>
      <c r="AI520" t="str">
        <f t="shared" si="191"/>
        <v/>
      </c>
      <c r="AJ520" t="str">
        <f t="shared" si="193"/>
        <v/>
      </c>
    </row>
    <row r="521" spans="1:36" ht="15" customHeight="1" x14ac:dyDescent="0.25">
      <c r="A521" s="114"/>
      <c r="B521" s="116"/>
      <c r="C521" s="116"/>
      <c r="D521" s="42" t="str">
        <f t="shared" si="194"/>
        <v/>
      </c>
      <c r="E521" s="43"/>
      <c r="F521" s="118"/>
      <c r="G521" s="44" t="str">
        <f t="shared" si="195"/>
        <v/>
      </c>
      <c r="H521" s="118"/>
      <c r="I521" s="34" t="str">
        <f t="shared" si="196"/>
        <v/>
      </c>
      <c r="J521" s="118"/>
      <c r="K521" s="34" t="str">
        <f t="shared" si="197"/>
        <v/>
      </c>
      <c r="L521" s="118"/>
      <c r="M521" s="121"/>
      <c r="N521" s="122" t="str">
        <f t="shared" si="198"/>
        <v/>
      </c>
      <c r="O521" s="35" t="str">
        <f t="shared" si="199"/>
        <v/>
      </c>
      <c r="P521" s="124"/>
      <c r="Q521" s="36" t="str">
        <f t="shared" ref="Q521:Q584" si="211">IF(A521="","",IF(OR(B521=0,B521="",C521&lt;=0,D521+E521&lt;=0),"",(G521-O521)/(D521+E521)-IF(W521&gt;=0,W521/D521,0)+IF(ISNUMBER(X521),X521/(D521+E521),0)))</f>
        <v/>
      </c>
      <c r="R521" s="46" t="str">
        <f t="shared" si="200"/>
        <v/>
      </c>
      <c r="S521" s="38" t="str">
        <f t="shared" si="201"/>
        <v/>
      </c>
      <c r="T521" s="39" t="str">
        <f t="shared" si="202"/>
        <v/>
      </c>
      <c r="U521" s="40" t="str">
        <f t="shared" si="203"/>
        <v/>
      </c>
      <c r="V521" s="39" t="str">
        <f t="shared" si="204"/>
        <v/>
      </c>
      <c r="W521" s="34" t="str">
        <f t="shared" si="205"/>
        <v/>
      </c>
      <c r="X521" s="41" t="str">
        <f t="shared" ref="X521:X584" si="212">IF(OR(G521="",G521=0,($K$3-$K$2)=0),"",($I$1/($K$3-$K$2))*(G521-O521))</f>
        <v/>
      </c>
      <c r="Y521" s="98" t="str">
        <f t="shared" si="206"/>
        <v/>
      </c>
      <c r="Z521" s="16" t="str">
        <f t="shared" ref="Z521:Z584" si="213">IF(OR(B521=0,B521=""),"",G521)</f>
        <v/>
      </c>
      <c r="AB521" s="139"/>
      <c r="AC521" s="146" t="str">
        <f t="shared" si="192"/>
        <v/>
      </c>
      <c r="AD521" s="148" t="str">
        <f t="shared" ref="AD521:AD584" si="214">IF(OR(AB521="",AC521=""),"",AB521*AC521)</f>
        <v/>
      </c>
      <c r="AE521" s="147" t="str">
        <f t="shared" si="207"/>
        <v/>
      </c>
      <c r="AF521" s="111" t="str">
        <f t="shared" si="208"/>
        <v/>
      </c>
      <c r="AG521" s="111" t="str">
        <f t="shared" si="209"/>
        <v/>
      </c>
      <c r="AH521" s="112" t="str">
        <f t="shared" si="210"/>
        <v/>
      </c>
      <c r="AI521" t="str">
        <f t="shared" ref="AI521:AI584" si="215">IF(OR(AB521=0,AB521=""),"",AE521/AB521)</f>
        <v/>
      </c>
      <c r="AJ521" t="str">
        <f t="shared" si="193"/>
        <v/>
      </c>
    </row>
    <row r="522" spans="1:36" ht="15" customHeight="1" x14ac:dyDescent="0.25">
      <c r="A522" s="114"/>
      <c r="B522" s="116"/>
      <c r="C522" s="116"/>
      <c r="D522" s="42" t="str">
        <f t="shared" si="194"/>
        <v/>
      </c>
      <c r="E522" s="43"/>
      <c r="F522" s="118"/>
      <c r="G522" s="44" t="str">
        <f t="shared" si="195"/>
        <v/>
      </c>
      <c r="H522" s="118"/>
      <c r="I522" s="34" t="str">
        <f t="shared" si="196"/>
        <v/>
      </c>
      <c r="J522" s="118"/>
      <c r="K522" s="34" t="str">
        <f t="shared" si="197"/>
        <v/>
      </c>
      <c r="L522" s="118"/>
      <c r="M522" s="121"/>
      <c r="N522" s="122" t="str">
        <f t="shared" si="198"/>
        <v/>
      </c>
      <c r="O522" s="35" t="str">
        <f t="shared" si="199"/>
        <v/>
      </c>
      <c r="P522" s="124"/>
      <c r="Q522" s="36" t="str">
        <f t="shared" si="211"/>
        <v/>
      </c>
      <c r="R522" s="46" t="str">
        <f t="shared" si="200"/>
        <v/>
      </c>
      <c r="S522" s="38" t="str">
        <f t="shared" si="201"/>
        <v/>
      </c>
      <c r="T522" s="39" t="str">
        <f t="shared" si="202"/>
        <v/>
      </c>
      <c r="U522" s="40" t="str">
        <f t="shared" si="203"/>
        <v/>
      </c>
      <c r="V522" s="39" t="str">
        <f t="shared" si="204"/>
        <v/>
      </c>
      <c r="W522" s="34" t="str">
        <f t="shared" si="205"/>
        <v/>
      </c>
      <c r="X522" s="41" t="str">
        <f t="shared" si="212"/>
        <v/>
      </c>
      <c r="Y522" s="98" t="str">
        <f t="shared" si="206"/>
        <v/>
      </c>
      <c r="Z522" s="16" t="str">
        <f t="shared" si="213"/>
        <v/>
      </c>
      <c r="AB522" s="139"/>
      <c r="AC522" s="146" t="str">
        <f t="shared" si="192"/>
        <v/>
      </c>
      <c r="AD522" s="148" t="str">
        <f t="shared" si="214"/>
        <v/>
      </c>
      <c r="AE522" s="147" t="str">
        <f t="shared" si="207"/>
        <v/>
      </c>
      <c r="AF522" s="111" t="str">
        <f t="shared" si="208"/>
        <v/>
      </c>
      <c r="AG522" s="111" t="str">
        <f t="shared" si="209"/>
        <v/>
      </c>
      <c r="AH522" s="112" t="str">
        <f t="shared" si="210"/>
        <v/>
      </c>
      <c r="AI522" t="str">
        <f t="shared" si="215"/>
        <v/>
      </c>
      <c r="AJ522" t="str">
        <f t="shared" si="193"/>
        <v/>
      </c>
    </row>
    <row r="523" spans="1:36" ht="15" customHeight="1" x14ac:dyDescent="0.25">
      <c r="A523" s="114"/>
      <c r="B523" s="116"/>
      <c r="C523" s="116"/>
      <c r="D523" s="42" t="str">
        <f t="shared" si="194"/>
        <v/>
      </c>
      <c r="E523" s="43"/>
      <c r="F523" s="118"/>
      <c r="G523" s="44" t="str">
        <f t="shared" si="195"/>
        <v/>
      </c>
      <c r="H523" s="118"/>
      <c r="I523" s="34" t="str">
        <f t="shared" si="196"/>
        <v/>
      </c>
      <c r="J523" s="118"/>
      <c r="K523" s="34" t="str">
        <f t="shared" si="197"/>
        <v/>
      </c>
      <c r="L523" s="118"/>
      <c r="M523" s="121"/>
      <c r="N523" s="122" t="str">
        <f t="shared" si="198"/>
        <v/>
      </c>
      <c r="O523" s="35" t="str">
        <f t="shared" si="199"/>
        <v/>
      </c>
      <c r="P523" s="124"/>
      <c r="Q523" s="36" t="str">
        <f t="shared" si="211"/>
        <v/>
      </c>
      <c r="R523" s="46" t="str">
        <f t="shared" si="200"/>
        <v/>
      </c>
      <c r="S523" s="38" t="str">
        <f t="shared" si="201"/>
        <v/>
      </c>
      <c r="T523" s="39" t="str">
        <f t="shared" si="202"/>
        <v/>
      </c>
      <c r="U523" s="40" t="str">
        <f t="shared" si="203"/>
        <v/>
      </c>
      <c r="V523" s="39" t="str">
        <f t="shared" si="204"/>
        <v/>
      </c>
      <c r="W523" s="34" t="str">
        <f t="shared" si="205"/>
        <v/>
      </c>
      <c r="X523" s="41" t="str">
        <f t="shared" si="212"/>
        <v/>
      </c>
      <c r="Y523" s="98" t="str">
        <f t="shared" si="206"/>
        <v/>
      </c>
      <c r="Z523" s="16" t="str">
        <f t="shared" si="213"/>
        <v/>
      </c>
      <c r="AB523" s="139"/>
      <c r="AC523" s="146" t="str">
        <f t="shared" si="192"/>
        <v/>
      </c>
      <c r="AD523" s="148" t="str">
        <f t="shared" si="214"/>
        <v/>
      </c>
      <c r="AE523" s="147" t="str">
        <f t="shared" si="207"/>
        <v/>
      </c>
      <c r="AF523" s="111" t="str">
        <f t="shared" si="208"/>
        <v/>
      </c>
      <c r="AG523" s="111" t="str">
        <f t="shared" si="209"/>
        <v/>
      </c>
      <c r="AH523" s="112" t="str">
        <f t="shared" si="210"/>
        <v/>
      </c>
      <c r="AI523" t="str">
        <f t="shared" si="215"/>
        <v/>
      </c>
      <c r="AJ523" t="str">
        <f t="shared" si="193"/>
        <v/>
      </c>
    </row>
    <row r="524" spans="1:36" ht="15" customHeight="1" x14ac:dyDescent="0.25">
      <c r="A524" s="114"/>
      <c r="B524" s="116"/>
      <c r="C524" s="116"/>
      <c r="D524" s="42" t="str">
        <f t="shared" si="194"/>
        <v/>
      </c>
      <c r="E524" s="43"/>
      <c r="F524" s="118"/>
      <c r="G524" s="44" t="str">
        <f t="shared" si="195"/>
        <v/>
      </c>
      <c r="H524" s="118"/>
      <c r="I524" s="34" t="str">
        <f t="shared" si="196"/>
        <v/>
      </c>
      <c r="J524" s="118"/>
      <c r="K524" s="34" t="str">
        <f t="shared" si="197"/>
        <v/>
      </c>
      <c r="L524" s="118"/>
      <c r="M524" s="121"/>
      <c r="N524" s="122" t="str">
        <f t="shared" si="198"/>
        <v/>
      </c>
      <c r="O524" s="35" t="str">
        <f t="shared" si="199"/>
        <v/>
      </c>
      <c r="P524" s="124"/>
      <c r="Q524" s="36" t="str">
        <f t="shared" si="211"/>
        <v/>
      </c>
      <c r="R524" s="46" t="str">
        <f t="shared" si="200"/>
        <v/>
      </c>
      <c r="S524" s="38" t="str">
        <f t="shared" si="201"/>
        <v/>
      </c>
      <c r="T524" s="39" t="str">
        <f t="shared" si="202"/>
        <v/>
      </c>
      <c r="U524" s="40" t="str">
        <f t="shared" si="203"/>
        <v/>
      </c>
      <c r="V524" s="39" t="str">
        <f t="shared" si="204"/>
        <v/>
      </c>
      <c r="W524" s="34" t="str">
        <f t="shared" si="205"/>
        <v/>
      </c>
      <c r="X524" s="41" t="str">
        <f t="shared" si="212"/>
        <v/>
      </c>
      <c r="Y524" s="98" t="str">
        <f t="shared" si="206"/>
        <v/>
      </c>
      <c r="Z524" s="16" t="str">
        <f t="shared" si="213"/>
        <v/>
      </c>
      <c r="AB524" s="139"/>
      <c r="AC524" s="146" t="str">
        <f t="shared" ref="AC524:AC587" si="216">IF(AB524="","",Q524)</f>
        <v/>
      </c>
      <c r="AD524" s="148" t="str">
        <f t="shared" si="214"/>
        <v/>
      </c>
      <c r="AE524" s="147" t="str">
        <f t="shared" si="207"/>
        <v/>
      </c>
      <c r="AF524" s="111" t="str">
        <f t="shared" si="208"/>
        <v/>
      </c>
      <c r="AG524" s="111" t="str">
        <f t="shared" si="209"/>
        <v/>
      </c>
      <c r="AH524" s="112" t="str">
        <f t="shared" si="210"/>
        <v/>
      </c>
      <c r="AI524" t="str">
        <f t="shared" si="215"/>
        <v/>
      </c>
      <c r="AJ524" t="str">
        <f t="shared" ref="AJ524:AJ587" si="217">IF(OR(AB524=0,AB524=""),"",AC524*C524)</f>
        <v/>
      </c>
    </row>
    <row r="525" spans="1:36" ht="15" customHeight="1" x14ac:dyDescent="0.25">
      <c r="A525" s="114"/>
      <c r="B525" s="116"/>
      <c r="C525" s="116"/>
      <c r="D525" s="42" t="str">
        <f t="shared" si="194"/>
        <v/>
      </c>
      <c r="E525" s="43"/>
      <c r="F525" s="118"/>
      <c r="G525" s="44" t="str">
        <f t="shared" si="195"/>
        <v/>
      </c>
      <c r="H525" s="118"/>
      <c r="I525" s="34" t="str">
        <f t="shared" si="196"/>
        <v/>
      </c>
      <c r="J525" s="118"/>
      <c r="K525" s="34" t="str">
        <f t="shared" si="197"/>
        <v/>
      </c>
      <c r="L525" s="118"/>
      <c r="M525" s="121"/>
      <c r="N525" s="122" t="str">
        <f t="shared" si="198"/>
        <v/>
      </c>
      <c r="O525" s="35" t="str">
        <f t="shared" si="199"/>
        <v/>
      </c>
      <c r="P525" s="124"/>
      <c r="Q525" s="36" t="str">
        <f t="shared" si="211"/>
        <v/>
      </c>
      <c r="R525" s="46" t="str">
        <f t="shared" si="200"/>
        <v/>
      </c>
      <c r="S525" s="38" t="str">
        <f t="shared" si="201"/>
        <v/>
      </c>
      <c r="T525" s="39" t="str">
        <f t="shared" si="202"/>
        <v/>
      </c>
      <c r="U525" s="40" t="str">
        <f t="shared" si="203"/>
        <v/>
      </c>
      <c r="V525" s="39" t="str">
        <f t="shared" si="204"/>
        <v/>
      </c>
      <c r="W525" s="34" t="str">
        <f t="shared" si="205"/>
        <v/>
      </c>
      <c r="X525" s="41" t="str">
        <f t="shared" si="212"/>
        <v/>
      </c>
      <c r="Y525" s="98" t="str">
        <f t="shared" si="206"/>
        <v/>
      </c>
      <c r="Z525" s="16" t="str">
        <f t="shared" si="213"/>
        <v/>
      </c>
      <c r="AB525" s="139"/>
      <c r="AC525" s="146" t="str">
        <f t="shared" si="216"/>
        <v/>
      </c>
      <c r="AD525" s="148" t="str">
        <f t="shared" si="214"/>
        <v/>
      </c>
      <c r="AE525" s="147" t="str">
        <f t="shared" si="207"/>
        <v/>
      </c>
      <c r="AF525" s="111" t="str">
        <f t="shared" si="208"/>
        <v/>
      </c>
      <c r="AG525" s="111" t="str">
        <f t="shared" si="209"/>
        <v/>
      </c>
      <c r="AH525" s="112" t="str">
        <f t="shared" si="210"/>
        <v/>
      </c>
      <c r="AI525" t="str">
        <f t="shared" si="215"/>
        <v/>
      </c>
      <c r="AJ525" t="str">
        <f t="shared" si="217"/>
        <v/>
      </c>
    </row>
    <row r="526" spans="1:36" ht="15" customHeight="1" x14ac:dyDescent="0.25">
      <c r="A526" s="114"/>
      <c r="B526" s="116"/>
      <c r="C526" s="116"/>
      <c r="D526" s="42" t="str">
        <f t="shared" si="194"/>
        <v/>
      </c>
      <c r="E526" s="43"/>
      <c r="F526" s="118"/>
      <c r="G526" s="44" t="str">
        <f t="shared" si="195"/>
        <v/>
      </c>
      <c r="H526" s="118"/>
      <c r="I526" s="34" t="str">
        <f t="shared" si="196"/>
        <v/>
      </c>
      <c r="J526" s="118"/>
      <c r="K526" s="34" t="str">
        <f t="shared" si="197"/>
        <v/>
      </c>
      <c r="L526" s="118"/>
      <c r="M526" s="121"/>
      <c r="N526" s="122" t="str">
        <f t="shared" si="198"/>
        <v/>
      </c>
      <c r="O526" s="35" t="str">
        <f t="shared" si="199"/>
        <v/>
      </c>
      <c r="P526" s="124"/>
      <c r="Q526" s="36" t="str">
        <f t="shared" si="211"/>
        <v/>
      </c>
      <c r="R526" s="46" t="str">
        <f t="shared" si="200"/>
        <v/>
      </c>
      <c r="S526" s="38" t="str">
        <f t="shared" si="201"/>
        <v/>
      </c>
      <c r="T526" s="39" t="str">
        <f t="shared" si="202"/>
        <v/>
      </c>
      <c r="U526" s="40" t="str">
        <f t="shared" si="203"/>
        <v/>
      </c>
      <c r="V526" s="39" t="str">
        <f t="shared" si="204"/>
        <v/>
      </c>
      <c r="W526" s="34" t="str">
        <f t="shared" si="205"/>
        <v/>
      </c>
      <c r="X526" s="41" t="str">
        <f t="shared" si="212"/>
        <v/>
      </c>
      <c r="Y526" s="98" t="str">
        <f t="shared" si="206"/>
        <v/>
      </c>
      <c r="Z526" s="16" t="str">
        <f t="shared" si="213"/>
        <v/>
      </c>
      <c r="AB526" s="139"/>
      <c r="AC526" s="146" t="str">
        <f t="shared" si="216"/>
        <v/>
      </c>
      <c r="AD526" s="148" t="str">
        <f t="shared" si="214"/>
        <v/>
      </c>
      <c r="AE526" s="147" t="str">
        <f t="shared" si="207"/>
        <v/>
      </c>
      <c r="AF526" s="111" t="str">
        <f t="shared" si="208"/>
        <v/>
      </c>
      <c r="AG526" s="111" t="str">
        <f t="shared" si="209"/>
        <v/>
      </c>
      <c r="AH526" s="112" t="str">
        <f t="shared" si="210"/>
        <v/>
      </c>
      <c r="AI526" t="str">
        <f t="shared" si="215"/>
        <v/>
      </c>
      <c r="AJ526" t="str">
        <f t="shared" si="217"/>
        <v/>
      </c>
    </row>
    <row r="527" spans="1:36" ht="15" customHeight="1" x14ac:dyDescent="0.25">
      <c r="A527" s="114"/>
      <c r="B527" s="116"/>
      <c r="C527" s="116"/>
      <c r="D527" s="42" t="str">
        <f t="shared" si="194"/>
        <v/>
      </c>
      <c r="E527" s="43"/>
      <c r="F527" s="118"/>
      <c r="G527" s="44" t="str">
        <f t="shared" si="195"/>
        <v/>
      </c>
      <c r="H527" s="118"/>
      <c r="I527" s="34" t="str">
        <f t="shared" si="196"/>
        <v/>
      </c>
      <c r="J527" s="118"/>
      <c r="K527" s="34" t="str">
        <f t="shared" si="197"/>
        <v/>
      </c>
      <c r="L527" s="118"/>
      <c r="M527" s="121"/>
      <c r="N527" s="122" t="str">
        <f t="shared" si="198"/>
        <v/>
      </c>
      <c r="O527" s="35" t="str">
        <f t="shared" si="199"/>
        <v/>
      </c>
      <c r="P527" s="124"/>
      <c r="Q527" s="36" t="str">
        <f t="shared" si="211"/>
        <v/>
      </c>
      <c r="R527" s="46" t="str">
        <f t="shared" si="200"/>
        <v/>
      </c>
      <c r="S527" s="38" t="str">
        <f t="shared" si="201"/>
        <v/>
      </c>
      <c r="T527" s="39" t="str">
        <f t="shared" si="202"/>
        <v/>
      </c>
      <c r="U527" s="40" t="str">
        <f t="shared" si="203"/>
        <v/>
      </c>
      <c r="V527" s="39" t="str">
        <f t="shared" si="204"/>
        <v/>
      </c>
      <c r="W527" s="34" t="str">
        <f t="shared" si="205"/>
        <v/>
      </c>
      <c r="X527" s="41" t="str">
        <f t="shared" si="212"/>
        <v/>
      </c>
      <c r="Y527" s="98" t="str">
        <f t="shared" si="206"/>
        <v/>
      </c>
      <c r="Z527" s="16" t="str">
        <f t="shared" si="213"/>
        <v/>
      </c>
      <c r="AB527" s="139"/>
      <c r="AC527" s="146" t="str">
        <f t="shared" si="216"/>
        <v/>
      </c>
      <c r="AD527" s="148" t="str">
        <f t="shared" si="214"/>
        <v/>
      </c>
      <c r="AE527" s="147" t="str">
        <f t="shared" si="207"/>
        <v/>
      </c>
      <c r="AF527" s="111" t="str">
        <f t="shared" si="208"/>
        <v/>
      </c>
      <c r="AG527" s="111" t="str">
        <f t="shared" si="209"/>
        <v/>
      </c>
      <c r="AH527" s="112" t="str">
        <f t="shared" si="210"/>
        <v/>
      </c>
      <c r="AI527" t="str">
        <f t="shared" si="215"/>
        <v/>
      </c>
      <c r="AJ527" t="str">
        <f t="shared" si="217"/>
        <v/>
      </c>
    </row>
    <row r="528" spans="1:36" ht="15" customHeight="1" x14ac:dyDescent="0.25">
      <c r="A528" s="114"/>
      <c r="B528" s="116"/>
      <c r="C528" s="116"/>
      <c r="D528" s="42" t="str">
        <f t="shared" si="194"/>
        <v/>
      </c>
      <c r="E528" s="43"/>
      <c r="F528" s="118"/>
      <c r="G528" s="44" t="str">
        <f t="shared" si="195"/>
        <v/>
      </c>
      <c r="H528" s="118"/>
      <c r="I528" s="34" t="str">
        <f t="shared" si="196"/>
        <v/>
      </c>
      <c r="J528" s="118"/>
      <c r="K528" s="34" t="str">
        <f t="shared" si="197"/>
        <v/>
      </c>
      <c r="L528" s="118"/>
      <c r="M528" s="121"/>
      <c r="N528" s="122" t="str">
        <f t="shared" si="198"/>
        <v/>
      </c>
      <c r="O528" s="35" t="str">
        <f t="shared" si="199"/>
        <v/>
      </c>
      <c r="P528" s="124"/>
      <c r="Q528" s="36" t="str">
        <f t="shared" si="211"/>
        <v/>
      </c>
      <c r="R528" s="46" t="str">
        <f t="shared" si="200"/>
        <v/>
      </c>
      <c r="S528" s="38" t="str">
        <f t="shared" si="201"/>
        <v/>
      </c>
      <c r="T528" s="39" t="str">
        <f t="shared" si="202"/>
        <v/>
      </c>
      <c r="U528" s="40" t="str">
        <f t="shared" si="203"/>
        <v/>
      </c>
      <c r="V528" s="39" t="str">
        <f t="shared" si="204"/>
        <v/>
      </c>
      <c r="W528" s="34" t="str">
        <f t="shared" si="205"/>
        <v/>
      </c>
      <c r="X528" s="41" t="str">
        <f t="shared" si="212"/>
        <v/>
      </c>
      <c r="Y528" s="98" t="str">
        <f t="shared" si="206"/>
        <v/>
      </c>
      <c r="Z528" s="16" t="str">
        <f t="shared" si="213"/>
        <v/>
      </c>
      <c r="AB528" s="139"/>
      <c r="AC528" s="146" t="str">
        <f t="shared" si="216"/>
        <v/>
      </c>
      <c r="AD528" s="148" t="str">
        <f t="shared" si="214"/>
        <v/>
      </c>
      <c r="AE528" s="147" t="str">
        <f t="shared" si="207"/>
        <v/>
      </c>
      <c r="AF528" s="111" t="str">
        <f t="shared" si="208"/>
        <v/>
      </c>
      <c r="AG528" s="111" t="str">
        <f t="shared" si="209"/>
        <v/>
      </c>
      <c r="AH528" s="112" t="str">
        <f t="shared" si="210"/>
        <v/>
      </c>
      <c r="AI528" t="str">
        <f t="shared" si="215"/>
        <v/>
      </c>
      <c r="AJ528" t="str">
        <f t="shared" si="217"/>
        <v/>
      </c>
    </row>
    <row r="529" spans="1:36" ht="15" customHeight="1" x14ac:dyDescent="0.25">
      <c r="A529" s="114"/>
      <c r="B529" s="116"/>
      <c r="C529" s="116"/>
      <c r="D529" s="42" t="str">
        <f t="shared" si="194"/>
        <v/>
      </c>
      <c r="E529" s="43"/>
      <c r="F529" s="118"/>
      <c r="G529" s="44" t="str">
        <f t="shared" si="195"/>
        <v/>
      </c>
      <c r="H529" s="118"/>
      <c r="I529" s="34" t="str">
        <f t="shared" si="196"/>
        <v/>
      </c>
      <c r="J529" s="118"/>
      <c r="K529" s="34" t="str">
        <f t="shared" si="197"/>
        <v/>
      </c>
      <c r="L529" s="118"/>
      <c r="M529" s="121"/>
      <c r="N529" s="122" t="str">
        <f t="shared" si="198"/>
        <v/>
      </c>
      <c r="O529" s="35" t="str">
        <f t="shared" si="199"/>
        <v/>
      </c>
      <c r="P529" s="124"/>
      <c r="Q529" s="36" t="str">
        <f t="shared" si="211"/>
        <v/>
      </c>
      <c r="R529" s="46" t="str">
        <f t="shared" si="200"/>
        <v/>
      </c>
      <c r="S529" s="38" t="str">
        <f t="shared" si="201"/>
        <v/>
      </c>
      <c r="T529" s="39" t="str">
        <f t="shared" si="202"/>
        <v/>
      </c>
      <c r="U529" s="40" t="str">
        <f t="shared" si="203"/>
        <v/>
      </c>
      <c r="V529" s="39" t="str">
        <f t="shared" si="204"/>
        <v/>
      </c>
      <c r="W529" s="34" t="str">
        <f t="shared" si="205"/>
        <v/>
      </c>
      <c r="X529" s="41" t="str">
        <f t="shared" si="212"/>
        <v/>
      </c>
      <c r="Y529" s="98" t="str">
        <f t="shared" si="206"/>
        <v/>
      </c>
      <c r="Z529" s="16" t="str">
        <f t="shared" si="213"/>
        <v/>
      </c>
      <c r="AB529" s="139"/>
      <c r="AC529" s="146" t="str">
        <f t="shared" si="216"/>
        <v/>
      </c>
      <c r="AD529" s="148" t="str">
        <f t="shared" si="214"/>
        <v/>
      </c>
      <c r="AE529" s="147" t="str">
        <f t="shared" si="207"/>
        <v/>
      </c>
      <c r="AF529" s="111" t="str">
        <f t="shared" si="208"/>
        <v/>
      </c>
      <c r="AG529" s="111" t="str">
        <f t="shared" si="209"/>
        <v/>
      </c>
      <c r="AH529" s="112" t="str">
        <f t="shared" si="210"/>
        <v/>
      </c>
      <c r="AI529" t="str">
        <f t="shared" si="215"/>
        <v/>
      </c>
      <c r="AJ529" t="str">
        <f t="shared" si="217"/>
        <v/>
      </c>
    </row>
    <row r="530" spans="1:36" ht="15" customHeight="1" x14ac:dyDescent="0.25">
      <c r="A530" s="114"/>
      <c r="B530" s="116"/>
      <c r="C530" s="116"/>
      <c r="D530" s="42" t="str">
        <f t="shared" si="194"/>
        <v/>
      </c>
      <c r="E530" s="43"/>
      <c r="F530" s="118"/>
      <c r="G530" s="44" t="str">
        <f t="shared" si="195"/>
        <v/>
      </c>
      <c r="H530" s="118"/>
      <c r="I530" s="34" t="str">
        <f t="shared" si="196"/>
        <v/>
      </c>
      <c r="J530" s="118"/>
      <c r="K530" s="34" t="str">
        <f t="shared" si="197"/>
        <v/>
      </c>
      <c r="L530" s="118"/>
      <c r="M530" s="121"/>
      <c r="N530" s="122" t="str">
        <f t="shared" si="198"/>
        <v/>
      </c>
      <c r="O530" s="35" t="str">
        <f t="shared" si="199"/>
        <v/>
      </c>
      <c r="P530" s="124"/>
      <c r="Q530" s="36" t="str">
        <f t="shared" si="211"/>
        <v/>
      </c>
      <c r="R530" s="46" t="str">
        <f t="shared" si="200"/>
        <v/>
      </c>
      <c r="S530" s="38" t="str">
        <f t="shared" si="201"/>
        <v/>
      </c>
      <c r="T530" s="39" t="str">
        <f t="shared" si="202"/>
        <v/>
      </c>
      <c r="U530" s="40" t="str">
        <f t="shared" si="203"/>
        <v/>
      </c>
      <c r="V530" s="39" t="str">
        <f t="shared" si="204"/>
        <v/>
      </c>
      <c r="W530" s="34" t="str">
        <f t="shared" si="205"/>
        <v/>
      </c>
      <c r="X530" s="41" t="str">
        <f t="shared" si="212"/>
        <v/>
      </c>
      <c r="Y530" s="98" t="str">
        <f t="shared" si="206"/>
        <v/>
      </c>
      <c r="Z530" s="16" t="str">
        <f t="shared" si="213"/>
        <v/>
      </c>
      <c r="AB530" s="139"/>
      <c r="AC530" s="146" t="str">
        <f t="shared" si="216"/>
        <v/>
      </c>
      <c r="AD530" s="148" t="str">
        <f t="shared" si="214"/>
        <v/>
      </c>
      <c r="AE530" s="147" t="str">
        <f t="shared" si="207"/>
        <v/>
      </c>
      <c r="AF530" s="111" t="str">
        <f t="shared" si="208"/>
        <v/>
      </c>
      <c r="AG530" s="111" t="str">
        <f t="shared" si="209"/>
        <v/>
      </c>
      <c r="AH530" s="112" t="str">
        <f t="shared" si="210"/>
        <v/>
      </c>
      <c r="AI530" t="str">
        <f t="shared" si="215"/>
        <v/>
      </c>
      <c r="AJ530" t="str">
        <f t="shared" si="217"/>
        <v/>
      </c>
    </row>
    <row r="531" spans="1:36" ht="15" customHeight="1" x14ac:dyDescent="0.25">
      <c r="A531" s="114"/>
      <c r="B531" s="116"/>
      <c r="C531" s="116"/>
      <c r="D531" s="42" t="str">
        <f t="shared" si="194"/>
        <v/>
      </c>
      <c r="E531" s="43"/>
      <c r="F531" s="118"/>
      <c r="G531" s="44" t="str">
        <f t="shared" si="195"/>
        <v/>
      </c>
      <c r="H531" s="118"/>
      <c r="I531" s="34" t="str">
        <f t="shared" si="196"/>
        <v/>
      </c>
      <c r="J531" s="118"/>
      <c r="K531" s="34" t="str">
        <f t="shared" si="197"/>
        <v/>
      </c>
      <c r="L531" s="118"/>
      <c r="M531" s="121"/>
      <c r="N531" s="122" t="str">
        <f t="shared" si="198"/>
        <v/>
      </c>
      <c r="O531" s="35" t="str">
        <f t="shared" si="199"/>
        <v/>
      </c>
      <c r="P531" s="124"/>
      <c r="Q531" s="36" t="str">
        <f t="shared" si="211"/>
        <v/>
      </c>
      <c r="R531" s="46" t="str">
        <f t="shared" si="200"/>
        <v/>
      </c>
      <c r="S531" s="38" t="str">
        <f t="shared" si="201"/>
        <v/>
      </c>
      <c r="T531" s="39" t="str">
        <f t="shared" si="202"/>
        <v/>
      </c>
      <c r="U531" s="40" t="str">
        <f t="shared" si="203"/>
        <v/>
      </c>
      <c r="V531" s="39" t="str">
        <f t="shared" si="204"/>
        <v/>
      </c>
      <c r="W531" s="34" t="str">
        <f t="shared" si="205"/>
        <v/>
      </c>
      <c r="X531" s="41" t="str">
        <f t="shared" si="212"/>
        <v/>
      </c>
      <c r="Y531" s="98" t="str">
        <f t="shared" si="206"/>
        <v/>
      </c>
      <c r="Z531" s="16" t="str">
        <f t="shared" si="213"/>
        <v/>
      </c>
      <c r="AB531" s="139"/>
      <c r="AC531" s="146" t="str">
        <f t="shared" si="216"/>
        <v/>
      </c>
      <c r="AD531" s="148" t="str">
        <f t="shared" si="214"/>
        <v/>
      </c>
      <c r="AE531" s="147" t="str">
        <f t="shared" si="207"/>
        <v/>
      </c>
      <c r="AF531" s="111" t="str">
        <f t="shared" si="208"/>
        <v/>
      </c>
      <c r="AG531" s="111" t="str">
        <f t="shared" si="209"/>
        <v/>
      </c>
      <c r="AH531" s="112" t="str">
        <f t="shared" si="210"/>
        <v/>
      </c>
      <c r="AI531" t="str">
        <f t="shared" si="215"/>
        <v/>
      </c>
      <c r="AJ531" t="str">
        <f t="shared" si="217"/>
        <v/>
      </c>
    </row>
    <row r="532" spans="1:36" ht="15" customHeight="1" x14ac:dyDescent="0.25">
      <c r="A532" s="114"/>
      <c r="B532" s="116"/>
      <c r="C532" s="116"/>
      <c r="D532" s="42" t="str">
        <f t="shared" si="194"/>
        <v/>
      </c>
      <c r="E532" s="43"/>
      <c r="F532" s="118"/>
      <c r="G532" s="44" t="str">
        <f t="shared" si="195"/>
        <v/>
      </c>
      <c r="H532" s="118"/>
      <c r="I532" s="34" t="str">
        <f t="shared" si="196"/>
        <v/>
      </c>
      <c r="J532" s="118"/>
      <c r="K532" s="34" t="str">
        <f t="shared" si="197"/>
        <v/>
      </c>
      <c r="L532" s="118"/>
      <c r="M532" s="121"/>
      <c r="N532" s="122" t="str">
        <f t="shared" si="198"/>
        <v/>
      </c>
      <c r="O532" s="35" t="str">
        <f t="shared" si="199"/>
        <v/>
      </c>
      <c r="P532" s="124"/>
      <c r="Q532" s="36" t="str">
        <f t="shared" si="211"/>
        <v/>
      </c>
      <c r="R532" s="46" t="str">
        <f t="shared" si="200"/>
        <v/>
      </c>
      <c r="S532" s="38" t="str">
        <f t="shared" si="201"/>
        <v/>
      </c>
      <c r="T532" s="39" t="str">
        <f t="shared" si="202"/>
        <v/>
      </c>
      <c r="U532" s="40" t="str">
        <f t="shared" si="203"/>
        <v/>
      </c>
      <c r="V532" s="39" t="str">
        <f t="shared" si="204"/>
        <v/>
      </c>
      <c r="W532" s="34" t="str">
        <f t="shared" si="205"/>
        <v/>
      </c>
      <c r="X532" s="41" t="str">
        <f t="shared" si="212"/>
        <v/>
      </c>
      <c r="Y532" s="98" t="str">
        <f t="shared" si="206"/>
        <v/>
      </c>
      <c r="Z532" s="16" t="str">
        <f t="shared" si="213"/>
        <v/>
      </c>
      <c r="AB532" s="139"/>
      <c r="AC532" s="146" t="str">
        <f t="shared" si="216"/>
        <v/>
      </c>
      <c r="AD532" s="148" t="str">
        <f t="shared" si="214"/>
        <v/>
      </c>
      <c r="AE532" s="147" t="str">
        <f t="shared" si="207"/>
        <v/>
      </c>
      <c r="AF532" s="111" t="str">
        <f t="shared" si="208"/>
        <v/>
      </c>
      <c r="AG532" s="111" t="str">
        <f t="shared" si="209"/>
        <v/>
      </c>
      <c r="AH532" s="112" t="str">
        <f t="shared" si="210"/>
        <v/>
      </c>
      <c r="AI532" t="str">
        <f t="shared" si="215"/>
        <v/>
      </c>
      <c r="AJ532" t="str">
        <f t="shared" si="217"/>
        <v/>
      </c>
    </row>
    <row r="533" spans="1:36" ht="15" customHeight="1" x14ac:dyDescent="0.25">
      <c r="A533" s="114"/>
      <c r="B533" s="116"/>
      <c r="C533" s="116"/>
      <c r="D533" s="42" t="str">
        <f t="shared" si="194"/>
        <v/>
      </c>
      <c r="E533" s="43"/>
      <c r="F533" s="118"/>
      <c r="G533" s="44" t="str">
        <f t="shared" si="195"/>
        <v/>
      </c>
      <c r="H533" s="118"/>
      <c r="I533" s="34" t="str">
        <f t="shared" si="196"/>
        <v/>
      </c>
      <c r="J533" s="118"/>
      <c r="K533" s="34" t="str">
        <f t="shared" si="197"/>
        <v/>
      </c>
      <c r="L533" s="118"/>
      <c r="M533" s="121"/>
      <c r="N533" s="122" t="str">
        <f t="shared" si="198"/>
        <v/>
      </c>
      <c r="O533" s="35" t="str">
        <f t="shared" si="199"/>
        <v/>
      </c>
      <c r="P533" s="124"/>
      <c r="Q533" s="36" t="str">
        <f t="shared" si="211"/>
        <v/>
      </c>
      <c r="R533" s="46" t="str">
        <f t="shared" si="200"/>
        <v/>
      </c>
      <c r="S533" s="38" t="str">
        <f t="shared" si="201"/>
        <v/>
      </c>
      <c r="T533" s="39" t="str">
        <f t="shared" si="202"/>
        <v/>
      </c>
      <c r="U533" s="40" t="str">
        <f t="shared" si="203"/>
        <v/>
      </c>
      <c r="V533" s="39" t="str">
        <f t="shared" si="204"/>
        <v/>
      </c>
      <c r="W533" s="34" t="str">
        <f t="shared" si="205"/>
        <v/>
      </c>
      <c r="X533" s="41" t="str">
        <f t="shared" si="212"/>
        <v/>
      </c>
      <c r="Y533" s="98" t="str">
        <f t="shared" si="206"/>
        <v/>
      </c>
      <c r="Z533" s="16" t="str">
        <f t="shared" si="213"/>
        <v/>
      </c>
      <c r="AB533" s="139"/>
      <c r="AC533" s="146" t="str">
        <f t="shared" si="216"/>
        <v/>
      </c>
      <c r="AD533" s="148" t="str">
        <f t="shared" si="214"/>
        <v/>
      </c>
      <c r="AE533" s="147" t="str">
        <f t="shared" si="207"/>
        <v/>
      </c>
      <c r="AF533" s="111" t="str">
        <f t="shared" si="208"/>
        <v/>
      </c>
      <c r="AG533" s="111" t="str">
        <f t="shared" si="209"/>
        <v/>
      </c>
      <c r="AH533" s="112" t="str">
        <f t="shared" si="210"/>
        <v/>
      </c>
      <c r="AI533" t="str">
        <f t="shared" si="215"/>
        <v/>
      </c>
      <c r="AJ533" t="str">
        <f t="shared" si="217"/>
        <v/>
      </c>
    </row>
    <row r="534" spans="1:36" ht="15" customHeight="1" x14ac:dyDescent="0.25">
      <c r="A534" s="114"/>
      <c r="B534" s="116"/>
      <c r="C534" s="116"/>
      <c r="D534" s="42" t="str">
        <f t="shared" si="194"/>
        <v/>
      </c>
      <c r="E534" s="43"/>
      <c r="F534" s="118"/>
      <c r="G534" s="44" t="str">
        <f t="shared" si="195"/>
        <v/>
      </c>
      <c r="H534" s="118"/>
      <c r="I534" s="34" t="str">
        <f t="shared" si="196"/>
        <v/>
      </c>
      <c r="J534" s="118"/>
      <c r="K534" s="34" t="str">
        <f t="shared" si="197"/>
        <v/>
      </c>
      <c r="L534" s="118"/>
      <c r="M534" s="121"/>
      <c r="N534" s="122" t="str">
        <f t="shared" si="198"/>
        <v/>
      </c>
      <c r="O534" s="35" t="str">
        <f t="shared" si="199"/>
        <v/>
      </c>
      <c r="P534" s="124"/>
      <c r="Q534" s="36" t="str">
        <f t="shared" si="211"/>
        <v/>
      </c>
      <c r="R534" s="46" t="str">
        <f t="shared" si="200"/>
        <v/>
      </c>
      <c r="S534" s="38" t="str">
        <f t="shared" si="201"/>
        <v/>
      </c>
      <c r="T534" s="39" t="str">
        <f t="shared" si="202"/>
        <v/>
      </c>
      <c r="U534" s="40" t="str">
        <f t="shared" si="203"/>
        <v/>
      </c>
      <c r="V534" s="39" t="str">
        <f t="shared" si="204"/>
        <v/>
      </c>
      <c r="W534" s="34" t="str">
        <f t="shared" si="205"/>
        <v/>
      </c>
      <c r="X534" s="41" t="str">
        <f t="shared" si="212"/>
        <v/>
      </c>
      <c r="Y534" s="98" t="str">
        <f t="shared" si="206"/>
        <v/>
      </c>
      <c r="Z534" s="16" t="str">
        <f t="shared" si="213"/>
        <v/>
      </c>
      <c r="AB534" s="139"/>
      <c r="AC534" s="146" t="str">
        <f t="shared" si="216"/>
        <v/>
      </c>
      <c r="AD534" s="148" t="str">
        <f t="shared" si="214"/>
        <v/>
      </c>
      <c r="AE534" s="147" t="str">
        <f t="shared" si="207"/>
        <v/>
      </c>
      <c r="AF534" s="111" t="str">
        <f t="shared" si="208"/>
        <v/>
      </c>
      <c r="AG534" s="111" t="str">
        <f t="shared" si="209"/>
        <v/>
      </c>
      <c r="AH534" s="112" t="str">
        <f t="shared" si="210"/>
        <v/>
      </c>
      <c r="AI534" t="str">
        <f t="shared" si="215"/>
        <v/>
      </c>
      <c r="AJ534" t="str">
        <f t="shared" si="217"/>
        <v/>
      </c>
    </row>
    <row r="535" spans="1:36" ht="15" customHeight="1" x14ac:dyDescent="0.25">
      <c r="A535" s="114"/>
      <c r="B535" s="116"/>
      <c r="C535" s="116"/>
      <c r="D535" s="42" t="str">
        <f t="shared" si="194"/>
        <v/>
      </c>
      <c r="E535" s="43"/>
      <c r="F535" s="118"/>
      <c r="G535" s="44" t="str">
        <f t="shared" si="195"/>
        <v/>
      </c>
      <c r="H535" s="118"/>
      <c r="I535" s="34" t="str">
        <f t="shared" si="196"/>
        <v/>
      </c>
      <c r="J535" s="118"/>
      <c r="K535" s="34" t="str">
        <f t="shared" si="197"/>
        <v/>
      </c>
      <c r="L535" s="118"/>
      <c r="M535" s="121"/>
      <c r="N535" s="122" t="str">
        <f t="shared" si="198"/>
        <v/>
      </c>
      <c r="O535" s="35" t="str">
        <f t="shared" si="199"/>
        <v/>
      </c>
      <c r="P535" s="124"/>
      <c r="Q535" s="36" t="str">
        <f t="shared" si="211"/>
        <v/>
      </c>
      <c r="R535" s="46" t="str">
        <f t="shared" si="200"/>
        <v/>
      </c>
      <c r="S535" s="38" t="str">
        <f t="shared" si="201"/>
        <v/>
      </c>
      <c r="T535" s="39" t="str">
        <f t="shared" si="202"/>
        <v/>
      </c>
      <c r="U535" s="40" t="str">
        <f t="shared" si="203"/>
        <v/>
      </c>
      <c r="V535" s="39" t="str">
        <f t="shared" si="204"/>
        <v/>
      </c>
      <c r="W535" s="34" t="str">
        <f t="shared" si="205"/>
        <v/>
      </c>
      <c r="X535" s="41" t="str">
        <f t="shared" si="212"/>
        <v/>
      </c>
      <c r="Y535" s="98" t="str">
        <f t="shared" si="206"/>
        <v/>
      </c>
      <c r="Z535" s="16" t="str">
        <f t="shared" si="213"/>
        <v/>
      </c>
      <c r="AB535" s="139"/>
      <c r="AC535" s="146" t="str">
        <f t="shared" si="216"/>
        <v/>
      </c>
      <c r="AD535" s="148" t="str">
        <f t="shared" si="214"/>
        <v/>
      </c>
      <c r="AE535" s="147" t="str">
        <f t="shared" si="207"/>
        <v/>
      </c>
      <c r="AF535" s="111" t="str">
        <f t="shared" si="208"/>
        <v/>
      </c>
      <c r="AG535" s="111" t="str">
        <f t="shared" si="209"/>
        <v/>
      </c>
      <c r="AH535" s="112" t="str">
        <f t="shared" si="210"/>
        <v/>
      </c>
      <c r="AI535" t="str">
        <f t="shared" si="215"/>
        <v/>
      </c>
      <c r="AJ535" t="str">
        <f t="shared" si="217"/>
        <v/>
      </c>
    </row>
    <row r="536" spans="1:36" ht="15" customHeight="1" x14ac:dyDescent="0.25">
      <c r="A536" s="114"/>
      <c r="B536" s="116"/>
      <c r="C536" s="116"/>
      <c r="D536" s="42" t="str">
        <f t="shared" si="194"/>
        <v/>
      </c>
      <c r="E536" s="43"/>
      <c r="F536" s="118"/>
      <c r="G536" s="44" t="str">
        <f t="shared" si="195"/>
        <v/>
      </c>
      <c r="H536" s="118"/>
      <c r="I536" s="34" t="str">
        <f t="shared" si="196"/>
        <v/>
      </c>
      <c r="J536" s="118"/>
      <c r="K536" s="34" t="str">
        <f t="shared" si="197"/>
        <v/>
      </c>
      <c r="L536" s="118"/>
      <c r="M536" s="121"/>
      <c r="N536" s="122" t="str">
        <f t="shared" si="198"/>
        <v/>
      </c>
      <c r="O536" s="35" t="str">
        <f t="shared" si="199"/>
        <v/>
      </c>
      <c r="P536" s="124"/>
      <c r="Q536" s="36" t="str">
        <f t="shared" si="211"/>
        <v/>
      </c>
      <c r="R536" s="46" t="str">
        <f t="shared" si="200"/>
        <v/>
      </c>
      <c r="S536" s="38" t="str">
        <f t="shared" si="201"/>
        <v/>
      </c>
      <c r="T536" s="39" t="str">
        <f t="shared" si="202"/>
        <v/>
      </c>
      <c r="U536" s="40" t="str">
        <f t="shared" si="203"/>
        <v/>
      </c>
      <c r="V536" s="39" t="str">
        <f t="shared" si="204"/>
        <v/>
      </c>
      <c r="W536" s="34" t="str">
        <f t="shared" si="205"/>
        <v/>
      </c>
      <c r="X536" s="41" t="str">
        <f t="shared" si="212"/>
        <v/>
      </c>
      <c r="Y536" s="98" t="str">
        <f t="shared" si="206"/>
        <v/>
      </c>
      <c r="Z536" s="16" t="str">
        <f t="shared" si="213"/>
        <v/>
      </c>
      <c r="AB536" s="139"/>
      <c r="AC536" s="146" t="str">
        <f t="shared" si="216"/>
        <v/>
      </c>
      <c r="AD536" s="148" t="str">
        <f t="shared" si="214"/>
        <v/>
      </c>
      <c r="AE536" s="147" t="str">
        <f t="shared" si="207"/>
        <v/>
      </c>
      <c r="AF536" s="111" t="str">
        <f t="shared" si="208"/>
        <v/>
      </c>
      <c r="AG536" s="111" t="str">
        <f t="shared" si="209"/>
        <v/>
      </c>
      <c r="AH536" s="112" t="str">
        <f t="shared" si="210"/>
        <v/>
      </c>
      <c r="AI536" t="str">
        <f t="shared" si="215"/>
        <v/>
      </c>
      <c r="AJ536" t="str">
        <f t="shared" si="217"/>
        <v/>
      </c>
    </row>
    <row r="537" spans="1:36" ht="15" customHeight="1" x14ac:dyDescent="0.25">
      <c r="A537" s="114"/>
      <c r="B537" s="116"/>
      <c r="C537" s="116"/>
      <c r="D537" s="42" t="str">
        <f t="shared" si="194"/>
        <v/>
      </c>
      <c r="E537" s="43"/>
      <c r="F537" s="118"/>
      <c r="G537" s="44" t="str">
        <f t="shared" si="195"/>
        <v/>
      </c>
      <c r="H537" s="118"/>
      <c r="I537" s="34" t="str">
        <f t="shared" si="196"/>
        <v/>
      </c>
      <c r="J537" s="118"/>
      <c r="K537" s="34" t="str">
        <f t="shared" si="197"/>
        <v/>
      </c>
      <c r="L537" s="118"/>
      <c r="M537" s="121"/>
      <c r="N537" s="122" t="str">
        <f t="shared" si="198"/>
        <v/>
      </c>
      <c r="O537" s="35" t="str">
        <f t="shared" si="199"/>
        <v/>
      </c>
      <c r="P537" s="124"/>
      <c r="Q537" s="36" t="str">
        <f t="shared" si="211"/>
        <v/>
      </c>
      <c r="R537" s="46" t="str">
        <f t="shared" si="200"/>
        <v/>
      </c>
      <c r="S537" s="38" t="str">
        <f t="shared" si="201"/>
        <v/>
      </c>
      <c r="T537" s="39" t="str">
        <f t="shared" si="202"/>
        <v/>
      </c>
      <c r="U537" s="40" t="str">
        <f t="shared" si="203"/>
        <v/>
      </c>
      <c r="V537" s="39" t="str">
        <f t="shared" si="204"/>
        <v/>
      </c>
      <c r="W537" s="34" t="str">
        <f t="shared" si="205"/>
        <v/>
      </c>
      <c r="X537" s="41" t="str">
        <f t="shared" si="212"/>
        <v/>
      </c>
      <c r="Y537" s="98" t="str">
        <f t="shared" si="206"/>
        <v/>
      </c>
      <c r="Z537" s="16" t="str">
        <f t="shared" si="213"/>
        <v/>
      </c>
      <c r="AB537" s="139"/>
      <c r="AC537" s="146" t="str">
        <f t="shared" si="216"/>
        <v/>
      </c>
      <c r="AD537" s="148" t="str">
        <f t="shared" si="214"/>
        <v/>
      </c>
      <c r="AE537" s="147" t="str">
        <f t="shared" si="207"/>
        <v/>
      </c>
      <c r="AF537" s="111" t="str">
        <f t="shared" si="208"/>
        <v/>
      </c>
      <c r="AG537" s="111" t="str">
        <f t="shared" si="209"/>
        <v/>
      </c>
      <c r="AH537" s="112" t="str">
        <f t="shared" si="210"/>
        <v/>
      </c>
      <c r="AI537" t="str">
        <f t="shared" si="215"/>
        <v/>
      </c>
      <c r="AJ537" t="str">
        <f t="shared" si="217"/>
        <v/>
      </c>
    </row>
    <row r="538" spans="1:36" ht="15" customHeight="1" x14ac:dyDescent="0.25">
      <c r="A538" s="114"/>
      <c r="B538" s="116"/>
      <c r="C538" s="116"/>
      <c r="D538" s="42" t="str">
        <f t="shared" si="194"/>
        <v/>
      </c>
      <c r="E538" s="43"/>
      <c r="F538" s="118"/>
      <c r="G538" s="44" t="str">
        <f t="shared" si="195"/>
        <v/>
      </c>
      <c r="H538" s="118"/>
      <c r="I538" s="34" t="str">
        <f t="shared" si="196"/>
        <v/>
      </c>
      <c r="J538" s="118"/>
      <c r="K538" s="34" t="str">
        <f t="shared" si="197"/>
        <v/>
      </c>
      <c r="L538" s="118"/>
      <c r="M538" s="121"/>
      <c r="N538" s="122" t="str">
        <f t="shared" si="198"/>
        <v/>
      </c>
      <c r="O538" s="35" t="str">
        <f t="shared" si="199"/>
        <v/>
      </c>
      <c r="P538" s="124"/>
      <c r="Q538" s="36" t="str">
        <f t="shared" si="211"/>
        <v/>
      </c>
      <c r="R538" s="46" t="str">
        <f t="shared" si="200"/>
        <v/>
      </c>
      <c r="S538" s="38" t="str">
        <f t="shared" si="201"/>
        <v/>
      </c>
      <c r="T538" s="39" t="str">
        <f t="shared" si="202"/>
        <v/>
      </c>
      <c r="U538" s="40" t="str">
        <f t="shared" si="203"/>
        <v/>
      </c>
      <c r="V538" s="39" t="str">
        <f t="shared" si="204"/>
        <v/>
      </c>
      <c r="W538" s="34" t="str">
        <f t="shared" si="205"/>
        <v/>
      </c>
      <c r="X538" s="41" t="str">
        <f t="shared" si="212"/>
        <v/>
      </c>
      <c r="Y538" s="98" t="str">
        <f t="shared" si="206"/>
        <v/>
      </c>
      <c r="Z538" s="16" t="str">
        <f t="shared" si="213"/>
        <v/>
      </c>
      <c r="AB538" s="139"/>
      <c r="AC538" s="146" t="str">
        <f t="shared" si="216"/>
        <v/>
      </c>
      <c r="AD538" s="148" t="str">
        <f t="shared" si="214"/>
        <v/>
      </c>
      <c r="AE538" s="147" t="str">
        <f t="shared" si="207"/>
        <v/>
      </c>
      <c r="AF538" s="111" t="str">
        <f t="shared" si="208"/>
        <v/>
      </c>
      <c r="AG538" s="111" t="str">
        <f t="shared" si="209"/>
        <v/>
      </c>
      <c r="AH538" s="112" t="str">
        <f t="shared" si="210"/>
        <v/>
      </c>
      <c r="AI538" t="str">
        <f t="shared" si="215"/>
        <v/>
      </c>
      <c r="AJ538" t="str">
        <f t="shared" si="217"/>
        <v/>
      </c>
    </row>
    <row r="539" spans="1:36" ht="15" customHeight="1" x14ac:dyDescent="0.25">
      <c r="A539" s="114"/>
      <c r="B539" s="116"/>
      <c r="C539" s="116"/>
      <c r="D539" s="42" t="str">
        <f t="shared" si="194"/>
        <v/>
      </c>
      <c r="E539" s="43"/>
      <c r="F539" s="118"/>
      <c r="G539" s="44" t="str">
        <f t="shared" si="195"/>
        <v/>
      </c>
      <c r="H539" s="118"/>
      <c r="I539" s="34" t="str">
        <f t="shared" si="196"/>
        <v/>
      </c>
      <c r="J539" s="118"/>
      <c r="K539" s="34" t="str">
        <f t="shared" si="197"/>
        <v/>
      </c>
      <c r="L539" s="118"/>
      <c r="M539" s="121"/>
      <c r="N539" s="122" t="str">
        <f t="shared" si="198"/>
        <v/>
      </c>
      <c r="O539" s="35" t="str">
        <f t="shared" si="199"/>
        <v/>
      </c>
      <c r="P539" s="124"/>
      <c r="Q539" s="36" t="str">
        <f t="shared" si="211"/>
        <v/>
      </c>
      <c r="R539" s="46" t="str">
        <f t="shared" si="200"/>
        <v/>
      </c>
      <c r="S539" s="38" t="str">
        <f t="shared" si="201"/>
        <v/>
      </c>
      <c r="T539" s="39" t="str">
        <f t="shared" si="202"/>
        <v/>
      </c>
      <c r="U539" s="40" t="str">
        <f t="shared" si="203"/>
        <v/>
      </c>
      <c r="V539" s="39" t="str">
        <f t="shared" si="204"/>
        <v/>
      </c>
      <c r="W539" s="34" t="str">
        <f t="shared" si="205"/>
        <v/>
      </c>
      <c r="X539" s="41" t="str">
        <f t="shared" si="212"/>
        <v/>
      </c>
      <c r="Y539" s="98" t="str">
        <f t="shared" si="206"/>
        <v/>
      </c>
      <c r="Z539" s="16" t="str">
        <f t="shared" si="213"/>
        <v/>
      </c>
      <c r="AB539" s="139"/>
      <c r="AC539" s="146" t="str">
        <f t="shared" si="216"/>
        <v/>
      </c>
      <c r="AD539" s="148" t="str">
        <f t="shared" si="214"/>
        <v/>
      </c>
      <c r="AE539" s="147" t="str">
        <f t="shared" si="207"/>
        <v/>
      </c>
      <c r="AF539" s="111" t="str">
        <f t="shared" si="208"/>
        <v/>
      </c>
      <c r="AG539" s="111" t="str">
        <f t="shared" si="209"/>
        <v/>
      </c>
      <c r="AH539" s="112" t="str">
        <f t="shared" si="210"/>
        <v/>
      </c>
      <c r="AI539" t="str">
        <f t="shared" si="215"/>
        <v/>
      </c>
      <c r="AJ539" t="str">
        <f t="shared" si="217"/>
        <v/>
      </c>
    </row>
    <row r="540" spans="1:36" ht="15" customHeight="1" x14ac:dyDescent="0.25">
      <c r="A540" s="114"/>
      <c r="B540" s="116"/>
      <c r="C540" s="116"/>
      <c r="D540" s="42" t="str">
        <f t="shared" si="194"/>
        <v/>
      </c>
      <c r="E540" s="43"/>
      <c r="F540" s="118"/>
      <c r="G540" s="44" t="str">
        <f t="shared" si="195"/>
        <v/>
      </c>
      <c r="H540" s="118"/>
      <c r="I540" s="34" t="str">
        <f t="shared" si="196"/>
        <v/>
      </c>
      <c r="J540" s="118"/>
      <c r="K540" s="34" t="str">
        <f t="shared" si="197"/>
        <v/>
      </c>
      <c r="L540" s="118"/>
      <c r="M540" s="121"/>
      <c r="N540" s="122" t="str">
        <f t="shared" si="198"/>
        <v/>
      </c>
      <c r="O540" s="35" t="str">
        <f t="shared" si="199"/>
        <v/>
      </c>
      <c r="P540" s="124"/>
      <c r="Q540" s="36" t="str">
        <f t="shared" si="211"/>
        <v/>
      </c>
      <c r="R540" s="46" t="str">
        <f t="shared" si="200"/>
        <v/>
      </c>
      <c r="S540" s="38" t="str">
        <f t="shared" si="201"/>
        <v/>
      </c>
      <c r="T540" s="39" t="str">
        <f t="shared" si="202"/>
        <v/>
      </c>
      <c r="U540" s="40" t="str">
        <f t="shared" si="203"/>
        <v/>
      </c>
      <c r="V540" s="39" t="str">
        <f t="shared" si="204"/>
        <v/>
      </c>
      <c r="W540" s="34" t="str">
        <f t="shared" si="205"/>
        <v/>
      </c>
      <c r="X540" s="41" t="str">
        <f t="shared" si="212"/>
        <v/>
      </c>
      <c r="Y540" s="98" t="str">
        <f t="shared" si="206"/>
        <v/>
      </c>
      <c r="Z540" s="16" t="str">
        <f t="shared" si="213"/>
        <v/>
      </c>
      <c r="AB540" s="139"/>
      <c r="AC540" s="146" t="str">
        <f t="shared" si="216"/>
        <v/>
      </c>
      <c r="AD540" s="148" t="str">
        <f t="shared" si="214"/>
        <v/>
      </c>
      <c r="AE540" s="147" t="str">
        <f t="shared" si="207"/>
        <v/>
      </c>
      <c r="AF540" s="111" t="str">
        <f t="shared" si="208"/>
        <v/>
      </c>
      <c r="AG540" s="111" t="str">
        <f t="shared" si="209"/>
        <v/>
      </c>
      <c r="AH540" s="112" t="str">
        <f t="shared" si="210"/>
        <v/>
      </c>
      <c r="AI540" t="str">
        <f t="shared" si="215"/>
        <v/>
      </c>
      <c r="AJ540" t="str">
        <f t="shared" si="217"/>
        <v/>
      </c>
    </row>
    <row r="541" spans="1:36" ht="15" customHeight="1" x14ac:dyDescent="0.25">
      <c r="A541" s="114"/>
      <c r="B541" s="116"/>
      <c r="C541" s="116"/>
      <c r="D541" s="42" t="str">
        <f t="shared" si="194"/>
        <v/>
      </c>
      <c r="E541" s="43"/>
      <c r="F541" s="118"/>
      <c r="G541" s="44" t="str">
        <f t="shared" si="195"/>
        <v/>
      </c>
      <c r="H541" s="118"/>
      <c r="I541" s="34" t="str">
        <f t="shared" si="196"/>
        <v/>
      </c>
      <c r="J541" s="118"/>
      <c r="K541" s="34" t="str">
        <f t="shared" si="197"/>
        <v/>
      </c>
      <c r="L541" s="118"/>
      <c r="M541" s="121"/>
      <c r="N541" s="122" t="str">
        <f t="shared" si="198"/>
        <v/>
      </c>
      <c r="O541" s="35" t="str">
        <f t="shared" si="199"/>
        <v/>
      </c>
      <c r="P541" s="124"/>
      <c r="Q541" s="36" t="str">
        <f t="shared" si="211"/>
        <v/>
      </c>
      <c r="R541" s="46" t="str">
        <f t="shared" si="200"/>
        <v/>
      </c>
      <c r="S541" s="38" t="str">
        <f t="shared" si="201"/>
        <v/>
      </c>
      <c r="T541" s="39" t="str">
        <f t="shared" si="202"/>
        <v/>
      </c>
      <c r="U541" s="40" t="str">
        <f t="shared" si="203"/>
        <v/>
      </c>
      <c r="V541" s="39" t="str">
        <f t="shared" si="204"/>
        <v/>
      </c>
      <c r="W541" s="34" t="str">
        <f t="shared" si="205"/>
        <v/>
      </c>
      <c r="X541" s="41" t="str">
        <f t="shared" si="212"/>
        <v/>
      </c>
      <c r="Y541" s="98" t="str">
        <f t="shared" si="206"/>
        <v/>
      </c>
      <c r="Z541" s="16" t="str">
        <f t="shared" si="213"/>
        <v/>
      </c>
      <c r="AB541" s="139"/>
      <c r="AC541" s="146" t="str">
        <f t="shared" si="216"/>
        <v/>
      </c>
      <c r="AD541" s="148" t="str">
        <f t="shared" si="214"/>
        <v/>
      </c>
      <c r="AE541" s="147" t="str">
        <f t="shared" si="207"/>
        <v/>
      </c>
      <c r="AF541" s="111" t="str">
        <f t="shared" si="208"/>
        <v/>
      </c>
      <c r="AG541" s="111" t="str">
        <f t="shared" si="209"/>
        <v/>
      </c>
      <c r="AH541" s="112" t="str">
        <f t="shared" si="210"/>
        <v/>
      </c>
      <c r="AI541" t="str">
        <f t="shared" si="215"/>
        <v/>
      </c>
      <c r="AJ541" t="str">
        <f t="shared" si="217"/>
        <v/>
      </c>
    </row>
    <row r="542" spans="1:36" ht="15" customHeight="1" x14ac:dyDescent="0.25">
      <c r="A542" s="114"/>
      <c r="B542" s="116"/>
      <c r="C542" s="116"/>
      <c r="D542" s="42" t="str">
        <f t="shared" si="194"/>
        <v/>
      </c>
      <c r="E542" s="43"/>
      <c r="F542" s="118"/>
      <c r="G542" s="44" t="str">
        <f t="shared" si="195"/>
        <v/>
      </c>
      <c r="H542" s="118"/>
      <c r="I542" s="34" t="str">
        <f t="shared" si="196"/>
        <v/>
      </c>
      <c r="J542" s="118"/>
      <c r="K542" s="34" t="str">
        <f t="shared" si="197"/>
        <v/>
      </c>
      <c r="L542" s="118"/>
      <c r="M542" s="121"/>
      <c r="N542" s="122" t="str">
        <f t="shared" si="198"/>
        <v/>
      </c>
      <c r="O542" s="35" t="str">
        <f t="shared" si="199"/>
        <v/>
      </c>
      <c r="P542" s="124"/>
      <c r="Q542" s="36" t="str">
        <f t="shared" si="211"/>
        <v/>
      </c>
      <c r="R542" s="46" t="str">
        <f t="shared" si="200"/>
        <v/>
      </c>
      <c r="S542" s="38" t="str">
        <f t="shared" si="201"/>
        <v/>
      </c>
      <c r="T542" s="39" t="str">
        <f t="shared" si="202"/>
        <v/>
      </c>
      <c r="U542" s="40" t="str">
        <f t="shared" si="203"/>
        <v/>
      </c>
      <c r="V542" s="39" t="str">
        <f t="shared" si="204"/>
        <v/>
      </c>
      <c r="W542" s="34" t="str">
        <f t="shared" si="205"/>
        <v/>
      </c>
      <c r="X542" s="41" t="str">
        <f t="shared" si="212"/>
        <v/>
      </c>
      <c r="Y542" s="98" t="str">
        <f t="shared" si="206"/>
        <v/>
      </c>
      <c r="Z542" s="16" t="str">
        <f t="shared" si="213"/>
        <v/>
      </c>
      <c r="AB542" s="139"/>
      <c r="AC542" s="146" t="str">
        <f t="shared" si="216"/>
        <v/>
      </c>
      <c r="AD542" s="148" t="str">
        <f t="shared" si="214"/>
        <v/>
      </c>
      <c r="AE542" s="147" t="str">
        <f t="shared" si="207"/>
        <v/>
      </c>
      <c r="AF542" s="111" t="str">
        <f t="shared" si="208"/>
        <v/>
      </c>
      <c r="AG542" s="111" t="str">
        <f t="shared" si="209"/>
        <v/>
      </c>
      <c r="AH542" s="112" t="str">
        <f t="shared" si="210"/>
        <v/>
      </c>
      <c r="AI542" t="str">
        <f t="shared" si="215"/>
        <v/>
      </c>
      <c r="AJ542" t="str">
        <f t="shared" si="217"/>
        <v/>
      </c>
    </row>
    <row r="543" spans="1:36" ht="15" customHeight="1" x14ac:dyDescent="0.25">
      <c r="A543" s="114"/>
      <c r="B543" s="116"/>
      <c r="C543" s="116"/>
      <c r="D543" s="42" t="str">
        <f t="shared" si="194"/>
        <v/>
      </c>
      <c r="E543" s="43"/>
      <c r="F543" s="118"/>
      <c r="G543" s="44" t="str">
        <f t="shared" si="195"/>
        <v/>
      </c>
      <c r="H543" s="118"/>
      <c r="I543" s="34" t="str">
        <f t="shared" si="196"/>
        <v/>
      </c>
      <c r="J543" s="118"/>
      <c r="K543" s="34" t="str">
        <f t="shared" si="197"/>
        <v/>
      </c>
      <c r="L543" s="118"/>
      <c r="M543" s="121"/>
      <c r="N543" s="122" t="str">
        <f t="shared" si="198"/>
        <v/>
      </c>
      <c r="O543" s="35" t="str">
        <f t="shared" si="199"/>
        <v/>
      </c>
      <c r="P543" s="124"/>
      <c r="Q543" s="36" t="str">
        <f t="shared" si="211"/>
        <v/>
      </c>
      <c r="R543" s="46" t="str">
        <f t="shared" si="200"/>
        <v/>
      </c>
      <c r="S543" s="38" t="str">
        <f t="shared" si="201"/>
        <v/>
      </c>
      <c r="T543" s="39" t="str">
        <f t="shared" si="202"/>
        <v/>
      </c>
      <c r="U543" s="40" t="str">
        <f t="shared" si="203"/>
        <v/>
      </c>
      <c r="V543" s="39" t="str">
        <f t="shared" si="204"/>
        <v/>
      </c>
      <c r="W543" s="34" t="str">
        <f t="shared" si="205"/>
        <v/>
      </c>
      <c r="X543" s="41" t="str">
        <f t="shared" si="212"/>
        <v/>
      </c>
      <c r="Y543" s="98" t="str">
        <f t="shared" si="206"/>
        <v/>
      </c>
      <c r="Z543" s="16" t="str">
        <f t="shared" si="213"/>
        <v/>
      </c>
      <c r="AB543" s="139"/>
      <c r="AC543" s="146" t="str">
        <f t="shared" si="216"/>
        <v/>
      </c>
      <c r="AD543" s="148" t="str">
        <f t="shared" si="214"/>
        <v/>
      </c>
      <c r="AE543" s="147" t="str">
        <f t="shared" si="207"/>
        <v/>
      </c>
      <c r="AF543" s="111" t="str">
        <f t="shared" si="208"/>
        <v/>
      </c>
      <c r="AG543" s="111" t="str">
        <f t="shared" si="209"/>
        <v/>
      </c>
      <c r="AH543" s="112" t="str">
        <f t="shared" si="210"/>
        <v/>
      </c>
      <c r="AI543" t="str">
        <f t="shared" si="215"/>
        <v/>
      </c>
      <c r="AJ543" t="str">
        <f t="shared" si="217"/>
        <v/>
      </c>
    </row>
    <row r="544" spans="1:36" ht="15" customHeight="1" x14ac:dyDescent="0.25">
      <c r="A544" s="114"/>
      <c r="B544" s="116"/>
      <c r="C544" s="116"/>
      <c r="D544" s="42" t="str">
        <f t="shared" si="194"/>
        <v/>
      </c>
      <c r="E544" s="43"/>
      <c r="F544" s="118"/>
      <c r="G544" s="44" t="str">
        <f t="shared" si="195"/>
        <v/>
      </c>
      <c r="H544" s="118"/>
      <c r="I544" s="34" t="str">
        <f t="shared" si="196"/>
        <v/>
      </c>
      <c r="J544" s="118"/>
      <c r="K544" s="34" t="str">
        <f t="shared" si="197"/>
        <v/>
      </c>
      <c r="L544" s="118"/>
      <c r="M544" s="121"/>
      <c r="N544" s="122" t="str">
        <f t="shared" si="198"/>
        <v/>
      </c>
      <c r="O544" s="35" t="str">
        <f t="shared" si="199"/>
        <v/>
      </c>
      <c r="P544" s="124"/>
      <c r="Q544" s="36" t="str">
        <f t="shared" si="211"/>
        <v/>
      </c>
      <c r="R544" s="46" t="str">
        <f t="shared" si="200"/>
        <v/>
      </c>
      <c r="S544" s="38" t="str">
        <f t="shared" si="201"/>
        <v/>
      </c>
      <c r="T544" s="39" t="str">
        <f t="shared" si="202"/>
        <v/>
      </c>
      <c r="U544" s="40" t="str">
        <f t="shared" si="203"/>
        <v/>
      </c>
      <c r="V544" s="39" t="str">
        <f t="shared" si="204"/>
        <v/>
      </c>
      <c r="W544" s="34" t="str">
        <f t="shared" si="205"/>
        <v/>
      </c>
      <c r="X544" s="41" t="str">
        <f t="shared" si="212"/>
        <v/>
      </c>
      <c r="Y544" s="98" t="str">
        <f t="shared" si="206"/>
        <v/>
      </c>
      <c r="Z544" s="16" t="str">
        <f t="shared" si="213"/>
        <v/>
      </c>
      <c r="AB544" s="139"/>
      <c r="AC544" s="146" t="str">
        <f t="shared" si="216"/>
        <v/>
      </c>
      <c r="AD544" s="148" t="str">
        <f t="shared" si="214"/>
        <v/>
      </c>
      <c r="AE544" s="147" t="str">
        <f t="shared" si="207"/>
        <v/>
      </c>
      <c r="AF544" s="111" t="str">
        <f t="shared" si="208"/>
        <v/>
      </c>
      <c r="AG544" s="111" t="str">
        <f t="shared" si="209"/>
        <v/>
      </c>
      <c r="AH544" s="112" t="str">
        <f t="shared" si="210"/>
        <v/>
      </c>
      <c r="AI544" t="str">
        <f t="shared" si="215"/>
        <v/>
      </c>
      <c r="AJ544" t="str">
        <f t="shared" si="217"/>
        <v/>
      </c>
    </row>
    <row r="545" spans="1:36" ht="15" customHeight="1" x14ac:dyDescent="0.25">
      <c r="A545" s="114"/>
      <c r="B545" s="116"/>
      <c r="C545" s="116"/>
      <c r="D545" s="42" t="str">
        <f t="shared" si="194"/>
        <v/>
      </c>
      <c r="E545" s="43"/>
      <c r="F545" s="118"/>
      <c r="G545" s="44" t="str">
        <f t="shared" si="195"/>
        <v/>
      </c>
      <c r="H545" s="118"/>
      <c r="I545" s="34" t="str">
        <f t="shared" si="196"/>
        <v/>
      </c>
      <c r="J545" s="118"/>
      <c r="K545" s="34" t="str">
        <f t="shared" si="197"/>
        <v/>
      </c>
      <c r="L545" s="118"/>
      <c r="M545" s="121"/>
      <c r="N545" s="122" t="str">
        <f t="shared" si="198"/>
        <v/>
      </c>
      <c r="O545" s="35" t="str">
        <f t="shared" si="199"/>
        <v/>
      </c>
      <c r="P545" s="124"/>
      <c r="Q545" s="36" t="str">
        <f t="shared" si="211"/>
        <v/>
      </c>
      <c r="R545" s="46" t="str">
        <f t="shared" si="200"/>
        <v/>
      </c>
      <c r="S545" s="38" t="str">
        <f t="shared" si="201"/>
        <v/>
      </c>
      <c r="T545" s="39" t="str">
        <f t="shared" si="202"/>
        <v/>
      </c>
      <c r="U545" s="40" t="str">
        <f t="shared" si="203"/>
        <v/>
      </c>
      <c r="V545" s="39" t="str">
        <f t="shared" si="204"/>
        <v/>
      </c>
      <c r="W545" s="34" t="str">
        <f t="shared" si="205"/>
        <v/>
      </c>
      <c r="X545" s="41" t="str">
        <f t="shared" si="212"/>
        <v/>
      </c>
      <c r="Y545" s="98" t="str">
        <f t="shared" si="206"/>
        <v/>
      </c>
      <c r="Z545" s="16" t="str">
        <f t="shared" si="213"/>
        <v/>
      </c>
      <c r="AB545" s="139"/>
      <c r="AC545" s="146" t="str">
        <f t="shared" si="216"/>
        <v/>
      </c>
      <c r="AD545" s="148" t="str">
        <f t="shared" si="214"/>
        <v/>
      </c>
      <c r="AE545" s="147" t="str">
        <f t="shared" si="207"/>
        <v/>
      </c>
      <c r="AF545" s="111" t="str">
        <f t="shared" si="208"/>
        <v/>
      </c>
      <c r="AG545" s="111" t="str">
        <f t="shared" si="209"/>
        <v/>
      </c>
      <c r="AH545" s="112" t="str">
        <f t="shared" si="210"/>
        <v/>
      </c>
      <c r="AI545" t="str">
        <f t="shared" si="215"/>
        <v/>
      </c>
      <c r="AJ545" t="str">
        <f t="shared" si="217"/>
        <v/>
      </c>
    </row>
    <row r="546" spans="1:36" ht="15" customHeight="1" x14ac:dyDescent="0.25">
      <c r="A546" s="114"/>
      <c r="B546" s="116"/>
      <c r="C546" s="116"/>
      <c r="D546" s="42" t="str">
        <f t="shared" si="194"/>
        <v/>
      </c>
      <c r="E546" s="43"/>
      <c r="F546" s="118"/>
      <c r="G546" s="44" t="str">
        <f t="shared" si="195"/>
        <v/>
      </c>
      <c r="H546" s="118"/>
      <c r="I546" s="34" t="str">
        <f t="shared" si="196"/>
        <v/>
      </c>
      <c r="J546" s="118"/>
      <c r="K546" s="34" t="str">
        <f t="shared" si="197"/>
        <v/>
      </c>
      <c r="L546" s="118"/>
      <c r="M546" s="121"/>
      <c r="N546" s="122" t="str">
        <f t="shared" si="198"/>
        <v/>
      </c>
      <c r="O546" s="35" t="str">
        <f t="shared" si="199"/>
        <v/>
      </c>
      <c r="P546" s="124"/>
      <c r="Q546" s="36" t="str">
        <f t="shared" si="211"/>
        <v/>
      </c>
      <c r="R546" s="46" t="str">
        <f t="shared" si="200"/>
        <v/>
      </c>
      <c r="S546" s="38" t="str">
        <f t="shared" si="201"/>
        <v/>
      </c>
      <c r="T546" s="39" t="str">
        <f t="shared" si="202"/>
        <v/>
      </c>
      <c r="U546" s="40" t="str">
        <f t="shared" si="203"/>
        <v/>
      </c>
      <c r="V546" s="39" t="str">
        <f t="shared" si="204"/>
        <v/>
      </c>
      <c r="W546" s="34" t="str">
        <f t="shared" si="205"/>
        <v/>
      </c>
      <c r="X546" s="41" t="str">
        <f t="shared" si="212"/>
        <v/>
      </c>
      <c r="Y546" s="98" t="str">
        <f t="shared" si="206"/>
        <v/>
      </c>
      <c r="Z546" s="16" t="str">
        <f t="shared" si="213"/>
        <v/>
      </c>
      <c r="AB546" s="139"/>
      <c r="AC546" s="146" t="str">
        <f t="shared" si="216"/>
        <v/>
      </c>
      <c r="AD546" s="148" t="str">
        <f t="shared" si="214"/>
        <v/>
      </c>
      <c r="AE546" s="147" t="str">
        <f t="shared" si="207"/>
        <v/>
      </c>
      <c r="AF546" s="111" t="str">
        <f t="shared" si="208"/>
        <v/>
      </c>
      <c r="AG546" s="111" t="str">
        <f t="shared" si="209"/>
        <v/>
      </c>
      <c r="AH546" s="112" t="str">
        <f t="shared" si="210"/>
        <v/>
      </c>
      <c r="AI546" t="str">
        <f t="shared" si="215"/>
        <v/>
      </c>
      <c r="AJ546" t="str">
        <f t="shared" si="217"/>
        <v/>
      </c>
    </row>
    <row r="547" spans="1:36" ht="15" customHeight="1" x14ac:dyDescent="0.25">
      <c r="A547" s="114"/>
      <c r="B547" s="116"/>
      <c r="C547" s="116"/>
      <c r="D547" s="42" t="str">
        <f t="shared" si="194"/>
        <v/>
      </c>
      <c r="E547" s="43"/>
      <c r="F547" s="118"/>
      <c r="G547" s="44" t="str">
        <f t="shared" si="195"/>
        <v/>
      </c>
      <c r="H547" s="118"/>
      <c r="I547" s="34" t="str">
        <f t="shared" si="196"/>
        <v/>
      </c>
      <c r="J547" s="118"/>
      <c r="K547" s="34" t="str">
        <f t="shared" si="197"/>
        <v/>
      </c>
      <c r="L547" s="118"/>
      <c r="M547" s="121"/>
      <c r="N547" s="122" t="str">
        <f t="shared" si="198"/>
        <v/>
      </c>
      <c r="O547" s="35" t="str">
        <f t="shared" si="199"/>
        <v/>
      </c>
      <c r="P547" s="124"/>
      <c r="Q547" s="36" t="str">
        <f t="shared" si="211"/>
        <v/>
      </c>
      <c r="R547" s="46" t="str">
        <f t="shared" si="200"/>
        <v/>
      </c>
      <c r="S547" s="38" t="str">
        <f t="shared" si="201"/>
        <v/>
      </c>
      <c r="T547" s="39" t="str">
        <f t="shared" si="202"/>
        <v/>
      </c>
      <c r="U547" s="40" t="str">
        <f t="shared" si="203"/>
        <v/>
      </c>
      <c r="V547" s="39" t="str">
        <f t="shared" si="204"/>
        <v/>
      </c>
      <c r="W547" s="34" t="str">
        <f t="shared" si="205"/>
        <v/>
      </c>
      <c r="X547" s="41" t="str">
        <f t="shared" si="212"/>
        <v/>
      </c>
      <c r="Y547" s="98" t="str">
        <f t="shared" si="206"/>
        <v/>
      </c>
      <c r="Z547" s="16" t="str">
        <f t="shared" si="213"/>
        <v/>
      </c>
      <c r="AB547" s="139"/>
      <c r="AC547" s="146" t="str">
        <f t="shared" si="216"/>
        <v/>
      </c>
      <c r="AD547" s="148" t="str">
        <f t="shared" si="214"/>
        <v/>
      </c>
      <c r="AE547" s="147" t="str">
        <f t="shared" si="207"/>
        <v/>
      </c>
      <c r="AF547" s="111" t="str">
        <f t="shared" si="208"/>
        <v/>
      </c>
      <c r="AG547" s="111" t="str">
        <f t="shared" si="209"/>
        <v/>
      </c>
      <c r="AH547" s="112" t="str">
        <f t="shared" si="210"/>
        <v/>
      </c>
      <c r="AI547" t="str">
        <f t="shared" si="215"/>
        <v/>
      </c>
      <c r="AJ547" t="str">
        <f t="shared" si="217"/>
        <v/>
      </c>
    </row>
    <row r="548" spans="1:36" ht="15" customHeight="1" x14ac:dyDescent="0.25">
      <c r="A548" s="114"/>
      <c r="B548" s="116"/>
      <c r="C548" s="116"/>
      <c r="D548" s="42" t="str">
        <f t="shared" si="194"/>
        <v/>
      </c>
      <c r="E548" s="43"/>
      <c r="F548" s="118"/>
      <c r="G548" s="44" t="str">
        <f t="shared" si="195"/>
        <v/>
      </c>
      <c r="H548" s="118"/>
      <c r="I548" s="34" t="str">
        <f t="shared" si="196"/>
        <v/>
      </c>
      <c r="J548" s="118"/>
      <c r="K548" s="34" t="str">
        <f t="shared" si="197"/>
        <v/>
      </c>
      <c r="L548" s="118"/>
      <c r="M548" s="121"/>
      <c r="N548" s="122" t="str">
        <f t="shared" si="198"/>
        <v/>
      </c>
      <c r="O548" s="35" t="str">
        <f t="shared" si="199"/>
        <v/>
      </c>
      <c r="P548" s="124"/>
      <c r="Q548" s="36" t="str">
        <f t="shared" si="211"/>
        <v/>
      </c>
      <c r="R548" s="46" t="str">
        <f t="shared" si="200"/>
        <v/>
      </c>
      <c r="S548" s="38" t="str">
        <f t="shared" si="201"/>
        <v/>
      </c>
      <c r="T548" s="39" t="str">
        <f t="shared" si="202"/>
        <v/>
      </c>
      <c r="U548" s="40" t="str">
        <f t="shared" si="203"/>
        <v/>
      </c>
      <c r="V548" s="39" t="str">
        <f t="shared" si="204"/>
        <v/>
      </c>
      <c r="W548" s="34" t="str">
        <f t="shared" si="205"/>
        <v/>
      </c>
      <c r="X548" s="41" t="str">
        <f t="shared" si="212"/>
        <v/>
      </c>
      <c r="Y548" s="98" t="str">
        <f t="shared" si="206"/>
        <v/>
      </c>
      <c r="Z548" s="16" t="str">
        <f t="shared" si="213"/>
        <v/>
      </c>
      <c r="AB548" s="139"/>
      <c r="AC548" s="146" t="str">
        <f t="shared" si="216"/>
        <v/>
      </c>
      <c r="AD548" s="148" t="str">
        <f t="shared" si="214"/>
        <v/>
      </c>
      <c r="AE548" s="147" t="str">
        <f t="shared" si="207"/>
        <v/>
      </c>
      <c r="AF548" s="111" t="str">
        <f t="shared" si="208"/>
        <v/>
      </c>
      <c r="AG548" s="111" t="str">
        <f t="shared" si="209"/>
        <v/>
      </c>
      <c r="AH548" s="112" t="str">
        <f t="shared" si="210"/>
        <v/>
      </c>
      <c r="AI548" t="str">
        <f t="shared" si="215"/>
        <v/>
      </c>
      <c r="AJ548" t="str">
        <f t="shared" si="217"/>
        <v/>
      </c>
    </row>
    <row r="549" spans="1:36" ht="15" customHeight="1" x14ac:dyDescent="0.25">
      <c r="A549" s="114"/>
      <c r="B549" s="116"/>
      <c r="C549" s="116"/>
      <c r="D549" s="42" t="str">
        <f t="shared" si="194"/>
        <v/>
      </c>
      <c r="E549" s="43"/>
      <c r="F549" s="118"/>
      <c r="G549" s="44" t="str">
        <f t="shared" si="195"/>
        <v/>
      </c>
      <c r="H549" s="118"/>
      <c r="I549" s="34" t="str">
        <f t="shared" si="196"/>
        <v/>
      </c>
      <c r="J549" s="118"/>
      <c r="K549" s="34" t="str">
        <f t="shared" si="197"/>
        <v/>
      </c>
      <c r="L549" s="118"/>
      <c r="M549" s="121"/>
      <c r="N549" s="122" t="str">
        <f t="shared" si="198"/>
        <v/>
      </c>
      <c r="O549" s="35" t="str">
        <f t="shared" si="199"/>
        <v/>
      </c>
      <c r="P549" s="124"/>
      <c r="Q549" s="36" t="str">
        <f t="shared" si="211"/>
        <v/>
      </c>
      <c r="R549" s="46" t="str">
        <f t="shared" si="200"/>
        <v/>
      </c>
      <c r="S549" s="38" t="str">
        <f t="shared" si="201"/>
        <v/>
      </c>
      <c r="T549" s="39" t="str">
        <f t="shared" si="202"/>
        <v/>
      </c>
      <c r="U549" s="40" t="str">
        <f t="shared" si="203"/>
        <v/>
      </c>
      <c r="V549" s="39" t="str">
        <f t="shared" si="204"/>
        <v/>
      </c>
      <c r="W549" s="34" t="str">
        <f t="shared" si="205"/>
        <v/>
      </c>
      <c r="X549" s="41" t="str">
        <f t="shared" si="212"/>
        <v/>
      </c>
      <c r="Y549" s="98" t="str">
        <f t="shared" si="206"/>
        <v/>
      </c>
      <c r="Z549" s="16" t="str">
        <f t="shared" si="213"/>
        <v/>
      </c>
      <c r="AB549" s="139"/>
      <c r="AC549" s="146" t="str">
        <f t="shared" si="216"/>
        <v/>
      </c>
      <c r="AD549" s="148" t="str">
        <f t="shared" si="214"/>
        <v/>
      </c>
      <c r="AE549" s="147" t="str">
        <f t="shared" si="207"/>
        <v/>
      </c>
      <c r="AF549" s="111" t="str">
        <f t="shared" si="208"/>
        <v/>
      </c>
      <c r="AG549" s="111" t="str">
        <f t="shared" si="209"/>
        <v/>
      </c>
      <c r="AH549" s="112" t="str">
        <f t="shared" si="210"/>
        <v/>
      </c>
      <c r="AI549" t="str">
        <f t="shared" si="215"/>
        <v/>
      </c>
      <c r="AJ549" t="str">
        <f t="shared" si="217"/>
        <v/>
      </c>
    </row>
    <row r="550" spans="1:36" ht="15" customHeight="1" x14ac:dyDescent="0.25">
      <c r="A550" s="114"/>
      <c r="B550" s="116"/>
      <c r="C550" s="116"/>
      <c r="D550" s="42" t="str">
        <f t="shared" si="194"/>
        <v/>
      </c>
      <c r="E550" s="43"/>
      <c r="F550" s="118"/>
      <c r="G550" s="44" t="str">
        <f t="shared" si="195"/>
        <v/>
      </c>
      <c r="H550" s="118"/>
      <c r="I550" s="34" t="str">
        <f t="shared" si="196"/>
        <v/>
      </c>
      <c r="J550" s="118"/>
      <c r="K550" s="34" t="str">
        <f t="shared" si="197"/>
        <v/>
      </c>
      <c r="L550" s="118"/>
      <c r="M550" s="121"/>
      <c r="N550" s="122" t="str">
        <f t="shared" si="198"/>
        <v/>
      </c>
      <c r="O550" s="35" t="str">
        <f t="shared" si="199"/>
        <v/>
      </c>
      <c r="P550" s="124"/>
      <c r="Q550" s="36" t="str">
        <f t="shared" si="211"/>
        <v/>
      </c>
      <c r="R550" s="46" t="str">
        <f t="shared" si="200"/>
        <v/>
      </c>
      <c r="S550" s="38" t="str">
        <f t="shared" si="201"/>
        <v/>
      </c>
      <c r="T550" s="39" t="str">
        <f t="shared" si="202"/>
        <v/>
      </c>
      <c r="U550" s="40" t="str">
        <f t="shared" si="203"/>
        <v/>
      </c>
      <c r="V550" s="39" t="str">
        <f t="shared" si="204"/>
        <v/>
      </c>
      <c r="W550" s="34" t="str">
        <f t="shared" si="205"/>
        <v/>
      </c>
      <c r="X550" s="41" t="str">
        <f t="shared" si="212"/>
        <v/>
      </c>
      <c r="Y550" s="98" t="str">
        <f t="shared" si="206"/>
        <v/>
      </c>
      <c r="Z550" s="16" t="str">
        <f t="shared" si="213"/>
        <v/>
      </c>
      <c r="AB550" s="139"/>
      <c r="AC550" s="146" t="str">
        <f t="shared" si="216"/>
        <v/>
      </c>
      <c r="AD550" s="148" t="str">
        <f t="shared" si="214"/>
        <v/>
      </c>
      <c r="AE550" s="147" t="str">
        <f t="shared" si="207"/>
        <v/>
      </c>
      <c r="AF550" s="111" t="str">
        <f t="shared" si="208"/>
        <v/>
      </c>
      <c r="AG550" s="111" t="str">
        <f t="shared" si="209"/>
        <v/>
      </c>
      <c r="AH550" s="112" t="str">
        <f t="shared" si="210"/>
        <v/>
      </c>
      <c r="AI550" t="str">
        <f t="shared" si="215"/>
        <v/>
      </c>
      <c r="AJ550" t="str">
        <f t="shared" si="217"/>
        <v/>
      </c>
    </row>
    <row r="551" spans="1:36" ht="15" customHeight="1" x14ac:dyDescent="0.25">
      <c r="A551" s="114"/>
      <c r="B551" s="116"/>
      <c r="C551" s="116"/>
      <c r="D551" s="42" t="str">
        <f t="shared" si="194"/>
        <v/>
      </c>
      <c r="E551" s="43"/>
      <c r="F551" s="118"/>
      <c r="G551" s="44" t="str">
        <f t="shared" si="195"/>
        <v/>
      </c>
      <c r="H551" s="118"/>
      <c r="I551" s="34" t="str">
        <f t="shared" si="196"/>
        <v/>
      </c>
      <c r="J551" s="118"/>
      <c r="K551" s="34" t="str">
        <f t="shared" si="197"/>
        <v/>
      </c>
      <c r="L551" s="118"/>
      <c r="M551" s="121"/>
      <c r="N551" s="122" t="str">
        <f t="shared" si="198"/>
        <v/>
      </c>
      <c r="O551" s="35" t="str">
        <f t="shared" si="199"/>
        <v/>
      </c>
      <c r="P551" s="124"/>
      <c r="Q551" s="36" t="str">
        <f t="shared" si="211"/>
        <v/>
      </c>
      <c r="R551" s="46" t="str">
        <f t="shared" si="200"/>
        <v/>
      </c>
      <c r="S551" s="38" t="str">
        <f t="shared" si="201"/>
        <v/>
      </c>
      <c r="T551" s="39" t="str">
        <f t="shared" si="202"/>
        <v/>
      </c>
      <c r="U551" s="40" t="str">
        <f t="shared" si="203"/>
        <v/>
      </c>
      <c r="V551" s="39" t="str">
        <f t="shared" si="204"/>
        <v/>
      </c>
      <c r="W551" s="34" t="str">
        <f t="shared" si="205"/>
        <v/>
      </c>
      <c r="X551" s="41" t="str">
        <f t="shared" si="212"/>
        <v/>
      </c>
      <c r="Y551" s="98" t="str">
        <f t="shared" si="206"/>
        <v/>
      </c>
      <c r="Z551" s="16" t="str">
        <f t="shared" si="213"/>
        <v/>
      </c>
      <c r="AB551" s="139"/>
      <c r="AC551" s="146" t="str">
        <f t="shared" si="216"/>
        <v/>
      </c>
      <c r="AD551" s="148" t="str">
        <f t="shared" si="214"/>
        <v/>
      </c>
      <c r="AE551" s="147" t="str">
        <f t="shared" si="207"/>
        <v/>
      </c>
      <c r="AF551" s="111" t="str">
        <f t="shared" si="208"/>
        <v/>
      </c>
      <c r="AG551" s="111" t="str">
        <f t="shared" si="209"/>
        <v/>
      </c>
      <c r="AH551" s="112" t="str">
        <f t="shared" si="210"/>
        <v/>
      </c>
      <c r="AI551" t="str">
        <f t="shared" si="215"/>
        <v/>
      </c>
      <c r="AJ551" t="str">
        <f t="shared" si="217"/>
        <v/>
      </c>
    </row>
    <row r="552" spans="1:36" ht="15" customHeight="1" x14ac:dyDescent="0.25">
      <c r="A552" s="114"/>
      <c r="B552" s="116"/>
      <c r="C552" s="116"/>
      <c r="D552" s="42" t="str">
        <f t="shared" si="194"/>
        <v/>
      </c>
      <c r="E552" s="43"/>
      <c r="F552" s="118"/>
      <c r="G552" s="44" t="str">
        <f t="shared" si="195"/>
        <v/>
      </c>
      <c r="H552" s="118"/>
      <c r="I552" s="34" t="str">
        <f t="shared" si="196"/>
        <v/>
      </c>
      <c r="J552" s="118"/>
      <c r="K552" s="34" t="str">
        <f t="shared" si="197"/>
        <v/>
      </c>
      <c r="L552" s="118"/>
      <c r="M552" s="121"/>
      <c r="N552" s="122" t="str">
        <f t="shared" si="198"/>
        <v/>
      </c>
      <c r="O552" s="35" t="str">
        <f t="shared" si="199"/>
        <v/>
      </c>
      <c r="P552" s="124"/>
      <c r="Q552" s="36" t="str">
        <f t="shared" si="211"/>
        <v/>
      </c>
      <c r="R552" s="46" t="str">
        <f t="shared" si="200"/>
        <v/>
      </c>
      <c r="S552" s="38" t="str">
        <f t="shared" si="201"/>
        <v/>
      </c>
      <c r="T552" s="39" t="str">
        <f t="shared" si="202"/>
        <v/>
      </c>
      <c r="U552" s="40" t="str">
        <f t="shared" si="203"/>
        <v/>
      </c>
      <c r="V552" s="39" t="str">
        <f t="shared" si="204"/>
        <v/>
      </c>
      <c r="W552" s="34" t="str">
        <f t="shared" si="205"/>
        <v/>
      </c>
      <c r="X552" s="41" t="str">
        <f t="shared" si="212"/>
        <v/>
      </c>
      <c r="Y552" s="98" t="str">
        <f t="shared" si="206"/>
        <v/>
      </c>
      <c r="Z552" s="16" t="str">
        <f t="shared" si="213"/>
        <v/>
      </c>
      <c r="AB552" s="139"/>
      <c r="AC552" s="146" t="str">
        <f t="shared" si="216"/>
        <v/>
      </c>
      <c r="AD552" s="148" t="str">
        <f t="shared" si="214"/>
        <v/>
      </c>
      <c r="AE552" s="147" t="str">
        <f t="shared" si="207"/>
        <v/>
      </c>
      <c r="AF552" s="111" t="str">
        <f t="shared" si="208"/>
        <v/>
      </c>
      <c r="AG552" s="111" t="str">
        <f t="shared" si="209"/>
        <v/>
      </c>
      <c r="AH552" s="112" t="str">
        <f t="shared" si="210"/>
        <v/>
      </c>
      <c r="AI552" t="str">
        <f t="shared" si="215"/>
        <v/>
      </c>
      <c r="AJ552" t="str">
        <f t="shared" si="217"/>
        <v/>
      </c>
    </row>
    <row r="553" spans="1:36" ht="15" customHeight="1" x14ac:dyDescent="0.25">
      <c r="A553" s="114"/>
      <c r="B553" s="116"/>
      <c r="C553" s="116"/>
      <c r="D553" s="42" t="str">
        <f t="shared" si="194"/>
        <v/>
      </c>
      <c r="E553" s="43"/>
      <c r="F553" s="118"/>
      <c r="G553" s="44" t="str">
        <f t="shared" si="195"/>
        <v/>
      </c>
      <c r="H553" s="118"/>
      <c r="I553" s="34" t="str">
        <f t="shared" si="196"/>
        <v/>
      </c>
      <c r="J553" s="118"/>
      <c r="K553" s="34" t="str">
        <f t="shared" si="197"/>
        <v/>
      </c>
      <c r="L553" s="118"/>
      <c r="M553" s="121"/>
      <c r="N553" s="122" t="str">
        <f t="shared" si="198"/>
        <v/>
      </c>
      <c r="O553" s="35" t="str">
        <f t="shared" si="199"/>
        <v/>
      </c>
      <c r="P553" s="124"/>
      <c r="Q553" s="36" t="str">
        <f t="shared" si="211"/>
        <v/>
      </c>
      <c r="R553" s="46" t="str">
        <f t="shared" si="200"/>
        <v/>
      </c>
      <c r="S553" s="38" t="str">
        <f t="shared" si="201"/>
        <v/>
      </c>
      <c r="T553" s="39" t="str">
        <f t="shared" si="202"/>
        <v/>
      </c>
      <c r="U553" s="40" t="str">
        <f t="shared" si="203"/>
        <v/>
      </c>
      <c r="V553" s="39" t="str">
        <f t="shared" si="204"/>
        <v/>
      </c>
      <c r="W553" s="34" t="str">
        <f t="shared" si="205"/>
        <v/>
      </c>
      <c r="X553" s="41" t="str">
        <f t="shared" si="212"/>
        <v/>
      </c>
      <c r="Y553" s="98" t="str">
        <f t="shared" si="206"/>
        <v/>
      </c>
      <c r="Z553" s="16" t="str">
        <f t="shared" si="213"/>
        <v/>
      </c>
      <c r="AB553" s="139"/>
      <c r="AC553" s="146" t="str">
        <f t="shared" si="216"/>
        <v/>
      </c>
      <c r="AD553" s="148" t="str">
        <f t="shared" si="214"/>
        <v/>
      </c>
      <c r="AE553" s="147" t="str">
        <f t="shared" si="207"/>
        <v/>
      </c>
      <c r="AF553" s="111" t="str">
        <f t="shared" si="208"/>
        <v/>
      </c>
      <c r="AG553" s="111" t="str">
        <f t="shared" si="209"/>
        <v/>
      </c>
      <c r="AH553" s="112" t="str">
        <f t="shared" si="210"/>
        <v/>
      </c>
      <c r="AI553" t="str">
        <f t="shared" si="215"/>
        <v/>
      </c>
      <c r="AJ553" t="str">
        <f t="shared" si="217"/>
        <v/>
      </c>
    </row>
    <row r="554" spans="1:36" ht="15" customHeight="1" x14ac:dyDescent="0.25">
      <c r="A554" s="114"/>
      <c r="B554" s="116"/>
      <c r="C554" s="116"/>
      <c r="D554" s="42" t="str">
        <f t="shared" si="194"/>
        <v/>
      </c>
      <c r="E554" s="43"/>
      <c r="F554" s="118"/>
      <c r="G554" s="44" t="str">
        <f t="shared" si="195"/>
        <v/>
      </c>
      <c r="H554" s="118"/>
      <c r="I554" s="34" t="str">
        <f t="shared" si="196"/>
        <v/>
      </c>
      <c r="J554" s="118"/>
      <c r="K554" s="34" t="str">
        <f t="shared" si="197"/>
        <v/>
      </c>
      <c r="L554" s="118"/>
      <c r="M554" s="121"/>
      <c r="N554" s="122" t="str">
        <f t="shared" si="198"/>
        <v/>
      </c>
      <c r="O554" s="35" t="str">
        <f t="shared" si="199"/>
        <v/>
      </c>
      <c r="P554" s="124"/>
      <c r="Q554" s="36" t="str">
        <f t="shared" si="211"/>
        <v/>
      </c>
      <c r="R554" s="46" t="str">
        <f t="shared" si="200"/>
        <v/>
      </c>
      <c r="S554" s="38" t="str">
        <f t="shared" si="201"/>
        <v/>
      </c>
      <c r="T554" s="39" t="str">
        <f t="shared" si="202"/>
        <v/>
      </c>
      <c r="U554" s="40" t="str">
        <f t="shared" si="203"/>
        <v/>
      </c>
      <c r="V554" s="39" t="str">
        <f t="shared" si="204"/>
        <v/>
      </c>
      <c r="W554" s="34" t="str">
        <f t="shared" si="205"/>
        <v/>
      </c>
      <c r="X554" s="41" t="str">
        <f t="shared" si="212"/>
        <v/>
      </c>
      <c r="Y554" s="98" t="str">
        <f t="shared" si="206"/>
        <v/>
      </c>
      <c r="Z554" s="16" t="str">
        <f t="shared" si="213"/>
        <v/>
      </c>
      <c r="AB554" s="139"/>
      <c r="AC554" s="146" t="str">
        <f t="shared" si="216"/>
        <v/>
      </c>
      <c r="AD554" s="148" t="str">
        <f t="shared" si="214"/>
        <v/>
      </c>
      <c r="AE554" s="147" t="str">
        <f t="shared" si="207"/>
        <v/>
      </c>
      <c r="AF554" s="111" t="str">
        <f t="shared" si="208"/>
        <v/>
      </c>
      <c r="AG554" s="111" t="str">
        <f t="shared" si="209"/>
        <v/>
      </c>
      <c r="AH554" s="112" t="str">
        <f t="shared" si="210"/>
        <v/>
      </c>
      <c r="AI554" t="str">
        <f t="shared" si="215"/>
        <v/>
      </c>
      <c r="AJ554" t="str">
        <f t="shared" si="217"/>
        <v/>
      </c>
    </row>
    <row r="555" spans="1:36" ht="15" customHeight="1" x14ac:dyDescent="0.25">
      <c r="A555" s="114"/>
      <c r="B555" s="116"/>
      <c r="C555" s="116"/>
      <c r="D555" s="42" t="str">
        <f t="shared" si="194"/>
        <v/>
      </c>
      <c r="E555" s="43"/>
      <c r="F555" s="118"/>
      <c r="G555" s="44" t="str">
        <f t="shared" si="195"/>
        <v/>
      </c>
      <c r="H555" s="118"/>
      <c r="I555" s="34" t="str">
        <f t="shared" si="196"/>
        <v/>
      </c>
      <c r="J555" s="118"/>
      <c r="K555" s="34" t="str">
        <f t="shared" si="197"/>
        <v/>
      </c>
      <c r="L555" s="118"/>
      <c r="M555" s="121"/>
      <c r="N555" s="122" t="str">
        <f t="shared" si="198"/>
        <v/>
      </c>
      <c r="O555" s="35" t="str">
        <f t="shared" si="199"/>
        <v/>
      </c>
      <c r="P555" s="124"/>
      <c r="Q555" s="36" t="str">
        <f t="shared" si="211"/>
        <v/>
      </c>
      <c r="R555" s="46" t="str">
        <f t="shared" si="200"/>
        <v/>
      </c>
      <c r="S555" s="38" t="str">
        <f t="shared" si="201"/>
        <v/>
      </c>
      <c r="T555" s="39" t="str">
        <f t="shared" si="202"/>
        <v/>
      </c>
      <c r="U555" s="40" t="str">
        <f t="shared" si="203"/>
        <v/>
      </c>
      <c r="V555" s="39" t="str">
        <f t="shared" si="204"/>
        <v/>
      </c>
      <c r="W555" s="34" t="str">
        <f t="shared" si="205"/>
        <v/>
      </c>
      <c r="X555" s="41" t="str">
        <f t="shared" si="212"/>
        <v/>
      </c>
      <c r="Y555" s="98" t="str">
        <f t="shared" si="206"/>
        <v/>
      </c>
      <c r="Z555" s="16" t="str">
        <f t="shared" si="213"/>
        <v/>
      </c>
      <c r="AB555" s="139"/>
      <c r="AC555" s="146" t="str">
        <f t="shared" si="216"/>
        <v/>
      </c>
      <c r="AD555" s="148" t="str">
        <f t="shared" si="214"/>
        <v/>
      </c>
      <c r="AE555" s="147" t="str">
        <f t="shared" si="207"/>
        <v/>
      </c>
      <c r="AF555" s="111" t="str">
        <f t="shared" si="208"/>
        <v/>
      </c>
      <c r="AG555" s="111" t="str">
        <f t="shared" si="209"/>
        <v/>
      </c>
      <c r="AH555" s="112" t="str">
        <f t="shared" si="210"/>
        <v/>
      </c>
      <c r="AI555" t="str">
        <f t="shared" si="215"/>
        <v/>
      </c>
      <c r="AJ555" t="str">
        <f t="shared" si="217"/>
        <v/>
      </c>
    </row>
    <row r="556" spans="1:36" ht="15" customHeight="1" x14ac:dyDescent="0.25">
      <c r="A556" s="114"/>
      <c r="B556" s="116"/>
      <c r="C556" s="116"/>
      <c r="D556" s="42" t="str">
        <f t="shared" si="194"/>
        <v/>
      </c>
      <c r="E556" s="43"/>
      <c r="F556" s="118"/>
      <c r="G556" s="44" t="str">
        <f t="shared" si="195"/>
        <v/>
      </c>
      <c r="H556" s="118"/>
      <c r="I556" s="34" t="str">
        <f t="shared" si="196"/>
        <v/>
      </c>
      <c r="J556" s="118"/>
      <c r="K556" s="34" t="str">
        <f t="shared" si="197"/>
        <v/>
      </c>
      <c r="L556" s="118"/>
      <c r="M556" s="121"/>
      <c r="N556" s="122" t="str">
        <f t="shared" si="198"/>
        <v/>
      </c>
      <c r="O556" s="35" t="str">
        <f t="shared" si="199"/>
        <v/>
      </c>
      <c r="P556" s="124"/>
      <c r="Q556" s="36" t="str">
        <f t="shared" si="211"/>
        <v/>
      </c>
      <c r="R556" s="46" t="str">
        <f t="shared" si="200"/>
        <v/>
      </c>
      <c r="S556" s="38" t="str">
        <f t="shared" si="201"/>
        <v/>
      </c>
      <c r="T556" s="39" t="str">
        <f t="shared" si="202"/>
        <v/>
      </c>
      <c r="U556" s="40" t="str">
        <f t="shared" si="203"/>
        <v/>
      </c>
      <c r="V556" s="39" t="str">
        <f t="shared" si="204"/>
        <v/>
      </c>
      <c r="W556" s="34" t="str">
        <f t="shared" si="205"/>
        <v/>
      </c>
      <c r="X556" s="41" t="str">
        <f t="shared" si="212"/>
        <v/>
      </c>
      <c r="Y556" s="98" t="str">
        <f t="shared" si="206"/>
        <v/>
      </c>
      <c r="Z556" s="16" t="str">
        <f t="shared" si="213"/>
        <v/>
      </c>
      <c r="AB556" s="139"/>
      <c r="AC556" s="146" t="str">
        <f t="shared" si="216"/>
        <v/>
      </c>
      <c r="AD556" s="148" t="str">
        <f t="shared" si="214"/>
        <v/>
      </c>
      <c r="AE556" s="147" t="str">
        <f t="shared" si="207"/>
        <v/>
      </c>
      <c r="AF556" s="111" t="str">
        <f t="shared" si="208"/>
        <v/>
      </c>
      <c r="AG556" s="111" t="str">
        <f t="shared" si="209"/>
        <v/>
      </c>
      <c r="AH556" s="112" t="str">
        <f t="shared" si="210"/>
        <v/>
      </c>
      <c r="AI556" t="str">
        <f t="shared" si="215"/>
        <v/>
      </c>
      <c r="AJ556" t="str">
        <f t="shared" si="217"/>
        <v/>
      </c>
    </row>
    <row r="557" spans="1:36" ht="15" customHeight="1" x14ac:dyDescent="0.25">
      <c r="A557" s="114"/>
      <c r="B557" s="116"/>
      <c r="C557" s="116"/>
      <c r="D557" s="42" t="str">
        <f t="shared" si="194"/>
        <v/>
      </c>
      <c r="E557" s="43"/>
      <c r="F557" s="118"/>
      <c r="G557" s="44" t="str">
        <f t="shared" si="195"/>
        <v/>
      </c>
      <c r="H557" s="118"/>
      <c r="I557" s="34" t="str">
        <f t="shared" si="196"/>
        <v/>
      </c>
      <c r="J557" s="118"/>
      <c r="K557" s="34" t="str">
        <f t="shared" si="197"/>
        <v/>
      </c>
      <c r="L557" s="118"/>
      <c r="M557" s="121"/>
      <c r="N557" s="122" t="str">
        <f t="shared" si="198"/>
        <v/>
      </c>
      <c r="O557" s="35" t="str">
        <f t="shared" si="199"/>
        <v/>
      </c>
      <c r="P557" s="124"/>
      <c r="Q557" s="36" t="str">
        <f t="shared" si="211"/>
        <v/>
      </c>
      <c r="R557" s="46" t="str">
        <f t="shared" si="200"/>
        <v/>
      </c>
      <c r="S557" s="38" t="str">
        <f t="shared" si="201"/>
        <v/>
      </c>
      <c r="T557" s="39" t="str">
        <f t="shared" si="202"/>
        <v/>
      </c>
      <c r="U557" s="40" t="str">
        <f t="shared" si="203"/>
        <v/>
      </c>
      <c r="V557" s="39" t="str">
        <f t="shared" si="204"/>
        <v/>
      </c>
      <c r="W557" s="34" t="str">
        <f t="shared" si="205"/>
        <v/>
      </c>
      <c r="X557" s="41" t="str">
        <f t="shared" si="212"/>
        <v/>
      </c>
      <c r="Y557" s="98" t="str">
        <f t="shared" si="206"/>
        <v/>
      </c>
      <c r="Z557" s="16" t="str">
        <f t="shared" si="213"/>
        <v/>
      </c>
      <c r="AB557" s="139"/>
      <c r="AC557" s="146" t="str">
        <f t="shared" si="216"/>
        <v/>
      </c>
      <c r="AD557" s="148" t="str">
        <f t="shared" si="214"/>
        <v/>
      </c>
      <c r="AE557" s="147" t="str">
        <f t="shared" si="207"/>
        <v/>
      </c>
      <c r="AF557" s="111" t="str">
        <f t="shared" si="208"/>
        <v/>
      </c>
      <c r="AG557" s="111" t="str">
        <f t="shared" si="209"/>
        <v/>
      </c>
      <c r="AH557" s="112" t="str">
        <f t="shared" si="210"/>
        <v/>
      </c>
      <c r="AI557" t="str">
        <f t="shared" si="215"/>
        <v/>
      </c>
      <c r="AJ557" t="str">
        <f t="shared" si="217"/>
        <v/>
      </c>
    </row>
    <row r="558" spans="1:36" ht="15" customHeight="1" x14ac:dyDescent="0.25">
      <c r="A558" s="114"/>
      <c r="B558" s="116"/>
      <c r="C558" s="116"/>
      <c r="D558" s="42" t="str">
        <f t="shared" si="194"/>
        <v/>
      </c>
      <c r="E558" s="43"/>
      <c r="F558" s="118"/>
      <c r="G558" s="44" t="str">
        <f t="shared" si="195"/>
        <v/>
      </c>
      <c r="H558" s="118"/>
      <c r="I558" s="34" t="str">
        <f t="shared" si="196"/>
        <v/>
      </c>
      <c r="J558" s="118"/>
      <c r="K558" s="34" t="str">
        <f t="shared" si="197"/>
        <v/>
      </c>
      <c r="L558" s="118"/>
      <c r="M558" s="121"/>
      <c r="N558" s="122" t="str">
        <f t="shared" si="198"/>
        <v/>
      </c>
      <c r="O558" s="35" t="str">
        <f t="shared" si="199"/>
        <v/>
      </c>
      <c r="P558" s="124"/>
      <c r="Q558" s="36" t="str">
        <f t="shared" si="211"/>
        <v/>
      </c>
      <c r="R558" s="46" t="str">
        <f t="shared" si="200"/>
        <v/>
      </c>
      <c r="S558" s="38" t="str">
        <f t="shared" si="201"/>
        <v/>
      </c>
      <c r="T558" s="39" t="str">
        <f t="shared" si="202"/>
        <v/>
      </c>
      <c r="U558" s="40" t="str">
        <f t="shared" si="203"/>
        <v/>
      </c>
      <c r="V558" s="39" t="str">
        <f t="shared" si="204"/>
        <v/>
      </c>
      <c r="W558" s="34" t="str">
        <f t="shared" si="205"/>
        <v/>
      </c>
      <c r="X558" s="41" t="str">
        <f t="shared" si="212"/>
        <v/>
      </c>
      <c r="Y558" s="98" t="str">
        <f t="shared" si="206"/>
        <v/>
      </c>
      <c r="Z558" s="16" t="str">
        <f t="shared" si="213"/>
        <v/>
      </c>
      <c r="AB558" s="139"/>
      <c r="AC558" s="146" t="str">
        <f t="shared" si="216"/>
        <v/>
      </c>
      <c r="AD558" s="148" t="str">
        <f t="shared" si="214"/>
        <v/>
      </c>
      <c r="AE558" s="147" t="str">
        <f t="shared" si="207"/>
        <v/>
      </c>
      <c r="AF558" s="111" t="str">
        <f t="shared" si="208"/>
        <v/>
      </c>
      <c r="AG558" s="111" t="str">
        <f t="shared" si="209"/>
        <v/>
      </c>
      <c r="AH558" s="112" t="str">
        <f t="shared" si="210"/>
        <v/>
      </c>
      <c r="AI558" t="str">
        <f t="shared" si="215"/>
        <v/>
      </c>
      <c r="AJ558" t="str">
        <f t="shared" si="217"/>
        <v/>
      </c>
    </row>
    <row r="559" spans="1:36" ht="15" customHeight="1" x14ac:dyDescent="0.25">
      <c r="A559" s="114"/>
      <c r="B559" s="116"/>
      <c r="C559" s="116"/>
      <c r="D559" s="42" t="str">
        <f t="shared" si="194"/>
        <v/>
      </c>
      <c r="E559" s="43"/>
      <c r="F559" s="118"/>
      <c r="G559" s="44" t="str">
        <f t="shared" si="195"/>
        <v/>
      </c>
      <c r="H559" s="118"/>
      <c r="I559" s="34" t="str">
        <f t="shared" si="196"/>
        <v/>
      </c>
      <c r="J559" s="118"/>
      <c r="K559" s="34" t="str">
        <f t="shared" si="197"/>
        <v/>
      </c>
      <c r="L559" s="118"/>
      <c r="M559" s="121"/>
      <c r="N559" s="122" t="str">
        <f t="shared" si="198"/>
        <v/>
      </c>
      <c r="O559" s="35" t="str">
        <f t="shared" si="199"/>
        <v/>
      </c>
      <c r="P559" s="124"/>
      <c r="Q559" s="36" t="str">
        <f t="shared" si="211"/>
        <v/>
      </c>
      <c r="R559" s="46" t="str">
        <f t="shared" si="200"/>
        <v/>
      </c>
      <c r="S559" s="38" t="str">
        <f t="shared" si="201"/>
        <v/>
      </c>
      <c r="T559" s="39" t="str">
        <f t="shared" si="202"/>
        <v/>
      </c>
      <c r="U559" s="40" t="str">
        <f t="shared" si="203"/>
        <v/>
      </c>
      <c r="V559" s="39" t="str">
        <f t="shared" si="204"/>
        <v/>
      </c>
      <c r="W559" s="34" t="str">
        <f t="shared" si="205"/>
        <v/>
      </c>
      <c r="X559" s="41" t="str">
        <f t="shared" si="212"/>
        <v/>
      </c>
      <c r="Y559" s="98" t="str">
        <f t="shared" si="206"/>
        <v/>
      </c>
      <c r="Z559" s="16" t="str">
        <f t="shared" si="213"/>
        <v/>
      </c>
      <c r="AB559" s="139"/>
      <c r="AC559" s="146" t="str">
        <f t="shared" si="216"/>
        <v/>
      </c>
      <c r="AD559" s="148" t="str">
        <f t="shared" si="214"/>
        <v/>
      </c>
      <c r="AE559" s="147" t="str">
        <f t="shared" si="207"/>
        <v/>
      </c>
      <c r="AF559" s="111" t="str">
        <f t="shared" si="208"/>
        <v/>
      </c>
      <c r="AG559" s="111" t="str">
        <f t="shared" si="209"/>
        <v/>
      </c>
      <c r="AH559" s="112" t="str">
        <f t="shared" si="210"/>
        <v/>
      </c>
      <c r="AI559" t="str">
        <f t="shared" si="215"/>
        <v/>
      </c>
      <c r="AJ559" t="str">
        <f t="shared" si="217"/>
        <v/>
      </c>
    </row>
    <row r="560" spans="1:36" ht="15" customHeight="1" x14ac:dyDescent="0.25">
      <c r="A560" s="114"/>
      <c r="B560" s="116"/>
      <c r="C560" s="116"/>
      <c r="D560" s="42" t="str">
        <f t="shared" si="194"/>
        <v/>
      </c>
      <c r="E560" s="43"/>
      <c r="F560" s="118"/>
      <c r="G560" s="44" t="str">
        <f t="shared" si="195"/>
        <v/>
      </c>
      <c r="H560" s="118"/>
      <c r="I560" s="34" t="str">
        <f t="shared" si="196"/>
        <v/>
      </c>
      <c r="J560" s="118"/>
      <c r="K560" s="34" t="str">
        <f t="shared" si="197"/>
        <v/>
      </c>
      <c r="L560" s="118"/>
      <c r="M560" s="121"/>
      <c r="N560" s="122" t="str">
        <f t="shared" si="198"/>
        <v/>
      </c>
      <c r="O560" s="35" t="str">
        <f t="shared" si="199"/>
        <v/>
      </c>
      <c r="P560" s="124"/>
      <c r="Q560" s="36" t="str">
        <f t="shared" si="211"/>
        <v/>
      </c>
      <c r="R560" s="46" t="str">
        <f t="shared" si="200"/>
        <v/>
      </c>
      <c r="S560" s="38" t="str">
        <f t="shared" si="201"/>
        <v/>
      </c>
      <c r="T560" s="39" t="str">
        <f t="shared" si="202"/>
        <v/>
      </c>
      <c r="U560" s="40" t="str">
        <f t="shared" si="203"/>
        <v/>
      </c>
      <c r="V560" s="39" t="str">
        <f t="shared" si="204"/>
        <v/>
      </c>
      <c r="W560" s="34" t="str">
        <f t="shared" si="205"/>
        <v/>
      </c>
      <c r="X560" s="41" t="str">
        <f t="shared" si="212"/>
        <v/>
      </c>
      <c r="Y560" s="98" t="str">
        <f t="shared" si="206"/>
        <v/>
      </c>
      <c r="Z560" s="16" t="str">
        <f t="shared" si="213"/>
        <v/>
      </c>
      <c r="AB560" s="139"/>
      <c r="AC560" s="146" t="str">
        <f t="shared" si="216"/>
        <v/>
      </c>
      <c r="AD560" s="148" t="str">
        <f t="shared" si="214"/>
        <v/>
      </c>
      <c r="AE560" s="147" t="str">
        <f t="shared" si="207"/>
        <v/>
      </c>
      <c r="AF560" s="111" t="str">
        <f t="shared" si="208"/>
        <v/>
      </c>
      <c r="AG560" s="111" t="str">
        <f t="shared" si="209"/>
        <v/>
      </c>
      <c r="AH560" s="112" t="str">
        <f t="shared" si="210"/>
        <v/>
      </c>
      <c r="AI560" t="str">
        <f t="shared" si="215"/>
        <v/>
      </c>
      <c r="AJ560" t="str">
        <f t="shared" si="217"/>
        <v/>
      </c>
    </row>
    <row r="561" spans="1:36" ht="15" customHeight="1" x14ac:dyDescent="0.25">
      <c r="A561" s="114"/>
      <c r="B561" s="116"/>
      <c r="C561" s="116"/>
      <c r="D561" s="42" t="str">
        <f t="shared" si="194"/>
        <v/>
      </c>
      <c r="E561" s="43"/>
      <c r="F561" s="118"/>
      <c r="G561" s="44" t="str">
        <f t="shared" si="195"/>
        <v/>
      </c>
      <c r="H561" s="118"/>
      <c r="I561" s="34" t="str">
        <f t="shared" si="196"/>
        <v/>
      </c>
      <c r="J561" s="118"/>
      <c r="K561" s="34" t="str">
        <f t="shared" si="197"/>
        <v/>
      </c>
      <c r="L561" s="118"/>
      <c r="M561" s="121"/>
      <c r="N561" s="122" t="str">
        <f t="shared" si="198"/>
        <v/>
      </c>
      <c r="O561" s="35" t="str">
        <f t="shared" si="199"/>
        <v/>
      </c>
      <c r="P561" s="124"/>
      <c r="Q561" s="36" t="str">
        <f t="shared" si="211"/>
        <v/>
      </c>
      <c r="R561" s="46" t="str">
        <f t="shared" si="200"/>
        <v/>
      </c>
      <c r="S561" s="38" t="str">
        <f t="shared" si="201"/>
        <v/>
      </c>
      <c r="T561" s="39" t="str">
        <f t="shared" si="202"/>
        <v/>
      </c>
      <c r="U561" s="40" t="str">
        <f t="shared" si="203"/>
        <v/>
      </c>
      <c r="V561" s="39" t="str">
        <f t="shared" si="204"/>
        <v/>
      </c>
      <c r="W561" s="34" t="str">
        <f t="shared" si="205"/>
        <v/>
      </c>
      <c r="X561" s="41" t="str">
        <f t="shared" si="212"/>
        <v/>
      </c>
      <c r="Y561" s="98" t="str">
        <f t="shared" si="206"/>
        <v/>
      </c>
      <c r="Z561" s="16" t="str">
        <f t="shared" si="213"/>
        <v/>
      </c>
      <c r="AB561" s="139"/>
      <c r="AC561" s="146" t="str">
        <f t="shared" si="216"/>
        <v/>
      </c>
      <c r="AD561" s="148" t="str">
        <f t="shared" si="214"/>
        <v/>
      </c>
      <c r="AE561" s="147" t="str">
        <f t="shared" si="207"/>
        <v/>
      </c>
      <c r="AF561" s="111" t="str">
        <f t="shared" si="208"/>
        <v/>
      </c>
      <c r="AG561" s="111" t="str">
        <f t="shared" si="209"/>
        <v/>
      </c>
      <c r="AH561" s="112" t="str">
        <f t="shared" si="210"/>
        <v/>
      </c>
      <c r="AI561" t="str">
        <f t="shared" si="215"/>
        <v/>
      </c>
      <c r="AJ561" t="str">
        <f t="shared" si="217"/>
        <v/>
      </c>
    </row>
    <row r="562" spans="1:36" ht="15" customHeight="1" x14ac:dyDescent="0.25">
      <c r="A562" s="114"/>
      <c r="B562" s="116"/>
      <c r="C562" s="116"/>
      <c r="D562" s="42" t="str">
        <f t="shared" si="194"/>
        <v/>
      </c>
      <c r="E562" s="43"/>
      <c r="F562" s="118"/>
      <c r="G562" s="44" t="str">
        <f t="shared" si="195"/>
        <v/>
      </c>
      <c r="H562" s="118"/>
      <c r="I562" s="34" t="str">
        <f t="shared" si="196"/>
        <v/>
      </c>
      <c r="J562" s="118"/>
      <c r="K562" s="34" t="str">
        <f t="shared" si="197"/>
        <v/>
      </c>
      <c r="L562" s="118"/>
      <c r="M562" s="121"/>
      <c r="N562" s="122" t="str">
        <f t="shared" si="198"/>
        <v/>
      </c>
      <c r="O562" s="35" t="str">
        <f t="shared" si="199"/>
        <v/>
      </c>
      <c r="P562" s="124"/>
      <c r="Q562" s="36" t="str">
        <f t="shared" si="211"/>
        <v/>
      </c>
      <c r="R562" s="46" t="str">
        <f t="shared" si="200"/>
        <v/>
      </c>
      <c r="S562" s="38" t="str">
        <f t="shared" si="201"/>
        <v/>
      </c>
      <c r="T562" s="39" t="str">
        <f t="shared" si="202"/>
        <v/>
      </c>
      <c r="U562" s="40" t="str">
        <f t="shared" si="203"/>
        <v/>
      </c>
      <c r="V562" s="39" t="str">
        <f t="shared" si="204"/>
        <v/>
      </c>
      <c r="W562" s="34" t="str">
        <f t="shared" si="205"/>
        <v/>
      </c>
      <c r="X562" s="41" t="str">
        <f t="shared" si="212"/>
        <v/>
      </c>
      <c r="Y562" s="98" t="str">
        <f t="shared" si="206"/>
        <v/>
      </c>
      <c r="Z562" s="16" t="str">
        <f t="shared" si="213"/>
        <v/>
      </c>
      <c r="AB562" s="139"/>
      <c r="AC562" s="146" t="str">
        <f t="shared" si="216"/>
        <v/>
      </c>
      <c r="AD562" s="148" t="str">
        <f t="shared" si="214"/>
        <v/>
      </c>
      <c r="AE562" s="147" t="str">
        <f t="shared" si="207"/>
        <v/>
      </c>
      <c r="AF562" s="111" t="str">
        <f t="shared" si="208"/>
        <v/>
      </c>
      <c r="AG562" s="111" t="str">
        <f t="shared" si="209"/>
        <v/>
      </c>
      <c r="AH562" s="112" t="str">
        <f t="shared" si="210"/>
        <v/>
      </c>
      <c r="AI562" t="str">
        <f t="shared" si="215"/>
        <v/>
      </c>
      <c r="AJ562" t="str">
        <f t="shared" si="217"/>
        <v/>
      </c>
    </row>
    <row r="563" spans="1:36" ht="15" customHeight="1" x14ac:dyDescent="0.25">
      <c r="A563" s="114"/>
      <c r="B563" s="116"/>
      <c r="C563" s="116"/>
      <c r="D563" s="42" t="str">
        <f t="shared" si="194"/>
        <v/>
      </c>
      <c r="E563" s="43"/>
      <c r="F563" s="118"/>
      <c r="G563" s="44" t="str">
        <f t="shared" si="195"/>
        <v/>
      </c>
      <c r="H563" s="118"/>
      <c r="I563" s="34" t="str">
        <f t="shared" si="196"/>
        <v/>
      </c>
      <c r="J563" s="118"/>
      <c r="K563" s="34" t="str">
        <f t="shared" si="197"/>
        <v/>
      </c>
      <c r="L563" s="118"/>
      <c r="M563" s="121"/>
      <c r="N563" s="122" t="str">
        <f t="shared" si="198"/>
        <v/>
      </c>
      <c r="O563" s="35" t="str">
        <f t="shared" si="199"/>
        <v/>
      </c>
      <c r="P563" s="124"/>
      <c r="Q563" s="36" t="str">
        <f t="shared" si="211"/>
        <v/>
      </c>
      <c r="R563" s="46" t="str">
        <f t="shared" si="200"/>
        <v/>
      </c>
      <c r="S563" s="38" t="str">
        <f t="shared" si="201"/>
        <v/>
      </c>
      <c r="T563" s="39" t="str">
        <f t="shared" si="202"/>
        <v/>
      </c>
      <c r="U563" s="40" t="str">
        <f t="shared" si="203"/>
        <v/>
      </c>
      <c r="V563" s="39" t="str">
        <f t="shared" si="204"/>
        <v/>
      </c>
      <c r="W563" s="34" t="str">
        <f t="shared" si="205"/>
        <v/>
      </c>
      <c r="X563" s="41" t="str">
        <f t="shared" si="212"/>
        <v/>
      </c>
      <c r="Y563" s="98" t="str">
        <f t="shared" si="206"/>
        <v/>
      </c>
      <c r="Z563" s="16" t="str">
        <f t="shared" si="213"/>
        <v/>
      </c>
      <c r="AB563" s="139"/>
      <c r="AC563" s="146" t="str">
        <f t="shared" si="216"/>
        <v/>
      </c>
      <c r="AD563" s="148" t="str">
        <f t="shared" si="214"/>
        <v/>
      </c>
      <c r="AE563" s="147" t="str">
        <f t="shared" si="207"/>
        <v/>
      </c>
      <c r="AF563" s="111" t="str">
        <f t="shared" si="208"/>
        <v/>
      </c>
      <c r="AG563" s="111" t="str">
        <f t="shared" si="209"/>
        <v/>
      </c>
      <c r="AH563" s="112" t="str">
        <f t="shared" si="210"/>
        <v/>
      </c>
      <c r="AI563" t="str">
        <f t="shared" si="215"/>
        <v/>
      </c>
      <c r="AJ563" t="str">
        <f t="shared" si="217"/>
        <v/>
      </c>
    </row>
    <row r="564" spans="1:36" ht="15" customHeight="1" x14ac:dyDescent="0.25">
      <c r="A564" s="114"/>
      <c r="B564" s="116"/>
      <c r="C564" s="116"/>
      <c r="D564" s="42" t="str">
        <f t="shared" si="194"/>
        <v/>
      </c>
      <c r="E564" s="43"/>
      <c r="F564" s="118"/>
      <c r="G564" s="44" t="str">
        <f t="shared" si="195"/>
        <v/>
      </c>
      <c r="H564" s="118"/>
      <c r="I564" s="34" t="str">
        <f t="shared" si="196"/>
        <v/>
      </c>
      <c r="J564" s="118"/>
      <c r="K564" s="34" t="str">
        <f t="shared" si="197"/>
        <v/>
      </c>
      <c r="L564" s="118"/>
      <c r="M564" s="121"/>
      <c r="N564" s="122" t="str">
        <f t="shared" si="198"/>
        <v/>
      </c>
      <c r="O564" s="35" t="str">
        <f t="shared" si="199"/>
        <v/>
      </c>
      <c r="P564" s="124"/>
      <c r="Q564" s="36" t="str">
        <f t="shared" si="211"/>
        <v/>
      </c>
      <c r="R564" s="46" t="str">
        <f t="shared" si="200"/>
        <v/>
      </c>
      <c r="S564" s="38" t="str">
        <f t="shared" si="201"/>
        <v/>
      </c>
      <c r="T564" s="39" t="str">
        <f t="shared" si="202"/>
        <v/>
      </c>
      <c r="U564" s="40" t="str">
        <f t="shared" si="203"/>
        <v/>
      </c>
      <c r="V564" s="39" t="str">
        <f t="shared" si="204"/>
        <v/>
      </c>
      <c r="W564" s="34" t="str">
        <f t="shared" si="205"/>
        <v/>
      </c>
      <c r="X564" s="41" t="str">
        <f t="shared" si="212"/>
        <v/>
      </c>
      <c r="Y564" s="98" t="str">
        <f t="shared" si="206"/>
        <v/>
      </c>
      <c r="Z564" s="16" t="str">
        <f t="shared" si="213"/>
        <v/>
      </c>
      <c r="AB564" s="139"/>
      <c r="AC564" s="146" t="str">
        <f t="shared" si="216"/>
        <v/>
      </c>
      <c r="AD564" s="148" t="str">
        <f t="shared" si="214"/>
        <v/>
      </c>
      <c r="AE564" s="147" t="str">
        <f t="shared" si="207"/>
        <v/>
      </c>
      <c r="AF564" s="111" t="str">
        <f t="shared" si="208"/>
        <v/>
      </c>
      <c r="AG564" s="111" t="str">
        <f t="shared" si="209"/>
        <v/>
      </c>
      <c r="AH564" s="112" t="str">
        <f t="shared" si="210"/>
        <v/>
      </c>
      <c r="AI564" t="str">
        <f t="shared" si="215"/>
        <v/>
      </c>
      <c r="AJ564" t="str">
        <f t="shared" si="217"/>
        <v/>
      </c>
    </row>
    <row r="565" spans="1:36" ht="15" customHeight="1" x14ac:dyDescent="0.25">
      <c r="A565" s="114"/>
      <c r="B565" s="116"/>
      <c r="C565" s="116"/>
      <c r="D565" s="42" t="str">
        <f t="shared" si="194"/>
        <v/>
      </c>
      <c r="E565" s="43"/>
      <c r="F565" s="118"/>
      <c r="G565" s="44" t="str">
        <f t="shared" si="195"/>
        <v/>
      </c>
      <c r="H565" s="118"/>
      <c r="I565" s="34" t="str">
        <f t="shared" si="196"/>
        <v/>
      </c>
      <c r="J565" s="118"/>
      <c r="K565" s="34" t="str">
        <f t="shared" si="197"/>
        <v/>
      </c>
      <c r="L565" s="118"/>
      <c r="M565" s="121"/>
      <c r="N565" s="122" t="str">
        <f t="shared" si="198"/>
        <v/>
      </c>
      <c r="O565" s="35" t="str">
        <f t="shared" si="199"/>
        <v/>
      </c>
      <c r="P565" s="124"/>
      <c r="Q565" s="36" t="str">
        <f t="shared" si="211"/>
        <v/>
      </c>
      <c r="R565" s="46" t="str">
        <f t="shared" si="200"/>
        <v/>
      </c>
      <c r="S565" s="38" t="str">
        <f t="shared" si="201"/>
        <v/>
      </c>
      <c r="T565" s="39" t="str">
        <f t="shared" si="202"/>
        <v/>
      </c>
      <c r="U565" s="40" t="str">
        <f t="shared" si="203"/>
        <v/>
      </c>
      <c r="V565" s="39" t="str">
        <f t="shared" si="204"/>
        <v/>
      </c>
      <c r="W565" s="34" t="str">
        <f t="shared" si="205"/>
        <v/>
      </c>
      <c r="X565" s="41" t="str">
        <f t="shared" si="212"/>
        <v/>
      </c>
      <c r="Y565" s="98" t="str">
        <f t="shared" si="206"/>
        <v/>
      </c>
      <c r="Z565" s="16" t="str">
        <f t="shared" si="213"/>
        <v/>
      </c>
      <c r="AB565" s="139"/>
      <c r="AC565" s="146" t="str">
        <f t="shared" si="216"/>
        <v/>
      </c>
      <c r="AD565" s="148" t="str">
        <f t="shared" si="214"/>
        <v/>
      </c>
      <c r="AE565" s="147" t="str">
        <f t="shared" si="207"/>
        <v/>
      </c>
      <c r="AF565" s="111" t="str">
        <f t="shared" si="208"/>
        <v/>
      </c>
      <c r="AG565" s="111" t="str">
        <f t="shared" si="209"/>
        <v/>
      </c>
      <c r="AH565" s="112" t="str">
        <f t="shared" si="210"/>
        <v/>
      </c>
      <c r="AI565" t="str">
        <f t="shared" si="215"/>
        <v/>
      </c>
      <c r="AJ565" t="str">
        <f t="shared" si="217"/>
        <v/>
      </c>
    </row>
    <row r="566" spans="1:36" ht="15" customHeight="1" x14ac:dyDescent="0.25">
      <c r="A566" s="114"/>
      <c r="B566" s="116"/>
      <c r="C566" s="116"/>
      <c r="D566" s="42" t="str">
        <f t="shared" si="194"/>
        <v/>
      </c>
      <c r="E566" s="43"/>
      <c r="F566" s="118"/>
      <c r="G566" s="44" t="str">
        <f t="shared" si="195"/>
        <v/>
      </c>
      <c r="H566" s="118"/>
      <c r="I566" s="34" t="str">
        <f t="shared" si="196"/>
        <v/>
      </c>
      <c r="J566" s="118"/>
      <c r="K566" s="34" t="str">
        <f t="shared" si="197"/>
        <v/>
      </c>
      <c r="L566" s="118"/>
      <c r="M566" s="121"/>
      <c r="N566" s="122" t="str">
        <f t="shared" si="198"/>
        <v/>
      </c>
      <c r="O566" s="35" t="str">
        <f t="shared" si="199"/>
        <v/>
      </c>
      <c r="P566" s="124"/>
      <c r="Q566" s="36" t="str">
        <f t="shared" si="211"/>
        <v/>
      </c>
      <c r="R566" s="46" t="str">
        <f t="shared" si="200"/>
        <v/>
      </c>
      <c r="S566" s="38" t="str">
        <f t="shared" si="201"/>
        <v/>
      </c>
      <c r="T566" s="39" t="str">
        <f t="shared" si="202"/>
        <v/>
      </c>
      <c r="U566" s="40" t="str">
        <f t="shared" si="203"/>
        <v/>
      </c>
      <c r="V566" s="39" t="str">
        <f t="shared" si="204"/>
        <v/>
      </c>
      <c r="W566" s="34" t="str">
        <f t="shared" si="205"/>
        <v/>
      </c>
      <c r="X566" s="41" t="str">
        <f t="shared" si="212"/>
        <v/>
      </c>
      <c r="Y566" s="98" t="str">
        <f t="shared" si="206"/>
        <v/>
      </c>
      <c r="Z566" s="16" t="str">
        <f t="shared" si="213"/>
        <v/>
      </c>
      <c r="AB566" s="139"/>
      <c r="AC566" s="146" t="str">
        <f t="shared" si="216"/>
        <v/>
      </c>
      <c r="AD566" s="148" t="str">
        <f t="shared" si="214"/>
        <v/>
      </c>
      <c r="AE566" s="147" t="str">
        <f t="shared" si="207"/>
        <v/>
      </c>
      <c r="AF566" s="111" t="str">
        <f t="shared" si="208"/>
        <v/>
      </c>
      <c r="AG566" s="111" t="str">
        <f t="shared" si="209"/>
        <v/>
      </c>
      <c r="AH566" s="112" t="str">
        <f t="shared" si="210"/>
        <v/>
      </c>
      <c r="AI566" t="str">
        <f t="shared" si="215"/>
        <v/>
      </c>
      <c r="AJ566" t="str">
        <f t="shared" si="217"/>
        <v/>
      </c>
    </row>
    <row r="567" spans="1:36" ht="15" customHeight="1" x14ac:dyDescent="0.25">
      <c r="A567" s="114"/>
      <c r="B567" s="116"/>
      <c r="C567" s="116"/>
      <c r="D567" s="42" t="str">
        <f t="shared" si="194"/>
        <v/>
      </c>
      <c r="E567" s="43"/>
      <c r="F567" s="118"/>
      <c r="G567" s="44" t="str">
        <f t="shared" si="195"/>
        <v/>
      </c>
      <c r="H567" s="118"/>
      <c r="I567" s="34" t="str">
        <f t="shared" si="196"/>
        <v/>
      </c>
      <c r="J567" s="118"/>
      <c r="K567" s="34" t="str">
        <f t="shared" si="197"/>
        <v/>
      </c>
      <c r="L567" s="118"/>
      <c r="M567" s="121"/>
      <c r="N567" s="122" t="str">
        <f t="shared" si="198"/>
        <v/>
      </c>
      <c r="O567" s="35" t="str">
        <f t="shared" si="199"/>
        <v/>
      </c>
      <c r="P567" s="124"/>
      <c r="Q567" s="36" t="str">
        <f t="shared" si="211"/>
        <v/>
      </c>
      <c r="R567" s="46" t="str">
        <f t="shared" si="200"/>
        <v/>
      </c>
      <c r="S567" s="38" t="str">
        <f t="shared" si="201"/>
        <v/>
      </c>
      <c r="T567" s="39" t="str">
        <f t="shared" si="202"/>
        <v/>
      </c>
      <c r="U567" s="40" t="str">
        <f t="shared" si="203"/>
        <v/>
      </c>
      <c r="V567" s="39" t="str">
        <f t="shared" si="204"/>
        <v/>
      </c>
      <c r="W567" s="34" t="str">
        <f t="shared" si="205"/>
        <v/>
      </c>
      <c r="X567" s="41" t="str">
        <f t="shared" si="212"/>
        <v/>
      </c>
      <c r="Y567" s="98" t="str">
        <f t="shared" si="206"/>
        <v/>
      </c>
      <c r="Z567" s="16" t="str">
        <f t="shared" si="213"/>
        <v/>
      </c>
      <c r="AB567" s="139"/>
      <c r="AC567" s="146" t="str">
        <f t="shared" si="216"/>
        <v/>
      </c>
      <c r="AD567" s="148" t="str">
        <f t="shared" si="214"/>
        <v/>
      </c>
      <c r="AE567" s="147" t="str">
        <f t="shared" si="207"/>
        <v/>
      </c>
      <c r="AF567" s="111" t="str">
        <f t="shared" si="208"/>
        <v/>
      </c>
      <c r="AG567" s="111" t="str">
        <f t="shared" si="209"/>
        <v/>
      </c>
      <c r="AH567" s="112" t="str">
        <f t="shared" si="210"/>
        <v/>
      </c>
      <c r="AI567" t="str">
        <f t="shared" si="215"/>
        <v/>
      </c>
      <c r="AJ567" t="str">
        <f t="shared" si="217"/>
        <v/>
      </c>
    </row>
    <row r="568" spans="1:36" ht="15" customHeight="1" x14ac:dyDescent="0.25">
      <c r="A568" s="114"/>
      <c r="B568" s="116"/>
      <c r="C568" s="116"/>
      <c r="D568" s="42" t="str">
        <f t="shared" si="194"/>
        <v/>
      </c>
      <c r="E568" s="43"/>
      <c r="F568" s="118"/>
      <c r="G568" s="44" t="str">
        <f t="shared" si="195"/>
        <v/>
      </c>
      <c r="H568" s="118"/>
      <c r="I568" s="34" t="str">
        <f t="shared" si="196"/>
        <v/>
      </c>
      <c r="J568" s="118"/>
      <c r="K568" s="34" t="str">
        <f t="shared" si="197"/>
        <v/>
      </c>
      <c r="L568" s="118"/>
      <c r="M568" s="121"/>
      <c r="N568" s="122" t="str">
        <f t="shared" si="198"/>
        <v/>
      </c>
      <c r="O568" s="35" t="str">
        <f t="shared" si="199"/>
        <v/>
      </c>
      <c r="P568" s="124"/>
      <c r="Q568" s="36" t="str">
        <f t="shared" si="211"/>
        <v/>
      </c>
      <c r="R568" s="46" t="str">
        <f t="shared" si="200"/>
        <v/>
      </c>
      <c r="S568" s="38" t="str">
        <f t="shared" si="201"/>
        <v/>
      </c>
      <c r="T568" s="39" t="str">
        <f t="shared" si="202"/>
        <v/>
      </c>
      <c r="U568" s="40" t="str">
        <f t="shared" si="203"/>
        <v/>
      </c>
      <c r="V568" s="39" t="str">
        <f t="shared" si="204"/>
        <v/>
      </c>
      <c r="W568" s="34" t="str">
        <f t="shared" si="205"/>
        <v/>
      </c>
      <c r="X568" s="41" t="str">
        <f t="shared" si="212"/>
        <v/>
      </c>
      <c r="Y568" s="98" t="str">
        <f t="shared" si="206"/>
        <v/>
      </c>
      <c r="Z568" s="16" t="str">
        <f t="shared" si="213"/>
        <v/>
      </c>
      <c r="AB568" s="139"/>
      <c r="AC568" s="146" t="str">
        <f t="shared" si="216"/>
        <v/>
      </c>
      <c r="AD568" s="148" t="str">
        <f t="shared" si="214"/>
        <v/>
      </c>
      <c r="AE568" s="147" t="str">
        <f t="shared" si="207"/>
        <v/>
      </c>
      <c r="AF568" s="111" t="str">
        <f t="shared" si="208"/>
        <v/>
      </c>
      <c r="AG568" s="111" t="str">
        <f t="shared" si="209"/>
        <v/>
      </c>
      <c r="AH568" s="112" t="str">
        <f t="shared" si="210"/>
        <v/>
      </c>
      <c r="AI568" t="str">
        <f t="shared" si="215"/>
        <v/>
      </c>
      <c r="AJ568" t="str">
        <f t="shared" si="217"/>
        <v/>
      </c>
    </row>
    <row r="569" spans="1:36" ht="15" customHeight="1" x14ac:dyDescent="0.25">
      <c r="A569" s="114"/>
      <c r="B569" s="116"/>
      <c r="C569" s="116"/>
      <c r="D569" s="42" t="str">
        <f t="shared" si="194"/>
        <v/>
      </c>
      <c r="E569" s="43"/>
      <c r="F569" s="118"/>
      <c r="G569" s="44" t="str">
        <f t="shared" si="195"/>
        <v/>
      </c>
      <c r="H569" s="118"/>
      <c r="I569" s="34" t="str">
        <f t="shared" si="196"/>
        <v/>
      </c>
      <c r="J569" s="118"/>
      <c r="K569" s="34" t="str">
        <f t="shared" si="197"/>
        <v/>
      </c>
      <c r="L569" s="118"/>
      <c r="M569" s="121"/>
      <c r="N569" s="122" t="str">
        <f t="shared" si="198"/>
        <v/>
      </c>
      <c r="O569" s="35" t="str">
        <f t="shared" si="199"/>
        <v/>
      </c>
      <c r="P569" s="124"/>
      <c r="Q569" s="36" t="str">
        <f t="shared" si="211"/>
        <v/>
      </c>
      <c r="R569" s="46" t="str">
        <f t="shared" si="200"/>
        <v/>
      </c>
      <c r="S569" s="38" t="str">
        <f t="shared" si="201"/>
        <v/>
      </c>
      <c r="T569" s="39" t="str">
        <f t="shared" si="202"/>
        <v/>
      </c>
      <c r="U569" s="40" t="str">
        <f t="shared" si="203"/>
        <v/>
      </c>
      <c r="V569" s="39" t="str">
        <f t="shared" si="204"/>
        <v/>
      </c>
      <c r="W569" s="34" t="str">
        <f t="shared" si="205"/>
        <v/>
      </c>
      <c r="X569" s="41" t="str">
        <f t="shared" si="212"/>
        <v/>
      </c>
      <c r="Y569" s="98" t="str">
        <f t="shared" si="206"/>
        <v/>
      </c>
      <c r="Z569" s="16" t="str">
        <f t="shared" si="213"/>
        <v/>
      </c>
      <c r="AB569" s="139"/>
      <c r="AC569" s="146" t="str">
        <f t="shared" si="216"/>
        <v/>
      </c>
      <c r="AD569" s="148" t="str">
        <f t="shared" si="214"/>
        <v/>
      </c>
      <c r="AE569" s="147" t="str">
        <f t="shared" si="207"/>
        <v/>
      </c>
      <c r="AF569" s="111" t="str">
        <f t="shared" si="208"/>
        <v/>
      </c>
      <c r="AG569" s="111" t="str">
        <f t="shared" si="209"/>
        <v/>
      </c>
      <c r="AH569" s="112" t="str">
        <f t="shared" si="210"/>
        <v/>
      </c>
      <c r="AI569" t="str">
        <f t="shared" si="215"/>
        <v/>
      </c>
      <c r="AJ569" t="str">
        <f t="shared" si="217"/>
        <v/>
      </c>
    </row>
    <row r="570" spans="1:36" ht="15" customHeight="1" x14ac:dyDescent="0.25">
      <c r="A570" s="114"/>
      <c r="B570" s="116"/>
      <c r="C570" s="116"/>
      <c r="D570" s="42" t="str">
        <f t="shared" si="194"/>
        <v/>
      </c>
      <c r="E570" s="43"/>
      <c r="F570" s="118"/>
      <c r="G570" s="44" t="str">
        <f t="shared" si="195"/>
        <v/>
      </c>
      <c r="H570" s="118"/>
      <c r="I570" s="34" t="str">
        <f t="shared" si="196"/>
        <v/>
      </c>
      <c r="J570" s="118"/>
      <c r="K570" s="34" t="str">
        <f t="shared" si="197"/>
        <v/>
      </c>
      <c r="L570" s="118"/>
      <c r="M570" s="121"/>
      <c r="N570" s="122" t="str">
        <f t="shared" si="198"/>
        <v/>
      </c>
      <c r="O570" s="35" t="str">
        <f t="shared" si="199"/>
        <v/>
      </c>
      <c r="P570" s="124"/>
      <c r="Q570" s="36" t="str">
        <f t="shared" si="211"/>
        <v/>
      </c>
      <c r="R570" s="46" t="str">
        <f t="shared" si="200"/>
        <v/>
      </c>
      <c r="S570" s="38" t="str">
        <f t="shared" si="201"/>
        <v/>
      </c>
      <c r="T570" s="39" t="str">
        <f t="shared" si="202"/>
        <v/>
      </c>
      <c r="U570" s="40" t="str">
        <f t="shared" si="203"/>
        <v/>
      </c>
      <c r="V570" s="39" t="str">
        <f t="shared" si="204"/>
        <v/>
      </c>
      <c r="W570" s="34" t="str">
        <f t="shared" si="205"/>
        <v/>
      </c>
      <c r="X570" s="41" t="str">
        <f t="shared" si="212"/>
        <v/>
      </c>
      <c r="Y570" s="98" t="str">
        <f t="shared" si="206"/>
        <v/>
      </c>
      <c r="Z570" s="16" t="str">
        <f t="shared" si="213"/>
        <v/>
      </c>
      <c r="AB570" s="139"/>
      <c r="AC570" s="146" t="str">
        <f t="shared" si="216"/>
        <v/>
      </c>
      <c r="AD570" s="148" t="str">
        <f t="shared" si="214"/>
        <v/>
      </c>
      <c r="AE570" s="147" t="str">
        <f t="shared" si="207"/>
        <v/>
      </c>
      <c r="AF570" s="111" t="str">
        <f t="shared" si="208"/>
        <v/>
      </c>
      <c r="AG570" s="111" t="str">
        <f t="shared" si="209"/>
        <v/>
      </c>
      <c r="AH570" s="112" t="str">
        <f t="shared" si="210"/>
        <v/>
      </c>
      <c r="AI570" t="str">
        <f t="shared" si="215"/>
        <v/>
      </c>
      <c r="AJ570" t="str">
        <f t="shared" si="217"/>
        <v/>
      </c>
    </row>
    <row r="571" spans="1:36" ht="15" customHeight="1" x14ac:dyDescent="0.25">
      <c r="A571" s="114"/>
      <c r="B571" s="116"/>
      <c r="C571" s="116"/>
      <c r="D571" s="42" t="str">
        <f t="shared" si="194"/>
        <v/>
      </c>
      <c r="E571" s="43"/>
      <c r="F571" s="118"/>
      <c r="G571" s="44" t="str">
        <f t="shared" si="195"/>
        <v/>
      </c>
      <c r="H571" s="118"/>
      <c r="I571" s="34" t="str">
        <f t="shared" si="196"/>
        <v/>
      </c>
      <c r="J571" s="118"/>
      <c r="K571" s="34" t="str">
        <f t="shared" si="197"/>
        <v/>
      </c>
      <c r="L571" s="118"/>
      <c r="M571" s="121"/>
      <c r="N571" s="122" t="str">
        <f t="shared" si="198"/>
        <v/>
      </c>
      <c r="O571" s="35" t="str">
        <f t="shared" si="199"/>
        <v/>
      </c>
      <c r="P571" s="124"/>
      <c r="Q571" s="36" t="str">
        <f t="shared" si="211"/>
        <v/>
      </c>
      <c r="R571" s="46" t="str">
        <f t="shared" si="200"/>
        <v/>
      </c>
      <c r="S571" s="38" t="str">
        <f t="shared" si="201"/>
        <v/>
      </c>
      <c r="T571" s="39" t="str">
        <f t="shared" si="202"/>
        <v/>
      </c>
      <c r="U571" s="40" t="str">
        <f t="shared" si="203"/>
        <v/>
      </c>
      <c r="V571" s="39" t="str">
        <f t="shared" si="204"/>
        <v/>
      </c>
      <c r="W571" s="34" t="str">
        <f t="shared" si="205"/>
        <v/>
      </c>
      <c r="X571" s="41" t="str">
        <f t="shared" si="212"/>
        <v/>
      </c>
      <c r="Y571" s="98" t="str">
        <f t="shared" si="206"/>
        <v/>
      </c>
      <c r="Z571" s="16" t="str">
        <f t="shared" si="213"/>
        <v/>
      </c>
      <c r="AB571" s="139"/>
      <c r="AC571" s="146" t="str">
        <f t="shared" si="216"/>
        <v/>
      </c>
      <c r="AD571" s="148" t="str">
        <f t="shared" si="214"/>
        <v/>
      </c>
      <c r="AE571" s="147" t="str">
        <f t="shared" si="207"/>
        <v/>
      </c>
      <c r="AF571" s="111" t="str">
        <f t="shared" si="208"/>
        <v/>
      </c>
      <c r="AG571" s="111" t="str">
        <f t="shared" si="209"/>
        <v/>
      </c>
      <c r="AH571" s="112" t="str">
        <f t="shared" si="210"/>
        <v/>
      </c>
      <c r="AI571" t="str">
        <f t="shared" si="215"/>
        <v/>
      </c>
      <c r="AJ571" t="str">
        <f t="shared" si="217"/>
        <v/>
      </c>
    </row>
    <row r="572" spans="1:36" ht="15" customHeight="1" x14ac:dyDescent="0.25">
      <c r="A572" s="114"/>
      <c r="B572" s="116"/>
      <c r="C572" s="116"/>
      <c r="D572" s="42" t="str">
        <f t="shared" si="194"/>
        <v/>
      </c>
      <c r="E572" s="43"/>
      <c r="F572" s="118"/>
      <c r="G572" s="44" t="str">
        <f t="shared" si="195"/>
        <v/>
      </c>
      <c r="H572" s="118"/>
      <c r="I572" s="34" t="str">
        <f t="shared" si="196"/>
        <v/>
      </c>
      <c r="J572" s="118"/>
      <c r="K572" s="34" t="str">
        <f t="shared" si="197"/>
        <v/>
      </c>
      <c r="L572" s="118"/>
      <c r="M572" s="121"/>
      <c r="N572" s="122" t="str">
        <f t="shared" si="198"/>
        <v/>
      </c>
      <c r="O572" s="35" t="str">
        <f t="shared" si="199"/>
        <v/>
      </c>
      <c r="P572" s="124"/>
      <c r="Q572" s="36" t="str">
        <f t="shared" si="211"/>
        <v/>
      </c>
      <c r="R572" s="46" t="str">
        <f t="shared" si="200"/>
        <v/>
      </c>
      <c r="S572" s="38" t="str">
        <f t="shared" si="201"/>
        <v/>
      </c>
      <c r="T572" s="39" t="str">
        <f t="shared" si="202"/>
        <v/>
      </c>
      <c r="U572" s="40" t="str">
        <f t="shared" si="203"/>
        <v/>
      </c>
      <c r="V572" s="39" t="str">
        <f t="shared" si="204"/>
        <v/>
      </c>
      <c r="W572" s="34" t="str">
        <f t="shared" si="205"/>
        <v/>
      </c>
      <c r="X572" s="41" t="str">
        <f t="shared" si="212"/>
        <v/>
      </c>
      <c r="Y572" s="98" t="str">
        <f t="shared" si="206"/>
        <v/>
      </c>
      <c r="Z572" s="16" t="str">
        <f t="shared" si="213"/>
        <v/>
      </c>
      <c r="AB572" s="139"/>
      <c r="AC572" s="146" t="str">
        <f t="shared" si="216"/>
        <v/>
      </c>
      <c r="AD572" s="148" t="str">
        <f t="shared" si="214"/>
        <v/>
      </c>
      <c r="AE572" s="147" t="str">
        <f t="shared" si="207"/>
        <v/>
      </c>
      <c r="AF572" s="111" t="str">
        <f t="shared" si="208"/>
        <v/>
      </c>
      <c r="AG572" s="111" t="str">
        <f t="shared" si="209"/>
        <v/>
      </c>
      <c r="AH572" s="112" t="str">
        <f t="shared" si="210"/>
        <v/>
      </c>
      <c r="AI572" t="str">
        <f t="shared" si="215"/>
        <v/>
      </c>
      <c r="AJ572" t="str">
        <f t="shared" si="217"/>
        <v/>
      </c>
    </row>
    <row r="573" spans="1:36" ht="15" customHeight="1" x14ac:dyDescent="0.25">
      <c r="A573" s="114"/>
      <c r="B573" s="116"/>
      <c r="C573" s="116"/>
      <c r="D573" s="42" t="str">
        <f t="shared" si="194"/>
        <v/>
      </c>
      <c r="E573" s="43"/>
      <c r="F573" s="118"/>
      <c r="G573" s="44" t="str">
        <f t="shared" si="195"/>
        <v/>
      </c>
      <c r="H573" s="118"/>
      <c r="I573" s="34" t="str">
        <f t="shared" si="196"/>
        <v/>
      </c>
      <c r="J573" s="118"/>
      <c r="K573" s="34" t="str">
        <f t="shared" si="197"/>
        <v/>
      </c>
      <c r="L573" s="118"/>
      <c r="M573" s="121"/>
      <c r="N573" s="122" t="str">
        <f t="shared" si="198"/>
        <v/>
      </c>
      <c r="O573" s="35" t="str">
        <f t="shared" si="199"/>
        <v/>
      </c>
      <c r="P573" s="124"/>
      <c r="Q573" s="36" t="str">
        <f t="shared" si="211"/>
        <v/>
      </c>
      <c r="R573" s="46" t="str">
        <f t="shared" si="200"/>
        <v/>
      </c>
      <c r="S573" s="38" t="str">
        <f t="shared" si="201"/>
        <v/>
      </c>
      <c r="T573" s="39" t="str">
        <f t="shared" si="202"/>
        <v/>
      </c>
      <c r="U573" s="40" t="str">
        <f t="shared" si="203"/>
        <v/>
      </c>
      <c r="V573" s="39" t="str">
        <f t="shared" si="204"/>
        <v/>
      </c>
      <c r="W573" s="34" t="str">
        <f t="shared" si="205"/>
        <v/>
      </c>
      <c r="X573" s="41" t="str">
        <f t="shared" si="212"/>
        <v/>
      </c>
      <c r="Y573" s="98" t="str">
        <f t="shared" si="206"/>
        <v/>
      </c>
      <c r="Z573" s="16" t="str">
        <f t="shared" si="213"/>
        <v/>
      </c>
      <c r="AB573" s="139"/>
      <c r="AC573" s="146" t="str">
        <f t="shared" si="216"/>
        <v/>
      </c>
      <c r="AD573" s="148" t="str">
        <f t="shared" si="214"/>
        <v/>
      </c>
      <c r="AE573" s="147" t="str">
        <f t="shared" si="207"/>
        <v/>
      </c>
      <c r="AF573" s="111" t="str">
        <f t="shared" si="208"/>
        <v/>
      </c>
      <c r="AG573" s="111" t="str">
        <f t="shared" si="209"/>
        <v/>
      </c>
      <c r="AH573" s="112" t="str">
        <f t="shared" si="210"/>
        <v/>
      </c>
      <c r="AI573" t="str">
        <f t="shared" si="215"/>
        <v/>
      </c>
      <c r="AJ573" t="str">
        <f t="shared" si="217"/>
        <v/>
      </c>
    </row>
    <row r="574" spans="1:36" ht="15" customHeight="1" x14ac:dyDescent="0.25">
      <c r="A574" s="114"/>
      <c r="B574" s="116"/>
      <c r="C574" s="116"/>
      <c r="D574" s="42" t="str">
        <f t="shared" si="194"/>
        <v/>
      </c>
      <c r="E574" s="43"/>
      <c r="F574" s="118"/>
      <c r="G574" s="44" t="str">
        <f t="shared" si="195"/>
        <v/>
      </c>
      <c r="H574" s="118"/>
      <c r="I574" s="34" t="str">
        <f t="shared" si="196"/>
        <v/>
      </c>
      <c r="J574" s="118"/>
      <c r="K574" s="34" t="str">
        <f t="shared" si="197"/>
        <v/>
      </c>
      <c r="L574" s="118"/>
      <c r="M574" s="121"/>
      <c r="N574" s="122" t="str">
        <f t="shared" si="198"/>
        <v/>
      </c>
      <c r="O574" s="35" t="str">
        <f t="shared" si="199"/>
        <v/>
      </c>
      <c r="P574" s="124"/>
      <c r="Q574" s="36" t="str">
        <f t="shared" si="211"/>
        <v/>
      </c>
      <c r="R574" s="46" t="str">
        <f t="shared" si="200"/>
        <v/>
      </c>
      <c r="S574" s="38" t="str">
        <f t="shared" si="201"/>
        <v/>
      </c>
      <c r="T574" s="39" t="str">
        <f t="shared" si="202"/>
        <v/>
      </c>
      <c r="U574" s="40" t="str">
        <f t="shared" si="203"/>
        <v/>
      </c>
      <c r="V574" s="39" t="str">
        <f t="shared" si="204"/>
        <v/>
      </c>
      <c r="W574" s="34" t="str">
        <f t="shared" si="205"/>
        <v/>
      </c>
      <c r="X574" s="41" t="str">
        <f t="shared" si="212"/>
        <v/>
      </c>
      <c r="Y574" s="98" t="str">
        <f t="shared" si="206"/>
        <v/>
      </c>
      <c r="Z574" s="16" t="str">
        <f t="shared" si="213"/>
        <v/>
      </c>
      <c r="AB574" s="139"/>
      <c r="AC574" s="146" t="str">
        <f t="shared" si="216"/>
        <v/>
      </c>
      <c r="AD574" s="148" t="str">
        <f t="shared" si="214"/>
        <v/>
      </c>
      <c r="AE574" s="147" t="str">
        <f t="shared" si="207"/>
        <v/>
      </c>
      <c r="AF574" s="111" t="str">
        <f t="shared" si="208"/>
        <v/>
      </c>
      <c r="AG574" s="111" t="str">
        <f t="shared" si="209"/>
        <v/>
      </c>
      <c r="AH574" s="112" t="str">
        <f t="shared" si="210"/>
        <v/>
      </c>
      <c r="AI574" t="str">
        <f t="shared" si="215"/>
        <v/>
      </c>
      <c r="AJ574" t="str">
        <f t="shared" si="217"/>
        <v/>
      </c>
    </row>
    <row r="575" spans="1:36" ht="15" customHeight="1" x14ac:dyDescent="0.25">
      <c r="A575" s="114"/>
      <c r="B575" s="116"/>
      <c r="C575" s="116"/>
      <c r="D575" s="42" t="str">
        <f t="shared" si="194"/>
        <v/>
      </c>
      <c r="E575" s="43"/>
      <c r="F575" s="118"/>
      <c r="G575" s="44" t="str">
        <f t="shared" si="195"/>
        <v/>
      </c>
      <c r="H575" s="118"/>
      <c r="I575" s="34" t="str">
        <f t="shared" si="196"/>
        <v/>
      </c>
      <c r="J575" s="118"/>
      <c r="K575" s="34" t="str">
        <f t="shared" si="197"/>
        <v/>
      </c>
      <c r="L575" s="118"/>
      <c r="M575" s="121"/>
      <c r="N575" s="122" t="str">
        <f t="shared" si="198"/>
        <v/>
      </c>
      <c r="O575" s="35" t="str">
        <f t="shared" si="199"/>
        <v/>
      </c>
      <c r="P575" s="124"/>
      <c r="Q575" s="36" t="str">
        <f t="shared" si="211"/>
        <v/>
      </c>
      <c r="R575" s="46" t="str">
        <f t="shared" si="200"/>
        <v/>
      </c>
      <c r="S575" s="38" t="str">
        <f t="shared" si="201"/>
        <v/>
      </c>
      <c r="T575" s="39" t="str">
        <f t="shared" si="202"/>
        <v/>
      </c>
      <c r="U575" s="40" t="str">
        <f t="shared" si="203"/>
        <v/>
      </c>
      <c r="V575" s="39" t="str">
        <f t="shared" si="204"/>
        <v/>
      </c>
      <c r="W575" s="34" t="str">
        <f t="shared" si="205"/>
        <v/>
      </c>
      <c r="X575" s="41" t="str">
        <f t="shared" si="212"/>
        <v/>
      </c>
      <c r="Y575" s="98" t="str">
        <f t="shared" si="206"/>
        <v/>
      </c>
      <c r="Z575" s="16" t="str">
        <f t="shared" si="213"/>
        <v/>
      </c>
      <c r="AB575" s="139"/>
      <c r="AC575" s="146" t="str">
        <f t="shared" si="216"/>
        <v/>
      </c>
      <c r="AD575" s="148" t="str">
        <f t="shared" si="214"/>
        <v/>
      </c>
      <c r="AE575" s="147" t="str">
        <f t="shared" si="207"/>
        <v/>
      </c>
      <c r="AF575" s="111" t="str">
        <f t="shared" si="208"/>
        <v/>
      </c>
      <c r="AG575" s="111" t="str">
        <f t="shared" si="209"/>
        <v/>
      </c>
      <c r="AH575" s="112" t="str">
        <f t="shared" si="210"/>
        <v/>
      </c>
      <c r="AI575" t="str">
        <f t="shared" si="215"/>
        <v/>
      </c>
      <c r="AJ575" t="str">
        <f t="shared" si="217"/>
        <v/>
      </c>
    </row>
    <row r="576" spans="1:36" ht="15" customHeight="1" x14ac:dyDescent="0.25">
      <c r="A576" s="114"/>
      <c r="B576" s="116"/>
      <c r="C576" s="116"/>
      <c r="D576" s="42" t="str">
        <f t="shared" si="194"/>
        <v/>
      </c>
      <c r="E576" s="43"/>
      <c r="F576" s="118"/>
      <c r="G576" s="44" t="str">
        <f t="shared" si="195"/>
        <v/>
      </c>
      <c r="H576" s="118"/>
      <c r="I576" s="34" t="str">
        <f t="shared" si="196"/>
        <v/>
      </c>
      <c r="J576" s="118"/>
      <c r="K576" s="34" t="str">
        <f t="shared" si="197"/>
        <v/>
      </c>
      <c r="L576" s="118"/>
      <c r="M576" s="121"/>
      <c r="N576" s="122" t="str">
        <f t="shared" si="198"/>
        <v/>
      </c>
      <c r="O576" s="35" t="str">
        <f t="shared" si="199"/>
        <v/>
      </c>
      <c r="P576" s="124"/>
      <c r="Q576" s="36" t="str">
        <f t="shared" si="211"/>
        <v/>
      </c>
      <c r="R576" s="46" t="str">
        <f t="shared" si="200"/>
        <v/>
      </c>
      <c r="S576" s="38" t="str">
        <f t="shared" si="201"/>
        <v/>
      </c>
      <c r="T576" s="39" t="str">
        <f t="shared" si="202"/>
        <v/>
      </c>
      <c r="U576" s="40" t="str">
        <f t="shared" si="203"/>
        <v/>
      </c>
      <c r="V576" s="39" t="str">
        <f t="shared" si="204"/>
        <v/>
      </c>
      <c r="W576" s="34" t="str">
        <f t="shared" si="205"/>
        <v/>
      </c>
      <c r="X576" s="41" t="str">
        <f t="shared" si="212"/>
        <v/>
      </c>
      <c r="Y576" s="98" t="str">
        <f t="shared" si="206"/>
        <v/>
      </c>
      <c r="Z576" s="16" t="str">
        <f t="shared" si="213"/>
        <v/>
      </c>
      <c r="AB576" s="139"/>
      <c r="AC576" s="146" t="str">
        <f t="shared" si="216"/>
        <v/>
      </c>
      <c r="AD576" s="148" t="str">
        <f t="shared" si="214"/>
        <v/>
      </c>
      <c r="AE576" s="147" t="str">
        <f t="shared" si="207"/>
        <v/>
      </c>
      <c r="AF576" s="111" t="str">
        <f t="shared" si="208"/>
        <v/>
      </c>
      <c r="AG576" s="111" t="str">
        <f t="shared" si="209"/>
        <v/>
      </c>
      <c r="AH576" s="112" t="str">
        <f t="shared" si="210"/>
        <v/>
      </c>
      <c r="AI576" t="str">
        <f t="shared" si="215"/>
        <v/>
      </c>
      <c r="AJ576" t="str">
        <f t="shared" si="217"/>
        <v/>
      </c>
    </row>
    <row r="577" spans="1:36" ht="15" customHeight="1" x14ac:dyDescent="0.25">
      <c r="A577" s="114"/>
      <c r="B577" s="116"/>
      <c r="C577" s="116"/>
      <c r="D577" s="42" t="str">
        <f t="shared" si="194"/>
        <v/>
      </c>
      <c r="E577" s="43"/>
      <c r="F577" s="118"/>
      <c r="G577" s="44" t="str">
        <f t="shared" si="195"/>
        <v/>
      </c>
      <c r="H577" s="118"/>
      <c r="I577" s="34" t="str">
        <f t="shared" si="196"/>
        <v/>
      </c>
      <c r="J577" s="118"/>
      <c r="K577" s="34" t="str">
        <f t="shared" si="197"/>
        <v/>
      </c>
      <c r="L577" s="118"/>
      <c r="M577" s="121"/>
      <c r="N577" s="122" t="str">
        <f t="shared" si="198"/>
        <v/>
      </c>
      <c r="O577" s="35" t="str">
        <f t="shared" si="199"/>
        <v/>
      </c>
      <c r="P577" s="124"/>
      <c r="Q577" s="36" t="str">
        <f t="shared" si="211"/>
        <v/>
      </c>
      <c r="R577" s="46" t="str">
        <f t="shared" si="200"/>
        <v/>
      </c>
      <c r="S577" s="38" t="str">
        <f t="shared" si="201"/>
        <v/>
      </c>
      <c r="T577" s="39" t="str">
        <f t="shared" si="202"/>
        <v/>
      </c>
      <c r="U577" s="40" t="str">
        <f t="shared" si="203"/>
        <v/>
      </c>
      <c r="V577" s="39" t="str">
        <f t="shared" si="204"/>
        <v/>
      </c>
      <c r="W577" s="34" t="str">
        <f t="shared" si="205"/>
        <v/>
      </c>
      <c r="X577" s="41" t="str">
        <f t="shared" si="212"/>
        <v/>
      </c>
      <c r="Y577" s="98" t="str">
        <f t="shared" si="206"/>
        <v/>
      </c>
      <c r="Z577" s="16" t="str">
        <f t="shared" si="213"/>
        <v/>
      </c>
      <c r="AB577" s="139"/>
      <c r="AC577" s="146" t="str">
        <f t="shared" si="216"/>
        <v/>
      </c>
      <c r="AD577" s="148" t="str">
        <f t="shared" si="214"/>
        <v/>
      </c>
      <c r="AE577" s="147" t="str">
        <f t="shared" si="207"/>
        <v/>
      </c>
      <c r="AF577" s="111" t="str">
        <f t="shared" si="208"/>
        <v/>
      </c>
      <c r="AG577" s="111" t="str">
        <f t="shared" si="209"/>
        <v/>
      </c>
      <c r="AH577" s="112" t="str">
        <f t="shared" si="210"/>
        <v/>
      </c>
      <c r="AI577" t="str">
        <f t="shared" si="215"/>
        <v/>
      </c>
      <c r="AJ577" t="str">
        <f t="shared" si="217"/>
        <v/>
      </c>
    </row>
    <row r="578" spans="1:36" ht="15" customHeight="1" x14ac:dyDescent="0.25">
      <c r="A578" s="114"/>
      <c r="B578" s="116"/>
      <c r="C578" s="116"/>
      <c r="D578" s="42" t="str">
        <f t="shared" si="194"/>
        <v/>
      </c>
      <c r="E578" s="43"/>
      <c r="F578" s="118"/>
      <c r="G578" s="44" t="str">
        <f t="shared" si="195"/>
        <v/>
      </c>
      <c r="H578" s="118"/>
      <c r="I578" s="34" t="str">
        <f t="shared" si="196"/>
        <v/>
      </c>
      <c r="J578" s="118"/>
      <c r="K578" s="34" t="str">
        <f t="shared" si="197"/>
        <v/>
      </c>
      <c r="L578" s="118"/>
      <c r="M578" s="121"/>
      <c r="N578" s="122" t="str">
        <f t="shared" si="198"/>
        <v/>
      </c>
      <c r="O578" s="35" t="str">
        <f t="shared" si="199"/>
        <v/>
      </c>
      <c r="P578" s="124"/>
      <c r="Q578" s="36" t="str">
        <f t="shared" si="211"/>
        <v/>
      </c>
      <c r="R578" s="46" t="str">
        <f t="shared" si="200"/>
        <v/>
      </c>
      <c r="S578" s="38" t="str">
        <f t="shared" si="201"/>
        <v/>
      </c>
      <c r="T578" s="39" t="str">
        <f t="shared" si="202"/>
        <v/>
      </c>
      <c r="U578" s="40" t="str">
        <f t="shared" si="203"/>
        <v/>
      </c>
      <c r="V578" s="39" t="str">
        <f t="shared" si="204"/>
        <v/>
      </c>
      <c r="W578" s="34" t="str">
        <f t="shared" si="205"/>
        <v/>
      </c>
      <c r="X578" s="41" t="str">
        <f t="shared" si="212"/>
        <v/>
      </c>
      <c r="Y578" s="98" t="str">
        <f t="shared" si="206"/>
        <v/>
      </c>
      <c r="Z578" s="16" t="str">
        <f t="shared" si="213"/>
        <v/>
      </c>
      <c r="AB578" s="139"/>
      <c r="AC578" s="146" t="str">
        <f t="shared" si="216"/>
        <v/>
      </c>
      <c r="AD578" s="148" t="str">
        <f t="shared" si="214"/>
        <v/>
      </c>
      <c r="AE578" s="147" t="str">
        <f t="shared" si="207"/>
        <v/>
      </c>
      <c r="AF578" s="111" t="str">
        <f t="shared" si="208"/>
        <v/>
      </c>
      <c r="AG578" s="111" t="str">
        <f t="shared" si="209"/>
        <v/>
      </c>
      <c r="AH578" s="112" t="str">
        <f t="shared" si="210"/>
        <v/>
      </c>
      <c r="AI578" t="str">
        <f t="shared" si="215"/>
        <v/>
      </c>
      <c r="AJ578" t="str">
        <f t="shared" si="217"/>
        <v/>
      </c>
    </row>
    <row r="579" spans="1:36" ht="15" customHeight="1" x14ac:dyDescent="0.25">
      <c r="A579" s="114"/>
      <c r="B579" s="116"/>
      <c r="C579" s="116"/>
      <c r="D579" s="42" t="str">
        <f t="shared" si="194"/>
        <v/>
      </c>
      <c r="E579" s="43"/>
      <c r="F579" s="118"/>
      <c r="G579" s="44" t="str">
        <f t="shared" si="195"/>
        <v/>
      </c>
      <c r="H579" s="118"/>
      <c r="I579" s="34" t="str">
        <f t="shared" si="196"/>
        <v/>
      </c>
      <c r="J579" s="118"/>
      <c r="K579" s="34" t="str">
        <f t="shared" si="197"/>
        <v/>
      </c>
      <c r="L579" s="118"/>
      <c r="M579" s="121"/>
      <c r="N579" s="122" t="str">
        <f t="shared" si="198"/>
        <v/>
      </c>
      <c r="O579" s="35" t="str">
        <f t="shared" si="199"/>
        <v/>
      </c>
      <c r="P579" s="124"/>
      <c r="Q579" s="36" t="str">
        <f t="shared" si="211"/>
        <v/>
      </c>
      <c r="R579" s="46" t="str">
        <f t="shared" si="200"/>
        <v/>
      </c>
      <c r="S579" s="38" t="str">
        <f t="shared" si="201"/>
        <v/>
      </c>
      <c r="T579" s="39" t="str">
        <f t="shared" si="202"/>
        <v/>
      </c>
      <c r="U579" s="40" t="str">
        <f t="shared" si="203"/>
        <v/>
      </c>
      <c r="V579" s="39" t="str">
        <f t="shared" si="204"/>
        <v/>
      </c>
      <c r="W579" s="34" t="str">
        <f t="shared" si="205"/>
        <v/>
      </c>
      <c r="X579" s="41" t="str">
        <f t="shared" si="212"/>
        <v/>
      </c>
      <c r="Y579" s="98" t="str">
        <f t="shared" si="206"/>
        <v/>
      </c>
      <c r="Z579" s="16" t="str">
        <f t="shared" si="213"/>
        <v/>
      </c>
      <c r="AB579" s="139"/>
      <c r="AC579" s="146" t="str">
        <f t="shared" si="216"/>
        <v/>
      </c>
      <c r="AD579" s="148" t="str">
        <f t="shared" si="214"/>
        <v/>
      </c>
      <c r="AE579" s="147" t="str">
        <f t="shared" si="207"/>
        <v/>
      </c>
      <c r="AF579" s="111" t="str">
        <f t="shared" si="208"/>
        <v/>
      </c>
      <c r="AG579" s="111" t="str">
        <f t="shared" si="209"/>
        <v/>
      </c>
      <c r="AH579" s="112" t="str">
        <f t="shared" si="210"/>
        <v/>
      </c>
      <c r="AI579" t="str">
        <f t="shared" si="215"/>
        <v/>
      </c>
      <c r="AJ579" t="str">
        <f t="shared" si="217"/>
        <v/>
      </c>
    </row>
    <row r="580" spans="1:36" ht="15" customHeight="1" x14ac:dyDescent="0.25">
      <c r="A580" s="114"/>
      <c r="B580" s="116"/>
      <c r="C580" s="116"/>
      <c r="D580" s="42" t="str">
        <f t="shared" si="194"/>
        <v/>
      </c>
      <c r="E580" s="43"/>
      <c r="F580" s="118"/>
      <c r="G580" s="44" t="str">
        <f t="shared" si="195"/>
        <v/>
      </c>
      <c r="H580" s="118"/>
      <c r="I580" s="34" t="str">
        <f t="shared" si="196"/>
        <v/>
      </c>
      <c r="J580" s="118"/>
      <c r="K580" s="34" t="str">
        <f t="shared" si="197"/>
        <v/>
      </c>
      <c r="L580" s="118"/>
      <c r="M580" s="121"/>
      <c r="N580" s="122" t="str">
        <f t="shared" si="198"/>
        <v/>
      </c>
      <c r="O580" s="35" t="str">
        <f t="shared" si="199"/>
        <v/>
      </c>
      <c r="P580" s="124"/>
      <c r="Q580" s="36" t="str">
        <f t="shared" si="211"/>
        <v/>
      </c>
      <c r="R580" s="46" t="str">
        <f t="shared" si="200"/>
        <v/>
      </c>
      <c r="S580" s="38" t="str">
        <f t="shared" si="201"/>
        <v/>
      </c>
      <c r="T580" s="39" t="str">
        <f t="shared" si="202"/>
        <v/>
      </c>
      <c r="U580" s="40" t="str">
        <f t="shared" si="203"/>
        <v/>
      </c>
      <c r="V580" s="39" t="str">
        <f t="shared" si="204"/>
        <v/>
      </c>
      <c r="W580" s="34" t="str">
        <f t="shared" si="205"/>
        <v/>
      </c>
      <c r="X580" s="41" t="str">
        <f t="shared" si="212"/>
        <v/>
      </c>
      <c r="Y580" s="98" t="str">
        <f t="shared" si="206"/>
        <v/>
      </c>
      <c r="Z580" s="16" t="str">
        <f t="shared" si="213"/>
        <v/>
      </c>
      <c r="AB580" s="139"/>
      <c r="AC580" s="146" t="str">
        <f t="shared" si="216"/>
        <v/>
      </c>
      <c r="AD580" s="148" t="str">
        <f t="shared" si="214"/>
        <v/>
      </c>
      <c r="AE580" s="147" t="str">
        <f t="shared" si="207"/>
        <v/>
      </c>
      <c r="AF580" s="111" t="str">
        <f t="shared" si="208"/>
        <v/>
      </c>
      <c r="AG580" s="111" t="str">
        <f t="shared" si="209"/>
        <v/>
      </c>
      <c r="AH580" s="112" t="str">
        <f t="shared" si="210"/>
        <v/>
      </c>
      <c r="AI580" t="str">
        <f t="shared" si="215"/>
        <v/>
      </c>
      <c r="AJ580" t="str">
        <f t="shared" si="217"/>
        <v/>
      </c>
    </row>
    <row r="581" spans="1:36" ht="15" customHeight="1" x14ac:dyDescent="0.25">
      <c r="A581" s="114"/>
      <c r="B581" s="116"/>
      <c r="C581" s="116"/>
      <c r="D581" s="42" t="str">
        <f t="shared" si="194"/>
        <v/>
      </c>
      <c r="E581" s="43"/>
      <c r="F581" s="118"/>
      <c r="G581" s="44" t="str">
        <f t="shared" si="195"/>
        <v/>
      </c>
      <c r="H581" s="118"/>
      <c r="I581" s="34" t="str">
        <f t="shared" si="196"/>
        <v/>
      </c>
      <c r="J581" s="118"/>
      <c r="K581" s="34" t="str">
        <f t="shared" si="197"/>
        <v/>
      </c>
      <c r="L581" s="118"/>
      <c r="M581" s="121"/>
      <c r="N581" s="122" t="str">
        <f t="shared" si="198"/>
        <v/>
      </c>
      <c r="O581" s="35" t="str">
        <f t="shared" si="199"/>
        <v/>
      </c>
      <c r="P581" s="124"/>
      <c r="Q581" s="36" t="str">
        <f t="shared" si="211"/>
        <v/>
      </c>
      <c r="R581" s="46" t="str">
        <f t="shared" si="200"/>
        <v/>
      </c>
      <c r="S581" s="38" t="str">
        <f t="shared" si="201"/>
        <v/>
      </c>
      <c r="T581" s="39" t="str">
        <f t="shared" si="202"/>
        <v/>
      </c>
      <c r="U581" s="40" t="str">
        <f t="shared" si="203"/>
        <v/>
      </c>
      <c r="V581" s="39" t="str">
        <f t="shared" si="204"/>
        <v/>
      </c>
      <c r="W581" s="34" t="str">
        <f t="shared" si="205"/>
        <v/>
      </c>
      <c r="X581" s="41" t="str">
        <f t="shared" si="212"/>
        <v/>
      </c>
      <c r="Y581" s="98" t="str">
        <f t="shared" si="206"/>
        <v/>
      </c>
      <c r="Z581" s="16" t="str">
        <f t="shared" si="213"/>
        <v/>
      </c>
      <c r="AB581" s="139"/>
      <c r="AC581" s="146" t="str">
        <f t="shared" si="216"/>
        <v/>
      </c>
      <c r="AD581" s="148" t="str">
        <f t="shared" si="214"/>
        <v/>
      </c>
      <c r="AE581" s="147" t="str">
        <f t="shared" si="207"/>
        <v/>
      </c>
      <c r="AF581" s="111" t="str">
        <f t="shared" si="208"/>
        <v/>
      </c>
      <c r="AG581" s="111" t="str">
        <f t="shared" si="209"/>
        <v/>
      </c>
      <c r="AH581" s="112" t="str">
        <f t="shared" si="210"/>
        <v/>
      </c>
      <c r="AI581" t="str">
        <f t="shared" si="215"/>
        <v/>
      </c>
      <c r="AJ581" t="str">
        <f t="shared" si="217"/>
        <v/>
      </c>
    </row>
    <row r="582" spans="1:36" ht="15" customHeight="1" x14ac:dyDescent="0.25">
      <c r="A582" s="114"/>
      <c r="B582" s="116"/>
      <c r="C582" s="116"/>
      <c r="D582" s="42" t="str">
        <f t="shared" si="194"/>
        <v/>
      </c>
      <c r="E582" s="43"/>
      <c r="F582" s="118"/>
      <c r="G582" s="44" t="str">
        <f t="shared" si="195"/>
        <v/>
      </c>
      <c r="H582" s="118"/>
      <c r="I582" s="34" t="str">
        <f t="shared" si="196"/>
        <v/>
      </c>
      <c r="J582" s="118"/>
      <c r="K582" s="34" t="str">
        <f t="shared" si="197"/>
        <v/>
      </c>
      <c r="L582" s="118"/>
      <c r="M582" s="121"/>
      <c r="N582" s="122" t="str">
        <f t="shared" si="198"/>
        <v/>
      </c>
      <c r="O582" s="35" t="str">
        <f t="shared" si="199"/>
        <v/>
      </c>
      <c r="P582" s="124"/>
      <c r="Q582" s="36" t="str">
        <f t="shared" si="211"/>
        <v/>
      </c>
      <c r="R582" s="46" t="str">
        <f t="shared" si="200"/>
        <v/>
      </c>
      <c r="S582" s="38" t="str">
        <f t="shared" si="201"/>
        <v/>
      </c>
      <c r="T582" s="39" t="str">
        <f t="shared" si="202"/>
        <v/>
      </c>
      <c r="U582" s="40" t="str">
        <f t="shared" si="203"/>
        <v/>
      </c>
      <c r="V582" s="39" t="str">
        <f t="shared" si="204"/>
        <v/>
      </c>
      <c r="W582" s="34" t="str">
        <f t="shared" si="205"/>
        <v/>
      </c>
      <c r="X582" s="41" t="str">
        <f t="shared" si="212"/>
        <v/>
      </c>
      <c r="Y582" s="98" t="str">
        <f t="shared" si="206"/>
        <v/>
      </c>
      <c r="Z582" s="16" t="str">
        <f t="shared" si="213"/>
        <v/>
      </c>
      <c r="AB582" s="139"/>
      <c r="AC582" s="146" t="str">
        <f t="shared" si="216"/>
        <v/>
      </c>
      <c r="AD582" s="148" t="str">
        <f t="shared" si="214"/>
        <v/>
      </c>
      <c r="AE582" s="147" t="str">
        <f t="shared" si="207"/>
        <v/>
      </c>
      <c r="AF582" s="111" t="str">
        <f t="shared" si="208"/>
        <v/>
      </c>
      <c r="AG582" s="111" t="str">
        <f t="shared" si="209"/>
        <v/>
      </c>
      <c r="AH582" s="112" t="str">
        <f t="shared" si="210"/>
        <v/>
      </c>
      <c r="AI582" t="str">
        <f t="shared" si="215"/>
        <v/>
      </c>
      <c r="AJ582" t="str">
        <f t="shared" si="217"/>
        <v/>
      </c>
    </row>
    <row r="583" spans="1:36" ht="15" customHeight="1" x14ac:dyDescent="0.25">
      <c r="A583" s="114"/>
      <c r="B583" s="116"/>
      <c r="C583" s="116"/>
      <c r="D583" s="42" t="str">
        <f t="shared" si="194"/>
        <v/>
      </c>
      <c r="E583" s="43"/>
      <c r="F583" s="118"/>
      <c r="G583" s="44" t="str">
        <f t="shared" si="195"/>
        <v/>
      </c>
      <c r="H583" s="118"/>
      <c r="I583" s="34" t="str">
        <f t="shared" si="196"/>
        <v/>
      </c>
      <c r="J583" s="118"/>
      <c r="K583" s="34" t="str">
        <f t="shared" si="197"/>
        <v/>
      </c>
      <c r="L583" s="118"/>
      <c r="M583" s="121"/>
      <c r="N583" s="122" t="str">
        <f t="shared" si="198"/>
        <v/>
      </c>
      <c r="O583" s="35" t="str">
        <f t="shared" si="199"/>
        <v/>
      </c>
      <c r="P583" s="124"/>
      <c r="Q583" s="36" t="str">
        <f t="shared" si="211"/>
        <v/>
      </c>
      <c r="R583" s="46" t="str">
        <f t="shared" si="200"/>
        <v/>
      </c>
      <c r="S583" s="38" t="str">
        <f t="shared" si="201"/>
        <v/>
      </c>
      <c r="T583" s="39" t="str">
        <f t="shared" si="202"/>
        <v/>
      </c>
      <c r="U583" s="40" t="str">
        <f t="shared" si="203"/>
        <v/>
      </c>
      <c r="V583" s="39" t="str">
        <f t="shared" si="204"/>
        <v/>
      </c>
      <c r="W583" s="34" t="str">
        <f t="shared" si="205"/>
        <v/>
      </c>
      <c r="X583" s="41" t="str">
        <f t="shared" si="212"/>
        <v/>
      </c>
      <c r="Y583" s="98" t="str">
        <f t="shared" si="206"/>
        <v/>
      </c>
      <c r="Z583" s="16" t="str">
        <f t="shared" si="213"/>
        <v/>
      </c>
      <c r="AB583" s="139"/>
      <c r="AC583" s="146" t="str">
        <f t="shared" si="216"/>
        <v/>
      </c>
      <c r="AD583" s="148" t="str">
        <f t="shared" si="214"/>
        <v/>
      </c>
      <c r="AE583" s="147" t="str">
        <f t="shared" si="207"/>
        <v/>
      </c>
      <c r="AF583" s="111" t="str">
        <f t="shared" si="208"/>
        <v/>
      </c>
      <c r="AG583" s="111" t="str">
        <f t="shared" si="209"/>
        <v/>
      </c>
      <c r="AH583" s="112" t="str">
        <f t="shared" si="210"/>
        <v/>
      </c>
      <c r="AI583" t="str">
        <f t="shared" si="215"/>
        <v/>
      </c>
      <c r="AJ583" t="str">
        <f t="shared" si="217"/>
        <v/>
      </c>
    </row>
    <row r="584" spans="1:36" ht="15" customHeight="1" x14ac:dyDescent="0.25">
      <c r="A584" s="114"/>
      <c r="B584" s="116"/>
      <c r="C584" s="116"/>
      <c r="D584" s="42" t="str">
        <f t="shared" ref="D584:D647" si="218">IF(A584="","",B584*C584)</f>
        <v/>
      </c>
      <c r="E584" s="43"/>
      <c r="F584" s="118"/>
      <c r="G584" s="44" t="str">
        <f t="shared" ref="G584:G647" si="219">IF(A584="","",F584*B584)</f>
        <v/>
      </c>
      <c r="H584" s="118"/>
      <c r="I584" s="34" t="str">
        <f t="shared" ref="I584:I647" si="220">IF(OR(H584=0,C584=0,H584="",C584=""),"",H584/C584)</f>
        <v/>
      </c>
      <c r="J584" s="118"/>
      <c r="K584" s="34" t="str">
        <f t="shared" ref="K584:K647" si="221">IF(OR(J584=0,C584=0,J584="",C584=""),"",J584/C584)</f>
        <v/>
      </c>
      <c r="L584" s="118"/>
      <c r="M584" s="121"/>
      <c r="N584" s="122" t="str">
        <f t="shared" ref="N584:N647" si="222">IF(A584="","",IF(P584&gt;0,IF(G584&gt;0,P584/G584,0),IF(E584&gt;0,0,IF($I$3&gt;0,IF($I$4&gt;0,MAX($I$3-SUM($P$8:$P$1007),0)/$I$4,0),$I$2))))</f>
        <v/>
      </c>
      <c r="O584" s="35" t="str">
        <f t="shared" ref="O584:O647" si="223">IF(A584="","",IF(P584&gt;0,P584,IF(E584&gt;0,0,G584*IF($I$3&gt;0,IF($I$4&gt;0,MAX($I$3-SUM($P$8:$P$1007),0)/$I$4,0),$I$2))))</f>
        <v/>
      </c>
      <c r="P584" s="124"/>
      <c r="Q584" s="36" t="str">
        <f t="shared" si="211"/>
        <v/>
      </c>
      <c r="R584" s="46" t="str">
        <f t="shared" ref="R584:R647" si="224">IF(OR(A584="",Q584=""),"",Q584*C584)</f>
        <v/>
      </c>
      <c r="S584" s="38" t="str">
        <f t="shared" ref="S584:S647" si="225">IF(OR(A584="",H584&lt;=0,R584=""),"",(H584-R584)/H584)</f>
        <v/>
      </c>
      <c r="T584" s="39" t="str">
        <f t="shared" ref="T584:T647" si="226">IF(OR(H584=0,R584=0,H584="",R584=""),"",H584-R584)</f>
        <v/>
      </c>
      <c r="U584" s="40" t="str">
        <f t="shared" ref="U584:U647" si="227">IF(OR(A584="",J584&lt;=0,R584=""),"",(J584-R584)/J584)</f>
        <v/>
      </c>
      <c r="V584" s="39" t="str">
        <f t="shared" ref="V584:V647" si="228">IF(OR(J584=0,R584=0,J584="",R584=""),"",J584-R584)</f>
        <v/>
      </c>
      <c r="W584" s="34" t="str">
        <f t="shared" ref="W584:W647" si="229">IF(OR(G584="",G584=0,$M$5="",$K$3=0),"",($M$5/$K$3)*G584)</f>
        <v/>
      </c>
      <c r="X584" s="41" t="str">
        <f t="shared" si="212"/>
        <v/>
      </c>
      <c r="Y584" s="98" t="str">
        <f t="shared" ref="Y584:Y647" si="230">IF(OR(Q584=0,Q584="",D584=0,D584=""),"",Q584*(D584+E584))</f>
        <v/>
      </c>
      <c r="Z584" s="16" t="str">
        <f t="shared" si="213"/>
        <v/>
      </c>
      <c r="AB584" s="139"/>
      <c r="AC584" s="146" t="str">
        <f t="shared" si="216"/>
        <v/>
      </c>
      <c r="AD584" s="148" t="str">
        <f t="shared" si="214"/>
        <v/>
      </c>
      <c r="AE584" s="147" t="str">
        <f t="shared" ref="AE584:AE647" si="231">IF(AD584="","",AD584*$AC$1+IF(SUM($AD$8:$AD$1007)=0,0,$AC$2*AD584/SUM($AD$8:$AD$1007)))</f>
        <v/>
      </c>
      <c r="AF584" s="111" t="str">
        <f t="shared" ref="AF584:AF647" si="232">IF(AD584="","",AD584-AE584)</f>
        <v/>
      </c>
      <c r="AG584" s="111" t="str">
        <f t="shared" ref="AG584:AG647" si="233">IF(AF584="","",AH584-AF584)</f>
        <v/>
      </c>
      <c r="AH584" s="112" t="str">
        <f t="shared" ref="AH584:AH647" si="234">IF(AF584="","",ROUND(AF584,0))</f>
        <v/>
      </c>
      <c r="AI584" t="str">
        <f t="shared" si="215"/>
        <v/>
      </c>
      <c r="AJ584" t="str">
        <f t="shared" si="217"/>
        <v/>
      </c>
    </row>
    <row r="585" spans="1:36" ht="15" customHeight="1" x14ac:dyDescent="0.25">
      <c r="A585" s="114"/>
      <c r="B585" s="116"/>
      <c r="C585" s="116"/>
      <c r="D585" s="42" t="str">
        <f t="shared" si="218"/>
        <v/>
      </c>
      <c r="E585" s="43"/>
      <c r="F585" s="118"/>
      <c r="G585" s="44" t="str">
        <f t="shared" si="219"/>
        <v/>
      </c>
      <c r="H585" s="118"/>
      <c r="I585" s="34" t="str">
        <f t="shared" si="220"/>
        <v/>
      </c>
      <c r="J585" s="118"/>
      <c r="K585" s="34" t="str">
        <f t="shared" si="221"/>
        <v/>
      </c>
      <c r="L585" s="118"/>
      <c r="M585" s="121"/>
      <c r="N585" s="122" t="str">
        <f t="shared" si="222"/>
        <v/>
      </c>
      <c r="O585" s="35" t="str">
        <f t="shared" si="223"/>
        <v/>
      </c>
      <c r="P585" s="124"/>
      <c r="Q585" s="36" t="str">
        <f t="shared" ref="Q585:Q648" si="235">IF(A585="","",IF(OR(B585=0,B585="",C585&lt;=0,D585+E585&lt;=0),"",(G585-O585)/(D585+E585)-IF(W585&gt;=0,W585/D585,0)+IF(ISNUMBER(X585),X585/(D585+E585),0)))</f>
        <v/>
      </c>
      <c r="R585" s="46" t="str">
        <f t="shared" si="224"/>
        <v/>
      </c>
      <c r="S585" s="38" t="str">
        <f t="shared" si="225"/>
        <v/>
      </c>
      <c r="T585" s="39" t="str">
        <f t="shared" si="226"/>
        <v/>
      </c>
      <c r="U585" s="40" t="str">
        <f t="shared" si="227"/>
        <v/>
      </c>
      <c r="V585" s="39" t="str">
        <f t="shared" si="228"/>
        <v/>
      </c>
      <c r="W585" s="34" t="str">
        <f t="shared" si="229"/>
        <v/>
      </c>
      <c r="X585" s="41" t="str">
        <f t="shared" ref="X585:X648" si="236">IF(OR(G585="",G585=0,($K$3-$K$2)=0),"",($I$1/($K$3-$K$2))*(G585-O585))</f>
        <v/>
      </c>
      <c r="Y585" s="98" t="str">
        <f t="shared" si="230"/>
        <v/>
      </c>
      <c r="Z585" s="16" t="str">
        <f t="shared" ref="Z585:Z648" si="237">IF(OR(B585=0,B585=""),"",G585)</f>
        <v/>
      </c>
      <c r="AB585" s="139"/>
      <c r="AC585" s="146" t="str">
        <f t="shared" si="216"/>
        <v/>
      </c>
      <c r="AD585" s="148" t="str">
        <f t="shared" ref="AD585:AD648" si="238">IF(OR(AB585="",AC585=""),"",AB585*AC585)</f>
        <v/>
      </c>
      <c r="AE585" s="147" t="str">
        <f t="shared" si="231"/>
        <v/>
      </c>
      <c r="AF585" s="111" t="str">
        <f t="shared" si="232"/>
        <v/>
      </c>
      <c r="AG585" s="111" t="str">
        <f t="shared" si="233"/>
        <v/>
      </c>
      <c r="AH585" s="112" t="str">
        <f t="shared" si="234"/>
        <v/>
      </c>
      <c r="AI585" t="str">
        <f t="shared" ref="AI585:AI648" si="239">IF(OR(AB585=0,AB585=""),"",AE585/AB585)</f>
        <v/>
      </c>
      <c r="AJ585" t="str">
        <f t="shared" si="217"/>
        <v/>
      </c>
    </row>
    <row r="586" spans="1:36" ht="15" customHeight="1" x14ac:dyDescent="0.25">
      <c r="A586" s="114"/>
      <c r="B586" s="116"/>
      <c r="C586" s="116"/>
      <c r="D586" s="42" t="str">
        <f t="shared" si="218"/>
        <v/>
      </c>
      <c r="E586" s="43"/>
      <c r="F586" s="118"/>
      <c r="G586" s="44" t="str">
        <f t="shared" si="219"/>
        <v/>
      </c>
      <c r="H586" s="118"/>
      <c r="I586" s="34" t="str">
        <f t="shared" si="220"/>
        <v/>
      </c>
      <c r="J586" s="118"/>
      <c r="K586" s="34" t="str">
        <f t="shared" si="221"/>
        <v/>
      </c>
      <c r="L586" s="118"/>
      <c r="M586" s="121"/>
      <c r="N586" s="122" t="str">
        <f t="shared" si="222"/>
        <v/>
      </c>
      <c r="O586" s="35" t="str">
        <f t="shared" si="223"/>
        <v/>
      </c>
      <c r="P586" s="124"/>
      <c r="Q586" s="36" t="str">
        <f t="shared" si="235"/>
        <v/>
      </c>
      <c r="R586" s="46" t="str">
        <f t="shared" si="224"/>
        <v/>
      </c>
      <c r="S586" s="38" t="str">
        <f t="shared" si="225"/>
        <v/>
      </c>
      <c r="T586" s="39" t="str">
        <f t="shared" si="226"/>
        <v/>
      </c>
      <c r="U586" s="40" t="str">
        <f t="shared" si="227"/>
        <v/>
      </c>
      <c r="V586" s="39" t="str">
        <f t="shared" si="228"/>
        <v/>
      </c>
      <c r="W586" s="34" t="str">
        <f t="shared" si="229"/>
        <v/>
      </c>
      <c r="X586" s="41" t="str">
        <f t="shared" si="236"/>
        <v/>
      </c>
      <c r="Y586" s="98" t="str">
        <f t="shared" si="230"/>
        <v/>
      </c>
      <c r="Z586" s="16" t="str">
        <f t="shared" si="237"/>
        <v/>
      </c>
      <c r="AB586" s="139"/>
      <c r="AC586" s="146" t="str">
        <f t="shared" si="216"/>
        <v/>
      </c>
      <c r="AD586" s="148" t="str">
        <f t="shared" si="238"/>
        <v/>
      </c>
      <c r="AE586" s="147" t="str">
        <f t="shared" si="231"/>
        <v/>
      </c>
      <c r="AF586" s="111" t="str">
        <f t="shared" si="232"/>
        <v/>
      </c>
      <c r="AG586" s="111" t="str">
        <f t="shared" si="233"/>
        <v/>
      </c>
      <c r="AH586" s="112" t="str">
        <f t="shared" si="234"/>
        <v/>
      </c>
      <c r="AI586" t="str">
        <f t="shared" si="239"/>
        <v/>
      </c>
      <c r="AJ586" t="str">
        <f t="shared" si="217"/>
        <v/>
      </c>
    </row>
    <row r="587" spans="1:36" ht="15" customHeight="1" x14ac:dyDescent="0.25">
      <c r="A587" s="114"/>
      <c r="B587" s="116"/>
      <c r="C587" s="116"/>
      <c r="D587" s="42" t="str">
        <f t="shared" si="218"/>
        <v/>
      </c>
      <c r="E587" s="43"/>
      <c r="F587" s="118"/>
      <c r="G587" s="44" t="str">
        <f t="shared" si="219"/>
        <v/>
      </c>
      <c r="H587" s="118"/>
      <c r="I587" s="34" t="str">
        <f t="shared" si="220"/>
        <v/>
      </c>
      <c r="J587" s="118"/>
      <c r="K587" s="34" t="str">
        <f t="shared" si="221"/>
        <v/>
      </c>
      <c r="L587" s="118"/>
      <c r="M587" s="121"/>
      <c r="N587" s="122" t="str">
        <f t="shared" si="222"/>
        <v/>
      </c>
      <c r="O587" s="35" t="str">
        <f t="shared" si="223"/>
        <v/>
      </c>
      <c r="P587" s="124"/>
      <c r="Q587" s="36" t="str">
        <f t="shared" si="235"/>
        <v/>
      </c>
      <c r="R587" s="46" t="str">
        <f t="shared" si="224"/>
        <v/>
      </c>
      <c r="S587" s="38" t="str">
        <f t="shared" si="225"/>
        <v/>
      </c>
      <c r="T587" s="39" t="str">
        <f t="shared" si="226"/>
        <v/>
      </c>
      <c r="U587" s="40" t="str">
        <f t="shared" si="227"/>
        <v/>
      </c>
      <c r="V587" s="39" t="str">
        <f t="shared" si="228"/>
        <v/>
      </c>
      <c r="W587" s="34" t="str">
        <f t="shared" si="229"/>
        <v/>
      </c>
      <c r="X587" s="41" t="str">
        <f t="shared" si="236"/>
        <v/>
      </c>
      <c r="Y587" s="98" t="str">
        <f t="shared" si="230"/>
        <v/>
      </c>
      <c r="Z587" s="16" t="str">
        <f t="shared" si="237"/>
        <v/>
      </c>
      <c r="AB587" s="139"/>
      <c r="AC587" s="146" t="str">
        <f t="shared" si="216"/>
        <v/>
      </c>
      <c r="AD587" s="148" t="str">
        <f t="shared" si="238"/>
        <v/>
      </c>
      <c r="AE587" s="147" t="str">
        <f t="shared" si="231"/>
        <v/>
      </c>
      <c r="AF587" s="111" t="str">
        <f t="shared" si="232"/>
        <v/>
      </c>
      <c r="AG587" s="111" t="str">
        <f t="shared" si="233"/>
        <v/>
      </c>
      <c r="AH587" s="112" t="str">
        <f t="shared" si="234"/>
        <v/>
      </c>
      <c r="AI587" t="str">
        <f t="shared" si="239"/>
        <v/>
      </c>
      <c r="AJ587" t="str">
        <f t="shared" si="217"/>
        <v/>
      </c>
    </row>
    <row r="588" spans="1:36" ht="15" customHeight="1" x14ac:dyDescent="0.25">
      <c r="A588" s="114"/>
      <c r="B588" s="116"/>
      <c r="C588" s="116"/>
      <c r="D588" s="42" t="str">
        <f t="shared" si="218"/>
        <v/>
      </c>
      <c r="E588" s="43"/>
      <c r="F588" s="118"/>
      <c r="G588" s="44" t="str">
        <f t="shared" si="219"/>
        <v/>
      </c>
      <c r="H588" s="118"/>
      <c r="I588" s="34" t="str">
        <f t="shared" si="220"/>
        <v/>
      </c>
      <c r="J588" s="118"/>
      <c r="K588" s="34" t="str">
        <f t="shared" si="221"/>
        <v/>
      </c>
      <c r="L588" s="118"/>
      <c r="M588" s="121"/>
      <c r="N588" s="122" t="str">
        <f t="shared" si="222"/>
        <v/>
      </c>
      <c r="O588" s="35" t="str">
        <f t="shared" si="223"/>
        <v/>
      </c>
      <c r="P588" s="124"/>
      <c r="Q588" s="36" t="str">
        <f t="shared" si="235"/>
        <v/>
      </c>
      <c r="R588" s="46" t="str">
        <f t="shared" si="224"/>
        <v/>
      </c>
      <c r="S588" s="38" t="str">
        <f t="shared" si="225"/>
        <v/>
      </c>
      <c r="T588" s="39" t="str">
        <f t="shared" si="226"/>
        <v/>
      </c>
      <c r="U588" s="40" t="str">
        <f t="shared" si="227"/>
        <v/>
      </c>
      <c r="V588" s="39" t="str">
        <f t="shared" si="228"/>
        <v/>
      </c>
      <c r="W588" s="34" t="str">
        <f t="shared" si="229"/>
        <v/>
      </c>
      <c r="X588" s="41" t="str">
        <f t="shared" si="236"/>
        <v/>
      </c>
      <c r="Y588" s="98" t="str">
        <f t="shared" si="230"/>
        <v/>
      </c>
      <c r="Z588" s="16" t="str">
        <f t="shared" si="237"/>
        <v/>
      </c>
      <c r="AB588" s="139"/>
      <c r="AC588" s="146" t="str">
        <f t="shared" ref="AC588:AC651" si="240">IF(AB588="","",Q588)</f>
        <v/>
      </c>
      <c r="AD588" s="148" t="str">
        <f t="shared" si="238"/>
        <v/>
      </c>
      <c r="AE588" s="147" t="str">
        <f t="shared" si="231"/>
        <v/>
      </c>
      <c r="AF588" s="111" t="str">
        <f t="shared" si="232"/>
        <v/>
      </c>
      <c r="AG588" s="111" t="str">
        <f t="shared" si="233"/>
        <v/>
      </c>
      <c r="AH588" s="112" t="str">
        <f t="shared" si="234"/>
        <v/>
      </c>
      <c r="AI588" t="str">
        <f t="shared" si="239"/>
        <v/>
      </c>
      <c r="AJ588" t="str">
        <f t="shared" ref="AJ588:AJ651" si="241">IF(OR(AB588=0,AB588=""),"",AC588*C588)</f>
        <v/>
      </c>
    </row>
    <row r="589" spans="1:36" ht="15" customHeight="1" x14ac:dyDescent="0.25">
      <c r="A589" s="114"/>
      <c r="B589" s="116"/>
      <c r="C589" s="116"/>
      <c r="D589" s="42" t="str">
        <f t="shared" si="218"/>
        <v/>
      </c>
      <c r="E589" s="43"/>
      <c r="F589" s="118"/>
      <c r="G589" s="44" t="str">
        <f t="shared" si="219"/>
        <v/>
      </c>
      <c r="H589" s="118"/>
      <c r="I589" s="34" t="str">
        <f t="shared" si="220"/>
        <v/>
      </c>
      <c r="J589" s="118"/>
      <c r="K589" s="34" t="str">
        <f t="shared" si="221"/>
        <v/>
      </c>
      <c r="L589" s="118"/>
      <c r="M589" s="121"/>
      <c r="N589" s="122" t="str">
        <f t="shared" si="222"/>
        <v/>
      </c>
      <c r="O589" s="35" t="str">
        <f t="shared" si="223"/>
        <v/>
      </c>
      <c r="P589" s="124"/>
      <c r="Q589" s="36" t="str">
        <f t="shared" si="235"/>
        <v/>
      </c>
      <c r="R589" s="46" t="str">
        <f t="shared" si="224"/>
        <v/>
      </c>
      <c r="S589" s="38" t="str">
        <f t="shared" si="225"/>
        <v/>
      </c>
      <c r="T589" s="39" t="str">
        <f t="shared" si="226"/>
        <v/>
      </c>
      <c r="U589" s="40" t="str">
        <f t="shared" si="227"/>
        <v/>
      </c>
      <c r="V589" s="39" t="str">
        <f t="shared" si="228"/>
        <v/>
      </c>
      <c r="W589" s="34" t="str">
        <f t="shared" si="229"/>
        <v/>
      </c>
      <c r="X589" s="41" t="str">
        <f t="shared" si="236"/>
        <v/>
      </c>
      <c r="Y589" s="98" t="str">
        <f t="shared" si="230"/>
        <v/>
      </c>
      <c r="Z589" s="16" t="str">
        <f t="shared" si="237"/>
        <v/>
      </c>
      <c r="AB589" s="139"/>
      <c r="AC589" s="146" t="str">
        <f t="shared" si="240"/>
        <v/>
      </c>
      <c r="AD589" s="148" t="str">
        <f t="shared" si="238"/>
        <v/>
      </c>
      <c r="AE589" s="147" t="str">
        <f t="shared" si="231"/>
        <v/>
      </c>
      <c r="AF589" s="111" t="str">
        <f t="shared" si="232"/>
        <v/>
      </c>
      <c r="AG589" s="111" t="str">
        <f t="shared" si="233"/>
        <v/>
      </c>
      <c r="AH589" s="112" t="str">
        <f t="shared" si="234"/>
        <v/>
      </c>
      <c r="AI589" t="str">
        <f t="shared" si="239"/>
        <v/>
      </c>
      <c r="AJ589" t="str">
        <f t="shared" si="241"/>
        <v/>
      </c>
    </row>
    <row r="590" spans="1:36" ht="15" customHeight="1" x14ac:dyDescent="0.25">
      <c r="A590" s="114"/>
      <c r="B590" s="116"/>
      <c r="C590" s="116"/>
      <c r="D590" s="42" t="str">
        <f t="shared" si="218"/>
        <v/>
      </c>
      <c r="E590" s="43"/>
      <c r="F590" s="118"/>
      <c r="G590" s="44" t="str">
        <f t="shared" si="219"/>
        <v/>
      </c>
      <c r="H590" s="118"/>
      <c r="I590" s="34" t="str">
        <f t="shared" si="220"/>
        <v/>
      </c>
      <c r="J590" s="118"/>
      <c r="K590" s="34" t="str">
        <f t="shared" si="221"/>
        <v/>
      </c>
      <c r="L590" s="118"/>
      <c r="M590" s="121"/>
      <c r="N590" s="122" t="str">
        <f t="shared" si="222"/>
        <v/>
      </c>
      <c r="O590" s="35" t="str">
        <f t="shared" si="223"/>
        <v/>
      </c>
      <c r="P590" s="124"/>
      <c r="Q590" s="36" t="str">
        <f t="shared" si="235"/>
        <v/>
      </c>
      <c r="R590" s="46" t="str">
        <f t="shared" si="224"/>
        <v/>
      </c>
      <c r="S590" s="38" t="str">
        <f t="shared" si="225"/>
        <v/>
      </c>
      <c r="T590" s="39" t="str">
        <f t="shared" si="226"/>
        <v/>
      </c>
      <c r="U590" s="40" t="str">
        <f t="shared" si="227"/>
        <v/>
      </c>
      <c r="V590" s="39" t="str">
        <f t="shared" si="228"/>
        <v/>
      </c>
      <c r="W590" s="34" t="str">
        <f t="shared" si="229"/>
        <v/>
      </c>
      <c r="X590" s="41" t="str">
        <f t="shared" si="236"/>
        <v/>
      </c>
      <c r="Y590" s="98" t="str">
        <f t="shared" si="230"/>
        <v/>
      </c>
      <c r="Z590" s="16" t="str">
        <f t="shared" si="237"/>
        <v/>
      </c>
      <c r="AB590" s="139"/>
      <c r="AC590" s="146" t="str">
        <f t="shared" si="240"/>
        <v/>
      </c>
      <c r="AD590" s="148" t="str">
        <f t="shared" si="238"/>
        <v/>
      </c>
      <c r="AE590" s="147" t="str">
        <f t="shared" si="231"/>
        <v/>
      </c>
      <c r="AF590" s="111" t="str">
        <f t="shared" si="232"/>
        <v/>
      </c>
      <c r="AG590" s="111" t="str">
        <f t="shared" si="233"/>
        <v/>
      </c>
      <c r="AH590" s="112" t="str">
        <f t="shared" si="234"/>
        <v/>
      </c>
      <c r="AI590" t="str">
        <f t="shared" si="239"/>
        <v/>
      </c>
      <c r="AJ590" t="str">
        <f t="shared" si="241"/>
        <v/>
      </c>
    </row>
    <row r="591" spans="1:36" ht="15" customHeight="1" x14ac:dyDescent="0.25">
      <c r="A591" s="114"/>
      <c r="B591" s="116"/>
      <c r="C591" s="116"/>
      <c r="D591" s="42" t="str">
        <f t="shared" si="218"/>
        <v/>
      </c>
      <c r="E591" s="43"/>
      <c r="F591" s="118"/>
      <c r="G591" s="44" t="str">
        <f t="shared" si="219"/>
        <v/>
      </c>
      <c r="H591" s="118"/>
      <c r="I591" s="34" t="str">
        <f t="shared" si="220"/>
        <v/>
      </c>
      <c r="J591" s="118"/>
      <c r="K591" s="34" t="str">
        <f t="shared" si="221"/>
        <v/>
      </c>
      <c r="L591" s="118"/>
      <c r="M591" s="121"/>
      <c r="N591" s="122" t="str">
        <f t="shared" si="222"/>
        <v/>
      </c>
      <c r="O591" s="35" t="str">
        <f t="shared" si="223"/>
        <v/>
      </c>
      <c r="P591" s="124"/>
      <c r="Q591" s="36" t="str">
        <f t="shared" si="235"/>
        <v/>
      </c>
      <c r="R591" s="46" t="str">
        <f t="shared" si="224"/>
        <v/>
      </c>
      <c r="S591" s="38" t="str">
        <f t="shared" si="225"/>
        <v/>
      </c>
      <c r="T591" s="39" t="str">
        <f t="shared" si="226"/>
        <v/>
      </c>
      <c r="U591" s="40" t="str">
        <f t="shared" si="227"/>
        <v/>
      </c>
      <c r="V591" s="39" t="str">
        <f t="shared" si="228"/>
        <v/>
      </c>
      <c r="W591" s="34" t="str">
        <f t="shared" si="229"/>
        <v/>
      </c>
      <c r="X591" s="41" t="str">
        <f t="shared" si="236"/>
        <v/>
      </c>
      <c r="Y591" s="98" t="str">
        <f t="shared" si="230"/>
        <v/>
      </c>
      <c r="Z591" s="16" t="str">
        <f t="shared" si="237"/>
        <v/>
      </c>
      <c r="AB591" s="139"/>
      <c r="AC591" s="146" t="str">
        <f t="shared" si="240"/>
        <v/>
      </c>
      <c r="AD591" s="148" t="str">
        <f t="shared" si="238"/>
        <v/>
      </c>
      <c r="AE591" s="147" t="str">
        <f t="shared" si="231"/>
        <v/>
      </c>
      <c r="AF591" s="111" t="str">
        <f t="shared" si="232"/>
        <v/>
      </c>
      <c r="AG591" s="111" t="str">
        <f t="shared" si="233"/>
        <v/>
      </c>
      <c r="AH591" s="112" t="str">
        <f t="shared" si="234"/>
        <v/>
      </c>
      <c r="AI591" t="str">
        <f t="shared" si="239"/>
        <v/>
      </c>
      <c r="AJ591" t="str">
        <f t="shared" si="241"/>
        <v/>
      </c>
    </row>
    <row r="592" spans="1:36" ht="15" customHeight="1" x14ac:dyDescent="0.25">
      <c r="A592" s="114"/>
      <c r="B592" s="116"/>
      <c r="C592" s="116"/>
      <c r="D592" s="42" t="str">
        <f t="shared" si="218"/>
        <v/>
      </c>
      <c r="E592" s="43"/>
      <c r="F592" s="118"/>
      <c r="G592" s="44" t="str">
        <f t="shared" si="219"/>
        <v/>
      </c>
      <c r="H592" s="118"/>
      <c r="I592" s="34" t="str">
        <f t="shared" si="220"/>
        <v/>
      </c>
      <c r="J592" s="118"/>
      <c r="K592" s="34" t="str">
        <f t="shared" si="221"/>
        <v/>
      </c>
      <c r="L592" s="118"/>
      <c r="M592" s="121"/>
      <c r="N592" s="122" t="str">
        <f t="shared" si="222"/>
        <v/>
      </c>
      <c r="O592" s="35" t="str">
        <f t="shared" si="223"/>
        <v/>
      </c>
      <c r="P592" s="124"/>
      <c r="Q592" s="36" t="str">
        <f t="shared" si="235"/>
        <v/>
      </c>
      <c r="R592" s="46" t="str">
        <f t="shared" si="224"/>
        <v/>
      </c>
      <c r="S592" s="38" t="str">
        <f t="shared" si="225"/>
        <v/>
      </c>
      <c r="T592" s="39" t="str">
        <f t="shared" si="226"/>
        <v/>
      </c>
      <c r="U592" s="40" t="str">
        <f t="shared" si="227"/>
        <v/>
      </c>
      <c r="V592" s="39" t="str">
        <f t="shared" si="228"/>
        <v/>
      </c>
      <c r="W592" s="34" t="str">
        <f t="shared" si="229"/>
        <v/>
      </c>
      <c r="X592" s="41" t="str">
        <f t="shared" si="236"/>
        <v/>
      </c>
      <c r="Y592" s="98" t="str">
        <f t="shared" si="230"/>
        <v/>
      </c>
      <c r="Z592" s="16" t="str">
        <f t="shared" si="237"/>
        <v/>
      </c>
      <c r="AB592" s="139"/>
      <c r="AC592" s="146" t="str">
        <f t="shared" si="240"/>
        <v/>
      </c>
      <c r="AD592" s="148" t="str">
        <f t="shared" si="238"/>
        <v/>
      </c>
      <c r="AE592" s="147" t="str">
        <f t="shared" si="231"/>
        <v/>
      </c>
      <c r="AF592" s="111" t="str">
        <f t="shared" si="232"/>
        <v/>
      </c>
      <c r="AG592" s="111" t="str">
        <f t="shared" si="233"/>
        <v/>
      </c>
      <c r="AH592" s="112" t="str">
        <f t="shared" si="234"/>
        <v/>
      </c>
      <c r="AI592" t="str">
        <f t="shared" si="239"/>
        <v/>
      </c>
      <c r="AJ592" t="str">
        <f t="shared" si="241"/>
        <v/>
      </c>
    </row>
    <row r="593" spans="1:36" ht="15" customHeight="1" x14ac:dyDescent="0.25">
      <c r="A593" s="114"/>
      <c r="B593" s="116"/>
      <c r="C593" s="116"/>
      <c r="D593" s="42" t="str">
        <f t="shared" si="218"/>
        <v/>
      </c>
      <c r="E593" s="43"/>
      <c r="F593" s="118"/>
      <c r="G593" s="44" t="str">
        <f t="shared" si="219"/>
        <v/>
      </c>
      <c r="H593" s="118"/>
      <c r="I593" s="34" t="str">
        <f t="shared" si="220"/>
        <v/>
      </c>
      <c r="J593" s="118"/>
      <c r="K593" s="34" t="str">
        <f t="shared" si="221"/>
        <v/>
      </c>
      <c r="L593" s="118"/>
      <c r="M593" s="121"/>
      <c r="N593" s="122" t="str">
        <f t="shared" si="222"/>
        <v/>
      </c>
      <c r="O593" s="35" t="str">
        <f t="shared" si="223"/>
        <v/>
      </c>
      <c r="P593" s="124"/>
      <c r="Q593" s="36" t="str">
        <f t="shared" si="235"/>
        <v/>
      </c>
      <c r="R593" s="46" t="str">
        <f t="shared" si="224"/>
        <v/>
      </c>
      <c r="S593" s="38" t="str">
        <f t="shared" si="225"/>
        <v/>
      </c>
      <c r="T593" s="39" t="str">
        <f t="shared" si="226"/>
        <v/>
      </c>
      <c r="U593" s="40" t="str">
        <f t="shared" si="227"/>
        <v/>
      </c>
      <c r="V593" s="39" t="str">
        <f t="shared" si="228"/>
        <v/>
      </c>
      <c r="W593" s="34" t="str">
        <f t="shared" si="229"/>
        <v/>
      </c>
      <c r="X593" s="41" t="str">
        <f t="shared" si="236"/>
        <v/>
      </c>
      <c r="Y593" s="98" t="str">
        <f t="shared" si="230"/>
        <v/>
      </c>
      <c r="Z593" s="16" t="str">
        <f t="shared" si="237"/>
        <v/>
      </c>
      <c r="AB593" s="139"/>
      <c r="AC593" s="146" t="str">
        <f t="shared" si="240"/>
        <v/>
      </c>
      <c r="AD593" s="148" t="str">
        <f t="shared" si="238"/>
        <v/>
      </c>
      <c r="AE593" s="147" t="str">
        <f t="shared" si="231"/>
        <v/>
      </c>
      <c r="AF593" s="111" t="str">
        <f t="shared" si="232"/>
        <v/>
      </c>
      <c r="AG593" s="111" t="str">
        <f t="shared" si="233"/>
        <v/>
      </c>
      <c r="AH593" s="112" t="str">
        <f t="shared" si="234"/>
        <v/>
      </c>
      <c r="AI593" t="str">
        <f t="shared" si="239"/>
        <v/>
      </c>
      <c r="AJ593" t="str">
        <f t="shared" si="241"/>
        <v/>
      </c>
    </row>
    <row r="594" spans="1:36" ht="15" customHeight="1" x14ac:dyDescent="0.25">
      <c r="A594" s="114"/>
      <c r="B594" s="116"/>
      <c r="C594" s="116"/>
      <c r="D594" s="42" t="str">
        <f t="shared" si="218"/>
        <v/>
      </c>
      <c r="E594" s="43"/>
      <c r="F594" s="118"/>
      <c r="G594" s="44" t="str">
        <f t="shared" si="219"/>
        <v/>
      </c>
      <c r="H594" s="118"/>
      <c r="I594" s="34" t="str">
        <f t="shared" si="220"/>
        <v/>
      </c>
      <c r="J594" s="118"/>
      <c r="K594" s="34" t="str">
        <f t="shared" si="221"/>
        <v/>
      </c>
      <c r="L594" s="118"/>
      <c r="M594" s="121"/>
      <c r="N594" s="122" t="str">
        <f t="shared" si="222"/>
        <v/>
      </c>
      <c r="O594" s="35" t="str">
        <f t="shared" si="223"/>
        <v/>
      </c>
      <c r="P594" s="124"/>
      <c r="Q594" s="36" t="str">
        <f t="shared" si="235"/>
        <v/>
      </c>
      <c r="R594" s="46" t="str">
        <f t="shared" si="224"/>
        <v/>
      </c>
      <c r="S594" s="38" t="str">
        <f t="shared" si="225"/>
        <v/>
      </c>
      <c r="T594" s="39" t="str">
        <f t="shared" si="226"/>
        <v/>
      </c>
      <c r="U594" s="40" t="str">
        <f t="shared" si="227"/>
        <v/>
      </c>
      <c r="V594" s="39" t="str">
        <f t="shared" si="228"/>
        <v/>
      </c>
      <c r="W594" s="34" t="str">
        <f t="shared" si="229"/>
        <v/>
      </c>
      <c r="X594" s="41" t="str">
        <f t="shared" si="236"/>
        <v/>
      </c>
      <c r="Y594" s="98" t="str">
        <f t="shared" si="230"/>
        <v/>
      </c>
      <c r="Z594" s="16" t="str">
        <f t="shared" si="237"/>
        <v/>
      </c>
      <c r="AB594" s="139"/>
      <c r="AC594" s="146" t="str">
        <f t="shared" si="240"/>
        <v/>
      </c>
      <c r="AD594" s="148" t="str">
        <f t="shared" si="238"/>
        <v/>
      </c>
      <c r="AE594" s="147" t="str">
        <f t="shared" si="231"/>
        <v/>
      </c>
      <c r="AF594" s="111" t="str">
        <f t="shared" si="232"/>
        <v/>
      </c>
      <c r="AG594" s="111" t="str">
        <f t="shared" si="233"/>
        <v/>
      </c>
      <c r="AH594" s="112" t="str">
        <f t="shared" si="234"/>
        <v/>
      </c>
      <c r="AI594" t="str">
        <f t="shared" si="239"/>
        <v/>
      </c>
      <c r="AJ594" t="str">
        <f t="shared" si="241"/>
        <v/>
      </c>
    </row>
    <row r="595" spans="1:36" ht="15" customHeight="1" x14ac:dyDescent="0.25">
      <c r="A595" s="114"/>
      <c r="B595" s="116"/>
      <c r="C595" s="116"/>
      <c r="D595" s="42" t="str">
        <f t="shared" si="218"/>
        <v/>
      </c>
      <c r="E595" s="43"/>
      <c r="F595" s="118"/>
      <c r="G595" s="44" t="str">
        <f t="shared" si="219"/>
        <v/>
      </c>
      <c r="H595" s="118"/>
      <c r="I595" s="34" t="str">
        <f t="shared" si="220"/>
        <v/>
      </c>
      <c r="J595" s="118"/>
      <c r="K595" s="34" t="str">
        <f t="shared" si="221"/>
        <v/>
      </c>
      <c r="L595" s="118"/>
      <c r="M595" s="121"/>
      <c r="N595" s="122" t="str">
        <f t="shared" si="222"/>
        <v/>
      </c>
      <c r="O595" s="35" t="str">
        <f t="shared" si="223"/>
        <v/>
      </c>
      <c r="P595" s="124"/>
      <c r="Q595" s="36" t="str">
        <f t="shared" si="235"/>
        <v/>
      </c>
      <c r="R595" s="46" t="str">
        <f t="shared" si="224"/>
        <v/>
      </c>
      <c r="S595" s="38" t="str">
        <f t="shared" si="225"/>
        <v/>
      </c>
      <c r="T595" s="39" t="str">
        <f t="shared" si="226"/>
        <v/>
      </c>
      <c r="U595" s="40" t="str">
        <f t="shared" si="227"/>
        <v/>
      </c>
      <c r="V595" s="39" t="str">
        <f t="shared" si="228"/>
        <v/>
      </c>
      <c r="W595" s="34" t="str">
        <f t="shared" si="229"/>
        <v/>
      </c>
      <c r="X595" s="41" t="str">
        <f t="shared" si="236"/>
        <v/>
      </c>
      <c r="Y595" s="98" t="str">
        <f t="shared" si="230"/>
        <v/>
      </c>
      <c r="Z595" s="16" t="str">
        <f t="shared" si="237"/>
        <v/>
      </c>
      <c r="AB595" s="139"/>
      <c r="AC595" s="146" t="str">
        <f t="shared" si="240"/>
        <v/>
      </c>
      <c r="AD595" s="148" t="str">
        <f t="shared" si="238"/>
        <v/>
      </c>
      <c r="AE595" s="147" t="str">
        <f t="shared" si="231"/>
        <v/>
      </c>
      <c r="AF595" s="111" t="str">
        <f t="shared" si="232"/>
        <v/>
      </c>
      <c r="AG595" s="111" t="str">
        <f t="shared" si="233"/>
        <v/>
      </c>
      <c r="AH595" s="112" t="str">
        <f t="shared" si="234"/>
        <v/>
      </c>
      <c r="AI595" t="str">
        <f t="shared" si="239"/>
        <v/>
      </c>
      <c r="AJ595" t="str">
        <f t="shared" si="241"/>
        <v/>
      </c>
    </row>
    <row r="596" spans="1:36" ht="15" customHeight="1" x14ac:dyDescent="0.25">
      <c r="A596" s="114"/>
      <c r="B596" s="116"/>
      <c r="C596" s="116"/>
      <c r="D596" s="42" t="str">
        <f t="shared" si="218"/>
        <v/>
      </c>
      <c r="E596" s="43"/>
      <c r="F596" s="118"/>
      <c r="G596" s="44" t="str">
        <f t="shared" si="219"/>
        <v/>
      </c>
      <c r="H596" s="118"/>
      <c r="I596" s="34" t="str">
        <f t="shared" si="220"/>
        <v/>
      </c>
      <c r="J596" s="118"/>
      <c r="K596" s="34" t="str">
        <f t="shared" si="221"/>
        <v/>
      </c>
      <c r="L596" s="118"/>
      <c r="M596" s="121"/>
      <c r="N596" s="122" t="str">
        <f t="shared" si="222"/>
        <v/>
      </c>
      <c r="O596" s="35" t="str">
        <f t="shared" si="223"/>
        <v/>
      </c>
      <c r="P596" s="124"/>
      <c r="Q596" s="36" t="str">
        <f t="shared" si="235"/>
        <v/>
      </c>
      <c r="R596" s="46" t="str">
        <f t="shared" si="224"/>
        <v/>
      </c>
      <c r="S596" s="38" t="str">
        <f t="shared" si="225"/>
        <v/>
      </c>
      <c r="T596" s="39" t="str">
        <f t="shared" si="226"/>
        <v/>
      </c>
      <c r="U596" s="40" t="str">
        <f t="shared" si="227"/>
        <v/>
      </c>
      <c r="V596" s="39" t="str">
        <f t="shared" si="228"/>
        <v/>
      </c>
      <c r="W596" s="34" t="str">
        <f t="shared" si="229"/>
        <v/>
      </c>
      <c r="X596" s="41" t="str">
        <f t="shared" si="236"/>
        <v/>
      </c>
      <c r="Y596" s="98" t="str">
        <f t="shared" si="230"/>
        <v/>
      </c>
      <c r="Z596" s="16" t="str">
        <f t="shared" si="237"/>
        <v/>
      </c>
      <c r="AB596" s="139"/>
      <c r="AC596" s="146" t="str">
        <f t="shared" si="240"/>
        <v/>
      </c>
      <c r="AD596" s="148" t="str">
        <f t="shared" si="238"/>
        <v/>
      </c>
      <c r="AE596" s="147" t="str">
        <f t="shared" si="231"/>
        <v/>
      </c>
      <c r="AF596" s="111" t="str">
        <f t="shared" si="232"/>
        <v/>
      </c>
      <c r="AG596" s="111" t="str">
        <f t="shared" si="233"/>
        <v/>
      </c>
      <c r="AH596" s="112" t="str">
        <f t="shared" si="234"/>
        <v/>
      </c>
      <c r="AI596" t="str">
        <f t="shared" si="239"/>
        <v/>
      </c>
      <c r="AJ596" t="str">
        <f t="shared" si="241"/>
        <v/>
      </c>
    </row>
    <row r="597" spans="1:36" ht="15" customHeight="1" x14ac:dyDescent="0.25">
      <c r="A597" s="114"/>
      <c r="B597" s="116"/>
      <c r="C597" s="116"/>
      <c r="D597" s="42" t="str">
        <f t="shared" si="218"/>
        <v/>
      </c>
      <c r="E597" s="43"/>
      <c r="F597" s="118"/>
      <c r="G597" s="44" t="str">
        <f t="shared" si="219"/>
        <v/>
      </c>
      <c r="H597" s="118"/>
      <c r="I597" s="34" t="str">
        <f t="shared" si="220"/>
        <v/>
      </c>
      <c r="J597" s="118"/>
      <c r="K597" s="34" t="str">
        <f t="shared" si="221"/>
        <v/>
      </c>
      <c r="L597" s="118"/>
      <c r="M597" s="121"/>
      <c r="N597" s="122" t="str">
        <f t="shared" si="222"/>
        <v/>
      </c>
      <c r="O597" s="35" t="str">
        <f t="shared" si="223"/>
        <v/>
      </c>
      <c r="P597" s="124"/>
      <c r="Q597" s="36" t="str">
        <f t="shared" si="235"/>
        <v/>
      </c>
      <c r="R597" s="46" t="str">
        <f t="shared" si="224"/>
        <v/>
      </c>
      <c r="S597" s="38" t="str">
        <f t="shared" si="225"/>
        <v/>
      </c>
      <c r="T597" s="39" t="str">
        <f t="shared" si="226"/>
        <v/>
      </c>
      <c r="U597" s="40" t="str">
        <f t="shared" si="227"/>
        <v/>
      </c>
      <c r="V597" s="39" t="str">
        <f t="shared" si="228"/>
        <v/>
      </c>
      <c r="W597" s="34" t="str">
        <f t="shared" si="229"/>
        <v/>
      </c>
      <c r="X597" s="41" t="str">
        <f t="shared" si="236"/>
        <v/>
      </c>
      <c r="Y597" s="98" t="str">
        <f t="shared" si="230"/>
        <v/>
      </c>
      <c r="Z597" s="16" t="str">
        <f t="shared" si="237"/>
        <v/>
      </c>
      <c r="AB597" s="139"/>
      <c r="AC597" s="146" t="str">
        <f t="shared" si="240"/>
        <v/>
      </c>
      <c r="AD597" s="148" t="str">
        <f t="shared" si="238"/>
        <v/>
      </c>
      <c r="AE597" s="147" t="str">
        <f t="shared" si="231"/>
        <v/>
      </c>
      <c r="AF597" s="111" t="str">
        <f t="shared" si="232"/>
        <v/>
      </c>
      <c r="AG597" s="111" t="str">
        <f t="shared" si="233"/>
        <v/>
      </c>
      <c r="AH597" s="112" t="str">
        <f t="shared" si="234"/>
        <v/>
      </c>
      <c r="AI597" t="str">
        <f t="shared" si="239"/>
        <v/>
      </c>
      <c r="AJ597" t="str">
        <f t="shared" si="241"/>
        <v/>
      </c>
    </row>
    <row r="598" spans="1:36" ht="15" customHeight="1" x14ac:dyDescent="0.25">
      <c r="A598" s="114"/>
      <c r="B598" s="116"/>
      <c r="C598" s="116"/>
      <c r="D598" s="42" t="str">
        <f t="shared" si="218"/>
        <v/>
      </c>
      <c r="E598" s="43"/>
      <c r="F598" s="118"/>
      <c r="G598" s="44" t="str">
        <f t="shared" si="219"/>
        <v/>
      </c>
      <c r="H598" s="118"/>
      <c r="I598" s="34" t="str">
        <f t="shared" si="220"/>
        <v/>
      </c>
      <c r="J598" s="118"/>
      <c r="K598" s="34" t="str">
        <f t="shared" si="221"/>
        <v/>
      </c>
      <c r="L598" s="118"/>
      <c r="M598" s="121"/>
      <c r="N598" s="122" t="str">
        <f t="shared" si="222"/>
        <v/>
      </c>
      <c r="O598" s="35" t="str">
        <f t="shared" si="223"/>
        <v/>
      </c>
      <c r="P598" s="124"/>
      <c r="Q598" s="36" t="str">
        <f t="shared" si="235"/>
        <v/>
      </c>
      <c r="R598" s="46" t="str">
        <f t="shared" si="224"/>
        <v/>
      </c>
      <c r="S598" s="38" t="str">
        <f t="shared" si="225"/>
        <v/>
      </c>
      <c r="T598" s="39" t="str">
        <f t="shared" si="226"/>
        <v/>
      </c>
      <c r="U598" s="40" t="str">
        <f t="shared" si="227"/>
        <v/>
      </c>
      <c r="V598" s="39" t="str">
        <f t="shared" si="228"/>
        <v/>
      </c>
      <c r="W598" s="34" t="str">
        <f t="shared" si="229"/>
        <v/>
      </c>
      <c r="X598" s="41" t="str">
        <f t="shared" si="236"/>
        <v/>
      </c>
      <c r="Y598" s="98" t="str">
        <f t="shared" si="230"/>
        <v/>
      </c>
      <c r="Z598" s="16" t="str">
        <f t="shared" si="237"/>
        <v/>
      </c>
      <c r="AB598" s="139"/>
      <c r="AC598" s="146" t="str">
        <f t="shared" si="240"/>
        <v/>
      </c>
      <c r="AD598" s="148" t="str">
        <f t="shared" si="238"/>
        <v/>
      </c>
      <c r="AE598" s="147" t="str">
        <f t="shared" si="231"/>
        <v/>
      </c>
      <c r="AF598" s="111" t="str">
        <f t="shared" si="232"/>
        <v/>
      </c>
      <c r="AG598" s="111" t="str">
        <f t="shared" si="233"/>
        <v/>
      </c>
      <c r="AH598" s="112" t="str">
        <f t="shared" si="234"/>
        <v/>
      </c>
      <c r="AI598" t="str">
        <f t="shared" si="239"/>
        <v/>
      </c>
      <c r="AJ598" t="str">
        <f t="shared" si="241"/>
        <v/>
      </c>
    </row>
    <row r="599" spans="1:36" ht="15" customHeight="1" x14ac:dyDescent="0.25">
      <c r="A599" s="114"/>
      <c r="B599" s="116"/>
      <c r="C599" s="116"/>
      <c r="D599" s="42" t="str">
        <f t="shared" si="218"/>
        <v/>
      </c>
      <c r="E599" s="43"/>
      <c r="F599" s="118"/>
      <c r="G599" s="44" t="str">
        <f t="shared" si="219"/>
        <v/>
      </c>
      <c r="H599" s="118"/>
      <c r="I599" s="34" t="str">
        <f t="shared" si="220"/>
        <v/>
      </c>
      <c r="J599" s="118"/>
      <c r="K599" s="34" t="str">
        <f t="shared" si="221"/>
        <v/>
      </c>
      <c r="L599" s="118"/>
      <c r="M599" s="121"/>
      <c r="N599" s="122" t="str">
        <f t="shared" si="222"/>
        <v/>
      </c>
      <c r="O599" s="35" t="str">
        <f t="shared" si="223"/>
        <v/>
      </c>
      <c r="P599" s="124"/>
      <c r="Q599" s="36" t="str">
        <f t="shared" si="235"/>
        <v/>
      </c>
      <c r="R599" s="46" t="str">
        <f t="shared" si="224"/>
        <v/>
      </c>
      <c r="S599" s="38" t="str">
        <f t="shared" si="225"/>
        <v/>
      </c>
      <c r="T599" s="39" t="str">
        <f t="shared" si="226"/>
        <v/>
      </c>
      <c r="U599" s="40" t="str">
        <f t="shared" si="227"/>
        <v/>
      </c>
      <c r="V599" s="39" t="str">
        <f t="shared" si="228"/>
        <v/>
      </c>
      <c r="W599" s="34" t="str">
        <f t="shared" si="229"/>
        <v/>
      </c>
      <c r="X599" s="41" t="str">
        <f t="shared" si="236"/>
        <v/>
      </c>
      <c r="Y599" s="98" t="str">
        <f t="shared" si="230"/>
        <v/>
      </c>
      <c r="Z599" s="16" t="str">
        <f t="shared" si="237"/>
        <v/>
      </c>
      <c r="AB599" s="139"/>
      <c r="AC599" s="146" t="str">
        <f t="shared" si="240"/>
        <v/>
      </c>
      <c r="AD599" s="148" t="str">
        <f t="shared" si="238"/>
        <v/>
      </c>
      <c r="AE599" s="147" t="str">
        <f t="shared" si="231"/>
        <v/>
      </c>
      <c r="AF599" s="111" t="str">
        <f t="shared" si="232"/>
        <v/>
      </c>
      <c r="AG599" s="111" t="str">
        <f t="shared" si="233"/>
        <v/>
      </c>
      <c r="AH599" s="112" t="str">
        <f t="shared" si="234"/>
        <v/>
      </c>
      <c r="AI599" t="str">
        <f t="shared" si="239"/>
        <v/>
      </c>
      <c r="AJ599" t="str">
        <f t="shared" si="241"/>
        <v/>
      </c>
    </row>
    <row r="600" spans="1:36" ht="15" customHeight="1" x14ac:dyDescent="0.25">
      <c r="A600" s="114"/>
      <c r="B600" s="116"/>
      <c r="C600" s="116"/>
      <c r="D600" s="42" t="str">
        <f t="shared" si="218"/>
        <v/>
      </c>
      <c r="E600" s="43"/>
      <c r="F600" s="118"/>
      <c r="G600" s="44" t="str">
        <f t="shared" si="219"/>
        <v/>
      </c>
      <c r="H600" s="118"/>
      <c r="I600" s="34" t="str">
        <f t="shared" si="220"/>
        <v/>
      </c>
      <c r="J600" s="118"/>
      <c r="K600" s="34" t="str">
        <f t="shared" si="221"/>
        <v/>
      </c>
      <c r="L600" s="118"/>
      <c r="M600" s="121"/>
      <c r="N600" s="122" t="str">
        <f t="shared" si="222"/>
        <v/>
      </c>
      <c r="O600" s="35" t="str">
        <f t="shared" si="223"/>
        <v/>
      </c>
      <c r="P600" s="124"/>
      <c r="Q600" s="36" t="str">
        <f t="shared" si="235"/>
        <v/>
      </c>
      <c r="R600" s="46" t="str">
        <f t="shared" si="224"/>
        <v/>
      </c>
      <c r="S600" s="38" t="str">
        <f t="shared" si="225"/>
        <v/>
      </c>
      <c r="T600" s="39" t="str">
        <f t="shared" si="226"/>
        <v/>
      </c>
      <c r="U600" s="40" t="str">
        <f t="shared" si="227"/>
        <v/>
      </c>
      <c r="V600" s="39" t="str">
        <f t="shared" si="228"/>
        <v/>
      </c>
      <c r="W600" s="34" t="str">
        <f t="shared" si="229"/>
        <v/>
      </c>
      <c r="X600" s="41" t="str">
        <f t="shared" si="236"/>
        <v/>
      </c>
      <c r="Y600" s="98" t="str">
        <f t="shared" si="230"/>
        <v/>
      </c>
      <c r="Z600" s="16" t="str">
        <f t="shared" si="237"/>
        <v/>
      </c>
      <c r="AB600" s="139"/>
      <c r="AC600" s="146" t="str">
        <f t="shared" si="240"/>
        <v/>
      </c>
      <c r="AD600" s="148" t="str">
        <f t="shared" si="238"/>
        <v/>
      </c>
      <c r="AE600" s="147" t="str">
        <f t="shared" si="231"/>
        <v/>
      </c>
      <c r="AF600" s="111" t="str">
        <f t="shared" si="232"/>
        <v/>
      </c>
      <c r="AG600" s="111" t="str">
        <f t="shared" si="233"/>
        <v/>
      </c>
      <c r="AH600" s="112" t="str">
        <f t="shared" si="234"/>
        <v/>
      </c>
      <c r="AI600" t="str">
        <f t="shared" si="239"/>
        <v/>
      </c>
      <c r="AJ600" t="str">
        <f t="shared" si="241"/>
        <v/>
      </c>
    </row>
    <row r="601" spans="1:36" ht="15" customHeight="1" x14ac:dyDescent="0.25">
      <c r="A601" s="114"/>
      <c r="B601" s="116"/>
      <c r="C601" s="116"/>
      <c r="D601" s="42" t="str">
        <f t="shared" si="218"/>
        <v/>
      </c>
      <c r="E601" s="43"/>
      <c r="F601" s="118"/>
      <c r="G601" s="44" t="str">
        <f t="shared" si="219"/>
        <v/>
      </c>
      <c r="H601" s="118"/>
      <c r="I601" s="34" t="str">
        <f t="shared" si="220"/>
        <v/>
      </c>
      <c r="J601" s="118"/>
      <c r="K601" s="34" t="str">
        <f t="shared" si="221"/>
        <v/>
      </c>
      <c r="L601" s="118"/>
      <c r="M601" s="121"/>
      <c r="N601" s="122" t="str">
        <f t="shared" si="222"/>
        <v/>
      </c>
      <c r="O601" s="35" t="str">
        <f t="shared" si="223"/>
        <v/>
      </c>
      <c r="P601" s="124"/>
      <c r="Q601" s="36" t="str">
        <f t="shared" si="235"/>
        <v/>
      </c>
      <c r="R601" s="46" t="str">
        <f t="shared" si="224"/>
        <v/>
      </c>
      <c r="S601" s="38" t="str">
        <f t="shared" si="225"/>
        <v/>
      </c>
      <c r="T601" s="39" t="str">
        <f t="shared" si="226"/>
        <v/>
      </c>
      <c r="U601" s="40" t="str">
        <f t="shared" si="227"/>
        <v/>
      </c>
      <c r="V601" s="39" t="str">
        <f t="shared" si="228"/>
        <v/>
      </c>
      <c r="W601" s="34" t="str">
        <f t="shared" si="229"/>
        <v/>
      </c>
      <c r="X601" s="41" t="str">
        <f t="shared" si="236"/>
        <v/>
      </c>
      <c r="Y601" s="98" t="str">
        <f t="shared" si="230"/>
        <v/>
      </c>
      <c r="Z601" s="16" t="str">
        <f t="shared" si="237"/>
        <v/>
      </c>
      <c r="AB601" s="139"/>
      <c r="AC601" s="146" t="str">
        <f t="shared" si="240"/>
        <v/>
      </c>
      <c r="AD601" s="148" t="str">
        <f t="shared" si="238"/>
        <v/>
      </c>
      <c r="AE601" s="147" t="str">
        <f t="shared" si="231"/>
        <v/>
      </c>
      <c r="AF601" s="111" t="str">
        <f t="shared" si="232"/>
        <v/>
      </c>
      <c r="AG601" s="111" t="str">
        <f t="shared" si="233"/>
        <v/>
      </c>
      <c r="AH601" s="112" t="str">
        <f t="shared" si="234"/>
        <v/>
      </c>
      <c r="AI601" t="str">
        <f t="shared" si="239"/>
        <v/>
      </c>
      <c r="AJ601" t="str">
        <f t="shared" si="241"/>
        <v/>
      </c>
    </row>
    <row r="602" spans="1:36" ht="15" customHeight="1" x14ac:dyDescent="0.25">
      <c r="A602" s="114"/>
      <c r="B602" s="116"/>
      <c r="C602" s="116"/>
      <c r="D602" s="42" t="str">
        <f t="shared" si="218"/>
        <v/>
      </c>
      <c r="E602" s="43"/>
      <c r="F602" s="118"/>
      <c r="G602" s="44" t="str">
        <f t="shared" si="219"/>
        <v/>
      </c>
      <c r="H602" s="118"/>
      <c r="I602" s="34" t="str">
        <f t="shared" si="220"/>
        <v/>
      </c>
      <c r="J602" s="118"/>
      <c r="K602" s="34" t="str">
        <f t="shared" si="221"/>
        <v/>
      </c>
      <c r="L602" s="118"/>
      <c r="M602" s="121"/>
      <c r="N602" s="122" t="str">
        <f t="shared" si="222"/>
        <v/>
      </c>
      <c r="O602" s="35" t="str">
        <f t="shared" si="223"/>
        <v/>
      </c>
      <c r="P602" s="124"/>
      <c r="Q602" s="36" t="str">
        <f t="shared" si="235"/>
        <v/>
      </c>
      <c r="R602" s="46" t="str">
        <f t="shared" si="224"/>
        <v/>
      </c>
      <c r="S602" s="38" t="str">
        <f t="shared" si="225"/>
        <v/>
      </c>
      <c r="T602" s="39" t="str">
        <f t="shared" si="226"/>
        <v/>
      </c>
      <c r="U602" s="40" t="str">
        <f t="shared" si="227"/>
        <v/>
      </c>
      <c r="V602" s="39" t="str">
        <f t="shared" si="228"/>
        <v/>
      </c>
      <c r="W602" s="34" t="str">
        <f t="shared" si="229"/>
        <v/>
      </c>
      <c r="X602" s="41" t="str">
        <f t="shared" si="236"/>
        <v/>
      </c>
      <c r="Y602" s="98" t="str">
        <f t="shared" si="230"/>
        <v/>
      </c>
      <c r="Z602" s="16" t="str">
        <f t="shared" si="237"/>
        <v/>
      </c>
      <c r="AB602" s="139"/>
      <c r="AC602" s="146" t="str">
        <f t="shared" si="240"/>
        <v/>
      </c>
      <c r="AD602" s="148" t="str">
        <f t="shared" si="238"/>
        <v/>
      </c>
      <c r="AE602" s="147" t="str">
        <f t="shared" si="231"/>
        <v/>
      </c>
      <c r="AF602" s="111" t="str">
        <f t="shared" si="232"/>
        <v/>
      </c>
      <c r="AG602" s="111" t="str">
        <f t="shared" si="233"/>
        <v/>
      </c>
      <c r="AH602" s="112" t="str">
        <f t="shared" si="234"/>
        <v/>
      </c>
      <c r="AI602" t="str">
        <f t="shared" si="239"/>
        <v/>
      </c>
      <c r="AJ602" t="str">
        <f t="shared" si="241"/>
        <v/>
      </c>
    </row>
    <row r="603" spans="1:36" ht="15" customHeight="1" x14ac:dyDescent="0.25">
      <c r="A603" s="114"/>
      <c r="B603" s="116"/>
      <c r="C603" s="116"/>
      <c r="D603" s="42" t="str">
        <f t="shared" si="218"/>
        <v/>
      </c>
      <c r="E603" s="43"/>
      <c r="F603" s="118"/>
      <c r="G603" s="44" t="str">
        <f t="shared" si="219"/>
        <v/>
      </c>
      <c r="H603" s="118"/>
      <c r="I603" s="34" t="str">
        <f t="shared" si="220"/>
        <v/>
      </c>
      <c r="J603" s="118"/>
      <c r="K603" s="34" t="str">
        <f t="shared" si="221"/>
        <v/>
      </c>
      <c r="L603" s="118"/>
      <c r="M603" s="121"/>
      <c r="N603" s="122" t="str">
        <f t="shared" si="222"/>
        <v/>
      </c>
      <c r="O603" s="35" t="str">
        <f t="shared" si="223"/>
        <v/>
      </c>
      <c r="P603" s="124"/>
      <c r="Q603" s="36" t="str">
        <f t="shared" si="235"/>
        <v/>
      </c>
      <c r="R603" s="46" t="str">
        <f t="shared" si="224"/>
        <v/>
      </c>
      <c r="S603" s="38" t="str">
        <f t="shared" si="225"/>
        <v/>
      </c>
      <c r="T603" s="39" t="str">
        <f t="shared" si="226"/>
        <v/>
      </c>
      <c r="U603" s="40" t="str">
        <f t="shared" si="227"/>
        <v/>
      </c>
      <c r="V603" s="39" t="str">
        <f t="shared" si="228"/>
        <v/>
      </c>
      <c r="W603" s="34" t="str">
        <f t="shared" si="229"/>
        <v/>
      </c>
      <c r="X603" s="41" t="str">
        <f t="shared" si="236"/>
        <v/>
      </c>
      <c r="Y603" s="98" t="str">
        <f t="shared" si="230"/>
        <v/>
      </c>
      <c r="Z603" s="16" t="str">
        <f t="shared" si="237"/>
        <v/>
      </c>
      <c r="AB603" s="139"/>
      <c r="AC603" s="146" t="str">
        <f t="shared" si="240"/>
        <v/>
      </c>
      <c r="AD603" s="148" t="str">
        <f t="shared" si="238"/>
        <v/>
      </c>
      <c r="AE603" s="147" t="str">
        <f t="shared" si="231"/>
        <v/>
      </c>
      <c r="AF603" s="111" t="str">
        <f t="shared" si="232"/>
        <v/>
      </c>
      <c r="AG603" s="111" t="str">
        <f t="shared" si="233"/>
        <v/>
      </c>
      <c r="AH603" s="112" t="str">
        <f t="shared" si="234"/>
        <v/>
      </c>
      <c r="AI603" t="str">
        <f t="shared" si="239"/>
        <v/>
      </c>
      <c r="AJ603" t="str">
        <f t="shared" si="241"/>
        <v/>
      </c>
    </row>
    <row r="604" spans="1:36" ht="15" customHeight="1" x14ac:dyDescent="0.25">
      <c r="A604" s="114"/>
      <c r="B604" s="116"/>
      <c r="C604" s="116"/>
      <c r="D604" s="42" t="str">
        <f t="shared" si="218"/>
        <v/>
      </c>
      <c r="E604" s="43"/>
      <c r="F604" s="118"/>
      <c r="G604" s="44" t="str">
        <f t="shared" si="219"/>
        <v/>
      </c>
      <c r="H604" s="118"/>
      <c r="I604" s="34" t="str">
        <f t="shared" si="220"/>
        <v/>
      </c>
      <c r="J604" s="118"/>
      <c r="K604" s="34" t="str">
        <f t="shared" si="221"/>
        <v/>
      </c>
      <c r="L604" s="118"/>
      <c r="M604" s="121"/>
      <c r="N604" s="122" t="str">
        <f t="shared" si="222"/>
        <v/>
      </c>
      <c r="O604" s="35" t="str">
        <f t="shared" si="223"/>
        <v/>
      </c>
      <c r="P604" s="124"/>
      <c r="Q604" s="36" t="str">
        <f t="shared" si="235"/>
        <v/>
      </c>
      <c r="R604" s="46" t="str">
        <f t="shared" si="224"/>
        <v/>
      </c>
      <c r="S604" s="38" t="str">
        <f t="shared" si="225"/>
        <v/>
      </c>
      <c r="T604" s="39" t="str">
        <f t="shared" si="226"/>
        <v/>
      </c>
      <c r="U604" s="40" t="str">
        <f t="shared" si="227"/>
        <v/>
      </c>
      <c r="V604" s="39" t="str">
        <f t="shared" si="228"/>
        <v/>
      </c>
      <c r="W604" s="34" t="str">
        <f t="shared" si="229"/>
        <v/>
      </c>
      <c r="X604" s="41" t="str">
        <f t="shared" si="236"/>
        <v/>
      </c>
      <c r="Y604" s="98" t="str">
        <f t="shared" si="230"/>
        <v/>
      </c>
      <c r="Z604" s="16" t="str">
        <f t="shared" si="237"/>
        <v/>
      </c>
      <c r="AB604" s="139"/>
      <c r="AC604" s="146" t="str">
        <f t="shared" si="240"/>
        <v/>
      </c>
      <c r="AD604" s="148" t="str">
        <f t="shared" si="238"/>
        <v/>
      </c>
      <c r="AE604" s="147" t="str">
        <f t="shared" si="231"/>
        <v/>
      </c>
      <c r="AF604" s="111" t="str">
        <f t="shared" si="232"/>
        <v/>
      </c>
      <c r="AG604" s="111" t="str">
        <f t="shared" si="233"/>
        <v/>
      </c>
      <c r="AH604" s="112" t="str">
        <f t="shared" si="234"/>
        <v/>
      </c>
      <c r="AI604" t="str">
        <f t="shared" si="239"/>
        <v/>
      </c>
      <c r="AJ604" t="str">
        <f t="shared" si="241"/>
        <v/>
      </c>
    </row>
    <row r="605" spans="1:36" ht="15" customHeight="1" x14ac:dyDescent="0.25">
      <c r="A605" s="114"/>
      <c r="B605" s="116"/>
      <c r="C605" s="116"/>
      <c r="D605" s="42" t="str">
        <f t="shared" si="218"/>
        <v/>
      </c>
      <c r="E605" s="43"/>
      <c r="F605" s="118"/>
      <c r="G605" s="44" t="str">
        <f t="shared" si="219"/>
        <v/>
      </c>
      <c r="H605" s="118"/>
      <c r="I605" s="34" t="str">
        <f t="shared" si="220"/>
        <v/>
      </c>
      <c r="J605" s="118"/>
      <c r="K605" s="34" t="str">
        <f t="shared" si="221"/>
        <v/>
      </c>
      <c r="L605" s="118"/>
      <c r="M605" s="121"/>
      <c r="N605" s="122" t="str">
        <f t="shared" si="222"/>
        <v/>
      </c>
      <c r="O605" s="35" t="str">
        <f t="shared" si="223"/>
        <v/>
      </c>
      <c r="P605" s="124"/>
      <c r="Q605" s="36" t="str">
        <f t="shared" si="235"/>
        <v/>
      </c>
      <c r="R605" s="46" t="str">
        <f t="shared" si="224"/>
        <v/>
      </c>
      <c r="S605" s="38" t="str">
        <f t="shared" si="225"/>
        <v/>
      </c>
      <c r="T605" s="39" t="str">
        <f t="shared" si="226"/>
        <v/>
      </c>
      <c r="U605" s="40" t="str">
        <f t="shared" si="227"/>
        <v/>
      </c>
      <c r="V605" s="39" t="str">
        <f t="shared" si="228"/>
        <v/>
      </c>
      <c r="W605" s="34" t="str">
        <f t="shared" si="229"/>
        <v/>
      </c>
      <c r="X605" s="41" t="str">
        <f t="shared" si="236"/>
        <v/>
      </c>
      <c r="Y605" s="98" t="str">
        <f t="shared" si="230"/>
        <v/>
      </c>
      <c r="Z605" s="16" t="str">
        <f t="shared" si="237"/>
        <v/>
      </c>
      <c r="AB605" s="139"/>
      <c r="AC605" s="146" t="str">
        <f t="shared" si="240"/>
        <v/>
      </c>
      <c r="AD605" s="148" t="str">
        <f t="shared" si="238"/>
        <v/>
      </c>
      <c r="AE605" s="147" t="str">
        <f t="shared" si="231"/>
        <v/>
      </c>
      <c r="AF605" s="111" t="str">
        <f t="shared" si="232"/>
        <v/>
      </c>
      <c r="AG605" s="111" t="str">
        <f t="shared" si="233"/>
        <v/>
      </c>
      <c r="AH605" s="112" t="str">
        <f t="shared" si="234"/>
        <v/>
      </c>
      <c r="AI605" t="str">
        <f t="shared" si="239"/>
        <v/>
      </c>
      <c r="AJ605" t="str">
        <f t="shared" si="241"/>
        <v/>
      </c>
    </row>
    <row r="606" spans="1:36" ht="15" customHeight="1" x14ac:dyDescent="0.25">
      <c r="A606" s="114"/>
      <c r="B606" s="116"/>
      <c r="C606" s="116"/>
      <c r="D606" s="42" t="str">
        <f t="shared" si="218"/>
        <v/>
      </c>
      <c r="E606" s="43"/>
      <c r="F606" s="118"/>
      <c r="G606" s="44" t="str">
        <f t="shared" si="219"/>
        <v/>
      </c>
      <c r="H606" s="118"/>
      <c r="I606" s="34" t="str">
        <f t="shared" si="220"/>
        <v/>
      </c>
      <c r="J606" s="118"/>
      <c r="K606" s="34" t="str">
        <f t="shared" si="221"/>
        <v/>
      </c>
      <c r="L606" s="118"/>
      <c r="M606" s="121"/>
      <c r="N606" s="122" t="str">
        <f t="shared" si="222"/>
        <v/>
      </c>
      <c r="O606" s="35" t="str">
        <f t="shared" si="223"/>
        <v/>
      </c>
      <c r="P606" s="124"/>
      <c r="Q606" s="36" t="str">
        <f t="shared" si="235"/>
        <v/>
      </c>
      <c r="R606" s="46" t="str">
        <f t="shared" si="224"/>
        <v/>
      </c>
      <c r="S606" s="38" t="str">
        <f t="shared" si="225"/>
        <v/>
      </c>
      <c r="T606" s="39" t="str">
        <f t="shared" si="226"/>
        <v/>
      </c>
      <c r="U606" s="40" t="str">
        <f t="shared" si="227"/>
        <v/>
      </c>
      <c r="V606" s="39" t="str">
        <f t="shared" si="228"/>
        <v/>
      </c>
      <c r="W606" s="34" t="str">
        <f t="shared" si="229"/>
        <v/>
      </c>
      <c r="X606" s="41" t="str">
        <f t="shared" si="236"/>
        <v/>
      </c>
      <c r="Y606" s="98" t="str">
        <f t="shared" si="230"/>
        <v/>
      </c>
      <c r="Z606" s="16" t="str">
        <f t="shared" si="237"/>
        <v/>
      </c>
      <c r="AB606" s="139"/>
      <c r="AC606" s="146" t="str">
        <f t="shared" si="240"/>
        <v/>
      </c>
      <c r="AD606" s="148" t="str">
        <f t="shared" si="238"/>
        <v/>
      </c>
      <c r="AE606" s="147" t="str">
        <f t="shared" si="231"/>
        <v/>
      </c>
      <c r="AF606" s="111" t="str">
        <f t="shared" si="232"/>
        <v/>
      </c>
      <c r="AG606" s="111" t="str">
        <f t="shared" si="233"/>
        <v/>
      </c>
      <c r="AH606" s="112" t="str">
        <f t="shared" si="234"/>
        <v/>
      </c>
      <c r="AI606" t="str">
        <f t="shared" si="239"/>
        <v/>
      </c>
      <c r="AJ606" t="str">
        <f t="shared" si="241"/>
        <v/>
      </c>
    </row>
    <row r="607" spans="1:36" ht="15" customHeight="1" x14ac:dyDescent="0.25">
      <c r="A607" s="114"/>
      <c r="B607" s="116"/>
      <c r="C607" s="116"/>
      <c r="D607" s="42" t="str">
        <f t="shared" si="218"/>
        <v/>
      </c>
      <c r="E607" s="43"/>
      <c r="F607" s="118"/>
      <c r="G607" s="44" t="str">
        <f t="shared" si="219"/>
        <v/>
      </c>
      <c r="H607" s="118"/>
      <c r="I607" s="34" t="str">
        <f t="shared" si="220"/>
        <v/>
      </c>
      <c r="J607" s="118"/>
      <c r="K607" s="34" t="str">
        <f t="shared" si="221"/>
        <v/>
      </c>
      <c r="L607" s="118"/>
      <c r="M607" s="121"/>
      <c r="N607" s="122" t="str">
        <f t="shared" si="222"/>
        <v/>
      </c>
      <c r="O607" s="35" t="str">
        <f t="shared" si="223"/>
        <v/>
      </c>
      <c r="P607" s="124"/>
      <c r="Q607" s="36" t="str">
        <f t="shared" si="235"/>
        <v/>
      </c>
      <c r="R607" s="46" t="str">
        <f t="shared" si="224"/>
        <v/>
      </c>
      <c r="S607" s="38" t="str">
        <f t="shared" si="225"/>
        <v/>
      </c>
      <c r="T607" s="39" t="str">
        <f t="shared" si="226"/>
        <v/>
      </c>
      <c r="U607" s="40" t="str">
        <f t="shared" si="227"/>
        <v/>
      </c>
      <c r="V607" s="39" t="str">
        <f t="shared" si="228"/>
        <v/>
      </c>
      <c r="W607" s="34" t="str">
        <f t="shared" si="229"/>
        <v/>
      </c>
      <c r="X607" s="41" t="str">
        <f t="shared" si="236"/>
        <v/>
      </c>
      <c r="Y607" s="98" t="str">
        <f t="shared" si="230"/>
        <v/>
      </c>
      <c r="Z607" s="16" t="str">
        <f t="shared" si="237"/>
        <v/>
      </c>
      <c r="AB607" s="139"/>
      <c r="AC607" s="146" t="str">
        <f t="shared" si="240"/>
        <v/>
      </c>
      <c r="AD607" s="148" t="str">
        <f t="shared" si="238"/>
        <v/>
      </c>
      <c r="AE607" s="147" t="str">
        <f t="shared" si="231"/>
        <v/>
      </c>
      <c r="AF607" s="111" t="str">
        <f t="shared" si="232"/>
        <v/>
      </c>
      <c r="AG607" s="111" t="str">
        <f t="shared" si="233"/>
        <v/>
      </c>
      <c r="AH607" s="112" t="str">
        <f t="shared" si="234"/>
        <v/>
      </c>
      <c r="AI607" t="str">
        <f t="shared" si="239"/>
        <v/>
      </c>
      <c r="AJ607" t="str">
        <f t="shared" si="241"/>
        <v/>
      </c>
    </row>
    <row r="608" spans="1:36" ht="15" customHeight="1" x14ac:dyDescent="0.25">
      <c r="A608" s="114"/>
      <c r="B608" s="116"/>
      <c r="C608" s="116"/>
      <c r="D608" s="42" t="str">
        <f t="shared" si="218"/>
        <v/>
      </c>
      <c r="E608" s="43"/>
      <c r="F608" s="118"/>
      <c r="G608" s="44" t="str">
        <f t="shared" si="219"/>
        <v/>
      </c>
      <c r="H608" s="118"/>
      <c r="I608" s="34" t="str">
        <f t="shared" si="220"/>
        <v/>
      </c>
      <c r="J608" s="118"/>
      <c r="K608" s="34" t="str">
        <f t="shared" si="221"/>
        <v/>
      </c>
      <c r="L608" s="118"/>
      <c r="M608" s="121"/>
      <c r="N608" s="122" t="str">
        <f t="shared" si="222"/>
        <v/>
      </c>
      <c r="O608" s="35" t="str">
        <f t="shared" si="223"/>
        <v/>
      </c>
      <c r="P608" s="124"/>
      <c r="Q608" s="36" t="str">
        <f t="shared" si="235"/>
        <v/>
      </c>
      <c r="R608" s="46" t="str">
        <f t="shared" si="224"/>
        <v/>
      </c>
      <c r="S608" s="38" t="str">
        <f t="shared" si="225"/>
        <v/>
      </c>
      <c r="T608" s="39" t="str">
        <f t="shared" si="226"/>
        <v/>
      </c>
      <c r="U608" s="40" t="str">
        <f t="shared" si="227"/>
        <v/>
      </c>
      <c r="V608" s="39" t="str">
        <f t="shared" si="228"/>
        <v/>
      </c>
      <c r="W608" s="34" t="str">
        <f t="shared" si="229"/>
        <v/>
      </c>
      <c r="X608" s="41" t="str">
        <f t="shared" si="236"/>
        <v/>
      </c>
      <c r="Y608" s="98" t="str">
        <f t="shared" si="230"/>
        <v/>
      </c>
      <c r="Z608" s="16" t="str">
        <f t="shared" si="237"/>
        <v/>
      </c>
      <c r="AB608" s="139"/>
      <c r="AC608" s="146" t="str">
        <f t="shared" si="240"/>
        <v/>
      </c>
      <c r="AD608" s="148" t="str">
        <f t="shared" si="238"/>
        <v/>
      </c>
      <c r="AE608" s="147" t="str">
        <f t="shared" si="231"/>
        <v/>
      </c>
      <c r="AF608" s="111" t="str">
        <f t="shared" si="232"/>
        <v/>
      </c>
      <c r="AG608" s="111" t="str">
        <f t="shared" si="233"/>
        <v/>
      </c>
      <c r="AH608" s="112" t="str">
        <f t="shared" si="234"/>
        <v/>
      </c>
      <c r="AI608" t="str">
        <f t="shared" si="239"/>
        <v/>
      </c>
      <c r="AJ608" t="str">
        <f t="shared" si="241"/>
        <v/>
      </c>
    </row>
    <row r="609" spans="1:36" ht="15" customHeight="1" x14ac:dyDescent="0.25">
      <c r="A609" s="114"/>
      <c r="B609" s="116"/>
      <c r="C609" s="116"/>
      <c r="D609" s="42" t="str">
        <f t="shared" si="218"/>
        <v/>
      </c>
      <c r="E609" s="43"/>
      <c r="F609" s="118"/>
      <c r="G609" s="44" t="str">
        <f t="shared" si="219"/>
        <v/>
      </c>
      <c r="H609" s="118"/>
      <c r="I609" s="34" t="str">
        <f t="shared" si="220"/>
        <v/>
      </c>
      <c r="J609" s="118"/>
      <c r="K609" s="34" t="str">
        <f t="shared" si="221"/>
        <v/>
      </c>
      <c r="L609" s="118"/>
      <c r="M609" s="121"/>
      <c r="N609" s="122" t="str">
        <f t="shared" si="222"/>
        <v/>
      </c>
      <c r="O609" s="35" t="str">
        <f t="shared" si="223"/>
        <v/>
      </c>
      <c r="P609" s="124"/>
      <c r="Q609" s="36" t="str">
        <f t="shared" si="235"/>
        <v/>
      </c>
      <c r="R609" s="46" t="str">
        <f t="shared" si="224"/>
        <v/>
      </c>
      <c r="S609" s="38" t="str">
        <f t="shared" si="225"/>
        <v/>
      </c>
      <c r="T609" s="39" t="str">
        <f t="shared" si="226"/>
        <v/>
      </c>
      <c r="U609" s="40" t="str">
        <f t="shared" si="227"/>
        <v/>
      </c>
      <c r="V609" s="39" t="str">
        <f t="shared" si="228"/>
        <v/>
      </c>
      <c r="W609" s="34" t="str">
        <f t="shared" si="229"/>
        <v/>
      </c>
      <c r="X609" s="41" t="str">
        <f t="shared" si="236"/>
        <v/>
      </c>
      <c r="Y609" s="98" t="str">
        <f t="shared" si="230"/>
        <v/>
      </c>
      <c r="Z609" s="16" t="str">
        <f t="shared" si="237"/>
        <v/>
      </c>
      <c r="AB609" s="139"/>
      <c r="AC609" s="146" t="str">
        <f t="shared" si="240"/>
        <v/>
      </c>
      <c r="AD609" s="148" t="str">
        <f t="shared" si="238"/>
        <v/>
      </c>
      <c r="AE609" s="147" t="str">
        <f t="shared" si="231"/>
        <v/>
      </c>
      <c r="AF609" s="111" t="str">
        <f t="shared" si="232"/>
        <v/>
      </c>
      <c r="AG609" s="111" t="str">
        <f t="shared" si="233"/>
        <v/>
      </c>
      <c r="AH609" s="112" t="str">
        <f t="shared" si="234"/>
        <v/>
      </c>
      <c r="AI609" t="str">
        <f t="shared" si="239"/>
        <v/>
      </c>
      <c r="AJ609" t="str">
        <f t="shared" si="241"/>
        <v/>
      </c>
    </row>
    <row r="610" spans="1:36" ht="15" customHeight="1" x14ac:dyDescent="0.25">
      <c r="A610" s="114"/>
      <c r="B610" s="116"/>
      <c r="C610" s="116"/>
      <c r="D610" s="42" t="str">
        <f t="shared" si="218"/>
        <v/>
      </c>
      <c r="E610" s="43"/>
      <c r="F610" s="118"/>
      <c r="G610" s="44" t="str">
        <f t="shared" si="219"/>
        <v/>
      </c>
      <c r="H610" s="118"/>
      <c r="I610" s="34" t="str">
        <f t="shared" si="220"/>
        <v/>
      </c>
      <c r="J610" s="118"/>
      <c r="K610" s="34" t="str">
        <f t="shared" si="221"/>
        <v/>
      </c>
      <c r="L610" s="118"/>
      <c r="M610" s="121"/>
      <c r="N610" s="122" t="str">
        <f t="shared" si="222"/>
        <v/>
      </c>
      <c r="O610" s="35" t="str">
        <f t="shared" si="223"/>
        <v/>
      </c>
      <c r="P610" s="124"/>
      <c r="Q610" s="36" t="str">
        <f t="shared" si="235"/>
        <v/>
      </c>
      <c r="R610" s="46" t="str">
        <f t="shared" si="224"/>
        <v/>
      </c>
      <c r="S610" s="38" t="str">
        <f t="shared" si="225"/>
        <v/>
      </c>
      <c r="T610" s="39" t="str">
        <f t="shared" si="226"/>
        <v/>
      </c>
      <c r="U610" s="40" t="str">
        <f t="shared" si="227"/>
        <v/>
      </c>
      <c r="V610" s="39" t="str">
        <f t="shared" si="228"/>
        <v/>
      </c>
      <c r="W610" s="34" t="str">
        <f t="shared" si="229"/>
        <v/>
      </c>
      <c r="X610" s="41" t="str">
        <f t="shared" si="236"/>
        <v/>
      </c>
      <c r="Y610" s="98" t="str">
        <f t="shared" si="230"/>
        <v/>
      </c>
      <c r="Z610" s="16" t="str">
        <f t="shared" si="237"/>
        <v/>
      </c>
      <c r="AB610" s="139"/>
      <c r="AC610" s="146" t="str">
        <f t="shared" si="240"/>
        <v/>
      </c>
      <c r="AD610" s="148" t="str">
        <f t="shared" si="238"/>
        <v/>
      </c>
      <c r="AE610" s="147" t="str">
        <f t="shared" si="231"/>
        <v/>
      </c>
      <c r="AF610" s="111" t="str">
        <f t="shared" si="232"/>
        <v/>
      </c>
      <c r="AG610" s="111" t="str">
        <f t="shared" si="233"/>
        <v/>
      </c>
      <c r="AH610" s="112" t="str">
        <f t="shared" si="234"/>
        <v/>
      </c>
      <c r="AI610" t="str">
        <f t="shared" si="239"/>
        <v/>
      </c>
      <c r="AJ610" t="str">
        <f t="shared" si="241"/>
        <v/>
      </c>
    </row>
    <row r="611" spans="1:36" ht="15" customHeight="1" x14ac:dyDescent="0.25">
      <c r="A611" s="114"/>
      <c r="B611" s="116"/>
      <c r="C611" s="116"/>
      <c r="D611" s="42" t="str">
        <f t="shared" si="218"/>
        <v/>
      </c>
      <c r="E611" s="43"/>
      <c r="F611" s="118"/>
      <c r="G611" s="44" t="str">
        <f t="shared" si="219"/>
        <v/>
      </c>
      <c r="H611" s="118"/>
      <c r="I611" s="34" t="str">
        <f t="shared" si="220"/>
        <v/>
      </c>
      <c r="J611" s="118"/>
      <c r="K611" s="34" t="str">
        <f t="shared" si="221"/>
        <v/>
      </c>
      <c r="L611" s="118"/>
      <c r="M611" s="121"/>
      <c r="N611" s="122" t="str">
        <f t="shared" si="222"/>
        <v/>
      </c>
      <c r="O611" s="35" t="str">
        <f t="shared" si="223"/>
        <v/>
      </c>
      <c r="P611" s="124"/>
      <c r="Q611" s="36" t="str">
        <f t="shared" si="235"/>
        <v/>
      </c>
      <c r="R611" s="46" t="str">
        <f t="shared" si="224"/>
        <v/>
      </c>
      <c r="S611" s="38" t="str">
        <f t="shared" si="225"/>
        <v/>
      </c>
      <c r="T611" s="39" t="str">
        <f t="shared" si="226"/>
        <v/>
      </c>
      <c r="U611" s="40" t="str">
        <f t="shared" si="227"/>
        <v/>
      </c>
      <c r="V611" s="39" t="str">
        <f t="shared" si="228"/>
        <v/>
      </c>
      <c r="W611" s="34" t="str">
        <f t="shared" si="229"/>
        <v/>
      </c>
      <c r="X611" s="41" t="str">
        <f t="shared" si="236"/>
        <v/>
      </c>
      <c r="Y611" s="98" t="str">
        <f t="shared" si="230"/>
        <v/>
      </c>
      <c r="Z611" s="16" t="str">
        <f t="shared" si="237"/>
        <v/>
      </c>
      <c r="AB611" s="139"/>
      <c r="AC611" s="146" t="str">
        <f t="shared" si="240"/>
        <v/>
      </c>
      <c r="AD611" s="148" t="str">
        <f t="shared" si="238"/>
        <v/>
      </c>
      <c r="AE611" s="147" t="str">
        <f t="shared" si="231"/>
        <v/>
      </c>
      <c r="AF611" s="111" t="str">
        <f t="shared" si="232"/>
        <v/>
      </c>
      <c r="AG611" s="111" t="str">
        <f t="shared" si="233"/>
        <v/>
      </c>
      <c r="AH611" s="112" t="str">
        <f t="shared" si="234"/>
        <v/>
      </c>
      <c r="AI611" t="str">
        <f t="shared" si="239"/>
        <v/>
      </c>
      <c r="AJ611" t="str">
        <f t="shared" si="241"/>
        <v/>
      </c>
    </row>
    <row r="612" spans="1:36" ht="15" customHeight="1" x14ac:dyDescent="0.25">
      <c r="A612" s="114"/>
      <c r="B612" s="116"/>
      <c r="C612" s="116"/>
      <c r="D612" s="42" t="str">
        <f t="shared" si="218"/>
        <v/>
      </c>
      <c r="E612" s="43"/>
      <c r="F612" s="118"/>
      <c r="G612" s="44" t="str">
        <f t="shared" si="219"/>
        <v/>
      </c>
      <c r="H612" s="118"/>
      <c r="I612" s="34" t="str">
        <f t="shared" si="220"/>
        <v/>
      </c>
      <c r="J612" s="118"/>
      <c r="K612" s="34" t="str">
        <f t="shared" si="221"/>
        <v/>
      </c>
      <c r="L612" s="118"/>
      <c r="M612" s="121"/>
      <c r="N612" s="122" t="str">
        <f t="shared" si="222"/>
        <v/>
      </c>
      <c r="O612" s="35" t="str">
        <f t="shared" si="223"/>
        <v/>
      </c>
      <c r="P612" s="124"/>
      <c r="Q612" s="36" t="str">
        <f t="shared" si="235"/>
        <v/>
      </c>
      <c r="R612" s="46" t="str">
        <f t="shared" si="224"/>
        <v/>
      </c>
      <c r="S612" s="38" t="str">
        <f t="shared" si="225"/>
        <v/>
      </c>
      <c r="T612" s="39" t="str">
        <f t="shared" si="226"/>
        <v/>
      </c>
      <c r="U612" s="40" t="str">
        <f t="shared" si="227"/>
        <v/>
      </c>
      <c r="V612" s="39" t="str">
        <f t="shared" si="228"/>
        <v/>
      </c>
      <c r="W612" s="34" t="str">
        <f t="shared" si="229"/>
        <v/>
      </c>
      <c r="X612" s="41" t="str">
        <f t="shared" si="236"/>
        <v/>
      </c>
      <c r="Y612" s="98" t="str">
        <f t="shared" si="230"/>
        <v/>
      </c>
      <c r="Z612" s="16" t="str">
        <f t="shared" si="237"/>
        <v/>
      </c>
      <c r="AB612" s="139"/>
      <c r="AC612" s="146" t="str">
        <f t="shared" si="240"/>
        <v/>
      </c>
      <c r="AD612" s="148" t="str">
        <f t="shared" si="238"/>
        <v/>
      </c>
      <c r="AE612" s="147" t="str">
        <f t="shared" si="231"/>
        <v/>
      </c>
      <c r="AF612" s="111" t="str">
        <f t="shared" si="232"/>
        <v/>
      </c>
      <c r="AG612" s="111" t="str">
        <f t="shared" si="233"/>
        <v/>
      </c>
      <c r="AH612" s="112" t="str">
        <f t="shared" si="234"/>
        <v/>
      </c>
      <c r="AI612" t="str">
        <f t="shared" si="239"/>
        <v/>
      </c>
      <c r="AJ612" t="str">
        <f t="shared" si="241"/>
        <v/>
      </c>
    </row>
    <row r="613" spans="1:36" ht="15" customHeight="1" x14ac:dyDescent="0.25">
      <c r="A613" s="114"/>
      <c r="B613" s="116"/>
      <c r="C613" s="116"/>
      <c r="D613" s="42" t="str">
        <f t="shared" si="218"/>
        <v/>
      </c>
      <c r="E613" s="43"/>
      <c r="F613" s="118"/>
      <c r="G613" s="44" t="str">
        <f t="shared" si="219"/>
        <v/>
      </c>
      <c r="H613" s="118"/>
      <c r="I613" s="34" t="str">
        <f t="shared" si="220"/>
        <v/>
      </c>
      <c r="J613" s="118"/>
      <c r="K613" s="34" t="str">
        <f t="shared" si="221"/>
        <v/>
      </c>
      <c r="L613" s="118"/>
      <c r="M613" s="121"/>
      <c r="N613" s="122" t="str">
        <f t="shared" si="222"/>
        <v/>
      </c>
      <c r="O613" s="35" t="str">
        <f t="shared" si="223"/>
        <v/>
      </c>
      <c r="P613" s="124"/>
      <c r="Q613" s="36" t="str">
        <f t="shared" si="235"/>
        <v/>
      </c>
      <c r="R613" s="46" t="str">
        <f t="shared" si="224"/>
        <v/>
      </c>
      <c r="S613" s="38" t="str">
        <f t="shared" si="225"/>
        <v/>
      </c>
      <c r="T613" s="39" t="str">
        <f t="shared" si="226"/>
        <v/>
      </c>
      <c r="U613" s="40" t="str">
        <f t="shared" si="227"/>
        <v/>
      </c>
      <c r="V613" s="39" t="str">
        <f t="shared" si="228"/>
        <v/>
      </c>
      <c r="W613" s="34" t="str">
        <f t="shared" si="229"/>
        <v/>
      </c>
      <c r="X613" s="41" t="str">
        <f t="shared" si="236"/>
        <v/>
      </c>
      <c r="Y613" s="98" t="str">
        <f t="shared" si="230"/>
        <v/>
      </c>
      <c r="Z613" s="16" t="str">
        <f t="shared" si="237"/>
        <v/>
      </c>
      <c r="AB613" s="139"/>
      <c r="AC613" s="146" t="str">
        <f t="shared" si="240"/>
        <v/>
      </c>
      <c r="AD613" s="148" t="str">
        <f t="shared" si="238"/>
        <v/>
      </c>
      <c r="AE613" s="147" t="str">
        <f t="shared" si="231"/>
        <v/>
      </c>
      <c r="AF613" s="111" t="str">
        <f t="shared" si="232"/>
        <v/>
      </c>
      <c r="AG613" s="111" t="str">
        <f t="shared" si="233"/>
        <v/>
      </c>
      <c r="AH613" s="112" t="str">
        <f t="shared" si="234"/>
        <v/>
      </c>
      <c r="AI613" t="str">
        <f t="shared" si="239"/>
        <v/>
      </c>
      <c r="AJ613" t="str">
        <f t="shared" si="241"/>
        <v/>
      </c>
    </row>
    <row r="614" spans="1:36" ht="15" customHeight="1" x14ac:dyDescent="0.25">
      <c r="A614" s="114"/>
      <c r="B614" s="116"/>
      <c r="C614" s="116"/>
      <c r="D614" s="42" t="str">
        <f t="shared" si="218"/>
        <v/>
      </c>
      <c r="E614" s="43"/>
      <c r="F614" s="118"/>
      <c r="G614" s="44" t="str">
        <f t="shared" si="219"/>
        <v/>
      </c>
      <c r="H614" s="118"/>
      <c r="I614" s="34" t="str">
        <f t="shared" si="220"/>
        <v/>
      </c>
      <c r="J614" s="118"/>
      <c r="K614" s="34" t="str">
        <f t="shared" si="221"/>
        <v/>
      </c>
      <c r="L614" s="118"/>
      <c r="M614" s="121"/>
      <c r="N614" s="122" t="str">
        <f t="shared" si="222"/>
        <v/>
      </c>
      <c r="O614" s="35" t="str">
        <f t="shared" si="223"/>
        <v/>
      </c>
      <c r="P614" s="124"/>
      <c r="Q614" s="36" t="str">
        <f t="shared" si="235"/>
        <v/>
      </c>
      <c r="R614" s="46" t="str">
        <f t="shared" si="224"/>
        <v/>
      </c>
      <c r="S614" s="38" t="str">
        <f t="shared" si="225"/>
        <v/>
      </c>
      <c r="T614" s="39" t="str">
        <f t="shared" si="226"/>
        <v/>
      </c>
      <c r="U614" s="40" t="str">
        <f t="shared" si="227"/>
        <v/>
      </c>
      <c r="V614" s="39" t="str">
        <f t="shared" si="228"/>
        <v/>
      </c>
      <c r="W614" s="34" t="str">
        <f t="shared" si="229"/>
        <v/>
      </c>
      <c r="X614" s="41" t="str">
        <f t="shared" si="236"/>
        <v/>
      </c>
      <c r="Y614" s="98" t="str">
        <f t="shared" si="230"/>
        <v/>
      </c>
      <c r="Z614" s="16" t="str">
        <f t="shared" si="237"/>
        <v/>
      </c>
      <c r="AB614" s="139"/>
      <c r="AC614" s="146" t="str">
        <f t="shared" si="240"/>
        <v/>
      </c>
      <c r="AD614" s="148" t="str">
        <f t="shared" si="238"/>
        <v/>
      </c>
      <c r="AE614" s="147" t="str">
        <f t="shared" si="231"/>
        <v/>
      </c>
      <c r="AF614" s="111" t="str">
        <f t="shared" si="232"/>
        <v/>
      </c>
      <c r="AG614" s="111" t="str">
        <f t="shared" si="233"/>
        <v/>
      </c>
      <c r="AH614" s="112" t="str">
        <f t="shared" si="234"/>
        <v/>
      </c>
      <c r="AI614" t="str">
        <f t="shared" si="239"/>
        <v/>
      </c>
      <c r="AJ614" t="str">
        <f t="shared" si="241"/>
        <v/>
      </c>
    </row>
    <row r="615" spans="1:36" ht="15" customHeight="1" x14ac:dyDescent="0.25">
      <c r="A615" s="114"/>
      <c r="B615" s="116"/>
      <c r="C615" s="116"/>
      <c r="D615" s="42" t="str">
        <f t="shared" si="218"/>
        <v/>
      </c>
      <c r="E615" s="43"/>
      <c r="F615" s="118"/>
      <c r="G615" s="44" t="str">
        <f t="shared" si="219"/>
        <v/>
      </c>
      <c r="H615" s="118"/>
      <c r="I615" s="34" t="str">
        <f t="shared" si="220"/>
        <v/>
      </c>
      <c r="J615" s="118"/>
      <c r="K615" s="34" t="str">
        <f t="shared" si="221"/>
        <v/>
      </c>
      <c r="L615" s="118"/>
      <c r="M615" s="121"/>
      <c r="N615" s="122" t="str">
        <f t="shared" si="222"/>
        <v/>
      </c>
      <c r="O615" s="35" t="str">
        <f t="shared" si="223"/>
        <v/>
      </c>
      <c r="P615" s="124"/>
      <c r="Q615" s="36" t="str">
        <f t="shared" si="235"/>
        <v/>
      </c>
      <c r="R615" s="46" t="str">
        <f t="shared" si="224"/>
        <v/>
      </c>
      <c r="S615" s="38" t="str">
        <f t="shared" si="225"/>
        <v/>
      </c>
      <c r="T615" s="39" t="str">
        <f t="shared" si="226"/>
        <v/>
      </c>
      <c r="U615" s="40" t="str">
        <f t="shared" si="227"/>
        <v/>
      </c>
      <c r="V615" s="39" t="str">
        <f t="shared" si="228"/>
        <v/>
      </c>
      <c r="W615" s="34" t="str">
        <f t="shared" si="229"/>
        <v/>
      </c>
      <c r="X615" s="41" t="str">
        <f t="shared" si="236"/>
        <v/>
      </c>
      <c r="Y615" s="98" t="str">
        <f t="shared" si="230"/>
        <v/>
      </c>
      <c r="Z615" s="16" t="str">
        <f t="shared" si="237"/>
        <v/>
      </c>
      <c r="AB615" s="139"/>
      <c r="AC615" s="146" t="str">
        <f t="shared" si="240"/>
        <v/>
      </c>
      <c r="AD615" s="148" t="str">
        <f t="shared" si="238"/>
        <v/>
      </c>
      <c r="AE615" s="147" t="str">
        <f t="shared" si="231"/>
        <v/>
      </c>
      <c r="AF615" s="111" t="str">
        <f t="shared" si="232"/>
        <v/>
      </c>
      <c r="AG615" s="111" t="str">
        <f t="shared" si="233"/>
        <v/>
      </c>
      <c r="AH615" s="112" t="str">
        <f t="shared" si="234"/>
        <v/>
      </c>
      <c r="AI615" t="str">
        <f t="shared" si="239"/>
        <v/>
      </c>
      <c r="AJ615" t="str">
        <f t="shared" si="241"/>
        <v/>
      </c>
    </row>
    <row r="616" spans="1:36" ht="15" customHeight="1" x14ac:dyDescent="0.25">
      <c r="A616" s="114"/>
      <c r="B616" s="116"/>
      <c r="C616" s="116"/>
      <c r="D616" s="42" t="str">
        <f t="shared" si="218"/>
        <v/>
      </c>
      <c r="E616" s="43"/>
      <c r="F616" s="118"/>
      <c r="G616" s="44" t="str">
        <f t="shared" si="219"/>
        <v/>
      </c>
      <c r="H616" s="118"/>
      <c r="I616" s="34" t="str">
        <f t="shared" si="220"/>
        <v/>
      </c>
      <c r="J616" s="118"/>
      <c r="K616" s="34" t="str">
        <f t="shared" si="221"/>
        <v/>
      </c>
      <c r="L616" s="118"/>
      <c r="M616" s="121"/>
      <c r="N616" s="122" t="str">
        <f t="shared" si="222"/>
        <v/>
      </c>
      <c r="O616" s="35" t="str">
        <f t="shared" si="223"/>
        <v/>
      </c>
      <c r="P616" s="124"/>
      <c r="Q616" s="36" t="str">
        <f t="shared" si="235"/>
        <v/>
      </c>
      <c r="R616" s="46" t="str">
        <f t="shared" si="224"/>
        <v/>
      </c>
      <c r="S616" s="38" t="str">
        <f t="shared" si="225"/>
        <v/>
      </c>
      <c r="T616" s="39" t="str">
        <f t="shared" si="226"/>
        <v/>
      </c>
      <c r="U616" s="40" t="str">
        <f t="shared" si="227"/>
        <v/>
      </c>
      <c r="V616" s="39" t="str">
        <f t="shared" si="228"/>
        <v/>
      </c>
      <c r="W616" s="34" t="str">
        <f t="shared" si="229"/>
        <v/>
      </c>
      <c r="X616" s="41" t="str">
        <f t="shared" si="236"/>
        <v/>
      </c>
      <c r="Y616" s="98" t="str">
        <f t="shared" si="230"/>
        <v/>
      </c>
      <c r="Z616" s="16" t="str">
        <f t="shared" si="237"/>
        <v/>
      </c>
      <c r="AB616" s="139"/>
      <c r="AC616" s="146" t="str">
        <f t="shared" si="240"/>
        <v/>
      </c>
      <c r="AD616" s="148" t="str">
        <f t="shared" si="238"/>
        <v/>
      </c>
      <c r="AE616" s="147" t="str">
        <f t="shared" si="231"/>
        <v/>
      </c>
      <c r="AF616" s="111" t="str">
        <f t="shared" si="232"/>
        <v/>
      </c>
      <c r="AG616" s="111" t="str">
        <f t="shared" si="233"/>
        <v/>
      </c>
      <c r="AH616" s="112" t="str">
        <f t="shared" si="234"/>
        <v/>
      </c>
      <c r="AI616" t="str">
        <f t="shared" si="239"/>
        <v/>
      </c>
      <c r="AJ616" t="str">
        <f t="shared" si="241"/>
        <v/>
      </c>
    </row>
    <row r="617" spans="1:36" ht="15" customHeight="1" x14ac:dyDescent="0.25">
      <c r="A617" s="114"/>
      <c r="B617" s="116"/>
      <c r="C617" s="116"/>
      <c r="D617" s="42" t="str">
        <f t="shared" si="218"/>
        <v/>
      </c>
      <c r="E617" s="43"/>
      <c r="F617" s="118"/>
      <c r="G617" s="44" t="str">
        <f t="shared" si="219"/>
        <v/>
      </c>
      <c r="H617" s="118"/>
      <c r="I617" s="34" t="str">
        <f t="shared" si="220"/>
        <v/>
      </c>
      <c r="J617" s="118"/>
      <c r="K617" s="34" t="str">
        <f t="shared" si="221"/>
        <v/>
      </c>
      <c r="L617" s="118"/>
      <c r="M617" s="121"/>
      <c r="N617" s="122" t="str">
        <f t="shared" si="222"/>
        <v/>
      </c>
      <c r="O617" s="35" t="str">
        <f t="shared" si="223"/>
        <v/>
      </c>
      <c r="P617" s="124"/>
      <c r="Q617" s="36" t="str">
        <f t="shared" si="235"/>
        <v/>
      </c>
      <c r="R617" s="46" t="str">
        <f t="shared" si="224"/>
        <v/>
      </c>
      <c r="S617" s="38" t="str">
        <f t="shared" si="225"/>
        <v/>
      </c>
      <c r="T617" s="39" t="str">
        <f t="shared" si="226"/>
        <v/>
      </c>
      <c r="U617" s="40" t="str">
        <f t="shared" si="227"/>
        <v/>
      </c>
      <c r="V617" s="39" t="str">
        <f t="shared" si="228"/>
        <v/>
      </c>
      <c r="W617" s="34" t="str">
        <f t="shared" si="229"/>
        <v/>
      </c>
      <c r="X617" s="41" t="str">
        <f t="shared" si="236"/>
        <v/>
      </c>
      <c r="Y617" s="98" t="str">
        <f t="shared" si="230"/>
        <v/>
      </c>
      <c r="Z617" s="16" t="str">
        <f t="shared" si="237"/>
        <v/>
      </c>
      <c r="AB617" s="139"/>
      <c r="AC617" s="146" t="str">
        <f t="shared" si="240"/>
        <v/>
      </c>
      <c r="AD617" s="148" t="str">
        <f t="shared" si="238"/>
        <v/>
      </c>
      <c r="AE617" s="147" t="str">
        <f t="shared" si="231"/>
        <v/>
      </c>
      <c r="AF617" s="111" t="str">
        <f t="shared" si="232"/>
        <v/>
      </c>
      <c r="AG617" s="111" t="str">
        <f t="shared" si="233"/>
        <v/>
      </c>
      <c r="AH617" s="112" t="str">
        <f t="shared" si="234"/>
        <v/>
      </c>
      <c r="AI617" t="str">
        <f t="shared" si="239"/>
        <v/>
      </c>
      <c r="AJ617" t="str">
        <f t="shared" si="241"/>
        <v/>
      </c>
    </row>
    <row r="618" spans="1:36" ht="15" customHeight="1" x14ac:dyDescent="0.25">
      <c r="A618" s="114"/>
      <c r="B618" s="116"/>
      <c r="C618" s="116"/>
      <c r="D618" s="42" t="str">
        <f t="shared" si="218"/>
        <v/>
      </c>
      <c r="E618" s="43"/>
      <c r="F618" s="118"/>
      <c r="G618" s="44" t="str">
        <f t="shared" si="219"/>
        <v/>
      </c>
      <c r="H618" s="118"/>
      <c r="I618" s="34" t="str">
        <f t="shared" si="220"/>
        <v/>
      </c>
      <c r="J618" s="118"/>
      <c r="K618" s="34" t="str">
        <f t="shared" si="221"/>
        <v/>
      </c>
      <c r="L618" s="118"/>
      <c r="M618" s="121"/>
      <c r="N618" s="122" t="str">
        <f t="shared" si="222"/>
        <v/>
      </c>
      <c r="O618" s="35" t="str">
        <f t="shared" si="223"/>
        <v/>
      </c>
      <c r="P618" s="124"/>
      <c r="Q618" s="36" t="str">
        <f t="shared" si="235"/>
        <v/>
      </c>
      <c r="R618" s="46" t="str">
        <f t="shared" si="224"/>
        <v/>
      </c>
      <c r="S618" s="38" t="str">
        <f t="shared" si="225"/>
        <v/>
      </c>
      <c r="T618" s="39" t="str">
        <f t="shared" si="226"/>
        <v/>
      </c>
      <c r="U618" s="40" t="str">
        <f t="shared" si="227"/>
        <v/>
      </c>
      <c r="V618" s="39" t="str">
        <f t="shared" si="228"/>
        <v/>
      </c>
      <c r="W618" s="34" t="str">
        <f t="shared" si="229"/>
        <v/>
      </c>
      <c r="X618" s="41" t="str">
        <f t="shared" si="236"/>
        <v/>
      </c>
      <c r="Y618" s="98" t="str">
        <f t="shared" si="230"/>
        <v/>
      </c>
      <c r="Z618" s="16" t="str">
        <f t="shared" si="237"/>
        <v/>
      </c>
      <c r="AB618" s="139"/>
      <c r="AC618" s="146" t="str">
        <f t="shared" si="240"/>
        <v/>
      </c>
      <c r="AD618" s="148" t="str">
        <f t="shared" si="238"/>
        <v/>
      </c>
      <c r="AE618" s="147" t="str">
        <f t="shared" si="231"/>
        <v/>
      </c>
      <c r="AF618" s="111" t="str">
        <f t="shared" si="232"/>
        <v/>
      </c>
      <c r="AG618" s="111" t="str">
        <f t="shared" si="233"/>
        <v/>
      </c>
      <c r="AH618" s="112" t="str">
        <f t="shared" si="234"/>
        <v/>
      </c>
      <c r="AI618" t="str">
        <f t="shared" si="239"/>
        <v/>
      </c>
      <c r="AJ618" t="str">
        <f t="shared" si="241"/>
        <v/>
      </c>
    </row>
    <row r="619" spans="1:36" ht="15" customHeight="1" x14ac:dyDescent="0.25">
      <c r="A619" s="114"/>
      <c r="B619" s="116"/>
      <c r="C619" s="116"/>
      <c r="D619" s="42" t="str">
        <f t="shared" si="218"/>
        <v/>
      </c>
      <c r="E619" s="43"/>
      <c r="F619" s="118"/>
      <c r="G619" s="44" t="str">
        <f t="shared" si="219"/>
        <v/>
      </c>
      <c r="H619" s="118"/>
      <c r="I619" s="34" t="str">
        <f t="shared" si="220"/>
        <v/>
      </c>
      <c r="J619" s="118"/>
      <c r="K619" s="34" t="str">
        <f t="shared" si="221"/>
        <v/>
      </c>
      <c r="L619" s="118"/>
      <c r="M619" s="121"/>
      <c r="N619" s="122" t="str">
        <f t="shared" si="222"/>
        <v/>
      </c>
      <c r="O619" s="35" t="str">
        <f t="shared" si="223"/>
        <v/>
      </c>
      <c r="P619" s="124"/>
      <c r="Q619" s="36" t="str">
        <f t="shared" si="235"/>
        <v/>
      </c>
      <c r="R619" s="46" t="str">
        <f t="shared" si="224"/>
        <v/>
      </c>
      <c r="S619" s="38" t="str">
        <f t="shared" si="225"/>
        <v/>
      </c>
      <c r="T619" s="39" t="str">
        <f t="shared" si="226"/>
        <v/>
      </c>
      <c r="U619" s="40" t="str">
        <f t="shared" si="227"/>
        <v/>
      </c>
      <c r="V619" s="39" t="str">
        <f t="shared" si="228"/>
        <v/>
      </c>
      <c r="W619" s="34" t="str">
        <f t="shared" si="229"/>
        <v/>
      </c>
      <c r="X619" s="41" t="str">
        <f t="shared" si="236"/>
        <v/>
      </c>
      <c r="Y619" s="98" t="str">
        <f t="shared" si="230"/>
        <v/>
      </c>
      <c r="Z619" s="16" t="str">
        <f t="shared" si="237"/>
        <v/>
      </c>
      <c r="AB619" s="139"/>
      <c r="AC619" s="146" t="str">
        <f t="shared" si="240"/>
        <v/>
      </c>
      <c r="AD619" s="148" t="str">
        <f t="shared" si="238"/>
        <v/>
      </c>
      <c r="AE619" s="147" t="str">
        <f t="shared" si="231"/>
        <v/>
      </c>
      <c r="AF619" s="111" t="str">
        <f t="shared" si="232"/>
        <v/>
      </c>
      <c r="AG619" s="111" t="str">
        <f t="shared" si="233"/>
        <v/>
      </c>
      <c r="AH619" s="112" t="str">
        <f t="shared" si="234"/>
        <v/>
      </c>
      <c r="AI619" t="str">
        <f t="shared" si="239"/>
        <v/>
      </c>
      <c r="AJ619" t="str">
        <f t="shared" si="241"/>
        <v/>
      </c>
    </row>
    <row r="620" spans="1:36" ht="15" customHeight="1" x14ac:dyDescent="0.25">
      <c r="A620" s="114"/>
      <c r="B620" s="116"/>
      <c r="C620" s="116"/>
      <c r="D620" s="42" t="str">
        <f t="shared" si="218"/>
        <v/>
      </c>
      <c r="E620" s="43"/>
      <c r="F620" s="118"/>
      <c r="G620" s="44" t="str">
        <f t="shared" si="219"/>
        <v/>
      </c>
      <c r="H620" s="118"/>
      <c r="I620" s="34" t="str">
        <f t="shared" si="220"/>
        <v/>
      </c>
      <c r="J620" s="118"/>
      <c r="K620" s="34" t="str">
        <f t="shared" si="221"/>
        <v/>
      </c>
      <c r="L620" s="118"/>
      <c r="M620" s="121"/>
      <c r="N620" s="122" t="str">
        <f t="shared" si="222"/>
        <v/>
      </c>
      <c r="O620" s="35" t="str">
        <f t="shared" si="223"/>
        <v/>
      </c>
      <c r="P620" s="124"/>
      <c r="Q620" s="36" t="str">
        <f t="shared" si="235"/>
        <v/>
      </c>
      <c r="R620" s="46" t="str">
        <f t="shared" si="224"/>
        <v/>
      </c>
      <c r="S620" s="38" t="str">
        <f t="shared" si="225"/>
        <v/>
      </c>
      <c r="T620" s="39" t="str">
        <f t="shared" si="226"/>
        <v/>
      </c>
      <c r="U620" s="40" t="str">
        <f t="shared" si="227"/>
        <v/>
      </c>
      <c r="V620" s="39" t="str">
        <f t="shared" si="228"/>
        <v/>
      </c>
      <c r="W620" s="34" t="str">
        <f t="shared" si="229"/>
        <v/>
      </c>
      <c r="X620" s="41" t="str">
        <f t="shared" si="236"/>
        <v/>
      </c>
      <c r="Y620" s="98" t="str">
        <f t="shared" si="230"/>
        <v/>
      </c>
      <c r="Z620" s="16" t="str">
        <f t="shared" si="237"/>
        <v/>
      </c>
      <c r="AB620" s="139"/>
      <c r="AC620" s="146" t="str">
        <f t="shared" si="240"/>
        <v/>
      </c>
      <c r="AD620" s="148" t="str">
        <f t="shared" si="238"/>
        <v/>
      </c>
      <c r="AE620" s="147" t="str">
        <f t="shared" si="231"/>
        <v/>
      </c>
      <c r="AF620" s="111" t="str">
        <f t="shared" si="232"/>
        <v/>
      </c>
      <c r="AG620" s="111" t="str">
        <f t="shared" si="233"/>
        <v/>
      </c>
      <c r="AH620" s="112" t="str">
        <f t="shared" si="234"/>
        <v/>
      </c>
      <c r="AI620" t="str">
        <f t="shared" si="239"/>
        <v/>
      </c>
      <c r="AJ620" t="str">
        <f t="shared" si="241"/>
        <v/>
      </c>
    </row>
    <row r="621" spans="1:36" ht="15" customHeight="1" x14ac:dyDescent="0.25">
      <c r="A621" s="114"/>
      <c r="B621" s="116"/>
      <c r="C621" s="116"/>
      <c r="D621" s="42" t="str">
        <f t="shared" si="218"/>
        <v/>
      </c>
      <c r="E621" s="43"/>
      <c r="F621" s="118"/>
      <c r="G621" s="44" t="str">
        <f t="shared" si="219"/>
        <v/>
      </c>
      <c r="H621" s="118"/>
      <c r="I621" s="34" t="str">
        <f t="shared" si="220"/>
        <v/>
      </c>
      <c r="J621" s="118"/>
      <c r="K621" s="34" t="str">
        <f t="shared" si="221"/>
        <v/>
      </c>
      <c r="L621" s="118"/>
      <c r="M621" s="121"/>
      <c r="N621" s="122" t="str">
        <f t="shared" si="222"/>
        <v/>
      </c>
      <c r="O621" s="35" t="str">
        <f t="shared" si="223"/>
        <v/>
      </c>
      <c r="P621" s="124"/>
      <c r="Q621" s="36" t="str">
        <f t="shared" si="235"/>
        <v/>
      </c>
      <c r="R621" s="46" t="str">
        <f t="shared" si="224"/>
        <v/>
      </c>
      <c r="S621" s="38" t="str">
        <f t="shared" si="225"/>
        <v/>
      </c>
      <c r="T621" s="39" t="str">
        <f t="shared" si="226"/>
        <v/>
      </c>
      <c r="U621" s="40" t="str">
        <f t="shared" si="227"/>
        <v/>
      </c>
      <c r="V621" s="39" t="str">
        <f t="shared" si="228"/>
        <v/>
      </c>
      <c r="W621" s="34" t="str">
        <f t="shared" si="229"/>
        <v/>
      </c>
      <c r="X621" s="41" t="str">
        <f t="shared" si="236"/>
        <v/>
      </c>
      <c r="Y621" s="98" t="str">
        <f t="shared" si="230"/>
        <v/>
      </c>
      <c r="Z621" s="16" t="str">
        <f t="shared" si="237"/>
        <v/>
      </c>
      <c r="AB621" s="139"/>
      <c r="AC621" s="146" t="str">
        <f t="shared" si="240"/>
        <v/>
      </c>
      <c r="AD621" s="148" t="str">
        <f t="shared" si="238"/>
        <v/>
      </c>
      <c r="AE621" s="147" t="str">
        <f t="shared" si="231"/>
        <v/>
      </c>
      <c r="AF621" s="111" t="str">
        <f t="shared" si="232"/>
        <v/>
      </c>
      <c r="AG621" s="111" t="str">
        <f t="shared" si="233"/>
        <v/>
      </c>
      <c r="AH621" s="112" t="str">
        <f t="shared" si="234"/>
        <v/>
      </c>
      <c r="AI621" t="str">
        <f t="shared" si="239"/>
        <v/>
      </c>
      <c r="AJ621" t="str">
        <f t="shared" si="241"/>
        <v/>
      </c>
    </row>
    <row r="622" spans="1:36" ht="15" customHeight="1" x14ac:dyDescent="0.25">
      <c r="A622" s="114"/>
      <c r="B622" s="116"/>
      <c r="C622" s="116"/>
      <c r="D622" s="42" t="str">
        <f t="shared" si="218"/>
        <v/>
      </c>
      <c r="E622" s="43"/>
      <c r="F622" s="118"/>
      <c r="G622" s="44" t="str">
        <f t="shared" si="219"/>
        <v/>
      </c>
      <c r="H622" s="118"/>
      <c r="I622" s="34" t="str">
        <f t="shared" si="220"/>
        <v/>
      </c>
      <c r="J622" s="118"/>
      <c r="K622" s="34" t="str">
        <f t="shared" si="221"/>
        <v/>
      </c>
      <c r="L622" s="118"/>
      <c r="M622" s="121"/>
      <c r="N622" s="122" t="str">
        <f t="shared" si="222"/>
        <v/>
      </c>
      <c r="O622" s="35" t="str">
        <f t="shared" si="223"/>
        <v/>
      </c>
      <c r="P622" s="124"/>
      <c r="Q622" s="36" t="str">
        <f t="shared" si="235"/>
        <v/>
      </c>
      <c r="R622" s="46" t="str">
        <f t="shared" si="224"/>
        <v/>
      </c>
      <c r="S622" s="38" t="str">
        <f t="shared" si="225"/>
        <v/>
      </c>
      <c r="T622" s="39" t="str">
        <f t="shared" si="226"/>
        <v/>
      </c>
      <c r="U622" s="40" t="str">
        <f t="shared" si="227"/>
        <v/>
      </c>
      <c r="V622" s="39" t="str">
        <f t="shared" si="228"/>
        <v/>
      </c>
      <c r="W622" s="34" t="str">
        <f t="shared" si="229"/>
        <v/>
      </c>
      <c r="X622" s="41" t="str">
        <f t="shared" si="236"/>
        <v/>
      </c>
      <c r="Y622" s="98" t="str">
        <f t="shared" si="230"/>
        <v/>
      </c>
      <c r="Z622" s="16" t="str">
        <f t="shared" si="237"/>
        <v/>
      </c>
      <c r="AB622" s="139"/>
      <c r="AC622" s="146" t="str">
        <f t="shared" si="240"/>
        <v/>
      </c>
      <c r="AD622" s="148" t="str">
        <f t="shared" si="238"/>
        <v/>
      </c>
      <c r="AE622" s="147" t="str">
        <f t="shared" si="231"/>
        <v/>
      </c>
      <c r="AF622" s="111" t="str">
        <f t="shared" si="232"/>
        <v/>
      </c>
      <c r="AG622" s="111" t="str">
        <f t="shared" si="233"/>
        <v/>
      </c>
      <c r="AH622" s="112" t="str">
        <f t="shared" si="234"/>
        <v/>
      </c>
      <c r="AI622" t="str">
        <f t="shared" si="239"/>
        <v/>
      </c>
      <c r="AJ622" t="str">
        <f t="shared" si="241"/>
        <v/>
      </c>
    </row>
    <row r="623" spans="1:36" ht="15" customHeight="1" x14ac:dyDescent="0.25">
      <c r="A623" s="114"/>
      <c r="B623" s="116"/>
      <c r="C623" s="116"/>
      <c r="D623" s="42" t="str">
        <f t="shared" si="218"/>
        <v/>
      </c>
      <c r="E623" s="43"/>
      <c r="F623" s="118"/>
      <c r="G623" s="44" t="str">
        <f t="shared" si="219"/>
        <v/>
      </c>
      <c r="H623" s="118"/>
      <c r="I623" s="34" t="str">
        <f t="shared" si="220"/>
        <v/>
      </c>
      <c r="J623" s="118"/>
      <c r="K623" s="34" t="str">
        <f t="shared" si="221"/>
        <v/>
      </c>
      <c r="L623" s="118"/>
      <c r="M623" s="121"/>
      <c r="N623" s="122" t="str">
        <f t="shared" si="222"/>
        <v/>
      </c>
      <c r="O623" s="35" t="str">
        <f t="shared" si="223"/>
        <v/>
      </c>
      <c r="P623" s="124"/>
      <c r="Q623" s="36" t="str">
        <f t="shared" si="235"/>
        <v/>
      </c>
      <c r="R623" s="46" t="str">
        <f t="shared" si="224"/>
        <v/>
      </c>
      <c r="S623" s="38" t="str">
        <f t="shared" si="225"/>
        <v/>
      </c>
      <c r="T623" s="39" t="str">
        <f t="shared" si="226"/>
        <v/>
      </c>
      <c r="U623" s="40" t="str">
        <f t="shared" si="227"/>
        <v/>
      </c>
      <c r="V623" s="39" t="str">
        <f t="shared" si="228"/>
        <v/>
      </c>
      <c r="W623" s="34" t="str">
        <f t="shared" si="229"/>
        <v/>
      </c>
      <c r="X623" s="41" t="str">
        <f t="shared" si="236"/>
        <v/>
      </c>
      <c r="Y623" s="98" t="str">
        <f t="shared" si="230"/>
        <v/>
      </c>
      <c r="Z623" s="16" t="str">
        <f t="shared" si="237"/>
        <v/>
      </c>
      <c r="AB623" s="139"/>
      <c r="AC623" s="146" t="str">
        <f t="shared" si="240"/>
        <v/>
      </c>
      <c r="AD623" s="148" t="str">
        <f t="shared" si="238"/>
        <v/>
      </c>
      <c r="AE623" s="147" t="str">
        <f t="shared" si="231"/>
        <v/>
      </c>
      <c r="AF623" s="111" t="str">
        <f t="shared" si="232"/>
        <v/>
      </c>
      <c r="AG623" s="111" t="str">
        <f t="shared" si="233"/>
        <v/>
      </c>
      <c r="AH623" s="112" t="str">
        <f t="shared" si="234"/>
        <v/>
      </c>
      <c r="AI623" t="str">
        <f t="shared" si="239"/>
        <v/>
      </c>
      <c r="AJ623" t="str">
        <f t="shared" si="241"/>
        <v/>
      </c>
    </row>
    <row r="624" spans="1:36" ht="15" customHeight="1" x14ac:dyDescent="0.25">
      <c r="A624" s="114"/>
      <c r="B624" s="116"/>
      <c r="C624" s="116"/>
      <c r="D624" s="42" t="str">
        <f t="shared" si="218"/>
        <v/>
      </c>
      <c r="E624" s="43"/>
      <c r="F624" s="118"/>
      <c r="G624" s="44" t="str">
        <f t="shared" si="219"/>
        <v/>
      </c>
      <c r="H624" s="118"/>
      <c r="I624" s="34" t="str">
        <f t="shared" si="220"/>
        <v/>
      </c>
      <c r="J624" s="118"/>
      <c r="K624" s="34" t="str">
        <f t="shared" si="221"/>
        <v/>
      </c>
      <c r="L624" s="118"/>
      <c r="M624" s="121"/>
      <c r="N624" s="122" t="str">
        <f t="shared" si="222"/>
        <v/>
      </c>
      <c r="O624" s="35" t="str">
        <f t="shared" si="223"/>
        <v/>
      </c>
      <c r="P624" s="124"/>
      <c r="Q624" s="36" t="str">
        <f t="shared" si="235"/>
        <v/>
      </c>
      <c r="R624" s="46" t="str">
        <f t="shared" si="224"/>
        <v/>
      </c>
      <c r="S624" s="38" t="str">
        <f t="shared" si="225"/>
        <v/>
      </c>
      <c r="T624" s="39" t="str">
        <f t="shared" si="226"/>
        <v/>
      </c>
      <c r="U624" s="40" t="str">
        <f t="shared" si="227"/>
        <v/>
      </c>
      <c r="V624" s="39" t="str">
        <f t="shared" si="228"/>
        <v/>
      </c>
      <c r="W624" s="34" t="str">
        <f t="shared" si="229"/>
        <v/>
      </c>
      <c r="X624" s="41" t="str">
        <f t="shared" si="236"/>
        <v/>
      </c>
      <c r="Y624" s="98" t="str">
        <f t="shared" si="230"/>
        <v/>
      </c>
      <c r="Z624" s="16" t="str">
        <f t="shared" si="237"/>
        <v/>
      </c>
      <c r="AB624" s="139"/>
      <c r="AC624" s="146" t="str">
        <f t="shared" si="240"/>
        <v/>
      </c>
      <c r="AD624" s="148" t="str">
        <f t="shared" si="238"/>
        <v/>
      </c>
      <c r="AE624" s="147" t="str">
        <f t="shared" si="231"/>
        <v/>
      </c>
      <c r="AF624" s="111" t="str">
        <f t="shared" si="232"/>
        <v/>
      </c>
      <c r="AG624" s="111" t="str">
        <f t="shared" si="233"/>
        <v/>
      </c>
      <c r="AH624" s="112" t="str">
        <f t="shared" si="234"/>
        <v/>
      </c>
      <c r="AI624" t="str">
        <f t="shared" si="239"/>
        <v/>
      </c>
      <c r="AJ624" t="str">
        <f t="shared" si="241"/>
        <v/>
      </c>
    </row>
    <row r="625" spans="1:36" ht="15" customHeight="1" x14ac:dyDescent="0.25">
      <c r="A625" s="114"/>
      <c r="B625" s="116"/>
      <c r="C625" s="116"/>
      <c r="D625" s="42" t="str">
        <f t="shared" si="218"/>
        <v/>
      </c>
      <c r="E625" s="43"/>
      <c r="F625" s="118"/>
      <c r="G625" s="44" t="str">
        <f t="shared" si="219"/>
        <v/>
      </c>
      <c r="H625" s="118"/>
      <c r="I625" s="34" t="str">
        <f t="shared" si="220"/>
        <v/>
      </c>
      <c r="J625" s="118"/>
      <c r="K625" s="34" t="str">
        <f t="shared" si="221"/>
        <v/>
      </c>
      <c r="L625" s="118"/>
      <c r="M625" s="121"/>
      <c r="N625" s="122" t="str">
        <f t="shared" si="222"/>
        <v/>
      </c>
      <c r="O625" s="35" t="str">
        <f t="shared" si="223"/>
        <v/>
      </c>
      <c r="P625" s="124"/>
      <c r="Q625" s="36" t="str">
        <f t="shared" si="235"/>
        <v/>
      </c>
      <c r="R625" s="46" t="str">
        <f t="shared" si="224"/>
        <v/>
      </c>
      <c r="S625" s="38" t="str">
        <f t="shared" si="225"/>
        <v/>
      </c>
      <c r="T625" s="39" t="str">
        <f t="shared" si="226"/>
        <v/>
      </c>
      <c r="U625" s="40" t="str">
        <f t="shared" si="227"/>
        <v/>
      </c>
      <c r="V625" s="39" t="str">
        <f t="shared" si="228"/>
        <v/>
      </c>
      <c r="W625" s="34" t="str">
        <f t="shared" si="229"/>
        <v/>
      </c>
      <c r="X625" s="41" t="str">
        <f t="shared" si="236"/>
        <v/>
      </c>
      <c r="Y625" s="98" t="str">
        <f t="shared" si="230"/>
        <v/>
      </c>
      <c r="Z625" s="16" t="str">
        <f t="shared" si="237"/>
        <v/>
      </c>
      <c r="AB625" s="139"/>
      <c r="AC625" s="146" t="str">
        <f t="shared" si="240"/>
        <v/>
      </c>
      <c r="AD625" s="148" t="str">
        <f t="shared" si="238"/>
        <v/>
      </c>
      <c r="AE625" s="147" t="str">
        <f t="shared" si="231"/>
        <v/>
      </c>
      <c r="AF625" s="111" t="str">
        <f t="shared" si="232"/>
        <v/>
      </c>
      <c r="AG625" s="111" t="str">
        <f t="shared" si="233"/>
        <v/>
      </c>
      <c r="AH625" s="112" t="str">
        <f t="shared" si="234"/>
        <v/>
      </c>
      <c r="AI625" t="str">
        <f t="shared" si="239"/>
        <v/>
      </c>
      <c r="AJ625" t="str">
        <f t="shared" si="241"/>
        <v/>
      </c>
    </row>
    <row r="626" spans="1:36" ht="15" customHeight="1" x14ac:dyDescent="0.25">
      <c r="A626" s="114"/>
      <c r="B626" s="116"/>
      <c r="C626" s="116"/>
      <c r="D626" s="42" t="str">
        <f t="shared" si="218"/>
        <v/>
      </c>
      <c r="E626" s="43"/>
      <c r="F626" s="118"/>
      <c r="G626" s="44" t="str">
        <f t="shared" si="219"/>
        <v/>
      </c>
      <c r="H626" s="118"/>
      <c r="I626" s="34" t="str">
        <f t="shared" si="220"/>
        <v/>
      </c>
      <c r="J626" s="118"/>
      <c r="K626" s="34" t="str">
        <f t="shared" si="221"/>
        <v/>
      </c>
      <c r="L626" s="118"/>
      <c r="M626" s="121"/>
      <c r="N626" s="122" t="str">
        <f t="shared" si="222"/>
        <v/>
      </c>
      <c r="O626" s="35" t="str">
        <f t="shared" si="223"/>
        <v/>
      </c>
      <c r="P626" s="124"/>
      <c r="Q626" s="36" t="str">
        <f t="shared" si="235"/>
        <v/>
      </c>
      <c r="R626" s="46" t="str">
        <f t="shared" si="224"/>
        <v/>
      </c>
      <c r="S626" s="38" t="str">
        <f t="shared" si="225"/>
        <v/>
      </c>
      <c r="T626" s="39" t="str">
        <f t="shared" si="226"/>
        <v/>
      </c>
      <c r="U626" s="40" t="str">
        <f t="shared" si="227"/>
        <v/>
      </c>
      <c r="V626" s="39" t="str">
        <f t="shared" si="228"/>
        <v/>
      </c>
      <c r="W626" s="34" t="str">
        <f t="shared" si="229"/>
        <v/>
      </c>
      <c r="X626" s="41" t="str">
        <f t="shared" si="236"/>
        <v/>
      </c>
      <c r="Y626" s="98" t="str">
        <f t="shared" si="230"/>
        <v/>
      </c>
      <c r="Z626" s="16" t="str">
        <f t="shared" si="237"/>
        <v/>
      </c>
      <c r="AB626" s="139"/>
      <c r="AC626" s="146" t="str">
        <f t="shared" si="240"/>
        <v/>
      </c>
      <c r="AD626" s="148" t="str">
        <f t="shared" si="238"/>
        <v/>
      </c>
      <c r="AE626" s="147" t="str">
        <f t="shared" si="231"/>
        <v/>
      </c>
      <c r="AF626" s="111" t="str">
        <f t="shared" si="232"/>
        <v/>
      </c>
      <c r="AG626" s="111" t="str">
        <f t="shared" si="233"/>
        <v/>
      </c>
      <c r="AH626" s="112" t="str">
        <f t="shared" si="234"/>
        <v/>
      </c>
      <c r="AI626" t="str">
        <f t="shared" si="239"/>
        <v/>
      </c>
      <c r="AJ626" t="str">
        <f t="shared" si="241"/>
        <v/>
      </c>
    </row>
    <row r="627" spans="1:36" ht="15" customHeight="1" x14ac:dyDescent="0.25">
      <c r="A627" s="114"/>
      <c r="B627" s="116"/>
      <c r="C627" s="116"/>
      <c r="D627" s="42" t="str">
        <f t="shared" si="218"/>
        <v/>
      </c>
      <c r="E627" s="43"/>
      <c r="F627" s="118"/>
      <c r="G627" s="44" t="str">
        <f t="shared" si="219"/>
        <v/>
      </c>
      <c r="H627" s="118"/>
      <c r="I627" s="34" t="str">
        <f t="shared" si="220"/>
        <v/>
      </c>
      <c r="J627" s="118"/>
      <c r="K627" s="34" t="str">
        <f t="shared" si="221"/>
        <v/>
      </c>
      <c r="L627" s="118"/>
      <c r="M627" s="121"/>
      <c r="N627" s="122" t="str">
        <f t="shared" si="222"/>
        <v/>
      </c>
      <c r="O627" s="35" t="str">
        <f t="shared" si="223"/>
        <v/>
      </c>
      <c r="P627" s="124"/>
      <c r="Q627" s="36" t="str">
        <f t="shared" si="235"/>
        <v/>
      </c>
      <c r="R627" s="46" t="str">
        <f t="shared" si="224"/>
        <v/>
      </c>
      <c r="S627" s="38" t="str">
        <f t="shared" si="225"/>
        <v/>
      </c>
      <c r="T627" s="39" t="str">
        <f t="shared" si="226"/>
        <v/>
      </c>
      <c r="U627" s="40" t="str">
        <f t="shared" si="227"/>
        <v/>
      </c>
      <c r="V627" s="39" t="str">
        <f t="shared" si="228"/>
        <v/>
      </c>
      <c r="W627" s="34" t="str">
        <f t="shared" si="229"/>
        <v/>
      </c>
      <c r="X627" s="41" t="str">
        <f t="shared" si="236"/>
        <v/>
      </c>
      <c r="Y627" s="98" t="str">
        <f t="shared" si="230"/>
        <v/>
      </c>
      <c r="Z627" s="16" t="str">
        <f t="shared" si="237"/>
        <v/>
      </c>
      <c r="AB627" s="139"/>
      <c r="AC627" s="146" t="str">
        <f t="shared" si="240"/>
        <v/>
      </c>
      <c r="AD627" s="148" t="str">
        <f t="shared" si="238"/>
        <v/>
      </c>
      <c r="AE627" s="147" t="str">
        <f t="shared" si="231"/>
        <v/>
      </c>
      <c r="AF627" s="111" t="str">
        <f t="shared" si="232"/>
        <v/>
      </c>
      <c r="AG627" s="111" t="str">
        <f t="shared" si="233"/>
        <v/>
      </c>
      <c r="AH627" s="112" t="str">
        <f t="shared" si="234"/>
        <v/>
      </c>
      <c r="AI627" t="str">
        <f t="shared" si="239"/>
        <v/>
      </c>
      <c r="AJ627" t="str">
        <f t="shared" si="241"/>
        <v/>
      </c>
    </row>
    <row r="628" spans="1:36" ht="15" customHeight="1" x14ac:dyDescent="0.25">
      <c r="A628" s="114"/>
      <c r="B628" s="116"/>
      <c r="C628" s="116"/>
      <c r="D628" s="42" t="str">
        <f t="shared" si="218"/>
        <v/>
      </c>
      <c r="E628" s="43"/>
      <c r="F628" s="118"/>
      <c r="G628" s="44" t="str">
        <f t="shared" si="219"/>
        <v/>
      </c>
      <c r="H628" s="118"/>
      <c r="I628" s="34" t="str">
        <f t="shared" si="220"/>
        <v/>
      </c>
      <c r="J628" s="118"/>
      <c r="K628" s="34" t="str">
        <f t="shared" si="221"/>
        <v/>
      </c>
      <c r="L628" s="118"/>
      <c r="M628" s="121"/>
      <c r="N628" s="122" t="str">
        <f t="shared" si="222"/>
        <v/>
      </c>
      <c r="O628" s="35" t="str">
        <f t="shared" si="223"/>
        <v/>
      </c>
      <c r="P628" s="124"/>
      <c r="Q628" s="36" t="str">
        <f t="shared" si="235"/>
        <v/>
      </c>
      <c r="R628" s="46" t="str">
        <f t="shared" si="224"/>
        <v/>
      </c>
      <c r="S628" s="38" t="str">
        <f t="shared" si="225"/>
        <v/>
      </c>
      <c r="T628" s="39" t="str">
        <f t="shared" si="226"/>
        <v/>
      </c>
      <c r="U628" s="40" t="str">
        <f t="shared" si="227"/>
        <v/>
      </c>
      <c r="V628" s="39" t="str">
        <f t="shared" si="228"/>
        <v/>
      </c>
      <c r="W628" s="34" t="str">
        <f t="shared" si="229"/>
        <v/>
      </c>
      <c r="X628" s="41" t="str">
        <f t="shared" si="236"/>
        <v/>
      </c>
      <c r="Y628" s="98" t="str">
        <f t="shared" si="230"/>
        <v/>
      </c>
      <c r="Z628" s="16" t="str">
        <f t="shared" si="237"/>
        <v/>
      </c>
      <c r="AB628" s="139"/>
      <c r="AC628" s="146" t="str">
        <f t="shared" si="240"/>
        <v/>
      </c>
      <c r="AD628" s="148" t="str">
        <f t="shared" si="238"/>
        <v/>
      </c>
      <c r="AE628" s="147" t="str">
        <f t="shared" si="231"/>
        <v/>
      </c>
      <c r="AF628" s="111" t="str">
        <f t="shared" si="232"/>
        <v/>
      </c>
      <c r="AG628" s="111" t="str">
        <f t="shared" si="233"/>
        <v/>
      </c>
      <c r="AH628" s="112" t="str">
        <f t="shared" si="234"/>
        <v/>
      </c>
      <c r="AI628" t="str">
        <f t="shared" si="239"/>
        <v/>
      </c>
      <c r="AJ628" t="str">
        <f t="shared" si="241"/>
        <v/>
      </c>
    </row>
    <row r="629" spans="1:36" ht="15" customHeight="1" x14ac:dyDescent="0.25">
      <c r="A629" s="114"/>
      <c r="B629" s="116"/>
      <c r="C629" s="116"/>
      <c r="D629" s="42" t="str">
        <f t="shared" si="218"/>
        <v/>
      </c>
      <c r="E629" s="43"/>
      <c r="F629" s="118"/>
      <c r="G629" s="44" t="str">
        <f t="shared" si="219"/>
        <v/>
      </c>
      <c r="H629" s="118"/>
      <c r="I629" s="34" t="str">
        <f t="shared" si="220"/>
        <v/>
      </c>
      <c r="J629" s="118"/>
      <c r="K629" s="34" t="str">
        <f t="shared" si="221"/>
        <v/>
      </c>
      <c r="L629" s="118"/>
      <c r="M629" s="121"/>
      <c r="N629" s="122" t="str">
        <f t="shared" si="222"/>
        <v/>
      </c>
      <c r="O629" s="35" t="str">
        <f t="shared" si="223"/>
        <v/>
      </c>
      <c r="P629" s="124"/>
      <c r="Q629" s="36" t="str">
        <f t="shared" si="235"/>
        <v/>
      </c>
      <c r="R629" s="46" t="str">
        <f t="shared" si="224"/>
        <v/>
      </c>
      <c r="S629" s="38" t="str">
        <f t="shared" si="225"/>
        <v/>
      </c>
      <c r="T629" s="39" t="str">
        <f t="shared" si="226"/>
        <v/>
      </c>
      <c r="U629" s="40" t="str">
        <f t="shared" si="227"/>
        <v/>
      </c>
      <c r="V629" s="39" t="str">
        <f t="shared" si="228"/>
        <v/>
      </c>
      <c r="W629" s="34" t="str">
        <f t="shared" si="229"/>
        <v/>
      </c>
      <c r="X629" s="41" t="str">
        <f t="shared" si="236"/>
        <v/>
      </c>
      <c r="Y629" s="98" t="str">
        <f t="shared" si="230"/>
        <v/>
      </c>
      <c r="Z629" s="16" t="str">
        <f t="shared" si="237"/>
        <v/>
      </c>
      <c r="AB629" s="139"/>
      <c r="AC629" s="146" t="str">
        <f t="shared" si="240"/>
        <v/>
      </c>
      <c r="AD629" s="148" t="str">
        <f t="shared" si="238"/>
        <v/>
      </c>
      <c r="AE629" s="147" t="str">
        <f t="shared" si="231"/>
        <v/>
      </c>
      <c r="AF629" s="111" t="str">
        <f t="shared" si="232"/>
        <v/>
      </c>
      <c r="AG629" s="111" t="str">
        <f t="shared" si="233"/>
        <v/>
      </c>
      <c r="AH629" s="112" t="str">
        <f t="shared" si="234"/>
        <v/>
      </c>
      <c r="AI629" t="str">
        <f t="shared" si="239"/>
        <v/>
      </c>
      <c r="AJ629" t="str">
        <f t="shared" si="241"/>
        <v/>
      </c>
    </row>
    <row r="630" spans="1:36" ht="15" customHeight="1" x14ac:dyDescent="0.25">
      <c r="A630" s="114"/>
      <c r="B630" s="116"/>
      <c r="C630" s="116"/>
      <c r="D630" s="42" t="str">
        <f t="shared" si="218"/>
        <v/>
      </c>
      <c r="E630" s="43"/>
      <c r="F630" s="118"/>
      <c r="G630" s="44" t="str">
        <f t="shared" si="219"/>
        <v/>
      </c>
      <c r="H630" s="118"/>
      <c r="I630" s="34" t="str">
        <f t="shared" si="220"/>
        <v/>
      </c>
      <c r="J630" s="118"/>
      <c r="K630" s="34" t="str">
        <f t="shared" si="221"/>
        <v/>
      </c>
      <c r="L630" s="118"/>
      <c r="M630" s="121"/>
      <c r="N630" s="122" t="str">
        <f t="shared" si="222"/>
        <v/>
      </c>
      <c r="O630" s="35" t="str">
        <f t="shared" si="223"/>
        <v/>
      </c>
      <c r="P630" s="124"/>
      <c r="Q630" s="36" t="str">
        <f t="shared" si="235"/>
        <v/>
      </c>
      <c r="R630" s="46" t="str">
        <f t="shared" si="224"/>
        <v/>
      </c>
      <c r="S630" s="38" t="str">
        <f t="shared" si="225"/>
        <v/>
      </c>
      <c r="T630" s="39" t="str">
        <f t="shared" si="226"/>
        <v/>
      </c>
      <c r="U630" s="40" t="str">
        <f t="shared" si="227"/>
        <v/>
      </c>
      <c r="V630" s="39" t="str">
        <f t="shared" si="228"/>
        <v/>
      </c>
      <c r="W630" s="34" t="str">
        <f t="shared" si="229"/>
        <v/>
      </c>
      <c r="X630" s="41" t="str">
        <f t="shared" si="236"/>
        <v/>
      </c>
      <c r="Y630" s="98" t="str">
        <f t="shared" si="230"/>
        <v/>
      </c>
      <c r="Z630" s="16" t="str">
        <f t="shared" si="237"/>
        <v/>
      </c>
      <c r="AB630" s="139"/>
      <c r="AC630" s="146" t="str">
        <f t="shared" si="240"/>
        <v/>
      </c>
      <c r="AD630" s="148" t="str">
        <f t="shared" si="238"/>
        <v/>
      </c>
      <c r="AE630" s="147" t="str">
        <f t="shared" si="231"/>
        <v/>
      </c>
      <c r="AF630" s="111" t="str">
        <f t="shared" si="232"/>
        <v/>
      </c>
      <c r="AG630" s="111" t="str">
        <f t="shared" si="233"/>
        <v/>
      </c>
      <c r="AH630" s="112" t="str">
        <f t="shared" si="234"/>
        <v/>
      </c>
      <c r="AI630" t="str">
        <f t="shared" si="239"/>
        <v/>
      </c>
      <c r="AJ630" t="str">
        <f t="shared" si="241"/>
        <v/>
      </c>
    </row>
    <row r="631" spans="1:36" ht="15" customHeight="1" x14ac:dyDescent="0.25">
      <c r="A631" s="114"/>
      <c r="B631" s="116"/>
      <c r="C631" s="116"/>
      <c r="D631" s="42" t="str">
        <f t="shared" si="218"/>
        <v/>
      </c>
      <c r="E631" s="43"/>
      <c r="F631" s="118"/>
      <c r="G631" s="44" t="str">
        <f t="shared" si="219"/>
        <v/>
      </c>
      <c r="H631" s="118"/>
      <c r="I631" s="34" t="str">
        <f t="shared" si="220"/>
        <v/>
      </c>
      <c r="J631" s="118"/>
      <c r="K631" s="34" t="str">
        <f t="shared" si="221"/>
        <v/>
      </c>
      <c r="L631" s="118"/>
      <c r="M631" s="121"/>
      <c r="N631" s="122" t="str">
        <f t="shared" si="222"/>
        <v/>
      </c>
      <c r="O631" s="35" t="str">
        <f t="shared" si="223"/>
        <v/>
      </c>
      <c r="P631" s="124"/>
      <c r="Q631" s="36" t="str">
        <f t="shared" si="235"/>
        <v/>
      </c>
      <c r="R631" s="46" t="str">
        <f t="shared" si="224"/>
        <v/>
      </c>
      <c r="S631" s="38" t="str">
        <f t="shared" si="225"/>
        <v/>
      </c>
      <c r="T631" s="39" t="str">
        <f t="shared" si="226"/>
        <v/>
      </c>
      <c r="U631" s="40" t="str">
        <f t="shared" si="227"/>
        <v/>
      </c>
      <c r="V631" s="39" t="str">
        <f t="shared" si="228"/>
        <v/>
      </c>
      <c r="W631" s="34" t="str">
        <f t="shared" si="229"/>
        <v/>
      </c>
      <c r="X631" s="41" t="str">
        <f t="shared" si="236"/>
        <v/>
      </c>
      <c r="Y631" s="98" t="str">
        <f t="shared" si="230"/>
        <v/>
      </c>
      <c r="Z631" s="16" t="str">
        <f t="shared" si="237"/>
        <v/>
      </c>
      <c r="AB631" s="139"/>
      <c r="AC631" s="146" t="str">
        <f t="shared" si="240"/>
        <v/>
      </c>
      <c r="AD631" s="148" t="str">
        <f t="shared" si="238"/>
        <v/>
      </c>
      <c r="AE631" s="147" t="str">
        <f t="shared" si="231"/>
        <v/>
      </c>
      <c r="AF631" s="111" t="str">
        <f t="shared" si="232"/>
        <v/>
      </c>
      <c r="AG631" s="111" t="str">
        <f t="shared" si="233"/>
        <v/>
      </c>
      <c r="AH631" s="112" t="str">
        <f t="shared" si="234"/>
        <v/>
      </c>
      <c r="AI631" t="str">
        <f t="shared" si="239"/>
        <v/>
      </c>
      <c r="AJ631" t="str">
        <f t="shared" si="241"/>
        <v/>
      </c>
    </row>
    <row r="632" spans="1:36" ht="15" customHeight="1" x14ac:dyDescent="0.25">
      <c r="A632" s="114"/>
      <c r="B632" s="116"/>
      <c r="C632" s="116"/>
      <c r="D632" s="42" t="str">
        <f t="shared" si="218"/>
        <v/>
      </c>
      <c r="E632" s="43"/>
      <c r="F632" s="118"/>
      <c r="G632" s="44" t="str">
        <f t="shared" si="219"/>
        <v/>
      </c>
      <c r="H632" s="118"/>
      <c r="I632" s="34" t="str">
        <f t="shared" si="220"/>
        <v/>
      </c>
      <c r="J632" s="118"/>
      <c r="K632" s="34" t="str">
        <f t="shared" si="221"/>
        <v/>
      </c>
      <c r="L632" s="118"/>
      <c r="M632" s="121"/>
      <c r="N632" s="122" t="str">
        <f t="shared" si="222"/>
        <v/>
      </c>
      <c r="O632" s="35" t="str">
        <f t="shared" si="223"/>
        <v/>
      </c>
      <c r="P632" s="124"/>
      <c r="Q632" s="36" t="str">
        <f t="shared" si="235"/>
        <v/>
      </c>
      <c r="R632" s="46" t="str">
        <f t="shared" si="224"/>
        <v/>
      </c>
      <c r="S632" s="38" t="str">
        <f t="shared" si="225"/>
        <v/>
      </c>
      <c r="T632" s="39" t="str">
        <f t="shared" si="226"/>
        <v/>
      </c>
      <c r="U632" s="40" t="str">
        <f t="shared" si="227"/>
        <v/>
      </c>
      <c r="V632" s="39" t="str">
        <f t="shared" si="228"/>
        <v/>
      </c>
      <c r="W632" s="34" t="str">
        <f t="shared" si="229"/>
        <v/>
      </c>
      <c r="X632" s="41" t="str">
        <f t="shared" si="236"/>
        <v/>
      </c>
      <c r="Y632" s="98" t="str">
        <f t="shared" si="230"/>
        <v/>
      </c>
      <c r="Z632" s="16" t="str">
        <f t="shared" si="237"/>
        <v/>
      </c>
      <c r="AB632" s="139"/>
      <c r="AC632" s="146" t="str">
        <f t="shared" si="240"/>
        <v/>
      </c>
      <c r="AD632" s="148" t="str">
        <f t="shared" si="238"/>
        <v/>
      </c>
      <c r="AE632" s="147" t="str">
        <f t="shared" si="231"/>
        <v/>
      </c>
      <c r="AF632" s="111" t="str">
        <f t="shared" si="232"/>
        <v/>
      </c>
      <c r="AG632" s="111" t="str">
        <f t="shared" si="233"/>
        <v/>
      </c>
      <c r="AH632" s="112" t="str">
        <f t="shared" si="234"/>
        <v/>
      </c>
      <c r="AI632" t="str">
        <f t="shared" si="239"/>
        <v/>
      </c>
      <c r="AJ632" t="str">
        <f t="shared" si="241"/>
        <v/>
      </c>
    </row>
    <row r="633" spans="1:36" ht="15" customHeight="1" x14ac:dyDescent="0.25">
      <c r="A633" s="114"/>
      <c r="B633" s="116"/>
      <c r="C633" s="116"/>
      <c r="D633" s="42" t="str">
        <f t="shared" si="218"/>
        <v/>
      </c>
      <c r="E633" s="43"/>
      <c r="F633" s="118"/>
      <c r="G633" s="44" t="str">
        <f t="shared" si="219"/>
        <v/>
      </c>
      <c r="H633" s="118"/>
      <c r="I633" s="34" t="str">
        <f t="shared" si="220"/>
        <v/>
      </c>
      <c r="J633" s="118"/>
      <c r="K633" s="34" t="str">
        <f t="shared" si="221"/>
        <v/>
      </c>
      <c r="L633" s="118"/>
      <c r="M633" s="121"/>
      <c r="N633" s="122" t="str">
        <f t="shared" si="222"/>
        <v/>
      </c>
      <c r="O633" s="35" t="str">
        <f t="shared" si="223"/>
        <v/>
      </c>
      <c r="P633" s="124"/>
      <c r="Q633" s="36" t="str">
        <f t="shared" si="235"/>
        <v/>
      </c>
      <c r="R633" s="46" t="str">
        <f t="shared" si="224"/>
        <v/>
      </c>
      <c r="S633" s="38" t="str">
        <f t="shared" si="225"/>
        <v/>
      </c>
      <c r="T633" s="39" t="str">
        <f t="shared" si="226"/>
        <v/>
      </c>
      <c r="U633" s="40" t="str">
        <f t="shared" si="227"/>
        <v/>
      </c>
      <c r="V633" s="39" t="str">
        <f t="shared" si="228"/>
        <v/>
      </c>
      <c r="W633" s="34" t="str">
        <f t="shared" si="229"/>
        <v/>
      </c>
      <c r="X633" s="41" t="str">
        <f t="shared" si="236"/>
        <v/>
      </c>
      <c r="Y633" s="98" t="str">
        <f t="shared" si="230"/>
        <v/>
      </c>
      <c r="Z633" s="16" t="str">
        <f t="shared" si="237"/>
        <v/>
      </c>
      <c r="AB633" s="139"/>
      <c r="AC633" s="146" t="str">
        <f t="shared" si="240"/>
        <v/>
      </c>
      <c r="AD633" s="148" t="str">
        <f t="shared" si="238"/>
        <v/>
      </c>
      <c r="AE633" s="147" t="str">
        <f t="shared" si="231"/>
        <v/>
      </c>
      <c r="AF633" s="111" t="str">
        <f t="shared" si="232"/>
        <v/>
      </c>
      <c r="AG633" s="111" t="str">
        <f t="shared" si="233"/>
        <v/>
      </c>
      <c r="AH633" s="112" t="str">
        <f t="shared" si="234"/>
        <v/>
      </c>
      <c r="AI633" t="str">
        <f t="shared" si="239"/>
        <v/>
      </c>
      <c r="AJ633" t="str">
        <f t="shared" si="241"/>
        <v/>
      </c>
    </row>
    <row r="634" spans="1:36" ht="15" customHeight="1" x14ac:dyDescent="0.25">
      <c r="A634" s="114"/>
      <c r="B634" s="116"/>
      <c r="C634" s="116"/>
      <c r="D634" s="42" t="str">
        <f t="shared" si="218"/>
        <v/>
      </c>
      <c r="E634" s="43"/>
      <c r="F634" s="118"/>
      <c r="G634" s="44" t="str">
        <f t="shared" si="219"/>
        <v/>
      </c>
      <c r="H634" s="118"/>
      <c r="I634" s="34" t="str">
        <f t="shared" si="220"/>
        <v/>
      </c>
      <c r="J634" s="118"/>
      <c r="K634" s="34" t="str">
        <f t="shared" si="221"/>
        <v/>
      </c>
      <c r="L634" s="118"/>
      <c r="M634" s="121"/>
      <c r="N634" s="122" t="str">
        <f t="shared" si="222"/>
        <v/>
      </c>
      <c r="O634" s="35" t="str">
        <f t="shared" si="223"/>
        <v/>
      </c>
      <c r="P634" s="124"/>
      <c r="Q634" s="36" t="str">
        <f t="shared" si="235"/>
        <v/>
      </c>
      <c r="R634" s="46" t="str">
        <f t="shared" si="224"/>
        <v/>
      </c>
      <c r="S634" s="38" t="str">
        <f t="shared" si="225"/>
        <v/>
      </c>
      <c r="T634" s="39" t="str">
        <f t="shared" si="226"/>
        <v/>
      </c>
      <c r="U634" s="40" t="str">
        <f t="shared" si="227"/>
        <v/>
      </c>
      <c r="V634" s="39" t="str">
        <f t="shared" si="228"/>
        <v/>
      </c>
      <c r="W634" s="34" t="str">
        <f t="shared" si="229"/>
        <v/>
      </c>
      <c r="X634" s="41" t="str">
        <f t="shared" si="236"/>
        <v/>
      </c>
      <c r="Y634" s="98" t="str">
        <f t="shared" si="230"/>
        <v/>
      </c>
      <c r="Z634" s="16" t="str">
        <f t="shared" si="237"/>
        <v/>
      </c>
      <c r="AB634" s="139"/>
      <c r="AC634" s="146" t="str">
        <f t="shared" si="240"/>
        <v/>
      </c>
      <c r="AD634" s="148" t="str">
        <f t="shared" si="238"/>
        <v/>
      </c>
      <c r="AE634" s="147" t="str">
        <f t="shared" si="231"/>
        <v/>
      </c>
      <c r="AF634" s="111" t="str">
        <f t="shared" si="232"/>
        <v/>
      </c>
      <c r="AG634" s="111" t="str">
        <f t="shared" si="233"/>
        <v/>
      </c>
      <c r="AH634" s="112" t="str">
        <f t="shared" si="234"/>
        <v/>
      </c>
      <c r="AI634" t="str">
        <f t="shared" si="239"/>
        <v/>
      </c>
      <c r="AJ634" t="str">
        <f t="shared" si="241"/>
        <v/>
      </c>
    </row>
    <row r="635" spans="1:36" ht="15" customHeight="1" x14ac:dyDescent="0.25">
      <c r="A635" s="114"/>
      <c r="B635" s="116"/>
      <c r="C635" s="116"/>
      <c r="D635" s="42" t="str">
        <f t="shared" si="218"/>
        <v/>
      </c>
      <c r="E635" s="43"/>
      <c r="F635" s="118"/>
      <c r="G635" s="44" t="str">
        <f t="shared" si="219"/>
        <v/>
      </c>
      <c r="H635" s="118"/>
      <c r="I635" s="34" t="str">
        <f t="shared" si="220"/>
        <v/>
      </c>
      <c r="J635" s="118"/>
      <c r="K635" s="34" t="str">
        <f t="shared" si="221"/>
        <v/>
      </c>
      <c r="L635" s="118"/>
      <c r="M635" s="121"/>
      <c r="N635" s="122" t="str">
        <f t="shared" si="222"/>
        <v/>
      </c>
      <c r="O635" s="35" t="str">
        <f t="shared" si="223"/>
        <v/>
      </c>
      <c r="P635" s="124"/>
      <c r="Q635" s="36" t="str">
        <f t="shared" si="235"/>
        <v/>
      </c>
      <c r="R635" s="46" t="str">
        <f t="shared" si="224"/>
        <v/>
      </c>
      <c r="S635" s="38" t="str">
        <f t="shared" si="225"/>
        <v/>
      </c>
      <c r="T635" s="39" t="str">
        <f t="shared" si="226"/>
        <v/>
      </c>
      <c r="U635" s="40" t="str">
        <f t="shared" si="227"/>
        <v/>
      </c>
      <c r="V635" s="39" t="str">
        <f t="shared" si="228"/>
        <v/>
      </c>
      <c r="W635" s="34" t="str">
        <f t="shared" si="229"/>
        <v/>
      </c>
      <c r="X635" s="41" t="str">
        <f t="shared" si="236"/>
        <v/>
      </c>
      <c r="Y635" s="98" t="str">
        <f t="shared" si="230"/>
        <v/>
      </c>
      <c r="Z635" s="16" t="str">
        <f t="shared" si="237"/>
        <v/>
      </c>
      <c r="AB635" s="139"/>
      <c r="AC635" s="146" t="str">
        <f t="shared" si="240"/>
        <v/>
      </c>
      <c r="AD635" s="148" t="str">
        <f t="shared" si="238"/>
        <v/>
      </c>
      <c r="AE635" s="147" t="str">
        <f t="shared" si="231"/>
        <v/>
      </c>
      <c r="AF635" s="111" t="str">
        <f t="shared" si="232"/>
        <v/>
      </c>
      <c r="AG635" s="111" t="str">
        <f t="shared" si="233"/>
        <v/>
      </c>
      <c r="AH635" s="112" t="str">
        <f t="shared" si="234"/>
        <v/>
      </c>
      <c r="AI635" t="str">
        <f t="shared" si="239"/>
        <v/>
      </c>
      <c r="AJ635" t="str">
        <f t="shared" si="241"/>
        <v/>
      </c>
    </row>
    <row r="636" spans="1:36" ht="15" customHeight="1" x14ac:dyDescent="0.25">
      <c r="A636" s="114"/>
      <c r="B636" s="116"/>
      <c r="C636" s="116"/>
      <c r="D636" s="42" t="str">
        <f t="shared" si="218"/>
        <v/>
      </c>
      <c r="E636" s="43"/>
      <c r="F636" s="118"/>
      <c r="G636" s="44" t="str">
        <f t="shared" si="219"/>
        <v/>
      </c>
      <c r="H636" s="118"/>
      <c r="I636" s="34" t="str">
        <f t="shared" si="220"/>
        <v/>
      </c>
      <c r="J636" s="118"/>
      <c r="K636" s="34" t="str">
        <f t="shared" si="221"/>
        <v/>
      </c>
      <c r="L636" s="118"/>
      <c r="M636" s="121"/>
      <c r="N636" s="122" t="str">
        <f t="shared" si="222"/>
        <v/>
      </c>
      <c r="O636" s="35" t="str">
        <f t="shared" si="223"/>
        <v/>
      </c>
      <c r="P636" s="124"/>
      <c r="Q636" s="36" t="str">
        <f t="shared" si="235"/>
        <v/>
      </c>
      <c r="R636" s="46" t="str">
        <f t="shared" si="224"/>
        <v/>
      </c>
      <c r="S636" s="38" t="str">
        <f t="shared" si="225"/>
        <v/>
      </c>
      <c r="T636" s="39" t="str">
        <f t="shared" si="226"/>
        <v/>
      </c>
      <c r="U636" s="40" t="str">
        <f t="shared" si="227"/>
        <v/>
      </c>
      <c r="V636" s="39" t="str">
        <f t="shared" si="228"/>
        <v/>
      </c>
      <c r="W636" s="34" t="str">
        <f t="shared" si="229"/>
        <v/>
      </c>
      <c r="X636" s="41" t="str">
        <f t="shared" si="236"/>
        <v/>
      </c>
      <c r="Y636" s="98" t="str">
        <f t="shared" si="230"/>
        <v/>
      </c>
      <c r="Z636" s="16" t="str">
        <f t="shared" si="237"/>
        <v/>
      </c>
      <c r="AB636" s="139"/>
      <c r="AC636" s="146" t="str">
        <f t="shared" si="240"/>
        <v/>
      </c>
      <c r="AD636" s="148" t="str">
        <f t="shared" si="238"/>
        <v/>
      </c>
      <c r="AE636" s="147" t="str">
        <f t="shared" si="231"/>
        <v/>
      </c>
      <c r="AF636" s="111" t="str">
        <f t="shared" si="232"/>
        <v/>
      </c>
      <c r="AG636" s="111" t="str">
        <f t="shared" si="233"/>
        <v/>
      </c>
      <c r="AH636" s="112" t="str">
        <f t="shared" si="234"/>
        <v/>
      </c>
      <c r="AI636" t="str">
        <f t="shared" si="239"/>
        <v/>
      </c>
      <c r="AJ636" t="str">
        <f t="shared" si="241"/>
        <v/>
      </c>
    </row>
    <row r="637" spans="1:36" ht="15" customHeight="1" x14ac:dyDescent="0.25">
      <c r="A637" s="114"/>
      <c r="B637" s="116"/>
      <c r="C637" s="116"/>
      <c r="D637" s="42" t="str">
        <f t="shared" si="218"/>
        <v/>
      </c>
      <c r="E637" s="43"/>
      <c r="F637" s="118"/>
      <c r="G637" s="44" t="str">
        <f t="shared" si="219"/>
        <v/>
      </c>
      <c r="H637" s="118"/>
      <c r="I637" s="34" t="str">
        <f t="shared" si="220"/>
        <v/>
      </c>
      <c r="J637" s="118"/>
      <c r="K637" s="34" t="str">
        <f t="shared" si="221"/>
        <v/>
      </c>
      <c r="L637" s="118"/>
      <c r="M637" s="121"/>
      <c r="N637" s="122" t="str">
        <f t="shared" si="222"/>
        <v/>
      </c>
      <c r="O637" s="35" t="str">
        <f t="shared" si="223"/>
        <v/>
      </c>
      <c r="P637" s="124"/>
      <c r="Q637" s="36" t="str">
        <f t="shared" si="235"/>
        <v/>
      </c>
      <c r="R637" s="46" t="str">
        <f t="shared" si="224"/>
        <v/>
      </c>
      <c r="S637" s="38" t="str">
        <f t="shared" si="225"/>
        <v/>
      </c>
      <c r="T637" s="39" t="str">
        <f t="shared" si="226"/>
        <v/>
      </c>
      <c r="U637" s="40" t="str">
        <f t="shared" si="227"/>
        <v/>
      </c>
      <c r="V637" s="39" t="str">
        <f t="shared" si="228"/>
        <v/>
      </c>
      <c r="W637" s="34" t="str">
        <f t="shared" si="229"/>
        <v/>
      </c>
      <c r="X637" s="41" t="str">
        <f t="shared" si="236"/>
        <v/>
      </c>
      <c r="Y637" s="98" t="str">
        <f t="shared" si="230"/>
        <v/>
      </c>
      <c r="Z637" s="16" t="str">
        <f t="shared" si="237"/>
        <v/>
      </c>
      <c r="AB637" s="139"/>
      <c r="AC637" s="146" t="str">
        <f t="shared" si="240"/>
        <v/>
      </c>
      <c r="AD637" s="148" t="str">
        <f t="shared" si="238"/>
        <v/>
      </c>
      <c r="AE637" s="147" t="str">
        <f t="shared" si="231"/>
        <v/>
      </c>
      <c r="AF637" s="111" t="str">
        <f t="shared" si="232"/>
        <v/>
      </c>
      <c r="AG637" s="111" t="str">
        <f t="shared" si="233"/>
        <v/>
      </c>
      <c r="AH637" s="112" t="str">
        <f t="shared" si="234"/>
        <v/>
      </c>
      <c r="AI637" t="str">
        <f t="shared" si="239"/>
        <v/>
      </c>
      <c r="AJ637" t="str">
        <f t="shared" si="241"/>
        <v/>
      </c>
    </row>
    <row r="638" spans="1:36" ht="15" customHeight="1" x14ac:dyDescent="0.25">
      <c r="A638" s="114"/>
      <c r="B638" s="116"/>
      <c r="C638" s="116"/>
      <c r="D638" s="42" t="str">
        <f t="shared" si="218"/>
        <v/>
      </c>
      <c r="E638" s="43"/>
      <c r="F638" s="118"/>
      <c r="G638" s="44" t="str">
        <f t="shared" si="219"/>
        <v/>
      </c>
      <c r="H638" s="118"/>
      <c r="I638" s="34" t="str">
        <f t="shared" si="220"/>
        <v/>
      </c>
      <c r="J638" s="118"/>
      <c r="K638" s="34" t="str">
        <f t="shared" si="221"/>
        <v/>
      </c>
      <c r="L638" s="118"/>
      <c r="M638" s="121"/>
      <c r="N638" s="122" t="str">
        <f t="shared" si="222"/>
        <v/>
      </c>
      <c r="O638" s="35" t="str">
        <f t="shared" si="223"/>
        <v/>
      </c>
      <c r="P638" s="124"/>
      <c r="Q638" s="36" t="str">
        <f t="shared" si="235"/>
        <v/>
      </c>
      <c r="R638" s="46" t="str">
        <f t="shared" si="224"/>
        <v/>
      </c>
      <c r="S638" s="38" t="str">
        <f t="shared" si="225"/>
        <v/>
      </c>
      <c r="T638" s="39" t="str">
        <f t="shared" si="226"/>
        <v/>
      </c>
      <c r="U638" s="40" t="str">
        <f t="shared" si="227"/>
        <v/>
      </c>
      <c r="V638" s="39" t="str">
        <f t="shared" si="228"/>
        <v/>
      </c>
      <c r="W638" s="34" t="str">
        <f t="shared" si="229"/>
        <v/>
      </c>
      <c r="X638" s="41" t="str">
        <f t="shared" si="236"/>
        <v/>
      </c>
      <c r="Y638" s="98" t="str">
        <f t="shared" si="230"/>
        <v/>
      </c>
      <c r="Z638" s="16" t="str">
        <f t="shared" si="237"/>
        <v/>
      </c>
      <c r="AB638" s="139"/>
      <c r="AC638" s="146" t="str">
        <f t="shared" si="240"/>
        <v/>
      </c>
      <c r="AD638" s="148" t="str">
        <f t="shared" si="238"/>
        <v/>
      </c>
      <c r="AE638" s="147" t="str">
        <f t="shared" si="231"/>
        <v/>
      </c>
      <c r="AF638" s="111" t="str">
        <f t="shared" si="232"/>
        <v/>
      </c>
      <c r="AG638" s="111" t="str">
        <f t="shared" si="233"/>
        <v/>
      </c>
      <c r="AH638" s="112" t="str">
        <f t="shared" si="234"/>
        <v/>
      </c>
      <c r="AI638" t="str">
        <f t="shared" si="239"/>
        <v/>
      </c>
      <c r="AJ638" t="str">
        <f t="shared" si="241"/>
        <v/>
      </c>
    </row>
    <row r="639" spans="1:36" ht="15" customHeight="1" x14ac:dyDescent="0.25">
      <c r="A639" s="114"/>
      <c r="B639" s="116"/>
      <c r="C639" s="116"/>
      <c r="D639" s="42" t="str">
        <f t="shared" si="218"/>
        <v/>
      </c>
      <c r="E639" s="43"/>
      <c r="F639" s="118"/>
      <c r="G639" s="44" t="str">
        <f t="shared" si="219"/>
        <v/>
      </c>
      <c r="H639" s="118"/>
      <c r="I639" s="34" t="str">
        <f t="shared" si="220"/>
        <v/>
      </c>
      <c r="J639" s="118"/>
      <c r="K639" s="34" t="str">
        <f t="shared" si="221"/>
        <v/>
      </c>
      <c r="L639" s="118"/>
      <c r="M639" s="121"/>
      <c r="N639" s="122" t="str">
        <f t="shared" si="222"/>
        <v/>
      </c>
      <c r="O639" s="35" t="str">
        <f t="shared" si="223"/>
        <v/>
      </c>
      <c r="P639" s="124"/>
      <c r="Q639" s="36" t="str">
        <f t="shared" si="235"/>
        <v/>
      </c>
      <c r="R639" s="46" t="str">
        <f t="shared" si="224"/>
        <v/>
      </c>
      <c r="S639" s="38" t="str">
        <f t="shared" si="225"/>
        <v/>
      </c>
      <c r="T639" s="39" t="str">
        <f t="shared" si="226"/>
        <v/>
      </c>
      <c r="U639" s="40" t="str">
        <f t="shared" si="227"/>
        <v/>
      </c>
      <c r="V639" s="39" t="str">
        <f t="shared" si="228"/>
        <v/>
      </c>
      <c r="W639" s="34" t="str">
        <f t="shared" si="229"/>
        <v/>
      </c>
      <c r="X639" s="41" t="str">
        <f t="shared" si="236"/>
        <v/>
      </c>
      <c r="Y639" s="98" t="str">
        <f t="shared" si="230"/>
        <v/>
      </c>
      <c r="Z639" s="16" t="str">
        <f t="shared" si="237"/>
        <v/>
      </c>
      <c r="AB639" s="139"/>
      <c r="AC639" s="146" t="str">
        <f t="shared" si="240"/>
        <v/>
      </c>
      <c r="AD639" s="148" t="str">
        <f t="shared" si="238"/>
        <v/>
      </c>
      <c r="AE639" s="147" t="str">
        <f t="shared" si="231"/>
        <v/>
      </c>
      <c r="AF639" s="111" t="str">
        <f t="shared" si="232"/>
        <v/>
      </c>
      <c r="AG639" s="111" t="str">
        <f t="shared" si="233"/>
        <v/>
      </c>
      <c r="AH639" s="112" t="str">
        <f t="shared" si="234"/>
        <v/>
      </c>
      <c r="AI639" t="str">
        <f t="shared" si="239"/>
        <v/>
      </c>
      <c r="AJ639" t="str">
        <f t="shared" si="241"/>
        <v/>
      </c>
    </row>
    <row r="640" spans="1:36" ht="15" customHeight="1" x14ac:dyDescent="0.25">
      <c r="A640" s="114"/>
      <c r="B640" s="116"/>
      <c r="C640" s="116"/>
      <c r="D640" s="42" t="str">
        <f t="shared" si="218"/>
        <v/>
      </c>
      <c r="E640" s="43"/>
      <c r="F640" s="118"/>
      <c r="G640" s="44" t="str">
        <f t="shared" si="219"/>
        <v/>
      </c>
      <c r="H640" s="118"/>
      <c r="I640" s="34" t="str">
        <f t="shared" si="220"/>
        <v/>
      </c>
      <c r="J640" s="118"/>
      <c r="K640" s="34" t="str">
        <f t="shared" si="221"/>
        <v/>
      </c>
      <c r="L640" s="118"/>
      <c r="M640" s="121"/>
      <c r="N640" s="122" t="str">
        <f t="shared" si="222"/>
        <v/>
      </c>
      <c r="O640" s="35" t="str">
        <f t="shared" si="223"/>
        <v/>
      </c>
      <c r="P640" s="124"/>
      <c r="Q640" s="36" t="str">
        <f t="shared" si="235"/>
        <v/>
      </c>
      <c r="R640" s="46" t="str">
        <f t="shared" si="224"/>
        <v/>
      </c>
      <c r="S640" s="38" t="str">
        <f t="shared" si="225"/>
        <v/>
      </c>
      <c r="T640" s="39" t="str">
        <f t="shared" si="226"/>
        <v/>
      </c>
      <c r="U640" s="40" t="str">
        <f t="shared" si="227"/>
        <v/>
      </c>
      <c r="V640" s="39" t="str">
        <f t="shared" si="228"/>
        <v/>
      </c>
      <c r="W640" s="34" t="str">
        <f t="shared" si="229"/>
        <v/>
      </c>
      <c r="X640" s="41" t="str">
        <f t="shared" si="236"/>
        <v/>
      </c>
      <c r="Y640" s="98" t="str">
        <f t="shared" si="230"/>
        <v/>
      </c>
      <c r="Z640" s="16" t="str">
        <f t="shared" si="237"/>
        <v/>
      </c>
      <c r="AB640" s="139"/>
      <c r="AC640" s="146" t="str">
        <f t="shared" si="240"/>
        <v/>
      </c>
      <c r="AD640" s="148" t="str">
        <f t="shared" si="238"/>
        <v/>
      </c>
      <c r="AE640" s="147" t="str">
        <f t="shared" si="231"/>
        <v/>
      </c>
      <c r="AF640" s="111" t="str">
        <f t="shared" si="232"/>
        <v/>
      </c>
      <c r="AG640" s="111" t="str">
        <f t="shared" si="233"/>
        <v/>
      </c>
      <c r="AH640" s="112" t="str">
        <f t="shared" si="234"/>
        <v/>
      </c>
      <c r="AI640" t="str">
        <f t="shared" si="239"/>
        <v/>
      </c>
      <c r="AJ640" t="str">
        <f t="shared" si="241"/>
        <v/>
      </c>
    </row>
    <row r="641" spans="1:36" ht="15" customHeight="1" x14ac:dyDescent="0.25">
      <c r="A641" s="114"/>
      <c r="B641" s="116"/>
      <c r="C641" s="116"/>
      <c r="D641" s="42" t="str">
        <f t="shared" si="218"/>
        <v/>
      </c>
      <c r="E641" s="43"/>
      <c r="F641" s="118"/>
      <c r="G641" s="44" t="str">
        <f t="shared" si="219"/>
        <v/>
      </c>
      <c r="H641" s="118"/>
      <c r="I641" s="34" t="str">
        <f t="shared" si="220"/>
        <v/>
      </c>
      <c r="J641" s="118"/>
      <c r="K641" s="34" t="str">
        <f t="shared" si="221"/>
        <v/>
      </c>
      <c r="L641" s="118"/>
      <c r="M641" s="121"/>
      <c r="N641" s="122" t="str">
        <f t="shared" si="222"/>
        <v/>
      </c>
      <c r="O641" s="35" t="str">
        <f t="shared" si="223"/>
        <v/>
      </c>
      <c r="P641" s="124"/>
      <c r="Q641" s="36" t="str">
        <f t="shared" si="235"/>
        <v/>
      </c>
      <c r="R641" s="46" t="str">
        <f t="shared" si="224"/>
        <v/>
      </c>
      <c r="S641" s="38" t="str">
        <f t="shared" si="225"/>
        <v/>
      </c>
      <c r="T641" s="39" t="str">
        <f t="shared" si="226"/>
        <v/>
      </c>
      <c r="U641" s="40" t="str">
        <f t="shared" si="227"/>
        <v/>
      </c>
      <c r="V641" s="39" t="str">
        <f t="shared" si="228"/>
        <v/>
      </c>
      <c r="W641" s="34" t="str">
        <f t="shared" si="229"/>
        <v/>
      </c>
      <c r="X641" s="41" t="str">
        <f t="shared" si="236"/>
        <v/>
      </c>
      <c r="Y641" s="98" t="str">
        <f t="shared" si="230"/>
        <v/>
      </c>
      <c r="Z641" s="16" t="str">
        <f t="shared" si="237"/>
        <v/>
      </c>
      <c r="AB641" s="139"/>
      <c r="AC641" s="146" t="str">
        <f t="shared" si="240"/>
        <v/>
      </c>
      <c r="AD641" s="148" t="str">
        <f t="shared" si="238"/>
        <v/>
      </c>
      <c r="AE641" s="147" t="str">
        <f t="shared" si="231"/>
        <v/>
      </c>
      <c r="AF641" s="111" t="str">
        <f t="shared" si="232"/>
        <v/>
      </c>
      <c r="AG641" s="111" t="str">
        <f t="shared" si="233"/>
        <v/>
      </c>
      <c r="AH641" s="112" t="str">
        <f t="shared" si="234"/>
        <v/>
      </c>
      <c r="AI641" t="str">
        <f t="shared" si="239"/>
        <v/>
      </c>
      <c r="AJ641" t="str">
        <f t="shared" si="241"/>
        <v/>
      </c>
    </row>
    <row r="642" spans="1:36" ht="15" customHeight="1" x14ac:dyDescent="0.25">
      <c r="A642" s="114"/>
      <c r="B642" s="116"/>
      <c r="C642" s="116"/>
      <c r="D642" s="42" t="str">
        <f t="shared" si="218"/>
        <v/>
      </c>
      <c r="E642" s="43"/>
      <c r="F642" s="118"/>
      <c r="G642" s="44" t="str">
        <f t="shared" si="219"/>
        <v/>
      </c>
      <c r="H642" s="118"/>
      <c r="I642" s="34" t="str">
        <f t="shared" si="220"/>
        <v/>
      </c>
      <c r="J642" s="118"/>
      <c r="K642" s="34" t="str">
        <f t="shared" si="221"/>
        <v/>
      </c>
      <c r="L642" s="118"/>
      <c r="M642" s="121"/>
      <c r="N642" s="122" t="str">
        <f t="shared" si="222"/>
        <v/>
      </c>
      <c r="O642" s="35" t="str">
        <f t="shared" si="223"/>
        <v/>
      </c>
      <c r="P642" s="124"/>
      <c r="Q642" s="36" t="str">
        <f t="shared" si="235"/>
        <v/>
      </c>
      <c r="R642" s="46" t="str">
        <f t="shared" si="224"/>
        <v/>
      </c>
      <c r="S642" s="38" t="str">
        <f t="shared" si="225"/>
        <v/>
      </c>
      <c r="T642" s="39" t="str">
        <f t="shared" si="226"/>
        <v/>
      </c>
      <c r="U642" s="40" t="str">
        <f t="shared" si="227"/>
        <v/>
      </c>
      <c r="V642" s="39" t="str">
        <f t="shared" si="228"/>
        <v/>
      </c>
      <c r="W642" s="34" t="str">
        <f t="shared" si="229"/>
        <v/>
      </c>
      <c r="X642" s="41" t="str">
        <f t="shared" si="236"/>
        <v/>
      </c>
      <c r="Y642" s="98" t="str">
        <f t="shared" si="230"/>
        <v/>
      </c>
      <c r="Z642" s="16" t="str">
        <f t="shared" si="237"/>
        <v/>
      </c>
      <c r="AB642" s="139"/>
      <c r="AC642" s="146" t="str">
        <f t="shared" si="240"/>
        <v/>
      </c>
      <c r="AD642" s="148" t="str">
        <f t="shared" si="238"/>
        <v/>
      </c>
      <c r="AE642" s="147" t="str">
        <f t="shared" si="231"/>
        <v/>
      </c>
      <c r="AF642" s="111" t="str">
        <f t="shared" si="232"/>
        <v/>
      </c>
      <c r="AG642" s="111" t="str">
        <f t="shared" si="233"/>
        <v/>
      </c>
      <c r="AH642" s="112" t="str">
        <f t="shared" si="234"/>
        <v/>
      </c>
      <c r="AI642" t="str">
        <f t="shared" si="239"/>
        <v/>
      </c>
      <c r="AJ642" t="str">
        <f t="shared" si="241"/>
        <v/>
      </c>
    </row>
    <row r="643" spans="1:36" ht="15" customHeight="1" x14ac:dyDescent="0.25">
      <c r="A643" s="114"/>
      <c r="B643" s="116"/>
      <c r="C643" s="116"/>
      <c r="D643" s="42" t="str">
        <f t="shared" si="218"/>
        <v/>
      </c>
      <c r="E643" s="43"/>
      <c r="F643" s="118"/>
      <c r="G643" s="44" t="str">
        <f t="shared" si="219"/>
        <v/>
      </c>
      <c r="H643" s="118"/>
      <c r="I643" s="34" t="str">
        <f t="shared" si="220"/>
        <v/>
      </c>
      <c r="J643" s="118"/>
      <c r="K643" s="34" t="str">
        <f t="shared" si="221"/>
        <v/>
      </c>
      <c r="L643" s="118"/>
      <c r="M643" s="121"/>
      <c r="N643" s="122" t="str">
        <f t="shared" si="222"/>
        <v/>
      </c>
      <c r="O643" s="35" t="str">
        <f t="shared" si="223"/>
        <v/>
      </c>
      <c r="P643" s="124"/>
      <c r="Q643" s="36" t="str">
        <f t="shared" si="235"/>
        <v/>
      </c>
      <c r="R643" s="46" t="str">
        <f t="shared" si="224"/>
        <v/>
      </c>
      <c r="S643" s="38" t="str">
        <f t="shared" si="225"/>
        <v/>
      </c>
      <c r="T643" s="39" t="str">
        <f t="shared" si="226"/>
        <v/>
      </c>
      <c r="U643" s="40" t="str">
        <f t="shared" si="227"/>
        <v/>
      </c>
      <c r="V643" s="39" t="str">
        <f t="shared" si="228"/>
        <v/>
      </c>
      <c r="W643" s="34" t="str">
        <f t="shared" si="229"/>
        <v/>
      </c>
      <c r="X643" s="41" t="str">
        <f t="shared" si="236"/>
        <v/>
      </c>
      <c r="Y643" s="98" t="str">
        <f t="shared" si="230"/>
        <v/>
      </c>
      <c r="Z643" s="16" t="str">
        <f t="shared" si="237"/>
        <v/>
      </c>
      <c r="AB643" s="139"/>
      <c r="AC643" s="146" t="str">
        <f t="shared" si="240"/>
        <v/>
      </c>
      <c r="AD643" s="148" t="str">
        <f t="shared" si="238"/>
        <v/>
      </c>
      <c r="AE643" s="147" t="str">
        <f t="shared" si="231"/>
        <v/>
      </c>
      <c r="AF643" s="111" t="str">
        <f t="shared" si="232"/>
        <v/>
      </c>
      <c r="AG643" s="111" t="str">
        <f t="shared" si="233"/>
        <v/>
      </c>
      <c r="AH643" s="112" t="str">
        <f t="shared" si="234"/>
        <v/>
      </c>
      <c r="AI643" t="str">
        <f t="shared" si="239"/>
        <v/>
      </c>
      <c r="AJ643" t="str">
        <f t="shared" si="241"/>
        <v/>
      </c>
    </row>
    <row r="644" spans="1:36" ht="15" customHeight="1" x14ac:dyDescent="0.25">
      <c r="A644" s="114"/>
      <c r="B644" s="116"/>
      <c r="C644" s="116"/>
      <c r="D644" s="42" t="str">
        <f t="shared" si="218"/>
        <v/>
      </c>
      <c r="E644" s="43"/>
      <c r="F644" s="118"/>
      <c r="G644" s="44" t="str">
        <f t="shared" si="219"/>
        <v/>
      </c>
      <c r="H644" s="118"/>
      <c r="I644" s="34" t="str">
        <f t="shared" si="220"/>
        <v/>
      </c>
      <c r="J644" s="118"/>
      <c r="K644" s="34" t="str">
        <f t="shared" si="221"/>
        <v/>
      </c>
      <c r="L644" s="118"/>
      <c r="M644" s="121"/>
      <c r="N644" s="122" t="str">
        <f t="shared" si="222"/>
        <v/>
      </c>
      <c r="O644" s="35" t="str">
        <f t="shared" si="223"/>
        <v/>
      </c>
      <c r="P644" s="124"/>
      <c r="Q644" s="36" t="str">
        <f t="shared" si="235"/>
        <v/>
      </c>
      <c r="R644" s="46" t="str">
        <f t="shared" si="224"/>
        <v/>
      </c>
      <c r="S644" s="38" t="str">
        <f t="shared" si="225"/>
        <v/>
      </c>
      <c r="T644" s="39" t="str">
        <f t="shared" si="226"/>
        <v/>
      </c>
      <c r="U644" s="40" t="str">
        <f t="shared" si="227"/>
        <v/>
      </c>
      <c r="V644" s="39" t="str">
        <f t="shared" si="228"/>
        <v/>
      </c>
      <c r="W644" s="34" t="str">
        <f t="shared" si="229"/>
        <v/>
      </c>
      <c r="X644" s="41" t="str">
        <f t="shared" si="236"/>
        <v/>
      </c>
      <c r="Y644" s="98" t="str">
        <f t="shared" si="230"/>
        <v/>
      </c>
      <c r="Z644" s="16" t="str">
        <f t="shared" si="237"/>
        <v/>
      </c>
      <c r="AB644" s="139"/>
      <c r="AC644" s="146" t="str">
        <f t="shared" si="240"/>
        <v/>
      </c>
      <c r="AD644" s="148" t="str">
        <f t="shared" si="238"/>
        <v/>
      </c>
      <c r="AE644" s="147" t="str">
        <f t="shared" si="231"/>
        <v/>
      </c>
      <c r="AF644" s="111" t="str">
        <f t="shared" si="232"/>
        <v/>
      </c>
      <c r="AG644" s="111" t="str">
        <f t="shared" si="233"/>
        <v/>
      </c>
      <c r="AH644" s="112" t="str">
        <f t="shared" si="234"/>
        <v/>
      </c>
      <c r="AI644" t="str">
        <f t="shared" si="239"/>
        <v/>
      </c>
      <c r="AJ644" t="str">
        <f t="shared" si="241"/>
        <v/>
      </c>
    </row>
    <row r="645" spans="1:36" ht="15" customHeight="1" x14ac:dyDescent="0.25">
      <c r="A645" s="114"/>
      <c r="B645" s="116"/>
      <c r="C645" s="116"/>
      <c r="D645" s="42" t="str">
        <f t="shared" si="218"/>
        <v/>
      </c>
      <c r="E645" s="43"/>
      <c r="F645" s="118"/>
      <c r="G645" s="44" t="str">
        <f t="shared" si="219"/>
        <v/>
      </c>
      <c r="H645" s="118"/>
      <c r="I645" s="34" t="str">
        <f t="shared" si="220"/>
        <v/>
      </c>
      <c r="J645" s="118"/>
      <c r="K645" s="34" t="str">
        <f t="shared" si="221"/>
        <v/>
      </c>
      <c r="L645" s="118"/>
      <c r="M645" s="121"/>
      <c r="N645" s="122" t="str">
        <f t="shared" si="222"/>
        <v/>
      </c>
      <c r="O645" s="35" t="str">
        <f t="shared" si="223"/>
        <v/>
      </c>
      <c r="P645" s="124"/>
      <c r="Q645" s="36" t="str">
        <f t="shared" si="235"/>
        <v/>
      </c>
      <c r="R645" s="46" t="str">
        <f t="shared" si="224"/>
        <v/>
      </c>
      <c r="S645" s="38" t="str">
        <f t="shared" si="225"/>
        <v/>
      </c>
      <c r="T645" s="39" t="str">
        <f t="shared" si="226"/>
        <v/>
      </c>
      <c r="U645" s="40" t="str">
        <f t="shared" si="227"/>
        <v/>
      </c>
      <c r="V645" s="39" t="str">
        <f t="shared" si="228"/>
        <v/>
      </c>
      <c r="W645" s="34" t="str">
        <f t="shared" si="229"/>
        <v/>
      </c>
      <c r="X645" s="41" t="str">
        <f t="shared" si="236"/>
        <v/>
      </c>
      <c r="Y645" s="98" t="str">
        <f t="shared" si="230"/>
        <v/>
      </c>
      <c r="Z645" s="16" t="str">
        <f t="shared" si="237"/>
        <v/>
      </c>
      <c r="AB645" s="139"/>
      <c r="AC645" s="146" t="str">
        <f t="shared" si="240"/>
        <v/>
      </c>
      <c r="AD645" s="148" t="str">
        <f t="shared" si="238"/>
        <v/>
      </c>
      <c r="AE645" s="147" t="str">
        <f t="shared" si="231"/>
        <v/>
      </c>
      <c r="AF645" s="111" t="str">
        <f t="shared" si="232"/>
        <v/>
      </c>
      <c r="AG645" s="111" t="str">
        <f t="shared" si="233"/>
        <v/>
      </c>
      <c r="AH645" s="112" t="str">
        <f t="shared" si="234"/>
        <v/>
      </c>
      <c r="AI645" t="str">
        <f t="shared" si="239"/>
        <v/>
      </c>
      <c r="AJ645" t="str">
        <f t="shared" si="241"/>
        <v/>
      </c>
    </row>
    <row r="646" spans="1:36" ht="15" customHeight="1" x14ac:dyDescent="0.25">
      <c r="A646" s="114"/>
      <c r="B646" s="116"/>
      <c r="C646" s="116"/>
      <c r="D646" s="42" t="str">
        <f t="shared" si="218"/>
        <v/>
      </c>
      <c r="E646" s="43"/>
      <c r="F646" s="118"/>
      <c r="G646" s="44" t="str">
        <f t="shared" si="219"/>
        <v/>
      </c>
      <c r="H646" s="118"/>
      <c r="I646" s="34" t="str">
        <f t="shared" si="220"/>
        <v/>
      </c>
      <c r="J646" s="118"/>
      <c r="K646" s="34" t="str">
        <f t="shared" si="221"/>
        <v/>
      </c>
      <c r="L646" s="118"/>
      <c r="M646" s="121"/>
      <c r="N646" s="122" t="str">
        <f t="shared" si="222"/>
        <v/>
      </c>
      <c r="O646" s="35" t="str">
        <f t="shared" si="223"/>
        <v/>
      </c>
      <c r="P646" s="124"/>
      <c r="Q646" s="36" t="str">
        <f t="shared" si="235"/>
        <v/>
      </c>
      <c r="R646" s="46" t="str">
        <f t="shared" si="224"/>
        <v/>
      </c>
      <c r="S646" s="38" t="str">
        <f t="shared" si="225"/>
        <v/>
      </c>
      <c r="T646" s="39" t="str">
        <f t="shared" si="226"/>
        <v/>
      </c>
      <c r="U646" s="40" t="str">
        <f t="shared" si="227"/>
        <v/>
      </c>
      <c r="V646" s="39" t="str">
        <f t="shared" si="228"/>
        <v/>
      </c>
      <c r="W646" s="34" t="str">
        <f t="shared" si="229"/>
        <v/>
      </c>
      <c r="X646" s="41" t="str">
        <f t="shared" si="236"/>
        <v/>
      </c>
      <c r="Y646" s="98" t="str">
        <f t="shared" si="230"/>
        <v/>
      </c>
      <c r="Z646" s="16" t="str">
        <f t="shared" si="237"/>
        <v/>
      </c>
      <c r="AB646" s="139"/>
      <c r="AC646" s="146" t="str">
        <f t="shared" si="240"/>
        <v/>
      </c>
      <c r="AD646" s="148" t="str">
        <f t="shared" si="238"/>
        <v/>
      </c>
      <c r="AE646" s="147" t="str">
        <f t="shared" si="231"/>
        <v/>
      </c>
      <c r="AF646" s="111" t="str">
        <f t="shared" si="232"/>
        <v/>
      </c>
      <c r="AG646" s="111" t="str">
        <f t="shared" si="233"/>
        <v/>
      </c>
      <c r="AH646" s="112" t="str">
        <f t="shared" si="234"/>
        <v/>
      </c>
      <c r="AI646" t="str">
        <f t="shared" si="239"/>
        <v/>
      </c>
      <c r="AJ646" t="str">
        <f t="shared" si="241"/>
        <v/>
      </c>
    </row>
    <row r="647" spans="1:36" ht="15" customHeight="1" x14ac:dyDescent="0.25">
      <c r="A647" s="114"/>
      <c r="B647" s="116"/>
      <c r="C647" s="116"/>
      <c r="D647" s="42" t="str">
        <f t="shared" si="218"/>
        <v/>
      </c>
      <c r="E647" s="43"/>
      <c r="F647" s="118"/>
      <c r="G647" s="44" t="str">
        <f t="shared" si="219"/>
        <v/>
      </c>
      <c r="H647" s="118"/>
      <c r="I647" s="34" t="str">
        <f t="shared" si="220"/>
        <v/>
      </c>
      <c r="J647" s="118"/>
      <c r="K647" s="34" t="str">
        <f t="shared" si="221"/>
        <v/>
      </c>
      <c r="L647" s="118"/>
      <c r="M647" s="121"/>
      <c r="N647" s="122" t="str">
        <f t="shared" si="222"/>
        <v/>
      </c>
      <c r="O647" s="35" t="str">
        <f t="shared" si="223"/>
        <v/>
      </c>
      <c r="P647" s="124"/>
      <c r="Q647" s="36" t="str">
        <f t="shared" si="235"/>
        <v/>
      </c>
      <c r="R647" s="46" t="str">
        <f t="shared" si="224"/>
        <v/>
      </c>
      <c r="S647" s="38" t="str">
        <f t="shared" si="225"/>
        <v/>
      </c>
      <c r="T647" s="39" t="str">
        <f t="shared" si="226"/>
        <v/>
      </c>
      <c r="U647" s="40" t="str">
        <f t="shared" si="227"/>
        <v/>
      </c>
      <c r="V647" s="39" t="str">
        <f t="shared" si="228"/>
        <v/>
      </c>
      <c r="W647" s="34" t="str">
        <f t="shared" si="229"/>
        <v/>
      </c>
      <c r="X647" s="41" t="str">
        <f t="shared" si="236"/>
        <v/>
      </c>
      <c r="Y647" s="98" t="str">
        <f t="shared" si="230"/>
        <v/>
      </c>
      <c r="Z647" s="16" t="str">
        <f t="shared" si="237"/>
        <v/>
      </c>
      <c r="AB647" s="139"/>
      <c r="AC647" s="146" t="str">
        <f t="shared" si="240"/>
        <v/>
      </c>
      <c r="AD647" s="148" t="str">
        <f t="shared" si="238"/>
        <v/>
      </c>
      <c r="AE647" s="147" t="str">
        <f t="shared" si="231"/>
        <v/>
      </c>
      <c r="AF647" s="111" t="str">
        <f t="shared" si="232"/>
        <v/>
      </c>
      <c r="AG647" s="111" t="str">
        <f t="shared" si="233"/>
        <v/>
      </c>
      <c r="AH647" s="112" t="str">
        <f t="shared" si="234"/>
        <v/>
      </c>
      <c r="AI647" t="str">
        <f t="shared" si="239"/>
        <v/>
      </c>
      <c r="AJ647" t="str">
        <f t="shared" si="241"/>
        <v/>
      </c>
    </row>
    <row r="648" spans="1:36" ht="15" customHeight="1" x14ac:dyDescent="0.25">
      <c r="A648" s="114"/>
      <c r="B648" s="116"/>
      <c r="C648" s="116"/>
      <c r="D648" s="42" t="str">
        <f t="shared" ref="D648:D711" si="242">IF(A648="","",B648*C648)</f>
        <v/>
      </c>
      <c r="E648" s="43"/>
      <c r="F648" s="118"/>
      <c r="G648" s="44" t="str">
        <f t="shared" ref="G648:G711" si="243">IF(A648="","",F648*B648)</f>
        <v/>
      </c>
      <c r="H648" s="118"/>
      <c r="I648" s="34" t="str">
        <f t="shared" ref="I648:I711" si="244">IF(OR(H648=0,C648=0,H648="",C648=""),"",H648/C648)</f>
        <v/>
      </c>
      <c r="J648" s="118"/>
      <c r="K648" s="34" t="str">
        <f t="shared" ref="K648:K711" si="245">IF(OR(J648=0,C648=0,J648="",C648=""),"",J648/C648)</f>
        <v/>
      </c>
      <c r="L648" s="118"/>
      <c r="M648" s="121"/>
      <c r="N648" s="122" t="str">
        <f t="shared" ref="N648:N711" si="246">IF(A648="","",IF(P648&gt;0,IF(G648&gt;0,P648/G648,0),IF(E648&gt;0,0,IF($I$3&gt;0,IF($I$4&gt;0,MAX($I$3-SUM($P$8:$P$1007),0)/$I$4,0),$I$2))))</f>
        <v/>
      </c>
      <c r="O648" s="35" t="str">
        <f t="shared" ref="O648:O711" si="247">IF(A648="","",IF(P648&gt;0,P648,IF(E648&gt;0,0,G648*IF($I$3&gt;0,IF($I$4&gt;0,MAX($I$3-SUM($P$8:$P$1007),0)/$I$4,0),$I$2))))</f>
        <v/>
      </c>
      <c r="P648" s="124"/>
      <c r="Q648" s="36" t="str">
        <f t="shared" si="235"/>
        <v/>
      </c>
      <c r="R648" s="46" t="str">
        <f t="shared" ref="R648:R711" si="248">IF(OR(A648="",Q648=""),"",Q648*C648)</f>
        <v/>
      </c>
      <c r="S648" s="38" t="str">
        <f t="shared" ref="S648:S711" si="249">IF(OR(A648="",H648&lt;=0,R648=""),"",(H648-R648)/H648)</f>
        <v/>
      </c>
      <c r="T648" s="39" t="str">
        <f t="shared" ref="T648:T711" si="250">IF(OR(H648=0,R648=0,H648="",R648=""),"",H648-R648)</f>
        <v/>
      </c>
      <c r="U648" s="40" t="str">
        <f t="shared" ref="U648:U711" si="251">IF(OR(A648="",J648&lt;=0,R648=""),"",(J648-R648)/J648)</f>
        <v/>
      </c>
      <c r="V648" s="39" t="str">
        <f t="shared" ref="V648:V711" si="252">IF(OR(J648=0,R648=0,J648="",R648=""),"",J648-R648)</f>
        <v/>
      </c>
      <c r="W648" s="34" t="str">
        <f t="shared" ref="W648:W711" si="253">IF(OR(G648="",G648=0,$M$5="",$K$3=0),"",($M$5/$K$3)*G648)</f>
        <v/>
      </c>
      <c r="X648" s="41" t="str">
        <f t="shared" si="236"/>
        <v/>
      </c>
      <c r="Y648" s="98" t="str">
        <f t="shared" ref="Y648:Y711" si="254">IF(OR(Q648=0,Q648="",D648=0,D648=""),"",Q648*(D648+E648))</f>
        <v/>
      </c>
      <c r="Z648" s="16" t="str">
        <f t="shared" si="237"/>
        <v/>
      </c>
      <c r="AB648" s="139"/>
      <c r="AC648" s="146" t="str">
        <f t="shared" si="240"/>
        <v/>
      </c>
      <c r="AD648" s="148" t="str">
        <f t="shared" si="238"/>
        <v/>
      </c>
      <c r="AE648" s="147" t="str">
        <f t="shared" ref="AE648:AE711" si="255">IF(AD648="","",AD648*$AC$1+IF(SUM($AD$8:$AD$1007)=0,0,$AC$2*AD648/SUM($AD$8:$AD$1007)))</f>
        <v/>
      </c>
      <c r="AF648" s="111" t="str">
        <f t="shared" ref="AF648:AF711" si="256">IF(AD648="","",AD648-AE648)</f>
        <v/>
      </c>
      <c r="AG648" s="111" t="str">
        <f t="shared" ref="AG648:AG711" si="257">IF(AF648="","",AH648-AF648)</f>
        <v/>
      </c>
      <c r="AH648" s="112" t="str">
        <f t="shared" ref="AH648:AH711" si="258">IF(AF648="","",ROUND(AF648,0))</f>
        <v/>
      </c>
      <c r="AI648" t="str">
        <f t="shared" si="239"/>
        <v/>
      </c>
      <c r="AJ648" t="str">
        <f t="shared" si="241"/>
        <v/>
      </c>
    </row>
    <row r="649" spans="1:36" ht="15" customHeight="1" x14ac:dyDescent="0.25">
      <c r="A649" s="114"/>
      <c r="B649" s="116"/>
      <c r="C649" s="116"/>
      <c r="D649" s="42" t="str">
        <f t="shared" si="242"/>
        <v/>
      </c>
      <c r="E649" s="43"/>
      <c r="F649" s="118"/>
      <c r="G649" s="44" t="str">
        <f t="shared" si="243"/>
        <v/>
      </c>
      <c r="H649" s="118"/>
      <c r="I649" s="34" t="str">
        <f t="shared" si="244"/>
        <v/>
      </c>
      <c r="J649" s="118"/>
      <c r="K649" s="34" t="str">
        <f t="shared" si="245"/>
        <v/>
      </c>
      <c r="L649" s="118"/>
      <c r="M649" s="121"/>
      <c r="N649" s="122" t="str">
        <f t="shared" si="246"/>
        <v/>
      </c>
      <c r="O649" s="35" t="str">
        <f t="shared" si="247"/>
        <v/>
      </c>
      <c r="P649" s="124"/>
      <c r="Q649" s="36" t="str">
        <f t="shared" ref="Q649:Q712" si="259">IF(A649="","",IF(OR(B649=0,B649="",C649&lt;=0,D649+E649&lt;=0),"",(G649-O649)/(D649+E649)-IF(W649&gt;=0,W649/D649,0)+IF(ISNUMBER(X649),X649/(D649+E649),0)))</f>
        <v/>
      </c>
      <c r="R649" s="46" t="str">
        <f t="shared" si="248"/>
        <v/>
      </c>
      <c r="S649" s="38" t="str">
        <f t="shared" si="249"/>
        <v/>
      </c>
      <c r="T649" s="39" t="str">
        <f t="shared" si="250"/>
        <v/>
      </c>
      <c r="U649" s="40" t="str">
        <f t="shared" si="251"/>
        <v/>
      </c>
      <c r="V649" s="39" t="str">
        <f t="shared" si="252"/>
        <v/>
      </c>
      <c r="W649" s="34" t="str">
        <f t="shared" si="253"/>
        <v/>
      </c>
      <c r="X649" s="41" t="str">
        <f t="shared" ref="X649:X712" si="260">IF(OR(G649="",G649=0,($K$3-$K$2)=0),"",($I$1/($K$3-$K$2))*(G649-O649))</f>
        <v/>
      </c>
      <c r="Y649" s="98" t="str">
        <f t="shared" si="254"/>
        <v/>
      </c>
      <c r="Z649" s="16" t="str">
        <f t="shared" ref="Z649:Z712" si="261">IF(OR(B649=0,B649=""),"",G649)</f>
        <v/>
      </c>
      <c r="AB649" s="139"/>
      <c r="AC649" s="146" t="str">
        <f t="shared" si="240"/>
        <v/>
      </c>
      <c r="AD649" s="148" t="str">
        <f t="shared" ref="AD649:AD712" si="262">IF(OR(AB649="",AC649=""),"",AB649*AC649)</f>
        <v/>
      </c>
      <c r="AE649" s="147" t="str">
        <f t="shared" si="255"/>
        <v/>
      </c>
      <c r="AF649" s="111" t="str">
        <f t="shared" si="256"/>
        <v/>
      </c>
      <c r="AG649" s="111" t="str">
        <f t="shared" si="257"/>
        <v/>
      </c>
      <c r="AH649" s="112" t="str">
        <f t="shared" si="258"/>
        <v/>
      </c>
      <c r="AI649" t="str">
        <f t="shared" ref="AI649:AI712" si="263">IF(OR(AB649=0,AB649=""),"",AE649/AB649)</f>
        <v/>
      </c>
      <c r="AJ649" t="str">
        <f t="shared" si="241"/>
        <v/>
      </c>
    </row>
    <row r="650" spans="1:36" ht="15" customHeight="1" x14ac:dyDescent="0.25">
      <c r="A650" s="114"/>
      <c r="B650" s="116"/>
      <c r="C650" s="116"/>
      <c r="D650" s="42" t="str">
        <f t="shared" si="242"/>
        <v/>
      </c>
      <c r="E650" s="43"/>
      <c r="F650" s="118"/>
      <c r="G650" s="44" t="str">
        <f t="shared" si="243"/>
        <v/>
      </c>
      <c r="H650" s="118"/>
      <c r="I650" s="34" t="str">
        <f t="shared" si="244"/>
        <v/>
      </c>
      <c r="J650" s="118"/>
      <c r="K650" s="34" t="str">
        <f t="shared" si="245"/>
        <v/>
      </c>
      <c r="L650" s="118"/>
      <c r="M650" s="121"/>
      <c r="N650" s="122" t="str">
        <f t="shared" si="246"/>
        <v/>
      </c>
      <c r="O650" s="35" t="str">
        <f t="shared" si="247"/>
        <v/>
      </c>
      <c r="P650" s="124"/>
      <c r="Q650" s="36" t="str">
        <f t="shared" si="259"/>
        <v/>
      </c>
      <c r="R650" s="46" t="str">
        <f t="shared" si="248"/>
        <v/>
      </c>
      <c r="S650" s="38" t="str">
        <f t="shared" si="249"/>
        <v/>
      </c>
      <c r="T650" s="39" t="str">
        <f t="shared" si="250"/>
        <v/>
      </c>
      <c r="U650" s="40" t="str">
        <f t="shared" si="251"/>
        <v/>
      </c>
      <c r="V650" s="39" t="str">
        <f t="shared" si="252"/>
        <v/>
      </c>
      <c r="W650" s="34" t="str">
        <f t="shared" si="253"/>
        <v/>
      </c>
      <c r="X650" s="41" t="str">
        <f t="shared" si="260"/>
        <v/>
      </c>
      <c r="Y650" s="98" t="str">
        <f t="shared" si="254"/>
        <v/>
      </c>
      <c r="Z650" s="16" t="str">
        <f t="shared" si="261"/>
        <v/>
      </c>
      <c r="AB650" s="139"/>
      <c r="AC650" s="146" t="str">
        <f t="shared" si="240"/>
        <v/>
      </c>
      <c r="AD650" s="148" t="str">
        <f t="shared" si="262"/>
        <v/>
      </c>
      <c r="AE650" s="147" t="str">
        <f t="shared" si="255"/>
        <v/>
      </c>
      <c r="AF650" s="111" t="str">
        <f t="shared" si="256"/>
        <v/>
      </c>
      <c r="AG650" s="111" t="str">
        <f t="shared" si="257"/>
        <v/>
      </c>
      <c r="AH650" s="112" t="str">
        <f t="shared" si="258"/>
        <v/>
      </c>
      <c r="AI650" t="str">
        <f t="shared" si="263"/>
        <v/>
      </c>
      <c r="AJ650" t="str">
        <f t="shared" si="241"/>
        <v/>
      </c>
    </row>
    <row r="651" spans="1:36" ht="15" customHeight="1" x14ac:dyDescent="0.25">
      <c r="A651" s="114"/>
      <c r="B651" s="116"/>
      <c r="C651" s="116"/>
      <c r="D651" s="42" t="str">
        <f t="shared" si="242"/>
        <v/>
      </c>
      <c r="E651" s="43"/>
      <c r="F651" s="118"/>
      <c r="G651" s="44" t="str">
        <f t="shared" si="243"/>
        <v/>
      </c>
      <c r="H651" s="118"/>
      <c r="I651" s="34" t="str">
        <f t="shared" si="244"/>
        <v/>
      </c>
      <c r="J651" s="118"/>
      <c r="K651" s="34" t="str">
        <f t="shared" si="245"/>
        <v/>
      </c>
      <c r="L651" s="118"/>
      <c r="M651" s="121"/>
      <c r="N651" s="122" t="str">
        <f t="shared" si="246"/>
        <v/>
      </c>
      <c r="O651" s="35" t="str">
        <f t="shared" si="247"/>
        <v/>
      </c>
      <c r="P651" s="124"/>
      <c r="Q651" s="36" t="str">
        <f t="shared" si="259"/>
        <v/>
      </c>
      <c r="R651" s="46" t="str">
        <f t="shared" si="248"/>
        <v/>
      </c>
      <c r="S651" s="38" t="str">
        <f t="shared" si="249"/>
        <v/>
      </c>
      <c r="T651" s="39" t="str">
        <f t="shared" si="250"/>
        <v/>
      </c>
      <c r="U651" s="40" t="str">
        <f t="shared" si="251"/>
        <v/>
      </c>
      <c r="V651" s="39" t="str">
        <f t="shared" si="252"/>
        <v/>
      </c>
      <c r="W651" s="34" t="str">
        <f t="shared" si="253"/>
        <v/>
      </c>
      <c r="X651" s="41" t="str">
        <f t="shared" si="260"/>
        <v/>
      </c>
      <c r="Y651" s="98" t="str">
        <f t="shared" si="254"/>
        <v/>
      </c>
      <c r="Z651" s="16" t="str">
        <f t="shared" si="261"/>
        <v/>
      </c>
      <c r="AB651" s="139"/>
      <c r="AC651" s="146" t="str">
        <f t="shared" si="240"/>
        <v/>
      </c>
      <c r="AD651" s="148" t="str">
        <f t="shared" si="262"/>
        <v/>
      </c>
      <c r="AE651" s="147" t="str">
        <f t="shared" si="255"/>
        <v/>
      </c>
      <c r="AF651" s="111" t="str">
        <f t="shared" si="256"/>
        <v/>
      </c>
      <c r="AG651" s="111" t="str">
        <f t="shared" si="257"/>
        <v/>
      </c>
      <c r="AH651" s="112" t="str">
        <f t="shared" si="258"/>
        <v/>
      </c>
      <c r="AI651" t="str">
        <f t="shared" si="263"/>
        <v/>
      </c>
      <c r="AJ651" t="str">
        <f t="shared" si="241"/>
        <v/>
      </c>
    </row>
    <row r="652" spans="1:36" ht="15" customHeight="1" x14ac:dyDescent="0.25">
      <c r="A652" s="114"/>
      <c r="B652" s="116"/>
      <c r="C652" s="116"/>
      <c r="D652" s="42" t="str">
        <f t="shared" si="242"/>
        <v/>
      </c>
      <c r="E652" s="43"/>
      <c r="F652" s="118"/>
      <c r="G652" s="44" t="str">
        <f t="shared" si="243"/>
        <v/>
      </c>
      <c r="H652" s="118"/>
      <c r="I652" s="34" t="str">
        <f t="shared" si="244"/>
        <v/>
      </c>
      <c r="J652" s="118"/>
      <c r="K652" s="34" t="str">
        <f t="shared" si="245"/>
        <v/>
      </c>
      <c r="L652" s="118"/>
      <c r="M652" s="121"/>
      <c r="N652" s="122" t="str">
        <f t="shared" si="246"/>
        <v/>
      </c>
      <c r="O652" s="35" t="str">
        <f t="shared" si="247"/>
        <v/>
      </c>
      <c r="P652" s="124"/>
      <c r="Q652" s="36" t="str">
        <f t="shared" si="259"/>
        <v/>
      </c>
      <c r="R652" s="46" t="str">
        <f t="shared" si="248"/>
        <v/>
      </c>
      <c r="S652" s="38" t="str">
        <f t="shared" si="249"/>
        <v/>
      </c>
      <c r="T652" s="39" t="str">
        <f t="shared" si="250"/>
        <v/>
      </c>
      <c r="U652" s="40" t="str">
        <f t="shared" si="251"/>
        <v/>
      </c>
      <c r="V652" s="39" t="str">
        <f t="shared" si="252"/>
        <v/>
      </c>
      <c r="W652" s="34" t="str">
        <f t="shared" si="253"/>
        <v/>
      </c>
      <c r="X652" s="41" t="str">
        <f t="shared" si="260"/>
        <v/>
      </c>
      <c r="Y652" s="98" t="str">
        <f t="shared" si="254"/>
        <v/>
      </c>
      <c r="Z652" s="16" t="str">
        <f t="shared" si="261"/>
        <v/>
      </c>
      <c r="AB652" s="139"/>
      <c r="AC652" s="146" t="str">
        <f t="shared" ref="AC652:AC715" si="264">IF(AB652="","",Q652)</f>
        <v/>
      </c>
      <c r="AD652" s="148" t="str">
        <f t="shared" si="262"/>
        <v/>
      </c>
      <c r="AE652" s="147" t="str">
        <f t="shared" si="255"/>
        <v/>
      </c>
      <c r="AF652" s="111" t="str">
        <f t="shared" si="256"/>
        <v/>
      </c>
      <c r="AG652" s="111" t="str">
        <f t="shared" si="257"/>
        <v/>
      </c>
      <c r="AH652" s="112" t="str">
        <f t="shared" si="258"/>
        <v/>
      </c>
      <c r="AI652" t="str">
        <f t="shared" si="263"/>
        <v/>
      </c>
      <c r="AJ652" t="str">
        <f t="shared" ref="AJ652:AJ715" si="265">IF(OR(AB652=0,AB652=""),"",AC652*C652)</f>
        <v/>
      </c>
    </row>
    <row r="653" spans="1:36" ht="15" customHeight="1" x14ac:dyDescent="0.25">
      <c r="A653" s="114"/>
      <c r="B653" s="116"/>
      <c r="C653" s="116"/>
      <c r="D653" s="42" t="str">
        <f t="shared" si="242"/>
        <v/>
      </c>
      <c r="E653" s="43"/>
      <c r="F653" s="118"/>
      <c r="G653" s="44" t="str">
        <f t="shared" si="243"/>
        <v/>
      </c>
      <c r="H653" s="118"/>
      <c r="I653" s="34" t="str">
        <f t="shared" si="244"/>
        <v/>
      </c>
      <c r="J653" s="118"/>
      <c r="K653" s="34" t="str">
        <f t="shared" si="245"/>
        <v/>
      </c>
      <c r="L653" s="118"/>
      <c r="M653" s="121"/>
      <c r="N653" s="122" t="str">
        <f t="shared" si="246"/>
        <v/>
      </c>
      <c r="O653" s="35" t="str">
        <f t="shared" si="247"/>
        <v/>
      </c>
      <c r="P653" s="124"/>
      <c r="Q653" s="36" t="str">
        <f t="shared" si="259"/>
        <v/>
      </c>
      <c r="R653" s="46" t="str">
        <f t="shared" si="248"/>
        <v/>
      </c>
      <c r="S653" s="38" t="str">
        <f t="shared" si="249"/>
        <v/>
      </c>
      <c r="T653" s="39" t="str">
        <f t="shared" si="250"/>
        <v/>
      </c>
      <c r="U653" s="40" t="str">
        <f t="shared" si="251"/>
        <v/>
      </c>
      <c r="V653" s="39" t="str">
        <f t="shared" si="252"/>
        <v/>
      </c>
      <c r="W653" s="34" t="str">
        <f t="shared" si="253"/>
        <v/>
      </c>
      <c r="X653" s="41" t="str">
        <f t="shared" si="260"/>
        <v/>
      </c>
      <c r="Y653" s="98" t="str">
        <f t="shared" si="254"/>
        <v/>
      </c>
      <c r="Z653" s="16" t="str">
        <f t="shared" si="261"/>
        <v/>
      </c>
      <c r="AB653" s="139"/>
      <c r="AC653" s="146" t="str">
        <f t="shared" si="264"/>
        <v/>
      </c>
      <c r="AD653" s="148" t="str">
        <f t="shared" si="262"/>
        <v/>
      </c>
      <c r="AE653" s="147" t="str">
        <f t="shared" si="255"/>
        <v/>
      </c>
      <c r="AF653" s="111" t="str">
        <f t="shared" si="256"/>
        <v/>
      </c>
      <c r="AG653" s="111" t="str">
        <f t="shared" si="257"/>
        <v/>
      </c>
      <c r="AH653" s="112" t="str">
        <f t="shared" si="258"/>
        <v/>
      </c>
      <c r="AI653" t="str">
        <f t="shared" si="263"/>
        <v/>
      </c>
      <c r="AJ653" t="str">
        <f t="shared" si="265"/>
        <v/>
      </c>
    </row>
    <row r="654" spans="1:36" ht="15" customHeight="1" x14ac:dyDescent="0.25">
      <c r="A654" s="114"/>
      <c r="B654" s="116"/>
      <c r="C654" s="116"/>
      <c r="D654" s="42" t="str">
        <f t="shared" si="242"/>
        <v/>
      </c>
      <c r="E654" s="43"/>
      <c r="F654" s="118"/>
      <c r="G654" s="44" t="str">
        <f t="shared" si="243"/>
        <v/>
      </c>
      <c r="H654" s="118"/>
      <c r="I654" s="34" t="str">
        <f t="shared" si="244"/>
        <v/>
      </c>
      <c r="J654" s="118"/>
      <c r="K654" s="34" t="str">
        <f t="shared" si="245"/>
        <v/>
      </c>
      <c r="L654" s="118"/>
      <c r="M654" s="121"/>
      <c r="N654" s="122" t="str">
        <f t="shared" si="246"/>
        <v/>
      </c>
      <c r="O654" s="35" t="str">
        <f t="shared" si="247"/>
        <v/>
      </c>
      <c r="P654" s="124"/>
      <c r="Q654" s="36" t="str">
        <f t="shared" si="259"/>
        <v/>
      </c>
      <c r="R654" s="46" t="str">
        <f t="shared" si="248"/>
        <v/>
      </c>
      <c r="S654" s="38" t="str">
        <f t="shared" si="249"/>
        <v/>
      </c>
      <c r="T654" s="39" t="str">
        <f t="shared" si="250"/>
        <v/>
      </c>
      <c r="U654" s="40" t="str">
        <f t="shared" si="251"/>
        <v/>
      </c>
      <c r="V654" s="39" t="str">
        <f t="shared" si="252"/>
        <v/>
      </c>
      <c r="W654" s="34" t="str">
        <f t="shared" si="253"/>
        <v/>
      </c>
      <c r="X654" s="41" t="str">
        <f t="shared" si="260"/>
        <v/>
      </c>
      <c r="Y654" s="98" t="str">
        <f t="shared" si="254"/>
        <v/>
      </c>
      <c r="Z654" s="16" t="str">
        <f t="shared" si="261"/>
        <v/>
      </c>
      <c r="AB654" s="139"/>
      <c r="AC654" s="146" t="str">
        <f t="shared" si="264"/>
        <v/>
      </c>
      <c r="AD654" s="148" t="str">
        <f t="shared" si="262"/>
        <v/>
      </c>
      <c r="AE654" s="147" t="str">
        <f t="shared" si="255"/>
        <v/>
      </c>
      <c r="AF654" s="111" t="str">
        <f t="shared" si="256"/>
        <v/>
      </c>
      <c r="AG654" s="111" t="str">
        <f t="shared" si="257"/>
        <v/>
      </c>
      <c r="AH654" s="112" t="str">
        <f t="shared" si="258"/>
        <v/>
      </c>
      <c r="AI654" t="str">
        <f t="shared" si="263"/>
        <v/>
      </c>
      <c r="AJ654" t="str">
        <f t="shared" si="265"/>
        <v/>
      </c>
    </row>
    <row r="655" spans="1:36" ht="15" customHeight="1" x14ac:dyDescent="0.25">
      <c r="A655" s="114"/>
      <c r="B655" s="116"/>
      <c r="C655" s="116"/>
      <c r="D655" s="42" t="str">
        <f t="shared" si="242"/>
        <v/>
      </c>
      <c r="E655" s="43"/>
      <c r="F655" s="118"/>
      <c r="G655" s="44" t="str">
        <f t="shared" si="243"/>
        <v/>
      </c>
      <c r="H655" s="118"/>
      <c r="I655" s="34" t="str">
        <f t="shared" si="244"/>
        <v/>
      </c>
      <c r="J655" s="118"/>
      <c r="K655" s="34" t="str">
        <f t="shared" si="245"/>
        <v/>
      </c>
      <c r="L655" s="118"/>
      <c r="M655" s="121"/>
      <c r="N655" s="122" t="str">
        <f t="shared" si="246"/>
        <v/>
      </c>
      <c r="O655" s="35" t="str">
        <f t="shared" si="247"/>
        <v/>
      </c>
      <c r="P655" s="124"/>
      <c r="Q655" s="36" t="str">
        <f t="shared" si="259"/>
        <v/>
      </c>
      <c r="R655" s="46" t="str">
        <f t="shared" si="248"/>
        <v/>
      </c>
      <c r="S655" s="38" t="str">
        <f t="shared" si="249"/>
        <v/>
      </c>
      <c r="T655" s="39" t="str">
        <f t="shared" si="250"/>
        <v/>
      </c>
      <c r="U655" s="40" t="str">
        <f t="shared" si="251"/>
        <v/>
      </c>
      <c r="V655" s="39" t="str">
        <f t="shared" si="252"/>
        <v/>
      </c>
      <c r="W655" s="34" t="str">
        <f t="shared" si="253"/>
        <v/>
      </c>
      <c r="X655" s="41" t="str">
        <f t="shared" si="260"/>
        <v/>
      </c>
      <c r="Y655" s="98" t="str">
        <f t="shared" si="254"/>
        <v/>
      </c>
      <c r="Z655" s="16" t="str">
        <f t="shared" si="261"/>
        <v/>
      </c>
      <c r="AB655" s="139"/>
      <c r="AC655" s="146" t="str">
        <f t="shared" si="264"/>
        <v/>
      </c>
      <c r="AD655" s="148" t="str">
        <f t="shared" si="262"/>
        <v/>
      </c>
      <c r="AE655" s="147" t="str">
        <f t="shared" si="255"/>
        <v/>
      </c>
      <c r="AF655" s="111" t="str">
        <f t="shared" si="256"/>
        <v/>
      </c>
      <c r="AG655" s="111" t="str">
        <f t="shared" si="257"/>
        <v/>
      </c>
      <c r="AH655" s="112" t="str">
        <f t="shared" si="258"/>
        <v/>
      </c>
      <c r="AI655" t="str">
        <f t="shared" si="263"/>
        <v/>
      </c>
      <c r="AJ655" t="str">
        <f t="shared" si="265"/>
        <v/>
      </c>
    </row>
    <row r="656" spans="1:36" ht="15" customHeight="1" x14ac:dyDescent="0.25">
      <c r="A656" s="114"/>
      <c r="B656" s="116"/>
      <c r="C656" s="116"/>
      <c r="D656" s="42" t="str">
        <f t="shared" si="242"/>
        <v/>
      </c>
      <c r="E656" s="43"/>
      <c r="F656" s="118"/>
      <c r="G656" s="44" t="str">
        <f t="shared" si="243"/>
        <v/>
      </c>
      <c r="H656" s="118"/>
      <c r="I656" s="34" t="str">
        <f t="shared" si="244"/>
        <v/>
      </c>
      <c r="J656" s="118"/>
      <c r="K656" s="34" t="str">
        <f t="shared" si="245"/>
        <v/>
      </c>
      <c r="L656" s="118"/>
      <c r="M656" s="121"/>
      <c r="N656" s="122" t="str">
        <f t="shared" si="246"/>
        <v/>
      </c>
      <c r="O656" s="35" t="str">
        <f t="shared" si="247"/>
        <v/>
      </c>
      <c r="P656" s="124"/>
      <c r="Q656" s="36" t="str">
        <f t="shared" si="259"/>
        <v/>
      </c>
      <c r="R656" s="46" t="str">
        <f t="shared" si="248"/>
        <v/>
      </c>
      <c r="S656" s="38" t="str">
        <f t="shared" si="249"/>
        <v/>
      </c>
      <c r="T656" s="39" t="str">
        <f t="shared" si="250"/>
        <v/>
      </c>
      <c r="U656" s="40" t="str">
        <f t="shared" si="251"/>
        <v/>
      </c>
      <c r="V656" s="39" t="str">
        <f t="shared" si="252"/>
        <v/>
      </c>
      <c r="W656" s="34" t="str">
        <f t="shared" si="253"/>
        <v/>
      </c>
      <c r="X656" s="41" t="str">
        <f t="shared" si="260"/>
        <v/>
      </c>
      <c r="Y656" s="98" t="str">
        <f t="shared" si="254"/>
        <v/>
      </c>
      <c r="Z656" s="16" t="str">
        <f t="shared" si="261"/>
        <v/>
      </c>
      <c r="AB656" s="139"/>
      <c r="AC656" s="146" t="str">
        <f t="shared" si="264"/>
        <v/>
      </c>
      <c r="AD656" s="148" t="str">
        <f t="shared" si="262"/>
        <v/>
      </c>
      <c r="AE656" s="147" t="str">
        <f t="shared" si="255"/>
        <v/>
      </c>
      <c r="AF656" s="111" t="str">
        <f t="shared" si="256"/>
        <v/>
      </c>
      <c r="AG656" s="111" t="str">
        <f t="shared" si="257"/>
        <v/>
      </c>
      <c r="AH656" s="112" t="str">
        <f t="shared" si="258"/>
        <v/>
      </c>
      <c r="AI656" t="str">
        <f t="shared" si="263"/>
        <v/>
      </c>
      <c r="AJ656" t="str">
        <f t="shared" si="265"/>
        <v/>
      </c>
    </row>
    <row r="657" spans="1:36" ht="15" customHeight="1" x14ac:dyDescent="0.25">
      <c r="A657" s="114"/>
      <c r="B657" s="116"/>
      <c r="C657" s="116"/>
      <c r="D657" s="42" t="str">
        <f t="shared" si="242"/>
        <v/>
      </c>
      <c r="E657" s="43"/>
      <c r="F657" s="118"/>
      <c r="G657" s="44" t="str">
        <f t="shared" si="243"/>
        <v/>
      </c>
      <c r="H657" s="118"/>
      <c r="I657" s="34" t="str">
        <f t="shared" si="244"/>
        <v/>
      </c>
      <c r="J657" s="118"/>
      <c r="K657" s="34" t="str">
        <f t="shared" si="245"/>
        <v/>
      </c>
      <c r="L657" s="118"/>
      <c r="M657" s="121"/>
      <c r="N657" s="122" t="str">
        <f t="shared" si="246"/>
        <v/>
      </c>
      <c r="O657" s="35" t="str">
        <f t="shared" si="247"/>
        <v/>
      </c>
      <c r="P657" s="124"/>
      <c r="Q657" s="36" t="str">
        <f t="shared" si="259"/>
        <v/>
      </c>
      <c r="R657" s="46" t="str">
        <f t="shared" si="248"/>
        <v/>
      </c>
      <c r="S657" s="38" t="str">
        <f t="shared" si="249"/>
        <v/>
      </c>
      <c r="T657" s="39" t="str">
        <f t="shared" si="250"/>
        <v/>
      </c>
      <c r="U657" s="40" t="str">
        <f t="shared" si="251"/>
        <v/>
      </c>
      <c r="V657" s="39" t="str">
        <f t="shared" si="252"/>
        <v/>
      </c>
      <c r="W657" s="34" t="str">
        <f t="shared" si="253"/>
        <v/>
      </c>
      <c r="X657" s="41" t="str">
        <f t="shared" si="260"/>
        <v/>
      </c>
      <c r="Y657" s="98" t="str">
        <f t="shared" si="254"/>
        <v/>
      </c>
      <c r="Z657" s="16" t="str">
        <f t="shared" si="261"/>
        <v/>
      </c>
      <c r="AB657" s="139"/>
      <c r="AC657" s="146" t="str">
        <f t="shared" si="264"/>
        <v/>
      </c>
      <c r="AD657" s="148" t="str">
        <f t="shared" si="262"/>
        <v/>
      </c>
      <c r="AE657" s="147" t="str">
        <f t="shared" si="255"/>
        <v/>
      </c>
      <c r="AF657" s="111" t="str">
        <f t="shared" si="256"/>
        <v/>
      </c>
      <c r="AG657" s="111" t="str">
        <f t="shared" si="257"/>
        <v/>
      </c>
      <c r="AH657" s="112" t="str">
        <f t="shared" si="258"/>
        <v/>
      </c>
      <c r="AI657" t="str">
        <f t="shared" si="263"/>
        <v/>
      </c>
      <c r="AJ657" t="str">
        <f t="shared" si="265"/>
        <v/>
      </c>
    </row>
    <row r="658" spans="1:36" ht="15" customHeight="1" x14ac:dyDescent="0.25">
      <c r="A658" s="114"/>
      <c r="B658" s="116"/>
      <c r="C658" s="116"/>
      <c r="D658" s="42" t="str">
        <f t="shared" si="242"/>
        <v/>
      </c>
      <c r="E658" s="43"/>
      <c r="F658" s="118"/>
      <c r="G658" s="44" t="str">
        <f t="shared" si="243"/>
        <v/>
      </c>
      <c r="H658" s="118"/>
      <c r="I658" s="34" t="str">
        <f t="shared" si="244"/>
        <v/>
      </c>
      <c r="J658" s="118"/>
      <c r="K658" s="34" t="str">
        <f t="shared" si="245"/>
        <v/>
      </c>
      <c r="L658" s="118"/>
      <c r="M658" s="121"/>
      <c r="N658" s="122" t="str">
        <f t="shared" si="246"/>
        <v/>
      </c>
      <c r="O658" s="35" t="str">
        <f t="shared" si="247"/>
        <v/>
      </c>
      <c r="P658" s="124"/>
      <c r="Q658" s="36" t="str">
        <f t="shared" si="259"/>
        <v/>
      </c>
      <c r="R658" s="46" t="str">
        <f t="shared" si="248"/>
        <v/>
      </c>
      <c r="S658" s="38" t="str">
        <f t="shared" si="249"/>
        <v/>
      </c>
      <c r="T658" s="39" t="str">
        <f t="shared" si="250"/>
        <v/>
      </c>
      <c r="U658" s="40" t="str">
        <f t="shared" si="251"/>
        <v/>
      </c>
      <c r="V658" s="39" t="str">
        <f t="shared" si="252"/>
        <v/>
      </c>
      <c r="W658" s="34" t="str">
        <f t="shared" si="253"/>
        <v/>
      </c>
      <c r="X658" s="41" t="str">
        <f t="shared" si="260"/>
        <v/>
      </c>
      <c r="Y658" s="98" t="str">
        <f t="shared" si="254"/>
        <v/>
      </c>
      <c r="Z658" s="16" t="str">
        <f t="shared" si="261"/>
        <v/>
      </c>
      <c r="AB658" s="139"/>
      <c r="AC658" s="146" t="str">
        <f t="shared" si="264"/>
        <v/>
      </c>
      <c r="AD658" s="148" t="str">
        <f t="shared" si="262"/>
        <v/>
      </c>
      <c r="AE658" s="147" t="str">
        <f t="shared" si="255"/>
        <v/>
      </c>
      <c r="AF658" s="111" t="str">
        <f t="shared" si="256"/>
        <v/>
      </c>
      <c r="AG658" s="111" t="str">
        <f t="shared" si="257"/>
        <v/>
      </c>
      <c r="AH658" s="112" t="str">
        <f t="shared" si="258"/>
        <v/>
      </c>
      <c r="AI658" t="str">
        <f t="shared" si="263"/>
        <v/>
      </c>
      <c r="AJ658" t="str">
        <f t="shared" si="265"/>
        <v/>
      </c>
    </row>
    <row r="659" spans="1:36" ht="15" customHeight="1" x14ac:dyDescent="0.25">
      <c r="A659" s="114"/>
      <c r="B659" s="116"/>
      <c r="C659" s="116"/>
      <c r="D659" s="42" t="str">
        <f t="shared" si="242"/>
        <v/>
      </c>
      <c r="E659" s="43"/>
      <c r="F659" s="118"/>
      <c r="G659" s="44" t="str">
        <f t="shared" si="243"/>
        <v/>
      </c>
      <c r="H659" s="118"/>
      <c r="I659" s="34" t="str">
        <f t="shared" si="244"/>
        <v/>
      </c>
      <c r="J659" s="118"/>
      <c r="K659" s="34" t="str">
        <f t="shared" si="245"/>
        <v/>
      </c>
      <c r="L659" s="118"/>
      <c r="M659" s="121"/>
      <c r="N659" s="122" t="str">
        <f t="shared" si="246"/>
        <v/>
      </c>
      <c r="O659" s="35" t="str">
        <f t="shared" si="247"/>
        <v/>
      </c>
      <c r="P659" s="124"/>
      <c r="Q659" s="36" t="str">
        <f t="shared" si="259"/>
        <v/>
      </c>
      <c r="R659" s="46" t="str">
        <f t="shared" si="248"/>
        <v/>
      </c>
      <c r="S659" s="38" t="str">
        <f t="shared" si="249"/>
        <v/>
      </c>
      <c r="T659" s="39" t="str">
        <f t="shared" si="250"/>
        <v/>
      </c>
      <c r="U659" s="40" t="str">
        <f t="shared" si="251"/>
        <v/>
      </c>
      <c r="V659" s="39" t="str">
        <f t="shared" si="252"/>
        <v/>
      </c>
      <c r="W659" s="34" t="str">
        <f t="shared" si="253"/>
        <v/>
      </c>
      <c r="X659" s="41" t="str">
        <f t="shared" si="260"/>
        <v/>
      </c>
      <c r="Y659" s="98" t="str">
        <f t="shared" si="254"/>
        <v/>
      </c>
      <c r="Z659" s="16" t="str">
        <f t="shared" si="261"/>
        <v/>
      </c>
      <c r="AB659" s="139"/>
      <c r="AC659" s="146" t="str">
        <f t="shared" si="264"/>
        <v/>
      </c>
      <c r="AD659" s="148" t="str">
        <f t="shared" si="262"/>
        <v/>
      </c>
      <c r="AE659" s="147" t="str">
        <f t="shared" si="255"/>
        <v/>
      </c>
      <c r="AF659" s="111" t="str">
        <f t="shared" si="256"/>
        <v/>
      </c>
      <c r="AG659" s="111" t="str">
        <f t="shared" si="257"/>
        <v/>
      </c>
      <c r="AH659" s="112" t="str">
        <f t="shared" si="258"/>
        <v/>
      </c>
      <c r="AI659" t="str">
        <f t="shared" si="263"/>
        <v/>
      </c>
      <c r="AJ659" t="str">
        <f t="shared" si="265"/>
        <v/>
      </c>
    </row>
    <row r="660" spans="1:36" ht="15" customHeight="1" x14ac:dyDescent="0.25">
      <c r="A660" s="114"/>
      <c r="B660" s="116"/>
      <c r="C660" s="116"/>
      <c r="D660" s="42" t="str">
        <f t="shared" si="242"/>
        <v/>
      </c>
      <c r="E660" s="43"/>
      <c r="F660" s="118"/>
      <c r="G660" s="44" t="str">
        <f t="shared" si="243"/>
        <v/>
      </c>
      <c r="H660" s="118"/>
      <c r="I660" s="34" t="str">
        <f t="shared" si="244"/>
        <v/>
      </c>
      <c r="J660" s="118"/>
      <c r="K660" s="34" t="str">
        <f t="shared" si="245"/>
        <v/>
      </c>
      <c r="L660" s="118"/>
      <c r="M660" s="121"/>
      <c r="N660" s="122" t="str">
        <f t="shared" si="246"/>
        <v/>
      </c>
      <c r="O660" s="35" t="str">
        <f t="shared" si="247"/>
        <v/>
      </c>
      <c r="P660" s="124"/>
      <c r="Q660" s="36" t="str">
        <f t="shared" si="259"/>
        <v/>
      </c>
      <c r="R660" s="46" t="str">
        <f t="shared" si="248"/>
        <v/>
      </c>
      <c r="S660" s="38" t="str">
        <f t="shared" si="249"/>
        <v/>
      </c>
      <c r="T660" s="39" t="str">
        <f t="shared" si="250"/>
        <v/>
      </c>
      <c r="U660" s="40" t="str">
        <f t="shared" si="251"/>
        <v/>
      </c>
      <c r="V660" s="39" t="str">
        <f t="shared" si="252"/>
        <v/>
      </c>
      <c r="W660" s="34" t="str">
        <f t="shared" si="253"/>
        <v/>
      </c>
      <c r="X660" s="41" t="str">
        <f t="shared" si="260"/>
        <v/>
      </c>
      <c r="Y660" s="98" t="str">
        <f t="shared" si="254"/>
        <v/>
      </c>
      <c r="Z660" s="16" t="str">
        <f t="shared" si="261"/>
        <v/>
      </c>
      <c r="AB660" s="139"/>
      <c r="AC660" s="146" t="str">
        <f t="shared" si="264"/>
        <v/>
      </c>
      <c r="AD660" s="148" t="str">
        <f t="shared" si="262"/>
        <v/>
      </c>
      <c r="AE660" s="147" t="str">
        <f t="shared" si="255"/>
        <v/>
      </c>
      <c r="AF660" s="111" t="str">
        <f t="shared" si="256"/>
        <v/>
      </c>
      <c r="AG660" s="111" t="str">
        <f t="shared" si="257"/>
        <v/>
      </c>
      <c r="AH660" s="112" t="str">
        <f t="shared" si="258"/>
        <v/>
      </c>
      <c r="AI660" t="str">
        <f t="shared" si="263"/>
        <v/>
      </c>
      <c r="AJ660" t="str">
        <f t="shared" si="265"/>
        <v/>
      </c>
    </row>
    <row r="661" spans="1:36" ht="15" customHeight="1" x14ac:dyDescent="0.25">
      <c r="A661" s="114"/>
      <c r="B661" s="116"/>
      <c r="C661" s="116"/>
      <c r="D661" s="42" t="str">
        <f t="shared" si="242"/>
        <v/>
      </c>
      <c r="E661" s="43"/>
      <c r="F661" s="118"/>
      <c r="G661" s="44" t="str">
        <f t="shared" si="243"/>
        <v/>
      </c>
      <c r="H661" s="118"/>
      <c r="I661" s="34" t="str">
        <f t="shared" si="244"/>
        <v/>
      </c>
      <c r="J661" s="118"/>
      <c r="K661" s="34" t="str">
        <f t="shared" si="245"/>
        <v/>
      </c>
      <c r="L661" s="118"/>
      <c r="M661" s="121"/>
      <c r="N661" s="122" t="str">
        <f t="shared" si="246"/>
        <v/>
      </c>
      <c r="O661" s="35" t="str">
        <f t="shared" si="247"/>
        <v/>
      </c>
      <c r="P661" s="124"/>
      <c r="Q661" s="36" t="str">
        <f t="shared" si="259"/>
        <v/>
      </c>
      <c r="R661" s="46" t="str">
        <f t="shared" si="248"/>
        <v/>
      </c>
      <c r="S661" s="38" t="str">
        <f t="shared" si="249"/>
        <v/>
      </c>
      <c r="T661" s="39" t="str">
        <f t="shared" si="250"/>
        <v/>
      </c>
      <c r="U661" s="40" t="str">
        <f t="shared" si="251"/>
        <v/>
      </c>
      <c r="V661" s="39" t="str">
        <f t="shared" si="252"/>
        <v/>
      </c>
      <c r="W661" s="34" t="str">
        <f t="shared" si="253"/>
        <v/>
      </c>
      <c r="X661" s="41" t="str">
        <f t="shared" si="260"/>
        <v/>
      </c>
      <c r="Y661" s="98" t="str">
        <f t="shared" si="254"/>
        <v/>
      </c>
      <c r="Z661" s="16" t="str">
        <f t="shared" si="261"/>
        <v/>
      </c>
      <c r="AB661" s="139"/>
      <c r="AC661" s="146" t="str">
        <f t="shared" si="264"/>
        <v/>
      </c>
      <c r="AD661" s="148" t="str">
        <f t="shared" si="262"/>
        <v/>
      </c>
      <c r="AE661" s="147" t="str">
        <f t="shared" si="255"/>
        <v/>
      </c>
      <c r="AF661" s="111" t="str">
        <f t="shared" si="256"/>
        <v/>
      </c>
      <c r="AG661" s="111" t="str">
        <f t="shared" si="257"/>
        <v/>
      </c>
      <c r="AH661" s="112" t="str">
        <f t="shared" si="258"/>
        <v/>
      </c>
      <c r="AI661" t="str">
        <f t="shared" si="263"/>
        <v/>
      </c>
      <c r="AJ661" t="str">
        <f t="shared" si="265"/>
        <v/>
      </c>
    </row>
    <row r="662" spans="1:36" ht="15" customHeight="1" x14ac:dyDescent="0.25">
      <c r="A662" s="114"/>
      <c r="B662" s="116"/>
      <c r="C662" s="116"/>
      <c r="D662" s="42" t="str">
        <f t="shared" si="242"/>
        <v/>
      </c>
      <c r="E662" s="43"/>
      <c r="F662" s="118"/>
      <c r="G662" s="44" t="str">
        <f t="shared" si="243"/>
        <v/>
      </c>
      <c r="H662" s="118"/>
      <c r="I662" s="34" t="str">
        <f t="shared" si="244"/>
        <v/>
      </c>
      <c r="J662" s="118"/>
      <c r="K662" s="34" t="str">
        <f t="shared" si="245"/>
        <v/>
      </c>
      <c r="L662" s="118"/>
      <c r="M662" s="121"/>
      <c r="N662" s="122" t="str">
        <f t="shared" si="246"/>
        <v/>
      </c>
      <c r="O662" s="35" t="str">
        <f t="shared" si="247"/>
        <v/>
      </c>
      <c r="P662" s="124"/>
      <c r="Q662" s="36" t="str">
        <f t="shared" si="259"/>
        <v/>
      </c>
      <c r="R662" s="46" t="str">
        <f t="shared" si="248"/>
        <v/>
      </c>
      <c r="S662" s="38" t="str">
        <f t="shared" si="249"/>
        <v/>
      </c>
      <c r="T662" s="39" t="str">
        <f t="shared" si="250"/>
        <v/>
      </c>
      <c r="U662" s="40" t="str">
        <f t="shared" si="251"/>
        <v/>
      </c>
      <c r="V662" s="39" t="str">
        <f t="shared" si="252"/>
        <v/>
      </c>
      <c r="W662" s="34" t="str">
        <f t="shared" si="253"/>
        <v/>
      </c>
      <c r="X662" s="41" t="str">
        <f t="shared" si="260"/>
        <v/>
      </c>
      <c r="Y662" s="98" t="str">
        <f t="shared" si="254"/>
        <v/>
      </c>
      <c r="Z662" s="16" t="str">
        <f t="shared" si="261"/>
        <v/>
      </c>
      <c r="AB662" s="139"/>
      <c r="AC662" s="146" t="str">
        <f t="shared" si="264"/>
        <v/>
      </c>
      <c r="AD662" s="148" t="str">
        <f t="shared" si="262"/>
        <v/>
      </c>
      <c r="AE662" s="147" t="str">
        <f t="shared" si="255"/>
        <v/>
      </c>
      <c r="AF662" s="111" t="str">
        <f t="shared" si="256"/>
        <v/>
      </c>
      <c r="AG662" s="111" t="str">
        <f t="shared" si="257"/>
        <v/>
      </c>
      <c r="AH662" s="112" t="str">
        <f t="shared" si="258"/>
        <v/>
      </c>
      <c r="AI662" t="str">
        <f t="shared" si="263"/>
        <v/>
      </c>
      <c r="AJ662" t="str">
        <f t="shared" si="265"/>
        <v/>
      </c>
    </row>
    <row r="663" spans="1:36" ht="15" customHeight="1" x14ac:dyDescent="0.25">
      <c r="A663" s="114"/>
      <c r="B663" s="116"/>
      <c r="C663" s="116"/>
      <c r="D663" s="42" t="str">
        <f t="shared" si="242"/>
        <v/>
      </c>
      <c r="E663" s="43"/>
      <c r="F663" s="118"/>
      <c r="G663" s="44" t="str">
        <f t="shared" si="243"/>
        <v/>
      </c>
      <c r="H663" s="118"/>
      <c r="I663" s="34" t="str">
        <f t="shared" si="244"/>
        <v/>
      </c>
      <c r="J663" s="118"/>
      <c r="K663" s="34" t="str">
        <f t="shared" si="245"/>
        <v/>
      </c>
      <c r="L663" s="118"/>
      <c r="M663" s="121"/>
      <c r="N663" s="122" t="str">
        <f t="shared" si="246"/>
        <v/>
      </c>
      <c r="O663" s="35" t="str">
        <f t="shared" si="247"/>
        <v/>
      </c>
      <c r="P663" s="124"/>
      <c r="Q663" s="36" t="str">
        <f t="shared" si="259"/>
        <v/>
      </c>
      <c r="R663" s="46" t="str">
        <f t="shared" si="248"/>
        <v/>
      </c>
      <c r="S663" s="38" t="str">
        <f t="shared" si="249"/>
        <v/>
      </c>
      <c r="T663" s="39" t="str">
        <f t="shared" si="250"/>
        <v/>
      </c>
      <c r="U663" s="40" t="str">
        <f t="shared" si="251"/>
        <v/>
      </c>
      <c r="V663" s="39" t="str">
        <f t="shared" si="252"/>
        <v/>
      </c>
      <c r="W663" s="34" t="str">
        <f t="shared" si="253"/>
        <v/>
      </c>
      <c r="X663" s="41" t="str">
        <f t="shared" si="260"/>
        <v/>
      </c>
      <c r="Y663" s="98" t="str">
        <f t="shared" si="254"/>
        <v/>
      </c>
      <c r="Z663" s="16" t="str">
        <f t="shared" si="261"/>
        <v/>
      </c>
      <c r="AB663" s="139"/>
      <c r="AC663" s="146" t="str">
        <f t="shared" si="264"/>
        <v/>
      </c>
      <c r="AD663" s="148" t="str">
        <f t="shared" si="262"/>
        <v/>
      </c>
      <c r="AE663" s="147" t="str">
        <f t="shared" si="255"/>
        <v/>
      </c>
      <c r="AF663" s="111" t="str">
        <f t="shared" si="256"/>
        <v/>
      </c>
      <c r="AG663" s="111" t="str">
        <f t="shared" si="257"/>
        <v/>
      </c>
      <c r="AH663" s="112" t="str">
        <f t="shared" si="258"/>
        <v/>
      </c>
      <c r="AI663" t="str">
        <f t="shared" si="263"/>
        <v/>
      </c>
      <c r="AJ663" t="str">
        <f t="shared" si="265"/>
        <v/>
      </c>
    </row>
    <row r="664" spans="1:36" ht="15" customHeight="1" x14ac:dyDescent="0.25">
      <c r="A664" s="114"/>
      <c r="B664" s="116"/>
      <c r="C664" s="116"/>
      <c r="D664" s="42" t="str">
        <f t="shared" si="242"/>
        <v/>
      </c>
      <c r="E664" s="43"/>
      <c r="F664" s="118"/>
      <c r="G664" s="44" t="str">
        <f t="shared" si="243"/>
        <v/>
      </c>
      <c r="H664" s="118"/>
      <c r="I664" s="34" t="str">
        <f t="shared" si="244"/>
        <v/>
      </c>
      <c r="J664" s="118"/>
      <c r="K664" s="34" t="str">
        <f t="shared" si="245"/>
        <v/>
      </c>
      <c r="L664" s="118"/>
      <c r="M664" s="121"/>
      <c r="N664" s="122" t="str">
        <f t="shared" si="246"/>
        <v/>
      </c>
      <c r="O664" s="35" t="str">
        <f t="shared" si="247"/>
        <v/>
      </c>
      <c r="P664" s="124"/>
      <c r="Q664" s="36" t="str">
        <f t="shared" si="259"/>
        <v/>
      </c>
      <c r="R664" s="46" t="str">
        <f t="shared" si="248"/>
        <v/>
      </c>
      <c r="S664" s="38" t="str">
        <f t="shared" si="249"/>
        <v/>
      </c>
      <c r="T664" s="39" t="str">
        <f t="shared" si="250"/>
        <v/>
      </c>
      <c r="U664" s="40" t="str">
        <f t="shared" si="251"/>
        <v/>
      </c>
      <c r="V664" s="39" t="str">
        <f t="shared" si="252"/>
        <v/>
      </c>
      <c r="W664" s="34" t="str">
        <f t="shared" si="253"/>
        <v/>
      </c>
      <c r="X664" s="41" t="str">
        <f t="shared" si="260"/>
        <v/>
      </c>
      <c r="Y664" s="98" t="str">
        <f t="shared" si="254"/>
        <v/>
      </c>
      <c r="Z664" s="16" t="str">
        <f t="shared" si="261"/>
        <v/>
      </c>
      <c r="AB664" s="139"/>
      <c r="AC664" s="146" t="str">
        <f t="shared" si="264"/>
        <v/>
      </c>
      <c r="AD664" s="148" t="str">
        <f t="shared" si="262"/>
        <v/>
      </c>
      <c r="AE664" s="147" t="str">
        <f t="shared" si="255"/>
        <v/>
      </c>
      <c r="AF664" s="111" t="str">
        <f t="shared" si="256"/>
        <v/>
      </c>
      <c r="AG664" s="111" t="str">
        <f t="shared" si="257"/>
        <v/>
      </c>
      <c r="AH664" s="112" t="str">
        <f t="shared" si="258"/>
        <v/>
      </c>
      <c r="AI664" t="str">
        <f t="shared" si="263"/>
        <v/>
      </c>
      <c r="AJ664" t="str">
        <f t="shared" si="265"/>
        <v/>
      </c>
    </row>
    <row r="665" spans="1:36" ht="15" customHeight="1" x14ac:dyDescent="0.25">
      <c r="A665" s="114"/>
      <c r="B665" s="116"/>
      <c r="C665" s="116"/>
      <c r="D665" s="42" t="str">
        <f t="shared" si="242"/>
        <v/>
      </c>
      <c r="E665" s="43"/>
      <c r="F665" s="118"/>
      <c r="G665" s="44" t="str">
        <f t="shared" si="243"/>
        <v/>
      </c>
      <c r="H665" s="118"/>
      <c r="I665" s="34" t="str">
        <f t="shared" si="244"/>
        <v/>
      </c>
      <c r="J665" s="118"/>
      <c r="K665" s="34" t="str">
        <f t="shared" si="245"/>
        <v/>
      </c>
      <c r="L665" s="118"/>
      <c r="M665" s="121"/>
      <c r="N665" s="122" t="str">
        <f t="shared" si="246"/>
        <v/>
      </c>
      <c r="O665" s="35" t="str">
        <f t="shared" si="247"/>
        <v/>
      </c>
      <c r="P665" s="124"/>
      <c r="Q665" s="36" t="str">
        <f t="shared" si="259"/>
        <v/>
      </c>
      <c r="R665" s="46" t="str">
        <f t="shared" si="248"/>
        <v/>
      </c>
      <c r="S665" s="38" t="str">
        <f t="shared" si="249"/>
        <v/>
      </c>
      <c r="T665" s="39" t="str">
        <f t="shared" si="250"/>
        <v/>
      </c>
      <c r="U665" s="40" t="str">
        <f t="shared" si="251"/>
        <v/>
      </c>
      <c r="V665" s="39" t="str">
        <f t="shared" si="252"/>
        <v/>
      </c>
      <c r="W665" s="34" t="str">
        <f t="shared" si="253"/>
        <v/>
      </c>
      <c r="X665" s="41" t="str">
        <f t="shared" si="260"/>
        <v/>
      </c>
      <c r="Y665" s="98" t="str">
        <f t="shared" si="254"/>
        <v/>
      </c>
      <c r="Z665" s="16" t="str">
        <f t="shared" si="261"/>
        <v/>
      </c>
      <c r="AB665" s="139"/>
      <c r="AC665" s="146" t="str">
        <f t="shared" si="264"/>
        <v/>
      </c>
      <c r="AD665" s="148" t="str">
        <f t="shared" si="262"/>
        <v/>
      </c>
      <c r="AE665" s="147" t="str">
        <f t="shared" si="255"/>
        <v/>
      </c>
      <c r="AF665" s="111" t="str">
        <f t="shared" si="256"/>
        <v/>
      </c>
      <c r="AG665" s="111" t="str">
        <f t="shared" si="257"/>
        <v/>
      </c>
      <c r="AH665" s="112" t="str">
        <f t="shared" si="258"/>
        <v/>
      </c>
      <c r="AI665" t="str">
        <f t="shared" si="263"/>
        <v/>
      </c>
      <c r="AJ665" t="str">
        <f t="shared" si="265"/>
        <v/>
      </c>
    </row>
    <row r="666" spans="1:36" ht="15" customHeight="1" x14ac:dyDescent="0.25">
      <c r="A666" s="114"/>
      <c r="B666" s="116"/>
      <c r="C666" s="116"/>
      <c r="D666" s="42" t="str">
        <f t="shared" si="242"/>
        <v/>
      </c>
      <c r="E666" s="43"/>
      <c r="F666" s="118"/>
      <c r="G666" s="44" t="str">
        <f t="shared" si="243"/>
        <v/>
      </c>
      <c r="H666" s="118"/>
      <c r="I666" s="34" t="str">
        <f t="shared" si="244"/>
        <v/>
      </c>
      <c r="J666" s="118"/>
      <c r="K666" s="34" t="str">
        <f t="shared" si="245"/>
        <v/>
      </c>
      <c r="L666" s="118"/>
      <c r="M666" s="121"/>
      <c r="N666" s="122" t="str">
        <f t="shared" si="246"/>
        <v/>
      </c>
      <c r="O666" s="35" t="str">
        <f t="shared" si="247"/>
        <v/>
      </c>
      <c r="P666" s="124"/>
      <c r="Q666" s="36" t="str">
        <f t="shared" si="259"/>
        <v/>
      </c>
      <c r="R666" s="46" t="str">
        <f t="shared" si="248"/>
        <v/>
      </c>
      <c r="S666" s="38" t="str">
        <f t="shared" si="249"/>
        <v/>
      </c>
      <c r="T666" s="39" t="str">
        <f t="shared" si="250"/>
        <v/>
      </c>
      <c r="U666" s="40" t="str">
        <f t="shared" si="251"/>
        <v/>
      </c>
      <c r="V666" s="39" t="str">
        <f t="shared" si="252"/>
        <v/>
      </c>
      <c r="W666" s="34" t="str">
        <f t="shared" si="253"/>
        <v/>
      </c>
      <c r="X666" s="41" t="str">
        <f t="shared" si="260"/>
        <v/>
      </c>
      <c r="Y666" s="98" t="str">
        <f t="shared" si="254"/>
        <v/>
      </c>
      <c r="Z666" s="16" t="str">
        <f t="shared" si="261"/>
        <v/>
      </c>
      <c r="AB666" s="139"/>
      <c r="AC666" s="146" t="str">
        <f t="shared" si="264"/>
        <v/>
      </c>
      <c r="AD666" s="148" t="str">
        <f t="shared" si="262"/>
        <v/>
      </c>
      <c r="AE666" s="147" t="str">
        <f t="shared" si="255"/>
        <v/>
      </c>
      <c r="AF666" s="111" t="str">
        <f t="shared" si="256"/>
        <v/>
      </c>
      <c r="AG666" s="111" t="str">
        <f t="shared" si="257"/>
        <v/>
      </c>
      <c r="AH666" s="112" t="str">
        <f t="shared" si="258"/>
        <v/>
      </c>
      <c r="AI666" t="str">
        <f t="shared" si="263"/>
        <v/>
      </c>
      <c r="AJ666" t="str">
        <f t="shared" si="265"/>
        <v/>
      </c>
    </row>
    <row r="667" spans="1:36" ht="15" customHeight="1" x14ac:dyDescent="0.25">
      <c r="A667" s="114"/>
      <c r="B667" s="116"/>
      <c r="C667" s="116"/>
      <c r="D667" s="42" t="str">
        <f t="shared" si="242"/>
        <v/>
      </c>
      <c r="E667" s="43"/>
      <c r="F667" s="118"/>
      <c r="G667" s="44" t="str">
        <f t="shared" si="243"/>
        <v/>
      </c>
      <c r="H667" s="118"/>
      <c r="I667" s="34" t="str">
        <f t="shared" si="244"/>
        <v/>
      </c>
      <c r="J667" s="118"/>
      <c r="K667" s="34" t="str">
        <f t="shared" si="245"/>
        <v/>
      </c>
      <c r="L667" s="118"/>
      <c r="M667" s="121"/>
      <c r="N667" s="122" t="str">
        <f t="shared" si="246"/>
        <v/>
      </c>
      <c r="O667" s="35" t="str">
        <f t="shared" si="247"/>
        <v/>
      </c>
      <c r="P667" s="124"/>
      <c r="Q667" s="36" t="str">
        <f t="shared" si="259"/>
        <v/>
      </c>
      <c r="R667" s="46" t="str">
        <f t="shared" si="248"/>
        <v/>
      </c>
      <c r="S667" s="38" t="str">
        <f t="shared" si="249"/>
        <v/>
      </c>
      <c r="T667" s="39" t="str">
        <f t="shared" si="250"/>
        <v/>
      </c>
      <c r="U667" s="40" t="str">
        <f t="shared" si="251"/>
        <v/>
      </c>
      <c r="V667" s="39" t="str">
        <f t="shared" si="252"/>
        <v/>
      </c>
      <c r="W667" s="34" t="str">
        <f t="shared" si="253"/>
        <v/>
      </c>
      <c r="X667" s="41" t="str">
        <f t="shared" si="260"/>
        <v/>
      </c>
      <c r="Y667" s="98" t="str">
        <f t="shared" si="254"/>
        <v/>
      </c>
      <c r="Z667" s="16" t="str">
        <f t="shared" si="261"/>
        <v/>
      </c>
      <c r="AB667" s="139"/>
      <c r="AC667" s="146" t="str">
        <f t="shared" si="264"/>
        <v/>
      </c>
      <c r="AD667" s="148" t="str">
        <f t="shared" si="262"/>
        <v/>
      </c>
      <c r="AE667" s="147" t="str">
        <f t="shared" si="255"/>
        <v/>
      </c>
      <c r="AF667" s="111" t="str">
        <f t="shared" si="256"/>
        <v/>
      </c>
      <c r="AG667" s="111" t="str">
        <f t="shared" si="257"/>
        <v/>
      </c>
      <c r="AH667" s="112" t="str">
        <f t="shared" si="258"/>
        <v/>
      </c>
      <c r="AI667" t="str">
        <f t="shared" si="263"/>
        <v/>
      </c>
      <c r="AJ667" t="str">
        <f t="shared" si="265"/>
        <v/>
      </c>
    </row>
    <row r="668" spans="1:36" ht="15" customHeight="1" x14ac:dyDescent="0.25">
      <c r="A668" s="114"/>
      <c r="B668" s="116"/>
      <c r="C668" s="116"/>
      <c r="D668" s="42" t="str">
        <f t="shared" si="242"/>
        <v/>
      </c>
      <c r="E668" s="43"/>
      <c r="F668" s="118"/>
      <c r="G668" s="44" t="str">
        <f t="shared" si="243"/>
        <v/>
      </c>
      <c r="H668" s="118"/>
      <c r="I668" s="34" t="str">
        <f t="shared" si="244"/>
        <v/>
      </c>
      <c r="J668" s="118"/>
      <c r="K668" s="34" t="str">
        <f t="shared" si="245"/>
        <v/>
      </c>
      <c r="L668" s="118"/>
      <c r="M668" s="121"/>
      <c r="N668" s="122" t="str">
        <f t="shared" si="246"/>
        <v/>
      </c>
      <c r="O668" s="35" t="str">
        <f t="shared" si="247"/>
        <v/>
      </c>
      <c r="P668" s="124"/>
      <c r="Q668" s="36" t="str">
        <f t="shared" si="259"/>
        <v/>
      </c>
      <c r="R668" s="46" t="str">
        <f t="shared" si="248"/>
        <v/>
      </c>
      <c r="S668" s="38" t="str">
        <f t="shared" si="249"/>
        <v/>
      </c>
      <c r="T668" s="39" t="str">
        <f t="shared" si="250"/>
        <v/>
      </c>
      <c r="U668" s="40" t="str">
        <f t="shared" si="251"/>
        <v/>
      </c>
      <c r="V668" s="39" t="str">
        <f t="shared" si="252"/>
        <v/>
      </c>
      <c r="W668" s="34" t="str">
        <f t="shared" si="253"/>
        <v/>
      </c>
      <c r="X668" s="41" t="str">
        <f t="shared" si="260"/>
        <v/>
      </c>
      <c r="Y668" s="98" t="str">
        <f t="shared" si="254"/>
        <v/>
      </c>
      <c r="Z668" s="16" t="str">
        <f t="shared" si="261"/>
        <v/>
      </c>
      <c r="AB668" s="139"/>
      <c r="AC668" s="146" t="str">
        <f t="shared" si="264"/>
        <v/>
      </c>
      <c r="AD668" s="148" t="str">
        <f t="shared" si="262"/>
        <v/>
      </c>
      <c r="AE668" s="147" t="str">
        <f t="shared" si="255"/>
        <v/>
      </c>
      <c r="AF668" s="111" t="str">
        <f t="shared" si="256"/>
        <v/>
      </c>
      <c r="AG668" s="111" t="str">
        <f t="shared" si="257"/>
        <v/>
      </c>
      <c r="AH668" s="112" t="str">
        <f t="shared" si="258"/>
        <v/>
      </c>
      <c r="AI668" t="str">
        <f t="shared" si="263"/>
        <v/>
      </c>
      <c r="AJ668" t="str">
        <f t="shared" si="265"/>
        <v/>
      </c>
    </row>
    <row r="669" spans="1:36" ht="15" customHeight="1" x14ac:dyDescent="0.25">
      <c r="A669" s="114"/>
      <c r="B669" s="116"/>
      <c r="C669" s="116"/>
      <c r="D669" s="42" t="str">
        <f t="shared" si="242"/>
        <v/>
      </c>
      <c r="E669" s="43"/>
      <c r="F669" s="118"/>
      <c r="G669" s="44" t="str">
        <f t="shared" si="243"/>
        <v/>
      </c>
      <c r="H669" s="118"/>
      <c r="I669" s="34" t="str">
        <f t="shared" si="244"/>
        <v/>
      </c>
      <c r="J669" s="118"/>
      <c r="K669" s="34" t="str">
        <f t="shared" si="245"/>
        <v/>
      </c>
      <c r="L669" s="118"/>
      <c r="M669" s="121"/>
      <c r="N669" s="122" t="str">
        <f t="shared" si="246"/>
        <v/>
      </c>
      <c r="O669" s="35" t="str">
        <f t="shared" si="247"/>
        <v/>
      </c>
      <c r="P669" s="124"/>
      <c r="Q669" s="36" t="str">
        <f t="shared" si="259"/>
        <v/>
      </c>
      <c r="R669" s="46" t="str">
        <f t="shared" si="248"/>
        <v/>
      </c>
      <c r="S669" s="38" t="str">
        <f t="shared" si="249"/>
        <v/>
      </c>
      <c r="T669" s="39" t="str">
        <f t="shared" si="250"/>
        <v/>
      </c>
      <c r="U669" s="40" t="str">
        <f t="shared" si="251"/>
        <v/>
      </c>
      <c r="V669" s="39" t="str">
        <f t="shared" si="252"/>
        <v/>
      </c>
      <c r="W669" s="34" t="str">
        <f t="shared" si="253"/>
        <v/>
      </c>
      <c r="X669" s="41" t="str">
        <f t="shared" si="260"/>
        <v/>
      </c>
      <c r="Y669" s="98" t="str">
        <f t="shared" si="254"/>
        <v/>
      </c>
      <c r="Z669" s="16" t="str">
        <f t="shared" si="261"/>
        <v/>
      </c>
      <c r="AB669" s="139"/>
      <c r="AC669" s="146" t="str">
        <f t="shared" si="264"/>
        <v/>
      </c>
      <c r="AD669" s="148" t="str">
        <f t="shared" si="262"/>
        <v/>
      </c>
      <c r="AE669" s="147" t="str">
        <f t="shared" si="255"/>
        <v/>
      </c>
      <c r="AF669" s="111" t="str">
        <f t="shared" si="256"/>
        <v/>
      </c>
      <c r="AG669" s="111" t="str">
        <f t="shared" si="257"/>
        <v/>
      </c>
      <c r="AH669" s="112" t="str">
        <f t="shared" si="258"/>
        <v/>
      </c>
      <c r="AI669" t="str">
        <f t="shared" si="263"/>
        <v/>
      </c>
      <c r="AJ669" t="str">
        <f t="shared" si="265"/>
        <v/>
      </c>
    </row>
    <row r="670" spans="1:36" ht="15" customHeight="1" x14ac:dyDescent="0.25">
      <c r="A670" s="114"/>
      <c r="B670" s="116"/>
      <c r="C670" s="116"/>
      <c r="D670" s="42" t="str">
        <f t="shared" si="242"/>
        <v/>
      </c>
      <c r="E670" s="43"/>
      <c r="F670" s="118"/>
      <c r="G670" s="44" t="str">
        <f t="shared" si="243"/>
        <v/>
      </c>
      <c r="H670" s="118"/>
      <c r="I670" s="34" t="str">
        <f t="shared" si="244"/>
        <v/>
      </c>
      <c r="J670" s="118"/>
      <c r="K670" s="34" t="str">
        <f t="shared" si="245"/>
        <v/>
      </c>
      <c r="L670" s="118"/>
      <c r="M670" s="121"/>
      <c r="N670" s="122" t="str">
        <f t="shared" si="246"/>
        <v/>
      </c>
      <c r="O670" s="35" t="str">
        <f t="shared" si="247"/>
        <v/>
      </c>
      <c r="P670" s="124"/>
      <c r="Q670" s="36" t="str">
        <f t="shared" si="259"/>
        <v/>
      </c>
      <c r="R670" s="46" t="str">
        <f t="shared" si="248"/>
        <v/>
      </c>
      <c r="S670" s="38" t="str">
        <f t="shared" si="249"/>
        <v/>
      </c>
      <c r="T670" s="39" t="str">
        <f t="shared" si="250"/>
        <v/>
      </c>
      <c r="U670" s="40" t="str">
        <f t="shared" si="251"/>
        <v/>
      </c>
      <c r="V670" s="39" t="str">
        <f t="shared" si="252"/>
        <v/>
      </c>
      <c r="W670" s="34" t="str">
        <f t="shared" si="253"/>
        <v/>
      </c>
      <c r="X670" s="41" t="str">
        <f t="shared" si="260"/>
        <v/>
      </c>
      <c r="Y670" s="98" t="str">
        <f t="shared" si="254"/>
        <v/>
      </c>
      <c r="Z670" s="16" t="str">
        <f t="shared" si="261"/>
        <v/>
      </c>
      <c r="AB670" s="139"/>
      <c r="AC670" s="146" t="str">
        <f t="shared" si="264"/>
        <v/>
      </c>
      <c r="AD670" s="148" t="str">
        <f t="shared" si="262"/>
        <v/>
      </c>
      <c r="AE670" s="147" t="str">
        <f t="shared" si="255"/>
        <v/>
      </c>
      <c r="AF670" s="111" t="str">
        <f t="shared" si="256"/>
        <v/>
      </c>
      <c r="AG670" s="111" t="str">
        <f t="shared" si="257"/>
        <v/>
      </c>
      <c r="AH670" s="112" t="str">
        <f t="shared" si="258"/>
        <v/>
      </c>
      <c r="AI670" t="str">
        <f t="shared" si="263"/>
        <v/>
      </c>
      <c r="AJ670" t="str">
        <f t="shared" si="265"/>
        <v/>
      </c>
    </row>
    <row r="671" spans="1:36" ht="15" customHeight="1" x14ac:dyDescent="0.25">
      <c r="A671" s="114"/>
      <c r="B671" s="116"/>
      <c r="C671" s="116"/>
      <c r="D671" s="42" t="str">
        <f t="shared" si="242"/>
        <v/>
      </c>
      <c r="E671" s="43"/>
      <c r="F671" s="118"/>
      <c r="G671" s="44" t="str">
        <f t="shared" si="243"/>
        <v/>
      </c>
      <c r="H671" s="118"/>
      <c r="I671" s="34" t="str">
        <f t="shared" si="244"/>
        <v/>
      </c>
      <c r="J671" s="118"/>
      <c r="K671" s="34" t="str">
        <f t="shared" si="245"/>
        <v/>
      </c>
      <c r="L671" s="118"/>
      <c r="M671" s="121"/>
      <c r="N671" s="122" t="str">
        <f t="shared" si="246"/>
        <v/>
      </c>
      <c r="O671" s="35" t="str">
        <f t="shared" si="247"/>
        <v/>
      </c>
      <c r="P671" s="124"/>
      <c r="Q671" s="36" t="str">
        <f t="shared" si="259"/>
        <v/>
      </c>
      <c r="R671" s="46" t="str">
        <f t="shared" si="248"/>
        <v/>
      </c>
      <c r="S671" s="38" t="str">
        <f t="shared" si="249"/>
        <v/>
      </c>
      <c r="T671" s="39" t="str">
        <f t="shared" si="250"/>
        <v/>
      </c>
      <c r="U671" s="40" t="str">
        <f t="shared" si="251"/>
        <v/>
      </c>
      <c r="V671" s="39" t="str">
        <f t="shared" si="252"/>
        <v/>
      </c>
      <c r="W671" s="34" t="str">
        <f t="shared" si="253"/>
        <v/>
      </c>
      <c r="X671" s="41" t="str">
        <f t="shared" si="260"/>
        <v/>
      </c>
      <c r="Y671" s="98" t="str">
        <f t="shared" si="254"/>
        <v/>
      </c>
      <c r="Z671" s="16" t="str">
        <f t="shared" si="261"/>
        <v/>
      </c>
      <c r="AB671" s="139"/>
      <c r="AC671" s="146" t="str">
        <f t="shared" si="264"/>
        <v/>
      </c>
      <c r="AD671" s="148" t="str">
        <f t="shared" si="262"/>
        <v/>
      </c>
      <c r="AE671" s="147" t="str">
        <f t="shared" si="255"/>
        <v/>
      </c>
      <c r="AF671" s="111" t="str">
        <f t="shared" si="256"/>
        <v/>
      </c>
      <c r="AG671" s="111" t="str">
        <f t="shared" si="257"/>
        <v/>
      </c>
      <c r="AH671" s="112" t="str">
        <f t="shared" si="258"/>
        <v/>
      </c>
      <c r="AI671" t="str">
        <f t="shared" si="263"/>
        <v/>
      </c>
      <c r="AJ671" t="str">
        <f t="shared" si="265"/>
        <v/>
      </c>
    </row>
    <row r="672" spans="1:36" ht="15" customHeight="1" x14ac:dyDescent="0.25">
      <c r="A672" s="114"/>
      <c r="B672" s="116"/>
      <c r="C672" s="116"/>
      <c r="D672" s="42" t="str">
        <f t="shared" si="242"/>
        <v/>
      </c>
      <c r="E672" s="43"/>
      <c r="F672" s="118"/>
      <c r="G672" s="44" t="str">
        <f t="shared" si="243"/>
        <v/>
      </c>
      <c r="H672" s="118"/>
      <c r="I672" s="34" t="str">
        <f t="shared" si="244"/>
        <v/>
      </c>
      <c r="J672" s="118"/>
      <c r="K672" s="34" t="str">
        <f t="shared" si="245"/>
        <v/>
      </c>
      <c r="L672" s="118"/>
      <c r="M672" s="121"/>
      <c r="N672" s="122" t="str">
        <f t="shared" si="246"/>
        <v/>
      </c>
      <c r="O672" s="35" t="str">
        <f t="shared" si="247"/>
        <v/>
      </c>
      <c r="P672" s="124"/>
      <c r="Q672" s="36" t="str">
        <f t="shared" si="259"/>
        <v/>
      </c>
      <c r="R672" s="46" t="str">
        <f t="shared" si="248"/>
        <v/>
      </c>
      <c r="S672" s="38" t="str">
        <f t="shared" si="249"/>
        <v/>
      </c>
      <c r="T672" s="39" t="str">
        <f t="shared" si="250"/>
        <v/>
      </c>
      <c r="U672" s="40" t="str">
        <f t="shared" si="251"/>
        <v/>
      </c>
      <c r="V672" s="39" t="str">
        <f t="shared" si="252"/>
        <v/>
      </c>
      <c r="W672" s="34" t="str">
        <f t="shared" si="253"/>
        <v/>
      </c>
      <c r="X672" s="41" t="str">
        <f t="shared" si="260"/>
        <v/>
      </c>
      <c r="Y672" s="98" t="str">
        <f t="shared" si="254"/>
        <v/>
      </c>
      <c r="Z672" s="16" t="str">
        <f t="shared" si="261"/>
        <v/>
      </c>
      <c r="AB672" s="139"/>
      <c r="AC672" s="146" t="str">
        <f t="shared" si="264"/>
        <v/>
      </c>
      <c r="AD672" s="148" t="str">
        <f t="shared" si="262"/>
        <v/>
      </c>
      <c r="AE672" s="147" t="str">
        <f t="shared" si="255"/>
        <v/>
      </c>
      <c r="AF672" s="111" t="str">
        <f t="shared" si="256"/>
        <v/>
      </c>
      <c r="AG672" s="111" t="str">
        <f t="shared" si="257"/>
        <v/>
      </c>
      <c r="AH672" s="112" t="str">
        <f t="shared" si="258"/>
        <v/>
      </c>
      <c r="AI672" t="str">
        <f t="shared" si="263"/>
        <v/>
      </c>
      <c r="AJ672" t="str">
        <f t="shared" si="265"/>
        <v/>
      </c>
    </row>
    <row r="673" spans="1:36" ht="15" customHeight="1" x14ac:dyDescent="0.25">
      <c r="A673" s="114"/>
      <c r="B673" s="116"/>
      <c r="C673" s="116"/>
      <c r="D673" s="42" t="str">
        <f t="shared" si="242"/>
        <v/>
      </c>
      <c r="E673" s="43"/>
      <c r="F673" s="118"/>
      <c r="G673" s="44" t="str">
        <f t="shared" si="243"/>
        <v/>
      </c>
      <c r="H673" s="118"/>
      <c r="I673" s="34" t="str">
        <f t="shared" si="244"/>
        <v/>
      </c>
      <c r="J673" s="118"/>
      <c r="K673" s="34" t="str">
        <f t="shared" si="245"/>
        <v/>
      </c>
      <c r="L673" s="118"/>
      <c r="M673" s="121"/>
      <c r="N673" s="122" t="str">
        <f t="shared" si="246"/>
        <v/>
      </c>
      <c r="O673" s="35" t="str">
        <f t="shared" si="247"/>
        <v/>
      </c>
      <c r="P673" s="124"/>
      <c r="Q673" s="36" t="str">
        <f t="shared" si="259"/>
        <v/>
      </c>
      <c r="R673" s="46" t="str">
        <f t="shared" si="248"/>
        <v/>
      </c>
      <c r="S673" s="38" t="str">
        <f t="shared" si="249"/>
        <v/>
      </c>
      <c r="T673" s="39" t="str">
        <f t="shared" si="250"/>
        <v/>
      </c>
      <c r="U673" s="40" t="str">
        <f t="shared" si="251"/>
        <v/>
      </c>
      <c r="V673" s="39" t="str">
        <f t="shared" si="252"/>
        <v/>
      </c>
      <c r="W673" s="34" t="str">
        <f t="shared" si="253"/>
        <v/>
      </c>
      <c r="X673" s="41" t="str">
        <f t="shared" si="260"/>
        <v/>
      </c>
      <c r="Y673" s="98" t="str">
        <f t="shared" si="254"/>
        <v/>
      </c>
      <c r="Z673" s="16" t="str">
        <f t="shared" si="261"/>
        <v/>
      </c>
      <c r="AB673" s="139"/>
      <c r="AC673" s="146" t="str">
        <f t="shared" si="264"/>
        <v/>
      </c>
      <c r="AD673" s="148" t="str">
        <f t="shared" si="262"/>
        <v/>
      </c>
      <c r="AE673" s="147" t="str">
        <f t="shared" si="255"/>
        <v/>
      </c>
      <c r="AF673" s="111" t="str">
        <f t="shared" si="256"/>
        <v/>
      </c>
      <c r="AG673" s="111" t="str">
        <f t="shared" si="257"/>
        <v/>
      </c>
      <c r="AH673" s="112" t="str">
        <f t="shared" si="258"/>
        <v/>
      </c>
      <c r="AI673" t="str">
        <f t="shared" si="263"/>
        <v/>
      </c>
      <c r="AJ673" t="str">
        <f t="shared" si="265"/>
        <v/>
      </c>
    </row>
    <row r="674" spans="1:36" ht="15" customHeight="1" x14ac:dyDescent="0.25">
      <c r="A674" s="114"/>
      <c r="B674" s="116"/>
      <c r="C674" s="116"/>
      <c r="D674" s="42" t="str">
        <f t="shared" si="242"/>
        <v/>
      </c>
      <c r="E674" s="43"/>
      <c r="F674" s="118"/>
      <c r="G674" s="44" t="str">
        <f t="shared" si="243"/>
        <v/>
      </c>
      <c r="H674" s="118"/>
      <c r="I674" s="34" t="str">
        <f t="shared" si="244"/>
        <v/>
      </c>
      <c r="J674" s="118"/>
      <c r="K674" s="34" t="str">
        <f t="shared" si="245"/>
        <v/>
      </c>
      <c r="L674" s="118"/>
      <c r="M674" s="121"/>
      <c r="N674" s="122" t="str">
        <f t="shared" si="246"/>
        <v/>
      </c>
      <c r="O674" s="35" t="str">
        <f t="shared" si="247"/>
        <v/>
      </c>
      <c r="P674" s="124"/>
      <c r="Q674" s="36" t="str">
        <f t="shared" si="259"/>
        <v/>
      </c>
      <c r="R674" s="46" t="str">
        <f t="shared" si="248"/>
        <v/>
      </c>
      <c r="S674" s="38" t="str">
        <f t="shared" si="249"/>
        <v/>
      </c>
      <c r="T674" s="39" t="str">
        <f t="shared" si="250"/>
        <v/>
      </c>
      <c r="U674" s="40" t="str">
        <f t="shared" si="251"/>
        <v/>
      </c>
      <c r="V674" s="39" t="str">
        <f t="shared" si="252"/>
        <v/>
      </c>
      <c r="W674" s="34" t="str">
        <f t="shared" si="253"/>
        <v/>
      </c>
      <c r="X674" s="41" t="str">
        <f t="shared" si="260"/>
        <v/>
      </c>
      <c r="Y674" s="98" t="str">
        <f t="shared" si="254"/>
        <v/>
      </c>
      <c r="Z674" s="16" t="str">
        <f t="shared" si="261"/>
        <v/>
      </c>
      <c r="AB674" s="139"/>
      <c r="AC674" s="146" t="str">
        <f t="shared" si="264"/>
        <v/>
      </c>
      <c r="AD674" s="148" t="str">
        <f t="shared" si="262"/>
        <v/>
      </c>
      <c r="AE674" s="147" t="str">
        <f t="shared" si="255"/>
        <v/>
      </c>
      <c r="AF674" s="111" t="str">
        <f t="shared" si="256"/>
        <v/>
      </c>
      <c r="AG674" s="111" t="str">
        <f t="shared" si="257"/>
        <v/>
      </c>
      <c r="AH674" s="112" t="str">
        <f t="shared" si="258"/>
        <v/>
      </c>
      <c r="AI674" t="str">
        <f t="shared" si="263"/>
        <v/>
      </c>
      <c r="AJ674" t="str">
        <f t="shared" si="265"/>
        <v/>
      </c>
    </row>
    <row r="675" spans="1:36" ht="15" customHeight="1" x14ac:dyDescent="0.25">
      <c r="A675" s="114"/>
      <c r="B675" s="116"/>
      <c r="C675" s="116"/>
      <c r="D675" s="42" t="str">
        <f t="shared" si="242"/>
        <v/>
      </c>
      <c r="E675" s="43"/>
      <c r="F675" s="118"/>
      <c r="G675" s="44" t="str">
        <f t="shared" si="243"/>
        <v/>
      </c>
      <c r="H675" s="118"/>
      <c r="I675" s="34" t="str">
        <f t="shared" si="244"/>
        <v/>
      </c>
      <c r="J675" s="118"/>
      <c r="K675" s="34" t="str">
        <f t="shared" si="245"/>
        <v/>
      </c>
      <c r="L675" s="118"/>
      <c r="M675" s="121"/>
      <c r="N675" s="122" t="str">
        <f t="shared" si="246"/>
        <v/>
      </c>
      <c r="O675" s="35" t="str">
        <f t="shared" si="247"/>
        <v/>
      </c>
      <c r="P675" s="124"/>
      <c r="Q675" s="36" t="str">
        <f t="shared" si="259"/>
        <v/>
      </c>
      <c r="R675" s="46" t="str">
        <f t="shared" si="248"/>
        <v/>
      </c>
      <c r="S675" s="38" t="str">
        <f t="shared" si="249"/>
        <v/>
      </c>
      <c r="T675" s="39" t="str">
        <f t="shared" si="250"/>
        <v/>
      </c>
      <c r="U675" s="40" t="str">
        <f t="shared" si="251"/>
        <v/>
      </c>
      <c r="V675" s="39" t="str">
        <f t="shared" si="252"/>
        <v/>
      </c>
      <c r="W675" s="34" t="str">
        <f t="shared" si="253"/>
        <v/>
      </c>
      <c r="X675" s="41" t="str">
        <f t="shared" si="260"/>
        <v/>
      </c>
      <c r="Y675" s="98" t="str">
        <f t="shared" si="254"/>
        <v/>
      </c>
      <c r="Z675" s="16" t="str">
        <f t="shared" si="261"/>
        <v/>
      </c>
      <c r="AB675" s="139"/>
      <c r="AC675" s="146" t="str">
        <f t="shared" si="264"/>
        <v/>
      </c>
      <c r="AD675" s="148" t="str">
        <f t="shared" si="262"/>
        <v/>
      </c>
      <c r="AE675" s="147" t="str">
        <f t="shared" si="255"/>
        <v/>
      </c>
      <c r="AF675" s="111" t="str">
        <f t="shared" si="256"/>
        <v/>
      </c>
      <c r="AG675" s="111" t="str">
        <f t="shared" si="257"/>
        <v/>
      </c>
      <c r="AH675" s="112" t="str">
        <f t="shared" si="258"/>
        <v/>
      </c>
      <c r="AI675" t="str">
        <f t="shared" si="263"/>
        <v/>
      </c>
      <c r="AJ675" t="str">
        <f t="shared" si="265"/>
        <v/>
      </c>
    </row>
    <row r="676" spans="1:36" ht="15" customHeight="1" x14ac:dyDescent="0.25">
      <c r="A676" s="114"/>
      <c r="B676" s="116"/>
      <c r="C676" s="116"/>
      <c r="D676" s="42" t="str">
        <f t="shared" si="242"/>
        <v/>
      </c>
      <c r="E676" s="43"/>
      <c r="F676" s="118"/>
      <c r="G676" s="44" t="str">
        <f t="shared" si="243"/>
        <v/>
      </c>
      <c r="H676" s="118"/>
      <c r="I676" s="34" t="str">
        <f t="shared" si="244"/>
        <v/>
      </c>
      <c r="J676" s="118"/>
      <c r="K676" s="34" t="str">
        <f t="shared" si="245"/>
        <v/>
      </c>
      <c r="L676" s="118"/>
      <c r="M676" s="121"/>
      <c r="N676" s="122" t="str">
        <f t="shared" si="246"/>
        <v/>
      </c>
      <c r="O676" s="35" t="str">
        <f t="shared" si="247"/>
        <v/>
      </c>
      <c r="P676" s="124"/>
      <c r="Q676" s="36" t="str">
        <f t="shared" si="259"/>
        <v/>
      </c>
      <c r="R676" s="46" t="str">
        <f t="shared" si="248"/>
        <v/>
      </c>
      <c r="S676" s="38" t="str">
        <f t="shared" si="249"/>
        <v/>
      </c>
      <c r="T676" s="39" t="str">
        <f t="shared" si="250"/>
        <v/>
      </c>
      <c r="U676" s="40" t="str">
        <f t="shared" si="251"/>
        <v/>
      </c>
      <c r="V676" s="39" t="str">
        <f t="shared" si="252"/>
        <v/>
      </c>
      <c r="W676" s="34" t="str">
        <f t="shared" si="253"/>
        <v/>
      </c>
      <c r="X676" s="41" t="str">
        <f t="shared" si="260"/>
        <v/>
      </c>
      <c r="Y676" s="98" t="str">
        <f t="shared" si="254"/>
        <v/>
      </c>
      <c r="Z676" s="16" t="str">
        <f t="shared" si="261"/>
        <v/>
      </c>
      <c r="AB676" s="139"/>
      <c r="AC676" s="146" t="str">
        <f t="shared" si="264"/>
        <v/>
      </c>
      <c r="AD676" s="148" t="str">
        <f t="shared" si="262"/>
        <v/>
      </c>
      <c r="AE676" s="147" t="str">
        <f t="shared" si="255"/>
        <v/>
      </c>
      <c r="AF676" s="111" t="str">
        <f t="shared" si="256"/>
        <v/>
      </c>
      <c r="AG676" s="111" t="str">
        <f t="shared" si="257"/>
        <v/>
      </c>
      <c r="AH676" s="112" t="str">
        <f t="shared" si="258"/>
        <v/>
      </c>
      <c r="AI676" t="str">
        <f t="shared" si="263"/>
        <v/>
      </c>
      <c r="AJ676" t="str">
        <f t="shared" si="265"/>
        <v/>
      </c>
    </row>
    <row r="677" spans="1:36" ht="15" customHeight="1" x14ac:dyDescent="0.25">
      <c r="A677" s="114"/>
      <c r="B677" s="116"/>
      <c r="C677" s="116"/>
      <c r="D677" s="42" t="str">
        <f t="shared" si="242"/>
        <v/>
      </c>
      <c r="E677" s="43"/>
      <c r="F677" s="118"/>
      <c r="G677" s="44" t="str">
        <f t="shared" si="243"/>
        <v/>
      </c>
      <c r="H677" s="118"/>
      <c r="I677" s="34" t="str">
        <f t="shared" si="244"/>
        <v/>
      </c>
      <c r="J677" s="118"/>
      <c r="K677" s="34" t="str">
        <f t="shared" si="245"/>
        <v/>
      </c>
      <c r="L677" s="118"/>
      <c r="M677" s="121"/>
      <c r="N677" s="122" t="str">
        <f t="shared" si="246"/>
        <v/>
      </c>
      <c r="O677" s="35" t="str">
        <f t="shared" si="247"/>
        <v/>
      </c>
      <c r="P677" s="124"/>
      <c r="Q677" s="36" t="str">
        <f t="shared" si="259"/>
        <v/>
      </c>
      <c r="R677" s="46" t="str">
        <f t="shared" si="248"/>
        <v/>
      </c>
      <c r="S677" s="38" t="str">
        <f t="shared" si="249"/>
        <v/>
      </c>
      <c r="T677" s="39" t="str">
        <f t="shared" si="250"/>
        <v/>
      </c>
      <c r="U677" s="40" t="str">
        <f t="shared" si="251"/>
        <v/>
      </c>
      <c r="V677" s="39" t="str">
        <f t="shared" si="252"/>
        <v/>
      </c>
      <c r="W677" s="34" t="str">
        <f t="shared" si="253"/>
        <v/>
      </c>
      <c r="X677" s="41" t="str">
        <f t="shared" si="260"/>
        <v/>
      </c>
      <c r="Y677" s="98" t="str">
        <f t="shared" si="254"/>
        <v/>
      </c>
      <c r="Z677" s="16" t="str">
        <f t="shared" si="261"/>
        <v/>
      </c>
      <c r="AB677" s="139"/>
      <c r="AC677" s="146" t="str">
        <f t="shared" si="264"/>
        <v/>
      </c>
      <c r="AD677" s="148" t="str">
        <f t="shared" si="262"/>
        <v/>
      </c>
      <c r="AE677" s="147" t="str">
        <f t="shared" si="255"/>
        <v/>
      </c>
      <c r="AF677" s="111" t="str">
        <f t="shared" si="256"/>
        <v/>
      </c>
      <c r="AG677" s="111" t="str">
        <f t="shared" si="257"/>
        <v/>
      </c>
      <c r="AH677" s="112" t="str">
        <f t="shared" si="258"/>
        <v/>
      </c>
      <c r="AI677" t="str">
        <f t="shared" si="263"/>
        <v/>
      </c>
      <c r="AJ677" t="str">
        <f t="shared" si="265"/>
        <v/>
      </c>
    </row>
    <row r="678" spans="1:36" ht="15" customHeight="1" x14ac:dyDescent="0.25">
      <c r="A678" s="114"/>
      <c r="B678" s="116"/>
      <c r="C678" s="116"/>
      <c r="D678" s="42" t="str">
        <f t="shared" si="242"/>
        <v/>
      </c>
      <c r="E678" s="43"/>
      <c r="F678" s="118"/>
      <c r="G678" s="44" t="str">
        <f t="shared" si="243"/>
        <v/>
      </c>
      <c r="H678" s="118"/>
      <c r="I678" s="34" t="str">
        <f t="shared" si="244"/>
        <v/>
      </c>
      <c r="J678" s="118"/>
      <c r="K678" s="34" t="str">
        <f t="shared" si="245"/>
        <v/>
      </c>
      <c r="L678" s="118"/>
      <c r="M678" s="121"/>
      <c r="N678" s="122" t="str">
        <f t="shared" si="246"/>
        <v/>
      </c>
      <c r="O678" s="35" t="str">
        <f t="shared" si="247"/>
        <v/>
      </c>
      <c r="P678" s="124"/>
      <c r="Q678" s="36" t="str">
        <f t="shared" si="259"/>
        <v/>
      </c>
      <c r="R678" s="46" t="str">
        <f t="shared" si="248"/>
        <v/>
      </c>
      <c r="S678" s="38" t="str">
        <f t="shared" si="249"/>
        <v/>
      </c>
      <c r="T678" s="39" t="str">
        <f t="shared" si="250"/>
        <v/>
      </c>
      <c r="U678" s="40" t="str">
        <f t="shared" si="251"/>
        <v/>
      </c>
      <c r="V678" s="39" t="str">
        <f t="shared" si="252"/>
        <v/>
      </c>
      <c r="W678" s="34" t="str">
        <f t="shared" si="253"/>
        <v/>
      </c>
      <c r="X678" s="41" t="str">
        <f t="shared" si="260"/>
        <v/>
      </c>
      <c r="Y678" s="98" t="str">
        <f t="shared" si="254"/>
        <v/>
      </c>
      <c r="Z678" s="16" t="str">
        <f t="shared" si="261"/>
        <v/>
      </c>
      <c r="AB678" s="139"/>
      <c r="AC678" s="146" t="str">
        <f t="shared" si="264"/>
        <v/>
      </c>
      <c r="AD678" s="148" t="str">
        <f t="shared" si="262"/>
        <v/>
      </c>
      <c r="AE678" s="147" t="str">
        <f t="shared" si="255"/>
        <v/>
      </c>
      <c r="AF678" s="111" t="str">
        <f t="shared" si="256"/>
        <v/>
      </c>
      <c r="AG678" s="111" t="str">
        <f t="shared" si="257"/>
        <v/>
      </c>
      <c r="AH678" s="112" t="str">
        <f t="shared" si="258"/>
        <v/>
      </c>
      <c r="AI678" t="str">
        <f t="shared" si="263"/>
        <v/>
      </c>
      <c r="AJ678" t="str">
        <f t="shared" si="265"/>
        <v/>
      </c>
    </row>
    <row r="679" spans="1:36" ht="15" customHeight="1" x14ac:dyDescent="0.25">
      <c r="A679" s="114"/>
      <c r="B679" s="116"/>
      <c r="C679" s="116"/>
      <c r="D679" s="42" t="str">
        <f t="shared" si="242"/>
        <v/>
      </c>
      <c r="E679" s="43"/>
      <c r="F679" s="118"/>
      <c r="G679" s="44" t="str">
        <f t="shared" si="243"/>
        <v/>
      </c>
      <c r="H679" s="118"/>
      <c r="I679" s="34" t="str">
        <f t="shared" si="244"/>
        <v/>
      </c>
      <c r="J679" s="118"/>
      <c r="K679" s="34" t="str">
        <f t="shared" si="245"/>
        <v/>
      </c>
      <c r="L679" s="118"/>
      <c r="M679" s="121"/>
      <c r="N679" s="122" t="str">
        <f t="shared" si="246"/>
        <v/>
      </c>
      <c r="O679" s="35" t="str">
        <f t="shared" si="247"/>
        <v/>
      </c>
      <c r="P679" s="124"/>
      <c r="Q679" s="36" t="str">
        <f t="shared" si="259"/>
        <v/>
      </c>
      <c r="R679" s="46" t="str">
        <f t="shared" si="248"/>
        <v/>
      </c>
      <c r="S679" s="38" t="str">
        <f t="shared" si="249"/>
        <v/>
      </c>
      <c r="T679" s="39" t="str">
        <f t="shared" si="250"/>
        <v/>
      </c>
      <c r="U679" s="40" t="str">
        <f t="shared" si="251"/>
        <v/>
      </c>
      <c r="V679" s="39" t="str">
        <f t="shared" si="252"/>
        <v/>
      </c>
      <c r="W679" s="34" t="str">
        <f t="shared" si="253"/>
        <v/>
      </c>
      <c r="X679" s="41" t="str">
        <f t="shared" si="260"/>
        <v/>
      </c>
      <c r="Y679" s="98" t="str">
        <f t="shared" si="254"/>
        <v/>
      </c>
      <c r="Z679" s="16" t="str">
        <f t="shared" si="261"/>
        <v/>
      </c>
      <c r="AB679" s="139"/>
      <c r="AC679" s="146" t="str">
        <f t="shared" si="264"/>
        <v/>
      </c>
      <c r="AD679" s="148" t="str">
        <f t="shared" si="262"/>
        <v/>
      </c>
      <c r="AE679" s="147" t="str">
        <f t="shared" si="255"/>
        <v/>
      </c>
      <c r="AF679" s="111" t="str">
        <f t="shared" si="256"/>
        <v/>
      </c>
      <c r="AG679" s="111" t="str">
        <f t="shared" si="257"/>
        <v/>
      </c>
      <c r="AH679" s="112" t="str">
        <f t="shared" si="258"/>
        <v/>
      </c>
      <c r="AI679" t="str">
        <f t="shared" si="263"/>
        <v/>
      </c>
      <c r="AJ679" t="str">
        <f t="shared" si="265"/>
        <v/>
      </c>
    </row>
    <row r="680" spans="1:36" ht="15" customHeight="1" x14ac:dyDescent="0.25">
      <c r="A680" s="114"/>
      <c r="B680" s="116"/>
      <c r="C680" s="116"/>
      <c r="D680" s="42" t="str">
        <f t="shared" si="242"/>
        <v/>
      </c>
      <c r="E680" s="43"/>
      <c r="F680" s="118"/>
      <c r="G680" s="44" t="str">
        <f t="shared" si="243"/>
        <v/>
      </c>
      <c r="H680" s="118"/>
      <c r="I680" s="34" t="str">
        <f t="shared" si="244"/>
        <v/>
      </c>
      <c r="J680" s="118"/>
      <c r="K680" s="34" t="str">
        <f t="shared" si="245"/>
        <v/>
      </c>
      <c r="L680" s="118"/>
      <c r="M680" s="121"/>
      <c r="N680" s="122" t="str">
        <f t="shared" si="246"/>
        <v/>
      </c>
      <c r="O680" s="35" t="str">
        <f t="shared" si="247"/>
        <v/>
      </c>
      <c r="P680" s="124"/>
      <c r="Q680" s="36" t="str">
        <f t="shared" si="259"/>
        <v/>
      </c>
      <c r="R680" s="46" t="str">
        <f t="shared" si="248"/>
        <v/>
      </c>
      <c r="S680" s="38" t="str">
        <f t="shared" si="249"/>
        <v/>
      </c>
      <c r="T680" s="39" t="str">
        <f t="shared" si="250"/>
        <v/>
      </c>
      <c r="U680" s="40" t="str">
        <f t="shared" si="251"/>
        <v/>
      </c>
      <c r="V680" s="39" t="str">
        <f t="shared" si="252"/>
        <v/>
      </c>
      <c r="W680" s="34" t="str">
        <f t="shared" si="253"/>
        <v/>
      </c>
      <c r="X680" s="41" t="str">
        <f t="shared" si="260"/>
        <v/>
      </c>
      <c r="Y680" s="98" t="str">
        <f t="shared" si="254"/>
        <v/>
      </c>
      <c r="Z680" s="16" t="str">
        <f t="shared" si="261"/>
        <v/>
      </c>
      <c r="AB680" s="139"/>
      <c r="AC680" s="146" t="str">
        <f t="shared" si="264"/>
        <v/>
      </c>
      <c r="AD680" s="148" t="str">
        <f t="shared" si="262"/>
        <v/>
      </c>
      <c r="AE680" s="147" t="str">
        <f t="shared" si="255"/>
        <v/>
      </c>
      <c r="AF680" s="111" t="str">
        <f t="shared" si="256"/>
        <v/>
      </c>
      <c r="AG680" s="111" t="str">
        <f t="shared" si="257"/>
        <v/>
      </c>
      <c r="AH680" s="112" t="str">
        <f t="shared" si="258"/>
        <v/>
      </c>
      <c r="AI680" t="str">
        <f t="shared" si="263"/>
        <v/>
      </c>
      <c r="AJ680" t="str">
        <f t="shared" si="265"/>
        <v/>
      </c>
    </row>
    <row r="681" spans="1:36" ht="15" customHeight="1" x14ac:dyDescent="0.25">
      <c r="A681" s="114"/>
      <c r="B681" s="116"/>
      <c r="C681" s="116"/>
      <c r="D681" s="42" t="str">
        <f t="shared" si="242"/>
        <v/>
      </c>
      <c r="E681" s="43"/>
      <c r="F681" s="118"/>
      <c r="G681" s="44" t="str">
        <f t="shared" si="243"/>
        <v/>
      </c>
      <c r="H681" s="118"/>
      <c r="I681" s="34" t="str">
        <f t="shared" si="244"/>
        <v/>
      </c>
      <c r="J681" s="118"/>
      <c r="K681" s="34" t="str">
        <f t="shared" si="245"/>
        <v/>
      </c>
      <c r="L681" s="118"/>
      <c r="M681" s="121"/>
      <c r="N681" s="122" t="str">
        <f t="shared" si="246"/>
        <v/>
      </c>
      <c r="O681" s="35" t="str">
        <f t="shared" si="247"/>
        <v/>
      </c>
      <c r="P681" s="124"/>
      <c r="Q681" s="36" t="str">
        <f t="shared" si="259"/>
        <v/>
      </c>
      <c r="R681" s="46" t="str">
        <f t="shared" si="248"/>
        <v/>
      </c>
      <c r="S681" s="38" t="str">
        <f t="shared" si="249"/>
        <v/>
      </c>
      <c r="T681" s="39" t="str">
        <f t="shared" si="250"/>
        <v/>
      </c>
      <c r="U681" s="40" t="str">
        <f t="shared" si="251"/>
        <v/>
      </c>
      <c r="V681" s="39" t="str">
        <f t="shared" si="252"/>
        <v/>
      </c>
      <c r="W681" s="34" t="str">
        <f t="shared" si="253"/>
        <v/>
      </c>
      <c r="X681" s="41" t="str">
        <f t="shared" si="260"/>
        <v/>
      </c>
      <c r="Y681" s="98" t="str">
        <f t="shared" si="254"/>
        <v/>
      </c>
      <c r="Z681" s="16" t="str">
        <f t="shared" si="261"/>
        <v/>
      </c>
      <c r="AB681" s="139"/>
      <c r="AC681" s="146" t="str">
        <f t="shared" si="264"/>
        <v/>
      </c>
      <c r="AD681" s="148" t="str">
        <f t="shared" si="262"/>
        <v/>
      </c>
      <c r="AE681" s="147" t="str">
        <f t="shared" si="255"/>
        <v/>
      </c>
      <c r="AF681" s="111" t="str">
        <f t="shared" si="256"/>
        <v/>
      </c>
      <c r="AG681" s="111" t="str">
        <f t="shared" si="257"/>
        <v/>
      </c>
      <c r="AH681" s="112" t="str">
        <f t="shared" si="258"/>
        <v/>
      </c>
      <c r="AI681" t="str">
        <f t="shared" si="263"/>
        <v/>
      </c>
      <c r="AJ681" t="str">
        <f t="shared" si="265"/>
        <v/>
      </c>
    </row>
    <row r="682" spans="1:36" ht="15" customHeight="1" x14ac:dyDescent="0.25">
      <c r="A682" s="114"/>
      <c r="B682" s="116"/>
      <c r="C682" s="116"/>
      <c r="D682" s="42" t="str">
        <f t="shared" si="242"/>
        <v/>
      </c>
      <c r="E682" s="43"/>
      <c r="F682" s="118"/>
      <c r="G682" s="44" t="str">
        <f t="shared" si="243"/>
        <v/>
      </c>
      <c r="H682" s="118"/>
      <c r="I682" s="34" t="str">
        <f t="shared" si="244"/>
        <v/>
      </c>
      <c r="J682" s="118"/>
      <c r="K682" s="34" t="str">
        <f t="shared" si="245"/>
        <v/>
      </c>
      <c r="L682" s="118"/>
      <c r="M682" s="121"/>
      <c r="N682" s="122" t="str">
        <f t="shared" si="246"/>
        <v/>
      </c>
      <c r="O682" s="35" t="str">
        <f t="shared" si="247"/>
        <v/>
      </c>
      <c r="P682" s="124"/>
      <c r="Q682" s="36" t="str">
        <f t="shared" si="259"/>
        <v/>
      </c>
      <c r="R682" s="46" t="str">
        <f t="shared" si="248"/>
        <v/>
      </c>
      <c r="S682" s="38" t="str">
        <f t="shared" si="249"/>
        <v/>
      </c>
      <c r="T682" s="39" t="str">
        <f t="shared" si="250"/>
        <v/>
      </c>
      <c r="U682" s="40" t="str">
        <f t="shared" si="251"/>
        <v/>
      </c>
      <c r="V682" s="39" t="str">
        <f t="shared" si="252"/>
        <v/>
      </c>
      <c r="W682" s="34" t="str">
        <f t="shared" si="253"/>
        <v/>
      </c>
      <c r="X682" s="41" t="str">
        <f t="shared" si="260"/>
        <v/>
      </c>
      <c r="Y682" s="98" t="str">
        <f t="shared" si="254"/>
        <v/>
      </c>
      <c r="Z682" s="16" t="str">
        <f t="shared" si="261"/>
        <v/>
      </c>
      <c r="AB682" s="139"/>
      <c r="AC682" s="146" t="str">
        <f t="shared" si="264"/>
        <v/>
      </c>
      <c r="AD682" s="148" t="str">
        <f t="shared" si="262"/>
        <v/>
      </c>
      <c r="AE682" s="147" t="str">
        <f t="shared" si="255"/>
        <v/>
      </c>
      <c r="AF682" s="111" t="str">
        <f t="shared" si="256"/>
        <v/>
      </c>
      <c r="AG682" s="111" t="str">
        <f t="shared" si="257"/>
        <v/>
      </c>
      <c r="AH682" s="112" t="str">
        <f t="shared" si="258"/>
        <v/>
      </c>
      <c r="AI682" t="str">
        <f t="shared" si="263"/>
        <v/>
      </c>
      <c r="AJ682" t="str">
        <f t="shared" si="265"/>
        <v/>
      </c>
    </row>
    <row r="683" spans="1:36" ht="15" customHeight="1" x14ac:dyDescent="0.25">
      <c r="A683" s="114"/>
      <c r="B683" s="116"/>
      <c r="C683" s="116"/>
      <c r="D683" s="42" t="str">
        <f t="shared" si="242"/>
        <v/>
      </c>
      <c r="E683" s="43"/>
      <c r="F683" s="118"/>
      <c r="G683" s="44" t="str">
        <f t="shared" si="243"/>
        <v/>
      </c>
      <c r="H683" s="118"/>
      <c r="I683" s="34" t="str">
        <f t="shared" si="244"/>
        <v/>
      </c>
      <c r="J683" s="118"/>
      <c r="K683" s="34" t="str">
        <f t="shared" si="245"/>
        <v/>
      </c>
      <c r="L683" s="118"/>
      <c r="M683" s="121"/>
      <c r="N683" s="122" t="str">
        <f t="shared" si="246"/>
        <v/>
      </c>
      <c r="O683" s="35" t="str">
        <f t="shared" si="247"/>
        <v/>
      </c>
      <c r="P683" s="124"/>
      <c r="Q683" s="36" t="str">
        <f t="shared" si="259"/>
        <v/>
      </c>
      <c r="R683" s="46" t="str">
        <f t="shared" si="248"/>
        <v/>
      </c>
      <c r="S683" s="38" t="str">
        <f t="shared" si="249"/>
        <v/>
      </c>
      <c r="T683" s="39" t="str">
        <f t="shared" si="250"/>
        <v/>
      </c>
      <c r="U683" s="40" t="str">
        <f t="shared" si="251"/>
        <v/>
      </c>
      <c r="V683" s="39" t="str">
        <f t="shared" si="252"/>
        <v/>
      </c>
      <c r="W683" s="34" t="str">
        <f t="shared" si="253"/>
        <v/>
      </c>
      <c r="X683" s="41" t="str">
        <f t="shared" si="260"/>
        <v/>
      </c>
      <c r="Y683" s="98" t="str">
        <f t="shared" si="254"/>
        <v/>
      </c>
      <c r="Z683" s="16" t="str">
        <f t="shared" si="261"/>
        <v/>
      </c>
      <c r="AB683" s="139"/>
      <c r="AC683" s="146" t="str">
        <f t="shared" si="264"/>
        <v/>
      </c>
      <c r="AD683" s="148" t="str">
        <f t="shared" si="262"/>
        <v/>
      </c>
      <c r="AE683" s="147" t="str">
        <f t="shared" si="255"/>
        <v/>
      </c>
      <c r="AF683" s="111" t="str">
        <f t="shared" si="256"/>
        <v/>
      </c>
      <c r="AG683" s="111" t="str">
        <f t="shared" si="257"/>
        <v/>
      </c>
      <c r="AH683" s="112" t="str">
        <f t="shared" si="258"/>
        <v/>
      </c>
      <c r="AI683" t="str">
        <f t="shared" si="263"/>
        <v/>
      </c>
      <c r="AJ683" t="str">
        <f t="shared" si="265"/>
        <v/>
      </c>
    </row>
    <row r="684" spans="1:36" ht="15" customHeight="1" x14ac:dyDescent="0.25">
      <c r="A684" s="114"/>
      <c r="B684" s="116"/>
      <c r="C684" s="116"/>
      <c r="D684" s="42" t="str">
        <f t="shared" si="242"/>
        <v/>
      </c>
      <c r="E684" s="43"/>
      <c r="F684" s="118"/>
      <c r="G684" s="44" t="str">
        <f t="shared" si="243"/>
        <v/>
      </c>
      <c r="H684" s="118"/>
      <c r="I684" s="34" t="str">
        <f t="shared" si="244"/>
        <v/>
      </c>
      <c r="J684" s="118"/>
      <c r="K684" s="34" t="str">
        <f t="shared" si="245"/>
        <v/>
      </c>
      <c r="L684" s="118"/>
      <c r="M684" s="121"/>
      <c r="N684" s="122" t="str">
        <f t="shared" si="246"/>
        <v/>
      </c>
      <c r="O684" s="35" t="str">
        <f t="shared" si="247"/>
        <v/>
      </c>
      <c r="P684" s="124"/>
      <c r="Q684" s="36" t="str">
        <f t="shared" si="259"/>
        <v/>
      </c>
      <c r="R684" s="46" t="str">
        <f t="shared" si="248"/>
        <v/>
      </c>
      <c r="S684" s="38" t="str">
        <f t="shared" si="249"/>
        <v/>
      </c>
      <c r="T684" s="39" t="str">
        <f t="shared" si="250"/>
        <v/>
      </c>
      <c r="U684" s="40" t="str">
        <f t="shared" si="251"/>
        <v/>
      </c>
      <c r="V684" s="39" t="str">
        <f t="shared" si="252"/>
        <v/>
      </c>
      <c r="W684" s="34" t="str">
        <f t="shared" si="253"/>
        <v/>
      </c>
      <c r="X684" s="41" t="str">
        <f t="shared" si="260"/>
        <v/>
      </c>
      <c r="Y684" s="98" t="str">
        <f t="shared" si="254"/>
        <v/>
      </c>
      <c r="Z684" s="16" t="str">
        <f t="shared" si="261"/>
        <v/>
      </c>
      <c r="AB684" s="139"/>
      <c r="AC684" s="146" t="str">
        <f t="shared" si="264"/>
        <v/>
      </c>
      <c r="AD684" s="148" t="str">
        <f t="shared" si="262"/>
        <v/>
      </c>
      <c r="AE684" s="147" t="str">
        <f t="shared" si="255"/>
        <v/>
      </c>
      <c r="AF684" s="111" t="str">
        <f t="shared" si="256"/>
        <v/>
      </c>
      <c r="AG684" s="111" t="str">
        <f t="shared" si="257"/>
        <v/>
      </c>
      <c r="AH684" s="112" t="str">
        <f t="shared" si="258"/>
        <v/>
      </c>
      <c r="AI684" t="str">
        <f t="shared" si="263"/>
        <v/>
      </c>
      <c r="AJ684" t="str">
        <f t="shared" si="265"/>
        <v/>
      </c>
    </row>
    <row r="685" spans="1:36" ht="15" customHeight="1" x14ac:dyDescent="0.25">
      <c r="A685" s="114"/>
      <c r="B685" s="116"/>
      <c r="C685" s="116"/>
      <c r="D685" s="42" t="str">
        <f t="shared" si="242"/>
        <v/>
      </c>
      <c r="E685" s="43"/>
      <c r="F685" s="118"/>
      <c r="G685" s="44" t="str">
        <f t="shared" si="243"/>
        <v/>
      </c>
      <c r="H685" s="118"/>
      <c r="I685" s="34" t="str">
        <f t="shared" si="244"/>
        <v/>
      </c>
      <c r="J685" s="118"/>
      <c r="K685" s="34" t="str">
        <f t="shared" si="245"/>
        <v/>
      </c>
      <c r="L685" s="118"/>
      <c r="M685" s="121"/>
      <c r="N685" s="122" t="str">
        <f t="shared" si="246"/>
        <v/>
      </c>
      <c r="O685" s="35" t="str">
        <f t="shared" si="247"/>
        <v/>
      </c>
      <c r="P685" s="124"/>
      <c r="Q685" s="36" t="str">
        <f t="shared" si="259"/>
        <v/>
      </c>
      <c r="R685" s="46" t="str">
        <f t="shared" si="248"/>
        <v/>
      </c>
      <c r="S685" s="38" t="str">
        <f t="shared" si="249"/>
        <v/>
      </c>
      <c r="T685" s="39" t="str">
        <f t="shared" si="250"/>
        <v/>
      </c>
      <c r="U685" s="40" t="str">
        <f t="shared" si="251"/>
        <v/>
      </c>
      <c r="V685" s="39" t="str">
        <f t="shared" si="252"/>
        <v/>
      </c>
      <c r="W685" s="34" t="str">
        <f t="shared" si="253"/>
        <v/>
      </c>
      <c r="X685" s="41" t="str">
        <f t="shared" si="260"/>
        <v/>
      </c>
      <c r="Y685" s="98" t="str">
        <f t="shared" si="254"/>
        <v/>
      </c>
      <c r="Z685" s="16" t="str">
        <f t="shared" si="261"/>
        <v/>
      </c>
      <c r="AB685" s="139"/>
      <c r="AC685" s="146" t="str">
        <f t="shared" si="264"/>
        <v/>
      </c>
      <c r="AD685" s="148" t="str">
        <f t="shared" si="262"/>
        <v/>
      </c>
      <c r="AE685" s="147" t="str">
        <f t="shared" si="255"/>
        <v/>
      </c>
      <c r="AF685" s="111" t="str">
        <f t="shared" si="256"/>
        <v/>
      </c>
      <c r="AG685" s="111" t="str">
        <f t="shared" si="257"/>
        <v/>
      </c>
      <c r="AH685" s="112" t="str">
        <f t="shared" si="258"/>
        <v/>
      </c>
      <c r="AI685" t="str">
        <f t="shared" si="263"/>
        <v/>
      </c>
      <c r="AJ685" t="str">
        <f t="shared" si="265"/>
        <v/>
      </c>
    </row>
    <row r="686" spans="1:36" ht="15" customHeight="1" x14ac:dyDescent="0.25">
      <c r="A686" s="114"/>
      <c r="B686" s="116"/>
      <c r="C686" s="116"/>
      <c r="D686" s="42" t="str">
        <f t="shared" si="242"/>
        <v/>
      </c>
      <c r="E686" s="43"/>
      <c r="F686" s="118"/>
      <c r="G686" s="44" t="str">
        <f t="shared" si="243"/>
        <v/>
      </c>
      <c r="H686" s="118"/>
      <c r="I686" s="34" t="str">
        <f t="shared" si="244"/>
        <v/>
      </c>
      <c r="J686" s="118"/>
      <c r="K686" s="34" t="str">
        <f t="shared" si="245"/>
        <v/>
      </c>
      <c r="L686" s="118"/>
      <c r="M686" s="121"/>
      <c r="N686" s="122" t="str">
        <f t="shared" si="246"/>
        <v/>
      </c>
      <c r="O686" s="35" t="str">
        <f t="shared" si="247"/>
        <v/>
      </c>
      <c r="P686" s="124"/>
      <c r="Q686" s="36" t="str">
        <f t="shared" si="259"/>
        <v/>
      </c>
      <c r="R686" s="46" t="str">
        <f t="shared" si="248"/>
        <v/>
      </c>
      <c r="S686" s="38" t="str">
        <f t="shared" si="249"/>
        <v/>
      </c>
      <c r="T686" s="39" t="str">
        <f t="shared" si="250"/>
        <v/>
      </c>
      <c r="U686" s="40" t="str">
        <f t="shared" si="251"/>
        <v/>
      </c>
      <c r="V686" s="39" t="str">
        <f t="shared" si="252"/>
        <v/>
      </c>
      <c r="W686" s="34" t="str">
        <f t="shared" si="253"/>
        <v/>
      </c>
      <c r="X686" s="41" t="str">
        <f t="shared" si="260"/>
        <v/>
      </c>
      <c r="Y686" s="98" t="str">
        <f t="shared" si="254"/>
        <v/>
      </c>
      <c r="Z686" s="16" t="str">
        <f t="shared" si="261"/>
        <v/>
      </c>
      <c r="AB686" s="139"/>
      <c r="AC686" s="146" t="str">
        <f t="shared" si="264"/>
        <v/>
      </c>
      <c r="AD686" s="148" t="str">
        <f t="shared" si="262"/>
        <v/>
      </c>
      <c r="AE686" s="147" t="str">
        <f t="shared" si="255"/>
        <v/>
      </c>
      <c r="AF686" s="111" t="str">
        <f t="shared" si="256"/>
        <v/>
      </c>
      <c r="AG686" s="111" t="str">
        <f t="shared" si="257"/>
        <v/>
      </c>
      <c r="AH686" s="112" t="str">
        <f t="shared" si="258"/>
        <v/>
      </c>
      <c r="AI686" t="str">
        <f t="shared" si="263"/>
        <v/>
      </c>
      <c r="AJ686" t="str">
        <f t="shared" si="265"/>
        <v/>
      </c>
    </row>
    <row r="687" spans="1:36" ht="15" customHeight="1" x14ac:dyDescent="0.25">
      <c r="A687" s="114"/>
      <c r="B687" s="116"/>
      <c r="C687" s="116"/>
      <c r="D687" s="42" t="str">
        <f t="shared" si="242"/>
        <v/>
      </c>
      <c r="E687" s="43"/>
      <c r="F687" s="118"/>
      <c r="G687" s="44" t="str">
        <f t="shared" si="243"/>
        <v/>
      </c>
      <c r="H687" s="118"/>
      <c r="I687" s="34" t="str">
        <f t="shared" si="244"/>
        <v/>
      </c>
      <c r="J687" s="118"/>
      <c r="K687" s="34" t="str">
        <f t="shared" si="245"/>
        <v/>
      </c>
      <c r="L687" s="118"/>
      <c r="M687" s="121"/>
      <c r="N687" s="122" t="str">
        <f t="shared" si="246"/>
        <v/>
      </c>
      <c r="O687" s="35" t="str">
        <f t="shared" si="247"/>
        <v/>
      </c>
      <c r="P687" s="124"/>
      <c r="Q687" s="36" t="str">
        <f t="shared" si="259"/>
        <v/>
      </c>
      <c r="R687" s="46" t="str">
        <f t="shared" si="248"/>
        <v/>
      </c>
      <c r="S687" s="38" t="str">
        <f t="shared" si="249"/>
        <v/>
      </c>
      <c r="T687" s="39" t="str">
        <f t="shared" si="250"/>
        <v/>
      </c>
      <c r="U687" s="40" t="str">
        <f t="shared" si="251"/>
        <v/>
      </c>
      <c r="V687" s="39" t="str">
        <f t="shared" si="252"/>
        <v/>
      </c>
      <c r="W687" s="34" t="str">
        <f t="shared" si="253"/>
        <v/>
      </c>
      <c r="X687" s="41" t="str">
        <f t="shared" si="260"/>
        <v/>
      </c>
      <c r="Y687" s="98" t="str">
        <f t="shared" si="254"/>
        <v/>
      </c>
      <c r="Z687" s="16" t="str">
        <f t="shared" si="261"/>
        <v/>
      </c>
      <c r="AB687" s="139"/>
      <c r="AC687" s="146" t="str">
        <f t="shared" si="264"/>
        <v/>
      </c>
      <c r="AD687" s="148" t="str">
        <f t="shared" si="262"/>
        <v/>
      </c>
      <c r="AE687" s="147" t="str">
        <f t="shared" si="255"/>
        <v/>
      </c>
      <c r="AF687" s="111" t="str">
        <f t="shared" si="256"/>
        <v/>
      </c>
      <c r="AG687" s="111" t="str">
        <f t="shared" si="257"/>
        <v/>
      </c>
      <c r="AH687" s="112" t="str">
        <f t="shared" si="258"/>
        <v/>
      </c>
      <c r="AI687" t="str">
        <f t="shared" si="263"/>
        <v/>
      </c>
      <c r="AJ687" t="str">
        <f t="shared" si="265"/>
        <v/>
      </c>
    </row>
    <row r="688" spans="1:36" ht="15" customHeight="1" x14ac:dyDescent="0.25">
      <c r="A688" s="114"/>
      <c r="B688" s="116"/>
      <c r="C688" s="116"/>
      <c r="D688" s="42" t="str">
        <f t="shared" si="242"/>
        <v/>
      </c>
      <c r="E688" s="43"/>
      <c r="F688" s="118"/>
      <c r="G688" s="44" t="str">
        <f t="shared" si="243"/>
        <v/>
      </c>
      <c r="H688" s="118"/>
      <c r="I688" s="34" t="str">
        <f t="shared" si="244"/>
        <v/>
      </c>
      <c r="J688" s="118"/>
      <c r="K688" s="34" t="str">
        <f t="shared" si="245"/>
        <v/>
      </c>
      <c r="L688" s="118"/>
      <c r="M688" s="121"/>
      <c r="N688" s="122" t="str">
        <f t="shared" si="246"/>
        <v/>
      </c>
      <c r="O688" s="35" t="str">
        <f t="shared" si="247"/>
        <v/>
      </c>
      <c r="P688" s="124"/>
      <c r="Q688" s="36" t="str">
        <f t="shared" si="259"/>
        <v/>
      </c>
      <c r="R688" s="46" t="str">
        <f t="shared" si="248"/>
        <v/>
      </c>
      <c r="S688" s="38" t="str">
        <f t="shared" si="249"/>
        <v/>
      </c>
      <c r="T688" s="39" t="str">
        <f t="shared" si="250"/>
        <v/>
      </c>
      <c r="U688" s="40" t="str">
        <f t="shared" si="251"/>
        <v/>
      </c>
      <c r="V688" s="39" t="str">
        <f t="shared" si="252"/>
        <v/>
      </c>
      <c r="W688" s="34" t="str">
        <f t="shared" si="253"/>
        <v/>
      </c>
      <c r="X688" s="41" t="str">
        <f t="shared" si="260"/>
        <v/>
      </c>
      <c r="Y688" s="98" t="str">
        <f t="shared" si="254"/>
        <v/>
      </c>
      <c r="Z688" s="16" t="str">
        <f t="shared" si="261"/>
        <v/>
      </c>
      <c r="AB688" s="139"/>
      <c r="AC688" s="146" t="str">
        <f t="shared" si="264"/>
        <v/>
      </c>
      <c r="AD688" s="148" t="str">
        <f t="shared" si="262"/>
        <v/>
      </c>
      <c r="AE688" s="147" t="str">
        <f t="shared" si="255"/>
        <v/>
      </c>
      <c r="AF688" s="111" t="str">
        <f t="shared" si="256"/>
        <v/>
      </c>
      <c r="AG688" s="111" t="str">
        <f t="shared" si="257"/>
        <v/>
      </c>
      <c r="AH688" s="112" t="str">
        <f t="shared" si="258"/>
        <v/>
      </c>
      <c r="AI688" t="str">
        <f t="shared" si="263"/>
        <v/>
      </c>
      <c r="AJ688" t="str">
        <f t="shared" si="265"/>
        <v/>
      </c>
    </row>
    <row r="689" spans="1:36" ht="15" customHeight="1" x14ac:dyDescent="0.25">
      <c r="A689" s="114"/>
      <c r="B689" s="116"/>
      <c r="C689" s="116"/>
      <c r="D689" s="42" t="str">
        <f t="shared" si="242"/>
        <v/>
      </c>
      <c r="E689" s="43"/>
      <c r="F689" s="118"/>
      <c r="G689" s="44" t="str">
        <f t="shared" si="243"/>
        <v/>
      </c>
      <c r="H689" s="118"/>
      <c r="I689" s="34" t="str">
        <f t="shared" si="244"/>
        <v/>
      </c>
      <c r="J689" s="118"/>
      <c r="K689" s="34" t="str">
        <f t="shared" si="245"/>
        <v/>
      </c>
      <c r="L689" s="118"/>
      <c r="M689" s="121"/>
      <c r="N689" s="122" t="str">
        <f t="shared" si="246"/>
        <v/>
      </c>
      <c r="O689" s="35" t="str">
        <f t="shared" si="247"/>
        <v/>
      </c>
      <c r="P689" s="124"/>
      <c r="Q689" s="36" t="str">
        <f t="shared" si="259"/>
        <v/>
      </c>
      <c r="R689" s="46" t="str">
        <f t="shared" si="248"/>
        <v/>
      </c>
      <c r="S689" s="38" t="str">
        <f t="shared" si="249"/>
        <v/>
      </c>
      <c r="T689" s="39" t="str">
        <f t="shared" si="250"/>
        <v/>
      </c>
      <c r="U689" s="40" t="str">
        <f t="shared" si="251"/>
        <v/>
      </c>
      <c r="V689" s="39" t="str">
        <f t="shared" si="252"/>
        <v/>
      </c>
      <c r="W689" s="34" t="str">
        <f t="shared" si="253"/>
        <v/>
      </c>
      <c r="X689" s="41" t="str">
        <f t="shared" si="260"/>
        <v/>
      </c>
      <c r="Y689" s="98" t="str">
        <f t="shared" si="254"/>
        <v/>
      </c>
      <c r="Z689" s="16" t="str">
        <f t="shared" si="261"/>
        <v/>
      </c>
      <c r="AB689" s="139"/>
      <c r="AC689" s="146" t="str">
        <f t="shared" si="264"/>
        <v/>
      </c>
      <c r="AD689" s="148" t="str">
        <f t="shared" si="262"/>
        <v/>
      </c>
      <c r="AE689" s="147" t="str">
        <f t="shared" si="255"/>
        <v/>
      </c>
      <c r="AF689" s="111" t="str">
        <f t="shared" si="256"/>
        <v/>
      </c>
      <c r="AG689" s="111" t="str">
        <f t="shared" si="257"/>
        <v/>
      </c>
      <c r="AH689" s="112" t="str">
        <f t="shared" si="258"/>
        <v/>
      </c>
      <c r="AI689" t="str">
        <f t="shared" si="263"/>
        <v/>
      </c>
      <c r="AJ689" t="str">
        <f t="shared" si="265"/>
        <v/>
      </c>
    </row>
    <row r="690" spans="1:36" ht="15" customHeight="1" x14ac:dyDescent="0.25">
      <c r="A690" s="114"/>
      <c r="B690" s="116"/>
      <c r="C690" s="116"/>
      <c r="D690" s="42" t="str">
        <f t="shared" si="242"/>
        <v/>
      </c>
      <c r="E690" s="43"/>
      <c r="F690" s="118"/>
      <c r="G690" s="44" t="str">
        <f t="shared" si="243"/>
        <v/>
      </c>
      <c r="H690" s="118"/>
      <c r="I690" s="34" t="str">
        <f t="shared" si="244"/>
        <v/>
      </c>
      <c r="J690" s="118"/>
      <c r="K690" s="34" t="str">
        <f t="shared" si="245"/>
        <v/>
      </c>
      <c r="L690" s="118"/>
      <c r="M690" s="121"/>
      <c r="N690" s="122" t="str">
        <f t="shared" si="246"/>
        <v/>
      </c>
      <c r="O690" s="35" t="str">
        <f t="shared" si="247"/>
        <v/>
      </c>
      <c r="P690" s="124"/>
      <c r="Q690" s="36" t="str">
        <f t="shared" si="259"/>
        <v/>
      </c>
      <c r="R690" s="46" t="str">
        <f t="shared" si="248"/>
        <v/>
      </c>
      <c r="S690" s="38" t="str">
        <f t="shared" si="249"/>
        <v/>
      </c>
      <c r="T690" s="39" t="str">
        <f t="shared" si="250"/>
        <v/>
      </c>
      <c r="U690" s="40" t="str">
        <f t="shared" si="251"/>
        <v/>
      </c>
      <c r="V690" s="39" t="str">
        <f t="shared" si="252"/>
        <v/>
      </c>
      <c r="W690" s="34" t="str">
        <f t="shared" si="253"/>
        <v/>
      </c>
      <c r="X690" s="41" t="str">
        <f t="shared" si="260"/>
        <v/>
      </c>
      <c r="Y690" s="98" t="str">
        <f t="shared" si="254"/>
        <v/>
      </c>
      <c r="Z690" s="16" t="str">
        <f t="shared" si="261"/>
        <v/>
      </c>
      <c r="AB690" s="139"/>
      <c r="AC690" s="146" t="str">
        <f t="shared" si="264"/>
        <v/>
      </c>
      <c r="AD690" s="148" t="str">
        <f t="shared" si="262"/>
        <v/>
      </c>
      <c r="AE690" s="147" t="str">
        <f t="shared" si="255"/>
        <v/>
      </c>
      <c r="AF690" s="111" t="str">
        <f t="shared" si="256"/>
        <v/>
      </c>
      <c r="AG690" s="111" t="str">
        <f t="shared" si="257"/>
        <v/>
      </c>
      <c r="AH690" s="112" t="str">
        <f t="shared" si="258"/>
        <v/>
      </c>
      <c r="AI690" t="str">
        <f t="shared" si="263"/>
        <v/>
      </c>
      <c r="AJ690" t="str">
        <f t="shared" si="265"/>
        <v/>
      </c>
    </row>
    <row r="691" spans="1:36" ht="15" customHeight="1" x14ac:dyDescent="0.25">
      <c r="A691" s="114"/>
      <c r="B691" s="116"/>
      <c r="C691" s="116"/>
      <c r="D691" s="42" t="str">
        <f t="shared" si="242"/>
        <v/>
      </c>
      <c r="E691" s="43"/>
      <c r="F691" s="118"/>
      <c r="G691" s="44" t="str">
        <f t="shared" si="243"/>
        <v/>
      </c>
      <c r="H691" s="118"/>
      <c r="I691" s="34" t="str">
        <f t="shared" si="244"/>
        <v/>
      </c>
      <c r="J691" s="118"/>
      <c r="K691" s="34" t="str">
        <f t="shared" si="245"/>
        <v/>
      </c>
      <c r="L691" s="118"/>
      <c r="M691" s="121"/>
      <c r="N691" s="122" t="str">
        <f t="shared" si="246"/>
        <v/>
      </c>
      <c r="O691" s="35" t="str">
        <f t="shared" si="247"/>
        <v/>
      </c>
      <c r="P691" s="124"/>
      <c r="Q691" s="36" t="str">
        <f t="shared" si="259"/>
        <v/>
      </c>
      <c r="R691" s="46" t="str">
        <f t="shared" si="248"/>
        <v/>
      </c>
      <c r="S691" s="38" t="str">
        <f t="shared" si="249"/>
        <v/>
      </c>
      <c r="T691" s="39" t="str">
        <f t="shared" si="250"/>
        <v/>
      </c>
      <c r="U691" s="40" t="str">
        <f t="shared" si="251"/>
        <v/>
      </c>
      <c r="V691" s="39" t="str">
        <f t="shared" si="252"/>
        <v/>
      </c>
      <c r="W691" s="34" t="str">
        <f t="shared" si="253"/>
        <v/>
      </c>
      <c r="X691" s="41" t="str">
        <f t="shared" si="260"/>
        <v/>
      </c>
      <c r="Y691" s="98" t="str">
        <f t="shared" si="254"/>
        <v/>
      </c>
      <c r="Z691" s="16" t="str">
        <f t="shared" si="261"/>
        <v/>
      </c>
      <c r="AB691" s="139"/>
      <c r="AC691" s="146" t="str">
        <f t="shared" si="264"/>
        <v/>
      </c>
      <c r="AD691" s="148" t="str">
        <f t="shared" si="262"/>
        <v/>
      </c>
      <c r="AE691" s="147" t="str">
        <f t="shared" si="255"/>
        <v/>
      </c>
      <c r="AF691" s="111" t="str">
        <f t="shared" si="256"/>
        <v/>
      </c>
      <c r="AG691" s="111" t="str">
        <f t="shared" si="257"/>
        <v/>
      </c>
      <c r="AH691" s="112" t="str">
        <f t="shared" si="258"/>
        <v/>
      </c>
      <c r="AI691" t="str">
        <f t="shared" si="263"/>
        <v/>
      </c>
      <c r="AJ691" t="str">
        <f t="shared" si="265"/>
        <v/>
      </c>
    </row>
    <row r="692" spans="1:36" ht="15" customHeight="1" x14ac:dyDescent="0.25">
      <c r="A692" s="114"/>
      <c r="B692" s="116"/>
      <c r="C692" s="116"/>
      <c r="D692" s="42" t="str">
        <f t="shared" si="242"/>
        <v/>
      </c>
      <c r="E692" s="43"/>
      <c r="F692" s="118"/>
      <c r="G692" s="44" t="str">
        <f t="shared" si="243"/>
        <v/>
      </c>
      <c r="H692" s="118"/>
      <c r="I692" s="34" t="str">
        <f t="shared" si="244"/>
        <v/>
      </c>
      <c r="J692" s="118"/>
      <c r="K692" s="34" t="str">
        <f t="shared" si="245"/>
        <v/>
      </c>
      <c r="L692" s="118"/>
      <c r="M692" s="121"/>
      <c r="N692" s="122" t="str">
        <f t="shared" si="246"/>
        <v/>
      </c>
      <c r="O692" s="35" t="str">
        <f t="shared" si="247"/>
        <v/>
      </c>
      <c r="P692" s="124"/>
      <c r="Q692" s="36" t="str">
        <f t="shared" si="259"/>
        <v/>
      </c>
      <c r="R692" s="46" t="str">
        <f t="shared" si="248"/>
        <v/>
      </c>
      <c r="S692" s="38" t="str">
        <f t="shared" si="249"/>
        <v/>
      </c>
      <c r="T692" s="39" t="str">
        <f t="shared" si="250"/>
        <v/>
      </c>
      <c r="U692" s="40" t="str">
        <f t="shared" si="251"/>
        <v/>
      </c>
      <c r="V692" s="39" t="str">
        <f t="shared" si="252"/>
        <v/>
      </c>
      <c r="W692" s="34" t="str">
        <f t="shared" si="253"/>
        <v/>
      </c>
      <c r="X692" s="41" t="str">
        <f t="shared" si="260"/>
        <v/>
      </c>
      <c r="Y692" s="98" t="str">
        <f t="shared" si="254"/>
        <v/>
      </c>
      <c r="Z692" s="16" t="str">
        <f t="shared" si="261"/>
        <v/>
      </c>
      <c r="AB692" s="139"/>
      <c r="AC692" s="146" t="str">
        <f t="shared" si="264"/>
        <v/>
      </c>
      <c r="AD692" s="148" t="str">
        <f t="shared" si="262"/>
        <v/>
      </c>
      <c r="AE692" s="147" t="str">
        <f t="shared" si="255"/>
        <v/>
      </c>
      <c r="AF692" s="111" t="str">
        <f t="shared" si="256"/>
        <v/>
      </c>
      <c r="AG692" s="111" t="str">
        <f t="shared" si="257"/>
        <v/>
      </c>
      <c r="AH692" s="112" t="str">
        <f t="shared" si="258"/>
        <v/>
      </c>
      <c r="AI692" t="str">
        <f t="shared" si="263"/>
        <v/>
      </c>
      <c r="AJ692" t="str">
        <f t="shared" si="265"/>
        <v/>
      </c>
    </row>
    <row r="693" spans="1:36" ht="15" customHeight="1" x14ac:dyDescent="0.25">
      <c r="A693" s="114"/>
      <c r="B693" s="116"/>
      <c r="C693" s="116"/>
      <c r="D693" s="42" t="str">
        <f t="shared" si="242"/>
        <v/>
      </c>
      <c r="E693" s="43"/>
      <c r="F693" s="118"/>
      <c r="G693" s="44" t="str">
        <f t="shared" si="243"/>
        <v/>
      </c>
      <c r="H693" s="118"/>
      <c r="I693" s="34" t="str">
        <f t="shared" si="244"/>
        <v/>
      </c>
      <c r="J693" s="118"/>
      <c r="K693" s="34" t="str">
        <f t="shared" si="245"/>
        <v/>
      </c>
      <c r="L693" s="118"/>
      <c r="M693" s="121"/>
      <c r="N693" s="122" t="str">
        <f t="shared" si="246"/>
        <v/>
      </c>
      <c r="O693" s="35" t="str">
        <f t="shared" si="247"/>
        <v/>
      </c>
      <c r="P693" s="124"/>
      <c r="Q693" s="36" t="str">
        <f t="shared" si="259"/>
        <v/>
      </c>
      <c r="R693" s="46" t="str">
        <f t="shared" si="248"/>
        <v/>
      </c>
      <c r="S693" s="38" t="str">
        <f t="shared" si="249"/>
        <v/>
      </c>
      <c r="T693" s="39" t="str">
        <f t="shared" si="250"/>
        <v/>
      </c>
      <c r="U693" s="40" t="str">
        <f t="shared" si="251"/>
        <v/>
      </c>
      <c r="V693" s="39" t="str">
        <f t="shared" si="252"/>
        <v/>
      </c>
      <c r="W693" s="34" t="str">
        <f t="shared" si="253"/>
        <v/>
      </c>
      <c r="X693" s="41" t="str">
        <f t="shared" si="260"/>
        <v/>
      </c>
      <c r="Y693" s="98" t="str">
        <f t="shared" si="254"/>
        <v/>
      </c>
      <c r="Z693" s="16" t="str">
        <f t="shared" si="261"/>
        <v/>
      </c>
      <c r="AB693" s="139"/>
      <c r="AC693" s="146" t="str">
        <f t="shared" si="264"/>
        <v/>
      </c>
      <c r="AD693" s="148" t="str">
        <f t="shared" si="262"/>
        <v/>
      </c>
      <c r="AE693" s="147" t="str">
        <f t="shared" si="255"/>
        <v/>
      </c>
      <c r="AF693" s="111" t="str">
        <f t="shared" si="256"/>
        <v/>
      </c>
      <c r="AG693" s="111" t="str">
        <f t="shared" si="257"/>
        <v/>
      </c>
      <c r="AH693" s="112" t="str">
        <f t="shared" si="258"/>
        <v/>
      </c>
      <c r="AI693" t="str">
        <f t="shared" si="263"/>
        <v/>
      </c>
      <c r="AJ693" t="str">
        <f t="shared" si="265"/>
        <v/>
      </c>
    </row>
    <row r="694" spans="1:36" ht="15" customHeight="1" x14ac:dyDescent="0.25">
      <c r="A694" s="114"/>
      <c r="B694" s="116"/>
      <c r="C694" s="116"/>
      <c r="D694" s="42" t="str">
        <f t="shared" si="242"/>
        <v/>
      </c>
      <c r="E694" s="43"/>
      <c r="F694" s="118"/>
      <c r="G694" s="44" t="str">
        <f t="shared" si="243"/>
        <v/>
      </c>
      <c r="H694" s="118"/>
      <c r="I694" s="34" t="str">
        <f t="shared" si="244"/>
        <v/>
      </c>
      <c r="J694" s="118"/>
      <c r="K694" s="34" t="str">
        <f t="shared" si="245"/>
        <v/>
      </c>
      <c r="L694" s="118"/>
      <c r="M694" s="121"/>
      <c r="N694" s="122" t="str">
        <f t="shared" si="246"/>
        <v/>
      </c>
      <c r="O694" s="35" t="str">
        <f t="shared" si="247"/>
        <v/>
      </c>
      <c r="P694" s="124"/>
      <c r="Q694" s="36" t="str">
        <f t="shared" si="259"/>
        <v/>
      </c>
      <c r="R694" s="46" t="str">
        <f t="shared" si="248"/>
        <v/>
      </c>
      <c r="S694" s="38" t="str">
        <f t="shared" si="249"/>
        <v/>
      </c>
      <c r="T694" s="39" t="str">
        <f t="shared" si="250"/>
        <v/>
      </c>
      <c r="U694" s="40" t="str">
        <f t="shared" si="251"/>
        <v/>
      </c>
      <c r="V694" s="39" t="str">
        <f t="shared" si="252"/>
        <v/>
      </c>
      <c r="W694" s="34" t="str">
        <f t="shared" si="253"/>
        <v/>
      </c>
      <c r="X694" s="41" t="str">
        <f t="shared" si="260"/>
        <v/>
      </c>
      <c r="Y694" s="98" t="str">
        <f t="shared" si="254"/>
        <v/>
      </c>
      <c r="Z694" s="16" t="str">
        <f t="shared" si="261"/>
        <v/>
      </c>
      <c r="AB694" s="139"/>
      <c r="AC694" s="146" t="str">
        <f t="shared" si="264"/>
        <v/>
      </c>
      <c r="AD694" s="148" t="str">
        <f t="shared" si="262"/>
        <v/>
      </c>
      <c r="AE694" s="147" t="str">
        <f t="shared" si="255"/>
        <v/>
      </c>
      <c r="AF694" s="111" t="str">
        <f t="shared" si="256"/>
        <v/>
      </c>
      <c r="AG694" s="111" t="str">
        <f t="shared" si="257"/>
        <v/>
      </c>
      <c r="AH694" s="112" t="str">
        <f t="shared" si="258"/>
        <v/>
      </c>
      <c r="AI694" t="str">
        <f t="shared" si="263"/>
        <v/>
      </c>
      <c r="AJ694" t="str">
        <f t="shared" si="265"/>
        <v/>
      </c>
    </row>
    <row r="695" spans="1:36" ht="15" customHeight="1" x14ac:dyDescent="0.25">
      <c r="A695" s="114"/>
      <c r="B695" s="116"/>
      <c r="C695" s="116"/>
      <c r="D695" s="42" t="str">
        <f t="shared" si="242"/>
        <v/>
      </c>
      <c r="E695" s="43"/>
      <c r="F695" s="118"/>
      <c r="G695" s="44" t="str">
        <f t="shared" si="243"/>
        <v/>
      </c>
      <c r="H695" s="118"/>
      <c r="I695" s="34" t="str">
        <f t="shared" si="244"/>
        <v/>
      </c>
      <c r="J695" s="118"/>
      <c r="K695" s="34" t="str">
        <f t="shared" si="245"/>
        <v/>
      </c>
      <c r="L695" s="118"/>
      <c r="M695" s="121"/>
      <c r="N695" s="122" t="str">
        <f t="shared" si="246"/>
        <v/>
      </c>
      <c r="O695" s="35" t="str">
        <f t="shared" si="247"/>
        <v/>
      </c>
      <c r="P695" s="124"/>
      <c r="Q695" s="36" t="str">
        <f t="shared" si="259"/>
        <v/>
      </c>
      <c r="R695" s="46" t="str">
        <f t="shared" si="248"/>
        <v/>
      </c>
      <c r="S695" s="38" t="str">
        <f t="shared" si="249"/>
        <v/>
      </c>
      <c r="T695" s="39" t="str">
        <f t="shared" si="250"/>
        <v/>
      </c>
      <c r="U695" s="40" t="str">
        <f t="shared" si="251"/>
        <v/>
      </c>
      <c r="V695" s="39" t="str">
        <f t="shared" si="252"/>
        <v/>
      </c>
      <c r="W695" s="34" t="str">
        <f t="shared" si="253"/>
        <v/>
      </c>
      <c r="X695" s="41" t="str">
        <f t="shared" si="260"/>
        <v/>
      </c>
      <c r="Y695" s="98" t="str">
        <f t="shared" si="254"/>
        <v/>
      </c>
      <c r="Z695" s="16" t="str">
        <f t="shared" si="261"/>
        <v/>
      </c>
      <c r="AB695" s="139"/>
      <c r="AC695" s="146" t="str">
        <f t="shared" si="264"/>
        <v/>
      </c>
      <c r="AD695" s="148" t="str">
        <f t="shared" si="262"/>
        <v/>
      </c>
      <c r="AE695" s="147" t="str">
        <f t="shared" si="255"/>
        <v/>
      </c>
      <c r="AF695" s="111" t="str">
        <f t="shared" si="256"/>
        <v/>
      </c>
      <c r="AG695" s="111" t="str">
        <f t="shared" si="257"/>
        <v/>
      </c>
      <c r="AH695" s="112" t="str">
        <f t="shared" si="258"/>
        <v/>
      </c>
      <c r="AI695" t="str">
        <f t="shared" si="263"/>
        <v/>
      </c>
      <c r="AJ695" t="str">
        <f t="shared" si="265"/>
        <v/>
      </c>
    </row>
    <row r="696" spans="1:36" ht="15" customHeight="1" x14ac:dyDescent="0.25">
      <c r="A696" s="114"/>
      <c r="B696" s="116"/>
      <c r="C696" s="116"/>
      <c r="D696" s="42" t="str">
        <f t="shared" si="242"/>
        <v/>
      </c>
      <c r="E696" s="43"/>
      <c r="F696" s="118"/>
      <c r="G696" s="44" t="str">
        <f t="shared" si="243"/>
        <v/>
      </c>
      <c r="H696" s="118"/>
      <c r="I696" s="34" t="str">
        <f t="shared" si="244"/>
        <v/>
      </c>
      <c r="J696" s="118"/>
      <c r="K696" s="34" t="str">
        <f t="shared" si="245"/>
        <v/>
      </c>
      <c r="L696" s="118"/>
      <c r="M696" s="121"/>
      <c r="N696" s="122" t="str">
        <f t="shared" si="246"/>
        <v/>
      </c>
      <c r="O696" s="35" t="str">
        <f t="shared" si="247"/>
        <v/>
      </c>
      <c r="P696" s="124"/>
      <c r="Q696" s="36" t="str">
        <f t="shared" si="259"/>
        <v/>
      </c>
      <c r="R696" s="46" t="str">
        <f t="shared" si="248"/>
        <v/>
      </c>
      <c r="S696" s="38" t="str">
        <f t="shared" si="249"/>
        <v/>
      </c>
      <c r="T696" s="39" t="str">
        <f t="shared" si="250"/>
        <v/>
      </c>
      <c r="U696" s="40" t="str">
        <f t="shared" si="251"/>
        <v/>
      </c>
      <c r="V696" s="39" t="str">
        <f t="shared" si="252"/>
        <v/>
      </c>
      <c r="W696" s="34" t="str">
        <f t="shared" si="253"/>
        <v/>
      </c>
      <c r="X696" s="41" t="str">
        <f t="shared" si="260"/>
        <v/>
      </c>
      <c r="Y696" s="98" t="str">
        <f t="shared" si="254"/>
        <v/>
      </c>
      <c r="Z696" s="16" t="str">
        <f t="shared" si="261"/>
        <v/>
      </c>
      <c r="AB696" s="139"/>
      <c r="AC696" s="146" t="str">
        <f t="shared" si="264"/>
        <v/>
      </c>
      <c r="AD696" s="148" t="str">
        <f t="shared" si="262"/>
        <v/>
      </c>
      <c r="AE696" s="147" t="str">
        <f t="shared" si="255"/>
        <v/>
      </c>
      <c r="AF696" s="111" t="str">
        <f t="shared" si="256"/>
        <v/>
      </c>
      <c r="AG696" s="111" t="str">
        <f t="shared" si="257"/>
        <v/>
      </c>
      <c r="AH696" s="112" t="str">
        <f t="shared" si="258"/>
        <v/>
      </c>
      <c r="AI696" t="str">
        <f t="shared" si="263"/>
        <v/>
      </c>
      <c r="AJ696" t="str">
        <f t="shared" si="265"/>
        <v/>
      </c>
    </row>
    <row r="697" spans="1:36" ht="15" customHeight="1" x14ac:dyDescent="0.25">
      <c r="A697" s="114"/>
      <c r="B697" s="116"/>
      <c r="C697" s="116"/>
      <c r="D697" s="42" t="str">
        <f t="shared" si="242"/>
        <v/>
      </c>
      <c r="E697" s="43"/>
      <c r="F697" s="118"/>
      <c r="G697" s="44" t="str">
        <f t="shared" si="243"/>
        <v/>
      </c>
      <c r="H697" s="118"/>
      <c r="I697" s="34" t="str">
        <f t="shared" si="244"/>
        <v/>
      </c>
      <c r="J697" s="118"/>
      <c r="K697" s="34" t="str">
        <f t="shared" si="245"/>
        <v/>
      </c>
      <c r="L697" s="118"/>
      <c r="M697" s="121"/>
      <c r="N697" s="122" t="str">
        <f t="shared" si="246"/>
        <v/>
      </c>
      <c r="O697" s="35" t="str">
        <f t="shared" si="247"/>
        <v/>
      </c>
      <c r="P697" s="124"/>
      <c r="Q697" s="36" t="str">
        <f t="shared" si="259"/>
        <v/>
      </c>
      <c r="R697" s="46" t="str">
        <f t="shared" si="248"/>
        <v/>
      </c>
      <c r="S697" s="38" t="str">
        <f t="shared" si="249"/>
        <v/>
      </c>
      <c r="T697" s="39" t="str">
        <f t="shared" si="250"/>
        <v/>
      </c>
      <c r="U697" s="40" t="str">
        <f t="shared" si="251"/>
        <v/>
      </c>
      <c r="V697" s="39" t="str">
        <f t="shared" si="252"/>
        <v/>
      </c>
      <c r="W697" s="34" t="str">
        <f t="shared" si="253"/>
        <v/>
      </c>
      <c r="X697" s="41" t="str">
        <f t="shared" si="260"/>
        <v/>
      </c>
      <c r="Y697" s="98" t="str">
        <f t="shared" si="254"/>
        <v/>
      </c>
      <c r="Z697" s="16" t="str">
        <f t="shared" si="261"/>
        <v/>
      </c>
      <c r="AB697" s="139"/>
      <c r="AC697" s="146" t="str">
        <f t="shared" si="264"/>
        <v/>
      </c>
      <c r="AD697" s="148" t="str">
        <f t="shared" si="262"/>
        <v/>
      </c>
      <c r="AE697" s="147" t="str">
        <f t="shared" si="255"/>
        <v/>
      </c>
      <c r="AF697" s="111" t="str">
        <f t="shared" si="256"/>
        <v/>
      </c>
      <c r="AG697" s="111" t="str">
        <f t="shared" si="257"/>
        <v/>
      </c>
      <c r="AH697" s="112" t="str">
        <f t="shared" si="258"/>
        <v/>
      </c>
      <c r="AI697" t="str">
        <f t="shared" si="263"/>
        <v/>
      </c>
      <c r="AJ697" t="str">
        <f t="shared" si="265"/>
        <v/>
      </c>
    </row>
    <row r="698" spans="1:36" ht="15" customHeight="1" x14ac:dyDescent="0.25">
      <c r="A698" s="114"/>
      <c r="B698" s="116"/>
      <c r="C698" s="116"/>
      <c r="D698" s="42" t="str">
        <f t="shared" si="242"/>
        <v/>
      </c>
      <c r="E698" s="43"/>
      <c r="F698" s="118"/>
      <c r="G698" s="44" t="str">
        <f t="shared" si="243"/>
        <v/>
      </c>
      <c r="H698" s="118"/>
      <c r="I698" s="34" t="str">
        <f t="shared" si="244"/>
        <v/>
      </c>
      <c r="J698" s="118"/>
      <c r="K698" s="34" t="str">
        <f t="shared" si="245"/>
        <v/>
      </c>
      <c r="L698" s="118"/>
      <c r="M698" s="121"/>
      <c r="N698" s="122" t="str">
        <f t="shared" si="246"/>
        <v/>
      </c>
      <c r="O698" s="35" t="str">
        <f t="shared" si="247"/>
        <v/>
      </c>
      <c r="P698" s="124"/>
      <c r="Q698" s="36" t="str">
        <f t="shared" si="259"/>
        <v/>
      </c>
      <c r="R698" s="46" t="str">
        <f t="shared" si="248"/>
        <v/>
      </c>
      <c r="S698" s="38" t="str">
        <f t="shared" si="249"/>
        <v/>
      </c>
      <c r="T698" s="39" t="str">
        <f t="shared" si="250"/>
        <v/>
      </c>
      <c r="U698" s="40" t="str">
        <f t="shared" si="251"/>
        <v/>
      </c>
      <c r="V698" s="39" t="str">
        <f t="shared" si="252"/>
        <v/>
      </c>
      <c r="W698" s="34" t="str">
        <f t="shared" si="253"/>
        <v/>
      </c>
      <c r="X698" s="41" t="str">
        <f t="shared" si="260"/>
        <v/>
      </c>
      <c r="Y698" s="98" t="str">
        <f t="shared" si="254"/>
        <v/>
      </c>
      <c r="Z698" s="16" t="str">
        <f t="shared" si="261"/>
        <v/>
      </c>
      <c r="AB698" s="139"/>
      <c r="AC698" s="146" t="str">
        <f t="shared" si="264"/>
        <v/>
      </c>
      <c r="AD698" s="148" t="str">
        <f t="shared" si="262"/>
        <v/>
      </c>
      <c r="AE698" s="147" t="str">
        <f t="shared" si="255"/>
        <v/>
      </c>
      <c r="AF698" s="111" t="str">
        <f t="shared" si="256"/>
        <v/>
      </c>
      <c r="AG698" s="111" t="str">
        <f t="shared" si="257"/>
        <v/>
      </c>
      <c r="AH698" s="112" t="str">
        <f t="shared" si="258"/>
        <v/>
      </c>
      <c r="AI698" t="str">
        <f t="shared" si="263"/>
        <v/>
      </c>
      <c r="AJ698" t="str">
        <f t="shared" si="265"/>
        <v/>
      </c>
    </row>
    <row r="699" spans="1:36" ht="15" customHeight="1" x14ac:dyDescent="0.25">
      <c r="A699" s="114"/>
      <c r="B699" s="116"/>
      <c r="C699" s="116"/>
      <c r="D699" s="42" t="str">
        <f t="shared" si="242"/>
        <v/>
      </c>
      <c r="E699" s="43"/>
      <c r="F699" s="118"/>
      <c r="G699" s="44" t="str">
        <f t="shared" si="243"/>
        <v/>
      </c>
      <c r="H699" s="118"/>
      <c r="I699" s="34" t="str">
        <f t="shared" si="244"/>
        <v/>
      </c>
      <c r="J699" s="118"/>
      <c r="K699" s="34" t="str">
        <f t="shared" si="245"/>
        <v/>
      </c>
      <c r="L699" s="118"/>
      <c r="M699" s="121"/>
      <c r="N699" s="122" t="str">
        <f t="shared" si="246"/>
        <v/>
      </c>
      <c r="O699" s="35" t="str">
        <f t="shared" si="247"/>
        <v/>
      </c>
      <c r="P699" s="124"/>
      <c r="Q699" s="36" t="str">
        <f t="shared" si="259"/>
        <v/>
      </c>
      <c r="R699" s="46" t="str">
        <f t="shared" si="248"/>
        <v/>
      </c>
      <c r="S699" s="38" t="str">
        <f t="shared" si="249"/>
        <v/>
      </c>
      <c r="T699" s="39" t="str">
        <f t="shared" si="250"/>
        <v/>
      </c>
      <c r="U699" s="40" t="str">
        <f t="shared" si="251"/>
        <v/>
      </c>
      <c r="V699" s="39" t="str">
        <f t="shared" si="252"/>
        <v/>
      </c>
      <c r="W699" s="34" t="str">
        <f t="shared" si="253"/>
        <v/>
      </c>
      <c r="X699" s="41" t="str">
        <f t="shared" si="260"/>
        <v/>
      </c>
      <c r="Y699" s="98" t="str">
        <f t="shared" si="254"/>
        <v/>
      </c>
      <c r="Z699" s="16" t="str">
        <f t="shared" si="261"/>
        <v/>
      </c>
      <c r="AB699" s="139"/>
      <c r="AC699" s="146" t="str">
        <f t="shared" si="264"/>
        <v/>
      </c>
      <c r="AD699" s="148" t="str">
        <f t="shared" si="262"/>
        <v/>
      </c>
      <c r="AE699" s="147" t="str">
        <f t="shared" si="255"/>
        <v/>
      </c>
      <c r="AF699" s="111" t="str">
        <f t="shared" si="256"/>
        <v/>
      </c>
      <c r="AG699" s="111" t="str">
        <f t="shared" si="257"/>
        <v/>
      </c>
      <c r="AH699" s="112" t="str">
        <f t="shared" si="258"/>
        <v/>
      </c>
      <c r="AI699" t="str">
        <f t="shared" si="263"/>
        <v/>
      </c>
      <c r="AJ699" t="str">
        <f t="shared" si="265"/>
        <v/>
      </c>
    </row>
    <row r="700" spans="1:36" ht="15" customHeight="1" x14ac:dyDescent="0.25">
      <c r="A700" s="114"/>
      <c r="B700" s="116"/>
      <c r="C700" s="116"/>
      <c r="D700" s="42" t="str">
        <f t="shared" si="242"/>
        <v/>
      </c>
      <c r="E700" s="43"/>
      <c r="F700" s="118"/>
      <c r="G700" s="44" t="str">
        <f t="shared" si="243"/>
        <v/>
      </c>
      <c r="H700" s="118"/>
      <c r="I700" s="34" t="str">
        <f t="shared" si="244"/>
        <v/>
      </c>
      <c r="J700" s="118"/>
      <c r="K700" s="34" t="str">
        <f t="shared" si="245"/>
        <v/>
      </c>
      <c r="L700" s="118"/>
      <c r="M700" s="121"/>
      <c r="N700" s="122" t="str">
        <f t="shared" si="246"/>
        <v/>
      </c>
      <c r="O700" s="35" t="str">
        <f t="shared" si="247"/>
        <v/>
      </c>
      <c r="P700" s="124"/>
      <c r="Q700" s="36" t="str">
        <f t="shared" si="259"/>
        <v/>
      </c>
      <c r="R700" s="46" t="str">
        <f t="shared" si="248"/>
        <v/>
      </c>
      <c r="S700" s="38" t="str">
        <f t="shared" si="249"/>
        <v/>
      </c>
      <c r="T700" s="39" t="str">
        <f t="shared" si="250"/>
        <v/>
      </c>
      <c r="U700" s="40" t="str">
        <f t="shared" si="251"/>
        <v/>
      </c>
      <c r="V700" s="39" t="str">
        <f t="shared" si="252"/>
        <v/>
      </c>
      <c r="W700" s="34" t="str">
        <f t="shared" si="253"/>
        <v/>
      </c>
      <c r="X700" s="41" t="str">
        <f t="shared" si="260"/>
        <v/>
      </c>
      <c r="Y700" s="98" t="str">
        <f t="shared" si="254"/>
        <v/>
      </c>
      <c r="Z700" s="16" t="str">
        <f t="shared" si="261"/>
        <v/>
      </c>
      <c r="AB700" s="139"/>
      <c r="AC700" s="146" t="str">
        <f t="shared" si="264"/>
        <v/>
      </c>
      <c r="AD700" s="148" t="str">
        <f t="shared" si="262"/>
        <v/>
      </c>
      <c r="AE700" s="147" t="str">
        <f t="shared" si="255"/>
        <v/>
      </c>
      <c r="AF700" s="111" t="str">
        <f t="shared" si="256"/>
        <v/>
      </c>
      <c r="AG700" s="111" t="str">
        <f t="shared" si="257"/>
        <v/>
      </c>
      <c r="AH700" s="112" t="str">
        <f t="shared" si="258"/>
        <v/>
      </c>
      <c r="AI700" t="str">
        <f t="shared" si="263"/>
        <v/>
      </c>
      <c r="AJ700" t="str">
        <f t="shared" si="265"/>
        <v/>
      </c>
    </row>
    <row r="701" spans="1:36" ht="15" customHeight="1" x14ac:dyDescent="0.25">
      <c r="A701" s="114"/>
      <c r="B701" s="116"/>
      <c r="C701" s="116"/>
      <c r="D701" s="42" t="str">
        <f t="shared" si="242"/>
        <v/>
      </c>
      <c r="E701" s="43"/>
      <c r="F701" s="118"/>
      <c r="G701" s="44" t="str">
        <f t="shared" si="243"/>
        <v/>
      </c>
      <c r="H701" s="118"/>
      <c r="I701" s="34" t="str">
        <f t="shared" si="244"/>
        <v/>
      </c>
      <c r="J701" s="118"/>
      <c r="K701" s="34" t="str">
        <f t="shared" si="245"/>
        <v/>
      </c>
      <c r="L701" s="118"/>
      <c r="M701" s="121"/>
      <c r="N701" s="122" t="str">
        <f t="shared" si="246"/>
        <v/>
      </c>
      <c r="O701" s="35" t="str">
        <f t="shared" si="247"/>
        <v/>
      </c>
      <c r="P701" s="124"/>
      <c r="Q701" s="36" t="str">
        <f t="shared" si="259"/>
        <v/>
      </c>
      <c r="R701" s="46" t="str">
        <f t="shared" si="248"/>
        <v/>
      </c>
      <c r="S701" s="38" t="str">
        <f t="shared" si="249"/>
        <v/>
      </c>
      <c r="T701" s="39" t="str">
        <f t="shared" si="250"/>
        <v/>
      </c>
      <c r="U701" s="40" t="str">
        <f t="shared" si="251"/>
        <v/>
      </c>
      <c r="V701" s="39" t="str">
        <f t="shared" si="252"/>
        <v/>
      </c>
      <c r="W701" s="34" t="str">
        <f t="shared" si="253"/>
        <v/>
      </c>
      <c r="X701" s="41" t="str">
        <f t="shared" si="260"/>
        <v/>
      </c>
      <c r="Y701" s="98" t="str">
        <f t="shared" si="254"/>
        <v/>
      </c>
      <c r="Z701" s="16" t="str">
        <f t="shared" si="261"/>
        <v/>
      </c>
      <c r="AB701" s="139"/>
      <c r="AC701" s="146" t="str">
        <f t="shared" si="264"/>
        <v/>
      </c>
      <c r="AD701" s="148" t="str">
        <f t="shared" si="262"/>
        <v/>
      </c>
      <c r="AE701" s="147" t="str">
        <f t="shared" si="255"/>
        <v/>
      </c>
      <c r="AF701" s="111" t="str">
        <f t="shared" si="256"/>
        <v/>
      </c>
      <c r="AG701" s="111" t="str">
        <f t="shared" si="257"/>
        <v/>
      </c>
      <c r="AH701" s="112" t="str">
        <f t="shared" si="258"/>
        <v/>
      </c>
      <c r="AI701" t="str">
        <f t="shared" si="263"/>
        <v/>
      </c>
      <c r="AJ701" t="str">
        <f t="shared" si="265"/>
        <v/>
      </c>
    </row>
    <row r="702" spans="1:36" ht="15" customHeight="1" x14ac:dyDescent="0.25">
      <c r="A702" s="114"/>
      <c r="B702" s="116"/>
      <c r="C702" s="116"/>
      <c r="D702" s="42" t="str">
        <f t="shared" si="242"/>
        <v/>
      </c>
      <c r="E702" s="43"/>
      <c r="F702" s="118"/>
      <c r="G702" s="44" t="str">
        <f t="shared" si="243"/>
        <v/>
      </c>
      <c r="H702" s="118"/>
      <c r="I702" s="34" t="str">
        <f t="shared" si="244"/>
        <v/>
      </c>
      <c r="J702" s="118"/>
      <c r="K702" s="34" t="str">
        <f t="shared" si="245"/>
        <v/>
      </c>
      <c r="L702" s="118"/>
      <c r="M702" s="121"/>
      <c r="N702" s="122" t="str">
        <f t="shared" si="246"/>
        <v/>
      </c>
      <c r="O702" s="35" t="str">
        <f t="shared" si="247"/>
        <v/>
      </c>
      <c r="P702" s="124"/>
      <c r="Q702" s="36" t="str">
        <f t="shared" si="259"/>
        <v/>
      </c>
      <c r="R702" s="46" t="str">
        <f t="shared" si="248"/>
        <v/>
      </c>
      <c r="S702" s="38" t="str">
        <f t="shared" si="249"/>
        <v/>
      </c>
      <c r="T702" s="39" t="str">
        <f t="shared" si="250"/>
        <v/>
      </c>
      <c r="U702" s="40" t="str">
        <f t="shared" si="251"/>
        <v/>
      </c>
      <c r="V702" s="39" t="str">
        <f t="shared" si="252"/>
        <v/>
      </c>
      <c r="W702" s="34" t="str">
        <f t="shared" si="253"/>
        <v/>
      </c>
      <c r="X702" s="41" t="str">
        <f t="shared" si="260"/>
        <v/>
      </c>
      <c r="Y702" s="98" t="str">
        <f t="shared" si="254"/>
        <v/>
      </c>
      <c r="Z702" s="16" t="str">
        <f t="shared" si="261"/>
        <v/>
      </c>
      <c r="AB702" s="139"/>
      <c r="AC702" s="146" t="str">
        <f t="shared" si="264"/>
        <v/>
      </c>
      <c r="AD702" s="148" t="str">
        <f t="shared" si="262"/>
        <v/>
      </c>
      <c r="AE702" s="147" t="str">
        <f t="shared" si="255"/>
        <v/>
      </c>
      <c r="AF702" s="111" t="str">
        <f t="shared" si="256"/>
        <v/>
      </c>
      <c r="AG702" s="111" t="str">
        <f t="shared" si="257"/>
        <v/>
      </c>
      <c r="AH702" s="112" t="str">
        <f t="shared" si="258"/>
        <v/>
      </c>
      <c r="AI702" t="str">
        <f t="shared" si="263"/>
        <v/>
      </c>
      <c r="AJ702" t="str">
        <f t="shared" si="265"/>
        <v/>
      </c>
    </row>
    <row r="703" spans="1:36" ht="15" customHeight="1" x14ac:dyDescent="0.25">
      <c r="A703" s="114"/>
      <c r="B703" s="116"/>
      <c r="C703" s="116"/>
      <c r="D703" s="42" t="str">
        <f t="shared" si="242"/>
        <v/>
      </c>
      <c r="E703" s="43"/>
      <c r="F703" s="118"/>
      <c r="G703" s="44" t="str">
        <f t="shared" si="243"/>
        <v/>
      </c>
      <c r="H703" s="118"/>
      <c r="I703" s="34" t="str">
        <f t="shared" si="244"/>
        <v/>
      </c>
      <c r="J703" s="118"/>
      <c r="K703" s="34" t="str">
        <f t="shared" si="245"/>
        <v/>
      </c>
      <c r="L703" s="118"/>
      <c r="M703" s="121"/>
      <c r="N703" s="122" t="str">
        <f t="shared" si="246"/>
        <v/>
      </c>
      <c r="O703" s="35" t="str">
        <f t="shared" si="247"/>
        <v/>
      </c>
      <c r="P703" s="124"/>
      <c r="Q703" s="36" t="str">
        <f t="shared" si="259"/>
        <v/>
      </c>
      <c r="R703" s="46" t="str">
        <f t="shared" si="248"/>
        <v/>
      </c>
      <c r="S703" s="38" t="str">
        <f t="shared" si="249"/>
        <v/>
      </c>
      <c r="T703" s="39" t="str">
        <f t="shared" si="250"/>
        <v/>
      </c>
      <c r="U703" s="40" t="str">
        <f t="shared" si="251"/>
        <v/>
      </c>
      <c r="V703" s="39" t="str">
        <f t="shared" si="252"/>
        <v/>
      </c>
      <c r="W703" s="34" t="str">
        <f t="shared" si="253"/>
        <v/>
      </c>
      <c r="X703" s="41" t="str">
        <f t="shared" si="260"/>
        <v/>
      </c>
      <c r="Y703" s="98" t="str">
        <f t="shared" si="254"/>
        <v/>
      </c>
      <c r="Z703" s="16" t="str">
        <f t="shared" si="261"/>
        <v/>
      </c>
      <c r="AB703" s="139"/>
      <c r="AC703" s="146" t="str">
        <f t="shared" si="264"/>
        <v/>
      </c>
      <c r="AD703" s="148" t="str">
        <f t="shared" si="262"/>
        <v/>
      </c>
      <c r="AE703" s="147" t="str">
        <f t="shared" si="255"/>
        <v/>
      </c>
      <c r="AF703" s="111" t="str">
        <f t="shared" si="256"/>
        <v/>
      </c>
      <c r="AG703" s="111" t="str">
        <f t="shared" si="257"/>
        <v/>
      </c>
      <c r="AH703" s="112" t="str">
        <f t="shared" si="258"/>
        <v/>
      </c>
      <c r="AI703" t="str">
        <f t="shared" si="263"/>
        <v/>
      </c>
      <c r="AJ703" t="str">
        <f t="shared" si="265"/>
        <v/>
      </c>
    </row>
    <row r="704" spans="1:36" ht="15" customHeight="1" x14ac:dyDescent="0.25">
      <c r="A704" s="114"/>
      <c r="B704" s="116"/>
      <c r="C704" s="116"/>
      <c r="D704" s="42" t="str">
        <f t="shared" si="242"/>
        <v/>
      </c>
      <c r="E704" s="43"/>
      <c r="F704" s="118"/>
      <c r="G704" s="44" t="str">
        <f t="shared" si="243"/>
        <v/>
      </c>
      <c r="H704" s="118"/>
      <c r="I704" s="34" t="str">
        <f t="shared" si="244"/>
        <v/>
      </c>
      <c r="J704" s="118"/>
      <c r="K704" s="34" t="str">
        <f t="shared" si="245"/>
        <v/>
      </c>
      <c r="L704" s="118"/>
      <c r="M704" s="121"/>
      <c r="N704" s="122" t="str">
        <f t="shared" si="246"/>
        <v/>
      </c>
      <c r="O704" s="35" t="str">
        <f t="shared" si="247"/>
        <v/>
      </c>
      <c r="P704" s="124"/>
      <c r="Q704" s="36" t="str">
        <f t="shared" si="259"/>
        <v/>
      </c>
      <c r="R704" s="46" t="str">
        <f t="shared" si="248"/>
        <v/>
      </c>
      <c r="S704" s="38" t="str">
        <f t="shared" si="249"/>
        <v/>
      </c>
      <c r="T704" s="39" t="str">
        <f t="shared" si="250"/>
        <v/>
      </c>
      <c r="U704" s="40" t="str">
        <f t="shared" si="251"/>
        <v/>
      </c>
      <c r="V704" s="39" t="str">
        <f t="shared" si="252"/>
        <v/>
      </c>
      <c r="W704" s="34" t="str">
        <f t="shared" si="253"/>
        <v/>
      </c>
      <c r="X704" s="41" t="str">
        <f t="shared" si="260"/>
        <v/>
      </c>
      <c r="Y704" s="98" t="str">
        <f t="shared" si="254"/>
        <v/>
      </c>
      <c r="Z704" s="16" t="str">
        <f t="shared" si="261"/>
        <v/>
      </c>
      <c r="AB704" s="139"/>
      <c r="AC704" s="146" t="str">
        <f t="shared" si="264"/>
        <v/>
      </c>
      <c r="AD704" s="148" t="str">
        <f t="shared" si="262"/>
        <v/>
      </c>
      <c r="AE704" s="147" t="str">
        <f t="shared" si="255"/>
        <v/>
      </c>
      <c r="AF704" s="111" t="str">
        <f t="shared" si="256"/>
        <v/>
      </c>
      <c r="AG704" s="111" t="str">
        <f t="shared" si="257"/>
        <v/>
      </c>
      <c r="AH704" s="112" t="str">
        <f t="shared" si="258"/>
        <v/>
      </c>
      <c r="AI704" t="str">
        <f t="shared" si="263"/>
        <v/>
      </c>
      <c r="AJ704" t="str">
        <f t="shared" si="265"/>
        <v/>
      </c>
    </row>
    <row r="705" spans="1:36" ht="15" customHeight="1" x14ac:dyDescent="0.25">
      <c r="A705" s="114"/>
      <c r="B705" s="116"/>
      <c r="C705" s="116"/>
      <c r="D705" s="42" t="str">
        <f t="shared" si="242"/>
        <v/>
      </c>
      <c r="E705" s="43"/>
      <c r="F705" s="118"/>
      <c r="G705" s="44" t="str">
        <f t="shared" si="243"/>
        <v/>
      </c>
      <c r="H705" s="118"/>
      <c r="I705" s="34" t="str">
        <f t="shared" si="244"/>
        <v/>
      </c>
      <c r="J705" s="118"/>
      <c r="K705" s="34" t="str">
        <f t="shared" si="245"/>
        <v/>
      </c>
      <c r="L705" s="118"/>
      <c r="M705" s="121"/>
      <c r="N705" s="122" t="str">
        <f t="shared" si="246"/>
        <v/>
      </c>
      <c r="O705" s="35" t="str">
        <f t="shared" si="247"/>
        <v/>
      </c>
      <c r="P705" s="124"/>
      <c r="Q705" s="36" t="str">
        <f t="shared" si="259"/>
        <v/>
      </c>
      <c r="R705" s="46" t="str">
        <f t="shared" si="248"/>
        <v/>
      </c>
      <c r="S705" s="38" t="str">
        <f t="shared" si="249"/>
        <v/>
      </c>
      <c r="T705" s="39" t="str">
        <f t="shared" si="250"/>
        <v/>
      </c>
      <c r="U705" s="40" t="str">
        <f t="shared" si="251"/>
        <v/>
      </c>
      <c r="V705" s="39" t="str">
        <f t="shared" si="252"/>
        <v/>
      </c>
      <c r="W705" s="34" t="str">
        <f t="shared" si="253"/>
        <v/>
      </c>
      <c r="X705" s="41" t="str">
        <f t="shared" si="260"/>
        <v/>
      </c>
      <c r="Y705" s="98" t="str">
        <f t="shared" si="254"/>
        <v/>
      </c>
      <c r="Z705" s="16" t="str">
        <f t="shared" si="261"/>
        <v/>
      </c>
      <c r="AB705" s="139"/>
      <c r="AC705" s="146" t="str">
        <f t="shared" si="264"/>
        <v/>
      </c>
      <c r="AD705" s="148" t="str">
        <f t="shared" si="262"/>
        <v/>
      </c>
      <c r="AE705" s="147" t="str">
        <f t="shared" si="255"/>
        <v/>
      </c>
      <c r="AF705" s="111" t="str">
        <f t="shared" si="256"/>
        <v/>
      </c>
      <c r="AG705" s="111" t="str">
        <f t="shared" si="257"/>
        <v/>
      </c>
      <c r="AH705" s="112" t="str">
        <f t="shared" si="258"/>
        <v/>
      </c>
      <c r="AI705" t="str">
        <f t="shared" si="263"/>
        <v/>
      </c>
      <c r="AJ705" t="str">
        <f t="shared" si="265"/>
        <v/>
      </c>
    </row>
    <row r="706" spans="1:36" ht="15" customHeight="1" x14ac:dyDescent="0.25">
      <c r="A706" s="114"/>
      <c r="B706" s="116"/>
      <c r="C706" s="116"/>
      <c r="D706" s="42" t="str">
        <f t="shared" si="242"/>
        <v/>
      </c>
      <c r="E706" s="43"/>
      <c r="F706" s="118"/>
      <c r="G706" s="44" t="str">
        <f t="shared" si="243"/>
        <v/>
      </c>
      <c r="H706" s="118"/>
      <c r="I706" s="34" t="str">
        <f t="shared" si="244"/>
        <v/>
      </c>
      <c r="J706" s="118"/>
      <c r="K706" s="34" t="str">
        <f t="shared" si="245"/>
        <v/>
      </c>
      <c r="L706" s="118"/>
      <c r="M706" s="121"/>
      <c r="N706" s="122" t="str">
        <f t="shared" si="246"/>
        <v/>
      </c>
      <c r="O706" s="35" t="str">
        <f t="shared" si="247"/>
        <v/>
      </c>
      <c r="P706" s="124"/>
      <c r="Q706" s="36" t="str">
        <f t="shared" si="259"/>
        <v/>
      </c>
      <c r="R706" s="46" t="str">
        <f t="shared" si="248"/>
        <v/>
      </c>
      <c r="S706" s="38" t="str">
        <f t="shared" si="249"/>
        <v/>
      </c>
      <c r="T706" s="39" t="str">
        <f t="shared" si="250"/>
        <v/>
      </c>
      <c r="U706" s="40" t="str">
        <f t="shared" si="251"/>
        <v/>
      </c>
      <c r="V706" s="39" t="str">
        <f t="shared" si="252"/>
        <v/>
      </c>
      <c r="W706" s="34" t="str">
        <f t="shared" si="253"/>
        <v/>
      </c>
      <c r="X706" s="41" t="str">
        <f t="shared" si="260"/>
        <v/>
      </c>
      <c r="Y706" s="98" t="str">
        <f t="shared" si="254"/>
        <v/>
      </c>
      <c r="Z706" s="16" t="str">
        <f t="shared" si="261"/>
        <v/>
      </c>
      <c r="AB706" s="139"/>
      <c r="AC706" s="146" t="str">
        <f t="shared" si="264"/>
        <v/>
      </c>
      <c r="AD706" s="148" t="str">
        <f t="shared" si="262"/>
        <v/>
      </c>
      <c r="AE706" s="147" t="str">
        <f t="shared" si="255"/>
        <v/>
      </c>
      <c r="AF706" s="111" t="str">
        <f t="shared" si="256"/>
        <v/>
      </c>
      <c r="AG706" s="111" t="str">
        <f t="shared" si="257"/>
        <v/>
      </c>
      <c r="AH706" s="112" t="str">
        <f t="shared" si="258"/>
        <v/>
      </c>
      <c r="AI706" t="str">
        <f t="shared" si="263"/>
        <v/>
      </c>
      <c r="AJ706" t="str">
        <f t="shared" si="265"/>
        <v/>
      </c>
    </row>
    <row r="707" spans="1:36" ht="15" customHeight="1" x14ac:dyDescent="0.25">
      <c r="A707" s="114"/>
      <c r="B707" s="116"/>
      <c r="C707" s="116"/>
      <c r="D707" s="42" t="str">
        <f t="shared" si="242"/>
        <v/>
      </c>
      <c r="E707" s="43"/>
      <c r="F707" s="118"/>
      <c r="G707" s="44" t="str">
        <f t="shared" si="243"/>
        <v/>
      </c>
      <c r="H707" s="118"/>
      <c r="I707" s="34" t="str">
        <f t="shared" si="244"/>
        <v/>
      </c>
      <c r="J707" s="118"/>
      <c r="K707" s="34" t="str">
        <f t="shared" si="245"/>
        <v/>
      </c>
      <c r="L707" s="118"/>
      <c r="M707" s="121"/>
      <c r="N707" s="122" t="str">
        <f t="shared" si="246"/>
        <v/>
      </c>
      <c r="O707" s="35" t="str">
        <f t="shared" si="247"/>
        <v/>
      </c>
      <c r="P707" s="124"/>
      <c r="Q707" s="36" t="str">
        <f t="shared" si="259"/>
        <v/>
      </c>
      <c r="R707" s="46" t="str">
        <f t="shared" si="248"/>
        <v/>
      </c>
      <c r="S707" s="38" t="str">
        <f t="shared" si="249"/>
        <v/>
      </c>
      <c r="T707" s="39" t="str">
        <f t="shared" si="250"/>
        <v/>
      </c>
      <c r="U707" s="40" t="str">
        <f t="shared" si="251"/>
        <v/>
      </c>
      <c r="V707" s="39" t="str">
        <f t="shared" si="252"/>
        <v/>
      </c>
      <c r="W707" s="34" t="str">
        <f t="shared" si="253"/>
        <v/>
      </c>
      <c r="X707" s="41" t="str">
        <f t="shared" si="260"/>
        <v/>
      </c>
      <c r="Y707" s="98" t="str">
        <f t="shared" si="254"/>
        <v/>
      </c>
      <c r="Z707" s="16" t="str">
        <f t="shared" si="261"/>
        <v/>
      </c>
      <c r="AB707" s="139"/>
      <c r="AC707" s="146" t="str">
        <f t="shared" si="264"/>
        <v/>
      </c>
      <c r="AD707" s="148" t="str">
        <f t="shared" si="262"/>
        <v/>
      </c>
      <c r="AE707" s="147" t="str">
        <f t="shared" si="255"/>
        <v/>
      </c>
      <c r="AF707" s="111" t="str">
        <f t="shared" si="256"/>
        <v/>
      </c>
      <c r="AG707" s="111" t="str">
        <f t="shared" si="257"/>
        <v/>
      </c>
      <c r="AH707" s="112" t="str">
        <f t="shared" si="258"/>
        <v/>
      </c>
      <c r="AI707" t="str">
        <f t="shared" si="263"/>
        <v/>
      </c>
      <c r="AJ707" t="str">
        <f t="shared" si="265"/>
        <v/>
      </c>
    </row>
    <row r="708" spans="1:36" ht="15" customHeight="1" x14ac:dyDescent="0.25">
      <c r="A708" s="114"/>
      <c r="B708" s="116"/>
      <c r="C708" s="116"/>
      <c r="D708" s="42" t="str">
        <f t="shared" si="242"/>
        <v/>
      </c>
      <c r="E708" s="43"/>
      <c r="F708" s="118"/>
      <c r="G708" s="44" t="str">
        <f t="shared" si="243"/>
        <v/>
      </c>
      <c r="H708" s="118"/>
      <c r="I708" s="34" t="str">
        <f t="shared" si="244"/>
        <v/>
      </c>
      <c r="J708" s="118"/>
      <c r="K708" s="34" t="str">
        <f t="shared" si="245"/>
        <v/>
      </c>
      <c r="L708" s="118"/>
      <c r="M708" s="121"/>
      <c r="N708" s="122" t="str">
        <f t="shared" si="246"/>
        <v/>
      </c>
      <c r="O708" s="35" t="str">
        <f t="shared" si="247"/>
        <v/>
      </c>
      <c r="P708" s="124"/>
      <c r="Q708" s="36" t="str">
        <f t="shared" si="259"/>
        <v/>
      </c>
      <c r="R708" s="46" t="str">
        <f t="shared" si="248"/>
        <v/>
      </c>
      <c r="S708" s="38" t="str">
        <f t="shared" si="249"/>
        <v/>
      </c>
      <c r="T708" s="39" t="str">
        <f t="shared" si="250"/>
        <v/>
      </c>
      <c r="U708" s="40" t="str">
        <f t="shared" si="251"/>
        <v/>
      </c>
      <c r="V708" s="39" t="str">
        <f t="shared" si="252"/>
        <v/>
      </c>
      <c r="W708" s="34" t="str">
        <f t="shared" si="253"/>
        <v/>
      </c>
      <c r="X708" s="41" t="str">
        <f t="shared" si="260"/>
        <v/>
      </c>
      <c r="Y708" s="98" t="str">
        <f t="shared" si="254"/>
        <v/>
      </c>
      <c r="Z708" s="16" t="str">
        <f t="shared" si="261"/>
        <v/>
      </c>
      <c r="AB708" s="139"/>
      <c r="AC708" s="146" t="str">
        <f t="shared" si="264"/>
        <v/>
      </c>
      <c r="AD708" s="148" t="str">
        <f t="shared" si="262"/>
        <v/>
      </c>
      <c r="AE708" s="147" t="str">
        <f t="shared" si="255"/>
        <v/>
      </c>
      <c r="AF708" s="111" t="str">
        <f t="shared" si="256"/>
        <v/>
      </c>
      <c r="AG708" s="111" t="str">
        <f t="shared" si="257"/>
        <v/>
      </c>
      <c r="AH708" s="112" t="str">
        <f t="shared" si="258"/>
        <v/>
      </c>
      <c r="AI708" t="str">
        <f t="shared" si="263"/>
        <v/>
      </c>
      <c r="AJ708" t="str">
        <f t="shared" si="265"/>
        <v/>
      </c>
    </row>
    <row r="709" spans="1:36" ht="15" customHeight="1" x14ac:dyDescent="0.25">
      <c r="A709" s="114"/>
      <c r="B709" s="116"/>
      <c r="C709" s="116"/>
      <c r="D709" s="42" t="str">
        <f t="shared" si="242"/>
        <v/>
      </c>
      <c r="E709" s="43"/>
      <c r="F709" s="118"/>
      <c r="G709" s="44" t="str">
        <f t="shared" si="243"/>
        <v/>
      </c>
      <c r="H709" s="118"/>
      <c r="I709" s="34" t="str">
        <f t="shared" si="244"/>
        <v/>
      </c>
      <c r="J709" s="118"/>
      <c r="K709" s="34" t="str">
        <f t="shared" si="245"/>
        <v/>
      </c>
      <c r="L709" s="118"/>
      <c r="M709" s="121"/>
      <c r="N709" s="122" t="str">
        <f t="shared" si="246"/>
        <v/>
      </c>
      <c r="O709" s="35" t="str">
        <f t="shared" si="247"/>
        <v/>
      </c>
      <c r="P709" s="124"/>
      <c r="Q709" s="36" t="str">
        <f t="shared" si="259"/>
        <v/>
      </c>
      <c r="R709" s="46" t="str">
        <f t="shared" si="248"/>
        <v/>
      </c>
      <c r="S709" s="38" t="str">
        <f t="shared" si="249"/>
        <v/>
      </c>
      <c r="T709" s="39" t="str">
        <f t="shared" si="250"/>
        <v/>
      </c>
      <c r="U709" s="40" t="str">
        <f t="shared" si="251"/>
        <v/>
      </c>
      <c r="V709" s="39" t="str">
        <f t="shared" si="252"/>
        <v/>
      </c>
      <c r="W709" s="34" t="str">
        <f t="shared" si="253"/>
        <v/>
      </c>
      <c r="X709" s="41" t="str">
        <f t="shared" si="260"/>
        <v/>
      </c>
      <c r="Y709" s="98" t="str">
        <f t="shared" si="254"/>
        <v/>
      </c>
      <c r="Z709" s="16" t="str">
        <f t="shared" si="261"/>
        <v/>
      </c>
      <c r="AB709" s="139"/>
      <c r="AC709" s="146" t="str">
        <f t="shared" si="264"/>
        <v/>
      </c>
      <c r="AD709" s="148" t="str">
        <f t="shared" si="262"/>
        <v/>
      </c>
      <c r="AE709" s="147" t="str">
        <f t="shared" si="255"/>
        <v/>
      </c>
      <c r="AF709" s="111" t="str">
        <f t="shared" si="256"/>
        <v/>
      </c>
      <c r="AG709" s="111" t="str">
        <f t="shared" si="257"/>
        <v/>
      </c>
      <c r="AH709" s="112" t="str">
        <f t="shared" si="258"/>
        <v/>
      </c>
      <c r="AI709" t="str">
        <f t="shared" si="263"/>
        <v/>
      </c>
      <c r="AJ709" t="str">
        <f t="shared" si="265"/>
        <v/>
      </c>
    </row>
    <row r="710" spans="1:36" ht="15" customHeight="1" x14ac:dyDescent="0.25">
      <c r="A710" s="114"/>
      <c r="B710" s="116"/>
      <c r="C710" s="116"/>
      <c r="D710" s="42" t="str">
        <f t="shared" si="242"/>
        <v/>
      </c>
      <c r="E710" s="43"/>
      <c r="F710" s="118"/>
      <c r="G710" s="44" t="str">
        <f t="shared" si="243"/>
        <v/>
      </c>
      <c r="H710" s="118"/>
      <c r="I710" s="34" t="str">
        <f t="shared" si="244"/>
        <v/>
      </c>
      <c r="J710" s="118"/>
      <c r="K710" s="34" t="str">
        <f t="shared" si="245"/>
        <v/>
      </c>
      <c r="L710" s="118"/>
      <c r="M710" s="121"/>
      <c r="N710" s="122" t="str">
        <f t="shared" si="246"/>
        <v/>
      </c>
      <c r="O710" s="35" t="str">
        <f t="shared" si="247"/>
        <v/>
      </c>
      <c r="P710" s="124"/>
      <c r="Q710" s="36" t="str">
        <f t="shared" si="259"/>
        <v/>
      </c>
      <c r="R710" s="46" t="str">
        <f t="shared" si="248"/>
        <v/>
      </c>
      <c r="S710" s="38" t="str">
        <f t="shared" si="249"/>
        <v/>
      </c>
      <c r="T710" s="39" t="str">
        <f t="shared" si="250"/>
        <v/>
      </c>
      <c r="U710" s="40" t="str">
        <f t="shared" si="251"/>
        <v/>
      </c>
      <c r="V710" s="39" t="str">
        <f t="shared" si="252"/>
        <v/>
      </c>
      <c r="W710" s="34" t="str">
        <f t="shared" si="253"/>
        <v/>
      </c>
      <c r="X710" s="41" t="str">
        <f t="shared" si="260"/>
        <v/>
      </c>
      <c r="Y710" s="98" t="str">
        <f t="shared" si="254"/>
        <v/>
      </c>
      <c r="Z710" s="16" t="str">
        <f t="shared" si="261"/>
        <v/>
      </c>
      <c r="AB710" s="139"/>
      <c r="AC710" s="146" t="str">
        <f t="shared" si="264"/>
        <v/>
      </c>
      <c r="AD710" s="148" t="str">
        <f t="shared" si="262"/>
        <v/>
      </c>
      <c r="AE710" s="147" t="str">
        <f t="shared" si="255"/>
        <v/>
      </c>
      <c r="AF710" s="111" t="str">
        <f t="shared" si="256"/>
        <v/>
      </c>
      <c r="AG710" s="111" t="str">
        <f t="shared" si="257"/>
        <v/>
      </c>
      <c r="AH710" s="112" t="str">
        <f t="shared" si="258"/>
        <v/>
      </c>
      <c r="AI710" t="str">
        <f t="shared" si="263"/>
        <v/>
      </c>
      <c r="AJ710" t="str">
        <f t="shared" si="265"/>
        <v/>
      </c>
    </row>
    <row r="711" spans="1:36" ht="15" customHeight="1" x14ac:dyDescent="0.25">
      <c r="A711" s="114"/>
      <c r="B711" s="116"/>
      <c r="C711" s="116"/>
      <c r="D711" s="42" t="str">
        <f t="shared" si="242"/>
        <v/>
      </c>
      <c r="E711" s="43"/>
      <c r="F711" s="118"/>
      <c r="G711" s="44" t="str">
        <f t="shared" si="243"/>
        <v/>
      </c>
      <c r="H711" s="118"/>
      <c r="I711" s="34" t="str">
        <f t="shared" si="244"/>
        <v/>
      </c>
      <c r="J711" s="118"/>
      <c r="K711" s="34" t="str">
        <f t="shared" si="245"/>
        <v/>
      </c>
      <c r="L711" s="118"/>
      <c r="M711" s="121"/>
      <c r="N711" s="122" t="str">
        <f t="shared" si="246"/>
        <v/>
      </c>
      <c r="O711" s="35" t="str">
        <f t="shared" si="247"/>
        <v/>
      </c>
      <c r="P711" s="124"/>
      <c r="Q711" s="36" t="str">
        <f t="shared" si="259"/>
        <v/>
      </c>
      <c r="R711" s="46" t="str">
        <f t="shared" si="248"/>
        <v/>
      </c>
      <c r="S711" s="38" t="str">
        <f t="shared" si="249"/>
        <v/>
      </c>
      <c r="T711" s="39" t="str">
        <f t="shared" si="250"/>
        <v/>
      </c>
      <c r="U711" s="40" t="str">
        <f t="shared" si="251"/>
        <v/>
      </c>
      <c r="V711" s="39" t="str">
        <f t="shared" si="252"/>
        <v/>
      </c>
      <c r="W711" s="34" t="str">
        <f t="shared" si="253"/>
        <v/>
      </c>
      <c r="X711" s="41" t="str">
        <f t="shared" si="260"/>
        <v/>
      </c>
      <c r="Y711" s="98" t="str">
        <f t="shared" si="254"/>
        <v/>
      </c>
      <c r="Z711" s="16" t="str">
        <f t="shared" si="261"/>
        <v/>
      </c>
      <c r="AB711" s="139"/>
      <c r="AC711" s="146" t="str">
        <f t="shared" si="264"/>
        <v/>
      </c>
      <c r="AD711" s="148" t="str">
        <f t="shared" si="262"/>
        <v/>
      </c>
      <c r="AE711" s="147" t="str">
        <f t="shared" si="255"/>
        <v/>
      </c>
      <c r="AF711" s="111" t="str">
        <f t="shared" si="256"/>
        <v/>
      </c>
      <c r="AG711" s="111" t="str">
        <f t="shared" si="257"/>
        <v/>
      </c>
      <c r="AH711" s="112" t="str">
        <f t="shared" si="258"/>
        <v/>
      </c>
      <c r="AI711" t="str">
        <f t="shared" si="263"/>
        <v/>
      </c>
      <c r="AJ711" t="str">
        <f t="shared" si="265"/>
        <v/>
      </c>
    </row>
    <row r="712" spans="1:36" ht="15" customHeight="1" x14ac:dyDescent="0.25">
      <c r="A712" s="114"/>
      <c r="B712" s="116"/>
      <c r="C712" s="116"/>
      <c r="D712" s="42" t="str">
        <f t="shared" ref="D712:D775" si="266">IF(A712="","",B712*C712)</f>
        <v/>
      </c>
      <c r="E712" s="43"/>
      <c r="F712" s="118"/>
      <c r="G712" s="44" t="str">
        <f t="shared" ref="G712:G775" si="267">IF(A712="","",F712*B712)</f>
        <v/>
      </c>
      <c r="H712" s="118"/>
      <c r="I712" s="34" t="str">
        <f t="shared" ref="I712:I775" si="268">IF(OR(H712=0,C712=0,H712="",C712=""),"",H712/C712)</f>
        <v/>
      </c>
      <c r="J712" s="118"/>
      <c r="K712" s="34" t="str">
        <f t="shared" ref="K712:K775" si="269">IF(OR(J712=0,C712=0,J712="",C712=""),"",J712/C712)</f>
        <v/>
      </c>
      <c r="L712" s="118"/>
      <c r="M712" s="121"/>
      <c r="N712" s="122" t="str">
        <f t="shared" ref="N712:N775" si="270">IF(A712="","",IF(P712&gt;0,IF(G712&gt;0,P712/G712,0),IF(E712&gt;0,0,IF($I$3&gt;0,IF($I$4&gt;0,MAX($I$3-SUM($P$8:$P$1007),0)/$I$4,0),$I$2))))</f>
        <v/>
      </c>
      <c r="O712" s="35" t="str">
        <f t="shared" ref="O712:O775" si="271">IF(A712="","",IF(P712&gt;0,P712,IF(E712&gt;0,0,G712*IF($I$3&gt;0,IF($I$4&gt;0,MAX($I$3-SUM($P$8:$P$1007),0)/$I$4,0),$I$2))))</f>
        <v/>
      </c>
      <c r="P712" s="124"/>
      <c r="Q712" s="36" t="str">
        <f t="shared" si="259"/>
        <v/>
      </c>
      <c r="R712" s="46" t="str">
        <f t="shared" ref="R712:R775" si="272">IF(OR(A712="",Q712=""),"",Q712*C712)</f>
        <v/>
      </c>
      <c r="S712" s="38" t="str">
        <f t="shared" ref="S712:S775" si="273">IF(OR(A712="",H712&lt;=0,R712=""),"",(H712-R712)/H712)</f>
        <v/>
      </c>
      <c r="T712" s="39" t="str">
        <f t="shared" ref="T712:T775" si="274">IF(OR(H712=0,R712=0,H712="",R712=""),"",H712-R712)</f>
        <v/>
      </c>
      <c r="U712" s="40" t="str">
        <f t="shared" ref="U712:U775" si="275">IF(OR(A712="",J712&lt;=0,R712=""),"",(J712-R712)/J712)</f>
        <v/>
      </c>
      <c r="V712" s="39" t="str">
        <f t="shared" ref="V712:V775" si="276">IF(OR(J712=0,R712=0,J712="",R712=""),"",J712-R712)</f>
        <v/>
      </c>
      <c r="W712" s="34" t="str">
        <f t="shared" ref="W712:W775" si="277">IF(OR(G712="",G712=0,$M$5="",$K$3=0),"",($M$5/$K$3)*G712)</f>
        <v/>
      </c>
      <c r="X712" s="41" t="str">
        <f t="shared" si="260"/>
        <v/>
      </c>
      <c r="Y712" s="98" t="str">
        <f t="shared" ref="Y712:Y775" si="278">IF(OR(Q712=0,Q712="",D712=0,D712=""),"",Q712*(D712+E712))</f>
        <v/>
      </c>
      <c r="Z712" s="16" t="str">
        <f t="shared" si="261"/>
        <v/>
      </c>
      <c r="AB712" s="139"/>
      <c r="AC712" s="146" t="str">
        <f t="shared" si="264"/>
        <v/>
      </c>
      <c r="AD712" s="148" t="str">
        <f t="shared" si="262"/>
        <v/>
      </c>
      <c r="AE712" s="147" t="str">
        <f t="shared" ref="AE712:AE775" si="279">IF(AD712="","",AD712*$AC$1+IF(SUM($AD$8:$AD$1007)=0,0,$AC$2*AD712/SUM($AD$8:$AD$1007)))</f>
        <v/>
      </c>
      <c r="AF712" s="111" t="str">
        <f t="shared" ref="AF712:AF775" si="280">IF(AD712="","",AD712-AE712)</f>
        <v/>
      </c>
      <c r="AG712" s="111" t="str">
        <f t="shared" ref="AG712:AG775" si="281">IF(AF712="","",AH712-AF712)</f>
        <v/>
      </c>
      <c r="AH712" s="112" t="str">
        <f t="shared" ref="AH712:AH775" si="282">IF(AF712="","",ROUND(AF712,0))</f>
        <v/>
      </c>
      <c r="AI712" t="str">
        <f t="shared" si="263"/>
        <v/>
      </c>
      <c r="AJ712" t="str">
        <f t="shared" si="265"/>
        <v/>
      </c>
    </row>
    <row r="713" spans="1:36" ht="15" customHeight="1" x14ac:dyDescent="0.25">
      <c r="A713" s="114"/>
      <c r="B713" s="116"/>
      <c r="C713" s="116"/>
      <c r="D713" s="42" t="str">
        <f t="shared" si="266"/>
        <v/>
      </c>
      <c r="E713" s="43"/>
      <c r="F713" s="118"/>
      <c r="G713" s="44" t="str">
        <f t="shared" si="267"/>
        <v/>
      </c>
      <c r="H713" s="118"/>
      <c r="I713" s="34" t="str">
        <f t="shared" si="268"/>
        <v/>
      </c>
      <c r="J713" s="118"/>
      <c r="K713" s="34" t="str">
        <f t="shared" si="269"/>
        <v/>
      </c>
      <c r="L713" s="118"/>
      <c r="M713" s="121"/>
      <c r="N713" s="122" t="str">
        <f t="shared" si="270"/>
        <v/>
      </c>
      <c r="O713" s="35" t="str">
        <f t="shared" si="271"/>
        <v/>
      </c>
      <c r="P713" s="124"/>
      <c r="Q713" s="36" t="str">
        <f t="shared" ref="Q713:Q776" si="283">IF(A713="","",IF(OR(B713=0,B713="",C713&lt;=0,D713+E713&lt;=0),"",(G713-O713)/(D713+E713)-IF(W713&gt;=0,W713/D713,0)+IF(ISNUMBER(X713),X713/(D713+E713),0)))</f>
        <v/>
      </c>
      <c r="R713" s="46" t="str">
        <f t="shared" si="272"/>
        <v/>
      </c>
      <c r="S713" s="38" t="str">
        <f t="shared" si="273"/>
        <v/>
      </c>
      <c r="T713" s="39" t="str">
        <f t="shared" si="274"/>
        <v/>
      </c>
      <c r="U713" s="40" t="str">
        <f t="shared" si="275"/>
        <v/>
      </c>
      <c r="V713" s="39" t="str">
        <f t="shared" si="276"/>
        <v/>
      </c>
      <c r="W713" s="34" t="str">
        <f t="shared" si="277"/>
        <v/>
      </c>
      <c r="X713" s="41" t="str">
        <f t="shared" ref="X713:X776" si="284">IF(OR(G713="",G713=0,($K$3-$K$2)=0),"",($I$1/($K$3-$K$2))*(G713-O713))</f>
        <v/>
      </c>
      <c r="Y713" s="98" t="str">
        <f t="shared" si="278"/>
        <v/>
      </c>
      <c r="Z713" s="16" t="str">
        <f t="shared" ref="Z713:Z776" si="285">IF(OR(B713=0,B713=""),"",G713)</f>
        <v/>
      </c>
      <c r="AB713" s="139"/>
      <c r="AC713" s="146" t="str">
        <f t="shared" si="264"/>
        <v/>
      </c>
      <c r="AD713" s="148" t="str">
        <f t="shared" ref="AD713:AD776" si="286">IF(OR(AB713="",AC713=""),"",AB713*AC713)</f>
        <v/>
      </c>
      <c r="AE713" s="147" t="str">
        <f t="shared" si="279"/>
        <v/>
      </c>
      <c r="AF713" s="111" t="str">
        <f t="shared" si="280"/>
        <v/>
      </c>
      <c r="AG713" s="111" t="str">
        <f t="shared" si="281"/>
        <v/>
      </c>
      <c r="AH713" s="112" t="str">
        <f t="shared" si="282"/>
        <v/>
      </c>
      <c r="AI713" t="str">
        <f t="shared" ref="AI713:AI776" si="287">IF(OR(AB713=0,AB713=""),"",AE713/AB713)</f>
        <v/>
      </c>
      <c r="AJ713" t="str">
        <f t="shared" si="265"/>
        <v/>
      </c>
    </row>
    <row r="714" spans="1:36" ht="15" customHeight="1" x14ac:dyDescent="0.25">
      <c r="A714" s="114"/>
      <c r="B714" s="116"/>
      <c r="C714" s="116"/>
      <c r="D714" s="42" t="str">
        <f t="shared" si="266"/>
        <v/>
      </c>
      <c r="E714" s="43"/>
      <c r="F714" s="118"/>
      <c r="G714" s="44" t="str">
        <f t="shared" si="267"/>
        <v/>
      </c>
      <c r="H714" s="118"/>
      <c r="I714" s="34" t="str">
        <f t="shared" si="268"/>
        <v/>
      </c>
      <c r="J714" s="118"/>
      <c r="K714" s="34" t="str">
        <f t="shared" si="269"/>
        <v/>
      </c>
      <c r="L714" s="118"/>
      <c r="M714" s="121"/>
      <c r="N714" s="122" t="str">
        <f t="shared" si="270"/>
        <v/>
      </c>
      <c r="O714" s="35" t="str">
        <f t="shared" si="271"/>
        <v/>
      </c>
      <c r="P714" s="124"/>
      <c r="Q714" s="36" t="str">
        <f t="shared" si="283"/>
        <v/>
      </c>
      <c r="R714" s="46" t="str">
        <f t="shared" si="272"/>
        <v/>
      </c>
      <c r="S714" s="38" t="str">
        <f t="shared" si="273"/>
        <v/>
      </c>
      <c r="T714" s="39" t="str">
        <f t="shared" si="274"/>
        <v/>
      </c>
      <c r="U714" s="40" t="str">
        <f t="shared" si="275"/>
        <v/>
      </c>
      <c r="V714" s="39" t="str">
        <f t="shared" si="276"/>
        <v/>
      </c>
      <c r="W714" s="34" t="str">
        <f t="shared" si="277"/>
        <v/>
      </c>
      <c r="X714" s="41" t="str">
        <f t="shared" si="284"/>
        <v/>
      </c>
      <c r="Y714" s="98" t="str">
        <f t="shared" si="278"/>
        <v/>
      </c>
      <c r="Z714" s="16" t="str">
        <f t="shared" si="285"/>
        <v/>
      </c>
      <c r="AB714" s="139"/>
      <c r="AC714" s="146" t="str">
        <f t="shared" si="264"/>
        <v/>
      </c>
      <c r="AD714" s="148" t="str">
        <f t="shared" si="286"/>
        <v/>
      </c>
      <c r="AE714" s="147" t="str">
        <f t="shared" si="279"/>
        <v/>
      </c>
      <c r="AF714" s="111" t="str">
        <f t="shared" si="280"/>
        <v/>
      </c>
      <c r="AG714" s="111" t="str">
        <f t="shared" si="281"/>
        <v/>
      </c>
      <c r="AH714" s="112" t="str">
        <f t="shared" si="282"/>
        <v/>
      </c>
      <c r="AI714" t="str">
        <f t="shared" si="287"/>
        <v/>
      </c>
      <c r="AJ714" t="str">
        <f t="shared" si="265"/>
        <v/>
      </c>
    </row>
    <row r="715" spans="1:36" ht="15" customHeight="1" x14ac:dyDescent="0.25">
      <c r="A715" s="114"/>
      <c r="B715" s="116"/>
      <c r="C715" s="116"/>
      <c r="D715" s="42" t="str">
        <f t="shared" si="266"/>
        <v/>
      </c>
      <c r="E715" s="43"/>
      <c r="F715" s="118"/>
      <c r="G715" s="44" t="str">
        <f t="shared" si="267"/>
        <v/>
      </c>
      <c r="H715" s="118"/>
      <c r="I715" s="34" t="str">
        <f t="shared" si="268"/>
        <v/>
      </c>
      <c r="J715" s="118"/>
      <c r="K715" s="34" t="str">
        <f t="shared" si="269"/>
        <v/>
      </c>
      <c r="L715" s="118"/>
      <c r="M715" s="121"/>
      <c r="N715" s="122" t="str">
        <f t="shared" si="270"/>
        <v/>
      </c>
      <c r="O715" s="35" t="str">
        <f t="shared" si="271"/>
        <v/>
      </c>
      <c r="P715" s="124"/>
      <c r="Q715" s="36" t="str">
        <f t="shared" si="283"/>
        <v/>
      </c>
      <c r="R715" s="46" t="str">
        <f t="shared" si="272"/>
        <v/>
      </c>
      <c r="S715" s="38" t="str">
        <f t="shared" si="273"/>
        <v/>
      </c>
      <c r="T715" s="39" t="str">
        <f t="shared" si="274"/>
        <v/>
      </c>
      <c r="U715" s="40" t="str">
        <f t="shared" si="275"/>
        <v/>
      </c>
      <c r="V715" s="39" t="str">
        <f t="shared" si="276"/>
        <v/>
      </c>
      <c r="W715" s="34" t="str">
        <f t="shared" si="277"/>
        <v/>
      </c>
      <c r="X715" s="41" t="str">
        <f t="shared" si="284"/>
        <v/>
      </c>
      <c r="Y715" s="98" t="str">
        <f t="shared" si="278"/>
        <v/>
      </c>
      <c r="Z715" s="16" t="str">
        <f t="shared" si="285"/>
        <v/>
      </c>
      <c r="AB715" s="139"/>
      <c r="AC715" s="146" t="str">
        <f t="shared" si="264"/>
        <v/>
      </c>
      <c r="AD715" s="148" t="str">
        <f t="shared" si="286"/>
        <v/>
      </c>
      <c r="AE715" s="147" t="str">
        <f t="shared" si="279"/>
        <v/>
      </c>
      <c r="AF715" s="111" t="str">
        <f t="shared" si="280"/>
        <v/>
      </c>
      <c r="AG715" s="111" t="str">
        <f t="shared" si="281"/>
        <v/>
      </c>
      <c r="AH715" s="112" t="str">
        <f t="shared" si="282"/>
        <v/>
      </c>
      <c r="AI715" t="str">
        <f t="shared" si="287"/>
        <v/>
      </c>
      <c r="AJ715" t="str">
        <f t="shared" si="265"/>
        <v/>
      </c>
    </row>
    <row r="716" spans="1:36" ht="15" customHeight="1" x14ac:dyDescent="0.25">
      <c r="A716" s="114"/>
      <c r="B716" s="116"/>
      <c r="C716" s="116"/>
      <c r="D716" s="42" t="str">
        <f t="shared" si="266"/>
        <v/>
      </c>
      <c r="E716" s="43"/>
      <c r="F716" s="118"/>
      <c r="G716" s="44" t="str">
        <f t="shared" si="267"/>
        <v/>
      </c>
      <c r="H716" s="118"/>
      <c r="I716" s="34" t="str">
        <f t="shared" si="268"/>
        <v/>
      </c>
      <c r="J716" s="118"/>
      <c r="K716" s="34" t="str">
        <f t="shared" si="269"/>
        <v/>
      </c>
      <c r="L716" s="118"/>
      <c r="M716" s="121"/>
      <c r="N716" s="122" t="str">
        <f t="shared" si="270"/>
        <v/>
      </c>
      <c r="O716" s="35" t="str">
        <f t="shared" si="271"/>
        <v/>
      </c>
      <c r="P716" s="124"/>
      <c r="Q716" s="36" t="str">
        <f t="shared" si="283"/>
        <v/>
      </c>
      <c r="R716" s="46" t="str">
        <f t="shared" si="272"/>
        <v/>
      </c>
      <c r="S716" s="38" t="str">
        <f t="shared" si="273"/>
        <v/>
      </c>
      <c r="T716" s="39" t="str">
        <f t="shared" si="274"/>
        <v/>
      </c>
      <c r="U716" s="40" t="str">
        <f t="shared" si="275"/>
        <v/>
      </c>
      <c r="V716" s="39" t="str">
        <f t="shared" si="276"/>
        <v/>
      </c>
      <c r="W716" s="34" t="str">
        <f t="shared" si="277"/>
        <v/>
      </c>
      <c r="X716" s="41" t="str">
        <f t="shared" si="284"/>
        <v/>
      </c>
      <c r="Y716" s="98" t="str">
        <f t="shared" si="278"/>
        <v/>
      </c>
      <c r="Z716" s="16" t="str">
        <f t="shared" si="285"/>
        <v/>
      </c>
      <c r="AB716" s="139"/>
      <c r="AC716" s="146" t="str">
        <f t="shared" ref="AC716:AC779" si="288">IF(AB716="","",Q716)</f>
        <v/>
      </c>
      <c r="AD716" s="148" t="str">
        <f t="shared" si="286"/>
        <v/>
      </c>
      <c r="AE716" s="147" t="str">
        <f t="shared" si="279"/>
        <v/>
      </c>
      <c r="AF716" s="111" t="str">
        <f t="shared" si="280"/>
        <v/>
      </c>
      <c r="AG716" s="111" t="str">
        <f t="shared" si="281"/>
        <v/>
      </c>
      <c r="AH716" s="112" t="str">
        <f t="shared" si="282"/>
        <v/>
      </c>
      <c r="AI716" t="str">
        <f t="shared" si="287"/>
        <v/>
      </c>
      <c r="AJ716" t="str">
        <f t="shared" ref="AJ716:AJ779" si="289">IF(OR(AB716=0,AB716=""),"",AC716*C716)</f>
        <v/>
      </c>
    </row>
    <row r="717" spans="1:36" ht="15" customHeight="1" x14ac:dyDescent="0.25">
      <c r="A717" s="114"/>
      <c r="B717" s="116"/>
      <c r="C717" s="116"/>
      <c r="D717" s="42" t="str">
        <f t="shared" si="266"/>
        <v/>
      </c>
      <c r="E717" s="43"/>
      <c r="F717" s="118"/>
      <c r="G717" s="44" t="str">
        <f t="shared" si="267"/>
        <v/>
      </c>
      <c r="H717" s="118"/>
      <c r="I717" s="34" t="str">
        <f t="shared" si="268"/>
        <v/>
      </c>
      <c r="J717" s="118"/>
      <c r="K717" s="34" t="str">
        <f t="shared" si="269"/>
        <v/>
      </c>
      <c r="L717" s="118"/>
      <c r="M717" s="121"/>
      <c r="N717" s="122" t="str">
        <f t="shared" si="270"/>
        <v/>
      </c>
      <c r="O717" s="35" t="str">
        <f t="shared" si="271"/>
        <v/>
      </c>
      <c r="P717" s="124"/>
      <c r="Q717" s="36" t="str">
        <f t="shared" si="283"/>
        <v/>
      </c>
      <c r="R717" s="46" t="str">
        <f t="shared" si="272"/>
        <v/>
      </c>
      <c r="S717" s="38" t="str">
        <f t="shared" si="273"/>
        <v/>
      </c>
      <c r="T717" s="39" t="str">
        <f t="shared" si="274"/>
        <v/>
      </c>
      <c r="U717" s="40" t="str">
        <f t="shared" si="275"/>
        <v/>
      </c>
      <c r="V717" s="39" t="str">
        <f t="shared" si="276"/>
        <v/>
      </c>
      <c r="W717" s="34" t="str">
        <f t="shared" si="277"/>
        <v/>
      </c>
      <c r="X717" s="41" t="str">
        <f t="shared" si="284"/>
        <v/>
      </c>
      <c r="Y717" s="98" t="str">
        <f t="shared" si="278"/>
        <v/>
      </c>
      <c r="Z717" s="16" t="str">
        <f t="shared" si="285"/>
        <v/>
      </c>
      <c r="AB717" s="139"/>
      <c r="AC717" s="146" t="str">
        <f t="shared" si="288"/>
        <v/>
      </c>
      <c r="AD717" s="148" t="str">
        <f t="shared" si="286"/>
        <v/>
      </c>
      <c r="AE717" s="147" t="str">
        <f t="shared" si="279"/>
        <v/>
      </c>
      <c r="AF717" s="111" t="str">
        <f t="shared" si="280"/>
        <v/>
      </c>
      <c r="AG717" s="111" t="str">
        <f t="shared" si="281"/>
        <v/>
      </c>
      <c r="AH717" s="112" t="str">
        <f t="shared" si="282"/>
        <v/>
      </c>
      <c r="AI717" t="str">
        <f t="shared" si="287"/>
        <v/>
      </c>
      <c r="AJ717" t="str">
        <f t="shared" si="289"/>
        <v/>
      </c>
    </row>
    <row r="718" spans="1:36" ht="15" customHeight="1" x14ac:dyDescent="0.25">
      <c r="A718" s="114"/>
      <c r="B718" s="116"/>
      <c r="C718" s="116"/>
      <c r="D718" s="42" t="str">
        <f t="shared" si="266"/>
        <v/>
      </c>
      <c r="E718" s="43"/>
      <c r="F718" s="118"/>
      <c r="G718" s="44" t="str">
        <f t="shared" si="267"/>
        <v/>
      </c>
      <c r="H718" s="118"/>
      <c r="I718" s="34" t="str">
        <f t="shared" si="268"/>
        <v/>
      </c>
      <c r="J718" s="118"/>
      <c r="K718" s="34" t="str">
        <f t="shared" si="269"/>
        <v/>
      </c>
      <c r="L718" s="118"/>
      <c r="M718" s="121"/>
      <c r="N718" s="122" t="str">
        <f t="shared" si="270"/>
        <v/>
      </c>
      <c r="O718" s="35" t="str">
        <f t="shared" si="271"/>
        <v/>
      </c>
      <c r="P718" s="124"/>
      <c r="Q718" s="36" t="str">
        <f t="shared" si="283"/>
        <v/>
      </c>
      <c r="R718" s="46" t="str">
        <f t="shared" si="272"/>
        <v/>
      </c>
      <c r="S718" s="38" t="str">
        <f t="shared" si="273"/>
        <v/>
      </c>
      <c r="T718" s="39" t="str">
        <f t="shared" si="274"/>
        <v/>
      </c>
      <c r="U718" s="40" t="str">
        <f t="shared" si="275"/>
        <v/>
      </c>
      <c r="V718" s="39" t="str">
        <f t="shared" si="276"/>
        <v/>
      </c>
      <c r="W718" s="34" t="str">
        <f t="shared" si="277"/>
        <v/>
      </c>
      <c r="X718" s="41" t="str">
        <f t="shared" si="284"/>
        <v/>
      </c>
      <c r="Y718" s="98" t="str">
        <f t="shared" si="278"/>
        <v/>
      </c>
      <c r="Z718" s="16" t="str">
        <f t="shared" si="285"/>
        <v/>
      </c>
      <c r="AB718" s="139"/>
      <c r="AC718" s="146" t="str">
        <f t="shared" si="288"/>
        <v/>
      </c>
      <c r="AD718" s="148" t="str">
        <f t="shared" si="286"/>
        <v/>
      </c>
      <c r="AE718" s="147" t="str">
        <f t="shared" si="279"/>
        <v/>
      </c>
      <c r="AF718" s="111" t="str">
        <f t="shared" si="280"/>
        <v/>
      </c>
      <c r="AG718" s="111" t="str">
        <f t="shared" si="281"/>
        <v/>
      </c>
      <c r="AH718" s="112" t="str">
        <f t="shared" si="282"/>
        <v/>
      </c>
      <c r="AI718" t="str">
        <f t="shared" si="287"/>
        <v/>
      </c>
      <c r="AJ718" t="str">
        <f t="shared" si="289"/>
        <v/>
      </c>
    </row>
    <row r="719" spans="1:36" ht="15" customHeight="1" x14ac:dyDescent="0.25">
      <c r="A719" s="114"/>
      <c r="B719" s="116"/>
      <c r="C719" s="116"/>
      <c r="D719" s="42" t="str">
        <f t="shared" si="266"/>
        <v/>
      </c>
      <c r="E719" s="43"/>
      <c r="F719" s="118"/>
      <c r="G719" s="44" t="str">
        <f t="shared" si="267"/>
        <v/>
      </c>
      <c r="H719" s="118"/>
      <c r="I719" s="34" t="str">
        <f t="shared" si="268"/>
        <v/>
      </c>
      <c r="J719" s="118"/>
      <c r="K719" s="34" t="str">
        <f t="shared" si="269"/>
        <v/>
      </c>
      <c r="L719" s="118"/>
      <c r="M719" s="121"/>
      <c r="N719" s="122" t="str">
        <f t="shared" si="270"/>
        <v/>
      </c>
      <c r="O719" s="35" t="str">
        <f t="shared" si="271"/>
        <v/>
      </c>
      <c r="P719" s="124"/>
      <c r="Q719" s="36" t="str">
        <f t="shared" si="283"/>
        <v/>
      </c>
      <c r="R719" s="46" t="str">
        <f t="shared" si="272"/>
        <v/>
      </c>
      <c r="S719" s="38" t="str">
        <f t="shared" si="273"/>
        <v/>
      </c>
      <c r="T719" s="39" t="str">
        <f t="shared" si="274"/>
        <v/>
      </c>
      <c r="U719" s="40" t="str">
        <f t="shared" si="275"/>
        <v/>
      </c>
      <c r="V719" s="39" t="str">
        <f t="shared" si="276"/>
        <v/>
      </c>
      <c r="W719" s="34" t="str">
        <f t="shared" si="277"/>
        <v/>
      </c>
      <c r="X719" s="41" t="str">
        <f t="shared" si="284"/>
        <v/>
      </c>
      <c r="Y719" s="98" t="str">
        <f t="shared" si="278"/>
        <v/>
      </c>
      <c r="Z719" s="16" t="str">
        <f t="shared" si="285"/>
        <v/>
      </c>
      <c r="AB719" s="139"/>
      <c r="AC719" s="146" t="str">
        <f t="shared" si="288"/>
        <v/>
      </c>
      <c r="AD719" s="148" t="str">
        <f t="shared" si="286"/>
        <v/>
      </c>
      <c r="AE719" s="147" t="str">
        <f t="shared" si="279"/>
        <v/>
      </c>
      <c r="AF719" s="111" t="str">
        <f t="shared" si="280"/>
        <v/>
      </c>
      <c r="AG719" s="111" t="str">
        <f t="shared" si="281"/>
        <v/>
      </c>
      <c r="AH719" s="112" t="str">
        <f t="shared" si="282"/>
        <v/>
      </c>
      <c r="AI719" t="str">
        <f t="shared" si="287"/>
        <v/>
      </c>
      <c r="AJ719" t="str">
        <f t="shared" si="289"/>
        <v/>
      </c>
    </row>
    <row r="720" spans="1:36" ht="15" customHeight="1" x14ac:dyDescent="0.25">
      <c r="A720" s="114"/>
      <c r="B720" s="116"/>
      <c r="C720" s="116"/>
      <c r="D720" s="42" t="str">
        <f t="shared" si="266"/>
        <v/>
      </c>
      <c r="E720" s="43"/>
      <c r="F720" s="118"/>
      <c r="G720" s="44" t="str">
        <f t="shared" si="267"/>
        <v/>
      </c>
      <c r="H720" s="118"/>
      <c r="I720" s="34" t="str">
        <f t="shared" si="268"/>
        <v/>
      </c>
      <c r="J720" s="118"/>
      <c r="K720" s="34" t="str">
        <f t="shared" si="269"/>
        <v/>
      </c>
      <c r="L720" s="118"/>
      <c r="M720" s="121"/>
      <c r="N720" s="122" t="str">
        <f t="shared" si="270"/>
        <v/>
      </c>
      <c r="O720" s="35" t="str">
        <f t="shared" si="271"/>
        <v/>
      </c>
      <c r="P720" s="124"/>
      <c r="Q720" s="36" t="str">
        <f t="shared" si="283"/>
        <v/>
      </c>
      <c r="R720" s="46" t="str">
        <f t="shared" si="272"/>
        <v/>
      </c>
      <c r="S720" s="38" t="str">
        <f t="shared" si="273"/>
        <v/>
      </c>
      <c r="T720" s="39" t="str">
        <f t="shared" si="274"/>
        <v/>
      </c>
      <c r="U720" s="40" t="str">
        <f t="shared" si="275"/>
        <v/>
      </c>
      <c r="V720" s="39" t="str">
        <f t="shared" si="276"/>
        <v/>
      </c>
      <c r="W720" s="34" t="str">
        <f t="shared" si="277"/>
        <v/>
      </c>
      <c r="X720" s="41" t="str">
        <f t="shared" si="284"/>
        <v/>
      </c>
      <c r="Y720" s="98" t="str">
        <f t="shared" si="278"/>
        <v/>
      </c>
      <c r="Z720" s="16" t="str">
        <f t="shared" si="285"/>
        <v/>
      </c>
      <c r="AB720" s="139"/>
      <c r="AC720" s="146" t="str">
        <f t="shared" si="288"/>
        <v/>
      </c>
      <c r="AD720" s="148" t="str">
        <f t="shared" si="286"/>
        <v/>
      </c>
      <c r="AE720" s="147" t="str">
        <f t="shared" si="279"/>
        <v/>
      </c>
      <c r="AF720" s="111" t="str">
        <f t="shared" si="280"/>
        <v/>
      </c>
      <c r="AG720" s="111" t="str">
        <f t="shared" si="281"/>
        <v/>
      </c>
      <c r="AH720" s="112" t="str">
        <f t="shared" si="282"/>
        <v/>
      </c>
      <c r="AI720" t="str">
        <f t="shared" si="287"/>
        <v/>
      </c>
      <c r="AJ720" t="str">
        <f t="shared" si="289"/>
        <v/>
      </c>
    </row>
    <row r="721" spans="1:36" ht="15" customHeight="1" x14ac:dyDescent="0.25">
      <c r="A721" s="114"/>
      <c r="B721" s="116"/>
      <c r="C721" s="116"/>
      <c r="D721" s="42" t="str">
        <f t="shared" si="266"/>
        <v/>
      </c>
      <c r="E721" s="43"/>
      <c r="F721" s="118"/>
      <c r="G721" s="44" t="str">
        <f t="shared" si="267"/>
        <v/>
      </c>
      <c r="H721" s="118"/>
      <c r="I721" s="34" t="str">
        <f t="shared" si="268"/>
        <v/>
      </c>
      <c r="J721" s="118"/>
      <c r="K721" s="34" t="str">
        <f t="shared" si="269"/>
        <v/>
      </c>
      <c r="L721" s="118"/>
      <c r="M721" s="121"/>
      <c r="N721" s="122" t="str">
        <f t="shared" si="270"/>
        <v/>
      </c>
      <c r="O721" s="35" t="str">
        <f t="shared" si="271"/>
        <v/>
      </c>
      <c r="P721" s="124"/>
      <c r="Q721" s="36" t="str">
        <f t="shared" si="283"/>
        <v/>
      </c>
      <c r="R721" s="46" t="str">
        <f t="shared" si="272"/>
        <v/>
      </c>
      <c r="S721" s="38" t="str">
        <f t="shared" si="273"/>
        <v/>
      </c>
      <c r="T721" s="39" t="str">
        <f t="shared" si="274"/>
        <v/>
      </c>
      <c r="U721" s="40" t="str">
        <f t="shared" si="275"/>
        <v/>
      </c>
      <c r="V721" s="39" t="str">
        <f t="shared" si="276"/>
        <v/>
      </c>
      <c r="W721" s="34" t="str">
        <f t="shared" si="277"/>
        <v/>
      </c>
      <c r="X721" s="41" t="str">
        <f t="shared" si="284"/>
        <v/>
      </c>
      <c r="Y721" s="98" t="str">
        <f t="shared" si="278"/>
        <v/>
      </c>
      <c r="Z721" s="16" t="str">
        <f t="shared" si="285"/>
        <v/>
      </c>
      <c r="AB721" s="139"/>
      <c r="AC721" s="146" t="str">
        <f t="shared" si="288"/>
        <v/>
      </c>
      <c r="AD721" s="148" t="str">
        <f t="shared" si="286"/>
        <v/>
      </c>
      <c r="AE721" s="147" t="str">
        <f t="shared" si="279"/>
        <v/>
      </c>
      <c r="AF721" s="111" t="str">
        <f t="shared" si="280"/>
        <v/>
      </c>
      <c r="AG721" s="111" t="str">
        <f t="shared" si="281"/>
        <v/>
      </c>
      <c r="AH721" s="112" t="str">
        <f t="shared" si="282"/>
        <v/>
      </c>
      <c r="AI721" t="str">
        <f t="shared" si="287"/>
        <v/>
      </c>
      <c r="AJ721" t="str">
        <f t="shared" si="289"/>
        <v/>
      </c>
    </row>
    <row r="722" spans="1:36" ht="15" customHeight="1" x14ac:dyDescent="0.25">
      <c r="A722" s="114"/>
      <c r="B722" s="116"/>
      <c r="C722" s="116"/>
      <c r="D722" s="42" t="str">
        <f t="shared" si="266"/>
        <v/>
      </c>
      <c r="E722" s="43"/>
      <c r="F722" s="118"/>
      <c r="G722" s="44" t="str">
        <f t="shared" si="267"/>
        <v/>
      </c>
      <c r="H722" s="118"/>
      <c r="I722" s="34" t="str">
        <f t="shared" si="268"/>
        <v/>
      </c>
      <c r="J722" s="118"/>
      <c r="K722" s="34" t="str">
        <f t="shared" si="269"/>
        <v/>
      </c>
      <c r="L722" s="118"/>
      <c r="M722" s="121"/>
      <c r="N722" s="122" t="str">
        <f t="shared" si="270"/>
        <v/>
      </c>
      <c r="O722" s="35" t="str">
        <f t="shared" si="271"/>
        <v/>
      </c>
      <c r="P722" s="124"/>
      <c r="Q722" s="36" t="str">
        <f t="shared" si="283"/>
        <v/>
      </c>
      <c r="R722" s="46" t="str">
        <f t="shared" si="272"/>
        <v/>
      </c>
      <c r="S722" s="38" t="str">
        <f t="shared" si="273"/>
        <v/>
      </c>
      <c r="T722" s="39" t="str">
        <f t="shared" si="274"/>
        <v/>
      </c>
      <c r="U722" s="40" t="str">
        <f t="shared" si="275"/>
        <v/>
      </c>
      <c r="V722" s="39" t="str">
        <f t="shared" si="276"/>
        <v/>
      </c>
      <c r="W722" s="34" t="str">
        <f t="shared" si="277"/>
        <v/>
      </c>
      <c r="X722" s="41" t="str">
        <f t="shared" si="284"/>
        <v/>
      </c>
      <c r="Y722" s="98" t="str">
        <f t="shared" si="278"/>
        <v/>
      </c>
      <c r="Z722" s="16" t="str">
        <f t="shared" si="285"/>
        <v/>
      </c>
      <c r="AB722" s="139"/>
      <c r="AC722" s="146" t="str">
        <f t="shared" si="288"/>
        <v/>
      </c>
      <c r="AD722" s="148" t="str">
        <f t="shared" si="286"/>
        <v/>
      </c>
      <c r="AE722" s="147" t="str">
        <f t="shared" si="279"/>
        <v/>
      </c>
      <c r="AF722" s="111" t="str">
        <f t="shared" si="280"/>
        <v/>
      </c>
      <c r="AG722" s="111" t="str">
        <f t="shared" si="281"/>
        <v/>
      </c>
      <c r="AH722" s="112" t="str">
        <f t="shared" si="282"/>
        <v/>
      </c>
      <c r="AI722" t="str">
        <f t="shared" si="287"/>
        <v/>
      </c>
      <c r="AJ722" t="str">
        <f t="shared" si="289"/>
        <v/>
      </c>
    </row>
    <row r="723" spans="1:36" ht="15" customHeight="1" x14ac:dyDescent="0.25">
      <c r="A723" s="114"/>
      <c r="B723" s="116"/>
      <c r="C723" s="116"/>
      <c r="D723" s="42" t="str">
        <f t="shared" si="266"/>
        <v/>
      </c>
      <c r="E723" s="43"/>
      <c r="F723" s="118"/>
      <c r="G723" s="44" t="str">
        <f t="shared" si="267"/>
        <v/>
      </c>
      <c r="H723" s="118"/>
      <c r="I723" s="34" t="str">
        <f t="shared" si="268"/>
        <v/>
      </c>
      <c r="J723" s="118"/>
      <c r="K723" s="34" t="str">
        <f t="shared" si="269"/>
        <v/>
      </c>
      <c r="L723" s="118"/>
      <c r="M723" s="121"/>
      <c r="N723" s="122" t="str">
        <f t="shared" si="270"/>
        <v/>
      </c>
      <c r="O723" s="35" t="str">
        <f t="shared" si="271"/>
        <v/>
      </c>
      <c r="P723" s="124"/>
      <c r="Q723" s="36" t="str">
        <f t="shared" si="283"/>
        <v/>
      </c>
      <c r="R723" s="46" t="str">
        <f t="shared" si="272"/>
        <v/>
      </c>
      <c r="S723" s="38" t="str">
        <f t="shared" si="273"/>
        <v/>
      </c>
      <c r="T723" s="39" t="str">
        <f t="shared" si="274"/>
        <v/>
      </c>
      <c r="U723" s="40" t="str">
        <f t="shared" si="275"/>
        <v/>
      </c>
      <c r="V723" s="39" t="str">
        <f t="shared" si="276"/>
        <v/>
      </c>
      <c r="W723" s="34" t="str">
        <f t="shared" si="277"/>
        <v/>
      </c>
      <c r="X723" s="41" t="str">
        <f t="shared" si="284"/>
        <v/>
      </c>
      <c r="Y723" s="98" t="str">
        <f t="shared" si="278"/>
        <v/>
      </c>
      <c r="Z723" s="16" t="str">
        <f t="shared" si="285"/>
        <v/>
      </c>
      <c r="AB723" s="139"/>
      <c r="AC723" s="146" t="str">
        <f t="shared" si="288"/>
        <v/>
      </c>
      <c r="AD723" s="148" t="str">
        <f t="shared" si="286"/>
        <v/>
      </c>
      <c r="AE723" s="147" t="str">
        <f t="shared" si="279"/>
        <v/>
      </c>
      <c r="AF723" s="111" t="str">
        <f t="shared" si="280"/>
        <v/>
      </c>
      <c r="AG723" s="111" t="str">
        <f t="shared" si="281"/>
        <v/>
      </c>
      <c r="AH723" s="112" t="str">
        <f t="shared" si="282"/>
        <v/>
      </c>
      <c r="AI723" t="str">
        <f t="shared" si="287"/>
        <v/>
      </c>
      <c r="AJ723" t="str">
        <f t="shared" si="289"/>
        <v/>
      </c>
    </row>
    <row r="724" spans="1:36" ht="15" customHeight="1" x14ac:dyDescent="0.25">
      <c r="A724" s="114"/>
      <c r="B724" s="116"/>
      <c r="C724" s="116"/>
      <c r="D724" s="42" t="str">
        <f t="shared" si="266"/>
        <v/>
      </c>
      <c r="E724" s="43"/>
      <c r="F724" s="118"/>
      <c r="G724" s="44" t="str">
        <f t="shared" si="267"/>
        <v/>
      </c>
      <c r="H724" s="118"/>
      <c r="I724" s="34" t="str">
        <f t="shared" si="268"/>
        <v/>
      </c>
      <c r="J724" s="118"/>
      <c r="K724" s="34" t="str">
        <f t="shared" si="269"/>
        <v/>
      </c>
      <c r="L724" s="118"/>
      <c r="M724" s="121"/>
      <c r="N724" s="122" t="str">
        <f t="shared" si="270"/>
        <v/>
      </c>
      <c r="O724" s="35" t="str">
        <f t="shared" si="271"/>
        <v/>
      </c>
      <c r="P724" s="124"/>
      <c r="Q724" s="36" t="str">
        <f t="shared" si="283"/>
        <v/>
      </c>
      <c r="R724" s="46" t="str">
        <f t="shared" si="272"/>
        <v/>
      </c>
      <c r="S724" s="38" t="str">
        <f t="shared" si="273"/>
        <v/>
      </c>
      <c r="T724" s="39" t="str">
        <f t="shared" si="274"/>
        <v/>
      </c>
      <c r="U724" s="40" t="str">
        <f t="shared" si="275"/>
        <v/>
      </c>
      <c r="V724" s="39" t="str">
        <f t="shared" si="276"/>
        <v/>
      </c>
      <c r="W724" s="34" t="str">
        <f t="shared" si="277"/>
        <v/>
      </c>
      <c r="X724" s="41" t="str">
        <f t="shared" si="284"/>
        <v/>
      </c>
      <c r="Y724" s="98" t="str">
        <f t="shared" si="278"/>
        <v/>
      </c>
      <c r="Z724" s="16" t="str">
        <f t="shared" si="285"/>
        <v/>
      </c>
      <c r="AB724" s="139"/>
      <c r="AC724" s="146" t="str">
        <f t="shared" si="288"/>
        <v/>
      </c>
      <c r="AD724" s="148" t="str">
        <f t="shared" si="286"/>
        <v/>
      </c>
      <c r="AE724" s="147" t="str">
        <f t="shared" si="279"/>
        <v/>
      </c>
      <c r="AF724" s="111" t="str">
        <f t="shared" si="280"/>
        <v/>
      </c>
      <c r="AG724" s="111" t="str">
        <f t="shared" si="281"/>
        <v/>
      </c>
      <c r="AH724" s="112" t="str">
        <f t="shared" si="282"/>
        <v/>
      </c>
      <c r="AI724" t="str">
        <f t="shared" si="287"/>
        <v/>
      </c>
      <c r="AJ724" t="str">
        <f t="shared" si="289"/>
        <v/>
      </c>
    </row>
    <row r="725" spans="1:36" ht="15" customHeight="1" x14ac:dyDescent="0.25">
      <c r="A725" s="114"/>
      <c r="B725" s="116"/>
      <c r="C725" s="116"/>
      <c r="D725" s="42" t="str">
        <f t="shared" si="266"/>
        <v/>
      </c>
      <c r="E725" s="43"/>
      <c r="F725" s="118"/>
      <c r="G725" s="44" t="str">
        <f t="shared" si="267"/>
        <v/>
      </c>
      <c r="H725" s="118"/>
      <c r="I725" s="34" t="str">
        <f t="shared" si="268"/>
        <v/>
      </c>
      <c r="J725" s="118"/>
      <c r="K725" s="34" t="str">
        <f t="shared" si="269"/>
        <v/>
      </c>
      <c r="L725" s="118"/>
      <c r="M725" s="121"/>
      <c r="N725" s="122" t="str">
        <f t="shared" si="270"/>
        <v/>
      </c>
      <c r="O725" s="35" t="str">
        <f t="shared" si="271"/>
        <v/>
      </c>
      <c r="P725" s="124"/>
      <c r="Q725" s="36" t="str">
        <f t="shared" si="283"/>
        <v/>
      </c>
      <c r="R725" s="46" t="str">
        <f t="shared" si="272"/>
        <v/>
      </c>
      <c r="S725" s="38" t="str">
        <f t="shared" si="273"/>
        <v/>
      </c>
      <c r="T725" s="39" t="str">
        <f t="shared" si="274"/>
        <v/>
      </c>
      <c r="U725" s="40" t="str">
        <f t="shared" si="275"/>
        <v/>
      </c>
      <c r="V725" s="39" t="str">
        <f t="shared" si="276"/>
        <v/>
      </c>
      <c r="W725" s="34" t="str">
        <f t="shared" si="277"/>
        <v/>
      </c>
      <c r="X725" s="41" t="str">
        <f t="shared" si="284"/>
        <v/>
      </c>
      <c r="Y725" s="98" t="str">
        <f t="shared" si="278"/>
        <v/>
      </c>
      <c r="Z725" s="16" t="str">
        <f t="shared" si="285"/>
        <v/>
      </c>
      <c r="AB725" s="139"/>
      <c r="AC725" s="146" t="str">
        <f t="shared" si="288"/>
        <v/>
      </c>
      <c r="AD725" s="148" t="str">
        <f t="shared" si="286"/>
        <v/>
      </c>
      <c r="AE725" s="147" t="str">
        <f t="shared" si="279"/>
        <v/>
      </c>
      <c r="AF725" s="111" t="str">
        <f t="shared" si="280"/>
        <v/>
      </c>
      <c r="AG725" s="111" t="str">
        <f t="shared" si="281"/>
        <v/>
      </c>
      <c r="AH725" s="112" t="str">
        <f t="shared" si="282"/>
        <v/>
      </c>
      <c r="AI725" t="str">
        <f t="shared" si="287"/>
        <v/>
      </c>
      <c r="AJ725" t="str">
        <f t="shared" si="289"/>
        <v/>
      </c>
    </row>
    <row r="726" spans="1:36" ht="15" customHeight="1" x14ac:dyDescent="0.25">
      <c r="A726" s="114"/>
      <c r="B726" s="116"/>
      <c r="C726" s="116"/>
      <c r="D726" s="42" t="str">
        <f t="shared" si="266"/>
        <v/>
      </c>
      <c r="E726" s="43"/>
      <c r="F726" s="118"/>
      <c r="G726" s="44" t="str">
        <f t="shared" si="267"/>
        <v/>
      </c>
      <c r="H726" s="118"/>
      <c r="I726" s="34" t="str">
        <f t="shared" si="268"/>
        <v/>
      </c>
      <c r="J726" s="118"/>
      <c r="K726" s="34" t="str">
        <f t="shared" si="269"/>
        <v/>
      </c>
      <c r="L726" s="118"/>
      <c r="M726" s="121"/>
      <c r="N726" s="122" t="str">
        <f t="shared" si="270"/>
        <v/>
      </c>
      <c r="O726" s="35" t="str">
        <f t="shared" si="271"/>
        <v/>
      </c>
      <c r="P726" s="124"/>
      <c r="Q726" s="36" t="str">
        <f t="shared" si="283"/>
        <v/>
      </c>
      <c r="R726" s="46" t="str">
        <f t="shared" si="272"/>
        <v/>
      </c>
      <c r="S726" s="38" t="str">
        <f t="shared" si="273"/>
        <v/>
      </c>
      <c r="T726" s="39" t="str">
        <f t="shared" si="274"/>
        <v/>
      </c>
      <c r="U726" s="40" t="str">
        <f t="shared" si="275"/>
        <v/>
      </c>
      <c r="V726" s="39" t="str">
        <f t="shared" si="276"/>
        <v/>
      </c>
      <c r="W726" s="34" t="str">
        <f t="shared" si="277"/>
        <v/>
      </c>
      <c r="X726" s="41" t="str">
        <f t="shared" si="284"/>
        <v/>
      </c>
      <c r="Y726" s="98" t="str">
        <f t="shared" si="278"/>
        <v/>
      </c>
      <c r="Z726" s="16" t="str">
        <f t="shared" si="285"/>
        <v/>
      </c>
      <c r="AB726" s="139"/>
      <c r="AC726" s="146" t="str">
        <f t="shared" si="288"/>
        <v/>
      </c>
      <c r="AD726" s="148" t="str">
        <f t="shared" si="286"/>
        <v/>
      </c>
      <c r="AE726" s="147" t="str">
        <f t="shared" si="279"/>
        <v/>
      </c>
      <c r="AF726" s="111" t="str">
        <f t="shared" si="280"/>
        <v/>
      </c>
      <c r="AG726" s="111" t="str">
        <f t="shared" si="281"/>
        <v/>
      </c>
      <c r="AH726" s="112" t="str">
        <f t="shared" si="282"/>
        <v/>
      </c>
      <c r="AI726" t="str">
        <f t="shared" si="287"/>
        <v/>
      </c>
      <c r="AJ726" t="str">
        <f t="shared" si="289"/>
        <v/>
      </c>
    </row>
    <row r="727" spans="1:36" ht="15" customHeight="1" x14ac:dyDescent="0.25">
      <c r="A727" s="114"/>
      <c r="B727" s="116"/>
      <c r="C727" s="116"/>
      <c r="D727" s="42" t="str">
        <f t="shared" si="266"/>
        <v/>
      </c>
      <c r="E727" s="43"/>
      <c r="F727" s="118"/>
      <c r="G727" s="44" t="str">
        <f t="shared" si="267"/>
        <v/>
      </c>
      <c r="H727" s="118"/>
      <c r="I727" s="34" t="str">
        <f t="shared" si="268"/>
        <v/>
      </c>
      <c r="J727" s="118"/>
      <c r="K727" s="34" t="str">
        <f t="shared" si="269"/>
        <v/>
      </c>
      <c r="L727" s="118"/>
      <c r="M727" s="121"/>
      <c r="N727" s="122" t="str">
        <f t="shared" si="270"/>
        <v/>
      </c>
      <c r="O727" s="35" t="str">
        <f t="shared" si="271"/>
        <v/>
      </c>
      <c r="P727" s="124"/>
      <c r="Q727" s="36" t="str">
        <f t="shared" si="283"/>
        <v/>
      </c>
      <c r="R727" s="46" t="str">
        <f t="shared" si="272"/>
        <v/>
      </c>
      <c r="S727" s="38" t="str">
        <f t="shared" si="273"/>
        <v/>
      </c>
      <c r="T727" s="39" t="str">
        <f t="shared" si="274"/>
        <v/>
      </c>
      <c r="U727" s="40" t="str">
        <f t="shared" si="275"/>
        <v/>
      </c>
      <c r="V727" s="39" t="str">
        <f t="shared" si="276"/>
        <v/>
      </c>
      <c r="W727" s="34" t="str">
        <f t="shared" si="277"/>
        <v/>
      </c>
      <c r="X727" s="41" t="str">
        <f t="shared" si="284"/>
        <v/>
      </c>
      <c r="Y727" s="98" t="str">
        <f t="shared" si="278"/>
        <v/>
      </c>
      <c r="Z727" s="16" t="str">
        <f t="shared" si="285"/>
        <v/>
      </c>
      <c r="AB727" s="139"/>
      <c r="AC727" s="146" t="str">
        <f t="shared" si="288"/>
        <v/>
      </c>
      <c r="AD727" s="148" t="str">
        <f t="shared" si="286"/>
        <v/>
      </c>
      <c r="AE727" s="147" t="str">
        <f t="shared" si="279"/>
        <v/>
      </c>
      <c r="AF727" s="111" t="str">
        <f t="shared" si="280"/>
        <v/>
      </c>
      <c r="AG727" s="111" t="str">
        <f t="shared" si="281"/>
        <v/>
      </c>
      <c r="AH727" s="112" t="str">
        <f t="shared" si="282"/>
        <v/>
      </c>
      <c r="AI727" t="str">
        <f t="shared" si="287"/>
        <v/>
      </c>
      <c r="AJ727" t="str">
        <f t="shared" si="289"/>
        <v/>
      </c>
    </row>
    <row r="728" spans="1:36" ht="15" customHeight="1" x14ac:dyDescent="0.25">
      <c r="A728" s="114"/>
      <c r="B728" s="116"/>
      <c r="C728" s="116"/>
      <c r="D728" s="42" t="str">
        <f t="shared" si="266"/>
        <v/>
      </c>
      <c r="E728" s="43"/>
      <c r="F728" s="118"/>
      <c r="G728" s="44" t="str">
        <f t="shared" si="267"/>
        <v/>
      </c>
      <c r="H728" s="118"/>
      <c r="I728" s="34" t="str">
        <f t="shared" si="268"/>
        <v/>
      </c>
      <c r="J728" s="118"/>
      <c r="K728" s="34" t="str">
        <f t="shared" si="269"/>
        <v/>
      </c>
      <c r="L728" s="118"/>
      <c r="M728" s="121"/>
      <c r="N728" s="122" t="str">
        <f t="shared" si="270"/>
        <v/>
      </c>
      <c r="O728" s="35" t="str">
        <f t="shared" si="271"/>
        <v/>
      </c>
      <c r="P728" s="124"/>
      <c r="Q728" s="36" t="str">
        <f t="shared" si="283"/>
        <v/>
      </c>
      <c r="R728" s="46" t="str">
        <f t="shared" si="272"/>
        <v/>
      </c>
      <c r="S728" s="38" t="str">
        <f t="shared" si="273"/>
        <v/>
      </c>
      <c r="T728" s="39" t="str">
        <f t="shared" si="274"/>
        <v/>
      </c>
      <c r="U728" s="40" t="str">
        <f t="shared" si="275"/>
        <v/>
      </c>
      <c r="V728" s="39" t="str">
        <f t="shared" si="276"/>
        <v/>
      </c>
      <c r="W728" s="34" t="str">
        <f t="shared" si="277"/>
        <v/>
      </c>
      <c r="X728" s="41" t="str">
        <f t="shared" si="284"/>
        <v/>
      </c>
      <c r="Y728" s="98" t="str">
        <f t="shared" si="278"/>
        <v/>
      </c>
      <c r="Z728" s="16" t="str">
        <f t="shared" si="285"/>
        <v/>
      </c>
      <c r="AB728" s="139"/>
      <c r="AC728" s="146" t="str">
        <f t="shared" si="288"/>
        <v/>
      </c>
      <c r="AD728" s="148" t="str">
        <f t="shared" si="286"/>
        <v/>
      </c>
      <c r="AE728" s="147" t="str">
        <f t="shared" si="279"/>
        <v/>
      </c>
      <c r="AF728" s="111" t="str">
        <f t="shared" si="280"/>
        <v/>
      </c>
      <c r="AG728" s="111" t="str">
        <f t="shared" si="281"/>
        <v/>
      </c>
      <c r="AH728" s="112" t="str">
        <f t="shared" si="282"/>
        <v/>
      </c>
      <c r="AI728" t="str">
        <f t="shared" si="287"/>
        <v/>
      </c>
      <c r="AJ728" t="str">
        <f t="shared" si="289"/>
        <v/>
      </c>
    </row>
    <row r="729" spans="1:36" ht="15" customHeight="1" x14ac:dyDescent="0.25">
      <c r="A729" s="114"/>
      <c r="B729" s="116"/>
      <c r="C729" s="116"/>
      <c r="D729" s="42" t="str">
        <f t="shared" si="266"/>
        <v/>
      </c>
      <c r="E729" s="43"/>
      <c r="F729" s="118"/>
      <c r="G729" s="44" t="str">
        <f t="shared" si="267"/>
        <v/>
      </c>
      <c r="H729" s="118"/>
      <c r="I729" s="34" t="str">
        <f t="shared" si="268"/>
        <v/>
      </c>
      <c r="J729" s="118"/>
      <c r="K729" s="34" t="str">
        <f t="shared" si="269"/>
        <v/>
      </c>
      <c r="L729" s="118"/>
      <c r="M729" s="121"/>
      <c r="N729" s="122" t="str">
        <f t="shared" si="270"/>
        <v/>
      </c>
      <c r="O729" s="35" t="str">
        <f t="shared" si="271"/>
        <v/>
      </c>
      <c r="P729" s="124"/>
      <c r="Q729" s="36" t="str">
        <f t="shared" si="283"/>
        <v/>
      </c>
      <c r="R729" s="46" t="str">
        <f t="shared" si="272"/>
        <v/>
      </c>
      <c r="S729" s="38" t="str">
        <f t="shared" si="273"/>
        <v/>
      </c>
      <c r="T729" s="39" t="str">
        <f t="shared" si="274"/>
        <v/>
      </c>
      <c r="U729" s="40" t="str">
        <f t="shared" si="275"/>
        <v/>
      </c>
      <c r="V729" s="39" t="str">
        <f t="shared" si="276"/>
        <v/>
      </c>
      <c r="W729" s="34" t="str">
        <f t="shared" si="277"/>
        <v/>
      </c>
      <c r="X729" s="41" t="str">
        <f t="shared" si="284"/>
        <v/>
      </c>
      <c r="Y729" s="98" t="str">
        <f t="shared" si="278"/>
        <v/>
      </c>
      <c r="Z729" s="16" t="str">
        <f t="shared" si="285"/>
        <v/>
      </c>
      <c r="AB729" s="139"/>
      <c r="AC729" s="146" t="str">
        <f t="shared" si="288"/>
        <v/>
      </c>
      <c r="AD729" s="148" t="str">
        <f t="shared" si="286"/>
        <v/>
      </c>
      <c r="AE729" s="147" t="str">
        <f t="shared" si="279"/>
        <v/>
      </c>
      <c r="AF729" s="111" t="str">
        <f t="shared" si="280"/>
        <v/>
      </c>
      <c r="AG729" s="111" t="str">
        <f t="shared" si="281"/>
        <v/>
      </c>
      <c r="AH729" s="112" t="str">
        <f t="shared" si="282"/>
        <v/>
      </c>
      <c r="AI729" t="str">
        <f t="shared" si="287"/>
        <v/>
      </c>
      <c r="AJ729" t="str">
        <f t="shared" si="289"/>
        <v/>
      </c>
    </row>
    <row r="730" spans="1:36" ht="15" customHeight="1" x14ac:dyDescent="0.25">
      <c r="A730" s="114"/>
      <c r="B730" s="116"/>
      <c r="C730" s="116"/>
      <c r="D730" s="42" t="str">
        <f t="shared" si="266"/>
        <v/>
      </c>
      <c r="E730" s="43"/>
      <c r="F730" s="118"/>
      <c r="G730" s="44" t="str">
        <f t="shared" si="267"/>
        <v/>
      </c>
      <c r="H730" s="118"/>
      <c r="I730" s="34" t="str">
        <f t="shared" si="268"/>
        <v/>
      </c>
      <c r="J730" s="118"/>
      <c r="K730" s="34" t="str">
        <f t="shared" si="269"/>
        <v/>
      </c>
      <c r="L730" s="118"/>
      <c r="M730" s="121"/>
      <c r="N730" s="122" t="str">
        <f t="shared" si="270"/>
        <v/>
      </c>
      <c r="O730" s="35" t="str">
        <f t="shared" si="271"/>
        <v/>
      </c>
      <c r="P730" s="124"/>
      <c r="Q730" s="36" t="str">
        <f t="shared" si="283"/>
        <v/>
      </c>
      <c r="R730" s="46" t="str">
        <f t="shared" si="272"/>
        <v/>
      </c>
      <c r="S730" s="38" t="str">
        <f t="shared" si="273"/>
        <v/>
      </c>
      <c r="T730" s="39" t="str">
        <f t="shared" si="274"/>
        <v/>
      </c>
      <c r="U730" s="40" t="str">
        <f t="shared" si="275"/>
        <v/>
      </c>
      <c r="V730" s="39" t="str">
        <f t="shared" si="276"/>
        <v/>
      </c>
      <c r="W730" s="34" t="str">
        <f t="shared" si="277"/>
        <v/>
      </c>
      <c r="X730" s="41" t="str">
        <f t="shared" si="284"/>
        <v/>
      </c>
      <c r="Y730" s="98" t="str">
        <f t="shared" si="278"/>
        <v/>
      </c>
      <c r="Z730" s="16" t="str">
        <f t="shared" si="285"/>
        <v/>
      </c>
      <c r="AB730" s="139"/>
      <c r="AC730" s="146" t="str">
        <f t="shared" si="288"/>
        <v/>
      </c>
      <c r="AD730" s="148" t="str">
        <f t="shared" si="286"/>
        <v/>
      </c>
      <c r="AE730" s="147" t="str">
        <f t="shared" si="279"/>
        <v/>
      </c>
      <c r="AF730" s="111" t="str">
        <f t="shared" si="280"/>
        <v/>
      </c>
      <c r="AG730" s="111" t="str">
        <f t="shared" si="281"/>
        <v/>
      </c>
      <c r="AH730" s="112" t="str">
        <f t="shared" si="282"/>
        <v/>
      </c>
      <c r="AI730" t="str">
        <f t="shared" si="287"/>
        <v/>
      </c>
      <c r="AJ730" t="str">
        <f t="shared" si="289"/>
        <v/>
      </c>
    </row>
    <row r="731" spans="1:36" ht="15" customHeight="1" x14ac:dyDescent="0.25">
      <c r="A731" s="114"/>
      <c r="B731" s="116"/>
      <c r="C731" s="116"/>
      <c r="D731" s="42" t="str">
        <f t="shared" si="266"/>
        <v/>
      </c>
      <c r="E731" s="43"/>
      <c r="F731" s="118"/>
      <c r="G731" s="44" t="str">
        <f t="shared" si="267"/>
        <v/>
      </c>
      <c r="H731" s="118"/>
      <c r="I731" s="34" t="str">
        <f t="shared" si="268"/>
        <v/>
      </c>
      <c r="J731" s="118"/>
      <c r="K731" s="34" t="str">
        <f t="shared" si="269"/>
        <v/>
      </c>
      <c r="L731" s="118"/>
      <c r="M731" s="121"/>
      <c r="N731" s="122" t="str">
        <f t="shared" si="270"/>
        <v/>
      </c>
      <c r="O731" s="35" t="str">
        <f t="shared" si="271"/>
        <v/>
      </c>
      <c r="P731" s="124"/>
      <c r="Q731" s="36" t="str">
        <f t="shared" si="283"/>
        <v/>
      </c>
      <c r="R731" s="46" t="str">
        <f t="shared" si="272"/>
        <v/>
      </c>
      <c r="S731" s="38" t="str">
        <f t="shared" si="273"/>
        <v/>
      </c>
      <c r="T731" s="39" t="str">
        <f t="shared" si="274"/>
        <v/>
      </c>
      <c r="U731" s="40" t="str">
        <f t="shared" si="275"/>
        <v/>
      </c>
      <c r="V731" s="39" t="str">
        <f t="shared" si="276"/>
        <v/>
      </c>
      <c r="W731" s="34" t="str">
        <f t="shared" si="277"/>
        <v/>
      </c>
      <c r="X731" s="41" t="str">
        <f t="shared" si="284"/>
        <v/>
      </c>
      <c r="Y731" s="98" t="str">
        <f t="shared" si="278"/>
        <v/>
      </c>
      <c r="Z731" s="16" t="str">
        <f t="shared" si="285"/>
        <v/>
      </c>
      <c r="AB731" s="139"/>
      <c r="AC731" s="146" t="str">
        <f t="shared" si="288"/>
        <v/>
      </c>
      <c r="AD731" s="148" t="str">
        <f t="shared" si="286"/>
        <v/>
      </c>
      <c r="AE731" s="147" t="str">
        <f t="shared" si="279"/>
        <v/>
      </c>
      <c r="AF731" s="111" t="str">
        <f t="shared" si="280"/>
        <v/>
      </c>
      <c r="AG731" s="111" t="str">
        <f t="shared" si="281"/>
        <v/>
      </c>
      <c r="AH731" s="112" t="str">
        <f t="shared" si="282"/>
        <v/>
      </c>
      <c r="AI731" t="str">
        <f t="shared" si="287"/>
        <v/>
      </c>
      <c r="AJ731" t="str">
        <f t="shared" si="289"/>
        <v/>
      </c>
    </row>
    <row r="732" spans="1:36" ht="15" customHeight="1" x14ac:dyDescent="0.25">
      <c r="A732" s="114"/>
      <c r="B732" s="116"/>
      <c r="C732" s="116"/>
      <c r="D732" s="42" t="str">
        <f t="shared" si="266"/>
        <v/>
      </c>
      <c r="E732" s="43"/>
      <c r="F732" s="118"/>
      <c r="G732" s="44" t="str">
        <f t="shared" si="267"/>
        <v/>
      </c>
      <c r="H732" s="118"/>
      <c r="I732" s="34" t="str">
        <f t="shared" si="268"/>
        <v/>
      </c>
      <c r="J732" s="118"/>
      <c r="K732" s="34" t="str">
        <f t="shared" si="269"/>
        <v/>
      </c>
      <c r="L732" s="118"/>
      <c r="M732" s="121"/>
      <c r="N732" s="122" t="str">
        <f t="shared" si="270"/>
        <v/>
      </c>
      <c r="O732" s="35" t="str">
        <f t="shared" si="271"/>
        <v/>
      </c>
      <c r="P732" s="124"/>
      <c r="Q732" s="36" t="str">
        <f t="shared" si="283"/>
        <v/>
      </c>
      <c r="R732" s="46" t="str">
        <f t="shared" si="272"/>
        <v/>
      </c>
      <c r="S732" s="38" t="str">
        <f t="shared" si="273"/>
        <v/>
      </c>
      <c r="T732" s="39" t="str">
        <f t="shared" si="274"/>
        <v/>
      </c>
      <c r="U732" s="40" t="str">
        <f t="shared" si="275"/>
        <v/>
      </c>
      <c r="V732" s="39" t="str">
        <f t="shared" si="276"/>
        <v/>
      </c>
      <c r="W732" s="34" t="str">
        <f t="shared" si="277"/>
        <v/>
      </c>
      <c r="X732" s="41" t="str">
        <f t="shared" si="284"/>
        <v/>
      </c>
      <c r="Y732" s="98" t="str">
        <f t="shared" si="278"/>
        <v/>
      </c>
      <c r="Z732" s="16" t="str">
        <f t="shared" si="285"/>
        <v/>
      </c>
      <c r="AB732" s="139"/>
      <c r="AC732" s="146" t="str">
        <f t="shared" si="288"/>
        <v/>
      </c>
      <c r="AD732" s="148" t="str">
        <f t="shared" si="286"/>
        <v/>
      </c>
      <c r="AE732" s="147" t="str">
        <f t="shared" si="279"/>
        <v/>
      </c>
      <c r="AF732" s="111" t="str">
        <f t="shared" si="280"/>
        <v/>
      </c>
      <c r="AG732" s="111" t="str">
        <f t="shared" si="281"/>
        <v/>
      </c>
      <c r="AH732" s="112" t="str">
        <f t="shared" si="282"/>
        <v/>
      </c>
      <c r="AI732" t="str">
        <f t="shared" si="287"/>
        <v/>
      </c>
      <c r="AJ732" t="str">
        <f t="shared" si="289"/>
        <v/>
      </c>
    </row>
    <row r="733" spans="1:36" ht="15" customHeight="1" x14ac:dyDescent="0.25">
      <c r="A733" s="114"/>
      <c r="B733" s="116"/>
      <c r="C733" s="116"/>
      <c r="D733" s="42" t="str">
        <f t="shared" si="266"/>
        <v/>
      </c>
      <c r="E733" s="43"/>
      <c r="F733" s="118"/>
      <c r="G733" s="44" t="str">
        <f t="shared" si="267"/>
        <v/>
      </c>
      <c r="H733" s="118"/>
      <c r="I733" s="34" t="str">
        <f t="shared" si="268"/>
        <v/>
      </c>
      <c r="J733" s="118"/>
      <c r="K733" s="34" t="str">
        <f t="shared" si="269"/>
        <v/>
      </c>
      <c r="L733" s="118"/>
      <c r="M733" s="121"/>
      <c r="N733" s="122" t="str">
        <f t="shared" si="270"/>
        <v/>
      </c>
      <c r="O733" s="35" t="str">
        <f t="shared" si="271"/>
        <v/>
      </c>
      <c r="P733" s="124"/>
      <c r="Q733" s="36" t="str">
        <f t="shared" si="283"/>
        <v/>
      </c>
      <c r="R733" s="46" t="str">
        <f t="shared" si="272"/>
        <v/>
      </c>
      <c r="S733" s="38" t="str">
        <f t="shared" si="273"/>
        <v/>
      </c>
      <c r="T733" s="39" t="str">
        <f t="shared" si="274"/>
        <v/>
      </c>
      <c r="U733" s="40" t="str">
        <f t="shared" si="275"/>
        <v/>
      </c>
      <c r="V733" s="39" t="str">
        <f t="shared" si="276"/>
        <v/>
      </c>
      <c r="W733" s="34" t="str">
        <f t="shared" si="277"/>
        <v/>
      </c>
      <c r="X733" s="41" t="str">
        <f t="shared" si="284"/>
        <v/>
      </c>
      <c r="Y733" s="98" t="str">
        <f t="shared" si="278"/>
        <v/>
      </c>
      <c r="Z733" s="16" t="str">
        <f t="shared" si="285"/>
        <v/>
      </c>
      <c r="AB733" s="139"/>
      <c r="AC733" s="146" t="str">
        <f t="shared" si="288"/>
        <v/>
      </c>
      <c r="AD733" s="148" t="str">
        <f t="shared" si="286"/>
        <v/>
      </c>
      <c r="AE733" s="147" t="str">
        <f t="shared" si="279"/>
        <v/>
      </c>
      <c r="AF733" s="111" t="str">
        <f t="shared" si="280"/>
        <v/>
      </c>
      <c r="AG733" s="111" t="str">
        <f t="shared" si="281"/>
        <v/>
      </c>
      <c r="AH733" s="112" t="str">
        <f t="shared" si="282"/>
        <v/>
      </c>
      <c r="AI733" t="str">
        <f t="shared" si="287"/>
        <v/>
      </c>
      <c r="AJ733" t="str">
        <f t="shared" si="289"/>
        <v/>
      </c>
    </row>
    <row r="734" spans="1:36" ht="15" customHeight="1" x14ac:dyDescent="0.25">
      <c r="A734" s="114"/>
      <c r="B734" s="116"/>
      <c r="C734" s="116"/>
      <c r="D734" s="42" t="str">
        <f t="shared" si="266"/>
        <v/>
      </c>
      <c r="E734" s="43"/>
      <c r="F734" s="118"/>
      <c r="G734" s="44" t="str">
        <f t="shared" si="267"/>
        <v/>
      </c>
      <c r="H734" s="118"/>
      <c r="I734" s="34" t="str">
        <f t="shared" si="268"/>
        <v/>
      </c>
      <c r="J734" s="118"/>
      <c r="K734" s="34" t="str">
        <f t="shared" si="269"/>
        <v/>
      </c>
      <c r="L734" s="118"/>
      <c r="M734" s="121"/>
      <c r="N734" s="122" t="str">
        <f t="shared" si="270"/>
        <v/>
      </c>
      <c r="O734" s="35" t="str">
        <f t="shared" si="271"/>
        <v/>
      </c>
      <c r="P734" s="124"/>
      <c r="Q734" s="36" t="str">
        <f t="shared" si="283"/>
        <v/>
      </c>
      <c r="R734" s="46" t="str">
        <f t="shared" si="272"/>
        <v/>
      </c>
      <c r="S734" s="38" t="str">
        <f t="shared" si="273"/>
        <v/>
      </c>
      <c r="T734" s="39" t="str">
        <f t="shared" si="274"/>
        <v/>
      </c>
      <c r="U734" s="40" t="str">
        <f t="shared" si="275"/>
        <v/>
      </c>
      <c r="V734" s="39" t="str">
        <f t="shared" si="276"/>
        <v/>
      </c>
      <c r="W734" s="34" t="str">
        <f t="shared" si="277"/>
        <v/>
      </c>
      <c r="X734" s="41" t="str">
        <f t="shared" si="284"/>
        <v/>
      </c>
      <c r="Y734" s="98" t="str">
        <f t="shared" si="278"/>
        <v/>
      </c>
      <c r="Z734" s="16" t="str">
        <f t="shared" si="285"/>
        <v/>
      </c>
      <c r="AB734" s="139"/>
      <c r="AC734" s="146" t="str">
        <f t="shared" si="288"/>
        <v/>
      </c>
      <c r="AD734" s="148" t="str">
        <f t="shared" si="286"/>
        <v/>
      </c>
      <c r="AE734" s="147" t="str">
        <f t="shared" si="279"/>
        <v/>
      </c>
      <c r="AF734" s="111" t="str">
        <f t="shared" si="280"/>
        <v/>
      </c>
      <c r="AG734" s="111" t="str">
        <f t="shared" si="281"/>
        <v/>
      </c>
      <c r="AH734" s="112" t="str">
        <f t="shared" si="282"/>
        <v/>
      </c>
      <c r="AI734" t="str">
        <f t="shared" si="287"/>
        <v/>
      </c>
      <c r="AJ734" t="str">
        <f t="shared" si="289"/>
        <v/>
      </c>
    </row>
    <row r="735" spans="1:36" ht="15" customHeight="1" x14ac:dyDescent="0.25">
      <c r="A735" s="114"/>
      <c r="B735" s="116"/>
      <c r="C735" s="116"/>
      <c r="D735" s="42" t="str">
        <f t="shared" si="266"/>
        <v/>
      </c>
      <c r="E735" s="43"/>
      <c r="F735" s="118"/>
      <c r="G735" s="44" t="str">
        <f t="shared" si="267"/>
        <v/>
      </c>
      <c r="H735" s="118"/>
      <c r="I735" s="34" t="str">
        <f t="shared" si="268"/>
        <v/>
      </c>
      <c r="J735" s="118"/>
      <c r="K735" s="34" t="str">
        <f t="shared" si="269"/>
        <v/>
      </c>
      <c r="L735" s="118"/>
      <c r="M735" s="121"/>
      <c r="N735" s="122" t="str">
        <f t="shared" si="270"/>
        <v/>
      </c>
      <c r="O735" s="35" t="str">
        <f t="shared" si="271"/>
        <v/>
      </c>
      <c r="P735" s="124"/>
      <c r="Q735" s="36" t="str">
        <f t="shared" si="283"/>
        <v/>
      </c>
      <c r="R735" s="46" t="str">
        <f t="shared" si="272"/>
        <v/>
      </c>
      <c r="S735" s="38" t="str">
        <f t="shared" si="273"/>
        <v/>
      </c>
      <c r="T735" s="39" t="str">
        <f t="shared" si="274"/>
        <v/>
      </c>
      <c r="U735" s="40" t="str">
        <f t="shared" si="275"/>
        <v/>
      </c>
      <c r="V735" s="39" t="str">
        <f t="shared" si="276"/>
        <v/>
      </c>
      <c r="W735" s="34" t="str">
        <f t="shared" si="277"/>
        <v/>
      </c>
      <c r="X735" s="41" t="str">
        <f t="shared" si="284"/>
        <v/>
      </c>
      <c r="Y735" s="98" t="str">
        <f t="shared" si="278"/>
        <v/>
      </c>
      <c r="Z735" s="16" t="str">
        <f t="shared" si="285"/>
        <v/>
      </c>
      <c r="AB735" s="139"/>
      <c r="AC735" s="146" t="str">
        <f t="shared" si="288"/>
        <v/>
      </c>
      <c r="AD735" s="148" t="str">
        <f t="shared" si="286"/>
        <v/>
      </c>
      <c r="AE735" s="147" t="str">
        <f t="shared" si="279"/>
        <v/>
      </c>
      <c r="AF735" s="111" t="str">
        <f t="shared" si="280"/>
        <v/>
      </c>
      <c r="AG735" s="111" t="str">
        <f t="shared" si="281"/>
        <v/>
      </c>
      <c r="AH735" s="112" t="str">
        <f t="shared" si="282"/>
        <v/>
      </c>
      <c r="AI735" t="str">
        <f t="shared" si="287"/>
        <v/>
      </c>
      <c r="AJ735" t="str">
        <f t="shared" si="289"/>
        <v/>
      </c>
    </row>
    <row r="736" spans="1:36" ht="15" customHeight="1" x14ac:dyDescent="0.25">
      <c r="A736" s="114"/>
      <c r="B736" s="116"/>
      <c r="C736" s="116"/>
      <c r="D736" s="42" t="str">
        <f t="shared" si="266"/>
        <v/>
      </c>
      <c r="E736" s="43"/>
      <c r="F736" s="118"/>
      <c r="G736" s="44" t="str">
        <f t="shared" si="267"/>
        <v/>
      </c>
      <c r="H736" s="118"/>
      <c r="I736" s="34" t="str">
        <f t="shared" si="268"/>
        <v/>
      </c>
      <c r="J736" s="118"/>
      <c r="K736" s="34" t="str">
        <f t="shared" si="269"/>
        <v/>
      </c>
      <c r="L736" s="118"/>
      <c r="M736" s="121"/>
      <c r="N736" s="122" t="str">
        <f t="shared" si="270"/>
        <v/>
      </c>
      <c r="O736" s="35" t="str">
        <f t="shared" si="271"/>
        <v/>
      </c>
      <c r="P736" s="124"/>
      <c r="Q736" s="36" t="str">
        <f t="shared" si="283"/>
        <v/>
      </c>
      <c r="R736" s="46" t="str">
        <f t="shared" si="272"/>
        <v/>
      </c>
      <c r="S736" s="38" t="str">
        <f t="shared" si="273"/>
        <v/>
      </c>
      <c r="T736" s="39" t="str">
        <f t="shared" si="274"/>
        <v/>
      </c>
      <c r="U736" s="40" t="str">
        <f t="shared" si="275"/>
        <v/>
      </c>
      <c r="V736" s="39" t="str">
        <f t="shared" si="276"/>
        <v/>
      </c>
      <c r="W736" s="34" t="str">
        <f t="shared" si="277"/>
        <v/>
      </c>
      <c r="X736" s="41" t="str">
        <f t="shared" si="284"/>
        <v/>
      </c>
      <c r="Y736" s="98" t="str">
        <f t="shared" si="278"/>
        <v/>
      </c>
      <c r="Z736" s="16" t="str">
        <f t="shared" si="285"/>
        <v/>
      </c>
      <c r="AB736" s="139"/>
      <c r="AC736" s="146" t="str">
        <f t="shared" si="288"/>
        <v/>
      </c>
      <c r="AD736" s="148" t="str">
        <f t="shared" si="286"/>
        <v/>
      </c>
      <c r="AE736" s="147" t="str">
        <f t="shared" si="279"/>
        <v/>
      </c>
      <c r="AF736" s="111" t="str">
        <f t="shared" si="280"/>
        <v/>
      </c>
      <c r="AG736" s="111" t="str">
        <f t="shared" si="281"/>
        <v/>
      </c>
      <c r="AH736" s="112" t="str">
        <f t="shared" si="282"/>
        <v/>
      </c>
      <c r="AI736" t="str">
        <f t="shared" si="287"/>
        <v/>
      </c>
      <c r="AJ736" t="str">
        <f t="shared" si="289"/>
        <v/>
      </c>
    </row>
    <row r="737" spans="1:36" ht="15" customHeight="1" x14ac:dyDescent="0.25">
      <c r="A737" s="114"/>
      <c r="B737" s="116"/>
      <c r="C737" s="116"/>
      <c r="D737" s="42" t="str">
        <f t="shared" si="266"/>
        <v/>
      </c>
      <c r="E737" s="43"/>
      <c r="F737" s="118"/>
      <c r="G737" s="44" t="str">
        <f t="shared" si="267"/>
        <v/>
      </c>
      <c r="H737" s="118"/>
      <c r="I737" s="34" t="str">
        <f t="shared" si="268"/>
        <v/>
      </c>
      <c r="J737" s="118"/>
      <c r="K737" s="34" t="str">
        <f t="shared" si="269"/>
        <v/>
      </c>
      <c r="L737" s="118"/>
      <c r="M737" s="121"/>
      <c r="N737" s="122" t="str">
        <f t="shared" si="270"/>
        <v/>
      </c>
      <c r="O737" s="35" t="str">
        <f t="shared" si="271"/>
        <v/>
      </c>
      <c r="P737" s="124"/>
      <c r="Q737" s="36" t="str">
        <f t="shared" si="283"/>
        <v/>
      </c>
      <c r="R737" s="46" t="str">
        <f t="shared" si="272"/>
        <v/>
      </c>
      <c r="S737" s="38" t="str">
        <f t="shared" si="273"/>
        <v/>
      </c>
      <c r="T737" s="39" t="str">
        <f t="shared" si="274"/>
        <v/>
      </c>
      <c r="U737" s="40" t="str">
        <f t="shared" si="275"/>
        <v/>
      </c>
      <c r="V737" s="39" t="str">
        <f t="shared" si="276"/>
        <v/>
      </c>
      <c r="W737" s="34" t="str">
        <f t="shared" si="277"/>
        <v/>
      </c>
      <c r="X737" s="41" t="str">
        <f t="shared" si="284"/>
        <v/>
      </c>
      <c r="Y737" s="98" t="str">
        <f t="shared" si="278"/>
        <v/>
      </c>
      <c r="Z737" s="16" t="str">
        <f t="shared" si="285"/>
        <v/>
      </c>
      <c r="AB737" s="139"/>
      <c r="AC737" s="146" t="str">
        <f t="shared" si="288"/>
        <v/>
      </c>
      <c r="AD737" s="148" t="str">
        <f t="shared" si="286"/>
        <v/>
      </c>
      <c r="AE737" s="147" t="str">
        <f t="shared" si="279"/>
        <v/>
      </c>
      <c r="AF737" s="111" t="str">
        <f t="shared" si="280"/>
        <v/>
      </c>
      <c r="AG737" s="111" t="str">
        <f t="shared" si="281"/>
        <v/>
      </c>
      <c r="AH737" s="112" t="str">
        <f t="shared" si="282"/>
        <v/>
      </c>
      <c r="AI737" t="str">
        <f t="shared" si="287"/>
        <v/>
      </c>
      <c r="AJ737" t="str">
        <f t="shared" si="289"/>
        <v/>
      </c>
    </row>
    <row r="738" spans="1:36" ht="15" customHeight="1" x14ac:dyDescent="0.25">
      <c r="A738" s="114"/>
      <c r="B738" s="116"/>
      <c r="C738" s="116"/>
      <c r="D738" s="42" t="str">
        <f t="shared" si="266"/>
        <v/>
      </c>
      <c r="E738" s="43"/>
      <c r="F738" s="118"/>
      <c r="G738" s="44" t="str">
        <f t="shared" si="267"/>
        <v/>
      </c>
      <c r="H738" s="118"/>
      <c r="I738" s="34" t="str">
        <f t="shared" si="268"/>
        <v/>
      </c>
      <c r="J738" s="118"/>
      <c r="K738" s="34" t="str">
        <f t="shared" si="269"/>
        <v/>
      </c>
      <c r="L738" s="118"/>
      <c r="M738" s="121"/>
      <c r="N738" s="122" t="str">
        <f t="shared" si="270"/>
        <v/>
      </c>
      <c r="O738" s="35" t="str">
        <f t="shared" si="271"/>
        <v/>
      </c>
      <c r="P738" s="124"/>
      <c r="Q738" s="36" t="str">
        <f t="shared" si="283"/>
        <v/>
      </c>
      <c r="R738" s="46" t="str">
        <f t="shared" si="272"/>
        <v/>
      </c>
      <c r="S738" s="38" t="str">
        <f t="shared" si="273"/>
        <v/>
      </c>
      <c r="T738" s="39" t="str">
        <f t="shared" si="274"/>
        <v/>
      </c>
      <c r="U738" s="40" t="str">
        <f t="shared" si="275"/>
        <v/>
      </c>
      <c r="V738" s="39" t="str">
        <f t="shared" si="276"/>
        <v/>
      </c>
      <c r="W738" s="34" t="str">
        <f t="shared" si="277"/>
        <v/>
      </c>
      <c r="X738" s="41" t="str">
        <f t="shared" si="284"/>
        <v/>
      </c>
      <c r="Y738" s="98" t="str">
        <f t="shared" si="278"/>
        <v/>
      </c>
      <c r="Z738" s="16" t="str">
        <f t="shared" si="285"/>
        <v/>
      </c>
      <c r="AB738" s="139"/>
      <c r="AC738" s="146" t="str">
        <f t="shared" si="288"/>
        <v/>
      </c>
      <c r="AD738" s="148" t="str">
        <f t="shared" si="286"/>
        <v/>
      </c>
      <c r="AE738" s="147" t="str">
        <f t="shared" si="279"/>
        <v/>
      </c>
      <c r="AF738" s="111" t="str">
        <f t="shared" si="280"/>
        <v/>
      </c>
      <c r="AG738" s="111" t="str">
        <f t="shared" si="281"/>
        <v/>
      </c>
      <c r="AH738" s="112" t="str">
        <f t="shared" si="282"/>
        <v/>
      </c>
      <c r="AI738" t="str">
        <f t="shared" si="287"/>
        <v/>
      </c>
      <c r="AJ738" t="str">
        <f t="shared" si="289"/>
        <v/>
      </c>
    </row>
    <row r="739" spans="1:36" ht="15" customHeight="1" x14ac:dyDescent="0.25">
      <c r="A739" s="114"/>
      <c r="B739" s="116"/>
      <c r="C739" s="116"/>
      <c r="D739" s="42" t="str">
        <f t="shared" si="266"/>
        <v/>
      </c>
      <c r="E739" s="43"/>
      <c r="F739" s="118"/>
      <c r="G739" s="44" t="str">
        <f t="shared" si="267"/>
        <v/>
      </c>
      <c r="H739" s="118"/>
      <c r="I739" s="34" t="str">
        <f t="shared" si="268"/>
        <v/>
      </c>
      <c r="J739" s="118"/>
      <c r="K739" s="34" t="str">
        <f t="shared" si="269"/>
        <v/>
      </c>
      <c r="L739" s="118"/>
      <c r="M739" s="121"/>
      <c r="N739" s="122" t="str">
        <f t="shared" si="270"/>
        <v/>
      </c>
      <c r="O739" s="35" t="str">
        <f t="shared" si="271"/>
        <v/>
      </c>
      <c r="P739" s="124"/>
      <c r="Q739" s="36" t="str">
        <f t="shared" si="283"/>
        <v/>
      </c>
      <c r="R739" s="46" t="str">
        <f t="shared" si="272"/>
        <v/>
      </c>
      <c r="S739" s="38" t="str">
        <f t="shared" si="273"/>
        <v/>
      </c>
      <c r="T739" s="39" t="str">
        <f t="shared" si="274"/>
        <v/>
      </c>
      <c r="U739" s="40" t="str">
        <f t="shared" si="275"/>
        <v/>
      </c>
      <c r="V739" s="39" t="str">
        <f t="shared" si="276"/>
        <v/>
      </c>
      <c r="W739" s="34" t="str">
        <f t="shared" si="277"/>
        <v/>
      </c>
      <c r="X739" s="41" t="str">
        <f t="shared" si="284"/>
        <v/>
      </c>
      <c r="Y739" s="98" t="str">
        <f t="shared" si="278"/>
        <v/>
      </c>
      <c r="Z739" s="16" t="str">
        <f t="shared" si="285"/>
        <v/>
      </c>
      <c r="AB739" s="139"/>
      <c r="AC739" s="146" t="str">
        <f t="shared" si="288"/>
        <v/>
      </c>
      <c r="AD739" s="148" t="str">
        <f t="shared" si="286"/>
        <v/>
      </c>
      <c r="AE739" s="147" t="str">
        <f t="shared" si="279"/>
        <v/>
      </c>
      <c r="AF739" s="111" t="str">
        <f t="shared" si="280"/>
        <v/>
      </c>
      <c r="AG739" s="111" t="str">
        <f t="shared" si="281"/>
        <v/>
      </c>
      <c r="AH739" s="112" t="str">
        <f t="shared" si="282"/>
        <v/>
      </c>
      <c r="AI739" t="str">
        <f t="shared" si="287"/>
        <v/>
      </c>
      <c r="AJ739" t="str">
        <f t="shared" si="289"/>
        <v/>
      </c>
    </row>
    <row r="740" spans="1:36" ht="15" customHeight="1" x14ac:dyDescent="0.25">
      <c r="A740" s="114"/>
      <c r="B740" s="116"/>
      <c r="C740" s="116"/>
      <c r="D740" s="42" t="str">
        <f t="shared" si="266"/>
        <v/>
      </c>
      <c r="E740" s="43"/>
      <c r="F740" s="118"/>
      <c r="G740" s="44" t="str">
        <f t="shared" si="267"/>
        <v/>
      </c>
      <c r="H740" s="118"/>
      <c r="I740" s="34" t="str">
        <f t="shared" si="268"/>
        <v/>
      </c>
      <c r="J740" s="118"/>
      <c r="K740" s="34" t="str">
        <f t="shared" si="269"/>
        <v/>
      </c>
      <c r="L740" s="118"/>
      <c r="M740" s="121"/>
      <c r="N740" s="122" t="str">
        <f t="shared" si="270"/>
        <v/>
      </c>
      <c r="O740" s="35" t="str">
        <f t="shared" si="271"/>
        <v/>
      </c>
      <c r="P740" s="124"/>
      <c r="Q740" s="36" t="str">
        <f t="shared" si="283"/>
        <v/>
      </c>
      <c r="R740" s="46" t="str">
        <f t="shared" si="272"/>
        <v/>
      </c>
      <c r="S740" s="38" t="str">
        <f t="shared" si="273"/>
        <v/>
      </c>
      <c r="T740" s="39" t="str">
        <f t="shared" si="274"/>
        <v/>
      </c>
      <c r="U740" s="40" t="str">
        <f t="shared" si="275"/>
        <v/>
      </c>
      <c r="V740" s="39" t="str">
        <f t="shared" si="276"/>
        <v/>
      </c>
      <c r="W740" s="34" t="str">
        <f t="shared" si="277"/>
        <v/>
      </c>
      <c r="X740" s="41" t="str">
        <f t="shared" si="284"/>
        <v/>
      </c>
      <c r="Y740" s="98" t="str">
        <f t="shared" si="278"/>
        <v/>
      </c>
      <c r="Z740" s="16" t="str">
        <f t="shared" si="285"/>
        <v/>
      </c>
      <c r="AB740" s="139"/>
      <c r="AC740" s="146" t="str">
        <f t="shared" si="288"/>
        <v/>
      </c>
      <c r="AD740" s="148" t="str">
        <f t="shared" si="286"/>
        <v/>
      </c>
      <c r="AE740" s="147" t="str">
        <f t="shared" si="279"/>
        <v/>
      </c>
      <c r="AF740" s="111" t="str">
        <f t="shared" si="280"/>
        <v/>
      </c>
      <c r="AG740" s="111" t="str">
        <f t="shared" si="281"/>
        <v/>
      </c>
      <c r="AH740" s="112" t="str">
        <f t="shared" si="282"/>
        <v/>
      </c>
      <c r="AI740" t="str">
        <f t="shared" si="287"/>
        <v/>
      </c>
      <c r="AJ740" t="str">
        <f t="shared" si="289"/>
        <v/>
      </c>
    </row>
    <row r="741" spans="1:36" ht="15" customHeight="1" x14ac:dyDescent="0.25">
      <c r="A741" s="114"/>
      <c r="B741" s="116"/>
      <c r="C741" s="116"/>
      <c r="D741" s="42" t="str">
        <f t="shared" si="266"/>
        <v/>
      </c>
      <c r="E741" s="43"/>
      <c r="F741" s="118"/>
      <c r="G741" s="44" t="str">
        <f t="shared" si="267"/>
        <v/>
      </c>
      <c r="H741" s="118"/>
      <c r="I741" s="34" t="str">
        <f t="shared" si="268"/>
        <v/>
      </c>
      <c r="J741" s="118"/>
      <c r="K741" s="34" t="str">
        <f t="shared" si="269"/>
        <v/>
      </c>
      <c r="L741" s="118"/>
      <c r="M741" s="121"/>
      <c r="N741" s="122" t="str">
        <f t="shared" si="270"/>
        <v/>
      </c>
      <c r="O741" s="35" t="str">
        <f t="shared" si="271"/>
        <v/>
      </c>
      <c r="P741" s="124"/>
      <c r="Q741" s="36" t="str">
        <f t="shared" si="283"/>
        <v/>
      </c>
      <c r="R741" s="46" t="str">
        <f t="shared" si="272"/>
        <v/>
      </c>
      <c r="S741" s="38" t="str">
        <f t="shared" si="273"/>
        <v/>
      </c>
      <c r="T741" s="39" t="str">
        <f t="shared" si="274"/>
        <v/>
      </c>
      <c r="U741" s="40" t="str">
        <f t="shared" si="275"/>
        <v/>
      </c>
      <c r="V741" s="39" t="str">
        <f t="shared" si="276"/>
        <v/>
      </c>
      <c r="W741" s="34" t="str">
        <f t="shared" si="277"/>
        <v/>
      </c>
      <c r="X741" s="41" t="str">
        <f t="shared" si="284"/>
        <v/>
      </c>
      <c r="Y741" s="98" t="str">
        <f t="shared" si="278"/>
        <v/>
      </c>
      <c r="Z741" s="16" t="str">
        <f t="shared" si="285"/>
        <v/>
      </c>
      <c r="AB741" s="139"/>
      <c r="AC741" s="146" t="str">
        <f t="shared" si="288"/>
        <v/>
      </c>
      <c r="AD741" s="148" t="str">
        <f t="shared" si="286"/>
        <v/>
      </c>
      <c r="AE741" s="147" t="str">
        <f t="shared" si="279"/>
        <v/>
      </c>
      <c r="AF741" s="111" t="str">
        <f t="shared" si="280"/>
        <v/>
      </c>
      <c r="AG741" s="111" t="str">
        <f t="shared" si="281"/>
        <v/>
      </c>
      <c r="AH741" s="112" t="str">
        <f t="shared" si="282"/>
        <v/>
      </c>
      <c r="AI741" t="str">
        <f t="shared" si="287"/>
        <v/>
      </c>
      <c r="AJ741" t="str">
        <f t="shared" si="289"/>
        <v/>
      </c>
    </row>
    <row r="742" spans="1:36" ht="15" customHeight="1" x14ac:dyDescent="0.25">
      <c r="A742" s="114"/>
      <c r="B742" s="116"/>
      <c r="C742" s="116"/>
      <c r="D742" s="42" t="str">
        <f t="shared" si="266"/>
        <v/>
      </c>
      <c r="E742" s="43"/>
      <c r="F742" s="118"/>
      <c r="G742" s="44" t="str">
        <f t="shared" si="267"/>
        <v/>
      </c>
      <c r="H742" s="118"/>
      <c r="I742" s="34" t="str">
        <f t="shared" si="268"/>
        <v/>
      </c>
      <c r="J742" s="118"/>
      <c r="K742" s="34" t="str">
        <f t="shared" si="269"/>
        <v/>
      </c>
      <c r="L742" s="118"/>
      <c r="M742" s="121"/>
      <c r="N742" s="122" t="str">
        <f t="shared" si="270"/>
        <v/>
      </c>
      <c r="O742" s="35" t="str">
        <f t="shared" si="271"/>
        <v/>
      </c>
      <c r="P742" s="124"/>
      <c r="Q742" s="36" t="str">
        <f t="shared" si="283"/>
        <v/>
      </c>
      <c r="R742" s="46" t="str">
        <f t="shared" si="272"/>
        <v/>
      </c>
      <c r="S742" s="38" t="str">
        <f t="shared" si="273"/>
        <v/>
      </c>
      <c r="T742" s="39" t="str">
        <f t="shared" si="274"/>
        <v/>
      </c>
      <c r="U742" s="40" t="str">
        <f t="shared" si="275"/>
        <v/>
      </c>
      <c r="V742" s="39" t="str">
        <f t="shared" si="276"/>
        <v/>
      </c>
      <c r="W742" s="34" t="str">
        <f t="shared" si="277"/>
        <v/>
      </c>
      <c r="X742" s="41" t="str">
        <f t="shared" si="284"/>
        <v/>
      </c>
      <c r="Y742" s="98" t="str">
        <f t="shared" si="278"/>
        <v/>
      </c>
      <c r="Z742" s="16" t="str">
        <f t="shared" si="285"/>
        <v/>
      </c>
      <c r="AB742" s="139"/>
      <c r="AC742" s="146" t="str">
        <f t="shared" si="288"/>
        <v/>
      </c>
      <c r="AD742" s="148" t="str">
        <f t="shared" si="286"/>
        <v/>
      </c>
      <c r="AE742" s="147" t="str">
        <f t="shared" si="279"/>
        <v/>
      </c>
      <c r="AF742" s="111" t="str">
        <f t="shared" si="280"/>
        <v/>
      </c>
      <c r="AG742" s="111" t="str">
        <f t="shared" si="281"/>
        <v/>
      </c>
      <c r="AH742" s="112" t="str">
        <f t="shared" si="282"/>
        <v/>
      </c>
      <c r="AI742" t="str">
        <f t="shared" si="287"/>
        <v/>
      </c>
      <c r="AJ742" t="str">
        <f t="shared" si="289"/>
        <v/>
      </c>
    </row>
    <row r="743" spans="1:36" ht="15" customHeight="1" x14ac:dyDescent="0.25">
      <c r="A743" s="114"/>
      <c r="B743" s="116"/>
      <c r="C743" s="116"/>
      <c r="D743" s="42" t="str">
        <f t="shared" si="266"/>
        <v/>
      </c>
      <c r="E743" s="43"/>
      <c r="F743" s="118"/>
      <c r="G743" s="44" t="str">
        <f t="shared" si="267"/>
        <v/>
      </c>
      <c r="H743" s="118"/>
      <c r="I743" s="34" t="str">
        <f t="shared" si="268"/>
        <v/>
      </c>
      <c r="J743" s="118"/>
      <c r="K743" s="34" t="str">
        <f t="shared" si="269"/>
        <v/>
      </c>
      <c r="L743" s="118"/>
      <c r="M743" s="121"/>
      <c r="N743" s="122" t="str">
        <f t="shared" si="270"/>
        <v/>
      </c>
      <c r="O743" s="35" t="str">
        <f t="shared" si="271"/>
        <v/>
      </c>
      <c r="P743" s="124"/>
      <c r="Q743" s="36" t="str">
        <f t="shared" si="283"/>
        <v/>
      </c>
      <c r="R743" s="46" t="str">
        <f t="shared" si="272"/>
        <v/>
      </c>
      <c r="S743" s="38" t="str">
        <f t="shared" si="273"/>
        <v/>
      </c>
      <c r="T743" s="39" t="str">
        <f t="shared" si="274"/>
        <v/>
      </c>
      <c r="U743" s="40" t="str">
        <f t="shared" si="275"/>
        <v/>
      </c>
      <c r="V743" s="39" t="str">
        <f t="shared" si="276"/>
        <v/>
      </c>
      <c r="W743" s="34" t="str">
        <f t="shared" si="277"/>
        <v/>
      </c>
      <c r="X743" s="41" t="str">
        <f t="shared" si="284"/>
        <v/>
      </c>
      <c r="Y743" s="98" t="str">
        <f t="shared" si="278"/>
        <v/>
      </c>
      <c r="Z743" s="16" t="str">
        <f t="shared" si="285"/>
        <v/>
      </c>
      <c r="AB743" s="139"/>
      <c r="AC743" s="146" t="str">
        <f t="shared" si="288"/>
        <v/>
      </c>
      <c r="AD743" s="148" t="str">
        <f t="shared" si="286"/>
        <v/>
      </c>
      <c r="AE743" s="147" t="str">
        <f t="shared" si="279"/>
        <v/>
      </c>
      <c r="AF743" s="111" t="str">
        <f t="shared" si="280"/>
        <v/>
      </c>
      <c r="AG743" s="111" t="str">
        <f t="shared" si="281"/>
        <v/>
      </c>
      <c r="AH743" s="112" t="str">
        <f t="shared" si="282"/>
        <v/>
      </c>
      <c r="AI743" t="str">
        <f t="shared" si="287"/>
        <v/>
      </c>
      <c r="AJ743" t="str">
        <f t="shared" si="289"/>
        <v/>
      </c>
    </row>
    <row r="744" spans="1:36" ht="15" customHeight="1" x14ac:dyDescent="0.25">
      <c r="A744" s="114"/>
      <c r="B744" s="116"/>
      <c r="C744" s="116"/>
      <c r="D744" s="42" t="str">
        <f t="shared" si="266"/>
        <v/>
      </c>
      <c r="E744" s="43"/>
      <c r="F744" s="118"/>
      <c r="G744" s="44" t="str">
        <f t="shared" si="267"/>
        <v/>
      </c>
      <c r="H744" s="118"/>
      <c r="I744" s="34" t="str">
        <f t="shared" si="268"/>
        <v/>
      </c>
      <c r="J744" s="118"/>
      <c r="K744" s="34" t="str">
        <f t="shared" si="269"/>
        <v/>
      </c>
      <c r="L744" s="118"/>
      <c r="M744" s="121"/>
      <c r="N744" s="122" t="str">
        <f t="shared" si="270"/>
        <v/>
      </c>
      <c r="O744" s="35" t="str">
        <f t="shared" si="271"/>
        <v/>
      </c>
      <c r="P744" s="124"/>
      <c r="Q744" s="36" t="str">
        <f t="shared" si="283"/>
        <v/>
      </c>
      <c r="R744" s="46" t="str">
        <f t="shared" si="272"/>
        <v/>
      </c>
      <c r="S744" s="38" t="str">
        <f t="shared" si="273"/>
        <v/>
      </c>
      <c r="T744" s="39" t="str">
        <f t="shared" si="274"/>
        <v/>
      </c>
      <c r="U744" s="40" t="str">
        <f t="shared" si="275"/>
        <v/>
      </c>
      <c r="V744" s="39" t="str">
        <f t="shared" si="276"/>
        <v/>
      </c>
      <c r="W744" s="34" t="str">
        <f t="shared" si="277"/>
        <v/>
      </c>
      <c r="X744" s="41" t="str">
        <f t="shared" si="284"/>
        <v/>
      </c>
      <c r="Y744" s="98" t="str">
        <f t="shared" si="278"/>
        <v/>
      </c>
      <c r="Z744" s="16" t="str">
        <f t="shared" si="285"/>
        <v/>
      </c>
      <c r="AB744" s="139"/>
      <c r="AC744" s="146" t="str">
        <f t="shared" si="288"/>
        <v/>
      </c>
      <c r="AD744" s="148" t="str">
        <f t="shared" si="286"/>
        <v/>
      </c>
      <c r="AE744" s="147" t="str">
        <f t="shared" si="279"/>
        <v/>
      </c>
      <c r="AF744" s="111" t="str">
        <f t="shared" si="280"/>
        <v/>
      </c>
      <c r="AG744" s="111" t="str">
        <f t="shared" si="281"/>
        <v/>
      </c>
      <c r="AH744" s="112" t="str">
        <f t="shared" si="282"/>
        <v/>
      </c>
      <c r="AI744" t="str">
        <f t="shared" si="287"/>
        <v/>
      </c>
      <c r="AJ744" t="str">
        <f t="shared" si="289"/>
        <v/>
      </c>
    </row>
    <row r="745" spans="1:36" ht="15" customHeight="1" x14ac:dyDescent="0.25">
      <c r="A745" s="114"/>
      <c r="B745" s="116"/>
      <c r="C745" s="116"/>
      <c r="D745" s="42" t="str">
        <f t="shared" si="266"/>
        <v/>
      </c>
      <c r="E745" s="43"/>
      <c r="F745" s="118"/>
      <c r="G745" s="44" t="str">
        <f t="shared" si="267"/>
        <v/>
      </c>
      <c r="H745" s="118"/>
      <c r="I745" s="34" t="str">
        <f t="shared" si="268"/>
        <v/>
      </c>
      <c r="J745" s="118"/>
      <c r="K745" s="34" t="str">
        <f t="shared" si="269"/>
        <v/>
      </c>
      <c r="L745" s="118"/>
      <c r="M745" s="121"/>
      <c r="N745" s="122" t="str">
        <f t="shared" si="270"/>
        <v/>
      </c>
      <c r="O745" s="35" t="str">
        <f t="shared" si="271"/>
        <v/>
      </c>
      <c r="P745" s="124"/>
      <c r="Q745" s="36" t="str">
        <f t="shared" si="283"/>
        <v/>
      </c>
      <c r="R745" s="46" t="str">
        <f t="shared" si="272"/>
        <v/>
      </c>
      <c r="S745" s="38" t="str">
        <f t="shared" si="273"/>
        <v/>
      </c>
      <c r="T745" s="39" t="str">
        <f t="shared" si="274"/>
        <v/>
      </c>
      <c r="U745" s="40" t="str">
        <f t="shared" si="275"/>
        <v/>
      </c>
      <c r="V745" s="39" t="str">
        <f t="shared" si="276"/>
        <v/>
      </c>
      <c r="W745" s="34" t="str">
        <f t="shared" si="277"/>
        <v/>
      </c>
      <c r="X745" s="41" t="str">
        <f t="shared" si="284"/>
        <v/>
      </c>
      <c r="Y745" s="98" t="str">
        <f t="shared" si="278"/>
        <v/>
      </c>
      <c r="Z745" s="16" t="str">
        <f t="shared" si="285"/>
        <v/>
      </c>
      <c r="AB745" s="139"/>
      <c r="AC745" s="146" t="str">
        <f t="shared" si="288"/>
        <v/>
      </c>
      <c r="AD745" s="148" t="str">
        <f t="shared" si="286"/>
        <v/>
      </c>
      <c r="AE745" s="147" t="str">
        <f t="shared" si="279"/>
        <v/>
      </c>
      <c r="AF745" s="111" t="str">
        <f t="shared" si="280"/>
        <v/>
      </c>
      <c r="AG745" s="111" t="str">
        <f t="shared" si="281"/>
        <v/>
      </c>
      <c r="AH745" s="112" t="str">
        <f t="shared" si="282"/>
        <v/>
      </c>
      <c r="AI745" t="str">
        <f t="shared" si="287"/>
        <v/>
      </c>
      <c r="AJ745" t="str">
        <f t="shared" si="289"/>
        <v/>
      </c>
    </row>
    <row r="746" spans="1:36" ht="15" customHeight="1" x14ac:dyDescent="0.25">
      <c r="A746" s="114"/>
      <c r="B746" s="116"/>
      <c r="C746" s="116"/>
      <c r="D746" s="42" t="str">
        <f t="shared" si="266"/>
        <v/>
      </c>
      <c r="E746" s="43"/>
      <c r="F746" s="118"/>
      <c r="G746" s="44" t="str">
        <f t="shared" si="267"/>
        <v/>
      </c>
      <c r="H746" s="118"/>
      <c r="I746" s="34" t="str">
        <f t="shared" si="268"/>
        <v/>
      </c>
      <c r="J746" s="118"/>
      <c r="K746" s="34" t="str">
        <f t="shared" si="269"/>
        <v/>
      </c>
      <c r="L746" s="118"/>
      <c r="M746" s="121"/>
      <c r="N746" s="122" t="str">
        <f t="shared" si="270"/>
        <v/>
      </c>
      <c r="O746" s="35" t="str">
        <f t="shared" si="271"/>
        <v/>
      </c>
      <c r="P746" s="124"/>
      <c r="Q746" s="36" t="str">
        <f t="shared" si="283"/>
        <v/>
      </c>
      <c r="R746" s="46" t="str">
        <f t="shared" si="272"/>
        <v/>
      </c>
      <c r="S746" s="38" t="str">
        <f t="shared" si="273"/>
        <v/>
      </c>
      <c r="T746" s="39" t="str">
        <f t="shared" si="274"/>
        <v/>
      </c>
      <c r="U746" s="40" t="str">
        <f t="shared" si="275"/>
        <v/>
      </c>
      <c r="V746" s="39" t="str">
        <f t="shared" si="276"/>
        <v/>
      </c>
      <c r="W746" s="34" t="str">
        <f t="shared" si="277"/>
        <v/>
      </c>
      <c r="X746" s="41" t="str">
        <f t="shared" si="284"/>
        <v/>
      </c>
      <c r="Y746" s="98" t="str">
        <f t="shared" si="278"/>
        <v/>
      </c>
      <c r="Z746" s="16" t="str">
        <f t="shared" si="285"/>
        <v/>
      </c>
      <c r="AB746" s="139"/>
      <c r="AC746" s="146" t="str">
        <f t="shared" si="288"/>
        <v/>
      </c>
      <c r="AD746" s="148" t="str">
        <f t="shared" si="286"/>
        <v/>
      </c>
      <c r="AE746" s="147" t="str">
        <f t="shared" si="279"/>
        <v/>
      </c>
      <c r="AF746" s="111" t="str">
        <f t="shared" si="280"/>
        <v/>
      </c>
      <c r="AG746" s="111" t="str">
        <f t="shared" si="281"/>
        <v/>
      </c>
      <c r="AH746" s="112" t="str">
        <f t="shared" si="282"/>
        <v/>
      </c>
      <c r="AI746" t="str">
        <f t="shared" si="287"/>
        <v/>
      </c>
      <c r="AJ746" t="str">
        <f t="shared" si="289"/>
        <v/>
      </c>
    </row>
    <row r="747" spans="1:36" ht="15" customHeight="1" x14ac:dyDescent="0.25">
      <c r="A747" s="114"/>
      <c r="B747" s="116"/>
      <c r="C747" s="116"/>
      <c r="D747" s="42" t="str">
        <f t="shared" si="266"/>
        <v/>
      </c>
      <c r="E747" s="43"/>
      <c r="F747" s="118"/>
      <c r="G747" s="44" t="str">
        <f t="shared" si="267"/>
        <v/>
      </c>
      <c r="H747" s="118"/>
      <c r="I747" s="34" t="str">
        <f t="shared" si="268"/>
        <v/>
      </c>
      <c r="J747" s="118"/>
      <c r="K747" s="34" t="str">
        <f t="shared" si="269"/>
        <v/>
      </c>
      <c r="L747" s="118"/>
      <c r="M747" s="121"/>
      <c r="N747" s="122" t="str">
        <f t="shared" si="270"/>
        <v/>
      </c>
      <c r="O747" s="35" t="str">
        <f t="shared" si="271"/>
        <v/>
      </c>
      <c r="P747" s="124"/>
      <c r="Q747" s="36" t="str">
        <f t="shared" si="283"/>
        <v/>
      </c>
      <c r="R747" s="46" t="str">
        <f t="shared" si="272"/>
        <v/>
      </c>
      <c r="S747" s="38" t="str">
        <f t="shared" si="273"/>
        <v/>
      </c>
      <c r="T747" s="39" t="str">
        <f t="shared" si="274"/>
        <v/>
      </c>
      <c r="U747" s="40" t="str">
        <f t="shared" si="275"/>
        <v/>
      </c>
      <c r="V747" s="39" t="str">
        <f t="shared" si="276"/>
        <v/>
      </c>
      <c r="W747" s="34" t="str">
        <f t="shared" si="277"/>
        <v/>
      </c>
      <c r="X747" s="41" t="str">
        <f t="shared" si="284"/>
        <v/>
      </c>
      <c r="Y747" s="98" t="str">
        <f t="shared" si="278"/>
        <v/>
      </c>
      <c r="Z747" s="16" t="str">
        <f t="shared" si="285"/>
        <v/>
      </c>
      <c r="AB747" s="139"/>
      <c r="AC747" s="146" t="str">
        <f t="shared" si="288"/>
        <v/>
      </c>
      <c r="AD747" s="148" t="str">
        <f t="shared" si="286"/>
        <v/>
      </c>
      <c r="AE747" s="147" t="str">
        <f t="shared" si="279"/>
        <v/>
      </c>
      <c r="AF747" s="111" t="str">
        <f t="shared" si="280"/>
        <v/>
      </c>
      <c r="AG747" s="111" t="str">
        <f t="shared" si="281"/>
        <v/>
      </c>
      <c r="AH747" s="112" t="str">
        <f t="shared" si="282"/>
        <v/>
      </c>
      <c r="AI747" t="str">
        <f t="shared" si="287"/>
        <v/>
      </c>
      <c r="AJ747" t="str">
        <f t="shared" si="289"/>
        <v/>
      </c>
    </row>
    <row r="748" spans="1:36" ht="15" customHeight="1" x14ac:dyDescent="0.25">
      <c r="A748" s="114"/>
      <c r="B748" s="116"/>
      <c r="C748" s="116"/>
      <c r="D748" s="42" t="str">
        <f t="shared" si="266"/>
        <v/>
      </c>
      <c r="E748" s="43"/>
      <c r="F748" s="118"/>
      <c r="G748" s="44" t="str">
        <f t="shared" si="267"/>
        <v/>
      </c>
      <c r="H748" s="118"/>
      <c r="I748" s="34" t="str">
        <f t="shared" si="268"/>
        <v/>
      </c>
      <c r="J748" s="118"/>
      <c r="K748" s="34" t="str">
        <f t="shared" si="269"/>
        <v/>
      </c>
      <c r="L748" s="118"/>
      <c r="M748" s="121"/>
      <c r="N748" s="122" t="str">
        <f t="shared" si="270"/>
        <v/>
      </c>
      <c r="O748" s="35" t="str">
        <f t="shared" si="271"/>
        <v/>
      </c>
      <c r="P748" s="124"/>
      <c r="Q748" s="36" t="str">
        <f t="shared" si="283"/>
        <v/>
      </c>
      <c r="R748" s="46" t="str">
        <f t="shared" si="272"/>
        <v/>
      </c>
      <c r="S748" s="38" t="str">
        <f t="shared" si="273"/>
        <v/>
      </c>
      <c r="T748" s="39" t="str">
        <f t="shared" si="274"/>
        <v/>
      </c>
      <c r="U748" s="40" t="str">
        <f t="shared" si="275"/>
        <v/>
      </c>
      <c r="V748" s="39" t="str">
        <f t="shared" si="276"/>
        <v/>
      </c>
      <c r="W748" s="34" t="str">
        <f t="shared" si="277"/>
        <v/>
      </c>
      <c r="X748" s="41" t="str">
        <f t="shared" si="284"/>
        <v/>
      </c>
      <c r="Y748" s="98" t="str">
        <f t="shared" si="278"/>
        <v/>
      </c>
      <c r="Z748" s="16" t="str">
        <f t="shared" si="285"/>
        <v/>
      </c>
      <c r="AB748" s="139"/>
      <c r="AC748" s="146" t="str">
        <f t="shared" si="288"/>
        <v/>
      </c>
      <c r="AD748" s="148" t="str">
        <f t="shared" si="286"/>
        <v/>
      </c>
      <c r="AE748" s="147" t="str">
        <f t="shared" si="279"/>
        <v/>
      </c>
      <c r="AF748" s="111" t="str">
        <f t="shared" si="280"/>
        <v/>
      </c>
      <c r="AG748" s="111" t="str">
        <f t="shared" si="281"/>
        <v/>
      </c>
      <c r="AH748" s="112" t="str">
        <f t="shared" si="282"/>
        <v/>
      </c>
      <c r="AI748" t="str">
        <f t="shared" si="287"/>
        <v/>
      </c>
      <c r="AJ748" t="str">
        <f t="shared" si="289"/>
        <v/>
      </c>
    </row>
    <row r="749" spans="1:36" ht="15" customHeight="1" x14ac:dyDescent="0.25">
      <c r="A749" s="114"/>
      <c r="B749" s="116"/>
      <c r="C749" s="116"/>
      <c r="D749" s="42" t="str">
        <f t="shared" si="266"/>
        <v/>
      </c>
      <c r="E749" s="43"/>
      <c r="F749" s="118"/>
      <c r="G749" s="44" t="str">
        <f t="shared" si="267"/>
        <v/>
      </c>
      <c r="H749" s="118"/>
      <c r="I749" s="34" t="str">
        <f t="shared" si="268"/>
        <v/>
      </c>
      <c r="J749" s="118"/>
      <c r="K749" s="34" t="str">
        <f t="shared" si="269"/>
        <v/>
      </c>
      <c r="L749" s="118"/>
      <c r="M749" s="121"/>
      <c r="N749" s="122" t="str">
        <f t="shared" si="270"/>
        <v/>
      </c>
      <c r="O749" s="35" t="str">
        <f t="shared" si="271"/>
        <v/>
      </c>
      <c r="P749" s="124"/>
      <c r="Q749" s="36" t="str">
        <f t="shared" si="283"/>
        <v/>
      </c>
      <c r="R749" s="46" t="str">
        <f t="shared" si="272"/>
        <v/>
      </c>
      <c r="S749" s="38" t="str">
        <f t="shared" si="273"/>
        <v/>
      </c>
      <c r="T749" s="39" t="str">
        <f t="shared" si="274"/>
        <v/>
      </c>
      <c r="U749" s="40" t="str">
        <f t="shared" si="275"/>
        <v/>
      </c>
      <c r="V749" s="39" t="str">
        <f t="shared" si="276"/>
        <v/>
      </c>
      <c r="W749" s="34" t="str">
        <f t="shared" si="277"/>
        <v/>
      </c>
      <c r="X749" s="41" t="str">
        <f t="shared" si="284"/>
        <v/>
      </c>
      <c r="Y749" s="98" t="str">
        <f t="shared" si="278"/>
        <v/>
      </c>
      <c r="Z749" s="16" t="str">
        <f t="shared" si="285"/>
        <v/>
      </c>
      <c r="AB749" s="139"/>
      <c r="AC749" s="146" t="str">
        <f t="shared" si="288"/>
        <v/>
      </c>
      <c r="AD749" s="148" t="str">
        <f t="shared" si="286"/>
        <v/>
      </c>
      <c r="AE749" s="147" t="str">
        <f t="shared" si="279"/>
        <v/>
      </c>
      <c r="AF749" s="111" t="str">
        <f t="shared" si="280"/>
        <v/>
      </c>
      <c r="AG749" s="111" t="str">
        <f t="shared" si="281"/>
        <v/>
      </c>
      <c r="AH749" s="112" t="str">
        <f t="shared" si="282"/>
        <v/>
      </c>
      <c r="AI749" t="str">
        <f t="shared" si="287"/>
        <v/>
      </c>
      <c r="AJ749" t="str">
        <f t="shared" si="289"/>
        <v/>
      </c>
    </row>
    <row r="750" spans="1:36" ht="15" customHeight="1" x14ac:dyDescent="0.25">
      <c r="A750" s="114"/>
      <c r="B750" s="116"/>
      <c r="C750" s="116"/>
      <c r="D750" s="42" t="str">
        <f t="shared" si="266"/>
        <v/>
      </c>
      <c r="E750" s="43"/>
      <c r="F750" s="118"/>
      <c r="G750" s="44" t="str">
        <f t="shared" si="267"/>
        <v/>
      </c>
      <c r="H750" s="118"/>
      <c r="I750" s="34" t="str">
        <f t="shared" si="268"/>
        <v/>
      </c>
      <c r="J750" s="118"/>
      <c r="K750" s="34" t="str">
        <f t="shared" si="269"/>
        <v/>
      </c>
      <c r="L750" s="118"/>
      <c r="M750" s="121"/>
      <c r="N750" s="122" t="str">
        <f t="shared" si="270"/>
        <v/>
      </c>
      <c r="O750" s="35" t="str">
        <f t="shared" si="271"/>
        <v/>
      </c>
      <c r="P750" s="124"/>
      <c r="Q750" s="36" t="str">
        <f t="shared" si="283"/>
        <v/>
      </c>
      <c r="R750" s="46" t="str">
        <f t="shared" si="272"/>
        <v/>
      </c>
      <c r="S750" s="38" t="str">
        <f t="shared" si="273"/>
        <v/>
      </c>
      <c r="T750" s="39" t="str">
        <f t="shared" si="274"/>
        <v/>
      </c>
      <c r="U750" s="40" t="str">
        <f t="shared" si="275"/>
        <v/>
      </c>
      <c r="V750" s="39" t="str">
        <f t="shared" si="276"/>
        <v/>
      </c>
      <c r="W750" s="34" t="str">
        <f t="shared" si="277"/>
        <v/>
      </c>
      <c r="X750" s="41" t="str">
        <f t="shared" si="284"/>
        <v/>
      </c>
      <c r="Y750" s="98" t="str">
        <f t="shared" si="278"/>
        <v/>
      </c>
      <c r="Z750" s="16" t="str">
        <f t="shared" si="285"/>
        <v/>
      </c>
      <c r="AB750" s="139"/>
      <c r="AC750" s="146" t="str">
        <f t="shared" si="288"/>
        <v/>
      </c>
      <c r="AD750" s="148" t="str">
        <f t="shared" si="286"/>
        <v/>
      </c>
      <c r="AE750" s="147" t="str">
        <f t="shared" si="279"/>
        <v/>
      </c>
      <c r="AF750" s="111" t="str">
        <f t="shared" si="280"/>
        <v/>
      </c>
      <c r="AG750" s="111" t="str">
        <f t="shared" si="281"/>
        <v/>
      </c>
      <c r="AH750" s="112" t="str">
        <f t="shared" si="282"/>
        <v/>
      </c>
      <c r="AI750" t="str">
        <f t="shared" si="287"/>
        <v/>
      </c>
      <c r="AJ750" t="str">
        <f t="shared" si="289"/>
        <v/>
      </c>
    </row>
    <row r="751" spans="1:36" ht="15" customHeight="1" x14ac:dyDescent="0.25">
      <c r="A751" s="114"/>
      <c r="B751" s="116"/>
      <c r="C751" s="116"/>
      <c r="D751" s="42" t="str">
        <f t="shared" si="266"/>
        <v/>
      </c>
      <c r="E751" s="43"/>
      <c r="F751" s="118"/>
      <c r="G751" s="44" t="str">
        <f t="shared" si="267"/>
        <v/>
      </c>
      <c r="H751" s="118"/>
      <c r="I751" s="34" t="str">
        <f t="shared" si="268"/>
        <v/>
      </c>
      <c r="J751" s="118"/>
      <c r="K751" s="34" t="str">
        <f t="shared" si="269"/>
        <v/>
      </c>
      <c r="L751" s="118"/>
      <c r="M751" s="121"/>
      <c r="N751" s="122" t="str">
        <f t="shared" si="270"/>
        <v/>
      </c>
      <c r="O751" s="35" t="str">
        <f t="shared" si="271"/>
        <v/>
      </c>
      <c r="P751" s="124"/>
      <c r="Q751" s="36" t="str">
        <f t="shared" si="283"/>
        <v/>
      </c>
      <c r="R751" s="46" t="str">
        <f t="shared" si="272"/>
        <v/>
      </c>
      <c r="S751" s="38" t="str">
        <f t="shared" si="273"/>
        <v/>
      </c>
      <c r="T751" s="39" t="str">
        <f t="shared" si="274"/>
        <v/>
      </c>
      <c r="U751" s="40" t="str">
        <f t="shared" si="275"/>
        <v/>
      </c>
      <c r="V751" s="39" t="str">
        <f t="shared" si="276"/>
        <v/>
      </c>
      <c r="W751" s="34" t="str">
        <f t="shared" si="277"/>
        <v/>
      </c>
      <c r="X751" s="41" t="str">
        <f t="shared" si="284"/>
        <v/>
      </c>
      <c r="Y751" s="98" t="str">
        <f t="shared" si="278"/>
        <v/>
      </c>
      <c r="Z751" s="16" t="str">
        <f t="shared" si="285"/>
        <v/>
      </c>
      <c r="AB751" s="139"/>
      <c r="AC751" s="146" t="str">
        <f t="shared" si="288"/>
        <v/>
      </c>
      <c r="AD751" s="148" t="str">
        <f t="shared" si="286"/>
        <v/>
      </c>
      <c r="AE751" s="147" t="str">
        <f t="shared" si="279"/>
        <v/>
      </c>
      <c r="AF751" s="111" t="str">
        <f t="shared" si="280"/>
        <v/>
      </c>
      <c r="AG751" s="111" t="str">
        <f t="shared" si="281"/>
        <v/>
      </c>
      <c r="AH751" s="112" t="str">
        <f t="shared" si="282"/>
        <v/>
      </c>
      <c r="AI751" t="str">
        <f t="shared" si="287"/>
        <v/>
      </c>
      <c r="AJ751" t="str">
        <f t="shared" si="289"/>
        <v/>
      </c>
    </row>
    <row r="752" spans="1:36" ht="15" customHeight="1" x14ac:dyDescent="0.25">
      <c r="A752" s="114"/>
      <c r="B752" s="116"/>
      <c r="C752" s="116"/>
      <c r="D752" s="42" t="str">
        <f t="shared" si="266"/>
        <v/>
      </c>
      <c r="E752" s="43"/>
      <c r="F752" s="118"/>
      <c r="G752" s="44" t="str">
        <f t="shared" si="267"/>
        <v/>
      </c>
      <c r="H752" s="118"/>
      <c r="I752" s="34" t="str">
        <f t="shared" si="268"/>
        <v/>
      </c>
      <c r="J752" s="118"/>
      <c r="K752" s="34" t="str">
        <f t="shared" si="269"/>
        <v/>
      </c>
      <c r="L752" s="118"/>
      <c r="M752" s="121"/>
      <c r="N752" s="122" t="str">
        <f t="shared" si="270"/>
        <v/>
      </c>
      <c r="O752" s="35" t="str">
        <f t="shared" si="271"/>
        <v/>
      </c>
      <c r="P752" s="124"/>
      <c r="Q752" s="36" t="str">
        <f t="shared" si="283"/>
        <v/>
      </c>
      <c r="R752" s="46" t="str">
        <f t="shared" si="272"/>
        <v/>
      </c>
      <c r="S752" s="38" t="str">
        <f t="shared" si="273"/>
        <v/>
      </c>
      <c r="T752" s="39" t="str">
        <f t="shared" si="274"/>
        <v/>
      </c>
      <c r="U752" s="40" t="str">
        <f t="shared" si="275"/>
        <v/>
      </c>
      <c r="V752" s="39" t="str">
        <f t="shared" si="276"/>
        <v/>
      </c>
      <c r="W752" s="34" t="str">
        <f t="shared" si="277"/>
        <v/>
      </c>
      <c r="X752" s="41" t="str">
        <f t="shared" si="284"/>
        <v/>
      </c>
      <c r="Y752" s="98" t="str">
        <f t="shared" si="278"/>
        <v/>
      </c>
      <c r="Z752" s="16" t="str">
        <f t="shared" si="285"/>
        <v/>
      </c>
      <c r="AB752" s="139"/>
      <c r="AC752" s="146" t="str">
        <f t="shared" si="288"/>
        <v/>
      </c>
      <c r="AD752" s="148" t="str">
        <f t="shared" si="286"/>
        <v/>
      </c>
      <c r="AE752" s="147" t="str">
        <f t="shared" si="279"/>
        <v/>
      </c>
      <c r="AF752" s="111" t="str">
        <f t="shared" si="280"/>
        <v/>
      </c>
      <c r="AG752" s="111" t="str">
        <f t="shared" si="281"/>
        <v/>
      </c>
      <c r="AH752" s="112" t="str">
        <f t="shared" si="282"/>
        <v/>
      </c>
      <c r="AI752" t="str">
        <f t="shared" si="287"/>
        <v/>
      </c>
      <c r="AJ752" t="str">
        <f t="shared" si="289"/>
        <v/>
      </c>
    </row>
    <row r="753" spans="1:36" ht="15" customHeight="1" x14ac:dyDescent="0.25">
      <c r="A753" s="114"/>
      <c r="B753" s="116"/>
      <c r="C753" s="116"/>
      <c r="D753" s="42" t="str">
        <f t="shared" si="266"/>
        <v/>
      </c>
      <c r="E753" s="43"/>
      <c r="F753" s="118"/>
      <c r="G753" s="44" t="str">
        <f t="shared" si="267"/>
        <v/>
      </c>
      <c r="H753" s="118"/>
      <c r="I753" s="34" t="str">
        <f t="shared" si="268"/>
        <v/>
      </c>
      <c r="J753" s="118"/>
      <c r="K753" s="34" t="str">
        <f t="shared" si="269"/>
        <v/>
      </c>
      <c r="L753" s="118"/>
      <c r="M753" s="121"/>
      <c r="N753" s="122" t="str">
        <f t="shared" si="270"/>
        <v/>
      </c>
      <c r="O753" s="35" t="str">
        <f t="shared" si="271"/>
        <v/>
      </c>
      <c r="P753" s="124"/>
      <c r="Q753" s="36" t="str">
        <f t="shared" si="283"/>
        <v/>
      </c>
      <c r="R753" s="46" t="str">
        <f t="shared" si="272"/>
        <v/>
      </c>
      <c r="S753" s="38" t="str">
        <f t="shared" si="273"/>
        <v/>
      </c>
      <c r="T753" s="39" t="str">
        <f t="shared" si="274"/>
        <v/>
      </c>
      <c r="U753" s="40" t="str">
        <f t="shared" si="275"/>
        <v/>
      </c>
      <c r="V753" s="39" t="str">
        <f t="shared" si="276"/>
        <v/>
      </c>
      <c r="W753" s="34" t="str">
        <f t="shared" si="277"/>
        <v/>
      </c>
      <c r="X753" s="41" t="str">
        <f t="shared" si="284"/>
        <v/>
      </c>
      <c r="Y753" s="98" t="str">
        <f t="shared" si="278"/>
        <v/>
      </c>
      <c r="Z753" s="16" t="str">
        <f t="shared" si="285"/>
        <v/>
      </c>
      <c r="AB753" s="139"/>
      <c r="AC753" s="146" t="str">
        <f t="shared" si="288"/>
        <v/>
      </c>
      <c r="AD753" s="148" t="str">
        <f t="shared" si="286"/>
        <v/>
      </c>
      <c r="AE753" s="147" t="str">
        <f t="shared" si="279"/>
        <v/>
      </c>
      <c r="AF753" s="111" t="str">
        <f t="shared" si="280"/>
        <v/>
      </c>
      <c r="AG753" s="111" t="str">
        <f t="shared" si="281"/>
        <v/>
      </c>
      <c r="AH753" s="112" t="str">
        <f t="shared" si="282"/>
        <v/>
      </c>
      <c r="AI753" t="str">
        <f t="shared" si="287"/>
        <v/>
      </c>
      <c r="AJ753" t="str">
        <f t="shared" si="289"/>
        <v/>
      </c>
    </row>
    <row r="754" spans="1:36" ht="15" customHeight="1" x14ac:dyDescent="0.25">
      <c r="A754" s="114"/>
      <c r="B754" s="116"/>
      <c r="C754" s="116"/>
      <c r="D754" s="42" t="str">
        <f t="shared" si="266"/>
        <v/>
      </c>
      <c r="E754" s="43"/>
      <c r="F754" s="118"/>
      <c r="G754" s="44" t="str">
        <f t="shared" si="267"/>
        <v/>
      </c>
      <c r="H754" s="118"/>
      <c r="I754" s="34" t="str">
        <f t="shared" si="268"/>
        <v/>
      </c>
      <c r="J754" s="118"/>
      <c r="K754" s="34" t="str">
        <f t="shared" si="269"/>
        <v/>
      </c>
      <c r="L754" s="118"/>
      <c r="M754" s="121"/>
      <c r="N754" s="122" t="str">
        <f t="shared" si="270"/>
        <v/>
      </c>
      <c r="O754" s="35" t="str">
        <f t="shared" si="271"/>
        <v/>
      </c>
      <c r="P754" s="124"/>
      <c r="Q754" s="36" t="str">
        <f t="shared" si="283"/>
        <v/>
      </c>
      <c r="R754" s="46" t="str">
        <f t="shared" si="272"/>
        <v/>
      </c>
      <c r="S754" s="38" t="str">
        <f t="shared" si="273"/>
        <v/>
      </c>
      <c r="T754" s="39" t="str">
        <f t="shared" si="274"/>
        <v/>
      </c>
      <c r="U754" s="40" t="str">
        <f t="shared" si="275"/>
        <v/>
      </c>
      <c r="V754" s="39" t="str">
        <f t="shared" si="276"/>
        <v/>
      </c>
      <c r="W754" s="34" t="str">
        <f t="shared" si="277"/>
        <v/>
      </c>
      <c r="X754" s="41" t="str">
        <f t="shared" si="284"/>
        <v/>
      </c>
      <c r="Y754" s="98" t="str">
        <f t="shared" si="278"/>
        <v/>
      </c>
      <c r="Z754" s="16" t="str">
        <f t="shared" si="285"/>
        <v/>
      </c>
      <c r="AB754" s="139"/>
      <c r="AC754" s="146" t="str">
        <f t="shared" si="288"/>
        <v/>
      </c>
      <c r="AD754" s="148" t="str">
        <f t="shared" si="286"/>
        <v/>
      </c>
      <c r="AE754" s="147" t="str">
        <f t="shared" si="279"/>
        <v/>
      </c>
      <c r="AF754" s="111" t="str">
        <f t="shared" si="280"/>
        <v/>
      </c>
      <c r="AG754" s="111" t="str">
        <f t="shared" si="281"/>
        <v/>
      </c>
      <c r="AH754" s="112" t="str">
        <f t="shared" si="282"/>
        <v/>
      </c>
      <c r="AI754" t="str">
        <f t="shared" si="287"/>
        <v/>
      </c>
      <c r="AJ754" t="str">
        <f t="shared" si="289"/>
        <v/>
      </c>
    </row>
    <row r="755" spans="1:36" ht="15" customHeight="1" x14ac:dyDescent="0.25">
      <c r="A755" s="114"/>
      <c r="B755" s="116"/>
      <c r="C755" s="116"/>
      <c r="D755" s="42" t="str">
        <f t="shared" si="266"/>
        <v/>
      </c>
      <c r="E755" s="43"/>
      <c r="F755" s="118"/>
      <c r="G755" s="44" t="str">
        <f t="shared" si="267"/>
        <v/>
      </c>
      <c r="H755" s="118"/>
      <c r="I755" s="34" t="str">
        <f t="shared" si="268"/>
        <v/>
      </c>
      <c r="J755" s="118"/>
      <c r="K755" s="34" t="str">
        <f t="shared" si="269"/>
        <v/>
      </c>
      <c r="L755" s="118"/>
      <c r="M755" s="121"/>
      <c r="N755" s="122" t="str">
        <f t="shared" si="270"/>
        <v/>
      </c>
      <c r="O755" s="35" t="str">
        <f t="shared" si="271"/>
        <v/>
      </c>
      <c r="P755" s="124"/>
      <c r="Q755" s="36" t="str">
        <f t="shared" si="283"/>
        <v/>
      </c>
      <c r="R755" s="46" t="str">
        <f t="shared" si="272"/>
        <v/>
      </c>
      <c r="S755" s="38" t="str">
        <f t="shared" si="273"/>
        <v/>
      </c>
      <c r="T755" s="39" t="str">
        <f t="shared" si="274"/>
        <v/>
      </c>
      <c r="U755" s="40" t="str">
        <f t="shared" si="275"/>
        <v/>
      </c>
      <c r="V755" s="39" t="str">
        <f t="shared" si="276"/>
        <v/>
      </c>
      <c r="W755" s="34" t="str">
        <f t="shared" si="277"/>
        <v/>
      </c>
      <c r="X755" s="41" t="str">
        <f t="shared" si="284"/>
        <v/>
      </c>
      <c r="Y755" s="98" t="str">
        <f t="shared" si="278"/>
        <v/>
      </c>
      <c r="Z755" s="16" t="str">
        <f t="shared" si="285"/>
        <v/>
      </c>
      <c r="AB755" s="139"/>
      <c r="AC755" s="146" t="str">
        <f t="shared" si="288"/>
        <v/>
      </c>
      <c r="AD755" s="148" t="str">
        <f t="shared" si="286"/>
        <v/>
      </c>
      <c r="AE755" s="147" t="str">
        <f t="shared" si="279"/>
        <v/>
      </c>
      <c r="AF755" s="111" t="str">
        <f t="shared" si="280"/>
        <v/>
      </c>
      <c r="AG755" s="111" t="str">
        <f t="shared" si="281"/>
        <v/>
      </c>
      <c r="AH755" s="112" t="str">
        <f t="shared" si="282"/>
        <v/>
      </c>
      <c r="AI755" t="str">
        <f t="shared" si="287"/>
        <v/>
      </c>
      <c r="AJ755" t="str">
        <f t="shared" si="289"/>
        <v/>
      </c>
    </row>
    <row r="756" spans="1:36" ht="15" customHeight="1" x14ac:dyDescent="0.25">
      <c r="A756" s="114"/>
      <c r="B756" s="116"/>
      <c r="C756" s="116"/>
      <c r="D756" s="42" t="str">
        <f t="shared" si="266"/>
        <v/>
      </c>
      <c r="E756" s="43"/>
      <c r="F756" s="118"/>
      <c r="G756" s="44" t="str">
        <f t="shared" si="267"/>
        <v/>
      </c>
      <c r="H756" s="118"/>
      <c r="I756" s="34" t="str">
        <f t="shared" si="268"/>
        <v/>
      </c>
      <c r="J756" s="118"/>
      <c r="K756" s="34" t="str">
        <f t="shared" si="269"/>
        <v/>
      </c>
      <c r="L756" s="118"/>
      <c r="M756" s="121"/>
      <c r="N756" s="122" t="str">
        <f t="shared" si="270"/>
        <v/>
      </c>
      <c r="O756" s="35" t="str">
        <f t="shared" si="271"/>
        <v/>
      </c>
      <c r="P756" s="124"/>
      <c r="Q756" s="36" t="str">
        <f t="shared" si="283"/>
        <v/>
      </c>
      <c r="R756" s="46" t="str">
        <f t="shared" si="272"/>
        <v/>
      </c>
      <c r="S756" s="38" t="str">
        <f t="shared" si="273"/>
        <v/>
      </c>
      <c r="T756" s="39" t="str">
        <f t="shared" si="274"/>
        <v/>
      </c>
      <c r="U756" s="40" t="str">
        <f t="shared" si="275"/>
        <v/>
      </c>
      <c r="V756" s="39" t="str">
        <f t="shared" si="276"/>
        <v/>
      </c>
      <c r="W756" s="34" t="str">
        <f t="shared" si="277"/>
        <v/>
      </c>
      <c r="X756" s="41" t="str">
        <f t="shared" si="284"/>
        <v/>
      </c>
      <c r="Y756" s="98" t="str">
        <f t="shared" si="278"/>
        <v/>
      </c>
      <c r="Z756" s="16" t="str">
        <f t="shared" si="285"/>
        <v/>
      </c>
      <c r="AB756" s="139"/>
      <c r="AC756" s="146" t="str">
        <f t="shared" si="288"/>
        <v/>
      </c>
      <c r="AD756" s="148" t="str">
        <f t="shared" si="286"/>
        <v/>
      </c>
      <c r="AE756" s="147" t="str">
        <f t="shared" si="279"/>
        <v/>
      </c>
      <c r="AF756" s="111" t="str">
        <f t="shared" si="280"/>
        <v/>
      </c>
      <c r="AG756" s="111" t="str">
        <f t="shared" si="281"/>
        <v/>
      </c>
      <c r="AH756" s="112" t="str">
        <f t="shared" si="282"/>
        <v/>
      </c>
      <c r="AI756" t="str">
        <f t="shared" si="287"/>
        <v/>
      </c>
      <c r="AJ756" t="str">
        <f t="shared" si="289"/>
        <v/>
      </c>
    </row>
    <row r="757" spans="1:36" ht="15" customHeight="1" x14ac:dyDescent="0.25">
      <c r="A757" s="114"/>
      <c r="B757" s="116"/>
      <c r="C757" s="116"/>
      <c r="D757" s="42" t="str">
        <f t="shared" si="266"/>
        <v/>
      </c>
      <c r="E757" s="43"/>
      <c r="F757" s="118"/>
      <c r="G757" s="44" t="str">
        <f t="shared" si="267"/>
        <v/>
      </c>
      <c r="H757" s="118"/>
      <c r="I757" s="34" t="str">
        <f t="shared" si="268"/>
        <v/>
      </c>
      <c r="J757" s="118"/>
      <c r="K757" s="34" t="str">
        <f t="shared" si="269"/>
        <v/>
      </c>
      <c r="L757" s="118"/>
      <c r="M757" s="121"/>
      <c r="N757" s="122" t="str">
        <f t="shared" si="270"/>
        <v/>
      </c>
      <c r="O757" s="35" t="str">
        <f t="shared" si="271"/>
        <v/>
      </c>
      <c r="P757" s="124"/>
      <c r="Q757" s="36" t="str">
        <f t="shared" si="283"/>
        <v/>
      </c>
      <c r="R757" s="46" t="str">
        <f t="shared" si="272"/>
        <v/>
      </c>
      <c r="S757" s="38" t="str">
        <f t="shared" si="273"/>
        <v/>
      </c>
      <c r="T757" s="39" t="str">
        <f t="shared" si="274"/>
        <v/>
      </c>
      <c r="U757" s="40" t="str">
        <f t="shared" si="275"/>
        <v/>
      </c>
      <c r="V757" s="39" t="str">
        <f t="shared" si="276"/>
        <v/>
      </c>
      <c r="W757" s="34" t="str">
        <f t="shared" si="277"/>
        <v/>
      </c>
      <c r="X757" s="41" t="str">
        <f t="shared" si="284"/>
        <v/>
      </c>
      <c r="Y757" s="98" t="str">
        <f t="shared" si="278"/>
        <v/>
      </c>
      <c r="Z757" s="16" t="str">
        <f t="shared" si="285"/>
        <v/>
      </c>
      <c r="AB757" s="139"/>
      <c r="AC757" s="146" t="str">
        <f t="shared" si="288"/>
        <v/>
      </c>
      <c r="AD757" s="148" t="str">
        <f t="shared" si="286"/>
        <v/>
      </c>
      <c r="AE757" s="147" t="str">
        <f t="shared" si="279"/>
        <v/>
      </c>
      <c r="AF757" s="111" t="str">
        <f t="shared" si="280"/>
        <v/>
      </c>
      <c r="AG757" s="111" t="str">
        <f t="shared" si="281"/>
        <v/>
      </c>
      <c r="AH757" s="112" t="str">
        <f t="shared" si="282"/>
        <v/>
      </c>
      <c r="AI757" t="str">
        <f t="shared" si="287"/>
        <v/>
      </c>
      <c r="AJ757" t="str">
        <f t="shared" si="289"/>
        <v/>
      </c>
    </row>
    <row r="758" spans="1:36" ht="15" customHeight="1" x14ac:dyDescent="0.25">
      <c r="A758" s="114"/>
      <c r="B758" s="116"/>
      <c r="C758" s="116"/>
      <c r="D758" s="42" t="str">
        <f t="shared" si="266"/>
        <v/>
      </c>
      <c r="E758" s="43"/>
      <c r="F758" s="118"/>
      <c r="G758" s="44" t="str">
        <f t="shared" si="267"/>
        <v/>
      </c>
      <c r="H758" s="118"/>
      <c r="I758" s="34" t="str">
        <f t="shared" si="268"/>
        <v/>
      </c>
      <c r="J758" s="118"/>
      <c r="K758" s="34" t="str">
        <f t="shared" si="269"/>
        <v/>
      </c>
      <c r="L758" s="118"/>
      <c r="M758" s="121"/>
      <c r="N758" s="122" t="str">
        <f t="shared" si="270"/>
        <v/>
      </c>
      <c r="O758" s="35" t="str">
        <f t="shared" si="271"/>
        <v/>
      </c>
      <c r="P758" s="124"/>
      <c r="Q758" s="36" t="str">
        <f t="shared" si="283"/>
        <v/>
      </c>
      <c r="R758" s="46" t="str">
        <f t="shared" si="272"/>
        <v/>
      </c>
      <c r="S758" s="38" t="str">
        <f t="shared" si="273"/>
        <v/>
      </c>
      <c r="T758" s="39" t="str">
        <f t="shared" si="274"/>
        <v/>
      </c>
      <c r="U758" s="40" t="str">
        <f t="shared" si="275"/>
        <v/>
      </c>
      <c r="V758" s="39" t="str">
        <f t="shared" si="276"/>
        <v/>
      </c>
      <c r="W758" s="34" t="str">
        <f t="shared" si="277"/>
        <v/>
      </c>
      <c r="X758" s="41" t="str">
        <f t="shared" si="284"/>
        <v/>
      </c>
      <c r="Y758" s="98" t="str">
        <f t="shared" si="278"/>
        <v/>
      </c>
      <c r="Z758" s="16" t="str">
        <f t="shared" si="285"/>
        <v/>
      </c>
      <c r="AB758" s="139"/>
      <c r="AC758" s="146" t="str">
        <f t="shared" si="288"/>
        <v/>
      </c>
      <c r="AD758" s="148" t="str">
        <f t="shared" si="286"/>
        <v/>
      </c>
      <c r="AE758" s="147" t="str">
        <f t="shared" si="279"/>
        <v/>
      </c>
      <c r="AF758" s="111" t="str">
        <f t="shared" si="280"/>
        <v/>
      </c>
      <c r="AG758" s="111" t="str">
        <f t="shared" si="281"/>
        <v/>
      </c>
      <c r="AH758" s="112" t="str">
        <f t="shared" si="282"/>
        <v/>
      </c>
      <c r="AI758" t="str">
        <f t="shared" si="287"/>
        <v/>
      </c>
      <c r="AJ758" t="str">
        <f t="shared" si="289"/>
        <v/>
      </c>
    </row>
    <row r="759" spans="1:36" ht="15" customHeight="1" x14ac:dyDescent="0.25">
      <c r="A759" s="114"/>
      <c r="B759" s="116"/>
      <c r="C759" s="116"/>
      <c r="D759" s="42" t="str">
        <f t="shared" si="266"/>
        <v/>
      </c>
      <c r="E759" s="43"/>
      <c r="F759" s="118"/>
      <c r="G759" s="44" t="str">
        <f t="shared" si="267"/>
        <v/>
      </c>
      <c r="H759" s="118"/>
      <c r="I759" s="34" t="str">
        <f t="shared" si="268"/>
        <v/>
      </c>
      <c r="J759" s="118"/>
      <c r="K759" s="34" t="str">
        <f t="shared" si="269"/>
        <v/>
      </c>
      <c r="L759" s="118"/>
      <c r="M759" s="121"/>
      <c r="N759" s="122" t="str">
        <f t="shared" si="270"/>
        <v/>
      </c>
      <c r="O759" s="35" t="str">
        <f t="shared" si="271"/>
        <v/>
      </c>
      <c r="P759" s="124"/>
      <c r="Q759" s="36" t="str">
        <f t="shared" si="283"/>
        <v/>
      </c>
      <c r="R759" s="46" t="str">
        <f t="shared" si="272"/>
        <v/>
      </c>
      <c r="S759" s="38" t="str">
        <f t="shared" si="273"/>
        <v/>
      </c>
      <c r="T759" s="39" t="str">
        <f t="shared" si="274"/>
        <v/>
      </c>
      <c r="U759" s="40" t="str">
        <f t="shared" si="275"/>
        <v/>
      </c>
      <c r="V759" s="39" t="str">
        <f t="shared" si="276"/>
        <v/>
      </c>
      <c r="W759" s="34" t="str">
        <f t="shared" si="277"/>
        <v/>
      </c>
      <c r="X759" s="41" t="str">
        <f t="shared" si="284"/>
        <v/>
      </c>
      <c r="Y759" s="98" t="str">
        <f t="shared" si="278"/>
        <v/>
      </c>
      <c r="Z759" s="16" t="str">
        <f t="shared" si="285"/>
        <v/>
      </c>
      <c r="AB759" s="139"/>
      <c r="AC759" s="146" t="str">
        <f t="shared" si="288"/>
        <v/>
      </c>
      <c r="AD759" s="148" t="str">
        <f t="shared" si="286"/>
        <v/>
      </c>
      <c r="AE759" s="147" t="str">
        <f t="shared" si="279"/>
        <v/>
      </c>
      <c r="AF759" s="111" t="str">
        <f t="shared" si="280"/>
        <v/>
      </c>
      <c r="AG759" s="111" t="str">
        <f t="shared" si="281"/>
        <v/>
      </c>
      <c r="AH759" s="112" t="str">
        <f t="shared" si="282"/>
        <v/>
      </c>
      <c r="AI759" t="str">
        <f t="shared" si="287"/>
        <v/>
      </c>
      <c r="AJ759" t="str">
        <f t="shared" si="289"/>
        <v/>
      </c>
    </row>
    <row r="760" spans="1:36" ht="15" customHeight="1" x14ac:dyDescent="0.25">
      <c r="A760" s="114"/>
      <c r="B760" s="116"/>
      <c r="C760" s="116"/>
      <c r="D760" s="42" t="str">
        <f t="shared" si="266"/>
        <v/>
      </c>
      <c r="E760" s="43"/>
      <c r="F760" s="118"/>
      <c r="G760" s="44" t="str">
        <f t="shared" si="267"/>
        <v/>
      </c>
      <c r="H760" s="118"/>
      <c r="I760" s="34" t="str">
        <f t="shared" si="268"/>
        <v/>
      </c>
      <c r="J760" s="118"/>
      <c r="K760" s="34" t="str">
        <f t="shared" si="269"/>
        <v/>
      </c>
      <c r="L760" s="118"/>
      <c r="M760" s="121"/>
      <c r="N760" s="122" t="str">
        <f t="shared" si="270"/>
        <v/>
      </c>
      <c r="O760" s="35" t="str">
        <f t="shared" si="271"/>
        <v/>
      </c>
      <c r="P760" s="124"/>
      <c r="Q760" s="36" t="str">
        <f t="shared" si="283"/>
        <v/>
      </c>
      <c r="R760" s="46" t="str">
        <f t="shared" si="272"/>
        <v/>
      </c>
      <c r="S760" s="38" t="str">
        <f t="shared" si="273"/>
        <v/>
      </c>
      <c r="T760" s="39" t="str">
        <f t="shared" si="274"/>
        <v/>
      </c>
      <c r="U760" s="40" t="str">
        <f t="shared" si="275"/>
        <v/>
      </c>
      <c r="V760" s="39" t="str">
        <f t="shared" si="276"/>
        <v/>
      </c>
      <c r="W760" s="34" t="str">
        <f t="shared" si="277"/>
        <v/>
      </c>
      <c r="X760" s="41" t="str">
        <f t="shared" si="284"/>
        <v/>
      </c>
      <c r="Y760" s="98" t="str">
        <f t="shared" si="278"/>
        <v/>
      </c>
      <c r="Z760" s="16" t="str">
        <f t="shared" si="285"/>
        <v/>
      </c>
      <c r="AB760" s="139"/>
      <c r="AC760" s="146" t="str">
        <f t="shared" si="288"/>
        <v/>
      </c>
      <c r="AD760" s="148" t="str">
        <f t="shared" si="286"/>
        <v/>
      </c>
      <c r="AE760" s="147" t="str">
        <f t="shared" si="279"/>
        <v/>
      </c>
      <c r="AF760" s="111" t="str">
        <f t="shared" si="280"/>
        <v/>
      </c>
      <c r="AG760" s="111" t="str">
        <f t="shared" si="281"/>
        <v/>
      </c>
      <c r="AH760" s="112" t="str">
        <f t="shared" si="282"/>
        <v/>
      </c>
      <c r="AI760" t="str">
        <f t="shared" si="287"/>
        <v/>
      </c>
      <c r="AJ760" t="str">
        <f t="shared" si="289"/>
        <v/>
      </c>
    </row>
    <row r="761" spans="1:36" ht="15" customHeight="1" x14ac:dyDescent="0.25">
      <c r="A761" s="114"/>
      <c r="B761" s="116"/>
      <c r="C761" s="116"/>
      <c r="D761" s="42" t="str">
        <f t="shared" si="266"/>
        <v/>
      </c>
      <c r="E761" s="43"/>
      <c r="F761" s="118"/>
      <c r="G761" s="44" t="str">
        <f t="shared" si="267"/>
        <v/>
      </c>
      <c r="H761" s="118"/>
      <c r="I761" s="34" t="str">
        <f t="shared" si="268"/>
        <v/>
      </c>
      <c r="J761" s="118"/>
      <c r="K761" s="34" t="str">
        <f t="shared" si="269"/>
        <v/>
      </c>
      <c r="L761" s="118"/>
      <c r="M761" s="121"/>
      <c r="N761" s="122" t="str">
        <f t="shared" si="270"/>
        <v/>
      </c>
      <c r="O761" s="35" t="str">
        <f t="shared" si="271"/>
        <v/>
      </c>
      <c r="P761" s="124"/>
      <c r="Q761" s="36" t="str">
        <f t="shared" si="283"/>
        <v/>
      </c>
      <c r="R761" s="46" t="str">
        <f t="shared" si="272"/>
        <v/>
      </c>
      <c r="S761" s="38" t="str">
        <f t="shared" si="273"/>
        <v/>
      </c>
      <c r="T761" s="39" t="str">
        <f t="shared" si="274"/>
        <v/>
      </c>
      <c r="U761" s="40" t="str">
        <f t="shared" si="275"/>
        <v/>
      </c>
      <c r="V761" s="39" t="str">
        <f t="shared" si="276"/>
        <v/>
      </c>
      <c r="W761" s="34" t="str">
        <f t="shared" si="277"/>
        <v/>
      </c>
      <c r="X761" s="41" t="str">
        <f t="shared" si="284"/>
        <v/>
      </c>
      <c r="Y761" s="98" t="str">
        <f t="shared" si="278"/>
        <v/>
      </c>
      <c r="Z761" s="16" t="str">
        <f t="shared" si="285"/>
        <v/>
      </c>
      <c r="AB761" s="139"/>
      <c r="AC761" s="146" t="str">
        <f t="shared" si="288"/>
        <v/>
      </c>
      <c r="AD761" s="148" t="str">
        <f t="shared" si="286"/>
        <v/>
      </c>
      <c r="AE761" s="147" t="str">
        <f t="shared" si="279"/>
        <v/>
      </c>
      <c r="AF761" s="111" t="str">
        <f t="shared" si="280"/>
        <v/>
      </c>
      <c r="AG761" s="111" t="str">
        <f t="shared" si="281"/>
        <v/>
      </c>
      <c r="AH761" s="112" t="str">
        <f t="shared" si="282"/>
        <v/>
      </c>
      <c r="AI761" t="str">
        <f t="shared" si="287"/>
        <v/>
      </c>
      <c r="AJ761" t="str">
        <f t="shared" si="289"/>
        <v/>
      </c>
    </row>
    <row r="762" spans="1:36" ht="15" customHeight="1" x14ac:dyDescent="0.25">
      <c r="A762" s="114"/>
      <c r="B762" s="116"/>
      <c r="C762" s="116"/>
      <c r="D762" s="42" t="str">
        <f t="shared" si="266"/>
        <v/>
      </c>
      <c r="E762" s="43"/>
      <c r="F762" s="118"/>
      <c r="G762" s="44" t="str">
        <f t="shared" si="267"/>
        <v/>
      </c>
      <c r="H762" s="118"/>
      <c r="I762" s="34" t="str">
        <f t="shared" si="268"/>
        <v/>
      </c>
      <c r="J762" s="118"/>
      <c r="K762" s="34" t="str">
        <f t="shared" si="269"/>
        <v/>
      </c>
      <c r="L762" s="118"/>
      <c r="M762" s="121"/>
      <c r="N762" s="122" t="str">
        <f t="shared" si="270"/>
        <v/>
      </c>
      <c r="O762" s="35" t="str">
        <f t="shared" si="271"/>
        <v/>
      </c>
      <c r="P762" s="124"/>
      <c r="Q762" s="36" t="str">
        <f t="shared" si="283"/>
        <v/>
      </c>
      <c r="R762" s="46" t="str">
        <f t="shared" si="272"/>
        <v/>
      </c>
      <c r="S762" s="38" t="str">
        <f t="shared" si="273"/>
        <v/>
      </c>
      <c r="T762" s="39" t="str">
        <f t="shared" si="274"/>
        <v/>
      </c>
      <c r="U762" s="40" t="str">
        <f t="shared" si="275"/>
        <v/>
      </c>
      <c r="V762" s="39" t="str">
        <f t="shared" si="276"/>
        <v/>
      </c>
      <c r="W762" s="34" t="str">
        <f t="shared" si="277"/>
        <v/>
      </c>
      <c r="X762" s="41" t="str">
        <f t="shared" si="284"/>
        <v/>
      </c>
      <c r="Y762" s="98" t="str">
        <f t="shared" si="278"/>
        <v/>
      </c>
      <c r="Z762" s="16" t="str">
        <f t="shared" si="285"/>
        <v/>
      </c>
      <c r="AB762" s="139"/>
      <c r="AC762" s="146" t="str">
        <f t="shared" si="288"/>
        <v/>
      </c>
      <c r="AD762" s="148" t="str">
        <f t="shared" si="286"/>
        <v/>
      </c>
      <c r="AE762" s="147" t="str">
        <f t="shared" si="279"/>
        <v/>
      </c>
      <c r="AF762" s="111" t="str">
        <f t="shared" si="280"/>
        <v/>
      </c>
      <c r="AG762" s="111" t="str">
        <f t="shared" si="281"/>
        <v/>
      </c>
      <c r="AH762" s="112" t="str">
        <f t="shared" si="282"/>
        <v/>
      </c>
      <c r="AI762" t="str">
        <f t="shared" si="287"/>
        <v/>
      </c>
      <c r="AJ762" t="str">
        <f t="shared" si="289"/>
        <v/>
      </c>
    </row>
    <row r="763" spans="1:36" ht="15" customHeight="1" x14ac:dyDescent="0.25">
      <c r="A763" s="114"/>
      <c r="B763" s="116"/>
      <c r="C763" s="116"/>
      <c r="D763" s="42" t="str">
        <f t="shared" si="266"/>
        <v/>
      </c>
      <c r="E763" s="43"/>
      <c r="F763" s="118"/>
      <c r="G763" s="44" t="str">
        <f t="shared" si="267"/>
        <v/>
      </c>
      <c r="H763" s="118"/>
      <c r="I763" s="34" t="str">
        <f t="shared" si="268"/>
        <v/>
      </c>
      <c r="J763" s="118"/>
      <c r="K763" s="34" t="str">
        <f t="shared" si="269"/>
        <v/>
      </c>
      <c r="L763" s="118"/>
      <c r="M763" s="121"/>
      <c r="N763" s="122" t="str">
        <f t="shared" si="270"/>
        <v/>
      </c>
      <c r="O763" s="35" t="str">
        <f t="shared" si="271"/>
        <v/>
      </c>
      <c r="P763" s="124"/>
      <c r="Q763" s="36" t="str">
        <f t="shared" si="283"/>
        <v/>
      </c>
      <c r="R763" s="46" t="str">
        <f t="shared" si="272"/>
        <v/>
      </c>
      <c r="S763" s="38" t="str">
        <f t="shared" si="273"/>
        <v/>
      </c>
      <c r="T763" s="39" t="str">
        <f t="shared" si="274"/>
        <v/>
      </c>
      <c r="U763" s="40" t="str">
        <f t="shared" si="275"/>
        <v/>
      </c>
      <c r="V763" s="39" t="str">
        <f t="shared" si="276"/>
        <v/>
      </c>
      <c r="W763" s="34" t="str">
        <f t="shared" si="277"/>
        <v/>
      </c>
      <c r="X763" s="41" t="str">
        <f t="shared" si="284"/>
        <v/>
      </c>
      <c r="Y763" s="98" t="str">
        <f t="shared" si="278"/>
        <v/>
      </c>
      <c r="Z763" s="16" t="str">
        <f t="shared" si="285"/>
        <v/>
      </c>
      <c r="AB763" s="139"/>
      <c r="AC763" s="146" t="str">
        <f t="shared" si="288"/>
        <v/>
      </c>
      <c r="AD763" s="148" t="str">
        <f t="shared" si="286"/>
        <v/>
      </c>
      <c r="AE763" s="147" t="str">
        <f t="shared" si="279"/>
        <v/>
      </c>
      <c r="AF763" s="111" t="str">
        <f t="shared" si="280"/>
        <v/>
      </c>
      <c r="AG763" s="111" t="str">
        <f t="shared" si="281"/>
        <v/>
      </c>
      <c r="AH763" s="112" t="str">
        <f t="shared" si="282"/>
        <v/>
      </c>
      <c r="AI763" t="str">
        <f t="shared" si="287"/>
        <v/>
      </c>
      <c r="AJ763" t="str">
        <f t="shared" si="289"/>
        <v/>
      </c>
    </row>
    <row r="764" spans="1:36" ht="15" customHeight="1" x14ac:dyDescent="0.25">
      <c r="A764" s="114"/>
      <c r="B764" s="116"/>
      <c r="C764" s="116"/>
      <c r="D764" s="42" t="str">
        <f t="shared" si="266"/>
        <v/>
      </c>
      <c r="E764" s="43"/>
      <c r="F764" s="118"/>
      <c r="G764" s="44" t="str">
        <f t="shared" si="267"/>
        <v/>
      </c>
      <c r="H764" s="118"/>
      <c r="I764" s="34" t="str">
        <f t="shared" si="268"/>
        <v/>
      </c>
      <c r="J764" s="118"/>
      <c r="K764" s="34" t="str">
        <f t="shared" si="269"/>
        <v/>
      </c>
      <c r="L764" s="118"/>
      <c r="M764" s="121"/>
      <c r="N764" s="122" t="str">
        <f t="shared" si="270"/>
        <v/>
      </c>
      <c r="O764" s="35" t="str">
        <f t="shared" si="271"/>
        <v/>
      </c>
      <c r="P764" s="124"/>
      <c r="Q764" s="36" t="str">
        <f t="shared" si="283"/>
        <v/>
      </c>
      <c r="R764" s="46" t="str">
        <f t="shared" si="272"/>
        <v/>
      </c>
      <c r="S764" s="38" t="str">
        <f t="shared" si="273"/>
        <v/>
      </c>
      <c r="T764" s="39" t="str">
        <f t="shared" si="274"/>
        <v/>
      </c>
      <c r="U764" s="40" t="str">
        <f t="shared" si="275"/>
        <v/>
      </c>
      <c r="V764" s="39" t="str">
        <f t="shared" si="276"/>
        <v/>
      </c>
      <c r="W764" s="34" t="str">
        <f t="shared" si="277"/>
        <v/>
      </c>
      <c r="X764" s="41" t="str">
        <f t="shared" si="284"/>
        <v/>
      </c>
      <c r="Y764" s="98" t="str">
        <f t="shared" si="278"/>
        <v/>
      </c>
      <c r="Z764" s="16" t="str">
        <f t="shared" si="285"/>
        <v/>
      </c>
      <c r="AB764" s="139"/>
      <c r="AC764" s="146" t="str">
        <f t="shared" si="288"/>
        <v/>
      </c>
      <c r="AD764" s="148" t="str">
        <f t="shared" si="286"/>
        <v/>
      </c>
      <c r="AE764" s="147" t="str">
        <f t="shared" si="279"/>
        <v/>
      </c>
      <c r="AF764" s="111" t="str">
        <f t="shared" si="280"/>
        <v/>
      </c>
      <c r="AG764" s="111" t="str">
        <f t="shared" si="281"/>
        <v/>
      </c>
      <c r="AH764" s="112" t="str">
        <f t="shared" si="282"/>
        <v/>
      </c>
      <c r="AI764" t="str">
        <f t="shared" si="287"/>
        <v/>
      </c>
      <c r="AJ764" t="str">
        <f t="shared" si="289"/>
        <v/>
      </c>
    </row>
    <row r="765" spans="1:36" ht="15" customHeight="1" x14ac:dyDescent="0.25">
      <c r="A765" s="114"/>
      <c r="B765" s="116"/>
      <c r="C765" s="116"/>
      <c r="D765" s="42" t="str">
        <f t="shared" si="266"/>
        <v/>
      </c>
      <c r="E765" s="43"/>
      <c r="F765" s="118"/>
      <c r="G765" s="44" t="str">
        <f t="shared" si="267"/>
        <v/>
      </c>
      <c r="H765" s="118"/>
      <c r="I765" s="34" t="str">
        <f t="shared" si="268"/>
        <v/>
      </c>
      <c r="J765" s="118"/>
      <c r="K765" s="34" t="str">
        <f t="shared" si="269"/>
        <v/>
      </c>
      <c r="L765" s="118"/>
      <c r="M765" s="121"/>
      <c r="N765" s="122" t="str">
        <f t="shared" si="270"/>
        <v/>
      </c>
      <c r="O765" s="35" t="str">
        <f t="shared" si="271"/>
        <v/>
      </c>
      <c r="P765" s="124"/>
      <c r="Q765" s="36" t="str">
        <f t="shared" si="283"/>
        <v/>
      </c>
      <c r="R765" s="46" t="str">
        <f t="shared" si="272"/>
        <v/>
      </c>
      <c r="S765" s="38" t="str">
        <f t="shared" si="273"/>
        <v/>
      </c>
      <c r="T765" s="39" t="str">
        <f t="shared" si="274"/>
        <v/>
      </c>
      <c r="U765" s="40" t="str">
        <f t="shared" si="275"/>
        <v/>
      </c>
      <c r="V765" s="39" t="str">
        <f t="shared" si="276"/>
        <v/>
      </c>
      <c r="W765" s="34" t="str">
        <f t="shared" si="277"/>
        <v/>
      </c>
      <c r="X765" s="41" t="str">
        <f t="shared" si="284"/>
        <v/>
      </c>
      <c r="Y765" s="98" t="str">
        <f t="shared" si="278"/>
        <v/>
      </c>
      <c r="Z765" s="16" t="str">
        <f t="shared" si="285"/>
        <v/>
      </c>
      <c r="AB765" s="139"/>
      <c r="AC765" s="146" t="str">
        <f t="shared" si="288"/>
        <v/>
      </c>
      <c r="AD765" s="148" t="str">
        <f t="shared" si="286"/>
        <v/>
      </c>
      <c r="AE765" s="147" t="str">
        <f t="shared" si="279"/>
        <v/>
      </c>
      <c r="AF765" s="111" t="str">
        <f t="shared" si="280"/>
        <v/>
      </c>
      <c r="AG765" s="111" t="str">
        <f t="shared" si="281"/>
        <v/>
      </c>
      <c r="AH765" s="112" t="str">
        <f t="shared" si="282"/>
        <v/>
      </c>
      <c r="AI765" t="str">
        <f t="shared" si="287"/>
        <v/>
      </c>
      <c r="AJ765" t="str">
        <f t="shared" si="289"/>
        <v/>
      </c>
    </row>
    <row r="766" spans="1:36" ht="15" customHeight="1" x14ac:dyDescent="0.25">
      <c r="A766" s="114"/>
      <c r="B766" s="116"/>
      <c r="C766" s="116"/>
      <c r="D766" s="42" t="str">
        <f t="shared" si="266"/>
        <v/>
      </c>
      <c r="E766" s="43"/>
      <c r="F766" s="118"/>
      <c r="G766" s="44" t="str">
        <f t="shared" si="267"/>
        <v/>
      </c>
      <c r="H766" s="118"/>
      <c r="I766" s="34" t="str">
        <f t="shared" si="268"/>
        <v/>
      </c>
      <c r="J766" s="118"/>
      <c r="K766" s="34" t="str">
        <f t="shared" si="269"/>
        <v/>
      </c>
      <c r="L766" s="118"/>
      <c r="M766" s="121"/>
      <c r="N766" s="122" t="str">
        <f t="shared" si="270"/>
        <v/>
      </c>
      <c r="O766" s="35" t="str">
        <f t="shared" si="271"/>
        <v/>
      </c>
      <c r="P766" s="124"/>
      <c r="Q766" s="36" t="str">
        <f t="shared" si="283"/>
        <v/>
      </c>
      <c r="R766" s="46" t="str">
        <f t="shared" si="272"/>
        <v/>
      </c>
      <c r="S766" s="38" t="str">
        <f t="shared" si="273"/>
        <v/>
      </c>
      <c r="T766" s="39" t="str">
        <f t="shared" si="274"/>
        <v/>
      </c>
      <c r="U766" s="40" t="str">
        <f t="shared" si="275"/>
        <v/>
      </c>
      <c r="V766" s="39" t="str">
        <f t="shared" si="276"/>
        <v/>
      </c>
      <c r="W766" s="34" t="str">
        <f t="shared" si="277"/>
        <v/>
      </c>
      <c r="X766" s="41" t="str">
        <f t="shared" si="284"/>
        <v/>
      </c>
      <c r="Y766" s="98" t="str">
        <f t="shared" si="278"/>
        <v/>
      </c>
      <c r="Z766" s="16" t="str">
        <f t="shared" si="285"/>
        <v/>
      </c>
      <c r="AB766" s="139"/>
      <c r="AC766" s="146" t="str">
        <f t="shared" si="288"/>
        <v/>
      </c>
      <c r="AD766" s="148" t="str">
        <f t="shared" si="286"/>
        <v/>
      </c>
      <c r="AE766" s="147" t="str">
        <f t="shared" si="279"/>
        <v/>
      </c>
      <c r="AF766" s="111" t="str">
        <f t="shared" si="280"/>
        <v/>
      </c>
      <c r="AG766" s="111" t="str">
        <f t="shared" si="281"/>
        <v/>
      </c>
      <c r="AH766" s="112" t="str">
        <f t="shared" si="282"/>
        <v/>
      </c>
      <c r="AI766" t="str">
        <f t="shared" si="287"/>
        <v/>
      </c>
      <c r="AJ766" t="str">
        <f t="shared" si="289"/>
        <v/>
      </c>
    </row>
    <row r="767" spans="1:36" ht="15" customHeight="1" x14ac:dyDescent="0.25">
      <c r="A767" s="114"/>
      <c r="B767" s="116"/>
      <c r="C767" s="116"/>
      <c r="D767" s="42" t="str">
        <f t="shared" si="266"/>
        <v/>
      </c>
      <c r="E767" s="43"/>
      <c r="F767" s="118"/>
      <c r="G767" s="44" t="str">
        <f t="shared" si="267"/>
        <v/>
      </c>
      <c r="H767" s="118"/>
      <c r="I767" s="34" t="str">
        <f t="shared" si="268"/>
        <v/>
      </c>
      <c r="J767" s="118"/>
      <c r="K767" s="34" t="str">
        <f t="shared" si="269"/>
        <v/>
      </c>
      <c r="L767" s="118"/>
      <c r="M767" s="121"/>
      <c r="N767" s="122" t="str">
        <f t="shared" si="270"/>
        <v/>
      </c>
      <c r="O767" s="35" t="str">
        <f t="shared" si="271"/>
        <v/>
      </c>
      <c r="P767" s="124"/>
      <c r="Q767" s="36" t="str">
        <f t="shared" si="283"/>
        <v/>
      </c>
      <c r="R767" s="46" t="str">
        <f t="shared" si="272"/>
        <v/>
      </c>
      <c r="S767" s="38" t="str">
        <f t="shared" si="273"/>
        <v/>
      </c>
      <c r="T767" s="39" t="str">
        <f t="shared" si="274"/>
        <v/>
      </c>
      <c r="U767" s="40" t="str">
        <f t="shared" si="275"/>
        <v/>
      </c>
      <c r="V767" s="39" t="str">
        <f t="shared" si="276"/>
        <v/>
      </c>
      <c r="W767" s="34" t="str">
        <f t="shared" si="277"/>
        <v/>
      </c>
      <c r="X767" s="41" t="str">
        <f t="shared" si="284"/>
        <v/>
      </c>
      <c r="Y767" s="98" t="str">
        <f t="shared" si="278"/>
        <v/>
      </c>
      <c r="Z767" s="16" t="str">
        <f t="shared" si="285"/>
        <v/>
      </c>
      <c r="AB767" s="139"/>
      <c r="AC767" s="146" t="str">
        <f t="shared" si="288"/>
        <v/>
      </c>
      <c r="AD767" s="148" t="str">
        <f t="shared" si="286"/>
        <v/>
      </c>
      <c r="AE767" s="147" t="str">
        <f t="shared" si="279"/>
        <v/>
      </c>
      <c r="AF767" s="111" t="str">
        <f t="shared" si="280"/>
        <v/>
      </c>
      <c r="AG767" s="111" t="str">
        <f t="shared" si="281"/>
        <v/>
      </c>
      <c r="AH767" s="112" t="str">
        <f t="shared" si="282"/>
        <v/>
      </c>
      <c r="AI767" t="str">
        <f t="shared" si="287"/>
        <v/>
      </c>
      <c r="AJ767" t="str">
        <f t="shared" si="289"/>
        <v/>
      </c>
    </row>
    <row r="768" spans="1:36" ht="15" customHeight="1" x14ac:dyDescent="0.25">
      <c r="A768" s="114"/>
      <c r="B768" s="116"/>
      <c r="C768" s="116"/>
      <c r="D768" s="42" t="str">
        <f t="shared" si="266"/>
        <v/>
      </c>
      <c r="E768" s="43"/>
      <c r="F768" s="118"/>
      <c r="G768" s="44" t="str">
        <f t="shared" si="267"/>
        <v/>
      </c>
      <c r="H768" s="118"/>
      <c r="I768" s="34" t="str">
        <f t="shared" si="268"/>
        <v/>
      </c>
      <c r="J768" s="118"/>
      <c r="K768" s="34" t="str">
        <f t="shared" si="269"/>
        <v/>
      </c>
      <c r="L768" s="118"/>
      <c r="M768" s="121"/>
      <c r="N768" s="122" t="str">
        <f t="shared" si="270"/>
        <v/>
      </c>
      <c r="O768" s="35" t="str">
        <f t="shared" si="271"/>
        <v/>
      </c>
      <c r="P768" s="124"/>
      <c r="Q768" s="36" t="str">
        <f t="shared" si="283"/>
        <v/>
      </c>
      <c r="R768" s="46" t="str">
        <f t="shared" si="272"/>
        <v/>
      </c>
      <c r="S768" s="38" t="str">
        <f t="shared" si="273"/>
        <v/>
      </c>
      <c r="T768" s="39" t="str">
        <f t="shared" si="274"/>
        <v/>
      </c>
      <c r="U768" s="40" t="str">
        <f t="shared" si="275"/>
        <v/>
      </c>
      <c r="V768" s="39" t="str">
        <f t="shared" si="276"/>
        <v/>
      </c>
      <c r="W768" s="34" t="str">
        <f t="shared" si="277"/>
        <v/>
      </c>
      <c r="X768" s="41" t="str">
        <f t="shared" si="284"/>
        <v/>
      </c>
      <c r="Y768" s="98" t="str">
        <f t="shared" si="278"/>
        <v/>
      </c>
      <c r="Z768" s="16" t="str">
        <f t="shared" si="285"/>
        <v/>
      </c>
      <c r="AB768" s="139"/>
      <c r="AC768" s="146" t="str">
        <f t="shared" si="288"/>
        <v/>
      </c>
      <c r="AD768" s="148" t="str">
        <f t="shared" si="286"/>
        <v/>
      </c>
      <c r="AE768" s="147" t="str">
        <f t="shared" si="279"/>
        <v/>
      </c>
      <c r="AF768" s="111" t="str">
        <f t="shared" si="280"/>
        <v/>
      </c>
      <c r="AG768" s="111" t="str">
        <f t="shared" si="281"/>
        <v/>
      </c>
      <c r="AH768" s="112" t="str">
        <f t="shared" si="282"/>
        <v/>
      </c>
      <c r="AI768" t="str">
        <f t="shared" si="287"/>
        <v/>
      </c>
      <c r="AJ768" t="str">
        <f t="shared" si="289"/>
        <v/>
      </c>
    </row>
    <row r="769" spans="1:36" ht="15" customHeight="1" x14ac:dyDescent="0.25">
      <c r="A769" s="114"/>
      <c r="B769" s="116"/>
      <c r="C769" s="116"/>
      <c r="D769" s="42" t="str">
        <f t="shared" si="266"/>
        <v/>
      </c>
      <c r="E769" s="43"/>
      <c r="F769" s="118"/>
      <c r="G769" s="44" t="str">
        <f t="shared" si="267"/>
        <v/>
      </c>
      <c r="H769" s="118"/>
      <c r="I769" s="34" t="str">
        <f t="shared" si="268"/>
        <v/>
      </c>
      <c r="J769" s="118"/>
      <c r="K769" s="34" t="str">
        <f t="shared" si="269"/>
        <v/>
      </c>
      <c r="L769" s="118"/>
      <c r="M769" s="121"/>
      <c r="N769" s="122" t="str">
        <f t="shared" si="270"/>
        <v/>
      </c>
      <c r="O769" s="35" t="str">
        <f t="shared" si="271"/>
        <v/>
      </c>
      <c r="P769" s="124"/>
      <c r="Q769" s="36" t="str">
        <f t="shared" si="283"/>
        <v/>
      </c>
      <c r="R769" s="46" t="str">
        <f t="shared" si="272"/>
        <v/>
      </c>
      <c r="S769" s="38" t="str">
        <f t="shared" si="273"/>
        <v/>
      </c>
      <c r="T769" s="39" t="str">
        <f t="shared" si="274"/>
        <v/>
      </c>
      <c r="U769" s="40" t="str">
        <f t="shared" si="275"/>
        <v/>
      </c>
      <c r="V769" s="39" t="str">
        <f t="shared" si="276"/>
        <v/>
      </c>
      <c r="W769" s="34" t="str">
        <f t="shared" si="277"/>
        <v/>
      </c>
      <c r="X769" s="41" t="str">
        <f t="shared" si="284"/>
        <v/>
      </c>
      <c r="Y769" s="98" t="str">
        <f t="shared" si="278"/>
        <v/>
      </c>
      <c r="Z769" s="16" t="str">
        <f t="shared" si="285"/>
        <v/>
      </c>
      <c r="AB769" s="139"/>
      <c r="AC769" s="146" t="str">
        <f t="shared" si="288"/>
        <v/>
      </c>
      <c r="AD769" s="148" t="str">
        <f t="shared" si="286"/>
        <v/>
      </c>
      <c r="AE769" s="147" t="str">
        <f t="shared" si="279"/>
        <v/>
      </c>
      <c r="AF769" s="111" t="str">
        <f t="shared" si="280"/>
        <v/>
      </c>
      <c r="AG769" s="111" t="str">
        <f t="shared" si="281"/>
        <v/>
      </c>
      <c r="AH769" s="112" t="str">
        <f t="shared" si="282"/>
        <v/>
      </c>
      <c r="AI769" t="str">
        <f t="shared" si="287"/>
        <v/>
      </c>
      <c r="AJ769" t="str">
        <f t="shared" si="289"/>
        <v/>
      </c>
    </row>
    <row r="770" spans="1:36" ht="15" customHeight="1" x14ac:dyDescent="0.25">
      <c r="A770" s="114"/>
      <c r="B770" s="116"/>
      <c r="C770" s="116"/>
      <c r="D770" s="42" t="str">
        <f t="shared" si="266"/>
        <v/>
      </c>
      <c r="E770" s="43"/>
      <c r="F770" s="118"/>
      <c r="G770" s="44" t="str">
        <f t="shared" si="267"/>
        <v/>
      </c>
      <c r="H770" s="118"/>
      <c r="I770" s="34" t="str">
        <f t="shared" si="268"/>
        <v/>
      </c>
      <c r="J770" s="118"/>
      <c r="K770" s="34" t="str">
        <f t="shared" si="269"/>
        <v/>
      </c>
      <c r="L770" s="118"/>
      <c r="M770" s="121"/>
      <c r="N770" s="122" t="str">
        <f t="shared" si="270"/>
        <v/>
      </c>
      <c r="O770" s="35" t="str">
        <f t="shared" si="271"/>
        <v/>
      </c>
      <c r="P770" s="124"/>
      <c r="Q770" s="36" t="str">
        <f t="shared" si="283"/>
        <v/>
      </c>
      <c r="R770" s="46" t="str">
        <f t="shared" si="272"/>
        <v/>
      </c>
      <c r="S770" s="38" t="str">
        <f t="shared" si="273"/>
        <v/>
      </c>
      <c r="T770" s="39" t="str">
        <f t="shared" si="274"/>
        <v/>
      </c>
      <c r="U770" s="40" t="str">
        <f t="shared" si="275"/>
        <v/>
      </c>
      <c r="V770" s="39" t="str">
        <f t="shared" si="276"/>
        <v/>
      </c>
      <c r="W770" s="34" t="str">
        <f t="shared" si="277"/>
        <v/>
      </c>
      <c r="X770" s="41" t="str">
        <f t="shared" si="284"/>
        <v/>
      </c>
      <c r="Y770" s="98" t="str">
        <f t="shared" si="278"/>
        <v/>
      </c>
      <c r="Z770" s="16" t="str">
        <f t="shared" si="285"/>
        <v/>
      </c>
      <c r="AB770" s="139"/>
      <c r="AC770" s="146" t="str">
        <f t="shared" si="288"/>
        <v/>
      </c>
      <c r="AD770" s="148" t="str">
        <f t="shared" si="286"/>
        <v/>
      </c>
      <c r="AE770" s="147" t="str">
        <f t="shared" si="279"/>
        <v/>
      </c>
      <c r="AF770" s="111" t="str">
        <f t="shared" si="280"/>
        <v/>
      </c>
      <c r="AG770" s="111" t="str">
        <f t="shared" si="281"/>
        <v/>
      </c>
      <c r="AH770" s="112" t="str">
        <f t="shared" si="282"/>
        <v/>
      </c>
      <c r="AI770" t="str">
        <f t="shared" si="287"/>
        <v/>
      </c>
      <c r="AJ770" t="str">
        <f t="shared" si="289"/>
        <v/>
      </c>
    </row>
    <row r="771" spans="1:36" ht="15" customHeight="1" x14ac:dyDescent="0.25">
      <c r="A771" s="114"/>
      <c r="B771" s="116"/>
      <c r="C771" s="116"/>
      <c r="D771" s="42" t="str">
        <f t="shared" si="266"/>
        <v/>
      </c>
      <c r="E771" s="43"/>
      <c r="F771" s="118"/>
      <c r="G771" s="44" t="str">
        <f t="shared" si="267"/>
        <v/>
      </c>
      <c r="H771" s="118"/>
      <c r="I771" s="34" t="str">
        <f t="shared" si="268"/>
        <v/>
      </c>
      <c r="J771" s="118"/>
      <c r="K771" s="34" t="str">
        <f t="shared" si="269"/>
        <v/>
      </c>
      <c r="L771" s="118"/>
      <c r="M771" s="121"/>
      <c r="N771" s="122" t="str">
        <f t="shared" si="270"/>
        <v/>
      </c>
      <c r="O771" s="35" t="str">
        <f t="shared" si="271"/>
        <v/>
      </c>
      <c r="P771" s="124"/>
      <c r="Q771" s="36" t="str">
        <f t="shared" si="283"/>
        <v/>
      </c>
      <c r="R771" s="46" t="str">
        <f t="shared" si="272"/>
        <v/>
      </c>
      <c r="S771" s="38" t="str">
        <f t="shared" si="273"/>
        <v/>
      </c>
      <c r="T771" s="39" t="str">
        <f t="shared" si="274"/>
        <v/>
      </c>
      <c r="U771" s="40" t="str">
        <f t="shared" si="275"/>
        <v/>
      </c>
      <c r="V771" s="39" t="str">
        <f t="shared" si="276"/>
        <v/>
      </c>
      <c r="W771" s="34" t="str">
        <f t="shared" si="277"/>
        <v/>
      </c>
      <c r="X771" s="41" t="str">
        <f t="shared" si="284"/>
        <v/>
      </c>
      <c r="Y771" s="98" t="str">
        <f t="shared" si="278"/>
        <v/>
      </c>
      <c r="Z771" s="16" t="str">
        <f t="shared" si="285"/>
        <v/>
      </c>
      <c r="AB771" s="139"/>
      <c r="AC771" s="146" t="str">
        <f t="shared" si="288"/>
        <v/>
      </c>
      <c r="AD771" s="148" t="str">
        <f t="shared" si="286"/>
        <v/>
      </c>
      <c r="AE771" s="147" t="str">
        <f t="shared" si="279"/>
        <v/>
      </c>
      <c r="AF771" s="111" t="str">
        <f t="shared" si="280"/>
        <v/>
      </c>
      <c r="AG771" s="111" t="str">
        <f t="shared" si="281"/>
        <v/>
      </c>
      <c r="AH771" s="112" t="str">
        <f t="shared" si="282"/>
        <v/>
      </c>
      <c r="AI771" t="str">
        <f t="shared" si="287"/>
        <v/>
      </c>
      <c r="AJ771" t="str">
        <f t="shared" si="289"/>
        <v/>
      </c>
    </row>
    <row r="772" spans="1:36" ht="15" customHeight="1" x14ac:dyDescent="0.25">
      <c r="A772" s="114"/>
      <c r="B772" s="116"/>
      <c r="C772" s="116"/>
      <c r="D772" s="42" t="str">
        <f t="shared" si="266"/>
        <v/>
      </c>
      <c r="E772" s="43"/>
      <c r="F772" s="118"/>
      <c r="G772" s="44" t="str">
        <f t="shared" si="267"/>
        <v/>
      </c>
      <c r="H772" s="118"/>
      <c r="I772" s="34" t="str">
        <f t="shared" si="268"/>
        <v/>
      </c>
      <c r="J772" s="118"/>
      <c r="K772" s="34" t="str">
        <f t="shared" si="269"/>
        <v/>
      </c>
      <c r="L772" s="118"/>
      <c r="M772" s="121"/>
      <c r="N772" s="122" t="str">
        <f t="shared" si="270"/>
        <v/>
      </c>
      <c r="O772" s="35" t="str">
        <f t="shared" si="271"/>
        <v/>
      </c>
      <c r="P772" s="124"/>
      <c r="Q772" s="36" t="str">
        <f t="shared" si="283"/>
        <v/>
      </c>
      <c r="R772" s="46" t="str">
        <f t="shared" si="272"/>
        <v/>
      </c>
      <c r="S772" s="38" t="str">
        <f t="shared" si="273"/>
        <v/>
      </c>
      <c r="T772" s="39" t="str">
        <f t="shared" si="274"/>
        <v/>
      </c>
      <c r="U772" s="40" t="str">
        <f t="shared" si="275"/>
        <v/>
      </c>
      <c r="V772" s="39" t="str">
        <f t="shared" si="276"/>
        <v/>
      </c>
      <c r="W772" s="34" t="str">
        <f t="shared" si="277"/>
        <v/>
      </c>
      <c r="X772" s="41" t="str">
        <f t="shared" si="284"/>
        <v/>
      </c>
      <c r="Y772" s="98" t="str">
        <f t="shared" si="278"/>
        <v/>
      </c>
      <c r="Z772" s="16" t="str">
        <f t="shared" si="285"/>
        <v/>
      </c>
      <c r="AB772" s="139"/>
      <c r="AC772" s="146" t="str">
        <f t="shared" si="288"/>
        <v/>
      </c>
      <c r="AD772" s="148" t="str">
        <f t="shared" si="286"/>
        <v/>
      </c>
      <c r="AE772" s="147" t="str">
        <f t="shared" si="279"/>
        <v/>
      </c>
      <c r="AF772" s="111" t="str">
        <f t="shared" si="280"/>
        <v/>
      </c>
      <c r="AG772" s="111" t="str">
        <f t="shared" si="281"/>
        <v/>
      </c>
      <c r="AH772" s="112" t="str">
        <f t="shared" si="282"/>
        <v/>
      </c>
      <c r="AI772" t="str">
        <f t="shared" si="287"/>
        <v/>
      </c>
      <c r="AJ772" t="str">
        <f t="shared" si="289"/>
        <v/>
      </c>
    </row>
    <row r="773" spans="1:36" ht="15" customHeight="1" x14ac:dyDescent="0.25">
      <c r="A773" s="114"/>
      <c r="B773" s="116"/>
      <c r="C773" s="116"/>
      <c r="D773" s="42" t="str">
        <f t="shared" si="266"/>
        <v/>
      </c>
      <c r="E773" s="43"/>
      <c r="F773" s="118"/>
      <c r="G773" s="44" t="str">
        <f t="shared" si="267"/>
        <v/>
      </c>
      <c r="H773" s="118"/>
      <c r="I773" s="34" t="str">
        <f t="shared" si="268"/>
        <v/>
      </c>
      <c r="J773" s="118"/>
      <c r="K773" s="34" t="str">
        <f t="shared" si="269"/>
        <v/>
      </c>
      <c r="L773" s="118"/>
      <c r="M773" s="121"/>
      <c r="N773" s="122" t="str">
        <f t="shared" si="270"/>
        <v/>
      </c>
      <c r="O773" s="35" t="str">
        <f t="shared" si="271"/>
        <v/>
      </c>
      <c r="P773" s="124"/>
      <c r="Q773" s="36" t="str">
        <f t="shared" si="283"/>
        <v/>
      </c>
      <c r="R773" s="46" t="str">
        <f t="shared" si="272"/>
        <v/>
      </c>
      <c r="S773" s="38" t="str">
        <f t="shared" si="273"/>
        <v/>
      </c>
      <c r="T773" s="39" t="str">
        <f t="shared" si="274"/>
        <v/>
      </c>
      <c r="U773" s="40" t="str">
        <f t="shared" si="275"/>
        <v/>
      </c>
      <c r="V773" s="39" t="str">
        <f t="shared" si="276"/>
        <v/>
      </c>
      <c r="W773" s="34" t="str">
        <f t="shared" si="277"/>
        <v/>
      </c>
      <c r="X773" s="41" t="str">
        <f t="shared" si="284"/>
        <v/>
      </c>
      <c r="Y773" s="98" t="str">
        <f t="shared" si="278"/>
        <v/>
      </c>
      <c r="Z773" s="16" t="str">
        <f t="shared" si="285"/>
        <v/>
      </c>
      <c r="AB773" s="139"/>
      <c r="AC773" s="146" t="str">
        <f t="shared" si="288"/>
        <v/>
      </c>
      <c r="AD773" s="148" t="str">
        <f t="shared" si="286"/>
        <v/>
      </c>
      <c r="AE773" s="147" t="str">
        <f t="shared" si="279"/>
        <v/>
      </c>
      <c r="AF773" s="111" t="str">
        <f t="shared" si="280"/>
        <v/>
      </c>
      <c r="AG773" s="111" t="str">
        <f t="shared" si="281"/>
        <v/>
      </c>
      <c r="AH773" s="112" t="str">
        <f t="shared" si="282"/>
        <v/>
      </c>
      <c r="AI773" t="str">
        <f t="shared" si="287"/>
        <v/>
      </c>
      <c r="AJ773" t="str">
        <f t="shared" si="289"/>
        <v/>
      </c>
    </row>
    <row r="774" spans="1:36" ht="15" customHeight="1" x14ac:dyDescent="0.25">
      <c r="A774" s="114"/>
      <c r="B774" s="116"/>
      <c r="C774" s="116"/>
      <c r="D774" s="42" t="str">
        <f t="shared" si="266"/>
        <v/>
      </c>
      <c r="E774" s="43"/>
      <c r="F774" s="118"/>
      <c r="G774" s="44" t="str">
        <f t="shared" si="267"/>
        <v/>
      </c>
      <c r="H774" s="118"/>
      <c r="I774" s="34" t="str">
        <f t="shared" si="268"/>
        <v/>
      </c>
      <c r="J774" s="118"/>
      <c r="K774" s="34" t="str">
        <f t="shared" si="269"/>
        <v/>
      </c>
      <c r="L774" s="118"/>
      <c r="M774" s="121"/>
      <c r="N774" s="122" t="str">
        <f t="shared" si="270"/>
        <v/>
      </c>
      <c r="O774" s="35" t="str">
        <f t="shared" si="271"/>
        <v/>
      </c>
      <c r="P774" s="124"/>
      <c r="Q774" s="36" t="str">
        <f t="shared" si="283"/>
        <v/>
      </c>
      <c r="R774" s="46" t="str">
        <f t="shared" si="272"/>
        <v/>
      </c>
      <c r="S774" s="38" t="str">
        <f t="shared" si="273"/>
        <v/>
      </c>
      <c r="T774" s="39" t="str">
        <f t="shared" si="274"/>
        <v/>
      </c>
      <c r="U774" s="40" t="str">
        <f t="shared" si="275"/>
        <v/>
      </c>
      <c r="V774" s="39" t="str">
        <f t="shared" si="276"/>
        <v/>
      </c>
      <c r="W774" s="34" t="str">
        <f t="shared" si="277"/>
        <v/>
      </c>
      <c r="X774" s="41" t="str">
        <f t="shared" si="284"/>
        <v/>
      </c>
      <c r="Y774" s="98" t="str">
        <f t="shared" si="278"/>
        <v/>
      </c>
      <c r="Z774" s="16" t="str">
        <f t="shared" si="285"/>
        <v/>
      </c>
      <c r="AB774" s="139"/>
      <c r="AC774" s="146" t="str">
        <f t="shared" si="288"/>
        <v/>
      </c>
      <c r="AD774" s="148" t="str">
        <f t="shared" si="286"/>
        <v/>
      </c>
      <c r="AE774" s="147" t="str">
        <f t="shared" si="279"/>
        <v/>
      </c>
      <c r="AF774" s="111" t="str">
        <f t="shared" si="280"/>
        <v/>
      </c>
      <c r="AG774" s="111" t="str">
        <f t="shared" si="281"/>
        <v/>
      </c>
      <c r="AH774" s="112" t="str">
        <f t="shared" si="282"/>
        <v/>
      </c>
      <c r="AI774" t="str">
        <f t="shared" si="287"/>
        <v/>
      </c>
      <c r="AJ774" t="str">
        <f t="shared" si="289"/>
        <v/>
      </c>
    </row>
    <row r="775" spans="1:36" ht="15" customHeight="1" x14ac:dyDescent="0.25">
      <c r="A775" s="114"/>
      <c r="B775" s="116"/>
      <c r="C775" s="116"/>
      <c r="D775" s="42" t="str">
        <f t="shared" si="266"/>
        <v/>
      </c>
      <c r="E775" s="43"/>
      <c r="F775" s="118"/>
      <c r="G775" s="44" t="str">
        <f t="shared" si="267"/>
        <v/>
      </c>
      <c r="H775" s="118"/>
      <c r="I775" s="34" t="str">
        <f t="shared" si="268"/>
        <v/>
      </c>
      <c r="J775" s="118"/>
      <c r="K775" s="34" t="str">
        <f t="shared" si="269"/>
        <v/>
      </c>
      <c r="L775" s="118"/>
      <c r="M775" s="121"/>
      <c r="N775" s="122" t="str">
        <f t="shared" si="270"/>
        <v/>
      </c>
      <c r="O775" s="35" t="str">
        <f t="shared" si="271"/>
        <v/>
      </c>
      <c r="P775" s="124"/>
      <c r="Q775" s="36" t="str">
        <f t="shared" si="283"/>
        <v/>
      </c>
      <c r="R775" s="46" t="str">
        <f t="shared" si="272"/>
        <v/>
      </c>
      <c r="S775" s="38" t="str">
        <f t="shared" si="273"/>
        <v/>
      </c>
      <c r="T775" s="39" t="str">
        <f t="shared" si="274"/>
        <v/>
      </c>
      <c r="U775" s="40" t="str">
        <f t="shared" si="275"/>
        <v/>
      </c>
      <c r="V775" s="39" t="str">
        <f t="shared" si="276"/>
        <v/>
      </c>
      <c r="W775" s="34" t="str">
        <f t="shared" si="277"/>
        <v/>
      </c>
      <c r="X775" s="41" t="str">
        <f t="shared" si="284"/>
        <v/>
      </c>
      <c r="Y775" s="98" t="str">
        <f t="shared" si="278"/>
        <v/>
      </c>
      <c r="Z775" s="16" t="str">
        <f t="shared" si="285"/>
        <v/>
      </c>
      <c r="AB775" s="139"/>
      <c r="AC775" s="146" t="str">
        <f t="shared" si="288"/>
        <v/>
      </c>
      <c r="AD775" s="148" t="str">
        <f t="shared" si="286"/>
        <v/>
      </c>
      <c r="AE775" s="147" t="str">
        <f t="shared" si="279"/>
        <v/>
      </c>
      <c r="AF775" s="111" t="str">
        <f t="shared" si="280"/>
        <v/>
      </c>
      <c r="AG775" s="111" t="str">
        <f t="shared" si="281"/>
        <v/>
      </c>
      <c r="AH775" s="112" t="str">
        <f t="shared" si="282"/>
        <v/>
      </c>
      <c r="AI775" t="str">
        <f t="shared" si="287"/>
        <v/>
      </c>
      <c r="AJ775" t="str">
        <f t="shared" si="289"/>
        <v/>
      </c>
    </row>
    <row r="776" spans="1:36" ht="15" customHeight="1" x14ac:dyDescent="0.25">
      <c r="A776" s="114"/>
      <c r="B776" s="116"/>
      <c r="C776" s="116"/>
      <c r="D776" s="42" t="str">
        <f t="shared" ref="D776:D839" si="290">IF(A776="","",B776*C776)</f>
        <v/>
      </c>
      <c r="E776" s="43"/>
      <c r="F776" s="118"/>
      <c r="G776" s="44" t="str">
        <f t="shared" ref="G776:G839" si="291">IF(A776="","",F776*B776)</f>
        <v/>
      </c>
      <c r="H776" s="118"/>
      <c r="I776" s="34" t="str">
        <f t="shared" ref="I776:I839" si="292">IF(OR(H776=0,C776=0,H776="",C776=""),"",H776/C776)</f>
        <v/>
      </c>
      <c r="J776" s="118"/>
      <c r="K776" s="34" t="str">
        <f t="shared" ref="K776:K839" si="293">IF(OR(J776=0,C776=0,J776="",C776=""),"",J776/C776)</f>
        <v/>
      </c>
      <c r="L776" s="118"/>
      <c r="M776" s="121"/>
      <c r="N776" s="122" t="str">
        <f t="shared" ref="N776:N839" si="294">IF(A776="","",IF(P776&gt;0,IF(G776&gt;0,P776/G776,0),IF(E776&gt;0,0,IF($I$3&gt;0,IF($I$4&gt;0,MAX($I$3-SUM($P$8:$P$1007),0)/$I$4,0),$I$2))))</f>
        <v/>
      </c>
      <c r="O776" s="35" t="str">
        <f t="shared" ref="O776:O839" si="295">IF(A776="","",IF(P776&gt;0,P776,IF(E776&gt;0,0,G776*IF($I$3&gt;0,IF($I$4&gt;0,MAX($I$3-SUM($P$8:$P$1007),0)/$I$4,0),$I$2))))</f>
        <v/>
      </c>
      <c r="P776" s="124"/>
      <c r="Q776" s="36" t="str">
        <f t="shared" si="283"/>
        <v/>
      </c>
      <c r="R776" s="46" t="str">
        <f t="shared" ref="R776:R839" si="296">IF(OR(A776="",Q776=""),"",Q776*C776)</f>
        <v/>
      </c>
      <c r="S776" s="38" t="str">
        <f t="shared" ref="S776:S839" si="297">IF(OR(A776="",H776&lt;=0,R776=""),"",(H776-R776)/H776)</f>
        <v/>
      </c>
      <c r="T776" s="39" t="str">
        <f t="shared" ref="T776:T839" si="298">IF(OR(H776=0,R776=0,H776="",R776=""),"",H776-R776)</f>
        <v/>
      </c>
      <c r="U776" s="40" t="str">
        <f t="shared" ref="U776:U839" si="299">IF(OR(A776="",J776&lt;=0,R776=""),"",(J776-R776)/J776)</f>
        <v/>
      </c>
      <c r="V776" s="39" t="str">
        <f t="shared" ref="V776:V839" si="300">IF(OR(J776=0,R776=0,J776="",R776=""),"",J776-R776)</f>
        <v/>
      </c>
      <c r="W776" s="34" t="str">
        <f t="shared" ref="W776:W839" si="301">IF(OR(G776="",G776=0,$M$5="",$K$3=0),"",($M$5/$K$3)*G776)</f>
        <v/>
      </c>
      <c r="X776" s="41" t="str">
        <f t="shared" si="284"/>
        <v/>
      </c>
      <c r="Y776" s="98" t="str">
        <f t="shared" ref="Y776:Y839" si="302">IF(OR(Q776=0,Q776="",D776=0,D776=""),"",Q776*(D776+E776))</f>
        <v/>
      </c>
      <c r="Z776" s="16" t="str">
        <f t="shared" si="285"/>
        <v/>
      </c>
      <c r="AB776" s="139"/>
      <c r="AC776" s="146" t="str">
        <f t="shared" si="288"/>
        <v/>
      </c>
      <c r="AD776" s="148" t="str">
        <f t="shared" si="286"/>
        <v/>
      </c>
      <c r="AE776" s="147" t="str">
        <f t="shared" ref="AE776:AE839" si="303">IF(AD776="","",AD776*$AC$1+IF(SUM($AD$8:$AD$1007)=0,0,$AC$2*AD776/SUM($AD$8:$AD$1007)))</f>
        <v/>
      </c>
      <c r="AF776" s="111" t="str">
        <f t="shared" ref="AF776:AF839" si="304">IF(AD776="","",AD776-AE776)</f>
        <v/>
      </c>
      <c r="AG776" s="111" t="str">
        <f t="shared" ref="AG776:AG839" si="305">IF(AF776="","",AH776-AF776)</f>
        <v/>
      </c>
      <c r="AH776" s="112" t="str">
        <f t="shared" ref="AH776:AH839" si="306">IF(AF776="","",ROUND(AF776,0))</f>
        <v/>
      </c>
      <c r="AI776" t="str">
        <f t="shared" si="287"/>
        <v/>
      </c>
      <c r="AJ776" t="str">
        <f t="shared" si="289"/>
        <v/>
      </c>
    </row>
    <row r="777" spans="1:36" ht="15" customHeight="1" x14ac:dyDescent="0.25">
      <c r="A777" s="114"/>
      <c r="B777" s="116"/>
      <c r="C777" s="116"/>
      <c r="D777" s="42" t="str">
        <f t="shared" si="290"/>
        <v/>
      </c>
      <c r="E777" s="43"/>
      <c r="F777" s="118"/>
      <c r="G777" s="44" t="str">
        <f t="shared" si="291"/>
        <v/>
      </c>
      <c r="H777" s="118"/>
      <c r="I777" s="34" t="str">
        <f t="shared" si="292"/>
        <v/>
      </c>
      <c r="J777" s="118"/>
      <c r="K777" s="34" t="str">
        <f t="shared" si="293"/>
        <v/>
      </c>
      <c r="L777" s="118"/>
      <c r="M777" s="121"/>
      <c r="N777" s="122" t="str">
        <f t="shared" si="294"/>
        <v/>
      </c>
      <c r="O777" s="35" t="str">
        <f t="shared" si="295"/>
        <v/>
      </c>
      <c r="P777" s="124"/>
      <c r="Q777" s="36" t="str">
        <f t="shared" ref="Q777:Q840" si="307">IF(A777="","",IF(OR(B777=0,B777="",C777&lt;=0,D777+E777&lt;=0),"",(G777-O777)/(D777+E777)-IF(W777&gt;=0,W777/D777,0)+IF(ISNUMBER(X777),X777/(D777+E777),0)))</f>
        <v/>
      </c>
      <c r="R777" s="46" t="str">
        <f t="shared" si="296"/>
        <v/>
      </c>
      <c r="S777" s="38" t="str">
        <f t="shared" si="297"/>
        <v/>
      </c>
      <c r="T777" s="39" t="str">
        <f t="shared" si="298"/>
        <v/>
      </c>
      <c r="U777" s="40" t="str">
        <f t="shared" si="299"/>
        <v/>
      </c>
      <c r="V777" s="39" t="str">
        <f t="shared" si="300"/>
        <v/>
      </c>
      <c r="W777" s="34" t="str">
        <f t="shared" si="301"/>
        <v/>
      </c>
      <c r="X777" s="41" t="str">
        <f t="shared" ref="X777:X840" si="308">IF(OR(G777="",G777=0,($K$3-$K$2)=0),"",($I$1/($K$3-$K$2))*(G777-O777))</f>
        <v/>
      </c>
      <c r="Y777" s="98" t="str">
        <f t="shared" si="302"/>
        <v/>
      </c>
      <c r="Z777" s="16" t="str">
        <f t="shared" ref="Z777:Z840" si="309">IF(OR(B777=0,B777=""),"",G777)</f>
        <v/>
      </c>
      <c r="AB777" s="139"/>
      <c r="AC777" s="146" t="str">
        <f t="shared" si="288"/>
        <v/>
      </c>
      <c r="AD777" s="148" t="str">
        <f t="shared" ref="AD777:AD840" si="310">IF(OR(AB777="",AC777=""),"",AB777*AC777)</f>
        <v/>
      </c>
      <c r="AE777" s="147" t="str">
        <f t="shared" si="303"/>
        <v/>
      </c>
      <c r="AF777" s="111" t="str">
        <f t="shared" si="304"/>
        <v/>
      </c>
      <c r="AG777" s="111" t="str">
        <f t="shared" si="305"/>
        <v/>
      </c>
      <c r="AH777" s="112" t="str">
        <f t="shared" si="306"/>
        <v/>
      </c>
      <c r="AI777" t="str">
        <f t="shared" ref="AI777:AI840" si="311">IF(OR(AB777=0,AB777=""),"",AE777/AB777)</f>
        <v/>
      </c>
      <c r="AJ777" t="str">
        <f t="shared" si="289"/>
        <v/>
      </c>
    </row>
    <row r="778" spans="1:36" ht="15" customHeight="1" x14ac:dyDescent="0.25">
      <c r="A778" s="114"/>
      <c r="B778" s="116"/>
      <c r="C778" s="116"/>
      <c r="D778" s="42" t="str">
        <f t="shared" si="290"/>
        <v/>
      </c>
      <c r="E778" s="43"/>
      <c r="F778" s="118"/>
      <c r="G778" s="44" t="str">
        <f t="shared" si="291"/>
        <v/>
      </c>
      <c r="H778" s="118"/>
      <c r="I778" s="34" t="str">
        <f t="shared" si="292"/>
        <v/>
      </c>
      <c r="J778" s="118"/>
      <c r="K778" s="34" t="str">
        <f t="shared" si="293"/>
        <v/>
      </c>
      <c r="L778" s="118"/>
      <c r="M778" s="121"/>
      <c r="N778" s="122" t="str">
        <f t="shared" si="294"/>
        <v/>
      </c>
      <c r="O778" s="35" t="str">
        <f t="shared" si="295"/>
        <v/>
      </c>
      <c r="P778" s="124"/>
      <c r="Q778" s="36" t="str">
        <f t="shared" si="307"/>
        <v/>
      </c>
      <c r="R778" s="46" t="str">
        <f t="shared" si="296"/>
        <v/>
      </c>
      <c r="S778" s="38" t="str">
        <f t="shared" si="297"/>
        <v/>
      </c>
      <c r="T778" s="39" t="str">
        <f t="shared" si="298"/>
        <v/>
      </c>
      <c r="U778" s="40" t="str">
        <f t="shared" si="299"/>
        <v/>
      </c>
      <c r="V778" s="39" t="str">
        <f t="shared" si="300"/>
        <v/>
      </c>
      <c r="W778" s="34" t="str">
        <f t="shared" si="301"/>
        <v/>
      </c>
      <c r="X778" s="41" t="str">
        <f t="shared" si="308"/>
        <v/>
      </c>
      <c r="Y778" s="98" t="str">
        <f t="shared" si="302"/>
        <v/>
      </c>
      <c r="Z778" s="16" t="str">
        <f t="shared" si="309"/>
        <v/>
      </c>
      <c r="AB778" s="139"/>
      <c r="AC778" s="146" t="str">
        <f t="shared" si="288"/>
        <v/>
      </c>
      <c r="AD778" s="148" t="str">
        <f t="shared" si="310"/>
        <v/>
      </c>
      <c r="AE778" s="147" t="str">
        <f t="shared" si="303"/>
        <v/>
      </c>
      <c r="AF778" s="111" t="str">
        <f t="shared" si="304"/>
        <v/>
      </c>
      <c r="AG778" s="111" t="str">
        <f t="shared" si="305"/>
        <v/>
      </c>
      <c r="AH778" s="112" t="str">
        <f t="shared" si="306"/>
        <v/>
      </c>
      <c r="AI778" t="str">
        <f t="shared" si="311"/>
        <v/>
      </c>
      <c r="AJ778" t="str">
        <f t="shared" si="289"/>
        <v/>
      </c>
    </row>
    <row r="779" spans="1:36" ht="15" customHeight="1" x14ac:dyDescent="0.25">
      <c r="A779" s="114"/>
      <c r="B779" s="116"/>
      <c r="C779" s="116"/>
      <c r="D779" s="42" t="str">
        <f t="shared" si="290"/>
        <v/>
      </c>
      <c r="E779" s="43"/>
      <c r="F779" s="118"/>
      <c r="G779" s="44" t="str">
        <f t="shared" si="291"/>
        <v/>
      </c>
      <c r="H779" s="118"/>
      <c r="I779" s="34" t="str">
        <f t="shared" si="292"/>
        <v/>
      </c>
      <c r="J779" s="118"/>
      <c r="K779" s="34" t="str">
        <f t="shared" si="293"/>
        <v/>
      </c>
      <c r="L779" s="118"/>
      <c r="M779" s="121"/>
      <c r="N779" s="122" t="str">
        <f t="shared" si="294"/>
        <v/>
      </c>
      <c r="O779" s="35" t="str">
        <f t="shared" si="295"/>
        <v/>
      </c>
      <c r="P779" s="124"/>
      <c r="Q779" s="36" t="str">
        <f t="shared" si="307"/>
        <v/>
      </c>
      <c r="R779" s="46" t="str">
        <f t="shared" si="296"/>
        <v/>
      </c>
      <c r="S779" s="38" t="str">
        <f t="shared" si="297"/>
        <v/>
      </c>
      <c r="T779" s="39" t="str">
        <f t="shared" si="298"/>
        <v/>
      </c>
      <c r="U779" s="40" t="str">
        <f t="shared" si="299"/>
        <v/>
      </c>
      <c r="V779" s="39" t="str">
        <f t="shared" si="300"/>
        <v/>
      </c>
      <c r="W779" s="34" t="str">
        <f t="shared" si="301"/>
        <v/>
      </c>
      <c r="X779" s="41" t="str">
        <f t="shared" si="308"/>
        <v/>
      </c>
      <c r="Y779" s="98" t="str">
        <f t="shared" si="302"/>
        <v/>
      </c>
      <c r="Z779" s="16" t="str">
        <f t="shared" si="309"/>
        <v/>
      </c>
      <c r="AB779" s="139"/>
      <c r="AC779" s="146" t="str">
        <f t="shared" si="288"/>
        <v/>
      </c>
      <c r="AD779" s="148" t="str">
        <f t="shared" si="310"/>
        <v/>
      </c>
      <c r="AE779" s="147" t="str">
        <f t="shared" si="303"/>
        <v/>
      </c>
      <c r="AF779" s="111" t="str">
        <f t="shared" si="304"/>
        <v/>
      </c>
      <c r="AG779" s="111" t="str">
        <f t="shared" si="305"/>
        <v/>
      </c>
      <c r="AH779" s="112" t="str">
        <f t="shared" si="306"/>
        <v/>
      </c>
      <c r="AI779" t="str">
        <f t="shared" si="311"/>
        <v/>
      </c>
      <c r="AJ779" t="str">
        <f t="shared" si="289"/>
        <v/>
      </c>
    </row>
    <row r="780" spans="1:36" ht="15" customHeight="1" x14ac:dyDescent="0.25">
      <c r="A780" s="114"/>
      <c r="B780" s="116"/>
      <c r="C780" s="116"/>
      <c r="D780" s="42" t="str">
        <f t="shared" si="290"/>
        <v/>
      </c>
      <c r="E780" s="43"/>
      <c r="F780" s="118"/>
      <c r="G780" s="44" t="str">
        <f t="shared" si="291"/>
        <v/>
      </c>
      <c r="H780" s="118"/>
      <c r="I780" s="34" t="str">
        <f t="shared" si="292"/>
        <v/>
      </c>
      <c r="J780" s="118"/>
      <c r="K780" s="34" t="str">
        <f t="shared" si="293"/>
        <v/>
      </c>
      <c r="L780" s="118"/>
      <c r="M780" s="121"/>
      <c r="N780" s="122" t="str">
        <f t="shared" si="294"/>
        <v/>
      </c>
      <c r="O780" s="35" t="str">
        <f t="shared" si="295"/>
        <v/>
      </c>
      <c r="P780" s="124"/>
      <c r="Q780" s="36" t="str">
        <f t="shared" si="307"/>
        <v/>
      </c>
      <c r="R780" s="46" t="str">
        <f t="shared" si="296"/>
        <v/>
      </c>
      <c r="S780" s="38" t="str">
        <f t="shared" si="297"/>
        <v/>
      </c>
      <c r="T780" s="39" t="str">
        <f t="shared" si="298"/>
        <v/>
      </c>
      <c r="U780" s="40" t="str">
        <f t="shared" si="299"/>
        <v/>
      </c>
      <c r="V780" s="39" t="str">
        <f t="shared" si="300"/>
        <v/>
      </c>
      <c r="W780" s="34" t="str">
        <f t="shared" si="301"/>
        <v/>
      </c>
      <c r="X780" s="41" t="str">
        <f t="shared" si="308"/>
        <v/>
      </c>
      <c r="Y780" s="98" t="str">
        <f t="shared" si="302"/>
        <v/>
      </c>
      <c r="Z780" s="16" t="str">
        <f t="shared" si="309"/>
        <v/>
      </c>
      <c r="AB780" s="139"/>
      <c r="AC780" s="146" t="str">
        <f t="shared" ref="AC780:AC843" si="312">IF(AB780="","",Q780)</f>
        <v/>
      </c>
      <c r="AD780" s="148" t="str">
        <f t="shared" si="310"/>
        <v/>
      </c>
      <c r="AE780" s="147" t="str">
        <f t="shared" si="303"/>
        <v/>
      </c>
      <c r="AF780" s="111" t="str">
        <f t="shared" si="304"/>
        <v/>
      </c>
      <c r="AG780" s="111" t="str">
        <f t="shared" si="305"/>
        <v/>
      </c>
      <c r="AH780" s="112" t="str">
        <f t="shared" si="306"/>
        <v/>
      </c>
      <c r="AI780" t="str">
        <f t="shared" si="311"/>
        <v/>
      </c>
      <c r="AJ780" t="str">
        <f t="shared" ref="AJ780:AJ843" si="313">IF(OR(AB780=0,AB780=""),"",AC780*C780)</f>
        <v/>
      </c>
    </row>
    <row r="781" spans="1:36" ht="15" customHeight="1" x14ac:dyDescent="0.25">
      <c r="A781" s="114"/>
      <c r="B781" s="116"/>
      <c r="C781" s="116"/>
      <c r="D781" s="42" t="str">
        <f t="shared" si="290"/>
        <v/>
      </c>
      <c r="E781" s="43"/>
      <c r="F781" s="118"/>
      <c r="G781" s="44" t="str">
        <f t="shared" si="291"/>
        <v/>
      </c>
      <c r="H781" s="118"/>
      <c r="I781" s="34" t="str">
        <f t="shared" si="292"/>
        <v/>
      </c>
      <c r="J781" s="118"/>
      <c r="K781" s="34" t="str">
        <f t="shared" si="293"/>
        <v/>
      </c>
      <c r="L781" s="118"/>
      <c r="M781" s="121"/>
      <c r="N781" s="122" t="str">
        <f t="shared" si="294"/>
        <v/>
      </c>
      <c r="O781" s="35" t="str">
        <f t="shared" si="295"/>
        <v/>
      </c>
      <c r="P781" s="124"/>
      <c r="Q781" s="36" t="str">
        <f t="shared" si="307"/>
        <v/>
      </c>
      <c r="R781" s="46" t="str">
        <f t="shared" si="296"/>
        <v/>
      </c>
      <c r="S781" s="38" t="str">
        <f t="shared" si="297"/>
        <v/>
      </c>
      <c r="T781" s="39" t="str">
        <f t="shared" si="298"/>
        <v/>
      </c>
      <c r="U781" s="40" t="str">
        <f t="shared" si="299"/>
        <v/>
      </c>
      <c r="V781" s="39" t="str">
        <f t="shared" si="300"/>
        <v/>
      </c>
      <c r="W781" s="34" t="str">
        <f t="shared" si="301"/>
        <v/>
      </c>
      <c r="X781" s="41" t="str">
        <f t="shared" si="308"/>
        <v/>
      </c>
      <c r="Y781" s="98" t="str">
        <f t="shared" si="302"/>
        <v/>
      </c>
      <c r="Z781" s="16" t="str">
        <f t="shared" si="309"/>
        <v/>
      </c>
      <c r="AB781" s="139"/>
      <c r="AC781" s="146" t="str">
        <f t="shared" si="312"/>
        <v/>
      </c>
      <c r="AD781" s="148" t="str">
        <f t="shared" si="310"/>
        <v/>
      </c>
      <c r="AE781" s="147" t="str">
        <f t="shared" si="303"/>
        <v/>
      </c>
      <c r="AF781" s="111" t="str">
        <f t="shared" si="304"/>
        <v/>
      </c>
      <c r="AG781" s="111" t="str">
        <f t="shared" si="305"/>
        <v/>
      </c>
      <c r="AH781" s="112" t="str">
        <f t="shared" si="306"/>
        <v/>
      </c>
      <c r="AI781" t="str">
        <f t="shared" si="311"/>
        <v/>
      </c>
      <c r="AJ781" t="str">
        <f t="shared" si="313"/>
        <v/>
      </c>
    </row>
    <row r="782" spans="1:36" ht="15" customHeight="1" x14ac:dyDescent="0.25">
      <c r="A782" s="114"/>
      <c r="B782" s="116"/>
      <c r="C782" s="116"/>
      <c r="D782" s="42" t="str">
        <f t="shared" si="290"/>
        <v/>
      </c>
      <c r="E782" s="43"/>
      <c r="F782" s="118"/>
      <c r="G782" s="44" t="str">
        <f t="shared" si="291"/>
        <v/>
      </c>
      <c r="H782" s="118"/>
      <c r="I782" s="34" t="str">
        <f t="shared" si="292"/>
        <v/>
      </c>
      <c r="J782" s="118"/>
      <c r="K782" s="34" t="str">
        <f t="shared" si="293"/>
        <v/>
      </c>
      <c r="L782" s="118"/>
      <c r="M782" s="121"/>
      <c r="N782" s="122" t="str">
        <f t="shared" si="294"/>
        <v/>
      </c>
      <c r="O782" s="35" t="str">
        <f t="shared" si="295"/>
        <v/>
      </c>
      <c r="P782" s="124"/>
      <c r="Q782" s="36" t="str">
        <f t="shared" si="307"/>
        <v/>
      </c>
      <c r="R782" s="46" t="str">
        <f t="shared" si="296"/>
        <v/>
      </c>
      <c r="S782" s="38" t="str">
        <f t="shared" si="297"/>
        <v/>
      </c>
      <c r="T782" s="39" t="str">
        <f t="shared" si="298"/>
        <v/>
      </c>
      <c r="U782" s="40" t="str">
        <f t="shared" si="299"/>
        <v/>
      </c>
      <c r="V782" s="39" t="str">
        <f t="shared" si="300"/>
        <v/>
      </c>
      <c r="W782" s="34" t="str">
        <f t="shared" si="301"/>
        <v/>
      </c>
      <c r="X782" s="41" t="str">
        <f t="shared" si="308"/>
        <v/>
      </c>
      <c r="Y782" s="98" t="str">
        <f t="shared" si="302"/>
        <v/>
      </c>
      <c r="Z782" s="16" t="str">
        <f t="shared" si="309"/>
        <v/>
      </c>
      <c r="AB782" s="139"/>
      <c r="AC782" s="146" t="str">
        <f t="shared" si="312"/>
        <v/>
      </c>
      <c r="AD782" s="148" t="str">
        <f t="shared" si="310"/>
        <v/>
      </c>
      <c r="AE782" s="147" t="str">
        <f t="shared" si="303"/>
        <v/>
      </c>
      <c r="AF782" s="111" t="str">
        <f t="shared" si="304"/>
        <v/>
      </c>
      <c r="AG782" s="111" t="str">
        <f t="shared" si="305"/>
        <v/>
      </c>
      <c r="AH782" s="112" t="str">
        <f t="shared" si="306"/>
        <v/>
      </c>
      <c r="AI782" t="str">
        <f t="shared" si="311"/>
        <v/>
      </c>
      <c r="AJ782" t="str">
        <f t="shared" si="313"/>
        <v/>
      </c>
    </row>
    <row r="783" spans="1:36" ht="15" customHeight="1" x14ac:dyDescent="0.25">
      <c r="A783" s="114"/>
      <c r="B783" s="116"/>
      <c r="C783" s="116"/>
      <c r="D783" s="42" t="str">
        <f t="shared" si="290"/>
        <v/>
      </c>
      <c r="E783" s="43"/>
      <c r="F783" s="118"/>
      <c r="G783" s="44" t="str">
        <f t="shared" si="291"/>
        <v/>
      </c>
      <c r="H783" s="118"/>
      <c r="I783" s="34" t="str">
        <f t="shared" si="292"/>
        <v/>
      </c>
      <c r="J783" s="118"/>
      <c r="K783" s="34" t="str">
        <f t="shared" si="293"/>
        <v/>
      </c>
      <c r="L783" s="118"/>
      <c r="M783" s="121"/>
      <c r="N783" s="122" t="str">
        <f t="shared" si="294"/>
        <v/>
      </c>
      <c r="O783" s="35" t="str">
        <f t="shared" si="295"/>
        <v/>
      </c>
      <c r="P783" s="124"/>
      <c r="Q783" s="36" t="str">
        <f t="shared" si="307"/>
        <v/>
      </c>
      <c r="R783" s="46" t="str">
        <f t="shared" si="296"/>
        <v/>
      </c>
      <c r="S783" s="38" t="str">
        <f t="shared" si="297"/>
        <v/>
      </c>
      <c r="T783" s="39" t="str">
        <f t="shared" si="298"/>
        <v/>
      </c>
      <c r="U783" s="40" t="str">
        <f t="shared" si="299"/>
        <v/>
      </c>
      <c r="V783" s="39" t="str">
        <f t="shared" si="300"/>
        <v/>
      </c>
      <c r="W783" s="34" t="str">
        <f t="shared" si="301"/>
        <v/>
      </c>
      <c r="X783" s="41" t="str">
        <f t="shared" si="308"/>
        <v/>
      </c>
      <c r="Y783" s="98" t="str">
        <f t="shared" si="302"/>
        <v/>
      </c>
      <c r="Z783" s="16" t="str">
        <f t="shared" si="309"/>
        <v/>
      </c>
      <c r="AB783" s="139"/>
      <c r="AC783" s="146" t="str">
        <f t="shared" si="312"/>
        <v/>
      </c>
      <c r="AD783" s="148" t="str">
        <f t="shared" si="310"/>
        <v/>
      </c>
      <c r="AE783" s="147" t="str">
        <f t="shared" si="303"/>
        <v/>
      </c>
      <c r="AF783" s="111" t="str">
        <f t="shared" si="304"/>
        <v/>
      </c>
      <c r="AG783" s="111" t="str">
        <f t="shared" si="305"/>
        <v/>
      </c>
      <c r="AH783" s="112" t="str">
        <f t="shared" si="306"/>
        <v/>
      </c>
      <c r="AI783" t="str">
        <f t="shared" si="311"/>
        <v/>
      </c>
      <c r="AJ783" t="str">
        <f t="shared" si="313"/>
        <v/>
      </c>
    </row>
    <row r="784" spans="1:36" ht="15" customHeight="1" x14ac:dyDescent="0.25">
      <c r="A784" s="114"/>
      <c r="B784" s="116"/>
      <c r="C784" s="116"/>
      <c r="D784" s="42" t="str">
        <f t="shared" si="290"/>
        <v/>
      </c>
      <c r="E784" s="43"/>
      <c r="F784" s="118"/>
      <c r="G784" s="44" t="str">
        <f t="shared" si="291"/>
        <v/>
      </c>
      <c r="H784" s="118"/>
      <c r="I784" s="34" t="str">
        <f t="shared" si="292"/>
        <v/>
      </c>
      <c r="J784" s="118"/>
      <c r="K784" s="34" t="str">
        <f t="shared" si="293"/>
        <v/>
      </c>
      <c r="L784" s="118"/>
      <c r="M784" s="121"/>
      <c r="N784" s="122" t="str">
        <f t="shared" si="294"/>
        <v/>
      </c>
      <c r="O784" s="35" t="str">
        <f t="shared" si="295"/>
        <v/>
      </c>
      <c r="P784" s="124"/>
      <c r="Q784" s="36" t="str">
        <f t="shared" si="307"/>
        <v/>
      </c>
      <c r="R784" s="46" t="str">
        <f t="shared" si="296"/>
        <v/>
      </c>
      <c r="S784" s="38" t="str">
        <f t="shared" si="297"/>
        <v/>
      </c>
      <c r="T784" s="39" t="str">
        <f t="shared" si="298"/>
        <v/>
      </c>
      <c r="U784" s="40" t="str">
        <f t="shared" si="299"/>
        <v/>
      </c>
      <c r="V784" s="39" t="str">
        <f t="shared" si="300"/>
        <v/>
      </c>
      <c r="W784" s="34" t="str">
        <f t="shared" si="301"/>
        <v/>
      </c>
      <c r="X784" s="41" t="str">
        <f t="shared" si="308"/>
        <v/>
      </c>
      <c r="Y784" s="98" t="str">
        <f t="shared" si="302"/>
        <v/>
      </c>
      <c r="Z784" s="16" t="str">
        <f t="shared" si="309"/>
        <v/>
      </c>
      <c r="AB784" s="139"/>
      <c r="AC784" s="146" t="str">
        <f t="shared" si="312"/>
        <v/>
      </c>
      <c r="AD784" s="148" t="str">
        <f t="shared" si="310"/>
        <v/>
      </c>
      <c r="AE784" s="147" t="str">
        <f t="shared" si="303"/>
        <v/>
      </c>
      <c r="AF784" s="111" t="str">
        <f t="shared" si="304"/>
        <v/>
      </c>
      <c r="AG784" s="111" t="str">
        <f t="shared" si="305"/>
        <v/>
      </c>
      <c r="AH784" s="112" t="str">
        <f t="shared" si="306"/>
        <v/>
      </c>
      <c r="AI784" t="str">
        <f t="shared" si="311"/>
        <v/>
      </c>
      <c r="AJ784" t="str">
        <f t="shared" si="313"/>
        <v/>
      </c>
    </row>
    <row r="785" spans="1:36" ht="15" customHeight="1" x14ac:dyDescent="0.25">
      <c r="A785" s="114"/>
      <c r="B785" s="116"/>
      <c r="C785" s="116"/>
      <c r="D785" s="42" t="str">
        <f t="shared" si="290"/>
        <v/>
      </c>
      <c r="E785" s="43"/>
      <c r="F785" s="118"/>
      <c r="G785" s="44" t="str">
        <f t="shared" si="291"/>
        <v/>
      </c>
      <c r="H785" s="118"/>
      <c r="I785" s="34" t="str">
        <f t="shared" si="292"/>
        <v/>
      </c>
      <c r="J785" s="118"/>
      <c r="K785" s="34" t="str">
        <f t="shared" si="293"/>
        <v/>
      </c>
      <c r="L785" s="118"/>
      <c r="M785" s="121"/>
      <c r="N785" s="122" t="str">
        <f t="shared" si="294"/>
        <v/>
      </c>
      <c r="O785" s="35" t="str">
        <f t="shared" si="295"/>
        <v/>
      </c>
      <c r="P785" s="124"/>
      <c r="Q785" s="36" t="str">
        <f t="shared" si="307"/>
        <v/>
      </c>
      <c r="R785" s="46" t="str">
        <f t="shared" si="296"/>
        <v/>
      </c>
      <c r="S785" s="38" t="str">
        <f t="shared" si="297"/>
        <v/>
      </c>
      <c r="T785" s="39" t="str">
        <f t="shared" si="298"/>
        <v/>
      </c>
      <c r="U785" s="40" t="str">
        <f t="shared" si="299"/>
        <v/>
      </c>
      <c r="V785" s="39" t="str">
        <f t="shared" si="300"/>
        <v/>
      </c>
      <c r="W785" s="34" t="str">
        <f t="shared" si="301"/>
        <v/>
      </c>
      <c r="X785" s="41" t="str">
        <f t="shared" si="308"/>
        <v/>
      </c>
      <c r="Y785" s="98" t="str">
        <f t="shared" si="302"/>
        <v/>
      </c>
      <c r="Z785" s="16" t="str">
        <f t="shared" si="309"/>
        <v/>
      </c>
      <c r="AB785" s="139"/>
      <c r="AC785" s="146" t="str">
        <f t="shared" si="312"/>
        <v/>
      </c>
      <c r="AD785" s="148" t="str">
        <f t="shared" si="310"/>
        <v/>
      </c>
      <c r="AE785" s="147" t="str">
        <f t="shared" si="303"/>
        <v/>
      </c>
      <c r="AF785" s="111" t="str">
        <f t="shared" si="304"/>
        <v/>
      </c>
      <c r="AG785" s="111" t="str">
        <f t="shared" si="305"/>
        <v/>
      </c>
      <c r="AH785" s="112" t="str">
        <f t="shared" si="306"/>
        <v/>
      </c>
      <c r="AI785" t="str">
        <f t="shared" si="311"/>
        <v/>
      </c>
      <c r="AJ785" t="str">
        <f t="shared" si="313"/>
        <v/>
      </c>
    </row>
    <row r="786" spans="1:36" ht="15" customHeight="1" x14ac:dyDescent="0.25">
      <c r="A786" s="114"/>
      <c r="B786" s="116"/>
      <c r="C786" s="116"/>
      <c r="D786" s="42" t="str">
        <f t="shared" si="290"/>
        <v/>
      </c>
      <c r="E786" s="43"/>
      <c r="F786" s="118"/>
      <c r="G786" s="44" t="str">
        <f t="shared" si="291"/>
        <v/>
      </c>
      <c r="H786" s="118"/>
      <c r="I786" s="34" t="str">
        <f t="shared" si="292"/>
        <v/>
      </c>
      <c r="J786" s="118"/>
      <c r="K786" s="34" t="str">
        <f t="shared" si="293"/>
        <v/>
      </c>
      <c r="L786" s="118"/>
      <c r="M786" s="121"/>
      <c r="N786" s="122" t="str">
        <f t="shared" si="294"/>
        <v/>
      </c>
      <c r="O786" s="35" t="str">
        <f t="shared" si="295"/>
        <v/>
      </c>
      <c r="P786" s="124"/>
      <c r="Q786" s="36" t="str">
        <f t="shared" si="307"/>
        <v/>
      </c>
      <c r="R786" s="46" t="str">
        <f t="shared" si="296"/>
        <v/>
      </c>
      <c r="S786" s="38" t="str">
        <f t="shared" si="297"/>
        <v/>
      </c>
      <c r="T786" s="39" t="str">
        <f t="shared" si="298"/>
        <v/>
      </c>
      <c r="U786" s="40" t="str">
        <f t="shared" si="299"/>
        <v/>
      </c>
      <c r="V786" s="39" t="str">
        <f t="shared" si="300"/>
        <v/>
      </c>
      <c r="W786" s="34" t="str">
        <f t="shared" si="301"/>
        <v/>
      </c>
      <c r="X786" s="41" t="str">
        <f t="shared" si="308"/>
        <v/>
      </c>
      <c r="Y786" s="98" t="str">
        <f t="shared" si="302"/>
        <v/>
      </c>
      <c r="Z786" s="16" t="str">
        <f t="shared" si="309"/>
        <v/>
      </c>
      <c r="AB786" s="139"/>
      <c r="AC786" s="146" t="str">
        <f t="shared" si="312"/>
        <v/>
      </c>
      <c r="AD786" s="148" t="str">
        <f t="shared" si="310"/>
        <v/>
      </c>
      <c r="AE786" s="147" t="str">
        <f t="shared" si="303"/>
        <v/>
      </c>
      <c r="AF786" s="111" t="str">
        <f t="shared" si="304"/>
        <v/>
      </c>
      <c r="AG786" s="111" t="str">
        <f t="shared" si="305"/>
        <v/>
      </c>
      <c r="AH786" s="112" t="str">
        <f t="shared" si="306"/>
        <v/>
      </c>
      <c r="AI786" t="str">
        <f t="shared" si="311"/>
        <v/>
      </c>
      <c r="AJ786" t="str">
        <f t="shared" si="313"/>
        <v/>
      </c>
    </row>
    <row r="787" spans="1:36" ht="15" customHeight="1" x14ac:dyDescent="0.25">
      <c r="A787" s="114"/>
      <c r="B787" s="116"/>
      <c r="C787" s="116"/>
      <c r="D787" s="42" t="str">
        <f t="shared" si="290"/>
        <v/>
      </c>
      <c r="E787" s="43"/>
      <c r="F787" s="118"/>
      <c r="G787" s="44" t="str">
        <f t="shared" si="291"/>
        <v/>
      </c>
      <c r="H787" s="118"/>
      <c r="I787" s="34" t="str">
        <f t="shared" si="292"/>
        <v/>
      </c>
      <c r="J787" s="118"/>
      <c r="K787" s="34" t="str">
        <f t="shared" si="293"/>
        <v/>
      </c>
      <c r="L787" s="118"/>
      <c r="M787" s="121"/>
      <c r="N787" s="122" t="str">
        <f t="shared" si="294"/>
        <v/>
      </c>
      <c r="O787" s="35" t="str">
        <f t="shared" si="295"/>
        <v/>
      </c>
      <c r="P787" s="124"/>
      <c r="Q787" s="36" t="str">
        <f t="shared" si="307"/>
        <v/>
      </c>
      <c r="R787" s="46" t="str">
        <f t="shared" si="296"/>
        <v/>
      </c>
      <c r="S787" s="38" t="str">
        <f t="shared" si="297"/>
        <v/>
      </c>
      <c r="T787" s="39" t="str">
        <f t="shared" si="298"/>
        <v/>
      </c>
      <c r="U787" s="40" t="str">
        <f t="shared" si="299"/>
        <v/>
      </c>
      <c r="V787" s="39" t="str">
        <f t="shared" si="300"/>
        <v/>
      </c>
      <c r="W787" s="34" t="str">
        <f t="shared" si="301"/>
        <v/>
      </c>
      <c r="X787" s="41" t="str">
        <f t="shared" si="308"/>
        <v/>
      </c>
      <c r="Y787" s="98" t="str">
        <f t="shared" si="302"/>
        <v/>
      </c>
      <c r="Z787" s="16" t="str">
        <f t="shared" si="309"/>
        <v/>
      </c>
      <c r="AB787" s="139"/>
      <c r="AC787" s="146" t="str">
        <f t="shared" si="312"/>
        <v/>
      </c>
      <c r="AD787" s="148" t="str">
        <f t="shared" si="310"/>
        <v/>
      </c>
      <c r="AE787" s="147" t="str">
        <f t="shared" si="303"/>
        <v/>
      </c>
      <c r="AF787" s="111" t="str">
        <f t="shared" si="304"/>
        <v/>
      </c>
      <c r="AG787" s="111" t="str">
        <f t="shared" si="305"/>
        <v/>
      </c>
      <c r="AH787" s="112" t="str">
        <f t="shared" si="306"/>
        <v/>
      </c>
      <c r="AI787" t="str">
        <f t="shared" si="311"/>
        <v/>
      </c>
      <c r="AJ787" t="str">
        <f t="shared" si="313"/>
        <v/>
      </c>
    </row>
    <row r="788" spans="1:36" ht="15" customHeight="1" x14ac:dyDescent="0.25">
      <c r="A788" s="114"/>
      <c r="B788" s="116"/>
      <c r="C788" s="116"/>
      <c r="D788" s="42" t="str">
        <f t="shared" si="290"/>
        <v/>
      </c>
      <c r="E788" s="43"/>
      <c r="F788" s="118"/>
      <c r="G788" s="44" t="str">
        <f t="shared" si="291"/>
        <v/>
      </c>
      <c r="H788" s="118"/>
      <c r="I788" s="34" t="str">
        <f t="shared" si="292"/>
        <v/>
      </c>
      <c r="J788" s="118"/>
      <c r="K788" s="34" t="str">
        <f t="shared" si="293"/>
        <v/>
      </c>
      <c r="L788" s="118"/>
      <c r="M788" s="121"/>
      <c r="N788" s="122" t="str">
        <f t="shared" si="294"/>
        <v/>
      </c>
      <c r="O788" s="35" t="str">
        <f t="shared" si="295"/>
        <v/>
      </c>
      <c r="P788" s="124"/>
      <c r="Q788" s="36" t="str">
        <f t="shared" si="307"/>
        <v/>
      </c>
      <c r="R788" s="46" t="str">
        <f t="shared" si="296"/>
        <v/>
      </c>
      <c r="S788" s="38" t="str">
        <f t="shared" si="297"/>
        <v/>
      </c>
      <c r="T788" s="39" t="str">
        <f t="shared" si="298"/>
        <v/>
      </c>
      <c r="U788" s="40" t="str">
        <f t="shared" si="299"/>
        <v/>
      </c>
      <c r="V788" s="39" t="str">
        <f t="shared" si="300"/>
        <v/>
      </c>
      <c r="W788" s="34" t="str">
        <f t="shared" si="301"/>
        <v/>
      </c>
      <c r="X788" s="41" t="str">
        <f t="shared" si="308"/>
        <v/>
      </c>
      <c r="Y788" s="98" t="str">
        <f t="shared" si="302"/>
        <v/>
      </c>
      <c r="Z788" s="16" t="str">
        <f t="shared" si="309"/>
        <v/>
      </c>
      <c r="AB788" s="139"/>
      <c r="AC788" s="146" t="str">
        <f t="shared" si="312"/>
        <v/>
      </c>
      <c r="AD788" s="148" t="str">
        <f t="shared" si="310"/>
        <v/>
      </c>
      <c r="AE788" s="147" t="str">
        <f t="shared" si="303"/>
        <v/>
      </c>
      <c r="AF788" s="111" t="str">
        <f t="shared" si="304"/>
        <v/>
      </c>
      <c r="AG788" s="111" t="str">
        <f t="shared" si="305"/>
        <v/>
      </c>
      <c r="AH788" s="112" t="str">
        <f t="shared" si="306"/>
        <v/>
      </c>
      <c r="AI788" t="str">
        <f t="shared" si="311"/>
        <v/>
      </c>
      <c r="AJ788" t="str">
        <f t="shared" si="313"/>
        <v/>
      </c>
    </row>
    <row r="789" spans="1:36" ht="15" customHeight="1" x14ac:dyDescent="0.25">
      <c r="A789" s="114"/>
      <c r="B789" s="116"/>
      <c r="C789" s="116"/>
      <c r="D789" s="42" t="str">
        <f t="shared" si="290"/>
        <v/>
      </c>
      <c r="E789" s="43"/>
      <c r="F789" s="118"/>
      <c r="G789" s="44" t="str">
        <f t="shared" si="291"/>
        <v/>
      </c>
      <c r="H789" s="118"/>
      <c r="I789" s="34" t="str">
        <f t="shared" si="292"/>
        <v/>
      </c>
      <c r="J789" s="118"/>
      <c r="K789" s="34" t="str">
        <f t="shared" si="293"/>
        <v/>
      </c>
      <c r="L789" s="118"/>
      <c r="M789" s="121"/>
      <c r="N789" s="122" t="str">
        <f t="shared" si="294"/>
        <v/>
      </c>
      <c r="O789" s="35" t="str">
        <f t="shared" si="295"/>
        <v/>
      </c>
      <c r="P789" s="124"/>
      <c r="Q789" s="36" t="str">
        <f t="shared" si="307"/>
        <v/>
      </c>
      <c r="R789" s="46" t="str">
        <f t="shared" si="296"/>
        <v/>
      </c>
      <c r="S789" s="38" t="str">
        <f t="shared" si="297"/>
        <v/>
      </c>
      <c r="T789" s="39" t="str">
        <f t="shared" si="298"/>
        <v/>
      </c>
      <c r="U789" s="40" t="str">
        <f t="shared" si="299"/>
        <v/>
      </c>
      <c r="V789" s="39" t="str">
        <f t="shared" si="300"/>
        <v/>
      </c>
      <c r="W789" s="34" t="str">
        <f t="shared" si="301"/>
        <v/>
      </c>
      <c r="X789" s="41" t="str">
        <f t="shared" si="308"/>
        <v/>
      </c>
      <c r="Y789" s="98" t="str">
        <f t="shared" si="302"/>
        <v/>
      </c>
      <c r="Z789" s="16" t="str">
        <f t="shared" si="309"/>
        <v/>
      </c>
      <c r="AB789" s="139"/>
      <c r="AC789" s="146" t="str">
        <f t="shared" si="312"/>
        <v/>
      </c>
      <c r="AD789" s="148" t="str">
        <f t="shared" si="310"/>
        <v/>
      </c>
      <c r="AE789" s="147" t="str">
        <f t="shared" si="303"/>
        <v/>
      </c>
      <c r="AF789" s="111" t="str">
        <f t="shared" si="304"/>
        <v/>
      </c>
      <c r="AG789" s="111" t="str">
        <f t="shared" si="305"/>
        <v/>
      </c>
      <c r="AH789" s="112" t="str">
        <f t="shared" si="306"/>
        <v/>
      </c>
      <c r="AI789" t="str">
        <f t="shared" si="311"/>
        <v/>
      </c>
      <c r="AJ789" t="str">
        <f t="shared" si="313"/>
        <v/>
      </c>
    </row>
    <row r="790" spans="1:36" ht="15" customHeight="1" x14ac:dyDescent="0.25">
      <c r="A790" s="114"/>
      <c r="B790" s="116"/>
      <c r="C790" s="116"/>
      <c r="D790" s="42" t="str">
        <f t="shared" si="290"/>
        <v/>
      </c>
      <c r="E790" s="43"/>
      <c r="F790" s="118"/>
      <c r="G790" s="44" t="str">
        <f t="shared" si="291"/>
        <v/>
      </c>
      <c r="H790" s="118"/>
      <c r="I790" s="34" t="str">
        <f t="shared" si="292"/>
        <v/>
      </c>
      <c r="J790" s="118"/>
      <c r="K790" s="34" t="str">
        <f t="shared" si="293"/>
        <v/>
      </c>
      <c r="L790" s="118"/>
      <c r="M790" s="121"/>
      <c r="N790" s="122" t="str">
        <f t="shared" si="294"/>
        <v/>
      </c>
      <c r="O790" s="35" t="str">
        <f t="shared" si="295"/>
        <v/>
      </c>
      <c r="P790" s="124"/>
      <c r="Q790" s="36" t="str">
        <f t="shared" si="307"/>
        <v/>
      </c>
      <c r="R790" s="46" t="str">
        <f t="shared" si="296"/>
        <v/>
      </c>
      <c r="S790" s="38" t="str">
        <f t="shared" si="297"/>
        <v/>
      </c>
      <c r="T790" s="39" t="str">
        <f t="shared" si="298"/>
        <v/>
      </c>
      <c r="U790" s="40" t="str">
        <f t="shared" si="299"/>
        <v/>
      </c>
      <c r="V790" s="39" t="str">
        <f t="shared" si="300"/>
        <v/>
      </c>
      <c r="W790" s="34" t="str">
        <f t="shared" si="301"/>
        <v/>
      </c>
      <c r="X790" s="41" t="str">
        <f t="shared" si="308"/>
        <v/>
      </c>
      <c r="Y790" s="98" t="str">
        <f t="shared" si="302"/>
        <v/>
      </c>
      <c r="Z790" s="16" t="str">
        <f t="shared" si="309"/>
        <v/>
      </c>
      <c r="AB790" s="139"/>
      <c r="AC790" s="146" t="str">
        <f t="shared" si="312"/>
        <v/>
      </c>
      <c r="AD790" s="148" t="str">
        <f t="shared" si="310"/>
        <v/>
      </c>
      <c r="AE790" s="147" t="str">
        <f t="shared" si="303"/>
        <v/>
      </c>
      <c r="AF790" s="111" t="str">
        <f t="shared" si="304"/>
        <v/>
      </c>
      <c r="AG790" s="111" t="str">
        <f t="shared" si="305"/>
        <v/>
      </c>
      <c r="AH790" s="112" t="str">
        <f t="shared" si="306"/>
        <v/>
      </c>
      <c r="AI790" t="str">
        <f t="shared" si="311"/>
        <v/>
      </c>
      <c r="AJ790" t="str">
        <f t="shared" si="313"/>
        <v/>
      </c>
    </row>
    <row r="791" spans="1:36" ht="15" customHeight="1" x14ac:dyDescent="0.25">
      <c r="A791" s="114"/>
      <c r="B791" s="116"/>
      <c r="C791" s="116"/>
      <c r="D791" s="42" t="str">
        <f t="shared" si="290"/>
        <v/>
      </c>
      <c r="E791" s="43"/>
      <c r="F791" s="118"/>
      <c r="G791" s="44" t="str">
        <f t="shared" si="291"/>
        <v/>
      </c>
      <c r="H791" s="118"/>
      <c r="I791" s="34" t="str">
        <f t="shared" si="292"/>
        <v/>
      </c>
      <c r="J791" s="118"/>
      <c r="K791" s="34" t="str">
        <f t="shared" si="293"/>
        <v/>
      </c>
      <c r="L791" s="118"/>
      <c r="M791" s="121"/>
      <c r="N791" s="122" t="str">
        <f t="shared" si="294"/>
        <v/>
      </c>
      <c r="O791" s="35" t="str">
        <f t="shared" si="295"/>
        <v/>
      </c>
      <c r="P791" s="124"/>
      <c r="Q791" s="36" t="str">
        <f t="shared" si="307"/>
        <v/>
      </c>
      <c r="R791" s="46" t="str">
        <f t="shared" si="296"/>
        <v/>
      </c>
      <c r="S791" s="38" t="str">
        <f t="shared" si="297"/>
        <v/>
      </c>
      <c r="T791" s="39" t="str">
        <f t="shared" si="298"/>
        <v/>
      </c>
      <c r="U791" s="40" t="str">
        <f t="shared" si="299"/>
        <v/>
      </c>
      <c r="V791" s="39" t="str">
        <f t="shared" si="300"/>
        <v/>
      </c>
      <c r="W791" s="34" t="str">
        <f t="shared" si="301"/>
        <v/>
      </c>
      <c r="X791" s="41" t="str">
        <f t="shared" si="308"/>
        <v/>
      </c>
      <c r="Y791" s="98" t="str">
        <f t="shared" si="302"/>
        <v/>
      </c>
      <c r="Z791" s="16" t="str">
        <f t="shared" si="309"/>
        <v/>
      </c>
      <c r="AB791" s="139"/>
      <c r="AC791" s="146" t="str">
        <f t="shared" si="312"/>
        <v/>
      </c>
      <c r="AD791" s="148" t="str">
        <f t="shared" si="310"/>
        <v/>
      </c>
      <c r="AE791" s="147" t="str">
        <f t="shared" si="303"/>
        <v/>
      </c>
      <c r="AF791" s="111" t="str">
        <f t="shared" si="304"/>
        <v/>
      </c>
      <c r="AG791" s="111" t="str">
        <f t="shared" si="305"/>
        <v/>
      </c>
      <c r="AH791" s="112" t="str">
        <f t="shared" si="306"/>
        <v/>
      </c>
      <c r="AI791" t="str">
        <f t="shared" si="311"/>
        <v/>
      </c>
      <c r="AJ791" t="str">
        <f t="shared" si="313"/>
        <v/>
      </c>
    </row>
    <row r="792" spans="1:36" ht="15" customHeight="1" x14ac:dyDescent="0.25">
      <c r="A792" s="114"/>
      <c r="B792" s="116"/>
      <c r="C792" s="116"/>
      <c r="D792" s="42" t="str">
        <f t="shared" si="290"/>
        <v/>
      </c>
      <c r="E792" s="43"/>
      <c r="F792" s="118"/>
      <c r="G792" s="44" t="str">
        <f t="shared" si="291"/>
        <v/>
      </c>
      <c r="H792" s="118"/>
      <c r="I792" s="34" t="str">
        <f t="shared" si="292"/>
        <v/>
      </c>
      <c r="J792" s="118"/>
      <c r="K792" s="34" t="str">
        <f t="shared" si="293"/>
        <v/>
      </c>
      <c r="L792" s="118"/>
      <c r="M792" s="121"/>
      <c r="N792" s="122" t="str">
        <f t="shared" si="294"/>
        <v/>
      </c>
      <c r="O792" s="35" t="str">
        <f t="shared" si="295"/>
        <v/>
      </c>
      <c r="P792" s="124"/>
      <c r="Q792" s="36" t="str">
        <f t="shared" si="307"/>
        <v/>
      </c>
      <c r="R792" s="46" t="str">
        <f t="shared" si="296"/>
        <v/>
      </c>
      <c r="S792" s="38" t="str">
        <f t="shared" si="297"/>
        <v/>
      </c>
      <c r="T792" s="39" t="str">
        <f t="shared" si="298"/>
        <v/>
      </c>
      <c r="U792" s="40" t="str">
        <f t="shared" si="299"/>
        <v/>
      </c>
      <c r="V792" s="39" t="str">
        <f t="shared" si="300"/>
        <v/>
      </c>
      <c r="W792" s="34" t="str">
        <f t="shared" si="301"/>
        <v/>
      </c>
      <c r="X792" s="41" t="str">
        <f t="shared" si="308"/>
        <v/>
      </c>
      <c r="Y792" s="98" t="str">
        <f t="shared" si="302"/>
        <v/>
      </c>
      <c r="Z792" s="16" t="str">
        <f t="shared" si="309"/>
        <v/>
      </c>
      <c r="AB792" s="139"/>
      <c r="AC792" s="146" t="str">
        <f t="shared" si="312"/>
        <v/>
      </c>
      <c r="AD792" s="148" t="str">
        <f t="shared" si="310"/>
        <v/>
      </c>
      <c r="AE792" s="147" t="str">
        <f t="shared" si="303"/>
        <v/>
      </c>
      <c r="AF792" s="111" t="str">
        <f t="shared" si="304"/>
        <v/>
      </c>
      <c r="AG792" s="111" t="str">
        <f t="shared" si="305"/>
        <v/>
      </c>
      <c r="AH792" s="112" t="str">
        <f t="shared" si="306"/>
        <v/>
      </c>
      <c r="AI792" t="str">
        <f t="shared" si="311"/>
        <v/>
      </c>
      <c r="AJ792" t="str">
        <f t="shared" si="313"/>
        <v/>
      </c>
    </row>
    <row r="793" spans="1:36" ht="15" customHeight="1" x14ac:dyDescent="0.25">
      <c r="A793" s="114"/>
      <c r="B793" s="116"/>
      <c r="C793" s="116"/>
      <c r="D793" s="42" t="str">
        <f t="shared" si="290"/>
        <v/>
      </c>
      <c r="E793" s="43"/>
      <c r="F793" s="118"/>
      <c r="G793" s="44" t="str">
        <f t="shared" si="291"/>
        <v/>
      </c>
      <c r="H793" s="118"/>
      <c r="I793" s="34" t="str">
        <f t="shared" si="292"/>
        <v/>
      </c>
      <c r="J793" s="118"/>
      <c r="K793" s="34" t="str">
        <f t="shared" si="293"/>
        <v/>
      </c>
      <c r="L793" s="118"/>
      <c r="M793" s="121"/>
      <c r="N793" s="122" t="str">
        <f t="shared" si="294"/>
        <v/>
      </c>
      <c r="O793" s="35" t="str">
        <f t="shared" si="295"/>
        <v/>
      </c>
      <c r="P793" s="124"/>
      <c r="Q793" s="36" t="str">
        <f t="shared" si="307"/>
        <v/>
      </c>
      <c r="R793" s="46" t="str">
        <f t="shared" si="296"/>
        <v/>
      </c>
      <c r="S793" s="38" t="str">
        <f t="shared" si="297"/>
        <v/>
      </c>
      <c r="T793" s="39" t="str">
        <f t="shared" si="298"/>
        <v/>
      </c>
      <c r="U793" s="40" t="str">
        <f t="shared" si="299"/>
        <v/>
      </c>
      <c r="V793" s="39" t="str">
        <f t="shared" si="300"/>
        <v/>
      </c>
      <c r="W793" s="34" t="str">
        <f t="shared" si="301"/>
        <v/>
      </c>
      <c r="X793" s="41" t="str">
        <f t="shared" si="308"/>
        <v/>
      </c>
      <c r="Y793" s="98" t="str">
        <f t="shared" si="302"/>
        <v/>
      </c>
      <c r="Z793" s="16" t="str">
        <f t="shared" si="309"/>
        <v/>
      </c>
      <c r="AB793" s="139"/>
      <c r="AC793" s="146" t="str">
        <f t="shared" si="312"/>
        <v/>
      </c>
      <c r="AD793" s="148" t="str">
        <f t="shared" si="310"/>
        <v/>
      </c>
      <c r="AE793" s="147" t="str">
        <f t="shared" si="303"/>
        <v/>
      </c>
      <c r="AF793" s="111" t="str">
        <f t="shared" si="304"/>
        <v/>
      </c>
      <c r="AG793" s="111" t="str">
        <f t="shared" si="305"/>
        <v/>
      </c>
      <c r="AH793" s="112" t="str">
        <f t="shared" si="306"/>
        <v/>
      </c>
      <c r="AI793" t="str">
        <f t="shared" si="311"/>
        <v/>
      </c>
      <c r="AJ793" t="str">
        <f t="shared" si="313"/>
        <v/>
      </c>
    </row>
    <row r="794" spans="1:36" ht="15" customHeight="1" x14ac:dyDescent="0.25">
      <c r="A794" s="114"/>
      <c r="B794" s="116"/>
      <c r="C794" s="116"/>
      <c r="D794" s="42" t="str">
        <f t="shared" si="290"/>
        <v/>
      </c>
      <c r="E794" s="43"/>
      <c r="F794" s="118"/>
      <c r="G794" s="44" t="str">
        <f t="shared" si="291"/>
        <v/>
      </c>
      <c r="H794" s="118"/>
      <c r="I794" s="34" t="str">
        <f t="shared" si="292"/>
        <v/>
      </c>
      <c r="J794" s="118"/>
      <c r="K794" s="34" t="str">
        <f t="shared" si="293"/>
        <v/>
      </c>
      <c r="L794" s="118"/>
      <c r="M794" s="121"/>
      <c r="N794" s="122" t="str">
        <f t="shared" si="294"/>
        <v/>
      </c>
      <c r="O794" s="35" t="str">
        <f t="shared" si="295"/>
        <v/>
      </c>
      <c r="P794" s="124"/>
      <c r="Q794" s="36" t="str">
        <f t="shared" si="307"/>
        <v/>
      </c>
      <c r="R794" s="46" t="str">
        <f t="shared" si="296"/>
        <v/>
      </c>
      <c r="S794" s="38" t="str">
        <f t="shared" si="297"/>
        <v/>
      </c>
      <c r="T794" s="39" t="str">
        <f t="shared" si="298"/>
        <v/>
      </c>
      <c r="U794" s="40" t="str">
        <f t="shared" si="299"/>
        <v/>
      </c>
      <c r="V794" s="39" t="str">
        <f t="shared" si="300"/>
        <v/>
      </c>
      <c r="W794" s="34" t="str">
        <f t="shared" si="301"/>
        <v/>
      </c>
      <c r="X794" s="41" t="str">
        <f t="shared" si="308"/>
        <v/>
      </c>
      <c r="Y794" s="98" t="str">
        <f t="shared" si="302"/>
        <v/>
      </c>
      <c r="Z794" s="16" t="str">
        <f t="shared" si="309"/>
        <v/>
      </c>
      <c r="AB794" s="139"/>
      <c r="AC794" s="146" t="str">
        <f t="shared" si="312"/>
        <v/>
      </c>
      <c r="AD794" s="148" t="str">
        <f t="shared" si="310"/>
        <v/>
      </c>
      <c r="AE794" s="147" t="str">
        <f t="shared" si="303"/>
        <v/>
      </c>
      <c r="AF794" s="111" t="str">
        <f t="shared" si="304"/>
        <v/>
      </c>
      <c r="AG794" s="111" t="str">
        <f t="shared" si="305"/>
        <v/>
      </c>
      <c r="AH794" s="112" t="str">
        <f t="shared" si="306"/>
        <v/>
      </c>
      <c r="AI794" t="str">
        <f t="shared" si="311"/>
        <v/>
      </c>
      <c r="AJ794" t="str">
        <f t="shared" si="313"/>
        <v/>
      </c>
    </row>
    <row r="795" spans="1:36" ht="15" customHeight="1" x14ac:dyDescent="0.25">
      <c r="A795" s="114"/>
      <c r="B795" s="116"/>
      <c r="C795" s="116"/>
      <c r="D795" s="42" t="str">
        <f t="shared" si="290"/>
        <v/>
      </c>
      <c r="E795" s="43"/>
      <c r="F795" s="118"/>
      <c r="G795" s="44" t="str">
        <f t="shared" si="291"/>
        <v/>
      </c>
      <c r="H795" s="118"/>
      <c r="I795" s="34" t="str">
        <f t="shared" si="292"/>
        <v/>
      </c>
      <c r="J795" s="118"/>
      <c r="K795" s="34" t="str">
        <f t="shared" si="293"/>
        <v/>
      </c>
      <c r="L795" s="118"/>
      <c r="M795" s="121"/>
      <c r="N795" s="122" t="str">
        <f t="shared" si="294"/>
        <v/>
      </c>
      <c r="O795" s="35" t="str">
        <f t="shared" si="295"/>
        <v/>
      </c>
      <c r="P795" s="124"/>
      <c r="Q795" s="36" t="str">
        <f t="shared" si="307"/>
        <v/>
      </c>
      <c r="R795" s="46" t="str">
        <f t="shared" si="296"/>
        <v/>
      </c>
      <c r="S795" s="38" t="str">
        <f t="shared" si="297"/>
        <v/>
      </c>
      <c r="T795" s="39" t="str">
        <f t="shared" si="298"/>
        <v/>
      </c>
      <c r="U795" s="40" t="str">
        <f t="shared" si="299"/>
        <v/>
      </c>
      <c r="V795" s="39" t="str">
        <f t="shared" si="300"/>
        <v/>
      </c>
      <c r="W795" s="34" t="str">
        <f t="shared" si="301"/>
        <v/>
      </c>
      <c r="X795" s="41" t="str">
        <f t="shared" si="308"/>
        <v/>
      </c>
      <c r="Y795" s="98" t="str">
        <f t="shared" si="302"/>
        <v/>
      </c>
      <c r="Z795" s="16" t="str">
        <f t="shared" si="309"/>
        <v/>
      </c>
      <c r="AB795" s="139"/>
      <c r="AC795" s="146" t="str">
        <f t="shared" si="312"/>
        <v/>
      </c>
      <c r="AD795" s="148" t="str">
        <f t="shared" si="310"/>
        <v/>
      </c>
      <c r="AE795" s="147" t="str">
        <f t="shared" si="303"/>
        <v/>
      </c>
      <c r="AF795" s="111" t="str">
        <f t="shared" si="304"/>
        <v/>
      </c>
      <c r="AG795" s="111" t="str">
        <f t="shared" si="305"/>
        <v/>
      </c>
      <c r="AH795" s="112" t="str">
        <f t="shared" si="306"/>
        <v/>
      </c>
      <c r="AI795" t="str">
        <f t="shared" si="311"/>
        <v/>
      </c>
      <c r="AJ795" t="str">
        <f t="shared" si="313"/>
        <v/>
      </c>
    </row>
    <row r="796" spans="1:36" ht="15" customHeight="1" x14ac:dyDescent="0.25">
      <c r="A796" s="114"/>
      <c r="B796" s="116"/>
      <c r="C796" s="116"/>
      <c r="D796" s="42" t="str">
        <f t="shared" si="290"/>
        <v/>
      </c>
      <c r="E796" s="43"/>
      <c r="F796" s="118"/>
      <c r="G796" s="44" t="str">
        <f t="shared" si="291"/>
        <v/>
      </c>
      <c r="H796" s="118"/>
      <c r="I796" s="34" t="str">
        <f t="shared" si="292"/>
        <v/>
      </c>
      <c r="J796" s="118"/>
      <c r="K796" s="34" t="str">
        <f t="shared" si="293"/>
        <v/>
      </c>
      <c r="L796" s="118"/>
      <c r="M796" s="121"/>
      <c r="N796" s="122" t="str">
        <f t="shared" si="294"/>
        <v/>
      </c>
      <c r="O796" s="35" t="str">
        <f t="shared" si="295"/>
        <v/>
      </c>
      <c r="P796" s="124"/>
      <c r="Q796" s="36" t="str">
        <f t="shared" si="307"/>
        <v/>
      </c>
      <c r="R796" s="46" t="str">
        <f t="shared" si="296"/>
        <v/>
      </c>
      <c r="S796" s="38" t="str">
        <f t="shared" si="297"/>
        <v/>
      </c>
      <c r="T796" s="39" t="str">
        <f t="shared" si="298"/>
        <v/>
      </c>
      <c r="U796" s="40" t="str">
        <f t="shared" si="299"/>
        <v/>
      </c>
      <c r="V796" s="39" t="str">
        <f t="shared" si="300"/>
        <v/>
      </c>
      <c r="W796" s="34" t="str">
        <f t="shared" si="301"/>
        <v/>
      </c>
      <c r="X796" s="41" t="str">
        <f t="shared" si="308"/>
        <v/>
      </c>
      <c r="Y796" s="98" t="str">
        <f t="shared" si="302"/>
        <v/>
      </c>
      <c r="Z796" s="16" t="str">
        <f t="shared" si="309"/>
        <v/>
      </c>
      <c r="AB796" s="139"/>
      <c r="AC796" s="146" t="str">
        <f t="shared" si="312"/>
        <v/>
      </c>
      <c r="AD796" s="148" t="str">
        <f t="shared" si="310"/>
        <v/>
      </c>
      <c r="AE796" s="147" t="str">
        <f t="shared" si="303"/>
        <v/>
      </c>
      <c r="AF796" s="111" t="str">
        <f t="shared" si="304"/>
        <v/>
      </c>
      <c r="AG796" s="111" t="str">
        <f t="shared" si="305"/>
        <v/>
      </c>
      <c r="AH796" s="112" t="str">
        <f t="shared" si="306"/>
        <v/>
      </c>
      <c r="AI796" t="str">
        <f t="shared" si="311"/>
        <v/>
      </c>
      <c r="AJ796" t="str">
        <f t="shared" si="313"/>
        <v/>
      </c>
    </row>
    <row r="797" spans="1:36" ht="15" customHeight="1" x14ac:dyDescent="0.25">
      <c r="A797" s="114"/>
      <c r="B797" s="116"/>
      <c r="C797" s="116"/>
      <c r="D797" s="42" t="str">
        <f t="shared" si="290"/>
        <v/>
      </c>
      <c r="E797" s="43"/>
      <c r="F797" s="118"/>
      <c r="G797" s="44" t="str">
        <f t="shared" si="291"/>
        <v/>
      </c>
      <c r="H797" s="118"/>
      <c r="I797" s="34" t="str">
        <f t="shared" si="292"/>
        <v/>
      </c>
      <c r="J797" s="118"/>
      <c r="K797" s="34" t="str">
        <f t="shared" si="293"/>
        <v/>
      </c>
      <c r="L797" s="118"/>
      <c r="M797" s="121"/>
      <c r="N797" s="122" t="str">
        <f t="shared" si="294"/>
        <v/>
      </c>
      <c r="O797" s="35" t="str">
        <f t="shared" si="295"/>
        <v/>
      </c>
      <c r="P797" s="124"/>
      <c r="Q797" s="36" t="str">
        <f t="shared" si="307"/>
        <v/>
      </c>
      <c r="R797" s="46" t="str">
        <f t="shared" si="296"/>
        <v/>
      </c>
      <c r="S797" s="38" t="str">
        <f t="shared" si="297"/>
        <v/>
      </c>
      <c r="T797" s="39" t="str">
        <f t="shared" si="298"/>
        <v/>
      </c>
      <c r="U797" s="40" t="str">
        <f t="shared" si="299"/>
        <v/>
      </c>
      <c r="V797" s="39" t="str">
        <f t="shared" si="300"/>
        <v/>
      </c>
      <c r="W797" s="34" t="str">
        <f t="shared" si="301"/>
        <v/>
      </c>
      <c r="X797" s="41" t="str">
        <f t="shared" si="308"/>
        <v/>
      </c>
      <c r="Y797" s="98" t="str">
        <f t="shared" si="302"/>
        <v/>
      </c>
      <c r="Z797" s="16" t="str">
        <f t="shared" si="309"/>
        <v/>
      </c>
      <c r="AB797" s="139"/>
      <c r="AC797" s="146" t="str">
        <f t="shared" si="312"/>
        <v/>
      </c>
      <c r="AD797" s="148" t="str">
        <f t="shared" si="310"/>
        <v/>
      </c>
      <c r="AE797" s="147" t="str">
        <f t="shared" si="303"/>
        <v/>
      </c>
      <c r="AF797" s="111" t="str">
        <f t="shared" si="304"/>
        <v/>
      </c>
      <c r="AG797" s="111" t="str">
        <f t="shared" si="305"/>
        <v/>
      </c>
      <c r="AH797" s="112" t="str">
        <f t="shared" si="306"/>
        <v/>
      </c>
      <c r="AI797" t="str">
        <f t="shared" si="311"/>
        <v/>
      </c>
      <c r="AJ797" t="str">
        <f t="shared" si="313"/>
        <v/>
      </c>
    </row>
    <row r="798" spans="1:36" ht="15" customHeight="1" x14ac:dyDescent="0.25">
      <c r="A798" s="114"/>
      <c r="B798" s="116"/>
      <c r="C798" s="116"/>
      <c r="D798" s="42" t="str">
        <f t="shared" si="290"/>
        <v/>
      </c>
      <c r="E798" s="43"/>
      <c r="F798" s="118"/>
      <c r="G798" s="44" t="str">
        <f t="shared" si="291"/>
        <v/>
      </c>
      <c r="H798" s="118"/>
      <c r="I798" s="34" t="str">
        <f t="shared" si="292"/>
        <v/>
      </c>
      <c r="J798" s="118"/>
      <c r="K798" s="34" t="str">
        <f t="shared" si="293"/>
        <v/>
      </c>
      <c r="L798" s="118"/>
      <c r="M798" s="121"/>
      <c r="N798" s="122" t="str">
        <f t="shared" si="294"/>
        <v/>
      </c>
      <c r="O798" s="35" t="str">
        <f t="shared" si="295"/>
        <v/>
      </c>
      <c r="P798" s="124"/>
      <c r="Q798" s="36" t="str">
        <f t="shared" si="307"/>
        <v/>
      </c>
      <c r="R798" s="46" t="str">
        <f t="shared" si="296"/>
        <v/>
      </c>
      <c r="S798" s="38" t="str">
        <f t="shared" si="297"/>
        <v/>
      </c>
      <c r="T798" s="39" t="str">
        <f t="shared" si="298"/>
        <v/>
      </c>
      <c r="U798" s="40" t="str">
        <f t="shared" si="299"/>
        <v/>
      </c>
      <c r="V798" s="39" t="str">
        <f t="shared" si="300"/>
        <v/>
      </c>
      <c r="W798" s="34" t="str">
        <f t="shared" si="301"/>
        <v/>
      </c>
      <c r="X798" s="41" t="str">
        <f t="shared" si="308"/>
        <v/>
      </c>
      <c r="Y798" s="98" t="str">
        <f t="shared" si="302"/>
        <v/>
      </c>
      <c r="Z798" s="16" t="str">
        <f t="shared" si="309"/>
        <v/>
      </c>
      <c r="AB798" s="139"/>
      <c r="AC798" s="146" t="str">
        <f t="shared" si="312"/>
        <v/>
      </c>
      <c r="AD798" s="148" t="str">
        <f t="shared" si="310"/>
        <v/>
      </c>
      <c r="AE798" s="147" t="str">
        <f t="shared" si="303"/>
        <v/>
      </c>
      <c r="AF798" s="111" t="str">
        <f t="shared" si="304"/>
        <v/>
      </c>
      <c r="AG798" s="111" t="str">
        <f t="shared" si="305"/>
        <v/>
      </c>
      <c r="AH798" s="112" t="str">
        <f t="shared" si="306"/>
        <v/>
      </c>
      <c r="AI798" t="str">
        <f t="shared" si="311"/>
        <v/>
      </c>
      <c r="AJ798" t="str">
        <f t="shared" si="313"/>
        <v/>
      </c>
    </row>
    <row r="799" spans="1:36" ht="15" customHeight="1" x14ac:dyDescent="0.25">
      <c r="A799" s="114"/>
      <c r="B799" s="116"/>
      <c r="C799" s="116"/>
      <c r="D799" s="42" t="str">
        <f t="shared" si="290"/>
        <v/>
      </c>
      <c r="E799" s="43"/>
      <c r="F799" s="118"/>
      <c r="G799" s="44" t="str">
        <f t="shared" si="291"/>
        <v/>
      </c>
      <c r="H799" s="118"/>
      <c r="I799" s="34" t="str">
        <f t="shared" si="292"/>
        <v/>
      </c>
      <c r="J799" s="118"/>
      <c r="K799" s="34" t="str">
        <f t="shared" si="293"/>
        <v/>
      </c>
      <c r="L799" s="118"/>
      <c r="M799" s="121"/>
      <c r="N799" s="122" t="str">
        <f t="shared" si="294"/>
        <v/>
      </c>
      <c r="O799" s="35" t="str">
        <f t="shared" si="295"/>
        <v/>
      </c>
      <c r="P799" s="124"/>
      <c r="Q799" s="36" t="str">
        <f t="shared" si="307"/>
        <v/>
      </c>
      <c r="R799" s="46" t="str">
        <f t="shared" si="296"/>
        <v/>
      </c>
      <c r="S799" s="38" t="str">
        <f t="shared" si="297"/>
        <v/>
      </c>
      <c r="T799" s="39" t="str">
        <f t="shared" si="298"/>
        <v/>
      </c>
      <c r="U799" s="40" t="str">
        <f t="shared" si="299"/>
        <v/>
      </c>
      <c r="V799" s="39" t="str">
        <f t="shared" si="300"/>
        <v/>
      </c>
      <c r="W799" s="34" t="str">
        <f t="shared" si="301"/>
        <v/>
      </c>
      <c r="X799" s="41" t="str">
        <f t="shared" si="308"/>
        <v/>
      </c>
      <c r="Y799" s="98" t="str">
        <f t="shared" si="302"/>
        <v/>
      </c>
      <c r="Z799" s="16" t="str">
        <f t="shared" si="309"/>
        <v/>
      </c>
      <c r="AB799" s="139"/>
      <c r="AC799" s="146" t="str">
        <f t="shared" si="312"/>
        <v/>
      </c>
      <c r="AD799" s="148" t="str">
        <f t="shared" si="310"/>
        <v/>
      </c>
      <c r="AE799" s="147" t="str">
        <f t="shared" si="303"/>
        <v/>
      </c>
      <c r="AF799" s="111" t="str">
        <f t="shared" si="304"/>
        <v/>
      </c>
      <c r="AG799" s="111" t="str">
        <f t="shared" si="305"/>
        <v/>
      </c>
      <c r="AH799" s="112" t="str">
        <f t="shared" si="306"/>
        <v/>
      </c>
      <c r="AI799" t="str">
        <f t="shared" si="311"/>
        <v/>
      </c>
      <c r="AJ799" t="str">
        <f t="shared" si="313"/>
        <v/>
      </c>
    </row>
    <row r="800" spans="1:36" ht="15" customHeight="1" x14ac:dyDescent="0.25">
      <c r="A800" s="114"/>
      <c r="B800" s="116"/>
      <c r="C800" s="116"/>
      <c r="D800" s="42" t="str">
        <f t="shared" si="290"/>
        <v/>
      </c>
      <c r="E800" s="43"/>
      <c r="F800" s="118"/>
      <c r="G800" s="44" t="str">
        <f t="shared" si="291"/>
        <v/>
      </c>
      <c r="H800" s="118"/>
      <c r="I800" s="34" t="str">
        <f t="shared" si="292"/>
        <v/>
      </c>
      <c r="J800" s="118"/>
      <c r="K800" s="34" t="str">
        <f t="shared" si="293"/>
        <v/>
      </c>
      <c r="L800" s="118"/>
      <c r="M800" s="121"/>
      <c r="N800" s="122" t="str">
        <f t="shared" si="294"/>
        <v/>
      </c>
      <c r="O800" s="35" t="str">
        <f t="shared" si="295"/>
        <v/>
      </c>
      <c r="P800" s="124"/>
      <c r="Q800" s="36" t="str">
        <f t="shared" si="307"/>
        <v/>
      </c>
      <c r="R800" s="46" t="str">
        <f t="shared" si="296"/>
        <v/>
      </c>
      <c r="S800" s="38" t="str">
        <f t="shared" si="297"/>
        <v/>
      </c>
      <c r="T800" s="39" t="str">
        <f t="shared" si="298"/>
        <v/>
      </c>
      <c r="U800" s="40" t="str">
        <f t="shared" si="299"/>
        <v/>
      </c>
      <c r="V800" s="39" t="str">
        <f t="shared" si="300"/>
        <v/>
      </c>
      <c r="W800" s="34" t="str">
        <f t="shared" si="301"/>
        <v/>
      </c>
      <c r="X800" s="41" t="str">
        <f t="shared" si="308"/>
        <v/>
      </c>
      <c r="Y800" s="98" t="str">
        <f t="shared" si="302"/>
        <v/>
      </c>
      <c r="Z800" s="16" t="str">
        <f t="shared" si="309"/>
        <v/>
      </c>
      <c r="AB800" s="139"/>
      <c r="AC800" s="146" t="str">
        <f t="shared" si="312"/>
        <v/>
      </c>
      <c r="AD800" s="148" t="str">
        <f t="shared" si="310"/>
        <v/>
      </c>
      <c r="AE800" s="147" t="str">
        <f t="shared" si="303"/>
        <v/>
      </c>
      <c r="AF800" s="111" t="str">
        <f t="shared" si="304"/>
        <v/>
      </c>
      <c r="AG800" s="111" t="str">
        <f t="shared" si="305"/>
        <v/>
      </c>
      <c r="AH800" s="112" t="str">
        <f t="shared" si="306"/>
        <v/>
      </c>
      <c r="AI800" t="str">
        <f t="shared" si="311"/>
        <v/>
      </c>
      <c r="AJ800" t="str">
        <f t="shared" si="313"/>
        <v/>
      </c>
    </row>
    <row r="801" spans="1:36" ht="15" customHeight="1" x14ac:dyDescent="0.25">
      <c r="A801" s="114"/>
      <c r="B801" s="116"/>
      <c r="C801" s="116"/>
      <c r="D801" s="42" t="str">
        <f t="shared" si="290"/>
        <v/>
      </c>
      <c r="E801" s="43"/>
      <c r="F801" s="118"/>
      <c r="G801" s="44" t="str">
        <f t="shared" si="291"/>
        <v/>
      </c>
      <c r="H801" s="118"/>
      <c r="I801" s="34" t="str">
        <f t="shared" si="292"/>
        <v/>
      </c>
      <c r="J801" s="118"/>
      <c r="K801" s="34" t="str">
        <f t="shared" si="293"/>
        <v/>
      </c>
      <c r="L801" s="118"/>
      <c r="M801" s="121"/>
      <c r="N801" s="122" t="str">
        <f t="shared" si="294"/>
        <v/>
      </c>
      <c r="O801" s="35" t="str">
        <f t="shared" si="295"/>
        <v/>
      </c>
      <c r="P801" s="124"/>
      <c r="Q801" s="36" t="str">
        <f t="shared" si="307"/>
        <v/>
      </c>
      <c r="R801" s="46" t="str">
        <f t="shared" si="296"/>
        <v/>
      </c>
      <c r="S801" s="38" t="str">
        <f t="shared" si="297"/>
        <v/>
      </c>
      <c r="T801" s="39" t="str">
        <f t="shared" si="298"/>
        <v/>
      </c>
      <c r="U801" s="40" t="str">
        <f t="shared" si="299"/>
        <v/>
      </c>
      <c r="V801" s="39" t="str">
        <f t="shared" si="300"/>
        <v/>
      </c>
      <c r="W801" s="34" t="str">
        <f t="shared" si="301"/>
        <v/>
      </c>
      <c r="X801" s="41" t="str">
        <f t="shared" si="308"/>
        <v/>
      </c>
      <c r="Y801" s="98" t="str">
        <f t="shared" si="302"/>
        <v/>
      </c>
      <c r="Z801" s="16" t="str">
        <f t="shared" si="309"/>
        <v/>
      </c>
      <c r="AB801" s="139"/>
      <c r="AC801" s="146" t="str">
        <f t="shared" si="312"/>
        <v/>
      </c>
      <c r="AD801" s="148" t="str">
        <f t="shared" si="310"/>
        <v/>
      </c>
      <c r="AE801" s="147" t="str">
        <f t="shared" si="303"/>
        <v/>
      </c>
      <c r="AF801" s="111" t="str">
        <f t="shared" si="304"/>
        <v/>
      </c>
      <c r="AG801" s="111" t="str">
        <f t="shared" si="305"/>
        <v/>
      </c>
      <c r="AH801" s="112" t="str">
        <f t="shared" si="306"/>
        <v/>
      </c>
      <c r="AI801" t="str">
        <f t="shared" si="311"/>
        <v/>
      </c>
      <c r="AJ801" t="str">
        <f t="shared" si="313"/>
        <v/>
      </c>
    </row>
    <row r="802" spans="1:36" ht="15" customHeight="1" x14ac:dyDescent="0.25">
      <c r="A802" s="114"/>
      <c r="B802" s="116"/>
      <c r="C802" s="116"/>
      <c r="D802" s="42" t="str">
        <f t="shared" si="290"/>
        <v/>
      </c>
      <c r="E802" s="43"/>
      <c r="F802" s="118"/>
      <c r="G802" s="44" t="str">
        <f t="shared" si="291"/>
        <v/>
      </c>
      <c r="H802" s="118"/>
      <c r="I802" s="34" t="str">
        <f t="shared" si="292"/>
        <v/>
      </c>
      <c r="J802" s="118"/>
      <c r="K802" s="34" t="str">
        <f t="shared" si="293"/>
        <v/>
      </c>
      <c r="L802" s="118"/>
      <c r="M802" s="121"/>
      <c r="N802" s="122" t="str">
        <f t="shared" si="294"/>
        <v/>
      </c>
      <c r="O802" s="35" t="str">
        <f t="shared" si="295"/>
        <v/>
      </c>
      <c r="P802" s="124"/>
      <c r="Q802" s="36" t="str">
        <f t="shared" si="307"/>
        <v/>
      </c>
      <c r="R802" s="46" t="str">
        <f t="shared" si="296"/>
        <v/>
      </c>
      <c r="S802" s="38" t="str">
        <f t="shared" si="297"/>
        <v/>
      </c>
      <c r="T802" s="39" t="str">
        <f t="shared" si="298"/>
        <v/>
      </c>
      <c r="U802" s="40" t="str">
        <f t="shared" si="299"/>
        <v/>
      </c>
      <c r="V802" s="39" t="str">
        <f t="shared" si="300"/>
        <v/>
      </c>
      <c r="W802" s="34" t="str">
        <f t="shared" si="301"/>
        <v/>
      </c>
      <c r="X802" s="41" t="str">
        <f t="shared" si="308"/>
        <v/>
      </c>
      <c r="Y802" s="98" t="str">
        <f t="shared" si="302"/>
        <v/>
      </c>
      <c r="Z802" s="16" t="str">
        <f t="shared" si="309"/>
        <v/>
      </c>
      <c r="AB802" s="139"/>
      <c r="AC802" s="146" t="str">
        <f t="shared" si="312"/>
        <v/>
      </c>
      <c r="AD802" s="148" t="str">
        <f t="shared" si="310"/>
        <v/>
      </c>
      <c r="AE802" s="147" t="str">
        <f t="shared" si="303"/>
        <v/>
      </c>
      <c r="AF802" s="111" t="str">
        <f t="shared" si="304"/>
        <v/>
      </c>
      <c r="AG802" s="111" t="str">
        <f t="shared" si="305"/>
        <v/>
      </c>
      <c r="AH802" s="112" t="str">
        <f t="shared" si="306"/>
        <v/>
      </c>
      <c r="AI802" t="str">
        <f t="shared" si="311"/>
        <v/>
      </c>
      <c r="AJ802" t="str">
        <f t="shared" si="313"/>
        <v/>
      </c>
    </row>
    <row r="803" spans="1:36" ht="15" customHeight="1" x14ac:dyDescent="0.25">
      <c r="A803" s="114"/>
      <c r="B803" s="116"/>
      <c r="C803" s="116"/>
      <c r="D803" s="42" t="str">
        <f t="shared" si="290"/>
        <v/>
      </c>
      <c r="E803" s="43"/>
      <c r="F803" s="118"/>
      <c r="G803" s="44" t="str">
        <f t="shared" si="291"/>
        <v/>
      </c>
      <c r="H803" s="118"/>
      <c r="I803" s="34" t="str">
        <f t="shared" si="292"/>
        <v/>
      </c>
      <c r="J803" s="118"/>
      <c r="K803" s="34" t="str">
        <f t="shared" si="293"/>
        <v/>
      </c>
      <c r="L803" s="118"/>
      <c r="M803" s="121"/>
      <c r="N803" s="122" t="str">
        <f t="shared" si="294"/>
        <v/>
      </c>
      <c r="O803" s="35" t="str">
        <f t="shared" si="295"/>
        <v/>
      </c>
      <c r="P803" s="124"/>
      <c r="Q803" s="36" t="str">
        <f t="shared" si="307"/>
        <v/>
      </c>
      <c r="R803" s="46" t="str">
        <f t="shared" si="296"/>
        <v/>
      </c>
      <c r="S803" s="38" t="str">
        <f t="shared" si="297"/>
        <v/>
      </c>
      <c r="T803" s="39" t="str">
        <f t="shared" si="298"/>
        <v/>
      </c>
      <c r="U803" s="40" t="str">
        <f t="shared" si="299"/>
        <v/>
      </c>
      <c r="V803" s="39" t="str">
        <f t="shared" si="300"/>
        <v/>
      </c>
      <c r="W803" s="34" t="str">
        <f t="shared" si="301"/>
        <v/>
      </c>
      <c r="X803" s="41" t="str">
        <f t="shared" si="308"/>
        <v/>
      </c>
      <c r="Y803" s="98" t="str">
        <f t="shared" si="302"/>
        <v/>
      </c>
      <c r="Z803" s="16" t="str">
        <f t="shared" si="309"/>
        <v/>
      </c>
      <c r="AB803" s="139"/>
      <c r="AC803" s="146" t="str">
        <f t="shared" si="312"/>
        <v/>
      </c>
      <c r="AD803" s="148" t="str">
        <f t="shared" si="310"/>
        <v/>
      </c>
      <c r="AE803" s="147" t="str">
        <f t="shared" si="303"/>
        <v/>
      </c>
      <c r="AF803" s="111" t="str">
        <f t="shared" si="304"/>
        <v/>
      </c>
      <c r="AG803" s="111" t="str">
        <f t="shared" si="305"/>
        <v/>
      </c>
      <c r="AH803" s="112" t="str">
        <f t="shared" si="306"/>
        <v/>
      </c>
      <c r="AI803" t="str">
        <f t="shared" si="311"/>
        <v/>
      </c>
      <c r="AJ803" t="str">
        <f t="shared" si="313"/>
        <v/>
      </c>
    </row>
    <row r="804" spans="1:36" ht="15" customHeight="1" x14ac:dyDescent="0.25">
      <c r="A804" s="114"/>
      <c r="B804" s="116"/>
      <c r="C804" s="116"/>
      <c r="D804" s="42" t="str">
        <f t="shared" si="290"/>
        <v/>
      </c>
      <c r="E804" s="43"/>
      <c r="F804" s="118"/>
      <c r="G804" s="44" t="str">
        <f t="shared" si="291"/>
        <v/>
      </c>
      <c r="H804" s="118"/>
      <c r="I804" s="34" t="str">
        <f t="shared" si="292"/>
        <v/>
      </c>
      <c r="J804" s="118"/>
      <c r="K804" s="34" t="str">
        <f t="shared" si="293"/>
        <v/>
      </c>
      <c r="L804" s="118"/>
      <c r="M804" s="121"/>
      <c r="N804" s="122" t="str">
        <f t="shared" si="294"/>
        <v/>
      </c>
      <c r="O804" s="35" t="str">
        <f t="shared" si="295"/>
        <v/>
      </c>
      <c r="P804" s="124"/>
      <c r="Q804" s="36" t="str">
        <f t="shared" si="307"/>
        <v/>
      </c>
      <c r="R804" s="46" t="str">
        <f t="shared" si="296"/>
        <v/>
      </c>
      <c r="S804" s="38" t="str">
        <f t="shared" si="297"/>
        <v/>
      </c>
      <c r="T804" s="39" t="str">
        <f t="shared" si="298"/>
        <v/>
      </c>
      <c r="U804" s="40" t="str">
        <f t="shared" si="299"/>
        <v/>
      </c>
      <c r="V804" s="39" t="str">
        <f t="shared" si="300"/>
        <v/>
      </c>
      <c r="W804" s="34" t="str">
        <f t="shared" si="301"/>
        <v/>
      </c>
      <c r="X804" s="41" t="str">
        <f t="shared" si="308"/>
        <v/>
      </c>
      <c r="Y804" s="98" t="str">
        <f t="shared" si="302"/>
        <v/>
      </c>
      <c r="Z804" s="16" t="str">
        <f t="shared" si="309"/>
        <v/>
      </c>
      <c r="AB804" s="139"/>
      <c r="AC804" s="146" t="str">
        <f t="shared" si="312"/>
        <v/>
      </c>
      <c r="AD804" s="148" t="str">
        <f t="shared" si="310"/>
        <v/>
      </c>
      <c r="AE804" s="147" t="str">
        <f t="shared" si="303"/>
        <v/>
      </c>
      <c r="AF804" s="111" t="str">
        <f t="shared" si="304"/>
        <v/>
      </c>
      <c r="AG804" s="111" t="str">
        <f t="shared" si="305"/>
        <v/>
      </c>
      <c r="AH804" s="112" t="str">
        <f t="shared" si="306"/>
        <v/>
      </c>
      <c r="AI804" t="str">
        <f t="shared" si="311"/>
        <v/>
      </c>
      <c r="AJ804" t="str">
        <f t="shared" si="313"/>
        <v/>
      </c>
    </row>
    <row r="805" spans="1:36" ht="15" customHeight="1" x14ac:dyDescent="0.25">
      <c r="A805" s="114"/>
      <c r="B805" s="116"/>
      <c r="C805" s="116"/>
      <c r="D805" s="42" t="str">
        <f t="shared" si="290"/>
        <v/>
      </c>
      <c r="E805" s="43"/>
      <c r="F805" s="118"/>
      <c r="G805" s="44" t="str">
        <f t="shared" si="291"/>
        <v/>
      </c>
      <c r="H805" s="118"/>
      <c r="I805" s="34" t="str">
        <f t="shared" si="292"/>
        <v/>
      </c>
      <c r="J805" s="118"/>
      <c r="K805" s="34" t="str">
        <f t="shared" si="293"/>
        <v/>
      </c>
      <c r="L805" s="118"/>
      <c r="M805" s="121"/>
      <c r="N805" s="122" t="str">
        <f t="shared" si="294"/>
        <v/>
      </c>
      <c r="O805" s="35" t="str">
        <f t="shared" si="295"/>
        <v/>
      </c>
      <c r="P805" s="124"/>
      <c r="Q805" s="36" t="str">
        <f t="shared" si="307"/>
        <v/>
      </c>
      <c r="R805" s="46" t="str">
        <f t="shared" si="296"/>
        <v/>
      </c>
      <c r="S805" s="38" t="str">
        <f t="shared" si="297"/>
        <v/>
      </c>
      <c r="T805" s="39" t="str">
        <f t="shared" si="298"/>
        <v/>
      </c>
      <c r="U805" s="40" t="str">
        <f t="shared" si="299"/>
        <v/>
      </c>
      <c r="V805" s="39" t="str">
        <f t="shared" si="300"/>
        <v/>
      </c>
      <c r="W805" s="34" t="str">
        <f t="shared" si="301"/>
        <v/>
      </c>
      <c r="X805" s="41" t="str">
        <f t="shared" si="308"/>
        <v/>
      </c>
      <c r="Y805" s="98" t="str">
        <f t="shared" si="302"/>
        <v/>
      </c>
      <c r="Z805" s="16" t="str">
        <f t="shared" si="309"/>
        <v/>
      </c>
      <c r="AB805" s="139"/>
      <c r="AC805" s="146" t="str">
        <f t="shared" si="312"/>
        <v/>
      </c>
      <c r="AD805" s="148" t="str">
        <f t="shared" si="310"/>
        <v/>
      </c>
      <c r="AE805" s="147" t="str">
        <f t="shared" si="303"/>
        <v/>
      </c>
      <c r="AF805" s="111" t="str">
        <f t="shared" si="304"/>
        <v/>
      </c>
      <c r="AG805" s="111" t="str">
        <f t="shared" si="305"/>
        <v/>
      </c>
      <c r="AH805" s="112" t="str">
        <f t="shared" si="306"/>
        <v/>
      </c>
      <c r="AI805" t="str">
        <f t="shared" si="311"/>
        <v/>
      </c>
      <c r="AJ805" t="str">
        <f t="shared" si="313"/>
        <v/>
      </c>
    </row>
    <row r="806" spans="1:36" ht="15" customHeight="1" x14ac:dyDescent="0.25">
      <c r="A806" s="114"/>
      <c r="B806" s="116"/>
      <c r="C806" s="116"/>
      <c r="D806" s="42" t="str">
        <f t="shared" si="290"/>
        <v/>
      </c>
      <c r="E806" s="43"/>
      <c r="F806" s="118"/>
      <c r="G806" s="44" t="str">
        <f t="shared" si="291"/>
        <v/>
      </c>
      <c r="H806" s="118"/>
      <c r="I806" s="34" t="str">
        <f t="shared" si="292"/>
        <v/>
      </c>
      <c r="J806" s="118"/>
      <c r="K806" s="34" t="str">
        <f t="shared" si="293"/>
        <v/>
      </c>
      <c r="L806" s="118"/>
      <c r="M806" s="121"/>
      <c r="N806" s="122" t="str">
        <f t="shared" si="294"/>
        <v/>
      </c>
      <c r="O806" s="35" t="str">
        <f t="shared" si="295"/>
        <v/>
      </c>
      <c r="P806" s="124"/>
      <c r="Q806" s="36" t="str">
        <f t="shared" si="307"/>
        <v/>
      </c>
      <c r="R806" s="46" t="str">
        <f t="shared" si="296"/>
        <v/>
      </c>
      <c r="S806" s="38" t="str">
        <f t="shared" si="297"/>
        <v/>
      </c>
      <c r="T806" s="39" t="str">
        <f t="shared" si="298"/>
        <v/>
      </c>
      <c r="U806" s="40" t="str">
        <f t="shared" si="299"/>
        <v/>
      </c>
      <c r="V806" s="39" t="str">
        <f t="shared" si="300"/>
        <v/>
      </c>
      <c r="W806" s="34" t="str">
        <f t="shared" si="301"/>
        <v/>
      </c>
      <c r="X806" s="41" t="str">
        <f t="shared" si="308"/>
        <v/>
      </c>
      <c r="Y806" s="98" t="str">
        <f t="shared" si="302"/>
        <v/>
      </c>
      <c r="Z806" s="16" t="str">
        <f t="shared" si="309"/>
        <v/>
      </c>
      <c r="AB806" s="139"/>
      <c r="AC806" s="146" t="str">
        <f t="shared" si="312"/>
        <v/>
      </c>
      <c r="AD806" s="148" t="str">
        <f t="shared" si="310"/>
        <v/>
      </c>
      <c r="AE806" s="147" t="str">
        <f t="shared" si="303"/>
        <v/>
      </c>
      <c r="AF806" s="111" t="str">
        <f t="shared" si="304"/>
        <v/>
      </c>
      <c r="AG806" s="111" t="str">
        <f t="shared" si="305"/>
        <v/>
      </c>
      <c r="AH806" s="112" t="str">
        <f t="shared" si="306"/>
        <v/>
      </c>
      <c r="AI806" t="str">
        <f t="shared" si="311"/>
        <v/>
      </c>
      <c r="AJ806" t="str">
        <f t="shared" si="313"/>
        <v/>
      </c>
    </row>
    <row r="807" spans="1:36" ht="15" customHeight="1" x14ac:dyDescent="0.25">
      <c r="A807" s="114"/>
      <c r="B807" s="116"/>
      <c r="C807" s="116"/>
      <c r="D807" s="42" t="str">
        <f t="shared" si="290"/>
        <v/>
      </c>
      <c r="E807" s="43"/>
      <c r="F807" s="118"/>
      <c r="G807" s="44" t="str">
        <f t="shared" si="291"/>
        <v/>
      </c>
      <c r="H807" s="118"/>
      <c r="I807" s="34" t="str">
        <f t="shared" si="292"/>
        <v/>
      </c>
      <c r="J807" s="118"/>
      <c r="K807" s="34" t="str">
        <f t="shared" si="293"/>
        <v/>
      </c>
      <c r="L807" s="118"/>
      <c r="M807" s="121"/>
      <c r="N807" s="122" t="str">
        <f t="shared" si="294"/>
        <v/>
      </c>
      <c r="O807" s="35" t="str">
        <f t="shared" si="295"/>
        <v/>
      </c>
      <c r="P807" s="124"/>
      <c r="Q807" s="36" t="str">
        <f t="shared" si="307"/>
        <v/>
      </c>
      <c r="R807" s="46" t="str">
        <f t="shared" si="296"/>
        <v/>
      </c>
      <c r="S807" s="38" t="str">
        <f t="shared" si="297"/>
        <v/>
      </c>
      <c r="T807" s="39" t="str">
        <f t="shared" si="298"/>
        <v/>
      </c>
      <c r="U807" s="40" t="str">
        <f t="shared" si="299"/>
        <v/>
      </c>
      <c r="V807" s="39" t="str">
        <f t="shared" si="300"/>
        <v/>
      </c>
      <c r="W807" s="34" t="str">
        <f t="shared" si="301"/>
        <v/>
      </c>
      <c r="X807" s="41" t="str">
        <f t="shared" si="308"/>
        <v/>
      </c>
      <c r="Y807" s="98" t="str">
        <f t="shared" si="302"/>
        <v/>
      </c>
      <c r="Z807" s="16" t="str">
        <f t="shared" si="309"/>
        <v/>
      </c>
      <c r="AB807" s="139"/>
      <c r="AC807" s="146" t="str">
        <f t="shared" si="312"/>
        <v/>
      </c>
      <c r="AD807" s="148" t="str">
        <f t="shared" si="310"/>
        <v/>
      </c>
      <c r="AE807" s="147" t="str">
        <f t="shared" si="303"/>
        <v/>
      </c>
      <c r="AF807" s="111" t="str">
        <f t="shared" si="304"/>
        <v/>
      </c>
      <c r="AG807" s="111" t="str">
        <f t="shared" si="305"/>
        <v/>
      </c>
      <c r="AH807" s="112" t="str">
        <f t="shared" si="306"/>
        <v/>
      </c>
      <c r="AI807" t="str">
        <f t="shared" si="311"/>
        <v/>
      </c>
      <c r="AJ807" t="str">
        <f t="shared" si="313"/>
        <v/>
      </c>
    </row>
    <row r="808" spans="1:36" ht="15" customHeight="1" x14ac:dyDescent="0.25">
      <c r="A808" s="114"/>
      <c r="B808" s="116"/>
      <c r="C808" s="116"/>
      <c r="D808" s="42" t="str">
        <f t="shared" si="290"/>
        <v/>
      </c>
      <c r="E808" s="43"/>
      <c r="F808" s="118"/>
      <c r="G808" s="44" t="str">
        <f t="shared" si="291"/>
        <v/>
      </c>
      <c r="H808" s="118"/>
      <c r="I808" s="34" t="str">
        <f t="shared" si="292"/>
        <v/>
      </c>
      <c r="J808" s="118"/>
      <c r="K808" s="34" t="str">
        <f t="shared" si="293"/>
        <v/>
      </c>
      <c r="L808" s="118"/>
      <c r="M808" s="121"/>
      <c r="N808" s="122" t="str">
        <f t="shared" si="294"/>
        <v/>
      </c>
      <c r="O808" s="35" t="str">
        <f t="shared" si="295"/>
        <v/>
      </c>
      <c r="P808" s="124"/>
      <c r="Q808" s="36" t="str">
        <f t="shared" si="307"/>
        <v/>
      </c>
      <c r="R808" s="46" t="str">
        <f t="shared" si="296"/>
        <v/>
      </c>
      <c r="S808" s="38" t="str">
        <f t="shared" si="297"/>
        <v/>
      </c>
      <c r="T808" s="39" t="str">
        <f t="shared" si="298"/>
        <v/>
      </c>
      <c r="U808" s="40" t="str">
        <f t="shared" si="299"/>
        <v/>
      </c>
      <c r="V808" s="39" t="str">
        <f t="shared" si="300"/>
        <v/>
      </c>
      <c r="W808" s="34" t="str">
        <f t="shared" si="301"/>
        <v/>
      </c>
      <c r="X808" s="41" t="str">
        <f t="shared" si="308"/>
        <v/>
      </c>
      <c r="Y808" s="98" t="str">
        <f t="shared" si="302"/>
        <v/>
      </c>
      <c r="Z808" s="16" t="str">
        <f t="shared" si="309"/>
        <v/>
      </c>
      <c r="AB808" s="139"/>
      <c r="AC808" s="146" t="str">
        <f t="shared" si="312"/>
        <v/>
      </c>
      <c r="AD808" s="148" t="str">
        <f t="shared" si="310"/>
        <v/>
      </c>
      <c r="AE808" s="147" t="str">
        <f t="shared" si="303"/>
        <v/>
      </c>
      <c r="AF808" s="111" t="str">
        <f t="shared" si="304"/>
        <v/>
      </c>
      <c r="AG808" s="111" t="str">
        <f t="shared" si="305"/>
        <v/>
      </c>
      <c r="AH808" s="112" t="str">
        <f t="shared" si="306"/>
        <v/>
      </c>
      <c r="AI808" t="str">
        <f t="shared" si="311"/>
        <v/>
      </c>
      <c r="AJ808" t="str">
        <f t="shared" si="313"/>
        <v/>
      </c>
    </row>
    <row r="809" spans="1:36" ht="15" customHeight="1" x14ac:dyDescent="0.25">
      <c r="A809" s="114"/>
      <c r="B809" s="116"/>
      <c r="C809" s="116"/>
      <c r="D809" s="42" t="str">
        <f t="shared" si="290"/>
        <v/>
      </c>
      <c r="E809" s="43"/>
      <c r="F809" s="118"/>
      <c r="G809" s="44" t="str">
        <f t="shared" si="291"/>
        <v/>
      </c>
      <c r="H809" s="118"/>
      <c r="I809" s="34" t="str">
        <f t="shared" si="292"/>
        <v/>
      </c>
      <c r="J809" s="118"/>
      <c r="K809" s="34" t="str">
        <f t="shared" si="293"/>
        <v/>
      </c>
      <c r="L809" s="118"/>
      <c r="M809" s="121"/>
      <c r="N809" s="122" t="str">
        <f t="shared" si="294"/>
        <v/>
      </c>
      <c r="O809" s="35" t="str">
        <f t="shared" si="295"/>
        <v/>
      </c>
      <c r="P809" s="124"/>
      <c r="Q809" s="36" t="str">
        <f t="shared" si="307"/>
        <v/>
      </c>
      <c r="R809" s="46" t="str">
        <f t="shared" si="296"/>
        <v/>
      </c>
      <c r="S809" s="38" t="str">
        <f t="shared" si="297"/>
        <v/>
      </c>
      <c r="T809" s="39" t="str">
        <f t="shared" si="298"/>
        <v/>
      </c>
      <c r="U809" s="40" t="str">
        <f t="shared" si="299"/>
        <v/>
      </c>
      <c r="V809" s="39" t="str">
        <f t="shared" si="300"/>
        <v/>
      </c>
      <c r="W809" s="34" t="str">
        <f t="shared" si="301"/>
        <v/>
      </c>
      <c r="X809" s="41" t="str">
        <f t="shared" si="308"/>
        <v/>
      </c>
      <c r="Y809" s="98" t="str">
        <f t="shared" si="302"/>
        <v/>
      </c>
      <c r="Z809" s="16" t="str">
        <f t="shared" si="309"/>
        <v/>
      </c>
      <c r="AB809" s="139"/>
      <c r="AC809" s="146" t="str">
        <f t="shared" si="312"/>
        <v/>
      </c>
      <c r="AD809" s="148" t="str">
        <f t="shared" si="310"/>
        <v/>
      </c>
      <c r="AE809" s="147" t="str">
        <f t="shared" si="303"/>
        <v/>
      </c>
      <c r="AF809" s="111" t="str">
        <f t="shared" si="304"/>
        <v/>
      </c>
      <c r="AG809" s="111" t="str">
        <f t="shared" si="305"/>
        <v/>
      </c>
      <c r="AH809" s="112" t="str">
        <f t="shared" si="306"/>
        <v/>
      </c>
      <c r="AI809" t="str">
        <f t="shared" si="311"/>
        <v/>
      </c>
      <c r="AJ809" t="str">
        <f t="shared" si="313"/>
        <v/>
      </c>
    </row>
    <row r="810" spans="1:36" ht="15" customHeight="1" x14ac:dyDescent="0.25">
      <c r="A810" s="114"/>
      <c r="B810" s="116"/>
      <c r="C810" s="116"/>
      <c r="D810" s="42" t="str">
        <f t="shared" si="290"/>
        <v/>
      </c>
      <c r="E810" s="43"/>
      <c r="F810" s="118"/>
      <c r="G810" s="44" t="str">
        <f t="shared" si="291"/>
        <v/>
      </c>
      <c r="H810" s="118"/>
      <c r="I810" s="34" t="str">
        <f t="shared" si="292"/>
        <v/>
      </c>
      <c r="J810" s="118"/>
      <c r="K810" s="34" t="str">
        <f t="shared" si="293"/>
        <v/>
      </c>
      <c r="L810" s="118"/>
      <c r="M810" s="121"/>
      <c r="N810" s="122" t="str">
        <f t="shared" si="294"/>
        <v/>
      </c>
      <c r="O810" s="35" t="str">
        <f t="shared" si="295"/>
        <v/>
      </c>
      <c r="P810" s="124"/>
      <c r="Q810" s="36" t="str">
        <f t="shared" si="307"/>
        <v/>
      </c>
      <c r="R810" s="46" t="str">
        <f t="shared" si="296"/>
        <v/>
      </c>
      <c r="S810" s="38" t="str">
        <f t="shared" si="297"/>
        <v/>
      </c>
      <c r="T810" s="39" t="str">
        <f t="shared" si="298"/>
        <v/>
      </c>
      <c r="U810" s="40" t="str">
        <f t="shared" si="299"/>
        <v/>
      </c>
      <c r="V810" s="39" t="str">
        <f t="shared" si="300"/>
        <v/>
      </c>
      <c r="W810" s="34" t="str">
        <f t="shared" si="301"/>
        <v/>
      </c>
      <c r="X810" s="41" t="str">
        <f t="shared" si="308"/>
        <v/>
      </c>
      <c r="Y810" s="98" t="str">
        <f t="shared" si="302"/>
        <v/>
      </c>
      <c r="Z810" s="16" t="str">
        <f t="shared" si="309"/>
        <v/>
      </c>
      <c r="AB810" s="139"/>
      <c r="AC810" s="146" t="str">
        <f t="shared" si="312"/>
        <v/>
      </c>
      <c r="AD810" s="148" t="str">
        <f t="shared" si="310"/>
        <v/>
      </c>
      <c r="AE810" s="147" t="str">
        <f t="shared" si="303"/>
        <v/>
      </c>
      <c r="AF810" s="111" t="str">
        <f t="shared" si="304"/>
        <v/>
      </c>
      <c r="AG810" s="111" t="str">
        <f t="shared" si="305"/>
        <v/>
      </c>
      <c r="AH810" s="112" t="str">
        <f t="shared" si="306"/>
        <v/>
      </c>
      <c r="AI810" t="str">
        <f t="shared" si="311"/>
        <v/>
      </c>
      <c r="AJ810" t="str">
        <f t="shared" si="313"/>
        <v/>
      </c>
    </row>
    <row r="811" spans="1:36" ht="15" customHeight="1" x14ac:dyDescent="0.25">
      <c r="A811" s="114"/>
      <c r="B811" s="116"/>
      <c r="C811" s="116"/>
      <c r="D811" s="42" t="str">
        <f t="shared" si="290"/>
        <v/>
      </c>
      <c r="E811" s="43"/>
      <c r="F811" s="118"/>
      <c r="G811" s="44" t="str">
        <f t="shared" si="291"/>
        <v/>
      </c>
      <c r="H811" s="118"/>
      <c r="I811" s="34" t="str">
        <f t="shared" si="292"/>
        <v/>
      </c>
      <c r="J811" s="118"/>
      <c r="K811" s="34" t="str">
        <f t="shared" si="293"/>
        <v/>
      </c>
      <c r="L811" s="118"/>
      <c r="M811" s="121"/>
      <c r="N811" s="122" t="str">
        <f t="shared" si="294"/>
        <v/>
      </c>
      <c r="O811" s="35" t="str">
        <f t="shared" si="295"/>
        <v/>
      </c>
      <c r="P811" s="124"/>
      <c r="Q811" s="36" t="str">
        <f t="shared" si="307"/>
        <v/>
      </c>
      <c r="R811" s="46" t="str">
        <f t="shared" si="296"/>
        <v/>
      </c>
      <c r="S811" s="38" t="str">
        <f t="shared" si="297"/>
        <v/>
      </c>
      <c r="T811" s="39" t="str">
        <f t="shared" si="298"/>
        <v/>
      </c>
      <c r="U811" s="40" t="str">
        <f t="shared" si="299"/>
        <v/>
      </c>
      <c r="V811" s="39" t="str">
        <f t="shared" si="300"/>
        <v/>
      </c>
      <c r="W811" s="34" t="str">
        <f t="shared" si="301"/>
        <v/>
      </c>
      <c r="X811" s="41" t="str">
        <f t="shared" si="308"/>
        <v/>
      </c>
      <c r="Y811" s="98" t="str">
        <f t="shared" si="302"/>
        <v/>
      </c>
      <c r="Z811" s="16" t="str">
        <f t="shared" si="309"/>
        <v/>
      </c>
      <c r="AB811" s="139"/>
      <c r="AC811" s="146" t="str">
        <f t="shared" si="312"/>
        <v/>
      </c>
      <c r="AD811" s="148" t="str">
        <f t="shared" si="310"/>
        <v/>
      </c>
      <c r="AE811" s="147" t="str">
        <f t="shared" si="303"/>
        <v/>
      </c>
      <c r="AF811" s="111" t="str">
        <f t="shared" si="304"/>
        <v/>
      </c>
      <c r="AG811" s="111" t="str">
        <f t="shared" si="305"/>
        <v/>
      </c>
      <c r="AH811" s="112" t="str">
        <f t="shared" si="306"/>
        <v/>
      </c>
      <c r="AI811" t="str">
        <f t="shared" si="311"/>
        <v/>
      </c>
      <c r="AJ811" t="str">
        <f t="shared" si="313"/>
        <v/>
      </c>
    </row>
    <row r="812" spans="1:36" ht="15" customHeight="1" x14ac:dyDescent="0.25">
      <c r="A812" s="114"/>
      <c r="B812" s="116"/>
      <c r="C812" s="116"/>
      <c r="D812" s="42" t="str">
        <f t="shared" si="290"/>
        <v/>
      </c>
      <c r="E812" s="43"/>
      <c r="F812" s="118"/>
      <c r="G812" s="44" t="str">
        <f t="shared" si="291"/>
        <v/>
      </c>
      <c r="H812" s="118"/>
      <c r="I812" s="34" t="str">
        <f t="shared" si="292"/>
        <v/>
      </c>
      <c r="J812" s="118"/>
      <c r="K812" s="34" t="str">
        <f t="shared" si="293"/>
        <v/>
      </c>
      <c r="L812" s="118"/>
      <c r="M812" s="121"/>
      <c r="N812" s="122" t="str">
        <f t="shared" si="294"/>
        <v/>
      </c>
      <c r="O812" s="35" t="str">
        <f t="shared" si="295"/>
        <v/>
      </c>
      <c r="P812" s="124"/>
      <c r="Q812" s="36" t="str">
        <f t="shared" si="307"/>
        <v/>
      </c>
      <c r="R812" s="46" t="str">
        <f t="shared" si="296"/>
        <v/>
      </c>
      <c r="S812" s="38" t="str">
        <f t="shared" si="297"/>
        <v/>
      </c>
      <c r="T812" s="39" t="str">
        <f t="shared" si="298"/>
        <v/>
      </c>
      <c r="U812" s="40" t="str">
        <f t="shared" si="299"/>
        <v/>
      </c>
      <c r="V812" s="39" t="str">
        <f t="shared" si="300"/>
        <v/>
      </c>
      <c r="W812" s="34" t="str">
        <f t="shared" si="301"/>
        <v/>
      </c>
      <c r="X812" s="41" t="str">
        <f t="shared" si="308"/>
        <v/>
      </c>
      <c r="Y812" s="98" t="str">
        <f t="shared" si="302"/>
        <v/>
      </c>
      <c r="Z812" s="16" t="str">
        <f t="shared" si="309"/>
        <v/>
      </c>
      <c r="AB812" s="139"/>
      <c r="AC812" s="146" t="str">
        <f t="shared" si="312"/>
        <v/>
      </c>
      <c r="AD812" s="148" t="str">
        <f t="shared" si="310"/>
        <v/>
      </c>
      <c r="AE812" s="147" t="str">
        <f t="shared" si="303"/>
        <v/>
      </c>
      <c r="AF812" s="111" t="str">
        <f t="shared" si="304"/>
        <v/>
      </c>
      <c r="AG812" s="111" t="str">
        <f t="shared" si="305"/>
        <v/>
      </c>
      <c r="AH812" s="112" t="str">
        <f t="shared" si="306"/>
        <v/>
      </c>
      <c r="AI812" t="str">
        <f t="shared" si="311"/>
        <v/>
      </c>
      <c r="AJ812" t="str">
        <f t="shared" si="313"/>
        <v/>
      </c>
    </row>
    <row r="813" spans="1:36" ht="15" customHeight="1" x14ac:dyDescent="0.25">
      <c r="A813" s="114"/>
      <c r="B813" s="116"/>
      <c r="C813" s="116"/>
      <c r="D813" s="42" t="str">
        <f t="shared" si="290"/>
        <v/>
      </c>
      <c r="E813" s="43"/>
      <c r="F813" s="118"/>
      <c r="G813" s="44" t="str">
        <f t="shared" si="291"/>
        <v/>
      </c>
      <c r="H813" s="118"/>
      <c r="I813" s="34" t="str">
        <f t="shared" si="292"/>
        <v/>
      </c>
      <c r="J813" s="118"/>
      <c r="K813" s="34" t="str">
        <f t="shared" si="293"/>
        <v/>
      </c>
      <c r="L813" s="118"/>
      <c r="M813" s="121"/>
      <c r="N813" s="122" t="str">
        <f t="shared" si="294"/>
        <v/>
      </c>
      <c r="O813" s="35" t="str">
        <f t="shared" si="295"/>
        <v/>
      </c>
      <c r="P813" s="124"/>
      <c r="Q813" s="36" t="str">
        <f t="shared" si="307"/>
        <v/>
      </c>
      <c r="R813" s="46" t="str">
        <f t="shared" si="296"/>
        <v/>
      </c>
      <c r="S813" s="38" t="str">
        <f t="shared" si="297"/>
        <v/>
      </c>
      <c r="T813" s="39" t="str">
        <f t="shared" si="298"/>
        <v/>
      </c>
      <c r="U813" s="40" t="str">
        <f t="shared" si="299"/>
        <v/>
      </c>
      <c r="V813" s="39" t="str">
        <f t="shared" si="300"/>
        <v/>
      </c>
      <c r="W813" s="34" t="str">
        <f t="shared" si="301"/>
        <v/>
      </c>
      <c r="X813" s="41" t="str">
        <f t="shared" si="308"/>
        <v/>
      </c>
      <c r="Y813" s="98" t="str">
        <f t="shared" si="302"/>
        <v/>
      </c>
      <c r="Z813" s="16" t="str">
        <f t="shared" si="309"/>
        <v/>
      </c>
      <c r="AB813" s="139"/>
      <c r="AC813" s="146" t="str">
        <f t="shared" si="312"/>
        <v/>
      </c>
      <c r="AD813" s="148" t="str">
        <f t="shared" si="310"/>
        <v/>
      </c>
      <c r="AE813" s="147" t="str">
        <f t="shared" si="303"/>
        <v/>
      </c>
      <c r="AF813" s="111" t="str">
        <f t="shared" si="304"/>
        <v/>
      </c>
      <c r="AG813" s="111" t="str">
        <f t="shared" si="305"/>
        <v/>
      </c>
      <c r="AH813" s="112" t="str">
        <f t="shared" si="306"/>
        <v/>
      </c>
      <c r="AI813" t="str">
        <f t="shared" si="311"/>
        <v/>
      </c>
      <c r="AJ813" t="str">
        <f t="shared" si="313"/>
        <v/>
      </c>
    </row>
    <row r="814" spans="1:36" ht="15" customHeight="1" x14ac:dyDescent="0.25">
      <c r="A814" s="114"/>
      <c r="B814" s="116"/>
      <c r="C814" s="116"/>
      <c r="D814" s="42" t="str">
        <f t="shared" si="290"/>
        <v/>
      </c>
      <c r="E814" s="43"/>
      <c r="F814" s="118"/>
      <c r="G814" s="44" t="str">
        <f t="shared" si="291"/>
        <v/>
      </c>
      <c r="H814" s="118"/>
      <c r="I814" s="34" t="str">
        <f t="shared" si="292"/>
        <v/>
      </c>
      <c r="J814" s="118"/>
      <c r="K814" s="34" t="str">
        <f t="shared" si="293"/>
        <v/>
      </c>
      <c r="L814" s="118"/>
      <c r="M814" s="121"/>
      <c r="N814" s="122" t="str">
        <f t="shared" si="294"/>
        <v/>
      </c>
      <c r="O814" s="35" t="str">
        <f t="shared" si="295"/>
        <v/>
      </c>
      <c r="P814" s="124"/>
      <c r="Q814" s="36" t="str">
        <f t="shared" si="307"/>
        <v/>
      </c>
      <c r="R814" s="46" t="str">
        <f t="shared" si="296"/>
        <v/>
      </c>
      <c r="S814" s="38" t="str">
        <f t="shared" si="297"/>
        <v/>
      </c>
      <c r="T814" s="39" t="str">
        <f t="shared" si="298"/>
        <v/>
      </c>
      <c r="U814" s="40" t="str">
        <f t="shared" si="299"/>
        <v/>
      </c>
      <c r="V814" s="39" t="str">
        <f t="shared" si="300"/>
        <v/>
      </c>
      <c r="W814" s="34" t="str">
        <f t="shared" si="301"/>
        <v/>
      </c>
      <c r="X814" s="41" t="str">
        <f t="shared" si="308"/>
        <v/>
      </c>
      <c r="Y814" s="98" t="str">
        <f t="shared" si="302"/>
        <v/>
      </c>
      <c r="Z814" s="16" t="str">
        <f t="shared" si="309"/>
        <v/>
      </c>
      <c r="AB814" s="139"/>
      <c r="AC814" s="146" t="str">
        <f t="shared" si="312"/>
        <v/>
      </c>
      <c r="AD814" s="148" t="str">
        <f t="shared" si="310"/>
        <v/>
      </c>
      <c r="AE814" s="147" t="str">
        <f t="shared" si="303"/>
        <v/>
      </c>
      <c r="AF814" s="111" t="str">
        <f t="shared" si="304"/>
        <v/>
      </c>
      <c r="AG814" s="111" t="str">
        <f t="shared" si="305"/>
        <v/>
      </c>
      <c r="AH814" s="112" t="str">
        <f t="shared" si="306"/>
        <v/>
      </c>
      <c r="AI814" t="str">
        <f t="shared" si="311"/>
        <v/>
      </c>
      <c r="AJ814" t="str">
        <f t="shared" si="313"/>
        <v/>
      </c>
    </row>
    <row r="815" spans="1:36" ht="15" customHeight="1" x14ac:dyDescent="0.25">
      <c r="A815" s="114"/>
      <c r="B815" s="116"/>
      <c r="C815" s="116"/>
      <c r="D815" s="42" t="str">
        <f t="shared" si="290"/>
        <v/>
      </c>
      <c r="E815" s="43"/>
      <c r="F815" s="118"/>
      <c r="G815" s="44" t="str">
        <f t="shared" si="291"/>
        <v/>
      </c>
      <c r="H815" s="118"/>
      <c r="I815" s="34" t="str">
        <f t="shared" si="292"/>
        <v/>
      </c>
      <c r="J815" s="118"/>
      <c r="K815" s="34" t="str">
        <f t="shared" si="293"/>
        <v/>
      </c>
      <c r="L815" s="118"/>
      <c r="M815" s="121"/>
      <c r="N815" s="122" t="str">
        <f t="shared" si="294"/>
        <v/>
      </c>
      <c r="O815" s="35" t="str">
        <f t="shared" si="295"/>
        <v/>
      </c>
      <c r="P815" s="124"/>
      <c r="Q815" s="36" t="str">
        <f t="shared" si="307"/>
        <v/>
      </c>
      <c r="R815" s="46" t="str">
        <f t="shared" si="296"/>
        <v/>
      </c>
      <c r="S815" s="38" t="str">
        <f t="shared" si="297"/>
        <v/>
      </c>
      <c r="T815" s="39" t="str">
        <f t="shared" si="298"/>
        <v/>
      </c>
      <c r="U815" s="40" t="str">
        <f t="shared" si="299"/>
        <v/>
      </c>
      <c r="V815" s="39" t="str">
        <f t="shared" si="300"/>
        <v/>
      </c>
      <c r="W815" s="34" t="str">
        <f t="shared" si="301"/>
        <v/>
      </c>
      <c r="X815" s="41" t="str">
        <f t="shared" si="308"/>
        <v/>
      </c>
      <c r="Y815" s="98" t="str">
        <f t="shared" si="302"/>
        <v/>
      </c>
      <c r="Z815" s="16" t="str">
        <f t="shared" si="309"/>
        <v/>
      </c>
      <c r="AB815" s="139"/>
      <c r="AC815" s="146" t="str">
        <f t="shared" si="312"/>
        <v/>
      </c>
      <c r="AD815" s="148" t="str">
        <f t="shared" si="310"/>
        <v/>
      </c>
      <c r="AE815" s="147" t="str">
        <f t="shared" si="303"/>
        <v/>
      </c>
      <c r="AF815" s="111" t="str">
        <f t="shared" si="304"/>
        <v/>
      </c>
      <c r="AG815" s="111" t="str">
        <f t="shared" si="305"/>
        <v/>
      </c>
      <c r="AH815" s="112" t="str">
        <f t="shared" si="306"/>
        <v/>
      </c>
      <c r="AI815" t="str">
        <f t="shared" si="311"/>
        <v/>
      </c>
      <c r="AJ815" t="str">
        <f t="shared" si="313"/>
        <v/>
      </c>
    </row>
    <row r="816" spans="1:36" ht="15" customHeight="1" x14ac:dyDescent="0.25">
      <c r="A816" s="114"/>
      <c r="B816" s="116"/>
      <c r="C816" s="116"/>
      <c r="D816" s="42" t="str">
        <f t="shared" si="290"/>
        <v/>
      </c>
      <c r="E816" s="43"/>
      <c r="F816" s="118"/>
      <c r="G816" s="44" t="str">
        <f t="shared" si="291"/>
        <v/>
      </c>
      <c r="H816" s="118"/>
      <c r="I816" s="34" t="str">
        <f t="shared" si="292"/>
        <v/>
      </c>
      <c r="J816" s="118"/>
      <c r="K816" s="34" t="str">
        <f t="shared" si="293"/>
        <v/>
      </c>
      <c r="L816" s="118"/>
      <c r="M816" s="121"/>
      <c r="N816" s="122" t="str">
        <f t="shared" si="294"/>
        <v/>
      </c>
      <c r="O816" s="35" t="str">
        <f t="shared" si="295"/>
        <v/>
      </c>
      <c r="P816" s="124"/>
      <c r="Q816" s="36" t="str">
        <f t="shared" si="307"/>
        <v/>
      </c>
      <c r="R816" s="46" t="str">
        <f t="shared" si="296"/>
        <v/>
      </c>
      <c r="S816" s="38" t="str">
        <f t="shared" si="297"/>
        <v/>
      </c>
      <c r="T816" s="39" t="str">
        <f t="shared" si="298"/>
        <v/>
      </c>
      <c r="U816" s="40" t="str">
        <f t="shared" si="299"/>
        <v/>
      </c>
      <c r="V816" s="39" t="str">
        <f t="shared" si="300"/>
        <v/>
      </c>
      <c r="W816" s="34" t="str">
        <f t="shared" si="301"/>
        <v/>
      </c>
      <c r="X816" s="41" t="str">
        <f t="shared" si="308"/>
        <v/>
      </c>
      <c r="Y816" s="98" t="str">
        <f t="shared" si="302"/>
        <v/>
      </c>
      <c r="Z816" s="16" t="str">
        <f t="shared" si="309"/>
        <v/>
      </c>
      <c r="AB816" s="139"/>
      <c r="AC816" s="146" t="str">
        <f t="shared" si="312"/>
        <v/>
      </c>
      <c r="AD816" s="148" t="str">
        <f t="shared" si="310"/>
        <v/>
      </c>
      <c r="AE816" s="147" t="str">
        <f t="shared" si="303"/>
        <v/>
      </c>
      <c r="AF816" s="111" t="str">
        <f t="shared" si="304"/>
        <v/>
      </c>
      <c r="AG816" s="111" t="str">
        <f t="shared" si="305"/>
        <v/>
      </c>
      <c r="AH816" s="112" t="str">
        <f t="shared" si="306"/>
        <v/>
      </c>
      <c r="AI816" t="str">
        <f t="shared" si="311"/>
        <v/>
      </c>
      <c r="AJ816" t="str">
        <f t="shared" si="313"/>
        <v/>
      </c>
    </row>
    <row r="817" spans="1:36" ht="15" customHeight="1" x14ac:dyDescent="0.25">
      <c r="A817" s="114"/>
      <c r="B817" s="116"/>
      <c r="C817" s="116"/>
      <c r="D817" s="42" t="str">
        <f t="shared" si="290"/>
        <v/>
      </c>
      <c r="E817" s="43"/>
      <c r="F817" s="118"/>
      <c r="G817" s="44" t="str">
        <f t="shared" si="291"/>
        <v/>
      </c>
      <c r="H817" s="118"/>
      <c r="I817" s="34" t="str">
        <f t="shared" si="292"/>
        <v/>
      </c>
      <c r="J817" s="118"/>
      <c r="K817" s="34" t="str">
        <f t="shared" si="293"/>
        <v/>
      </c>
      <c r="L817" s="118"/>
      <c r="M817" s="121"/>
      <c r="N817" s="122" t="str">
        <f t="shared" si="294"/>
        <v/>
      </c>
      <c r="O817" s="35" t="str">
        <f t="shared" si="295"/>
        <v/>
      </c>
      <c r="P817" s="124"/>
      <c r="Q817" s="36" t="str">
        <f t="shared" si="307"/>
        <v/>
      </c>
      <c r="R817" s="46" t="str">
        <f t="shared" si="296"/>
        <v/>
      </c>
      <c r="S817" s="38" t="str">
        <f t="shared" si="297"/>
        <v/>
      </c>
      <c r="T817" s="39" t="str">
        <f t="shared" si="298"/>
        <v/>
      </c>
      <c r="U817" s="40" t="str">
        <f t="shared" si="299"/>
        <v/>
      </c>
      <c r="V817" s="39" t="str">
        <f t="shared" si="300"/>
        <v/>
      </c>
      <c r="W817" s="34" t="str">
        <f t="shared" si="301"/>
        <v/>
      </c>
      <c r="X817" s="41" t="str">
        <f t="shared" si="308"/>
        <v/>
      </c>
      <c r="Y817" s="98" t="str">
        <f t="shared" si="302"/>
        <v/>
      </c>
      <c r="Z817" s="16" t="str">
        <f t="shared" si="309"/>
        <v/>
      </c>
      <c r="AB817" s="139"/>
      <c r="AC817" s="146" t="str">
        <f t="shared" si="312"/>
        <v/>
      </c>
      <c r="AD817" s="148" t="str">
        <f t="shared" si="310"/>
        <v/>
      </c>
      <c r="AE817" s="147" t="str">
        <f t="shared" si="303"/>
        <v/>
      </c>
      <c r="AF817" s="111" t="str">
        <f t="shared" si="304"/>
        <v/>
      </c>
      <c r="AG817" s="111" t="str">
        <f t="shared" si="305"/>
        <v/>
      </c>
      <c r="AH817" s="112" t="str">
        <f t="shared" si="306"/>
        <v/>
      </c>
      <c r="AI817" t="str">
        <f t="shared" si="311"/>
        <v/>
      </c>
      <c r="AJ817" t="str">
        <f t="shared" si="313"/>
        <v/>
      </c>
    </row>
    <row r="818" spans="1:36" ht="15" customHeight="1" x14ac:dyDescent="0.25">
      <c r="A818" s="114"/>
      <c r="B818" s="116"/>
      <c r="C818" s="116"/>
      <c r="D818" s="42" t="str">
        <f t="shared" si="290"/>
        <v/>
      </c>
      <c r="E818" s="43"/>
      <c r="F818" s="118"/>
      <c r="G818" s="44" t="str">
        <f t="shared" si="291"/>
        <v/>
      </c>
      <c r="H818" s="118"/>
      <c r="I818" s="34" t="str">
        <f t="shared" si="292"/>
        <v/>
      </c>
      <c r="J818" s="118"/>
      <c r="K818" s="34" t="str">
        <f t="shared" si="293"/>
        <v/>
      </c>
      <c r="L818" s="118"/>
      <c r="M818" s="121"/>
      <c r="N818" s="122" t="str">
        <f t="shared" si="294"/>
        <v/>
      </c>
      <c r="O818" s="35" t="str">
        <f t="shared" si="295"/>
        <v/>
      </c>
      <c r="P818" s="124"/>
      <c r="Q818" s="36" t="str">
        <f t="shared" si="307"/>
        <v/>
      </c>
      <c r="R818" s="46" t="str">
        <f t="shared" si="296"/>
        <v/>
      </c>
      <c r="S818" s="38" t="str">
        <f t="shared" si="297"/>
        <v/>
      </c>
      <c r="T818" s="39" t="str">
        <f t="shared" si="298"/>
        <v/>
      </c>
      <c r="U818" s="40" t="str">
        <f t="shared" si="299"/>
        <v/>
      </c>
      <c r="V818" s="39" t="str">
        <f t="shared" si="300"/>
        <v/>
      </c>
      <c r="W818" s="34" t="str">
        <f t="shared" si="301"/>
        <v/>
      </c>
      <c r="X818" s="41" t="str">
        <f t="shared" si="308"/>
        <v/>
      </c>
      <c r="Y818" s="98" t="str">
        <f t="shared" si="302"/>
        <v/>
      </c>
      <c r="Z818" s="16" t="str">
        <f t="shared" si="309"/>
        <v/>
      </c>
      <c r="AB818" s="139"/>
      <c r="AC818" s="146" t="str">
        <f t="shared" si="312"/>
        <v/>
      </c>
      <c r="AD818" s="148" t="str">
        <f t="shared" si="310"/>
        <v/>
      </c>
      <c r="AE818" s="147" t="str">
        <f t="shared" si="303"/>
        <v/>
      </c>
      <c r="AF818" s="111" t="str">
        <f t="shared" si="304"/>
        <v/>
      </c>
      <c r="AG818" s="111" t="str">
        <f t="shared" si="305"/>
        <v/>
      </c>
      <c r="AH818" s="112" t="str">
        <f t="shared" si="306"/>
        <v/>
      </c>
      <c r="AI818" t="str">
        <f t="shared" si="311"/>
        <v/>
      </c>
      <c r="AJ818" t="str">
        <f t="shared" si="313"/>
        <v/>
      </c>
    </row>
    <row r="819" spans="1:36" ht="15" customHeight="1" x14ac:dyDescent="0.25">
      <c r="A819" s="114"/>
      <c r="B819" s="116"/>
      <c r="C819" s="116"/>
      <c r="D819" s="42" t="str">
        <f t="shared" si="290"/>
        <v/>
      </c>
      <c r="E819" s="43"/>
      <c r="F819" s="118"/>
      <c r="G819" s="44" t="str">
        <f t="shared" si="291"/>
        <v/>
      </c>
      <c r="H819" s="118"/>
      <c r="I819" s="34" t="str">
        <f t="shared" si="292"/>
        <v/>
      </c>
      <c r="J819" s="118"/>
      <c r="K819" s="34" t="str">
        <f t="shared" si="293"/>
        <v/>
      </c>
      <c r="L819" s="118"/>
      <c r="M819" s="121"/>
      <c r="N819" s="122" t="str">
        <f t="shared" si="294"/>
        <v/>
      </c>
      <c r="O819" s="35" t="str">
        <f t="shared" si="295"/>
        <v/>
      </c>
      <c r="P819" s="124"/>
      <c r="Q819" s="36" t="str">
        <f t="shared" si="307"/>
        <v/>
      </c>
      <c r="R819" s="46" t="str">
        <f t="shared" si="296"/>
        <v/>
      </c>
      <c r="S819" s="38" t="str">
        <f t="shared" si="297"/>
        <v/>
      </c>
      <c r="T819" s="39" t="str">
        <f t="shared" si="298"/>
        <v/>
      </c>
      <c r="U819" s="40" t="str">
        <f t="shared" si="299"/>
        <v/>
      </c>
      <c r="V819" s="39" t="str">
        <f t="shared" si="300"/>
        <v/>
      </c>
      <c r="W819" s="34" t="str">
        <f t="shared" si="301"/>
        <v/>
      </c>
      <c r="X819" s="41" t="str">
        <f t="shared" si="308"/>
        <v/>
      </c>
      <c r="Y819" s="98" t="str">
        <f t="shared" si="302"/>
        <v/>
      </c>
      <c r="Z819" s="16" t="str">
        <f t="shared" si="309"/>
        <v/>
      </c>
      <c r="AB819" s="139"/>
      <c r="AC819" s="146" t="str">
        <f t="shared" si="312"/>
        <v/>
      </c>
      <c r="AD819" s="148" t="str">
        <f t="shared" si="310"/>
        <v/>
      </c>
      <c r="AE819" s="147" t="str">
        <f t="shared" si="303"/>
        <v/>
      </c>
      <c r="AF819" s="111" t="str">
        <f t="shared" si="304"/>
        <v/>
      </c>
      <c r="AG819" s="111" t="str">
        <f t="shared" si="305"/>
        <v/>
      </c>
      <c r="AH819" s="112" t="str">
        <f t="shared" si="306"/>
        <v/>
      </c>
      <c r="AI819" t="str">
        <f t="shared" si="311"/>
        <v/>
      </c>
      <c r="AJ819" t="str">
        <f t="shared" si="313"/>
        <v/>
      </c>
    </row>
    <row r="820" spans="1:36" ht="15" customHeight="1" x14ac:dyDescent="0.25">
      <c r="A820" s="114"/>
      <c r="B820" s="116"/>
      <c r="C820" s="116"/>
      <c r="D820" s="42" t="str">
        <f t="shared" si="290"/>
        <v/>
      </c>
      <c r="E820" s="43"/>
      <c r="F820" s="118"/>
      <c r="G820" s="44" t="str">
        <f t="shared" si="291"/>
        <v/>
      </c>
      <c r="H820" s="118"/>
      <c r="I820" s="34" t="str">
        <f t="shared" si="292"/>
        <v/>
      </c>
      <c r="J820" s="118"/>
      <c r="K820" s="34" t="str">
        <f t="shared" si="293"/>
        <v/>
      </c>
      <c r="L820" s="118"/>
      <c r="M820" s="121"/>
      <c r="N820" s="122" t="str">
        <f t="shared" si="294"/>
        <v/>
      </c>
      <c r="O820" s="35" t="str">
        <f t="shared" si="295"/>
        <v/>
      </c>
      <c r="P820" s="124"/>
      <c r="Q820" s="36" t="str">
        <f t="shared" si="307"/>
        <v/>
      </c>
      <c r="R820" s="46" t="str">
        <f t="shared" si="296"/>
        <v/>
      </c>
      <c r="S820" s="38" t="str">
        <f t="shared" si="297"/>
        <v/>
      </c>
      <c r="T820" s="39" t="str">
        <f t="shared" si="298"/>
        <v/>
      </c>
      <c r="U820" s="40" t="str">
        <f t="shared" si="299"/>
        <v/>
      </c>
      <c r="V820" s="39" t="str">
        <f t="shared" si="300"/>
        <v/>
      </c>
      <c r="W820" s="34" t="str">
        <f t="shared" si="301"/>
        <v/>
      </c>
      <c r="X820" s="41" t="str">
        <f t="shared" si="308"/>
        <v/>
      </c>
      <c r="Y820" s="98" t="str">
        <f t="shared" si="302"/>
        <v/>
      </c>
      <c r="Z820" s="16" t="str">
        <f t="shared" si="309"/>
        <v/>
      </c>
      <c r="AB820" s="139"/>
      <c r="AC820" s="146" t="str">
        <f t="shared" si="312"/>
        <v/>
      </c>
      <c r="AD820" s="148" t="str">
        <f t="shared" si="310"/>
        <v/>
      </c>
      <c r="AE820" s="147" t="str">
        <f t="shared" si="303"/>
        <v/>
      </c>
      <c r="AF820" s="111" t="str">
        <f t="shared" si="304"/>
        <v/>
      </c>
      <c r="AG820" s="111" t="str">
        <f t="shared" si="305"/>
        <v/>
      </c>
      <c r="AH820" s="112" t="str">
        <f t="shared" si="306"/>
        <v/>
      </c>
      <c r="AI820" t="str">
        <f t="shared" si="311"/>
        <v/>
      </c>
      <c r="AJ820" t="str">
        <f t="shared" si="313"/>
        <v/>
      </c>
    </row>
    <row r="821" spans="1:36" ht="15" customHeight="1" x14ac:dyDescent="0.25">
      <c r="A821" s="114"/>
      <c r="B821" s="116"/>
      <c r="C821" s="116"/>
      <c r="D821" s="42" t="str">
        <f t="shared" si="290"/>
        <v/>
      </c>
      <c r="E821" s="43"/>
      <c r="F821" s="118"/>
      <c r="G821" s="44" t="str">
        <f t="shared" si="291"/>
        <v/>
      </c>
      <c r="H821" s="118"/>
      <c r="I821" s="34" t="str">
        <f t="shared" si="292"/>
        <v/>
      </c>
      <c r="J821" s="118"/>
      <c r="K821" s="34" t="str">
        <f t="shared" si="293"/>
        <v/>
      </c>
      <c r="L821" s="118"/>
      <c r="M821" s="121"/>
      <c r="N821" s="122" t="str">
        <f t="shared" si="294"/>
        <v/>
      </c>
      <c r="O821" s="35" t="str">
        <f t="shared" si="295"/>
        <v/>
      </c>
      <c r="P821" s="124"/>
      <c r="Q821" s="36" t="str">
        <f t="shared" si="307"/>
        <v/>
      </c>
      <c r="R821" s="46" t="str">
        <f t="shared" si="296"/>
        <v/>
      </c>
      <c r="S821" s="38" t="str">
        <f t="shared" si="297"/>
        <v/>
      </c>
      <c r="T821" s="39" t="str">
        <f t="shared" si="298"/>
        <v/>
      </c>
      <c r="U821" s="40" t="str">
        <f t="shared" si="299"/>
        <v/>
      </c>
      <c r="V821" s="39" t="str">
        <f t="shared" si="300"/>
        <v/>
      </c>
      <c r="W821" s="34" t="str">
        <f t="shared" si="301"/>
        <v/>
      </c>
      <c r="X821" s="41" t="str">
        <f t="shared" si="308"/>
        <v/>
      </c>
      <c r="Y821" s="98" t="str">
        <f t="shared" si="302"/>
        <v/>
      </c>
      <c r="Z821" s="16" t="str">
        <f t="shared" si="309"/>
        <v/>
      </c>
      <c r="AB821" s="139"/>
      <c r="AC821" s="146" t="str">
        <f t="shared" si="312"/>
        <v/>
      </c>
      <c r="AD821" s="148" t="str">
        <f t="shared" si="310"/>
        <v/>
      </c>
      <c r="AE821" s="147" t="str">
        <f t="shared" si="303"/>
        <v/>
      </c>
      <c r="AF821" s="111" t="str">
        <f t="shared" si="304"/>
        <v/>
      </c>
      <c r="AG821" s="111" t="str">
        <f t="shared" si="305"/>
        <v/>
      </c>
      <c r="AH821" s="112" t="str">
        <f t="shared" si="306"/>
        <v/>
      </c>
      <c r="AI821" t="str">
        <f t="shared" si="311"/>
        <v/>
      </c>
      <c r="AJ821" t="str">
        <f t="shared" si="313"/>
        <v/>
      </c>
    </row>
    <row r="822" spans="1:36" ht="15" customHeight="1" x14ac:dyDescent="0.25">
      <c r="A822" s="114"/>
      <c r="B822" s="116"/>
      <c r="C822" s="116"/>
      <c r="D822" s="42" t="str">
        <f t="shared" si="290"/>
        <v/>
      </c>
      <c r="E822" s="43"/>
      <c r="F822" s="118"/>
      <c r="G822" s="44" t="str">
        <f t="shared" si="291"/>
        <v/>
      </c>
      <c r="H822" s="118"/>
      <c r="I822" s="34" t="str">
        <f t="shared" si="292"/>
        <v/>
      </c>
      <c r="J822" s="118"/>
      <c r="K822" s="34" t="str">
        <f t="shared" si="293"/>
        <v/>
      </c>
      <c r="L822" s="118"/>
      <c r="M822" s="121"/>
      <c r="N822" s="122" t="str">
        <f t="shared" si="294"/>
        <v/>
      </c>
      <c r="O822" s="35" t="str">
        <f t="shared" si="295"/>
        <v/>
      </c>
      <c r="P822" s="124"/>
      <c r="Q822" s="36" t="str">
        <f t="shared" si="307"/>
        <v/>
      </c>
      <c r="R822" s="46" t="str">
        <f t="shared" si="296"/>
        <v/>
      </c>
      <c r="S822" s="38" t="str">
        <f t="shared" si="297"/>
        <v/>
      </c>
      <c r="T822" s="39" t="str">
        <f t="shared" si="298"/>
        <v/>
      </c>
      <c r="U822" s="40" t="str">
        <f t="shared" si="299"/>
        <v/>
      </c>
      <c r="V822" s="39" t="str">
        <f t="shared" si="300"/>
        <v/>
      </c>
      <c r="W822" s="34" t="str">
        <f t="shared" si="301"/>
        <v/>
      </c>
      <c r="X822" s="41" t="str">
        <f t="shared" si="308"/>
        <v/>
      </c>
      <c r="Y822" s="98" t="str">
        <f t="shared" si="302"/>
        <v/>
      </c>
      <c r="Z822" s="16" t="str">
        <f t="shared" si="309"/>
        <v/>
      </c>
      <c r="AB822" s="139"/>
      <c r="AC822" s="146" t="str">
        <f t="shared" si="312"/>
        <v/>
      </c>
      <c r="AD822" s="148" t="str">
        <f t="shared" si="310"/>
        <v/>
      </c>
      <c r="AE822" s="147" t="str">
        <f t="shared" si="303"/>
        <v/>
      </c>
      <c r="AF822" s="111" t="str">
        <f t="shared" si="304"/>
        <v/>
      </c>
      <c r="AG822" s="111" t="str">
        <f t="shared" si="305"/>
        <v/>
      </c>
      <c r="AH822" s="112" t="str">
        <f t="shared" si="306"/>
        <v/>
      </c>
      <c r="AI822" t="str">
        <f t="shared" si="311"/>
        <v/>
      </c>
      <c r="AJ822" t="str">
        <f t="shared" si="313"/>
        <v/>
      </c>
    </row>
    <row r="823" spans="1:36" ht="15" customHeight="1" x14ac:dyDescent="0.25">
      <c r="A823" s="114"/>
      <c r="B823" s="116"/>
      <c r="C823" s="116"/>
      <c r="D823" s="42" t="str">
        <f t="shared" si="290"/>
        <v/>
      </c>
      <c r="E823" s="43"/>
      <c r="F823" s="118"/>
      <c r="G823" s="44" t="str">
        <f t="shared" si="291"/>
        <v/>
      </c>
      <c r="H823" s="118"/>
      <c r="I823" s="34" t="str">
        <f t="shared" si="292"/>
        <v/>
      </c>
      <c r="J823" s="118"/>
      <c r="K823" s="34" t="str">
        <f t="shared" si="293"/>
        <v/>
      </c>
      <c r="L823" s="118"/>
      <c r="M823" s="121"/>
      <c r="N823" s="122" t="str">
        <f t="shared" si="294"/>
        <v/>
      </c>
      <c r="O823" s="35" t="str">
        <f t="shared" si="295"/>
        <v/>
      </c>
      <c r="P823" s="124"/>
      <c r="Q823" s="36" t="str">
        <f t="shared" si="307"/>
        <v/>
      </c>
      <c r="R823" s="46" t="str">
        <f t="shared" si="296"/>
        <v/>
      </c>
      <c r="S823" s="38" t="str">
        <f t="shared" si="297"/>
        <v/>
      </c>
      <c r="T823" s="39" t="str">
        <f t="shared" si="298"/>
        <v/>
      </c>
      <c r="U823" s="40" t="str">
        <f t="shared" si="299"/>
        <v/>
      </c>
      <c r="V823" s="39" t="str">
        <f t="shared" si="300"/>
        <v/>
      </c>
      <c r="W823" s="34" t="str">
        <f t="shared" si="301"/>
        <v/>
      </c>
      <c r="X823" s="41" t="str">
        <f t="shared" si="308"/>
        <v/>
      </c>
      <c r="Y823" s="98" t="str">
        <f t="shared" si="302"/>
        <v/>
      </c>
      <c r="Z823" s="16" t="str">
        <f t="shared" si="309"/>
        <v/>
      </c>
      <c r="AB823" s="139"/>
      <c r="AC823" s="146" t="str">
        <f t="shared" si="312"/>
        <v/>
      </c>
      <c r="AD823" s="148" t="str">
        <f t="shared" si="310"/>
        <v/>
      </c>
      <c r="AE823" s="147" t="str">
        <f t="shared" si="303"/>
        <v/>
      </c>
      <c r="AF823" s="111" t="str">
        <f t="shared" si="304"/>
        <v/>
      </c>
      <c r="AG823" s="111" t="str">
        <f t="shared" si="305"/>
        <v/>
      </c>
      <c r="AH823" s="112" t="str">
        <f t="shared" si="306"/>
        <v/>
      </c>
      <c r="AI823" t="str">
        <f t="shared" si="311"/>
        <v/>
      </c>
      <c r="AJ823" t="str">
        <f t="shared" si="313"/>
        <v/>
      </c>
    </row>
    <row r="824" spans="1:36" ht="15" customHeight="1" x14ac:dyDescent="0.25">
      <c r="A824" s="114"/>
      <c r="B824" s="116"/>
      <c r="C824" s="116"/>
      <c r="D824" s="42" t="str">
        <f t="shared" si="290"/>
        <v/>
      </c>
      <c r="E824" s="43"/>
      <c r="F824" s="118"/>
      <c r="G824" s="44" t="str">
        <f t="shared" si="291"/>
        <v/>
      </c>
      <c r="H824" s="118"/>
      <c r="I824" s="34" t="str">
        <f t="shared" si="292"/>
        <v/>
      </c>
      <c r="J824" s="118"/>
      <c r="K824" s="34" t="str">
        <f t="shared" si="293"/>
        <v/>
      </c>
      <c r="L824" s="118"/>
      <c r="M824" s="121"/>
      <c r="N824" s="122" t="str">
        <f t="shared" si="294"/>
        <v/>
      </c>
      <c r="O824" s="35" t="str">
        <f t="shared" si="295"/>
        <v/>
      </c>
      <c r="P824" s="124"/>
      <c r="Q824" s="36" t="str">
        <f t="shared" si="307"/>
        <v/>
      </c>
      <c r="R824" s="46" t="str">
        <f t="shared" si="296"/>
        <v/>
      </c>
      <c r="S824" s="38" t="str">
        <f t="shared" si="297"/>
        <v/>
      </c>
      <c r="T824" s="39" t="str">
        <f t="shared" si="298"/>
        <v/>
      </c>
      <c r="U824" s="40" t="str">
        <f t="shared" si="299"/>
        <v/>
      </c>
      <c r="V824" s="39" t="str">
        <f t="shared" si="300"/>
        <v/>
      </c>
      <c r="W824" s="34" t="str">
        <f t="shared" si="301"/>
        <v/>
      </c>
      <c r="X824" s="41" t="str">
        <f t="shared" si="308"/>
        <v/>
      </c>
      <c r="Y824" s="98" t="str">
        <f t="shared" si="302"/>
        <v/>
      </c>
      <c r="Z824" s="16" t="str">
        <f t="shared" si="309"/>
        <v/>
      </c>
      <c r="AB824" s="139"/>
      <c r="AC824" s="146" t="str">
        <f t="shared" si="312"/>
        <v/>
      </c>
      <c r="AD824" s="148" t="str">
        <f t="shared" si="310"/>
        <v/>
      </c>
      <c r="AE824" s="147" t="str">
        <f t="shared" si="303"/>
        <v/>
      </c>
      <c r="AF824" s="111" t="str">
        <f t="shared" si="304"/>
        <v/>
      </c>
      <c r="AG824" s="111" t="str">
        <f t="shared" si="305"/>
        <v/>
      </c>
      <c r="AH824" s="112" t="str">
        <f t="shared" si="306"/>
        <v/>
      </c>
      <c r="AI824" t="str">
        <f t="shared" si="311"/>
        <v/>
      </c>
      <c r="AJ824" t="str">
        <f t="shared" si="313"/>
        <v/>
      </c>
    </row>
    <row r="825" spans="1:36" ht="15" customHeight="1" x14ac:dyDescent="0.25">
      <c r="A825" s="114"/>
      <c r="B825" s="116"/>
      <c r="C825" s="116"/>
      <c r="D825" s="42" t="str">
        <f t="shared" si="290"/>
        <v/>
      </c>
      <c r="E825" s="43"/>
      <c r="F825" s="118"/>
      <c r="G825" s="44" t="str">
        <f t="shared" si="291"/>
        <v/>
      </c>
      <c r="H825" s="118"/>
      <c r="I825" s="34" t="str">
        <f t="shared" si="292"/>
        <v/>
      </c>
      <c r="J825" s="118"/>
      <c r="K825" s="34" t="str">
        <f t="shared" si="293"/>
        <v/>
      </c>
      <c r="L825" s="118"/>
      <c r="M825" s="121"/>
      <c r="N825" s="122" t="str">
        <f t="shared" si="294"/>
        <v/>
      </c>
      <c r="O825" s="35" t="str">
        <f t="shared" si="295"/>
        <v/>
      </c>
      <c r="P825" s="124"/>
      <c r="Q825" s="36" t="str">
        <f t="shared" si="307"/>
        <v/>
      </c>
      <c r="R825" s="46" t="str">
        <f t="shared" si="296"/>
        <v/>
      </c>
      <c r="S825" s="38" t="str">
        <f t="shared" si="297"/>
        <v/>
      </c>
      <c r="T825" s="39" t="str">
        <f t="shared" si="298"/>
        <v/>
      </c>
      <c r="U825" s="40" t="str">
        <f t="shared" si="299"/>
        <v/>
      </c>
      <c r="V825" s="39" t="str">
        <f t="shared" si="300"/>
        <v/>
      </c>
      <c r="W825" s="34" t="str">
        <f t="shared" si="301"/>
        <v/>
      </c>
      <c r="X825" s="41" t="str">
        <f t="shared" si="308"/>
        <v/>
      </c>
      <c r="Y825" s="98" t="str">
        <f t="shared" si="302"/>
        <v/>
      </c>
      <c r="Z825" s="16" t="str">
        <f t="shared" si="309"/>
        <v/>
      </c>
      <c r="AB825" s="139"/>
      <c r="AC825" s="146" t="str">
        <f t="shared" si="312"/>
        <v/>
      </c>
      <c r="AD825" s="148" t="str">
        <f t="shared" si="310"/>
        <v/>
      </c>
      <c r="AE825" s="147" t="str">
        <f t="shared" si="303"/>
        <v/>
      </c>
      <c r="AF825" s="111" t="str">
        <f t="shared" si="304"/>
        <v/>
      </c>
      <c r="AG825" s="111" t="str">
        <f t="shared" si="305"/>
        <v/>
      </c>
      <c r="AH825" s="112" t="str">
        <f t="shared" si="306"/>
        <v/>
      </c>
      <c r="AI825" t="str">
        <f t="shared" si="311"/>
        <v/>
      </c>
      <c r="AJ825" t="str">
        <f t="shared" si="313"/>
        <v/>
      </c>
    </row>
    <row r="826" spans="1:36" ht="15" customHeight="1" x14ac:dyDescent="0.25">
      <c r="A826" s="114"/>
      <c r="B826" s="116"/>
      <c r="C826" s="116"/>
      <c r="D826" s="42" t="str">
        <f t="shared" si="290"/>
        <v/>
      </c>
      <c r="E826" s="43"/>
      <c r="F826" s="118"/>
      <c r="G826" s="44" t="str">
        <f t="shared" si="291"/>
        <v/>
      </c>
      <c r="H826" s="118"/>
      <c r="I826" s="34" t="str">
        <f t="shared" si="292"/>
        <v/>
      </c>
      <c r="J826" s="118"/>
      <c r="K826" s="34" t="str">
        <f t="shared" si="293"/>
        <v/>
      </c>
      <c r="L826" s="118"/>
      <c r="M826" s="121"/>
      <c r="N826" s="122" t="str">
        <f t="shared" si="294"/>
        <v/>
      </c>
      <c r="O826" s="35" t="str">
        <f t="shared" si="295"/>
        <v/>
      </c>
      <c r="P826" s="124"/>
      <c r="Q826" s="36" t="str">
        <f t="shared" si="307"/>
        <v/>
      </c>
      <c r="R826" s="46" t="str">
        <f t="shared" si="296"/>
        <v/>
      </c>
      <c r="S826" s="38" t="str">
        <f t="shared" si="297"/>
        <v/>
      </c>
      <c r="T826" s="39" t="str">
        <f t="shared" si="298"/>
        <v/>
      </c>
      <c r="U826" s="40" t="str">
        <f t="shared" si="299"/>
        <v/>
      </c>
      <c r="V826" s="39" t="str">
        <f t="shared" si="300"/>
        <v/>
      </c>
      <c r="W826" s="34" t="str">
        <f t="shared" si="301"/>
        <v/>
      </c>
      <c r="X826" s="41" t="str">
        <f t="shared" si="308"/>
        <v/>
      </c>
      <c r="Y826" s="98" t="str">
        <f t="shared" si="302"/>
        <v/>
      </c>
      <c r="Z826" s="16" t="str">
        <f t="shared" si="309"/>
        <v/>
      </c>
      <c r="AB826" s="139"/>
      <c r="AC826" s="146" t="str">
        <f t="shared" si="312"/>
        <v/>
      </c>
      <c r="AD826" s="148" t="str">
        <f t="shared" si="310"/>
        <v/>
      </c>
      <c r="AE826" s="147" t="str">
        <f t="shared" si="303"/>
        <v/>
      </c>
      <c r="AF826" s="111" t="str">
        <f t="shared" si="304"/>
        <v/>
      </c>
      <c r="AG826" s="111" t="str">
        <f t="shared" si="305"/>
        <v/>
      </c>
      <c r="AH826" s="112" t="str">
        <f t="shared" si="306"/>
        <v/>
      </c>
      <c r="AI826" t="str">
        <f t="shared" si="311"/>
        <v/>
      </c>
      <c r="AJ826" t="str">
        <f t="shared" si="313"/>
        <v/>
      </c>
    </row>
    <row r="827" spans="1:36" ht="15" customHeight="1" x14ac:dyDescent="0.25">
      <c r="A827" s="114"/>
      <c r="B827" s="116"/>
      <c r="C827" s="116"/>
      <c r="D827" s="42" t="str">
        <f t="shared" si="290"/>
        <v/>
      </c>
      <c r="E827" s="43"/>
      <c r="F827" s="118"/>
      <c r="G827" s="44" t="str">
        <f t="shared" si="291"/>
        <v/>
      </c>
      <c r="H827" s="118"/>
      <c r="I827" s="34" t="str">
        <f t="shared" si="292"/>
        <v/>
      </c>
      <c r="J827" s="118"/>
      <c r="K827" s="34" t="str">
        <f t="shared" si="293"/>
        <v/>
      </c>
      <c r="L827" s="118"/>
      <c r="M827" s="121"/>
      <c r="N827" s="122" t="str">
        <f t="shared" si="294"/>
        <v/>
      </c>
      <c r="O827" s="35" t="str">
        <f t="shared" si="295"/>
        <v/>
      </c>
      <c r="P827" s="124"/>
      <c r="Q827" s="36" t="str">
        <f t="shared" si="307"/>
        <v/>
      </c>
      <c r="R827" s="46" t="str">
        <f t="shared" si="296"/>
        <v/>
      </c>
      <c r="S827" s="38" t="str">
        <f t="shared" si="297"/>
        <v/>
      </c>
      <c r="T827" s="39" t="str">
        <f t="shared" si="298"/>
        <v/>
      </c>
      <c r="U827" s="40" t="str">
        <f t="shared" si="299"/>
        <v/>
      </c>
      <c r="V827" s="39" t="str">
        <f t="shared" si="300"/>
        <v/>
      </c>
      <c r="W827" s="34" t="str">
        <f t="shared" si="301"/>
        <v/>
      </c>
      <c r="X827" s="41" t="str">
        <f t="shared" si="308"/>
        <v/>
      </c>
      <c r="Y827" s="98" t="str">
        <f t="shared" si="302"/>
        <v/>
      </c>
      <c r="Z827" s="16" t="str">
        <f t="shared" si="309"/>
        <v/>
      </c>
      <c r="AB827" s="139"/>
      <c r="AC827" s="146" t="str">
        <f t="shared" si="312"/>
        <v/>
      </c>
      <c r="AD827" s="148" t="str">
        <f t="shared" si="310"/>
        <v/>
      </c>
      <c r="AE827" s="147" t="str">
        <f t="shared" si="303"/>
        <v/>
      </c>
      <c r="AF827" s="111" t="str">
        <f t="shared" si="304"/>
        <v/>
      </c>
      <c r="AG827" s="111" t="str">
        <f t="shared" si="305"/>
        <v/>
      </c>
      <c r="AH827" s="112" t="str">
        <f t="shared" si="306"/>
        <v/>
      </c>
      <c r="AI827" t="str">
        <f t="shared" si="311"/>
        <v/>
      </c>
      <c r="AJ827" t="str">
        <f t="shared" si="313"/>
        <v/>
      </c>
    </row>
    <row r="828" spans="1:36" ht="15" customHeight="1" x14ac:dyDescent="0.25">
      <c r="A828" s="114"/>
      <c r="B828" s="116"/>
      <c r="C828" s="116"/>
      <c r="D828" s="42" t="str">
        <f t="shared" si="290"/>
        <v/>
      </c>
      <c r="E828" s="43"/>
      <c r="F828" s="118"/>
      <c r="G828" s="44" t="str">
        <f t="shared" si="291"/>
        <v/>
      </c>
      <c r="H828" s="118"/>
      <c r="I828" s="34" t="str">
        <f t="shared" si="292"/>
        <v/>
      </c>
      <c r="J828" s="118"/>
      <c r="K828" s="34" t="str">
        <f t="shared" si="293"/>
        <v/>
      </c>
      <c r="L828" s="118"/>
      <c r="M828" s="121"/>
      <c r="N828" s="122" t="str">
        <f t="shared" si="294"/>
        <v/>
      </c>
      <c r="O828" s="35" t="str">
        <f t="shared" si="295"/>
        <v/>
      </c>
      <c r="P828" s="124"/>
      <c r="Q828" s="36" t="str">
        <f t="shared" si="307"/>
        <v/>
      </c>
      <c r="R828" s="46" t="str">
        <f t="shared" si="296"/>
        <v/>
      </c>
      <c r="S828" s="38" t="str">
        <f t="shared" si="297"/>
        <v/>
      </c>
      <c r="T828" s="39" t="str">
        <f t="shared" si="298"/>
        <v/>
      </c>
      <c r="U828" s="40" t="str">
        <f t="shared" si="299"/>
        <v/>
      </c>
      <c r="V828" s="39" t="str">
        <f t="shared" si="300"/>
        <v/>
      </c>
      <c r="W828" s="34" t="str">
        <f t="shared" si="301"/>
        <v/>
      </c>
      <c r="X828" s="41" t="str">
        <f t="shared" si="308"/>
        <v/>
      </c>
      <c r="Y828" s="98" t="str">
        <f t="shared" si="302"/>
        <v/>
      </c>
      <c r="Z828" s="16" t="str">
        <f t="shared" si="309"/>
        <v/>
      </c>
      <c r="AB828" s="139"/>
      <c r="AC828" s="146" t="str">
        <f t="shared" si="312"/>
        <v/>
      </c>
      <c r="AD828" s="148" t="str">
        <f t="shared" si="310"/>
        <v/>
      </c>
      <c r="AE828" s="147" t="str">
        <f t="shared" si="303"/>
        <v/>
      </c>
      <c r="AF828" s="111" t="str">
        <f t="shared" si="304"/>
        <v/>
      </c>
      <c r="AG828" s="111" t="str">
        <f t="shared" si="305"/>
        <v/>
      </c>
      <c r="AH828" s="112" t="str">
        <f t="shared" si="306"/>
        <v/>
      </c>
      <c r="AI828" t="str">
        <f t="shared" si="311"/>
        <v/>
      </c>
      <c r="AJ828" t="str">
        <f t="shared" si="313"/>
        <v/>
      </c>
    </row>
    <row r="829" spans="1:36" ht="15" customHeight="1" x14ac:dyDescent="0.25">
      <c r="A829" s="114"/>
      <c r="B829" s="116"/>
      <c r="C829" s="116"/>
      <c r="D829" s="42" t="str">
        <f t="shared" si="290"/>
        <v/>
      </c>
      <c r="E829" s="43"/>
      <c r="F829" s="118"/>
      <c r="G829" s="44" t="str">
        <f t="shared" si="291"/>
        <v/>
      </c>
      <c r="H829" s="118"/>
      <c r="I829" s="34" t="str">
        <f t="shared" si="292"/>
        <v/>
      </c>
      <c r="J829" s="118"/>
      <c r="K829" s="34" t="str">
        <f t="shared" si="293"/>
        <v/>
      </c>
      <c r="L829" s="118"/>
      <c r="M829" s="121"/>
      <c r="N829" s="122" t="str">
        <f t="shared" si="294"/>
        <v/>
      </c>
      <c r="O829" s="35" t="str">
        <f t="shared" si="295"/>
        <v/>
      </c>
      <c r="P829" s="124"/>
      <c r="Q829" s="36" t="str">
        <f t="shared" si="307"/>
        <v/>
      </c>
      <c r="R829" s="46" t="str">
        <f t="shared" si="296"/>
        <v/>
      </c>
      <c r="S829" s="38" t="str">
        <f t="shared" si="297"/>
        <v/>
      </c>
      <c r="T829" s="39" t="str">
        <f t="shared" si="298"/>
        <v/>
      </c>
      <c r="U829" s="40" t="str">
        <f t="shared" si="299"/>
        <v/>
      </c>
      <c r="V829" s="39" t="str">
        <f t="shared" si="300"/>
        <v/>
      </c>
      <c r="W829" s="34" t="str">
        <f t="shared" si="301"/>
        <v/>
      </c>
      <c r="X829" s="41" t="str">
        <f t="shared" si="308"/>
        <v/>
      </c>
      <c r="Y829" s="98" t="str">
        <f t="shared" si="302"/>
        <v/>
      </c>
      <c r="Z829" s="16" t="str">
        <f t="shared" si="309"/>
        <v/>
      </c>
      <c r="AB829" s="139"/>
      <c r="AC829" s="146" t="str">
        <f t="shared" si="312"/>
        <v/>
      </c>
      <c r="AD829" s="148" t="str">
        <f t="shared" si="310"/>
        <v/>
      </c>
      <c r="AE829" s="147" t="str">
        <f t="shared" si="303"/>
        <v/>
      </c>
      <c r="AF829" s="111" t="str">
        <f t="shared" si="304"/>
        <v/>
      </c>
      <c r="AG829" s="111" t="str">
        <f t="shared" si="305"/>
        <v/>
      </c>
      <c r="AH829" s="112" t="str">
        <f t="shared" si="306"/>
        <v/>
      </c>
      <c r="AI829" t="str">
        <f t="shared" si="311"/>
        <v/>
      </c>
      <c r="AJ829" t="str">
        <f t="shared" si="313"/>
        <v/>
      </c>
    </row>
    <row r="830" spans="1:36" ht="15" customHeight="1" x14ac:dyDescent="0.25">
      <c r="A830" s="114"/>
      <c r="B830" s="116"/>
      <c r="C830" s="116"/>
      <c r="D830" s="42" t="str">
        <f t="shared" si="290"/>
        <v/>
      </c>
      <c r="E830" s="43"/>
      <c r="F830" s="118"/>
      <c r="G830" s="44" t="str">
        <f t="shared" si="291"/>
        <v/>
      </c>
      <c r="H830" s="118"/>
      <c r="I830" s="34" t="str">
        <f t="shared" si="292"/>
        <v/>
      </c>
      <c r="J830" s="118"/>
      <c r="K830" s="34" t="str">
        <f t="shared" si="293"/>
        <v/>
      </c>
      <c r="L830" s="118"/>
      <c r="M830" s="121"/>
      <c r="N830" s="122" t="str">
        <f t="shared" si="294"/>
        <v/>
      </c>
      <c r="O830" s="35" t="str">
        <f t="shared" si="295"/>
        <v/>
      </c>
      <c r="P830" s="124"/>
      <c r="Q830" s="36" t="str">
        <f t="shared" si="307"/>
        <v/>
      </c>
      <c r="R830" s="46" t="str">
        <f t="shared" si="296"/>
        <v/>
      </c>
      <c r="S830" s="38" t="str">
        <f t="shared" si="297"/>
        <v/>
      </c>
      <c r="T830" s="39" t="str">
        <f t="shared" si="298"/>
        <v/>
      </c>
      <c r="U830" s="40" t="str">
        <f t="shared" si="299"/>
        <v/>
      </c>
      <c r="V830" s="39" t="str">
        <f t="shared" si="300"/>
        <v/>
      </c>
      <c r="W830" s="34" t="str">
        <f t="shared" si="301"/>
        <v/>
      </c>
      <c r="X830" s="41" t="str">
        <f t="shared" si="308"/>
        <v/>
      </c>
      <c r="Y830" s="98" t="str">
        <f t="shared" si="302"/>
        <v/>
      </c>
      <c r="Z830" s="16" t="str">
        <f t="shared" si="309"/>
        <v/>
      </c>
      <c r="AB830" s="139"/>
      <c r="AC830" s="146" t="str">
        <f t="shared" si="312"/>
        <v/>
      </c>
      <c r="AD830" s="148" t="str">
        <f t="shared" si="310"/>
        <v/>
      </c>
      <c r="AE830" s="147" t="str">
        <f t="shared" si="303"/>
        <v/>
      </c>
      <c r="AF830" s="111" t="str">
        <f t="shared" si="304"/>
        <v/>
      </c>
      <c r="AG830" s="111" t="str">
        <f t="shared" si="305"/>
        <v/>
      </c>
      <c r="AH830" s="112" t="str">
        <f t="shared" si="306"/>
        <v/>
      </c>
      <c r="AI830" t="str">
        <f t="shared" si="311"/>
        <v/>
      </c>
      <c r="AJ830" t="str">
        <f t="shared" si="313"/>
        <v/>
      </c>
    </row>
    <row r="831" spans="1:36" ht="15" customHeight="1" x14ac:dyDescent="0.25">
      <c r="A831" s="114"/>
      <c r="B831" s="116"/>
      <c r="C831" s="116"/>
      <c r="D831" s="42" t="str">
        <f t="shared" si="290"/>
        <v/>
      </c>
      <c r="E831" s="43"/>
      <c r="F831" s="118"/>
      <c r="G831" s="44" t="str">
        <f t="shared" si="291"/>
        <v/>
      </c>
      <c r="H831" s="118"/>
      <c r="I831" s="34" t="str">
        <f t="shared" si="292"/>
        <v/>
      </c>
      <c r="J831" s="118"/>
      <c r="K831" s="34" t="str">
        <f t="shared" si="293"/>
        <v/>
      </c>
      <c r="L831" s="118"/>
      <c r="M831" s="121"/>
      <c r="N831" s="122" t="str">
        <f t="shared" si="294"/>
        <v/>
      </c>
      <c r="O831" s="35" t="str">
        <f t="shared" si="295"/>
        <v/>
      </c>
      <c r="P831" s="124"/>
      <c r="Q831" s="36" t="str">
        <f t="shared" si="307"/>
        <v/>
      </c>
      <c r="R831" s="46" t="str">
        <f t="shared" si="296"/>
        <v/>
      </c>
      <c r="S831" s="38" t="str">
        <f t="shared" si="297"/>
        <v/>
      </c>
      <c r="T831" s="39" t="str">
        <f t="shared" si="298"/>
        <v/>
      </c>
      <c r="U831" s="40" t="str">
        <f t="shared" si="299"/>
        <v/>
      </c>
      <c r="V831" s="39" t="str">
        <f t="shared" si="300"/>
        <v/>
      </c>
      <c r="W831" s="34" t="str">
        <f t="shared" si="301"/>
        <v/>
      </c>
      <c r="X831" s="41" t="str">
        <f t="shared" si="308"/>
        <v/>
      </c>
      <c r="Y831" s="98" t="str">
        <f t="shared" si="302"/>
        <v/>
      </c>
      <c r="Z831" s="16" t="str">
        <f t="shared" si="309"/>
        <v/>
      </c>
      <c r="AB831" s="139"/>
      <c r="AC831" s="146" t="str">
        <f t="shared" si="312"/>
        <v/>
      </c>
      <c r="AD831" s="148" t="str">
        <f t="shared" si="310"/>
        <v/>
      </c>
      <c r="AE831" s="147" t="str">
        <f t="shared" si="303"/>
        <v/>
      </c>
      <c r="AF831" s="111" t="str">
        <f t="shared" si="304"/>
        <v/>
      </c>
      <c r="AG831" s="111" t="str">
        <f t="shared" si="305"/>
        <v/>
      </c>
      <c r="AH831" s="112" t="str">
        <f t="shared" si="306"/>
        <v/>
      </c>
      <c r="AI831" t="str">
        <f t="shared" si="311"/>
        <v/>
      </c>
      <c r="AJ831" t="str">
        <f t="shared" si="313"/>
        <v/>
      </c>
    </row>
    <row r="832" spans="1:36" ht="15" customHeight="1" x14ac:dyDescent="0.25">
      <c r="A832" s="114"/>
      <c r="B832" s="116"/>
      <c r="C832" s="116"/>
      <c r="D832" s="42" t="str">
        <f t="shared" si="290"/>
        <v/>
      </c>
      <c r="E832" s="43"/>
      <c r="F832" s="118"/>
      <c r="G832" s="44" t="str">
        <f t="shared" si="291"/>
        <v/>
      </c>
      <c r="H832" s="118"/>
      <c r="I832" s="34" t="str">
        <f t="shared" si="292"/>
        <v/>
      </c>
      <c r="J832" s="118"/>
      <c r="K832" s="34" t="str">
        <f t="shared" si="293"/>
        <v/>
      </c>
      <c r="L832" s="118"/>
      <c r="M832" s="121"/>
      <c r="N832" s="122" t="str">
        <f t="shared" si="294"/>
        <v/>
      </c>
      <c r="O832" s="35" t="str">
        <f t="shared" si="295"/>
        <v/>
      </c>
      <c r="P832" s="124"/>
      <c r="Q832" s="36" t="str">
        <f t="shared" si="307"/>
        <v/>
      </c>
      <c r="R832" s="46" t="str">
        <f t="shared" si="296"/>
        <v/>
      </c>
      <c r="S832" s="38" t="str">
        <f t="shared" si="297"/>
        <v/>
      </c>
      <c r="T832" s="39" t="str">
        <f t="shared" si="298"/>
        <v/>
      </c>
      <c r="U832" s="40" t="str">
        <f t="shared" si="299"/>
        <v/>
      </c>
      <c r="V832" s="39" t="str">
        <f t="shared" si="300"/>
        <v/>
      </c>
      <c r="W832" s="34" t="str">
        <f t="shared" si="301"/>
        <v/>
      </c>
      <c r="X832" s="41" t="str">
        <f t="shared" si="308"/>
        <v/>
      </c>
      <c r="Y832" s="98" t="str">
        <f t="shared" si="302"/>
        <v/>
      </c>
      <c r="Z832" s="16" t="str">
        <f t="shared" si="309"/>
        <v/>
      </c>
      <c r="AB832" s="139"/>
      <c r="AC832" s="146" t="str">
        <f t="shared" si="312"/>
        <v/>
      </c>
      <c r="AD832" s="148" t="str">
        <f t="shared" si="310"/>
        <v/>
      </c>
      <c r="AE832" s="147" t="str">
        <f t="shared" si="303"/>
        <v/>
      </c>
      <c r="AF832" s="111" t="str">
        <f t="shared" si="304"/>
        <v/>
      </c>
      <c r="AG832" s="111" t="str">
        <f t="shared" si="305"/>
        <v/>
      </c>
      <c r="AH832" s="112" t="str">
        <f t="shared" si="306"/>
        <v/>
      </c>
      <c r="AI832" t="str">
        <f t="shared" si="311"/>
        <v/>
      </c>
      <c r="AJ832" t="str">
        <f t="shared" si="313"/>
        <v/>
      </c>
    </row>
    <row r="833" spans="1:36" ht="15" customHeight="1" x14ac:dyDescent="0.25">
      <c r="A833" s="114"/>
      <c r="B833" s="116"/>
      <c r="C833" s="116"/>
      <c r="D833" s="42" t="str">
        <f t="shared" si="290"/>
        <v/>
      </c>
      <c r="E833" s="43"/>
      <c r="F833" s="118"/>
      <c r="G833" s="44" t="str">
        <f t="shared" si="291"/>
        <v/>
      </c>
      <c r="H833" s="118"/>
      <c r="I833" s="34" t="str">
        <f t="shared" si="292"/>
        <v/>
      </c>
      <c r="J833" s="118"/>
      <c r="K833" s="34" t="str">
        <f t="shared" si="293"/>
        <v/>
      </c>
      <c r="L833" s="118"/>
      <c r="M833" s="121"/>
      <c r="N833" s="122" t="str">
        <f t="shared" si="294"/>
        <v/>
      </c>
      <c r="O833" s="35" t="str">
        <f t="shared" si="295"/>
        <v/>
      </c>
      <c r="P833" s="124"/>
      <c r="Q833" s="36" t="str">
        <f t="shared" si="307"/>
        <v/>
      </c>
      <c r="R833" s="46" t="str">
        <f t="shared" si="296"/>
        <v/>
      </c>
      <c r="S833" s="38" t="str">
        <f t="shared" si="297"/>
        <v/>
      </c>
      <c r="T833" s="39" t="str">
        <f t="shared" si="298"/>
        <v/>
      </c>
      <c r="U833" s="40" t="str">
        <f t="shared" si="299"/>
        <v/>
      </c>
      <c r="V833" s="39" t="str">
        <f t="shared" si="300"/>
        <v/>
      </c>
      <c r="W833" s="34" t="str">
        <f t="shared" si="301"/>
        <v/>
      </c>
      <c r="X833" s="41" t="str">
        <f t="shared" si="308"/>
        <v/>
      </c>
      <c r="Y833" s="98" t="str">
        <f t="shared" si="302"/>
        <v/>
      </c>
      <c r="Z833" s="16" t="str">
        <f t="shared" si="309"/>
        <v/>
      </c>
      <c r="AB833" s="139"/>
      <c r="AC833" s="146" t="str">
        <f t="shared" si="312"/>
        <v/>
      </c>
      <c r="AD833" s="148" t="str">
        <f t="shared" si="310"/>
        <v/>
      </c>
      <c r="AE833" s="147" t="str">
        <f t="shared" si="303"/>
        <v/>
      </c>
      <c r="AF833" s="111" t="str">
        <f t="shared" si="304"/>
        <v/>
      </c>
      <c r="AG833" s="111" t="str">
        <f t="shared" si="305"/>
        <v/>
      </c>
      <c r="AH833" s="112" t="str">
        <f t="shared" si="306"/>
        <v/>
      </c>
      <c r="AI833" t="str">
        <f t="shared" si="311"/>
        <v/>
      </c>
      <c r="AJ833" t="str">
        <f t="shared" si="313"/>
        <v/>
      </c>
    </row>
    <row r="834" spans="1:36" ht="15" customHeight="1" x14ac:dyDescent="0.25">
      <c r="A834" s="114"/>
      <c r="B834" s="116"/>
      <c r="C834" s="116"/>
      <c r="D834" s="42" t="str">
        <f t="shared" si="290"/>
        <v/>
      </c>
      <c r="E834" s="43"/>
      <c r="F834" s="118"/>
      <c r="G834" s="44" t="str">
        <f t="shared" si="291"/>
        <v/>
      </c>
      <c r="H834" s="118"/>
      <c r="I834" s="34" t="str">
        <f t="shared" si="292"/>
        <v/>
      </c>
      <c r="J834" s="118"/>
      <c r="K834" s="34" t="str">
        <f t="shared" si="293"/>
        <v/>
      </c>
      <c r="L834" s="118"/>
      <c r="M834" s="121"/>
      <c r="N834" s="122" t="str">
        <f t="shared" si="294"/>
        <v/>
      </c>
      <c r="O834" s="35" t="str">
        <f t="shared" si="295"/>
        <v/>
      </c>
      <c r="P834" s="124"/>
      <c r="Q834" s="36" t="str">
        <f t="shared" si="307"/>
        <v/>
      </c>
      <c r="R834" s="46" t="str">
        <f t="shared" si="296"/>
        <v/>
      </c>
      <c r="S834" s="38" t="str">
        <f t="shared" si="297"/>
        <v/>
      </c>
      <c r="T834" s="39" t="str">
        <f t="shared" si="298"/>
        <v/>
      </c>
      <c r="U834" s="40" t="str">
        <f t="shared" si="299"/>
        <v/>
      </c>
      <c r="V834" s="39" t="str">
        <f t="shared" si="300"/>
        <v/>
      </c>
      <c r="W834" s="34" t="str">
        <f t="shared" si="301"/>
        <v/>
      </c>
      <c r="X834" s="41" t="str">
        <f t="shared" si="308"/>
        <v/>
      </c>
      <c r="Y834" s="98" t="str">
        <f t="shared" si="302"/>
        <v/>
      </c>
      <c r="Z834" s="16" t="str">
        <f t="shared" si="309"/>
        <v/>
      </c>
      <c r="AB834" s="139"/>
      <c r="AC834" s="146" t="str">
        <f t="shared" si="312"/>
        <v/>
      </c>
      <c r="AD834" s="148" t="str">
        <f t="shared" si="310"/>
        <v/>
      </c>
      <c r="AE834" s="147" t="str">
        <f t="shared" si="303"/>
        <v/>
      </c>
      <c r="AF834" s="111" t="str">
        <f t="shared" si="304"/>
        <v/>
      </c>
      <c r="AG834" s="111" t="str">
        <f t="shared" si="305"/>
        <v/>
      </c>
      <c r="AH834" s="112" t="str">
        <f t="shared" si="306"/>
        <v/>
      </c>
      <c r="AI834" t="str">
        <f t="shared" si="311"/>
        <v/>
      </c>
      <c r="AJ834" t="str">
        <f t="shared" si="313"/>
        <v/>
      </c>
    </row>
    <row r="835" spans="1:36" ht="15" customHeight="1" x14ac:dyDescent="0.25">
      <c r="A835" s="114"/>
      <c r="B835" s="116"/>
      <c r="C835" s="116"/>
      <c r="D835" s="42" t="str">
        <f t="shared" si="290"/>
        <v/>
      </c>
      <c r="E835" s="43"/>
      <c r="F835" s="118"/>
      <c r="G835" s="44" t="str">
        <f t="shared" si="291"/>
        <v/>
      </c>
      <c r="H835" s="118"/>
      <c r="I835" s="34" t="str">
        <f t="shared" si="292"/>
        <v/>
      </c>
      <c r="J835" s="118"/>
      <c r="K835" s="34" t="str">
        <f t="shared" si="293"/>
        <v/>
      </c>
      <c r="L835" s="118"/>
      <c r="M835" s="121"/>
      <c r="N835" s="122" t="str">
        <f t="shared" si="294"/>
        <v/>
      </c>
      <c r="O835" s="35" t="str">
        <f t="shared" si="295"/>
        <v/>
      </c>
      <c r="P835" s="124"/>
      <c r="Q835" s="36" t="str">
        <f t="shared" si="307"/>
        <v/>
      </c>
      <c r="R835" s="46" t="str">
        <f t="shared" si="296"/>
        <v/>
      </c>
      <c r="S835" s="38" t="str">
        <f t="shared" si="297"/>
        <v/>
      </c>
      <c r="T835" s="39" t="str">
        <f t="shared" si="298"/>
        <v/>
      </c>
      <c r="U835" s="40" t="str">
        <f t="shared" si="299"/>
        <v/>
      </c>
      <c r="V835" s="39" t="str">
        <f t="shared" si="300"/>
        <v/>
      </c>
      <c r="W835" s="34" t="str">
        <f t="shared" si="301"/>
        <v/>
      </c>
      <c r="X835" s="41" t="str">
        <f t="shared" si="308"/>
        <v/>
      </c>
      <c r="Y835" s="98" t="str">
        <f t="shared" si="302"/>
        <v/>
      </c>
      <c r="Z835" s="16" t="str">
        <f t="shared" si="309"/>
        <v/>
      </c>
      <c r="AB835" s="139"/>
      <c r="AC835" s="146" t="str">
        <f t="shared" si="312"/>
        <v/>
      </c>
      <c r="AD835" s="148" t="str">
        <f t="shared" si="310"/>
        <v/>
      </c>
      <c r="AE835" s="147" t="str">
        <f t="shared" si="303"/>
        <v/>
      </c>
      <c r="AF835" s="111" t="str">
        <f t="shared" si="304"/>
        <v/>
      </c>
      <c r="AG835" s="111" t="str">
        <f t="shared" si="305"/>
        <v/>
      </c>
      <c r="AH835" s="112" t="str">
        <f t="shared" si="306"/>
        <v/>
      </c>
      <c r="AI835" t="str">
        <f t="shared" si="311"/>
        <v/>
      </c>
      <c r="AJ835" t="str">
        <f t="shared" si="313"/>
        <v/>
      </c>
    </row>
    <row r="836" spans="1:36" ht="15" customHeight="1" x14ac:dyDescent="0.25">
      <c r="A836" s="114"/>
      <c r="B836" s="116"/>
      <c r="C836" s="116"/>
      <c r="D836" s="42" t="str">
        <f t="shared" si="290"/>
        <v/>
      </c>
      <c r="E836" s="43"/>
      <c r="F836" s="118"/>
      <c r="G836" s="44" t="str">
        <f t="shared" si="291"/>
        <v/>
      </c>
      <c r="H836" s="118"/>
      <c r="I836" s="34" t="str">
        <f t="shared" si="292"/>
        <v/>
      </c>
      <c r="J836" s="118"/>
      <c r="K836" s="34" t="str">
        <f t="shared" si="293"/>
        <v/>
      </c>
      <c r="L836" s="118"/>
      <c r="M836" s="121"/>
      <c r="N836" s="122" t="str">
        <f t="shared" si="294"/>
        <v/>
      </c>
      <c r="O836" s="35" t="str">
        <f t="shared" si="295"/>
        <v/>
      </c>
      <c r="P836" s="124"/>
      <c r="Q836" s="36" t="str">
        <f t="shared" si="307"/>
        <v/>
      </c>
      <c r="R836" s="46" t="str">
        <f t="shared" si="296"/>
        <v/>
      </c>
      <c r="S836" s="38" t="str">
        <f t="shared" si="297"/>
        <v/>
      </c>
      <c r="T836" s="39" t="str">
        <f t="shared" si="298"/>
        <v/>
      </c>
      <c r="U836" s="40" t="str">
        <f t="shared" si="299"/>
        <v/>
      </c>
      <c r="V836" s="39" t="str">
        <f t="shared" si="300"/>
        <v/>
      </c>
      <c r="W836" s="34" t="str">
        <f t="shared" si="301"/>
        <v/>
      </c>
      <c r="X836" s="41" t="str">
        <f t="shared" si="308"/>
        <v/>
      </c>
      <c r="Y836" s="98" t="str">
        <f t="shared" si="302"/>
        <v/>
      </c>
      <c r="Z836" s="16" t="str">
        <f t="shared" si="309"/>
        <v/>
      </c>
      <c r="AB836" s="139"/>
      <c r="AC836" s="146" t="str">
        <f t="shared" si="312"/>
        <v/>
      </c>
      <c r="AD836" s="148" t="str">
        <f t="shared" si="310"/>
        <v/>
      </c>
      <c r="AE836" s="147" t="str">
        <f t="shared" si="303"/>
        <v/>
      </c>
      <c r="AF836" s="111" t="str">
        <f t="shared" si="304"/>
        <v/>
      </c>
      <c r="AG836" s="111" t="str">
        <f t="shared" si="305"/>
        <v/>
      </c>
      <c r="AH836" s="112" t="str">
        <f t="shared" si="306"/>
        <v/>
      </c>
      <c r="AI836" t="str">
        <f t="shared" si="311"/>
        <v/>
      </c>
      <c r="AJ836" t="str">
        <f t="shared" si="313"/>
        <v/>
      </c>
    </row>
    <row r="837" spans="1:36" ht="15" customHeight="1" x14ac:dyDescent="0.25">
      <c r="A837" s="114"/>
      <c r="B837" s="116"/>
      <c r="C837" s="116"/>
      <c r="D837" s="42" t="str">
        <f t="shared" si="290"/>
        <v/>
      </c>
      <c r="E837" s="43"/>
      <c r="F837" s="118"/>
      <c r="G837" s="44" t="str">
        <f t="shared" si="291"/>
        <v/>
      </c>
      <c r="H837" s="118"/>
      <c r="I837" s="34" t="str">
        <f t="shared" si="292"/>
        <v/>
      </c>
      <c r="J837" s="118"/>
      <c r="K837" s="34" t="str">
        <f t="shared" si="293"/>
        <v/>
      </c>
      <c r="L837" s="118"/>
      <c r="M837" s="121"/>
      <c r="N837" s="122" t="str">
        <f t="shared" si="294"/>
        <v/>
      </c>
      <c r="O837" s="35" t="str">
        <f t="shared" si="295"/>
        <v/>
      </c>
      <c r="P837" s="124"/>
      <c r="Q837" s="36" t="str">
        <f t="shared" si="307"/>
        <v/>
      </c>
      <c r="R837" s="46" t="str">
        <f t="shared" si="296"/>
        <v/>
      </c>
      <c r="S837" s="38" t="str">
        <f t="shared" si="297"/>
        <v/>
      </c>
      <c r="T837" s="39" t="str">
        <f t="shared" si="298"/>
        <v/>
      </c>
      <c r="U837" s="40" t="str">
        <f t="shared" si="299"/>
        <v/>
      </c>
      <c r="V837" s="39" t="str">
        <f t="shared" si="300"/>
        <v/>
      </c>
      <c r="W837" s="34" t="str">
        <f t="shared" si="301"/>
        <v/>
      </c>
      <c r="X837" s="41" t="str">
        <f t="shared" si="308"/>
        <v/>
      </c>
      <c r="Y837" s="98" t="str">
        <f t="shared" si="302"/>
        <v/>
      </c>
      <c r="Z837" s="16" t="str">
        <f t="shared" si="309"/>
        <v/>
      </c>
      <c r="AB837" s="139"/>
      <c r="AC837" s="146" t="str">
        <f t="shared" si="312"/>
        <v/>
      </c>
      <c r="AD837" s="148" t="str">
        <f t="shared" si="310"/>
        <v/>
      </c>
      <c r="AE837" s="147" t="str">
        <f t="shared" si="303"/>
        <v/>
      </c>
      <c r="AF837" s="111" t="str">
        <f t="shared" si="304"/>
        <v/>
      </c>
      <c r="AG837" s="111" t="str">
        <f t="shared" si="305"/>
        <v/>
      </c>
      <c r="AH837" s="112" t="str">
        <f t="shared" si="306"/>
        <v/>
      </c>
      <c r="AI837" t="str">
        <f t="shared" si="311"/>
        <v/>
      </c>
      <c r="AJ837" t="str">
        <f t="shared" si="313"/>
        <v/>
      </c>
    </row>
    <row r="838" spans="1:36" ht="15" customHeight="1" x14ac:dyDescent="0.25">
      <c r="A838" s="114"/>
      <c r="B838" s="116"/>
      <c r="C838" s="116"/>
      <c r="D838" s="42" t="str">
        <f t="shared" si="290"/>
        <v/>
      </c>
      <c r="E838" s="43"/>
      <c r="F838" s="118"/>
      <c r="G838" s="44" t="str">
        <f t="shared" si="291"/>
        <v/>
      </c>
      <c r="H838" s="118"/>
      <c r="I838" s="34" t="str">
        <f t="shared" si="292"/>
        <v/>
      </c>
      <c r="J838" s="118"/>
      <c r="K838" s="34" t="str">
        <f t="shared" si="293"/>
        <v/>
      </c>
      <c r="L838" s="118"/>
      <c r="M838" s="121"/>
      <c r="N838" s="122" t="str">
        <f t="shared" si="294"/>
        <v/>
      </c>
      <c r="O838" s="35" t="str">
        <f t="shared" si="295"/>
        <v/>
      </c>
      <c r="P838" s="124"/>
      <c r="Q838" s="36" t="str">
        <f t="shared" si="307"/>
        <v/>
      </c>
      <c r="R838" s="46" t="str">
        <f t="shared" si="296"/>
        <v/>
      </c>
      <c r="S838" s="38" t="str">
        <f t="shared" si="297"/>
        <v/>
      </c>
      <c r="T838" s="39" t="str">
        <f t="shared" si="298"/>
        <v/>
      </c>
      <c r="U838" s="40" t="str">
        <f t="shared" si="299"/>
        <v/>
      </c>
      <c r="V838" s="39" t="str">
        <f t="shared" si="300"/>
        <v/>
      </c>
      <c r="W838" s="34" t="str">
        <f t="shared" si="301"/>
        <v/>
      </c>
      <c r="X838" s="41" t="str">
        <f t="shared" si="308"/>
        <v/>
      </c>
      <c r="Y838" s="98" t="str">
        <f t="shared" si="302"/>
        <v/>
      </c>
      <c r="Z838" s="16" t="str">
        <f t="shared" si="309"/>
        <v/>
      </c>
      <c r="AB838" s="139"/>
      <c r="AC838" s="146" t="str">
        <f t="shared" si="312"/>
        <v/>
      </c>
      <c r="AD838" s="148" t="str">
        <f t="shared" si="310"/>
        <v/>
      </c>
      <c r="AE838" s="147" t="str">
        <f t="shared" si="303"/>
        <v/>
      </c>
      <c r="AF838" s="111" t="str">
        <f t="shared" si="304"/>
        <v/>
      </c>
      <c r="AG838" s="111" t="str">
        <f t="shared" si="305"/>
        <v/>
      </c>
      <c r="AH838" s="112" t="str">
        <f t="shared" si="306"/>
        <v/>
      </c>
      <c r="AI838" t="str">
        <f t="shared" si="311"/>
        <v/>
      </c>
      <c r="AJ838" t="str">
        <f t="shared" si="313"/>
        <v/>
      </c>
    </row>
    <row r="839" spans="1:36" ht="15" customHeight="1" x14ac:dyDescent="0.25">
      <c r="A839" s="114"/>
      <c r="B839" s="116"/>
      <c r="C839" s="116"/>
      <c r="D839" s="42" t="str">
        <f t="shared" si="290"/>
        <v/>
      </c>
      <c r="E839" s="43"/>
      <c r="F839" s="118"/>
      <c r="G839" s="44" t="str">
        <f t="shared" si="291"/>
        <v/>
      </c>
      <c r="H839" s="118"/>
      <c r="I839" s="34" t="str">
        <f t="shared" si="292"/>
        <v/>
      </c>
      <c r="J839" s="118"/>
      <c r="K839" s="34" t="str">
        <f t="shared" si="293"/>
        <v/>
      </c>
      <c r="L839" s="118"/>
      <c r="M839" s="121"/>
      <c r="N839" s="122" t="str">
        <f t="shared" si="294"/>
        <v/>
      </c>
      <c r="O839" s="35" t="str">
        <f t="shared" si="295"/>
        <v/>
      </c>
      <c r="P839" s="124"/>
      <c r="Q839" s="36" t="str">
        <f t="shared" si="307"/>
        <v/>
      </c>
      <c r="R839" s="46" t="str">
        <f t="shared" si="296"/>
        <v/>
      </c>
      <c r="S839" s="38" t="str">
        <f t="shared" si="297"/>
        <v/>
      </c>
      <c r="T839" s="39" t="str">
        <f t="shared" si="298"/>
        <v/>
      </c>
      <c r="U839" s="40" t="str">
        <f t="shared" si="299"/>
        <v/>
      </c>
      <c r="V839" s="39" t="str">
        <f t="shared" si="300"/>
        <v/>
      </c>
      <c r="W839" s="34" t="str">
        <f t="shared" si="301"/>
        <v/>
      </c>
      <c r="X839" s="41" t="str">
        <f t="shared" si="308"/>
        <v/>
      </c>
      <c r="Y839" s="98" t="str">
        <f t="shared" si="302"/>
        <v/>
      </c>
      <c r="Z839" s="16" t="str">
        <f t="shared" si="309"/>
        <v/>
      </c>
      <c r="AB839" s="139"/>
      <c r="AC839" s="146" t="str">
        <f t="shared" si="312"/>
        <v/>
      </c>
      <c r="AD839" s="148" t="str">
        <f t="shared" si="310"/>
        <v/>
      </c>
      <c r="AE839" s="147" t="str">
        <f t="shared" si="303"/>
        <v/>
      </c>
      <c r="AF839" s="111" t="str">
        <f t="shared" si="304"/>
        <v/>
      </c>
      <c r="AG839" s="111" t="str">
        <f t="shared" si="305"/>
        <v/>
      </c>
      <c r="AH839" s="112" t="str">
        <f t="shared" si="306"/>
        <v/>
      </c>
      <c r="AI839" t="str">
        <f t="shared" si="311"/>
        <v/>
      </c>
      <c r="AJ839" t="str">
        <f t="shared" si="313"/>
        <v/>
      </c>
    </row>
    <row r="840" spans="1:36" ht="15" customHeight="1" x14ac:dyDescent="0.25">
      <c r="A840" s="114"/>
      <c r="B840" s="116"/>
      <c r="C840" s="116"/>
      <c r="D840" s="42" t="str">
        <f t="shared" ref="D840:D903" si="314">IF(A840="","",B840*C840)</f>
        <v/>
      </c>
      <c r="E840" s="43"/>
      <c r="F840" s="118"/>
      <c r="G840" s="44" t="str">
        <f t="shared" ref="G840:G903" si="315">IF(A840="","",F840*B840)</f>
        <v/>
      </c>
      <c r="H840" s="118"/>
      <c r="I840" s="34" t="str">
        <f t="shared" ref="I840:I903" si="316">IF(OR(H840=0,C840=0,H840="",C840=""),"",H840/C840)</f>
        <v/>
      </c>
      <c r="J840" s="118"/>
      <c r="K840" s="34" t="str">
        <f t="shared" ref="K840:K903" si="317">IF(OR(J840=0,C840=0,J840="",C840=""),"",J840/C840)</f>
        <v/>
      </c>
      <c r="L840" s="118"/>
      <c r="M840" s="121"/>
      <c r="N840" s="122" t="str">
        <f t="shared" ref="N840:N903" si="318">IF(A840="","",IF(P840&gt;0,IF(G840&gt;0,P840/G840,0),IF(E840&gt;0,0,IF($I$3&gt;0,IF($I$4&gt;0,MAX($I$3-SUM($P$8:$P$1007),0)/$I$4,0),$I$2))))</f>
        <v/>
      </c>
      <c r="O840" s="35" t="str">
        <f t="shared" ref="O840:O903" si="319">IF(A840="","",IF(P840&gt;0,P840,IF(E840&gt;0,0,G840*IF($I$3&gt;0,IF($I$4&gt;0,MAX($I$3-SUM($P$8:$P$1007),0)/$I$4,0),$I$2))))</f>
        <v/>
      </c>
      <c r="P840" s="124"/>
      <c r="Q840" s="36" t="str">
        <f t="shared" si="307"/>
        <v/>
      </c>
      <c r="R840" s="46" t="str">
        <f t="shared" ref="R840:R903" si="320">IF(OR(A840="",Q840=""),"",Q840*C840)</f>
        <v/>
      </c>
      <c r="S840" s="38" t="str">
        <f t="shared" ref="S840:S903" si="321">IF(OR(A840="",H840&lt;=0,R840=""),"",(H840-R840)/H840)</f>
        <v/>
      </c>
      <c r="T840" s="39" t="str">
        <f t="shared" ref="T840:T903" si="322">IF(OR(H840=0,R840=0,H840="",R840=""),"",H840-R840)</f>
        <v/>
      </c>
      <c r="U840" s="40" t="str">
        <f t="shared" ref="U840:U903" si="323">IF(OR(A840="",J840&lt;=0,R840=""),"",(J840-R840)/J840)</f>
        <v/>
      </c>
      <c r="V840" s="39" t="str">
        <f t="shared" ref="V840:V903" si="324">IF(OR(J840=0,R840=0,J840="",R840=""),"",J840-R840)</f>
        <v/>
      </c>
      <c r="W840" s="34" t="str">
        <f t="shared" ref="W840:W903" si="325">IF(OR(G840="",G840=0,$M$5="",$K$3=0),"",($M$5/$K$3)*G840)</f>
        <v/>
      </c>
      <c r="X840" s="41" t="str">
        <f t="shared" si="308"/>
        <v/>
      </c>
      <c r="Y840" s="98" t="str">
        <f t="shared" ref="Y840:Y903" si="326">IF(OR(Q840=0,Q840="",D840=0,D840=""),"",Q840*(D840+E840))</f>
        <v/>
      </c>
      <c r="Z840" s="16" t="str">
        <f t="shared" si="309"/>
        <v/>
      </c>
      <c r="AB840" s="139"/>
      <c r="AC840" s="146" t="str">
        <f t="shared" si="312"/>
        <v/>
      </c>
      <c r="AD840" s="148" t="str">
        <f t="shared" si="310"/>
        <v/>
      </c>
      <c r="AE840" s="147" t="str">
        <f t="shared" ref="AE840:AE903" si="327">IF(AD840="","",AD840*$AC$1+IF(SUM($AD$8:$AD$1007)=0,0,$AC$2*AD840/SUM($AD$8:$AD$1007)))</f>
        <v/>
      </c>
      <c r="AF840" s="111" t="str">
        <f t="shared" ref="AF840:AF903" si="328">IF(AD840="","",AD840-AE840)</f>
        <v/>
      </c>
      <c r="AG840" s="111" t="str">
        <f t="shared" ref="AG840:AG903" si="329">IF(AF840="","",AH840-AF840)</f>
        <v/>
      </c>
      <c r="AH840" s="112" t="str">
        <f t="shared" ref="AH840:AH903" si="330">IF(AF840="","",ROUND(AF840,0))</f>
        <v/>
      </c>
      <c r="AI840" t="str">
        <f t="shared" si="311"/>
        <v/>
      </c>
      <c r="AJ840" t="str">
        <f t="shared" si="313"/>
        <v/>
      </c>
    </row>
    <row r="841" spans="1:36" ht="15" customHeight="1" x14ac:dyDescent="0.25">
      <c r="A841" s="114"/>
      <c r="B841" s="116"/>
      <c r="C841" s="116"/>
      <c r="D841" s="42" t="str">
        <f t="shared" si="314"/>
        <v/>
      </c>
      <c r="E841" s="43"/>
      <c r="F841" s="118"/>
      <c r="G841" s="44" t="str">
        <f t="shared" si="315"/>
        <v/>
      </c>
      <c r="H841" s="118"/>
      <c r="I841" s="34" t="str">
        <f t="shared" si="316"/>
        <v/>
      </c>
      <c r="J841" s="118"/>
      <c r="K841" s="34" t="str">
        <f t="shared" si="317"/>
        <v/>
      </c>
      <c r="L841" s="118"/>
      <c r="M841" s="121"/>
      <c r="N841" s="122" t="str">
        <f t="shared" si="318"/>
        <v/>
      </c>
      <c r="O841" s="35" t="str">
        <f t="shared" si="319"/>
        <v/>
      </c>
      <c r="P841" s="124"/>
      <c r="Q841" s="36" t="str">
        <f t="shared" ref="Q841:Q904" si="331">IF(A841="","",IF(OR(B841=0,B841="",C841&lt;=0,D841+E841&lt;=0),"",(G841-O841)/(D841+E841)-IF(W841&gt;=0,W841/D841,0)+IF(ISNUMBER(X841),X841/(D841+E841),0)))</f>
        <v/>
      </c>
      <c r="R841" s="46" t="str">
        <f t="shared" si="320"/>
        <v/>
      </c>
      <c r="S841" s="38" t="str">
        <f t="shared" si="321"/>
        <v/>
      </c>
      <c r="T841" s="39" t="str">
        <f t="shared" si="322"/>
        <v/>
      </c>
      <c r="U841" s="40" t="str">
        <f t="shared" si="323"/>
        <v/>
      </c>
      <c r="V841" s="39" t="str">
        <f t="shared" si="324"/>
        <v/>
      </c>
      <c r="W841" s="34" t="str">
        <f t="shared" si="325"/>
        <v/>
      </c>
      <c r="X841" s="41" t="str">
        <f t="shared" ref="X841:X904" si="332">IF(OR(G841="",G841=0,($K$3-$K$2)=0),"",($I$1/($K$3-$K$2))*(G841-O841))</f>
        <v/>
      </c>
      <c r="Y841" s="98" t="str">
        <f t="shared" si="326"/>
        <v/>
      </c>
      <c r="Z841" s="16" t="str">
        <f t="shared" ref="Z841:Z904" si="333">IF(OR(B841=0,B841=""),"",G841)</f>
        <v/>
      </c>
      <c r="AB841" s="139"/>
      <c r="AC841" s="146" t="str">
        <f t="shared" si="312"/>
        <v/>
      </c>
      <c r="AD841" s="148" t="str">
        <f t="shared" ref="AD841:AD904" si="334">IF(OR(AB841="",AC841=""),"",AB841*AC841)</f>
        <v/>
      </c>
      <c r="AE841" s="147" t="str">
        <f t="shared" si="327"/>
        <v/>
      </c>
      <c r="AF841" s="111" t="str">
        <f t="shared" si="328"/>
        <v/>
      </c>
      <c r="AG841" s="111" t="str">
        <f t="shared" si="329"/>
        <v/>
      </c>
      <c r="AH841" s="112" t="str">
        <f t="shared" si="330"/>
        <v/>
      </c>
      <c r="AI841" t="str">
        <f t="shared" ref="AI841:AI904" si="335">IF(OR(AB841=0,AB841=""),"",AE841/AB841)</f>
        <v/>
      </c>
      <c r="AJ841" t="str">
        <f t="shared" si="313"/>
        <v/>
      </c>
    </row>
    <row r="842" spans="1:36" ht="15" customHeight="1" x14ac:dyDescent="0.25">
      <c r="A842" s="114"/>
      <c r="B842" s="116"/>
      <c r="C842" s="116"/>
      <c r="D842" s="42" t="str">
        <f t="shared" si="314"/>
        <v/>
      </c>
      <c r="E842" s="43"/>
      <c r="F842" s="118"/>
      <c r="G842" s="44" t="str">
        <f t="shared" si="315"/>
        <v/>
      </c>
      <c r="H842" s="118"/>
      <c r="I842" s="34" t="str">
        <f t="shared" si="316"/>
        <v/>
      </c>
      <c r="J842" s="118"/>
      <c r="K842" s="34" t="str">
        <f t="shared" si="317"/>
        <v/>
      </c>
      <c r="L842" s="118"/>
      <c r="M842" s="121"/>
      <c r="N842" s="122" t="str">
        <f t="shared" si="318"/>
        <v/>
      </c>
      <c r="O842" s="35" t="str">
        <f t="shared" si="319"/>
        <v/>
      </c>
      <c r="P842" s="124"/>
      <c r="Q842" s="36" t="str">
        <f t="shared" si="331"/>
        <v/>
      </c>
      <c r="R842" s="46" t="str">
        <f t="shared" si="320"/>
        <v/>
      </c>
      <c r="S842" s="38" t="str">
        <f t="shared" si="321"/>
        <v/>
      </c>
      <c r="T842" s="39" t="str">
        <f t="shared" si="322"/>
        <v/>
      </c>
      <c r="U842" s="40" t="str">
        <f t="shared" si="323"/>
        <v/>
      </c>
      <c r="V842" s="39" t="str">
        <f t="shared" si="324"/>
        <v/>
      </c>
      <c r="W842" s="34" t="str">
        <f t="shared" si="325"/>
        <v/>
      </c>
      <c r="X842" s="41" t="str">
        <f t="shared" si="332"/>
        <v/>
      </c>
      <c r="Y842" s="98" t="str">
        <f t="shared" si="326"/>
        <v/>
      </c>
      <c r="Z842" s="16" t="str">
        <f t="shared" si="333"/>
        <v/>
      </c>
      <c r="AB842" s="139"/>
      <c r="AC842" s="146" t="str">
        <f t="shared" si="312"/>
        <v/>
      </c>
      <c r="AD842" s="148" t="str">
        <f t="shared" si="334"/>
        <v/>
      </c>
      <c r="AE842" s="147" t="str">
        <f t="shared" si="327"/>
        <v/>
      </c>
      <c r="AF842" s="111" t="str">
        <f t="shared" si="328"/>
        <v/>
      </c>
      <c r="AG842" s="111" t="str">
        <f t="shared" si="329"/>
        <v/>
      </c>
      <c r="AH842" s="112" t="str">
        <f t="shared" si="330"/>
        <v/>
      </c>
      <c r="AI842" t="str">
        <f t="shared" si="335"/>
        <v/>
      </c>
      <c r="AJ842" t="str">
        <f t="shared" si="313"/>
        <v/>
      </c>
    </row>
    <row r="843" spans="1:36" ht="15" customHeight="1" x14ac:dyDescent="0.25">
      <c r="A843" s="114"/>
      <c r="B843" s="116"/>
      <c r="C843" s="116"/>
      <c r="D843" s="42" t="str">
        <f t="shared" si="314"/>
        <v/>
      </c>
      <c r="E843" s="43"/>
      <c r="F843" s="118"/>
      <c r="G843" s="44" t="str">
        <f t="shared" si="315"/>
        <v/>
      </c>
      <c r="H843" s="118"/>
      <c r="I843" s="34" t="str">
        <f t="shared" si="316"/>
        <v/>
      </c>
      <c r="J843" s="118"/>
      <c r="K843" s="34" t="str">
        <f t="shared" si="317"/>
        <v/>
      </c>
      <c r="L843" s="118"/>
      <c r="M843" s="121"/>
      <c r="N843" s="122" t="str">
        <f t="shared" si="318"/>
        <v/>
      </c>
      <c r="O843" s="35" t="str">
        <f t="shared" si="319"/>
        <v/>
      </c>
      <c r="P843" s="124"/>
      <c r="Q843" s="36" t="str">
        <f t="shared" si="331"/>
        <v/>
      </c>
      <c r="R843" s="46" t="str">
        <f t="shared" si="320"/>
        <v/>
      </c>
      <c r="S843" s="38" t="str">
        <f t="shared" si="321"/>
        <v/>
      </c>
      <c r="T843" s="39" t="str">
        <f t="shared" si="322"/>
        <v/>
      </c>
      <c r="U843" s="40" t="str">
        <f t="shared" si="323"/>
        <v/>
      </c>
      <c r="V843" s="39" t="str">
        <f t="shared" si="324"/>
        <v/>
      </c>
      <c r="W843" s="34" t="str">
        <f t="shared" si="325"/>
        <v/>
      </c>
      <c r="X843" s="41" t="str">
        <f t="shared" si="332"/>
        <v/>
      </c>
      <c r="Y843" s="98" t="str">
        <f t="shared" si="326"/>
        <v/>
      </c>
      <c r="Z843" s="16" t="str">
        <f t="shared" si="333"/>
        <v/>
      </c>
      <c r="AB843" s="139"/>
      <c r="AC843" s="146" t="str">
        <f t="shared" si="312"/>
        <v/>
      </c>
      <c r="AD843" s="148" t="str">
        <f t="shared" si="334"/>
        <v/>
      </c>
      <c r="AE843" s="147" t="str">
        <f t="shared" si="327"/>
        <v/>
      </c>
      <c r="AF843" s="111" t="str">
        <f t="shared" si="328"/>
        <v/>
      </c>
      <c r="AG843" s="111" t="str">
        <f t="shared" si="329"/>
        <v/>
      </c>
      <c r="AH843" s="112" t="str">
        <f t="shared" si="330"/>
        <v/>
      </c>
      <c r="AI843" t="str">
        <f t="shared" si="335"/>
        <v/>
      </c>
      <c r="AJ843" t="str">
        <f t="shared" si="313"/>
        <v/>
      </c>
    </row>
    <row r="844" spans="1:36" ht="15" customHeight="1" x14ac:dyDescent="0.25">
      <c r="A844" s="114"/>
      <c r="B844" s="116"/>
      <c r="C844" s="116"/>
      <c r="D844" s="42" t="str">
        <f t="shared" si="314"/>
        <v/>
      </c>
      <c r="E844" s="43"/>
      <c r="F844" s="118"/>
      <c r="G844" s="44" t="str">
        <f t="shared" si="315"/>
        <v/>
      </c>
      <c r="H844" s="118"/>
      <c r="I844" s="34" t="str">
        <f t="shared" si="316"/>
        <v/>
      </c>
      <c r="J844" s="118"/>
      <c r="K844" s="34" t="str">
        <f t="shared" si="317"/>
        <v/>
      </c>
      <c r="L844" s="118"/>
      <c r="M844" s="121"/>
      <c r="N844" s="122" t="str">
        <f t="shared" si="318"/>
        <v/>
      </c>
      <c r="O844" s="35" t="str">
        <f t="shared" si="319"/>
        <v/>
      </c>
      <c r="P844" s="124"/>
      <c r="Q844" s="36" t="str">
        <f t="shared" si="331"/>
        <v/>
      </c>
      <c r="R844" s="46" t="str">
        <f t="shared" si="320"/>
        <v/>
      </c>
      <c r="S844" s="38" t="str">
        <f t="shared" si="321"/>
        <v/>
      </c>
      <c r="T844" s="39" t="str">
        <f t="shared" si="322"/>
        <v/>
      </c>
      <c r="U844" s="40" t="str">
        <f t="shared" si="323"/>
        <v/>
      </c>
      <c r="V844" s="39" t="str">
        <f t="shared" si="324"/>
        <v/>
      </c>
      <c r="W844" s="34" t="str">
        <f t="shared" si="325"/>
        <v/>
      </c>
      <c r="X844" s="41" t="str">
        <f t="shared" si="332"/>
        <v/>
      </c>
      <c r="Y844" s="98" t="str">
        <f t="shared" si="326"/>
        <v/>
      </c>
      <c r="Z844" s="16" t="str">
        <f t="shared" si="333"/>
        <v/>
      </c>
      <c r="AB844" s="139"/>
      <c r="AC844" s="146" t="str">
        <f t="shared" ref="AC844:AC907" si="336">IF(AB844="","",Q844)</f>
        <v/>
      </c>
      <c r="AD844" s="148" t="str">
        <f t="shared" si="334"/>
        <v/>
      </c>
      <c r="AE844" s="147" t="str">
        <f t="shared" si="327"/>
        <v/>
      </c>
      <c r="AF844" s="111" t="str">
        <f t="shared" si="328"/>
        <v/>
      </c>
      <c r="AG844" s="111" t="str">
        <f t="shared" si="329"/>
        <v/>
      </c>
      <c r="AH844" s="112" t="str">
        <f t="shared" si="330"/>
        <v/>
      </c>
      <c r="AI844" t="str">
        <f t="shared" si="335"/>
        <v/>
      </c>
      <c r="AJ844" t="str">
        <f t="shared" ref="AJ844:AJ907" si="337">IF(OR(AB844=0,AB844=""),"",AC844*C844)</f>
        <v/>
      </c>
    </row>
    <row r="845" spans="1:36" ht="15" customHeight="1" x14ac:dyDescent="0.25">
      <c r="A845" s="114"/>
      <c r="B845" s="116"/>
      <c r="C845" s="116"/>
      <c r="D845" s="42" t="str">
        <f t="shared" si="314"/>
        <v/>
      </c>
      <c r="E845" s="43"/>
      <c r="F845" s="118"/>
      <c r="G845" s="44" t="str">
        <f t="shared" si="315"/>
        <v/>
      </c>
      <c r="H845" s="118"/>
      <c r="I845" s="34" t="str">
        <f t="shared" si="316"/>
        <v/>
      </c>
      <c r="J845" s="118"/>
      <c r="K845" s="34" t="str">
        <f t="shared" si="317"/>
        <v/>
      </c>
      <c r="L845" s="118"/>
      <c r="M845" s="121"/>
      <c r="N845" s="122" t="str">
        <f t="shared" si="318"/>
        <v/>
      </c>
      <c r="O845" s="35" t="str">
        <f t="shared" si="319"/>
        <v/>
      </c>
      <c r="P845" s="124"/>
      <c r="Q845" s="36" t="str">
        <f t="shared" si="331"/>
        <v/>
      </c>
      <c r="R845" s="46" t="str">
        <f t="shared" si="320"/>
        <v/>
      </c>
      <c r="S845" s="38" t="str">
        <f t="shared" si="321"/>
        <v/>
      </c>
      <c r="T845" s="39" t="str">
        <f t="shared" si="322"/>
        <v/>
      </c>
      <c r="U845" s="40" t="str">
        <f t="shared" si="323"/>
        <v/>
      </c>
      <c r="V845" s="39" t="str">
        <f t="shared" si="324"/>
        <v/>
      </c>
      <c r="W845" s="34" t="str">
        <f t="shared" si="325"/>
        <v/>
      </c>
      <c r="X845" s="41" t="str">
        <f t="shared" si="332"/>
        <v/>
      </c>
      <c r="Y845" s="98" t="str">
        <f t="shared" si="326"/>
        <v/>
      </c>
      <c r="Z845" s="16" t="str">
        <f t="shared" si="333"/>
        <v/>
      </c>
      <c r="AB845" s="139"/>
      <c r="AC845" s="146" t="str">
        <f t="shared" si="336"/>
        <v/>
      </c>
      <c r="AD845" s="148" t="str">
        <f t="shared" si="334"/>
        <v/>
      </c>
      <c r="AE845" s="147" t="str">
        <f t="shared" si="327"/>
        <v/>
      </c>
      <c r="AF845" s="111" t="str">
        <f t="shared" si="328"/>
        <v/>
      </c>
      <c r="AG845" s="111" t="str">
        <f t="shared" si="329"/>
        <v/>
      </c>
      <c r="AH845" s="112" t="str">
        <f t="shared" si="330"/>
        <v/>
      </c>
      <c r="AI845" t="str">
        <f t="shared" si="335"/>
        <v/>
      </c>
      <c r="AJ845" t="str">
        <f t="shared" si="337"/>
        <v/>
      </c>
    </row>
    <row r="846" spans="1:36" ht="15" customHeight="1" x14ac:dyDescent="0.25">
      <c r="A846" s="114"/>
      <c r="B846" s="116"/>
      <c r="C846" s="116"/>
      <c r="D846" s="42" t="str">
        <f t="shared" si="314"/>
        <v/>
      </c>
      <c r="E846" s="43"/>
      <c r="F846" s="118"/>
      <c r="G846" s="44" t="str">
        <f t="shared" si="315"/>
        <v/>
      </c>
      <c r="H846" s="118"/>
      <c r="I846" s="34" t="str">
        <f t="shared" si="316"/>
        <v/>
      </c>
      <c r="J846" s="118"/>
      <c r="K846" s="34" t="str">
        <f t="shared" si="317"/>
        <v/>
      </c>
      <c r="L846" s="118"/>
      <c r="M846" s="121"/>
      <c r="N846" s="122" t="str">
        <f t="shared" si="318"/>
        <v/>
      </c>
      <c r="O846" s="35" t="str">
        <f t="shared" si="319"/>
        <v/>
      </c>
      <c r="P846" s="124"/>
      <c r="Q846" s="36" t="str">
        <f t="shared" si="331"/>
        <v/>
      </c>
      <c r="R846" s="46" t="str">
        <f t="shared" si="320"/>
        <v/>
      </c>
      <c r="S846" s="38" t="str">
        <f t="shared" si="321"/>
        <v/>
      </c>
      <c r="T846" s="39" t="str">
        <f t="shared" si="322"/>
        <v/>
      </c>
      <c r="U846" s="40" t="str">
        <f t="shared" si="323"/>
        <v/>
      </c>
      <c r="V846" s="39" t="str">
        <f t="shared" si="324"/>
        <v/>
      </c>
      <c r="W846" s="34" t="str">
        <f t="shared" si="325"/>
        <v/>
      </c>
      <c r="X846" s="41" t="str">
        <f t="shared" si="332"/>
        <v/>
      </c>
      <c r="Y846" s="98" t="str">
        <f t="shared" si="326"/>
        <v/>
      </c>
      <c r="Z846" s="16" t="str">
        <f t="shared" si="333"/>
        <v/>
      </c>
      <c r="AB846" s="139"/>
      <c r="AC846" s="146" t="str">
        <f t="shared" si="336"/>
        <v/>
      </c>
      <c r="AD846" s="148" t="str">
        <f t="shared" si="334"/>
        <v/>
      </c>
      <c r="AE846" s="147" t="str">
        <f t="shared" si="327"/>
        <v/>
      </c>
      <c r="AF846" s="111" t="str">
        <f t="shared" si="328"/>
        <v/>
      </c>
      <c r="AG846" s="111" t="str">
        <f t="shared" si="329"/>
        <v/>
      </c>
      <c r="AH846" s="112" t="str">
        <f t="shared" si="330"/>
        <v/>
      </c>
      <c r="AI846" t="str">
        <f t="shared" si="335"/>
        <v/>
      </c>
      <c r="AJ846" t="str">
        <f t="shared" si="337"/>
        <v/>
      </c>
    </row>
    <row r="847" spans="1:36" ht="15" customHeight="1" x14ac:dyDescent="0.25">
      <c r="A847" s="114"/>
      <c r="B847" s="116"/>
      <c r="C847" s="116"/>
      <c r="D847" s="42" t="str">
        <f t="shared" si="314"/>
        <v/>
      </c>
      <c r="E847" s="43"/>
      <c r="F847" s="118"/>
      <c r="G847" s="44" t="str">
        <f t="shared" si="315"/>
        <v/>
      </c>
      <c r="H847" s="118"/>
      <c r="I847" s="34" t="str">
        <f t="shared" si="316"/>
        <v/>
      </c>
      <c r="J847" s="118"/>
      <c r="K847" s="34" t="str">
        <f t="shared" si="317"/>
        <v/>
      </c>
      <c r="L847" s="118"/>
      <c r="M847" s="121"/>
      <c r="N847" s="122" t="str">
        <f t="shared" si="318"/>
        <v/>
      </c>
      <c r="O847" s="35" t="str">
        <f t="shared" si="319"/>
        <v/>
      </c>
      <c r="P847" s="124"/>
      <c r="Q847" s="36" t="str">
        <f t="shared" si="331"/>
        <v/>
      </c>
      <c r="R847" s="46" t="str">
        <f t="shared" si="320"/>
        <v/>
      </c>
      <c r="S847" s="38" t="str">
        <f t="shared" si="321"/>
        <v/>
      </c>
      <c r="T847" s="39" t="str">
        <f t="shared" si="322"/>
        <v/>
      </c>
      <c r="U847" s="40" t="str">
        <f t="shared" si="323"/>
        <v/>
      </c>
      <c r="V847" s="39" t="str">
        <f t="shared" si="324"/>
        <v/>
      </c>
      <c r="W847" s="34" t="str">
        <f t="shared" si="325"/>
        <v/>
      </c>
      <c r="X847" s="41" t="str">
        <f t="shared" si="332"/>
        <v/>
      </c>
      <c r="Y847" s="98" t="str">
        <f t="shared" si="326"/>
        <v/>
      </c>
      <c r="Z847" s="16" t="str">
        <f t="shared" si="333"/>
        <v/>
      </c>
      <c r="AB847" s="139"/>
      <c r="AC847" s="146" t="str">
        <f t="shared" si="336"/>
        <v/>
      </c>
      <c r="AD847" s="148" t="str">
        <f t="shared" si="334"/>
        <v/>
      </c>
      <c r="AE847" s="147" t="str">
        <f t="shared" si="327"/>
        <v/>
      </c>
      <c r="AF847" s="111" t="str">
        <f t="shared" si="328"/>
        <v/>
      </c>
      <c r="AG847" s="111" t="str">
        <f t="shared" si="329"/>
        <v/>
      </c>
      <c r="AH847" s="112" t="str">
        <f t="shared" si="330"/>
        <v/>
      </c>
      <c r="AI847" t="str">
        <f t="shared" si="335"/>
        <v/>
      </c>
      <c r="AJ847" t="str">
        <f t="shared" si="337"/>
        <v/>
      </c>
    </row>
    <row r="848" spans="1:36" ht="15" customHeight="1" x14ac:dyDescent="0.25">
      <c r="A848" s="114"/>
      <c r="B848" s="116"/>
      <c r="C848" s="116"/>
      <c r="D848" s="42" t="str">
        <f t="shared" si="314"/>
        <v/>
      </c>
      <c r="E848" s="43"/>
      <c r="F848" s="118"/>
      <c r="G848" s="44" t="str">
        <f t="shared" si="315"/>
        <v/>
      </c>
      <c r="H848" s="118"/>
      <c r="I848" s="34" t="str">
        <f t="shared" si="316"/>
        <v/>
      </c>
      <c r="J848" s="118"/>
      <c r="K848" s="34" t="str">
        <f t="shared" si="317"/>
        <v/>
      </c>
      <c r="L848" s="118"/>
      <c r="M848" s="121"/>
      <c r="N848" s="122" t="str">
        <f t="shared" si="318"/>
        <v/>
      </c>
      <c r="O848" s="35" t="str">
        <f t="shared" si="319"/>
        <v/>
      </c>
      <c r="P848" s="124"/>
      <c r="Q848" s="36" t="str">
        <f t="shared" si="331"/>
        <v/>
      </c>
      <c r="R848" s="46" t="str">
        <f t="shared" si="320"/>
        <v/>
      </c>
      <c r="S848" s="38" t="str">
        <f t="shared" si="321"/>
        <v/>
      </c>
      <c r="T848" s="39" t="str">
        <f t="shared" si="322"/>
        <v/>
      </c>
      <c r="U848" s="40" t="str">
        <f t="shared" si="323"/>
        <v/>
      </c>
      <c r="V848" s="39" t="str">
        <f t="shared" si="324"/>
        <v/>
      </c>
      <c r="W848" s="34" t="str">
        <f t="shared" si="325"/>
        <v/>
      </c>
      <c r="X848" s="41" t="str">
        <f t="shared" si="332"/>
        <v/>
      </c>
      <c r="Y848" s="98" t="str">
        <f t="shared" si="326"/>
        <v/>
      </c>
      <c r="Z848" s="16" t="str">
        <f t="shared" si="333"/>
        <v/>
      </c>
      <c r="AB848" s="139"/>
      <c r="AC848" s="146" t="str">
        <f t="shared" si="336"/>
        <v/>
      </c>
      <c r="AD848" s="148" t="str">
        <f t="shared" si="334"/>
        <v/>
      </c>
      <c r="AE848" s="147" t="str">
        <f t="shared" si="327"/>
        <v/>
      </c>
      <c r="AF848" s="111" t="str">
        <f t="shared" si="328"/>
        <v/>
      </c>
      <c r="AG848" s="111" t="str">
        <f t="shared" si="329"/>
        <v/>
      </c>
      <c r="AH848" s="112" t="str">
        <f t="shared" si="330"/>
        <v/>
      </c>
      <c r="AI848" t="str">
        <f t="shared" si="335"/>
        <v/>
      </c>
      <c r="AJ848" t="str">
        <f t="shared" si="337"/>
        <v/>
      </c>
    </row>
    <row r="849" spans="1:36" ht="15" customHeight="1" x14ac:dyDescent="0.25">
      <c r="A849" s="114"/>
      <c r="B849" s="116"/>
      <c r="C849" s="116"/>
      <c r="D849" s="42" t="str">
        <f t="shared" si="314"/>
        <v/>
      </c>
      <c r="E849" s="43"/>
      <c r="F849" s="118"/>
      <c r="G849" s="44" t="str">
        <f t="shared" si="315"/>
        <v/>
      </c>
      <c r="H849" s="118"/>
      <c r="I849" s="34" t="str">
        <f t="shared" si="316"/>
        <v/>
      </c>
      <c r="J849" s="118"/>
      <c r="K849" s="34" t="str">
        <f t="shared" si="317"/>
        <v/>
      </c>
      <c r="L849" s="118"/>
      <c r="M849" s="121"/>
      <c r="N849" s="122" t="str">
        <f t="shared" si="318"/>
        <v/>
      </c>
      <c r="O849" s="35" t="str">
        <f t="shared" si="319"/>
        <v/>
      </c>
      <c r="P849" s="124"/>
      <c r="Q849" s="36" t="str">
        <f t="shared" si="331"/>
        <v/>
      </c>
      <c r="R849" s="46" t="str">
        <f t="shared" si="320"/>
        <v/>
      </c>
      <c r="S849" s="38" t="str">
        <f t="shared" si="321"/>
        <v/>
      </c>
      <c r="T849" s="39" t="str">
        <f t="shared" si="322"/>
        <v/>
      </c>
      <c r="U849" s="40" t="str">
        <f t="shared" si="323"/>
        <v/>
      </c>
      <c r="V849" s="39" t="str">
        <f t="shared" si="324"/>
        <v/>
      </c>
      <c r="W849" s="34" t="str">
        <f t="shared" si="325"/>
        <v/>
      </c>
      <c r="X849" s="41" t="str">
        <f t="shared" si="332"/>
        <v/>
      </c>
      <c r="Y849" s="98" t="str">
        <f t="shared" si="326"/>
        <v/>
      </c>
      <c r="Z849" s="16" t="str">
        <f t="shared" si="333"/>
        <v/>
      </c>
      <c r="AB849" s="139"/>
      <c r="AC849" s="146" t="str">
        <f t="shared" si="336"/>
        <v/>
      </c>
      <c r="AD849" s="148" t="str">
        <f t="shared" si="334"/>
        <v/>
      </c>
      <c r="AE849" s="147" t="str">
        <f t="shared" si="327"/>
        <v/>
      </c>
      <c r="AF849" s="111" t="str">
        <f t="shared" si="328"/>
        <v/>
      </c>
      <c r="AG849" s="111" t="str">
        <f t="shared" si="329"/>
        <v/>
      </c>
      <c r="AH849" s="112" t="str">
        <f t="shared" si="330"/>
        <v/>
      </c>
      <c r="AI849" t="str">
        <f t="shared" si="335"/>
        <v/>
      </c>
      <c r="AJ849" t="str">
        <f t="shared" si="337"/>
        <v/>
      </c>
    </row>
    <row r="850" spans="1:36" ht="15" customHeight="1" x14ac:dyDescent="0.25">
      <c r="A850" s="114"/>
      <c r="B850" s="116"/>
      <c r="C850" s="116"/>
      <c r="D850" s="42" t="str">
        <f t="shared" si="314"/>
        <v/>
      </c>
      <c r="E850" s="43"/>
      <c r="F850" s="118"/>
      <c r="G850" s="44" t="str">
        <f t="shared" si="315"/>
        <v/>
      </c>
      <c r="H850" s="118"/>
      <c r="I850" s="34" t="str">
        <f t="shared" si="316"/>
        <v/>
      </c>
      <c r="J850" s="118"/>
      <c r="K850" s="34" t="str">
        <f t="shared" si="317"/>
        <v/>
      </c>
      <c r="L850" s="118"/>
      <c r="M850" s="121"/>
      <c r="N850" s="122" t="str">
        <f t="shared" si="318"/>
        <v/>
      </c>
      <c r="O850" s="35" t="str">
        <f t="shared" si="319"/>
        <v/>
      </c>
      <c r="P850" s="124"/>
      <c r="Q850" s="36" t="str">
        <f t="shared" si="331"/>
        <v/>
      </c>
      <c r="R850" s="46" t="str">
        <f t="shared" si="320"/>
        <v/>
      </c>
      <c r="S850" s="38" t="str">
        <f t="shared" si="321"/>
        <v/>
      </c>
      <c r="T850" s="39" t="str">
        <f t="shared" si="322"/>
        <v/>
      </c>
      <c r="U850" s="40" t="str">
        <f t="shared" si="323"/>
        <v/>
      </c>
      <c r="V850" s="39" t="str">
        <f t="shared" si="324"/>
        <v/>
      </c>
      <c r="W850" s="34" t="str">
        <f t="shared" si="325"/>
        <v/>
      </c>
      <c r="X850" s="41" t="str">
        <f t="shared" si="332"/>
        <v/>
      </c>
      <c r="Y850" s="98" t="str">
        <f t="shared" si="326"/>
        <v/>
      </c>
      <c r="Z850" s="16" t="str">
        <f t="shared" si="333"/>
        <v/>
      </c>
      <c r="AB850" s="139"/>
      <c r="AC850" s="146" t="str">
        <f t="shared" si="336"/>
        <v/>
      </c>
      <c r="AD850" s="148" t="str">
        <f t="shared" si="334"/>
        <v/>
      </c>
      <c r="AE850" s="147" t="str">
        <f t="shared" si="327"/>
        <v/>
      </c>
      <c r="AF850" s="111" t="str">
        <f t="shared" si="328"/>
        <v/>
      </c>
      <c r="AG850" s="111" t="str">
        <f t="shared" si="329"/>
        <v/>
      </c>
      <c r="AH850" s="112" t="str">
        <f t="shared" si="330"/>
        <v/>
      </c>
      <c r="AI850" t="str">
        <f t="shared" si="335"/>
        <v/>
      </c>
      <c r="AJ850" t="str">
        <f t="shared" si="337"/>
        <v/>
      </c>
    </row>
    <row r="851" spans="1:36" ht="15" customHeight="1" x14ac:dyDescent="0.25">
      <c r="A851" s="114"/>
      <c r="B851" s="116"/>
      <c r="C851" s="116"/>
      <c r="D851" s="42" t="str">
        <f t="shared" si="314"/>
        <v/>
      </c>
      <c r="E851" s="43"/>
      <c r="F851" s="118"/>
      <c r="G851" s="44" t="str">
        <f t="shared" si="315"/>
        <v/>
      </c>
      <c r="H851" s="118"/>
      <c r="I851" s="34" t="str">
        <f t="shared" si="316"/>
        <v/>
      </c>
      <c r="J851" s="118"/>
      <c r="K851" s="34" t="str">
        <f t="shared" si="317"/>
        <v/>
      </c>
      <c r="L851" s="118"/>
      <c r="M851" s="121"/>
      <c r="N851" s="122" t="str">
        <f t="shared" si="318"/>
        <v/>
      </c>
      <c r="O851" s="35" t="str">
        <f t="shared" si="319"/>
        <v/>
      </c>
      <c r="P851" s="124"/>
      <c r="Q851" s="36" t="str">
        <f t="shared" si="331"/>
        <v/>
      </c>
      <c r="R851" s="46" t="str">
        <f t="shared" si="320"/>
        <v/>
      </c>
      <c r="S851" s="38" t="str">
        <f t="shared" si="321"/>
        <v/>
      </c>
      <c r="T851" s="39" t="str">
        <f t="shared" si="322"/>
        <v/>
      </c>
      <c r="U851" s="40" t="str">
        <f t="shared" si="323"/>
        <v/>
      </c>
      <c r="V851" s="39" t="str">
        <f t="shared" si="324"/>
        <v/>
      </c>
      <c r="W851" s="34" t="str">
        <f t="shared" si="325"/>
        <v/>
      </c>
      <c r="X851" s="41" t="str">
        <f t="shared" si="332"/>
        <v/>
      </c>
      <c r="Y851" s="98" t="str">
        <f t="shared" si="326"/>
        <v/>
      </c>
      <c r="Z851" s="16" t="str">
        <f t="shared" si="333"/>
        <v/>
      </c>
      <c r="AB851" s="139"/>
      <c r="AC851" s="146" t="str">
        <f t="shared" si="336"/>
        <v/>
      </c>
      <c r="AD851" s="148" t="str">
        <f t="shared" si="334"/>
        <v/>
      </c>
      <c r="AE851" s="147" t="str">
        <f t="shared" si="327"/>
        <v/>
      </c>
      <c r="AF851" s="111" t="str">
        <f t="shared" si="328"/>
        <v/>
      </c>
      <c r="AG851" s="111" t="str">
        <f t="shared" si="329"/>
        <v/>
      </c>
      <c r="AH851" s="112" t="str">
        <f t="shared" si="330"/>
        <v/>
      </c>
      <c r="AI851" t="str">
        <f t="shared" si="335"/>
        <v/>
      </c>
      <c r="AJ851" t="str">
        <f t="shared" si="337"/>
        <v/>
      </c>
    </row>
    <row r="852" spans="1:36" ht="15" customHeight="1" x14ac:dyDescent="0.25">
      <c r="A852" s="114"/>
      <c r="B852" s="116"/>
      <c r="C852" s="116"/>
      <c r="D852" s="42" t="str">
        <f t="shared" si="314"/>
        <v/>
      </c>
      <c r="E852" s="43"/>
      <c r="F852" s="118"/>
      <c r="G852" s="44" t="str">
        <f t="shared" si="315"/>
        <v/>
      </c>
      <c r="H852" s="118"/>
      <c r="I852" s="34" t="str">
        <f t="shared" si="316"/>
        <v/>
      </c>
      <c r="J852" s="118"/>
      <c r="K852" s="34" t="str">
        <f t="shared" si="317"/>
        <v/>
      </c>
      <c r="L852" s="118"/>
      <c r="M852" s="121"/>
      <c r="N852" s="122" t="str">
        <f t="shared" si="318"/>
        <v/>
      </c>
      <c r="O852" s="35" t="str">
        <f t="shared" si="319"/>
        <v/>
      </c>
      <c r="P852" s="124"/>
      <c r="Q852" s="36" t="str">
        <f t="shared" si="331"/>
        <v/>
      </c>
      <c r="R852" s="46" t="str">
        <f t="shared" si="320"/>
        <v/>
      </c>
      <c r="S852" s="38" t="str">
        <f t="shared" si="321"/>
        <v/>
      </c>
      <c r="T852" s="39" t="str">
        <f t="shared" si="322"/>
        <v/>
      </c>
      <c r="U852" s="40" t="str">
        <f t="shared" si="323"/>
        <v/>
      </c>
      <c r="V852" s="39" t="str">
        <f t="shared" si="324"/>
        <v/>
      </c>
      <c r="W852" s="34" t="str">
        <f t="shared" si="325"/>
        <v/>
      </c>
      <c r="X852" s="41" t="str">
        <f t="shared" si="332"/>
        <v/>
      </c>
      <c r="Y852" s="98" t="str">
        <f t="shared" si="326"/>
        <v/>
      </c>
      <c r="Z852" s="16" t="str">
        <f t="shared" si="333"/>
        <v/>
      </c>
      <c r="AB852" s="139"/>
      <c r="AC852" s="146" t="str">
        <f t="shared" si="336"/>
        <v/>
      </c>
      <c r="AD852" s="148" t="str">
        <f t="shared" si="334"/>
        <v/>
      </c>
      <c r="AE852" s="147" t="str">
        <f t="shared" si="327"/>
        <v/>
      </c>
      <c r="AF852" s="111" t="str">
        <f t="shared" si="328"/>
        <v/>
      </c>
      <c r="AG852" s="111" t="str">
        <f t="shared" si="329"/>
        <v/>
      </c>
      <c r="AH852" s="112" t="str">
        <f t="shared" si="330"/>
        <v/>
      </c>
      <c r="AI852" t="str">
        <f t="shared" si="335"/>
        <v/>
      </c>
      <c r="AJ852" t="str">
        <f t="shared" si="337"/>
        <v/>
      </c>
    </row>
    <row r="853" spans="1:36" ht="15" customHeight="1" x14ac:dyDescent="0.25">
      <c r="A853" s="114"/>
      <c r="B853" s="116"/>
      <c r="C853" s="116"/>
      <c r="D853" s="42" t="str">
        <f t="shared" si="314"/>
        <v/>
      </c>
      <c r="E853" s="43"/>
      <c r="F853" s="118"/>
      <c r="G853" s="44" t="str">
        <f t="shared" si="315"/>
        <v/>
      </c>
      <c r="H853" s="118"/>
      <c r="I853" s="34" t="str">
        <f t="shared" si="316"/>
        <v/>
      </c>
      <c r="J853" s="118"/>
      <c r="K853" s="34" t="str">
        <f t="shared" si="317"/>
        <v/>
      </c>
      <c r="L853" s="118"/>
      <c r="M853" s="121"/>
      <c r="N853" s="122" t="str">
        <f t="shared" si="318"/>
        <v/>
      </c>
      <c r="O853" s="35" t="str">
        <f t="shared" si="319"/>
        <v/>
      </c>
      <c r="P853" s="124"/>
      <c r="Q853" s="36" t="str">
        <f t="shared" si="331"/>
        <v/>
      </c>
      <c r="R853" s="46" t="str">
        <f t="shared" si="320"/>
        <v/>
      </c>
      <c r="S853" s="38" t="str">
        <f t="shared" si="321"/>
        <v/>
      </c>
      <c r="T853" s="39" t="str">
        <f t="shared" si="322"/>
        <v/>
      </c>
      <c r="U853" s="40" t="str">
        <f t="shared" si="323"/>
        <v/>
      </c>
      <c r="V853" s="39" t="str">
        <f t="shared" si="324"/>
        <v/>
      </c>
      <c r="W853" s="34" t="str">
        <f t="shared" si="325"/>
        <v/>
      </c>
      <c r="X853" s="41" t="str">
        <f t="shared" si="332"/>
        <v/>
      </c>
      <c r="Y853" s="98" t="str">
        <f t="shared" si="326"/>
        <v/>
      </c>
      <c r="Z853" s="16" t="str">
        <f t="shared" si="333"/>
        <v/>
      </c>
      <c r="AB853" s="139"/>
      <c r="AC853" s="146" t="str">
        <f t="shared" si="336"/>
        <v/>
      </c>
      <c r="AD853" s="148" t="str">
        <f t="shared" si="334"/>
        <v/>
      </c>
      <c r="AE853" s="147" t="str">
        <f t="shared" si="327"/>
        <v/>
      </c>
      <c r="AF853" s="111" t="str">
        <f t="shared" si="328"/>
        <v/>
      </c>
      <c r="AG853" s="111" t="str">
        <f t="shared" si="329"/>
        <v/>
      </c>
      <c r="AH853" s="112" t="str">
        <f t="shared" si="330"/>
        <v/>
      </c>
      <c r="AI853" t="str">
        <f t="shared" si="335"/>
        <v/>
      </c>
      <c r="AJ853" t="str">
        <f t="shared" si="337"/>
        <v/>
      </c>
    </row>
    <row r="854" spans="1:36" ht="15" customHeight="1" x14ac:dyDescent="0.25">
      <c r="A854" s="114"/>
      <c r="B854" s="116"/>
      <c r="C854" s="116"/>
      <c r="D854" s="42" t="str">
        <f t="shared" si="314"/>
        <v/>
      </c>
      <c r="E854" s="43"/>
      <c r="F854" s="118"/>
      <c r="G854" s="44" t="str">
        <f t="shared" si="315"/>
        <v/>
      </c>
      <c r="H854" s="118"/>
      <c r="I854" s="34" t="str">
        <f t="shared" si="316"/>
        <v/>
      </c>
      <c r="J854" s="118"/>
      <c r="K854" s="34" t="str">
        <f t="shared" si="317"/>
        <v/>
      </c>
      <c r="L854" s="118"/>
      <c r="M854" s="121"/>
      <c r="N854" s="122" t="str">
        <f t="shared" si="318"/>
        <v/>
      </c>
      <c r="O854" s="35" t="str">
        <f t="shared" si="319"/>
        <v/>
      </c>
      <c r="P854" s="124"/>
      <c r="Q854" s="36" t="str">
        <f t="shared" si="331"/>
        <v/>
      </c>
      <c r="R854" s="46" t="str">
        <f t="shared" si="320"/>
        <v/>
      </c>
      <c r="S854" s="38" t="str">
        <f t="shared" si="321"/>
        <v/>
      </c>
      <c r="T854" s="39" t="str">
        <f t="shared" si="322"/>
        <v/>
      </c>
      <c r="U854" s="40" t="str">
        <f t="shared" si="323"/>
        <v/>
      </c>
      <c r="V854" s="39" t="str">
        <f t="shared" si="324"/>
        <v/>
      </c>
      <c r="W854" s="34" t="str">
        <f t="shared" si="325"/>
        <v/>
      </c>
      <c r="X854" s="41" t="str">
        <f t="shared" si="332"/>
        <v/>
      </c>
      <c r="Y854" s="98" t="str">
        <f t="shared" si="326"/>
        <v/>
      </c>
      <c r="Z854" s="16" t="str">
        <f t="shared" si="333"/>
        <v/>
      </c>
      <c r="AB854" s="139"/>
      <c r="AC854" s="146" t="str">
        <f t="shared" si="336"/>
        <v/>
      </c>
      <c r="AD854" s="148" t="str">
        <f t="shared" si="334"/>
        <v/>
      </c>
      <c r="AE854" s="147" t="str">
        <f t="shared" si="327"/>
        <v/>
      </c>
      <c r="AF854" s="111" t="str">
        <f t="shared" si="328"/>
        <v/>
      </c>
      <c r="AG854" s="111" t="str">
        <f t="shared" si="329"/>
        <v/>
      </c>
      <c r="AH854" s="112" t="str">
        <f t="shared" si="330"/>
        <v/>
      </c>
      <c r="AI854" t="str">
        <f t="shared" si="335"/>
        <v/>
      </c>
      <c r="AJ854" t="str">
        <f t="shared" si="337"/>
        <v/>
      </c>
    </row>
    <row r="855" spans="1:36" ht="15" customHeight="1" x14ac:dyDescent="0.25">
      <c r="A855" s="114"/>
      <c r="B855" s="116"/>
      <c r="C855" s="116"/>
      <c r="D855" s="42" t="str">
        <f t="shared" si="314"/>
        <v/>
      </c>
      <c r="E855" s="43"/>
      <c r="F855" s="118"/>
      <c r="G855" s="44" t="str">
        <f t="shared" si="315"/>
        <v/>
      </c>
      <c r="H855" s="118"/>
      <c r="I855" s="34" t="str">
        <f t="shared" si="316"/>
        <v/>
      </c>
      <c r="J855" s="118"/>
      <c r="K855" s="34" t="str">
        <f t="shared" si="317"/>
        <v/>
      </c>
      <c r="L855" s="118"/>
      <c r="M855" s="121"/>
      <c r="N855" s="122" t="str">
        <f t="shared" si="318"/>
        <v/>
      </c>
      <c r="O855" s="35" t="str">
        <f t="shared" si="319"/>
        <v/>
      </c>
      <c r="P855" s="124"/>
      <c r="Q855" s="36" t="str">
        <f t="shared" si="331"/>
        <v/>
      </c>
      <c r="R855" s="46" t="str">
        <f t="shared" si="320"/>
        <v/>
      </c>
      <c r="S855" s="38" t="str">
        <f t="shared" si="321"/>
        <v/>
      </c>
      <c r="T855" s="39" t="str">
        <f t="shared" si="322"/>
        <v/>
      </c>
      <c r="U855" s="40" t="str">
        <f t="shared" si="323"/>
        <v/>
      </c>
      <c r="V855" s="39" t="str">
        <f t="shared" si="324"/>
        <v/>
      </c>
      <c r="W855" s="34" t="str">
        <f t="shared" si="325"/>
        <v/>
      </c>
      <c r="X855" s="41" t="str">
        <f t="shared" si="332"/>
        <v/>
      </c>
      <c r="Y855" s="98" t="str">
        <f t="shared" si="326"/>
        <v/>
      </c>
      <c r="Z855" s="16" t="str">
        <f t="shared" si="333"/>
        <v/>
      </c>
      <c r="AB855" s="139"/>
      <c r="AC855" s="146" t="str">
        <f t="shared" si="336"/>
        <v/>
      </c>
      <c r="AD855" s="148" t="str">
        <f t="shared" si="334"/>
        <v/>
      </c>
      <c r="AE855" s="147" t="str">
        <f t="shared" si="327"/>
        <v/>
      </c>
      <c r="AF855" s="111" t="str">
        <f t="shared" si="328"/>
        <v/>
      </c>
      <c r="AG855" s="111" t="str">
        <f t="shared" si="329"/>
        <v/>
      </c>
      <c r="AH855" s="112" t="str">
        <f t="shared" si="330"/>
        <v/>
      </c>
      <c r="AI855" t="str">
        <f t="shared" si="335"/>
        <v/>
      </c>
      <c r="AJ855" t="str">
        <f t="shared" si="337"/>
        <v/>
      </c>
    </row>
    <row r="856" spans="1:36" ht="15" customHeight="1" x14ac:dyDescent="0.25">
      <c r="A856" s="114"/>
      <c r="B856" s="116"/>
      <c r="C856" s="116"/>
      <c r="D856" s="42" t="str">
        <f t="shared" si="314"/>
        <v/>
      </c>
      <c r="E856" s="43"/>
      <c r="F856" s="118"/>
      <c r="G856" s="44" t="str">
        <f t="shared" si="315"/>
        <v/>
      </c>
      <c r="H856" s="118"/>
      <c r="I856" s="34" t="str">
        <f t="shared" si="316"/>
        <v/>
      </c>
      <c r="J856" s="118"/>
      <c r="K856" s="34" t="str">
        <f t="shared" si="317"/>
        <v/>
      </c>
      <c r="L856" s="118"/>
      <c r="M856" s="121"/>
      <c r="N856" s="122" t="str">
        <f t="shared" si="318"/>
        <v/>
      </c>
      <c r="O856" s="35" t="str">
        <f t="shared" si="319"/>
        <v/>
      </c>
      <c r="P856" s="124"/>
      <c r="Q856" s="36" t="str">
        <f t="shared" si="331"/>
        <v/>
      </c>
      <c r="R856" s="46" t="str">
        <f t="shared" si="320"/>
        <v/>
      </c>
      <c r="S856" s="38" t="str">
        <f t="shared" si="321"/>
        <v/>
      </c>
      <c r="T856" s="39" t="str">
        <f t="shared" si="322"/>
        <v/>
      </c>
      <c r="U856" s="40" t="str">
        <f t="shared" si="323"/>
        <v/>
      </c>
      <c r="V856" s="39" t="str">
        <f t="shared" si="324"/>
        <v/>
      </c>
      <c r="W856" s="34" t="str">
        <f t="shared" si="325"/>
        <v/>
      </c>
      <c r="X856" s="41" t="str">
        <f t="shared" si="332"/>
        <v/>
      </c>
      <c r="Y856" s="98" t="str">
        <f t="shared" si="326"/>
        <v/>
      </c>
      <c r="Z856" s="16" t="str">
        <f t="shared" si="333"/>
        <v/>
      </c>
      <c r="AB856" s="139"/>
      <c r="AC856" s="146" t="str">
        <f t="shared" si="336"/>
        <v/>
      </c>
      <c r="AD856" s="148" t="str">
        <f t="shared" si="334"/>
        <v/>
      </c>
      <c r="AE856" s="147" t="str">
        <f t="shared" si="327"/>
        <v/>
      </c>
      <c r="AF856" s="111" t="str">
        <f t="shared" si="328"/>
        <v/>
      </c>
      <c r="AG856" s="111" t="str">
        <f t="shared" si="329"/>
        <v/>
      </c>
      <c r="AH856" s="112" t="str">
        <f t="shared" si="330"/>
        <v/>
      </c>
      <c r="AI856" t="str">
        <f t="shared" si="335"/>
        <v/>
      </c>
      <c r="AJ856" t="str">
        <f t="shared" si="337"/>
        <v/>
      </c>
    </row>
    <row r="857" spans="1:36" ht="15" customHeight="1" x14ac:dyDescent="0.25">
      <c r="A857" s="114"/>
      <c r="B857" s="116"/>
      <c r="C857" s="116"/>
      <c r="D857" s="42" t="str">
        <f t="shared" si="314"/>
        <v/>
      </c>
      <c r="E857" s="43"/>
      <c r="F857" s="118"/>
      <c r="G857" s="44" t="str">
        <f t="shared" si="315"/>
        <v/>
      </c>
      <c r="H857" s="118"/>
      <c r="I857" s="34" t="str">
        <f t="shared" si="316"/>
        <v/>
      </c>
      <c r="J857" s="118"/>
      <c r="K857" s="34" t="str">
        <f t="shared" si="317"/>
        <v/>
      </c>
      <c r="L857" s="118"/>
      <c r="M857" s="121"/>
      <c r="N857" s="122" t="str">
        <f t="shared" si="318"/>
        <v/>
      </c>
      <c r="O857" s="35" t="str">
        <f t="shared" si="319"/>
        <v/>
      </c>
      <c r="P857" s="124"/>
      <c r="Q857" s="36" t="str">
        <f t="shared" si="331"/>
        <v/>
      </c>
      <c r="R857" s="46" t="str">
        <f t="shared" si="320"/>
        <v/>
      </c>
      <c r="S857" s="38" t="str">
        <f t="shared" si="321"/>
        <v/>
      </c>
      <c r="T857" s="39" t="str">
        <f t="shared" si="322"/>
        <v/>
      </c>
      <c r="U857" s="40" t="str">
        <f t="shared" si="323"/>
        <v/>
      </c>
      <c r="V857" s="39" t="str">
        <f t="shared" si="324"/>
        <v/>
      </c>
      <c r="W857" s="34" t="str">
        <f t="shared" si="325"/>
        <v/>
      </c>
      <c r="X857" s="41" t="str">
        <f t="shared" si="332"/>
        <v/>
      </c>
      <c r="Y857" s="98" t="str">
        <f t="shared" si="326"/>
        <v/>
      </c>
      <c r="Z857" s="16" t="str">
        <f t="shared" si="333"/>
        <v/>
      </c>
      <c r="AB857" s="139"/>
      <c r="AC857" s="146" t="str">
        <f t="shared" si="336"/>
        <v/>
      </c>
      <c r="AD857" s="148" t="str">
        <f t="shared" si="334"/>
        <v/>
      </c>
      <c r="AE857" s="147" t="str">
        <f t="shared" si="327"/>
        <v/>
      </c>
      <c r="AF857" s="111" t="str">
        <f t="shared" si="328"/>
        <v/>
      </c>
      <c r="AG857" s="111" t="str">
        <f t="shared" si="329"/>
        <v/>
      </c>
      <c r="AH857" s="112" t="str">
        <f t="shared" si="330"/>
        <v/>
      </c>
      <c r="AI857" t="str">
        <f t="shared" si="335"/>
        <v/>
      </c>
      <c r="AJ857" t="str">
        <f t="shared" si="337"/>
        <v/>
      </c>
    </row>
    <row r="858" spans="1:36" ht="15" customHeight="1" x14ac:dyDescent="0.25">
      <c r="A858" s="114"/>
      <c r="B858" s="116"/>
      <c r="C858" s="116"/>
      <c r="D858" s="42" t="str">
        <f t="shared" si="314"/>
        <v/>
      </c>
      <c r="E858" s="43"/>
      <c r="F858" s="118"/>
      <c r="G858" s="44" t="str">
        <f t="shared" si="315"/>
        <v/>
      </c>
      <c r="H858" s="118"/>
      <c r="I858" s="34" t="str">
        <f t="shared" si="316"/>
        <v/>
      </c>
      <c r="J858" s="118"/>
      <c r="K858" s="34" t="str">
        <f t="shared" si="317"/>
        <v/>
      </c>
      <c r="L858" s="118"/>
      <c r="M858" s="121"/>
      <c r="N858" s="122" t="str">
        <f t="shared" si="318"/>
        <v/>
      </c>
      <c r="O858" s="35" t="str">
        <f t="shared" si="319"/>
        <v/>
      </c>
      <c r="P858" s="124"/>
      <c r="Q858" s="36" t="str">
        <f t="shared" si="331"/>
        <v/>
      </c>
      <c r="R858" s="46" t="str">
        <f t="shared" si="320"/>
        <v/>
      </c>
      <c r="S858" s="38" t="str">
        <f t="shared" si="321"/>
        <v/>
      </c>
      <c r="T858" s="39" t="str">
        <f t="shared" si="322"/>
        <v/>
      </c>
      <c r="U858" s="40" t="str">
        <f t="shared" si="323"/>
        <v/>
      </c>
      <c r="V858" s="39" t="str">
        <f t="shared" si="324"/>
        <v/>
      </c>
      <c r="W858" s="34" t="str">
        <f t="shared" si="325"/>
        <v/>
      </c>
      <c r="X858" s="41" t="str">
        <f t="shared" si="332"/>
        <v/>
      </c>
      <c r="Y858" s="98" t="str">
        <f t="shared" si="326"/>
        <v/>
      </c>
      <c r="Z858" s="16" t="str">
        <f t="shared" si="333"/>
        <v/>
      </c>
      <c r="AB858" s="139"/>
      <c r="AC858" s="146" t="str">
        <f t="shared" si="336"/>
        <v/>
      </c>
      <c r="AD858" s="148" t="str">
        <f t="shared" si="334"/>
        <v/>
      </c>
      <c r="AE858" s="147" t="str">
        <f t="shared" si="327"/>
        <v/>
      </c>
      <c r="AF858" s="111" t="str">
        <f t="shared" si="328"/>
        <v/>
      </c>
      <c r="AG858" s="111" t="str">
        <f t="shared" si="329"/>
        <v/>
      </c>
      <c r="AH858" s="112" t="str">
        <f t="shared" si="330"/>
        <v/>
      </c>
      <c r="AI858" t="str">
        <f t="shared" si="335"/>
        <v/>
      </c>
      <c r="AJ858" t="str">
        <f t="shared" si="337"/>
        <v/>
      </c>
    </row>
    <row r="859" spans="1:36" ht="15" customHeight="1" x14ac:dyDescent="0.25">
      <c r="A859" s="114"/>
      <c r="B859" s="116"/>
      <c r="C859" s="116"/>
      <c r="D859" s="42" t="str">
        <f t="shared" si="314"/>
        <v/>
      </c>
      <c r="E859" s="43"/>
      <c r="F859" s="118"/>
      <c r="G859" s="44" t="str">
        <f t="shared" si="315"/>
        <v/>
      </c>
      <c r="H859" s="118"/>
      <c r="I859" s="34" t="str">
        <f t="shared" si="316"/>
        <v/>
      </c>
      <c r="J859" s="118"/>
      <c r="K859" s="34" t="str">
        <f t="shared" si="317"/>
        <v/>
      </c>
      <c r="L859" s="118"/>
      <c r="M859" s="121"/>
      <c r="N859" s="122" t="str">
        <f t="shared" si="318"/>
        <v/>
      </c>
      <c r="O859" s="35" t="str">
        <f t="shared" si="319"/>
        <v/>
      </c>
      <c r="P859" s="124"/>
      <c r="Q859" s="36" t="str">
        <f t="shared" si="331"/>
        <v/>
      </c>
      <c r="R859" s="46" t="str">
        <f t="shared" si="320"/>
        <v/>
      </c>
      <c r="S859" s="38" t="str">
        <f t="shared" si="321"/>
        <v/>
      </c>
      <c r="T859" s="39" t="str">
        <f t="shared" si="322"/>
        <v/>
      </c>
      <c r="U859" s="40" t="str">
        <f t="shared" si="323"/>
        <v/>
      </c>
      <c r="V859" s="39" t="str">
        <f t="shared" si="324"/>
        <v/>
      </c>
      <c r="W859" s="34" t="str">
        <f t="shared" si="325"/>
        <v/>
      </c>
      <c r="X859" s="41" t="str">
        <f t="shared" si="332"/>
        <v/>
      </c>
      <c r="Y859" s="98" t="str">
        <f t="shared" si="326"/>
        <v/>
      </c>
      <c r="Z859" s="16" t="str">
        <f t="shared" si="333"/>
        <v/>
      </c>
      <c r="AB859" s="139"/>
      <c r="AC859" s="146" t="str">
        <f t="shared" si="336"/>
        <v/>
      </c>
      <c r="AD859" s="148" t="str">
        <f t="shared" si="334"/>
        <v/>
      </c>
      <c r="AE859" s="147" t="str">
        <f t="shared" si="327"/>
        <v/>
      </c>
      <c r="AF859" s="111" t="str">
        <f t="shared" si="328"/>
        <v/>
      </c>
      <c r="AG859" s="111" t="str">
        <f t="shared" si="329"/>
        <v/>
      </c>
      <c r="AH859" s="112" t="str">
        <f t="shared" si="330"/>
        <v/>
      </c>
      <c r="AI859" t="str">
        <f t="shared" si="335"/>
        <v/>
      </c>
      <c r="AJ859" t="str">
        <f t="shared" si="337"/>
        <v/>
      </c>
    </row>
    <row r="860" spans="1:36" ht="15" customHeight="1" x14ac:dyDescent="0.25">
      <c r="A860" s="114"/>
      <c r="B860" s="116"/>
      <c r="C860" s="116"/>
      <c r="D860" s="42" t="str">
        <f t="shared" si="314"/>
        <v/>
      </c>
      <c r="E860" s="43"/>
      <c r="F860" s="118"/>
      <c r="G860" s="44" t="str">
        <f t="shared" si="315"/>
        <v/>
      </c>
      <c r="H860" s="118"/>
      <c r="I860" s="34" t="str">
        <f t="shared" si="316"/>
        <v/>
      </c>
      <c r="J860" s="118"/>
      <c r="K860" s="34" t="str">
        <f t="shared" si="317"/>
        <v/>
      </c>
      <c r="L860" s="118"/>
      <c r="M860" s="121"/>
      <c r="N860" s="122" t="str">
        <f t="shared" si="318"/>
        <v/>
      </c>
      <c r="O860" s="35" t="str">
        <f t="shared" si="319"/>
        <v/>
      </c>
      <c r="P860" s="124"/>
      <c r="Q860" s="36" t="str">
        <f t="shared" si="331"/>
        <v/>
      </c>
      <c r="R860" s="46" t="str">
        <f t="shared" si="320"/>
        <v/>
      </c>
      <c r="S860" s="38" t="str">
        <f t="shared" si="321"/>
        <v/>
      </c>
      <c r="T860" s="39" t="str">
        <f t="shared" si="322"/>
        <v/>
      </c>
      <c r="U860" s="40" t="str">
        <f t="shared" si="323"/>
        <v/>
      </c>
      <c r="V860" s="39" t="str">
        <f t="shared" si="324"/>
        <v/>
      </c>
      <c r="W860" s="34" t="str">
        <f t="shared" si="325"/>
        <v/>
      </c>
      <c r="X860" s="41" t="str">
        <f t="shared" si="332"/>
        <v/>
      </c>
      <c r="Y860" s="98" t="str">
        <f t="shared" si="326"/>
        <v/>
      </c>
      <c r="Z860" s="16" t="str">
        <f t="shared" si="333"/>
        <v/>
      </c>
      <c r="AB860" s="139"/>
      <c r="AC860" s="146" t="str">
        <f t="shared" si="336"/>
        <v/>
      </c>
      <c r="AD860" s="148" t="str">
        <f t="shared" si="334"/>
        <v/>
      </c>
      <c r="AE860" s="147" t="str">
        <f t="shared" si="327"/>
        <v/>
      </c>
      <c r="AF860" s="111" t="str">
        <f t="shared" si="328"/>
        <v/>
      </c>
      <c r="AG860" s="111" t="str">
        <f t="shared" si="329"/>
        <v/>
      </c>
      <c r="AH860" s="112" t="str">
        <f t="shared" si="330"/>
        <v/>
      </c>
      <c r="AI860" t="str">
        <f t="shared" si="335"/>
        <v/>
      </c>
      <c r="AJ860" t="str">
        <f t="shared" si="337"/>
        <v/>
      </c>
    </row>
    <row r="861" spans="1:36" ht="15" customHeight="1" x14ac:dyDescent="0.25">
      <c r="A861" s="114"/>
      <c r="B861" s="116"/>
      <c r="C861" s="116"/>
      <c r="D861" s="42" t="str">
        <f t="shared" si="314"/>
        <v/>
      </c>
      <c r="E861" s="43"/>
      <c r="F861" s="118"/>
      <c r="G861" s="44" t="str">
        <f t="shared" si="315"/>
        <v/>
      </c>
      <c r="H861" s="118"/>
      <c r="I861" s="34" t="str">
        <f t="shared" si="316"/>
        <v/>
      </c>
      <c r="J861" s="118"/>
      <c r="K861" s="34" t="str">
        <f t="shared" si="317"/>
        <v/>
      </c>
      <c r="L861" s="118"/>
      <c r="M861" s="121"/>
      <c r="N861" s="122" t="str">
        <f t="shared" si="318"/>
        <v/>
      </c>
      <c r="O861" s="35" t="str">
        <f t="shared" si="319"/>
        <v/>
      </c>
      <c r="P861" s="124"/>
      <c r="Q861" s="36" t="str">
        <f t="shared" si="331"/>
        <v/>
      </c>
      <c r="R861" s="46" t="str">
        <f t="shared" si="320"/>
        <v/>
      </c>
      <c r="S861" s="38" t="str">
        <f t="shared" si="321"/>
        <v/>
      </c>
      <c r="T861" s="39" t="str">
        <f t="shared" si="322"/>
        <v/>
      </c>
      <c r="U861" s="40" t="str">
        <f t="shared" si="323"/>
        <v/>
      </c>
      <c r="V861" s="39" t="str">
        <f t="shared" si="324"/>
        <v/>
      </c>
      <c r="W861" s="34" t="str">
        <f t="shared" si="325"/>
        <v/>
      </c>
      <c r="X861" s="41" t="str">
        <f t="shared" si="332"/>
        <v/>
      </c>
      <c r="Y861" s="98" t="str">
        <f t="shared" si="326"/>
        <v/>
      </c>
      <c r="Z861" s="16" t="str">
        <f t="shared" si="333"/>
        <v/>
      </c>
      <c r="AB861" s="139"/>
      <c r="AC861" s="146" t="str">
        <f t="shared" si="336"/>
        <v/>
      </c>
      <c r="AD861" s="148" t="str">
        <f t="shared" si="334"/>
        <v/>
      </c>
      <c r="AE861" s="147" t="str">
        <f t="shared" si="327"/>
        <v/>
      </c>
      <c r="AF861" s="111" t="str">
        <f t="shared" si="328"/>
        <v/>
      </c>
      <c r="AG861" s="111" t="str">
        <f t="shared" si="329"/>
        <v/>
      </c>
      <c r="AH861" s="112" t="str">
        <f t="shared" si="330"/>
        <v/>
      </c>
      <c r="AI861" t="str">
        <f t="shared" si="335"/>
        <v/>
      </c>
      <c r="AJ861" t="str">
        <f t="shared" si="337"/>
        <v/>
      </c>
    </row>
    <row r="862" spans="1:36" ht="15" customHeight="1" x14ac:dyDescent="0.25">
      <c r="A862" s="114"/>
      <c r="B862" s="116"/>
      <c r="C862" s="116"/>
      <c r="D862" s="42" t="str">
        <f t="shared" si="314"/>
        <v/>
      </c>
      <c r="E862" s="43"/>
      <c r="F862" s="118"/>
      <c r="G862" s="44" t="str">
        <f t="shared" si="315"/>
        <v/>
      </c>
      <c r="H862" s="118"/>
      <c r="I862" s="34" t="str">
        <f t="shared" si="316"/>
        <v/>
      </c>
      <c r="J862" s="118"/>
      <c r="K862" s="34" t="str">
        <f t="shared" si="317"/>
        <v/>
      </c>
      <c r="L862" s="118"/>
      <c r="M862" s="121"/>
      <c r="N862" s="122" t="str">
        <f t="shared" si="318"/>
        <v/>
      </c>
      <c r="O862" s="35" t="str">
        <f t="shared" si="319"/>
        <v/>
      </c>
      <c r="P862" s="124"/>
      <c r="Q862" s="36" t="str">
        <f t="shared" si="331"/>
        <v/>
      </c>
      <c r="R862" s="46" t="str">
        <f t="shared" si="320"/>
        <v/>
      </c>
      <c r="S862" s="38" t="str">
        <f t="shared" si="321"/>
        <v/>
      </c>
      <c r="T862" s="39" t="str">
        <f t="shared" si="322"/>
        <v/>
      </c>
      <c r="U862" s="40" t="str">
        <f t="shared" si="323"/>
        <v/>
      </c>
      <c r="V862" s="39" t="str">
        <f t="shared" si="324"/>
        <v/>
      </c>
      <c r="W862" s="34" t="str">
        <f t="shared" si="325"/>
        <v/>
      </c>
      <c r="X862" s="41" t="str">
        <f t="shared" si="332"/>
        <v/>
      </c>
      <c r="Y862" s="98" t="str">
        <f t="shared" si="326"/>
        <v/>
      </c>
      <c r="Z862" s="16" t="str">
        <f t="shared" si="333"/>
        <v/>
      </c>
      <c r="AB862" s="139"/>
      <c r="AC862" s="146" t="str">
        <f t="shared" si="336"/>
        <v/>
      </c>
      <c r="AD862" s="148" t="str">
        <f t="shared" si="334"/>
        <v/>
      </c>
      <c r="AE862" s="147" t="str">
        <f t="shared" si="327"/>
        <v/>
      </c>
      <c r="AF862" s="111" t="str">
        <f t="shared" si="328"/>
        <v/>
      </c>
      <c r="AG862" s="111" t="str">
        <f t="shared" si="329"/>
        <v/>
      </c>
      <c r="AH862" s="112" t="str">
        <f t="shared" si="330"/>
        <v/>
      </c>
      <c r="AI862" t="str">
        <f t="shared" si="335"/>
        <v/>
      </c>
      <c r="AJ862" t="str">
        <f t="shared" si="337"/>
        <v/>
      </c>
    </row>
    <row r="863" spans="1:36" ht="15" customHeight="1" x14ac:dyDescent="0.25">
      <c r="A863" s="114"/>
      <c r="B863" s="116"/>
      <c r="C863" s="116"/>
      <c r="D863" s="42" t="str">
        <f t="shared" si="314"/>
        <v/>
      </c>
      <c r="E863" s="43"/>
      <c r="F863" s="118"/>
      <c r="G863" s="44" t="str">
        <f t="shared" si="315"/>
        <v/>
      </c>
      <c r="H863" s="118"/>
      <c r="I863" s="34" t="str">
        <f t="shared" si="316"/>
        <v/>
      </c>
      <c r="J863" s="118"/>
      <c r="K863" s="34" t="str">
        <f t="shared" si="317"/>
        <v/>
      </c>
      <c r="L863" s="118"/>
      <c r="M863" s="121"/>
      <c r="N863" s="122" t="str">
        <f t="shared" si="318"/>
        <v/>
      </c>
      <c r="O863" s="35" t="str">
        <f t="shared" si="319"/>
        <v/>
      </c>
      <c r="P863" s="124"/>
      <c r="Q863" s="36" t="str">
        <f t="shared" si="331"/>
        <v/>
      </c>
      <c r="R863" s="46" t="str">
        <f t="shared" si="320"/>
        <v/>
      </c>
      <c r="S863" s="38" t="str">
        <f t="shared" si="321"/>
        <v/>
      </c>
      <c r="T863" s="39" t="str">
        <f t="shared" si="322"/>
        <v/>
      </c>
      <c r="U863" s="40" t="str">
        <f t="shared" si="323"/>
        <v/>
      </c>
      <c r="V863" s="39" t="str">
        <f t="shared" si="324"/>
        <v/>
      </c>
      <c r="W863" s="34" t="str">
        <f t="shared" si="325"/>
        <v/>
      </c>
      <c r="X863" s="41" t="str">
        <f t="shared" si="332"/>
        <v/>
      </c>
      <c r="Y863" s="98" t="str">
        <f t="shared" si="326"/>
        <v/>
      </c>
      <c r="Z863" s="16" t="str">
        <f t="shared" si="333"/>
        <v/>
      </c>
      <c r="AB863" s="139"/>
      <c r="AC863" s="146" t="str">
        <f t="shared" si="336"/>
        <v/>
      </c>
      <c r="AD863" s="148" t="str">
        <f t="shared" si="334"/>
        <v/>
      </c>
      <c r="AE863" s="147" t="str">
        <f t="shared" si="327"/>
        <v/>
      </c>
      <c r="AF863" s="111" t="str">
        <f t="shared" si="328"/>
        <v/>
      </c>
      <c r="AG863" s="111" t="str">
        <f t="shared" si="329"/>
        <v/>
      </c>
      <c r="AH863" s="112" t="str">
        <f t="shared" si="330"/>
        <v/>
      </c>
      <c r="AI863" t="str">
        <f t="shared" si="335"/>
        <v/>
      </c>
      <c r="AJ863" t="str">
        <f t="shared" si="337"/>
        <v/>
      </c>
    </row>
    <row r="864" spans="1:36" ht="15" customHeight="1" x14ac:dyDescent="0.25">
      <c r="A864" s="114"/>
      <c r="B864" s="116"/>
      <c r="C864" s="116"/>
      <c r="D864" s="42" t="str">
        <f t="shared" si="314"/>
        <v/>
      </c>
      <c r="E864" s="43"/>
      <c r="F864" s="118"/>
      <c r="G864" s="44" t="str">
        <f t="shared" si="315"/>
        <v/>
      </c>
      <c r="H864" s="118"/>
      <c r="I864" s="34" t="str">
        <f t="shared" si="316"/>
        <v/>
      </c>
      <c r="J864" s="118"/>
      <c r="K864" s="34" t="str">
        <f t="shared" si="317"/>
        <v/>
      </c>
      <c r="L864" s="118"/>
      <c r="M864" s="121"/>
      <c r="N864" s="122" t="str">
        <f t="shared" si="318"/>
        <v/>
      </c>
      <c r="O864" s="35" t="str">
        <f t="shared" si="319"/>
        <v/>
      </c>
      <c r="P864" s="124"/>
      <c r="Q864" s="36" t="str">
        <f t="shared" si="331"/>
        <v/>
      </c>
      <c r="R864" s="46" t="str">
        <f t="shared" si="320"/>
        <v/>
      </c>
      <c r="S864" s="38" t="str">
        <f t="shared" si="321"/>
        <v/>
      </c>
      <c r="T864" s="39" t="str">
        <f t="shared" si="322"/>
        <v/>
      </c>
      <c r="U864" s="40" t="str">
        <f t="shared" si="323"/>
        <v/>
      </c>
      <c r="V864" s="39" t="str">
        <f t="shared" si="324"/>
        <v/>
      </c>
      <c r="W864" s="34" t="str">
        <f t="shared" si="325"/>
        <v/>
      </c>
      <c r="X864" s="41" t="str">
        <f t="shared" si="332"/>
        <v/>
      </c>
      <c r="Y864" s="98" t="str">
        <f t="shared" si="326"/>
        <v/>
      </c>
      <c r="Z864" s="16" t="str">
        <f t="shared" si="333"/>
        <v/>
      </c>
      <c r="AB864" s="139"/>
      <c r="AC864" s="146" t="str">
        <f t="shared" si="336"/>
        <v/>
      </c>
      <c r="AD864" s="148" t="str">
        <f t="shared" si="334"/>
        <v/>
      </c>
      <c r="AE864" s="147" t="str">
        <f t="shared" si="327"/>
        <v/>
      </c>
      <c r="AF864" s="111" t="str">
        <f t="shared" si="328"/>
        <v/>
      </c>
      <c r="AG864" s="111" t="str">
        <f t="shared" si="329"/>
        <v/>
      </c>
      <c r="AH864" s="112" t="str">
        <f t="shared" si="330"/>
        <v/>
      </c>
      <c r="AI864" t="str">
        <f t="shared" si="335"/>
        <v/>
      </c>
      <c r="AJ864" t="str">
        <f t="shared" si="337"/>
        <v/>
      </c>
    </row>
    <row r="865" spans="1:36" ht="15" customHeight="1" x14ac:dyDescent="0.25">
      <c r="A865" s="114"/>
      <c r="B865" s="116"/>
      <c r="C865" s="116"/>
      <c r="D865" s="42" t="str">
        <f t="shared" si="314"/>
        <v/>
      </c>
      <c r="E865" s="43"/>
      <c r="F865" s="118"/>
      <c r="G865" s="44" t="str">
        <f t="shared" si="315"/>
        <v/>
      </c>
      <c r="H865" s="118"/>
      <c r="I865" s="34" t="str">
        <f t="shared" si="316"/>
        <v/>
      </c>
      <c r="J865" s="118"/>
      <c r="K865" s="34" t="str">
        <f t="shared" si="317"/>
        <v/>
      </c>
      <c r="L865" s="118"/>
      <c r="M865" s="121"/>
      <c r="N865" s="122" t="str">
        <f t="shared" si="318"/>
        <v/>
      </c>
      <c r="O865" s="35" t="str">
        <f t="shared" si="319"/>
        <v/>
      </c>
      <c r="P865" s="124"/>
      <c r="Q865" s="36" t="str">
        <f t="shared" si="331"/>
        <v/>
      </c>
      <c r="R865" s="46" t="str">
        <f t="shared" si="320"/>
        <v/>
      </c>
      <c r="S865" s="38" t="str">
        <f t="shared" si="321"/>
        <v/>
      </c>
      <c r="T865" s="39" t="str">
        <f t="shared" si="322"/>
        <v/>
      </c>
      <c r="U865" s="40" t="str">
        <f t="shared" si="323"/>
        <v/>
      </c>
      <c r="V865" s="39" t="str">
        <f t="shared" si="324"/>
        <v/>
      </c>
      <c r="W865" s="34" t="str">
        <f t="shared" si="325"/>
        <v/>
      </c>
      <c r="X865" s="41" t="str">
        <f t="shared" si="332"/>
        <v/>
      </c>
      <c r="Y865" s="98" t="str">
        <f t="shared" si="326"/>
        <v/>
      </c>
      <c r="Z865" s="16" t="str">
        <f t="shared" si="333"/>
        <v/>
      </c>
      <c r="AB865" s="139"/>
      <c r="AC865" s="146" t="str">
        <f t="shared" si="336"/>
        <v/>
      </c>
      <c r="AD865" s="148" t="str">
        <f t="shared" si="334"/>
        <v/>
      </c>
      <c r="AE865" s="147" t="str">
        <f t="shared" si="327"/>
        <v/>
      </c>
      <c r="AF865" s="111" t="str">
        <f t="shared" si="328"/>
        <v/>
      </c>
      <c r="AG865" s="111" t="str">
        <f t="shared" si="329"/>
        <v/>
      </c>
      <c r="AH865" s="112" t="str">
        <f t="shared" si="330"/>
        <v/>
      </c>
      <c r="AI865" t="str">
        <f t="shared" si="335"/>
        <v/>
      </c>
      <c r="AJ865" t="str">
        <f t="shared" si="337"/>
        <v/>
      </c>
    </row>
    <row r="866" spans="1:36" ht="15" customHeight="1" x14ac:dyDescent="0.25">
      <c r="A866" s="114"/>
      <c r="B866" s="116"/>
      <c r="C866" s="116"/>
      <c r="D866" s="42" t="str">
        <f t="shared" si="314"/>
        <v/>
      </c>
      <c r="E866" s="43"/>
      <c r="F866" s="118"/>
      <c r="G866" s="44" t="str">
        <f t="shared" si="315"/>
        <v/>
      </c>
      <c r="H866" s="118"/>
      <c r="I866" s="34" t="str">
        <f t="shared" si="316"/>
        <v/>
      </c>
      <c r="J866" s="118"/>
      <c r="K866" s="34" t="str">
        <f t="shared" si="317"/>
        <v/>
      </c>
      <c r="L866" s="118"/>
      <c r="M866" s="121"/>
      <c r="N866" s="122" t="str">
        <f t="shared" si="318"/>
        <v/>
      </c>
      <c r="O866" s="35" t="str">
        <f t="shared" si="319"/>
        <v/>
      </c>
      <c r="P866" s="124"/>
      <c r="Q866" s="36" t="str">
        <f t="shared" si="331"/>
        <v/>
      </c>
      <c r="R866" s="46" t="str">
        <f t="shared" si="320"/>
        <v/>
      </c>
      <c r="S866" s="38" t="str">
        <f t="shared" si="321"/>
        <v/>
      </c>
      <c r="T866" s="39" t="str">
        <f t="shared" si="322"/>
        <v/>
      </c>
      <c r="U866" s="40" t="str">
        <f t="shared" si="323"/>
        <v/>
      </c>
      <c r="V866" s="39" t="str">
        <f t="shared" si="324"/>
        <v/>
      </c>
      <c r="W866" s="34" t="str">
        <f t="shared" si="325"/>
        <v/>
      </c>
      <c r="X866" s="41" t="str">
        <f t="shared" si="332"/>
        <v/>
      </c>
      <c r="Y866" s="98" t="str">
        <f t="shared" si="326"/>
        <v/>
      </c>
      <c r="Z866" s="16" t="str">
        <f t="shared" si="333"/>
        <v/>
      </c>
      <c r="AB866" s="139"/>
      <c r="AC866" s="146" t="str">
        <f t="shared" si="336"/>
        <v/>
      </c>
      <c r="AD866" s="148" t="str">
        <f t="shared" si="334"/>
        <v/>
      </c>
      <c r="AE866" s="147" t="str">
        <f t="shared" si="327"/>
        <v/>
      </c>
      <c r="AF866" s="111" t="str">
        <f t="shared" si="328"/>
        <v/>
      </c>
      <c r="AG866" s="111" t="str">
        <f t="shared" si="329"/>
        <v/>
      </c>
      <c r="AH866" s="112" t="str">
        <f t="shared" si="330"/>
        <v/>
      </c>
      <c r="AI866" t="str">
        <f t="shared" si="335"/>
        <v/>
      </c>
      <c r="AJ866" t="str">
        <f t="shared" si="337"/>
        <v/>
      </c>
    </row>
    <row r="867" spans="1:36" ht="15" customHeight="1" x14ac:dyDescent="0.25">
      <c r="A867" s="114"/>
      <c r="B867" s="116"/>
      <c r="C867" s="116"/>
      <c r="D867" s="42" t="str">
        <f t="shared" si="314"/>
        <v/>
      </c>
      <c r="E867" s="43"/>
      <c r="F867" s="118"/>
      <c r="G867" s="44" t="str">
        <f t="shared" si="315"/>
        <v/>
      </c>
      <c r="H867" s="118"/>
      <c r="I867" s="34" t="str">
        <f t="shared" si="316"/>
        <v/>
      </c>
      <c r="J867" s="118"/>
      <c r="K867" s="34" t="str">
        <f t="shared" si="317"/>
        <v/>
      </c>
      <c r="L867" s="118"/>
      <c r="M867" s="121"/>
      <c r="N867" s="122" t="str">
        <f t="shared" si="318"/>
        <v/>
      </c>
      <c r="O867" s="35" t="str">
        <f t="shared" si="319"/>
        <v/>
      </c>
      <c r="P867" s="124"/>
      <c r="Q867" s="36" t="str">
        <f t="shared" si="331"/>
        <v/>
      </c>
      <c r="R867" s="46" t="str">
        <f t="shared" si="320"/>
        <v/>
      </c>
      <c r="S867" s="38" t="str">
        <f t="shared" si="321"/>
        <v/>
      </c>
      <c r="T867" s="39" t="str">
        <f t="shared" si="322"/>
        <v/>
      </c>
      <c r="U867" s="40" t="str">
        <f t="shared" si="323"/>
        <v/>
      </c>
      <c r="V867" s="39" t="str">
        <f t="shared" si="324"/>
        <v/>
      </c>
      <c r="W867" s="34" t="str">
        <f t="shared" si="325"/>
        <v/>
      </c>
      <c r="X867" s="41" t="str">
        <f t="shared" si="332"/>
        <v/>
      </c>
      <c r="Y867" s="98" t="str">
        <f t="shared" si="326"/>
        <v/>
      </c>
      <c r="Z867" s="16" t="str">
        <f t="shared" si="333"/>
        <v/>
      </c>
      <c r="AB867" s="139"/>
      <c r="AC867" s="146" t="str">
        <f t="shared" si="336"/>
        <v/>
      </c>
      <c r="AD867" s="148" t="str">
        <f t="shared" si="334"/>
        <v/>
      </c>
      <c r="AE867" s="147" t="str">
        <f t="shared" si="327"/>
        <v/>
      </c>
      <c r="AF867" s="111" t="str">
        <f t="shared" si="328"/>
        <v/>
      </c>
      <c r="AG867" s="111" t="str">
        <f t="shared" si="329"/>
        <v/>
      </c>
      <c r="AH867" s="112" t="str">
        <f t="shared" si="330"/>
        <v/>
      </c>
      <c r="AI867" t="str">
        <f t="shared" si="335"/>
        <v/>
      </c>
      <c r="AJ867" t="str">
        <f t="shared" si="337"/>
        <v/>
      </c>
    </row>
    <row r="868" spans="1:36" ht="15" customHeight="1" x14ac:dyDescent="0.25">
      <c r="A868" s="114"/>
      <c r="B868" s="116"/>
      <c r="C868" s="116"/>
      <c r="D868" s="42" t="str">
        <f t="shared" si="314"/>
        <v/>
      </c>
      <c r="E868" s="43"/>
      <c r="F868" s="118"/>
      <c r="G868" s="44" t="str">
        <f t="shared" si="315"/>
        <v/>
      </c>
      <c r="H868" s="118"/>
      <c r="I868" s="34" t="str">
        <f t="shared" si="316"/>
        <v/>
      </c>
      <c r="J868" s="118"/>
      <c r="K868" s="34" t="str">
        <f t="shared" si="317"/>
        <v/>
      </c>
      <c r="L868" s="118"/>
      <c r="M868" s="121"/>
      <c r="N868" s="122" t="str">
        <f t="shared" si="318"/>
        <v/>
      </c>
      <c r="O868" s="35" t="str">
        <f t="shared" si="319"/>
        <v/>
      </c>
      <c r="P868" s="124"/>
      <c r="Q868" s="36" t="str">
        <f t="shared" si="331"/>
        <v/>
      </c>
      <c r="R868" s="46" t="str">
        <f t="shared" si="320"/>
        <v/>
      </c>
      <c r="S868" s="38" t="str">
        <f t="shared" si="321"/>
        <v/>
      </c>
      <c r="T868" s="39" t="str">
        <f t="shared" si="322"/>
        <v/>
      </c>
      <c r="U868" s="40" t="str">
        <f t="shared" si="323"/>
        <v/>
      </c>
      <c r="V868" s="39" t="str">
        <f t="shared" si="324"/>
        <v/>
      </c>
      <c r="W868" s="34" t="str">
        <f t="shared" si="325"/>
        <v/>
      </c>
      <c r="X868" s="41" t="str">
        <f t="shared" si="332"/>
        <v/>
      </c>
      <c r="Y868" s="98" t="str">
        <f t="shared" si="326"/>
        <v/>
      </c>
      <c r="Z868" s="16" t="str">
        <f t="shared" si="333"/>
        <v/>
      </c>
      <c r="AB868" s="139"/>
      <c r="AC868" s="146" t="str">
        <f t="shared" si="336"/>
        <v/>
      </c>
      <c r="AD868" s="148" t="str">
        <f t="shared" si="334"/>
        <v/>
      </c>
      <c r="AE868" s="147" t="str">
        <f t="shared" si="327"/>
        <v/>
      </c>
      <c r="AF868" s="111" t="str">
        <f t="shared" si="328"/>
        <v/>
      </c>
      <c r="AG868" s="111" t="str">
        <f t="shared" si="329"/>
        <v/>
      </c>
      <c r="AH868" s="112" t="str">
        <f t="shared" si="330"/>
        <v/>
      </c>
      <c r="AI868" t="str">
        <f t="shared" si="335"/>
        <v/>
      </c>
      <c r="AJ868" t="str">
        <f t="shared" si="337"/>
        <v/>
      </c>
    </row>
    <row r="869" spans="1:36" ht="15" customHeight="1" x14ac:dyDescent="0.25">
      <c r="A869" s="114"/>
      <c r="B869" s="116"/>
      <c r="C869" s="116"/>
      <c r="D869" s="42" t="str">
        <f t="shared" si="314"/>
        <v/>
      </c>
      <c r="E869" s="43"/>
      <c r="F869" s="118"/>
      <c r="G869" s="44" t="str">
        <f t="shared" si="315"/>
        <v/>
      </c>
      <c r="H869" s="118"/>
      <c r="I869" s="34" t="str">
        <f t="shared" si="316"/>
        <v/>
      </c>
      <c r="J869" s="118"/>
      <c r="K869" s="34" t="str">
        <f t="shared" si="317"/>
        <v/>
      </c>
      <c r="L869" s="118"/>
      <c r="M869" s="121"/>
      <c r="N869" s="122" t="str">
        <f t="shared" si="318"/>
        <v/>
      </c>
      <c r="O869" s="35" t="str">
        <f t="shared" si="319"/>
        <v/>
      </c>
      <c r="P869" s="124"/>
      <c r="Q869" s="36" t="str">
        <f t="shared" si="331"/>
        <v/>
      </c>
      <c r="R869" s="46" t="str">
        <f t="shared" si="320"/>
        <v/>
      </c>
      <c r="S869" s="38" t="str">
        <f t="shared" si="321"/>
        <v/>
      </c>
      <c r="T869" s="39" t="str">
        <f t="shared" si="322"/>
        <v/>
      </c>
      <c r="U869" s="40" t="str">
        <f t="shared" si="323"/>
        <v/>
      </c>
      <c r="V869" s="39" t="str">
        <f t="shared" si="324"/>
        <v/>
      </c>
      <c r="W869" s="34" t="str">
        <f t="shared" si="325"/>
        <v/>
      </c>
      <c r="X869" s="41" t="str">
        <f t="shared" si="332"/>
        <v/>
      </c>
      <c r="Y869" s="98" t="str">
        <f t="shared" si="326"/>
        <v/>
      </c>
      <c r="Z869" s="16" t="str">
        <f t="shared" si="333"/>
        <v/>
      </c>
      <c r="AB869" s="139"/>
      <c r="AC869" s="146" t="str">
        <f t="shared" si="336"/>
        <v/>
      </c>
      <c r="AD869" s="148" t="str">
        <f t="shared" si="334"/>
        <v/>
      </c>
      <c r="AE869" s="147" t="str">
        <f t="shared" si="327"/>
        <v/>
      </c>
      <c r="AF869" s="111" t="str">
        <f t="shared" si="328"/>
        <v/>
      </c>
      <c r="AG869" s="111" t="str">
        <f t="shared" si="329"/>
        <v/>
      </c>
      <c r="AH869" s="112" t="str">
        <f t="shared" si="330"/>
        <v/>
      </c>
      <c r="AI869" t="str">
        <f t="shared" si="335"/>
        <v/>
      </c>
      <c r="AJ869" t="str">
        <f t="shared" si="337"/>
        <v/>
      </c>
    </row>
    <row r="870" spans="1:36" ht="15" customHeight="1" x14ac:dyDescent="0.25">
      <c r="A870" s="114"/>
      <c r="B870" s="116"/>
      <c r="C870" s="116"/>
      <c r="D870" s="42" t="str">
        <f t="shared" si="314"/>
        <v/>
      </c>
      <c r="E870" s="43"/>
      <c r="F870" s="118"/>
      <c r="G870" s="44" t="str">
        <f t="shared" si="315"/>
        <v/>
      </c>
      <c r="H870" s="118"/>
      <c r="I870" s="34" t="str">
        <f t="shared" si="316"/>
        <v/>
      </c>
      <c r="J870" s="118"/>
      <c r="K870" s="34" t="str">
        <f t="shared" si="317"/>
        <v/>
      </c>
      <c r="L870" s="118"/>
      <c r="M870" s="121"/>
      <c r="N870" s="122" t="str">
        <f t="shared" si="318"/>
        <v/>
      </c>
      <c r="O870" s="35" t="str">
        <f t="shared" si="319"/>
        <v/>
      </c>
      <c r="P870" s="124"/>
      <c r="Q870" s="36" t="str">
        <f t="shared" si="331"/>
        <v/>
      </c>
      <c r="R870" s="46" t="str">
        <f t="shared" si="320"/>
        <v/>
      </c>
      <c r="S870" s="38" t="str">
        <f t="shared" si="321"/>
        <v/>
      </c>
      <c r="T870" s="39" t="str">
        <f t="shared" si="322"/>
        <v/>
      </c>
      <c r="U870" s="40" t="str">
        <f t="shared" si="323"/>
        <v/>
      </c>
      <c r="V870" s="39" t="str">
        <f t="shared" si="324"/>
        <v/>
      </c>
      <c r="W870" s="34" t="str">
        <f t="shared" si="325"/>
        <v/>
      </c>
      <c r="X870" s="41" t="str">
        <f t="shared" si="332"/>
        <v/>
      </c>
      <c r="Y870" s="98" t="str">
        <f t="shared" si="326"/>
        <v/>
      </c>
      <c r="Z870" s="16" t="str">
        <f t="shared" si="333"/>
        <v/>
      </c>
      <c r="AB870" s="139"/>
      <c r="AC870" s="146" t="str">
        <f t="shared" si="336"/>
        <v/>
      </c>
      <c r="AD870" s="148" t="str">
        <f t="shared" si="334"/>
        <v/>
      </c>
      <c r="AE870" s="147" t="str">
        <f t="shared" si="327"/>
        <v/>
      </c>
      <c r="AF870" s="111" t="str">
        <f t="shared" si="328"/>
        <v/>
      </c>
      <c r="AG870" s="111" t="str">
        <f t="shared" si="329"/>
        <v/>
      </c>
      <c r="AH870" s="112" t="str">
        <f t="shared" si="330"/>
        <v/>
      </c>
      <c r="AI870" t="str">
        <f t="shared" si="335"/>
        <v/>
      </c>
      <c r="AJ870" t="str">
        <f t="shared" si="337"/>
        <v/>
      </c>
    </row>
    <row r="871" spans="1:36" ht="15" customHeight="1" x14ac:dyDescent="0.25">
      <c r="A871" s="114"/>
      <c r="B871" s="116"/>
      <c r="C871" s="116"/>
      <c r="D871" s="42" t="str">
        <f t="shared" si="314"/>
        <v/>
      </c>
      <c r="E871" s="43"/>
      <c r="F871" s="118"/>
      <c r="G871" s="44" t="str">
        <f t="shared" si="315"/>
        <v/>
      </c>
      <c r="H871" s="118"/>
      <c r="I871" s="34" t="str">
        <f t="shared" si="316"/>
        <v/>
      </c>
      <c r="J871" s="118"/>
      <c r="K871" s="34" t="str">
        <f t="shared" si="317"/>
        <v/>
      </c>
      <c r="L871" s="118"/>
      <c r="M871" s="121"/>
      <c r="N871" s="122" t="str">
        <f t="shared" si="318"/>
        <v/>
      </c>
      <c r="O871" s="35" t="str">
        <f t="shared" si="319"/>
        <v/>
      </c>
      <c r="P871" s="124"/>
      <c r="Q871" s="36" t="str">
        <f t="shared" si="331"/>
        <v/>
      </c>
      <c r="R871" s="46" t="str">
        <f t="shared" si="320"/>
        <v/>
      </c>
      <c r="S871" s="38" t="str">
        <f t="shared" si="321"/>
        <v/>
      </c>
      <c r="T871" s="39" t="str">
        <f t="shared" si="322"/>
        <v/>
      </c>
      <c r="U871" s="40" t="str">
        <f t="shared" si="323"/>
        <v/>
      </c>
      <c r="V871" s="39" t="str">
        <f t="shared" si="324"/>
        <v/>
      </c>
      <c r="W871" s="34" t="str">
        <f t="shared" si="325"/>
        <v/>
      </c>
      <c r="X871" s="41" t="str">
        <f t="shared" si="332"/>
        <v/>
      </c>
      <c r="Y871" s="98" t="str">
        <f t="shared" si="326"/>
        <v/>
      </c>
      <c r="Z871" s="16" t="str">
        <f t="shared" si="333"/>
        <v/>
      </c>
      <c r="AB871" s="139"/>
      <c r="AC871" s="146" t="str">
        <f t="shared" si="336"/>
        <v/>
      </c>
      <c r="AD871" s="148" t="str">
        <f t="shared" si="334"/>
        <v/>
      </c>
      <c r="AE871" s="147" t="str">
        <f t="shared" si="327"/>
        <v/>
      </c>
      <c r="AF871" s="111" t="str">
        <f t="shared" si="328"/>
        <v/>
      </c>
      <c r="AG871" s="111" t="str">
        <f t="shared" si="329"/>
        <v/>
      </c>
      <c r="AH871" s="112" t="str">
        <f t="shared" si="330"/>
        <v/>
      </c>
      <c r="AI871" t="str">
        <f t="shared" si="335"/>
        <v/>
      </c>
      <c r="AJ871" t="str">
        <f t="shared" si="337"/>
        <v/>
      </c>
    </row>
    <row r="872" spans="1:36" ht="15" customHeight="1" x14ac:dyDescent="0.25">
      <c r="A872" s="114"/>
      <c r="B872" s="116"/>
      <c r="C872" s="116"/>
      <c r="D872" s="42" t="str">
        <f t="shared" si="314"/>
        <v/>
      </c>
      <c r="E872" s="43"/>
      <c r="F872" s="118"/>
      <c r="G872" s="44" t="str">
        <f t="shared" si="315"/>
        <v/>
      </c>
      <c r="H872" s="118"/>
      <c r="I872" s="34" t="str">
        <f t="shared" si="316"/>
        <v/>
      </c>
      <c r="J872" s="118"/>
      <c r="K872" s="34" t="str">
        <f t="shared" si="317"/>
        <v/>
      </c>
      <c r="L872" s="118"/>
      <c r="M872" s="121"/>
      <c r="N872" s="122" t="str">
        <f t="shared" si="318"/>
        <v/>
      </c>
      <c r="O872" s="35" t="str">
        <f t="shared" si="319"/>
        <v/>
      </c>
      <c r="P872" s="124"/>
      <c r="Q872" s="36" t="str">
        <f t="shared" si="331"/>
        <v/>
      </c>
      <c r="R872" s="46" t="str">
        <f t="shared" si="320"/>
        <v/>
      </c>
      <c r="S872" s="38" t="str">
        <f t="shared" si="321"/>
        <v/>
      </c>
      <c r="T872" s="39" t="str">
        <f t="shared" si="322"/>
        <v/>
      </c>
      <c r="U872" s="40" t="str">
        <f t="shared" si="323"/>
        <v/>
      </c>
      <c r="V872" s="39" t="str">
        <f t="shared" si="324"/>
        <v/>
      </c>
      <c r="W872" s="34" t="str">
        <f t="shared" si="325"/>
        <v/>
      </c>
      <c r="X872" s="41" t="str">
        <f t="shared" si="332"/>
        <v/>
      </c>
      <c r="Y872" s="98" t="str">
        <f t="shared" si="326"/>
        <v/>
      </c>
      <c r="Z872" s="16" t="str">
        <f t="shared" si="333"/>
        <v/>
      </c>
      <c r="AB872" s="139"/>
      <c r="AC872" s="146" t="str">
        <f t="shared" si="336"/>
        <v/>
      </c>
      <c r="AD872" s="148" t="str">
        <f t="shared" si="334"/>
        <v/>
      </c>
      <c r="AE872" s="147" t="str">
        <f t="shared" si="327"/>
        <v/>
      </c>
      <c r="AF872" s="111" t="str">
        <f t="shared" si="328"/>
        <v/>
      </c>
      <c r="AG872" s="111" t="str">
        <f t="shared" si="329"/>
        <v/>
      </c>
      <c r="AH872" s="112" t="str">
        <f t="shared" si="330"/>
        <v/>
      </c>
      <c r="AI872" t="str">
        <f t="shared" si="335"/>
        <v/>
      </c>
      <c r="AJ872" t="str">
        <f t="shared" si="337"/>
        <v/>
      </c>
    </row>
    <row r="873" spans="1:36" ht="15" customHeight="1" x14ac:dyDescent="0.25">
      <c r="A873" s="114"/>
      <c r="B873" s="116"/>
      <c r="C873" s="116"/>
      <c r="D873" s="42" t="str">
        <f t="shared" si="314"/>
        <v/>
      </c>
      <c r="E873" s="43"/>
      <c r="F873" s="118"/>
      <c r="G873" s="44" t="str">
        <f t="shared" si="315"/>
        <v/>
      </c>
      <c r="H873" s="118"/>
      <c r="I873" s="34" t="str">
        <f t="shared" si="316"/>
        <v/>
      </c>
      <c r="J873" s="118"/>
      <c r="K873" s="34" t="str">
        <f t="shared" si="317"/>
        <v/>
      </c>
      <c r="L873" s="118"/>
      <c r="M873" s="121"/>
      <c r="N873" s="122" t="str">
        <f t="shared" si="318"/>
        <v/>
      </c>
      <c r="O873" s="35" t="str">
        <f t="shared" si="319"/>
        <v/>
      </c>
      <c r="P873" s="124"/>
      <c r="Q873" s="36" t="str">
        <f t="shared" si="331"/>
        <v/>
      </c>
      <c r="R873" s="46" t="str">
        <f t="shared" si="320"/>
        <v/>
      </c>
      <c r="S873" s="38" t="str">
        <f t="shared" si="321"/>
        <v/>
      </c>
      <c r="T873" s="39" t="str">
        <f t="shared" si="322"/>
        <v/>
      </c>
      <c r="U873" s="40" t="str">
        <f t="shared" si="323"/>
        <v/>
      </c>
      <c r="V873" s="39" t="str">
        <f t="shared" si="324"/>
        <v/>
      </c>
      <c r="W873" s="34" t="str">
        <f t="shared" si="325"/>
        <v/>
      </c>
      <c r="X873" s="41" t="str">
        <f t="shared" si="332"/>
        <v/>
      </c>
      <c r="Y873" s="98" t="str">
        <f t="shared" si="326"/>
        <v/>
      </c>
      <c r="Z873" s="16" t="str">
        <f t="shared" si="333"/>
        <v/>
      </c>
      <c r="AB873" s="139"/>
      <c r="AC873" s="146" t="str">
        <f t="shared" si="336"/>
        <v/>
      </c>
      <c r="AD873" s="148" t="str">
        <f t="shared" si="334"/>
        <v/>
      </c>
      <c r="AE873" s="147" t="str">
        <f t="shared" si="327"/>
        <v/>
      </c>
      <c r="AF873" s="111" t="str">
        <f t="shared" si="328"/>
        <v/>
      </c>
      <c r="AG873" s="111" t="str">
        <f t="shared" si="329"/>
        <v/>
      </c>
      <c r="AH873" s="112" t="str">
        <f t="shared" si="330"/>
        <v/>
      </c>
      <c r="AI873" t="str">
        <f t="shared" si="335"/>
        <v/>
      </c>
      <c r="AJ873" t="str">
        <f t="shared" si="337"/>
        <v/>
      </c>
    </row>
    <row r="874" spans="1:36" ht="15" customHeight="1" x14ac:dyDescent="0.25">
      <c r="A874" s="114"/>
      <c r="B874" s="116"/>
      <c r="C874" s="116"/>
      <c r="D874" s="42" t="str">
        <f t="shared" si="314"/>
        <v/>
      </c>
      <c r="E874" s="43"/>
      <c r="F874" s="118"/>
      <c r="G874" s="44" t="str">
        <f t="shared" si="315"/>
        <v/>
      </c>
      <c r="H874" s="118"/>
      <c r="I874" s="34" t="str">
        <f t="shared" si="316"/>
        <v/>
      </c>
      <c r="J874" s="118"/>
      <c r="K874" s="34" t="str">
        <f t="shared" si="317"/>
        <v/>
      </c>
      <c r="L874" s="118"/>
      <c r="M874" s="121"/>
      <c r="N874" s="122" t="str">
        <f t="shared" si="318"/>
        <v/>
      </c>
      <c r="O874" s="35" t="str">
        <f t="shared" si="319"/>
        <v/>
      </c>
      <c r="P874" s="124"/>
      <c r="Q874" s="36" t="str">
        <f t="shared" si="331"/>
        <v/>
      </c>
      <c r="R874" s="46" t="str">
        <f t="shared" si="320"/>
        <v/>
      </c>
      <c r="S874" s="38" t="str">
        <f t="shared" si="321"/>
        <v/>
      </c>
      <c r="T874" s="39" t="str">
        <f t="shared" si="322"/>
        <v/>
      </c>
      <c r="U874" s="40" t="str">
        <f t="shared" si="323"/>
        <v/>
      </c>
      <c r="V874" s="39" t="str">
        <f t="shared" si="324"/>
        <v/>
      </c>
      <c r="W874" s="34" t="str">
        <f t="shared" si="325"/>
        <v/>
      </c>
      <c r="X874" s="41" t="str">
        <f t="shared" si="332"/>
        <v/>
      </c>
      <c r="Y874" s="98" t="str">
        <f t="shared" si="326"/>
        <v/>
      </c>
      <c r="Z874" s="16" t="str">
        <f t="shared" si="333"/>
        <v/>
      </c>
      <c r="AB874" s="139"/>
      <c r="AC874" s="146" t="str">
        <f t="shared" si="336"/>
        <v/>
      </c>
      <c r="AD874" s="148" t="str">
        <f t="shared" si="334"/>
        <v/>
      </c>
      <c r="AE874" s="147" t="str">
        <f t="shared" si="327"/>
        <v/>
      </c>
      <c r="AF874" s="111" t="str">
        <f t="shared" si="328"/>
        <v/>
      </c>
      <c r="AG874" s="111" t="str">
        <f t="shared" si="329"/>
        <v/>
      </c>
      <c r="AH874" s="112" t="str">
        <f t="shared" si="330"/>
        <v/>
      </c>
      <c r="AI874" t="str">
        <f t="shared" si="335"/>
        <v/>
      </c>
      <c r="AJ874" t="str">
        <f t="shared" si="337"/>
        <v/>
      </c>
    </row>
    <row r="875" spans="1:36" ht="15" customHeight="1" x14ac:dyDescent="0.25">
      <c r="A875" s="114"/>
      <c r="B875" s="116"/>
      <c r="C875" s="116"/>
      <c r="D875" s="42" t="str">
        <f t="shared" si="314"/>
        <v/>
      </c>
      <c r="E875" s="43"/>
      <c r="F875" s="118"/>
      <c r="G875" s="44" t="str">
        <f t="shared" si="315"/>
        <v/>
      </c>
      <c r="H875" s="118"/>
      <c r="I875" s="34" t="str">
        <f t="shared" si="316"/>
        <v/>
      </c>
      <c r="J875" s="118"/>
      <c r="K875" s="34" t="str">
        <f t="shared" si="317"/>
        <v/>
      </c>
      <c r="L875" s="118"/>
      <c r="M875" s="121"/>
      <c r="N875" s="122" t="str">
        <f t="shared" si="318"/>
        <v/>
      </c>
      <c r="O875" s="35" t="str">
        <f t="shared" si="319"/>
        <v/>
      </c>
      <c r="P875" s="124"/>
      <c r="Q875" s="36" t="str">
        <f t="shared" si="331"/>
        <v/>
      </c>
      <c r="R875" s="46" t="str">
        <f t="shared" si="320"/>
        <v/>
      </c>
      <c r="S875" s="38" t="str">
        <f t="shared" si="321"/>
        <v/>
      </c>
      <c r="T875" s="39" t="str">
        <f t="shared" si="322"/>
        <v/>
      </c>
      <c r="U875" s="40" t="str">
        <f t="shared" si="323"/>
        <v/>
      </c>
      <c r="V875" s="39" t="str">
        <f t="shared" si="324"/>
        <v/>
      </c>
      <c r="W875" s="34" t="str">
        <f t="shared" si="325"/>
        <v/>
      </c>
      <c r="X875" s="41" t="str">
        <f t="shared" si="332"/>
        <v/>
      </c>
      <c r="Y875" s="98" t="str">
        <f t="shared" si="326"/>
        <v/>
      </c>
      <c r="Z875" s="16" t="str">
        <f t="shared" si="333"/>
        <v/>
      </c>
      <c r="AB875" s="139"/>
      <c r="AC875" s="146" t="str">
        <f t="shared" si="336"/>
        <v/>
      </c>
      <c r="AD875" s="148" t="str">
        <f t="shared" si="334"/>
        <v/>
      </c>
      <c r="AE875" s="147" t="str">
        <f t="shared" si="327"/>
        <v/>
      </c>
      <c r="AF875" s="111" t="str">
        <f t="shared" si="328"/>
        <v/>
      </c>
      <c r="AG875" s="111" t="str">
        <f t="shared" si="329"/>
        <v/>
      </c>
      <c r="AH875" s="112" t="str">
        <f t="shared" si="330"/>
        <v/>
      </c>
      <c r="AI875" t="str">
        <f t="shared" si="335"/>
        <v/>
      </c>
      <c r="AJ875" t="str">
        <f t="shared" si="337"/>
        <v/>
      </c>
    </row>
    <row r="876" spans="1:36" ht="15" customHeight="1" x14ac:dyDescent="0.25">
      <c r="A876" s="114"/>
      <c r="B876" s="116"/>
      <c r="C876" s="116"/>
      <c r="D876" s="42" t="str">
        <f t="shared" si="314"/>
        <v/>
      </c>
      <c r="E876" s="43"/>
      <c r="F876" s="118"/>
      <c r="G876" s="44" t="str">
        <f t="shared" si="315"/>
        <v/>
      </c>
      <c r="H876" s="118"/>
      <c r="I876" s="34" t="str">
        <f t="shared" si="316"/>
        <v/>
      </c>
      <c r="J876" s="118"/>
      <c r="K876" s="34" t="str">
        <f t="shared" si="317"/>
        <v/>
      </c>
      <c r="L876" s="118"/>
      <c r="M876" s="121"/>
      <c r="N876" s="122" t="str">
        <f t="shared" si="318"/>
        <v/>
      </c>
      <c r="O876" s="35" t="str">
        <f t="shared" si="319"/>
        <v/>
      </c>
      <c r="P876" s="124"/>
      <c r="Q876" s="36" t="str">
        <f t="shared" si="331"/>
        <v/>
      </c>
      <c r="R876" s="46" t="str">
        <f t="shared" si="320"/>
        <v/>
      </c>
      <c r="S876" s="38" t="str">
        <f t="shared" si="321"/>
        <v/>
      </c>
      <c r="T876" s="39" t="str">
        <f t="shared" si="322"/>
        <v/>
      </c>
      <c r="U876" s="40" t="str">
        <f t="shared" si="323"/>
        <v/>
      </c>
      <c r="V876" s="39" t="str">
        <f t="shared" si="324"/>
        <v/>
      </c>
      <c r="W876" s="34" t="str">
        <f t="shared" si="325"/>
        <v/>
      </c>
      <c r="X876" s="41" t="str">
        <f t="shared" si="332"/>
        <v/>
      </c>
      <c r="Y876" s="98" t="str">
        <f t="shared" si="326"/>
        <v/>
      </c>
      <c r="Z876" s="16" t="str">
        <f t="shared" si="333"/>
        <v/>
      </c>
      <c r="AB876" s="139"/>
      <c r="AC876" s="146" t="str">
        <f t="shared" si="336"/>
        <v/>
      </c>
      <c r="AD876" s="148" t="str">
        <f t="shared" si="334"/>
        <v/>
      </c>
      <c r="AE876" s="147" t="str">
        <f t="shared" si="327"/>
        <v/>
      </c>
      <c r="AF876" s="111" t="str">
        <f t="shared" si="328"/>
        <v/>
      </c>
      <c r="AG876" s="111" t="str">
        <f t="shared" si="329"/>
        <v/>
      </c>
      <c r="AH876" s="112" t="str">
        <f t="shared" si="330"/>
        <v/>
      </c>
      <c r="AI876" t="str">
        <f t="shared" si="335"/>
        <v/>
      </c>
      <c r="AJ876" t="str">
        <f t="shared" si="337"/>
        <v/>
      </c>
    </row>
    <row r="877" spans="1:36" ht="15" customHeight="1" x14ac:dyDescent="0.25">
      <c r="A877" s="114"/>
      <c r="B877" s="116"/>
      <c r="C877" s="116"/>
      <c r="D877" s="42" t="str">
        <f t="shared" si="314"/>
        <v/>
      </c>
      <c r="E877" s="43"/>
      <c r="F877" s="118"/>
      <c r="G877" s="44" t="str">
        <f t="shared" si="315"/>
        <v/>
      </c>
      <c r="H877" s="118"/>
      <c r="I877" s="34" t="str">
        <f t="shared" si="316"/>
        <v/>
      </c>
      <c r="J877" s="118"/>
      <c r="K877" s="34" t="str">
        <f t="shared" si="317"/>
        <v/>
      </c>
      <c r="L877" s="118"/>
      <c r="M877" s="121"/>
      <c r="N877" s="122" t="str">
        <f t="shared" si="318"/>
        <v/>
      </c>
      <c r="O877" s="35" t="str">
        <f t="shared" si="319"/>
        <v/>
      </c>
      <c r="P877" s="124"/>
      <c r="Q877" s="36" t="str">
        <f t="shared" si="331"/>
        <v/>
      </c>
      <c r="R877" s="46" t="str">
        <f t="shared" si="320"/>
        <v/>
      </c>
      <c r="S877" s="38" t="str">
        <f t="shared" si="321"/>
        <v/>
      </c>
      <c r="T877" s="39" t="str">
        <f t="shared" si="322"/>
        <v/>
      </c>
      <c r="U877" s="40" t="str">
        <f t="shared" si="323"/>
        <v/>
      </c>
      <c r="V877" s="39" t="str">
        <f t="shared" si="324"/>
        <v/>
      </c>
      <c r="W877" s="34" t="str">
        <f t="shared" si="325"/>
        <v/>
      </c>
      <c r="X877" s="41" t="str">
        <f t="shared" si="332"/>
        <v/>
      </c>
      <c r="Y877" s="98" t="str">
        <f t="shared" si="326"/>
        <v/>
      </c>
      <c r="Z877" s="16" t="str">
        <f t="shared" si="333"/>
        <v/>
      </c>
      <c r="AB877" s="139"/>
      <c r="AC877" s="146" t="str">
        <f t="shared" si="336"/>
        <v/>
      </c>
      <c r="AD877" s="148" t="str">
        <f t="shared" si="334"/>
        <v/>
      </c>
      <c r="AE877" s="147" t="str">
        <f t="shared" si="327"/>
        <v/>
      </c>
      <c r="AF877" s="111" t="str">
        <f t="shared" si="328"/>
        <v/>
      </c>
      <c r="AG877" s="111" t="str">
        <f t="shared" si="329"/>
        <v/>
      </c>
      <c r="AH877" s="112" t="str">
        <f t="shared" si="330"/>
        <v/>
      </c>
      <c r="AI877" t="str">
        <f t="shared" si="335"/>
        <v/>
      </c>
      <c r="AJ877" t="str">
        <f t="shared" si="337"/>
        <v/>
      </c>
    </row>
    <row r="878" spans="1:36" ht="15" customHeight="1" x14ac:dyDescent="0.25">
      <c r="A878" s="114"/>
      <c r="B878" s="116"/>
      <c r="C878" s="116"/>
      <c r="D878" s="42" t="str">
        <f t="shared" si="314"/>
        <v/>
      </c>
      <c r="E878" s="43"/>
      <c r="F878" s="118"/>
      <c r="G878" s="44" t="str">
        <f t="shared" si="315"/>
        <v/>
      </c>
      <c r="H878" s="118"/>
      <c r="I878" s="34" t="str">
        <f t="shared" si="316"/>
        <v/>
      </c>
      <c r="J878" s="118"/>
      <c r="K878" s="34" t="str">
        <f t="shared" si="317"/>
        <v/>
      </c>
      <c r="L878" s="118"/>
      <c r="M878" s="121"/>
      <c r="N878" s="122" t="str">
        <f t="shared" si="318"/>
        <v/>
      </c>
      <c r="O878" s="35" t="str">
        <f t="shared" si="319"/>
        <v/>
      </c>
      <c r="P878" s="124"/>
      <c r="Q878" s="36" t="str">
        <f t="shared" si="331"/>
        <v/>
      </c>
      <c r="R878" s="46" t="str">
        <f t="shared" si="320"/>
        <v/>
      </c>
      <c r="S878" s="38" t="str">
        <f t="shared" si="321"/>
        <v/>
      </c>
      <c r="T878" s="39" t="str">
        <f t="shared" si="322"/>
        <v/>
      </c>
      <c r="U878" s="40" t="str">
        <f t="shared" si="323"/>
        <v/>
      </c>
      <c r="V878" s="39" t="str">
        <f t="shared" si="324"/>
        <v/>
      </c>
      <c r="W878" s="34" t="str">
        <f t="shared" si="325"/>
        <v/>
      </c>
      <c r="X878" s="41" t="str">
        <f t="shared" si="332"/>
        <v/>
      </c>
      <c r="Y878" s="98" t="str">
        <f t="shared" si="326"/>
        <v/>
      </c>
      <c r="Z878" s="16" t="str">
        <f t="shared" si="333"/>
        <v/>
      </c>
      <c r="AB878" s="139"/>
      <c r="AC878" s="146" t="str">
        <f t="shared" si="336"/>
        <v/>
      </c>
      <c r="AD878" s="148" t="str">
        <f t="shared" si="334"/>
        <v/>
      </c>
      <c r="AE878" s="147" t="str">
        <f t="shared" si="327"/>
        <v/>
      </c>
      <c r="AF878" s="111" t="str">
        <f t="shared" si="328"/>
        <v/>
      </c>
      <c r="AG878" s="111" t="str">
        <f t="shared" si="329"/>
        <v/>
      </c>
      <c r="AH878" s="112" t="str">
        <f t="shared" si="330"/>
        <v/>
      </c>
      <c r="AI878" t="str">
        <f t="shared" si="335"/>
        <v/>
      </c>
      <c r="AJ878" t="str">
        <f t="shared" si="337"/>
        <v/>
      </c>
    </row>
    <row r="879" spans="1:36" ht="15" customHeight="1" x14ac:dyDescent="0.25">
      <c r="A879" s="114"/>
      <c r="B879" s="116"/>
      <c r="C879" s="116"/>
      <c r="D879" s="42" t="str">
        <f t="shared" si="314"/>
        <v/>
      </c>
      <c r="E879" s="43"/>
      <c r="F879" s="118"/>
      <c r="G879" s="44" t="str">
        <f t="shared" si="315"/>
        <v/>
      </c>
      <c r="H879" s="118"/>
      <c r="I879" s="34" t="str">
        <f t="shared" si="316"/>
        <v/>
      </c>
      <c r="J879" s="118"/>
      <c r="K879" s="34" t="str">
        <f t="shared" si="317"/>
        <v/>
      </c>
      <c r="L879" s="118"/>
      <c r="M879" s="121"/>
      <c r="N879" s="122" t="str">
        <f t="shared" si="318"/>
        <v/>
      </c>
      <c r="O879" s="35" t="str">
        <f t="shared" si="319"/>
        <v/>
      </c>
      <c r="P879" s="124"/>
      <c r="Q879" s="36" t="str">
        <f t="shared" si="331"/>
        <v/>
      </c>
      <c r="R879" s="46" t="str">
        <f t="shared" si="320"/>
        <v/>
      </c>
      <c r="S879" s="38" t="str">
        <f t="shared" si="321"/>
        <v/>
      </c>
      <c r="T879" s="39" t="str">
        <f t="shared" si="322"/>
        <v/>
      </c>
      <c r="U879" s="40" t="str">
        <f t="shared" si="323"/>
        <v/>
      </c>
      <c r="V879" s="39" t="str">
        <f t="shared" si="324"/>
        <v/>
      </c>
      <c r="W879" s="34" t="str">
        <f t="shared" si="325"/>
        <v/>
      </c>
      <c r="X879" s="41" t="str">
        <f t="shared" si="332"/>
        <v/>
      </c>
      <c r="Y879" s="98" t="str">
        <f t="shared" si="326"/>
        <v/>
      </c>
      <c r="Z879" s="16" t="str">
        <f t="shared" si="333"/>
        <v/>
      </c>
      <c r="AB879" s="139"/>
      <c r="AC879" s="146" t="str">
        <f t="shared" si="336"/>
        <v/>
      </c>
      <c r="AD879" s="148" t="str">
        <f t="shared" si="334"/>
        <v/>
      </c>
      <c r="AE879" s="147" t="str">
        <f t="shared" si="327"/>
        <v/>
      </c>
      <c r="AF879" s="111" t="str">
        <f t="shared" si="328"/>
        <v/>
      </c>
      <c r="AG879" s="111" t="str">
        <f t="shared" si="329"/>
        <v/>
      </c>
      <c r="AH879" s="112" t="str">
        <f t="shared" si="330"/>
        <v/>
      </c>
      <c r="AI879" t="str">
        <f t="shared" si="335"/>
        <v/>
      </c>
      <c r="AJ879" t="str">
        <f t="shared" si="337"/>
        <v/>
      </c>
    </row>
    <row r="880" spans="1:36" ht="15" customHeight="1" x14ac:dyDescent="0.25">
      <c r="A880" s="114"/>
      <c r="B880" s="116"/>
      <c r="C880" s="116"/>
      <c r="D880" s="42" t="str">
        <f t="shared" si="314"/>
        <v/>
      </c>
      <c r="E880" s="43"/>
      <c r="F880" s="118"/>
      <c r="G880" s="44" t="str">
        <f t="shared" si="315"/>
        <v/>
      </c>
      <c r="H880" s="118"/>
      <c r="I880" s="34" t="str">
        <f t="shared" si="316"/>
        <v/>
      </c>
      <c r="J880" s="118"/>
      <c r="K880" s="34" t="str">
        <f t="shared" si="317"/>
        <v/>
      </c>
      <c r="L880" s="118"/>
      <c r="M880" s="121"/>
      <c r="N880" s="122" t="str">
        <f t="shared" si="318"/>
        <v/>
      </c>
      <c r="O880" s="35" t="str">
        <f t="shared" si="319"/>
        <v/>
      </c>
      <c r="P880" s="124"/>
      <c r="Q880" s="36" t="str">
        <f t="shared" si="331"/>
        <v/>
      </c>
      <c r="R880" s="46" t="str">
        <f t="shared" si="320"/>
        <v/>
      </c>
      <c r="S880" s="38" t="str">
        <f t="shared" si="321"/>
        <v/>
      </c>
      <c r="T880" s="39" t="str">
        <f t="shared" si="322"/>
        <v/>
      </c>
      <c r="U880" s="40" t="str">
        <f t="shared" si="323"/>
        <v/>
      </c>
      <c r="V880" s="39" t="str">
        <f t="shared" si="324"/>
        <v/>
      </c>
      <c r="W880" s="34" t="str">
        <f t="shared" si="325"/>
        <v/>
      </c>
      <c r="X880" s="41" t="str">
        <f t="shared" si="332"/>
        <v/>
      </c>
      <c r="Y880" s="98" t="str">
        <f t="shared" si="326"/>
        <v/>
      </c>
      <c r="Z880" s="16" t="str">
        <f t="shared" si="333"/>
        <v/>
      </c>
      <c r="AB880" s="139"/>
      <c r="AC880" s="146" t="str">
        <f t="shared" si="336"/>
        <v/>
      </c>
      <c r="AD880" s="148" t="str">
        <f t="shared" si="334"/>
        <v/>
      </c>
      <c r="AE880" s="147" t="str">
        <f t="shared" si="327"/>
        <v/>
      </c>
      <c r="AF880" s="111" t="str">
        <f t="shared" si="328"/>
        <v/>
      </c>
      <c r="AG880" s="111" t="str">
        <f t="shared" si="329"/>
        <v/>
      </c>
      <c r="AH880" s="112" t="str">
        <f t="shared" si="330"/>
        <v/>
      </c>
      <c r="AI880" t="str">
        <f t="shared" si="335"/>
        <v/>
      </c>
      <c r="AJ880" t="str">
        <f t="shared" si="337"/>
        <v/>
      </c>
    </row>
    <row r="881" spans="1:36" ht="15" customHeight="1" x14ac:dyDescent="0.25">
      <c r="A881" s="114"/>
      <c r="B881" s="116"/>
      <c r="C881" s="116"/>
      <c r="D881" s="42" t="str">
        <f t="shared" si="314"/>
        <v/>
      </c>
      <c r="E881" s="43"/>
      <c r="F881" s="118"/>
      <c r="G881" s="44" t="str">
        <f t="shared" si="315"/>
        <v/>
      </c>
      <c r="H881" s="118"/>
      <c r="I881" s="34" t="str">
        <f t="shared" si="316"/>
        <v/>
      </c>
      <c r="J881" s="118"/>
      <c r="K881" s="34" t="str">
        <f t="shared" si="317"/>
        <v/>
      </c>
      <c r="L881" s="118"/>
      <c r="M881" s="121"/>
      <c r="N881" s="122" t="str">
        <f t="shared" si="318"/>
        <v/>
      </c>
      <c r="O881" s="35" t="str">
        <f t="shared" si="319"/>
        <v/>
      </c>
      <c r="P881" s="124"/>
      <c r="Q881" s="36" t="str">
        <f t="shared" si="331"/>
        <v/>
      </c>
      <c r="R881" s="46" t="str">
        <f t="shared" si="320"/>
        <v/>
      </c>
      <c r="S881" s="38" t="str">
        <f t="shared" si="321"/>
        <v/>
      </c>
      <c r="T881" s="39" t="str">
        <f t="shared" si="322"/>
        <v/>
      </c>
      <c r="U881" s="40" t="str">
        <f t="shared" si="323"/>
        <v/>
      </c>
      <c r="V881" s="39" t="str">
        <f t="shared" si="324"/>
        <v/>
      </c>
      <c r="W881" s="34" t="str">
        <f t="shared" si="325"/>
        <v/>
      </c>
      <c r="X881" s="41" t="str">
        <f t="shared" si="332"/>
        <v/>
      </c>
      <c r="Y881" s="98" t="str">
        <f t="shared" si="326"/>
        <v/>
      </c>
      <c r="Z881" s="16" t="str">
        <f t="shared" si="333"/>
        <v/>
      </c>
      <c r="AB881" s="139"/>
      <c r="AC881" s="146" t="str">
        <f t="shared" si="336"/>
        <v/>
      </c>
      <c r="AD881" s="148" t="str">
        <f t="shared" si="334"/>
        <v/>
      </c>
      <c r="AE881" s="147" t="str">
        <f t="shared" si="327"/>
        <v/>
      </c>
      <c r="AF881" s="111" t="str">
        <f t="shared" si="328"/>
        <v/>
      </c>
      <c r="AG881" s="111" t="str">
        <f t="shared" si="329"/>
        <v/>
      </c>
      <c r="AH881" s="112" t="str">
        <f t="shared" si="330"/>
        <v/>
      </c>
      <c r="AI881" t="str">
        <f t="shared" si="335"/>
        <v/>
      </c>
      <c r="AJ881" t="str">
        <f t="shared" si="337"/>
        <v/>
      </c>
    </row>
    <row r="882" spans="1:36" ht="15" customHeight="1" x14ac:dyDescent="0.25">
      <c r="A882" s="114"/>
      <c r="B882" s="116"/>
      <c r="C882" s="116"/>
      <c r="D882" s="42" t="str">
        <f t="shared" si="314"/>
        <v/>
      </c>
      <c r="E882" s="43"/>
      <c r="F882" s="118"/>
      <c r="G882" s="44" t="str">
        <f t="shared" si="315"/>
        <v/>
      </c>
      <c r="H882" s="118"/>
      <c r="I882" s="34" t="str">
        <f t="shared" si="316"/>
        <v/>
      </c>
      <c r="J882" s="118"/>
      <c r="K882" s="34" t="str">
        <f t="shared" si="317"/>
        <v/>
      </c>
      <c r="L882" s="118"/>
      <c r="M882" s="121"/>
      <c r="N882" s="122" t="str">
        <f t="shared" si="318"/>
        <v/>
      </c>
      <c r="O882" s="35" t="str">
        <f t="shared" si="319"/>
        <v/>
      </c>
      <c r="P882" s="124"/>
      <c r="Q882" s="36" t="str">
        <f t="shared" si="331"/>
        <v/>
      </c>
      <c r="R882" s="46" t="str">
        <f t="shared" si="320"/>
        <v/>
      </c>
      <c r="S882" s="38" t="str">
        <f t="shared" si="321"/>
        <v/>
      </c>
      <c r="T882" s="39" t="str">
        <f t="shared" si="322"/>
        <v/>
      </c>
      <c r="U882" s="40" t="str">
        <f t="shared" si="323"/>
        <v/>
      </c>
      <c r="V882" s="39" t="str">
        <f t="shared" si="324"/>
        <v/>
      </c>
      <c r="W882" s="34" t="str">
        <f t="shared" si="325"/>
        <v/>
      </c>
      <c r="X882" s="41" t="str">
        <f t="shared" si="332"/>
        <v/>
      </c>
      <c r="Y882" s="98" t="str">
        <f t="shared" si="326"/>
        <v/>
      </c>
      <c r="Z882" s="16" t="str">
        <f t="shared" si="333"/>
        <v/>
      </c>
      <c r="AB882" s="139"/>
      <c r="AC882" s="146" t="str">
        <f t="shared" si="336"/>
        <v/>
      </c>
      <c r="AD882" s="148" t="str">
        <f t="shared" si="334"/>
        <v/>
      </c>
      <c r="AE882" s="147" t="str">
        <f t="shared" si="327"/>
        <v/>
      </c>
      <c r="AF882" s="111" t="str">
        <f t="shared" si="328"/>
        <v/>
      </c>
      <c r="AG882" s="111" t="str">
        <f t="shared" si="329"/>
        <v/>
      </c>
      <c r="AH882" s="112" t="str">
        <f t="shared" si="330"/>
        <v/>
      </c>
      <c r="AI882" t="str">
        <f t="shared" si="335"/>
        <v/>
      </c>
      <c r="AJ882" t="str">
        <f t="shared" si="337"/>
        <v/>
      </c>
    </row>
    <row r="883" spans="1:36" ht="15" customHeight="1" x14ac:dyDescent="0.25">
      <c r="A883" s="114"/>
      <c r="B883" s="116"/>
      <c r="C883" s="116"/>
      <c r="D883" s="42" t="str">
        <f t="shared" si="314"/>
        <v/>
      </c>
      <c r="E883" s="43"/>
      <c r="F883" s="118"/>
      <c r="G883" s="44" t="str">
        <f t="shared" si="315"/>
        <v/>
      </c>
      <c r="H883" s="118"/>
      <c r="I883" s="34" t="str">
        <f t="shared" si="316"/>
        <v/>
      </c>
      <c r="J883" s="118"/>
      <c r="K883" s="34" t="str">
        <f t="shared" si="317"/>
        <v/>
      </c>
      <c r="L883" s="118"/>
      <c r="M883" s="121"/>
      <c r="N883" s="122" t="str">
        <f t="shared" si="318"/>
        <v/>
      </c>
      <c r="O883" s="35" t="str">
        <f t="shared" si="319"/>
        <v/>
      </c>
      <c r="P883" s="124"/>
      <c r="Q883" s="36" t="str">
        <f t="shared" si="331"/>
        <v/>
      </c>
      <c r="R883" s="46" t="str">
        <f t="shared" si="320"/>
        <v/>
      </c>
      <c r="S883" s="38" t="str">
        <f t="shared" si="321"/>
        <v/>
      </c>
      <c r="T883" s="39" t="str">
        <f t="shared" si="322"/>
        <v/>
      </c>
      <c r="U883" s="40" t="str">
        <f t="shared" si="323"/>
        <v/>
      </c>
      <c r="V883" s="39" t="str">
        <f t="shared" si="324"/>
        <v/>
      </c>
      <c r="W883" s="34" t="str">
        <f t="shared" si="325"/>
        <v/>
      </c>
      <c r="X883" s="41" t="str">
        <f t="shared" si="332"/>
        <v/>
      </c>
      <c r="Y883" s="98" t="str">
        <f t="shared" si="326"/>
        <v/>
      </c>
      <c r="Z883" s="16" t="str">
        <f t="shared" si="333"/>
        <v/>
      </c>
      <c r="AB883" s="139"/>
      <c r="AC883" s="146" t="str">
        <f t="shared" si="336"/>
        <v/>
      </c>
      <c r="AD883" s="148" t="str">
        <f t="shared" si="334"/>
        <v/>
      </c>
      <c r="AE883" s="147" t="str">
        <f t="shared" si="327"/>
        <v/>
      </c>
      <c r="AF883" s="111" t="str">
        <f t="shared" si="328"/>
        <v/>
      </c>
      <c r="AG883" s="111" t="str">
        <f t="shared" si="329"/>
        <v/>
      </c>
      <c r="AH883" s="112" t="str">
        <f t="shared" si="330"/>
        <v/>
      </c>
      <c r="AI883" t="str">
        <f t="shared" si="335"/>
        <v/>
      </c>
      <c r="AJ883" t="str">
        <f t="shared" si="337"/>
        <v/>
      </c>
    </row>
    <row r="884" spans="1:36" ht="15" customHeight="1" x14ac:dyDescent="0.25">
      <c r="A884" s="114"/>
      <c r="B884" s="116"/>
      <c r="C884" s="116"/>
      <c r="D884" s="42" t="str">
        <f t="shared" si="314"/>
        <v/>
      </c>
      <c r="E884" s="43"/>
      <c r="F884" s="118"/>
      <c r="G884" s="44" t="str">
        <f t="shared" si="315"/>
        <v/>
      </c>
      <c r="H884" s="118"/>
      <c r="I884" s="34" t="str">
        <f t="shared" si="316"/>
        <v/>
      </c>
      <c r="J884" s="118"/>
      <c r="K884" s="34" t="str">
        <f t="shared" si="317"/>
        <v/>
      </c>
      <c r="L884" s="118"/>
      <c r="M884" s="121"/>
      <c r="N884" s="122" t="str">
        <f t="shared" si="318"/>
        <v/>
      </c>
      <c r="O884" s="35" t="str">
        <f t="shared" si="319"/>
        <v/>
      </c>
      <c r="P884" s="124"/>
      <c r="Q884" s="36" t="str">
        <f t="shared" si="331"/>
        <v/>
      </c>
      <c r="R884" s="46" t="str">
        <f t="shared" si="320"/>
        <v/>
      </c>
      <c r="S884" s="38" t="str">
        <f t="shared" si="321"/>
        <v/>
      </c>
      <c r="T884" s="39" t="str">
        <f t="shared" si="322"/>
        <v/>
      </c>
      <c r="U884" s="40" t="str">
        <f t="shared" si="323"/>
        <v/>
      </c>
      <c r="V884" s="39" t="str">
        <f t="shared" si="324"/>
        <v/>
      </c>
      <c r="W884" s="34" t="str">
        <f t="shared" si="325"/>
        <v/>
      </c>
      <c r="X884" s="41" t="str">
        <f t="shared" si="332"/>
        <v/>
      </c>
      <c r="Y884" s="98" t="str">
        <f t="shared" si="326"/>
        <v/>
      </c>
      <c r="Z884" s="16" t="str">
        <f t="shared" si="333"/>
        <v/>
      </c>
      <c r="AB884" s="139"/>
      <c r="AC884" s="146" t="str">
        <f t="shared" si="336"/>
        <v/>
      </c>
      <c r="AD884" s="148" t="str">
        <f t="shared" si="334"/>
        <v/>
      </c>
      <c r="AE884" s="147" t="str">
        <f t="shared" si="327"/>
        <v/>
      </c>
      <c r="AF884" s="111" t="str">
        <f t="shared" si="328"/>
        <v/>
      </c>
      <c r="AG884" s="111" t="str">
        <f t="shared" si="329"/>
        <v/>
      </c>
      <c r="AH884" s="112" t="str">
        <f t="shared" si="330"/>
        <v/>
      </c>
      <c r="AI884" t="str">
        <f t="shared" si="335"/>
        <v/>
      </c>
      <c r="AJ884" t="str">
        <f t="shared" si="337"/>
        <v/>
      </c>
    </row>
    <row r="885" spans="1:36" ht="15" customHeight="1" x14ac:dyDescent="0.25">
      <c r="A885" s="114"/>
      <c r="B885" s="116"/>
      <c r="C885" s="116"/>
      <c r="D885" s="42" t="str">
        <f t="shared" si="314"/>
        <v/>
      </c>
      <c r="E885" s="43"/>
      <c r="F885" s="118"/>
      <c r="G885" s="44" t="str">
        <f t="shared" si="315"/>
        <v/>
      </c>
      <c r="H885" s="118"/>
      <c r="I885" s="34" t="str">
        <f t="shared" si="316"/>
        <v/>
      </c>
      <c r="J885" s="118"/>
      <c r="K885" s="34" t="str">
        <f t="shared" si="317"/>
        <v/>
      </c>
      <c r="L885" s="118"/>
      <c r="M885" s="121"/>
      <c r="N885" s="122" t="str">
        <f t="shared" si="318"/>
        <v/>
      </c>
      <c r="O885" s="35" t="str">
        <f t="shared" si="319"/>
        <v/>
      </c>
      <c r="P885" s="124"/>
      <c r="Q885" s="36" t="str">
        <f t="shared" si="331"/>
        <v/>
      </c>
      <c r="R885" s="46" t="str">
        <f t="shared" si="320"/>
        <v/>
      </c>
      <c r="S885" s="38" t="str">
        <f t="shared" si="321"/>
        <v/>
      </c>
      <c r="T885" s="39" t="str">
        <f t="shared" si="322"/>
        <v/>
      </c>
      <c r="U885" s="40" t="str">
        <f t="shared" si="323"/>
        <v/>
      </c>
      <c r="V885" s="39" t="str">
        <f t="shared" si="324"/>
        <v/>
      </c>
      <c r="W885" s="34" t="str">
        <f t="shared" si="325"/>
        <v/>
      </c>
      <c r="X885" s="41" t="str">
        <f t="shared" si="332"/>
        <v/>
      </c>
      <c r="Y885" s="98" t="str">
        <f t="shared" si="326"/>
        <v/>
      </c>
      <c r="Z885" s="16" t="str">
        <f t="shared" si="333"/>
        <v/>
      </c>
      <c r="AB885" s="139"/>
      <c r="AC885" s="146" t="str">
        <f t="shared" si="336"/>
        <v/>
      </c>
      <c r="AD885" s="148" t="str">
        <f t="shared" si="334"/>
        <v/>
      </c>
      <c r="AE885" s="147" t="str">
        <f t="shared" si="327"/>
        <v/>
      </c>
      <c r="AF885" s="111" t="str">
        <f t="shared" si="328"/>
        <v/>
      </c>
      <c r="AG885" s="111" t="str">
        <f t="shared" si="329"/>
        <v/>
      </c>
      <c r="AH885" s="112" t="str">
        <f t="shared" si="330"/>
        <v/>
      </c>
      <c r="AI885" t="str">
        <f t="shared" si="335"/>
        <v/>
      </c>
      <c r="AJ885" t="str">
        <f t="shared" si="337"/>
        <v/>
      </c>
    </row>
    <row r="886" spans="1:36" ht="15" customHeight="1" x14ac:dyDescent="0.25">
      <c r="A886" s="114"/>
      <c r="B886" s="116"/>
      <c r="C886" s="116"/>
      <c r="D886" s="42" t="str">
        <f t="shared" si="314"/>
        <v/>
      </c>
      <c r="E886" s="43"/>
      <c r="F886" s="118"/>
      <c r="G886" s="44" t="str">
        <f t="shared" si="315"/>
        <v/>
      </c>
      <c r="H886" s="118"/>
      <c r="I886" s="34" t="str">
        <f t="shared" si="316"/>
        <v/>
      </c>
      <c r="J886" s="118"/>
      <c r="K886" s="34" t="str">
        <f t="shared" si="317"/>
        <v/>
      </c>
      <c r="L886" s="118"/>
      <c r="M886" s="121"/>
      <c r="N886" s="122" t="str">
        <f t="shared" si="318"/>
        <v/>
      </c>
      <c r="O886" s="35" t="str">
        <f t="shared" si="319"/>
        <v/>
      </c>
      <c r="P886" s="124"/>
      <c r="Q886" s="36" t="str">
        <f t="shared" si="331"/>
        <v/>
      </c>
      <c r="R886" s="46" t="str">
        <f t="shared" si="320"/>
        <v/>
      </c>
      <c r="S886" s="38" t="str">
        <f t="shared" si="321"/>
        <v/>
      </c>
      <c r="T886" s="39" t="str">
        <f t="shared" si="322"/>
        <v/>
      </c>
      <c r="U886" s="40" t="str">
        <f t="shared" si="323"/>
        <v/>
      </c>
      <c r="V886" s="39" t="str">
        <f t="shared" si="324"/>
        <v/>
      </c>
      <c r="W886" s="34" t="str">
        <f t="shared" si="325"/>
        <v/>
      </c>
      <c r="X886" s="41" t="str">
        <f t="shared" si="332"/>
        <v/>
      </c>
      <c r="Y886" s="98" t="str">
        <f t="shared" si="326"/>
        <v/>
      </c>
      <c r="Z886" s="16" t="str">
        <f t="shared" si="333"/>
        <v/>
      </c>
      <c r="AB886" s="139"/>
      <c r="AC886" s="146" t="str">
        <f t="shared" si="336"/>
        <v/>
      </c>
      <c r="AD886" s="148" t="str">
        <f t="shared" si="334"/>
        <v/>
      </c>
      <c r="AE886" s="147" t="str">
        <f t="shared" si="327"/>
        <v/>
      </c>
      <c r="AF886" s="111" t="str">
        <f t="shared" si="328"/>
        <v/>
      </c>
      <c r="AG886" s="111" t="str">
        <f t="shared" si="329"/>
        <v/>
      </c>
      <c r="AH886" s="112" t="str">
        <f t="shared" si="330"/>
        <v/>
      </c>
      <c r="AI886" t="str">
        <f t="shared" si="335"/>
        <v/>
      </c>
      <c r="AJ886" t="str">
        <f t="shared" si="337"/>
        <v/>
      </c>
    </row>
    <row r="887" spans="1:36" ht="15" customHeight="1" x14ac:dyDescent="0.25">
      <c r="A887" s="114"/>
      <c r="B887" s="116"/>
      <c r="C887" s="116"/>
      <c r="D887" s="42" t="str">
        <f t="shared" si="314"/>
        <v/>
      </c>
      <c r="E887" s="43"/>
      <c r="F887" s="118"/>
      <c r="G887" s="44" t="str">
        <f t="shared" si="315"/>
        <v/>
      </c>
      <c r="H887" s="118"/>
      <c r="I887" s="34" t="str">
        <f t="shared" si="316"/>
        <v/>
      </c>
      <c r="J887" s="118"/>
      <c r="K887" s="34" t="str">
        <f t="shared" si="317"/>
        <v/>
      </c>
      <c r="L887" s="118"/>
      <c r="M887" s="121"/>
      <c r="N887" s="122" t="str">
        <f t="shared" si="318"/>
        <v/>
      </c>
      <c r="O887" s="35" t="str">
        <f t="shared" si="319"/>
        <v/>
      </c>
      <c r="P887" s="124"/>
      <c r="Q887" s="36" t="str">
        <f t="shared" si="331"/>
        <v/>
      </c>
      <c r="R887" s="46" t="str">
        <f t="shared" si="320"/>
        <v/>
      </c>
      <c r="S887" s="38" t="str">
        <f t="shared" si="321"/>
        <v/>
      </c>
      <c r="T887" s="39" t="str">
        <f t="shared" si="322"/>
        <v/>
      </c>
      <c r="U887" s="40" t="str">
        <f t="shared" si="323"/>
        <v/>
      </c>
      <c r="V887" s="39" t="str">
        <f t="shared" si="324"/>
        <v/>
      </c>
      <c r="W887" s="34" t="str">
        <f t="shared" si="325"/>
        <v/>
      </c>
      <c r="X887" s="41" t="str">
        <f t="shared" si="332"/>
        <v/>
      </c>
      <c r="Y887" s="98" t="str">
        <f t="shared" si="326"/>
        <v/>
      </c>
      <c r="Z887" s="16" t="str">
        <f t="shared" si="333"/>
        <v/>
      </c>
      <c r="AB887" s="139"/>
      <c r="AC887" s="146" t="str">
        <f t="shared" si="336"/>
        <v/>
      </c>
      <c r="AD887" s="148" t="str">
        <f t="shared" si="334"/>
        <v/>
      </c>
      <c r="AE887" s="147" t="str">
        <f t="shared" si="327"/>
        <v/>
      </c>
      <c r="AF887" s="111" t="str">
        <f t="shared" si="328"/>
        <v/>
      </c>
      <c r="AG887" s="111" t="str">
        <f t="shared" si="329"/>
        <v/>
      </c>
      <c r="AH887" s="112" t="str">
        <f t="shared" si="330"/>
        <v/>
      </c>
      <c r="AI887" t="str">
        <f t="shared" si="335"/>
        <v/>
      </c>
      <c r="AJ887" t="str">
        <f t="shared" si="337"/>
        <v/>
      </c>
    </row>
    <row r="888" spans="1:36" ht="15" customHeight="1" x14ac:dyDescent="0.25">
      <c r="A888" s="114"/>
      <c r="B888" s="116"/>
      <c r="C888" s="116"/>
      <c r="D888" s="42" t="str">
        <f t="shared" si="314"/>
        <v/>
      </c>
      <c r="E888" s="43"/>
      <c r="F888" s="118"/>
      <c r="G888" s="44" t="str">
        <f t="shared" si="315"/>
        <v/>
      </c>
      <c r="H888" s="118"/>
      <c r="I888" s="34" t="str">
        <f t="shared" si="316"/>
        <v/>
      </c>
      <c r="J888" s="118"/>
      <c r="K888" s="34" t="str">
        <f t="shared" si="317"/>
        <v/>
      </c>
      <c r="L888" s="118"/>
      <c r="M888" s="121"/>
      <c r="N888" s="122" t="str">
        <f t="shared" si="318"/>
        <v/>
      </c>
      <c r="O888" s="35" t="str">
        <f t="shared" si="319"/>
        <v/>
      </c>
      <c r="P888" s="124"/>
      <c r="Q888" s="36" t="str">
        <f t="shared" si="331"/>
        <v/>
      </c>
      <c r="R888" s="46" t="str">
        <f t="shared" si="320"/>
        <v/>
      </c>
      <c r="S888" s="38" t="str">
        <f t="shared" si="321"/>
        <v/>
      </c>
      <c r="T888" s="39" t="str">
        <f t="shared" si="322"/>
        <v/>
      </c>
      <c r="U888" s="40" t="str">
        <f t="shared" si="323"/>
        <v/>
      </c>
      <c r="V888" s="39" t="str">
        <f t="shared" si="324"/>
        <v/>
      </c>
      <c r="W888" s="34" t="str">
        <f t="shared" si="325"/>
        <v/>
      </c>
      <c r="X888" s="41" t="str">
        <f t="shared" si="332"/>
        <v/>
      </c>
      <c r="Y888" s="98" t="str">
        <f t="shared" si="326"/>
        <v/>
      </c>
      <c r="Z888" s="16" t="str">
        <f t="shared" si="333"/>
        <v/>
      </c>
      <c r="AB888" s="139"/>
      <c r="AC888" s="146" t="str">
        <f t="shared" si="336"/>
        <v/>
      </c>
      <c r="AD888" s="148" t="str">
        <f t="shared" si="334"/>
        <v/>
      </c>
      <c r="AE888" s="147" t="str">
        <f t="shared" si="327"/>
        <v/>
      </c>
      <c r="AF888" s="111" t="str">
        <f t="shared" si="328"/>
        <v/>
      </c>
      <c r="AG888" s="111" t="str">
        <f t="shared" si="329"/>
        <v/>
      </c>
      <c r="AH888" s="112" t="str">
        <f t="shared" si="330"/>
        <v/>
      </c>
      <c r="AI888" t="str">
        <f t="shared" si="335"/>
        <v/>
      </c>
      <c r="AJ888" t="str">
        <f t="shared" si="337"/>
        <v/>
      </c>
    </row>
    <row r="889" spans="1:36" ht="15" customHeight="1" x14ac:dyDescent="0.25">
      <c r="A889" s="114"/>
      <c r="B889" s="116"/>
      <c r="C889" s="116"/>
      <c r="D889" s="42" t="str">
        <f t="shared" si="314"/>
        <v/>
      </c>
      <c r="E889" s="43"/>
      <c r="F889" s="118"/>
      <c r="G889" s="44" t="str">
        <f t="shared" si="315"/>
        <v/>
      </c>
      <c r="H889" s="118"/>
      <c r="I889" s="34" t="str">
        <f t="shared" si="316"/>
        <v/>
      </c>
      <c r="J889" s="118"/>
      <c r="K889" s="34" t="str">
        <f t="shared" si="317"/>
        <v/>
      </c>
      <c r="L889" s="118"/>
      <c r="M889" s="121"/>
      <c r="N889" s="122" t="str">
        <f t="shared" si="318"/>
        <v/>
      </c>
      <c r="O889" s="35" t="str">
        <f t="shared" si="319"/>
        <v/>
      </c>
      <c r="P889" s="124"/>
      <c r="Q889" s="36" t="str">
        <f t="shared" si="331"/>
        <v/>
      </c>
      <c r="R889" s="46" t="str">
        <f t="shared" si="320"/>
        <v/>
      </c>
      <c r="S889" s="38" t="str">
        <f t="shared" si="321"/>
        <v/>
      </c>
      <c r="T889" s="39" t="str">
        <f t="shared" si="322"/>
        <v/>
      </c>
      <c r="U889" s="40" t="str">
        <f t="shared" si="323"/>
        <v/>
      </c>
      <c r="V889" s="39" t="str">
        <f t="shared" si="324"/>
        <v/>
      </c>
      <c r="W889" s="34" t="str">
        <f t="shared" si="325"/>
        <v/>
      </c>
      <c r="X889" s="41" t="str">
        <f t="shared" si="332"/>
        <v/>
      </c>
      <c r="Y889" s="98" t="str">
        <f t="shared" si="326"/>
        <v/>
      </c>
      <c r="Z889" s="16" t="str">
        <f t="shared" si="333"/>
        <v/>
      </c>
      <c r="AB889" s="139"/>
      <c r="AC889" s="146" t="str">
        <f t="shared" si="336"/>
        <v/>
      </c>
      <c r="AD889" s="148" t="str">
        <f t="shared" si="334"/>
        <v/>
      </c>
      <c r="AE889" s="147" t="str">
        <f t="shared" si="327"/>
        <v/>
      </c>
      <c r="AF889" s="111" t="str">
        <f t="shared" si="328"/>
        <v/>
      </c>
      <c r="AG889" s="111" t="str">
        <f t="shared" si="329"/>
        <v/>
      </c>
      <c r="AH889" s="112" t="str">
        <f t="shared" si="330"/>
        <v/>
      </c>
      <c r="AI889" t="str">
        <f t="shared" si="335"/>
        <v/>
      </c>
      <c r="AJ889" t="str">
        <f t="shared" si="337"/>
        <v/>
      </c>
    </row>
    <row r="890" spans="1:36" ht="15" customHeight="1" x14ac:dyDescent="0.25">
      <c r="A890" s="114"/>
      <c r="B890" s="116"/>
      <c r="C890" s="116"/>
      <c r="D890" s="42" t="str">
        <f t="shared" si="314"/>
        <v/>
      </c>
      <c r="E890" s="43"/>
      <c r="F890" s="118"/>
      <c r="G890" s="44" t="str">
        <f t="shared" si="315"/>
        <v/>
      </c>
      <c r="H890" s="118"/>
      <c r="I890" s="34" t="str">
        <f t="shared" si="316"/>
        <v/>
      </c>
      <c r="J890" s="118"/>
      <c r="K890" s="34" t="str">
        <f t="shared" si="317"/>
        <v/>
      </c>
      <c r="L890" s="118"/>
      <c r="M890" s="121"/>
      <c r="N890" s="122" t="str">
        <f t="shared" si="318"/>
        <v/>
      </c>
      <c r="O890" s="35" t="str">
        <f t="shared" si="319"/>
        <v/>
      </c>
      <c r="P890" s="124"/>
      <c r="Q890" s="36" t="str">
        <f t="shared" si="331"/>
        <v/>
      </c>
      <c r="R890" s="46" t="str">
        <f t="shared" si="320"/>
        <v/>
      </c>
      <c r="S890" s="38" t="str">
        <f t="shared" si="321"/>
        <v/>
      </c>
      <c r="T890" s="39" t="str">
        <f t="shared" si="322"/>
        <v/>
      </c>
      <c r="U890" s="40" t="str">
        <f t="shared" si="323"/>
        <v/>
      </c>
      <c r="V890" s="39" t="str">
        <f t="shared" si="324"/>
        <v/>
      </c>
      <c r="W890" s="34" t="str">
        <f t="shared" si="325"/>
        <v/>
      </c>
      <c r="X890" s="41" t="str">
        <f t="shared" si="332"/>
        <v/>
      </c>
      <c r="Y890" s="98" t="str">
        <f t="shared" si="326"/>
        <v/>
      </c>
      <c r="Z890" s="16" t="str">
        <f t="shared" si="333"/>
        <v/>
      </c>
      <c r="AB890" s="139"/>
      <c r="AC890" s="146" t="str">
        <f t="shared" si="336"/>
        <v/>
      </c>
      <c r="AD890" s="148" t="str">
        <f t="shared" si="334"/>
        <v/>
      </c>
      <c r="AE890" s="147" t="str">
        <f t="shared" si="327"/>
        <v/>
      </c>
      <c r="AF890" s="111" t="str">
        <f t="shared" si="328"/>
        <v/>
      </c>
      <c r="AG890" s="111" t="str">
        <f t="shared" si="329"/>
        <v/>
      </c>
      <c r="AH890" s="112" t="str">
        <f t="shared" si="330"/>
        <v/>
      </c>
      <c r="AI890" t="str">
        <f t="shared" si="335"/>
        <v/>
      </c>
      <c r="AJ890" t="str">
        <f t="shared" si="337"/>
        <v/>
      </c>
    </row>
    <row r="891" spans="1:36" ht="15" customHeight="1" x14ac:dyDescent="0.25">
      <c r="A891" s="114"/>
      <c r="B891" s="116"/>
      <c r="C891" s="116"/>
      <c r="D891" s="42" t="str">
        <f t="shared" si="314"/>
        <v/>
      </c>
      <c r="E891" s="43"/>
      <c r="F891" s="118"/>
      <c r="G891" s="44" t="str">
        <f t="shared" si="315"/>
        <v/>
      </c>
      <c r="H891" s="118"/>
      <c r="I891" s="34" t="str">
        <f t="shared" si="316"/>
        <v/>
      </c>
      <c r="J891" s="118"/>
      <c r="K891" s="34" t="str">
        <f t="shared" si="317"/>
        <v/>
      </c>
      <c r="L891" s="118"/>
      <c r="M891" s="121"/>
      <c r="N891" s="122" t="str">
        <f t="shared" si="318"/>
        <v/>
      </c>
      <c r="O891" s="35" t="str">
        <f t="shared" si="319"/>
        <v/>
      </c>
      <c r="P891" s="124"/>
      <c r="Q891" s="36" t="str">
        <f t="shared" si="331"/>
        <v/>
      </c>
      <c r="R891" s="46" t="str">
        <f t="shared" si="320"/>
        <v/>
      </c>
      <c r="S891" s="38" t="str">
        <f t="shared" si="321"/>
        <v/>
      </c>
      <c r="T891" s="39" t="str">
        <f t="shared" si="322"/>
        <v/>
      </c>
      <c r="U891" s="40" t="str">
        <f t="shared" si="323"/>
        <v/>
      </c>
      <c r="V891" s="39" t="str">
        <f t="shared" si="324"/>
        <v/>
      </c>
      <c r="W891" s="34" t="str">
        <f t="shared" si="325"/>
        <v/>
      </c>
      <c r="X891" s="41" t="str">
        <f t="shared" si="332"/>
        <v/>
      </c>
      <c r="Y891" s="98" t="str">
        <f t="shared" si="326"/>
        <v/>
      </c>
      <c r="Z891" s="16" t="str">
        <f t="shared" si="333"/>
        <v/>
      </c>
      <c r="AB891" s="139"/>
      <c r="AC891" s="146" t="str">
        <f t="shared" si="336"/>
        <v/>
      </c>
      <c r="AD891" s="148" t="str">
        <f t="shared" si="334"/>
        <v/>
      </c>
      <c r="AE891" s="147" t="str">
        <f t="shared" si="327"/>
        <v/>
      </c>
      <c r="AF891" s="111" t="str">
        <f t="shared" si="328"/>
        <v/>
      </c>
      <c r="AG891" s="111" t="str">
        <f t="shared" si="329"/>
        <v/>
      </c>
      <c r="AH891" s="112" t="str">
        <f t="shared" si="330"/>
        <v/>
      </c>
      <c r="AI891" t="str">
        <f t="shared" si="335"/>
        <v/>
      </c>
      <c r="AJ891" t="str">
        <f t="shared" si="337"/>
        <v/>
      </c>
    </row>
    <row r="892" spans="1:36" ht="15" customHeight="1" x14ac:dyDescent="0.25">
      <c r="A892" s="114"/>
      <c r="B892" s="116"/>
      <c r="C892" s="116"/>
      <c r="D892" s="42" t="str">
        <f t="shared" si="314"/>
        <v/>
      </c>
      <c r="E892" s="43"/>
      <c r="F892" s="118"/>
      <c r="G892" s="44" t="str">
        <f t="shared" si="315"/>
        <v/>
      </c>
      <c r="H892" s="118"/>
      <c r="I892" s="34" t="str">
        <f t="shared" si="316"/>
        <v/>
      </c>
      <c r="J892" s="118"/>
      <c r="K892" s="34" t="str">
        <f t="shared" si="317"/>
        <v/>
      </c>
      <c r="L892" s="118"/>
      <c r="M892" s="121"/>
      <c r="N892" s="122" t="str">
        <f t="shared" si="318"/>
        <v/>
      </c>
      <c r="O892" s="35" t="str">
        <f t="shared" si="319"/>
        <v/>
      </c>
      <c r="P892" s="124"/>
      <c r="Q892" s="36" t="str">
        <f t="shared" si="331"/>
        <v/>
      </c>
      <c r="R892" s="46" t="str">
        <f t="shared" si="320"/>
        <v/>
      </c>
      <c r="S892" s="38" t="str">
        <f t="shared" si="321"/>
        <v/>
      </c>
      <c r="T892" s="39" t="str">
        <f t="shared" si="322"/>
        <v/>
      </c>
      <c r="U892" s="40" t="str">
        <f t="shared" si="323"/>
        <v/>
      </c>
      <c r="V892" s="39" t="str">
        <f t="shared" si="324"/>
        <v/>
      </c>
      <c r="W892" s="34" t="str">
        <f t="shared" si="325"/>
        <v/>
      </c>
      <c r="X892" s="41" t="str">
        <f t="shared" si="332"/>
        <v/>
      </c>
      <c r="Y892" s="98" t="str">
        <f t="shared" si="326"/>
        <v/>
      </c>
      <c r="Z892" s="16" t="str">
        <f t="shared" si="333"/>
        <v/>
      </c>
      <c r="AB892" s="139"/>
      <c r="AC892" s="146" t="str">
        <f t="shared" si="336"/>
        <v/>
      </c>
      <c r="AD892" s="148" t="str">
        <f t="shared" si="334"/>
        <v/>
      </c>
      <c r="AE892" s="147" t="str">
        <f t="shared" si="327"/>
        <v/>
      </c>
      <c r="AF892" s="111" t="str">
        <f t="shared" si="328"/>
        <v/>
      </c>
      <c r="AG892" s="111" t="str">
        <f t="shared" si="329"/>
        <v/>
      </c>
      <c r="AH892" s="112" t="str">
        <f t="shared" si="330"/>
        <v/>
      </c>
      <c r="AI892" t="str">
        <f t="shared" si="335"/>
        <v/>
      </c>
      <c r="AJ892" t="str">
        <f t="shared" si="337"/>
        <v/>
      </c>
    </row>
    <row r="893" spans="1:36" ht="15" customHeight="1" x14ac:dyDescent="0.25">
      <c r="A893" s="114"/>
      <c r="B893" s="116"/>
      <c r="C893" s="116"/>
      <c r="D893" s="42" t="str">
        <f t="shared" si="314"/>
        <v/>
      </c>
      <c r="E893" s="43"/>
      <c r="F893" s="118"/>
      <c r="G893" s="44" t="str">
        <f t="shared" si="315"/>
        <v/>
      </c>
      <c r="H893" s="118"/>
      <c r="I893" s="34" t="str">
        <f t="shared" si="316"/>
        <v/>
      </c>
      <c r="J893" s="118"/>
      <c r="K893" s="34" t="str">
        <f t="shared" si="317"/>
        <v/>
      </c>
      <c r="L893" s="118"/>
      <c r="M893" s="121"/>
      <c r="N893" s="122" t="str">
        <f t="shared" si="318"/>
        <v/>
      </c>
      <c r="O893" s="35" t="str">
        <f t="shared" si="319"/>
        <v/>
      </c>
      <c r="P893" s="124"/>
      <c r="Q893" s="36" t="str">
        <f t="shared" si="331"/>
        <v/>
      </c>
      <c r="R893" s="46" t="str">
        <f t="shared" si="320"/>
        <v/>
      </c>
      <c r="S893" s="38" t="str">
        <f t="shared" si="321"/>
        <v/>
      </c>
      <c r="T893" s="39" t="str">
        <f t="shared" si="322"/>
        <v/>
      </c>
      <c r="U893" s="40" t="str">
        <f t="shared" si="323"/>
        <v/>
      </c>
      <c r="V893" s="39" t="str">
        <f t="shared" si="324"/>
        <v/>
      </c>
      <c r="W893" s="34" t="str">
        <f t="shared" si="325"/>
        <v/>
      </c>
      <c r="X893" s="41" t="str">
        <f t="shared" si="332"/>
        <v/>
      </c>
      <c r="Y893" s="98" t="str">
        <f t="shared" si="326"/>
        <v/>
      </c>
      <c r="Z893" s="16" t="str">
        <f t="shared" si="333"/>
        <v/>
      </c>
      <c r="AB893" s="139"/>
      <c r="AC893" s="146" t="str">
        <f t="shared" si="336"/>
        <v/>
      </c>
      <c r="AD893" s="148" t="str">
        <f t="shared" si="334"/>
        <v/>
      </c>
      <c r="AE893" s="147" t="str">
        <f t="shared" si="327"/>
        <v/>
      </c>
      <c r="AF893" s="111" t="str">
        <f t="shared" si="328"/>
        <v/>
      </c>
      <c r="AG893" s="111" t="str">
        <f t="shared" si="329"/>
        <v/>
      </c>
      <c r="AH893" s="112" t="str">
        <f t="shared" si="330"/>
        <v/>
      </c>
      <c r="AI893" t="str">
        <f t="shared" si="335"/>
        <v/>
      </c>
      <c r="AJ893" t="str">
        <f t="shared" si="337"/>
        <v/>
      </c>
    </row>
    <row r="894" spans="1:36" ht="15" customHeight="1" x14ac:dyDescent="0.25">
      <c r="A894" s="114"/>
      <c r="B894" s="116"/>
      <c r="C894" s="116"/>
      <c r="D894" s="42" t="str">
        <f t="shared" si="314"/>
        <v/>
      </c>
      <c r="E894" s="43"/>
      <c r="F894" s="118"/>
      <c r="G894" s="44" t="str">
        <f t="shared" si="315"/>
        <v/>
      </c>
      <c r="H894" s="118"/>
      <c r="I894" s="34" t="str">
        <f t="shared" si="316"/>
        <v/>
      </c>
      <c r="J894" s="118"/>
      <c r="K894" s="34" t="str">
        <f t="shared" si="317"/>
        <v/>
      </c>
      <c r="L894" s="118"/>
      <c r="M894" s="121"/>
      <c r="N894" s="122" t="str">
        <f t="shared" si="318"/>
        <v/>
      </c>
      <c r="O894" s="35" t="str">
        <f t="shared" si="319"/>
        <v/>
      </c>
      <c r="P894" s="124"/>
      <c r="Q894" s="36" t="str">
        <f t="shared" si="331"/>
        <v/>
      </c>
      <c r="R894" s="46" t="str">
        <f t="shared" si="320"/>
        <v/>
      </c>
      <c r="S894" s="38" t="str">
        <f t="shared" si="321"/>
        <v/>
      </c>
      <c r="T894" s="39" t="str">
        <f t="shared" si="322"/>
        <v/>
      </c>
      <c r="U894" s="40" t="str">
        <f t="shared" si="323"/>
        <v/>
      </c>
      <c r="V894" s="39" t="str">
        <f t="shared" si="324"/>
        <v/>
      </c>
      <c r="W894" s="34" t="str">
        <f t="shared" si="325"/>
        <v/>
      </c>
      <c r="X894" s="41" t="str">
        <f t="shared" si="332"/>
        <v/>
      </c>
      <c r="Y894" s="98" t="str">
        <f t="shared" si="326"/>
        <v/>
      </c>
      <c r="Z894" s="16" t="str">
        <f t="shared" si="333"/>
        <v/>
      </c>
      <c r="AB894" s="139"/>
      <c r="AC894" s="146" t="str">
        <f t="shared" si="336"/>
        <v/>
      </c>
      <c r="AD894" s="148" t="str">
        <f t="shared" si="334"/>
        <v/>
      </c>
      <c r="AE894" s="147" t="str">
        <f t="shared" si="327"/>
        <v/>
      </c>
      <c r="AF894" s="111" t="str">
        <f t="shared" si="328"/>
        <v/>
      </c>
      <c r="AG894" s="111" t="str">
        <f t="shared" si="329"/>
        <v/>
      </c>
      <c r="AH894" s="112" t="str">
        <f t="shared" si="330"/>
        <v/>
      </c>
      <c r="AI894" t="str">
        <f t="shared" si="335"/>
        <v/>
      </c>
      <c r="AJ894" t="str">
        <f t="shared" si="337"/>
        <v/>
      </c>
    </row>
    <row r="895" spans="1:36" ht="15" customHeight="1" x14ac:dyDescent="0.25">
      <c r="A895" s="114"/>
      <c r="B895" s="116"/>
      <c r="C895" s="116"/>
      <c r="D895" s="42" t="str">
        <f t="shared" si="314"/>
        <v/>
      </c>
      <c r="E895" s="43"/>
      <c r="F895" s="118"/>
      <c r="G895" s="44" t="str">
        <f t="shared" si="315"/>
        <v/>
      </c>
      <c r="H895" s="118"/>
      <c r="I895" s="34" t="str">
        <f t="shared" si="316"/>
        <v/>
      </c>
      <c r="J895" s="118"/>
      <c r="K895" s="34" t="str">
        <f t="shared" si="317"/>
        <v/>
      </c>
      <c r="L895" s="118"/>
      <c r="M895" s="121"/>
      <c r="N895" s="122" t="str">
        <f t="shared" si="318"/>
        <v/>
      </c>
      <c r="O895" s="35" t="str">
        <f t="shared" si="319"/>
        <v/>
      </c>
      <c r="P895" s="124"/>
      <c r="Q895" s="36" t="str">
        <f t="shared" si="331"/>
        <v/>
      </c>
      <c r="R895" s="46" t="str">
        <f t="shared" si="320"/>
        <v/>
      </c>
      <c r="S895" s="38" t="str">
        <f t="shared" si="321"/>
        <v/>
      </c>
      <c r="T895" s="39" t="str">
        <f t="shared" si="322"/>
        <v/>
      </c>
      <c r="U895" s="40" t="str">
        <f t="shared" si="323"/>
        <v/>
      </c>
      <c r="V895" s="39" t="str">
        <f t="shared" si="324"/>
        <v/>
      </c>
      <c r="W895" s="34" t="str">
        <f t="shared" si="325"/>
        <v/>
      </c>
      <c r="X895" s="41" t="str">
        <f t="shared" si="332"/>
        <v/>
      </c>
      <c r="Y895" s="98" t="str">
        <f t="shared" si="326"/>
        <v/>
      </c>
      <c r="Z895" s="16" t="str">
        <f t="shared" si="333"/>
        <v/>
      </c>
      <c r="AB895" s="139"/>
      <c r="AC895" s="146" t="str">
        <f t="shared" si="336"/>
        <v/>
      </c>
      <c r="AD895" s="148" t="str">
        <f t="shared" si="334"/>
        <v/>
      </c>
      <c r="AE895" s="147" t="str">
        <f t="shared" si="327"/>
        <v/>
      </c>
      <c r="AF895" s="111" t="str">
        <f t="shared" si="328"/>
        <v/>
      </c>
      <c r="AG895" s="111" t="str">
        <f t="shared" si="329"/>
        <v/>
      </c>
      <c r="AH895" s="112" t="str">
        <f t="shared" si="330"/>
        <v/>
      </c>
      <c r="AI895" t="str">
        <f t="shared" si="335"/>
        <v/>
      </c>
      <c r="AJ895" t="str">
        <f t="shared" si="337"/>
        <v/>
      </c>
    </row>
    <row r="896" spans="1:36" ht="15" customHeight="1" x14ac:dyDescent="0.25">
      <c r="A896" s="114"/>
      <c r="B896" s="116"/>
      <c r="C896" s="116"/>
      <c r="D896" s="42" t="str">
        <f t="shared" si="314"/>
        <v/>
      </c>
      <c r="E896" s="43"/>
      <c r="F896" s="118"/>
      <c r="G896" s="44" t="str">
        <f t="shared" si="315"/>
        <v/>
      </c>
      <c r="H896" s="118"/>
      <c r="I896" s="34" t="str">
        <f t="shared" si="316"/>
        <v/>
      </c>
      <c r="J896" s="118"/>
      <c r="K896" s="34" t="str">
        <f t="shared" si="317"/>
        <v/>
      </c>
      <c r="L896" s="118"/>
      <c r="M896" s="121"/>
      <c r="N896" s="122" t="str">
        <f t="shared" si="318"/>
        <v/>
      </c>
      <c r="O896" s="35" t="str">
        <f t="shared" si="319"/>
        <v/>
      </c>
      <c r="P896" s="124"/>
      <c r="Q896" s="36" t="str">
        <f t="shared" si="331"/>
        <v/>
      </c>
      <c r="R896" s="46" t="str">
        <f t="shared" si="320"/>
        <v/>
      </c>
      <c r="S896" s="38" t="str">
        <f t="shared" si="321"/>
        <v/>
      </c>
      <c r="T896" s="39" t="str">
        <f t="shared" si="322"/>
        <v/>
      </c>
      <c r="U896" s="40" t="str">
        <f t="shared" si="323"/>
        <v/>
      </c>
      <c r="V896" s="39" t="str">
        <f t="shared" si="324"/>
        <v/>
      </c>
      <c r="W896" s="34" t="str">
        <f t="shared" si="325"/>
        <v/>
      </c>
      <c r="X896" s="41" t="str">
        <f t="shared" si="332"/>
        <v/>
      </c>
      <c r="Y896" s="98" t="str">
        <f t="shared" si="326"/>
        <v/>
      </c>
      <c r="Z896" s="16" t="str">
        <f t="shared" si="333"/>
        <v/>
      </c>
      <c r="AB896" s="139"/>
      <c r="AC896" s="146" t="str">
        <f t="shared" si="336"/>
        <v/>
      </c>
      <c r="AD896" s="148" t="str">
        <f t="shared" si="334"/>
        <v/>
      </c>
      <c r="AE896" s="147" t="str">
        <f t="shared" si="327"/>
        <v/>
      </c>
      <c r="AF896" s="111" t="str">
        <f t="shared" si="328"/>
        <v/>
      </c>
      <c r="AG896" s="111" t="str">
        <f t="shared" si="329"/>
        <v/>
      </c>
      <c r="AH896" s="112" t="str">
        <f t="shared" si="330"/>
        <v/>
      </c>
      <c r="AI896" t="str">
        <f t="shared" si="335"/>
        <v/>
      </c>
      <c r="AJ896" t="str">
        <f t="shared" si="337"/>
        <v/>
      </c>
    </row>
    <row r="897" spans="1:36" ht="15" customHeight="1" x14ac:dyDescent="0.25">
      <c r="A897" s="114"/>
      <c r="B897" s="116"/>
      <c r="C897" s="116"/>
      <c r="D897" s="42" t="str">
        <f t="shared" si="314"/>
        <v/>
      </c>
      <c r="E897" s="43"/>
      <c r="F897" s="118"/>
      <c r="G897" s="44" t="str">
        <f t="shared" si="315"/>
        <v/>
      </c>
      <c r="H897" s="118"/>
      <c r="I897" s="34" t="str">
        <f t="shared" si="316"/>
        <v/>
      </c>
      <c r="J897" s="118"/>
      <c r="K897" s="34" t="str">
        <f t="shared" si="317"/>
        <v/>
      </c>
      <c r="L897" s="118"/>
      <c r="M897" s="121"/>
      <c r="N897" s="122" t="str">
        <f t="shared" si="318"/>
        <v/>
      </c>
      <c r="O897" s="35" t="str">
        <f t="shared" si="319"/>
        <v/>
      </c>
      <c r="P897" s="124"/>
      <c r="Q897" s="36" t="str">
        <f t="shared" si="331"/>
        <v/>
      </c>
      <c r="R897" s="46" t="str">
        <f t="shared" si="320"/>
        <v/>
      </c>
      <c r="S897" s="38" t="str">
        <f t="shared" si="321"/>
        <v/>
      </c>
      <c r="T897" s="39" t="str">
        <f t="shared" si="322"/>
        <v/>
      </c>
      <c r="U897" s="40" t="str">
        <f t="shared" si="323"/>
        <v/>
      </c>
      <c r="V897" s="39" t="str">
        <f t="shared" si="324"/>
        <v/>
      </c>
      <c r="W897" s="34" t="str">
        <f t="shared" si="325"/>
        <v/>
      </c>
      <c r="X897" s="41" t="str">
        <f t="shared" si="332"/>
        <v/>
      </c>
      <c r="Y897" s="98" t="str">
        <f t="shared" si="326"/>
        <v/>
      </c>
      <c r="Z897" s="16" t="str">
        <f t="shared" si="333"/>
        <v/>
      </c>
      <c r="AB897" s="139"/>
      <c r="AC897" s="146" t="str">
        <f t="shared" si="336"/>
        <v/>
      </c>
      <c r="AD897" s="148" t="str">
        <f t="shared" si="334"/>
        <v/>
      </c>
      <c r="AE897" s="147" t="str">
        <f t="shared" si="327"/>
        <v/>
      </c>
      <c r="AF897" s="111" t="str">
        <f t="shared" si="328"/>
        <v/>
      </c>
      <c r="AG897" s="111" t="str">
        <f t="shared" si="329"/>
        <v/>
      </c>
      <c r="AH897" s="112" t="str">
        <f t="shared" si="330"/>
        <v/>
      </c>
      <c r="AI897" t="str">
        <f t="shared" si="335"/>
        <v/>
      </c>
      <c r="AJ897" t="str">
        <f t="shared" si="337"/>
        <v/>
      </c>
    </row>
    <row r="898" spans="1:36" ht="15" customHeight="1" x14ac:dyDescent="0.25">
      <c r="A898" s="114"/>
      <c r="B898" s="116"/>
      <c r="C898" s="116"/>
      <c r="D898" s="42" t="str">
        <f t="shared" si="314"/>
        <v/>
      </c>
      <c r="E898" s="43"/>
      <c r="F898" s="118"/>
      <c r="G898" s="44" t="str">
        <f t="shared" si="315"/>
        <v/>
      </c>
      <c r="H898" s="118"/>
      <c r="I898" s="34" t="str">
        <f t="shared" si="316"/>
        <v/>
      </c>
      <c r="J898" s="118"/>
      <c r="K898" s="34" t="str">
        <f t="shared" si="317"/>
        <v/>
      </c>
      <c r="L898" s="118"/>
      <c r="M898" s="121"/>
      <c r="N898" s="122" t="str">
        <f t="shared" si="318"/>
        <v/>
      </c>
      <c r="O898" s="35" t="str">
        <f t="shared" si="319"/>
        <v/>
      </c>
      <c r="P898" s="124"/>
      <c r="Q898" s="36" t="str">
        <f t="shared" si="331"/>
        <v/>
      </c>
      <c r="R898" s="46" t="str">
        <f t="shared" si="320"/>
        <v/>
      </c>
      <c r="S898" s="38" t="str">
        <f t="shared" si="321"/>
        <v/>
      </c>
      <c r="T898" s="39" t="str">
        <f t="shared" si="322"/>
        <v/>
      </c>
      <c r="U898" s="40" t="str">
        <f t="shared" si="323"/>
        <v/>
      </c>
      <c r="V898" s="39" t="str">
        <f t="shared" si="324"/>
        <v/>
      </c>
      <c r="W898" s="34" t="str">
        <f t="shared" si="325"/>
        <v/>
      </c>
      <c r="X898" s="41" t="str">
        <f t="shared" si="332"/>
        <v/>
      </c>
      <c r="Y898" s="98" t="str">
        <f t="shared" si="326"/>
        <v/>
      </c>
      <c r="Z898" s="16" t="str">
        <f t="shared" si="333"/>
        <v/>
      </c>
      <c r="AB898" s="139"/>
      <c r="AC898" s="146" t="str">
        <f t="shared" si="336"/>
        <v/>
      </c>
      <c r="AD898" s="148" t="str">
        <f t="shared" si="334"/>
        <v/>
      </c>
      <c r="AE898" s="147" t="str">
        <f t="shared" si="327"/>
        <v/>
      </c>
      <c r="AF898" s="111" t="str">
        <f t="shared" si="328"/>
        <v/>
      </c>
      <c r="AG898" s="111" t="str">
        <f t="shared" si="329"/>
        <v/>
      </c>
      <c r="AH898" s="112" t="str">
        <f t="shared" si="330"/>
        <v/>
      </c>
      <c r="AI898" t="str">
        <f t="shared" si="335"/>
        <v/>
      </c>
      <c r="AJ898" t="str">
        <f t="shared" si="337"/>
        <v/>
      </c>
    </row>
    <row r="899" spans="1:36" ht="15" customHeight="1" x14ac:dyDescent="0.25">
      <c r="A899" s="114"/>
      <c r="B899" s="116"/>
      <c r="C899" s="116"/>
      <c r="D899" s="42" t="str">
        <f t="shared" si="314"/>
        <v/>
      </c>
      <c r="E899" s="43"/>
      <c r="F899" s="118"/>
      <c r="G899" s="44" t="str">
        <f t="shared" si="315"/>
        <v/>
      </c>
      <c r="H899" s="118"/>
      <c r="I899" s="34" t="str">
        <f t="shared" si="316"/>
        <v/>
      </c>
      <c r="J899" s="118"/>
      <c r="K899" s="34" t="str">
        <f t="shared" si="317"/>
        <v/>
      </c>
      <c r="L899" s="118"/>
      <c r="M899" s="121"/>
      <c r="N899" s="122" t="str">
        <f t="shared" si="318"/>
        <v/>
      </c>
      <c r="O899" s="35" t="str">
        <f t="shared" si="319"/>
        <v/>
      </c>
      <c r="P899" s="124"/>
      <c r="Q899" s="36" t="str">
        <f t="shared" si="331"/>
        <v/>
      </c>
      <c r="R899" s="46" t="str">
        <f t="shared" si="320"/>
        <v/>
      </c>
      <c r="S899" s="38" t="str">
        <f t="shared" si="321"/>
        <v/>
      </c>
      <c r="T899" s="39" t="str">
        <f t="shared" si="322"/>
        <v/>
      </c>
      <c r="U899" s="40" t="str">
        <f t="shared" si="323"/>
        <v/>
      </c>
      <c r="V899" s="39" t="str">
        <f t="shared" si="324"/>
        <v/>
      </c>
      <c r="W899" s="34" t="str">
        <f t="shared" si="325"/>
        <v/>
      </c>
      <c r="X899" s="41" t="str">
        <f t="shared" si="332"/>
        <v/>
      </c>
      <c r="Y899" s="98" t="str">
        <f t="shared" si="326"/>
        <v/>
      </c>
      <c r="Z899" s="16" t="str">
        <f t="shared" si="333"/>
        <v/>
      </c>
      <c r="AB899" s="139"/>
      <c r="AC899" s="146" t="str">
        <f t="shared" si="336"/>
        <v/>
      </c>
      <c r="AD899" s="148" t="str">
        <f t="shared" si="334"/>
        <v/>
      </c>
      <c r="AE899" s="147" t="str">
        <f t="shared" si="327"/>
        <v/>
      </c>
      <c r="AF899" s="111" t="str">
        <f t="shared" si="328"/>
        <v/>
      </c>
      <c r="AG899" s="111" t="str">
        <f t="shared" si="329"/>
        <v/>
      </c>
      <c r="AH899" s="112" t="str">
        <f t="shared" si="330"/>
        <v/>
      </c>
      <c r="AI899" t="str">
        <f t="shared" si="335"/>
        <v/>
      </c>
      <c r="AJ899" t="str">
        <f t="shared" si="337"/>
        <v/>
      </c>
    </row>
    <row r="900" spans="1:36" ht="15" customHeight="1" x14ac:dyDescent="0.25">
      <c r="A900" s="114"/>
      <c r="B900" s="116"/>
      <c r="C900" s="116"/>
      <c r="D900" s="42" t="str">
        <f t="shared" si="314"/>
        <v/>
      </c>
      <c r="E900" s="43"/>
      <c r="F900" s="118"/>
      <c r="G900" s="44" t="str">
        <f t="shared" si="315"/>
        <v/>
      </c>
      <c r="H900" s="118"/>
      <c r="I900" s="34" t="str">
        <f t="shared" si="316"/>
        <v/>
      </c>
      <c r="J900" s="118"/>
      <c r="K900" s="34" t="str">
        <f t="shared" si="317"/>
        <v/>
      </c>
      <c r="L900" s="118"/>
      <c r="M900" s="121"/>
      <c r="N900" s="122" t="str">
        <f t="shared" si="318"/>
        <v/>
      </c>
      <c r="O900" s="35" t="str">
        <f t="shared" si="319"/>
        <v/>
      </c>
      <c r="P900" s="124"/>
      <c r="Q900" s="36" t="str">
        <f t="shared" si="331"/>
        <v/>
      </c>
      <c r="R900" s="46" t="str">
        <f t="shared" si="320"/>
        <v/>
      </c>
      <c r="S900" s="38" t="str">
        <f t="shared" si="321"/>
        <v/>
      </c>
      <c r="T900" s="39" t="str">
        <f t="shared" si="322"/>
        <v/>
      </c>
      <c r="U900" s="40" t="str">
        <f t="shared" si="323"/>
        <v/>
      </c>
      <c r="V900" s="39" t="str">
        <f t="shared" si="324"/>
        <v/>
      </c>
      <c r="W900" s="34" t="str">
        <f t="shared" si="325"/>
        <v/>
      </c>
      <c r="X900" s="41" t="str">
        <f t="shared" si="332"/>
        <v/>
      </c>
      <c r="Y900" s="98" t="str">
        <f t="shared" si="326"/>
        <v/>
      </c>
      <c r="Z900" s="16" t="str">
        <f t="shared" si="333"/>
        <v/>
      </c>
      <c r="AB900" s="139"/>
      <c r="AC900" s="146" t="str">
        <f t="shared" si="336"/>
        <v/>
      </c>
      <c r="AD900" s="148" t="str">
        <f t="shared" si="334"/>
        <v/>
      </c>
      <c r="AE900" s="147" t="str">
        <f t="shared" si="327"/>
        <v/>
      </c>
      <c r="AF900" s="111" t="str">
        <f t="shared" si="328"/>
        <v/>
      </c>
      <c r="AG900" s="111" t="str">
        <f t="shared" si="329"/>
        <v/>
      </c>
      <c r="AH900" s="112" t="str">
        <f t="shared" si="330"/>
        <v/>
      </c>
      <c r="AI900" t="str">
        <f t="shared" si="335"/>
        <v/>
      </c>
      <c r="AJ900" t="str">
        <f t="shared" si="337"/>
        <v/>
      </c>
    </row>
    <row r="901" spans="1:36" ht="15" customHeight="1" x14ac:dyDescent="0.25">
      <c r="A901" s="114"/>
      <c r="B901" s="116"/>
      <c r="C901" s="116"/>
      <c r="D901" s="42" t="str">
        <f t="shared" si="314"/>
        <v/>
      </c>
      <c r="E901" s="43"/>
      <c r="F901" s="118"/>
      <c r="G901" s="44" t="str">
        <f t="shared" si="315"/>
        <v/>
      </c>
      <c r="H901" s="118"/>
      <c r="I901" s="34" t="str">
        <f t="shared" si="316"/>
        <v/>
      </c>
      <c r="J901" s="118"/>
      <c r="K901" s="34" t="str">
        <f t="shared" si="317"/>
        <v/>
      </c>
      <c r="L901" s="118"/>
      <c r="M901" s="121"/>
      <c r="N901" s="122" t="str">
        <f t="shared" si="318"/>
        <v/>
      </c>
      <c r="O901" s="35" t="str">
        <f t="shared" si="319"/>
        <v/>
      </c>
      <c r="P901" s="124"/>
      <c r="Q901" s="36" t="str">
        <f t="shared" si="331"/>
        <v/>
      </c>
      <c r="R901" s="46" t="str">
        <f t="shared" si="320"/>
        <v/>
      </c>
      <c r="S901" s="38" t="str">
        <f t="shared" si="321"/>
        <v/>
      </c>
      <c r="T901" s="39" t="str">
        <f t="shared" si="322"/>
        <v/>
      </c>
      <c r="U901" s="40" t="str">
        <f t="shared" si="323"/>
        <v/>
      </c>
      <c r="V901" s="39" t="str">
        <f t="shared" si="324"/>
        <v/>
      </c>
      <c r="W901" s="34" t="str">
        <f t="shared" si="325"/>
        <v/>
      </c>
      <c r="X901" s="41" t="str">
        <f t="shared" si="332"/>
        <v/>
      </c>
      <c r="Y901" s="98" t="str">
        <f t="shared" si="326"/>
        <v/>
      </c>
      <c r="Z901" s="16" t="str">
        <f t="shared" si="333"/>
        <v/>
      </c>
      <c r="AB901" s="139"/>
      <c r="AC901" s="146" t="str">
        <f t="shared" si="336"/>
        <v/>
      </c>
      <c r="AD901" s="148" t="str">
        <f t="shared" si="334"/>
        <v/>
      </c>
      <c r="AE901" s="147" t="str">
        <f t="shared" si="327"/>
        <v/>
      </c>
      <c r="AF901" s="111" t="str">
        <f t="shared" si="328"/>
        <v/>
      </c>
      <c r="AG901" s="111" t="str">
        <f t="shared" si="329"/>
        <v/>
      </c>
      <c r="AH901" s="112" t="str">
        <f t="shared" si="330"/>
        <v/>
      </c>
      <c r="AI901" t="str">
        <f t="shared" si="335"/>
        <v/>
      </c>
      <c r="AJ901" t="str">
        <f t="shared" si="337"/>
        <v/>
      </c>
    </row>
    <row r="902" spans="1:36" ht="15" customHeight="1" x14ac:dyDescent="0.25">
      <c r="A902" s="114"/>
      <c r="B902" s="116"/>
      <c r="C902" s="116"/>
      <c r="D902" s="42" t="str">
        <f t="shared" si="314"/>
        <v/>
      </c>
      <c r="E902" s="43"/>
      <c r="F902" s="118"/>
      <c r="G902" s="44" t="str">
        <f t="shared" si="315"/>
        <v/>
      </c>
      <c r="H902" s="118"/>
      <c r="I902" s="34" t="str">
        <f t="shared" si="316"/>
        <v/>
      </c>
      <c r="J902" s="118"/>
      <c r="K902" s="34" t="str">
        <f t="shared" si="317"/>
        <v/>
      </c>
      <c r="L902" s="118"/>
      <c r="M902" s="121"/>
      <c r="N902" s="122" t="str">
        <f t="shared" si="318"/>
        <v/>
      </c>
      <c r="O902" s="35" t="str">
        <f t="shared" si="319"/>
        <v/>
      </c>
      <c r="P902" s="124"/>
      <c r="Q902" s="36" t="str">
        <f t="shared" si="331"/>
        <v/>
      </c>
      <c r="R902" s="46" t="str">
        <f t="shared" si="320"/>
        <v/>
      </c>
      <c r="S902" s="38" t="str">
        <f t="shared" si="321"/>
        <v/>
      </c>
      <c r="T902" s="39" t="str">
        <f t="shared" si="322"/>
        <v/>
      </c>
      <c r="U902" s="40" t="str">
        <f t="shared" si="323"/>
        <v/>
      </c>
      <c r="V902" s="39" t="str">
        <f t="shared" si="324"/>
        <v/>
      </c>
      <c r="W902" s="34" t="str">
        <f t="shared" si="325"/>
        <v/>
      </c>
      <c r="X902" s="41" t="str">
        <f t="shared" si="332"/>
        <v/>
      </c>
      <c r="Y902" s="98" t="str">
        <f t="shared" si="326"/>
        <v/>
      </c>
      <c r="Z902" s="16" t="str">
        <f t="shared" si="333"/>
        <v/>
      </c>
      <c r="AB902" s="139"/>
      <c r="AC902" s="146" t="str">
        <f t="shared" si="336"/>
        <v/>
      </c>
      <c r="AD902" s="148" t="str">
        <f t="shared" si="334"/>
        <v/>
      </c>
      <c r="AE902" s="147" t="str">
        <f t="shared" si="327"/>
        <v/>
      </c>
      <c r="AF902" s="111" t="str">
        <f t="shared" si="328"/>
        <v/>
      </c>
      <c r="AG902" s="111" t="str">
        <f t="shared" si="329"/>
        <v/>
      </c>
      <c r="AH902" s="112" t="str">
        <f t="shared" si="330"/>
        <v/>
      </c>
      <c r="AI902" t="str">
        <f t="shared" si="335"/>
        <v/>
      </c>
      <c r="AJ902" t="str">
        <f t="shared" si="337"/>
        <v/>
      </c>
    </row>
    <row r="903" spans="1:36" ht="15" customHeight="1" x14ac:dyDescent="0.25">
      <c r="A903" s="114"/>
      <c r="B903" s="116"/>
      <c r="C903" s="116"/>
      <c r="D903" s="42" t="str">
        <f t="shared" si="314"/>
        <v/>
      </c>
      <c r="E903" s="43"/>
      <c r="F903" s="118"/>
      <c r="G903" s="44" t="str">
        <f t="shared" si="315"/>
        <v/>
      </c>
      <c r="H903" s="118"/>
      <c r="I903" s="34" t="str">
        <f t="shared" si="316"/>
        <v/>
      </c>
      <c r="J903" s="118"/>
      <c r="K903" s="34" t="str">
        <f t="shared" si="317"/>
        <v/>
      </c>
      <c r="L903" s="118"/>
      <c r="M903" s="121"/>
      <c r="N903" s="122" t="str">
        <f t="shared" si="318"/>
        <v/>
      </c>
      <c r="O903" s="35" t="str">
        <f t="shared" si="319"/>
        <v/>
      </c>
      <c r="P903" s="124"/>
      <c r="Q903" s="36" t="str">
        <f t="shared" si="331"/>
        <v/>
      </c>
      <c r="R903" s="46" t="str">
        <f t="shared" si="320"/>
        <v/>
      </c>
      <c r="S903" s="38" t="str">
        <f t="shared" si="321"/>
        <v/>
      </c>
      <c r="T903" s="39" t="str">
        <f t="shared" si="322"/>
        <v/>
      </c>
      <c r="U903" s="40" t="str">
        <f t="shared" si="323"/>
        <v/>
      </c>
      <c r="V903" s="39" t="str">
        <f t="shared" si="324"/>
        <v/>
      </c>
      <c r="W903" s="34" t="str">
        <f t="shared" si="325"/>
        <v/>
      </c>
      <c r="X903" s="41" t="str">
        <f t="shared" si="332"/>
        <v/>
      </c>
      <c r="Y903" s="98" t="str">
        <f t="shared" si="326"/>
        <v/>
      </c>
      <c r="Z903" s="16" t="str">
        <f t="shared" si="333"/>
        <v/>
      </c>
      <c r="AB903" s="139"/>
      <c r="AC903" s="146" t="str">
        <f t="shared" si="336"/>
        <v/>
      </c>
      <c r="AD903" s="148" t="str">
        <f t="shared" si="334"/>
        <v/>
      </c>
      <c r="AE903" s="147" t="str">
        <f t="shared" si="327"/>
        <v/>
      </c>
      <c r="AF903" s="111" t="str">
        <f t="shared" si="328"/>
        <v/>
      </c>
      <c r="AG903" s="111" t="str">
        <f t="shared" si="329"/>
        <v/>
      </c>
      <c r="AH903" s="112" t="str">
        <f t="shared" si="330"/>
        <v/>
      </c>
      <c r="AI903" t="str">
        <f t="shared" si="335"/>
        <v/>
      </c>
      <c r="AJ903" t="str">
        <f t="shared" si="337"/>
        <v/>
      </c>
    </row>
    <row r="904" spans="1:36" ht="15" customHeight="1" x14ac:dyDescent="0.25">
      <c r="A904" s="114"/>
      <c r="B904" s="116"/>
      <c r="C904" s="116"/>
      <c r="D904" s="42" t="str">
        <f t="shared" ref="D904:D967" si="338">IF(A904="","",B904*C904)</f>
        <v/>
      </c>
      <c r="E904" s="43"/>
      <c r="F904" s="118"/>
      <c r="G904" s="44" t="str">
        <f t="shared" ref="G904:G967" si="339">IF(A904="","",F904*B904)</f>
        <v/>
      </c>
      <c r="H904" s="118"/>
      <c r="I904" s="34" t="str">
        <f t="shared" ref="I904:I967" si="340">IF(OR(H904=0,C904=0,H904="",C904=""),"",H904/C904)</f>
        <v/>
      </c>
      <c r="J904" s="118"/>
      <c r="K904" s="34" t="str">
        <f t="shared" ref="K904:K967" si="341">IF(OR(J904=0,C904=0,J904="",C904=""),"",J904/C904)</f>
        <v/>
      </c>
      <c r="L904" s="118"/>
      <c r="M904" s="121"/>
      <c r="N904" s="122" t="str">
        <f t="shared" ref="N904:N967" si="342">IF(A904="","",IF(P904&gt;0,IF(G904&gt;0,P904/G904,0),IF(E904&gt;0,0,IF($I$3&gt;0,IF($I$4&gt;0,MAX($I$3-SUM($P$8:$P$1007),0)/$I$4,0),$I$2))))</f>
        <v/>
      </c>
      <c r="O904" s="35" t="str">
        <f t="shared" ref="O904:O967" si="343">IF(A904="","",IF(P904&gt;0,P904,IF(E904&gt;0,0,G904*IF($I$3&gt;0,IF($I$4&gt;0,MAX($I$3-SUM($P$8:$P$1007),0)/$I$4,0),$I$2))))</f>
        <v/>
      </c>
      <c r="P904" s="124"/>
      <c r="Q904" s="36" t="str">
        <f t="shared" si="331"/>
        <v/>
      </c>
      <c r="R904" s="46" t="str">
        <f t="shared" ref="R904:R967" si="344">IF(OR(A904="",Q904=""),"",Q904*C904)</f>
        <v/>
      </c>
      <c r="S904" s="38" t="str">
        <f t="shared" ref="S904:S967" si="345">IF(OR(A904="",H904&lt;=0,R904=""),"",(H904-R904)/H904)</f>
        <v/>
      </c>
      <c r="T904" s="39" t="str">
        <f t="shared" ref="T904:T967" si="346">IF(OR(H904=0,R904=0,H904="",R904=""),"",H904-R904)</f>
        <v/>
      </c>
      <c r="U904" s="40" t="str">
        <f t="shared" ref="U904:U967" si="347">IF(OR(A904="",J904&lt;=0,R904=""),"",(J904-R904)/J904)</f>
        <v/>
      </c>
      <c r="V904" s="39" t="str">
        <f t="shared" ref="V904:V967" si="348">IF(OR(J904=0,R904=0,J904="",R904=""),"",J904-R904)</f>
        <v/>
      </c>
      <c r="W904" s="34" t="str">
        <f t="shared" ref="W904:W967" si="349">IF(OR(G904="",G904=0,$M$5="",$K$3=0),"",($M$5/$K$3)*G904)</f>
        <v/>
      </c>
      <c r="X904" s="41" t="str">
        <f t="shared" si="332"/>
        <v/>
      </c>
      <c r="Y904" s="98" t="str">
        <f t="shared" ref="Y904:Y967" si="350">IF(OR(Q904=0,Q904="",D904=0,D904=""),"",Q904*(D904+E904))</f>
        <v/>
      </c>
      <c r="Z904" s="16" t="str">
        <f t="shared" si="333"/>
        <v/>
      </c>
      <c r="AB904" s="139"/>
      <c r="AC904" s="146" t="str">
        <f t="shared" si="336"/>
        <v/>
      </c>
      <c r="AD904" s="148" t="str">
        <f t="shared" si="334"/>
        <v/>
      </c>
      <c r="AE904" s="147" t="str">
        <f t="shared" ref="AE904:AE967" si="351">IF(AD904="","",AD904*$AC$1+IF(SUM($AD$8:$AD$1007)=0,0,$AC$2*AD904/SUM($AD$8:$AD$1007)))</f>
        <v/>
      </c>
      <c r="AF904" s="111" t="str">
        <f t="shared" ref="AF904:AF967" si="352">IF(AD904="","",AD904-AE904)</f>
        <v/>
      </c>
      <c r="AG904" s="111" t="str">
        <f t="shared" ref="AG904:AG967" si="353">IF(AF904="","",AH904-AF904)</f>
        <v/>
      </c>
      <c r="AH904" s="112" t="str">
        <f t="shared" ref="AH904:AH968" si="354">IF(AF904="","",ROUND(AF904,0))</f>
        <v/>
      </c>
      <c r="AI904" t="str">
        <f t="shared" si="335"/>
        <v/>
      </c>
      <c r="AJ904" t="str">
        <f t="shared" si="337"/>
        <v/>
      </c>
    </row>
    <row r="905" spans="1:36" ht="15" customHeight="1" x14ac:dyDescent="0.25">
      <c r="A905" s="114"/>
      <c r="B905" s="116"/>
      <c r="C905" s="116"/>
      <c r="D905" s="42" t="str">
        <f t="shared" si="338"/>
        <v/>
      </c>
      <c r="E905" s="43"/>
      <c r="F905" s="118"/>
      <c r="G905" s="44" t="str">
        <f t="shared" si="339"/>
        <v/>
      </c>
      <c r="H905" s="118"/>
      <c r="I905" s="34" t="str">
        <f t="shared" si="340"/>
        <v/>
      </c>
      <c r="J905" s="118"/>
      <c r="K905" s="34" t="str">
        <f t="shared" si="341"/>
        <v/>
      </c>
      <c r="L905" s="118"/>
      <c r="M905" s="121"/>
      <c r="N905" s="122" t="str">
        <f t="shared" si="342"/>
        <v/>
      </c>
      <c r="O905" s="35" t="str">
        <f t="shared" si="343"/>
        <v/>
      </c>
      <c r="P905" s="124"/>
      <c r="Q905" s="36" t="str">
        <f t="shared" ref="Q905:Q968" si="355">IF(A905="","",IF(OR(B905=0,B905="",C905&lt;=0,D905+E905&lt;=0),"",(G905-O905)/(D905+E905)-IF(W905&gt;=0,W905/D905,0)+IF(ISNUMBER(X905),X905/(D905+E905),0)))</f>
        <v/>
      </c>
      <c r="R905" s="46" t="str">
        <f t="shared" si="344"/>
        <v/>
      </c>
      <c r="S905" s="38" t="str">
        <f t="shared" si="345"/>
        <v/>
      </c>
      <c r="T905" s="39" t="str">
        <f t="shared" si="346"/>
        <v/>
      </c>
      <c r="U905" s="40" t="str">
        <f t="shared" si="347"/>
        <v/>
      </c>
      <c r="V905" s="39" t="str">
        <f t="shared" si="348"/>
        <v/>
      </c>
      <c r="W905" s="34" t="str">
        <f t="shared" si="349"/>
        <v/>
      </c>
      <c r="X905" s="41" t="str">
        <f t="shared" ref="X905:X968" si="356">IF(OR(G905="",G905=0,($K$3-$K$2)=0),"",($I$1/($K$3-$K$2))*(G905-O905))</f>
        <v/>
      </c>
      <c r="Y905" s="98" t="str">
        <f t="shared" si="350"/>
        <v/>
      </c>
      <c r="Z905" s="16" t="str">
        <f t="shared" ref="Z905:Z968" si="357">IF(OR(B905=0,B905=""),"",G905)</f>
        <v/>
      </c>
      <c r="AB905" s="139"/>
      <c r="AC905" s="146" t="str">
        <f t="shared" si="336"/>
        <v/>
      </c>
      <c r="AD905" s="148" t="str">
        <f t="shared" ref="AD905:AD968" si="358">IF(OR(AB905="",AC905=""),"",AB905*AC905)</f>
        <v/>
      </c>
      <c r="AE905" s="147" t="str">
        <f t="shared" si="351"/>
        <v/>
      </c>
      <c r="AF905" s="111" t="str">
        <f t="shared" si="352"/>
        <v/>
      </c>
      <c r="AG905" s="111" t="str">
        <f t="shared" si="353"/>
        <v/>
      </c>
      <c r="AH905" s="112" t="str">
        <f t="shared" si="354"/>
        <v/>
      </c>
      <c r="AI905" t="str">
        <f t="shared" ref="AI905:AI968" si="359">IF(OR(AB905=0,AB905=""),"",AE905/AB905)</f>
        <v/>
      </c>
      <c r="AJ905" t="str">
        <f t="shared" si="337"/>
        <v/>
      </c>
    </row>
    <row r="906" spans="1:36" ht="15" customHeight="1" x14ac:dyDescent="0.25">
      <c r="A906" s="114"/>
      <c r="B906" s="116"/>
      <c r="C906" s="116"/>
      <c r="D906" s="42" t="str">
        <f t="shared" si="338"/>
        <v/>
      </c>
      <c r="E906" s="43"/>
      <c r="F906" s="118"/>
      <c r="G906" s="44" t="str">
        <f t="shared" si="339"/>
        <v/>
      </c>
      <c r="H906" s="118"/>
      <c r="I906" s="34" t="str">
        <f t="shared" si="340"/>
        <v/>
      </c>
      <c r="J906" s="118"/>
      <c r="K906" s="34" t="str">
        <f t="shared" si="341"/>
        <v/>
      </c>
      <c r="L906" s="118"/>
      <c r="M906" s="121"/>
      <c r="N906" s="122" t="str">
        <f t="shared" si="342"/>
        <v/>
      </c>
      <c r="O906" s="35" t="str">
        <f t="shared" si="343"/>
        <v/>
      </c>
      <c r="P906" s="124"/>
      <c r="Q906" s="36" t="str">
        <f t="shared" si="355"/>
        <v/>
      </c>
      <c r="R906" s="46" t="str">
        <f t="shared" si="344"/>
        <v/>
      </c>
      <c r="S906" s="38" t="str">
        <f t="shared" si="345"/>
        <v/>
      </c>
      <c r="T906" s="39" t="str">
        <f t="shared" si="346"/>
        <v/>
      </c>
      <c r="U906" s="40" t="str">
        <f t="shared" si="347"/>
        <v/>
      </c>
      <c r="V906" s="39" t="str">
        <f t="shared" si="348"/>
        <v/>
      </c>
      <c r="W906" s="34" t="str">
        <f t="shared" si="349"/>
        <v/>
      </c>
      <c r="X906" s="41" t="str">
        <f t="shared" si="356"/>
        <v/>
      </c>
      <c r="Y906" s="98" t="str">
        <f t="shared" si="350"/>
        <v/>
      </c>
      <c r="Z906" s="16" t="str">
        <f t="shared" si="357"/>
        <v/>
      </c>
      <c r="AB906" s="139"/>
      <c r="AC906" s="146" t="str">
        <f t="shared" si="336"/>
        <v/>
      </c>
      <c r="AD906" s="148" t="str">
        <f t="shared" si="358"/>
        <v/>
      </c>
      <c r="AE906" s="147" t="str">
        <f t="shared" si="351"/>
        <v/>
      </c>
      <c r="AF906" s="111" t="str">
        <f t="shared" si="352"/>
        <v/>
      </c>
      <c r="AG906" s="111" t="str">
        <f t="shared" si="353"/>
        <v/>
      </c>
      <c r="AH906" s="112" t="str">
        <f t="shared" si="354"/>
        <v/>
      </c>
      <c r="AI906" t="str">
        <f t="shared" si="359"/>
        <v/>
      </c>
      <c r="AJ906" t="str">
        <f t="shared" si="337"/>
        <v/>
      </c>
    </row>
    <row r="907" spans="1:36" ht="15" customHeight="1" x14ac:dyDescent="0.25">
      <c r="A907" s="114"/>
      <c r="B907" s="116"/>
      <c r="C907" s="116"/>
      <c r="D907" s="42" t="str">
        <f t="shared" si="338"/>
        <v/>
      </c>
      <c r="E907" s="43"/>
      <c r="F907" s="118"/>
      <c r="G907" s="44" t="str">
        <f t="shared" si="339"/>
        <v/>
      </c>
      <c r="H907" s="118"/>
      <c r="I907" s="34" t="str">
        <f t="shared" si="340"/>
        <v/>
      </c>
      <c r="J907" s="118"/>
      <c r="K907" s="34" t="str">
        <f t="shared" si="341"/>
        <v/>
      </c>
      <c r="L907" s="118"/>
      <c r="M907" s="121"/>
      <c r="N907" s="122" t="str">
        <f t="shared" si="342"/>
        <v/>
      </c>
      <c r="O907" s="35" t="str">
        <f t="shared" si="343"/>
        <v/>
      </c>
      <c r="P907" s="124"/>
      <c r="Q907" s="36" t="str">
        <f t="shared" si="355"/>
        <v/>
      </c>
      <c r="R907" s="46" t="str">
        <f t="shared" si="344"/>
        <v/>
      </c>
      <c r="S907" s="38" t="str">
        <f t="shared" si="345"/>
        <v/>
      </c>
      <c r="T907" s="39" t="str">
        <f t="shared" si="346"/>
        <v/>
      </c>
      <c r="U907" s="40" t="str">
        <f t="shared" si="347"/>
        <v/>
      </c>
      <c r="V907" s="39" t="str">
        <f t="shared" si="348"/>
        <v/>
      </c>
      <c r="W907" s="34" t="str">
        <f t="shared" si="349"/>
        <v/>
      </c>
      <c r="X907" s="41" t="str">
        <f t="shared" si="356"/>
        <v/>
      </c>
      <c r="Y907" s="98" t="str">
        <f t="shared" si="350"/>
        <v/>
      </c>
      <c r="Z907" s="16" t="str">
        <f t="shared" si="357"/>
        <v/>
      </c>
      <c r="AB907" s="139"/>
      <c r="AC907" s="146" t="str">
        <f t="shared" si="336"/>
        <v/>
      </c>
      <c r="AD907" s="148" t="str">
        <f t="shared" si="358"/>
        <v/>
      </c>
      <c r="AE907" s="147" t="str">
        <f t="shared" si="351"/>
        <v/>
      </c>
      <c r="AF907" s="111" t="str">
        <f t="shared" si="352"/>
        <v/>
      </c>
      <c r="AG907" s="111" t="str">
        <f t="shared" si="353"/>
        <v/>
      </c>
      <c r="AH907" s="112" t="str">
        <f t="shared" si="354"/>
        <v/>
      </c>
      <c r="AI907" t="str">
        <f t="shared" si="359"/>
        <v/>
      </c>
      <c r="AJ907" t="str">
        <f t="shared" si="337"/>
        <v/>
      </c>
    </row>
    <row r="908" spans="1:36" ht="15" customHeight="1" x14ac:dyDescent="0.25">
      <c r="A908" s="114"/>
      <c r="B908" s="116"/>
      <c r="C908" s="116"/>
      <c r="D908" s="42" t="str">
        <f t="shared" si="338"/>
        <v/>
      </c>
      <c r="E908" s="43"/>
      <c r="F908" s="118"/>
      <c r="G908" s="44" t="str">
        <f t="shared" si="339"/>
        <v/>
      </c>
      <c r="H908" s="118"/>
      <c r="I908" s="34" t="str">
        <f t="shared" si="340"/>
        <v/>
      </c>
      <c r="J908" s="118"/>
      <c r="K908" s="34" t="str">
        <f t="shared" si="341"/>
        <v/>
      </c>
      <c r="L908" s="118"/>
      <c r="M908" s="121"/>
      <c r="N908" s="122" t="str">
        <f t="shared" si="342"/>
        <v/>
      </c>
      <c r="O908" s="35" t="str">
        <f t="shared" si="343"/>
        <v/>
      </c>
      <c r="P908" s="124"/>
      <c r="Q908" s="36" t="str">
        <f t="shared" si="355"/>
        <v/>
      </c>
      <c r="R908" s="46" t="str">
        <f t="shared" si="344"/>
        <v/>
      </c>
      <c r="S908" s="38" t="str">
        <f t="shared" si="345"/>
        <v/>
      </c>
      <c r="T908" s="39" t="str">
        <f t="shared" si="346"/>
        <v/>
      </c>
      <c r="U908" s="40" t="str">
        <f t="shared" si="347"/>
        <v/>
      </c>
      <c r="V908" s="39" t="str">
        <f t="shared" si="348"/>
        <v/>
      </c>
      <c r="W908" s="34" t="str">
        <f t="shared" si="349"/>
        <v/>
      </c>
      <c r="X908" s="41" t="str">
        <f t="shared" si="356"/>
        <v/>
      </c>
      <c r="Y908" s="98" t="str">
        <f t="shared" si="350"/>
        <v/>
      </c>
      <c r="Z908" s="16" t="str">
        <f t="shared" si="357"/>
        <v/>
      </c>
      <c r="AB908" s="139"/>
      <c r="AC908" s="146" t="str">
        <f t="shared" ref="AC908:AC971" si="360">IF(AB908="","",Q908)</f>
        <v/>
      </c>
      <c r="AD908" s="148" t="str">
        <f t="shared" si="358"/>
        <v/>
      </c>
      <c r="AE908" s="147" t="str">
        <f t="shared" si="351"/>
        <v/>
      </c>
      <c r="AF908" s="111" t="str">
        <f t="shared" si="352"/>
        <v/>
      </c>
      <c r="AG908" s="111" t="str">
        <f t="shared" si="353"/>
        <v/>
      </c>
      <c r="AH908" s="112" t="str">
        <f t="shared" si="354"/>
        <v/>
      </c>
      <c r="AI908" t="str">
        <f t="shared" si="359"/>
        <v/>
      </c>
      <c r="AJ908" t="str">
        <f t="shared" ref="AJ908:AJ971" si="361">IF(OR(AB908=0,AB908=""),"",AC908*C908)</f>
        <v/>
      </c>
    </row>
    <row r="909" spans="1:36" ht="15" customHeight="1" x14ac:dyDescent="0.25">
      <c r="A909" s="114"/>
      <c r="B909" s="116"/>
      <c r="C909" s="116"/>
      <c r="D909" s="42" t="str">
        <f t="shared" si="338"/>
        <v/>
      </c>
      <c r="E909" s="43"/>
      <c r="F909" s="118"/>
      <c r="G909" s="44" t="str">
        <f t="shared" si="339"/>
        <v/>
      </c>
      <c r="H909" s="118"/>
      <c r="I909" s="34" t="str">
        <f t="shared" si="340"/>
        <v/>
      </c>
      <c r="J909" s="118"/>
      <c r="K909" s="34" t="str">
        <f t="shared" si="341"/>
        <v/>
      </c>
      <c r="L909" s="118"/>
      <c r="M909" s="121"/>
      <c r="N909" s="122" t="str">
        <f t="shared" si="342"/>
        <v/>
      </c>
      <c r="O909" s="35" t="str">
        <f t="shared" si="343"/>
        <v/>
      </c>
      <c r="P909" s="124"/>
      <c r="Q909" s="36" t="str">
        <f t="shared" si="355"/>
        <v/>
      </c>
      <c r="R909" s="46" t="str">
        <f t="shared" si="344"/>
        <v/>
      </c>
      <c r="S909" s="38" t="str">
        <f t="shared" si="345"/>
        <v/>
      </c>
      <c r="T909" s="39" t="str">
        <f t="shared" si="346"/>
        <v/>
      </c>
      <c r="U909" s="40" t="str">
        <f t="shared" si="347"/>
        <v/>
      </c>
      <c r="V909" s="39" t="str">
        <f t="shared" si="348"/>
        <v/>
      </c>
      <c r="W909" s="34" t="str">
        <f t="shared" si="349"/>
        <v/>
      </c>
      <c r="X909" s="41" t="str">
        <f t="shared" si="356"/>
        <v/>
      </c>
      <c r="Y909" s="98" t="str">
        <f t="shared" si="350"/>
        <v/>
      </c>
      <c r="Z909" s="16" t="str">
        <f t="shared" si="357"/>
        <v/>
      </c>
      <c r="AB909" s="139"/>
      <c r="AC909" s="146" t="str">
        <f t="shared" si="360"/>
        <v/>
      </c>
      <c r="AD909" s="148" t="str">
        <f t="shared" si="358"/>
        <v/>
      </c>
      <c r="AE909" s="147" t="str">
        <f t="shared" si="351"/>
        <v/>
      </c>
      <c r="AF909" s="111" t="str">
        <f t="shared" si="352"/>
        <v/>
      </c>
      <c r="AG909" s="111" t="str">
        <f t="shared" si="353"/>
        <v/>
      </c>
      <c r="AH909" s="112" t="str">
        <f t="shared" si="354"/>
        <v/>
      </c>
      <c r="AI909" t="str">
        <f t="shared" si="359"/>
        <v/>
      </c>
      <c r="AJ909" t="str">
        <f t="shared" si="361"/>
        <v/>
      </c>
    </row>
    <row r="910" spans="1:36" ht="15" customHeight="1" x14ac:dyDescent="0.25">
      <c r="A910" s="114"/>
      <c r="B910" s="116"/>
      <c r="C910" s="116"/>
      <c r="D910" s="42" t="str">
        <f t="shared" si="338"/>
        <v/>
      </c>
      <c r="E910" s="43"/>
      <c r="F910" s="118"/>
      <c r="G910" s="44" t="str">
        <f t="shared" si="339"/>
        <v/>
      </c>
      <c r="H910" s="118"/>
      <c r="I910" s="34" t="str">
        <f t="shared" si="340"/>
        <v/>
      </c>
      <c r="J910" s="118"/>
      <c r="K910" s="34" t="str">
        <f t="shared" si="341"/>
        <v/>
      </c>
      <c r="L910" s="118"/>
      <c r="M910" s="121"/>
      <c r="N910" s="122" t="str">
        <f t="shared" si="342"/>
        <v/>
      </c>
      <c r="O910" s="35" t="str">
        <f t="shared" si="343"/>
        <v/>
      </c>
      <c r="P910" s="124"/>
      <c r="Q910" s="36" t="str">
        <f t="shared" si="355"/>
        <v/>
      </c>
      <c r="R910" s="46" t="str">
        <f t="shared" si="344"/>
        <v/>
      </c>
      <c r="S910" s="38" t="str">
        <f t="shared" si="345"/>
        <v/>
      </c>
      <c r="T910" s="39" t="str">
        <f t="shared" si="346"/>
        <v/>
      </c>
      <c r="U910" s="40" t="str">
        <f t="shared" si="347"/>
        <v/>
      </c>
      <c r="V910" s="39" t="str">
        <f t="shared" si="348"/>
        <v/>
      </c>
      <c r="W910" s="34" t="str">
        <f t="shared" si="349"/>
        <v/>
      </c>
      <c r="X910" s="41" t="str">
        <f t="shared" si="356"/>
        <v/>
      </c>
      <c r="Y910" s="98" t="str">
        <f t="shared" si="350"/>
        <v/>
      </c>
      <c r="Z910" s="16" t="str">
        <f t="shared" si="357"/>
        <v/>
      </c>
      <c r="AB910" s="139"/>
      <c r="AC910" s="146" t="str">
        <f t="shared" si="360"/>
        <v/>
      </c>
      <c r="AD910" s="148" t="str">
        <f t="shared" si="358"/>
        <v/>
      </c>
      <c r="AE910" s="147" t="str">
        <f t="shared" si="351"/>
        <v/>
      </c>
      <c r="AF910" s="111" t="str">
        <f t="shared" si="352"/>
        <v/>
      </c>
      <c r="AG910" s="111" t="str">
        <f t="shared" si="353"/>
        <v/>
      </c>
      <c r="AH910" s="112" t="str">
        <f t="shared" si="354"/>
        <v/>
      </c>
      <c r="AI910" t="str">
        <f t="shared" si="359"/>
        <v/>
      </c>
      <c r="AJ910" t="str">
        <f t="shared" si="361"/>
        <v/>
      </c>
    </row>
    <row r="911" spans="1:36" ht="15" customHeight="1" x14ac:dyDescent="0.25">
      <c r="A911" s="114"/>
      <c r="B911" s="116"/>
      <c r="C911" s="116"/>
      <c r="D911" s="42" t="str">
        <f t="shared" si="338"/>
        <v/>
      </c>
      <c r="E911" s="43"/>
      <c r="F911" s="118"/>
      <c r="G911" s="44" t="str">
        <f t="shared" si="339"/>
        <v/>
      </c>
      <c r="H911" s="118"/>
      <c r="I911" s="34" t="str">
        <f t="shared" si="340"/>
        <v/>
      </c>
      <c r="J911" s="118"/>
      <c r="K911" s="34" t="str">
        <f t="shared" si="341"/>
        <v/>
      </c>
      <c r="L911" s="118"/>
      <c r="M911" s="121"/>
      <c r="N911" s="122" t="str">
        <f t="shared" si="342"/>
        <v/>
      </c>
      <c r="O911" s="35" t="str">
        <f t="shared" si="343"/>
        <v/>
      </c>
      <c r="P911" s="124"/>
      <c r="Q911" s="36" t="str">
        <f t="shared" si="355"/>
        <v/>
      </c>
      <c r="R911" s="46" t="str">
        <f t="shared" si="344"/>
        <v/>
      </c>
      <c r="S911" s="38" t="str">
        <f t="shared" si="345"/>
        <v/>
      </c>
      <c r="T911" s="39" t="str">
        <f t="shared" si="346"/>
        <v/>
      </c>
      <c r="U911" s="40" t="str">
        <f t="shared" si="347"/>
        <v/>
      </c>
      <c r="V911" s="39" t="str">
        <f t="shared" si="348"/>
        <v/>
      </c>
      <c r="W911" s="34" t="str">
        <f t="shared" si="349"/>
        <v/>
      </c>
      <c r="X911" s="41" t="str">
        <f t="shared" si="356"/>
        <v/>
      </c>
      <c r="Y911" s="98" t="str">
        <f t="shared" si="350"/>
        <v/>
      </c>
      <c r="Z911" s="16" t="str">
        <f t="shared" si="357"/>
        <v/>
      </c>
      <c r="AB911" s="139"/>
      <c r="AC911" s="146" t="str">
        <f t="shared" si="360"/>
        <v/>
      </c>
      <c r="AD911" s="148" t="str">
        <f t="shared" si="358"/>
        <v/>
      </c>
      <c r="AE911" s="147" t="str">
        <f t="shared" si="351"/>
        <v/>
      </c>
      <c r="AF911" s="111" t="str">
        <f t="shared" si="352"/>
        <v/>
      </c>
      <c r="AG911" s="111" t="str">
        <f t="shared" si="353"/>
        <v/>
      </c>
      <c r="AH911" s="112" t="str">
        <f t="shared" si="354"/>
        <v/>
      </c>
      <c r="AI911" t="str">
        <f t="shared" si="359"/>
        <v/>
      </c>
      <c r="AJ911" t="str">
        <f t="shared" si="361"/>
        <v/>
      </c>
    </row>
    <row r="912" spans="1:36" ht="15" customHeight="1" x14ac:dyDescent="0.25">
      <c r="A912" s="114"/>
      <c r="B912" s="116"/>
      <c r="C912" s="116"/>
      <c r="D912" s="42" t="str">
        <f t="shared" si="338"/>
        <v/>
      </c>
      <c r="E912" s="43"/>
      <c r="F912" s="118"/>
      <c r="G912" s="44" t="str">
        <f t="shared" si="339"/>
        <v/>
      </c>
      <c r="H912" s="118"/>
      <c r="I912" s="34" t="str">
        <f t="shared" si="340"/>
        <v/>
      </c>
      <c r="J912" s="118"/>
      <c r="K912" s="34" t="str">
        <f t="shared" si="341"/>
        <v/>
      </c>
      <c r="L912" s="118"/>
      <c r="M912" s="121"/>
      <c r="N912" s="122" t="str">
        <f t="shared" si="342"/>
        <v/>
      </c>
      <c r="O912" s="35" t="str">
        <f t="shared" si="343"/>
        <v/>
      </c>
      <c r="P912" s="124"/>
      <c r="Q912" s="36" t="str">
        <f t="shared" si="355"/>
        <v/>
      </c>
      <c r="R912" s="46" t="str">
        <f t="shared" si="344"/>
        <v/>
      </c>
      <c r="S912" s="38" t="str">
        <f t="shared" si="345"/>
        <v/>
      </c>
      <c r="T912" s="39" t="str">
        <f t="shared" si="346"/>
        <v/>
      </c>
      <c r="U912" s="40" t="str">
        <f t="shared" si="347"/>
        <v/>
      </c>
      <c r="V912" s="39" t="str">
        <f t="shared" si="348"/>
        <v/>
      </c>
      <c r="W912" s="34" t="str">
        <f t="shared" si="349"/>
        <v/>
      </c>
      <c r="X912" s="41" t="str">
        <f t="shared" si="356"/>
        <v/>
      </c>
      <c r="Y912" s="98" t="str">
        <f t="shared" si="350"/>
        <v/>
      </c>
      <c r="Z912" s="16" t="str">
        <f t="shared" si="357"/>
        <v/>
      </c>
      <c r="AB912" s="139"/>
      <c r="AC912" s="146" t="str">
        <f t="shared" si="360"/>
        <v/>
      </c>
      <c r="AD912" s="148" t="str">
        <f t="shared" si="358"/>
        <v/>
      </c>
      <c r="AE912" s="147" t="str">
        <f t="shared" si="351"/>
        <v/>
      </c>
      <c r="AF912" s="111" t="str">
        <f t="shared" si="352"/>
        <v/>
      </c>
      <c r="AG912" s="111" t="str">
        <f t="shared" si="353"/>
        <v/>
      </c>
      <c r="AH912" s="112" t="str">
        <f t="shared" si="354"/>
        <v/>
      </c>
      <c r="AI912" t="str">
        <f t="shared" si="359"/>
        <v/>
      </c>
      <c r="AJ912" t="str">
        <f t="shared" si="361"/>
        <v/>
      </c>
    </row>
    <row r="913" spans="1:36" ht="15" customHeight="1" x14ac:dyDescent="0.25">
      <c r="A913" s="114"/>
      <c r="B913" s="116"/>
      <c r="C913" s="116"/>
      <c r="D913" s="42" t="str">
        <f t="shared" si="338"/>
        <v/>
      </c>
      <c r="E913" s="43"/>
      <c r="F913" s="118"/>
      <c r="G913" s="44" t="str">
        <f t="shared" si="339"/>
        <v/>
      </c>
      <c r="H913" s="118"/>
      <c r="I913" s="34" t="str">
        <f t="shared" si="340"/>
        <v/>
      </c>
      <c r="J913" s="118"/>
      <c r="K913" s="34" t="str">
        <f t="shared" si="341"/>
        <v/>
      </c>
      <c r="L913" s="118"/>
      <c r="M913" s="121"/>
      <c r="N913" s="122" t="str">
        <f t="shared" si="342"/>
        <v/>
      </c>
      <c r="O913" s="35" t="str">
        <f t="shared" si="343"/>
        <v/>
      </c>
      <c r="P913" s="124"/>
      <c r="Q913" s="36" t="str">
        <f t="shared" si="355"/>
        <v/>
      </c>
      <c r="R913" s="46" t="str">
        <f t="shared" si="344"/>
        <v/>
      </c>
      <c r="S913" s="38" t="str">
        <f t="shared" si="345"/>
        <v/>
      </c>
      <c r="T913" s="39" t="str">
        <f t="shared" si="346"/>
        <v/>
      </c>
      <c r="U913" s="40" t="str">
        <f t="shared" si="347"/>
        <v/>
      </c>
      <c r="V913" s="39" t="str">
        <f t="shared" si="348"/>
        <v/>
      </c>
      <c r="W913" s="34" t="str">
        <f t="shared" si="349"/>
        <v/>
      </c>
      <c r="X913" s="41" t="str">
        <f t="shared" si="356"/>
        <v/>
      </c>
      <c r="Y913" s="98" t="str">
        <f t="shared" si="350"/>
        <v/>
      </c>
      <c r="Z913" s="16" t="str">
        <f t="shared" si="357"/>
        <v/>
      </c>
      <c r="AB913" s="139"/>
      <c r="AC913" s="146" t="str">
        <f t="shared" si="360"/>
        <v/>
      </c>
      <c r="AD913" s="148" t="str">
        <f t="shared" si="358"/>
        <v/>
      </c>
      <c r="AE913" s="147" t="str">
        <f t="shared" si="351"/>
        <v/>
      </c>
      <c r="AF913" s="111" t="str">
        <f t="shared" si="352"/>
        <v/>
      </c>
      <c r="AG913" s="111" t="str">
        <f t="shared" si="353"/>
        <v/>
      </c>
      <c r="AH913" s="112" t="str">
        <f t="shared" si="354"/>
        <v/>
      </c>
      <c r="AI913" t="str">
        <f t="shared" si="359"/>
        <v/>
      </c>
      <c r="AJ913" t="str">
        <f t="shared" si="361"/>
        <v/>
      </c>
    </row>
    <row r="914" spans="1:36" ht="15" customHeight="1" x14ac:dyDescent="0.25">
      <c r="A914" s="114"/>
      <c r="B914" s="116"/>
      <c r="C914" s="116"/>
      <c r="D914" s="42" t="str">
        <f t="shared" si="338"/>
        <v/>
      </c>
      <c r="E914" s="43"/>
      <c r="F914" s="118"/>
      <c r="G914" s="44" t="str">
        <f t="shared" si="339"/>
        <v/>
      </c>
      <c r="H914" s="118"/>
      <c r="I914" s="34" t="str">
        <f t="shared" si="340"/>
        <v/>
      </c>
      <c r="J914" s="118"/>
      <c r="K914" s="34" t="str">
        <f t="shared" si="341"/>
        <v/>
      </c>
      <c r="L914" s="118"/>
      <c r="M914" s="121"/>
      <c r="N914" s="122" t="str">
        <f t="shared" si="342"/>
        <v/>
      </c>
      <c r="O914" s="35" t="str">
        <f t="shared" si="343"/>
        <v/>
      </c>
      <c r="P914" s="124"/>
      <c r="Q914" s="36" t="str">
        <f t="shared" si="355"/>
        <v/>
      </c>
      <c r="R914" s="46" t="str">
        <f t="shared" si="344"/>
        <v/>
      </c>
      <c r="S914" s="38" t="str">
        <f t="shared" si="345"/>
        <v/>
      </c>
      <c r="T914" s="39" t="str">
        <f t="shared" si="346"/>
        <v/>
      </c>
      <c r="U914" s="40" t="str">
        <f t="shared" si="347"/>
        <v/>
      </c>
      <c r="V914" s="39" t="str">
        <f t="shared" si="348"/>
        <v/>
      </c>
      <c r="W914" s="34" t="str">
        <f t="shared" si="349"/>
        <v/>
      </c>
      <c r="X914" s="41" t="str">
        <f t="shared" si="356"/>
        <v/>
      </c>
      <c r="Y914" s="98" t="str">
        <f t="shared" si="350"/>
        <v/>
      </c>
      <c r="Z914" s="16" t="str">
        <f t="shared" si="357"/>
        <v/>
      </c>
      <c r="AB914" s="139"/>
      <c r="AC914" s="146" t="str">
        <f t="shared" si="360"/>
        <v/>
      </c>
      <c r="AD914" s="148" t="str">
        <f t="shared" si="358"/>
        <v/>
      </c>
      <c r="AE914" s="147" t="str">
        <f t="shared" si="351"/>
        <v/>
      </c>
      <c r="AF914" s="111" t="str">
        <f t="shared" si="352"/>
        <v/>
      </c>
      <c r="AG914" s="111" t="str">
        <f t="shared" si="353"/>
        <v/>
      </c>
      <c r="AH914" s="112" t="str">
        <f t="shared" si="354"/>
        <v/>
      </c>
      <c r="AI914" t="str">
        <f t="shared" si="359"/>
        <v/>
      </c>
      <c r="AJ914" t="str">
        <f t="shared" si="361"/>
        <v/>
      </c>
    </row>
    <row r="915" spans="1:36" ht="15" customHeight="1" x14ac:dyDescent="0.25">
      <c r="A915" s="114"/>
      <c r="B915" s="116"/>
      <c r="C915" s="116"/>
      <c r="D915" s="42" t="str">
        <f t="shared" si="338"/>
        <v/>
      </c>
      <c r="E915" s="43"/>
      <c r="F915" s="118"/>
      <c r="G915" s="44" t="str">
        <f t="shared" si="339"/>
        <v/>
      </c>
      <c r="H915" s="118"/>
      <c r="I915" s="34" t="str">
        <f t="shared" si="340"/>
        <v/>
      </c>
      <c r="J915" s="118"/>
      <c r="K915" s="34" t="str">
        <f t="shared" si="341"/>
        <v/>
      </c>
      <c r="L915" s="118"/>
      <c r="M915" s="121"/>
      <c r="N915" s="122" t="str">
        <f t="shared" si="342"/>
        <v/>
      </c>
      <c r="O915" s="35" t="str">
        <f t="shared" si="343"/>
        <v/>
      </c>
      <c r="P915" s="124"/>
      <c r="Q915" s="36" t="str">
        <f t="shared" si="355"/>
        <v/>
      </c>
      <c r="R915" s="46" t="str">
        <f t="shared" si="344"/>
        <v/>
      </c>
      <c r="S915" s="38" t="str">
        <f t="shared" si="345"/>
        <v/>
      </c>
      <c r="T915" s="39" t="str">
        <f t="shared" si="346"/>
        <v/>
      </c>
      <c r="U915" s="40" t="str">
        <f t="shared" si="347"/>
        <v/>
      </c>
      <c r="V915" s="39" t="str">
        <f t="shared" si="348"/>
        <v/>
      </c>
      <c r="W915" s="34" t="str">
        <f t="shared" si="349"/>
        <v/>
      </c>
      <c r="X915" s="41" t="str">
        <f t="shared" si="356"/>
        <v/>
      </c>
      <c r="Y915" s="98" t="str">
        <f t="shared" si="350"/>
        <v/>
      </c>
      <c r="Z915" s="16" t="str">
        <f t="shared" si="357"/>
        <v/>
      </c>
      <c r="AB915" s="139"/>
      <c r="AC915" s="146" t="str">
        <f t="shared" si="360"/>
        <v/>
      </c>
      <c r="AD915" s="148" t="str">
        <f t="shared" si="358"/>
        <v/>
      </c>
      <c r="AE915" s="147" t="str">
        <f t="shared" si="351"/>
        <v/>
      </c>
      <c r="AF915" s="111" t="str">
        <f t="shared" si="352"/>
        <v/>
      </c>
      <c r="AG915" s="111" t="str">
        <f t="shared" si="353"/>
        <v/>
      </c>
      <c r="AH915" s="112" t="str">
        <f t="shared" si="354"/>
        <v/>
      </c>
      <c r="AI915" t="str">
        <f t="shared" si="359"/>
        <v/>
      </c>
      <c r="AJ915" t="str">
        <f t="shared" si="361"/>
        <v/>
      </c>
    </row>
    <row r="916" spans="1:36" ht="15" customHeight="1" x14ac:dyDescent="0.25">
      <c r="A916" s="114"/>
      <c r="B916" s="116"/>
      <c r="C916" s="116"/>
      <c r="D916" s="42" t="str">
        <f t="shared" si="338"/>
        <v/>
      </c>
      <c r="E916" s="43"/>
      <c r="F916" s="118"/>
      <c r="G916" s="44" t="str">
        <f t="shared" si="339"/>
        <v/>
      </c>
      <c r="H916" s="118"/>
      <c r="I916" s="34" t="str">
        <f t="shared" si="340"/>
        <v/>
      </c>
      <c r="J916" s="118"/>
      <c r="K916" s="34" t="str">
        <f t="shared" si="341"/>
        <v/>
      </c>
      <c r="L916" s="118"/>
      <c r="M916" s="121"/>
      <c r="N916" s="122" t="str">
        <f t="shared" si="342"/>
        <v/>
      </c>
      <c r="O916" s="35" t="str">
        <f t="shared" si="343"/>
        <v/>
      </c>
      <c r="P916" s="124"/>
      <c r="Q916" s="36" t="str">
        <f t="shared" si="355"/>
        <v/>
      </c>
      <c r="R916" s="46" t="str">
        <f t="shared" si="344"/>
        <v/>
      </c>
      <c r="S916" s="38" t="str">
        <f t="shared" si="345"/>
        <v/>
      </c>
      <c r="T916" s="39" t="str">
        <f t="shared" si="346"/>
        <v/>
      </c>
      <c r="U916" s="40" t="str">
        <f t="shared" si="347"/>
        <v/>
      </c>
      <c r="V916" s="39" t="str">
        <f t="shared" si="348"/>
        <v/>
      </c>
      <c r="W916" s="34" t="str">
        <f t="shared" si="349"/>
        <v/>
      </c>
      <c r="X916" s="41" t="str">
        <f t="shared" si="356"/>
        <v/>
      </c>
      <c r="Y916" s="98" t="str">
        <f t="shared" si="350"/>
        <v/>
      </c>
      <c r="Z916" s="16" t="str">
        <f t="shared" si="357"/>
        <v/>
      </c>
      <c r="AB916" s="139"/>
      <c r="AC916" s="146" t="str">
        <f t="shared" si="360"/>
        <v/>
      </c>
      <c r="AD916" s="148" t="str">
        <f t="shared" si="358"/>
        <v/>
      </c>
      <c r="AE916" s="147" t="str">
        <f t="shared" si="351"/>
        <v/>
      </c>
      <c r="AF916" s="111" t="str">
        <f t="shared" si="352"/>
        <v/>
      </c>
      <c r="AG916" s="111" t="str">
        <f t="shared" si="353"/>
        <v/>
      </c>
      <c r="AH916" s="112" t="str">
        <f t="shared" si="354"/>
        <v/>
      </c>
      <c r="AI916" t="str">
        <f t="shared" si="359"/>
        <v/>
      </c>
      <c r="AJ916" t="str">
        <f t="shared" si="361"/>
        <v/>
      </c>
    </row>
    <row r="917" spans="1:36" ht="15" customHeight="1" x14ac:dyDescent="0.25">
      <c r="A917" s="114"/>
      <c r="B917" s="116"/>
      <c r="C917" s="116"/>
      <c r="D917" s="42" t="str">
        <f t="shared" si="338"/>
        <v/>
      </c>
      <c r="E917" s="43"/>
      <c r="F917" s="118"/>
      <c r="G917" s="44" t="str">
        <f t="shared" si="339"/>
        <v/>
      </c>
      <c r="H917" s="118"/>
      <c r="I917" s="34" t="str">
        <f t="shared" si="340"/>
        <v/>
      </c>
      <c r="J917" s="118"/>
      <c r="K917" s="34" t="str">
        <f t="shared" si="341"/>
        <v/>
      </c>
      <c r="L917" s="118"/>
      <c r="M917" s="121"/>
      <c r="N917" s="122" t="str">
        <f t="shared" si="342"/>
        <v/>
      </c>
      <c r="O917" s="35" t="str">
        <f t="shared" si="343"/>
        <v/>
      </c>
      <c r="P917" s="124"/>
      <c r="Q917" s="36" t="str">
        <f t="shared" si="355"/>
        <v/>
      </c>
      <c r="R917" s="46" t="str">
        <f t="shared" si="344"/>
        <v/>
      </c>
      <c r="S917" s="38" t="str">
        <f t="shared" si="345"/>
        <v/>
      </c>
      <c r="T917" s="39" t="str">
        <f t="shared" si="346"/>
        <v/>
      </c>
      <c r="U917" s="40" t="str">
        <f t="shared" si="347"/>
        <v/>
      </c>
      <c r="V917" s="39" t="str">
        <f t="shared" si="348"/>
        <v/>
      </c>
      <c r="W917" s="34" t="str">
        <f t="shared" si="349"/>
        <v/>
      </c>
      <c r="X917" s="41" t="str">
        <f t="shared" si="356"/>
        <v/>
      </c>
      <c r="Y917" s="98" t="str">
        <f t="shared" si="350"/>
        <v/>
      </c>
      <c r="Z917" s="16" t="str">
        <f t="shared" si="357"/>
        <v/>
      </c>
      <c r="AB917" s="139"/>
      <c r="AC917" s="146" t="str">
        <f t="shared" si="360"/>
        <v/>
      </c>
      <c r="AD917" s="148" t="str">
        <f t="shared" si="358"/>
        <v/>
      </c>
      <c r="AE917" s="147" t="str">
        <f t="shared" si="351"/>
        <v/>
      </c>
      <c r="AF917" s="111" t="str">
        <f t="shared" si="352"/>
        <v/>
      </c>
      <c r="AG917" s="111" t="str">
        <f t="shared" si="353"/>
        <v/>
      </c>
      <c r="AH917" s="112" t="str">
        <f t="shared" si="354"/>
        <v/>
      </c>
      <c r="AI917" t="str">
        <f t="shared" si="359"/>
        <v/>
      </c>
      <c r="AJ917" t="str">
        <f t="shared" si="361"/>
        <v/>
      </c>
    </row>
    <row r="918" spans="1:36" ht="15" customHeight="1" x14ac:dyDescent="0.25">
      <c r="A918" s="114"/>
      <c r="B918" s="116"/>
      <c r="C918" s="116"/>
      <c r="D918" s="42" t="str">
        <f t="shared" si="338"/>
        <v/>
      </c>
      <c r="E918" s="43"/>
      <c r="F918" s="118"/>
      <c r="G918" s="44" t="str">
        <f t="shared" si="339"/>
        <v/>
      </c>
      <c r="H918" s="118"/>
      <c r="I918" s="34" t="str">
        <f t="shared" si="340"/>
        <v/>
      </c>
      <c r="J918" s="118"/>
      <c r="K918" s="34" t="str">
        <f t="shared" si="341"/>
        <v/>
      </c>
      <c r="L918" s="118"/>
      <c r="M918" s="121"/>
      <c r="N918" s="122" t="str">
        <f t="shared" si="342"/>
        <v/>
      </c>
      <c r="O918" s="35" t="str">
        <f t="shared" si="343"/>
        <v/>
      </c>
      <c r="P918" s="124"/>
      <c r="Q918" s="36" t="str">
        <f t="shared" si="355"/>
        <v/>
      </c>
      <c r="R918" s="46" t="str">
        <f t="shared" si="344"/>
        <v/>
      </c>
      <c r="S918" s="38" t="str">
        <f t="shared" si="345"/>
        <v/>
      </c>
      <c r="T918" s="39" t="str">
        <f t="shared" si="346"/>
        <v/>
      </c>
      <c r="U918" s="40" t="str">
        <f t="shared" si="347"/>
        <v/>
      </c>
      <c r="V918" s="39" t="str">
        <f t="shared" si="348"/>
        <v/>
      </c>
      <c r="W918" s="34" t="str">
        <f t="shared" si="349"/>
        <v/>
      </c>
      <c r="X918" s="41" t="str">
        <f t="shared" si="356"/>
        <v/>
      </c>
      <c r="Y918" s="98" t="str">
        <f t="shared" si="350"/>
        <v/>
      </c>
      <c r="Z918" s="16" t="str">
        <f t="shared" si="357"/>
        <v/>
      </c>
      <c r="AB918" s="139"/>
      <c r="AC918" s="146" t="str">
        <f t="shared" si="360"/>
        <v/>
      </c>
      <c r="AD918" s="148" t="str">
        <f t="shared" si="358"/>
        <v/>
      </c>
      <c r="AE918" s="147" t="str">
        <f t="shared" si="351"/>
        <v/>
      </c>
      <c r="AF918" s="111" t="str">
        <f t="shared" si="352"/>
        <v/>
      </c>
      <c r="AG918" s="111" t="str">
        <f t="shared" si="353"/>
        <v/>
      </c>
      <c r="AH918" s="112" t="str">
        <f t="shared" si="354"/>
        <v/>
      </c>
      <c r="AI918" t="str">
        <f t="shared" si="359"/>
        <v/>
      </c>
      <c r="AJ918" t="str">
        <f t="shared" si="361"/>
        <v/>
      </c>
    </row>
    <row r="919" spans="1:36" ht="15" customHeight="1" x14ac:dyDescent="0.25">
      <c r="A919" s="114"/>
      <c r="B919" s="116"/>
      <c r="C919" s="116"/>
      <c r="D919" s="42" t="str">
        <f t="shared" si="338"/>
        <v/>
      </c>
      <c r="E919" s="43"/>
      <c r="F919" s="118"/>
      <c r="G919" s="44" t="str">
        <f t="shared" si="339"/>
        <v/>
      </c>
      <c r="H919" s="118"/>
      <c r="I919" s="34" t="str">
        <f t="shared" si="340"/>
        <v/>
      </c>
      <c r="J919" s="118"/>
      <c r="K919" s="34" t="str">
        <f t="shared" si="341"/>
        <v/>
      </c>
      <c r="L919" s="118"/>
      <c r="M919" s="121"/>
      <c r="N919" s="122" t="str">
        <f t="shared" si="342"/>
        <v/>
      </c>
      <c r="O919" s="35" t="str">
        <f t="shared" si="343"/>
        <v/>
      </c>
      <c r="P919" s="124"/>
      <c r="Q919" s="36" t="str">
        <f t="shared" si="355"/>
        <v/>
      </c>
      <c r="R919" s="46" t="str">
        <f t="shared" si="344"/>
        <v/>
      </c>
      <c r="S919" s="38" t="str">
        <f t="shared" si="345"/>
        <v/>
      </c>
      <c r="T919" s="39" t="str">
        <f t="shared" si="346"/>
        <v/>
      </c>
      <c r="U919" s="40" t="str">
        <f t="shared" si="347"/>
        <v/>
      </c>
      <c r="V919" s="39" t="str">
        <f t="shared" si="348"/>
        <v/>
      </c>
      <c r="W919" s="34" t="str">
        <f t="shared" si="349"/>
        <v/>
      </c>
      <c r="X919" s="41" t="str">
        <f t="shared" si="356"/>
        <v/>
      </c>
      <c r="Y919" s="98" t="str">
        <f t="shared" si="350"/>
        <v/>
      </c>
      <c r="Z919" s="16" t="str">
        <f t="shared" si="357"/>
        <v/>
      </c>
      <c r="AB919" s="139"/>
      <c r="AC919" s="146" t="str">
        <f t="shared" si="360"/>
        <v/>
      </c>
      <c r="AD919" s="148" t="str">
        <f t="shared" si="358"/>
        <v/>
      </c>
      <c r="AE919" s="147" t="str">
        <f t="shared" si="351"/>
        <v/>
      </c>
      <c r="AF919" s="111" t="str">
        <f t="shared" si="352"/>
        <v/>
      </c>
      <c r="AG919" s="111" t="str">
        <f t="shared" si="353"/>
        <v/>
      </c>
      <c r="AH919" s="112" t="str">
        <f t="shared" si="354"/>
        <v/>
      </c>
      <c r="AI919" t="str">
        <f t="shared" si="359"/>
        <v/>
      </c>
      <c r="AJ919" t="str">
        <f t="shared" si="361"/>
        <v/>
      </c>
    </row>
    <row r="920" spans="1:36" ht="15" customHeight="1" x14ac:dyDescent="0.25">
      <c r="A920" s="114"/>
      <c r="B920" s="116"/>
      <c r="C920" s="116"/>
      <c r="D920" s="42" t="str">
        <f t="shared" si="338"/>
        <v/>
      </c>
      <c r="E920" s="43"/>
      <c r="F920" s="118"/>
      <c r="G920" s="44" t="str">
        <f t="shared" si="339"/>
        <v/>
      </c>
      <c r="H920" s="118"/>
      <c r="I920" s="34" t="str">
        <f t="shared" si="340"/>
        <v/>
      </c>
      <c r="J920" s="118"/>
      <c r="K920" s="34" t="str">
        <f t="shared" si="341"/>
        <v/>
      </c>
      <c r="L920" s="118"/>
      <c r="M920" s="121"/>
      <c r="N920" s="122" t="str">
        <f t="shared" si="342"/>
        <v/>
      </c>
      <c r="O920" s="35" t="str">
        <f t="shared" si="343"/>
        <v/>
      </c>
      <c r="P920" s="124"/>
      <c r="Q920" s="36" t="str">
        <f t="shared" si="355"/>
        <v/>
      </c>
      <c r="R920" s="46" t="str">
        <f t="shared" si="344"/>
        <v/>
      </c>
      <c r="S920" s="38" t="str">
        <f t="shared" si="345"/>
        <v/>
      </c>
      <c r="T920" s="39" t="str">
        <f t="shared" si="346"/>
        <v/>
      </c>
      <c r="U920" s="40" t="str">
        <f t="shared" si="347"/>
        <v/>
      </c>
      <c r="V920" s="39" t="str">
        <f t="shared" si="348"/>
        <v/>
      </c>
      <c r="W920" s="34" t="str">
        <f t="shared" si="349"/>
        <v/>
      </c>
      <c r="X920" s="41" t="str">
        <f t="shared" si="356"/>
        <v/>
      </c>
      <c r="Y920" s="98" t="str">
        <f t="shared" si="350"/>
        <v/>
      </c>
      <c r="Z920" s="16" t="str">
        <f t="shared" si="357"/>
        <v/>
      </c>
      <c r="AB920" s="139"/>
      <c r="AC920" s="146" t="str">
        <f t="shared" si="360"/>
        <v/>
      </c>
      <c r="AD920" s="148" t="str">
        <f t="shared" si="358"/>
        <v/>
      </c>
      <c r="AE920" s="147" t="str">
        <f t="shared" si="351"/>
        <v/>
      </c>
      <c r="AF920" s="111" t="str">
        <f t="shared" si="352"/>
        <v/>
      </c>
      <c r="AG920" s="111" t="str">
        <f t="shared" si="353"/>
        <v/>
      </c>
      <c r="AH920" s="112" t="str">
        <f t="shared" si="354"/>
        <v/>
      </c>
      <c r="AI920" t="str">
        <f t="shared" si="359"/>
        <v/>
      </c>
      <c r="AJ920" t="str">
        <f t="shared" si="361"/>
        <v/>
      </c>
    </row>
    <row r="921" spans="1:36" ht="15" customHeight="1" x14ac:dyDescent="0.25">
      <c r="A921" s="114"/>
      <c r="B921" s="116"/>
      <c r="C921" s="116"/>
      <c r="D921" s="42" t="str">
        <f t="shared" si="338"/>
        <v/>
      </c>
      <c r="E921" s="43"/>
      <c r="F921" s="118"/>
      <c r="G921" s="44" t="str">
        <f t="shared" si="339"/>
        <v/>
      </c>
      <c r="H921" s="118"/>
      <c r="I921" s="34" t="str">
        <f t="shared" si="340"/>
        <v/>
      </c>
      <c r="J921" s="118"/>
      <c r="K921" s="34" t="str">
        <f t="shared" si="341"/>
        <v/>
      </c>
      <c r="L921" s="118"/>
      <c r="M921" s="121"/>
      <c r="N921" s="122" t="str">
        <f t="shared" si="342"/>
        <v/>
      </c>
      <c r="O921" s="35" t="str">
        <f t="shared" si="343"/>
        <v/>
      </c>
      <c r="P921" s="124"/>
      <c r="Q921" s="36" t="str">
        <f t="shared" si="355"/>
        <v/>
      </c>
      <c r="R921" s="46" t="str">
        <f t="shared" si="344"/>
        <v/>
      </c>
      <c r="S921" s="38" t="str">
        <f t="shared" si="345"/>
        <v/>
      </c>
      <c r="T921" s="39" t="str">
        <f t="shared" si="346"/>
        <v/>
      </c>
      <c r="U921" s="40" t="str">
        <f t="shared" si="347"/>
        <v/>
      </c>
      <c r="V921" s="39" t="str">
        <f t="shared" si="348"/>
        <v/>
      </c>
      <c r="W921" s="34" t="str">
        <f t="shared" si="349"/>
        <v/>
      </c>
      <c r="X921" s="41" t="str">
        <f t="shared" si="356"/>
        <v/>
      </c>
      <c r="Y921" s="98" t="str">
        <f t="shared" si="350"/>
        <v/>
      </c>
      <c r="Z921" s="16" t="str">
        <f t="shared" si="357"/>
        <v/>
      </c>
      <c r="AB921" s="139"/>
      <c r="AC921" s="146" t="str">
        <f t="shared" si="360"/>
        <v/>
      </c>
      <c r="AD921" s="148" t="str">
        <f t="shared" si="358"/>
        <v/>
      </c>
      <c r="AE921" s="147" t="str">
        <f t="shared" si="351"/>
        <v/>
      </c>
      <c r="AF921" s="111" t="str">
        <f t="shared" si="352"/>
        <v/>
      </c>
      <c r="AG921" s="111" t="str">
        <f t="shared" si="353"/>
        <v/>
      </c>
      <c r="AH921" s="112" t="str">
        <f t="shared" si="354"/>
        <v/>
      </c>
      <c r="AI921" t="str">
        <f t="shared" si="359"/>
        <v/>
      </c>
      <c r="AJ921" t="str">
        <f t="shared" si="361"/>
        <v/>
      </c>
    </row>
    <row r="922" spans="1:36" ht="15" customHeight="1" x14ac:dyDescent="0.25">
      <c r="A922" s="114"/>
      <c r="B922" s="116"/>
      <c r="C922" s="116"/>
      <c r="D922" s="42" t="str">
        <f t="shared" si="338"/>
        <v/>
      </c>
      <c r="E922" s="43"/>
      <c r="F922" s="118"/>
      <c r="G922" s="44" t="str">
        <f t="shared" si="339"/>
        <v/>
      </c>
      <c r="H922" s="118"/>
      <c r="I922" s="34" t="str">
        <f t="shared" si="340"/>
        <v/>
      </c>
      <c r="J922" s="118"/>
      <c r="K922" s="34" t="str">
        <f t="shared" si="341"/>
        <v/>
      </c>
      <c r="L922" s="118"/>
      <c r="M922" s="121"/>
      <c r="N922" s="122" t="str">
        <f t="shared" si="342"/>
        <v/>
      </c>
      <c r="O922" s="35" t="str">
        <f t="shared" si="343"/>
        <v/>
      </c>
      <c r="P922" s="124"/>
      <c r="Q922" s="36" t="str">
        <f t="shared" si="355"/>
        <v/>
      </c>
      <c r="R922" s="46" t="str">
        <f t="shared" si="344"/>
        <v/>
      </c>
      <c r="S922" s="38" t="str">
        <f t="shared" si="345"/>
        <v/>
      </c>
      <c r="T922" s="39" t="str">
        <f t="shared" si="346"/>
        <v/>
      </c>
      <c r="U922" s="40" t="str">
        <f t="shared" si="347"/>
        <v/>
      </c>
      <c r="V922" s="39" t="str">
        <f t="shared" si="348"/>
        <v/>
      </c>
      <c r="W922" s="34" t="str">
        <f t="shared" si="349"/>
        <v/>
      </c>
      <c r="X922" s="41" t="str">
        <f t="shared" si="356"/>
        <v/>
      </c>
      <c r="Y922" s="98" t="str">
        <f t="shared" si="350"/>
        <v/>
      </c>
      <c r="Z922" s="16" t="str">
        <f t="shared" si="357"/>
        <v/>
      </c>
      <c r="AB922" s="139"/>
      <c r="AC922" s="146" t="str">
        <f t="shared" si="360"/>
        <v/>
      </c>
      <c r="AD922" s="148" t="str">
        <f t="shared" si="358"/>
        <v/>
      </c>
      <c r="AE922" s="147" t="str">
        <f t="shared" si="351"/>
        <v/>
      </c>
      <c r="AF922" s="111" t="str">
        <f t="shared" si="352"/>
        <v/>
      </c>
      <c r="AG922" s="111" t="str">
        <f t="shared" si="353"/>
        <v/>
      </c>
      <c r="AH922" s="112" t="str">
        <f t="shared" si="354"/>
        <v/>
      </c>
      <c r="AI922" t="str">
        <f t="shared" si="359"/>
        <v/>
      </c>
      <c r="AJ922" t="str">
        <f t="shared" si="361"/>
        <v/>
      </c>
    </row>
    <row r="923" spans="1:36" ht="15" customHeight="1" x14ac:dyDescent="0.25">
      <c r="A923" s="114"/>
      <c r="B923" s="116"/>
      <c r="C923" s="116"/>
      <c r="D923" s="42" t="str">
        <f t="shared" si="338"/>
        <v/>
      </c>
      <c r="E923" s="43"/>
      <c r="F923" s="118"/>
      <c r="G923" s="44" t="str">
        <f t="shared" si="339"/>
        <v/>
      </c>
      <c r="H923" s="118"/>
      <c r="I923" s="34" t="str">
        <f t="shared" si="340"/>
        <v/>
      </c>
      <c r="J923" s="118"/>
      <c r="K923" s="34" t="str">
        <f t="shared" si="341"/>
        <v/>
      </c>
      <c r="L923" s="118"/>
      <c r="M923" s="121"/>
      <c r="N923" s="122" t="str">
        <f t="shared" si="342"/>
        <v/>
      </c>
      <c r="O923" s="35" t="str">
        <f t="shared" si="343"/>
        <v/>
      </c>
      <c r="P923" s="124"/>
      <c r="Q923" s="36" t="str">
        <f t="shared" si="355"/>
        <v/>
      </c>
      <c r="R923" s="46" t="str">
        <f t="shared" si="344"/>
        <v/>
      </c>
      <c r="S923" s="38" t="str">
        <f t="shared" si="345"/>
        <v/>
      </c>
      <c r="T923" s="39" t="str">
        <f t="shared" si="346"/>
        <v/>
      </c>
      <c r="U923" s="40" t="str">
        <f t="shared" si="347"/>
        <v/>
      </c>
      <c r="V923" s="39" t="str">
        <f t="shared" si="348"/>
        <v/>
      </c>
      <c r="W923" s="34" t="str">
        <f t="shared" si="349"/>
        <v/>
      </c>
      <c r="X923" s="41" t="str">
        <f t="shared" si="356"/>
        <v/>
      </c>
      <c r="Y923" s="98" t="str">
        <f t="shared" si="350"/>
        <v/>
      </c>
      <c r="Z923" s="16" t="str">
        <f t="shared" si="357"/>
        <v/>
      </c>
      <c r="AB923" s="139"/>
      <c r="AC923" s="146" t="str">
        <f t="shared" si="360"/>
        <v/>
      </c>
      <c r="AD923" s="148" t="str">
        <f t="shared" si="358"/>
        <v/>
      </c>
      <c r="AE923" s="147" t="str">
        <f t="shared" si="351"/>
        <v/>
      </c>
      <c r="AF923" s="111" t="str">
        <f t="shared" si="352"/>
        <v/>
      </c>
      <c r="AG923" s="111" t="str">
        <f t="shared" si="353"/>
        <v/>
      </c>
      <c r="AH923" s="112" t="str">
        <f t="shared" si="354"/>
        <v/>
      </c>
      <c r="AI923" t="str">
        <f t="shared" si="359"/>
        <v/>
      </c>
      <c r="AJ923" t="str">
        <f t="shared" si="361"/>
        <v/>
      </c>
    </row>
    <row r="924" spans="1:36" ht="15" customHeight="1" x14ac:dyDescent="0.25">
      <c r="A924" s="114"/>
      <c r="B924" s="116"/>
      <c r="C924" s="116"/>
      <c r="D924" s="42" t="str">
        <f t="shared" si="338"/>
        <v/>
      </c>
      <c r="E924" s="43"/>
      <c r="F924" s="118"/>
      <c r="G924" s="44" t="str">
        <f t="shared" si="339"/>
        <v/>
      </c>
      <c r="H924" s="118"/>
      <c r="I924" s="34" t="str">
        <f t="shared" si="340"/>
        <v/>
      </c>
      <c r="J924" s="118"/>
      <c r="K924" s="34" t="str">
        <f t="shared" si="341"/>
        <v/>
      </c>
      <c r="L924" s="118"/>
      <c r="M924" s="121"/>
      <c r="N924" s="122" t="str">
        <f t="shared" si="342"/>
        <v/>
      </c>
      <c r="O924" s="35" t="str">
        <f t="shared" si="343"/>
        <v/>
      </c>
      <c r="P924" s="124"/>
      <c r="Q924" s="36" t="str">
        <f t="shared" si="355"/>
        <v/>
      </c>
      <c r="R924" s="46" t="str">
        <f t="shared" si="344"/>
        <v/>
      </c>
      <c r="S924" s="38" t="str">
        <f t="shared" si="345"/>
        <v/>
      </c>
      <c r="T924" s="39" t="str">
        <f t="shared" si="346"/>
        <v/>
      </c>
      <c r="U924" s="40" t="str">
        <f t="shared" si="347"/>
        <v/>
      </c>
      <c r="V924" s="39" t="str">
        <f t="shared" si="348"/>
        <v/>
      </c>
      <c r="W924" s="34" t="str">
        <f t="shared" si="349"/>
        <v/>
      </c>
      <c r="X924" s="41" t="str">
        <f t="shared" si="356"/>
        <v/>
      </c>
      <c r="Y924" s="98" t="str">
        <f t="shared" si="350"/>
        <v/>
      </c>
      <c r="Z924" s="16" t="str">
        <f t="shared" si="357"/>
        <v/>
      </c>
      <c r="AB924" s="139"/>
      <c r="AC924" s="146" t="str">
        <f t="shared" si="360"/>
        <v/>
      </c>
      <c r="AD924" s="148" t="str">
        <f t="shared" si="358"/>
        <v/>
      </c>
      <c r="AE924" s="147" t="str">
        <f t="shared" si="351"/>
        <v/>
      </c>
      <c r="AF924" s="111" t="str">
        <f t="shared" si="352"/>
        <v/>
      </c>
      <c r="AG924" s="111" t="str">
        <f t="shared" si="353"/>
        <v/>
      </c>
      <c r="AH924" s="112" t="str">
        <f t="shared" si="354"/>
        <v/>
      </c>
      <c r="AI924" t="str">
        <f t="shared" si="359"/>
        <v/>
      </c>
      <c r="AJ924" t="str">
        <f t="shared" si="361"/>
        <v/>
      </c>
    </row>
    <row r="925" spans="1:36" ht="15" customHeight="1" x14ac:dyDescent="0.25">
      <c r="A925" s="114"/>
      <c r="B925" s="116"/>
      <c r="C925" s="116"/>
      <c r="D925" s="42" t="str">
        <f t="shared" si="338"/>
        <v/>
      </c>
      <c r="E925" s="43"/>
      <c r="F925" s="118"/>
      <c r="G925" s="44" t="str">
        <f t="shared" si="339"/>
        <v/>
      </c>
      <c r="H925" s="118"/>
      <c r="I925" s="34" t="str">
        <f t="shared" si="340"/>
        <v/>
      </c>
      <c r="J925" s="118"/>
      <c r="K925" s="34" t="str">
        <f t="shared" si="341"/>
        <v/>
      </c>
      <c r="L925" s="118"/>
      <c r="M925" s="121"/>
      <c r="N925" s="122" t="str">
        <f t="shared" si="342"/>
        <v/>
      </c>
      <c r="O925" s="35" t="str">
        <f t="shared" si="343"/>
        <v/>
      </c>
      <c r="P925" s="124"/>
      <c r="Q925" s="36" t="str">
        <f t="shared" si="355"/>
        <v/>
      </c>
      <c r="R925" s="46" t="str">
        <f t="shared" si="344"/>
        <v/>
      </c>
      <c r="S925" s="38" t="str">
        <f t="shared" si="345"/>
        <v/>
      </c>
      <c r="T925" s="39" t="str">
        <f t="shared" si="346"/>
        <v/>
      </c>
      <c r="U925" s="40" t="str">
        <f t="shared" si="347"/>
        <v/>
      </c>
      <c r="V925" s="39" t="str">
        <f t="shared" si="348"/>
        <v/>
      </c>
      <c r="W925" s="34" t="str">
        <f t="shared" si="349"/>
        <v/>
      </c>
      <c r="X925" s="41" t="str">
        <f t="shared" si="356"/>
        <v/>
      </c>
      <c r="Y925" s="98" t="str">
        <f t="shared" si="350"/>
        <v/>
      </c>
      <c r="Z925" s="16" t="str">
        <f t="shared" si="357"/>
        <v/>
      </c>
      <c r="AB925" s="139"/>
      <c r="AC925" s="146" t="str">
        <f t="shared" si="360"/>
        <v/>
      </c>
      <c r="AD925" s="148" t="str">
        <f t="shared" si="358"/>
        <v/>
      </c>
      <c r="AE925" s="147" t="str">
        <f t="shared" si="351"/>
        <v/>
      </c>
      <c r="AF925" s="111" t="str">
        <f t="shared" si="352"/>
        <v/>
      </c>
      <c r="AG925" s="111" t="str">
        <f t="shared" si="353"/>
        <v/>
      </c>
      <c r="AH925" s="112" t="str">
        <f t="shared" si="354"/>
        <v/>
      </c>
      <c r="AI925" t="str">
        <f t="shared" si="359"/>
        <v/>
      </c>
      <c r="AJ925" t="str">
        <f t="shared" si="361"/>
        <v/>
      </c>
    </row>
    <row r="926" spans="1:36" ht="15" customHeight="1" x14ac:dyDescent="0.25">
      <c r="A926" s="114"/>
      <c r="B926" s="116"/>
      <c r="C926" s="116"/>
      <c r="D926" s="42" t="str">
        <f t="shared" si="338"/>
        <v/>
      </c>
      <c r="E926" s="43"/>
      <c r="F926" s="118"/>
      <c r="G926" s="44" t="str">
        <f t="shared" si="339"/>
        <v/>
      </c>
      <c r="H926" s="118"/>
      <c r="I926" s="34" t="str">
        <f t="shared" si="340"/>
        <v/>
      </c>
      <c r="J926" s="118"/>
      <c r="K926" s="34" t="str">
        <f t="shared" si="341"/>
        <v/>
      </c>
      <c r="L926" s="118"/>
      <c r="M926" s="121"/>
      <c r="N926" s="122" t="str">
        <f t="shared" si="342"/>
        <v/>
      </c>
      <c r="O926" s="35" t="str">
        <f t="shared" si="343"/>
        <v/>
      </c>
      <c r="P926" s="124"/>
      <c r="Q926" s="36" t="str">
        <f t="shared" si="355"/>
        <v/>
      </c>
      <c r="R926" s="46" t="str">
        <f t="shared" si="344"/>
        <v/>
      </c>
      <c r="S926" s="38" t="str">
        <f t="shared" si="345"/>
        <v/>
      </c>
      <c r="T926" s="39" t="str">
        <f t="shared" si="346"/>
        <v/>
      </c>
      <c r="U926" s="40" t="str">
        <f t="shared" si="347"/>
        <v/>
      </c>
      <c r="V926" s="39" t="str">
        <f t="shared" si="348"/>
        <v/>
      </c>
      <c r="W926" s="34" t="str">
        <f t="shared" si="349"/>
        <v/>
      </c>
      <c r="X926" s="41" t="str">
        <f t="shared" si="356"/>
        <v/>
      </c>
      <c r="Y926" s="98" t="str">
        <f t="shared" si="350"/>
        <v/>
      </c>
      <c r="Z926" s="16" t="str">
        <f t="shared" si="357"/>
        <v/>
      </c>
      <c r="AB926" s="139"/>
      <c r="AC926" s="146" t="str">
        <f t="shared" si="360"/>
        <v/>
      </c>
      <c r="AD926" s="148" t="str">
        <f t="shared" si="358"/>
        <v/>
      </c>
      <c r="AE926" s="147" t="str">
        <f t="shared" si="351"/>
        <v/>
      </c>
      <c r="AF926" s="111" t="str">
        <f t="shared" si="352"/>
        <v/>
      </c>
      <c r="AG926" s="111" t="str">
        <f t="shared" si="353"/>
        <v/>
      </c>
      <c r="AH926" s="112" t="str">
        <f t="shared" si="354"/>
        <v/>
      </c>
      <c r="AI926" t="str">
        <f t="shared" si="359"/>
        <v/>
      </c>
      <c r="AJ926" t="str">
        <f t="shared" si="361"/>
        <v/>
      </c>
    </row>
    <row r="927" spans="1:36" ht="15" customHeight="1" x14ac:dyDescent="0.25">
      <c r="A927" s="114"/>
      <c r="B927" s="116"/>
      <c r="C927" s="116"/>
      <c r="D927" s="42" t="str">
        <f t="shared" si="338"/>
        <v/>
      </c>
      <c r="E927" s="43"/>
      <c r="F927" s="118"/>
      <c r="G927" s="44" t="str">
        <f t="shared" si="339"/>
        <v/>
      </c>
      <c r="H927" s="118"/>
      <c r="I927" s="34" t="str">
        <f t="shared" si="340"/>
        <v/>
      </c>
      <c r="J927" s="118"/>
      <c r="K927" s="34" t="str">
        <f t="shared" si="341"/>
        <v/>
      </c>
      <c r="L927" s="118"/>
      <c r="M927" s="121"/>
      <c r="N927" s="122" t="str">
        <f t="shared" si="342"/>
        <v/>
      </c>
      <c r="O927" s="35" t="str">
        <f t="shared" si="343"/>
        <v/>
      </c>
      <c r="P927" s="124"/>
      <c r="Q927" s="36" t="str">
        <f t="shared" si="355"/>
        <v/>
      </c>
      <c r="R927" s="46" t="str">
        <f t="shared" si="344"/>
        <v/>
      </c>
      <c r="S927" s="38" t="str">
        <f t="shared" si="345"/>
        <v/>
      </c>
      <c r="T927" s="39" t="str">
        <f t="shared" si="346"/>
        <v/>
      </c>
      <c r="U927" s="40" t="str">
        <f t="shared" si="347"/>
        <v/>
      </c>
      <c r="V927" s="39" t="str">
        <f t="shared" si="348"/>
        <v/>
      </c>
      <c r="W927" s="34" t="str">
        <f t="shared" si="349"/>
        <v/>
      </c>
      <c r="X927" s="41" t="str">
        <f t="shared" si="356"/>
        <v/>
      </c>
      <c r="Y927" s="98" t="str">
        <f t="shared" si="350"/>
        <v/>
      </c>
      <c r="Z927" s="16" t="str">
        <f t="shared" si="357"/>
        <v/>
      </c>
      <c r="AB927" s="139"/>
      <c r="AC927" s="146" t="str">
        <f t="shared" si="360"/>
        <v/>
      </c>
      <c r="AD927" s="148" t="str">
        <f t="shared" si="358"/>
        <v/>
      </c>
      <c r="AE927" s="147" t="str">
        <f t="shared" si="351"/>
        <v/>
      </c>
      <c r="AF927" s="111" t="str">
        <f t="shared" si="352"/>
        <v/>
      </c>
      <c r="AG927" s="111" t="str">
        <f t="shared" si="353"/>
        <v/>
      </c>
      <c r="AH927" s="112" t="str">
        <f t="shared" si="354"/>
        <v/>
      </c>
      <c r="AI927" t="str">
        <f t="shared" si="359"/>
        <v/>
      </c>
      <c r="AJ927" t="str">
        <f t="shared" si="361"/>
        <v/>
      </c>
    </row>
    <row r="928" spans="1:36" ht="15" customHeight="1" x14ac:dyDescent="0.25">
      <c r="A928" s="114"/>
      <c r="B928" s="116"/>
      <c r="C928" s="116"/>
      <c r="D928" s="42" t="str">
        <f t="shared" si="338"/>
        <v/>
      </c>
      <c r="E928" s="43"/>
      <c r="F928" s="118"/>
      <c r="G928" s="44" t="str">
        <f t="shared" si="339"/>
        <v/>
      </c>
      <c r="H928" s="118"/>
      <c r="I928" s="34" t="str">
        <f t="shared" si="340"/>
        <v/>
      </c>
      <c r="J928" s="118"/>
      <c r="K928" s="34" t="str">
        <f t="shared" si="341"/>
        <v/>
      </c>
      <c r="L928" s="118"/>
      <c r="M928" s="121"/>
      <c r="N928" s="122" t="str">
        <f t="shared" si="342"/>
        <v/>
      </c>
      <c r="O928" s="35" t="str">
        <f t="shared" si="343"/>
        <v/>
      </c>
      <c r="P928" s="124"/>
      <c r="Q928" s="36" t="str">
        <f t="shared" si="355"/>
        <v/>
      </c>
      <c r="R928" s="46" t="str">
        <f t="shared" si="344"/>
        <v/>
      </c>
      <c r="S928" s="38" t="str">
        <f t="shared" si="345"/>
        <v/>
      </c>
      <c r="T928" s="39" t="str">
        <f t="shared" si="346"/>
        <v/>
      </c>
      <c r="U928" s="40" t="str">
        <f t="shared" si="347"/>
        <v/>
      </c>
      <c r="V928" s="39" t="str">
        <f t="shared" si="348"/>
        <v/>
      </c>
      <c r="W928" s="34" t="str">
        <f t="shared" si="349"/>
        <v/>
      </c>
      <c r="X928" s="41" t="str">
        <f t="shared" si="356"/>
        <v/>
      </c>
      <c r="Y928" s="98" t="str">
        <f t="shared" si="350"/>
        <v/>
      </c>
      <c r="Z928" s="16" t="str">
        <f t="shared" si="357"/>
        <v/>
      </c>
      <c r="AB928" s="139"/>
      <c r="AC928" s="146" t="str">
        <f t="shared" si="360"/>
        <v/>
      </c>
      <c r="AD928" s="148" t="str">
        <f t="shared" si="358"/>
        <v/>
      </c>
      <c r="AE928" s="147" t="str">
        <f t="shared" si="351"/>
        <v/>
      </c>
      <c r="AF928" s="111" t="str">
        <f t="shared" si="352"/>
        <v/>
      </c>
      <c r="AG928" s="111" t="str">
        <f t="shared" si="353"/>
        <v/>
      </c>
      <c r="AH928" s="112" t="str">
        <f t="shared" si="354"/>
        <v/>
      </c>
      <c r="AI928" t="str">
        <f t="shared" si="359"/>
        <v/>
      </c>
      <c r="AJ928" t="str">
        <f t="shared" si="361"/>
        <v/>
      </c>
    </row>
    <row r="929" spans="1:36" ht="15" customHeight="1" x14ac:dyDescent="0.25">
      <c r="A929" s="114"/>
      <c r="B929" s="116"/>
      <c r="C929" s="116"/>
      <c r="D929" s="42" t="str">
        <f t="shared" si="338"/>
        <v/>
      </c>
      <c r="E929" s="43"/>
      <c r="F929" s="118"/>
      <c r="G929" s="44" t="str">
        <f t="shared" si="339"/>
        <v/>
      </c>
      <c r="H929" s="118"/>
      <c r="I929" s="34" t="str">
        <f t="shared" si="340"/>
        <v/>
      </c>
      <c r="J929" s="118"/>
      <c r="K929" s="34" t="str">
        <f t="shared" si="341"/>
        <v/>
      </c>
      <c r="L929" s="118"/>
      <c r="M929" s="121"/>
      <c r="N929" s="122" t="str">
        <f t="shared" si="342"/>
        <v/>
      </c>
      <c r="O929" s="35" t="str">
        <f t="shared" si="343"/>
        <v/>
      </c>
      <c r="P929" s="124"/>
      <c r="Q929" s="36" t="str">
        <f t="shared" si="355"/>
        <v/>
      </c>
      <c r="R929" s="46" t="str">
        <f t="shared" si="344"/>
        <v/>
      </c>
      <c r="S929" s="38" t="str">
        <f t="shared" si="345"/>
        <v/>
      </c>
      <c r="T929" s="39" t="str">
        <f t="shared" si="346"/>
        <v/>
      </c>
      <c r="U929" s="40" t="str">
        <f t="shared" si="347"/>
        <v/>
      </c>
      <c r="V929" s="39" t="str">
        <f t="shared" si="348"/>
        <v/>
      </c>
      <c r="W929" s="34" t="str">
        <f t="shared" si="349"/>
        <v/>
      </c>
      <c r="X929" s="41" t="str">
        <f t="shared" si="356"/>
        <v/>
      </c>
      <c r="Y929" s="98" t="str">
        <f t="shared" si="350"/>
        <v/>
      </c>
      <c r="Z929" s="16" t="str">
        <f t="shared" si="357"/>
        <v/>
      </c>
      <c r="AB929" s="139"/>
      <c r="AC929" s="146" t="str">
        <f t="shared" si="360"/>
        <v/>
      </c>
      <c r="AD929" s="148" t="str">
        <f t="shared" si="358"/>
        <v/>
      </c>
      <c r="AE929" s="147" t="str">
        <f t="shared" si="351"/>
        <v/>
      </c>
      <c r="AF929" s="111" t="str">
        <f t="shared" si="352"/>
        <v/>
      </c>
      <c r="AG929" s="111" t="str">
        <f t="shared" si="353"/>
        <v/>
      </c>
      <c r="AH929" s="112" t="str">
        <f t="shared" si="354"/>
        <v/>
      </c>
      <c r="AI929" t="str">
        <f t="shared" si="359"/>
        <v/>
      </c>
      <c r="AJ929" t="str">
        <f t="shared" si="361"/>
        <v/>
      </c>
    </row>
    <row r="930" spans="1:36" ht="15" customHeight="1" x14ac:dyDescent="0.25">
      <c r="A930" s="114"/>
      <c r="B930" s="116"/>
      <c r="C930" s="116"/>
      <c r="D930" s="42" t="str">
        <f t="shared" si="338"/>
        <v/>
      </c>
      <c r="E930" s="43"/>
      <c r="F930" s="118"/>
      <c r="G930" s="44" t="str">
        <f t="shared" si="339"/>
        <v/>
      </c>
      <c r="H930" s="118"/>
      <c r="I930" s="34" t="str">
        <f t="shared" si="340"/>
        <v/>
      </c>
      <c r="J930" s="118"/>
      <c r="K930" s="34" t="str">
        <f t="shared" si="341"/>
        <v/>
      </c>
      <c r="L930" s="118"/>
      <c r="M930" s="121"/>
      <c r="N930" s="122" t="str">
        <f t="shared" si="342"/>
        <v/>
      </c>
      <c r="O930" s="35" t="str">
        <f t="shared" si="343"/>
        <v/>
      </c>
      <c r="P930" s="124"/>
      <c r="Q930" s="36" t="str">
        <f t="shared" si="355"/>
        <v/>
      </c>
      <c r="R930" s="46" t="str">
        <f t="shared" si="344"/>
        <v/>
      </c>
      <c r="S930" s="38" t="str">
        <f t="shared" si="345"/>
        <v/>
      </c>
      <c r="T930" s="39" t="str">
        <f t="shared" si="346"/>
        <v/>
      </c>
      <c r="U930" s="40" t="str">
        <f t="shared" si="347"/>
        <v/>
      </c>
      <c r="V930" s="39" t="str">
        <f t="shared" si="348"/>
        <v/>
      </c>
      <c r="W930" s="34" t="str">
        <f t="shared" si="349"/>
        <v/>
      </c>
      <c r="X930" s="41" t="str">
        <f t="shared" si="356"/>
        <v/>
      </c>
      <c r="Y930" s="98" t="str">
        <f t="shared" si="350"/>
        <v/>
      </c>
      <c r="Z930" s="16" t="str">
        <f t="shared" si="357"/>
        <v/>
      </c>
      <c r="AB930" s="139"/>
      <c r="AC930" s="146" t="str">
        <f t="shared" si="360"/>
        <v/>
      </c>
      <c r="AD930" s="148" t="str">
        <f t="shared" si="358"/>
        <v/>
      </c>
      <c r="AE930" s="147" t="str">
        <f t="shared" si="351"/>
        <v/>
      </c>
      <c r="AF930" s="111" t="str">
        <f t="shared" si="352"/>
        <v/>
      </c>
      <c r="AG930" s="111" t="str">
        <f t="shared" si="353"/>
        <v/>
      </c>
      <c r="AH930" s="112" t="str">
        <f t="shared" si="354"/>
        <v/>
      </c>
      <c r="AI930" t="str">
        <f t="shared" si="359"/>
        <v/>
      </c>
      <c r="AJ930" t="str">
        <f t="shared" si="361"/>
        <v/>
      </c>
    </row>
    <row r="931" spans="1:36" ht="15" customHeight="1" x14ac:dyDescent="0.25">
      <c r="A931" s="114"/>
      <c r="B931" s="116"/>
      <c r="C931" s="116"/>
      <c r="D931" s="42" t="str">
        <f t="shared" si="338"/>
        <v/>
      </c>
      <c r="E931" s="43"/>
      <c r="F931" s="118"/>
      <c r="G931" s="44" t="str">
        <f t="shared" si="339"/>
        <v/>
      </c>
      <c r="H931" s="118"/>
      <c r="I931" s="34" t="str">
        <f t="shared" si="340"/>
        <v/>
      </c>
      <c r="J931" s="118"/>
      <c r="K931" s="34" t="str">
        <f t="shared" si="341"/>
        <v/>
      </c>
      <c r="L931" s="118"/>
      <c r="M931" s="121"/>
      <c r="N931" s="122" t="str">
        <f t="shared" si="342"/>
        <v/>
      </c>
      <c r="O931" s="35" t="str">
        <f t="shared" si="343"/>
        <v/>
      </c>
      <c r="P931" s="124"/>
      <c r="Q931" s="36" t="str">
        <f t="shared" si="355"/>
        <v/>
      </c>
      <c r="R931" s="46" t="str">
        <f t="shared" si="344"/>
        <v/>
      </c>
      <c r="S931" s="38" t="str">
        <f t="shared" si="345"/>
        <v/>
      </c>
      <c r="T931" s="39" t="str">
        <f t="shared" si="346"/>
        <v/>
      </c>
      <c r="U931" s="40" t="str">
        <f t="shared" si="347"/>
        <v/>
      </c>
      <c r="V931" s="39" t="str">
        <f t="shared" si="348"/>
        <v/>
      </c>
      <c r="W931" s="34" t="str">
        <f t="shared" si="349"/>
        <v/>
      </c>
      <c r="X931" s="41" t="str">
        <f t="shared" si="356"/>
        <v/>
      </c>
      <c r="Y931" s="98" t="str">
        <f t="shared" si="350"/>
        <v/>
      </c>
      <c r="Z931" s="16" t="str">
        <f t="shared" si="357"/>
        <v/>
      </c>
      <c r="AB931" s="139"/>
      <c r="AC931" s="146" t="str">
        <f t="shared" si="360"/>
        <v/>
      </c>
      <c r="AD931" s="148" t="str">
        <f t="shared" si="358"/>
        <v/>
      </c>
      <c r="AE931" s="147" t="str">
        <f t="shared" si="351"/>
        <v/>
      </c>
      <c r="AF931" s="111" t="str">
        <f t="shared" si="352"/>
        <v/>
      </c>
      <c r="AG931" s="111" t="str">
        <f t="shared" si="353"/>
        <v/>
      </c>
      <c r="AH931" s="112" t="str">
        <f t="shared" si="354"/>
        <v/>
      </c>
      <c r="AI931" t="str">
        <f t="shared" si="359"/>
        <v/>
      </c>
      <c r="AJ931" t="str">
        <f t="shared" si="361"/>
        <v/>
      </c>
    </row>
    <row r="932" spans="1:36" ht="15" customHeight="1" x14ac:dyDescent="0.25">
      <c r="A932" s="114"/>
      <c r="B932" s="116"/>
      <c r="C932" s="116"/>
      <c r="D932" s="42" t="str">
        <f t="shared" si="338"/>
        <v/>
      </c>
      <c r="E932" s="43"/>
      <c r="F932" s="118"/>
      <c r="G932" s="44" t="str">
        <f t="shared" si="339"/>
        <v/>
      </c>
      <c r="H932" s="118"/>
      <c r="I932" s="34" t="str">
        <f t="shared" si="340"/>
        <v/>
      </c>
      <c r="J932" s="118"/>
      <c r="K932" s="34" t="str">
        <f t="shared" si="341"/>
        <v/>
      </c>
      <c r="L932" s="118"/>
      <c r="M932" s="121"/>
      <c r="N932" s="122" t="str">
        <f t="shared" si="342"/>
        <v/>
      </c>
      <c r="O932" s="35" t="str">
        <f t="shared" si="343"/>
        <v/>
      </c>
      <c r="P932" s="124"/>
      <c r="Q932" s="36" t="str">
        <f t="shared" si="355"/>
        <v/>
      </c>
      <c r="R932" s="46" t="str">
        <f t="shared" si="344"/>
        <v/>
      </c>
      <c r="S932" s="38" t="str">
        <f t="shared" si="345"/>
        <v/>
      </c>
      <c r="T932" s="39" t="str">
        <f t="shared" si="346"/>
        <v/>
      </c>
      <c r="U932" s="40" t="str">
        <f t="shared" si="347"/>
        <v/>
      </c>
      <c r="V932" s="39" t="str">
        <f t="shared" si="348"/>
        <v/>
      </c>
      <c r="W932" s="34" t="str">
        <f t="shared" si="349"/>
        <v/>
      </c>
      <c r="X932" s="41" t="str">
        <f t="shared" si="356"/>
        <v/>
      </c>
      <c r="Y932" s="98" t="str">
        <f t="shared" si="350"/>
        <v/>
      </c>
      <c r="Z932" s="16" t="str">
        <f t="shared" si="357"/>
        <v/>
      </c>
      <c r="AB932" s="139"/>
      <c r="AC932" s="146" t="str">
        <f t="shared" si="360"/>
        <v/>
      </c>
      <c r="AD932" s="148" t="str">
        <f t="shared" si="358"/>
        <v/>
      </c>
      <c r="AE932" s="147" t="str">
        <f t="shared" si="351"/>
        <v/>
      </c>
      <c r="AF932" s="111" t="str">
        <f t="shared" si="352"/>
        <v/>
      </c>
      <c r="AG932" s="111" t="str">
        <f t="shared" si="353"/>
        <v/>
      </c>
      <c r="AH932" s="112" t="str">
        <f t="shared" si="354"/>
        <v/>
      </c>
      <c r="AI932" t="str">
        <f t="shared" si="359"/>
        <v/>
      </c>
      <c r="AJ932" t="str">
        <f t="shared" si="361"/>
        <v/>
      </c>
    </row>
    <row r="933" spans="1:36" ht="15" customHeight="1" x14ac:dyDescent="0.25">
      <c r="A933" s="114"/>
      <c r="B933" s="116"/>
      <c r="C933" s="116"/>
      <c r="D933" s="42" t="str">
        <f t="shared" si="338"/>
        <v/>
      </c>
      <c r="E933" s="43"/>
      <c r="F933" s="118"/>
      <c r="G933" s="44" t="str">
        <f t="shared" si="339"/>
        <v/>
      </c>
      <c r="H933" s="118"/>
      <c r="I933" s="34" t="str">
        <f t="shared" si="340"/>
        <v/>
      </c>
      <c r="J933" s="118"/>
      <c r="K933" s="34" t="str">
        <f t="shared" si="341"/>
        <v/>
      </c>
      <c r="L933" s="118"/>
      <c r="M933" s="121"/>
      <c r="N933" s="122" t="str">
        <f t="shared" si="342"/>
        <v/>
      </c>
      <c r="O933" s="35" t="str">
        <f t="shared" si="343"/>
        <v/>
      </c>
      <c r="P933" s="124"/>
      <c r="Q933" s="36" t="str">
        <f t="shared" si="355"/>
        <v/>
      </c>
      <c r="R933" s="46" t="str">
        <f t="shared" si="344"/>
        <v/>
      </c>
      <c r="S933" s="38" t="str">
        <f t="shared" si="345"/>
        <v/>
      </c>
      <c r="T933" s="39" t="str">
        <f t="shared" si="346"/>
        <v/>
      </c>
      <c r="U933" s="40" t="str">
        <f t="shared" si="347"/>
        <v/>
      </c>
      <c r="V933" s="39" t="str">
        <f t="shared" si="348"/>
        <v/>
      </c>
      <c r="W933" s="34" t="str">
        <f t="shared" si="349"/>
        <v/>
      </c>
      <c r="X933" s="41" t="str">
        <f t="shared" si="356"/>
        <v/>
      </c>
      <c r="Y933" s="98" t="str">
        <f t="shared" si="350"/>
        <v/>
      </c>
      <c r="Z933" s="16" t="str">
        <f t="shared" si="357"/>
        <v/>
      </c>
      <c r="AB933" s="139"/>
      <c r="AC933" s="146" t="str">
        <f t="shared" si="360"/>
        <v/>
      </c>
      <c r="AD933" s="148" t="str">
        <f t="shared" si="358"/>
        <v/>
      </c>
      <c r="AE933" s="147" t="str">
        <f t="shared" si="351"/>
        <v/>
      </c>
      <c r="AF933" s="111" t="str">
        <f t="shared" si="352"/>
        <v/>
      </c>
      <c r="AG933" s="111" t="str">
        <f t="shared" si="353"/>
        <v/>
      </c>
      <c r="AH933" s="112" t="str">
        <f t="shared" si="354"/>
        <v/>
      </c>
      <c r="AI933" t="str">
        <f t="shared" si="359"/>
        <v/>
      </c>
      <c r="AJ933" t="str">
        <f t="shared" si="361"/>
        <v/>
      </c>
    </row>
    <row r="934" spans="1:36" ht="15" customHeight="1" x14ac:dyDescent="0.25">
      <c r="A934" s="114"/>
      <c r="B934" s="116"/>
      <c r="C934" s="116"/>
      <c r="D934" s="42" t="str">
        <f t="shared" si="338"/>
        <v/>
      </c>
      <c r="E934" s="43"/>
      <c r="F934" s="118"/>
      <c r="G934" s="44" t="str">
        <f t="shared" si="339"/>
        <v/>
      </c>
      <c r="H934" s="118"/>
      <c r="I934" s="34" t="str">
        <f t="shared" si="340"/>
        <v/>
      </c>
      <c r="J934" s="118"/>
      <c r="K934" s="34" t="str">
        <f t="shared" si="341"/>
        <v/>
      </c>
      <c r="L934" s="118"/>
      <c r="M934" s="121"/>
      <c r="N934" s="122" t="str">
        <f t="shared" si="342"/>
        <v/>
      </c>
      <c r="O934" s="35" t="str">
        <f t="shared" si="343"/>
        <v/>
      </c>
      <c r="P934" s="124"/>
      <c r="Q934" s="36" t="str">
        <f t="shared" si="355"/>
        <v/>
      </c>
      <c r="R934" s="46" t="str">
        <f t="shared" si="344"/>
        <v/>
      </c>
      <c r="S934" s="38" t="str">
        <f t="shared" si="345"/>
        <v/>
      </c>
      <c r="T934" s="39" t="str">
        <f t="shared" si="346"/>
        <v/>
      </c>
      <c r="U934" s="40" t="str">
        <f t="shared" si="347"/>
        <v/>
      </c>
      <c r="V934" s="39" t="str">
        <f t="shared" si="348"/>
        <v/>
      </c>
      <c r="W934" s="34" t="str">
        <f t="shared" si="349"/>
        <v/>
      </c>
      <c r="X934" s="41" t="str">
        <f t="shared" si="356"/>
        <v/>
      </c>
      <c r="Y934" s="98" t="str">
        <f t="shared" si="350"/>
        <v/>
      </c>
      <c r="Z934" s="16" t="str">
        <f t="shared" si="357"/>
        <v/>
      </c>
      <c r="AB934" s="139"/>
      <c r="AC934" s="146" t="str">
        <f t="shared" si="360"/>
        <v/>
      </c>
      <c r="AD934" s="148" t="str">
        <f t="shared" si="358"/>
        <v/>
      </c>
      <c r="AE934" s="147" t="str">
        <f t="shared" si="351"/>
        <v/>
      </c>
      <c r="AF934" s="111" t="str">
        <f t="shared" si="352"/>
        <v/>
      </c>
      <c r="AG934" s="111" t="str">
        <f t="shared" si="353"/>
        <v/>
      </c>
      <c r="AH934" s="112" t="str">
        <f t="shared" si="354"/>
        <v/>
      </c>
      <c r="AI934" t="str">
        <f t="shared" si="359"/>
        <v/>
      </c>
      <c r="AJ934" t="str">
        <f t="shared" si="361"/>
        <v/>
      </c>
    </row>
    <row r="935" spans="1:36" ht="15" customHeight="1" x14ac:dyDescent="0.25">
      <c r="A935" s="114"/>
      <c r="B935" s="116"/>
      <c r="C935" s="116"/>
      <c r="D935" s="42" t="str">
        <f t="shared" si="338"/>
        <v/>
      </c>
      <c r="E935" s="43"/>
      <c r="F935" s="118"/>
      <c r="G935" s="44" t="str">
        <f t="shared" si="339"/>
        <v/>
      </c>
      <c r="H935" s="118"/>
      <c r="I935" s="34" t="str">
        <f t="shared" si="340"/>
        <v/>
      </c>
      <c r="J935" s="118"/>
      <c r="K935" s="34" t="str">
        <f t="shared" si="341"/>
        <v/>
      </c>
      <c r="L935" s="118"/>
      <c r="M935" s="121"/>
      <c r="N935" s="122" t="str">
        <f t="shared" si="342"/>
        <v/>
      </c>
      <c r="O935" s="35" t="str">
        <f t="shared" si="343"/>
        <v/>
      </c>
      <c r="P935" s="124"/>
      <c r="Q935" s="36" t="str">
        <f t="shared" si="355"/>
        <v/>
      </c>
      <c r="R935" s="46" t="str">
        <f t="shared" si="344"/>
        <v/>
      </c>
      <c r="S935" s="38" t="str">
        <f t="shared" si="345"/>
        <v/>
      </c>
      <c r="T935" s="39" t="str">
        <f t="shared" si="346"/>
        <v/>
      </c>
      <c r="U935" s="40" t="str">
        <f t="shared" si="347"/>
        <v/>
      </c>
      <c r="V935" s="39" t="str">
        <f t="shared" si="348"/>
        <v/>
      </c>
      <c r="W935" s="34" t="str">
        <f t="shared" si="349"/>
        <v/>
      </c>
      <c r="X935" s="41" t="str">
        <f t="shared" si="356"/>
        <v/>
      </c>
      <c r="Y935" s="98" t="str">
        <f t="shared" si="350"/>
        <v/>
      </c>
      <c r="Z935" s="16" t="str">
        <f t="shared" si="357"/>
        <v/>
      </c>
      <c r="AB935" s="139"/>
      <c r="AC935" s="146" t="str">
        <f t="shared" si="360"/>
        <v/>
      </c>
      <c r="AD935" s="148" t="str">
        <f t="shared" si="358"/>
        <v/>
      </c>
      <c r="AE935" s="147" t="str">
        <f t="shared" si="351"/>
        <v/>
      </c>
      <c r="AF935" s="111" t="str">
        <f t="shared" si="352"/>
        <v/>
      </c>
      <c r="AG935" s="111" t="str">
        <f t="shared" si="353"/>
        <v/>
      </c>
      <c r="AH935" s="112" t="str">
        <f t="shared" si="354"/>
        <v/>
      </c>
      <c r="AI935" t="str">
        <f t="shared" si="359"/>
        <v/>
      </c>
      <c r="AJ935" t="str">
        <f t="shared" si="361"/>
        <v/>
      </c>
    </row>
    <row r="936" spans="1:36" ht="15" customHeight="1" x14ac:dyDescent="0.25">
      <c r="A936" s="114"/>
      <c r="B936" s="116"/>
      <c r="C936" s="116"/>
      <c r="D936" s="42" t="str">
        <f t="shared" si="338"/>
        <v/>
      </c>
      <c r="E936" s="43"/>
      <c r="F936" s="118"/>
      <c r="G936" s="44" t="str">
        <f t="shared" si="339"/>
        <v/>
      </c>
      <c r="H936" s="118"/>
      <c r="I936" s="34" t="str">
        <f t="shared" si="340"/>
        <v/>
      </c>
      <c r="J936" s="118"/>
      <c r="K936" s="34" t="str">
        <f t="shared" si="341"/>
        <v/>
      </c>
      <c r="L936" s="118"/>
      <c r="M936" s="121"/>
      <c r="N936" s="122" t="str">
        <f t="shared" si="342"/>
        <v/>
      </c>
      <c r="O936" s="35" t="str">
        <f t="shared" si="343"/>
        <v/>
      </c>
      <c r="P936" s="124"/>
      <c r="Q936" s="36" t="str">
        <f t="shared" si="355"/>
        <v/>
      </c>
      <c r="R936" s="46" t="str">
        <f t="shared" si="344"/>
        <v/>
      </c>
      <c r="S936" s="38" t="str">
        <f t="shared" si="345"/>
        <v/>
      </c>
      <c r="T936" s="39" t="str">
        <f t="shared" si="346"/>
        <v/>
      </c>
      <c r="U936" s="40" t="str">
        <f t="shared" si="347"/>
        <v/>
      </c>
      <c r="V936" s="39" t="str">
        <f t="shared" si="348"/>
        <v/>
      </c>
      <c r="W936" s="34" t="str">
        <f t="shared" si="349"/>
        <v/>
      </c>
      <c r="X936" s="41" t="str">
        <f t="shared" si="356"/>
        <v/>
      </c>
      <c r="Y936" s="98" t="str">
        <f t="shared" si="350"/>
        <v/>
      </c>
      <c r="Z936" s="16" t="str">
        <f t="shared" si="357"/>
        <v/>
      </c>
      <c r="AB936" s="139"/>
      <c r="AC936" s="146" t="str">
        <f t="shared" si="360"/>
        <v/>
      </c>
      <c r="AD936" s="148" t="str">
        <f t="shared" si="358"/>
        <v/>
      </c>
      <c r="AE936" s="147" t="str">
        <f t="shared" si="351"/>
        <v/>
      </c>
      <c r="AF936" s="111" t="str">
        <f t="shared" si="352"/>
        <v/>
      </c>
      <c r="AG936" s="111" t="str">
        <f t="shared" si="353"/>
        <v/>
      </c>
      <c r="AH936" s="112" t="str">
        <f t="shared" si="354"/>
        <v/>
      </c>
      <c r="AI936" t="str">
        <f t="shared" si="359"/>
        <v/>
      </c>
      <c r="AJ936" t="str">
        <f t="shared" si="361"/>
        <v/>
      </c>
    </row>
    <row r="937" spans="1:36" ht="15" customHeight="1" x14ac:dyDescent="0.25">
      <c r="A937" s="114"/>
      <c r="B937" s="116"/>
      <c r="C937" s="116"/>
      <c r="D937" s="42" t="str">
        <f t="shared" si="338"/>
        <v/>
      </c>
      <c r="E937" s="43"/>
      <c r="F937" s="118"/>
      <c r="G937" s="44" t="str">
        <f t="shared" si="339"/>
        <v/>
      </c>
      <c r="H937" s="118"/>
      <c r="I937" s="34" t="str">
        <f t="shared" si="340"/>
        <v/>
      </c>
      <c r="J937" s="118"/>
      <c r="K937" s="34" t="str">
        <f t="shared" si="341"/>
        <v/>
      </c>
      <c r="L937" s="118"/>
      <c r="M937" s="121"/>
      <c r="N937" s="122" t="str">
        <f t="shared" si="342"/>
        <v/>
      </c>
      <c r="O937" s="35" t="str">
        <f t="shared" si="343"/>
        <v/>
      </c>
      <c r="P937" s="124"/>
      <c r="Q937" s="36" t="str">
        <f t="shared" si="355"/>
        <v/>
      </c>
      <c r="R937" s="46" t="str">
        <f t="shared" si="344"/>
        <v/>
      </c>
      <c r="S937" s="38" t="str">
        <f t="shared" si="345"/>
        <v/>
      </c>
      <c r="T937" s="39" t="str">
        <f t="shared" si="346"/>
        <v/>
      </c>
      <c r="U937" s="40" t="str">
        <f t="shared" si="347"/>
        <v/>
      </c>
      <c r="V937" s="39" t="str">
        <f t="shared" si="348"/>
        <v/>
      </c>
      <c r="W937" s="34" t="str">
        <f t="shared" si="349"/>
        <v/>
      </c>
      <c r="X937" s="41" t="str">
        <f t="shared" si="356"/>
        <v/>
      </c>
      <c r="Y937" s="98" t="str">
        <f t="shared" si="350"/>
        <v/>
      </c>
      <c r="Z937" s="16" t="str">
        <f t="shared" si="357"/>
        <v/>
      </c>
      <c r="AB937" s="139"/>
      <c r="AC937" s="146" t="str">
        <f t="shared" si="360"/>
        <v/>
      </c>
      <c r="AD937" s="148" t="str">
        <f t="shared" si="358"/>
        <v/>
      </c>
      <c r="AE937" s="147" t="str">
        <f t="shared" si="351"/>
        <v/>
      </c>
      <c r="AF937" s="111" t="str">
        <f t="shared" si="352"/>
        <v/>
      </c>
      <c r="AG937" s="111" t="str">
        <f t="shared" si="353"/>
        <v/>
      </c>
      <c r="AH937" s="112" t="str">
        <f t="shared" si="354"/>
        <v/>
      </c>
      <c r="AI937" t="str">
        <f t="shared" si="359"/>
        <v/>
      </c>
      <c r="AJ937" t="str">
        <f t="shared" si="361"/>
        <v/>
      </c>
    </row>
    <row r="938" spans="1:36" ht="15" customHeight="1" x14ac:dyDescent="0.25">
      <c r="A938" s="114"/>
      <c r="B938" s="116"/>
      <c r="C938" s="116"/>
      <c r="D938" s="42" t="str">
        <f t="shared" si="338"/>
        <v/>
      </c>
      <c r="E938" s="43"/>
      <c r="F938" s="118"/>
      <c r="G938" s="44" t="str">
        <f t="shared" si="339"/>
        <v/>
      </c>
      <c r="H938" s="118"/>
      <c r="I938" s="34" t="str">
        <f t="shared" si="340"/>
        <v/>
      </c>
      <c r="J938" s="118"/>
      <c r="K938" s="34" t="str">
        <f t="shared" si="341"/>
        <v/>
      </c>
      <c r="L938" s="118"/>
      <c r="M938" s="121"/>
      <c r="N938" s="122" t="str">
        <f t="shared" si="342"/>
        <v/>
      </c>
      <c r="O938" s="35" t="str">
        <f t="shared" si="343"/>
        <v/>
      </c>
      <c r="P938" s="124"/>
      <c r="Q938" s="36" t="str">
        <f t="shared" si="355"/>
        <v/>
      </c>
      <c r="R938" s="46" t="str">
        <f t="shared" si="344"/>
        <v/>
      </c>
      <c r="S938" s="38" t="str">
        <f t="shared" si="345"/>
        <v/>
      </c>
      <c r="T938" s="39" t="str">
        <f t="shared" si="346"/>
        <v/>
      </c>
      <c r="U938" s="40" t="str">
        <f t="shared" si="347"/>
        <v/>
      </c>
      <c r="V938" s="39" t="str">
        <f t="shared" si="348"/>
        <v/>
      </c>
      <c r="W938" s="34" t="str">
        <f t="shared" si="349"/>
        <v/>
      </c>
      <c r="X938" s="41" t="str">
        <f t="shared" si="356"/>
        <v/>
      </c>
      <c r="Y938" s="98" t="str">
        <f t="shared" si="350"/>
        <v/>
      </c>
      <c r="Z938" s="16" t="str">
        <f t="shared" si="357"/>
        <v/>
      </c>
      <c r="AB938" s="139"/>
      <c r="AC938" s="146" t="str">
        <f t="shared" si="360"/>
        <v/>
      </c>
      <c r="AD938" s="148" t="str">
        <f t="shared" si="358"/>
        <v/>
      </c>
      <c r="AE938" s="147" t="str">
        <f t="shared" si="351"/>
        <v/>
      </c>
      <c r="AF938" s="111" t="str">
        <f t="shared" si="352"/>
        <v/>
      </c>
      <c r="AG938" s="111" t="str">
        <f t="shared" si="353"/>
        <v/>
      </c>
      <c r="AH938" s="112" t="str">
        <f t="shared" si="354"/>
        <v/>
      </c>
      <c r="AI938" t="str">
        <f t="shared" si="359"/>
        <v/>
      </c>
      <c r="AJ938" t="str">
        <f t="shared" si="361"/>
        <v/>
      </c>
    </row>
    <row r="939" spans="1:36" ht="15" customHeight="1" x14ac:dyDescent="0.25">
      <c r="A939" s="114"/>
      <c r="B939" s="116"/>
      <c r="C939" s="116"/>
      <c r="D939" s="42" t="str">
        <f t="shared" si="338"/>
        <v/>
      </c>
      <c r="E939" s="43"/>
      <c r="F939" s="118"/>
      <c r="G939" s="44" t="str">
        <f t="shared" si="339"/>
        <v/>
      </c>
      <c r="H939" s="118"/>
      <c r="I939" s="34" t="str">
        <f t="shared" si="340"/>
        <v/>
      </c>
      <c r="J939" s="118"/>
      <c r="K939" s="34" t="str">
        <f t="shared" si="341"/>
        <v/>
      </c>
      <c r="L939" s="118"/>
      <c r="M939" s="121"/>
      <c r="N939" s="122" t="str">
        <f t="shared" si="342"/>
        <v/>
      </c>
      <c r="O939" s="35" t="str">
        <f t="shared" si="343"/>
        <v/>
      </c>
      <c r="P939" s="124"/>
      <c r="Q939" s="36" t="str">
        <f t="shared" si="355"/>
        <v/>
      </c>
      <c r="R939" s="46" t="str">
        <f t="shared" si="344"/>
        <v/>
      </c>
      <c r="S939" s="38" t="str">
        <f t="shared" si="345"/>
        <v/>
      </c>
      <c r="T939" s="39" t="str">
        <f t="shared" si="346"/>
        <v/>
      </c>
      <c r="U939" s="40" t="str">
        <f t="shared" si="347"/>
        <v/>
      </c>
      <c r="V939" s="39" t="str">
        <f t="shared" si="348"/>
        <v/>
      </c>
      <c r="W939" s="34" t="str">
        <f t="shared" si="349"/>
        <v/>
      </c>
      <c r="X939" s="41" t="str">
        <f t="shared" si="356"/>
        <v/>
      </c>
      <c r="Y939" s="98" t="str">
        <f t="shared" si="350"/>
        <v/>
      </c>
      <c r="Z939" s="16" t="str">
        <f t="shared" si="357"/>
        <v/>
      </c>
      <c r="AB939" s="139"/>
      <c r="AC939" s="146" t="str">
        <f t="shared" si="360"/>
        <v/>
      </c>
      <c r="AD939" s="148" t="str">
        <f t="shared" si="358"/>
        <v/>
      </c>
      <c r="AE939" s="147" t="str">
        <f t="shared" si="351"/>
        <v/>
      </c>
      <c r="AF939" s="111" t="str">
        <f t="shared" si="352"/>
        <v/>
      </c>
      <c r="AG939" s="111" t="str">
        <f t="shared" si="353"/>
        <v/>
      </c>
      <c r="AH939" s="112" t="str">
        <f t="shared" si="354"/>
        <v/>
      </c>
      <c r="AI939" t="str">
        <f t="shared" si="359"/>
        <v/>
      </c>
      <c r="AJ939" t="str">
        <f t="shared" si="361"/>
        <v/>
      </c>
    </row>
    <row r="940" spans="1:36" ht="15" customHeight="1" x14ac:dyDescent="0.25">
      <c r="A940" s="114"/>
      <c r="B940" s="116"/>
      <c r="C940" s="116"/>
      <c r="D940" s="42" t="str">
        <f t="shared" si="338"/>
        <v/>
      </c>
      <c r="E940" s="43"/>
      <c r="F940" s="118"/>
      <c r="G940" s="44" t="str">
        <f t="shared" si="339"/>
        <v/>
      </c>
      <c r="H940" s="118"/>
      <c r="I940" s="34" t="str">
        <f t="shared" si="340"/>
        <v/>
      </c>
      <c r="J940" s="118"/>
      <c r="K940" s="34" t="str">
        <f t="shared" si="341"/>
        <v/>
      </c>
      <c r="L940" s="118"/>
      <c r="M940" s="121"/>
      <c r="N940" s="122" t="str">
        <f t="shared" si="342"/>
        <v/>
      </c>
      <c r="O940" s="35" t="str">
        <f t="shared" si="343"/>
        <v/>
      </c>
      <c r="P940" s="124"/>
      <c r="Q940" s="36" t="str">
        <f t="shared" si="355"/>
        <v/>
      </c>
      <c r="R940" s="46" t="str">
        <f t="shared" si="344"/>
        <v/>
      </c>
      <c r="S940" s="38" t="str">
        <f t="shared" si="345"/>
        <v/>
      </c>
      <c r="T940" s="39" t="str">
        <f t="shared" si="346"/>
        <v/>
      </c>
      <c r="U940" s="40" t="str">
        <f t="shared" si="347"/>
        <v/>
      </c>
      <c r="V940" s="39" t="str">
        <f t="shared" si="348"/>
        <v/>
      </c>
      <c r="W940" s="34" t="str">
        <f t="shared" si="349"/>
        <v/>
      </c>
      <c r="X940" s="41" t="str">
        <f t="shared" si="356"/>
        <v/>
      </c>
      <c r="Y940" s="98" t="str">
        <f t="shared" si="350"/>
        <v/>
      </c>
      <c r="Z940" s="16" t="str">
        <f t="shared" si="357"/>
        <v/>
      </c>
      <c r="AB940" s="139"/>
      <c r="AC940" s="146" t="str">
        <f t="shared" si="360"/>
        <v/>
      </c>
      <c r="AD940" s="148" t="str">
        <f t="shared" si="358"/>
        <v/>
      </c>
      <c r="AE940" s="147" t="str">
        <f t="shared" si="351"/>
        <v/>
      </c>
      <c r="AF940" s="111" t="str">
        <f t="shared" si="352"/>
        <v/>
      </c>
      <c r="AG940" s="111" t="str">
        <f t="shared" si="353"/>
        <v/>
      </c>
      <c r="AH940" s="112" t="str">
        <f t="shared" si="354"/>
        <v/>
      </c>
      <c r="AI940" t="str">
        <f t="shared" si="359"/>
        <v/>
      </c>
      <c r="AJ940" t="str">
        <f t="shared" si="361"/>
        <v/>
      </c>
    </row>
    <row r="941" spans="1:36" ht="15" customHeight="1" x14ac:dyDescent="0.25">
      <c r="A941" s="114"/>
      <c r="B941" s="116"/>
      <c r="C941" s="116"/>
      <c r="D941" s="42" t="str">
        <f t="shared" si="338"/>
        <v/>
      </c>
      <c r="E941" s="43"/>
      <c r="F941" s="118"/>
      <c r="G941" s="44" t="str">
        <f t="shared" si="339"/>
        <v/>
      </c>
      <c r="H941" s="118"/>
      <c r="I941" s="34" t="str">
        <f t="shared" si="340"/>
        <v/>
      </c>
      <c r="J941" s="118"/>
      <c r="K941" s="34" t="str">
        <f t="shared" si="341"/>
        <v/>
      </c>
      <c r="L941" s="118"/>
      <c r="M941" s="121"/>
      <c r="N941" s="122" t="str">
        <f t="shared" si="342"/>
        <v/>
      </c>
      <c r="O941" s="35" t="str">
        <f t="shared" si="343"/>
        <v/>
      </c>
      <c r="P941" s="124"/>
      <c r="Q941" s="36" t="str">
        <f t="shared" si="355"/>
        <v/>
      </c>
      <c r="R941" s="46" t="str">
        <f t="shared" si="344"/>
        <v/>
      </c>
      <c r="S941" s="38" t="str">
        <f t="shared" si="345"/>
        <v/>
      </c>
      <c r="T941" s="39" t="str">
        <f t="shared" si="346"/>
        <v/>
      </c>
      <c r="U941" s="40" t="str">
        <f t="shared" si="347"/>
        <v/>
      </c>
      <c r="V941" s="39" t="str">
        <f t="shared" si="348"/>
        <v/>
      </c>
      <c r="W941" s="34" t="str">
        <f t="shared" si="349"/>
        <v/>
      </c>
      <c r="X941" s="41" t="str">
        <f t="shared" si="356"/>
        <v/>
      </c>
      <c r="Y941" s="98" t="str">
        <f t="shared" si="350"/>
        <v/>
      </c>
      <c r="Z941" s="16" t="str">
        <f t="shared" si="357"/>
        <v/>
      </c>
      <c r="AB941" s="139"/>
      <c r="AC941" s="146" t="str">
        <f t="shared" si="360"/>
        <v/>
      </c>
      <c r="AD941" s="148" t="str">
        <f t="shared" si="358"/>
        <v/>
      </c>
      <c r="AE941" s="147" t="str">
        <f t="shared" si="351"/>
        <v/>
      </c>
      <c r="AF941" s="111" t="str">
        <f t="shared" si="352"/>
        <v/>
      </c>
      <c r="AG941" s="111" t="str">
        <f t="shared" si="353"/>
        <v/>
      </c>
      <c r="AH941" s="112" t="str">
        <f t="shared" si="354"/>
        <v/>
      </c>
      <c r="AI941" t="str">
        <f t="shared" si="359"/>
        <v/>
      </c>
      <c r="AJ941" t="str">
        <f t="shared" si="361"/>
        <v/>
      </c>
    </row>
    <row r="942" spans="1:36" ht="15" customHeight="1" x14ac:dyDescent="0.25">
      <c r="A942" s="114"/>
      <c r="B942" s="116"/>
      <c r="C942" s="116"/>
      <c r="D942" s="42" t="str">
        <f t="shared" si="338"/>
        <v/>
      </c>
      <c r="E942" s="43"/>
      <c r="F942" s="118"/>
      <c r="G942" s="44" t="str">
        <f t="shared" si="339"/>
        <v/>
      </c>
      <c r="H942" s="118"/>
      <c r="I942" s="34" t="str">
        <f t="shared" si="340"/>
        <v/>
      </c>
      <c r="J942" s="118"/>
      <c r="K942" s="34" t="str">
        <f t="shared" si="341"/>
        <v/>
      </c>
      <c r="L942" s="118"/>
      <c r="M942" s="121"/>
      <c r="N942" s="122" t="str">
        <f t="shared" si="342"/>
        <v/>
      </c>
      <c r="O942" s="35" t="str">
        <f t="shared" si="343"/>
        <v/>
      </c>
      <c r="P942" s="124"/>
      <c r="Q942" s="36" t="str">
        <f t="shared" si="355"/>
        <v/>
      </c>
      <c r="R942" s="46" t="str">
        <f t="shared" si="344"/>
        <v/>
      </c>
      <c r="S942" s="38" t="str">
        <f t="shared" si="345"/>
        <v/>
      </c>
      <c r="T942" s="39" t="str">
        <f t="shared" si="346"/>
        <v/>
      </c>
      <c r="U942" s="40" t="str">
        <f t="shared" si="347"/>
        <v/>
      </c>
      <c r="V942" s="39" t="str">
        <f t="shared" si="348"/>
        <v/>
      </c>
      <c r="W942" s="34" t="str">
        <f t="shared" si="349"/>
        <v/>
      </c>
      <c r="X942" s="41" t="str">
        <f t="shared" si="356"/>
        <v/>
      </c>
      <c r="Y942" s="98" t="str">
        <f t="shared" si="350"/>
        <v/>
      </c>
      <c r="Z942" s="16" t="str">
        <f t="shared" si="357"/>
        <v/>
      </c>
      <c r="AB942" s="139"/>
      <c r="AC942" s="146" t="str">
        <f t="shared" si="360"/>
        <v/>
      </c>
      <c r="AD942" s="148" t="str">
        <f t="shared" si="358"/>
        <v/>
      </c>
      <c r="AE942" s="147" t="str">
        <f t="shared" si="351"/>
        <v/>
      </c>
      <c r="AF942" s="111" t="str">
        <f t="shared" si="352"/>
        <v/>
      </c>
      <c r="AG942" s="111" t="str">
        <f t="shared" si="353"/>
        <v/>
      </c>
      <c r="AH942" s="112" t="str">
        <f t="shared" si="354"/>
        <v/>
      </c>
      <c r="AI942" t="str">
        <f t="shared" si="359"/>
        <v/>
      </c>
      <c r="AJ942" t="str">
        <f t="shared" si="361"/>
        <v/>
      </c>
    </row>
    <row r="943" spans="1:36" ht="15" customHeight="1" x14ac:dyDescent="0.25">
      <c r="A943" s="114"/>
      <c r="B943" s="116"/>
      <c r="C943" s="116"/>
      <c r="D943" s="42" t="str">
        <f t="shared" si="338"/>
        <v/>
      </c>
      <c r="E943" s="43"/>
      <c r="F943" s="118"/>
      <c r="G943" s="44" t="str">
        <f t="shared" si="339"/>
        <v/>
      </c>
      <c r="H943" s="118"/>
      <c r="I943" s="34" t="str">
        <f t="shared" si="340"/>
        <v/>
      </c>
      <c r="J943" s="118"/>
      <c r="K943" s="34" t="str">
        <f t="shared" si="341"/>
        <v/>
      </c>
      <c r="L943" s="118"/>
      <c r="M943" s="121"/>
      <c r="N943" s="122" t="str">
        <f t="shared" si="342"/>
        <v/>
      </c>
      <c r="O943" s="35" t="str">
        <f t="shared" si="343"/>
        <v/>
      </c>
      <c r="P943" s="124"/>
      <c r="Q943" s="36" t="str">
        <f t="shared" si="355"/>
        <v/>
      </c>
      <c r="R943" s="46" t="str">
        <f t="shared" si="344"/>
        <v/>
      </c>
      <c r="S943" s="38" t="str">
        <f t="shared" si="345"/>
        <v/>
      </c>
      <c r="T943" s="39" t="str">
        <f t="shared" si="346"/>
        <v/>
      </c>
      <c r="U943" s="40" t="str">
        <f t="shared" si="347"/>
        <v/>
      </c>
      <c r="V943" s="39" t="str">
        <f t="shared" si="348"/>
        <v/>
      </c>
      <c r="W943" s="34" t="str">
        <f t="shared" si="349"/>
        <v/>
      </c>
      <c r="X943" s="41" t="str">
        <f t="shared" si="356"/>
        <v/>
      </c>
      <c r="Y943" s="98" t="str">
        <f t="shared" si="350"/>
        <v/>
      </c>
      <c r="Z943" s="16" t="str">
        <f t="shared" si="357"/>
        <v/>
      </c>
      <c r="AB943" s="139"/>
      <c r="AC943" s="146" t="str">
        <f t="shared" si="360"/>
        <v/>
      </c>
      <c r="AD943" s="148" t="str">
        <f t="shared" si="358"/>
        <v/>
      </c>
      <c r="AE943" s="147" t="str">
        <f t="shared" si="351"/>
        <v/>
      </c>
      <c r="AF943" s="111" t="str">
        <f t="shared" si="352"/>
        <v/>
      </c>
      <c r="AG943" s="111" t="str">
        <f t="shared" si="353"/>
        <v/>
      </c>
      <c r="AH943" s="112" t="str">
        <f t="shared" si="354"/>
        <v/>
      </c>
      <c r="AI943" t="str">
        <f t="shared" si="359"/>
        <v/>
      </c>
      <c r="AJ943" t="str">
        <f t="shared" si="361"/>
        <v/>
      </c>
    </row>
    <row r="944" spans="1:36" ht="15" customHeight="1" x14ac:dyDescent="0.25">
      <c r="A944" s="114"/>
      <c r="B944" s="116"/>
      <c r="C944" s="116"/>
      <c r="D944" s="42" t="str">
        <f t="shared" si="338"/>
        <v/>
      </c>
      <c r="E944" s="43"/>
      <c r="F944" s="118"/>
      <c r="G944" s="44" t="str">
        <f t="shared" si="339"/>
        <v/>
      </c>
      <c r="H944" s="118"/>
      <c r="I944" s="34" t="str">
        <f t="shared" si="340"/>
        <v/>
      </c>
      <c r="J944" s="118"/>
      <c r="K944" s="34" t="str">
        <f t="shared" si="341"/>
        <v/>
      </c>
      <c r="L944" s="118"/>
      <c r="M944" s="121"/>
      <c r="N944" s="122" t="str">
        <f t="shared" si="342"/>
        <v/>
      </c>
      <c r="O944" s="35" t="str">
        <f t="shared" si="343"/>
        <v/>
      </c>
      <c r="P944" s="124"/>
      <c r="Q944" s="36" t="str">
        <f t="shared" si="355"/>
        <v/>
      </c>
      <c r="R944" s="46" t="str">
        <f t="shared" si="344"/>
        <v/>
      </c>
      <c r="S944" s="38" t="str">
        <f t="shared" si="345"/>
        <v/>
      </c>
      <c r="T944" s="39" t="str">
        <f t="shared" si="346"/>
        <v/>
      </c>
      <c r="U944" s="40" t="str">
        <f t="shared" si="347"/>
        <v/>
      </c>
      <c r="V944" s="39" t="str">
        <f t="shared" si="348"/>
        <v/>
      </c>
      <c r="W944" s="34" t="str">
        <f t="shared" si="349"/>
        <v/>
      </c>
      <c r="X944" s="41" t="str">
        <f t="shared" si="356"/>
        <v/>
      </c>
      <c r="Y944" s="98" t="str">
        <f t="shared" si="350"/>
        <v/>
      </c>
      <c r="Z944" s="16" t="str">
        <f t="shared" si="357"/>
        <v/>
      </c>
      <c r="AB944" s="139"/>
      <c r="AC944" s="146" t="str">
        <f t="shared" si="360"/>
        <v/>
      </c>
      <c r="AD944" s="148" t="str">
        <f t="shared" si="358"/>
        <v/>
      </c>
      <c r="AE944" s="147" t="str">
        <f t="shared" si="351"/>
        <v/>
      </c>
      <c r="AF944" s="111" t="str">
        <f t="shared" si="352"/>
        <v/>
      </c>
      <c r="AG944" s="111" t="str">
        <f t="shared" si="353"/>
        <v/>
      </c>
      <c r="AH944" s="112" t="str">
        <f t="shared" si="354"/>
        <v/>
      </c>
      <c r="AI944" t="str">
        <f t="shared" si="359"/>
        <v/>
      </c>
      <c r="AJ944" t="str">
        <f t="shared" si="361"/>
        <v/>
      </c>
    </row>
    <row r="945" spans="1:36" ht="15" customHeight="1" x14ac:dyDescent="0.25">
      <c r="A945" s="114"/>
      <c r="B945" s="116"/>
      <c r="C945" s="116"/>
      <c r="D945" s="42" t="str">
        <f t="shared" si="338"/>
        <v/>
      </c>
      <c r="E945" s="43"/>
      <c r="F945" s="118"/>
      <c r="G945" s="44" t="str">
        <f t="shared" si="339"/>
        <v/>
      </c>
      <c r="H945" s="118"/>
      <c r="I945" s="34" t="str">
        <f t="shared" si="340"/>
        <v/>
      </c>
      <c r="J945" s="118"/>
      <c r="K945" s="34" t="str">
        <f t="shared" si="341"/>
        <v/>
      </c>
      <c r="L945" s="118"/>
      <c r="M945" s="121"/>
      <c r="N945" s="122" t="str">
        <f t="shared" si="342"/>
        <v/>
      </c>
      <c r="O945" s="35" t="str">
        <f t="shared" si="343"/>
        <v/>
      </c>
      <c r="P945" s="124"/>
      <c r="Q945" s="36" t="str">
        <f t="shared" si="355"/>
        <v/>
      </c>
      <c r="R945" s="46" t="str">
        <f t="shared" si="344"/>
        <v/>
      </c>
      <c r="S945" s="38" t="str">
        <f t="shared" si="345"/>
        <v/>
      </c>
      <c r="T945" s="39" t="str">
        <f t="shared" si="346"/>
        <v/>
      </c>
      <c r="U945" s="40" t="str">
        <f t="shared" si="347"/>
        <v/>
      </c>
      <c r="V945" s="39" t="str">
        <f t="shared" si="348"/>
        <v/>
      </c>
      <c r="W945" s="34" t="str">
        <f t="shared" si="349"/>
        <v/>
      </c>
      <c r="X945" s="41" t="str">
        <f t="shared" si="356"/>
        <v/>
      </c>
      <c r="Y945" s="98" t="str">
        <f t="shared" si="350"/>
        <v/>
      </c>
      <c r="Z945" s="16" t="str">
        <f t="shared" si="357"/>
        <v/>
      </c>
      <c r="AB945" s="139"/>
      <c r="AC945" s="146" t="str">
        <f t="shared" si="360"/>
        <v/>
      </c>
      <c r="AD945" s="148" t="str">
        <f t="shared" si="358"/>
        <v/>
      </c>
      <c r="AE945" s="147" t="str">
        <f t="shared" si="351"/>
        <v/>
      </c>
      <c r="AF945" s="111" t="str">
        <f t="shared" si="352"/>
        <v/>
      </c>
      <c r="AG945" s="111" t="str">
        <f t="shared" si="353"/>
        <v/>
      </c>
      <c r="AH945" s="112" t="str">
        <f t="shared" si="354"/>
        <v/>
      </c>
      <c r="AI945" t="str">
        <f t="shared" si="359"/>
        <v/>
      </c>
      <c r="AJ945" t="str">
        <f t="shared" si="361"/>
        <v/>
      </c>
    </row>
    <row r="946" spans="1:36" ht="15" customHeight="1" x14ac:dyDescent="0.25">
      <c r="A946" s="114"/>
      <c r="B946" s="116"/>
      <c r="C946" s="116"/>
      <c r="D946" s="42" t="str">
        <f t="shared" si="338"/>
        <v/>
      </c>
      <c r="E946" s="43"/>
      <c r="F946" s="118"/>
      <c r="G946" s="44" t="str">
        <f t="shared" si="339"/>
        <v/>
      </c>
      <c r="H946" s="118"/>
      <c r="I946" s="34" t="str">
        <f t="shared" si="340"/>
        <v/>
      </c>
      <c r="J946" s="118"/>
      <c r="K946" s="34" t="str">
        <f t="shared" si="341"/>
        <v/>
      </c>
      <c r="L946" s="118"/>
      <c r="M946" s="121"/>
      <c r="N946" s="122" t="str">
        <f t="shared" si="342"/>
        <v/>
      </c>
      <c r="O946" s="35" t="str">
        <f t="shared" si="343"/>
        <v/>
      </c>
      <c r="P946" s="124"/>
      <c r="Q946" s="36" t="str">
        <f t="shared" si="355"/>
        <v/>
      </c>
      <c r="R946" s="46" t="str">
        <f t="shared" si="344"/>
        <v/>
      </c>
      <c r="S946" s="38" t="str">
        <f t="shared" si="345"/>
        <v/>
      </c>
      <c r="T946" s="39" t="str">
        <f t="shared" si="346"/>
        <v/>
      </c>
      <c r="U946" s="40" t="str">
        <f t="shared" si="347"/>
        <v/>
      </c>
      <c r="V946" s="39" t="str">
        <f t="shared" si="348"/>
        <v/>
      </c>
      <c r="W946" s="34" t="str">
        <f t="shared" si="349"/>
        <v/>
      </c>
      <c r="X946" s="41" t="str">
        <f t="shared" si="356"/>
        <v/>
      </c>
      <c r="Y946" s="98" t="str">
        <f t="shared" si="350"/>
        <v/>
      </c>
      <c r="Z946" s="16" t="str">
        <f t="shared" si="357"/>
        <v/>
      </c>
      <c r="AB946" s="139"/>
      <c r="AC946" s="146" t="str">
        <f t="shared" si="360"/>
        <v/>
      </c>
      <c r="AD946" s="148" t="str">
        <f t="shared" si="358"/>
        <v/>
      </c>
      <c r="AE946" s="147" t="str">
        <f t="shared" si="351"/>
        <v/>
      </c>
      <c r="AF946" s="111" t="str">
        <f t="shared" si="352"/>
        <v/>
      </c>
      <c r="AG946" s="111" t="str">
        <f t="shared" si="353"/>
        <v/>
      </c>
      <c r="AH946" s="112" t="str">
        <f t="shared" si="354"/>
        <v/>
      </c>
      <c r="AI946" t="str">
        <f t="shared" si="359"/>
        <v/>
      </c>
      <c r="AJ946" t="str">
        <f t="shared" si="361"/>
        <v/>
      </c>
    </row>
    <row r="947" spans="1:36" ht="15" customHeight="1" x14ac:dyDescent="0.25">
      <c r="A947" s="114"/>
      <c r="B947" s="116"/>
      <c r="C947" s="116"/>
      <c r="D947" s="42" t="str">
        <f t="shared" si="338"/>
        <v/>
      </c>
      <c r="E947" s="43"/>
      <c r="F947" s="118"/>
      <c r="G947" s="44" t="str">
        <f t="shared" si="339"/>
        <v/>
      </c>
      <c r="H947" s="118"/>
      <c r="I947" s="34" t="str">
        <f t="shared" si="340"/>
        <v/>
      </c>
      <c r="J947" s="118"/>
      <c r="K947" s="34" t="str">
        <f t="shared" si="341"/>
        <v/>
      </c>
      <c r="L947" s="118"/>
      <c r="M947" s="121"/>
      <c r="N947" s="122" t="str">
        <f t="shared" si="342"/>
        <v/>
      </c>
      <c r="O947" s="35" t="str">
        <f t="shared" si="343"/>
        <v/>
      </c>
      <c r="P947" s="124"/>
      <c r="Q947" s="36" t="str">
        <f t="shared" si="355"/>
        <v/>
      </c>
      <c r="R947" s="46" t="str">
        <f t="shared" si="344"/>
        <v/>
      </c>
      <c r="S947" s="38" t="str">
        <f t="shared" si="345"/>
        <v/>
      </c>
      <c r="T947" s="39" t="str">
        <f t="shared" si="346"/>
        <v/>
      </c>
      <c r="U947" s="40" t="str">
        <f t="shared" si="347"/>
        <v/>
      </c>
      <c r="V947" s="39" t="str">
        <f t="shared" si="348"/>
        <v/>
      </c>
      <c r="W947" s="34" t="str">
        <f t="shared" si="349"/>
        <v/>
      </c>
      <c r="X947" s="41" t="str">
        <f t="shared" si="356"/>
        <v/>
      </c>
      <c r="Y947" s="98" t="str">
        <f t="shared" si="350"/>
        <v/>
      </c>
      <c r="Z947" s="16" t="str">
        <f t="shared" si="357"/>
        <v/>
      </c>
      <c r="AB947" s="139"/>
      <c r="AC947" s="146" t="str">
        <f t="shared" si="360"/>
        <v/>
      </c>
      <c r="AD947" s="148" t="str">
        <f t="shared" si="358"/>
        <v/>
      </c>
      <c r="AE947" s="147" t="str">
        <f t="shared" si="351"/>
        <v/>
      </c>
      <c r="AF947" s="111" t="str">
        <f t="shared" si="352"/>
        <v/>
      </c>
      <c r="AG947" s="111" t="str">
        <f t="shared" si="353"/>
        <v/>
      </c>
      <c r="AH947" s="112" t="str">
        <f t="shared" si="354"/>
        <v/>
      </c>
      <c r="AI947" t="str">
        <f t="shared" si="359"/>
        <v/>
      </c>
      <c r="AJ947" t="str">
        <f t="shared" si="361"/>
        <v/>
      </c>
    </row>
    <row r="948" spans="1:36" ht="15" customHeight="1" x14ac:dyDescent="0.25">
      <c r="A948" s="114"/>
      <c r="B948" s="116"/>
      <c r="C948" s="116"/>
      <c r="D948" s="42" t="str">
        <f t="shared" si="338"/>
        <v/>
      </c>
      <c r="E948" s="43"/>
      <c r="F948" s="118"/>
      <c r="G948" s="44" t="str">
        <f t="shared" si="339"/>
        <v/>
      </c>
      <c r="H948" s="118"/>
      <c r="I948" s="34" t="str">
        <f t="shared" si="340"/>
        <v/>
      </c>
      <c r="J948" s="118"/>
      <c r="K948" s="34" t="str">
        <f t="shared" si="341"/>
        <v/>
      </c>
      <c r="L948" s="118"/>
      <c r="M948" s="121"/>
      <c r="N948" s="122" t="str">
        <f t="shared" si="342"/>
        <v/>
      </c>
      <c r="O948" s="35" t="str">
        <f t="shared" si="343"/>
        <v/>
      </c>
      <c r="P948" s="124"/>
      <c r="Q948" s="36" t="str">
        <f t="shared" si="355"/>
        <v/>
      </c>
      <c r="R948" s="46" t="str">
        <f t="shared" si="344"/>
        <v/>
      </c>
      <c r="S948" s="38" t="str">
        <f t="shared" si="345"/>
        <v/>
      </c>
      <c r="T948" s="39" t="str">
        <f t="shared" si="346"/>
        <v/>
      </c>
      <c r="U948" s="40" t="str">
        <f t="shared" si="347"/>
        <v/>
      </c>
      <c r="V948" s="39" t="str">
        <f t="shared" si="348"/>
        <v/>
      </c>
      <c r="W948" s="34" t="str">
        <f t="shared" si="349"/>
        <v/>
      </c>
      <c r="X948" s="41" t="str">
        <f t="shared" si="356"/>
        <v/>
      </c>
      <c r="Y948" s="98" t="str">
        <f t="shared" si="350"/>
        <v/>
      </c>
      <c r="Z948" s="16" t="str">
        <f t="shared" si="357"/>
        <v/>
      </c>
      <c r="AB948" s="139"/>
      <c r="AC948" s="146" t="str">
        <f t="shared" si="360"/>
        <v/>
      </c>
      <c r="AD948" s="148" t="str">
        <f t="shared" si="358"/>
        <v/>
      </c>
      <c r="AE948" s="147" t="str">
        <f t="shared" si="351"/>
        <v/>
      </c>
      <c r="AF948" s="111" t="str">
        <f t="shared" si="352"/>
        <v/>
      </c>
      <c r="AG948" s="111" t="str">
        <f t="shared" si="353"/>
        <v/>
      </c>
      <c r="AH948" s="112" t="str">
        <f t="shared" si="354"/>
        <v/>
      </c>
      <c r="AI948" t="str">
        <f t="shared" si="359"/>
        <v/>
      </c>
      <c r="AJ948" t="str">
        <f t="shared" si="361"/>
        <v/>
      </c>
    </row>
    <row r="949" spans="1:36" ht="15" customHeight="1" x14ac:dyDescent="0.25">
      <c r="A949" s="114"/>
      <c r="B949" s="116"/>
      <c r="C949" s="116"/>
      <c r="D949" s="42" t="str">
        <f t="shared" si="338"/>
        <v/>
      </c>
      <c r="E949" s="43"/>
      <c r="F949" s="118"/>
      <c r="G949" s="44" t="str">
        <f t="shared" si="339"/>
        <v/>
      </c>
      <c r="H949" s="118"/>
      <c r="I949" s="34" t="str">
        <f t="shared" si="340"/>
        <v/>
      </c>
      <c r="J949" s="118"/>
      <c r="K949" s="34" t="str">
        <f t="shared" si="341"/>
        <v/>
      </c>
      <c r="L949" s="118"/>
      <c r="M949" s="121"/>
      <c r="N949" s="122" t="str">
        <f t="shared" si="342"/>
        <v/>
      </c>
      <c r="O949" s="35" t="str">
        <f t="shared" si="343"/>
        <v/>
      </c>
      <c r="P949" s="124"/>
      <c r="Q949" s="36" t="str">
        <f t="shared" si="355"/>
        <v/>
      </c>
      <c r="R949" s="46" t="str">
        <f t="shared" si="344"/>
        <v/>
      </c>
      <c r="S949" s="38" t="str">
        <f t="shared" si="345"/>
        <v/>
      </c>
      <c r="T949" s="39" t="str">
        <f t="shared" si="346"/>
        <v/>
      </c>
      <c r="U949" s="40" t="str">
        <f t="shared" si="347"/>
        <v/>
      </c>
      <c r="V949" s="39" t="str">
        <f t="shared" si="348"/>
        <v/>
      </c>
      <c r="W949" s="34" t="str">
        <f t="shared" si="349"/>
        <v/>
      </c>
      <c r="X949" s="41" t="str">
        <f t="shared" si="356"/>
        <v/>
      </c>
      <c r="Y949" s="98" t="str">
        <f t="shared" si="350"/>
        <v/>
      </c>
      <c r="Z949" s="16" t="str">
        <f t="shared" si="357"/>
        <v/>
      </c>
      <c r="AB949" s="139"/>
      <c r="AC949" s="146" t="str">
        <f t="shared" si="360"/>
        <v/>
      </c>
      <c r="AD949" s="148" t="str">
        <f t="shared" si="358"/>
        <v/>
      </c>
      <c r="AE949" s="147" t="str">
        <f t="shared" si="351"/>
        <v/>
      </c>
      <c r="AF949" s="111" t="str">
        <f t="shared" si="352"/>
        <v/>
      </c>
      <c r="AG949" s="111" t="str">
        <f t="shared" si="353"/>
        <v/>
      </c>
      <c r="AH949" s="112" t="str">
        <f t="shared" si="354"/>
        <v/>
      </c>
      <c r="AI949" t="str">
        <f t="shared" si="359"/>
        <v/>
      </c>
      <c r="AJ949" t="str">
        <f t="shared" si="361"/>
        <v/>
      </c>
    </row>
    <row r="950" spans="1:36" ht="15" customHeight="1" x14ac:dyDescent="0.25">
      <c r="A950" s="114"/>
      <c r="B950" s="116"/>
      <c r="C950" s="116"/>
      <c r="D950" s="42" t="str">
        <f t="shared" si="338"/>
        <v/>
      </c>
      <c r="E950" s="43"/>
      <c r="F950" s="118"/>
      <c r="G950" s="44" t="str">
        <f t="shared" si="339"/>
        <v/>
      </c>
      <c r="H950" s="118"/>
      <c r="I950" s="34" t="str">
        <f t="shared" si="340"/>
        <v/>
      </c>
      <c r="J950" s="118"/>
      <c r="K950" s="34" t="str">
        <f t="shared" si="341"/>
        <v/>
      </c>
      <c r="L950" s="118"/>
      <c r="M950" s="121"/>
      <c r="N950" s="122" t="str">
        <f t="shared" si="342"/>
        <v/>
      </c>
      <c r="O950" s="35" t="str">
        <f t="shared" si="343"/>
        <v/>
      </c>
      <c r="P950" s="124"/>
      <c r="Q950" s="36" t="str">
        <f t="shared" si="355"/>
        <v/>
      </c>
      <c r="R950" s="46" t="str">
        <f t="shared" si="344"/>
        <v/>
      </c>
      <c r="S950" s="38" t="str">
        <f t="shared" si="345"/>
        <v/>
      </c>
      <c r="T950" s="39" t="str">
        <f t="shared" si="346"/>
        <v/>
      </c>
      <c r="U950" s="40" t="str">
        <f t="shared" si="347"/>
        <v/>
      </c>
      <c r="V950" s="39" t="str">
        <f t="shared" si="348"/>
        <v/>
      </c>
      <c r="W950" s="34" t="str">
        <f t="shared" si="349"/>
        <v/>
      </c>
      <c r="X950" s="41" t="str">
        <f t="shared" si="356"/>
        <v/>
      </c>
      <c r="Y950" s="98" t="str">
        <f t="shared" si="350"/>
        <v/>
      </c>
      <c r="Z950" s="16" t="str">
        <f t="shared" si="357"/>
        <v/>
      </c>
      <c r="AB950" s="139"/>
      <c r="AC950" s="146" t="str">
        <f t="shared" si="360"/>
        <v/>
      </c>
      <c r="AD950" s="148" t="str">
        <f t="shared" si="358"/>
        <v/>
      </c>
      <c r="AE950" s="147" t="str">
        <f t="shared" si="351"/>
        <v/>
      </c>
      <c r="AF950" s="111" t="str">
        <f t="shared" si="352"/>
        <v/>
      </c>
      <c r="AG950" s="111" t="str">
        <f t="shared" si="353"/>
        <v/>
      </c>
      <c r="AH950" s="112" t="str">
        <f t="shared" si="354"/>
        <v/>
      </c>
      <c r="AI950" t="str">
        <f t="shared" si="359"/>
        <v/>
      </c>
      <c r="AJ950" t="str">
        <f t="shared" si="361"/>
        <v/>
      </c>
    </row>
    <row r="951" spans="1:36" ht="15" customHeight="1" x14ac:dyDescent="0.25">
      <c r="A951" s="114"/>
      <c r="B951" s="116"/>
      <c r="C951" s="116"/>
      <c r="D951" s="42" t="str">
        <f t="shared" si="338"/>
        <v/>
      </c>
      <c r="E951" s="43"/>
      <c r="F951" s="118"/>
      <c r="G951" s="44" t="str">
        <f t="shared" si="339"/>
        <v/>
      </c>
      <c r="H951" s="118"/>
      <c r="I951" s="34" t="str">
        <f t="shared" si="340"/>
        <v/>
      </c>
      <c r="J951" s="118"/>
      <c r="K951" s="34" t="str">
        <f t="shared" si="341"/>
        <v/>
      </c>
      <c r="L951" s="118"/>
      <c r="M951" s="121"/>
      <c r="N951" s="122" t="str">
        <f t="shared" si="342"/>
        <v/>
      </c>
      <c r="O951" s="35" t="str">
        <f t="shared" si="343"/>
        <v/>
      </c>
      <c r="P951" s="124"/>
      <c r="Q951" s="36" t="str">
        <f t="shared" si="355"/>
        <v/>
      </c>
      <c r="R951" s="46" t="str">
        <f t="shared" si="344"/>
        <v/>
      </c>
      <c r="S951" s="38" t="str">
        <f t="shared" si="345"/>
        <v/>
      </c>
      <c r="T951" s="39" t="str">
        <f t="shared" si="346"/>
        <v/>
      </c>
      <c r="U951" s="40" t="str">
        <f t="shared" si="347"/>
        <v/>
      </c>
      <c r="V951" s="39" t="str">
        <f t="shared" si="348"/>
        <v/>
      </c>
      <c r="W951" s="34" t="str">
        <f t="shared" si="349"/>
        <v/>
      </c>
      <c r="X951" s="41" t="str">
        <f t="shared" si="356"/>
        <v/>
      </c>
      <c r="Y951" s="98" t="str">
        <f t="shared" si="350"/>
        <v/>
      </c>
      <c r="Z951" s="16" t="str">
        <f t="shared" si="357"/>
        <v/>
      </c>
      <c r="AB951" s="139"/>
      <c r="AC951" s="146" t="str">
        <f t="shared" si="360"/>
        <v/>
      </c>
      <c r="AD951" s="148" t="str">
        <f t="shared" si="358"/>
        <v/>
      </c>
      <c r="AE951" s="147" t="str">
        <f t="shared" si="351"/>
        <v/>
      </c>
      <c r="AF951" s="111" t="str">
        <f t="shared" si="352"/>
        <v/>
      </c>
      <c r="AG951" s="111" t="str">
        <f t="shared" si="353"/>
        <v/>
      </c>
      <c r="AH951" s="112" t="str">
        <f t="shared" si="354"/>
        <v/>
      </c>
      <c r="AI951" t="str">
        <f t="shared" si="359"/>
        <v/>
      </c>
      <c r="AJ951" t="str">
        <f t="shared" si="361"/>
        <v/>
      </c>
    </row>
    <row r="952" spans="1:36" ht="15" customHeight="1" x14ac:dyDescent="0.25">
      <c r="A952" s="114"/>
      <c r="B952" s="116"/>
      <c r="C952" s="116"/>
      <c r="D952" s="42" t="str">
        <f t="shared" si="338"/>
        <v/>
      </c>
      <c r="E952" s="43"/>
      <c r="F952" s="118"/>
      <c r="G952" s="44" t="str">
        <f t="shared" si="339"/>
        <v/>
      </c>
      <c r="H952" s="118"/>
      <c r="I952" s="34" t="str">
        <f t="shared" si="340"/>
        <v/>
      </c>
      <c r="J952" s="118"/>
      <c r="K952" s="34" t="str">
        <f t="shared" si="341"/>
        <v/>
      </c>
      <c r="L952" s="118"/>
      <c r="M952" s="121"/>
      <c r="N952" s="122" t="str">
        <f t="shared" si="342"/>
        <v/>
      </c>
      <c r="O952" s="35" t="str">
        <f t="shared" si="343"/>
        <v/>
      </c>
      <c r="P952" s="124"/>
      <c r="Q952" s="36" t="str">
        <f t="shared" si="355"/>
        <v/>
      </c>
      <c r="R952" s="46" t="str">
        <f t="shared" si="344"/>
        <v/>
      </c>
      <c r="S952" s="38" t="str">
        <f t="shared" si="345"/>
        <v/>
      </c>
      <c r="T952" s="39" t="str">
        <f t="shared" si="346"/>
        <v/>
      </c>
      <c r="U952" s="40" t="str">
        <f t="shared" si="347"/>
        <v/>
      </c>
      <c r="V952" s="39" t="str">
        <f t="shared" si="348"/>
        <v/>
      </c>
      <c r="W952" s="34" t="str">
        <f t="shared" si="349"/>
        <v/>
      </c>
      <c r="X952" s="41" t="str">
        <f t="shared" si="356"/>
        <v/>
      </c>
      <c r="Y952" s="98" t="str">
        <f t="shared" si="350"/>
        <v/>
      </c>
      <c r="Z952" s="16" t="str">
        <f t="shared" si="357"/>
        <v/>
      </c>
      <c r="AB952" s="139"/>
      <c r="AC952" s="146" t="str">
        <f t="shared" si="360"/>
        <v/>
      </c>
      <c r="AD952" s="148" t="str">
        <f t="shared" si="358"/>
        <v/>
      </c>
      <c r="AE952" s="147" t="str">
        <f t="shared" si="351"/>
        <v/>
      </c>
      <c r="AF952" s="111" t="str">
        <f t="shared" si="352"/>
        <v/>
      </c>
      <c r="AG952" s="111" t="str">
        <f t="shared" si="353"/>
        <v/>
      </c>
      <c r="AH952" s="112" t="str">
        <f t="shared" si="354"/>
        <v/>
      </c>
      <c r="AI952" t="str">
        <f t="shared" si="359"/>
        <v/>
      </c>
      <c r="AJ952" t="str">
        <f t="shared" si="361"/>
        <v/>
      </c>
    </row>
    <row r="953" spans="1:36" ht="15" customHeight="1" x14ac:dyDescent="0.25">
      <c r="A953" s="114"/>
      <c r="B953" s="116"/>
      <c r="C953" s="116"/>
      <c r="D953" s="42" t="str">
        <f t="shared" si="338"/>
        <v/>
      </c>
      <c r="E953" s="43"/>
      <c r="F953" s="118"/>
      <c r="G953" s="44" t="str">
        <f t="shared" si="339"/>
        <v/>
      </c>
      <c r="H953" s="118"/>
      <c r="I953" s="34" t="str">
        <f t="shared" si="340"/>
        <v/>
      </c>
      <c r="J953" s="118"/>
      <c r="K953" s="34" t="str">
        <f t="shared" si="341"/>
        <v/>
      </c>
      <c r="L953" s="118"/>
      <c r="M953" s="121"/>
      <c r="N953" s="122" t="str">
        <f t="shared" si="342"/>
        <v/>
      </c>
      <c r="O953" s="35" t="str">
        <f t="shared" si="343"/>
        <v/>
      </c>
      <c r="P953" s="124"/>
      <c r="Q953" s="36" t="str">
        <f t="shared" si="355"/>
        <v/>
      </c>
      <c r="R953" s="46" t="str">
        <f t="shared" si="344"/>
        <v/>
      </c>
      <c r="S953" s="38" t="str">
        <f t="shared" si="345"/>
        <v/>
      </c>
      <c r="T953" s="39" t="str">
        <f t="shared" si="346"/>
        <v/>
      </c>
      <c r="U953" s="40" t="str">
        <f t="shared" si="347"/>
        <v/>
      </c>
      <c r="V953" s="39" t="str">
        <f t="shared" si="348"/>
        <v/>
      </c>
      <c r="W953" s="34" t="str">
        <f t="shared" si="349"/>
        <v/>
      </c>
      <c r="X953" s="41" t="str">
        <f t="shared" si="356"/>
        <v/>
      </c>
      <c r="Y953" s="98" t="str">
        <f t="shared" si="350"/>
        <v/>
      </c>
      <c r="Z953" s="16" t="str">
        <f t="shared" si="357"/>
        <v/>
      </c>
      <c r="AB953" s="139"/>
      <c r="AC953" s="146" t="str">
        <f t="shared" si="360"/>
        <v/>
      </c>
      <c r="AD953" s="148" t="str">
        <f t="shared" si="358"/>
        <v/>
      </c>
      <c r="AE953" s="147" t="str">
        <f t="shared" si="351"/>
        <v/>
      </c>
      <c r="AF953" s="111" t="str">
        <f t="shared" si="352"/>
        <v/>
      </c>
      <c r="AG953" s="111" t="str">
        <f t="shared" si="353"/>
        <v/>
      </c>
      <c r="AH953" s="112" t="str">
        <f t="shared" si="354"/>
        <v/>
      </c>
      <c r="AI953" t="str">
        <f t="shared" si="359"/>
        <v/>
      </c>
      <c r="AJ953" t="str">
        <f t="shared" si="361"/>
        <v/>
      </c>
    </row>
    <row r="954" spans="1:36" ht="15" customHeight="1" x14ac:dyDescent="0.25">
      <c r="A954" s="114"/>
      <c r="B954" s="116"/>
      <c r="C954" s="116"/>
      <c r="D954" s="42" t="str">
        <f t="shared" si="338"/>
        <v/>
      </c>
      <c r="E954" s="43"/>
      <c r="F954" s="118"/>
      <c r="G954" s="44" t="str">
        <f t="shared" si="339"/>
        <v/>
      </c>
      <c r="H954" s="118"/>
      <c r="I954" s="34" t="str">
        <f t="shared" si="340"/>
        <v/>
      </c>
      <c r="J954" s="118"/>
      <c r="K954" s="34" t="str">
        <f t="shared" si="341"/>
        <v/>
      </c>
      <c r="L954" s="118"/>
      <c r="M954" s="121"/>
      <c r="N954" s="122" t="str">
        <f t="shared" si="342"/>
        <v/>
      </c>
      <c r="O954" s="35" t="str">
        <f t="shared" si="343"/>
        <v/>
      </c>
      <c r="P954" s="124"/>
      <c r="Q954" s="36" t="str">
        <f t="shared" si="355"/>
        <v/>
      </c>
      <c r="R954" s="46" t="str">
        <f t="shared" si="344"/>
        <v/>
      </c>
      <c r="S954" s="38" t="str">
        <f t="shared" si="345"/>
        <v/>
      </c>
      <c r="T954" s="39" t="str">
        <f t="shared" si="346"/>
        <v/>
      </c>
      <c r="U954" s="40" t="str">
        <f t="shared" si="347"/>
        <v/>
      </c>
      <c r="V954" s="39" t="str">
        <f t="shared" si="348"/>
        <v/>
      </c>
      <c r="W954" s="34" t="str">
        <f t="shared" si="349"/>
        <v/>
      </c>
      <c r="X954" s="41" t="str">
        <f t="shared" si="356"/>
        <v/>
      </c>
      <c r="Y954" s="98" t="str">
        <f t="shared" si="350"/>
        <v/>
      </c>
      <c r="Z954" s="16" t="str">
        <f t="shared" si="357"/>
        <v/>
      </c>
      <c r="AB954" s="139"/>
      <c r="AC954" s="146" t="str">
        <f t="shared" si="360"/>
        <v/>
      </c>
      <c r="AD954" s="148" t="str">
        <f t="shared" si="358"/>
        <v/>
      </c>
      <c r="AE954" s="147" t="str">
        <f t="shared" si="351"/>
        <v/>
      </c>
      <c r="AF954" s="111" t="str">
        <f t="shared" si="352"/>
        <v/>
      </c>
      <c r="AG954" s="111" t="str">
        <f t="shared" si="353"/>
        <v/>
      </c>
      <c r="AH954" s="112" t="str">
        <f t="shared" si="354"/>
        <v/>
      </c>
      <c r="AI954" t="str">
        <f t="shared" si="359"/>
        <v/>
      </c>
      <c r="AJ954" t="str">
        <f t="shared" si="361"/>
        <v/>
      </c>
    </row>
    <row r="955" spans="1:36" ht="15" customHeight="1" x14ac:dyDescent="0.25">
      <c r="A955" s="114"/>
      <c r="B955" s="116"/>
      <c r="C955" s="116"/>
      <c r="D955" s="42" t="str">
        <f t="shared" si="338"/>
        <v/>
      </c>
      <c r="E955" s="43"/>
      <c r="F955" s="118"/>
      <c r="G955" s="44" t="str">
        <f t="shared" si="339"/>
        <v/>
      </c>
      <c r="H955" s="118"/>
      <c r="I955" s="34" t="str">
        <f t="shared" si="340"/>
        <v/>
      </c>
      <c r="J955" s="118"/>
      <c r="K955" s="34" t="str">
        <f t="shared" si="341"/>
        <v/>
      </c>
      <c r="L955" s="118"/>
      <c r="M955" s="121"/>
      <c r="N955" s="122" t="str">
        <f t="shared" si="342"/>
        <v/>
      </c>
      <c r="O955" s="35" t="str">
        <f t="shared" si="343"/>
        <v/>
      </c>
      <c r="P955" s="124"/>
      <c r="Q955" s="36" t="str">
        <f t="shared" si="355"/>
        <v/>
      </c>
      <c r="R955" s="46" t="str">
        <f t="shared" si="344"/>
        <v/>
      </c>
      <c r="S955" s="38" t="str">
        <f t="shared" si="345"/>
        <v/>
      </c>
      <c r="T955" s="39" t="str">
        <f t="shared" si="346"/>
        <v/>
      </c>
      <c r="U955" s="40" t="str">
        <f t="shared" si="347"/>
        <v/>
      </c>
      <c r="V955" s="39" t="str">
        <f t="shared" si="348"/>
        <v/>
      </c>
      <c r="W955" s="34" t="str">
        <f t="shared" si="349"/>
        <v/>
      </c>
      <c r="X955" s="41" t="str">
        <f t="shared" si="356"/>
        <v/>
      </c>
      <c r="Y955" s="98" t="str">
        <f t="shared" si="350"/>
        <v/>
      </c>
      <c r="Z955" s="16" t="str">
        <f t="shared" si="357"/>
        <v/>
      </c>
      <c r="AB955" s="139"/>
      <c r="AC955" s="146" t="str">
        <f t="shared" si="360"/>
        <v/>
      </c>
      <c r="AD955" s="148" t="str">
        <f t="shared" si="358"/>
        <v/>
      </c>
      <c r="AE955" s="147" t="str">
        <f t="shared" si="351"/>
        <v/>
      </c>
      <c r="AF955" s="111" t="str">
        <f t="shared" si="352"/>
        <v/>
      </c>
      <c r="AG955" s="111" t="str">
        <f t="shared" si="353"/>
        <v/>
      </c>
      <c r="AH955" s="112" t="str">
        <f t="shared" si="354"/>
        <v/>
      </c>
      <c r="AI955" t="str">
        <f t="shared" si="359"/>
        <v/>
      </c>
      <c r="AJ955" t="str">
        <f t="shared" si="361"/>
        <v/>
      </c>
    </row>
    <row r="956" spans="1:36" ht="15" customHeight="1" x14ac:dyDescent="0.25">
      <c r="A956" s="114"/>
      <c r="B956" s="116"/>
      <c r="C956" s="116"/>
      <c r="D956" s="42" t="str">
        <f t="shared" si="338"/>
        <v/>
      </c>
      <c r="E956" s="43"/>
      <c r="F956" s="118"/>
      <c r="G956" s="44" t="str">
        <f t="shared" si="339"/>
        <v/>
      </c>
      <c r="H956" s="118"/>
      <c r="I956" s="34" t="str">
        <f t="shared" si="340"/>
        <v/>
      </c>
      <c r="J956" s="118"/>
      <c r="K956" s="34" t="str">
        <f t="shared" si="341"/>
        <v/>
      </c>
      <c r="L956" s="118"/>
      <c r="M956" s="121"/>
      <c r="N956" s="122" t="str">
        <f t="shared" si="342"/>
        <v/>
      </c>
      <c r="O956" s="35" t="str">
        <f t="shared" si="343"/>
        <v/>
      </c>
      <c r="P956" s="124"/>
      <c r="Q956" s="36" t="str">
        <f t="shared" si="355"/>
        <v/>
      </c>
      <c r="R956" s="46" t="str">
        <f t="shared" si="344"/>
        <v/>
      </c>
      <c r="S956" s="38" t="str">
        <f t="shared" si="345"/>
        <v/>
      </c>
      <c r="T956" s="39" t="str">
        <f t="shared" si="346"/>
        <v/>
      </c>
      <c r="U956" s="40" t="str">
        <f t="shared" si="347"/>
        <v/>
      </c>
      <c r="V956" s="39" t="str">
        <f t="shared" si="348"/>
        <v/>
      </c>
      <c r="W956" s="34" t="str">
        <f t="shared" si="349"/>
        <v/>
      </c>
      <c r="X956" s="41" t="str">
        <f t="shared" si="356"/>
        <v/>
      </c>
      <c r="Y956" s="98" t="str">
        <f t="shared" si="350"/>
        <v/>
      </c>
      <c r="Z956" s="16" t="str">
        <f t="shared" si="357"/>
        <v/>
      </c>
      <c r="AB956" s="139"/>
      <c r="AC956" s="146" t="str">
        <f t="shared" si="360"/>
        <v/>
      </c>
      <c r="AD956" s="148" t="str">
        <f t="shared" si="358"/>
        <v/>
      </c>
      <c r="AE956" s="147" t="str">
        <f t="shared" si="351"/>
        <v/>
      </c>
      <c r="AF956" s="111" t="str">
        <f t="shared" si="352"/>
        <v/>
      </c>
      <c r="AG956" s="111" t="str">
        <f t="shared" si="353"/>
        <v/>
      </c>
      <c r="AH956" s="112" t="str">
        <f t="shared" si="354"/>
        <v/>
      </c>
      <c r="AI956" t="str">
        <f t="shared" si="359"/>
        <v/>
      </c>
      <c r="AJ956" t="str">
        <f t="shared" si="361"/>
        <v/>
      </c>
    </row>
    <row r="957" spans="1:36" ht="15" customHeight="1" x14ac:dyDescent="0.25">
      <c r="A957" s="114"/>
      <c r="B957" s="116"/>
      <c r="C957" s="116"/>
      <c r="D957" s="42" t="str">
        <f t="shared" si="338"/>
        <v/>
      </c>
      <c r="E957" s="43"/>
      <c r="F957" s="118"/>
      <c r="G957" s="44" t="str">
        <f t="shared" si="339"/>
        <v/>
      </c>
      <c r="H957" s="118"/>
      <c r="I957" s="34" t="str">
        <f t="shared" si="340"/>
        <v/>
      </c>
      <c r="J957" s="118"/>
      <c r="K957" s="34" t="str">
        <f t="shared" si="341"/>
        <v/>
      </c>
      <c r="L957" s="118"/>
      <c r="M957" s="121"/>
      <c r="N957" s="122" t="str">
        <f t="shared" si="342"/>
        <v/>
      </c>
      <c r="O957" s="35" t="str">
        <f t="shared" si="343"/>
        <v/>
      </c>
      <c r="P957" s="124"/>
      <c r="Q957" s="36" t="str">
        <f t="shared" si="355"/>
        <v/>
      </c>
      <c r="R957" s="46" t="str">
        <f t="shared" si="344"/>
        <v/>
      </c>
      <c r="S957" s="38" t="str">
        <f t="shared" si="345"/>
        <v/>
      </c>
      <c r="T957" s="39" t="str">
        <f t="shared" si="346"/>
        <v/>
      </c>
      <c r="U957" s="40" t="str">
        <f t="shared" si="347"/>
        <v/>
      </c>
      <c r="V957" s="39" t="str">
        <f t="shared" si="348"/>
        <v/>
      </c>
      <c r="W957" s="34" t="str">
        <f t="shared" si="349"/>
        <v/>
      </c>
      <c r="X957" s="41" t="str">
        <f t="shared" si="356"/>
        <v/>
      </c>
      <c r="Y957" s="98" t="str">
        <f t="shared" si="350"/>
        <v/>
      </c>
      <c r="Z957" s="16" t="str">
        <f t="shared" si="357"/>
        <v/>
      </c>
      <c r="AB957" s="139"/>
      <c r="AC957" s="146" t="str">
        <f t="shared" si="360"/>
        <v/>
      </c>
      <c r="AD957" s="148" t="str">
        <f t="shared" si="358"/>
        <v/>
      </c>
      <c r="AE957" s="147" t="str">
        <f t="shared" si="351"/>
        <v/>
      </c>
      <c r="AF957" s="111" t="str">
        <f t="shared" si="352"/>
        <v/>
      </c>
      <c r="AG957" s="111" t="str">
        <f t="shared" si="353"/>
        <v/>
      </c>
      <c r="AH957" s="112" t="str">
        <f t="shared" si="354"/>
        <v/>
      </c>
      <c r="AI957" t="str">
        <f t="shared" si="359"/>
        <v/>
      </c>
      <c r="AJ957" t="str">
        <f t="shared" si="361"/>
        <v/>
      </c>
    </row>
    <row r="958" spans="1:36" ht="15" customHeight="1" x14ac:dyDescent="0.25">
      <c r="A958" s="114"/>
      <c r="B958" s="116"/>
      <c r="C958" s="116"/>
      <c r="D958" s="42" t="str">
        <f t="shared" si="338"/>
        <v/>
      </c>
      <c r="E958" s="43"/>
      <c r="F958" s="118"/>
      <c r="G958" s="44" t="str">
        <f t="shared" si="339"/>
        <v/>
      </c>
      <c r="H958" s="118"/>
      <c r="I958" s="34" t="str">
        <f t="shared" si="340"/>
        <v/>
      </c>
      <c r="J958" s="118"/>
      <c r="K958" s="34" t="str">
        <f t="shared" si="341"/>
        <v/>
      </c>
      <c r="L958" s="118"/>
      <c r="M958" s="121"/>
      <c r="N958" s="122" t="str">
        <f t="shared" si="342"/>
        <v/>
      </c>
      <c r="O958" s="35" t="str">
        <f t="shared" si="343"/>
        <v/>
      </c>
      <c r="P958" s="124"/>
      <c r="Q958" s="36" t="str">
        <f t="shared" si="355"/>
        <v/>
      </c>
      <c r="R958" s="46" t="str">
        <f t="shared" si="344"/>
        <v/>
      </c>
      <c r="S958" s="38" t="str">
        <f t="shared" si="345"/>
        <v/>
      </c>
      <c r="T958" s="39" t="str">
        <f t="shared" si="346"/>
        <v/>
      </c>
      <c r="U958" s="40" t="str">
        <f t="shared" si="347"/>
        <v/>
      </c>
      <c r="V958" s="39" t="str">
        <f t="shared" si="348"/>
        <v/>
      </c>
      <c r="W958" s="34" t="str">
        <f t="shared" si="349"/>
        <v/>
      </c>
      <c r="X958" s="41" t="str">
        <f t="shared" si="356"/>
        <v/>
      </c>
      <c r="Y958" s="98" t="str">
        <f t="shared" si="350"/>
        <v/>
      </c>
      <c r="Z958" s="16" t="str">
        <f t="shared" si="357"/>
        <v/>
      </c>
      <c r="AB958" s="139"/>
      <c r="AC958" s="146" t="str">
        <f t="shared" si="360"/>
        <v/>
      </c>
      <c r="AD958" s="148" t="str">
        <f t="shared" si="358"/>
        <v/>
      </c>
      <c r="AE958" s="147" t="str">
        <f t="shared" si="351"/>
        <v/>
      </c>
      <c r="AF958" s="111" t="str">
        <f t="shared" si="352"/>
        <v/>
      </c>
      <c r="AG958" s="111" t="str">
        <f t="shared" si="353"/>
        <v/>
      </c>
      <c r="AH958" s="112" t="str">
        <f t="shared" si="354"/>
        <v/>
      </c>
      <c r="AI958" t="str">
        <f t="shared" si="359"/>
        <v/>
      </c>
      <c r="AJ958" t="str">
        <f t="shared" si="361"/>
        <v/>
      </c>
    </row>
    <row r="959" spans="1:36" ht="15" customHeight="1" x14ac:dyDescent="0.25">
      <c r="A959" s="114"/>
      <c r="B959" s="116"/>
      <c r="C959" s="116"/>
      <c r="D959" s="42" t="str">
        <f t="shared" si="338"/>
        <v/>
      </c>
      <c r="E959" s="43"/>
      <c r="F959" s="118"/>
      <c r="G959" s="44" t="str">
        <f t="shared" si="339"/>
        <v/>
      </c>
      <c r="H959" s="118"/>
      <c r="I959" s="34" t="str">
        <f t="shared" si="340"/>
        <v/>
      </c>
      <c r="J959" s="118"/>
      <c r="K959" s="34" t="str">
        <f t="shared" si="341"/>
        <v/>
      </c>
      <c r="L959" s="118"/>
      <c r="M959" s="121"/>
      <c r="N959" s="122" t="str">
        <f t="shared" si="342"/>
        <v/>
      </c>
      <c r="O959" s="35" t="str">
        <f t="shared" si="343"/>
        <v/>
      </c>
      <c r="P959" s="124"/>
      <c r="Q959" s="36" t="str">
        <f t="shared" si="355"/>
        <v/>
      </c>
      <c r="R959" s="46" t="str">
        <f t="shared" si="344"/>
        <v/>
      </c>
      <c r="S959" s="38" t="str">
        <f t="shared" si="345"/>
        <v/>
      </c>
      <c r="T959" s="39" t="str">
        <f t="shared" si="346"/>
        <v/>
      </c>
      <c r="U959" s="40" t="str">
        <f t="shared" si="347"/>
        <v/>
      </c>
      <c r="V959" s="39" t="str">
        <f t="shared" si="348"/>
        <v/>
      </c>
      <c r="W959" s="34" t="str">
        <f t="shared" si="349"/>
        <v/>
      </c>
      <c r="X959" s="41" t="str">
        <f t="shared" si="356"/>
        <v/>
      </c>
      <c r="Y959" s="98" t="str">
        <f t="shared" si="350"/>
        <v/>
      </c>
      <c r="Z959" s="16" t="str">
        <f t="shared" si="357"/>
        <v/>
      </c>
      <c r="AB959" s="139"/>
      <c r="AC959" s="146" t="str">
        <f t="shared" si="360"/>
        <v/>
      </c>
      <c r="AD959" s="148" t="str">
        <f t="shared" si="358"/>
        <v/>
      </c>
      <c r="AE959" s="147" t="str">
        <f t="shared" si="351"/>
        <v/>
      </c>
      <c r="AF959" s="111" t="str">
        <f t="shared" si="352"/>
        <v/>
      </c>
      <c r="AG959" s="111" t="str">
        <f t="shared" si="353"/>
        <v/>
      </c>
      <c r="AH959" s="112" t="str">
        <f t="shared" si="354"/>
        <v/>
      </c>
      <c r="AI959" t="str">
        <f t="shared" si="359"/>
        <v/>
      </c>
      <c r="AJ959" t="str">
        <f t="shared" si="361"/>
        <v/>
      </c>
    </row>
    <row r="960" spans="1:36" ht="15" customHeight="1" x14ac:dyDescent="0.25">
      <c r="A960" s="114"/>
      <c r="B960" s="116"/>
      <c r="C960" s="116"/>
      <c r="D960" s="42" t="str">
        <f t="shared" si="338"/>
        <v/>
      </c>
      <c r="E960" s="43"/>
      <c r="F960" s="118"/>
      <c r="G960" s="44" t="str">
        <f t="shared" si="339"/>
        <v/>
      </c>
      <c r="H960" s="118"/>
      <c r="I960" s="34" t="str">
        <f t="shared" si="340"/>
        <v/>
      </c>
      <c r="J960" s="118"/>
      <c r="K960" s="34" t="str">
        <f t="shared" si="341"/>
        <v/>
      </c>
      <c r="L960" s="118"/>
      <c r="M960" s="121"/>
      <c r="N960" s="122" t="str">
        <f t="shared" si="342"/>
        <v/>
      </c>
      <c r="O960" s="35" t="str">
        <f t="shared" si="343"/>
        <v/>
      </c>
      <c r="P960" s="124"/>
      <c r="Q960" s="36" t="str">
        <f t="shared" si="355"/>
        <v/>
      </c>
      <c r="R960" s="46" t="str">
        <f t="shared" si="344"/>
        <v/>
      </c>
      <c r="S960" s="38" t="str">
        <f t="shared" si="345"/>
        <v/>
      </c>
      <c r="T960" s="39" t="str">
        <f t="shared" si="346"/>
        <v/>
      </c>
      <c r="U960" s="40" t="str">
        <f t="shared" si="347"/>
        <v/>
      </c>
      <c r="V960" s="39" t="str">
        <f t="shared" si="348"/>
        <v/>
      </c>
      <c r="W960" s="34" t="str">
        <f t="shared" si="349"/>
        <v/>
      </c>
      <c r="X960" s="41" t="str">
        <f t="shared" si="356"/>
        <v/>
      </c>
      <c r="Y960" s="98" t="str">
        <f t="shared" si="350"/>
        <v/>
      </c>
      <c r="Z960" s="16" t="str">
        <f t="shared" si="357"/>
        <v/>
      </c>
      <c r="AB960" s="139"/>
      <c r="AC960" s="146" t="str">
        <f t="shared" si="360"/>
        <v/>
      </c>
      <c r="AD960" s="148" t="str">
        <f t="shared" si="358"/>
        <v/>
      </c>
      <c r="AE960" s="147" t="str">
        <f t="shared" si="351"/>
        <v/>
      </c>
      <c r="AF960" s="111" t="str">
        <f t="shared" si="352"/>
        <v/>
      </c>
      <c r="AG960" s="111" t="str">
        <f t="shared" si="353"/>
        <v/>
      </c>
      <c r="AH960" s="112" t="str">
        <f t="shared" si="354"/>
        <v/>
      </c>
      <c r="AI960" t="str">
        <f t="shared" si="359"/>
        <v/>
      </c>
      <c r="AJ960" t="str">
        <f t="shared" si="361"/>
        <v/>
      </c>
    </row>
    <row r="961" spans="1:36" ht="15" customHeight="1" x14ac:dyDescent="0.25">
      <c r="A961" s="114"/>
      <c r="B961" s="116"/>
      <c r="C961" s="116"/>
      <c r="D961" s="42" t="str">
        <f t="shared" si="338"/>
        <v/>
      </c>
      <c r="E961" s="43"/>
      <c r="F961" s="118"/>
      <c r="G961" s="44" t="str">
        <f t="shared" si="339"/>
        <v/>
      </c>
      <c r="H961" s="118"/>
      <c r="I961" s="34" t="str">
        <f t="shared" si="340"/>
        <v/>
      </c>
      <c r="J961" s="118"/>
      <c r="K961" s="34" t="str">
        <f t="shared" si="341"/>
        <v/>
      </c>
      <c r="L961" s="118"/>
      <c r="M961" s="121"/>
      <c r="N961" s="122" t="str">
        <f t="shared" si="342"/>
        <v/>
      </c>
      <c r="O961" s="35" t="str">
        <f t="shared" si="343"/>
        <v/>
      </c>
      <c r="P961" s="124"/>
      <c r="Q961" s="36" t="str">
        <f t="shared" si="355"/>
        <v/>
      </c>
      <c r="R961" s="46" t="str">
        <f t="shared" si="344"/>
        <v/>
      </c>
      <c r="S961" s="38" t="str">
        <f t="shared" si="345"/>
        <v/>
      </c>
      <c r="T961" s="39" t="str">
        <f t="shared" si="346"/>
        <v/>
      </c>
      <c r="U961" s="40" t="str">
        <f t="shared" si="347"/>
        <v/>
      </c>
      <c r="V961" s="39" t="str">
        <f t="shared" si="348"/>
        <v/>
      </c>
      <c r="W961" s="34" t="str">
        <f t="shared" si="349"/>
        <v/>
      </c>
      <c r="X961" s="41" t="str">
        <f t="shared" si="356"/>
        <v/>
      </c>
      <c r="Y961" s="98" t="str">
        <f t="shared" si="350"/>
        <v/>
      </c>
      <c r="Z961" s="16" t="str">
        <f t="shared" si="357"/>
        <v/>
      </c>
      <c r="AB961" s="139"/>
      <c r="AC961" s="146" t="str">
        <f t="shared" si="360"/>
        <v/>
      </c>
      <c r="AD961" s="148" t="str">
        <f t="shared" si="358"/>
        <v/>
      </c>
      <c r="AE961" s="147" t="str">
        <f t="shared" si="351"/>
        <v/>
      </c>
      <c r="AF961" s="111" t="str">
        <f t="shared" si="352"/>
        <v/>
      </c>
      <c r="AG961" s="111" t="str">
        <f t="shared" si="353"/>
        <v/>
      </c>
      <c r="AH961" s="112" t="str">
        <f t="shared" si="354"/>
        <v/>
      </c>
      <c r="AI961" t="str">
        <f t="shared" si="359"/>
        <v/>
      </c>
      <c r="AJ961" t="str">
        <f t="shared" si="361"/>
        <v/>
      </c>
    </row>
    <row r="962" spans="1:36" ht="15" customHeight="1" x14ac:dyDescent="0.25">
      <c r="A962" s="114"/>
      <c r="B962" s="116"/>
      <c r="C962" s="116"/>
      <c r="D962" s="42" t="str">
        <f t="shared" si="338"/>
        <v/>
      </c>
      <c r="E962" s="43"/>
      <c r="F962" s="118"/>
      <c r="G962" s="44" t="str">
        <f t="shared" si="339"/>
        <v/>
      </c>
      <c r="H962" s="118"/>
      <c r="I962" s="34" t="str">
        <f t="shared" si="340"/>
        <v/>
      </c>
      <c r="J962" s="118"/>
      <c r="K962" s="34" t="str">
        <f t="shared" si="341"/>
        <v/>
      </c>
      <c r="L962" s="118"/>
      <c r="M962" s="121"/>
      <c r="N962" s="122" t="str">
        <f t="shared" si="342"/>
        <v/>
      </c>
      <c r="O962" s="35" t="str">
        <f t="shared" si="343"/>
        <v/>
      </c>
      <c r="P962" s="124"/>
      <c r="Q962" s="36" t="str">
        <f t="shared" si="355"/>
        <v/>
      </c>
      <c r="R962" s="46" t="str">
        <f t="shared" si="344"/>
        <v/>
      </c>
      <c r="S962" s="38" t="str">
        <f t="shared" si="345"/>
        <v/>
      </c>
      <c r="T962" s="39" t="str">
        <f t="shared" si="346"/>
        <v/>
      </c>
      <c r="U962" s="40" t="str">
        <f t="shared" si="347"/>
        <v/>
      </c>
      <c r="V962" s="39" t="str">
        <f t="shared" si="348"/>
        <v/>
      </c>
      <c r="W962" s="34" t="str">
        <f t="shared" si="349"/>
        <v/>
      </c>
      <c r="X962" s="41" t="str">
        <f t="shared" si="356"/>
        <v/>
      </c>
      <c r="Y962" s="98" t="str">
        <f t="shared" si="350"/>
        <v/>
      </c>
      <c r="Z962" s="16" t="str">
        <f t="shared" si="357"/>
        <v/>
      </c>
      <c r="AB962" s="139"/>
      <c r="AC962" s="146" t="str">
        <f t="shared" si="360"/>
        <v/>
      </c>
      <c r="AD962" s="148" t="str">
        <f t="shared" si="358"/>
        <v/>
      </c>
      <c r="AE962" s="147" t="str">
        <f t="shared" si="351"/>
        <v/>
      </c>
      <c r="AF962" s="111" t="str">
        <f t="shared" si="352"/>
        <v/>
      </c>
      <c r="AG962" s="111" t="str">
        <f t="shared" si="353"/>
        <v/>
      </c>
      <c r="AH962" s="112" t="str">
        <f t="shared" si="354"/>
        <v/>
      </c>
      <c r="AI962" t="str">
        <f t="shared" si="359"/>
        <v/>
      </c>
      <c r="AJ962" t="str">
        <f t="shared" si="361"/>
        <v/>
      </c>
    </row>
    <row r="963" spans="1:36" ht="15" customHeight="1" x14ac:dyDescent="0.25">
      <c r="A963" s="114"/>
      <c r="B963" s="116"/>
      <c r="C963" s="116"/>
      <c r="D963" s="42" t="str">
        <f t="shared" si="338"/>
        <v/>
      </c>
      <c r="E963" s="43"/>
      <c r="F963" s="118"/>
      <c r="G963" s="44" t="str">
        <f t="shared" si="339"/>
        <v/>
      </c>
      <c r="H963" s="118"/>
      <c r="I963" s="34" t="str">
        <f t="shared" si="340"/>
        <v/>
      </c>
      <c r="J963" s="118"/>
      <c r="K963" s="34" t="str">
        <f t="shared" si="341"/>
        <v/>
      </c>
      <c r="L963" s="118"/>
      <c r="M963" s="121"/>
      <c r="N963" s="122" t="str">
        <f t="shared" si="342"/>
        <v/>
      </c>
      <c r="O963" s="35" t="str">
        <f t="shared" si="343"/>
        <v/>
      </c>
      <c r="P963" s="124"/>
      <c r="Q963" s="36" t="str">
        <f t="shared" si="355"/>
        <v/>
      </c>
      <c r="R963" s="46" t="str">
        <f t="shared" si="344"/>
        <v/>
      </c>
      <c r="S963" s="38" t="str">
        <f t="shared" si="345"/>
        <v/>
      </c>
      <c r="T963" s="39" t="str">
        <f t="shared" si="346"/>
        <v/>
      </c>
      <c r="U963" s="40" t="str">
        <f t="shared" si="347"/>
        <v/>
      </c>
      <c r="V963" s="39" t="str">
        <f t="shared" si="348"/>
        <v/>
      </c>
      <c r="W963" s="34" t="str">
        <f t="shared" si="349"/>
        <v/>
      </c>
      <c r="X963" s="41" t="str">
        <f t="shared" si="356"/>
        <v/>
      </c>
      <c r="Y963" s="98" t="str">
        <f t="shared" si="350"/>
        <v/>
      </c>
      <c r="Z963" s="16" t="str">
        <f t="shared" si="357"/>
        <v/>
      </c>
      <c r="AB963" s="139"/>
      <c r="AC963" s="146" t="str">
        <f t="shared" si="360"/>
        <v/>
      </c>
      <c r="AD963" s="148" t="str">
        <f t="shared" si="358"/>
        <v/>
      </c>
      <c r="AE963" s="147" t="str">
        <f t="shared" si="351"/>
        <v/>
      </c>
      <c r="AF963" s="111" t="str">
        <f t="shared" si="352"/>
        <v/>
      </c>
      <c r="AG963" s="111" t="str">
        <f t="shared" si="353"/>
        <v/>
      </c>
      <c r="AH963" s="112" t="str">
        <f t="shared" si="354"/>
        <v/>
      </c>
      <c r="AI963" t="str">
        <f t="shared" si="359"/>
        <v/>
      </c>
      <c r="AJ963" t="str">
        <f t="shared" si="361"/>
        <v/>
      </c>
    </row>
    <row r="964" spans="1:36" ht="15" customHeight="1" x14ac:dyDescent="0.25">
      <c r="A964" s="114"/>
      <c r="B964" s="116"/>
      <c r="C964" s="116"/>
      <c r="D964" s="42" t="str">
        <f t="shared" si="338"/>
        <v/>
      </c>
      <c r="E964" s="43"/>
      <c r="F964" s="118"/>
      <c r="G964" s="44" t="str">
        <f t="shared" si="339"/>
        <v/>
      </c>
      <c r="H964" s="118"/>
      <c r="I964" s="34" t="str">
        <f t="shared" si="340"/>
        <v/>
      </c>
      <c r="J964" s="118"/>
      <c r="K964" s="34" t="str">
        <f t="shared" si="341"/>
        <v/>
      </c>
      <c r="L964" s="118"/>
      <c r="M964" s="121"/>
      <c r="N964" s="122" t="str">
        <f t="shared" si="342"/>
        <v/>
      </c>
      <c r="O964" s="35" t="str">
        <f t="shared" si="343"/>
        <v/>
      </c>
      <c r="P964" s="124"/>
      <c r="Q964" s="36" t="str">
        <f t="shared" si="355"/>
        <v/>
      </c>
      <c r="R964" s="46" t="str">
        <f t="shared" si="344"/>
        <v/>
      </c>
      <c r="S964" s="38" t="str">
        <f t="shared" si="345"/>
        <v/>
      </c>
      <c r="T964" s="39" t="str">
        <f t="shared" si="346"/>
        <v/>
      </c>
      <c r="U964" s="40" t="str">
        <f t="shared" si="347"/>
        <v/>
      </c>
      <c r="V964" s="39" t="str">
        <f t="shared" si="348"/>
        <v/>
      </c>
      <c r="W964" s="34" t="str">
        <f t="shared" si="349"/>
        <v/>
      </c>
      <c r="X964" s="41" t="str">
        <f t="shared" si="356"/>
        <v/>
      </c>
      <c r="Y964" s="98" t="str">
        <f t="shared" si="350"/>
        <v/>
      </c>
      <c r="Z964" s="16" t="str">
        <f t="shared" si="357"/>
        <v/>
      </c>
      <c r="AB964" s="139"/>
      <c r="AC964" s="146" t="str">
        <f t="shared" si="360"/>
        <v/>
      </c>
      <c r="AD964" s="148" t="str">
        <f t="shared" si="358"/>
        <v/>
      </c>
      <c r="AE964" s="147" t="str">
        <f t="shared" si="351"/>
        <v/>
      </c>
      <c r="AF964" s="111" t="str">
        <f t="shared" si="352"/>
        <v/>
      </c>
      <c r="AG964" s="111" t="str">
        <f t="shared" si="353"/>
        <v/>
      </c>
      <c r="AH964" s="112" t="str">
        <f t="shared" si="354"/>
        <v/>
      </c>
      <c r="AI964" t="str">
        <f t="shared" si="359"/>
        <v/>
      </c>
      <c r="AJ964" t="str">
        <f t="shared" si="361"/>
        <v/>
      </c>
    </row>
    <row r="965" spans="1:36" ht="15" customHeight="1" x14ac:dyDescent="0.25">
      <c r="A965" s="114"/>
      <c r="B965" s="116"/>
      <c r="C965" s="116"/>
      <c r="D965" s="42" t="str">
        <f t="shared" si="338"/>
        <v/>
      </c>
      <c r="E965" s="43"/>
      <c r="F965" s="118"/>
      <c r="G965" s="44" t="str">
        <f t="shared" si="339"/>
        <v/>
      </c>
      <c r="H965" s="118"/>
      <c r="I965" s="34" t="str">
        <f t="shared" si="340"/>
        <v/>
      </c>
      <c r="J965" s="118"/>
      <c r="K965" s="34" t="str">
        <f t="shared" si="341"/>
        <v/>
      </c>
      <c r="L965" s="118"/>
      <c r="M965" s="121"/>
      <c r="N965" s="122" t="str">
        <f t="shared" si="342"/>
        <v/>
      </c>
      <c r="O965" s="35" t="str">
        <f t="shared" si="343"/>
        <v/>
      </c>
      <c r="P965" s="124"/>
      <c r="Q965" s="36" t="str">
        <f t="shared" si="355"/>
        <v/>
      </c>
      <c r="R965" s="46" t="str">
        <f t="shared" si="344"/>
        <v/>
      </c>
      <c r="S965" s="38" t="str">
        <f t="shared" si="345"/>
        <v/>
      </c>
      <c r="T965" s="39" t="str">
        <f t="shared" si="346"/>
        <v/>
      </c>
      <c r="U965" s="40" t="str">
        <f t="shared" si="347"/>
        <v/>
      </c>
      <c r="V965" s="39" t="str">
        <f t="shared" si="348"/>
        <v/>
      </c>
      <c r="W965" s="34" t="str">
        <f t="shared" si="349"/>
        <v/>
      </c>
      <c r="X965" s="41" t="str">
        <f t="shared" si="356"/>
        <v/>
      </c>
      <c r="Y965" s="98" t="str">
        <f t="shared" si="350"/>
        <v/>
      </c>
      <c r="Z965" s="16" t="str">
        <f t="shared" si="357"/>
        <v/>
      </c>
      <c r="AB965" s="139"/>
      <c r="AC965" s="146" t="str">
        <f t="shared" si="360"/>
        <v/>
      </c>
      <c r="AD965" s="148" t="str">
        <f t="shared" si="358"/>
        <v/>
      </c>
      <c r="AE965" s="147" t="str">
        <f t="shared" si="351"/>
        <v/>
      </c>
      <c r="AF965" s="111" t="str">
        <f t="shared" si="352"/>
        <v/>
      </c>
      <c r="AG965" s="111" t="str">
        <f t="shared" si="353"/>
        <v/>
      </c>
      <c r="AH965" s="112" t="str">
        <f t="shared" si="354"/>
        <v/>
      </c>
      <c r="AI965" t="str">
        <f t="shared" si="359"/>
        <v/>
      </c>
      <c r="AJ965" t="str">
        <f t="shared" si="361"/>
        <v/>
      </c>
    </row>
    <row r="966" spans="1:36" ht="15" customHeight="1" x14ac:dyDescent="0.25">
      <c r="A966" s="114"/>
      <c r="B966" s="116"/>
      <c r="C966" s="116"/>
      <c r="D966" s="42" t="str">
        <f t="shared" si="338"/>
        <v/>
      </c>
      <c r="E966" s="43"/>
      <c r="F966" s="118"/>
      <c r="G966" s="44" t="str">
        <f t="shared" si="339"/>
        <v/>
      </c>
      <c r="H966" s="118"/>
      <c r="I966" s="34" t="str">
        <f t="shared" si="340"/>
        <v/>
      </c>
      <c r="J966" s="118"/>
      <c r="K966" s="34" t="str">
        <f t="shared" si="341"/>
        <v/>
      </c>
      <c r="L966" s="118"/>
      <c r="M966" s="121"/>
      <c r="N966" s="122" t="str">
        <f t="shared" si="342"/>
        <v/>
      </c>
      <c r="O966" s="35" t="str">
        <f t="shared" si="343"/>
        <v/>
      </c>
      <c r="P966" s="124"/>
      <c r="Q966" s="36" t="str">
        <f t="shared" si="355"/>
        <v/>
      </c>
      <c r="R966" s="46" t="str">
        <f t="shared" si="344"/>
        <v/>
      </c>
      <c r="S966" s="38" t="str">
        <f t="shared" si="345"/>
        <v/>
      </c>
      <c r="T966" s="39" t="str">
        <f t="shared" si="346"/>
        <v/>
      </c>
      <c r="U966" s="40" t="str">
        <f t="shared" si="347"/>
        <v/>
      </c>
      <c r="V966" s="39" t="str">
        <f t="shared" si="348"/>
        <v/>
      </c>
      <c r="W966" s="34" t="str">
        <f t="shared" si="349"/>
        <v/>
      </c>
      <c r="X966" s="41" t="str">
        <f t="shared" si="356"/>
        <v/>
      </c>
      <c r="Y966" s="98" t="str">
        <f t="shared" si="350"/>
        <v/>
      </c>
      <c r="Z966" s="16" t="str">
        <f t="shared" si="357"/>
        <v/>
      </c>
      <c r="AB966" s="139"/>
      <c r="AC966" s="146" t="str">
        <f t="shared" si="360"/>
        <v/>
      </c>
      <c r="AD966" s="148" t="str">
        <f t="shared" si="358"/>
        <v/>
      </c>
      <c r="AE966" s="147" t="str">
        <f t="shared" si="351"/>
        <v/>
      </c>
      <c r="AF966" s="111" t="str">
        <f t="shared" si="352"/>
        <v/>
      </c>
      <c r="AG966" s="111" t="str">
        <f t="shared" si="353"/>
        <v/>
      </c>
      <c r="AH966" s="112" t="str">
        <f t="shared" si="354"/>
        <v/>
      </c>
      <c r="AI966" t="str">
        <f t="shared" si="359"/>
        <v/>
      </c>
      <c r="AJ966" t="str">
        <f t="shared" si="361"/>
        <v/>
      </c>
    </row>
    <row r="967" spans="1:36" ht="15" customHeight="1" x14ac:dyDescent="0.25">
      <c r="A967" s="114"/>
      <c r="B967" s="116"/>
      <c r="C967" s="116"/>
      <c r="D967" s="42" t="str">
        <f t="shared" si="338"/>
        <v/>
      </c>
      <c r="E967" s="43"/>
      <c r="F967" s="118"/>
      <c r="G967" s="44" t="str">
        <f t="shared" si="339"/>
        <v/>
      </c>
      <c r="H967" s="118"/>
      <c r="I967" s="34" t="str">
        <f t="shared" si="340"/>
        <v/>
      </c>
      <c r="J967" s="118"/>
      <c r="K967" s="34" t="str">
        <f t="shared" si="341"/>
        <v/>
      </c>
      <c r="L967" s="118"/>
      <c r="M967" s="121"/>
      <c r="N967" s="122" t="str">
        <f t="shared" si="342"/>
        <v/>
      </c>
      <c r="O967" s="35" t="str">
        <f t="shared" si="343"/>
        <v/>
      </c>
      <c r="P967" s="124"/>
      <c r="Q967" s="36" t="str">
        <f t="shared" si="355"/>
        <v/>
      </c>
      <c r="R967" s="46" t="str">
        <f t="shared" si="344"/>
        <v/>
      </c>
      <c r="S967" s="38" t="str">
        <f t="shared" si="345"/>
        <v/>
      </c>
      <c r="T967" s="39" t="str">
        <f t="shared" si="346"/>
        <v/>
      </c>
      <c r="U967" s="40" t="str">
        <f t="shared" si="347"/>
        <v/>
      </c>
      <c r="V967" s="39" t="str">
        <f t="shared" si="348"/>
        <v/>
      </c>
      <c r="W967" s="34" t="str">
        <f t="shared" si="349"/>
        <v/>
      </c>
      <c r="X967" s="41" t="str">
        <f t="shared" si="356"/>
        <v/>
      </c>
      <c r="Y967" s="98" t="str">
        <f t="shared" si="350"/>
        <v/>
      </c>
      <c r="Z967" s="16" t="str">
        <f t="shared" si="357"/>
        <v/>
      </c>
      <c r="AB967" s="139"/>
      <c r="AC967" s="146" t="str">
        <f t="shared" si="360"/>
        <v/>
      </c>
      <c r="AD967" s="148" t="str">
        <f t="shared" si="358"/>
        <v/>
      </c>
      <c r="AE967" s="147" t="str">
        <f t="shared" si="351"/>
        <v/>
      </c>
      <c r="AF967" s="111" t="str">
        <f t="shared" si="352"/>
        <v/>
      </c>
      <c r="AG967" s="111" t="str">
        <f t="shared" si="353"/>
        <v/>
      </c>
      <c r="AH967" s="112" t="str">
        <f t="shared" si="354"/>
        <v/>
      </c>
      <c r="AI967" t="str">
        <f t="shared" si="359"/>
        <v/>
      </c>
      <c r="AJ967" t="str">
        <f t="shared" si="361"/>
        <v/>
      </c>
    </row>
    <row r="968" spans="1:36" ht="15" customHeight="1" x14ac:dyDescent="0.25">
      <c r="A968" s="114"/>
      <c r="B968" s="116"/>
      <c r="C968" s="116"/>
      <c r="D968" s="42" t="str">
        <f t="shared" ref="D968:D1007" si="362">IF(A968="","",B968*C968)</f>
        <v/>
      </c>
      <c r="E968" s="43"/>
      <c r="F968" s="118"/>
      <c r="G968" s="44" t="str">
        <f t="shared" ref="G968:G1007" si="363">IF(A968="","",F968*B968)</f>
        <v/>
      </c>
      <c r="H968" s="118"/>
      <c r="I968" s="34" t="str">
        <f t="shared" ref="I968:I1007" si="364">IF(OR(H968=0,C968=0,H968="",C968=""),"",H968/C968)</f>
        <v/>
      </c>
      <c r="J968" s="118"/>
      <c r="K968" s="34" t="str">
        <f t="shared" ref="K968:K1007" si="365">IF(OR(J968=0,C968=0,J968="",C968=""),"",J968/C968)</f>
        <v/>
      </c>
      <c r="L968" s="118"/>
      <c r="M968" s="121"/>
      <c r="N968" s="122" t="str">
        <f t="shared" ref="N968:N1007" si="366">IF(A968="","",IF(P968&gt;0,IF(G968&gt;0,P968/G968,0),IF(E968&gt;0,0,IF($I$3&gt;0,IF($I$4&gt;0,MAX($I$3-SUM($P$8:$P$1007),0)/$I$4,0),$I$2))))</f>
        <v/>
      </c>
      <c r="O968" s="35" t="str">
        <f t="shared" ref="O968:O1007" si="367">IF(A968="","",IF(P968&gt;0,P968,IF(E968&gt;0,0,G968*IF($I$3&gt;0,IF($I$4&gt;0,MAX($I$3-SUM($P$8:$P$1007),0)/$I$4,0),$I$2))))</f>
        <v/>
      </c>
      <c r="P968" s="124"/>
      <c r="Q968" s="36" t="str">
        <f t="shared" si="355"/>
        <v/>
      </c>
      <c r="R968" s="46" t="str">
        <f t="shared" ref="R968:R1007" si="368">IF(OR(A968="",Q968=""),"",Q968*C968)</f>
        <v/>
      </c>
      <c r="S968" s="38" t="str">
        <f t="shared" ref="S968:S1007" si="369">IF(OR(A968="",H968&lt;=0,R968=""),"",(H968-R968)/H968)</f>
        <v/>
      </c>
      <c r="T968" s="39" t="str">
        <f t="shared" ref="T968:T1007" si="370">IF(OR(H968=0,R968=0,H968="",R968=""),"",H968-R968)</f>
        <v/>
      </c>
      <c r="U968" s="40" t="str">
        <f t="shared" ref="U968:U1007" si="371">IF(OR(A968="",J968&lt;=0,R968=""),"",(J968-R968)/J968)</f>
        <v/>
      </c>
      <c r="V968" s="39" t="str">
        <f t="shared" ref="V968:V1007" si="372">IF(OR(J968=0,R968=0,J968="",R968=""),"",J968-R968)</f>
        <v/>
      </c>
      <c r="W968" s="34" t="str">
        <f t="shared" ref="W968:W1007" si="373">IF(OR(G968="",G968=0,$M$5="",$K$3=0),"",($M$5/$K$3)*G968)</f>
        <v/>
      </c>
      <c r="X968" s="41" t="str">
        <f t="shared" si="356"/>
        <v/>
      </c>
      <c r="Y968" s="98" t="str">
        <f t="shared" ref="Y968:Y1007" si="374">IF(OR(Q968=0,Q968="",D968=0,D968=""),"",Q968*(D968+E968))</f>
        <v/>
      </c>
      <c r="Z968" s="16" t="str">
        <f t="shared" si="357"/>
        <v/>
      </c>
      <c r="AB968" s="139"/>
      <c r="AC968" s="146" t="str">
        <f t="shared" si="360"/>
        <v/>
      </c>
      <c r="AD968" s="148" t="str">
        <f t="shared" si="358"/>
        <v/>
      </c>
      <c r="AE968" s="147" t="str">
        <f t="shared" ref="AE968:AE1007" si="375">IF(AD968="","",AD968*$AC$1+IF(SUM($AD$8:$AD$1007)=0,0,$AC$2*AD968/SUM($AD$8:$AD$1007)))</f>
        <v/>
      </c>
      <c r="AF968" s="111" t="str">
        <f t="shared" ref="AF968:AF1007" si="376">IF(AD968="","",AD968-AE968)</f>
        <v/>
      </c>
      <c r="AG968" s="111" t="str">
        <f t="shared" ref="AG968:AG1007" si="377">IF(AF968="","",AH968-AF968)</f>
        <v/>
      </c>
      <c r="AH968" s="112" t="str">
        <f t="shared" si="354"/>
        <v/>
      </c>
      <c r="AI968" t="str">
        <f t="shared" si="359"/>
        <v/>
      </c>
      <c r="AJ968" t="str">
        <f t="shared" si="361"/>
        <v/>
      </c>
    </row>
    <row r="969" spans="1:36" ht="15" customHeight="1" x14ac:dyDescent="0.25">
      <c r="A969" s="114"/>
      <c r="B969" s="116"/>
      <c r="C969" s="116"/>
      <c r="D969" s="42" t="str">
        <f t="shared" si="362"/>
        <v/>
      </c>
      <c r="E969" s="43"/>
      <c r="F969" s="118"/>
      <c r="G969" s="44" t="str">
        <f t="shared" si="363"/>
        <v/>
      </c>
      <c r="H969" s="118"/>
      <c r="I969" s="34" t="str">
        <f t="shared" si="364"/>
        <v/>
      </c>
      <c r="J969" s="118"/>
      <c r="K969" s="34" t="str">
        <f t="shared" si="365"/>
        <v/>
      </c>
      <c r="L969" s="118"/>
      <c r="M969" s="121"/>
      <c r="N969" s="122" t="str">
        <f t="shared" si="366"/>
        <v/>
      </c>
      <c r="O969" s="35" t="str">
        <f t="shared" si="367"/>
        <v/>
      </c>
      <c r="P969" s="124"/>
      <c r="Q969" s="36" t="str">
        <f t="shared" ref="Q969:Q1007" si="378">IF(A969="","",IF(OR(B969=0,B969="",C969&lt;=0,D969+E969&lt;=0),"",(G969-O969)/(D969+E969)-IF(W969&gt;=0,W969/D969,0)+IF(ISNUMBER(X969),X969/(D969+E969),0)))</f>
        <v/>
      </c>
      <c r="R969" s="46" t="str">
        <f t="shared" si="368"/>
        <v/>
      </c>
      <c r="S969" s="38" t="str">
        <f t="shared" si="369"/>
        <v/>
      </c>
      <c r="T969" s="39" t="str">
        <f t="shared" si="370"/>
        <v/>
      </c>
      <c r="U969" s="40" t="str">
        <f t="shared" si="371"/>
        <v/>
      </c>
      <c r="V969" s="39" t="str">
        <f t="shared" si="372"/>
        <v/>
      </c>
      <c r="W969" s="34" t="str">
        <f t="shared" si="373"/>
        <v/>
      </c>
      <c r="X969" s="41" t="str">
        <f t="shared" ref="X969:X1007" si="379">IF(OR(G969="",G969=0,($K$3-$K$2)=0),"",($I$1/($K$3-$K$2))*(G969-O969))</f>
        <v/>
      </c>
      <c r="Y969" s="98" t="str">
        <f t="shared" si="374"/>
        <v/>
      </c>
      <c r="Z969" s="16" t="str">
        <f t="shared" ref="Z969:Z1007" si="380">IF(OR(B969=0,B969=""),"",G969)</f>
        <v/>
      </c>
      <c r="AB969" s="139"/>
      <c r="AC969" s="146" t="str">
        <f t="shared" si="360"/>
        <v/>
      </c>
      <c r="AD969" s="148" t="str">
        <f t="shared" ref="AD969:AD1007" si="381">IF(OR(AB969="",AC969=""),"",AB969*AC969)</f>
        <v/>
      </c>
      <c r="AE969" s="147" t="str">
        <f t="shared" si="375"/>
        <v/>
      </c>
      <c r="AF969" s="111" t="str">
        <f t="shared" si="376"/>
        <v/>
      </c>
      <c r="AG969" s="111" t="str">
        <f t="shared" si="377"/>
        <v/>
      </c>
      <c r="AH969" s="112" t="str">
        <f t="shared" ref="AH969:AH1007" si="382">IF(AF969="","",ROUND(AF969,0))</f>
        <v/>
      </c>
      <c r="AI969" t="str">
        <f t="shared" ref="AI969:AI1007" si="383">IF(OR(AB969=0,AB969=""),"",AE969/AB969)</f>
        <v/>
      </c>
      <c r="AJ969" t="str">
        <f t="shared" si="361"/>
        <v/>
      </c>
    </row>
    <row r="970" spans="1:36" ht="15" customHeight="1" x14ac:dyDescent="0.25">
      <c r="A970" s="114"/>
      <c r="B970" s="116"/>
      <c r="C970" s="116"/>
      <c r="D970" s="42" t="str">
        <f t="shared" si="362"/>
        <v/>
      </c>
      <c r="E970" s="43"/>
      <c r="F970" s="118"/>
      <c r="G970" s="44" t="str">
        <f t="shared" si="363"/>
        <v/>
      </c>
      <c r="H970" s="118"/>
      <c r="I970" s="34" t="str">
        <f t="shared" si="364"/>
        <v/>
      </c>
      <c r="J970" s="118"/>
      <c r="K970" s="34" t="str">
        <f t="shared" si="365"/>
        <v/>
      </c>
      <c r="L970" s="118"/>
      <c r="M970" s="121"/>
      <c r="N970" s="122" t="str">
        <f t="shared" si="366"/>
        <v/>
      </c>
      <c r="O970" s="35" t="str">
        <f t="shared" si="367"/>
        <v/>
      </c>
      <c r="P970" s="124"/>
      <c r="Q970" s="36" t="str">
        <f t="shared" si="378"/>
        <v/>
      </c>
      <c r="R970" s="46" t="str">
        <f t="shared" si="368"/>
        <v/>
      </c>
      <c r="S970" s="38" t="str">
        <f t="shared" si="369"/>
        <v/>
      </c>
      <c r="T970" s="39" t="str">
        <f t="shared" si="370"/>
        <v/>
      </c>
      <c r="U970" s="40" t="str">
        <f t="shared" si="371"/>
        <v/>
      </c>
      <c r="V970" s="39" t="str">
        <f t="shared" si="372"/>
        <v/>
      </c>
      <c r="W970" s="34" t="str">
        <f t="shared" si="373"/>
        <v/>
      </c>
      <c r="X970" s="41" t="str">
        <f t="shared" si="379"/>
        <v/>
      </c>
      <c r="Y970" s="98" t="str">
        <f t="shared" si="374"/>
        <v/>
      </c>
      <c r="Z970" s="16" t="str">
        <f t="shared" si="380"/>
        <v/>
      </c>
      <c r="AB970" s="139"/>
      <c r="AC970" s="146" t="str">
        <f t="shared" si="360"/>
        <v/>
      </c>
      <c r="AD970" s="148" t="str">
        <f t="shared" si="381"/>
        <v/>
      </c>
      <c r="AE970" s="147" t="str">
        <f t="shared" si="375"/>
        <v/>
      </c>
      <c r="AF970" s="111" t="str">
        <f t="shared" si="376"/>
        <v/>
      </c>
      <c r="AG970" s="111" t="str">
        <f t="shared" si="377"/>
        <v/>
      </c>
      <c r="AH970" s="112" t="str">
        <f t="shared" si="382"/>
        <v/>
      </c>
      <c r="AI970" t="str">
        <f t="shared" si="383"/>
        <v/>
      </c>
      <c r="AJ970" t="str">
        <f t="shared" si="361"/>
        <v/>
      </c>
    </row>
    <row r="971" spans="1:36" ht="15" customHeight="1" x14ac:dyDescent="0.25">
      <c r="A971" s="114"/>
      <c r="B971" s="116"/>
      <c r="C971" s="116"/>
      <c r="D971" s="42" t="str">
        <f t="shared" si="362"/>
        <v/>
      </c>
      <c r="E971" s="43"/>
      <c r="F971" s="118"/>
      <c r="G971" s="44" t="str">
        <f t="shared" si="363"/>
        <v/>
      </c>
      <c r="H971" s="118"/>
      <c r="I971" s="34" t="str">
        <f t="shared" si="364"/>
        <v/>
      </c>
      <c r="J971" s="118"/>
      <c r="K971" s="34" t="str">
        <f t="shared" si="365"/>
        <v/>
      </c>
      <c r="L971" s="118"/>
      <c r="M971" s="121"/>
      <c r="N971" s="122" t="str">
        <f t="shared" si="366"/>
        <v/>
      </c>
      <c r="O971" s="35" t="str">
        <f t="shared" si="367"/>
        <v/>
      </c>
      <c r="P971" s="124"/>
      <c r="Q971" s="36" t="str">
        <f t="shared" si="378"/>
        <v/>
      </c>
      <c r="R971" s="46" t="str">
        <f t="shared" si="368"/>
        <v/>
      </c>
      <c r="S971" s="38" t="str">
        <f t="shared" si="369"/>
        <v/>
      </c>
      <c r="T971" s="39" t="str">
        <f t="shared" si="370"/>
        <v/>
      </c>
      <c r="U971" s="40" t="str">
        <f t="shared" si="371"/>
        <v/>
      </c>
      <c r="V971" s="39" t="str">
        <f t="shared" si="372"/>
        <v/>
      </c>
      <c r="W971" s="34" t="str">
        <f t="shared" si="373"/>
        <v/>
      </c>
      <c r="X971" s="41" t="str">
        <f t="shared" si="379"/>
        <v/>
      </c>
      <c r="Y971" s="98" t="str">
        <f t="shared" si="374"/>
        <v/>
      </c>
      <c r="Z971" s="16" t="str">
        <f t="shared" si="380"/>
        <v/>
      </c>
      <c r="AB971" s="139"/>
      <c r="AC971" s="146" t="str">
        <f t="shared" si="360"/>
        <v/>
      </c>
      <c r="AD971" s="148" t="str">
        <f t="shared" si="381"/>
        <v/>
      </c>
      <c r="AE971" s="147" t="str">
        <f t="shared" si="375"/>
        <v/>
      </c>
      <c r="AF971" s="111" t="str">
        <f t="shared" si="376"/>
        <v/>
      </c>
      <c r="AG971" s="111" t="str">
        <f t="shared" si="377"/>
        <v/>
      </c>
      <c r="AH971" s="112" t="str">
        <f t="shared" si="382"/>
        <v/>
      </c>
      <c r="AI971" t="str">
        <f t="shared" si="383"/>
        <v/>
      </c>
      <c r="AJ971" t="str">
        <f t="shared" si="361"/>
        <v/>
      </c>
    </row>
    <row r="972" spans="1:36" ht="15" customHeight="1" x14ac:dyDescent="0.25">
      <c r="A972" s="114"/>
      <c r="B972" s="116"/>
      <c r="C972" s="116"/>
      <c r="D972" s="42" t="str">
        <f t="shared" si="362"/>
        <v/>
      </c>
      <c r="E972" s="43"/>
      <c r="F972" s="118"/>
      <c r="G972" s="44" t="str">
        <f t="shared" si="363"/>
        <v/>
      </c>
      <c r="H972" s="118"/>
      <c r="I972" s="34" t="str">
        <f t="shared" si="364"/>
        <v/>
      </c>
      <c r="J972" s="118"/>
      <c r="K972" s="34" t="str">
        <f t="shared" si="365"/>
        <v/>
      </c>
      <c r="L972" s="118"/>
      <c r="M972" s="121"/>
      <c r="N972" s="122" t="str">
        <f t="shared" si="366"/>
        <v/>
      </c>
      <c r="O972" s="35" t="str">
        <f t="shared" si="367"/>
        <v/>
      </c>
      <c r="P972" s="124"/>
      <c r="Q972" s="36" t="str">
        <f t="shared" si="378"/>
        <v/>
      </c>
      <c r="R972" s="46" t="str">
        <f t="shared" si="368"/>
        <v/>
      </c>
      <c r="S972" s="38" t="str">
        <f t="shared" si="369"/>
        <v/>
      </c>
      <c r="T972" s="39" t="str">
        <f t="shared" si="370"/>
        <v/>
      </c>
      <c r="U972" s="40" t="str">
        <f t="shared" si="371"/>
        <v/>
      </c>
      <c r="V972" s="39" t="str">
        <f t="shared" si="372"/>
        <v/>
      </c>
      <c r="W972" s="34" t="str">
        <f t="shared" si="373"/>
        <v/>
      </c>
      <c r="X972" s="41" t="str">
        <f t="shared" si="379"/>
        <v/>
      </c>
      <c r="Y972" s="98" t="str">
        <f t="shared" si="374"/>
        <v/>
      </c>
      <c r="Z972" s="16" t="str">
        <f t="shared" si="380"/>
        <v/>
      </c>
      <c r="AB972" s="139"/>
      <c r="AC972" s="146" t="str">
        <f t="shared" ref="AC972:AC1007" si="384">IF(AB972="","",Q972)</f>
        <v/>
      </c>
      <c r="AD972" s="148" t="str">
        <f t="shared" si="381"/>
        <v/>
      </c>
      <c r="AE972" s="147" t="str">
        <f t="shared" si="375"/>
        <v/>
      </c>
      <c r="AF972" s="111" t="str">
        <f t="shared" si="376"/>
        <v/>
      </c>
      <c r="AG972" s="111" t="str">
        <f t="shared" si="377"/>
        <v/>
      </c>
      <c r="AH972" s="112" t="str">
        <f t="shared" si="382"/>
        <v/>
      </c>
      <c r="AI972" t="str">
        <f t="shared" si="383"/>
        <v/>
      </c>
      <c r="AJ972" t="str">
        <f t="shared" ref="AJ972:AJ1007" si="385">IF(OR(AB972=0,AB972=""),"",AC972*C972)</f>
        <v/>
      </c>
    </row>
    <row r="973" spans="1:36" ht="15" customHeight="1" x14ac:dyDescent="0.25">
      <c r="A973" s="114"/>
      <c r="B973" s="116"/>
      <c r="C973" s="116"/>
      <c r="D973" s="42" t="str">
        <f t="shared" si="362"/>
        <v/>
      </c>
      <c r="E973" s="43"/>
      <c r="F973" s="118"/>
      <c r="G973" s="44" t="str">
        <f t="shared" si="363"/>
        <v/>
      </c>
      <c r="H973" s="118"/>
      <c r="I973" s="34" t="str">
        <f t="shared" si="364"/>
        <v/>
      </c>
      <c r="J973" s="118"/>
      <c r="K973" s="34" t="str">
        <f t="shared" si="365"/>
        <v/>
      </c>
      <c r="L973" s="118"/>
      <c r="M973" s="121"/>
      <c r="N973" s="122" t="str">
        <f t="shared" si="366"/>
        <v/>
      </c>
      <c r="O973" s="35" t="str">
        <f t="shared" si="367"/>
        <v/>
      </c>
      <c r="P973" s="124"/>
      <c r="Q973" s="36" t="str">
        <f t="shared" si="378"/>
        <v/>
      </c>
      <c r="R973" s="46" t="str">
        <f t="shared" si="368"/>
        <v/>
      </c>
      <c r="S973" s="38" t="str">
        <f t="shared" si="369"/>
        <v/>
      </c>
      <c r="T973" s="39" t="str">
        <f t="shared" si="370"/>
        <v/>
      </c>
      <c r="U973" s="40" t="str">
        <f t="shared" si="371"/>
        <v/>
      </c>
      <c r="V973" s="39" t="str">
        <f t="shared" si="372"/>
        <v/>
      </c>
      <c r="W973" s="34" t="str">
        <f t="shared" si="373"/>
        <v/>
      </c>
      <c r="X973" s="41" t="str">
        <f t="shared" si="379"/>
        <v/>
      </c>
      <c r="Y973" s="98" t="str">
        <f t="shared" si="374"/>
        <v/>
      </c>
      <c r="Z973" s="16" t="str">
        <f t="shared" si="380"/>
        <v/>
      </c>
      <c r="AB973" s="139"/>
      <c r="AC973" s="146" t="str">
        <f t="shared" si="384"/>
        <v/>
      </c>
      <c r="AD973" s="148" t="str">
        <f t="shared" si="381"/>
        <v/>
      </c>
      <c r="AE973" s="147" t="str">
        <f t="shared" si="375"/>
        <v/>
      </c>
      <c r="AF973" s="111" t="str">
        <f t="shared" si="376"/>
        <v/>
      </c>
      <c r="AG973" s="111" t="str">
        <f t="shared" si="377"/>
        <v/>
      </c>
      <c r="AH973" s="112" t="str">
        <f t="shared" si="382"/>
        <v/>
      </c>
      <c r="AI973" t="str">
        <f t="shared" si="383"/>
        <v/>
      </c>
      <c r="AJ973" t="str">
        <f t="shared" si="385"/>
        <v/>
      </c>
    </row>
    <row r="974" spans="1:36" ht="15" customHeight="1" x14ac:dyDescent="0.25">
      <c r="A974" s="114"/>
      <c r="B974" s="116"/>
      <c r="C974" s="116"/>
      <c r="D974" s="42" t="str">
        <f t="shared" si="362"/>
        <v/>
      </c>
      <c r="E974" s="43"/>
      <c r="F974" s="118"/>
      <c r="G974" s="44" t="str">
        <f t="shared" si="363"/>
        <v/>
      </c>
      <c r="H974" s="118"/>
      <c r="I974" s="34" t="str">
        <f t="shared" si="364"/>
        <v/>
      </c>
      <c r="J974" s="118"/>
      <c r="K974" s="34" t="str">
        <f t="shared" si="365"/>
        <v/>
      </c>
      <c r="L974" s="118"/>
      <c r="M974" s="121"/>
      <c r="N974" s="122" t="str">
        <f t="shared" si="366"/>
        <v/>
      </c>
      <c r="O974" s="35" t="str">
        <f t="shared" si="367"/>
        <v/>
      </c>
      <c r="P974" s="124"/>
      <c r="Q974" s="36" t="str">
        <f t="shared" si="378"/>
        <v/>
      </c>
      <c r="R974" s="46" t="str">
        <f t="shared" si="368"/>
        <v/>
      </c>
      <c r="S974" s="38" t="str">
        <f t="shared" si="369"/>
        <v/>
      </c>
      <c r="T974" s="39" t="str">
        <f t="shared" si="370"/>
        <v/>
      </c>
      <c r="U974" s="40" t="str">
        <f t="shared" si="371"/>
        <v/>
      </c>
      <c r="V974" s="39" t="str">
        <f t="shared" si="372"/>
        <v/>
      </c>
      <c r="W974" s="34" t="str">
        <f t="shared" si="373"/>
        <v/>
      </c>
      <c r="X974" s="41" t="str">
        <f t="shared" si="379"/>
        <v/>
      </c>
      <c r="Y974" s="98" t="str">
        <f t="shared" si="374"/>
        <v/>
      </c>
      <c r="Z974" s="16" t="str">
        <f t="shared" si="380"/>
        <v/>
      </c>
      <c r="AB974" s="139"/>
      <c r="AC974" s="146" t="str">
        <f t="shared" si="384"/>
        <v/>
      </c>
      <c r="AD974" s="148" t="str">
        <f t="shared" si="381"/>
        <v/>
      </c>
      <c r="AE974" s="147" t="str">
        <f t="shared" si="375"/>
        <v/>
      </c>
      <c r="AF974" s="111" t="str">
        <f t="shared" si="376"/>
        <v/>
      </c>
      <c r="AG974" s="111" t="str">
        <f t="shared" si="377"/>
        <v/>
      </c>
      <c r="AH974" s="112" t="str">
        <f t="shared" si="382"/>
        <v/>
      </c>
      <c r="AI974" t="str">
        <f t="shared" si="383"/>
        <v/>
      </c>
      <c r="AJ974" t="str">
        <f t="shared" si="385"/>
        <v/>
      </c>
    </row>
    <row r="975" spans="1:36" ht="15" customHeight="1" x14ac:dyDescent="0.25">
      <c r="A975" s="114"/>
      <c r="B975" s="116"/>
      <c r="C975" s="116"/>
      <c r="D975" s="42" t="str">
        <f t="shared" si="362"/>
        <v/>
      </c>
      <c r="E975" s="43"/>
      <c r="F975" s="118"/>
      <c r="G975" s="44" t="str">
        <f t="shared" si="363"/>
        <v/>
      </c>
      <c r="H975" s="118"/>
      <c r="I975" s="34" t="str">
        <f t="shared" si="364"/>
        <v/>
      </c>
      <c r="J975" s="118"/>
      <c r="K975" s="34" t="str">
        <f t="shared" si="365"/>
        <v/>
      </c>
      <c r="L975" s="118"/>
      <c r="M975" s="121"/>
      <c r="N975" s="122" t="str">
        <f t="shared" si="366"/>
        <v/>
      </c>
      <c r="O975" s="35" t="str">
        <f t="shared" si="367"/>
        <v/>
      </c>
      <c r="P975" s="124"/>
      <c r="Q975" s="36" t="str">
        <f t="shared" si="378"/>
        <v/>
      </c>
      <c r="R975" s="46" t="str">
        <f t="shared" si="368"/>
        <v/>
      </c>
      <c r="S975" s="38" t="str">
        <f t="shared" si="369"/>
        <v/>
      </c>
      <c r="T975" s="39" t="str">
        <f t="shared" si="370"/>
        <v/>
      </c>
      <c r="U975" s="40" t="str">
        <f t="shared" si="371"/>
        <v/>
      </c>
      <c r="V975" s="39" t="str">
        <f t="shared" si="372"/>
        <v/>
      </c>
      <c r="W975" s="34" t="str">
        <f t="shared" si="373"/>
        <v/>
      </c>
      <c r="X975" s="41" t="str">
        <f t="shared" si="379"/>
        <v/>
      </c>
      <c r="Y975" s="98" t="str">
        <f t="shared" si="374"/>
        <v/>
      </c>
      <c r="Z975" s="16" t="str">
        <f t="shared" si="380"/>
        <v/>
      </c>
      <c r="AB975" s="139"/>
      <c r="AC975" s="146" t="str">
        <f t="shared" si="384"/>
        <v/>
      </c>
      <c r="AD975" s="148" t="str">
        <f t="shared" si="381"/>
        <v/>
      </c>
      <c r="AE975" s="147" t="str">
        <f t="shared" si="375"/>
        <v/>
      </c>
      <c r="AF975" s="111" t="str">
        <f t="shared" si="376"/>
        <v/>
      </c>
      <c r="AG975" s="111" t="str">
        <f t="shared" si="377"/>
        <v/>
      </c>
      <c r="AH975" s="112" t="str">
        <f t="shared" si="382"/>
        <v/>
      </c>
      <c r="AI975" t="str">
        <f t="shared" si="383"/>
        <v/>
      </c>
      <c r="AJ975" t="str">
        <f t="shared" si="385"/>
        <v/>
      </c>
    </row>
    <row r="976" spans="1:36" ht="15" customHeight="1" x14ac:dyDescent="0.25">
      <c r="A976" s="114"/>
      <c r="B976" s="116"/>
      <c r="C976" s="116"/>
      <c r="D976" s="42" t="str">
        <f t="shared" si="362"/>
        <v/>
      </c>
      <c r="E976" s="43"/>
      <c r="F976" s="118"/>
      <c r="G976" s="44" t="str">
        <f t="shared" si="363"/>
        <v/>
      </c>
      <c r="H976" s="118"/>
      <c r="I976" s="34" t="str">
        <f t="shared" si="364"/>
        <v/>
      </c>
      <c r="J976" s="118"/>
      <c r="K976" s="34" t="str">
        <f t="shared" si="365"/>
        <v/>
      </c>
      <c r="L976" s="118"/>
      <c r="M976" s="121"/>
      <c r="N976" s="122" t="str">
        <f t="shared" si="366"/>
        <v/>
      </c>
      <c r="O976" s="35" t="str">
        <f t="shared" si="367"/>
        <v/>
      </c>
      <c r="P976" s="124"/>
      <c r="Q976" s="36" t="str">
        <f t="shared" si="378"/>
        <v/>
      </c>
      <c r="R976" s="46" t="str">
        <f t="shared" si="368"/>
        <v/>
      </c>
      <c r="S976" s="38" t="str">
        <f t="shared" si="369"/>
        <v/>
      </c>
      <c r="T976" s="39" t="str">
        <f t="shared" si="370"/>
        <v/>
      </c>
      <c r="U976" s="40" t="str">
        <f t="shared" si="371"/>
        <v/>
      </c>
      <c r="V976" s="39" t="str">
        <f t="shared" si="372"/>
        <v/>
      </c>
      <c r="W976" s="34" t="str">
        <f t="shared" si="373"/>
        <v/>
      </c>
      <c r="X976" s="41" t="str">
        <f t="shared" si="379"/>
        <v/>
      </c>
      <c r="Y976" s="98" t="str">
        <f t="shared" si="374"/>
        <v/>
      </c>
      <c r="Z976" s="16" t="str">
        <f t="shared" si="380"/>
        <v/>
      </c>
      <c r="AB976" s="139"/>
      <c r="AC976" s="146" t="str">
        <f t="shared" si="384"/>
        <v/>
      </c>
      <c r="AD976" s="148" t="str">
        <f t="shared" si="381"/>
        <v/>
      </c>
      <c r="AE976" s="147" t="str">
        <f t="shared" si="375"/>
        <v/>
      </c>
      <c r="AF976" s="111" t="str">
        <f t="shared" si="376"/>
        <v/>
      </c>
      <c r="AG976" s="111" t="str">
        <f t="shared" si="377"/>
        <v/>
      </c>
      <c r="AH976" s="112" t="str">
        <f t="shared" si="382"/>
        <v/>
      </c>
      <c r="AI976" t="str">
        <f t="shared" si="383"/>
        <v/>
      </c>
      <c r="AJ976" t="str">
        <f t="shared" si="385"/>
        <v/>
      </c>
    </row>
    <row r="977" spans="1:36" ht="15" customHeight="1" x14ac:dyDescent="0.25">
      <c r="A977" s="114"/>
      <c r="B977" s="116"/>
      <c r="C977" s="116"/>
      <c r="D977" s="42" t="str">
        <f t="shared" si="362"/>
        <v/>
      </c>
      <c r="E977" s="43"/>
      <c r="F977" s="118"/>
      <c r="G977" s="44" t="str">
        <f t="shared" si="363"/>
        <v/>
      </c>
      <c r="H977" s="118"/>
      <c r="I977" s="34" t="str">
        <f t="shared" si="364"/>
        <v/>
      </c>
      <c r="J977" s="118"/>
      <c r="K977" s="34" t="str">
        <f t="shared" si="365"/>
        <v/>
      </c>
      <c r="L977" s="118"/>
      <c r="M977" s="121"/>
      <c r="N977" s="122" t="str">
        <f t="shared" si="366"/>
        <v/>
      </c>
      <c r="O977" s="35" t="str">
        <f t="shared" si="367"/>
        <v/>
      </c>
      <c r="P977" s="124"/>
      <c r="Q977" s="36" t="str">
        <f t="shared" si="378"/>
        <v/>
      </c>
      <c r="R977" s="46" t="str">
        <f t="shared" si="368"/>
        <v/>
      </c>
      <c r="S977" s="38" t="str">
        <f t="shared" si="369"/>
        <v/>
      </c>
      <c r="T977" s="39" t="str">
        <f t="shared" si="370"/>
        <v/>
      </c>
      <c r="U977" s="40" t="str">
        <f t="shared" si="371"/>
        <v/>
      </c>
      <c r="V977" s="39" t="str">
        <f t="shared" si="372"/>
        <v/>
      </c>
      <c r="W977" s="34" t="str">
        <f t="shared" si="373"/>
        <v/>
      </c>
      <c r="X977" s="41" t="str">
        <f t="shared" si="379"/>
        <v/>
      </c>
      <c r="Y977" s="98" t="str">
        <f t="shared" si="374"/>
        <v/>
      </c>
      <c r="Z977" s="16" t="str">
        <f t="shared" si="380"/>
        <v/>
      </c>
      <c r="AB977" s="139"/>
      <c r="AC977" s="146" t="str">
        <f t="shared" si="384"/>
        <v/>
      </c>
      <c r="AD977" s="148" t="str">
        <f t="shared" si="381"/>
        <v/>
      </c>
      <c r="AE977" s="147" t="str">
        <f t="shared" si="375"/>
        <v/>
      </c>
      <c r="AF977" s="111" t="str">
        <f t="shared" si="376"/>
        <v/>
      </c>
      <c r="AG977" s="111" t="str">
        <f t="shared" si="377"/>
        <v/>
      </c>
      <c r="AH977" s="112" t="str">
        <f t="shared" si="382"/>
        <v/>
      </c>
      <c r="AI977" t="str">
        <f t="shared" si="383"/>
        <v/>
      </c>
      <c r="AJ977" t="str">
        <f t="shared" si="385"/>
        <v/>
      </c>
    </row>
    <row r="978" spans="1:36" ht="15" customHeight="1" x14ac:dyDescent="0.25">
      <c r="A978" s="114"/>
      <c r="B978" s="116"/>
      <c r="C978" s="116"/>
      <c r="D978" s="42" t="str">
        <f t="shared" si="362"/>
        <v/>
      </c>
      <c r="E978" s="43"/>
      <c r="F978" s="118"/>
      <c r="G978" s="44" t="str">
        <f t="shared" si="363"/>
        <v/>
      </c>
      <c r="H978" s="118"/>
      <c r="I978" s="34" t="str">
        <f t="shared" si="364"/>
        <v/>
      </c>
      <c r="J978" s="118"/>
      <c r="K978" s="34" t="str">
        <f t="shared" si="365"/>
        <v/>
      </c>
      <c r="L978" s="118"/>
      <c r="M978" s="121"/>
      <c r="N978" s="122" t="str">
        <f t="shared" si="366"/>
        <v/>
      </c>
      <c r="O978" s="35" t="str">
        <f t="shared" si="367"/>
        <v/>
      </c>
      <c r="P978" s="124"/>
      <c r="Q978" s="36" t="str">
        <f t="shared" si="378"/>
        <v/>
      </c>
      <c r="R978" s="46" t="str">
        <f t="shared" si="368"/>
        <v/>
      </c>
      <c r="S978" s="38" t="str">
        <f t="shared" si="369"/>
        <v/>
      </c>
      <c r="T978" s="39" t="str">
        <f t="shared" si="370"/>
        <v/>
      </c>
      <c r="U978" s="40" t="str">
        <f t="shared" si="371"/>
        <v/>
      </c>
      <c r="V978" s="39" t="str">
        <f t="shared" si="372"/>
        <v/>
      </c>
      <c r="W978" s="34" t="str">
        <f t="shared" si="373"/>
        <v/>
      </c>
      <c r="X978" s="41" t="str">
        <f t="shared" si="379"/>
        <v/>
      </c>
      <c r="Y978" s="98" t="str">
        <f t="shared" si="374"/>
        <v/>
      </c>
      <c r="Z978" s="16" t="str">
        <f t="shared" si="380"/>
        <v/>
      </c>
      <c r="AB978" s="139"/>
      <c r="AC978" s="146" t="str">
        <f t="shared" si="384"/>
        <v/>
      </c>
      <c r="AD978" s="148" t="str">
        <f t="shared" si="381"/>
        <v/>
      </c>
      <c r="AE978" s="147" t="str">
        <f t="shared" si="375"/>
        <v/>
      </c>
      <c r="AF978" s="111" t="str">
        <f t="shared" si="376"/>
        <v/>
      </c>
      <c r="AG978" s="111" t="str">
        <f t="shared" si="377"/>
        <v/>
      </c>
      <c r="AH978" s="112" t="str">
        <f t="shared" si="382"/>
        <v/>
      </c>
      <c r="AI978" t="str">
        <f t="shared" si="383"/>
        <v/>
      </c>
      <c r="AJ978" t="str">
        <f t="shared" si="385"/>
        <v/>
      </c>
    </row>
    <row r="979" spans="1:36" ht="15" customHeight="1" x14ac:dyDescent="0.25">
      <c r="A979" s="114"/>
      <c r="B979" s="116"/>
      <c r="C979" s="116"/>
      <c r="D979" s="42" t="str">
        <f t="shared" si="362"/>
        <v/>
      </c>
      <c r="E979" s="43"/>
      <c r="F979" s="118"/>
      <c r="G979" s="44" t="str">
        <f t="shared" si="363"/>
        <v/>
      </c>
      <c r="H979" s="118"/>
      <c r="I979" s="34" t="str">
        <f t="shared" si="364"/>
        <v/>
      </c>
      <c r="J979" s="118"/>
      <c r="K979" s="34" t="str">
        <f t="shared" si="365"/>
        <v/>
      </c>
      <c r="L979" s="118"/>
      <c r="M979" s="121"/>
      <c r="N979" s="122" t="str">
        <f t="shared" si="366"/>
        <v/>
      </c>
      <c r="O979" s="35" t="str">
        <f t="shared" si="367"/>
        <v/>
      </c>
      <c r="P979" s="124"/>
      <c r="Q979" s="36" t="str">
        <f t="shared" si="378"/>
        <v/>
      </c>
      <c r="R979" s="46" t="str">
        <f t="shared" si="368"/>
        <v/>
      </c>
      <c r="S979" s="38" t="str">
        <f t="shared" si="369"/>
        <v/>
      </c>
      <c r="T979" s="39" t="str">
        <f t="shared" si="370"/>
        <v/>
      </c>
      <c r="U979" s="40" t="str">
        <f t="shared" si="371"/>
        <v/>
      </c>
      <c r="V979" s="39" t="str">
        <f t="shared" si="372"/>
        <v/>
      </c>
      <c r="W979" s="34" t="str">
        <f t="shared" si="373"/>
        <v/>
      </c>
      <c r="X979" s="41" t="str">
        <f t="shared" si="379"/>
        <v/>
      </c>
      <c r="Y979" s="98" t="str">
        <f t="shared" si="374"/>
        <v/>
      </c>
      <c r="Z979" s="16" t="str">
        <f t="shared" si="380"/>
        <v/>
      </c>
      <c r="AB979" s="139"/>
      <c r="AC979" s="146" t="str">
        <f t="shared" si="384"/>
        <v/>
      </c>
      <c r="AD979" s="148" t="str">
        <f t="shared" si="381"/>
        <v/>
      </c>
      <c r="AE979" s="147" t="str">
        <f t="shared" si="375"/>
        <v/>
      </c>
      <c r="AF979" s="111" t="str">
        <f t="shared" si="376"/>
        <v/>
      </c>
      <c r="AG979" s="111" t="str">
        <f t="shared" si="377"/>
        <v/>
      </c>
      <c r="AH979" s="112" t="str">
        <f t="shared" si="382"/>
        <v/>
      </c>
      <c r="AI979" t="str">
        <f t="shared" si="383"/>
        <v/>
      </c>
      <c r="AJ979" t="str">
        <f t="shared" si="385"/>
        <v/>
      </c>
    </row>
    <row r="980" spans="1:36" ht="15" customHeight="1" x14ac:dyDescent="0.25">
      <c r="A980" s="114"/>
      <c r="B980" s="116"/>
      <c r="C980" s="116"/>
      <c r="D980" s="42" t="str">
        <f t="shared" si="362"/>
        <v/>
      </c>
      <c r="E980" s="43"/>
      <c r="F980" s="118"/>
      <c r="G980" s="44" t="str">
        <f t="shared" si="363"/>
        <v/>
      </c>
      <c r="H980" s="118"/>
      <c r="I980" s="34" t="str">
        <f t="shared" si="364"/>
        <v/>
      </c>
      <c r="J980" s="118"/>
      <c r="K980" s="34" t="str">
        <f t="shared" si="365"/>
        <v/>
      </c>
      <c r="L980" s="118"/>
      <c r="M980" s="121"/>
      <c r="N980" s="122" t="str">
        <f t="shared" si="366"/>
        <v/>
      </c>
      <c r="O980" s="35" t="str">
        <f t="shared" si="367"/>
        <v/>
      </c>
      <c r="P980" s="124"/>
      <c r="Q980" s="36" t="str">
        <f t="shared" si="378"/>
        <v/>
      </c>
      <c r="R980" s="46" t="str">
        <f t="shared" si="368"/>
        <v/>
      </c>
      <c r="S980" s="38" t="str">
        <f t="shared" si="369"/>
        <v/>
      </c>
      <c r="T980" s="39" t="str">
        <f t="shared" si="370"/>
        <v/>
      </c>
      <c r="U980" s="40" t="str">
        <f t="shared" si="371"/>
        <v/>
      </c>
      <c r="V980" s="39" t="str">
        <f t="shared" si="372"/>
        <v/>
      </c>
      <c r="W980" s="34" t="str">
        <f t="shared" si="373"/>
        <v/>
      </c>
      <c r="X980" s="41" t="str">
        <f t="shared" si="379"/>
        <v/>
      </c>
      <c r="Y980" s="98" t="str">
        <f t="shared" si="374"/>
        <v/>
      </c>
      <c r="Z980" s="16" t="str">
        <f t="shared" si="380"/>
        <v/>
      </c>
      <c r="AB980" s="139"/>
      <c r="AC980" s="146" t="str">
        <f t="shared" si="384"/>
        <v/>
      </c>
      <c r="AD980" s="148" t="str">
        <f t="shared" si="381"/>
        <v/>
      </c>
      <c r="AE980" s="147" t="str">
        <f t="shared" si="375"/>
        <v/>
      </c>
      <c r="AF980" s="111" t="str">
        <f t="shared" si="376"/>
        <v/>
      </c>
      <c r="AG980" s="111" t="str">
        <f t="shared" si="377"/>
        <v/>
      </c>
      <c r="AH980" s="112" t="str">
        <f t="shared" si="382"/>
        <v/>
      </c>
      <c r="AI980" t="str">
        <f t="shared" si="383"/>
        <v/>
      </c>
      <c r="AJ980" t="str">
        <f t="shared" si="385"/>
        <v/>
      </c>
    </row>
    <row r="981" spans="1:36" ht="15" customHeight="1" x14ac:dyDescent="0.25">
      <c r="A981" s="114"/>
      <c r="B981" s="116"/>
      <c r="C981" s="116"/>
      <c r="D981" s="42" t="str">
        <f t="shared" si="362"/>
        <v/>
      </c>
      <c r="E981" s="43"/>
      <c r="F981" s="118"/>
      <c r="G981" s="44" t="str">
        <f t="shared" si="363"/>
        <v/>
      </c>
      <c r="H981" s="118"/>
      <c r="I981" s="34" t="str">
        <f t="shared" si="364"/>
        <v/>
      </c>
      <c r="J981" s="118"/>
      <c r="K981" s="34" t="str">
        <f t="shared" si="365"/>
        <v/>
      </c>
      <c r="L981" s="118"/>
      <c r="M981" s="121"/>
      <c r="N981" s="122" t="str">
        <f t="shared" si="366"/>
        <v/>
      </c>
      <c r="O981" s="35" t="str">
        <f t="shared" si="367"/>
        <v/>
      </c>
      <c r="P981" s="124"/>
      <c r="Q981" s="36" t="str">
        <f t="shared" si="378"/>
        <v/>
      </c>
      <c r="R981" s="46" t="str">
        <f t="shared" si="368"/>
        <v/>
      </c>
      <c r="S981" s="38" t="str">
        <f t="shared" si="369"/>
        <v/>
      </c>
      <c r="T981" s="39" t="str">
        <f t="shared" si="370"/>
        <v/>
      </c>
      <c r="U981" s="40" t="str">
        <f t="shared" si="371"/>
        <v/>
      </c>
      <c r="V981" s="39" t="str">
        <f t="shared" si="372"/>
        <v/>
      </c>
      <c r="W981" s="34" t="str">
        <f t="shared" si="373"/>
        <v/>
      </c>
      <c r="X981" s="41" t="str">
        <f t="shared" si="379"/>
        <v/>
      </c>
      <c r="Y981" s="98" t="str">
        <f t="shared" si="374"/>
        <v/>
      </c>
      <c r="Z981" s="16" t="str">
        <f t="shared" si="380"/>
        <v/>
      </c>
      <c r="AB981" s="139"/>
      <c r="AC981" s="146" t="str">
        <f t="shared" si="384"/>
        <v/>
      </c>
      <c r="AD981" s="148" t="str">
        <f t="shared" si="381"/>
        <v/>
      </c>
      <c r="AE981" s="147" t="str">
        <f t="shared" si="375"/>
        <v/>
      </c>
      <c r="AF981" s="111" t="str">
        <f t="shared" si="376"/>
        <v/>
      </c>
      <c r="AG981" s="111" t="str">
        <f t="shared" si="377"/>
        <v/>
      </c>
      <c r="AH981" s="112" t="str">
        <f t="shared" si="382"/>
        <v/>
      </c>
      <c r="AI981" t="str">
        <f t="shared" si="383"/>
        <v/>
      </c>
      <c r="AJ981" t="str">
        <f t="shared" si="385"/>
        <v/>
      </c>
    </row>
    <row r="982" spans="1:36" ht="15" customHeight="1" x14ac:dyDescent="0.25">
      <c r="A982" s="114"/>
      <c r="B982" s="116"/>
      <c r="C982" s="116"/>
      <c r="D982" s="42" t="str">
        <f t="shared" si="362"/>
        <v/>
      </c>
      <c r="E982" s="43"/>
      <c r="F982" s="118"/>
      <c r="G982" s="44" t="str">
        <f t="shared" si="363"/>
        <v/>
      </c>
      <c r="H982" s="118"/>
      <c r="I982" s="34" t="str">
        <f t="shared" si="364"/>
        <v/>
      </c>
      <c r="J982" s="118"/>
      <c r="K982" s="34" t="str">
        <f t="shared" si="365"/>
        <v/>
      </c>
      <c r="L982" s="118"/>
      <c r="M982" s="121"/>
      <c r="N982" s="122" t="str">
        <f t="shared" si="366"/>
        <v/>
      </c>
      <c r="O982" s="35" t="str">
        <f t="shared" si="367"/>
        <v/>
      </c>
      <c r="P982" s="124"/>
      <c r="Q982" s="36" t="str">
        <f t="shared" si="378"/>
        <v/>
      </c>
      <c r="R982" s="46" t="str">
        <f t="shared" si="368"/>
        <v/>
      </c>
      <c r="S982" s="38" t="str">
        <f t="shared" si="369"/>
        <v/>
      </c>
      <c r="T982" s="39" t="str">
        <f t="shared" si="370"/>
        <v/>
      </c>
      <c r="U982" s="40" t="str">
        <f t="shared" si="371"/>
        <v/>
      </c>
      <c r="V982" s="39" t="str">
        <f t="shared" si="372"/>
        <v/>
      </c>
      <c r="W982" s="34" t="str">
        <f t="shared" si="373"/>
        <v/>
      </c>
      <c r="X982" s="41" t="str">
        <f t="shared" si="379"/>
        <v/>
      </c>
      <c r="Y982" s="98" t="str">
        <f t="shared" si="374"/>
        <v/>
      </c>
      <c r="Z982" s="16" t="str">
        <f t="shared" si="380"/>
        <v/>
      </c>
      <c r="AB982" s="139"/>
      <c r="AC982" s="146" t="str">
        <f t="shared" si="384"/>
        <v/>
      </c>
      <c r="AD982" s="148" t="str">
        <f t="shared" si="381"/>
        <v/>
      </c>
      <c r="AE982" s="147" t="str">
        <f t="shared" si="375"/>
        <v/>
      </c>
      <c r="AF982" s="111" t="str">
        <f t="shared" si="376"/>
        <v/>
      </c>
      <c r="AG982" s="111" t="str">
        <f t="shared" si="377"/>
        <v/>
      </c>
      <c r="AH982" s="112" t="str">
        <f t="shared" si="382"/>
        <v/>
      </c>
      <c r="AI982" t="str">
        <f t="shared" si="383"/>
        <v/>
      </c>
      <c r="AJ982" t="str">
        <f t="shared" si="385"/>
        <v/>
      </c>
    </row>
    <row r="983" spans="1:36" ht="15" customHeight="1" x14ac:dyDescent="0.25">
      <c r="A983" s="114"/>
      <c r="B983" s="116"/>
      <c r="C983" s="116"/>
      <c r="D983" s="42" t="str">
        <f t="shared" si="362"/>
        <v/>
      </c>
      <c r="E983" s="43"/>
      <c r="F983" s="118"/>
      <c r="G983" s="44" t="str">
        <f t="shared" si="363"/>
        <v/>
      </c>
      <c r="H983" s="118"/>
      <c r="I983" s="34" t="str">
        <f t="shared" si="364"/>
        <v/>
      </c>
      <c r="J983" s="118"/>
      <c r="K983" s="34" t="str">
        <f t="shared" si="365"/>
        <v/>
      </c>
      <c r="L983" s="118"/>
      <c r="M983" s="121"/>
      <c r="N983" s="122" t="str">
        <f t="shared" si="366"/>
        <v/>
      </c>
      <c r="O983" s="35" t="str">
        <f t="shared" si="367"/>
        <v/>
      </c>
      <c r="P983" s="124"/>
      <c r="Q983" s="36" t="str">
        <f t="shared" si="378"/>
        <v/>
      </c>
      <c r="R983" s="46" t="str">
        <f t="shared" si="368"/>
        <v/>
      </c>
      <c r="S983" s="38" t="str">
        <f t="shared" si="369"/>
        <v/>
      </c>
      <c r="T983" s="39" t="str">
        <f t="shared" si="370"/>
        <v/>
      </c>
      <c r="U983" s="40" t="str">
        <f t="shared" si="371"/>
        <v/>
      </c>
      <c r="V983" s="39" t="str">
        <f t="shared" si="372"/>
        <v/>
      </c>
      <c r="W983" s="34" t="str">
        <f t="shared" si="373"/>
        <v/>
      </c>
      <c r="X983" s="41" t="str">
        <f t="shared" si="379"/>
        <v/>
      </c>
      <c r="Y983" s="98" t="str">
        <f t="shared" si="374"/>
        <v/>
      </c>
      <c r="Z983" s="16" t="str">
        <f t="shared" si="380"/>
        <v/>
      </c>
      <c r="AB983" s="139"/>
      <c r="AC983" s="146" t="str">
        <f t="shared" si="384"/>
        <v/>
      </c>
      <c r="AD983" s="148" t="str">
        <f t="shared" si="381"/>
        <v/>
      </c>
      <c r="AE983" s="147" t="str">
        <f t="shared" si="375"/>
        <v/>
      </c>
      <c r="AF983" s="111" t="str">
        <f t="shared" si="376"/>
        <v/>
      </c>
      <c r="AG983" s="111" t="str">
        <f t="shared" si="377"/>
        <v/>
      </c>
      <c r="AH983" s="112" t="str">
        <f t="shared" si="382"/>
        <v/>
      </c>
      <c r="AI983" t="str">
        <f t="shared" si="383"/>
        <v/>
      </c>
      <c r="AJ983" t="str">
        <f t="shared" si="385"/>
        <v/>
      </c>
    </row>
    <row r="984" spans="1:36" ht="15" customHeight="1" x14ac:dyDescent="0.25">
      <c r="A984" s="114"/>
      <c r="B984" s="116"/>
      <c r="C984" s="116"/>
      <c r="D984" s="42" t="str">
        <f t="shared" si="362"/>
        <v/>
      </c>
      <c r="E984" s="43"/>
      <c r="F984" s="118"/>
      <c r="G984" s="44" t="str">
        <f t="shared" si="363"/>
        <v/>
      </c>
      <c r="H984" s="118"/>
      <c r="I984" s="34" t="str">
        <f t="shared" si="364"/>
        <v/>
      </c>
      <c r="J984" s="118"/>
      <c r="K984" s="34" t="str">
        <f t="shared" si="365"/>
        <v/>
      </c>
      <c r="L984" s="118"/>
      <c r="M984" s="121"/>
      <c r="N984" s="122" t="str">
        <f t="shared" si="366"/>
        <v/>
      </c>
      <c r="O984" s="35" t="str">
        <f t="shared" si="367"/>
        <v/>
      </c>
      <c r="P984" s="124"/>
      <c r="Q984" s="36" t="str">
        <f t="shared" si="378"/>
        <v/>
      </c>
      <c r="R984" s="46" t="str">
        <f t="shared" si="368"/>
        <v/>
      </c>
      <c r="S984" s="38" t="str">
        <f t="shared" si="369"/>
        <v/>
      </c>
      <c r="T984" s="39" t="str">
        <f t="shared" si="370"/>
        <v/>
      </c>
      <c r="U984" s="40" t="str">
        <f t="shared" si="371"/>
        <v/>
      </c>
      <c r="V984" s="39" t="str">
        <f t="shared" si="372"/>
        <v/>
      </c>
      <c r="W984" s="34" t="str">
        <f t="shared" si="373"/>
        <v/>
      </c>
      <c r="X984" s="41" t="str">
        <f t="shared" si="379"/>
        <v/>
      </c>
      <c r="Y984" s="98" t="str">
        <f t="shared" si="374"/>
        <v/>
      </c>
      <c r="Z984" s="16" t="str">
        <f t="shared" si="380"/>
        <v/>
      </c>
      <c r="AB984" s="139"/>
      <c r="AC984" s="146" t="str">
        <f t="shared" si="384"/>
        <v/>
      </c>
      <c r="AD984" s="148" t="str">
        <f t="shared" si="381"/>
        <v/>
      </c>
      <c r="AE984" s="147" t="str">
        <f t="shared" si="375"/>
        <v/>
      </c>
      <c r="AF984" s="111" t="str">
        <f t="shared" si="376"/>
        <v/>
      </c>
      <c r="AG984" s="111" t="str">
        <f t="shared" si="377"/>
        <v/>
      </c>
      <c r="AH984" s="112" t="str">
        <f t="shared" si="382"/>
        <v/>
      </c>
      <c r="AI984" t="str">
        <f t="shared" si="383"/>
        <v/>
      </c>
      <c r="AJ984" t="str">
        <f t="shared" si="385"/>
        <v/>
      </c>
    </row>
    <row r="985" spans="1:36" ht="15" customHeight="1" x14ac:dyDescent="0.25">
      <c r="A985" s="114"/>
      <c r="B985" s="116"/>
      <c r="C985" s="116"/>
      <c r="D985" s="42" t="str">
        <f t="shared" si="362"/>
        <v/>
      </c>
      <c r="E985" s="43"/>
      <c r="F985" s="118"/>
      <c r="G985" s="44" t="str">
        <f t="shared" si="363"/>
        <v/>
      </c>
      <c r="H985" s="118"/>
      <c r="I985" s="34" t="str">
        <f t="shared" si="364"/>
        <v/>
      </c>
      <c r="J985" s="118"/>
      <c r="K985" s="34" t="str">
        <f t="shared" si="365"/>
        <v/>
      </c>
      <c r="L985" s="118"/>
      <c r="M985" s="121"/>
      <c r="N985" s="122" t="str">
        <f t="shared" si="366"/>
        <v/>
      </c>
      <c r="O985" s="35" t="str">
        <f t="shared" si="367"/>
        <v/>
      </c>
      <c r="P985" s="124"/>
      <c r="Q985" s="36" t="str">
        <f t="shared" si="378"/>
        <v/>
      </c>
      <c r="R985" s="46" t="str">
        <f t="shared" si="368"/>
        <v/>
      </c>
      <c r="S985" s="38" t="str">
        <f t="shared" si="369"/>
        <v/>
      </c>
      <c r="T985" s="39" t="str">
        <f t="shared" si="370"/>
        <v/>
      </c>
      <c r="U985" s="40" t="str">
        <f t="shared" si="371"/>
        <v/>
      </c>
      <c r="V985" s="39" t="str">
        <f t="shared" si="372"/>
        <v/>
      </c>
      <c r="W985" s="34" t="str">
        <f t="shared" si="373"/>
        <v/>
      </c>
      <c r="X985" s="41" t="str">
        <f t="shared" si="379"/>
        <v/>
      </c>
      <c r="Y985" s="98" t="str">
        <f t="shared" si="374"/>
        <v/>
      </c>
      <c r="Z985" s="16" t="str">
        <f t="shared" si="380"/>
        <v/>
      </c>
      <c r="AB985" s="139"/>
      <c r="AC985" s="146" t="str">
        <f t="shared" si="384"/>
        <v/>
      </c>
      <c r="AD985" s="148" t="str">
        <f t="shared" si="381"/>
        <v/>
      </c>
      <c r="AE985" s="147" t="str">
        <f t="shared" si="375"/>
        <v/>
      </c>
      <c r="AF985" s="111" t="str">
        <f t="shared" si="376"/>
        <v/>
      </c>
      <c r="AG985" s="111" t="str">
        <f t="shared" si="377"/>
        <v/>
      </c>
      <c r="AH985" s="112" t="str">
        <f t="shared" si="382"/>
        <v/>
      </c>
      <c r="AI985" t="str">
        <f t="shared" si="383"/>
        <v/>
      </c>
      <c r="AJ985" t="str">
        <f t="shared" si="385"/>
        <v/>
      </c>
    </row>
    <row r="986" spans="1:36" ht="15" customHeight="1" x14ac:dyDescent="0.25">
      <c r="A986" s="114"/>
      <c r="B986" s="116"/>
      <c r="C986" s="116"/>
      <c r="D986" s="42" t="str">
        <f t="shared" si="362"/>
        <v/>
      </c>
      <c r="E986" s="43"/>
      <c r="F986" s="118"/>
      <c r="G986" s="44" t="str">
        <f t="shared" si="363"/>
        <v/>
      </c>
      <c r="H986" s="118"/>
      <c r="I986" s="34" t="str">
        <f t="shared" si="364"/>
        <v/>
      </c>
      <c r="J986" s="118"/>
      <c r="K986" s="34" t="str">
        <f t="shared" si="365"/>
        <v/>
      </c>
      <c r="L986" s="118"/>
      <c r="M986" s="121"/>
      <c r="N986" s="122" t="str">
        <f t="shared" si="366"/>
        <v/>
      </c>
      <c r="O986" s="35" t="str">
        <f t="shared" si="367"/>
        <v/>
      </c>
      <c r="P986" s="124"/>
      <c r="Q986" s="36" t="str">
        <f t="shared" si="378"/>
        <v/>
      </c>
      <c r="R986" s="46" t="str">
        <f t="shared" si="368"/>
        <v/>
      </c>
      <c r="S986" s="38" t="str">
        <f t="shared" si="369"/>
        <v/>
      </c>
      <c r="T986" s="39" t="str">
        <f t="shared" si="370"/>
        <v/>
      </c>
      <c r="U986" s="40" t="str">
        <f t="shared" si="371"/>
        <v/>
      </c>
      <c r="V986" s="39" t="str">
        <f t="shared" si="372"/>
        <v/>
      </c>
      <c r="W986" s="34" t="str">
        <f t="shared" si="373"/>
        <v/>
      </c>
      <c r="X986" s="41" t="str">
        <f t="shared" si="379"/>
        <v/>
      </c>
      <c r="Y986" s="98" t="str">
        <f t="shared" si="374"/>
        <v/>
      </c>
      <c r="Z986" s="16" t="str">
        <f t="shared" si="380"/>
        <v/>
      </c>
      <c r="AB986" s="139"/>
      <c r="AC986" s="146" t="str">
        <f t="shared" si="384"/>
        <v/>
      </c>
      <c r="AD986" s="148" t="str">
        <f t="shared" si="381"/>
        <v/>
      </c>
      <c r="AE986" s="147" t="str">
        <f t="shared" si="375"/>
        <v/>
      </c>
      <c r="AF986" s="111" t="str">
        <f t="shared" si="376"/>
        <v/>
      </c>
      <c r="AG986" s="111" t="str">
        <f t="shared" si="377"/>
        <v/>
      </c>
      <c r="AH986" s="112" t="str">
        <f t="shared" si="382"/>
        <v/>
      </c>
      <c r="AI986" t="str">
        <f t="shared" si="383"/>
        <v/>
      </c>
      <c r="AJ986" t="str">
        <f t="shared" si="385"/>
        <v/>
      </c>
    </row>
    <row r="987" spans="1:36" ht="15" customHeight="1" x14ac:dyDescent="0.25">
      <c r="A987" s="114"/>
      <c r="B987" s="116"/>
      <c r="C987" s="116"/>
      <c r="D987" s="42" t="str">
        <f t="shared" si="362"/>
        <v/>
      </c>
      <c r="E987" s="43"/>
      <c r="F987" s="118"/>
      <c r="G987" s="44" t="str">
        <f t="shared" si="363"/>
        <v/>
      </c>
      <c r="H987" s="118"/>
      <c r="I987" s="34" t="str">
        <f t="shared" si="364"/>
        <v/>
      </c>
      <c r="J987" s="118"/>
      <c r="K987" s="34" t="str">
        <f t="shared" si="365"/>
        <v/>
      </c>
      <c r="L987" s="118"/>
      <c r="M987" s="121"/>
      <c r="N987" s="122" t="str">
        <f t="shared" si="366"/>
        <v/>
      </c>
      <c r="O987" s="35" t="str">
        <f t="shared" si="367"/>
        <v/>
      </c>
      <c r="P987" s="124"/>
      <c r="Q987" s="36" t="str">
        <f t="shared" si="378"/>
        <v/>
      </c>
      <c r="R987" s="46" t="str">
        <f t="shared" si="368"/>
        <v/>
      </c>
      <c r="S987" s="38" t="str">
        <f t="shared" si="369"/>
        <v/>
      </c>
      <c r="T987" s="39" t="str">
        <f t="shared" si="370"/>
        <v/>
      </c>
      <c r="U987" s="40" t="str">
        <f t="shared" si="371"/>
        <v/>
      </c>
      <c r="V987" s="39" t="str">
        <f t="shared" si="372"/>
        <v/>
      </c>
      <c r="W987" s="34" t="str">
        <f t="shared" si="373"/>
        <v/>
      </c>
      <c r="X987" s="41" t="str">
        <f t="shared" si="379"/>
        <v/>
      </c>
      <c r="Y987" s="98" t="str">
        <f t="shared" si="374"/>
        <v/>
      </c>
      <c r="Z987" s="16" t="str">
        <f t="shared" si="380"/>
        <v/>
      </c>
      <c r="AB987" s="139"/>
      <c r="AC987" s="146" t="str">
        <f t="shared" si="384"/>
        <v/>
      </c>
      <c r="AD987" s="148" t="str">
        <f t="shared" si="381"/>
        <v/>
      </c>
      <c r="AE987" s="147" t="str">
        <f t="shared" si="375"/>
        <v/>
      </c>
      <c r="AF987" s="111" t="str">
        <f t="shared" si="376"/>
        <v/>
      </c>
      <c r="AG987" s="111" t="str">
        <f t="shared" si="377"/>
        <v/>
      </c>
      <c r="AH987" s="112" t="str">
        <f t="shared" si="382"/>
        <v/>
      </c>
      <c r="AI987" t="str">
        <f t="shared" si="383"/>
        <v/>
      </c>
      <c r="AJ987" t="str">
        <f t="shared" si="385"/>
        <v/>
      </c>
    </row>
    <row r="988" spans="1:36" ht="15" customHeight="1" x14ac:dyDescent="0.25">
      <c r="A988" s="114"/>
      <c r="B988" s="116"/>
      <c r="C988" s="116"/>
      <c r="D988" s="42" t="str">
        <f t="shared" si="362"/>
        <v/>
      </c>
      <c r="E988" s="43"/>
      <c r="F988" s="118"/>
      <c r="G988" s="44" t="str">
        <f t="shared" si="363"/>
        <v/>
      </c>
      <c r="H988" s="118"/>
      <c r="I988" s="34" t="str">
        <f t="shared" si="364"/>
        <v/>
      </c>
      <c r="J988" s="118"/>
      <c r="K988" s="34" t="str">
        <f t="shared" si="365"/>
        <v/>
      </c>
      <c r="L988" s="118"/>
      <c r="M988" s="121"/>
      <c r="N988" s="122" t="str">
        <f t="shared" si="366"/>
        <v/>
      </c>
      <c r="O988" s="35" t="str">
        <f t="shared" si="367"/>
        <v/>
      </c>
      <c r="P988" s="124"/>
      <c r="Q988" s="36" t="str">
        <f t="shared" si="378"/>
        <v/>
      </c>
      <c r="R988" s="46" t="str">
        <f t="shared" si="368"/>
        <v/>
      </c>
      <c r="S988" s="38" t="str">
        <f t="shared" si="369"/>
        <v/>
      </c>
      <c r="T988" s="39" t="str">
        <f t="shared" si="370"/>
        <v/>
      </c>
      <c r="U988" s="40" t="str">
        <f t="shared" si="371"/>
        <v/>
      </c>
      <c r="V988" s="39" t="str">
        <f t="shared" si="372"/>
        <v/>
      </c>
      <c r="W988" s="34" t="str">
        <f t="shared" si="373"/>
        <v/>
      </c>
      <c r="X988" s="41" t="str">
        <f t="shared" si="379"/>
        <v/>
      </c>
      <c r="Y988" s="98" t="str">
        <f t="shared" si="374"/>
        <v/>
      </c>
      <c r="Z988" s="16" t="str">
        <f t="shared" si="380"/>
        <v/>
      </c>
      <c r="AB988" s="139"/>
      <c r="AC988" s="146" t="str">
        <f t="shared" si="384"/>
        <v/>
      </c>
      <c r="AD988" s="148" t="str">
        <f t="shared" si="381"/>
        <v/>
      </c>
      <c r="AE988" s="147" t="str">
        <f t="shared" si="375"/>
        <v/>
      </c>
      <c r="AF988" s="111" t="str">
        <f t="shared" si="376"/>
        <v/>
      </c>
      <c r="AG988" s="111" t="str">
        <f t="shared" si="377"/>
        <v/>
      </c>
      <c r="AH988" s="112" t="str">
        <f t="shared" si="382"/>
        <v/>
      </c>
      <c r="AI988" t="str">
        <f t="shared" si="383"/>
        <v/>
      </c>
      <c r="AJ988" t="str">
        <f t="shared" si="385"/>
        <v/>
      </c>
    </row>
    <row r="989" spans="1:36" ht="15" customHeight="1" x14ac:dyDescent="0.25">
      <c r="A989" s="114"/>
      <c r="B989" s="116"/>
      <c r="C989" s="116"/>
      <c r="D989" s="42" t="str">
        <f t="shared" si="362"/>
        <v/>
      </c>
      <c r="E989" s="43"/>
      <c r="F989" s="118"/>
      <c r="G989" s="44" t="str">
        <f t="shared" si="363"/>
        <v/>
      </c>
      <c r="H989" s="118"/>
      <c r="I989" s="34" t="str">
        <f t="shared" si="364"/>
        <v/>
      </c>
      <c r="J989" s="118"/>
      <c r="K989" s="34" t="str">
        <f t="shared" si="365"/>
        <v/>
      </c>
      <c r="L989" s="118"/>
      <c r="M989" s="121"/>
      <c r="N989" s="122" t="str">
        <f t="shared" si="366"/>
        <v/>
      </c>
      <c r="O989" s="35" t="str">
        <f t="shared" si="367"/>
        <v/>
      </c>
      <c r="P989" s="124"/>
      <c r="Q989" s="36" t="str">
        <f t="shared" si="378"/>
        <v/>
      </c>
      <c r="R989" s="46" t="str">
        <f t="shared" si="368"/>
        <v/>
      </c>
      <c r="S989" s="38" t="str">
        <f t="shared" si="369"/>
        <v/>
      </c>
      <c r="T989" s="39" t="str">
        <f t="shared" si="370"/>
        <v/>
      </c>
      <c r="U989" s="40" t="str">
        <f t="shared" si="371"/>
        <v/>
      </c>
      <c r="V989" s="39" t="str">
        <f t="shared" si="372"/>
        <v/>
      </c>
      <c r="W989" s="34" t="str">
        <f t="shared" si="373"/>
        <v/>
      </c>
      <c r="X989" s="41" t="str">
        <f t="shared" si="379"/>
        <v/>
      </c>
      <c r="Y989" s="98" t="str">
        <f t="shared" si="374"/>
        <v/>
      </c>
      <c r="Z989" s="16" t="str">
        <f t="shared" si="380"/>
        <v/>
      </c>
      <c r="AB989" s="139"/>
      <c r="AC989" s="146" t="str">
        <f t="shared" si="384"/>
        <v/>
      </c>
      <c r="AD989" s="148" t="str">
        <f t="shared" si="381"/>
        <v/>
      </c>
      <c r="AE989" s="147" t="str">
        <f t="shared" si="375"/>
        <v/>
      </c>
      <c r="AF989" s="111" t="str">
        <f t="shared" si="376"/>
        <v/>
      </c>
      <c r="AG989" s="111" t="str">
        <f t="shared" si="377"/>
        <v/>
      </c>
      <c r="AH989" s="112" t="str">
        <f t="shared" si="382"/>
        <v/>
      </c>
      <c r="AI989" t="str">
        <f t="shared" si="383"/>
        <v/>
      </c>
      <c r="AJ989" t="str">
        <f t="shared" si="385"/>
        <v/>
      </c>
    </row>
    <row r="990" spans="1:36" ht="15" customHeight="1" x14ac:dyDescent="0.25">
      <c r="A990" s="114"/>
      <c r="B990" s="116"/>
      <c r="C990" s="116"/>
      <c r="D990" s="42" t="str">
        <f t="shared" si="362"/>
        <v/>
      </c>
      <c r="E990" s="43"/>
      <c r="F990" s="118"/>
      <c r="G990" s="44" t="str">
        <f t="shared" si="363"/>
        <v/>
      </c>
      <c r="H990" s="118"/>
      <c r="I990" s="34" t="str">
        <f t="shared" si="364"/>
        <v/>
      </c>
      <c r="J990" s="118"/>
      <c r="K990" s="34" t="str">
        <f t="shared" si="365"/>
        <v/>
      </c>
      <c r="L990" s="118"/>
      <c r="M990" s="121"/>
      <c r="N990" s="122" t="str">
        <f t="shared" si="366"/>
        <v/>
      </c>
      <c r="O990" s="35" t="str">
        <f t="shared" si="367"/>
        <v/>
      </c>
      <c r="P990" s="124"/>
      <c r="Q990" s="36" t="str">
        <f t="shared" si="378"/>
        <v/>
      </c>
      <c r="R990" s="46" t="str">
        <f t="shared" si="368"/>
        <v/>
      </c>
      <c r="S990" s="38" t="str">
        <f t="shared" si="369"/>
        <v/>
      </c>
      <c r="T990" s="39" t="str">
        <f t="shared" si="370"/>
        <v/>
      </c>
      <c r="U990" s="40" t="str">
        <f t="shared" si="371"/>
        <v/>
      </c>
      <c r="V990" s="39" t="str">
        <f t="shared" si="372"/>
        <v/>
      </c>
      <c r="W990" s="34" t="str">
        <f t="shared" si="373"/>
        <v/>
      </c>
      <c r="X990" s="41" t="str">
        <f t="shared" si="379"/>
        <v/>
      </c>
      <c r="Y990" s="98" t="str">
        <f t="shared" si="374"/>
        <v/>
      </c>
      <c r="Z990" s="16" t="str">
        <f t="shared" si="380"/>
        <v/>
      </c>
      <c r="AB990" s="139"/>
      <c r="AC990" s="146" t="str">
        <f t="shared" si="384"/>
        <v/>
      </c>
      <c r="AD990" s="148" t="str">
        <f t="shared" si="381"/>
        <v/>
      </c>
      <c r="AE990" s="147" t="str">
        <f t="shared" si="375"/>
        <v/>
      </c>
      <c r="AF990" s="111" t="str">
        <f t="shared" si="376"/>
        <v/>
      </c>
      <c r="AG990" s="111" t="str">
        <f t="shared" si="377"/>
        <v/>
      </c>
      <c r="AH990" s="112" t="str">
        <f t="shared" si="382"/>
        <v/>
      </c>
      <c r="AI990" t="str">
        <f t="shared" si="383"/>
        <v/>
      </c>
      <c r="AJ990" t="str">
        <f t="shared" si="385"/>
        <v/>
      </c>
    </row>
    <row r="991" spans="1:36" ht="15" customHeight="1" x14ac:dyDescent="0.25">
      <c r="A991" s="114"/>
      <c r="B991" s="116"/>
      <c r="C991" s="116"/>
      <c r="D991" s="42" t="str">
        <f t="shared" si="362"/>
        <v/>
      </c>
      <c r="E991" s="43"/>
      <c r="F991" s="118"/>
      <c r="G991" s="44" t="str">
        <f t="shared" si="363"/>
        <v/>
      </c>
      <c r="H991" s="118"/>
      <c r="I991" s="34" t="str">
        <f t="shared" si="364"/>
        <v/>
      </c>
      <c r="J991" s="118"/>
      <c r="K991" s="34" t="str">
        <f t="shared" si="365"/>
        <v/>
      </c>
      <c r="L991" s="118"/>
      <c r="M991" s="121"/>
      <c r="N991" s="122" t="str">
        <f t="shared" si="366"/>
        <v/>
      </c>
      <c r="O991" s="35" t="str">
        <f t="shared" si="367"/>
        <v/>
      </c>
      <c r="P991" s="124"/>
      <c r="Q991" s="36" t="str">
        <f t="shared" si="378"/>
        <v/>
      </c>
      <c r="R991" s="46" t="str">
        <f t="shared" si="368"/>
        <v/>
      </c>
      <c r="S991" s="38" t="str">
        <f t="shared" si="369"/>
        <v/>
      </c>
      <c r="T991" s="39" t="str">
        <f t="shared" si="370"/>
        <v/>
      </c>
      <c r="U991" s="40" t="str">
        <f t="shared" si="371"/>
        <v/>
      </c>
      <c r="V991" s="39" t="str">
        <f t="shared" si="372"/>
        <v/>
      </c>
      <c r="W991" s="34" t="str">
        <f t="shared" si="373"/>
        <v/>
      </c>
      <c r="X991" s="41" t="str">
        <f t="shared" si="379"/>
        <v/>
      </c>
      <c r="Y991" s="98" t="str">
        <f t="shared" si="374"/>
        <v/>
      </c>
      <c r="Z991" s="16" t="str">
        <f t="shared" si="380"/>
        <v/>
      </c>
      <c r="AB991" s="139"/>
      <c r="AC991" s="146" t="str">
        <f t="shared" si="384"/>
        <v/>
      </c>
      <c r="AD991" s="148" t="str">
        <f t="shared" si="381"/>
        <v/>
      </c>
      <c r="AE991" s="147" t="str">
        <f t="shared" si="375"/>
        <v/>
      </c>
      <c r="AF991" s="111" t="str">
        <f t="shared" si="376"/>
        <v/>
      </c>
      <c r="AG991" s="111" t="str">
        <f t="shared" si="377"/>
        <v/>
      </c>
      <c r="AH991" s="112" t="str">
        <f t="shared" si="382"/>
        <v/>
      </c>
      <c r="AI991" t="str">
        <f t="shared" si="383"/>
        <v/>
      </c>
      <c r="AJ991" t="str">
        <f t="shared" si="385"/>
        <v/>
      </c>
    </row>
    <row r="992" spans="1:36" ht="15" customHeight="1" x14ac:dyDescent="0.25">
      <c r="A992" s="114"/>
      <c r="B992" s="116"/>
      <c r="C992" s="116"/>
      <c r="D992" s="42" t="str">
        <f t="shared" si="362"/>
        <v/>
      </c>
      <c r="E992" s="43"/>
      <c r="F992" s="118"/>
      <c r="G992" s="44" t="str">
        <f t="shared" si="363"/>
        <v/>
      </c>
      <c r="H992" s="118"/>
      <c r="I992" s="34" t="str">
        <f t="shared" si="364"/>
        <v/>
      </c>
      <c r="J992" s="118"/>
      <c r="K992" s="34" t="str">
        <f t="shared" si="365"/>
        <v/>
      </c>
      <c r="L992" s="118"/>
      <c r="M992" s="121"/>
      <c r="N992" s="122" t="str">
        <f t="shared" si="366"/>
        <v/>
      </c>
      <c r="O992" s="35" t="str">
        <f t="shared" si="367"/>
        <v/>
      </c>
      <c r="P992" s="124"/>
      <c r="Q992" s="36" t="str">
        <f t="shared" si="378"/>
        <v/>
      </c>
      <c r="R992" s="46" t="str">
        <f t="shared" si="368"/>
        <v/>
      </c>
      <c r="S992" s="38" t="str">
        <f t="shared" si="369"/>
        <v/>
      </c>
      <c r="T992" s="39" t="str">
        <f t="shared" si="370"/>
        <v/>
      </c>
      <c r="U992" s="40" t="str">
        <f t="shared" si="371"/>
        <v/>
      </c>
      <c r="V992" s="39" t="str">
        <f t="shared" si="372"/>
        <v/>
      </c>
      <c r="W992" s="34" t="str">
        <f t="shared" si="373"/>
        <v/>
      </c>
      <c r="X992" s="41" t="str">
        <f t="shared" si="379"/>
        <v/>
      </c>
      <c r="Y992" s="98" t="str">
        <f t="shared" si="374"/>
        <v/>
      </c>
      <c r="Z992" s="16" t="str">
        <f t="shared" si="380"/>
        <v/>
      </c>
      <c r="AB992" s="139"/>
      <c r="AC992" s="146" t="str">
        <f t="shared" si="384"/>
        <v/>
      </c>
      <c r="AD992" s="148" t="str">
        <f t="shared" si="381"/>
        <v/>
      </c>
      <c r="AE992" s="147" t="str">
        <f t="shared" si="375"/>
        <v/>
      </c>
      <c r="AF992" s="111" t="str">
        <f t="shared" si="376"/>
        <v/>
      </c>
      <c r="AG992" s="111" t="str">
        <f t="shared" si="377"/>
        <v/>
      </c>
      <c r="AH992" s="112" t="str">
        <f t="shared" si="382"/>
        <v/>
      </c>
      <c r="AI992" t="str">
        <f t="shared" si="383"/>
        <v/>
      </c>
      <c r="AJ992" t="str">
        <f t="shared" si="385"/>
        <v/>
      </c>
    </row>
    <row r="993" spans="1:36" ht="15" customHeight="1" x14ac:dyDescent="0.25">
      <c r="A993" s="114"/>
      <c r="B993" s="116"/>
      <c r="C993" s="116"/>
      <c r="D993" s="42" t="str">
        <f t="shared" si="362"/>
        <v/>
      </c>
      <c r="E993" s="43"/>
      <c r="F993" s="118"/>
      <c r="G993" s="44" t="str">
        <f t="shared" si="363"/>
        <v/>
      </c>
      <c r="H993" s="118"/>
      <c r="I993" s="34" t="str">
        <f t="shared" si="364"/>
        <v/>
      </c>
      <c r="J993" s="118"/>
      <c r="K993" s="34" t="str">
        <f t="shared" si="365"/>
        <v/>
      </c>
      <c r="L993" s="118"/>
      <c r="M993" s="121"/>
      <c r="N993" s="122" t="str">
        <f t="shared" si="366"/>
        <v/>
      </c>
      <c r="O993" s="35" t="str">
        <f t="shared" si="367"/>
        <v/>
      </c>
      <c r="P993" s="124"/>
      <c r="Q993" s="36" t="str">
        <f t="shared" si="378"/>
        <v/>
      </c>
      <c r="R993" s="46" t="str">
        <f t="shared" si="368"/>
        <v/>
      </c>
      <c r="S993" s="38" t="str">
        <f t="shared" si="369"/>
        <v/>
      </c>
      <c r="T993" s="39" t="str">
        <f t="shared" si="370"/>
        <v/>
      </c>
      <c r="U993" s="40" t="str">
        <f t="shared" si="371"/>
        <v/>
      </c>
      <c r="V993" s="39" t="str">
        <f t="shared" si="372"/>
        <v/>
      </c>
      <c r="W993" s="34" t="str">
        <f t="shared" si="373"/>
        <v/>
      </c>
      <c r="X993" s="41" t="str">
        <f t="shared" si="379"/>
        <v/>
      </c>
      <c r="Y993" s="98" t="str">
        <f t="shared" si="374"/>
        <v/>
      </c>
      <c r="Z993" s="16" t="str">
        <f t="shared" si="380"/>
        <v/>
      </c>
      <c r="AB993" s="139"/>
      <c r="AC993" s="146" t="str">
        <f t="shared" si="384"/>
        <v/>
      </c>
      <c r="AD993" s="148" t="str">
        <f t="shared" si="381"/>
        <v/>
      </c>
      <c r="AE993" s="147" t="str">
        <f t="shared" si="375"/>
        <v/>
      </c>
      <c r="AF993" s="111" t="str">
        <f t="shared" si="376"/>
        <v/>
      </c>
      <c r="AG993" s="111" t="str">
        <f t="shared" si="377"/>
        <v/>
      </c>
      <c r="AH993" s="112" t="str">
        <f t="shared" si="382"/>
        <v/>
      </c>
      <c r="AI993" t="str">
        <f t="shared" si="383"/>
        <v/>
      </c>
      <c r="AJ993" t="str">
        <f t="shared" si="385"/>
        <v/>
      </c>
    </row>
    <row r="994" spans="1:36" ht="15" customHeight="1" x14ac:dyDescent="0.25">
      <c r="A994" s="114"/>
      <c r="B994" s="116"/>
      <c r="C994" s="116"/>
      <c r="D994" s="42" t="str">
        <f t="shared" si="362"/>
        <v/>
      </c>
      <c r="E994" s="43"/>
      <c r="F994" s="118"/>
      <c r="G994" s="44" t="str">
        <f t="shared" si="363"/>
        <v/>
      </c>
      <c r="H994" s="118"/>
      <c r="I994" s="34" t="str">
        <f t="shared" si="364"/>
        <v/>
      </c>
      <c r="J994" s="118"/>
      <c r="K994" s="34" t="str">
        <f t="shared" si="365"/>
        <v/>
      </c>
      <c r="L994" s="118"/>
      <c r="M994" s="121"/>
      <c r="N994" s="122" t="str">
        <f t="shared" si="366"/>
        <v/>
      </c>
      <c r="O994" s="35" t="str">
        <f t="shared" si="367"/>
        <v/>
      </c>
      <c r="P994" s="124"/>
      <c r="Q994" s="36" t="str">
        <f t="shared" si="378"/>
        <v/>
      </c>
      <c r="R994" s="46" t="str">
        <f t="shared" si="368"/>
        <v/>
      </c>
      <c r="S994" s="38" t="str">
        <f t="shared" si="369"/>
        <v/>
      </c>
      <c r="T994" s="39" t="str">
        <f t="shared" si="370"/>
        <v/>
      </c>
      <c r="U994" s="40" t="str">
        <f t="shared" si="371"/>
        <v/>
      </c>
      <c r="V994" s="39" t="str">
        <f t="shared" si="372"/>
        <v/>
      </c>
      <c r="W994" s="34" t="str">
        <f t="shared" si="373"/>
        <v/>
      </c>
      <c r="X994" s="41" t="str">
        <f t="shared" si="379"/>
        <v/>
      </c>
      <c r="Y994" s="98" t="str">
        <f t="shared" si="374"/>
        <v/>
      </c>
      <c r="Z994" s="16" t="str">
        <f t="shared" si="380"/>
        <v/>
      </c>
      <c r="AB994" s="139"/>
      <c r="AC994" s="146" t="str">
        <f t="shared" si="384"/>
        <v/>
      </c>
      <c r="AD994" s="148" t="str">
        <f t="shared" si="381"/>
        <v/>
      </c>
      <c r="AE994" s="147" t="str">
        <f t="shared" si="375"/>
        <v/>
      </c>
      <c r="AF994" s="111" t="str">
        <f t="shared" si="376"/>
        <v/>
      </c>
      <c r="AG994" s="111" t="str">
        <f t="shared" si="377"/>
        <v/>
      </c>
      <c r="AH994" s="112" t="str">
        <f t="shared" si="382"/>
        <v/>
      </c>
      <c r="AI994" t="str">
        <f t="shared" si="383"/>
        <v/>
      </c>
      <c r="AJ994" t="str">
        <f t="shared" si="385"/>
        <v/>
      </c>
    </row>
    <row r="995" spans="1:36" ht="15" customHeight="1" x14ac:dyDescent="0.25">
      <c r="A995" s="114"/>
      <c r="B995" s="116"/>
      <c r="C995" s="116"/>
      <c r="D995" s="42" t="str">
        <f t="shared" si="362"/>
        <v/>
      </c>
      <c r="E995" s="43"/>
      <c r="F995" s="118"/>
      <c r="G995" s="44" t="str">
        <f t="shared" si="363"/>
        <v/>
      </c>
      <c r="H995" s="118"/>
      <c r="I995" s="34" t="str">
        <f t="shared" si="364"/>
        <v/>
      </c>
      <c r="J995" s="118"/>
      <c r="K995" s="34" t="str">
        <f t="shared" si="365"/>
        <v/>
      </c>
      <c r="L995" s="118"/>
      <c r="M995" s="121"/>
      <c r="N995" s="122" t="str">
        <f t="shared" si="366"/>
        <v/>
      </c>
      <c r="O995" s="35" t="str">
        <f t="shared" si="367"/>
        <v/>
      </c>
      <c r="P995" s="124"/>
      <c r="Q995" s="36" t="str">
        <f t="shared" si="378"/>
        <v/>
      </c>
      <c r="R995" s="46" t="str">
        <f t="shared" si="368"/>
        <v/>
      </c>
      <c r="S995" s="38" t="str">
        <f t="shared" si="369"/>
        <v/>
      </c>
      <c r="T995" s="39" t="str">
        <f t="shared" si="370"/>
        <v/>
      </c>
      <c r="U995" s="40" t="str">
        <f t="shared" si="371"/>
        <v/>
      </c>
      <c r="V995" s="39" t="str">
        <f t="shared" si="372"/>
        <v/>
      </c>
      <c r="W995" s="34" t="str">
        <f t="shared" si="373"/>
        <v/>
      </c>
      <c r="X995" s="41" t="str">
        <f t="shared" si="379"/>
        <v/>
      </c>
      <c r="Y995" s="98" t="str">
        <f t="shared" si="374"/>
        <v/>
      </c>
      <c r="Z995" s="16" t="str">
        <f t="shared" si="380"/>
        <v/>
      </c>
      <c r="AB995" s="139"/>
      <c r="AC995" s="146" t="str">
        <f t="shared" si="384"/>
        <v/>
      </c>
      <c r="AD995" s="148" t="str">
        <f t="shared" si="381"/>
        <v/>
      </c>
      <c r="AE995" s="147" t="str">
        <f t="shared" si="375"/>
        <v/>
      </c>
      <c r="AF995" s="111" t="str">
        <f t="shared" si="376"/>
        <v/>
      </c>
      <c r="AG995" s="111" t="str">
        <f t="shared" si="377"/>
        <v/>
      </c>
      <c r="AH995" s="112" t="str">
        <f t="shared" si="382"/>
        <v/>
      </c>
      <c r="AI995" t="str">
        <f t="shared" si="383"/>
        <v/>
      </c>
      <c r="AJ995" t="str">
        <f t="shared" si="385"/>
        <v/>
      </c>
    </row>
    <row r="996" spans="1:36" ht="15" customHeight="1" x14ac:dyDescent="0.25">
      <c r="A996" s="114"/>
      <c r="B996" s="116"/>
      <c r="C996" s="116"/>
      <c r="D996" s="42" t="str">
        <f t="shared" si="362"/>
        <v/>
      </c>
      <c r="E996" s="43"/>
      <c r="F996" s="118"/>
      <c r="G996" s="44" t="str">
        <f t="shared" si="363"/>
        <v/>
      </c>
      <c r="H996" s="118"/>
      <c r="I996" s="34" t="str">
        <f t="shared" si="364"/>
        <v/>
      </c>
      <c r="J996" s="118"/>
      <c r="K996" s="34" t="str">
        <f t="shared" si="365"/>
        <v/>
      </c>
      <c r="L996" s="118"/>
      <c r="M996" s="121"/>
      <c r="N996" s="122" t="str">
        <f t="shared" si="366"/>
        <v/>
      </c>
      <c r="O996" s="35" t="str">
        <f t="shared" si="367"/>
        <v/>
      </c>
      <c r="P996" s="124"/>
      <c r="Q996" s="36" t="str">
        <f t="shared" si="378"/>
        <v/>
      </c>
      <c r="R996" s="46" t="str">
        <f t="shared" si="368"/>
        <v/>
      </c>
      <c r="S996" s="38" t="str">
        <f t="shared" si="369"/>
        <v/>
      </c>
      <c r="T996" s="39" t="str">
        <f t="shared" si="370"/>
        <v/>
      </c>
      <c r="U996" s="40" t="str">
        <f t="shared" si="371"/>
        <v/>
      </c>
      <c r="V996" s="39" t="str">
        <f t="shared" si="372"/>
        <v/>
      </c>
      <c r="W996" s="34" t="str">
        <f t="shared" si="373"/>
        <v/>
      </c>
      <c r="X996" s="41" t="str">
        <f t="shared" si="379"/>
        <v/>
      </c>
      <c r="Y996" s="98" t="str">
        <f t="shared" si="374"/>
        <v/>
      </c>
      <c r="Z996" s="16" t="str">
        <f t="shared" si="380"/>
        <v/>
      </c>
      <c r="AB996" s="139"/>
      <c r="AC996" s="146" t="str">
        <f t="shared" si="384"/>
        <v/>
      </c>
      <c r="AD996" s="148" t="str">
        <f t="shared" si="381"/>
        <v/>
      </c>
      <c r="AE996" s="147" t="str">
        <f t="shared" si="375"/>
        <v/>
      </c>
      <c r="AF996" s="111" t="str">
        <f t="shared" si="376"/>
        <v/>
      </c>
      <c r="AG996" s="111" t="str">
        <f t="shared" si="377"/>
        <v/>
      </c>
      <c r="AH996" s="112" t="str">
        <f t="shared" si="382"/>
        <v/>
      </c>
      <c r="AI996" t="str">
        <f t="shared" si="383"/>
        <v/>
      </c>
      <c r="AJ996" t="str">
        <f t="shared" si="385"/>
        <v/>
      </c>
    </row>
    <row r="997" spans="1:36" ht="15" customHeight="1" x14ac:dyDescent="0.25">
      <c r="A997" s="114"/>
      <c r="B997" s="116"/>
      <c r="C997" s="116"/>
      <c r="D997" s="42" t="str">
        <f t="shared" si="362"/>
        <v/>
      </c>
      <c r="E997" s="43"/>
      <c r="F997" s="118"/>
      <c r="G997" s="44" t="str">
        <f t="shared" si="363"/>
        <v/>
      </c>
      <c r="H997" s="118"/>
      <c r="I997" s="34" t="str">
        <f t="shared" si="364"/>
        <v/>
      </c>
      <c r="J997" s="118"/>
      <c r="K997" s="34" t="str">
        <f t="shared" si="365"/>
        <v/>
      </c>
      <c r="L997" s="118"/>
      <c r="M997" s="121"/>
      <c r="N997" s="122" t="str">
        <f t="shared" si="366"/>
        <v/>
      </c>
      <c r="O997" s="35" t="str">
        <f t="shared" si="367"/>
        <v/>
      </c>
      <c r="P997" s="124"/>
      <c r="Q997" s="36" t="str">
        <f t="shared" si="378"/>
        <v/>
      </c>
      <c r="R997" s="46" t="str">
        <f t="shared" si="368"/>
        <v/>
      </c>
      <c r="S997" s="38" t="str">
        <f t="shared" si="369"/>
        <v/>
      </c>
      <c r="T997" s="39" t="str">
        <f t="shared" si="370"/>
        <v/>
      </c>
      <c r="U997" s="40" t="str">
        <f t="shared" si="371"/>
        <v/>
      </c>
      <c r="V997" s="39" t="str">
        <f t="shared" si="372"/>
        <v/>
      </c>
      <c r="W997" s="34" t="str">
        <f t="shared" si="373"/>
        <v/>
      </c>
      <c r="X997" s="41" t="str">
        <f t="shared" si="379"/>
        <v/>
      </c>
      <c r="Y997" s="98" t="str">
        <f t="shared" si="374"/>
        <v/>
      </c>
      <c r="Z997" s="16" t="str">
        <f t="shared" si="380"/>
        <v/>
      </c>
      <c r="AB997" s="139"/>
      <c r="AC997" s="146" t="str">
        <f t="shared" si="384"/>
        <v/>
      </c>
      <c r="AD997" s="148" t="str">
        <f t="shared" si="381"/>
        <v/>
      </c>
      <c r="AE997" s="147" t="str">
        <f t="shared" si="375"/>
        <v/>
      </c>
      <c r="AF997" s="111" t="str">
        <f t="shared" si="376"/>
        <v/>
      </c>
      <c r="AG997" s="111" t="str">
        <f t="shared" si="377"/>
        <v/>
      </c>
      <c r="AH997" s="112" t="str">
        <f t="shared" si="382"/>
        <v/>
      </c>
      <c r="AI997" t="str">
        <f t="shared" si="383"/>
        <v/>
      </c>
      <c r="AJ997" t="str">
        <f t="shared" si="385"/>
        <v/>
      </c>
    </row>
    <row r="998" spans="1:36" ht="15" customHeight="1" x14ac:dyDescent="0.25">
      <c r="A998" s="114"/>
      <c r="B998" s="116"/>
      <c r="C998" s="116"/>
      <c r="D998" s="42" t="str">
        <f t="shared" si="362"/>
        <v/>
      </c>
      <c r="E998" s="43"/>
      <c r="F998" s="118"/>
      <c r="G998" s="44" t="str">
        <f t="shared" si="363"/>
        <v/>
      </c>
      <c r="H998" s="118"/>
      <c r="I998" s="34" t="str">
        <f t="shared" si="364"/>
        <v/>
      </c>
      <c r="J998" s="118"/>
      <c r="K998" s="34" t="str">
        <f t="shared" si="365"/>
        <v/>
      </c>
      <c r="L998" s="118"/>
      <c r="M998" s="121"/>
      <c r="N998" s="122" t="str">
        <f t="shared" si="366"/>
        <v/>
      </c>
      <c r="O998" s="35" t="str">
        <f t="shared" si="367"/>
        <v/>
      </c>
      <c r="P998" s="124"/>
      <c r="Q998" s="36" t="str">
        <f t="shared" si="378"/>
        <v/>
      </c>
      <c r="R998" s="46" t="str">
        <f t="shared" si="368"/>
        <v/>
      </c>
      <c r="S998" s="38" t="str">
        <f t="shared" si="369"/>
        <v/>
      </c>
      <c r="T998" s="39" t="str">
        <f t="shared" si="370"/>
        <v/>
      </c>
      <c r="U998" s="40" t="str">
        <f t="shared" si="371"/>
        <v/>
      </c>
      <c r="V998" s="39" t="str">
        <f t="shared" si="372"/>
        <v/>
      </c>
      <c r="W998" s="34" t="str">
        <f t="shared" si="373"/>
        <v/>
      </c>
      <c r="X998" s="41" t="str">
        <f t="shared" si="379"/>
        <v/>
      </c>
      <c r="Y998" s="98" t="str">
        <f t="shared" si="374"/>
        <v/>
      </c>
      <c r="Z998" s="16" t="str">
        <f t="shared" si="380"/>
        <v/>
      </c>
      <c r="AB998" s="139"/>
      <c r="AC998" s="146" t="str">
        <f t="shared" si="384"/>
        <v/>
      </c>
      <c r="AD998" s="148" t="str">
        <f t="shared" si="381"/>
        <v/>
      </c>
      <c r="AE998" s="147" t="str">
        <f t="shared" si="375"/>
        <v/>
      </c>
      <c r="AF998" s="111" t="str">
        <f t="shared" si="376"/>
        <v/>
      </c>
      <c r="AG998" s="111" t="str">
        <f t="shared" si="377"/>
        <v/>
      </c>
      <c r="AH998" s="112" t="str">
        <f t="shared" si="382"/>
        <v/>
      </c>
      <c r="AI998" t="str">
        <f t="shared" si="383"/>
        <v/>
      </c>
      <c r="AJ998" t="str">
        <f t="shared" si="385"/>
        <v/>
      </c>
    </row>
    <row r="999" spans="1:36" ht="15" customHeight="1" x14ac:dyDescent="0.25">
      <c r="A999" s="114"/>
      <c r="B999" s="116"/>
      <c r="C999" s="116"/>
      <c r="D999" s="42" t="str">
        <f t="shared" si="362"/>
        <v/>
      </c>
      <c r="E999" s="43"/>
      <c r="F999" s="118"/>
      <c r="G999" s="44" t="str">
        <f t="shared" si="363"/>
        <v/>
      </c>
      <c r="H999" s="118"/>
      <c r="I999" s="34" t="str">
        <f t="shared" si="364"/>
        <v/>
      </c>
      <c r="J999" s="118"/>
      <c r="K999" s="34" t="str">
        <f t="shared" si="365"/>
        <v/>
      </c>
      <c r="L999" s="118"/>
      <c r="M999" s="121"/>
      <c r="N999" s="122" t="str">
        <f t="shared" si="366"/>
        <v/>
      </c>
      <c r="O999" s="35" t="str">
        <f t="shared" si="367"/>
        <v/>
      </c>
      <c r="P999" s="124"/>
      <c r="Q999" s="36" t="str">
        <f t="shared" si="378"/>
        <v/>
      </c>
      <c r="R999" s="46" t="str">
        <f t="shared" si="368"/>
        <v/>
      </c>
      <c r="S999" s="38" t="str">
        <f t="shared" si="369"/>
        <v/>
      </c>
      <c r="T999" s="39" t="str">
        <f t="shared" si="370"/>
        <v/>
      </c>
      <c r="U999" s="40" t="str">
        <f t="shared" si="371"/>
        <v/>
      </c>
      <c r="V999" s="39" t="str">
        <f t="shared" si="372"/>
        <v/>
      </c>
      <c r="W999" s="34" t="str">
        <f t="shared" si="373"/>
        <v/>
      </c>
      <c r="X999" s="41" t="str">
        <f t="shared" si="379"/>
        <v/>
      </c>
      <c r="Y999" s="98" t="str">
        <f t="shared" si="374"/>
        <v/>
      </c>
      <c r="Z999" s="16" t="str">
        <f t="shared" si="380"/>
        <v/>
      </c>
      <c r="AB999" s="139"/>
      <c r="AC999" s="146" t="str">
        <f t="shared" si="384"/>
        <v/>
      </c>
      <c r="AD999" s="148" t="str">
        <f t="shared" si="381"/>
        <v/>
      </c>
      <c r="AE999" s="147" t="str">
        <f t="shared" si="375"/>
        <v/>
      </c>
      <c r="AF999" s="111" t="str">
        <f t="shared" si="376"/>
        <v/>
      </c>
      <c r="AG999" s="111" t="str">
        <f t="shared" si="377"/>
        <v/>
      </c>
      <c r="AH999" s="112" t="str">
        <f t="shared" si="382"/>
        <v/>
      </c>
      <c r="AI999" t="str">
        <f t="shared" si="383"/>
        <v/>
      </c>
      <c r="AJ999" t="str">
        <f t="shared" si="385"/>
        <v/>
      </c>
    </row>
    <row r="1000" spans="1:36" ht="15" customHeight="1" x14ac:dyDescent="0.25">
      <c r="A1000" s="114"/>
      <c r="B1000" s="116"/>
      <c r="C1000" s="116"/>
      <c r="D1000" s="42" t="str">
        <f t="shared" si="362"/>
        <v/>
      </c>
      <c r="E1000" s="43"/>
      <c r="F1000" s="118"/>
      <c r="G1000" s="44" t="str">
        <f t="shared" si="363"/>
        <v/>
      </c>
      <c r="H1000" s="118"/>
      <c r="I1000" s="34" t="str">
        <f t="shared" si="364"/>
        <v/>
      </c>
      <c r="J1000" s="118"/>
      <c r="K1000" s="34" t="str">
        <f t="shared" si="365"/>
        <v/>
      </c>
      <c r="L1000" s="118"/>
      <c r="M1000" s="121"/>
      <c r="N1000" s="122" t="str">
        <f t="shared" si="366"/>
        <v/>
      </c>
      <c r="O1000" s="35" t="str">
        <f t="shared" si="367"/>
        <v/>
      </c>
      <c r="P1000" s="124"/>
      <c r="Q1000" s="36" t="str">
        <f t="shared" si="378"/>
        <v/>
      </c>
      <c r="R1000" s="46" t="str">
        <f t="shared" si="368"/>
        <v/>
      </c>
      <c r="S1000" s="38" t="str">
        <f t="shared" si="369"/>
        <v/>
      </c>
      <c r="T1000" s="39" t="str">
        <f t="shared" si="370"/>
        <v/>
      </c>
      <c r="U1000" s="40" t="str">
        <f t="shared" si="371"/>
        <v/>
      </c>
      <c r="V1000" s="39" t="str">
        <f t="shared" si="372"/>
        <v/>
      </c>
      <c r="W1000" s="34" t="str">
        <f t="shared" si="373"/>
        <v/>
      </c>
      <c r="X1000" s="41" t="str">
        <f t="shared" si="379"/>
        <v/>
      </c>
      <c r="Y1000" s="98" t="str">
        <f t="shared" si="374"/>
        <v/>
      </c>
      <c r="Z1000" s="16" t="str">
        <f t="shared" si="380"/>
        <v/>
      </c>
      <c r="AB1000" s="139"/>
      <c r="AC1000" s="146" t="str">
        <f t="shared" si="384"/>
        <v/>
      </c>
      <c r="AD1000" s="148" t="str">
        <f t="shared" si="381"/>
        <v/>
      </c>
      <c r="AE1000" s="147" t="str">
        <f t="shared" si="375"/>
        <v/>
      </c>
      <c r="AF1000" s="111" t="str">
        <f t="shared" si="376"/>
        <v/>
      </c>
      <c r="AG1000" s="111" t="str">
        <f t="shared" si="377"/>
        <v/>
      </c>
      <c r="AH1000" s="112" t="str">
        <f t="shared" si="382"/>
        <v/>
      </c>
      <c r="AI1000" t="str">
        <f t="shared" si="383"/>
        <v/>
      </c>
      <c r="AJ1000" t="str">
        <f t="shared" si="385"/>
        <v/>
      </c>
    </row>
    <row r="1001" spans="1:36" ht="15" customHeight="1" x14ac:dyDescent="0.25">
      <c r="A1001" s="114"/>
      <c r="B1001" s="116"/>
      <c r="C1001" s="116"/>
      <c r="D1001" s="42" t="str">
        <f t="shared" si="362"/>
        <v/>
      </c>
      <c r="E1001" s="43"/>
      <c r="F1001" s="118"/>
      <c r="G1001" s="44" t="str">
        <f t="shared" si="363"/>
        <v/>
      </c>
      <c r="H1001" s="118"/>
      <c r="I1001" s="34" t="str">
        <f t="shared" si="364"/>
        <v/>
      </c>
      <c r="J1001" s="118"/>
      <c r="K1001" s="34" t="str">
        <f t="shared" si="365"/>
        <v/>
      </c>
      <c r="L1001" s="118"/>
      <c r="M1001" s="121"/>
      <c r="N1001" s="122" t="str">
        <f t="shared" si="366"/>
        <v/>
      </c>
      <c r="O1001" s="35" t="str">
        <f t="shared" si="367"/>
        <v/>
      </c>
      <c r="P1001" s="124"/>
      <c r="Q1001" s="36" t="str">
        <f t="shared" si="378"/>
        <v/>
      </c>
      <c r="R1001" s="46" t="str">
        <f t="shared" si="368"/>
        <v/>
      </c>
      <c r="S1001" s="38" t="str">
        <f t="shared" si="369"/>
        <v/>
      </c>
      <c r="T1001" s="39" t="str">
        <f t="shared" si="370"/>
        <v/>
      </c>
      <c r="U1001" s="40" t="str">
        <f t="shared" si="371"/>
        <v/>
      </c>
      <c r="V1001" s="39" t="str">
        <f t="shared" si="372"/>
        <v/>
      </c>
      <c r="W1001" s="34" t="str">
        <f t="shared" si="373"/>
        <v/>
      </c>
      <c r="X1001" s="41" t="str">
        <f t="shared" si="379"/>
        <v/>
      </c>
      <c r="Y1001" s="98" t="str">
        <f t="shared" si="374"/>
        <v/>
      </c>
      <c r="Z1001" s="16" t="str">
        <f t="shared" si="380"/>
        <v/>
      </c>
      <c r="AB1001" s="139"/>
      <c r="AC1001" s="146" t="str">
        <f t="shared" si="384"/>
        <v/>
      </c>
      <c r="AD1001" s="148" t="str">
        <f t="shared" si="381"/>
        <v/>
      </c>
      <c r="AE1001" s="147" t="str">
        <f t="shared" si="375"/>
        <v/>
      </c>
      <c r="AF1001" s="111" t="str">
        <f t="shared" si="376"/>
        <v/>
      </c>
      <c r="AG1001" s="111" t="str">
        <f t="shared" si="377"/>
        <v/>
      </c>
      <c r="AH1001" s="112" t="str">
        <f t="shared" si="382"/>
        <v/>
      </c>
      <c r="AI1001" t="str">
        <f t="shared" si="383"/>
        <v/>
      </c>
      <c r="AJ1001" t="str">
        <f t="shared" si="385"/>
        <v/>
      </c>
    </row>
    <row r="1002" spans="1:36" ht="15" customHeight="1" x14ac:dyDescent="0.25">
      <c r="A1002" s="114"/>
      <c r="B1002" s="116"/>
      <c r="C1002" s="116"/>
      <c r="D1002" s="42" t="str">
        <f t="shared" si="362"/>
        <v/>
      </c>
      <c r="E1002" s="43"/>
      <c r="F1002" s="118"/>
      <c r="G1002" s="44" t="str">
        <f t="shared" si="363"/>
        <v/>
      </c>
      <c r="H1002" s="118"/>
      <c r="I1002" s="34" t="str">
        <f t="shared" si="364"/>
        <v/>
      </c>
      <c r="J1002" s="118"/>
      <c r="K1002" s="34" t="str">
        <f t="shared" si="365"/>
        <v/>
      </c>
      <c r="L1002" s="118"/>
      <c r="M1002" s="121"/>
      <c r="N1002" s="122" t="str">
        <f t="shared" si="366"/>
        <v/>
      </c>
      <c r="O1002" s="35" t="str">
        <f t="shared" si="367"/>
        <v/>
      </c>
      <c r="P1002" s="124"/>
      <c r="Q1002" s="36" t="str">
        <f t="shared" si="378"/>
        <v/>
      </c>
      <c r="R1002" s="46" t="str">
        <f t="shared" si="368"/>
        <v/>
      </c>
      <c r="S1002" s="38" t="str">
        <f t="shared" si="369"/>
        <v/>
      </c>
      <c r="T1002" s="39" t="str">
        <f t="shared" si="370"/>
        <v/>
      </c>
      <c r="U1002" s="40" t="str">
        <f t="shared" si="371"/>
        <v/>
      </c>
      <c r="V1002" s="39" t="str">
        <f t="shared" si="372"/>
        <v/>
      </c>
      <c r="W1002" s="34" t="str">
        <f t="shared" si="373"/>
        <v/>
      </c>
      <c r="X1002" s="41" t="str">
        <f t="shared" si="379"/>
        <v/>
      </c>
      <c r="Y1002" s="98" t="str">
        <f t="shared" si="374"/>
        <v/>
      </c>
      <c r="Z1002" s="16" t="str">
        <f t="shared" si="380"/>
        <v/>
      </c>
      <c r="AB1002" s="139"/>
      <c r="AC1002" s="146" t="str">
        <f t="shared" si="384"/>
        <v/>
      </c>
      <c r="AD1002" s="148" t="str">
        <f t="shared" si="381"/>
        <v/>
      </c>
      <c r="AE1002" s="147" t="str">
        <f t="shared" si="375"/>
        <v/>
      </c>
      <c r="AF1002" s="111" t="str">
        <f t="shared" si="376"/>
        <v/>
      </c>
      <c r="AG1002" s="111" t="str">
        <f t="shared" si="377"/>
        <v/>
      </c>
      <c r="AH1002" s="112" t="str">
        <f t="shared" si="382"/>
        <v/>
      </c>
      <c r="AI1002" t="str">
        <f t="shared" si="383"/>
        <v/>
      </c>
      <c r="AJ1002" t="str">
        <f t="shared" si="385"/>
        <v/>
      </c>
    </row>
    <row r="1003" spans="1:36" ht="15" customHeight="1" x14ac:dyDescent="0.25">
      <c r="A1003" s="114"/>
      <c r="B1003" s="116"/>
      <c r="C1003" s="116"/>
      <c r="D1003" s="42" t="str">
        <f t="shared" si="362"/>
        <v/>
      </c>
      <c r="E1003" s="43"/>
      <c r="F1003" s="118"/>
      <c r="G1003" s="44" t="str">
        <f t="shared" si="363"/>
        <v/>
      </c>
      <c r="H1003" s="118"/>
      <c r="I1003" s="34" t="str">
        <f t="shared" si="364"/>
        <v/>
      </c>
      <c r="J1003" s="118"/>
      <c r="K1003" s="34" t="str">
        <f t="shared" si="365"/>
        <v/>
      </c>
      <c r="L1003" s="118"/>
      <c r="M1003" s="121"/>
      <c r="N1003" s="122" t="str">
        <f t="shared" si="366"/>
        <v/>
      </c>
      <c r="O1003" s="35" t="str">
        <f t="shared" si="367"/>
        <v/>
      </c>
      <c r="P1003" s="124"/>
      <c r="Q1003" s="36" t="str">
        <f t="shared" si="378"/>
        <v/>
      </c>
      <c r="R1003" s="46" t="str">
        <f t="shared" si="368"/>
        <v/>
      </c>
      <c r="S1003" s="38" t="str">
        <f t="shared" si="369"/>
        <v/>
      </c>
      <c r="T1003" s="39" t="str">
        <f t="shared" si="370"/>
        <v/>
      </c>
      <c r="U1003" s="40" t="str">
        <f t="shared" si="371"/>
        <v/>
      </c>
      <c r="V1003" s="39" t="str">
        <f t="shared" si="372"/>
        <v/>
      </c>
      <c r="W1003" s="34" t="str">
        <f t="shared" si="373"/>
        <v/>
      </c>
      <c r="X1003" s="41" t="str">
        <f t="shared" si="379"/>
        <v/>
      </c>
      <c r="Y1003" s="98" t="str">
        <f t="shared" si="374"/>
        <v/>
      </c>
      <c r="Z1003" s="16" t="str">
        <f t="shared" si="380"/>
        <v/>
      </c>
      <c r="AB1003" s="139"/>
      <c r="AC1003" s="146" t="str">
        <f t="shared" si="384"/>
        <v/>
      </c>
      <c r="AD1003" s="148" t="str">
        <f t="shared" si="381"/>
        <v/>
      </c>
      <c r="AE1003" s="147" t="str">
        <f t="shared" si="375"/>
        <v/>
      </c>
      <c r="AF1003" s="111" t="str">
        <f t="shared" si="376"/>
        <v/>
      </c>
      <c r="AG1003" s="111" t="str">
        <f t="shared" si="377"/>
        <v/>
      </c>
      <c r="AH1003" s="112" t="str">
        <f t="shared" si="382"/>
        <v/>
      </c>
      <c r="AI1003" t="str">
        <f t="shared" si="383"/>
        <v/>
      </c>
      <c r="AJ1003" t="str">
        <f t="shared" si="385"/>
        <v/>
      </c>
    </row>
    <row r="1004" spans="1:36" ht="15" customHeight="1" x14ac:dyDescent="0.25">
      <c r="A1004" s="114"/>
      <c r="B1004" s="116"/>
      <c r="C1004" s="116"/>
      <c r="D1004" s="42" t="str">
        <f t="shared" si="362"/>
        <v/>
      </c>
      <c r="E1004" s="43"/>
      <c r="F1004" s="118"/>
      <c r="G1004" s="44" t="str">
        <f t="shared" si="363"/>
        <v/>
      </c>
      <c r="H1004" s="118"/>
      <c r="I1004" s="34" t="str">
        <f t="shared" si="364"/>
        <v/>
      </c>
      <c r="J1004" s="118"/>
      <c r="K1004" s="34" t="str">
        <f t="shared" si="365"/>
        <v/>
      </c>
      <c r="L1004" s="118"/>
      <c r="M1004" s="121"/>
      <c r="N1004" s="122" t="str">
        <f t="shared" si="366"/>
        <v/>
      </c>
      <c r="O1004" s="35" t="str">
        <f t="shared" si="367"/>
        <v/>
      </c>
      <c r="P1004" s="124"/>
      <c r="Q1004" s="36" t="str">
        <f t="shared" si="378"/>
        <v/>
      </c>
      <c r="R1004" s="46" t="str">
        <f t="shared" si="368"/>
        <v/>
      </c>
      <c r="S1004" s="38" t="str">
        <f t="shared" si="369"/>
        <v/>
      </c>
      <c r="T1004" s="39" t="str">
        <f t="shared" si="370"/>
        <v/>
      </c>
      <c r="U1004" s="40" t="str">
        <f t="shared" si="371"/>
        <v/>
      </c>
      <c r="V1004" s="39" t="str">
        <f t="shared" si="372"/>
        <v/>
      </c>
      <c r="W1004" s="34" t="str">
        <f t="shared" si="373"/>
        <v/>
      </c>
      <c r="X1004" s="41" t="str">
        <f t="shared" si="379"/>
        <v/>
      </c>
      <c r="Y1004" s="98" t="str">
        <f t="shared" si="374"/>
        <v/>
      </c>
      <c r="Z1004" s="16" t="str">
        <f t="shared" si="380"/>
        <v/>
      </c>
      <c r="AB1004" s="139"/>
      <c r="AC1004" s="146" t="str">
        <f t="shared" si="384"/>
        <v/>
      </c>
      <c r="AD1004" s="148" t="str">
        <f t="shared" si="381"/>
        <v/>
      </c>
      <c r="AE1004" s="147" t="str">
        <f t="shared" si="375"/>
        <v/>
      </c>
      <c r="AF1004" s="111" t="str">
        <f t="shared" si="376"/>
        <v/>
      </c>
      <c r="AG1004" s="111" t="str">
        <f t="shared" si="377"/>
        <v/>
      </c>
      <c r="AH1004" s="112" t="str">
        <f t="shared" si="382"/>
        <v/>
      </c>
      <c r="AI1004" t="str">
        <f t="shared" si="383"/>
        <v/>
      </c>
      <c r="AJ1004" t="str">
        <f t="shared" si="385"/>
        <v/>
      </c>
    </row>
    <row r="1005" spans="1:36" ht="15" customHeight="1" x14ac:dyDescent="0.25">
      <c r="A1005" s="114"/>
      <c r="B1005" s="116"/>
      <c r="C1005" s="116"/>
      <c r="D1005" s="42" t="str">
        <f t="shared" si="362"/>
        <v/>
      </c>
      <c r="E1005" s="43"/>
      <c r="F1005" s="118"/>
      <c r="G1005" s="44" t="str">
        <f t="shared" si="363"/>
        <v/>
      </c>
      <c r="H1005" s="118"/>
      <c r="I1005" s="34" t="str">
        <f t="shared" si="364"/>
        <v/>
      </c>
      <c r="J1005" s="118"/>
      <c r="K1005" s="34" t="str">
        <f t="shared" si="365"/>
        <v/>
      </c>
      <c r="L1005" s="118"/>
      <c r="M1005" s="121"/>
      <c r="N1005" s="122" t="str">
        <f t="shared" si="366"/>
        <v/>
      </c>
      <c r="O1005" s="35" t="str">
        <f t="shared" si="367"/>
        <v/>
      </c>
      <c r="P1005" s="124"/>
      <c r="Q1005" s="36" t="str">
        <f t="shared" si="378"/>
        <v/>
      </c>
      <c r="R1005" s="46" t="str">
        <f t="shared" si="368"/>
        <v/>
      </c>
      <c r="S1005" s="38" t="str">
        <f t="shared" si="369"/>
        <v/>
      </c>
      <c r="T1005" s="39" t="str">
        <f t="shared" si="370"/>
        <v/>
      </c>
      <c r="U1005" s="40" t="str">
        <f t="shared" si="371"/>
        <v/>
      </c>
      <c r="V1005" s="39" t="str">
        <f t="shared" si="372"/>
        <v/>
      </c>
      <c r="W1005" s="34" t="str">
        <f t="shared" si="373"/>
        <v/>
      </c>
      <c r="X1005" s="41" t="str">
        <f t="shared" si="379"/>
        <v/>
      </c>
      <c r="Y1005" s="98" t="str">
        <f t="shared" si="374"/>
        <v/>
      </c>
      <c r="Z1005" s="16" t="str">
        <f t="shared" si="380"/>
        <v/>
      </c>
      <c r="AB1005" s="139"/>
      <c r="AC1005" s="146" t="str">
        <f t="shared" si="384"/>
        <v/>
      </c>
      <c r="AD1005" s="148" t="str">
        <f t="shared" si="381"/>
        <v/>
      </c>
      <c r="AE1005" s="147" t="str">
        <f t="shared" si="375"/>
        <v/>
      </c>
      <c r="AF1005" s="111" t="str">
        <f t="shared" si="376"/>
        <v/>
      </c>
      <c r="AG1005" s="111" t="str">
        <f t="shared" si="377"/>
        <v/>
      </c>
      <c r="AH1005" s="112" t="str">
        <f t="shared" si="382"/>
        <v/>
      </c>
      <c r="AI1005" t="str">
        <f t="shared" si="383"/>
        <v/>
      </c>
      <c r="AJ1005" t="str">
        <f t="shared" si="385"/>
        <v/>
      </c>
    </row>
    <row r="1006" spans="1:36" ht="15" customHeight="1" x14ac:dyDescent="0.25">
      <c r="A1006" s="114"/>
      <c r="B1006" s="116"/>
      <c r="C1006" s="116"/>
      <c r="D1006" s="42" t="str">
        <f t="shared" si="362"/>
        <v/>
      </c>
      <c r="E1006" s="43"/>
      <c r="F1006" s="118"/>
      <c r="G1006" s="44" t="str">
        <f t="shared" si="363"/>
        <v/>
      </c>
      <c r="H1006" s="118"/>
      <c r="I1006" s="34" t="str">
        <f t="shared" si="364"/>
        <v/>
      </c>
      <c r="J1006" s="118"/>
      <c r="K1006" s="34" t="str">
        <f t="shared" si="365"/>
        <v/>
      </c>
      <c r="L1006" s="118"/>
      <c r="M1006" s="121"/>
      <c r="N1006" s="122" t="str">
        <f t="shared" si="366"/>
        <v/>
      </c>
      <c r="O1006" s="35" t="str">
        <f t="shared" si="367"/>
        <v/>
      </c>
      <c r="P1006" s="124"/>
      <c r="Q1006" s="36" t="str">
        <f t="shared" si="378"/>
        <v/>
      </c>
      <c r="R1006" s="46" t="str">
        <f t="shared" si="368"/>
        <v/>
      </c>
      <c r="S1006" s="38" t="str">
        <f t="shared" si="369"/>
        <v/>
      </c>
      <c r="T1006" s="39" t="str">
        <f t="shared" si="370"/>
        <v/>
      </c>
      <c r="U1006" s="40" t="str">
        <f t="shared" si="371"/>
        <v/>
      </c>
      <c r="V1006" s="39" t="str">
        <f t="shared" si="372"/>
        <v/>
      </c>
      <c r="W1006" s="34" t="str">
        <f t="shared" si="373"/>
        <v/>
      </c>
      <c r="X1006" s="41" t="str">
        <f t="shared" si="379"/>
        <v/>
      </c>
      <c r="Y1006" s="98" t="str">
        <f t="shared" si="374"/>
        <v/>
      </c>
      <c r="Z1006" s="16" t="str">
        <f t="shared" si="380"/>
        <v/>
      </c>
      <c r="AB1006" s="139"/>
      <c r="AC1006" s="146" t="str">
        <f t="shared" si="384"/>
        <v/>
      </c>
      <c r="AD1006" s="148" t="str">
        <f t="shared" si="381"/>
        <v/>
      </c>
      <c r="AE1006" s="147" t="str">
        <f t="shared" si="375"/>
        <v/>
      </c>
      <c r="AF1006" s="111" t="str">
        <f t="shared" si="376"/>
        <v/>
      </c>
      <c r="AG1006" s="111" t="str">
        <f t="shared" si="377"/>
        <v/>
      </c>
      <c r="AH1006" s="112" t="str">
        <f t="shared" si="382"/>
        <v/>
      </c>
      <c r="AI1006" t="str">
        <f t="shared" si="383"/>
        <v/>
      </c>
      <c r="AJ1006" t="str">
        <f t="shared" si="385"/>
        <v/>
      </c>
    </row>
    <row r="1007" spans="1:36" ht="15" customHeight="1" x14ac:dyDescent="0.25">
      <c r="A1007" s="114"/>
      <c r="B1007" s="116"/>
      <c r="C1007" s="116"/>
      <c r="D1007" s="42" t="str">
        <f t="shared" si="362"/>
        <v/>
      </c>
      <c r="E1007" s="43"/>
      <c r="F1007" s="118"/>
      <c r="G1007" s="44" t="str">
        <f t="shared" si="363"/>
        <v/>
      </c>
      <c r="H1007" s="118"/>
      <c r="I1007" s="34" t="str">
        <f t="shared" si="364"/>
        <v/>
      </c>
      <c r="J1007" s="118"/>
      <c r="K1007" s="34" t="str">
        <f t="shared" si="365"/>
        <v/>
      </c>
      <c r="L1007" s="118"/>
      <c r="M1007" s="121"/>
      <c r="N1007" s="122" t="str">
        <f t="shared" si="366"/>
        <v/>
      </c>
      <c r="O1007" s="35" t="str">
        <f t="shared" si="367"/>
        <v/>
      </c>
      <c r="P1007" s="124"/>
      <c r="Q1007" s="36" t="str">
        <f t="shared" si="378"/>
        <v/>
      </c>
      <c r="R1007" s="46" t="str">
        <f t="shared" si="368"/>
        <v/>
      </c>
      <c r="S1007" s="38" t="str">
        <f t="shared" si="369"/>
        <v/>
      </c>
      <c r="T1007" s="39" t="str">
        <f t="shared" si="370"/>
        <v/>
      </c>
      <c r="U1007" s="40" t="str">
        <f t="shared" si="371"/>
        <v/>
      </c>
      <c r="V1007" s="39" t="str">
        <f t="shared" si="372"/>
        <v/>
      </c>
      <c r="W1007" s="34" t="str">
        <f t="shared" si="373"/>
        <v/>
      </c>
      <c r="X1007" s="41" t="str">
        <f t="shared" si="379"/>
        <v/>
      </c>
      <c r="Y1007" s="98" t="str">
        <f t="shared" si="374"/>
        <v/>
      </c>
      <c r="Z1007" s="16" t="str">
        <f t="shared" si="380"/>
        <v/>
      </c>
      <c r="AB1007" s="139"/>
      <c r="AC1007" s="146" t="str">
        <f t="shared" si="384"/>
        <v/>
      </c>
      <c r="AD1007" s="148" t="str">
        <f t="shared" si="381"/>
        <v/>
      </c>
      <c r="AE1007" s="147" t="str">
        <f t="shared" si="375"/>
        <v/>
      </c>
      <c r="AF1007" s="111" t="str">
        <f t="shared" si="376"/>
        <v/>
      </c>
      <c r="AG1007" s="111" t="str">
        <f t="shared" si="377"/>
        <v/>
      </c>
      <c r="AH1007" s="112" t="str">
        <f t="shared" si="382"/>
        <v/>
      </c>
      <c r="AI1007" t="str">
        <f t="shared" si="383"/>
        <v/>
      </c>
      <c r="AJ1007" t="str">
        <f t="shared" si="385"/>
        <v/>
      </c>
    </row>
    <row r="1008" spans="1:36" ht="15" customHeight="1" x14ac:dyDescent="0.25">
      <c r="L1008" s="47"/>
      <c r="M1008" s="47"/>
    </row>
    <row r="1009" spans="12:13" ht="15" customHeight="1" x14ac:dyDescent="0.25">
      <c r="L1009" s="47"/>
      <c r="M1009" s="47"/>
    </row>
    <row r="1010" spans="12:13" ht="15" customHeight="1" x14ac:dyDescent="0.25">
      <c r="L1010" s="47"/>
      <c r="M1010" s="47"/>
    </row>
  </sheetData>
  <mergeCells count="15">
    <mergeCell ref="Z6:Z7"/>
    <mergeCell ref="W6:W7"/>
    <mergeCell ref="X6:X7"/>
    <mergeCell ref="Y6:Y7"/>
    <mergeCell ref="AB6:AJ6"/>
    <mergeCell ref="J6:K6"/>
    <mergeCell ref="L6:M6"/>
    <mergeCell ref="N6:P6"/>
    <mergeCell ref="Q6:R6"/>
    <mergeCell ref="S6:V6"/>
    <mergeCell ref="A1:D2"/>
    <mergeCell ref="A6:A7"/>
    <mergeCell ref="B6:E6"/>
    <mergeCell ref="F6:G6"/>
    <mergeCell ref="H6:I6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480A74-8F80-4797-BAC0-4460D5C862E4}">
          <x14:formula1>
            <xm:f>Supplier!$A$3:$A$1000</xm:f>
          </x14:formula1>
          <xm:sqref>M1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AM1007"/>
  <sheetViews>
    <sheetView showGridLines="0" zoomScaleNormal="100" workbookViewId="0">
      <pane xSplit="1" ySplit="7" topLeftCell="W8" activePane="bottomRight" state="frozen"/>
      <selection pane="topRight" activeCell="B1" sqref="B1"/>
      <selection pane="bottomLeft" activeCell="A8" sqref="A8"/>
      <selection pane="bottomRight" activeCell="AD19" sqref="AD19"/>
    </sheetView>
  </sheetViews>
  <sheetFormatPr defaultColWidth="8.5703125" defaultRowHeight="15" outlineLevelCol="1" x14ac:dyDescent="0.25"/>
  <cols>
    <col min="1" max="1" width="20.28515625" customWidth="1"/>
    <col min="2" max="3" width="9" customWidth="1"/>
    <col min="4" max="4" width="10" customWidth="1" outlineLevel="1"/>
    <col min="5" max="5" width="11" style="1" customWidth="1" outlineLevel="1"/>
    <col min="6" max="6" width="12.7109375" customWidth="1"/>
    <col min="7" max="7" width="11" customWidth="1" outlineLevel="1"/>
    <col min="8" max="8" width="14.85546875" customWidth="1" outlineLevel="1"/>
    <col min="9" max="9" width="11" customWidth="1" outlineLevel="1"/>
    <col min="10" max="10" width="15.28515625" customWidth="1" outlineLevel="1"/>
    <col min="11" max="11" width="12" customWidth="1"/>
    <col min="12" max="12" width="17.42578125" bestFit="1" customWidth="1" outlineLevel="1"/>
    <col min="13" max="13" width="12" customWidth="1"/>
    <col min="14" max="14" width="11" customWidth="1" outlineLevel="1"/>
    <col min="15" max="15" width="12" customWidth="1"/>
    <col min="16" max="17" width="10" customWidth="1" outlineLevel="1"/>
    <col min="18" max="19" width="11" customWidth="1" outlineLevel="1"/>
    <col min="20" max="20" width="10.5703125" bestFit="1" customWidth="1"/>
    <col min="21" max="25" width="12" customWidth="1" outlineLevel="1"/>
    <col min="26" max="27" width="15" customWidth="1"/>
    <col min="28" max="28" width="16" customWidth="1"/>
    <col min="29" max="29" width="15" customWidth="1"/>
    <col min="32" max="32" width="18.42578125" bestFit="1" customWidth="1"/>
  </cols>
  <sheetData>
    <row r="1" spans="1:39" ht="19.5" customHeight="1" x14ac:dyDescent="0.25">
      <c r="A1" s="158" t="s">
        <v>56</v>
      </c>
      <c r="B1" s="158"/>
      <c r="C1" s="158"/>
      <c r="D1" s="158"/>
      <c r="E1" s="2"/>
      <c r="F1" s="3" t="s">
        <v>57</v>
      </c>
      <c r="G1" s="50">
        <v>0.17399999999999999</v>
      </c>
      <c r="H1" s="3" t="s">
        <v>74</v>
      </c>
      <c r="I1" s="64">
        <v>0.12</v>
      </c>
      <c r="J1" s="3" t="s">
        <v>58</v>
      </c>
      <c r="K1" s="51">
        <f>SUMIFS(F8:F1007,B8:B1007,"&gt;0")+SUMIFS(H8:H1007,B8:B1007,"&gt;0")</f>
        <v>391.53999999999996</v>
      </c>
      <c r="L1" s="3" t="s">
        <v>3</v>
      </c>
      <c r="M1" s="67" t="s">
        <v>4</v>
      </c>
      <c r="N1" s="2"/>
      <c r="O1" s="7"/>
      <c r="P1" s="15"/>
      <c r="AE1" s="106" t="s">
        <v>85</v>
      </c>
      <c r="AF1" s="138">
        <v>0</v>
      </c>
    </row>
    <row r="2" spans="1:39" ht="19.5" customHeight="1" x14ac:dyDescent="0.25">
      <c r="A2" s="158"/>
      <c r="B2" s="158"/>
      <c r="C2" s="158"/>
      <c r="D2" s="158"/>
      <c r="E2" s="2"/>
      <c r="F2" s="48" t="s">
        <v>62</v>
      </c>
      <c r="G2" s="82">
        <f>AC5</f>
        <v>2403.1799999999998</v>
      </c>
      <c r="H2" s="3" t="s">
        <v>9</v>
      </c>
      <c r="I2" s="65">
        <v>0</v>
      </c>
      <c r="J2" s="61" t="s">
        <v>14</v>
      </c>
      <c r="K2" s="62">
        <f>ROUND(G2-I4,0)</f>
        <v>2317</v>
      </c>
      <c r="L2" s="3" t="s">
        <v>7</v>
      </c>
      <c r="M2" s="9">
        <f>IFERROR(INDEX(Supplier!B:B,MATCH(M1,Supplier!A:A,0)),0)</f>
        <v>2000</v>
      </c>
      <c r="N2" s="2" t="s">
        <v>8</v>
      </c>
      <c r="O2" s="7"/>
      <c r="AE2" s="106" t="s">
        <v>86</v>
      </c>
      <c r="AF2" s="105">
        <v>0</v>
      </c>
    </row>
    <row r="3" spans="1:39" ht="19.5" customHeight="1" x14ac:dyDescent="0.25">
      <c r="A3" s="2"/>
      <c r="B3" s="2"/>
      <c r="C3" s="2"/>
      <c r="D3" s="2"/>
      <c r="E3" s="2"/>
      <c r="F3" s="3" t="s">
        <v>59</v>
      </c>
      <c r="G3" s="63">
        <f>SUM(J8:J1007)</f>
        <v>1958.7799999999997</v>
      </c>
      <c r="H3" s="3" t="s">
        <v>60</v>
      </c>
      <c r="I3" s="52">
        <f>SUMIFS(J8:J1007,E8:E1007,0,S8:S1007,"&lt;=0")+SUMIFS(J8:J1007,E8:E1007,"",S8:S1007,"&lt;=0")+SUMIFS(J8:J1007,E8:E1007,0,S8:S1007,"")+SUMIFS(J8:J1007,E8:E1007,"",S8:S1007,"")</f>
        <v>178.88</v>
      </c>
      <c r="J3" s="3" t="s">
        <v>1</v>
      </c>
      <c r="K3" s="52">
        <f>K2-(G2-I4)</f>
        <v>0.28560000000015862</v>
      </c>
      <c r="L3" s="3" t="s">
        <v>11</v>
      </c>
      <c r="M3" s="13">
        <f>MAX(M2+K2-K4-M5,0)</f>
        <v>0</v>
      </c>
      <c r="N3" s="2" t="s">
        <v>12</v>
      </c>
      <c r="O3" s="7"/>
      <c r="AE3" s="106" t="s">
        <v>84</v>
      </c>
      <c r="AF3" s="107">
        <f>M2</f>
        <v>2000</v>
      </c>
    </row>
    <row r="4" spans="1:39" ht="19.5" customHeight="1" x14ac:dyDescent="0.25">
      <c r="A4" s="2"/>
      <c r="B4" s="2"/>
      <c r="C4" s="2"/>
      <c r="D4" s="2"/>
      <c r="E4" s="2"/>
      <c r="F4" s="3" t="s">
        <v>75</v>
      </c>
      <c r="G4" s="63">
        <f>AC5-G3</f>
        <v>444.40000000000009</v>
      </c>
      <c r="H4" s="3" t="s">
        <v>6</v>
      </c>
      <c r="I4" s="102">
        <f>SUM(R8:R1007)</f>
        <v>86.465599999999995</v>
      </c>
      <c r="J4" s="53" t="s">
        <v>17</v>
      </c>
      <c r="K4" s="65">
        <v>4563</v>
      </c>
      <c r="L4" s="3" t="s">
        <v>15</v>
      </c>
      <c r="M4" s="13">
        <f>MAX(-(M2+K2-K4-M5),0)</f>
        <v>246</v>
      </c>
      <c r="N4" s="2" t="s">
        <v>16</v>
      </c>
      <c r="O4" s="7"/>
      <c r="T4" s="16"/>
      <c r="AE4" s="106" t="s">
        <v>87</v>
      </c>
      <c r="AF4" s="107">
        <f>M2-SUM($AK$8:$AK$1007)</f>
        <v>2000</v>
      </c>
    </row>
    <row r="5" spans="1:39" ht="19.5" customHeight="1" x14ac:dyDescent="0.25">
      <c r="A5" s="2"/>
      <c r="B5" s="20">
        <f>SUM(B8:B1007)</f>
        <v>17</v>
      </c>
      <c r="C5" s="7"/>
      <c r="D5" s="20">
        <f>SUM(D8:D1007)</f>
        <v>92</v>
      </c>
      <c r="E5" s="7"/>
      <c r="F5" s="53">
        <f>SUM(F8:F1007)</f>
        <v>301.5</v>
      </c>
      <c r="G5" s="49"/>
      <c r="H5" s="53">
        <f>SUM(H8:H1007)</f>
        <v>90.039999999999992</v>
      </c>
      <c r="I5" s="60"/>
      <c r="J5" s="3" t="s">
        <v>2</v>
      </c>
      <c r="K5" s="52">
        <v>4513</v>
      </c>
      <c r="L5" s="3" t="s">
        <v>18</v>
      </c>
      <c r="M5" s="66">
        <v>0</v>
      </c>
      <c r="N5" s="2"/>
      <c r="O5" s="2"/>
      <c r="P5" s="54"/>
      <c r="Q5" s="23"/>
      <c r="R5" s="68">
        <f>I4-S5</f>
        <v>21.465599999999995</v>
      </c>
      <c r="S5" s="68">
        <f>SUM(S8:S1007)</f>
        <v>65</v>
      </c>
      <c r="AA5" s="23"/>
      <c r="AB5" s="81">
        <f>SUM(AB8:AB1007)</f>
        <v>2317</v>
      </c>
      <c r="AC5" s="81">
        <f>SUM(AC8:AC1007)</f>
        <v>2403.1799999999998</v>
      </c>
    </row>
    <row r="6" spans="1:39" ht="21.75" customHeight="1" x14ac:dyDescent="0.25">
      <c r="A6" s="159" t="s">
        <v>19</v>
      </c>
      <c r="B6" s="159" t="s">
        <v>20</v>
      </c>
      <c r="C6" s="159"/>
      <c r="D6" s="159"/>
      <c r="E6" s="159"/>
      <c r="F6" s="159" t="s">
        <v>61</v>
      </c>
      <c r="G6" s="159"/>
      <c r="H6" s="159"/>
      <c r="I6" s="159"/>
      <c r="J6" s="159"/>
      <c r="K6" s="159" t="s">
        <v>22</v>
      </c>
      <c r="L6" s="159"/>
      <c r="M6" s="159" t="s">
        <v>23</v>
      </c>
      <c r="N6" s="159"/>
      <c r="O6" s="159" t="s">
        <v>24</v>
      </c>
      <c r="P6" s="159"/>
      <c r="Q6" s="159" t="s">
        <v>25</v>
      </c>
      <c r="R6" s="159"/>
      <c r="S6" s="159"/>
      <c r="T6" s="159" t="s">
        <v>26</v>
      </c>
      <c r="U6" s="159"/>
      <c r="V6" s="159" t="s">
        <v>27</v>
      </c>
      <c r="W6" s="159"/>
      <c r="X6" s="159"/>
      <c r="Y6" s="159"/>
      <c r="Z6" s="159" t="s">
        <v>28</v>
      </c>
      <c r="AA6" s="159" t="s">
        <v>29</v>
      </c>
      <c r="AB6" s="159" t="s">
        <v>30</v>
      </c>
      <c r="AC6" s="159" t="s">
        <v>62</v>
      </c>
      <c r="AE6" s="161" t="s">
        <v>88</v>
      </c>
      <c r="AF6" s="161"/>
      <c r="AG6" s="161"/>
      <c r="AH6" s="161"/>
      <c r="AI6" s="161"/>
      <c r="AJ6" s="161"/>
      <c r="AK6" s="161"/>
      <c r="AL6" s="161"/>
      <c r="AM6" s="150"/>
    </row>
    <row r="7" spans="1:39" ht="27.75" customHeight="1" x14ac:dyDescent="0.25">
      <c r="A7" s="159"/>
      <c r="B7" s="25" t="s">
        <v>31</v>
      </c>
      <c r="C7" s="25" t="s">
        <v>32</v>
      </c>
      <c r="D7" s="25" t="s">
        <v>33</v>
      </c>
      <c r="E7" s="25" t="s">
        <v>34</v>
      </c>
      <c r="F7" s="26" t="s">
        <v>63</v>
      </c>
      <c r="G7" s="26" t="s">
        <v>64</v>
      </c>
      <c r="H7" s="26" t="s">
        <v>65</v>
      </c>
      <c r="I7" s="26" t="s">
        <v>66</v>
      </c>
      <c r="J7" s="26" t="s">
        <v>59</v>
      </c>
      <c r="K7" s="26" t="s">
        <v>37</v>
      </c>
      <c r="L7" s="28" t="s">
        <v>38</v>
      </c>
      <c r="M7" s="29" t="s">
        <v>37</v>
      </c>
      <c r="N7" s="26" t="s">
        <v>38</v>
      </c>
      <c r="O7" s="26" t="s">
        <v>39</v>
      </c>
      <c r="P7" s="26" t="s">
        <v>40</v>
      </c>
      <c r="Q7" s="26" t="s">
        <v>41</v>
      </c>
      <c r="R7" s="29" t="s">
        <v>42</v>
      </c>
      <c r="S7" s="29" t="s">
        <v>43</v>
      </c>
      <c r="T7" s="27" t="s">
        <v>44</v>
      </c>
      <c r="U7" s="27" t="s">
        <v>35</v>
      </c>
      <c r="V7" s="27" t="s">
        <v>45</v>
      </c>
      <c r="W7" s="27" t="s">
        <v>46</v>
      </c>
      <c r="X7" s="27" t="s">
        <v>47</v>
      </c>
      <c r="Y7" s="27" t="s">
        <v>48</v>
      </c>
      <c r="Z7" s="159"/>
      <c r="AA7" s="159"/>
      <c r="AB7" s="159"/>
      <c r="AC7" s="159"/>
      <c r="AE7" s="108" t="s">
        <v>78</v>
      </c>
      <c r="AF7" s="108" t="s">
        <v>89</v>
      </c>
      <c r="AG7" s="108" t="s">
        <v>79</v>
      </c>
      <c r="AH7" s="108" t="s">
        <v>80</v>
      </c>
      <c r="AI7" s="108" t="s">
        <v>81</v>
      </c>
      <c r="AJ7" s="108" t="s">
        <v>82</v>
      </c>
      <c r="AK7" s="108" t="s">
        <v>83</v>
      </c>
      <c r="AL7" s="108" t="s">
        <v>92</v>
      </c>
      <c r="AM7" s="108" t="s">
        <v>95</v>
      </c>
    </row>
    <row r="8" spans="1:39" ht="21.75" customHeight="1" x14ac:dyDescent="0.25">
      <c r="A8" s="140">
        <v>1</v>
      </c>
      <c r="B8" s="132">
        <v>2</v>
      </c>
      <c r="C8" s="132">
        <v>1</v>
      </c>
      <c r="D8" s="30">
        <f t="shared" ref="D8:D71" si="0">IF(A8="","",B8*C8)</f>
        <v>2</v>
      </c>
      <c r="E8" s="31">
        <v>0</v>
      </c>
      <c r="F8" s="134">
        <v>89.44</v>
      </c>
      <c r="G8" s="76">
        <f t="shared" ref="G8:G71" si="1">IF(OR(F8="",C8=0,C8=""),"",F8/C8)</f>
        <v>89.44</v>
      </c>
      <c r="H8" s="101">
        <v>45</v>
      </c>
      <c r="I8" s="78">
        <f t="shared" ref="I8:I71" si="2">IF(OR(H8="",C8=0,C8=""),"",H8/C8)</f>
        <v>45</v>
      </c>
      <c r="J8" s="69">
        <f>IF(A8="","",F8*B8)</f>
        <v>178.88</v>
      </c>
      <c r="K8" s="134">
        <v>150</v>
      </c>
      <c r="L8" s="71">
        <f t="shared" ref="L8:L71" si="3">IF(OR(K8=0,C8=0,K8="",C8=""),"",K8/C8)</f>
        <v>150</v>
      </c>
      <c r="M8" s="134">
        <v>150</v>
      </c>
      <c r="N8" s="71">
        <f t="shared" ref="N8:N71" si="4">IF(OR(M8=0,C8=0,M8="",C8=""),"",M8/C8)</f>
        <v>150</v>
      </c>
      <c r="O8" s="141">
        <v>2</v>
      </c>
      <c r="P8" s="142" t="s">
        <v>50</v>
      </c>
      <c r="Q8" s="122">
        <f t="shared" ref="Q8:Q71" si="5">IF(A8="","",IF(S8&gt;0,IF(J8&gt;0,S8/J8,0),IF(E8&gt;0,0,IF($I$2&gt;0,IF($I$3&gt;0,MAX($I$2-SUM($S$8:$S$1007),0)/$I$3,0),$I$1))))</f>
        <v>0.12</v>
      </c>
      <c r="R8" s="55">
        <f t="shared" ref="R8:R71" si="6">IF(A8="","",IF(S8&gt;0,S8,IF(E8&gt;0,0,J8*IF($I$2&gt;0,IF($I$3&gt;0,MAX($I$2-SUM($S$8:$S$1007),0)/$I$3,0),$I$1))))</f>
        <v>21.465599999999998</v>
      </c>
      <c r="S8" s="137"/>
      <c r="T8" s="79">
        <f t="shared" ref="T8:T72" si="7">IF(A8="","",IF(OR(B8=0,B8="",C8&lt;=0,D8+E8&lt;=0),"",((F8+H8)*B8+(H8/C8)*E8-R8)/(D8+E8)-IF(Z8&gt;=0,Z8/D8,0)+IF(ISNUMBER(AA8),AA8/(D8+E8),0)))</f>
        <v>123.71920587696169</v>
      </c>
      <c r="U8" s="79">
        <f t="shared" ref="U8:U71" si="8">IF(OR(A8="",T8=""),"",T8*C8)</f>
        <v>123.71920587696169</v>
      </c>
      <c r="V8" s="73">
        <f t="shared" ref="V8:V71" si="9">IF(OR(A8="",K8&lt;=0,U8=""),"",(K8-U8)/K8)</f>
        <v>0.17520529415358871</v>
      </c>
      <c r="W8" s="80">
        <f t="shared" ref="W8:W71" si="10">IF(OR(K8=0,U8=0,K8="",U8=""),"",K8-U8)</f>
        <v>26.280794123038305</v>
      </c>
      <c r="X8" s="73">
        <f t="shared" ref="X8:X71" si="11">IF(OR(A8="",M8&lt;=0,U8=""),"",(M8-U8)/M8)</f>
        <v>0.17520529415358871</v>
      </c>
      <c r="Y8" s="80">
        <f t="shared" ref="Y8:Y71" si="12">IF(OR(M8=0,U8=0,M8="",U8=""),"",M8-U8)</f>
        <v>26.280794123038305</v>
      </c>
      <c r="Z8" s="74">
        <f t="shared" ref="Z8:Z71" si="13">IF(OR(J8="",J8=0,$M$5="",$K$1=0),"",($M$5/$K$1)*J8)</f>
        <v>0</v>
      </c>
      <c r="AA8" s="75">
        <f>IF(OR(J8="",J8=0,($G$3-$I$4)=0),"",($K$3/($G$3-$I$4))*(J8-R8))</f>
        <v>2.4011753923392876E-2</v>
      </c>
      <c r="AB8" s="103">
        <f t="shared" ref="AB8:AB71" si="14">IF(OR(T8=0,T8="",D8=0,D8=""),"",T8*(D8+E8))</f>
        <v>247.43841175392339</v>
      </c>
      <c r="AC8" s="104">
        <f>IF(OR(A8="",J8="",C8&lt;=0, B8=0),"",J8+H8*B8+(H8/C8)*E8)</f>
        <v>268.88</v>
      </c>
      <c r="AE8" s="139"/>
      <c r="AF8" s="110" t="str">
        <f>IF(AE8="","",T8)</f>
        <v/>
      </c>
      <c r="AG8" s="111" t="str">
        <f>IF(OR(AE8="",AF8=""),"",AE8*AF8)</f>
        <v/>
      </c>
      <c r="AH8" s="111" t="str">
        <f t="shared" ref="AH8:AH71" si="15">IF(AG8="","",AG8*$AF$1+IF(SUM($AG$8:$AG$1007)=0,0,$AF$2*AG8/SUM($AG$8:$AG$1007)))</f>
        <v/>
      </c>
      <c r="AI8" s="111" t="str">
        <f>IF(AG8="","",AG8-AH8)</f>
        <v/>
      </c>
      <c r="AJ8" s="111" t="str">
        <f>IF(AI8="","",AK8-AI8)</f>
        <v/>
      </c>
      <c r="AK8" s="112" t="str">
        <f>IF(AI8="","",ROUND(AI8,0))</f>
        <v/>
      </c>
      <c r="AL8" t="str">
        <f>IF(OR(AE8=0,AE8=""),"",AH8/AE8)</f>
        <v/>
      </c>
      <c r="AM8" t="str">
        <f>IF(OR(AE8=0,AE8=""),"",AF8*C8)</f>
        <v/>
      </c>
    </row>
    <row r="9" spans="1:39" ht="21.75" customHeight="1" x14ac:dyDescent="0.25">
      <c r="A9" s="130" t="s">
        <v>67</v>
      </c>
      <c r="B9" s="132">
        <v>5</v>
      </c>
      <c r="C9" s="132">
        <v>10</v>
      </c>
      <c r="D9" s="30">
        <f t="shared" si="0"/>
        <v>50</v>
      </c>
      <c r="E9" s="31">
        <v>2</v>
      </c>
      <c r="F9" s="134">
        <v>68.14</v>
      </c>
      <c r="G9" s="76">
        <f t="shared" si="1"/>
        <v>6.8140000000000001</v>
      </c>
      <c r="H9" s="101">
        <v>20</v>
      </c>
      <c r="I9" s="78">
        <f t="shared" si="2"/>
        <v>2</v>
      </c>
      <c r="J9" s="69">
        <f t="shared" ref="J9:J71" si="16">IF(A9="","",F9*B9)</f>
        <v>340.7</v>
      </c>
      <c r="K9" s="134">
        <v>100</v>
      </c>
      <c r="L9" s="71">
        <f t="shared" si="3"/>
        <v>10</v>
      </c>
      <c r="M9" s="134">
        <v>90</v>
      </c>
      <c r="N9" s="71">
        <f t="shared" si="4"/>
        <v>9</v>
      </c>
      <c r="O9" s="141">
        <v>2</v>
      </c>
      <c r="P9" s="142" t="s">
        <v>52</v>
      </c>
      <c r="Q9" s="122">
        <f t="shared" si="5"/>
        <v>0</v>
      </c>
      <c r="R9" s="55">
        <f t="shared" si="6"/>
        <v>0</v>
      </c>
      <c r="S9" s="137"/>
      <c r="T9" s="79">
        <f t="shared" si="7"/>
        <v>8.5529224973359987</v>
      </c>
      <c r="U9" s="79">
        <f t="shared" si="8"/>
        <v>85.529224973359987</v>
      </c>
      <c r="V9" s="73">
        <f t="shared" si="9"/>
        <v>0.14470775026640012</v>
      </c>
      <c r="W9" s="80">
        <f t="shared" si="10"/>
        <v>14.470775026640013</v>
      </c>
      <c r="X9" s="73">
        <f t="shared" si="11"/>
        <v>4.9675278073777918E-2</v>
      </c>
      <c r="Y9" s="80">
        <f t="shared" si="12"/>
        <v>4.4707750266400126</v>
      </c>
      <c r="Z9" s="74">
        <f t="shared" si="13"/>
        <v>0</v>
      </c>
      <c r="AA9" s="75">
        <f t="shared" ref="AA9:AA72" si="17">IF(OR(J9="",J9=0,($G$3-$I$4)=0),"",($K$3/($G$3-$I$4))*(J9-R9))</f>
        <v>5.1969861472012421E-2</v>
      </c>
      <c r="AB9" s="103">
        <f t="shared" si="14"/>
        <v>444.75196986147193</v>
      </c>
      <c r="AC9" s="104">
        <f>IF(OR(A9="",J9="",C9&lt;=0, B9=0),"",J9+H9*B9+(H9/C9)*E9)</f>
        <v>444.7</v>
      </c>
      <c r="AE9" s="139"/>
      <c r="AF9" s="110" t="str">
        <f t="shared" ref="AF9:AF72" si="18">IF(AE9="","",T9)</f>
        <v/>
      </c>
      <c r="AG9" s="111" t="str">
        <f t="shared" ref="AG9:AG72" si="19">IF(OR(AE9="",AF9=""),"",AE9*AF9)</f>
        <v/>
      </c>
      <c r="AH9" s="111" t="str">
        <f t="shared" si="15"/>
        <v/>
      </c>
      <c r="AI9" s="111" t="str">
        <f t="shared" ref="AI9:AI72" si="20">IF(AG9="","",AG9-AH9)</f>
        <v/>
      </c>
      <c r="AJ9" s="111" t="str">
        <f t="shared" ref="AJ9:AJ72" si="21">IF(AI9="","",AK9-AI9)</f>
        <v/>
      </c>
      <c r="AK9" s="112" t="str">
        <f t="shared" ref="AK9:AK72" si="22">IF(AI9="","",ROUND(AI9,0))</f>
        <v/>
      </c>
      <c r="AL9" t="str">
        <f t="shared" ref="AL9:AL72" si="23">IF(OR(AE9=0,AE9=""),"",AH9/AE9)</f>
        <v/>
      </c>
      <c r="AM9" t="str">
        <f t="shared" ref="AM9:AM72" si="24">IF(OR(AE9=0,AE9=""),"",AF9*C9)</f>
        <v/>
      </c>
    </row>
    <row r="10" spans="1:39" ht="15" customHeight="1" x14ac:dyDescent="0.25">
      <c r="A10" s="130" t="s">
        <v>68</v>
      </c>
      <c r="B10" s="132">
        <v>10</v>
      </c>
      <c r="C10" s="132">
        <v>4</v>
      </c>
      <c r="D10" s="30">
        <f t="shared" si="0"/>
        <v>40</v>
      </c>
      <c r="E10" s="31">
        <v>0</v>
      </c>
      <c r="F10" s="134">
        <v>143.91999999999999</v>
      </c>
      <c r="G10" s="76">
        <f t="shared" si="1"/>
        <v>35.979999999999997</v>
      </c>
      <c r="H10" s="32">
        <f t="shared" ref="H10:H71" si="25">IF(F10="","",ROUND(F10*$G$1,2))</f>
        <v>25.04</v>
      </c>
      <c r="I10" s="78">
        <f t="shared" si="2"/>
        <v>6.26</v>
      </c>
      <c r="J10" s="69">
        <f t="shared" si="16"/>
        <v>1439.1999999999998</v>
      </c>
      <c r="K10" s="134">
        <v>192</v>
      </c>
      <c r="L10" s="71">
        <f t="shared" si="3"/>
        <v>48</v>
      </c>
      <c r="M10" s="134">
        <v>190</v>
      </c>
      <c r="N10" s="71">
        <f t="shared" si="4"/>
        <v>47.5</v>
      </c>
      <c r="O10" s="141">
        <v>3</v>
      </c>
      <c r="P10" s="142" t="s">
        <v>54</v>
      </c>
      <c r="Q10" s="122">
        <f t="shared" si="5"/>
        <v>4.5163979988882719E-2</v>
      </c>
      <c r="R10" s="55">
        <f t="shared" si="6"/>
        <v>65</v>
      </c>
      <c r="S10" s="137">
        <v>65</v>
      </c>
      <c r="T10" s="79">
        <f t="shared" si="7"/>
        <v>40.620240459615111</v>
      </c>
      <c r="U10" s="79">
        <f t="shared" si="8"/>
        <v>162.48096183846044</v>
      </c>
      <c r="V10" s="73">
        <f t="shared" si="9"/>
        <v>0.15374499042468517</v>
      </c>
      <c r="W10" s="80">
        <f t="shared" si="10"/>
        <v>29.519038161539555</v>
      </c>
      <c r="X10" s="73">
        <f t="shared" si="11"/>
        <v>0.14483704295547134</v>
      </c>
      <c r="Y10" s="80">
        <f t="shared" si="12"/>
        <v>27.519038161539555</v>
      </c>
      <c r="Z10" s="74">
        <f t="shared" si="13"/>
        <v>0</v>
      </c>
      <c r="AA10" s="75">
        <f t="shared" si="17"/>
        <v>0.20961838460475335</v>
      </c>
      <c r="AB10" s="103">
        <f t="shared" si="14"/>
        <v>1624.8096183846044</v>
      </c>
      <c r="AC10" s="104">
        <f t="shared" ref="AC10:AC73" si="26">IF(OR(A10="",J10="",C10&lt;=0, B10=0),"",J10+H10*B10+(H10/C10)*E10)</f>
        <v>1689.6</v>
      </c>
      <c r="AE10" s="139"/>
      <c r="AF10" s="110" t="str">
        <f t="shared" si="18"/>
        <v/>
      </c>
      <c r="AG10" s="111" t="str">
        <f t="shared" si="19"/>
        <v/>
      </c>
      <c r="AH10" s="111" t="str">
        <f t="shared" si="15"/>
        <v/>
      </c>
      <c r="AI10" s="111" t="str">
        <f t="shared" si="20"/>
        <v/>
      </c>
      <c r="AJ10" s="111" t="str">
        <f t="shared" si="21"/>
        <v/>
      </c>
      <c r="AK10" s="112" t="str">
        <f t="shared" si="22"/>
        <v/>
      </c>
      <c r="AL10" t="str">
        <f t="shared" si="23"/>
        <v/>
      </c>
      <c r="AM10" t="str">
        <f t="shared" si="24"/>
        <v/>
      </c>
    </row>
    <row r="11" spans="1:39" ht="15" customHeight="1" x14ac:dyDescent="0.25">
      <c r="A11" s="131"/>
      <c r="B11" s="133"/>
      <c r="C11" s="133"/>
      <c r="D11" s="42" t="str">
        <f t="shared" si="0"/>
        <v/>
      </c>
      <c r="E11" s="43"/>
      <c r="F11" s="135"/>
      <c r="G11" s="77" t="str">
        <f t="shared" si="1"/>
        <v/>
      </c>
      <c r="H11" s="32" t="str">
        <f t="shared" si="25"/>
        <v/>
      </c>
      <c r="I11" s="78" t="str">
        <f t="shared" si="2"/>
        <v/>
      </c>
      <c r="J11" s="70" t="str">
        <f>IF(A11="","",F11*B11)</f>
        <v/>
      </c>
      <c r="K11" s="135"/>
      <c r="L11" s="72" t="str">
        <f t="shared" si="3"/>
        <v/>
      </c>
      <c r="M11" s="135"/>
      <c r="N11" s="72" t="str">
        <f t="shared" si="4"/>
        <v/>
      </c>
      <c r="O11" s="135"/>
      <c r="P11" s="136"/>
      <c r="Q11" s="123" t="str">
        <f t="shared" si="5"/>
        <v/>
      </c>
      <c r="R11" s="45" t="str">
        <f t="shared" si="6"/>
        <v/>
      </c>
      <c r="S11" s="137"/>
      <c r="T11" s="79" t="str">
        <f t="shared" si="7"/>
        <v/>
      </c>
      <c r="U11" s="79" t="str">
        <f t="shared" si="8"/>
        <v/>
      </c>
      <c r="V11" s="73" t="str">
        <f t="shared" si="9"/>
        <v/>
      </c>
      <c r="W11" s="80" t="str">
        <f t="shared" si="10"/>
        <v/>
      </c>
      <c r="X11" s="73" t="str">
        <f t="shared" si="11"/>
        <v/>
      </c>
      <c r="Y11" s="80" t="str">
        <f t="shared" si="12"/>
        <v/>
      </c>
      <c r="Z11" s="74" t="str">
        <f t="shared" si="13"/>
        <v/>
      </c>
      <c r="AA11" s="75" t="str">
        <f t="shared" si="17"/>
        <v/>
      </c>
      <c r="AB11" s="103" t="str">
        <f t="shared" si="14"/>
        <v/>
      </c>
      <c r="AC11" s="104" t="str">
        <f t="shared" si="26"/>
        <v/>
      </c>
      <c r="AE11" s="139"/>
      <c r="AF11" s="110" t="str">
        <f t="shared" si="18"/>
        <v/>
      </c>
      <c r="AG11" s="111" t="str">
        <f t="shared" si="19"/>
        <v/>
      </c>
      <c r="AH11" s="111" t="str">
        <f t="shared" si="15"/>
        <v/>
      </c>
      <c r="AI11" s="111" t="str">
        <f t="shared" si="20"/>
        <v/>
      </c>
      <c r="AJ11" s="111" t="str">
        <f t="shared" si="21"/>
        <v/>
      </c>
      <c r="AK11" s="112" t="str">
        <f t="shared" si="22"/>
        <v/>
      </c>
      <c r="AL11" t="str">
        <f t="shared" si="23"/>
        <v/>
      </c>
      <c r="AM11" t="str">
        <f t="shared" si="24"/>
        <v/>
      </c>
    </row>
    <row r="12" spans="1:39" ht="15" customHeight="1" x14ac:dyDescent="0.25">
      <c r="A12" s="131"/>
      <c r="B12" s="133"/>
      <c r="C12" s="133"/>
      <c r="D12" s="42" t="str">
        <f t="shared" si="0"/>
        <v/>
      </c>
      <c r="E12" s="43"/>
      <c r="F12" s="135"/>
      <c r="G12" s="77" t="str">
        <f t="shared" si="1"/>
        <v/>
      </c>
      <c r="H12" s="32" t="str">
        <f t="shared" si="25"/>
        <v/>
      </c>
      <c r="I12" s="78" t="str">
        <f t="shared" si="2"/>
        <v/>
      </c>
      <c r="J12" s="70" t="str">
        <f t="shared" si="16"/>
        <v/>
      </c>
      <c r="K12" s="135"/>
      <c r="L12" s="72" t="str">
        <f t="shared" si="3"/>
        <v/>
      </c>
      <c r="M12" s="135"/>
      <c r="N12" s="72" t="str">
        <f t="shared" si="4"/>
        <v/>
      </c>
      <c r="O12" s="135"/>
      <c r="P12" s="136"/>
      <c r="Q12" s="123" t="str">
        <f t="shared" si="5"/>
        <v/>
      </c>
      <c r="R12" s="45" t="str">
        <f t="shared" si="6"/>
        <v/>
      </c>
      <c r="S12" s="137"/>
      <c r="T12" s="79" t="str">
        <f t="shared" si="7"/>
        <v/>
      </c>
      <c r="U12" s="79" t="str">
        <f t="shared" si="8"/>
        <v/>
      </c>
      <c r="V12" s="73" t="str">
        <f t="shared" si="9"/>
        <v/>
      </c>
      <c r="W12" s="80" t="str">
        <f t="shared" si="10"/>
        <v/>
      </c>
      <c r="X12" s="73" t="str">
        <f t="shared" si="11"/>
        <v/>
      </c>
      <c r="Y12" s="80" t="str">
        <f t="shared" si="12"/>
        <v/>
      </c>
      <c r="Z12" s="74" t="str">
        <f t="shared" si="13"/>
        <v/>
      </c>
      <c r="AA12" s="75" t="str">
        <f t="shared" si="17"/>
        <v/>
      </c>
      <c r="AB12" s="103" t="str">
        <f t="shared" si="14"/>
        <v/>
      </c>
      <c r="AC12" s="104" t="str">
        <f t="shared" si="26"/>
        <v/>
      </c>
      <c r="AE12" s="139"/>
      <c r="AF12" s="110" t="str">
        <f t="shared" si="18"/>
        <v/>
      </c>
      <c r="AG12" s="111" t="str">
        <f t="shared" si="19"/>
        <v/>
      </c>
      <c r="AH12" s="111" t="str">
        <f t="shared" si="15"/>
        <v/>
      </c>
      <c r="AI12" s="111" t="str">
        <f t="shared" si="20"/>
        <v/>
      </c>
      <c r="AJ12" s="111" t="str">
        <f t="shared" si="21"/>
        <v/>
      </c>
      <c r="AK12" s="112" t="str">
        <f t="shared" si="22"/>
        <v/>
      </c>
      <c r="AL12" t="str">
        <f t="shared" si="23"/>
        <v/>
      </c>
      <c r="AM12" t="str">
        <f t="shared" si="24"/>
        <v/>
      </c>
    </row>
    <row r="13" spans="1:39" ht="15" customHeight="1" x14ac:dyDescent="0.25">
      <c r="A13" s="131"/>
      <c r="B13" s="133"/>
      <c r="C13" s="133"/>
      <c r="D13" s="42" t="str">
        <f t="shared" si="0"/>
        <v/>
      </c>
      <c r="E13" s="43"/>
      <c r="F13" s="135"/>
      <c r="G13" s="77" t="str">
        <f t="shared" si="1"/>
        <v/>
      </c>
      <c r="H13" s="32" t="str">
        <f t="shared" si="25"/>
        <v/>
      </c>
      <c r="I13" s="78" t="str">
        <f t="shared" si="2"/>
        <v/>
      </c>
      <c r="J13" s="70" t="str">
        <f t="shared" si="16"/>
        <v/>
      </c>
      <c r="K13" s="135"/>
      <c r="L13" s="72" t="str">
        <f t="shared" si="3"/>
        <v/>
      </c>
      <c r="M13" s="135"/>
      <c r="N13" s="72" t="str">
        <f t="shared" si="4"/>
        <v/>
      </c>
      <c r="O13" s="135"/>
      <c r="P13" s="136"/>
      <c r="Q13" s="123" t="str">
        <f t="shared" si="5"/>
        <v/>
      </c>
      <c r="R13" s="45" t="str">
        <f t="shared" si="6"/>
        <v/>
      </c>
      <c r="S13" s="137"/>
      <c r="T13" s="79" t="str">
        <f t="shared" si="7"/>
        <v/>
      </c>
      <c r="U13" s="79" t="str">
        <f t="shared" si="8"/>
        <v/>
      </c>
      <c r="V13" s="73" t="str">
        <f t="shared" si="9"/>
        <v/>
      </c>
      <c r="W13" s="80" t="str">
        <f t="shared" si="10"/>
        <v/>
      </c>
      <c r="X13" s="73" t="str">
        <f t="shared" si="11"/>
        <v/>
      </c>
      <c r="Y13" s="80" t="str">
        <f t="shared" si="12"/>
        <v/>
      </c>
      <c r="Z13" s="74" t="str">
        <f t="shared" si="13"/>
        <v/>
      </c>
      <c r="AA13" s="75" t="str">
        <f t="shared" si="17"/>
        <v/>
      </c>
      <c r="AB13" s="103" t="str">
        <f t="shared" si="14"/>
        <v/>
      </c>
      <c r="AC13" s="104" t="str">
        <f t="shared" si="26"/>
        <v/>
      </c>
      <c r="AE13" s="139"/>
      <c r="AF13" s="110" t="str">
        <f t="shared" si="18"/>
        <v/>
      </c>
      <c r="AG13" s="111" t="str">
        <f t="shared" si="19"/>
        <v/>
      </c>
      <c r="AH13" s="111" t="str">
        <f t="shared" si="15"/>
        <v/>
      </c>
      <c r="AI13" s="111" t="str">
        <f t="shared" si="20"/>
        <v/>
      </c>
      <c r="AJ13" s="111" t="str">
        <f t="shared" si="21"/>
        <v/>
      </c>
      <c r="AK13" s="112" t="str">
        <f t="shared" si="22"/>
        <v/>
      </c>
      <c r="AL13" t="str">
        <f t="shared" si="23"/>
        <v/>
      </c>
      <c r="AM13" t="str">
        <f t="shared" si="24"/>
        <v/>
      </c>
    </row>
    <row r="14" spans="1:39" ht="15" customHeight="1" x14ac:dyDescent="0.25">
      <c r="A14" s="131"/>
      <c r="B14" s="133"/>
      <c r="C14" s="133"/>
      <c r="D14" s="42" t="str">
        <f t="shared" si="0"/>
        <v/>
      </c>
      <c r="E14" s="43"/>
      <c r="F14" s="135"/>
      <c r="G14" s="77" t="str">
        <f t="shared" si="1"/>
        <v/>
      </c>
      <c r="H14" s="32" t="str">
        <f t="shared" si="25"/>
        <v/>
      </c>
      <c r="I14" s="78" t="str">
        <f t="shared" si="2"/>
        <v/>
      </c>
      <c r="J14" s="70" t="str">
        <f t="shared" si="16"/>
        <v/>
      </c>
      <c r="K14" s="135"/>
      <c r="L14" s="72" t="str">
        <f t="shared" si="3"/>
        <v/>
      </c>
      <c r="M14" s="135"/>
      <c r="N14" s="72" t="str">
        <f t="shared" si="4"/>
        <v/>
      </c>
      <c r="O14" s="135"/>
      <c r="P14" s="136"/>
      <c r="Q14" s="123" t="str">
        <f t="shared" si="5"/>
        <v/>
      </c>
      <c r="R14" s="45" t="str">
        <f t="shared" si="6"/>
        <v/>
      </c>
      <c r="S14" s="137"/>
      <c r="T14" s="79" t="str">
        <f t="shared" si="7"/>
        <v/>
      </c>
      <c r="U14" s="79" t="str">
        <f t="shared" si="8"/>
        <v/>
      </c>
      <c r="V14" s="73" t="str">
        <f t="shared" si="9"/>
        <v/>
      </c>
      <c r="W14" s="80" t="str">
        <f t="shared" si="10"/>
        <v/>
      </c>
      <c r="X14" s="73" t="str">
        <f t="shared" si="11"/>
        <v/>
      </c>
      <c r="Y14" s="80" t="str">
        <f t="shared" si="12"/>
        <v/>
      </c>
      <c r="Z14" s="74" t="str">
        <f t="shared" si="13"/>
        <v/>
      </c>
      <c r="AA14" s="75" t="str">
        <f t="shared" si="17"/>
        <v/>
      </c>
      <c r="AB14" s="103" t="str">
        <f t="shared" si="14"/>
        <v/>
      </c>
      <c r="AC14" s="104" t="str">
        <f t="shared" si="26"/>
        <v/>
      </c>
      <c r="AE14" s="139"/>
      <c r="AF14" s="110" t="str">
        <f t="shared" si="18"/>
        <v/>
      </c>
      <c r="AG14" s="111" t="str">
        <f t="shared" si="19"/>
        <v/>
      </c>
      <c r="AH14" s="111" t="str">
        <f t="shared" si="15"/>
        <v/>
      </c>
      <c r="AI14" s="111" t="str">
        <f t="shared" si="20"/>
        <v/>
      </c>
      <c r="AJ14" s="111" t="str">
        <f t="shared" si="21"/>
        <v/>
      </c>
      <c r="AK14" s="112" t="str">
        <f t="shared" si="22"/>
        <v/>
      </c>
      <c r="AL14" s="149" t="str">
        <f t="shared" si="23"/>
        <v/>
      </c>
      <c r="AM14" t="str">
        <f t="shared" si="24"/>
        <v/>
      </c>
    </row>
    <row r="15" spans="1:39" ht="15" customHeight="1" x14ac:dyDescent="0.25">
      <c r="A15" s="131"/>
      <c r="B15" s="133"/>
      <c r="C15" s="133"/>
      <c r="D15" s="42" t="str">
        <f t="shared" si="0"/>
        <v/>
      </c>
      <c r="E15" s="43"/>
      <c r="F15" s="135"/>
      <c r="G15" s="77" t="str">
        <f t="shared" si="1"/>
        <v/>
      </c>
      <c r="H15" s="32" t="str">
        <f t="shared" si="25"/>
        <v/>
      </c>
      <c r="I15" s="78" t="str">
        <f t="shared" si="2"/>
        <v/>
      </c>
      <c r="J15" s="70" t="str">
        <f t="shared" si="16"/>
        <v/>
      </c>
      <c r="K15" s="135"/>
      <c r="L15" s="72" t="str">
        <f t="shared" si="3"/>
        <v/>
      </c>
      <c r="M15" s="135"/>
      <c r="N15" s="72" t="str">
        <f t="shared" si="4"/>
        <v/>
      </c>
      <c r="O15" s="135"/>
      <c r="P15" s="136"/>
      <c r="Q15" s="123" t="str">
        <f t="shared" si="5"/>
        <v/>
      </c>
      <c r="R15" s="45" t="str">
        <f t="shared" si="6"/>
        <v/>
      </c>
      <c r="S15" s="137"/>
      <c r="T15" s="79" t="str">
        <f t="shared" si="7"/>
        <v/>
      </c>
      <c r="U15" s="79" t="str">
        <f t="shared" si="8"/>
        <v/>
      </c>
      <c r="V15" s="73" t="str">
        <f t="shared" si="9"/>
        <v/>
      </c>
      <c r="W15" s="80" t="str">
        <f t="shared" si="10"/>
        <v/>
      </c>
      <c r="X15" s="73" t="str">
        <f t="shared" si="11"/>
        <v/>
      </c>
      <c r="Y15" s="80" t="str">
        <f t="shared" si="12"/>
        <v/>
      </c>
      <c r="Z15" s="74" t="str">
        <f t="shared" si="13"/>
        <v/>
      </c>
      <c r="AA15" s="75" t="str">
        <f t="shared" si="17"/>
        <v/>
      </c>
      <c r="AB15" s="103" t="str">
        <f t="shared" si="14"/>
        <v/>
      </c>
      <c r="AC15" s="104" t="str">
        <f t="shared" si="26"/>
        <v/>
      </c>
      <c r="AE15" s="139"/>
      <c r="AF15" s="110" t="str">
        <f t="shared" si="18"/>
        <v/>
      </c>
      <c r="AG15" s="111" t="str">
        <f t="shared" si="19"/>
        <v/>
      </c>
      <c r="AH15" s="111" t="str">
        <f t="shared" si="15"/>
        <v/>
      </c>
      <c r="AI15" s="111" t="str">
        <f t="shared" si="20"/>
        <v/>
      </c>
      <c r="AJ15" s="111" t="str">
        <f t="shared" si="21"/>
        <v/>
      </c>
      <c r="AK15" s="112" t="str">
        <f t="shared" si="22"/>
        <v/>
      </c>
      <c r="AL15" t="str">
        <f t="shared" si="23"/>
        <v/>
      </c>
      <c r="AM15" t="str">
        <f t="shared" si="24"/>
        <v/>
      </c>
    </row>
    <row r="16" spans="1:39" ht="15" customHeight="1" x14ac:dyDescent="0.25">
      <c r="A16" s="131"/>
      <c r="B16" s="133"/>
      <c r="C16" s="133"/>
      <c r="D16" s="42" t="str">
        <f t="shared" si="0"/>
        <v/>
      </c>
      <c r="E16" s="43"/>
      <c r="F16" s="135"/>
      <c r="G16" s="77" t="str">
        <f t="shared" si="1"/>
        <v/>
      </c>
      <c r="H16" s="32" t="str">
        <f t="shared" si="25"/>
        <v/>
      </c>
      <c r="I16" s="78" t="str">
        <f t="shared" si="2"/>
        <v/>
      </c>
      <c r="J16" s="70" t="str">
        <f t="shared" si="16"/>
        <v/>
      </c>
      <c r="K16" s="135"/>
      <c r="L16" s="72" t="str">
        <f t="shared" si="3"/>
        <v/>
      </c>
      <c r="M16" s="135"/>
      <c r="N16" s="72" t="str">
        <f t="shared" si="4"/>
        <v/>
      </c>
      <c r="O16" s="135"/>
      <c r="P16" s="136"/>
      <c r="Q16" s="123" t="str">
        <f t="shared" si="5"/>
        <v/>
      </c>
      <c r="R16" s="45" t="str">
        <f t="shared" si="6"/>
        <v/>
      </c>
      <c r="S16" s="137"/>
      <c r="T16" s="79" t="str">
        <f t="shared" si="7"/>
        <v/>
      </c>
      <c r="U16" s="79" t="str">
        <f t="shared" si="8"/>
        <v/>
      </c>
      <c r="V16" s="73" t="str">
        <f t="shared" si="9"/>
        <v/>
      </c>
      <c r="W16" s="80" t="str">
        <f t="shared" si="10"/>
        <v/>
      </c>
      <c r="X16" s="73" t="str">
        <f t="shared" si="11"/>
        <v/>
      </c>
      <c r="Y16" s="80" t="str">
        <f t="shared" si="12"/>
        <v/>
      </c>
      <c r="Z16" s="74" t="str">
        <f t="shared" si="13"/>
        <v/>
      </c>
      <c r="AA16" s="75" t="str">
        <f t="shared" si="17"/>
        <v/>
      </c>
      <c r="AB16" s="103" t="str">
        <f t="shared" si="14"/>
        <v/>
      </c>
      <c r="AC16" s="104" t="str">
        <f t="shared" si="26"/>
        <v/>
      </c>
      <c r="AE16" s="139"/>
      <c r="AF16" s="110" t="str">
        <f t="shared" si="18"/>
        <v/>
      </c>
      <c r="AG16" s="111" t="str">
        <f t="shared" si="19"/>
        <v/>
      </c>
      <c r="AH16" s="111" t="str">
        <f t="shared" si="15"/>
        <v/>
      </c>
      <c r="AI16" s="111" t="str">
        <f t="shared" si="20"/>
        <v/>
      </c>
      <c r="AJ16" s="111" t="str">
        <f t="shared" si="21"/>
        <v/>
      </c>
      <c r="AK16" s="112" t="str">
        <f t="shared" si="22"/>
        <v/>
      </c>
      <c r="AL16" t="str">
        <f t="shared" si="23"/>
        <v/>
      </c>
      <c r="AM16" t="str">
        <f t="shared" si="24"/>
        <v/>
      </c>
    </row>
    <row r="17" spans="1:39" ht="15" customHeight="1" x14ac:dyDescent="0.25">
      <c r="A17" s="131"/>
      <c r="B17" s="133"/>
      <c r="C17" s="133"/>
      <c r="D17" s="42" t="str">
        <f t="shared" si="0"/>
        <v/>
      </c>
      <c r="E17" s="43"/>
      <c r="F17" s="135"/>
      <c r="G17" s="77" t="str">
        <f t="shared" si="1"/>
        <v/>
      </c>
      <c r="H17" s="32" t="str">
        <f t="shared" si="25"/>
        <v/>
      </c>
      <c r="I17" s="78" t="str">
        <f t="shared" si="2"/>
        <v/>
      </c>
      <c r="J17" s="70" t="str">
        <f t="shared" si="16"/>
        <v/>
      </c>
      <c r="K17" s="135"/>
      <c r="L17" s="72" t="str">
        <f t="shared" si="3"/>
        <v/>
      </c>
      <c r="M17" s="135"/>
      <c r="N17" s="72" t="str">
        <f t="shared" si="4"/>
        <v/>
      </c>
      <c r="O17" s="135"/>
      <c r="P17" s="136"/>
      <c r="Q17" s="123" t="str">
        <f t="shared" si="5"/>
        <v/>
      </c>
      <c r="R17" s="45" t="str">
        <f t="shared" si="6"/>
        <v/>
      </c>
      <c r="S17" s="137"/>
      <c r="T17" s="79" t="str">
        <f t="shared" si="7"/>
        <v/>
      </c>
      <c r="U17" s="79" t="str">
        <f t="shared" si="8"/>
        <v/>
      </c>
      <c r="V17" s="73" t="str">
        <f t="shared" si="9"/>
        <v/>
      </c>
      <c r="W17" s="80" t="str">
        <f t="shared" si="10"/>
        <v/>
      </c>
      <c r="X17" s="73" t="str">
        <f t="shared" si="11"/>
        <v/>
      </c>
      <c r="Y17" s="80" t="str">
        <f t="shared" si="12"/>
        <v/>
      </c>
      <c r="Z17" s="74" t="str">
        <f t="shared" si="13"/>
        <v/>
      </c>
      <c r="AA17" s="75" t="str">
        <f t="shared" si="17"/>
        <v/>
      </c>
      <c r="AB17" s="103" t="str">
        <f t="shared" si="14"/>
        <v/>
      </c>
      <c r="AC17" s="104" t="str">
        <f t="shared" si="26"/>
        <v/>
      </c>
      <c r="AE17" s="139"/>
      <c r="AF17" s="110" t="str">
        <f t="shared" si="18"/>
        <v/>
      </c>
      <c r="AG17" s="111" t="str">
        <f t="shared" si="19"/>
        <v/>
      </c>
      <c r="AH17" s="111" t="str">
        <f t="shared" si="15"/>
        <v/>
      </c>
      <c r="AI17" s="111" t="str">
        <f t="shared" si="20"/>
        <v/>
      </c>
      <c r="AJ17" s="111" t="str">
        <f t="shared" si="21"/>
        <v/>
      </c>
      <c r="AK17" s="112" t="str">
        <f t="shared" si="22"/>
        <v/>
      </c>
      <c r="AL17" t="str">
        <f t="shared" si="23"/>
        <v/>
      </c>
      <c r="AM17" t="str">
        <f t="shared" si="24"/>
        <v/>
      </c>
    </row>
    <row r="18" spans="1:39" ht="15" customHeight="1" x14ac:dyDescent="0.25">
      <c r="A18" s="131"/>
      <c r="B18" s="133"/>
      <c r="C18" s="133"/>
      <c r="D18" s="42" t="str">
        <f t="shared" si="0"/>
        <v/>
      </c>
      <c r="E18" s="43"/>
      <c r="F18" s="135"/>
      <c r="G18" s="77" t="str">
        <f t="shared" si="1"/>
        <v/>
      </c>
      <c r="H18" s="32" t="str">
        <f t="shared" si="25"/>
        <v/>
      </c>
      <c r="I18" s="78" t="str">
        <f t="shared" si="2"/>
        <v/>
      </c>
      <c r="J18" s="70" t="str">
        <f t="shared" si="16"/>
        <v/>
      </c>
      <c r="K18" s="135"/>
      <c r="L18" s="72" t="str">
        <f t="shared" si="3"/>
        <v/>
      </c>
      <c r="M18" s="135"/>
      <c r="N18" s="72" t="str">
        <f t="shared" si="4"/>
        <v/>
      </c>
      <c r="O18" s="135"/>
      <c r="P18" s="136"/>
      <c r="Q18" s="123" t="str">
        <f t="shared" si="5"/>
        <v/>
      </c>
      <c r="R18" s="45" t="str">
        <f t="shared" si="6"/>
        <v/>
      </c>
      <c r="S18" s="137"/>
      <c r="T18" s="79" t="str">
        <f t="shared" si="7"/>
        <v/>
      </c>
      <c r="U18" s="79" t="str">
        <f t="shared" si="8"/>
        <v/>
      </c>
      <c r="V18" s="73" t="str">
        <f t="shared" si="9"/>
        <v/>
      </c>
      <c r="W18" s="80" t="str">
        <f t="shared" si="10"/>
        <v/>
      </c>
      <c r="X18" s="73" t="str">
        <f t="shared" si="11"/>
        <v/>
      </c>
      <c r="Y18" s="80" t="str">
        <f t="shared" si="12"/>
        <v/>
      </c>
      <c r="Z18" s="74" t="str">
        <f t="shared" si="13"/>
        <v/>
      </c>
      <c r="AA18" s="75" t="str">
        <f t="shared" si="17"/>
        <v/>
      </c>
      <c r="AB18" s="103" t="str">
        <f t="shared" si="14"/>
        <v/>
      </c>
      <c r="AC18" s="104" t="str">
        <f t="shared" si="26"/>
        <v/>
      </c>
      <c r="AE18" s="139"/>
      <c r="AF18" s="110" t="str">
        <f t="shared" si="18"/>
        <v/>
      </c>
      <c r="AG18" s="111" t="str">
        <f t="shared" si="19"/>
        <v/>
      </c>
      <c r="AH18" s="111" t="str">
        <f t="shared" si="15"/>
        <v/>
      </c>
      <c r="AI18" s="111" t="str">
        <f t="shared" si="20"/>
        <v/>
      </c>
      <c r="AJ18" s="111" t="str">
        <f t="shared" si="21"/>
        <v/>
      </c>
      <c r="AK18" s="112" t="str">
        <f t="shared" si="22"/>
        <v/>
      </c>
      <c r="AL18" t="str">
        <f t="shared" si="23"/>
        <v/>
      </c>
      <c r="AM18" t="str">
        <f t="shared" si="24"/>
        <v/>
      </c>
    </row>
    <row r="19" spans="1:39" ht="15" customHeight="1" x14ac:dyDescent="0.25">
      <c r="A19" s="131"/>
      <c r="B19" s="133"/>
      <c r="C19" s="133"/>
      <c r="D19" s="42" t="str">
        <f t="shared" si="0"/>
        <v/>
      </c>
      <c r="E19" s="43"/>
      <c r="F19" s="135"/>
      <c r="G19" s="77" t="str">
        <f t="shared" si="1"/>
        <v/>
      </c>
      <c r="H19" s="32" t="str">
        <f t="shared" si="25"/>
        <v/>
      </c>
      <c r="I19" s="78" t="str">
        <f t="shared" si="2"/>
        <v/>
      </c>
      <c r="J19" s="70" t="str">
        <f t="shared" si="16"/>
        <v/>
      </c>
      <c r="K19" s="135"/>
      <c r="L19" s="72" t="str">
        <f t="shared" si="3"/>
        <v/>
      </c>
      <c r="M19" s="135"/>
      <c r="N19" s="72" t="str">
        <f t="shared" si="4"/>
        <v/>
      </c>
      <c r="O19" s="135"/>
      <c r="P19" s="136"/>
      <c r="Q19" s="123" t="str">
        <f t="shared" si="5"/>
        <v/>
      </c>
      <c r="R19" s="45" t="str">
        <f t="shared" si="6"/>
        <v/>
      </c>
      <c r="S19" s="137"/>
      <c r="T19" s="79" t="str">
        <f t="shared" si="7"/>
        <v/>
      </c>
      <c r="U19" s="79" t="str">
        <f t="shared" si="8"/>
        <v/>
      </c>
      <c r="V19" s="73" t="str">
        <f t="shared" si="9"/>
        <v/>
      </c>
      <c r="W19" s="80" t="str">
        <f t="shared" si="10"/>
        <v/>
      </c>
      <c r="X19" s="73" t="str">
        <f t="shared" si="11"/>
        <v/>
      </c>
      <c r="Y19" s="80" t="str">
        <f t="shared" si="12"/>
        <v/>
      </c>
      <c r="Z19" s="74" t="str">
        <f t="shared" si="13"/>
        <v/>
      </c>
      <c r="AA19" s="75" t="str">
        <f t="shared" si="17"/>
        <v/>
      </c>
      <c r="AB19" s="103" t="str">
        <f t="shared" si="14"/>
        <v/>
      </c>
      <c r="AC19" s="104" t="str">
        <f t="shared" si="26"/>
        <v/>
      </c>
      <c r="AE19" s="139"/>
      <c r="AF19" s="110" t="str">
        <f t="shared" si="18"/>
        <v/>
      </c>
      <c r="AG19" s="111" t="str">
        <f t="shared" si="19"/>
        <v/>
      </c>
      <c r="AH19" s="111" t="str">
        <f t="shared" si="15"/>
        <v/>
      </c>
      <c r="AI19" s="111" t="str">
        <f t="shared" si="20"/>
        <v/>
      </c>
      <c r="AJ19" s="111" t="str">
        <f t="shared" si="21"/>
        <v/>
      </c>
      <c r="AK19" s="112" t="str">
        <f t="shared" si="22"/>
        <v/>
      </c>
      <c r="AL19" t="str">
        <f t="shared" si="23"/>
        <v/>
      </c>
      <c r="AM19" t="str">
        <f t="shared" si="24"/>
        <v/>
      </c>
    </row>
    <row r="20" spans="1:39" ht="15" customHeight="1" x14ac:dyDescent="0.25">
      <c r="A20" s="131"/>
      <c r="B20" s="133"/>
      <c r="C20" s="133"/>
      <c r="D20" s="42" t="str">
        <f t="shared" si="0"/>
        <v/>
      </c>
      <c r="E20" s="43"/>
      <c r="F20" s="135"/>
      <c r="G20" s="77" t="str">
        <f t="shared" si="1"/>
        <v/>
      </c>
      <c r="H20" s="32" t="str">
        <f t="shared" si="25"/>
        <v/>
      </c>
      <c r="I20" s="78" t="str">
        <f t="shared" si="2"/>
        <v/>
      </c>
      <c r="J20" s="70" t="str">
        <f t="shared" si="16"/>
        <v/>
      </c>
      <c r="K20" s="135"/>
      <c r="L20" s="72" t="str">
        <f t="shared" si="3"/>
        <v/>
      </c>
      <c r="M20" s="135"/>
      <c r="N20" s="72" t="str">
        <f t="shared" si="4"/>
        <v/>
      </c>
      <c r="O20" s="135"/>
      <c r="P20" s="136"/>
      <c r="Q20" s="123" t="str">
        <f t="shared" si="5"/>
        <v/>
      </c>
      <c r="R20" s="45" t="str">
        <f t="shared" si="6"/>
        <v/>
      </c>
      <c r="S20" s="137"/>
      <c r="T20" s="79" t="str">
        <f t="shared" si="7"/>
        <v/>
      </c>
      <c r="U20" s="79" t="str">
        <f t="shared" si="8"/>
        <v/>
      </c>
      <c r="V20" s="73" t="str">
        <f t="shared" si="9"/>
        <v/>
      </c>
      <c r="W20" s="80" t="str">
        <f t="shared" si="10"/>
        <v/>
      </c>
      <c r="X20" s="73" t="str">
        <f t="shared" si="11"/>
        <v/>
      </c>
      <c r="Y20" s="80" t="str">
        <f t="shared" si="12"/>
        <v/>
      </c>
      <c r="Z20" s="74" t="str">
        <f t="shared" si="13"/>
        <v/>
      </c>
      <c r="AA20" s="75" t="str">
        <f t="shared" si="17"/>
        <v/>
      </c>
      <c r="AB20" s="103" t="str">
        <f t="shared" si="14"/>
        <v/>
      </c>
      <c r="AC20" s="104" t="str">
        <f t="shared" si="26"/>
        <v/>
      </c>
      <c r="AE20" s="139"/>
      <c r="AF20" s="110" t="str">
        <f t="shared" si="18"/>
        <v/>
      </c>
      <c r="AG20" s="111" t="str">
        <f t="shared" si="19"/>
        <v/>
      </c>
      <c r="AH20" s="111" t="str">
        <f t="shared" si="15"/>
        <v/>
      </c>
      <c r="AI20" s="111" t="str">
        <f t="shared" si="20"/>
        <v/>
      </c>
      <c r="AJ20" s="111" t="str">
        <f t="shared" si="21"/>
        <v/>
      </c>
      <c r="AK20" s="112" t="str">
        <f t="shared" si="22"/>
        <v/>
      </c>
      <c r="AL20" t="str">
        <f t="shared" si="23"/>
        <v/>
      </c>
      <c r="AM20" t="str">
        <f t="shared" si="24"/>
        <v/>
      </c>
    </row>
    <row r="21" spans="1:39" ht="15" customHeight="1" x14ac:dyDescent="0.25">
      <c r="A21" s="131"/>
      <c r="B21" s="133"/>
      <c r="C21" s="133"/>
      <c r="D21" s="42" t="str">
        <f t="shared" si="0"/>
        <v/>
      </c>
      <c r="E21" s="43"/>
      <c r="F21" s="135"/>
      <c r="G21" s="77" t="str">
        <f t="shared" si="1"/>
        <v/>
      </c>
      <c r="H21" s="32" t="str">
        <f>IF(F21="","",ROUND(F21*$G$1,2))</f>
        <v/>
      </c>
      <c r="I21" s="78" t="str">
        <f t="shared" si="2"/>
        <v/>
      </c>
      <c r="J21" s="70" t="str">
        <f t="shared" si="16"/>
        <v/>
      </c>
      <c r="K21" s="135"/>
      <c r="L21" s="72" t="str">
        <f t="shared" si="3"/>
        <v/>
      </c>
      <c r="M21" s="135"/>
      <c r="N21" s="72" t="str">
        <f t="shared" si="4"/>
        <v/>
      </c>
      <c r="O21" s="135"/>
      <c r="P21" s="136"/>
      <c r="Q21" s="123" t="str">
        <f t="shared" si="5"/>
        <v/>
      </c>
      <c r="R21" s="45" t="str">
        <f t="shared" si="6"/>
        <v/>
      </c>
      <c r="S21" s="137"/>
      <c r="T21" s="79" t="str">
        <f t="shared" si="7"/>
        <v/>
      </c>
      <c r="U21" s="79" t="str">
        <f t="shared" si="8"/>
        <v/>
      </c>
      <c r="V21" s="73" t="str">
        <f t="shared" si="9"/>
        <v/>
      </c>
      <c r="W21" s="80" t="str">
        <f t="shared" si="10"/>
        <v/>
      </c>
      <c r="X21" s="73" t="str">
        <f t="shared" si="11"/>
        <v/>
      </c>
      <c r="Y21" s="80" t="str">
        <f t="shared" si="12"/>
        <v/>
      </c>
      <c r="Z21" s="74" t="str">
        <f t="shared" si="13"/>
        <v/>
      </c>
      <c r="AA21" s="75" t="str">
        <f t="shared" si="17"/>
        <v/>
      </c>
      <c r="AB21" s="103" t="str">
        <f t="shared" si="14"/>
        <v/>
      </c>
      <c r="AC21" s="104" t="str">
        <f t="shared" si="26"/>
        <v/>
      </c>
      <c r="AE21" s="139"/>
      <c r="AF21" s="110" t="str">
        <f t="shared" si="18"/>
        <v/>
      </c>
      <c r="AG21" s="111" t="str">
        <f t="shared" si="19"/>
        <v/>
      </c>
      <c r="AH21" s="111" t="str">
        <f t="shared" si="15"/>
        <v/>
      </c>
      <c r="AI21" s="111" t="str">
        <f t="shared" si="20"/>
        <v/>
      </c>
      <c r="AJ21" s="111" t="str">
        <f t="shared" si="21"/>
        <v/>
      </c>
      <c r="AK21" s="112" t="str">
        <f t="shared" si="22"/>
        <v/>
      </c>
      <c r="AL21" t="str">
        <f t="shared" si="23"/>
        <v/>
      </c>
      <c r="AM21" t="str">
        <f t="shared" si="24"/>
        <v/>
      </c>
    </row>
    <row r="22" spans="1:39" ht="15" customHeight="1" x14ac:dyDescent="0.25">
      <c r="A22" s="131"/>
      <c r="B22" s="133"/>
      <c r="C22" s="133"/>
      <c r="D22" s="42" t="str">
        <f t="shared" si="0"/>
        <v/>
      </c>
      <c r="E22" s="43"/>
      <c r="F22" s="135"/>
      <c r="G22" s="77" t="str">
        <f t="shared" si="1"/>
        <v/>
      </c>
      <c r="H22" s="32" t="str">
        <f t="shared" si="25"/>
        <v/>
      </c>
      <c r="I22" s="78" t="str">
        <f t="shared" si="2"/>
        <v/>
      </c>
      <c r="J22" s="70" t="str">
        <f t="shared" si="16"/>
        <v/>
      </c>
      <c r="K22" s="135"/>
      <c r="L22" s="72" t="str">
        <f t="shared" si="3"/>
        <v/>
      </c>
      <c r="M22" s="135"/>
      <c r="N22" s="72" t="str">
        <f t="shared" si="4"/>
        <v/>
      </c>
      <c r="O22" s="135"/>
      <c r="P22" s="136"/>
      <c r="Q22" s="123" t="str">
        <f t="shared" si="5"/>
        <v/>
      </c>
      <c r="R22" s="45" t="str">
        <f t="shared" si="6"/>
        <v/>
      </c>
      <c r="S22" s="137"/>
      <c r="T22" s="79" t="str">
        <f t="shared" si="7"/>
        <v/>
      </c>
      <c r="U22" s="79" t="str">
        <f t="shared" si="8"/>
        <v/>
      </c>
      <c r="V22" s="73" t="str">
        <f t="shared" si="9"/>
        <v/>
      </c>
      <c r="W22" s="80" t="str">
        <f t="shared" si="10"/>
        <v/>
      </c>
      <c r="X22" s="73" t="str">
        <f t="shared" si="11"/>
        <v/>
      </c>
      <c r="Y22" s="80" t="str">
        <f t="shared" si="12"/>
        <v/>
      </c>
      <c r="Z22" s="74" t="str">
        <f t="shared" si="13"/>
        <v/>
      </c>
      <c r="AA22" s="75" t="str">
        <f t="shared" si="17"/>
        <v/>
      </c>
      <c r="AB22" s="103" t="str">
        <f t="shared" si="14"/>
        <v/>
      </c>
      <c r="AC22" s="104" t="str">
        <f t="shared" si="26"/>
        <v/>
      </c>
      <c r="AE22" s="139"/>
      <c r="AF22" s="110" t="str">
        <f t="shared" si="18"/>
        <v/>
      </c>
      <c r="AG22" s="111" t="str">
        <f t="shared" si="19"/>
        <v/>
      </c>
      <c r="AH22" s="111" t="str">
        <f t="shared" si="15"/>
        <v/>
      </c>
      <c r="AI22" s="111" t="str">
        <f t="shared" si="20"/>
        <v/>
      </c>
      <c r="AJ22" s="111" t="str">
        <f t="shared" si="21"/>
        <v/>
      </c>
      <c r="AK22" s="112" t="str">
        <f t="shared" si="22"/>
        <v/>
      </c>
      <c r="AL22" t="str">
        <f t="shared" si="23"/>
        <v/>
      </c>
      <c r="AM22" t="str">
        <f t="shared" si="24"/>
        <v/>
      </c>
    </row>
    <row r="23" spans="1:39" ht="15" customHeight="1" x14ac:dyDescent="0.25">
      <c r="A23" s="131"/>
      <c r="B23" s="133"/>
      <c r="C23" s="133"/>
      <c r="D23" s="42" t="str">
        <f t="shared" si="0"/>
        <v/>
      </c>
      <c r="E23" s="43"/>
      <c r="F23" s="135"/>
      <c r="G23" s="77" t="str">
        <f t="shared" si="1"/>
        <v/>
      </c>
      <c r="H23" s="32" t="str">
        <f t="shared" si="25"/>
        <v/>
      </c>
      <c r="I23" s="78" t="str">
        <f t="shared" si="2"/>
        <v/>
      </c>
      <c r="J23" s="70" t="str">
        <f t="shared" si="16"/>
        <v/>
      </c>
      <c r="K23" s="135"/>
      <c r="L23" s="72" t="str">
        <f t="shared" si="3"/>
        <v/>
      </c>
      <c r="M23" s="135"/>
      <c r="N23" s="72" t="str">
        <f t="shared" si="4"/>
        <v/>
      </c>
      <c r="O23" s="135"/>
      <c r="P23" s="136"/>
      <c r="Q23" s="123" t="str">
        <f t="shared" si="5"/>
        <v/>
      </c>
      <c r="R23" s="45" t="str">
        <f t="shared" si="6"/>
        <v/>
      </c>
      <c r="S23" s="137"/>
      <c r="T23" s="79" t="str">
        <f t="shared" si="7"/>
        <v/>
      </c>
      <c r="U23" s="79" t="str">
        <f t="shared" si="8"/>
        <v/>
      </c>
      <c r="V23" s="73" t="str">
        <f t="shared" si="9"/>
        <v/>
      </c>
      <c r="W23" s="80" t="str">
        <f t="shared" si="10"/>
        <v/>
      </c>
      <c r="X23" s="73" t="str">
        <f t="shared" si="11"/>
        <v/>
      </c>
      <c r="Y23" s="80" t="str">
        <f t="shared" si="12"/>
        <v/>
      </c>
      <c r="Z23" s="74" t="str">
        <f t="shared" si="13"/>
        <v/>
      </c>
      <c r="AA23" s="75" t="str">
        <f t="shared" si="17"/>
        <v/>
      </c>
      <c r="AB23" s="103" t="str">
        <f t="shared" si="14"/>
        <v/>
      </c>
      <c r="AC23" s="104" t="str">
        <f t="shared" si="26"/>
        <v/>
      </c>
      <c r="AE23" s="139"/>
      <c r="AF23" s="110" t="str">
        <f t="shared" si="18"/>
        <v/>
      </c>
      <c r="AG23" s="111" t="str">
        <f t="shared" si="19"/>
        <v/>
      </c>
      <c r="AH23" s="111" t="str">
        <f t="shared" si="15"/>
        <v/>
      </c>
      <c r="AI23" s="111" t="str">
        <f t="shared" si="20"/>
        <v/>
      </c>
      <c r="AJ23" s="111" t="str">
        <f t="shared" si="21"/>
        <v/>
      </c>
      <c r="AK23" s="112" t="str">
        <f t="shared" si="22"/>
        <v/>
      </c>
      <c r="AL23" t="str">
        <f t="shared" si="23"/>
        <v/>
      </c>
      <c r="AM23" t="str">
        <f t="shared" si="24"/>
        <v/>
      </c>
    </row>
    <row r="24" spans="1:39" ht="15" customHeight="1" x14ac:dyDescent="0.25">
      <c r="A24" s="131"/>
      <c r="B24" s="133"/>
      <c r="C24" s="133"/>
      <c r="D24" s="42" t="str">
        <f t="shared" si="0"/>
        <v/>
      </c>
      <c r="E24" s="43"/>
      <c r="F24" s="135"/>
      <c r="G24" s="77" t="str">
        <f t="shared" si="1"/>
        <v/>
      </c>
      <c r="H24" s="32" t="str">
        <f t="shared" si="25"/>
        <v/>
      </c>
      <c r="I24" s="78" t="str">
        <f t="shared" si="2"/>
        <v/>
      </c>
      <c r="J24" s="70" t="str">
        <f t="shared" si="16"/>
        <v/>
      </c>
      <c r="K24" s="135"/>
      <c r="L24" s="72" t="str">
        <f t="shared" si="3"/>
        <v/>
      </c>
      <c r="M24" s="135"/>
      <c r="N24" s="72" t="str">
        <f t="shared" si="4"/>
        <v/>
      </c>
      <c r="O24" s="135"/>
      <c r="P24" s="136"/>
      <c r="Q24" s="123" t="str">
        <f t="shared" si="5"/>
        <v/>
      </c>
      <c r="R24" s="45" t="str">
        <f t="shared" si="6"/>
        <v/>
      </c>
      <c r="S24" s="137"/>
      <c r="T24" s="79" t="str">
        <f t="shared" si="7"/>
        <v/>
      </c>
      <c r="U24" s="79" t="str">
        <f t="shared" si="8"/>
        <v/>
      </c>
      <c r="V24" s="73" t="str">
        <f t="shared" si="9"/>
        <v/>
      </c>
      <c r="W24" s="80" t="str">
        <f t="shared" si="10"/>
        <v/>
      </c>
      <c r="X24" s="73" t="str">
        <f t="shared" si="11"/>
        <v/>
      </c>
      <c r="Y24" s="80" t="str">
        <f t="shared" si="12"/>
        <v/>
      </c>
      <c r="Z24" s="74" t="str">
        <f t="shared" si="13"/>
        <v/>
      </c>
      <c r="AA24" s="75" t="str">
        <f t="shared" si="17"/>
        <v/>
      </c>
      <c r="AB24" s="103" t="str">
        <f t="shared" si="14"/>
        <v/>
      </c>
      <c r="AC24" s="104" t="str">
        <f t="shared" si="26"/>
        <v/>
      </c>
      <c r="AE24" s="139"/>
      <c r="AF24" s="110" t="str">
        <f t="shared" si="18"/>
        <v/>
      </c>
      <c r="AG24" s="111" t="str">
        <f t="shared" si="19"/>
        <v/>
      </c>
      <c r="AH24" s="111" t="str">
        <f t="shared" si="15"/>
        <v/>
      </c>
      <c r="AI24" s="111" t="str">
        <f t="shared" si="20"/>
        <v/>
      </c>
      <c r="AJ24" s="111" t="str">
        <f t="shared" si="21"/>
        <v/>
      </c>
      <c r="AK24" s="112" t="str">
        <f t="shared" si="22"/>
        <v/>
      </c>
      <c r="AL24" t="str">
        <f t="shared" si="23"/>
        <v/>
      </c>
      <c r="AM24" t="str">
        <f t="shared" si="24"/>
        <v/>
      </c>
    </row>
    <row r="25" spans="1:39" ht="15" customHeight="1" x14ac:dyDescent="0.25">
      <c r="A25" s="131"/>
      <c r="B25" s="133"/>
      <c r="C25" s="133"/>
      <c r="D25" s="42" t="str">
        <f t="shared" si="0"/>
        <v/>
      </c>
      <c r="E25" s="43"/>
      <c r="F25" s="135"/>
      <c r="G25" s="77" t="str">
        <f t="shared" si="1"/>
        <v/>
      </c>
      <c r="H25" s="32" t="str">
        <f t="shared" si="25"/>
        <v/>
      </c>
      <c r="I25" s="78" t="str">
        <f t="shared" si="2"/>
        <v/>
      </c>
      <c r="J25" s="70" t="str">
        <f t="shared" si="16"/>
        <v/>
      </c>
      <c r="K25" s="135"/>
      <c r="L25" s="72" t="str">
        <f t="shared" si="3"/>
        <v/>
      </c>
      <c r="M25" s="135"/>
      <c r="N25" s="72" t="str">
        <f t="shared" si="4"/>
        <v/>
      </c>
      <c r="O25" s="135"/>
      <c r="P25" s="136"/>
      <c r="Q25" s="123" t="str">
        <f t="shared" si="5"/>
        <v/>
      </c>
      <c r="R25" s="45" t="str">
        <f t="shared" si="6"/>
        <v/>
      </c>
      <c r="S25" s="137"/>
      <c r="T25" s="79" t="str">
        <f t="shared" si="7"/>
        <v/>
      </c>
      <c r="U25" s="79" t="str">
        <f t="shared" si="8"/>
        <v/>
      </c>
      <c r="V25" s="73" t="str">
        <f t="shared" si="9"/>
        <v/>
      </c>
      <c r="W25" s="80" t="str">
        <f t="shared" si="10"/>
        <v/>
      </c>
      <c r="X25" s="73" t="str">
        <f t="shared" si="11"/>
        <v/>
      </c>
      <c r="Y25" s="80" t="str">
        <f t="shared" si="12"/>
        <v/>
      </c>
      <c r="Z25" s="74" t="str">
        <f t="shared" si="13"/>
        <v/>
      </c>
      <c r="AA25" s="75" t="str">
        <f t="shared" si="17"/>
        <v/>
      </c>
      <c r="AB25" s="103" t="str">
        <f t="shared" si="14"/>
        <v/>
      </c>
      <c r="AC25" s="104" t="str">
        <f t="shared" si="26"/>
        <v/>
      </c>
      <c r="AE25" s="139"/>
      <c r="AF25" s="110" t="str">
        <f t="shared" si="18"/>
        <v/>
      </c>
      <c r="AG25" s="111" t="str">
        <f t="shared" si="19"/>
        <v/>
      </c>
      <c r="AH25" s="111" t="str">
        <f t="shared" si="15"/>
        <v/>
      </c>
      <c r="AI25" s="111" t="str">
        <f t="shared" si="20"/>
        <v/>
      </c>
      <c r="AJ25" s="111" t="str">
        <f t="shared" si="21"/>
        <v/>
      </c>
      <c r="AK25" s="112" t="str">
        <f t="shared" si="22"/>
        <v/>
      </c>
      <c r="AL25" t="str">
        <f t="shared" si="23"/>
        <v/>
      </c>
      <c r="AM25" t="str">
        <f t="shared" si="24"/>
        <v/>
      </c>
    </row>
    <row r="26" spans="1:39" ht="15" customHeight="1" x14ac:dyDescent="0.25">
      <c r="A26" s="131"/>
      <c r="B26" s="133"/>
      <c r="C26" s="133"/>
      <c r="D26" s="42" t="str">
        <f t="shared" si="0"/>
        <v/>
      </c>
      <c r="E26" s="43"/>
      <c r="F26" s="135"/>
      <c r="G26" s="77" t="str">
        <f t="shared" si="1"/>
        <v/>
      </c>
      <c r="H26" s="32" t="str">
        <f t="shared" si="25"/>
        <v/>
      </c>
      <c r="I26" s="78" t="str">
        <f t="shared" si="2"/>
        <v/>
      </c>
      <c r="J26" s="70" t="str">
        <f t="shared" si="16"/>
        <v/>
      </c>
      <c r="K26" s="135"/>
      <c r="L26" s="72" t="str">
        <f t="shared" si="3"/>
        <v/>
      </c>
      <c r="M26" s="135"/>
      <c r="N26" s="72" t="str">
        <f t="shared" si="4"/>
        <v/>
      </c>
      <c r="O26" s="135"/>
      <c r="P26" s="136"/>
      <c r="Q26" s="123" t="str">
        <f t="shared" si="5"/>
        <v/>
      </c>
      <c r="R26" s="45" t="str">
        <f t="shared" si="6"/>
        <v/>
      </c>
      <c r="S26" s="137"/>
      <c r="T26" s="79" t="str">
        <f t="shared" si="7"/>
        <v/>
      </c>
      <c r="U26" s="79" t="str">
        <f t="shared" si="8"/>
        <v/>
      </c>
      <c r="V26" s="73" t="str">
        <f t="shared" si="9"/>
        <v/>
      </c>
      <c r="W26" s="80" t="str">
        <f t="shared" si="10"/>
        <v/>
      </c>
      <c r="X26" s="73" t="str">
        <f t="shared" si="11"/>
        <v/>
      </c>
      <c r="Y26" s="80" t="str">
        <f t="shared" si="12"/>
        <v/>
      </c>
      <c r="Z26" s="74" t="str">
        <f t="shared" si="13"/>
        <v/>
      </c>
      <c r="AA26" s="75" t="str">
        <f t="shared" si="17"/>
        <v/>
      </c>
      <c r="AB26" s="103" t="str">
        <f t="shared" si="14"/>
        <v/>
      </c>
      <c r="AC26" s="104" t="str">
        <f t="shared" si="26"/>
        <v/>
      </c>
      <c r="AE26" s="139"/>
      <c r="AF26" s="110" t="str">
        <f t="shared" si="18"/>
        <v/>
      </c>
      <c r="AG26" s="111" t="str">
        <f t="shared" si="19"/>
        <v/>
      </c>
      <c r="AH26" s="111" t="str">
        <f t="shared" si="15"/>
        <v/>
      </c>
      <c r="AI26" s="111" t="str">
        <f t="shared" si="20"/>
        <v/>
      </c>
      <c r="AJ26" s="111" t="str">
        <f t="shared" si="21"/>
        <v/>
      </c>
      <c r="AK26" s="112" t="str">
        <f t="shared" si="22"/>
        <v/>
      </c>
      <c r="AL26" t="str">
        <f t="shared" si="23"/>
        <v/>
      </c>
      <c r="AM26" t="str">
        <f t="shared" si="24"/>
        <v/>
      </c>
    </row>
    <row r="27" spans="1:39" ht="15" customHeight="1" x14ac:dyDescent="0.25">
      <c r="A27" s="131"/>
      <c r="B27" s="133"/>
      <c r="C27" s="133"/>
      <c r="D27" s="42" t="str">
        <f t="shared" si="0"/>
        <v/>
      </c>
      <c r="E27" s="43"/>
      <c r="F27" s="135"/>
      <c r="G27" s="77" t="str">
        <f t="shared" si="1"/>
        <v/>
      </c>
      <c r="H27" s="32" t="str">
        <f t="shared" si="25"/>
        <v/>
      </c>
      <c r="I27" s="78" t="str">
        <f t="shared" si="2"/>
        <v/>
      </c>
      <c r="J27" s="70" t="str">
        <f t="shared" si="16"/>
        <v/>
      </c>
      <c r="K27" s="135"/>
      <c r="L27" s="72" t="str">
        <f t="shared" si="3"/>
        <v/>
      </c>
      <c r="M27" s="135"/>
      <c r="N27" s="72" t="str">
        <f t="shared" si="4"/>
        <v/>
      </c>
      <c r="O27" s="135"/>
      <c r="P27" s="136"/>
      <c r="Q27" s="123" t="str">
        <f t="shared" si="5"/>
        <v/>
      </c>
      <c r="R27" s="45" t="str">
        <f t="shared" si="6"/>
        <v/>
      </c>
      <c r="S27" s="137"/>
      <c r="T27" s="79" t="str">
        <f t="shared" si="7"/>
        <v/>
      </c>
      <c r="U27" s="79" t="str">
        <f t="shared" si="8"/>
        <v/>
      </c>
      <c r="V27" s="73" t="str">
        <f t="shared" si="9"/>
        <v/>
      </c>
      <c r="W27" s="80" t="str">
        <f t="shared" si="10"/>
        <v/>
      </c>
      <c r="X27" s="73" t="str">
        <f t="shared" si="11"/>
        <v/>
      </c>
      <c r="Y27" s="80" t="str">
        <f t="shared" si="12"/>
        <v/>
      </c>
      <c r="Z27" s="74" t="str">
        <f t="shared" si="13"/>
        <v/>
      </c>
      <c r="AA27" s="75" t="str">
        <f t="shared" si="17"/>
        <v/>
      </c>
      <c r="AB27" s="103" t="str">
        <f t="shared" si="14"/>
        <v/>
      </c>
      <c r="AC27" s="104" t="str">
        <f t="shared" si="26"/>
        <v/>
      </c>
      <c r="AE27" s="139"/>
      <c r="AF27" s="110" t="str">
        <f t="shared" si="18"/>
        <v/>
      </c>
      <c r="AG27" s="111" t="str">
        <f t="shared" si="19"/>
        <v/>
      </c>
      <c r="AH27" s="111" t="str">
        <f t="shared" si="15"/>
        <v/>
      </c>
      <c r="AI27" s="111" t="str">
        <f t="shared" si="20"/>
        <v/>
      </c>
      <c r="AJ27" s="111" t="str">
        <f t="shared" si="21"/>
        <v/>
      </c>
      <c r="AK27" s="112" t="str">
        <f t="shared" si="22"/>
        <v/>
      </c>
      <c r="AL27" t="str">
        <f t="shared" si="23"/>
        <v/>
      </c>
      <c r="AM27" t="str">
        <f t="shared" si="24"/>
        <v/>
      </c>
    </row>
    <row r="28" spans="1:39" ht="15" customHeight="1" x14ac:dyDescent="0.25">
      <c r="A28" s="131"/>
      <c r="B28" s="133"/>
      <c r="C28" s="133"/>
      <c r="D28" s="42" t="str">
        <f t="shared" si="0"/>
        <v/>
      </c>
      <c r="E28" s="43"/>
      <c r="F28" s="135"/>
      <c r="G28" s="77" t="str">
        <f t="shared" si="1"/>
        <v/>
      </c>
      <c r="H28" s="32" t="str">
        <f t="shared" si="25"/>
        <v/>
      </c>
      <c r="I28" s="78" t="str">
        <f t="shared" si="2"/>
        <v/>
      </c>
      <c r="J28" s="70" t="str">
        <f t="shared" si="16"/>
        <v/>
      </c>
      <c r="K28" s="135"/>
      <c r="L28" s="72" t="str">
        <f t="shared" si="3"/>
        <v/>
      </c>
      <c r="M28" s="135"/>
      <c r="N28" s="72" t="str">
        <f t="shared" si="4"/>
        <v/>
      </c>
      <c r="O28" s="135"/>
      <c r="P28" s="136"/>
      <c r="Q28" s="123" t="str">
        <f t="shared" si="5"/>
        <v/>
      </c>
      <c r="R28" s="45" t="str">
        <f t="shared" si="6"/>
        <v/>
      </c>
      <c r="S28" s="137"/>
      <c r="T28" s="79" t="str">
        <f t="shared" si="7"/>
        <v/>
      </c>
      <c r="U28" s="79" t="str">
        <f t="shared" si="8"/>
        <v/>
      </c>
      <c r="V28" s="73" t="str">
        <f t="shared" si="9"/>
        <v/>
      </c>
      <c r="W28" s="80" t="str">
        <f t="shared" si="10"/>
        <v/>
      </c>
      <c r="X28" s="73" t="str">
        <f t="shared" si="11"/>
        <v/>
      </c>
      <c r="Y28" s="80" t="str">
        <f t="shared" si="12"/>
        <v/>
      </c>
      <c r="Z28" s="74" t="str">
        <f t="shared" si="13"/>
        <v/>
      </c>
      <c r="AA28" s="75" t="str">
        <f t="shared" si="17"/>
        <v/>
      </c>
      <c r="AB28" s="103" t="str">
        <f t="shared" si="14"/>
        <v/>
      </c>
      <c r="AC28" s="104" t="str">
        <f t="shared" si="26"/>
        <v/>
      </c>
      <c r="AE28" s="139"/>
      <c r="AF28" s="110" t="str">
        <f t="shared" si="18"/>
        <v/>
      </c>
      <c r="AG28" s="111" t="str">
        <f t="shared" si="19"/>
        <v/>
      </c>
      <c r="AH28" s="111" t="str">
        <f t="shared" si="15"/>
        <v/>
      </c>
      <c r="AI28" s="111" t="str">
        <f t="shared" si="20"/>
        <v/>
      </c>
      <c r="AJ28" s="111" t="str">
        <f t="shared" si="21"/>
        <v/>
      </c>
      <c r="AK28" s="112" t="str">
        <f t="shared" si="22"/>
        <v/>
      </c>
      <c r="AL28" t="str">
        <f t="shared" si="23"/>
        <v/>
      </c>
      <c r="AM28" t="str">
        <f t="shared" si="24"/>
        <v/>
      </c>
    </row>
    <row r="29" spans="1:39" ht="15" customHeight="1" x14ac:dyDescent="0.25">
      <c r="A29" s="131"/>
      <c r="B29" s="133"/>
      <c r="C29" s="133"/>
      <c r="D29" s="42" t="str">
        <f t="shared" si="0"/>
        <v/>
      </c>
      <c r="E29" s="43"/>
      <c r="F29" s="135"/>
      <c r="G29" s="77" t="str">
        <f t="shared" si="1"/>
        <v/>
      </c>
      <c r="H29" s="32" t="str">
        <f t="shared" si="25"/>
        <v/>
      </c>
      <c r="I29" s="78" t="str">
        <f t="shared" si="2"/>
        <v/>
      </c>
      <c r="J29" s="70" t="str">
        <f t="shared" si="16"/>
        <v/>
      </c>
      <c r="K29" s="135"/>
      <c r="L29" s="72" t="str">
        <f t="shared" si="3"/>
        <v/>
      </c>
      <c r="M29" s="135"/>
      <c r="N29" s="72" t="str">
        <f t="shared" si="4"/>
        <v/>
      </c>
      <c r="O29" s="135"/>
      <c r="P29" s="136"/>
      <c r="Q29" s="123" t="str">
        <f t="shared" si="5"/>
        <v/>
      </c>
      <c r="R29" s="45" t="str">
        <f t="shared" si="6"/>
        <v/>
      </c>
      <c r="S29" s="137"/>
      <c r="T29" s="79" t="str">
        <f t="shared" si="7"/>
        <v/>
      </c>
      <c r="U29" s="79" t="str">
        <f t="shared" si="8"/>
        <v/>
      </c>
      <c r="V29" s="73" t="str">
        <f t="shared" si="9"/>
        <v/>
      </c>
      <c r="W29" s="80" t="str">
        <f t="shared" si="10"/>
        <v/>
      </c>
      <c r="X29" s="73" t="str">
        <f t="shared" si="11"/>
        <v/>
      </c>
      <c r="Y29" s="80" t="str">
        <f t="shared" si="12"/>
        <v/>
      </c>
      <c r="Z29" s="74" t="str">
        <f t="shared" si="13"/>
        <v/>
      </c>
      <c r="AA29" s="75" t="str">
        <f t="shared" si="17"/>
        <v/>
      </c>
      <c r="AB29" s="103" t="str">
        <f t="shared" si="14"/>
        <v/>
      </c>
      <c r="AC29" s="104" t="str">
        <f t="shared" si="26"/>
        <v/>
      </c>
      <c r="AE29" s="139"/>
      <c r="AF29" s="110" t="str">
        <f t="shared" si="18"/>
        <v/>
      </c>
      <c r="AG29" s="111" t="str">
        <f t="shared" si="19"/>
        <v/>
      </c>
      <c r="AH29" s="111" t="str">
        <f t="shared" si="15"/>
        <v/>
      </c>
      <c r="AI29" s="111" t="str">
        <f t="shared" si="20"/>
        <v/>
      </c>
      <c r="AJ29" s="111" t="str">
        <f t="shared" si="21"/>
        <v/>
      </c>
      <c r="AK29" s="112" t="str">
        <f t="shared" si="22"/>
        <v/>
      </c>
      <c r="AL29" t="str">
        <f t="shared" si="23"/>
        <v/>
      </c>
      <c r="AM29" t="str">
        <f t="shared" si="24"/>
        <v/>
      </c>
    </row>
    <row r="30" spans="1:39" ht="15" customHeight="1" x14ac:dyDescent="0.25">
      <c r="A30" s="131"/>
      <c r="B30" s="133"/>
      <c r="C30" s="133"/>
      <c r="D30" s="42" t="str">
        <f t="shared" si="0"/>
        <v/>
      </c>
      <c r="E30" s="43"/>
      <c r="F30" s="135"/>
      <c r="G30" s="77" t="str">
        <f t="shared" si="1"/>
        <v/>
      </c>
      <c r="H30" s="32" t="str">
        <f t="shared" si="25"/>
        <v/>
      </c>
      <c r="I30" s="78" t="str">
        <f t="shared" si="2"/>
        <v/>
      </c>
      <c r="J30" s="70" t="str">
        <f t="shared" si="16"/>
        <v/>
      </c>
      <c r="K30" s="135"/>
      <c r="L30" s="72" t="str">
        <f t="shared" si="3"/>
        <v/>
      </c>
      <c r="M30" s="135"/>
      <c r="N30" s="72" t="str">
        <f t="shared" si="4"/>
        <v/>
      </c>
      <c r="O30" s="135"/>
      <c r="P30" s="136"/>
      <c r="Q30" s="123" t="str">
        <f t="shared" si="5"/>
        <v/>
      </c>
      <c r="R30" s="45" t="str">
        <f t="shared" si="6"/>
        <v/>
      </c>
      <c r="S30" s="137"/>
      <c r="T30" s="79" t="str">
        <f t="shared" si="7"/>
        <v/>
      </c>
      <c r="U30" s="79" t="str">
        <f t="shared" si="8"/>
        <v/>
      </c>
      <c r="V30" s="73" t="str">
        <f t="shared" si="9"/>
        <v/>
      </c>
      <c r="W30" s="80" t="str">
        <f t="shared" si="10"/>
        <v/>
      </c>
      <c r="X30" s="73" t="str">
        <f t="shared" si="11"/>
        <v/>
      </c>
      <c r="Y30" s="80" t="str">
        <f t="shared" si="12"/>
        <v/>
      </c>
      <c r="Z30" s="74" t="str">
        <f t="shared" si="13"/>
        <v/>
      </c>
      <c r="AA30" s="75" t="str">
        <f t="shared" si="17"/>
        <v/>
      </c>
      <c r="AB30" s="103" t="str">
        <f t="shared" si="14"/>
        <v/>
      </c>
      <c r="AC30" s="104" t="str">
        <f t="shared" si="26"/>
        <v/>
      </c>
      <c r="AE30" s="139"/>
      <c r="AF30" s="110" t="str">
        <f t="shared" si="18"/>
        <v/>
      </c>
      <c r="AG30" s="111" t="str">
        <f t="shared" si="19"/>
        <v/>
      </c>
      <c r="AH30" s="111" t="str">
        <f t="shared" si="15"/>
        <v/>
      </c>
      <c r="AI30" s="111" t="str">
        <f t="shared" si="20"/>
        <v/>
      </c>
      <c r="AJ30" s="111" t="str">
        <f t="shared" si="21"/>
        <v/>
      </c>
      <c r="AK30" s="112" t="str">
        <f t="shared" si="22"/>
        <v/>
      </c>
      <c r="AL30" t="str">
        <f t="shared" si="23"/>
        <v/>
      </c>
      <c r="AM30" t="str">
        <f t="shared" si="24"/>
        <v/>
      </c>
    </row>
    <row r="31" spans="1:39" ht="15" customHeight="1" x14ac:dyDescent="0.25">
      <c r="A31" s="131"/>
      <c r="B31" s="133"/>
      <c r="C31" s="133"/>
      <c r="D31" s="42" t="str">
        <f t="shared" si="0"/>
        <v/>
      </c>
      <c r="E31" s="43"/>
      <c r="F31" s="135"/>
      <c r="G31" s="77" t="str">
        <f t="shared" si="1"/>
        <v/>
      </c>
      <c r="H31" s="32" t="str">
        <f t="shared" si="25"/>
        <v/>
      </c>
      <c r="I31" s="78" t="str">
        <f t="shared" si="2"/>
        <v/>
      </c>
      <c r="J31" s="70" t="str">
        <f t="shared" si="16"/>
        <v/>
      </c>
      <c r="K31" s="135"/>
      <c r="L31" s="72" t="str">
        <f t="shared" si="3"/>
        <v/>
      </c>
      <c r="M31" s="135"/>
      <c r="N31" s="72" t="str">
        <f t="shared" si="4"/>
        <v/>
      </c>
      <c r="O31" s="135"/>
      <c r="P31" s="136"/>
      <c r="Q31" s="123" t="str">
        <f t="shared" si="5"/>
        <v/>
      </c>
      <c r="R31" s="45" t="str">
        <f t="shared" si="6"/>
        <v/>
      </c>
      <c r="S31" s="137"/>
      <c r="T31" s="79" t="str">
        <f t="shared" si="7"/>
        <v/>
      </c>
      <c r="U31" s="79" t="str">
        <f t="shared" si="8"/>
        <v/>
      </c>
      <c r="V31" s="73" t="str">
        <f t="shared" si="9"/>
        <v/>
      </c>
      <c r="W31" s="80" t="str">
        <f t="shared" si="10"/>
        <v/>
      </c>
      <c r="X31" s="73" t="str">
        <f t="shared" si="11"/>
        <v/>
      </c>
      <c r="Y31" s="80" t="str">
        <f t="shared" si="12"/>
        <v/>
      </c>
      <c r="Z31" s="74" t="str">
        <f t="shared" si="13"/>
        <v/>
      </c>
      <c r="AA31" s="75" t="str">
        <f t="shared" si="17"/>
        <v/>
      </c>
      <c r="AB31" s="103" t="str">
        <f t="shared" si="14"/>
        <v/>
      </c>
      <c r="AC31" s="104" t="str">
        <f t="shared" si="26"/>
        <v/>
      </c>
      <c r="AE31" s="139"/>
      <c r="AF31" s="110" t="str">
        <f t="shared" si="18"/>
        <v/>
      </c>
      <c r="AG31" s="111" t="str">
        <f t="shared" si="19"/>
        <v/>
      </c>
      <c r="AH31" s="111" t="str">
        <f t="shared" si="15"/>
        <v/>
      </c>
      <c r="AI31" s="111" t="str">
        <f t="shared" si="20"/>
        <v/>
      </c>
      <c r="AJ31" s="111" t="str">
        <f t="shared" si="21"/>
        <v/>
      </c>
      <c r="AK31" s="112" t="str">
        <f t="shared" si="22"/>
        <v/>
      </c>
      <c r="AL31" t="str">
        <f t="shared" si="23"/>
        <v/>
      </c>
      <c r="AM31" t="str">
        <f t="shared" si="24"/>
        <v/>
      </c>
    </row>
    <row r="32" spans="1:39" ht="15" customHeight="1" x14ac:dyDescent="0.25">
      <c r="A32" s="131"/>
      <c r="B32" s="133"/>
      <c r="C32" s="133"/>
      <c r="D32" s="42" t="str">
        <f t="shared" si="0"/>
        <v/>
      </c>
      <c r="E32" s="43"/>
      <c r="F32" s="135"/>
      <c r="G32" s="77" t="str">
        <f t="shared" si="1"/>
        <v/>
      </c>
      <c r="H32" s="32" t="str">
        <f t="shared" si="25"/>
        <v/>
      </c>
      <c r="I32" s="78" t="str">
        <f t="shared" si="2"/>
        <v/>
      </c>
      <c r="J32" s="70" t="str">
        <f t="shared" si="16"/>
        <v/>
      </c>
      <c r="K32" s="135"/>
      <c r="L32" s="72" t="str">
        <f t="shared" si="3"/>
        <v/>
      </c>
      <c r="M32" s="135"/>
      <c r="N32" s="72" t="str">
        <f t="shared" si="4"/>
        <v/>
      </c>
      <c r="O32" s="135"/>
      <c r="P32" s="136"/>
      <c r="Q32" s="123" t="str">
        <f t="shared" si="5"/>
        <v/>
      </c>
      <c r="R32" s="45" t="str">
        <f t="shared" si="6"/>
        <v/>
      </c>
      <c r="S32" s="137"/>
      <c r="T32" s="79" t="str">
        <f t="shared" si="7"/>
        <v/>
      </c>
      <c r="U32" s="79" t="str">
        <f t="shared" si="8"/>
        <v/>
      </c>
      <c r="V32" s="73" t="str">
        <f t="shared" si="9"/>
        <v/>
      </c>
      <c r="W32" s="80" t="str">
        <f t="shared" si="10"/>
        <v/>
      </c>
      <c r="X32" s="73" t="str">
        <f t="shared" si="11"/>
        <v/>
      </c>
      <c r="Y32" s="80" t="str">
        <f t="shared" si="12"/>
        <v/>
      </c>
      <c r="Z32" s="74" t="str">
        <f t="shared" si="13"/>
        <v/>
      </c>
      <c r="AA32" s="75" t="str">
        <f t="shared" si="17"/>
        <v/>
      </c>
      <c r="AB32" s="103" t="str">
        <f t="shared" si="14"/>
        <v/>
      </c>
      <c r="AC32" s="104" t="str">
        <f t="shared" si="26"/>
        <v/>
      </c>
      <c r="AE32" s="139"/>
      <c r="AF32" s="110" t="str">
        <f t="shared" si="18"/>
        <v/>
      </c>
      <c r="AG32" s="111" t="str">
        <f t="shared" si="19"/>
        <v/>
      </c>
      <c r="AH32" s="111" t="str">
        <f t="shared" si="15"/>
        <v/>
      </c>
      <c r="AI32" s="111" t="str">
        <f t="shared" si="20"/>
        <v/>
      </c>
      <c r="AJ32" s="111" t="str">
        <f t="shared" si="21"/>
        <v/>
      </c>
      <c r="AK32" s="112" t="str">
        <f t="shared" si="22"/>
        <v/>
      </c>
      <c r="AL32" t="str">
        <f t="shared" si="23"/>
        <v/>
      </c>
      <c r="AM32" t="str">
        <f t="shared" si="24"/>
        <v/>
      </c>
    </row>
    <row r="33" spans="1:39" ht="15" customHeight="1" x14ac:dyDescent="0.25">
      <c r="A33" s="131"/>
      <c r="B33" s="133"/>
      <c r="C33" s="133"/>
      <c r="D33" s="42" t="str">
        <f t="shared" si="0"/>
        <v/>
      </c>
      <c r="E33" s="43"/>
      <c r="F33" s="135"/>
      <c r="G33" s="77" t="str">
        <f t="shared" si="1"/>
        <v/>
      </c>
      <c r="H33" s="32" t="str">
        <f t="shared" si="25"/>
        <v/>
      </c>
      <c r="I33" s="78" t="str">
        <f t="shared" si="2"/>
        <v/>
      </c>
      <c r="J33" s="70" t="str">
        <f t="shared" si="16"/>
        <v/>
      </c>
      <c r="K33" s="135"/>
      <c r="L33" s="72" t="str">
        <f t="shared" si="3"/>
        <v/>
      </c>
      <c r="M33" s="135"/>
      <c r="N33" s="72" t="str">
        <f t="shared" si="4"/>
        <v/>
      </c>
      <c r="O33" s="135"/>
      <c r="P33" s="136"/>
      <c r="Q33" s="123" t="str">
        <f t="shared" si="5"/>
        <v/>
      </c>
      <c r="R33" s="45" t="str">
        <f t="shared" si="6"/>
        <v/>
      </c>
      <c r="S33" s="137"/>
      <c r="T33" s="79" t="str">
        <f t="shared" si="7"/>
        <v/>
      </c>
      <c r="U33" s="79" t="str">
        <f t="shared" si="8"/>
        <v/>
      </c>
      <c r="V33" s="73" t="str">
        <f t="shared" si="9"/>
        <v/>
      </c>
      <c r="W33" s="80" t="str">
        <f t="shared" si="10"/>
        <v/>
      </c>
      <c r="X33" s="73" t="str">
        <f t="shared" si="11"/>
        <v/>
      </c>
      <c r="Y33" s="80" t="str">
        <f t="shared" si="12"/>
        <v/>
      </c>
      <c r="Z33" s="74" t="str">
        <f t="shared" si="13"/>
        <v/>
      </c>
      <c r="AA33" s="75" t="str">
        <f t="shared" si="17"/>
        <v/>
      </c>
      <c r="AB33" s="103" t="str">
        <f t="shared" si="14"/>
        <v/>
      </c>
      <c r="AC33" s="104" t="str">
        <f t="shared" si="26"/>
        <v/>
      </c>
      <c r="AE33" s="139"/>
      <c r="AF33" s="110" t="str">
        <f t="shared" si="18"/>
        <v/>
      </c>
      <c r="AG33" s="111" t="str">
        <f t="shared" si="19"/>
        <v/>
      </c>
      <c r="AH33" s="111" t="str">
        <f t="shared" si="15"/>
        <v/>
      </c>
      <c r="AI33" s="111" t="str">
        <f t="shared" si="20"/>
        <v/>
      </c>
      <c r="AJ33" s="111" t="str">
        <f t="shared" si="21"/>
        <v/>
      </c>
      <c r="AK33" s="112" t="str">
        <f t="shared" si="22"/>
        <v/>
      </c>
      <c r="AL33" t="str">
        <f t="shared" si="23"/>
        <v/>
      </c>
      <c r="AM33" t="str">
        <f t="shared" si="24"/>
        <v/>
      </c>
    </row>
    <row r="34" spans="1:39" ht="15" customHeight="1" x14ac:dyDescent="0.25">
      <c r="A34" s="131"/>
      <c r="B34" s="133"/>
      <c r="C34" s="133"/>
      <c r="D34" s="42" t="str">
        <f t="shared" si="0"/>
        <v/>
      </c>
      <c r="E34" s="43"/>
      <c r="F34" s="135"/>
      <c r="G34" s="77" t="str">
        <f t="shared" si="1"/>
        <v/>
      </c>
      <c r="H34" s="32" t="str">
        <f t="shared" si="25"/>
        <v/>
      </c>
      <c r="I34" s="78" t="str">
        <f t="shared" si="2"/>
        <v/>
      </c>
      <c r="J34" s="70" t="str">
        <f t="shared" si="16"/>
        <v/>
      </c>
      <c r="K34" s="135"/>
      <c r="L34" s="72" t="str">
        <f t="shared" si="3"/>
        <v/>
      </c>
      <c r="M34" s="135"/>
      <c r="N34" s="72" t="str">
        <f t="shared" si="4"/>
        <v/>
      </c>
      <c r="O34" s="135"/>
      <c r="P34" s="136"/>
      <c r="Q34" s="123" t="str">
        <f t="shared" si="5"/>
        <v/>
      </c>
      <c r="R34" s="45" t="str">
        <f t="shared" si="6"/>
        <v/>
      </c>
      <c r="S34" s="137"/>
      <c r="T34" s="79" t="str">
        <f t="shared" si="7"/>
        <v/>
      </c>
      <c r="U34" s="79" t="str">
        <f t="shared" si="8"/>
        <v/>
      </c>
      <c r="V34" s="73" t="str">
        <f t="shared" si="9"/>
        <v/>
      </c>
      <c r="W34" s="80" t="str">
        <f t="shared" si="10"/>
        <v/>
      </c>
      <c r="X34" s="73" t="str">
        <f t="shared" si="11"/>
        <v/>
      </c>
      <c r="Y34" s="80" t="str">
        <f t="shared" si="12"/>
        <v/>
      </c>
      <c r="Z34" s="74" t="str">
        <f t="shared" si="13"/>
        <v/>
      </c>
      <c r="AA34" s="75" t="str">
        <f t="shared" si="17"/>
        <v/>
      </c>
      <c r="AB34" s="103" t="str">
        <f t="shared" si="14"/>
        <v/>
      </c>
      <c r="AC34" s="104" t="str">
        <f t="shared" si="26"/>
        <v/>
      </c>
      <c r="AE34" s="139"/>
      <c r="AF34" s="110" t="str">
        <f t="shared" si="18"/>
        <v/>
      </c>
      <c r="AG34" s="111" t="str">
        <f t="shared" si="19"/>
        <v/>
      </c>
      <c r="AH34" s="111" t="str">
        <f t="shared" si="15"/>
        <v/>
      </c>
      <c r="AI34" s="111" t="str">
        <f t="shared" si="20"/>
        <v/>
      </c>
      <c r="AJ34" s="111" t="str">
        <f t="shared" si="21"/>
        <v/>
      </c>
      <c r="AK34" s="112" t="str">
        <f t="shared" si="22"/>
        <v/>
      </c>
      <c r="AL34" t="str">
        <f t="shared" si="23"/>
        <v/>
      </c>
      <c r="AM34" t="str">
        <f t="shared" si="24"/>
        <v/>
      </c>
    </row>
    <row r="35" spans="1:39" ht="15" customHeight="1" x14ac:dyDescent="0.25">
      <c r="A35" s="131"/>
      <c r="B35" s="133"/>
      <c r="C35" s="133"/>
      <c r="D35" s="42" t="str">
        <f t="shared" si="0"/>
        <v/>
      </c>
      <c r="E35" s="43"/>
      <c r="F35" s="135"/>
      <c r="G35" s="77" t="str">
        <f t="shared" si="1"/>
        <v/>
      </c>
      <c r="H35" s="32" t="str">
        <f t="shared" si="25"/>
        <v/>
      </c>
      <c r="I35" s="78" t="str">
        <f t="shared" si="2"/>
        <v/>
      </c>
      <c r="J35" s="70" t="str">
        <f t="shared" si="16"/>
        <v/>
      </c>
      <c r="K35" s="135"/>
      <c r="L35" s="72" t="str">
        <f t="shared" si="3"/>
        <v/>
      </c>
      <c r="M35" s="135"/>
      <c r="N35" s="72" t="str">
        <f t="shared" si="4"/>
        <v/>
      </c>
      <c r="O35" s="135"/>
      <c r="P35" s="136"/>
      <c r="Q35" s="123" t="str">
        <f t="shared" si="5"/>
        <v/>
      </c>
      <c r="R35" s="45" t="str">
        <f t="shared" si="6"/>
        <v/>
      </c>
      <c r="S35" s="137"/>
      <c r="T35" s="79" t="str">
        <f t="shared" si="7"/>
        <v/>
      </c>
      <c r="U35" s="79" t="str">
        <f t="shared" si="8"/>
        <v/>
      </c>
      <c r="V35" s="73" t="str">
        <f t="shared" si="9"/>
        <v/>
      </c>
      <c r="W35" s="80" t="str">
        <f t="shared" si="10"/>
        <v/>
      </c>
      <c r="X35" s="73" t="str">
        <f t="shared" si="11"/>
        <v/>
      </c>
      <c r="Y35" s="80" t="str">
        <f t="shared" si="12"/>
        <v/>
      </c>
      <c r="Z35" s="74" t="str">
        <f t="shared" si="13"/>
        <v/>
      </c>
      <c r="AA35" s="75" t="str">
        <f t="shared" si="17"/>
        <v/>
      </c>
      <c r="AB35" s="103" t="str">
        <f t="shared" si="14"/>
        <v/>
      </c>
      <c r="AC35" s="104" t="str">
        <f t="shared" si="26"/>
        <v/>
      </c>
      <c r="AE35" s="139"/>
      <c r="AF35" s="110" t="str">
        <f t="shared" si="18"/>
        <v/>
      </c>
      <c r="AG35" s="111" t="str">
        <f t="shared" si="19"/>
        <v/>
      </c>
      <c r="AH35" s="111" t="str">
        <f t="shared" si="15"/>
        <v/>
      </c>
      <c r="AI35" s="111" t="str">
        <f t="shared" si="20"/>
        <v/>
      </c>
      <c r="AJ35" s="111" t="str">
        <f t="shared" si="21"/>
        <v/>
      </c>
      <c r="AK35" s="112" t="str">
        <f t="shared" si="22"/>
        <v/>
      </c>
      <c r="AL35" t="str">
        <f t="shared" si="23"/>
        <v/>
      </c>
      <c r="AM35" t="str">
        <f t="shared" si="24"/>
        <v/>
      </c>
    </row>
    <row r="36" spans="1:39" ht="15" customHeight="1" x14ac:dyDescent="0.25">
      <c r="A36" s="131"/>
      <c r="B36" s="133"/>
      <c r="C36" s="133"/>
      <c r="D36" s="42" t="str">
        <f t="shared" si="0"/>
        <v/>
      </c>
      <c r="E36" s="43"/>
      <c r="F36" s="135"/>
      <c r="G36" s="77" t="str">
        <f t="shared" si="1"/>
        <v/>
      </c>
      <c r="H36" s="32" t="str">
        <f t="shared" si="25"/>
        <v/>
      </c>
      <c r="I36" s="78" t="str">
        <f t="shared" si="2"/>
        <v/>
      </c>
      <c r="J36" s="70" t="str">
        <f t="shared" si="16"/>
        <v/>
      </c>
      <c r="K36" s="135"/>
      <c r="L36" s="72" t="str">
        <f t="shared" si="3"/>
        <v/>
      </c>
      <c r="M36" s="135"/>
      <c r="N36" s="72" t="str">
        <f t="shared" si="4"/>
        <v/>
      </c>
      <c r="O36" s="135"/>
      <c r="P36" s="136"/>
      <c r="Q36" s="123" t="str">
        <f t="shared" si="5"/>
        <v/>
      </c>
      <c r="R36" s="45" t="str">
        <f t="shared" si="6"/>
        <v/>
      </c>
      <c r="S36" s="137"/>
      <c r="T36" s="79" t="str">
        <f t="shared" si="7"/>
        <v/>
      </c>
      <c r="U36" s="79" t="str">
        <f t="shared" si="8"/>
        <v/>
      </c>
      <c r="V36" s="73" t="str">
        <f t="shared" si="9"/>
        <v/>
      </c>
      <c r="W36" s="80" t="str">
        <f t="shared" si="10"/>
        <v/>
      </c>
      <c r="X36" s="73" t="str">
        <f t="shared" si="11"/>
        <v/>
      </c>
      <c r="Y36" s="80" t="str">
        <f t="shared" si="12"/>
        <v/>
      </c>
      <c r="Z36" s="74" t="str">
        <f t="shared" si="13"/>
        <v/>
      </c>
      <c r="AA36" s="75" t="str">
        <f t="shared" si="17"/>
        <v/>
      </c>
      <c r="AB36" s="103" t="str">
        <f t="shared" si="14"/>
        <v/>
      </c>
      <c r="AC36" s="104" t="str">
        <f t="shared" si="26"/>
        <v/>
      </c>
      <c r="AE36" s="139"/>
      <c r="AF36" s="110" t="str">
        <f t="shared" si="18"/>
        <v/>
      </c>
      <c r="AG36" s="111" t="str">
        <f t="shared" si="19"/>
        <v/>
      </c>
      <c r="AH36" s="111" t="str">
        <f t="shared" si="15"/>
        <v/>
      </c>
      <c r="AI36" s="111" t="str">
        <f t="shared" si="20"/>
        <v/>
      </c>
      <c r="AJ36" s="111" t="str">
        <f t="shared" si="21"/>
        <v/>
      </c>
      <c r="AK36" s="112" t="str">
        <f t="shared" si="22"/>
        <v/>
      </c>
      <c r="AL36" t="str">
        <f t="shared" si="23"/>
        <v/>
      </c>
      <c r="AM36" t="str">
        <f t="shared" si="24"/>
        <v/>
      </c>
    </row>
    <row r="37" spans="1:39" ht="15" customHeight="1" x14ac:dyDescent="0.25">
      <c r="A37" s="131"/>
      <c r="B37" s="133"/>
      <c r="C37" s="133"/>
      <c r="D37" s="42" t="str">
        <f t="shared" si="0"/>
        <v/>
      </c>
      <c r="E37" s="43"/>
      <c r="F37" s="135"/>
      <c r="G37" s="77" t="str">
        <f t="shared" si="1"/>
        <v/>
      </c>
      <c r="H37" s="32" t="str">
        <f t="shared" si="25"/>
        <v/>
      </c>
      <c r="I37" s="78" t="str">
        <f t="shared" si="2"/>
        <v/>
      </c>
      <c r="J37" s="70" t="str">
        <f t="shared" si="16"/>
        <v/>
      </c>
      <c r="K37" s="135"/>
      <c r="L37" s="72" t="str">
        <f t="shared" si="3"/>
        <v/>
      </c>
      <c r="M37" s="135"/>
      <c r="N37" s="72" t="str">
        <f t="shared" si="4"/>
        <v/>
      </c>
      <c r="O37" s="135"/>
      <c r="P37" s="136"/>
      <c r="Q37" s="123" t="str">
        <f t="shared" si="5"/>
        <v/>
      </c>
      <c r="R37" s="45" t="str">
        <f t="shared" si="6"/>
        <v/>
      </c>
      <c r="S37" s="137"/>
      <c r="T37" s="79" t="str">
        <f t="shared" si="7"/>
        <v/>
      </c>
      <c r="U37" s="79" t="str">
        <f t="shared" si="8"/>
        <v/>
      </c>
      <c r="V37" s="73" t="str">
        <f t="shared" si="9"/>
        <v/>
      </c>
      <c r="W37" s="80" t="str">
        <f t="shared" si="10"/>
        <v/>
      </c>
      <c r="X37" s="73" t="str">
        <f t="shared" si="11"/>
        <v/>
      </c>
      <c r="Y37" s="80" t="str">
        <f t="shared" si="12"/>
        <v/>
      </c>
      <c r="Z37" s="74" t="str">
        <f t="shared" si="13"/>
        <v/>
      </c>
      <c r="AA37" s="75" t="str">
        <f t="shared" si="17"/>
        <v/>
      </c>
      <c r="AB37" s="103" t="str">
        <f t="shared" si="14"/>
        <v/>
      </c>
      <c r="AC37" s="104" t="str">
        <f t="shared" si="26"/>
        <v/>
      </c>
      <c r="AE37" s="139"/>
      <c r="AF37" s="110" t="str">
        <f t="shared" si="18"/>
        <v/>
      </c>
      <c r="AG37" s="111" t="str">
        <f t="shared" si="19"/>
        <v/>
      </c>
      <c r="AH37" s="111" t="str">
        <f t="shared" si="15"/>
        <v/>
      </c>
      <c r="AI37" s="111" t="str">
        <f t="shared" si="20"/>
        <v/>
      </c>
      <c r="AJ37" s="111" t="str">
        <f t="shared" si="21"/>
        <v/>
      </c>
      <c r="AK37" s="112" t="str">
        <f t="shared" si="22"/>
        <v/>
      </c>
      <c r="AL37" t="str">
        <f t="shared" si="23"/>
        <v/>
      </c>
      <c r="AM37" t="str">
        <f t="shared" si="24"/>
        <v/>
      </c>
    </row>
    <row r="38" spans="1:39" ht="15" customHeight="1" x14ac:dyDescent="0.25">
      <c r="A38" s="131"/>
      <c r="B38" s="133"/>
      <c r="C38" s="133"/>
      <c r="D38" s="42" t="str">
        <f t="shared" si="0"/>
        <v/>
      </c>
      <c r="E38" s="43"/>
      <c r="F38" s="135"/>
      <c r="G38" s="77" t="str">
        <f t="shared" si="1"/>
        <v/>
      </c>
      <c r="H38" s="32" t="str">
        <f t="shared" si="25"/>
        <v/>
      </c>
      <c r="I38" s="78" t="str">
        <f t="shared" si="2"/>
        <v/>
      </c>
      <c r="J38" s="70" t="str">
        <f t="shared" si="16"/>
        <v/>
      </c>
      <c r="K38" s="135"/>
      <c r="L38" s="72" t="str">
        <f t="shared" si="3"/>
        <v/>
      </c>
      <c r="M38" s="135"/>
      <c r="N38" s="72" t="str">
        <f t="shared" si="4"/>
        <v/>
      </c>
      <c r="O38" s="135"/>
      <c r="P38" s="136"/>
      <c r="Q38" s="123" t="str">
        <f t="shared" si="5"/>
        <v/>
      </c>
      <c r="R38" s="45" t="str">
        <f t="shared" si="6"/>
        <v/>
      </c>
      <c r="S38" s="137"/>
      <c r="T38" s="79" t="str">
        <f t="shared" si="7"/>
        <v/>
      </c>
      <c r="U38" s="79" t="str">
        <f t="shared" si="8"/>
        <v/>
      </c>
      <c r="V38" s="73" t="str">
        <f t="shared" si="9"/>
        <v/>
      </c>
      <c r="W38" s="80" t="str">
        <f t="shared" si="10"/>
        <v/>
      </c>
      <c r="X38" s="73" t="str">
        <f t="shared" si="11"/>
        <v/>
      </c>
      <c r="Y38" s="80" t="str">
        <f t="shared" si="12"/>
        <v/>
      </c>
      <c r="Z38" s="74" t="str">
        <f t="shared" si="13"/>
        <v/>
      </c>
      <c r="AA38" s="75" t="str">
        <f t="shared" si="17"/>
        <v/>
      </c>
      <c r="AB38" s="103" t="str">
        <f t="shared" si="14"/>
        <v/>
      </c>
      <c r="AC38" s="104" t="str">
        <f t="shared" si="26"/>
        <v/>
      </c>
      <c r="AE38" s="139"/>
      <c r="AF38" s="110" t="str">
        <f t="shared" si="18"/>
        <v/>
      </c>
      <c r="AG38" s="111" t="str">
        <f t="shared" si="19"/>
        <v/>
      </c>
      <c r="AH38" s="111" t="str">
        <f t="shared" si="15"/>
        <v/>
      </c>
      <c r="AI38" s="111" t="str">
        <f t="shared" si="20"/>
        <v/>
      </c>
      <c r="AJ38" s="111" t="str">
        <f t="shared" si="21"/>
        <v/>
      </c>
      <c r="AK38" s="112" t="str">
        <f t="shared" si="22"/>
        <v/>
      </c>
      <c r="AL38" t="str">
        <f t="shared" si="23"/>
        <v/>
      </c>
      <c r="AM38" t="str">
        <f t="shared" si="24"/>
        <v/>
      </c>
    </row>
    <row r="39" spans="1:39" ht="15" customHeight="1" x14ac:dyDescent="0.25">
      <c r="A39" s="131"/>
      <c r="B39" s="133"/>
      <c r="C39" s="133"/>
      <c r="D39" s="42" t="str">
        <f t="shared" si="0"/>
        <v/>
      </c>
      <c r="E39" s="43"/>
      <c r="F39" s="135"/>
      <c r="G39" s="77" t="str">
        <f t="shared" si="1"/>
        <v/>
      </c>
      <c r="H39" s="32" t="str">
        <f t="shared" si="25"/>
        <v/>
      </c>
      <c r="I39" s="78" t="str">
        <f t="shared" si="2"/>
        <v/>
      </c>
      <c r="J39" s="70" t="str">
        <f t="shared" si="16"/>
        <v/>
      </c>
      <c r="K39" s="135"/>
      <c r="L39" s="72" t="str">
        <f t="shared" si="3"/>
        <v/>
      </c>
      <c r="M39" s="135"/>
      <c r="N39" s="72" t="str">
        <f t="shared" si="4"/>
        <v/>
      </c>
      <c r="O39" s="135"/>
      <c r="P39" s="136"/>
      <c r="Q39" s="123" t="str">
        <f t="shared" si="5"/>
        <v/>
      </c>
      <c r="R39" s="45" t="str">
        <f t="shared" si="6"/>
        <v/>
      </c>
      <c r="S39" s="137"/>
      <c r="T39" s="79" t="str">
        <f t="shared" si="7"/>
        <v/>
      </c>
      <c r="U39" s="79" t="str">
        <f t="shared" si="8"/>
        <v/>
      </c>
      <c r="V39" s="73" t="str">
        <f t="shared" si="9"/>
        <v/>
      </c>
      <c r="W39" s="80" t="str">
        <f t="shared" si="10"/>
        <v/>
      </c>
      <c r="X39" s="73" t="str">
        <f t="shared" si="11"/>
        <v/>
      </c>
      <c r="Y39" s="80" t="str">
        <f t="shared" si="12"/>
        <v/>
      </c>
      <c r="Z39" s="74" t="str">
        <f t="shared" si="13"/>
        <v/>
      </c>
      <c r="AA39" s="75" t="str">
        <f t="shared" si="17"/>
        <v/>
      </c>
      <c r="AB39" s="103" t="str">
        <f t="shared" si="14"/>
        <v/>
      </c>
      <c r="AC39" s="104" t="str">
        <f t="shared" si="26"/>
        <v/>
      </c>
      <c r="AE39" s="139"/>
      <c r="AF39" s="110" t="str">
        <f t="shared" si="18"/>
        <v/>
      </c>
      <c r="AG39" s="111" t="str">
        <f t="shared" si="19"/>
        <v/>
      </c>
      <c r="AH39" s="111" t="str">
        <f t="shared" si="15"/>
        <v/>
      </c>
      <c r="AI39" s="111" t="str">
        <f t="shared" si="20"/>
        <v/>
      </c>
      <c r="AJ39" s="111" t="str">
        <f t="shared" si="21"/>
        <v/>
      </c>
      <c r="AK39" s="112" t="str">
        <f t="shared" si="22"/>
        <v/>
      </c>
      <c r="AL39" t="str">
        <f t="shared" si="23"/>
        <v/>
      </c>
      <c r="AM39" t="str">
        <f t="shared" si="24"/>
        <v/>
      </c>
    </row>
    <row r="40" spans="1:39" ht="15" customHeight="1" x14ac:dyDescent="0.25">
      <c r="A40" s="131"/>
      <c r="B40" s="133"/>
      <c r="C40" s="133"/>
      <c r="D40" s="42" t="str">
        <f t="shared" si="0"/>
        <v/>
      </c>
      <c r="E40" s="43"/>
      <c r="F40" s="135"/>
      <c r="G40" s="77" t="str">
        <f t="shared" si="1"/>
        <v/>
      </c>
      <c r="H40" s="32" t="str">
        <f t="shared" si="25"/>
        <v/>
      </c>
      <c r="I40" s="78" t="str">
        <f t="shared" si="2"/>
        <v/>
      </c>
      <c r="J40" s="70" t="str">
        <f t="shared" si="16"/>
        <v/>
      </c>
      <c r="K40" s="135"/>
      <c r="L40" s="72" t="str">
        <f t="shared" si="3"/>
        <v/>
      </c>
      <c r="M40" s="135"/>
      <c r="N40" s="72" t="str">
        <f t="shared" si="4"/>
        <v/>
      </c>
      <c r="O40" s="135"/>
      <c r="P40" s="136"/>
      <c r="Q40" s="123" t="str">
        <f t="shared" si="5"/>
        <v/>
      </c>
      <c r="R40" s="45" t="str">
        <f t="shared" si="6"/>
        <v/>
      </c>
      <c r="S40" s="137"/>
      <c r="T40" s="79" t="str">
        <f t="shared" si="7"/>
        <v/>
      </c>
      <c r="U40" s="79" t="str">
        <f t="shared" si="8"/>
        <v/>
      </c>
      <c r="V40" s="73" t="str">
        <f t="shared" si="9"/>
        <v/>
      </c>
      <c r="W40" s="80" t="str">
        <f t="shared" si="10"/>
        <v/>
      </c>
      <c r="X40" s="73" t="str">
        <f t="shared" si="11"/>
        <v/>
      </c>
      <c r="Y40" s="80" t="str">
        <f t="shared" si="12"/>
        <v/>
      </c>
      <c r="Z40" s="74" t="str">
        <f t="shared" si="13"/>
        <v/>
      </c>
      <c r="AA40" s="75" t="str">
        <f t="shared" si="17"/>
        <v/>
      </c>
      <c r="AB40" s="103" t="str">
        <f t="shared" si="14"/>
        <v/>
      </c>
      <c r="AC40" s="104" t="str">
        <f t="shared" si="26"/>
        <v/>
      </c>
      <c r="AE40" s="139"/>
      <c r="AF40" s="110" t="str">
        <f t="shared" si="18"/>
        <v/>
      </c>
      <c r="AG40" s="111" t="str">
        <f t="shared" si="19"/>
        <v/>
      </c>
      <c r="AH40" s="111" t="str">
        <f t="shared" si="15"/>
        <v/>
      </c>
      <c r="AI40" s="111" t="str">
        <f t="shared" si="20"/>
        <v/>
      </c>
      <c r="AJ40" s="111" t="str">
        <f t="shared" si="21"/>
        <v/>
      </c>
      <c r="AK40" s="112" t="str">
        <f t="shared" si="22"/>
        <v/>
      </c>
      <c r="AL40" t="str">
        <f t="shared" si="23"/>
        <v/>
      </c>
      <c r="AM40" t="str">
        <f t="shared" si="24"/>
        <v/>
      </c>
    </row>
    <row r="41" spans="1:39" ht="15" customHeight="1" x14ac:dyDescent="0.25">
      <c r="A41" s="131"/>
      <c r="B41" s="133"/>
      <c r="C41" s="133"/>
      <c r="D41" s="42" t="str">
        <f t="shared" si="0"/>
        <v/>
      </c>
      <c r="E41" s="43"/>
      <c r="F41" s="135"/>
      <c r="G41" s="77" t="str">
        <f t="shared" si="1"/>
        <v/>
      </c>
      <c r="H41" s="32" t="str">
        <f t="shared" si="25"/>
        <v/>
      </c>
      <c r="I41" s="78" t="str">
        <f t="shared" si="2"/>
        <v/>
      </c>
      <c r="J41" s="70" t="str">
        <f t="shared" si="16"/>
        <v/>
      </c>
      <c r="K41" s="135"/>
      <c r="L41" s="72" t="str">
        <f t="shared" si="3"/>
        <v/>
      </c>
      <c r="M41" s="135"/>
      <c r="N41" s="72" t="str">
        <f t="shared" si="4"/>
        <v/>
      </c>
      <c r="O41" s="135"/>
      <c r="P41" s="136"/>
      <c r="Q41" s="123" t="str">
        <f t="shared" si="5"/>
        <v/>
      </c>
      <c r="R41" s="45" t="str">
        <f t="shared" si="6"/>
        <v/>
      </c>
      <c r="S41" s="137"/>
      <c r="T41" s="79" t="str">
        <f t="shared" si="7"/>
        <v/>
      </c>
      <c r="U41" s="79" t="str">
        <f t="shared" si="8"/>
        <v/>
      </c>
      <c r="V41" s="73" t="str">
        <f t="shared" si="9"/>
        <v/>
      </c>
      <c r="W41" s="80" t="str">
        <f t="shared" si="10"/>
        <v/>
      </c>
      <c r="X41" s="73" t="str">
        <f t="shared" si="11"/>
        <v/>
      </c>
      <c r="Y41" s="80" t="str">
        <f t="shared" si="12"/>
        <v/>
      </c>
      <c r="Z41" s="74" t="str">
        <f t="shared" si="13"/>
        <v/>
      </c>
      <c r="AA41" s="75" t="str">
        <f t="shared" si="17"/>
        <v/>
      </c>
      <c r="AB41" s="103" t="str">
        <f t="shared" si="14"/>
        <v/>
      </c>
      <c r="AC41" s="104" t="str">
        <f t="shared" si="26"/>
        <v/>
      </c>
      <c r="AE41" s="139"/>
      <c r="AF41" s="110" t="str">
        <f t="shared" si="18"/>
        <v/>
      </c>
      <c r="AG41" s="111" t="str">
        <f t="shared" si="19"/>
        <v/>
      </c>
      <c r="AH41" s="111" t="str">
        <f t="shared" si="15"/>
        <v/>
      </c>
      <c r="AI41" s="111" t="str">
        <f t="shared" si="20"/>
        <v/>
      </c>
      <c r="AJ41" s="111" t="str">
        <f t="shared" si="21"/>
        <v/>
      </c>
      <c r="AK41" s="112" t="str">
        <f t="shared" si="22"/>
        <v/>
      </c>
      <c r="AL41" t="str">
        <f t="shared" si="23"/>
        <v/>
      </c>
      <c r="AM41" t="str">
        <f t="shared" si="24"/>
        <v/>
      </c>
    </row>
    <row r="42" spans="1:39" ht="15" customHeight="1" x14ac:dyDescent="0.25">
      <c r="A42" s="131"/>
      <c r="B42" s="133"/>
      <c r="C42" s="133"/>
      <c r="D42" s="42" t="str">
        <f t="shared" si="0"/>
        <v/>
      </c>
      <c r="E42" s="43"/>
      <c r="F42" s="135"/>
      <c r="G42" s="77" t="str">
        <f t="shared" si="1"/>
        <v/>
      </c>
      <c r="H42" s="32" t="str">
        <f t="shared" si="25"/>
        <v/>
      </c>
      <c r="I42" s="78" t="str">
        <f t="shared" si="2"/>
        <v/>
      </c>
      <c r="J42" s="70" t="str">
        <f t="shared" si="16"/>
        <v/>
      </c>
      <c r="K42" s="135"/>
      <c r="L42" s="72" t="str">
        <f t="shared" si="3"/>
        <v/>
      </c>
      <c r="M42" s="135"/>
      <c r="N42" s="72" t="str">
        <f t="shared" si="4"/>
        <v/>
      </c>
      <c r="O42" s="135"/>
      <c r="P42" s="136"/>
      <c r="Q42" s="123" t="str">
        <f t="shared" si="5"/>
        <v/>
      </c>
      <c r="R42" s="45" t="str">
        <f t="shared" si="6"/>
        <v/>
      </c>
      <c r="S42" s="137"/>
      <c r="T42" s="79" t="str">
        <f t="shared" si="7"/>
        <v/>
      </c>
      <c r="U42" s="79" t="str">
        <f t="shared" si="8"/>
        <v/>
      </c>
      <c r="V42" s="73" t="str">
        <f t="shared" si="9"/>
        <v/>
      </c>
      <c r="W42" s="80" t="str">
        <f t="shared" si="10"/>
        <v/>
      </c>
      <c r="X42" s="73" t="str">
        <f t="shared" si="11"/>
        <v/>
      </c>
      <c r="Y42" s="80" t="str">
        <f t="shared" si="12"/>
        <v/>
      </c>
      <c r="Z42" s="74" t="str">
        <f t="shared" si="13"/>
        <v/>
      </c>
      <c r="AA42" s="75" t="str">
        <f t="shared" si="17"/>
        <v/>
      </c>
      <c r="AB42" s="103" t="str">
        <f t="shared" si="14"/>
        <v/>
      </c>
      <c r="AC42" s="104" t="str">
        <f t="shared" si="26"/>
        <v/>
      </c>
      <c r="AE42" s="139"/>
      <c r="AF42" s="110" t="str">
        <f t="shared" si="18"/>
        <v/>
      </c>
      <c r="AG42" s="111" t="str">
        <f t="shared" si="19"/>
        <v/>
      </c>
      <c r="AH42" s="111" t="str">
        <f t="shared" si="15"/>
        <v/>
      </c>
      <c r="AI42" s="111" t="str">
        <f t="shared" si="20"/>
        <v/>
      </c>
      <c r="AJ42" s="111" t="str">
        <f t="shared" si="21"/>
        <v/>
      </c>
      <c r="AK42" s="112" t="str">
        <f t="shared" si="22"/>
        <v/>
      </c>
      <c r="AL42" t="str">
        <f t="shared" si="23"/>
        <v/>
      </c>
      <c r="AM42" t="str">
        <f t="shared" si="24"/>
        <v/>
      </c>
    </row>
    <row r="43" spans="1:39" ht="15" customHeight="1" x14ac:dyDescent="0.25">
      <c r="A43" s="131"/>
      <c r="B43" s="133"/>
      <c r="C43" s="133"/>
      <c r="D43" s="42" t="str">
        <f t="shared" si="0"/>
        <v/>
      </c>
      <c r="E43" s="43"/>
      <c r="F43" s="135"/>
      <c r="G43" s="77" t="str">
        <f t="shared" si="1"/>
        <v/>
      </c>
      <c r="H43" s="32" t="str">
        <f t="shared" si="25"/>
        <v/>
      </c>
      <c r="I43" s="78" t="str">
        <f t="shared" si="2"/>
        <v/>
      </c>
      <c r="J43" s="70" t="str">
        <f t="shared" si="16"/>
        <v/>
      </c>
      <c r="K43" s="135"/>
      <c r="L43" s="72" t="str">
        <f t="shared" si="3"/>
        <v/>
      </c>
      <c r="M43" s="135"/>
      <c r="N43" s="72" t="str">
        <f t="shared" si="4"/>
        <v/>
      </c>
      <c r="O43" s="135"/>
      <c r="P43" s="136"/>
      <c r="Q43" s="123" t="str">
        <f t="shared" si="5"/>
        <v/>
      </c>
      <c r="R43" s="45" t="str">
        <f t="shared" si="6"/>
        <v/>
      </c>
      <c r="S43" s="137"/>
      <c r="T43" s="79" t="str">
        <f t="shared" si="7"/>
        <v/>
      </c>
      <c r="U43" s="79" t="str">
        <f t="shared" si="8"/>
        <v/>
      </c>
      <c r="V43" s="73" t="str">
        <f t="shared" si="9"/>
        <v/>
      </c>
      <c r="W43" s="80" t="str">
        <f t="shared" si="10"/>
        <v/>
      </c>
      <c r="X43" s="73" t="str">
        <f t="shared" si="11"/>
        <v/>
      </c>
      <c r="Y43" s="80" t="str">
        <f t="shared" si="12"/>
        <v/>
      </c>
      <c r="Z43" s="74" t="str">
        <f t="shared" si="13"/>
        <v/>
      </c>
      <c r="AA43" s="75" t="str">
        <f t="shared" si="17"/>
        <v/>
      </c>
      <c r="AB43" s="103" t="str">
        <f t="shared" si="14"/>
        <v/>
      </c>
      <c r="AC43" s="104" t="str">
        <f t="shared" si="26"/>
        <v/>
      </c>
      <c r="AE43" s="139"/>
      <c r="AF43" s="110" t="str">
        <f t="shared" si="18"/>
        <v/>
      </c>
      <c r="AG43" s="111" t="str">
        <f t="shared" si="19"/>
        <v/>
      </c>
      <c r="AH43" s="111" t="str">
        <f t="shared" si="15"/>
        <v/>
      </c>
      <c r="AI43" s="111" t="str">
        <f t="shared" si="20"/>
        <v/>
      </c>
      <c r="AJ43" s="111" t="str">
        <f t="shared" si="21"/>
        <v/>
      </c>
      <c r="AK43" s="112" t="str">
        <f t="shared" si="22"/>
        <v/>
      </c>
      <c r="AL43" t="str">
        <f t="shared" si="23"/>
        <v/>
      </c>
      <c r="AM43" t="str">
        <f t="shared" si="24"/>
        <v/>
      </c>
    </row>
    <row r="44" spans="1:39" ht="15" customHeight="1" x14ac:dyDescent="0.25">
      <c r="A44" s="131"/>
      <c r="B44" s="133"/>
      <c r="C44" s="133"/>
      <c r="D44" s="42" t="str">
        <f t="shared" si="0"/>
        <v/>
      </c>
      <c r="E44" s="43"/>
      <c r="F44" s="135"/>
      <c r="G44" s="77" t="str">
        <f t="shared" si="1"/>
        <v/>
      </c>
      <c r="H44" s="32" t="str">
        <f t="shared" si="25"/>
        <v/>
      </c>
      <c r="I44" s="78" t="str">
        <f t="shared" si="2"/>
        <v/>
      </c>
      <c r="J44" s="70" t="str">
        <f t="shared" si="16"/>
        <v/>
      </c>
      <c r="K44" s="135"/>
      <c r="L44" s="72" t="str">
        <f t="shared" si="3"/>
        <v/>
      </c>
      <c r="M44" s="135"/>
      <c r="N44" s="72" t="str">
        <f t="shared" si="4"/>
        <v/>
      </c>
      <c r="O44" s="135"/>
      <c r="P44" s="136"/>
      <c r="Q44" s="123" t="str">
        <f t="shared" si="5"/>
        <v/>
      </c>
      <c r="R44" s="45" t="str">
        <f t="shared" si="6"/>
        <v/>
      </c>
      <c r="S44" s="137"/>
      <c r="T44" s="79" t="str">
        <f t="shared" si="7"/>
        <v/>
      </c>
      <c r="U44" s="79" t="str">
        <f t="shared" si="8"/>
        <v/>
      </c>
      <c r="V44" s="73" t="str">
        <f t="shared" si="9"/>
        <v/>
      </c>
      <c r="W44" s="80" t="str">
        <f t="shared" si="10"/>
        <v/>
      </c>
      <c r="X44" s="73" t="str">
        <f t="shared" si="11"/>
        <v/>
      </c>
      <c r="Y44" s="80" t="str">
        <f t="shared" si="12"/>
        <v/>
      </c>
      <c r="Z44" s="74" t="str">
        <f t="shared" si="13"/>
        <v/>
      </c>
      <c r="AA44" s="75" t="str">
        <f t="shared" si="17"/>
        <v/>
      </c>
      <c r="AB44" s="103" t="str">
        <f t="shared" si="14"/>
        <v/>
      </c>
      <c r="AC44" s="104" t="str">
        <f t="shared" si="26"/>
        <v/>
      </c>
      <c r="AE44" s="139"/>
      <c r="AF44" s="110" t="str">
        <f t="shared" si="18"/>
        <v/>
      </c>
      <c r="AG44" s="111" t="str">
        <f t="shared" si="19"/>
        <v/>
      </c>
      <c r="AH44" s="111" t="str">
        <f t="shared" si="15"/>
        <v/>
      </c>
      <c r="AI44" s="111" t="str">
        <f t="shared" si="20"/>
        <v/>
      </c>
      <c r="AJ44" s="111" t="str">
        <f t="shared" si="21"/>
        <v/>
      </c>
      <c r="AK44" s="112" t="str">
        <f t="shared" si="22"/>
        <v/>
      </c>
      <c r="AL44" t="str">
        <f t="shared" si="23"/>
        <v/>
      </c>
      <c r="AM44" t="str">
        <f t="shared" si="24"/>
        <v/>
      </c>
    </row>
    <row r="45" spans="1:39" ht="15" customHeight="1" x14ac:dyDescent="0.25">
      <c r="A45" s="131"/>
      <c r="B45" s="133"/>
      <c r="C45" s="133"/>
      <c r="D45" s="42" t="str">
        <f t="shared" si="0"/>
        <v/>
      </c>
      <c r="E45" s="43"/>
      <c r="F45" s="135"/>
      <c r="G45" s="77" t="str">
        <f t="shared" si="1"/>
        <v/>
      </c>
      <c r="H45" s="32" t="str">
        <f t="shared" si="25"/>
        <v/>
      </c>
      <c r="I45" s="78" t="str">
        <f t="shared" si="2"/>
        <v/>
      </c>
      <c r="J45" s="70" t="str">
        <f t="shared" si="16"/>
        <v/>
      </c>
      <c r="K45" s="135"/>
      <c r="L45" s="72" t="str">
        <f t="shared" si="3"/>
        <v/>
      </c>
      <c r="M45" s="135"/>
      <c r="N45" s="72" t="str">
        <f t="shared" si="4"/>
        <v/>
      </c>
      <c r="O45" s="135"/>
      <c r="P45" s="136"/>
      <c r="Q45" s="123" t="str">
        <f t="shared" si="5"/>
        <v/>
      </c>
      <c r="R45" s="45" t="str">
        <f t="shared" si="6"/>
        <v/>
      </c>
      <c r="S45" s="137"/>
      <c r="T45" s="79" t="str">
        <f t="shared" si="7"/>
        <v/>
      </c>
      <c r="U45" s="79" t="str">
        <f t="shared" si="8"/>
        <v/>
      </c>
      <c r="V45" s="73" t="str">
        <f t="shared" si="9"/>
        <v/>
      </c>
      <c r="W45" s="80" t="str">
        <f t="shared" si="10"/>
        <v/>
      </c>
      <c r="X45" s="73" t="str">
        <f t="shared" si="11"/>
        <v/>
      </c>
      <c r="Y45" s="80" t="str">
        <f t="shared" si="12"/>
        <v/>
      </c>
      <c r="Z45" s="74" t="str">
        <f t="shared" si="13"/>
        <v/>
      </c>
      <c r="AA45" s="75" t="str">
        <f t="shared" si="17"/>
        <v/>
      </c>
      <c r="AB45" s="103" t="str">
        <f t="shared" si="14"/>
        <v/>
      </c>
      <c r="AC45" s="104" t="str">
        <f t="shared" si="26"/>
        <v/>
      </c>
      <c r="AE45" s="139"/>
      <c r="AF45" s="110" t="str">
        <f t="shared" si="18"/>
        <v/>
      </c>
      <c r="AG45" s="111" t="str">
        <f t="shared" si="19"/>
        <v/>
      </c>
      <c r="AH45" s="111" t="str">
        <f t="shared" si="15"/>
        <v/>
      </c>
      <c r="AI45" s="111" t="str">
        <f t="shared" si="20"/>
        <v/>
      </c>
      <c r="AJ45" s="111" t="str">
        <f t="shared" si="21"/>
        <v/>
      </c>
      <c r="AK45" s="112" t="str">
        <f t="shared" si="22"/>
        <v/>
      </c>
      <c r="AL45" t="str">
        <f t="shared" si="23"/>
        <v/>
      </c>
      <c r="AM45" t="str">
        <f t="shared" si="24"/>
        <v/>
      </c>
    </row>
    <row r="46" spans="1:39" ht="15" customHeight="1" x14ac:dyDescent="0.25">
      <c r="A46" s="131"/>
      <c r="B46" s="133"/>
      <c r="C46" s="133"/>
      <c r="D46" s="42" t="str">
        <f t="shared" si="0"/>
        <v/>
      </c>
      <c r="E46" s="43"/>
      <c r="F46" s="135"/>
      <c r="G46" s="77" t="str">
        <f t="shared" si="1"/>
        <v/>
      </c>
      <c r="H46" s="32" t="str">
        <f t="shared" si="25"/>
        <v/>
      </c>
      <c r="I46" s="78" t="str">
        <f t="shared" si="2"/>
        <v/>
      </c>
      <c r="J46" s="70" t="str">
        <f t="shared" si="16"/>
        <v/>
      </c>
      <c r="K46" s="135"/>
      <c r="L46" s="72" t="str">
        <f t="shared" si="3"/>
        <v/>
      </c>
      <c r="M46" s="135"/>
      <c r="N46" s="72" t="str">
        <f t="shared" si="4"/>
        <v/>
      </c>
      <c r="O46" s="135"/>
      <c r="P46" s="136"/>
      <c r="Q46" s="123" t="str">
        <f t="shared" si="5"/>
        <v/>
      </c>
      <c r="R46" s="45" t="str">
        <f t="shared" si="6"/>
        <v/>
      </c>
      <c r="S46" s="137"/>
      <c r="T46" s="79" t="str">
        <f t="shared" si="7"/>
        <v/>
      </c>
      <c r="U46" s="79" t="str">
        <f t="shared" si="8"/>
        <v/>
      </c>
      <c r="V46" s="73" t="str">
        <f t="shared" si="9"/>
        <v/>
      </c>
      <c r="W46" s="80" t="str">
        <f t="shared" si="10"/>
        <v/>
      </c>
      <c r="X46" s="73" t="str">
        <f t="shared" si="11"/>
        <v/>
      </c>
      <c r="Y46" s="80" t="str">
        <f t="shared" si="12"/>
        <v/>
      </c>
      <c r="Z46" s="74" t="str">
        <f t="shared" si="13"/>
        <v/>
      </c>
      <c r="AA46" s="75" t="str">
        <f t="shared" si="17"/>
        <v/>
      </c>
      <c r="AB46" s="103" t="str">
        <f t="shared" si="14"/>
        <v/>
      </c>
      <c r="AC46" s="104" t="str">
        <f t="shared" si="26"/>
        <v/>
      </c>
      <c r="AE46" s="139"/>
      <c r="AF46" s="110" t="str">
        <f t="shared" si="18"/>
        <v/>
      </c>
      <c r="AG46" s="111" t="str">
        <f t="shared" si="19"/>
        <v/>
      </c>
      <c r="AH46" s="111" t="str">
        <f t="shared" si="15"/>
        <v/>
      </c>
      <c r="AI46" s="111" t="str">
        <f t="shared" si="20"/>
        <v/>
      </c>
      <c r="AJ46" s="111" t="str">
        <f t="shared" si="21"/>
        <v/>
      </c>
      <c r="AK46" s="112" t="str">
        <f t="shared" si="22"/>
        <v/>
      </c>
      <c r="AL46" t="str">
        <f t="shared" si="23"/>
        <v/>
      </c>
      <c r="AM46" t="str">
        <f t="shared" si="24"/>
        <v/>
      </c>
    </row>
    <row r="47" spans="1:39" ht="15" customHeight="1" x14ac:dyDescent="0.25">
      <c r="A47" s="131"/>
      <c r="B47" s="133"/>
      <c r="C47" s="133"/>
      <c r="D47" s="42" t="str">
        <f t="shared" si="0"/>
        <v/>
      </c>
      <c r="E47" s="43"/>
      <c r="F47" s="135"/>
      <c r="G47" s="77" t="str">
        <f t="shared" si="1"/>
        <v/>
      </c>
      <c r="H47" s="32" t="str">
        <f t="shared" si="25"/>
        <v/>
      </c>
      <c r="I47" s="78" t="str">
        <f t="shared" si="2"/>
        <v/>
      </c>
      <c r="J47" s="70" t="str">
        <f t="shared" si="16"/>
        <v/>
      </c>
      <c r="K47" s="135"/>
      <c r="L47" s="72" t="str">
        <f t="shared" si="3"/>
        <v/>
      </c>
      <c r="M47" s="135"/>
      <c r="N47" s="72" t="str">
        <f t="shared" si="4"/>
        <v/>
      </c>
      <c r="O47" s="135"/>
      <c r="P47" s="136"/>
      <c r="Q47" s="123" t="str">
        <f t="shared" si="5"/>
        <v/>
      </c>
      <c r="R47" s="45" t="str">
        <f t="shared" si="6"/>
        <v/>
      </c>
      <c r="S47" s="137"/>
      <c r="T47" s="79" t="str">
        <f t="shared" si="7"/>
        <v/>
      </c>
      <c r="U47" s="79" t="str">
        <f t="shared" si="8"/>
        <v/>
      </c>
      <c r="V47" s="73" t="str">
        <f t="shared" si="9"/>
        <v/>
      </c>
      <c r="W47" s="80" t="str">
        <f t="shared" si="10"/>
        <v/>
      </c>
      <c r="X47" s="73" t="str">
        <f t="shared" si="11"/>
        <v/>
      </c>
      <c r="Y47" s="80" t="str">
        <f t="shared" si="12"/>
        <v/>
      </c>
      <c r="Z47" s="74" t="str">
        <f t="shared" si="13"/>
        <v/>
      </c>
      <c r="AA47" s="75" t="str">
        <f t="shared" si="17"/>
        <v/>
      </c>
      <c r="AB47" s="103" t="str">
        <f t="shared" si="14"/>
        <v/>
      </c>
      <c r="AC47" s="104" t="str">
        <f t="shared" si="26"/>
        <v/>
      </c>
      <c r="AE47" s="139"/>
      <c r="AF47" s="110" t="str">
        <f t="shared" si="18"/>
        <v/>
      </c>
      <c r="AG47" s="111" t="str">
        <f t="shared" si="19"/>
        <v/>
      </c>
      <c r="AH47" s="111" t="str">
        <f t="shared" si="15"/>
        <v/>
      </c>
      <c r="AI47" s="111" t="str">
        <f t="shared" si="20"/>
        <v/>
      </c>
      <c r="AJ47" s="111" t="str">
        <f t="shared" si="21"/>
        <v/>
      </c>
      <c r="AK47" s="112" t="str">
        <f t="shared" si="22"/>
        <v/>
      </c>
      <c r="AL47" t="str">
        <f t="shared" si="23"/>
        <v/>
      </c>
      <c r="AM47" t="str">
        <f t="shared" si="24"/>
        <v/>
      </c>
    </row>
    <row r="48" spans="1:39" ht="15" customHeight="1" x14ac:dyDescent="0.25">
      <c r="A48" s="131"/>
      <c r="B48" s="133"/>
      <c r="C48" s="133"/>
      <c r="D48" s="42" t="str">
        <f t="shared" si="0"/>
        <v/>
      </c>
      <c r="E48" s="43"/>
      <c r="F48" s="135"/>
      <c r="G48" s="77" t="str">
        <f t="shared" si="1"/>
        <v/>
      </c>
      <c r="H48" s="32" t="str">
        <f t="shared" si="25"/>
        <v/>
      </c>
      <c r="I48" s="78" t="str">
        <f t="shared" si="2"/>
        <v/>
      </c>
      <c r="J48" s="70" t="str">
        <f t="shared" si="16"/>
        <v/>
      </c>
      <c r="K48" s="135"/>
      <c r="L48" s="72" t="str">
        <f t="shared" si="3"/>
        <v/>
      </c>
      <c r="M48" s="135"/>
      <c r="N48" s="72" t="str">
        <f t="shared" si="4"/>
        <v/>
      </c>
      <c r="O48" s="135"/>
      <c r="P48" s="136"/>
      <c r="Q48" s="123" t="str">
        <f t="shared" si="5"/>
        <v/>
      </c>
      <c r="R48" s="45" t="str">
        <f t="shared" si="6"/>
        <v/>
      </c>
      <c r="S48" s="137"/>
      <c r="T48" s="79" t="str">
        <f t="shared" si="7"/>
        <v/>
      </c>
      <c r="U48" s="79" t="str">
        <f t="shared" si="8"/>
        <v/>
      </c>
      <c r="V48" s="73" t="str">
        <f t="shared" si="9"/>
        <v/>
      </c>
      <c r="W48" s="80" t="str">
        <f t="shared" si="10"/>
        <v/>
      </c>
      <c r="X48" s="73" t="str">
        <f t="shared" si="11"/>
        <v/>
      </c>
      <c r="Y48" s="80" t="str">
        <f t="shared" si="12"/>
        <v/>
      </c>
      <c r="Z48" s="74" t="str">
        <f t="shared" si="13"/>
        <v/>
      </c>
      <c r="AA48" s="75" t="str">
        <f t="shared" si="17"/>
        <v/>
      </c>
      <c r="AB48" s="103" t="str">
        <f t="shared" si="14"/>
        <v/>
      </c>
      <c r="AC48" s="104" t="str">
        <f t="shared" si="26"/>
        <v/>
      </c>
      <c r="AE48" s="139"/>
      <c r="AF48" s="110" t="str">
        <f t="shared" si="18"/>
        <v/>
      </c>
      <c r="AG48" s="111" t="str">
        <f t="shared" si="19"/>
        <v/>
      </c>
      <c r="AH48" s="111" t="str">
        <f t="shared" si="15"/>
        <v/>
      </c>
      <c r="AI48" s="111" t="str">
        <f t="shared" si="20"/>
        <v/>
      </c>
      <c r="AJ48" s="111" t="str">
        <f t="shared" si="21"/>
        <v/>
      </c>
      <c r="AK48" s="112" t="str">
        <f t="shared" si="22"/>
        <v/>
      </c>
      <c r="AL48" t="str">
        <f t="shared" si="23"/>
        <v/>
      </c>
      <c r="AM48" t="str">
        <f t="shared" si="24"/>
        <v/>
      </c>
    </row>
    <row r="49" spans="1:39" ht="15" customHeight="1" x14ac:dyDescent="0.25">
      <c r="A49" s="131"/>
      <c r="B49" s="133"/>
      <c r="C49" s="133"/>
      <c r="D49" s="42" t="str">
        <f t="shared" si="0"/>
        <v/>
      </c>
      <c r="E49" s="43"/>
      <c r="F49" s="135"/>
      <c r="G49" s="77" t="str">
        <f t="shared" si="1"/>
        <v/>
      </c>
      <c r="H49" s="32" t="str">
        <f t="shared" si="25"/>
        <v/>
      </c>
      <c r="I49" s="78" t="str">
        <f t="shared" si="2"/>
        <v/>
      </c>
      <c r="J49" s="70" t="str">
        <f t="shared" si="16"/>
        <v/>
      </c>
      <c r="K49" s="135"/>
      <c r="L49" s="72" t="str">
        <f t="shared" si="3"/>
        <v/>
      </c>
      <c r="M49" s="135"/>
      <c r="N49" s="72" t="str">
        <f t="shared" si="4"/>
        <v/>
      </c>
      <c r="O49" s="135"/>
      <c r="P49" s="136"/>
      <c r="Q49" s="123" t="str">
        <f t="shared" si="5"/>
        <v/>
      </c>
      <c r="R49" s="45" t="str">
        <f t="shared" si="6"/>
        <v/>
      </c>
      <c r="S49" s="137"/>
      <c r="T49" s="79" t="str">
        <f t="shared" si="7"/>
        <v/>
      </c>
      <c r="U49" s="79" t="str">
        <f t="shared" si="8"/>
        <v/>
      </c>
      <c r="V49" s="73" t="str">
        <f t="shared" si="9"/>
        <v/>
      </c>
      <c r="W49" s="80" t="str">
        <f t="shared" si="10"/>
        <v/>
      </c>
      <c r="X49" s="73" t="str">
        <f t="shared" si="11"/>
        <v/>
      </c>
      <c r="Y49" s="80" t="str">
        <f t="shared" si="12"/>
        <v/>
      </c>
      <c r="Z49" s="74" t="str">
        <f t="shared" si="13"/>
        <v/>
      </c>
      <c r="AA49" s="75" t="str">
        <f t="shared" si="17"/>
        <v/>
      </c>
      <c r="AB49" s="103" t="str">
        <f t="shared" si="14"/>
        <v/>
      </c>
      <c r="AC49" s="104" t="str">
        <f t="shared" si="26"/>
        <v/>
      </c>
      <c r="AE49" s="139"/>
      <c r="AF49" s="110" t="str">
        <f t="shared" si="18"/>
        <v/>
      </c>
      <c r="AG49" s="111" t="str">
        <f t="shared" si="19"/>
        <v/>
      </c>
      <c r="AH49" s="111" t="str">
        <f t="shared" si="15"/>
        <v/>
      </c>
      <c r="AI49" s="111" t="str">
        <f t="shared" si="20"/>
        <v/>
      </c>
      <c r="AJ49" s="111" t="str">
        <f t="shared" si="21"/>
        <v/>
      </c>
      <c r="AK49" s="112" t="str">
        <f t="shared" si="22"/>
        <v/>
      </c>
      <c r="AL49" t="str">
        <f t="shared" si="23"/>
        <v/>
      </c>
      <c r="AM49" t="str">
        <f t="shared" si="24"/>
        <v/>
      </c>
    </row>
    <row r="50" spans="1:39" ht="15" customHeight="1" x14ac:dyDescent="0.25">
      <c r="A50" s="131"/>
      <c r="B50" s="133"/>
      <c r="C50" s="133"/>
      <c r="D50" s="42" t="str">
        <f t="shared" si="0"/>
        <v/>
      </c>
      <c r="E50" s="43"/>
      <c r="F50" s="135"/>
      <c r="G50" s="77" t="str">
        <f t="shared" si="1"/>
        <v/>
      </c>
      <c r="H50" s="32" t="str">
        <f t="shared" si="25"/>
        <v/>
      </c>
      <c r="I50" s="78" t="str">
        <f t="shared" si="2"/>
        <v/>
      </c>
      <c r="J50" s="70" t="str">
        <f t="shared" si="16"/>
        <v/>
      </c>
      <c r="K50" s="135"/>
      <c r="L50" s="72" t="str">
        <f t="shared" si="3"/>
        <v/>
      </c>
      <c r="M50" s="135"/>
      <c r="N50" s="72" t="str">
        <f t="shared" si="4"/>
        <v/>
      </c>
      <c r="O50" s="135"/>
      <c r="P50" s="136"/>
      <c r="Q50" s="123" t="str">
        <f t="shared" si="5"/>
        <v/>
      </c>
      <c r="R50" s="45" t="str">
        <f t="shared" si="6"/>
        <v/>
      </c>
      <c r="S50" s="137"/>
      <c r="T50" s="79" t="str">
        <f t="shared" si="7"/>
        <v/>
      </c>
      <c r="U50" s="79" t="str">
        <f t="shared" si="8"/>
        <v/>
      </c>
      <c r="V50" s="73" t="str">
        <f t="shared" si="9"/>
        <v/>
      </c>
      <c r="W50" s="80" t="str">
        <f t="shared" si="10"/>
        <v/>
      </c>
      <c r="X50" s="73" t="str">
        <f t="shared" si="11"/>
        <v/>
      </c>
      <c r="Y50" s="80" t="str">
        <f t="shared" si="12"/>
        <v/>
      </c>
      <c r="Z50" s="74" t="str">
        <f t="shared" si="13"/>
        <v/>
      </c>
      <c r="AA50" s="75" t="str">
        <f t="shared" si="17"/>
        <v/>
      </c>
      <c r="AB50" s="103" t="str">
        <f t="shared" si="14"/>
        <v/>
      </c>
      <c r="AC50" s="104" t="str">
        <f t="shared" si="26"/>
        <v/>
      </c>
      <c r="AE50" s="139"/>
      <c r="AF50" s="110" t="str">
        <f t="shared" si="18"/>
        <v/>
      </c>
      <c r="AG50" s="111" t="str">
        <f t="shared" si="19"/>
        <v/>
      </c>
      <c r="AH50" s="111" t="str">
        <f t="shared" si="15"/>
        <v/>
      </c>
      <c r="AI50" s="111" t="str">
        <f t="shared" si="20"/>
        <v/>
      </c>
      <c r="AJ50" s="111" t="str">
        <f t="shared" si="21"/>
        <v/>
      </c>
      <c r="AK50" s="112" t="str">
        <f t="shared" si="22"/>
        <v/>
      </c>
      <c r="AL50" t="str">
        <f t="shared" si="23"/>
        <v/>
      </c>
      <c r="AM50" t="str">
        <f t="shared" si="24"/>
        <v/>
      </c>
    </row>
    <row r="51" spans="1:39" ht="15" customHeight="1" x14ac:dyDescent="0.25">
      <c r="A51" s="131"/>
      <c r="B51" s="133"/>
      <c r="C51" s="133"/>
      <c r="D51" s="42" t="str">
        <f t="shared" si="0"/>
        <v/>
      </c>
      <c r="E51" s="43"/>
      <c r="F51" s="135"/>
      <c r="G51" s="77" t="str">
        <f t="shared" si="1"/>
        <v/>
      </c>
      <c r="H51" s="32" t="str">
        <f t="shared" si="25"/>
        <v/>
      </c>
      <c r="I51" s="78" t="str">
        <f t="shared" si="2"/>
        <v/>
      </c>
      <c r="J51" s="70" t="str">
        <f t="shared" si="16"/>
        <v/>
      </c>
      <c r="K51" s="135"/>
      <c r="L51" s="72" t="str">
        <f t="shared" si="3"/>
        <v/>
      </c>
      <c r="M51" s="135"/>
      <c r="N51" s="72" t="str">
        <f t="shared" si="4"/>
        <v/>
      </c>
      <c r="O51" s="135"/>
      <c r="P51" s="136"/>
      <c r="Q51" s="123" t="str">
        <f t="shared" si="5"/>
        <v/>
      </c>
      <c r="R51" s="45" t="str">
        <f t="shared" si="6"/>
        <v/>
      </c>
      <c r="S51" s="137"/>
      <c r="T51" s="79" t="str">
        <f t="shared" si="7"/>
        <v/>
      </c>
      <c r="U51" s="79" t="str">
        <f t="shared" si="8"/>
        <v/>
      </c>
      <c r="V51" s="73" t="str">
        <f t="shared" si="9"/>
        <v/>
      </c>
      <c r="W51" s="80" t="str">
        <f t="shared" si="10"/>
        <v/>
      </c>
      <c r="X51" s="73" t="str">
        <f t="shared" si="11"/>
        <v/>
      </c>
      <c r="Y51" s="80" t="str">
        <f t="shared" si="12"/>
        <v/>
      </c>
      <c r="Z51" s="74" t="str">
        <f t="shared" si="13"/>
        <v/>
      </c>
      <c r="AA51" s="75" t="str">
        <f t="shared" si="17"/>
        <v/>
      </c>
      <c r="AB51" s="103" t="str">
        <f t="shared" si="14"/>
        <v/>
      </c>
      <c r="AC51" s="104" t="str">
        <f t="shared" si="26"/>
        <v/>
      </c>
      <c r="AE51" s="139"/>
      <c r="AF51" s="110" t="str">
        <f t="shared" si="18"/>
        <v/>
      </c>
      <c r="AG51" s="111" t="str">
        <f t="shared" si="19"/>
        <v/>
      </c>
      <c r="AH51" s="111" t="str">
        <f t="shared" si="15"/>
        <v/>
      </c>
      <c r="AI51" s="111" t="str">
        <f t="shared" si="20"/>
        <v/>
      </c>
      <c r="AJ51" s="111" t="str">
        <f t="shared" si="21"/>
        <v/>
      </c>
      <c r="AK51" s="112" t="str">
        <f t="shared" si="22"/>
        <v/>
      </c>
      <c r="AL51" t="str">
        <f t="shared" si="23"/>
        <v/>
      </c>
      <c r="AM51" t="str">
        <f t="shared" si="24"/>
        <v/>
      </c>
    </row>
    <row r="52" spans="1:39" ht="15" customHeight="1" x14ac:dyDescent="0.25">
      <c r="A52" s="131"/>
      <c r="B52" s="133"/>
      <c r="C52" s="133"/>
      <c r="D52" s="42" t="str">
        <f t="shared" si="0"/>
        <v/>
      </c>
      <c r="E52" s="43"/>
      <c r="F52" s="135"/>
      <c r="G52" s="77" t="str">
        <f t="shared" si="1"/>
        <v/>
      </c>
      <c r="H52" s="32" t="str">
        <f t="shared" si="25"/>
        <v/>
      </c>
      <c r="I52" s="78" t="str">
        <f t="shared" si="2"/>
        <v/>
      </c>
      <c r="J52" s="70" t="str">
        <f t="shared" si="16"/>
        <v/>
      </c>
      <c r="K52" s="135"/>
      <c r="L52" s="72" t="str">
        <f t="shared" si="3"/>
        <v/>
      </c>
      <c r="M52" s="135"/>
      <c r="N52" s="72" t="str">
        <f t="shared" si="4"/>
        <v/>
      </c>
      <c r="O52" s="135"/>
      <c r="P52" s="136"/>
      <c r="Q52" s="123" t="str">
        <f t="shared" si="5"/>
        <v/>
      </c>
      <c r="R52" s="45" t="str">
        <f t="shared" si="6"/>
        <v/>
      </c>
      <c r="S52" s="137"/>
      <c r="T52" s="79" t="str">
        <f t="shared" si="7"/>
        <v/>
      </c>
      <c r="U52" s="79" t="str">
        <f t="shared" si="8"/>
        <v/>
      </c>
      <c r="V52" s="73" t="str">
        <f t="shared" si="9"/>
        <v/>
      </c>
      <c r="W52" s="80" t="str">
        <f t="shared" si="10"/>
        <v/>
      </c>
      <c r="X52" s="73" t="str">
        <f t="shared" si="11"/>
        <v/>
      </c>
      <c r="Y52" s="80" t="str">
        <f t="shared" si="12"/>
        <v/>
      </c>
      <c r="Z52" s="74" t="str">
        <f t="shared" si="13"/>
        <v/>
      </c>
      <c r="AA52" s="75" t="str">
        <f t="shared" si="17"/>
        <v/>
      </c>
      <c r="AB52" s="103" t="str">
        <f t="shared" si="14"/>
        <v/>
      </c>
      <c r="AC52" s="104" t="str">
        <f t="shared" si="26"/>
        <v/>
      </c>
      <c r="AE52" s="139"/>
      <c r="AF52" s="110" t="str">
        <f t="shared" si="18"/>
        <v/>
      </c>
      <c r="AG52" s="111" t="str">
        <f t="shared" si="19"/>
        <v/>
      </c>
      <c r="AH52" s="111" t="str">
        <f t="shared" si="15"/>
        <v/>
      </c>
      <c r="AI52" s="111" t="str">
        <f t="shared" si="20"/>
        <v/>
      </c>
      <c r="AJ52" s="111" t="str">
        <f t="shared" si="21"/>
        <v/>
      </c>
      <c r="AK52" s="112" t="str">
        <f t="shared" si="22"/>
        <v/>
      </c>
      <c r="AL52" t="str">
        <f t="shared" si="23"/>
        <v/>
      </c>
      <c r="AM52" t="str">
        <f t="shared" si="24"/>
        <v/>
      </c>
    </row>
    <row r="53" spans="1:39" ht="15" customHeight="1" x14ac:dyDescent="0.25">
      <c r="A53" s="131"/>
      <c r="B53" s="133"/>
      <c r="C53" s="133"/>
      <c r="D53" s="42" t="str">
        <f t="shared" si="0"/>
        <v/>
      </c>
      <c r="E53" s="43"/>
      <c r="F53" s="135"/>
      <c r="G53" s="77" t="str">
        <f t="shared" si="1"/>
        <v/>
      </c>
      <c r="H53" s="32" t="str">
        <f t="shared" si="25"/>
        <v/>
      </c>
      <c r="I53" s="78" t="str">
        <f t="shared" si="2"/>
        <v/>
      </c>
      <c r="J53" s="70" t="str">
        <f t="shared" si="16"/>
        <v/>
      </c>
      <c r="K53" s="135"/>
      <c r="L53" s="72" t="str">
        <f t="shared" si="3"/>
        <v/>
      </c>
      <c r="M53" s="135"/>
      <c r="N53" s="72" t="str">
        <f t="shared" si="4"/>
        <v/>
      </c>
      <c r="O53" s="135"/>
      <c r="P53" s="136"/>
      <c r="Q53" s="123" t="str">
        <f t="shared" si="5"/>
        <v/>
      </c>
      <c r="R53" s="45" t="str">
        <f t="shared" si="6"/>
        <v/>
      </c>
      <c r="S53" s="137"/>
      <c r="T53" s="79" t="str">
        <f t="shared" si="7"/>
        <v/>
      </c>
      <c r="U53" s="79" t="str">
        <f t="shared" si="8"/>
        <v/>
      </c>
      <c r="V53" s="73" t="str">
        <f t="shared" si="9"/>
        <v/>
      </c>
      <c r="W53" s="80" t="str">
        <f t="shared" si="10"/>
        <v/>
      </c>
      <c r="X53" s="73" t="str">
        <f t="shared" si="11"/>
        <v/>
      </c>
      <c r="Y53" s="80" t="str">
        <f t="shared" si="12"/>
        <v/>
      </c>
      <c r="Z53" s="74" t="str">
        <f t="shared" si="13"/>
        <v/>
      </c>
      <c r="AA53" s="75" t="str">
        <f t="shared" si="17"/>
        <v/>
      </c>
      <c r="AB53" s="103" t="str">
        <f t="shared" si="14"/>
        <v/>
      </c>
      <c r="AC53" s="104" t="str">
        <f t="shared" si="26"/>
        <v/>
      </c>
      <c r="AE53" s="139"/>
      <c r="AF53" s="110" t="str">
        <f t="shared" si="18"/>
        <v/>
      </c>
      <c r="AG53" s="111" t="str">
        <f t="shared" si="19"/>
        <v/>
      </c>
      <c r="AH53" s="111" t="str">
        <f t="shared" si="15"/>
        <v/>
      </c>
      <c r="AI53" s="111" t="str">
        <f t="shared" si="20"/>
        <v/>
      </c>
      <c r="AJ53" s="111" t="str">
        <f t="shared" si="21"/>
        <v/>
      </c>
      <c r="AK53" s="112" t="str">
        <f t="shared" si="22"/>
        <v/>
      </c>
      <c r="AL53" t="str">
        <f t="shared" si="23"/>
        <v/>
      </c>
      <c r="AM53" t="str">
        <f t="shared" si="24"/>
        <v/>
      </c>
    </row>
    <row r="54" spans="1:39" ht="15" customHeight="1" x14ac:dyDescent="0.25">
      <c r="A54" s="131"/>
      <c r="B54" s="133"/>
      <c r="C54" s="133"/>
      <c r="D54" s="42" t="str">
        <f t="shared" si="0"/>
        <v/>
      </c>
      <c r="E54" s="43"/>
      <c r="F54" s="135"/>
      <c r="G54" s="77" t="str">
        <f t="shared" si="1"/>
        <v/>
      </c>
      <c r="H54" s="32" t="str">
        <f t="shared" si="25"/>
        <v/>
      </c>
      <c r="I54" s="78" t="str">
        <f t="shared" si="2"/>
        <v/>
      </c>
      <c r="J54" s="70" t="str">
        <f t="shared" si="16"/>
        <v/>
      </c>
      <c r="K54" s="135"/>
      <c r="L54" s="72" t="str">
        <f t="shared" si="3"/>
        <v/>
      </c>
      <c r="M54" s="135"/>
      <c r="N54" s="72" t="str">
        <f t="shared" si="4"/>
        <v/>
      </c>
      <c r="O54" s="135"/>
      <c r="P54" s="136"/>
      <c r="Q54" s="123" t="str">
        <f t="shared" si="5"/>
        <v/>
      </c>
      <c r="R54" s="45" t="str">
        <f t="shared" si="6"/>
        <v/>
      </c>
      <c r="S54" s="137"/>
      <c r="T54" s="79" t="str">
        <f t="shared" si="7"/>
        <v/>
      </c>
      <c r="U54" s="79" t="str">
        <f t="shared" si="8"/>
        <v/>
      </c>
      <c r="V54" s="73" t="str">
        <f t="shared" si="9"/>
        <v/>
      </c>
      <c r="W54" s="80" t="str">
        <f t="shared" si="10"/>
        <v/>
      </c>
      <c r="X54" s="73" t="str">
        <f t="shared" si="11"/>
        <v/>
      </c>
      <c r="Y54" s="80" t="str">
        <f t="shared" si="12"/>
        <v/>
      </c>
      <c r="Z54" s="74" t="str">
        <f t="shared" si="13"/>
        <v/>
      </c>
      <c r="AA54" s="75" t="str">
        <f t="shared" si="17"/>
        <v/>
      </c>
      <c r="AB54" s="103" t="str">
        <f t="shared" si="14"/>
        <v/>
      </c>
      <c r="AC54" s="104" t="str">
        <f t="shared" si="26"/>
        <v/>
      </c>
      <c r="AE54" s="139"/>
      <c r="AF54" s="110" t="str">
        <f t="shared" si="18"/>
        <v/>
      </c>
      <c r="AG54" s="111" t="str">
        <f t="shared" si="19"/>
        <v/>
      </c>
      <c r="AH54" s="111" t="str">
        <f t="shared" si="15"/>
        <v/>
      </c>
      <c r="AI54" s="111" t="str">
        <f t="shared" si="20"/>
        <v/>
      </c>
      <c r="AJ54" s="111" t="str">
        <f t="shared" si="21"/>
        <v/>
      </c>
      <c r="AK54" s="112" t="str">
        <f t="shared" si="22"/>
        <v/>
      </c>
      <c r="AL54" t="str">
        <f t="shared" si="23"/>
        <v/>
      </c>
      <c r="AM54" t="str">
        <f t="shared" si="24"/>
        <v/>
      </c>
    </row>
    <row r="55" spans="1:39" ht="15" customHeight="1" x14ac:dyDescent="0.25">
      <c r="A55" s="131"/>
      <c r="B55" s="133"/>
      <c r="C55" s="133"/>
      <c r="D55" s="42" t="str">
        <f t="shared" si="0"/>
        <v/>
      </c>
      <c r="E55" s="43"/>
      <c r="F55" s="135"/>
      <c r="G55" s="77" t="str">
        <f t="shared" si="1"/>
        <v/>
      </c>
      <c r="H55" s="32" t="str">
        <f t="shared" si="25"/>
        <v/>
      </c>
      <c r="I55" s="78" t="str">
        <f t="shared" si="2"/>
        <v/>
      </c>
      <c r="J55" s="70" t="str">
        <f t="shared" si="16"/>
        <v/>
      </c>
      <c r="K55" s="135"/>
      <c r="L55" s="72" t="str">
        <f t="shared" si="3"/>
        <v/>
      </c>
      <c r="M55" s="135"/>
      <c r="N55" s="72" t="str">
        <f t="shared" si="4"/>
        <v/>
      </c>
      <c r="O55" s="135"/>
      <c r="P55" s="136"/>
      <c r="Q55" s="123" t="str">
        <f t="shared" si="5"/>
        <v/>
      </c>
      <c r="R55" s="45" t="str">
        <f t="shared" si="6"/>
        <v/>
      </c>
      <c r="S55" s="137"/>
      <c r="T55" s="79" t="str">
        <f t="shared" si="7"/>
        <v/>
      </c>
      <c r="U55" s="79" t="str">
        <f t="shared" si="8"/>
        <v/>
      </c>
      <c r="V55" s="73" t="str">
        <f t="shared" si="9"/>
        <v/>
      </c>
      <c r="W55" s="80" t="str">
        <f t="shared" si="10"/>
        <v/>
      </c>
      <c r="X55" s="73" t="str">
        <f t="shared" si="11"/>
        <v/>
      </c>
      <c r="Y55" s="80" t="str">
        <f t="shared" si="12"/>
        <v/>
      </c>
      <c r="Z55" s="74" t="str">
        <f t="shared" si="13"/>
        <v/>
      </c>
      <c r="AA55" s="75" t="str">
        <f t="shared" si="17"/>
        <v/>
      </c>
      <c r="AB55" s="103" t="str">
        <f t="shared" si="14"/>
        <v/>
      </c>
      <c r="AC55" s="104" t="str">
        <f t="shared" si="26"/>
        <v/>
      </c>
      <c r="AE55" s="139"/>
      <c r="AF55" s="110" t="str">
        <f t="shared" si="18"/>
        <v/>
      </c>
      <c r="AG55" s="111" t="str">
        <f t="shared" si="19"/>
        <v/>
      </c>
      <c r="AH55" s="111" t="str">
        <f t="shared" si="15"/>
        <v/>
      </c>
      <c r="AI55" s="111" t="str">
        <f t="shared" si="20"/>
        <v/>
      </c>
      <c r="AJ55" s="111" t="str">
        <f t="shared" si="21"/>
        <v/>
      </c>
      <c r="AK55" s="112" t="str">
        <f t="shared" si="22"/>
        <v/>
      </c>
      <c r="AL55" t="str">
        <f t="shared" si="23"/>
        <v/>
      </c>
      <c r="AM55" t="str">
        <f t="shared" si="24"/>
        <v/>
      </c>
    </row>
    <row r="56" spans="1:39" ht="15" customHeight="1" x14ac:dyDescent="0.25">
      <c r="A56" s="131"/>
      <c r="B56" s="133"/>
      <c r="C56" s="133"/>
      <c r="D56" s="42" t="str">
        <f t="shared" si="0"/>
        <v/>
      </c>
      <c r="E56" s="43"/>
      <c r="F56" s="135"/>
      <c r="G56" s="77" t="str">
        <f t="shared" si="1"/>
        <v/>
      </c>
      <c r="H56" s="32" t="str">
        <f t="shared" si="25"/>
        <v/>
      </c>
      <c r="I56" s="78" t="str">
        <f t="shared" si="2"/>
        <v/>
      </c>
      <c r="J56" s="70" t="str">
        <f t="shared" si="16"/>
        <v/>
      </c>
      <c r="K56" s="135"/>
      <c r="L56" s="72" t="str">
        <f t="shared" si="3"/>
        <v/>
      </c>
      <c r="M56" s="135"/>
      <c r="N56" s="72" t="str">
        <f t="shared" si="4"/>
        <v/>
      </c>
      <c r="O56" s="135"/>
      <c r="P56" s="136"/>
      <c r="Q56" s="123" t="str">
        <f t="shared" si="5"/>
        <v/>
      </c>
      <c r="R56" s="45" t="str">
        <f t="shared" si="6"/>
        <v/>
      </c>
      <c r="S56" s="137"/>
      <c r="T56" s="79" t="str">
        <f t="shared" si="7"/>
        <v/>
      </c>
      <c r="U56" s="79" t="str">
        <f t="shared" si="8"/>
        <v/>
      </c>
      <c r="V56" s="73" t="str">
        <f t="shared" si="9"/>
        <v/>
      </c>
      <c r="W56" s="80" t="str">
        <f t="shared" si="10"/>
        <v/>
      </c>
      <c r="X56" s="73" t="str">
        <f t="shared" si="11"/>
        <v/>
      </c>
      <c r="Y56" s="80" t="str">
        <f t="shared" si="12"/>
        <v/>
      </c>
      <c r="Z56" s="74" t="str">
        <f t="shared" si="13"/>
        <v/>
      </c>
      <c r="AA56" s="75" t="str">
        <f t="shared" si="17"/>
        <v/>
      </c>
      <c r="AB56" s="103" t="str">
        <f t="shared" si="14"/>
        <v/>
      </c>
      <c r="AC56" s="104" t="str">
        <f t="shared" si="26"/>
        <v/>
      </c>
      <c r="AE56" s="139"/>
      <c r="AF56" s="110" t="str">
        <f t="shared" si="18"/>
        <v/>
      </c>
      <c r="AG56" s="111" t="str">
        <f t="shared" si="19"/>
        <v/>
      </c>
      <c r="AH56" s="111" t="str">
        <f t="shared" si="15"/>
        <v/>
      </c>
      <c r="AI56" s="111" t="str">
        <f t="shared" si="20"/>
        <v/>
      </c>
      <c r="AJ56" s="111" t="str">
        <f t="shared" si="21"/>
        <v/>
      </c>
      <c r="AK56" s="112" t="str">
        <f t="shared" si="22"/>
        <v/>
      </c>
      <c r="AL56" t="str">
        <f t="shared" si="23"/>
        <v/>
      </c>
      <c r="AM56" t="str">
        <f t="shared" si="24"/>
        <v/>
      </c>
    </row>
    <row r="57" spans="1:39" ht="15" customHeight="1" x14ac:dyDescent="0.25">
      <c r="A57" s="131"/>
      <c r="B57" s="133"/>
      <c r="C57" s="133"/>
      <c r="D57" s="42" t="str">
        <f t="shared" si="0"/>
        <v/>
      </c>
      <c r="E57" s="43"/>
      <c r="F57" s="135"/>
      <c r="G57" s="77" t="str">
        <f t="shared" si="1"/>
        <v/>
      </c>
      <c r="H57" s="32" t="str">
        <f t="shared" si="25"/>
        <v/>
      </c>
      <c r="I57" s="78" t="str">
        <f t="shared" si="2"/>
        <v/>
      </c>
      <c r="J57" s="70" t="str">
        <f t="shared" si="16"/>
        <v/>
      </c>
      <c r="K57" s="135"/>
      <c r="L57" s="72" t="str">
        <f t="shared" si="3"/>
        <v/>
      </c>
      <c r="M57" s="135"/>
      <c r="N57" s="72" t="str">
        <f t="shared" si="4"/>
        <v/>
      </c>
      <c r="O57" s="135"/>
      <c r="P57" s="136"/>
      <c r="Q57" s="123" t="str">
        <f t="shared" si="5"/>
        <v/>
      </c>
      <c r="R57" s="45" t="str">
        <f t="shared" si="6"/>
        <v/>
      </c>
      <c r="S57" s="137"/>
      <c r="T57" s="79" t="str">
        <f t="shared" si="7"/>
        <v/>
      </c>
      <c r="U57" s="79" t="str">
        <f t="shared" si="8"/>
        <v/>
      </c>
      <c r="V57" s="73" t="str">
        <f t="shared" si="9"/>
        <v/>
      </c>
      <c r="W57" s="80" t="str">
        <f t="shared" si="10"/>
        <v/>
      </c>
      <c r="X57" s="73" t="str">
        <f t="shared" si="11"/>
        <v/>
      </c>
      <c r="Y57" s="80" t="str">
        <f t="shared" si="12"/>
        <v/>
      </c>
      <c r="Z57" s="74" t="str">
        <f t="shared" si="13"/>
        <v/>
      </c>
      <c r="AA57" s="75" t="str">
        <f t="shared" si="17"/>
        <v/>
      </c>
      <c r="AB57" s="103" t="str">
        <f t="shared" si="14"/>
        <v/>
      </c>
      <c r="AC57" s="104" t="str">
        <f t="shared" si="26"/>
        <v/>
      </c>
      <c r="AE57" s="139"/>
      <c r="AF57" s="110" t="str">
        <f t="shared" si="18"/>
        <v/>
      </c>
      <c r="AG57" s="111" t="str">
        <f t="shared" si="19"/>
        <v/>
      </c>
      <c r="AH57" s="111" t="str">
        <f t="shared" si="15"/>
        <v/>
      </c>
      <c r="AI57" s="111" t="str">
        <f t="shared" si="20"/>
        <v/>
      </c>
      <c r="AJ57" s="111" t="str">
        <f t="shared" si="21"/>
        <v/>
      </c>
      <c r="AK57" s="112" t="str">
        <f t="shared" si="22"/>
        <v/>
      </c>
      <c r="AL57" t="str">
        <f t="shared" si="23"/>
        <v/>
      </c>
      <c r="AM57" t="str">
        <f t="shared" si="24"/>
        <v/>
      </c>
    </row>
    <row r="58" spans="1:39" ht="15" customHeight="1" x14ac:dyDescent="0.25">
      <c r="A58" s="131"/>
      <c r="B58" s="133"/>
      <c r="C58" s="133"/>
      <c r="D58" s="42" t="str">
        <f t="shared" si="0"/>
        <v/>
      </c>
      <c r="E58" s="43"/>
      <c r="F58" s="135"/>
      <c r="G58" s="77" t="str">
        <f t="shared" si="1"/>
        <v/>
      </c>
      <c r="H58" s="32" t="str">
        <f t="shared" si="25"/>
        <v/>
      </c>
      <c r="I58" s="78" t="str">
        <f t="shared" si="2"/>
        <v/>
      </c>
      <c r="J58" s="70" t="str">
        <f t="shared" si="16"/>
        <v/>
      </c>
      <c r="K58" s="135"/>
      <c r="L58" s="72" t="str">
        <f t="shared" si="3"/>
        <v/>
      </c>
      <c r="M58" s="135"/>
      <c r="N58" s="72" t="str">
        <f t="shared" si="4"/>
        <v/>
      </c>
      <c r="O58" s="135"/>
      <c r="P58" s="136"/>
      <c r="Q58" s="123" t="str">
        <f t="shared" si="5"/>
        <v/>
      </c>
      <c r="R58" s="45" t="str">
        <f t="shared" si="6"/>
        <v/>
      </c>
      <c r="S58" s="137"/>
      <c r="T58" s="79" t="str">
        <f t="shared" si="7"/>
        <v/>
      </c>
      <c r="U58" s="79" t="str">
        <f t="shared" si="8"/>
        <v/>
      </c>
      <c r="V58" s="73" t="str">
        <f t="shared" si="9"/>
        <v/>
      </c>
      <c r="W58" s="80" t="str">
        <f t="shared" si="10"/>
        <v/>
      </c>
      <c r="X58" s="73" t="str">
        <f t="shared" si="11"/>
        <v/>
      </c>
      <c r="Y58" s="80" t="str">
        <f t="shared" si="12"/>
        <v/>
      </c>
      <c r="Z58" s="74" t="str">
        <f t="shared" si="13"/>
        <v/>
      </c>
      <c r="AA58" s="75" t="str">
        <f t="shared" si="17"/>
        <v/>
      </c>
      <c r="AB58" s="103" t="str">
        <f t="shared" si="14"/>
        <v/>
      </c>
      <c r="AC58" s="104" t="str">
        <f t="shared" si="26"/>
        <v/>
      </c>
      <c r="AE58" s="139"/>
      <c r="AF58" s="110" t="str">
        <f t="shared" si="18"/>
        <v/>
      </c>
      <c r="AG58" s="111" t="str">
        <f t="shared" si="19"/>
        <v/>
      </c>
      <c r="AH58" s="111" t="str">
        <f t="shared" si="15"/>
        <v/>
      </c>
      <c r="AI58" s="111" t="str">
        <f t="shared" si="20"/>
        <v/>
      </c>
      <c r="AJ58" s="111" t="str">
        <f t="shared" si="21"/>
        <v/>
      </c>
      <c r="AK58" s="112" t="str">
        <f t="shared" si="22"/>
        <v/>
      </c>
      <c r="AL58" t="str">
        <f t="shared" si="23"/>
        <v/>
      </c>
      <c r="AM58" t="str">
        <f t="shared" si="24"/>
        <v/>
      </c>
    </row>
    <row r="59" spans="1:39" ht="15" customHeight="1" x14ac:dyDescent="0.25">
      <c r="A59" s="131"/>
      <c r="B59" s="133"/>
      <c r="C59" s="133"/>
      <c r="D59" s="42" t="str">
        <f t="shared" si="0"/>
        <v/>
      </c>
      <c r="E59" s="43"/>
      <c r="F59" s="135"/>
      <c r="G59" s="77" t="str">
        <f t="shared" si="1"/>
        <v/>
      </c>
      <c r="H59" s="32" t="str">
        <f t="shared" si="25"/>
        <v/>
      </c>
      <c r="I59" s="78" t="str">
        <f t="shared" si="2"/>
        <v/>
      </c>
      <c r="J59" s="70" t="str">
        <f t="shared" si="16"/>
        <v/>
      </c>
      <c r="K59" s="135"/>
      <c r="L59" s="72" t="str">
        <f t="shared" si="3"/>
        <v/>
      </c>
      <c r="M59" s="135"/>
      <c r="N59" s="72" t="str">
        <f t="shared" si="4"/>
        <v/>
      </c>
      <c r="O59" s="135"/>
      <c r="P59" s="136"/>
      <c r="Q59" s="123" t="str">
        <f t="shared" si="5"/>
        <v/>
      </c>
      <c r="R59" s="45" t="str">
        <f t="shared" si="6"/>
        <v/>
      </c>
      <c r="S59" s="137"/>
      <c r="T59" s="79" t="str">
        <f t="shared" si="7"/>
        <v/>
      </c>
      <c r="U59" s="79" t="str">
        <f t="shared" si="8"/>
        <v/>
      </c>
      <c r="V59" s="73" t="str">
        <f t="shared" si="9"/>
        <v/>
      </c>
      <c r="W59" s="80" t="str">
        <f t="shared" si="10"/>
        <v/>
      </c>
      <c r="X59" s="73" t="str">
        <f t="shared" si="11"/>
        <v/>
      </c>
      <c r="Y59" s="80" t="str">
        <f t="shared" si="12"/>
        <v/>
      </c>
      <c r="Z59" s="74" t="str">
        <f t="shared" si="13"/>
        <v/>
      </c>
      <c r="AA59" s="75" t="str">
        <f t="shared" si="17"/>
        <v/>
      </c>
      <c r="AB59" s="103" t="str">
        <f t="shared" si="14"/>
        <v/>
      </c>
      <c r="AC59" s="104" t="str">
        <f t="shared" si="26"/>
        <v/>
      </c>
      <c r="AE59" s="139"/>
      <c r="AF59" s="110" t="str">
        <f t="shared" si="18"/>
        <v/>
      </c>
      <c r="AG59" s="111" t="str">
        <f t="shared" si="19"/>
        <v/>
      </c>
      <c r="AH59" s="111" t="str">
        <f t="shared" si="15"/>
        <v/>
      </c>
      <c r="AI59" s="111" t="str">
        <f t="shared" si="20"/>
        <v/>
      </c>
      <c r="AJ59" s="111" t="str">
        <f t="shared" si="21"/>
        <v/>
      </c>
      <c r="AK59" s="112" t="str">
        <f t="shared" si="22"/>
        <v/>
      </c>
      <c r="AL59" t="str">
        <f t="shared" si="23"/>
        <v/>
      </c>
      <c r="AM59" t="str">
        <f t="shared" si="24"/>
        <v/>
      </c>
    </row>
    <row r="60" spans="1:39" ht="15" customHeight="1" x14ac:dyDescent="0.25">
      <c r="A60" s="131"/>
      <c r="B60" s="133"/>
      <c r="C60" s="133"/>
      <c r="D60" s="42" t="str">
        <f t="shared" si="0"/>
        <v/>
      </c>
      <c r="E60" s="43"/>
      <c r="F60" s="135"/>
      <c r="G60" s="77" t="str">
        <f t="shared" si="1"/>
        <v/>
      </c>
      <c r="H60" s="32" t="str">
        <f t="shared" si="25"/>
        <v/>
      </c>
      <c r="I60" s="78" t="str">
        <f t="shared" si="2"/>
        <v/>
      </c>
      <c r="J60" s="70" t="str">
        <f t="shared" si="16"/>
        <v/>
      </c>
      <c r="K60" s="135"/>
      <c r="L60" s="72" t="str">
        <f t="shared" si="3"/>
        <v/>
      </c>
      <c r="M60" s="135"/>
      <c r="N60" s="72" t="str">
        <f t="shared" si="4"/>
        <v/>
      </c>
      <c r="O60" s="135"/>
      <c r="P60" s="136"/>
      <c r="Q60" s="123" t="str">
        <f t="shared" si="5"/>
        <v/>
      </c>
      <c r="R60" s="45" t="str">
        <f t="shared" si="6"/>
        <v/>
      </c>
      <c r="S60" s="137"/>
      <c r="T60" s="79" t="str">
        <f t="shared" si="7"/>
        <v/>
      </c>
      <c r="U60" s="79" t="str">
        <f t="shared" si="8"/>
        <v/>
      </c>
      <c r="V60" s="73" t="str">
        <f t="shared" si="9"/>
        <v/>
      </c>
      <c r="W60" s="80" t="str">
        <f t="shared" si="10"/>
        <v/>
      </c>
      <c r="X60" s="73" t="str">
        <f t="shared" si="11"/>
        <v/>
      </c>
      <c r="Y60" s="80" t="str">
        <f t="shared" si="12"/>
        <v/>
      </c>
      <c r="Z60" s="74" t="str">
        <f t="shared" si="13"/>
        <v/>
      </c>
      <c r="AA60" s="75" t="str">
        <f t="shared" si="17"/>
        <v/>
      </c>
      <c r="AB60" s="103" t="str">
        <f t="shared" si="14"/>
        <v/>
      </c>
      <c r="AC60" s="104" t="str">
        <f t="shared" si="26"/>
        <v/>
      </c>
      <c r="AE60" s="139"/>
      <c r="AF60" s="110" t="str">
        <f t="shared" si="18"/>
        <v/>
      </c>
      <c r="AG60" s="111" t="str">
        <f t="shared" si="19"/>
        <v/>
      </c>
      <c r="AH60" s="111" t="str">
        <f t="shared" si="15"/>
        <v/>
      </c>
      <c r="AI60" s="111" t="str">
        <f t="shared" si="20"/>
        <v/>
      </c>
      <c r="AJ60" s="111" t="str">
        <f t="shared" si="21"/>
        <v/>
      </c>
      <c r="AK60" s="112" t="str">
        <f t="shared" si="22"/>
        <v/>
      </c>
      <c r="AL60" t="str">
        <f t="shared" si="23"/>
        <v/>
      </c>
      <c r="AM60" t="str">
        <f t="shared" si="24"/>
        <v/>
      </c>
    </row>
    <row r="61" spans="1:39" ht="15" customHeight="1" x14ac:dyDescent="0.25">
      <c r="A61" s="131"/>
      <c r="B61" s="133"/>
      <c r="C61" s="133"/>
      <c r="D61" s="42" t="str">
        <f t="shared" si="0"/>
        <v/>
      </c>
      <c r="E61" s="43"/>
      <c r="F61" s="135"/>
      <c r="G61" s="77" t="str">
        <f t="shared" si="1"/>
        <v/>
      </c>
      <c r="H61" s="32" t="str">
        <f t="shared" si="25"/>
        <v/>
      </c>
      <c r="I61" s="78" t="str">
        <f t="shared" si="2"/>
        <v/>
      </c>
      <c r="J61" s="70" t="str">
        <f t="shared" si="16"/>
        <v/>
      </c>
      <c r="K61" s="135"/>
      <c r="L61" s="72" t="str">
        <f t="shared" si="3"/>
        <v/>
      </c>
      <c r="M61" s="135"/>
      <c r="N61" s="72" t="str">
        <f t="shared" si="4"/>
        <v/>
      </c>
      <c r="O61" s="135"/>
      <c r="P61" s="136"/>
      <c r="Q61" s="123" t="str">
        <f t="shared" si="5"/>
        <v/>
      </c>
      <c r="R61" s="45" t="str">
        <f t="shared" si="6"/>
        <v/>
      </c>
      <c r="S61" s="137"/>
      <c r="T61" s="79" t="str">
        <f t="shared" si="7"/>
        <v/>
      </c>
      <c r="U61" s="79" t="str">
        <f t="shared" si="8"/>
        <v/>
      </c>
      <c r="V61" s="73" t="str">
        <f t="shared" si="9"/>
        <v/>
      </c>
      <c r="W61" s="80" t="str">
        <f t="shared" si="10"/>
        <v/>
      </c>
      <c r="X61" s="73" t="str">
        <f t="shared" si="11"/>
        <v/>
      </c>
      <c r="Y61" s="80" t="str">
        <f t="shared" si="12"/>
        <v/>
      </c>
      <c r="Z61" s="74" t="str">
        <f t="shared" si="13"/>
        <v/>
      </c>
      <c r="AA61" s="75" t="str">
        <f t="shared" si="17"/>
        <v/>
      </c>
      <c r="AB61" s="103" t="str">
        <f t="shared" si="14"/>
        <v/>
      </c>
      <c r="AC61" s="104" t="str">
        <f t="shared" si="26"/>
        <v/>
      </c>
      <c r="AE61" s="139"/>
      <c r="AF61" s="110" t="str">
        <f t="shared" si="18"/>
        <v/>
      </c>
      <c r="AG61" s="111" t="str">
        <f t="shared" si="19"/>
        <v/>
      </c>
      <c r="AH61" s="111" t="str">
        <f t="shared" si="15"/>
        <v/>
      </c>
      <c r="AI61" s="111" t="str">
        <f t="shared" si="20"/>
        <v/>
      </c>
      <c r="AJ61" s="111" t="str">
        <f t="shared" si="21"/>
        <v/>
      </c>
      <c r="AK61" s="112" t="str">
        <f t="shared" si="22"/>
        <v/>
      </c>
      <c r="AL61" t="str">
        <f t="shared" si="23"/>
        <v/>
      </c>
      <c r="AM61" t="str">
        <f t="shared" si="24"/>
        <v/>
      </c>
    </row>
    <row r="62" spans="1:39" ht="15" customHeight="1" x14ac:dyDescent="0.25">
      <c r="A62" s="131"/>
      <c r="B62" s="133"/>
      <c r="C62" s="133"/>
      <c r="D62" s="42" t="str">
        <f t="shared" si="0"/>
        <v/>
      </c>
      <c r="E62" s="43"/>
      <c r="F62" s="135"/>
      <c r="G62" s="77" t="str">
        <f t="shared" si="1"/>
        <v/>
      </c>
      <c r="H62" s="32" t="str">
        <f t="shared" si="25"/>
        <v/>
      </c>
      <c r="I62" s="78" t="str">
        <f t="shared" si="2"/>
        <v/>
      </c>
      <c r="J62" s="70" t="str">
        <f t="shared" si="16"/>
        <v/>
      </c>
      <c r="K62" s="135"/>
      <c r="L62" s="72" t="str">
        <f t="shared" si="3"/>
        <v/>
      </c>
      <c r="M62" s="135"/>
      <c r="N62" s="72" t="str">
        <f t="shared" si="4"/>
        <v/>
      </c>
      <c r="O62" s="135"/>
      <c r="P62" s="136"/>
      <c r="Q62" s="123" t="str">
        <f t="shared" si="5"/>
        <v/>
      </c>
      <c r="R62" s="45" t="str">
        <f t="shared" si="6"/>
        <v/>
      </c>
      <c r="S62" s="137"/>
      <c r="T62" s="79" t="str">
        <f t="shared" si="7"/>
        <v/>
      </c>
      <c r="U62" s="79" t="str">
        <f t="shared" si="8"/>
        <v/>
      </c>
      <c r="V62" s="73" t="str">
        <f t="shared" si="9"/>
        <v/>
      </c>
      <c r="W62" s="80" t="str">
        <f t="shared" si="10"/>
        <v/>
      </c>
      <c r="X62" s="73" t="str">
        <f t="shared" si="11"/>
        <v/>
      </c>
      <c r="Y62" s="80" t="str">
        <f t="shared" si="12"/>
        <v/>
      </c>
      <c r="Z62" s="74" t="str">
        <f t="shared" si="13"/>
        <v/>
      </c>
      <c r="AA62" s="75" t="str">
        <f t="shared" si="17"/>
        <v/>
      </c>
      <c r="AB62" s="103" t="str">
        <f t="shared" si="14"/>
        <v/>
      </c>
      <c r="AC62" s="104" t="str">
        <f t="shared" si="26"/>
        <v/>
      </c>
      <c r="AE62" s="139"/>
      <c r="AF62" s="110" t="str">
        <f t="shared" si="18"/>
        <v/>
      </c>
      <c r="AG62" s="111" t="str">
        <f t="shared" si="19"/>
        <v/>
      </c>
      <c r="AH62" s="111" t="str">
        <f t="shared" si="15"/>
        <v/>
      </c>
      <c r="AI62" s="111" t="str">
        <f t="shared" si="20"/>
        <v/>
      </c>
      <c r="AJ62" s="111" t="str">
        <f t="shared" si="21"/>
        <v/>
      </c>
      <c r="AK62" s="112" t="str">
        <f t="shared" si="22"/>
        <v/>
      </c>
      <c r="AL62" t="str">
        <f t="shared" si="23"/>
        <v/>
      </c>
      <c r="AM62" t="str">
        <f t="shared" si="24"/>
        <v/>
      </c>
    </row>
    <row r="63" spans="1:39" ht="15" customHeight="1" x14ac:dyDescent="0.25">
      <c r="A63" s="131"/>
      <c r="B63" s="133"/>
      <c r="C63" s="133"/>
      <c r="D63" s="42" t="str">
        <f t="shared" si="0"/>
        <v/>
      </c>
      <c r="E63" s="43"/>
      <c r="F63" s="135"/>
      <c r="G63" s="77" t="str">
        <f t="shared" si="1"/>
        <v/>
      </c>
      <c r="H63" s="32" t="str">
        <f t="shared" si="25"/>
        <v/>
      </c>
      <c r="I63" s="78" t="str">
        <f t="shared" si="2"/>
        <v/>
      </c>
      <c r="J63" s="70" t="str">
        <f t="shared" si="16"/>
        <v/>
      </c>
      <c r="K63" s="135"/>
      <c r="L63" s="72" t="str">
        <f t="shared" si="3"/>
        <v/>
      </c>
      <c r="M63" s="135"/>
      <c r="N63" s="72" t="str">
        <f t="shared" si="4"/>
        <v/>
      </c>
      <c r="O63" s="135"/>
      <c r="P63" s="136"/>
      <c r="Q63" s="123" t="str">
        <f t="shared" si="5"/>
        <v/>
      </c>
      <c r="R63" s="45" t="str">
        <f t="shared" si="6"/>
        <v/>
      </c>
      <c r="S63" s="137"/>
      <c r="T63" s="79" t="str">
        <f t="shared" si="7"/>
        <v/>
      </c>
      <c r="U63" s="79" t="str">
        <f t="shared" si="8"/>
        <v/>
      </c>
      <c r="V63" s="73" t="str">
        <f t="shared" si="9"/>
        <v/>
      </c>
      <c r="W63" s="80" t="str">
        <f t="shared" si="10"/>
        <v/>
      </c>
      <c r="X63" s="73" t="str">
        <f t="shared" si="11"/>
        <v/>
      </c>
      <c r="Y63" s="80" t="str">
        <f t="shared" si="12"/>
        <v/>
      </c>
      <c r="Z63" s="74" t="str">
        <f t="shared" si="13"/>
        <v/>
      </c>
      <c r="AA63" s="75" t="str">
        <f t="shared" si="17"/>
        <v/>
      </c>
      <c r="AB63" s="103" t="str">
        <f t="shared" si="14"/>
        <v/>
      </c>
      <c r="AC63" s="104" t="str">
        <f t="shared" si="26"/>
        <v/>
      </c>
      <c r="AE63" s="139"/>
      <c r="AF63" s="110" t="str">
        <f t="shared" si="18"/>
        <v/>
      </c>
      <c r="AG63" s="111" t="str">
        <f t="shared" si="19"/>
        <v/>
      </c>
      <c r="AH63" s="111" t="str">
        <f t="shared" si="15"/>
        <v/>
      </c>
      <c r="AI63" s="111" t="str">
        <f t="shared" si="20"/>
        <v/>
      </c>
      <c r="AJ63" s="111" t="str">
        <f t="shared" si="21"/>
        <v/>
      </c>
      <c r="AK63" s="112" t="str">
        <f t="shared" si="22"/>
        <v/>
      </c>
      <c r="AL63" t="str">
        <f t="shared" si="23"/>
        <v/>
      </c>
      <c r="AM63" t="str">
        <f t="shared" si="24"/>
        <v/>
      </c>
    </row>
    <row r="64" spans="1:39" ht="15" customHeight="1" x14ac:dyDescent="0.25">
      <c r="A64" s="131"/>
      <c r="B64" s="133"/>
      <c r="C64" s="133"/>
      <c r="D64" s="42" t="str">
        <f t="shared" si="0"/>
        <v/>
      </c>
      <c r="E64" s="43"/>
      <c r="F64" s="135"/>
      <c r="G64" s="77" t="str">
        <f t="shared" si="1"/>
        <v/>
      </c>
      <c r="H64" s="32" t="str">
        <f t="shared" si="25"/>
        <v/>
      </c>
      <c r="I64" s="78" t="str">
        <f t="shared" si="2"/>
        <v/>
      </c>
      <c r="J64" s="70" t="str">
        <f t="shared" si="16"/>
        <v/>
      </c>
      <c r="K64" s="135"/>
      <c r="L64" s="72" t="str">
        <f t="shared" si="3"/>
        <v/>
      </c>
      <c r="M64" s="135"/>
      <c r="N64" s="72" t="str">
        <f t="shared" si="4"/>
        <v/>
      </c>
      <c r="O64" s="135"/>
      <c r="P64" s="136"/>
      <c r="Q64" s="123" t="str">
        <f t="shared" si="5"/>
        <v/>
      </c>
      <c r="R64" s="45" t="str">
        <f t="shared" si="6"/>
        <v/>
      </c>
      <c r="S64" s="137"/>
      <c r="T64" s="79" t="str">
        <f t="shared" si="7"/>
        <v/>
      </c>
      <c r="U64" s="79" t="str">
        <f t="shared" si="8"/>
        <v/>
      </c>
      <c r="V64" s="73" t="str">
        <f t="shared" si="9"/>
        <v/>
      </c>
      <c r="W64" s="80" t="str">
        <f t="shared" si="10"/>
        <v/>
      </c>
      <c r="X64" s="73" t="str">
        <f t="shared" si="11"/>
        <v/>
      </c>
      <c r="Y64" s="80" t="str">
        <f t="shared" si="12"/>
        <v/>
      </c>
      <c r="Z64" s="74" t="str">
        <f t="shared" si="13"/>
        <v/>
      </c>
      <c r="AA64" s="75" t="str">
        <f t="shared" si="17"/>
        <v/>
      </c>
      <c r="AB64" s="103" t="str">
        <f t="shared" si="14"/>
        <v/>
      </c>
      <c r="AC64" s="104" t="str">
        <f t="shared" si="26"/>
        <v/>
      </c>
      <c r="AE64" s="139"/>
      <c r="AF64" s="110" t="str">
        <f t="shared" si="18"/>
        <v/>
      </c>
      <c r="AG64" s="111" t="str">
        <f t="shared" si="19"/>
        <v/>
      </c>
      <c r="AH64" s="111" t="str">
        <f t="shared" si="15"/>
        <v/>
      </c>
      <c r="AI64" s="111" t="str">
        <f t="shared" si="20"/>
        <v/>
      </c>
      <c r="AJ64" s="111" t="str">
        <f t="shared" si="21"/>
        <v/>
      </c>
      <c r="AK64" s="112" t="str">
        <f t="shared" si="22"/>
        <v/>
      </c>
      <c r="AL64" t="str">
        <f t="shared" si="23"/>
        <v/>
      </c>
      <c r="AM64" t="str">
        <f t="shared" si="24"/>
        <v/>
      </c>
    </row>
    <row r="65" spans="1:39" ht="15" customHeight="1" x14ac:dyDescent="0.25">
      <c r="A65" s="131"/>
      <c r="B65" s="133"/>
      <c r="C65" s="133"/>
      <c r="D65" s="42" t="str">
        <f t="shared" si="0"/>
        <v/>
      </c>
      <c r="E65" s="43"/>
      <c r="F65" s="135"/>
      <c r="G65" s="77" t="str">
        <f t="shared" si="1"/>
        <v/>
      </c>
      <c r="H65" s="32" t="str">
        <f t="shared" si="25"/>
        <v/>
      </c>
      <c r="I65" s="78" t="str">
        <f t="shared" si="2"/>
        <v/>
      </c>
      <c r="J65" s="70" t="str">
        <f t="shared" si="16"/>
        <v/>
      </c>
      <c r="K65" s="135"/>
      <c r="L65" s="72" t="str">
        <f t="shared" si="3"/>
        <v/>
      </c>
      <c r="M65" s="135"/>
      <c r="N65" s="72" t="str">
        <f t="shared" si="4"/>
        <v/>
      </c>
      <c r="O65" s="135"/>
      <c r="P65" s="136"/>
      <c r="Q65" s="123" t="str">
        <f t="shared" si="5"/>
        <v/>
      </c>
      <c r="R65" s="45" t="str">
        <f t="shared" si="6"/>
        <v/>
      </c>
      <c r="S65" s="137"/>
      <c r="T65" s="79" t="str">
        <f t="shared" si="7"/>
        <v/>
      </c>
      <c r="U65" s="79" t="str">
        <f t="shared" si="8"/>
        <v/>
      </c>
      <c r="V65" s="73" t="str">
        <f t="shared" si="9"/>
        <v/>
      </c>
      <c r="W65" s="80" t="str">
        <f t="shared" si="10"/>
        <v/>
      </c>
      <c r="X65" s="73" t="str">
        <f t="shared" si="11"/>
        <v/>
      </c>
      <c r="Y65" s="80" t="str">
        <f t="shared" si="12"/>
        <v/>
      </c>
      <c r="Z65" s="74" t="str">
        <f t="shared" si="13"/>
        <v/>
      </c>
      <c r="AA65" s="75" t="str">
        <f t="shared" si="17"/>
        <v/>
      </c>
      <c r="AB65" s="103" t="str">
        <f t="shared" si="14"/>
        <v/>
      </c>
      <c r="AC65" s="104" t="str">
        <f t="shared" si="26"/>
        <v/>
      </c>
      <c r="AE65" s="139"/>
      <c r="AF65" s="110" t="str">
        <f t="shared" si="18"/>
        <v/>
      </c>
      <c r="AG65" s="111" t="str">
        <f t="shared" si="19"/>
        <v/>
      </c>
      <c r="AH65" s="111" t="str">
        <f t="shared" si="15"/>
        <v/>
      </c>
      <c r="AI65" s="111" t="str">
        <f t="shared" si="20"/>
        <v/>
      </c>
      <c r="AJ65" s="111" t="str">
        <f t="shared" si="21"/>
        <v/>
      </c>
      <c r="AK65" s="112" t="str">
        <f t="shared" si="22"/>
        <v/>
      </c>
      <c r="AL65" t="str">
        <f t="shared" si="23"/>
        <v/>
      </c>
      <c r="AM65" t="str">
        <f t="shared" si="24"/>
        <v/>
      </c>
    </row>
    <row r="66" spans="1:39" ht="15" customHeight="1" x14ac:dyDescent="0.25">
      <c r="A66" s="131"/>
      <c r="B66" s="133"/>
      <c r="C66" s="133"/>
      <c r="D66" s="42" t="str">
        <f t="shared" si="0"/>
        <v/>
      </c>
      <c r="E66" s="43"/>
      <c r="F66" s="135"/>
      <c r="G66" s="77" t="str">
        <f t="shared" si="1"/>
        <v/>
      </c>
      <c r="H66" s="32" t="str">
        <f t="shared" si="25"/>
        <v/>
      </c>
      <c r="I66" s="78" t="str">
        <f t="shared" si="2"/>
        <v/>
      </c>
      <c r="J66" s="70" t="str">
        <f t="shared" si="16"/>
        <v/>
      </c>
      <c r="K66" s="135"/>
      <c r="L66" s="72" t="str">
        <f t="shared" si="3"/>
        <v/>
      </c>
      <c r="M66" s="135"/>
      <c r="N66" s="72" t="str">
        <f t="shared" si="4"/>
        <v/>
      </c>
      <c r="O66" s="135"/>
      <c r="P66" s="136"/>
      <c r="Q66" s="123" t="str">
        <f t="shared" si="5"/>
        <v/>
      </c>
      <c r="R66" s="45" t="str">
        <f t="shared" si="6"/>
        <v/>
      </c>
      <c r="S66" s="137"/>
      <c r="T66" s="79" t="str">
        <f t="shared" si="7"/>
        <v/>
      </c>
      <c r="U66" s="79" t="str">
        <f t="shared" si="8"/>
        <v/>
      </c>
      <c r="V66" s="73" t="str">
        <f t="shared" si="9"/>
        <v/>
      </c>
      <c r="W66" s="80" t="str">
        <f t="shared" si="10"/>
        <v/>
      </c>
      <c r="X66" s="73" t="str">
        <f t="shared" si="11"/>
        <v/>
      </c>
      <c r="Y66" s="80" t="str">
        <f t="shared" si="12"/>
        <v/>
      </c>
      <c r="Z66" s="74" t="str">
        <f t="shared" si="13"/>
        <v/>
      </c>
      <c r="AA66" s="75" t="str">
        <f t="shared" si="17"/>
        <v/>
      </c>
      <c r="AB66" s="103" t="str">
        <f t="shared" si="14"/>
        <v/>
      </c>
      <c r="AC66" s="104" t="str">
        <f t="shared" si="26"/>
        <v/>
      </c>
      <c r="AE66" s="139"/>
      <c r="AF66" s="110" t="str">
        <f t="shared" si="18"/>
        <v/>
      </c>
      <c r="AG66" s="111" t="str">
        <f t="shared" si="19"/>
        <v/>
      </c>
      <c r="AH66" s="111" t="str">
        <f t="shared" si="15"/>
        <v/>
      </c>
      <c r="AI66" s="111" t="str">
        <f t="shared" si="20"/>
        <v/>
      </c>
      <c r="AJ66" s="111" t="str">
        <f t="shared" si="21"/>
        <v/>
      </c>
      <c r="AK66" s="112" t="str">
        <f t="shared" si="22"/>
        <v/>
      </c>
      <c r="AL66" t="str">
        <f t="shared" si="23"/>
        <v/>
      </c>
      <c r="AM66" t="str">
        <f t="shared" si="24"/>
        <v/>
      </c>
    </row>
    <row r="67" spans="1:39" ht="15" customHeight="1" x14ac:dyDescent="0.25">
      <c r="A67" s="131"/>
      <c r="B67" s="133"/>
      <c r="C67" s="133"/>
      <c r="D67" s="42" t="str">
        <f t="shared" si="0"/>
        <v/>
      </c>
      <c r="E67" s="43"/>
      <c r="F67" s="135"/>
      <c r="G67" s="77" t="str">
        <f t="shared" si="1"/>
        <v/>
      </c>
      <c r="H67" s="32" t="str">
        <f t="shared" si="25"/>
        <v/>
      </c>
      <c r="I67" s="78" t="str">
        <f t="shared" si="2"/>
        <v/>
      </c>
      <c r="J67" s="70" t="str">
        <f t="shared" si="16"/>
        <v/>
      </c>
      <c r="K67" s="135"/>
      <c r="L67" s="72" t="str">
        <f t="shared" si="3"/>
        <v/>
      </c>
      <c r="M67" s="135"/>
      <c r="N67" s="72" t="str">
        <f t="shared" si="4"/>
        <v/>
      </c>
      <c r="O67" s="135"/>
      <c r="P67" s="136"/>
      <c r="Q67" s="123" t="str">
        <f t="shared" si="5"/>
        <v/>
      </c>
      <c r="R67" s="45" t="str">
        <f t="shared" si="6"/>
        <v/>
      </c>
      <c r="S67" s="137"/>
      <c r="T67" s="79" t="str">
        <f t="shared" si="7"/>
        <v/>
      </c>
      <c r="U67" s="79" t="str">
        <f t="shared" si="8"/>
        <v/>
      </c>
      <c r="V67" s="73" t="str">
        <f t="shared" si="9"/>
        <v/>
      </c>
      <c r="W67" s="80" t="str">
        <f t="shared" si="10"/>
        <v/>
      </c>
      <c r="X67" s="73" t="str">
        <f t="shared" si="11"/>
        <v/>
      </c>
      <c r="Y67" s="80" t="str">
        <f t="shared" si="12"/>
        <v/>
      </c>
      <c r="Z67" s="74" t="str">
        <f t="shared" si="13"/>
        <v/>
      </c>
      <c r="AA67" s="75" t="str">
        <f t="shared" si="17"/>
        <v/>
      </c>
      <c r="AB67" s="103" t="str">
        <f t="shared" si="14"/>
        <v/>
      </c>
      <c r="AC67" s="104" t="str">
        <f t="shared" si="26"/>
        <v/>
      </c>
      <c r="AE67" s="139"/>
      <c r="AF67" s="110" t="str">
        <f t="shared" si="18"/>
        <v/>
      </c>
      <c r="AG67" s="111" t="str">
        <f t="shared" si="19"/>
        <v/>
      </c>
      <c r="AH67" s="111" t="str">
        <f t="shared" si="15"/>
        <v/>
      </c>
      <c r="AI67" s="111" t="str">
        <f t="shared" si="20"/>
        <v/>
      </c>
      <c r="AJ67" s="111" t="str">
        <f t="shared" si="21"/>
        <v/>
      </c>
      <c r="AK67" s="112" t="str">
        <f t="shared" si="22"/>
        <v/>
      </c>
      <c r="AL67" t="str">
        <f t="shared" si="23"/>
        <v/>
      </c>
      <c r="AM67" t="str">
        <f t="shared" si="24"/>
        <v/>
      </c>
    </row>
    <row r="68" spans="1:39" ht="15" customHeight="1" x14ac:dyDescent="0.25">
      <c r="A68" s="131"/>
      <c r="B68" s="133"/>
      <c r="C68" s="133"/>
      <c r="D68" s="42" t="str">
        <f t="shared" si="0"/>
        <v/>
      </c>
      <c r="E68" s="43"/>
      <c r="F68" s="135"/>
      <c r="G68" s="77" t="str">
        <f t="shared" si="1"/>
        <v/>
      </c>
      <c r="H68" s="32" t="str">
        <f t="shared" si="25"/>
        <v/>
      </c>
      <c r="I68" s="78" t="str">
        <f t="shared" si="2"/>
        <v/>
      </c>
      <c r="J68" s="70" t="str">
        <f t="shared" si="16"/>
        <v/>
      </c>
      <c r="K68" s="135"/>
      <c r="L68" s="72" t="str">
        <f t="shared" si="3"/>
        <v/>
      </c>
      <c r="M68" s="135"/>
      <c r="N68" s="72" t="str">
        <f t="shared" si="4"/>
        <v/>
      </c>
      <c r="O68" s="135"/>
      <c r="P68" s="136"/>
      <c r="Q68" s="123" t="str">
        <f t="shared" si="5"/>
        <v/>
      </c>
      <c r="R68" s="45" t="str">
        <f t="shared" si="6"/>
        <v/>
      </c>
      <c r="S68" s="137"/>
      <c r="T68" s="79" t="str">
        <f t="shared" si="7"/>
        <v/>
      </c>
      <c r="U68" s="79" t="str">
        <f t="shared" si="8"/>
        <v/>
      </c>
      <c r="V68" s="73" t="str">
        <f t="shared" si="9"/>
        <v/>
      </c>
      <c r="W68" s="80" t="str">
        <f t="shared" si="10"/>
        <v/>
      </c>
      <c r="X68" s="73" t="str">
        <f t="shared" si="11"/>
        <v/>
      </c>
      <c r="Y68" s="80" t="str">
        <f t="shared" si="12"/>
        <v/>
      </c>
      <c r="Z68" s="74" t="str">
        <f t="shared" si="13"/>
        <v/>
      </c>
      <c r="AA68" s="75" t="str">
        <f t="shared" si="17"/>
        <v/>
      </c>
      <c r="AB68" s="103" t="str">
        <f t="shared" si="14"/>
        <v/>
      </c>
      <c r="AC68" s="104" t="str">
        <f t="shared" si="26"/>
        <v/>
      </c>
      <c r="AE68" s="139"/>
      <c r="AF68" s="110" t="str">
        <f t="shared" si="18"/>
        <v/>
      </c>
      <c r="AG68" s="111" t="str">
        <f t="shared" si="19"/>
        <v/>
      </c>
      <c r="AH68" s="111" t="str">
        <f t="shared" si="15"/>
        <v/>
      </c>
      <c r="AI68" s="111" t="str">
        <f t="shared" si="20"/>
        <v/>
      </c>
      <c r="AJ68" s="111" t="str">
        <f t="shared" si="21"/>
        <v/>
      </c>
      <c r="AK68" s="112" t="str">
        <f t="shared" si="22"/>
        <v/>
      </c>
      <c r="AL68" t="str">
        <f t="shared" si="23"/>
        <v/>
      </c>
      <c r="AM68" t="str">
        <f t="shared" si="24"/>
        <v/>
      </c>
    </row>
    <row r="69" spans="1:39" ht="15" customHeight="1" x14ac:dyDescent="0.25">
      <c r="A69" s="131"/>
      <c r="B69" s="133"/>
      <c r="C69" s="133"/>
      <c r="D69" s="42" t="str">
        <f t="shared" si="0"/>
        <v/>
      </c>
      <c r="E69" s="43"/>
      <c r="F69" s="135"/>
      <c r="G69" s="77" t="str">
        <f t="shared" si="1"/>
        <v/>
      </c>
      <c r="H69" s="32" t="str">
        <f t="shared" si="25"/>
        <v/>
      </c>
      <c r="I69" s="78" t="str">
        <f t="shared" si="2"/>
        <v/>
      </c>
      <c r="J69" s="70" t="str">
        <f t="shared" si="16"/>
        <v/>
      </c>
      <c r="K69" s="135"/>
      <c r="L69" s="72" t="str">
        <f t="shared" si="3"/>
        <v/>
      </c>
      <c r="M69" s="135"/>
      <c r="N69" s="72" t="str">
        <f t="shared" si="4"/>
        <v/>
      </c>
      <c r="O69" s="135"/>
      <c r="P69" s="136"/>
      <c r="Q69" s="123" t="str">
        <f t="shared" si="5"/>
        <v/>
      </c>
      <c r="R69" s="45" t="str">
        <f t="shared" si="6"/>
        <v/>
      </c>
      <c r="S69" s="137"/>
      <c r="T69" s="79" t="str">
        <f t="shared" si="7"/>
        <v/>
      </c>
      <c r="U69" s="79" t="str">
        <f t="shared" si="8"/>
        <v/>
      </c>
      <c r="V69" s="73" t="str">
        <f t="shared" si="9"/>
        <v/>
      </c>
      <c r="W69" s="80" t="str">
        <f t="shared" si="10"/>
        <v/>
      </c>
      <c r="X69" s="73" t="str">
        <f t="shared" si="11"/>
        <v/>
      </c>
      <c r="Y69" s="80" t="str">
        <f t="shared" si="12"/>
        <v/>
      </c>
      <c r="Z69" s="74" t="str">
        <f t="shared" si="13"/>
        <v/>
      </c>
      <c r="AA69" s="75" t="str">
        <f t="shared" si="17"/>
        <v/>
      </c>
      <c r="AB69" s="103" t="str">
        <f t="shared" si="14"/>
        <v/>
      </c>
      <c r="AC69" s="104" t="str">
        <f t="shared" si="26"/>
        <v/>
      </c>
      <c r="AE69" s="139"/>
      <c r="AF69" s="110" t="str">
        <f t="shared" si="18"/>
        <v/>
      </c>
      <c r="AG69" s="111" t="str">
        <f t="shared" si="19"/>
        <v/>
      </c>
      <c r="AH69" s="111" t="str">
        <f t="shared" si="15"/>
        <v/>
      </c>
      <c r="AI69" s="111" t="str">
        <f t="shared" si="20"/>
        <v/>
      </c>
      <c r="AJ69" s="111" t="str">
        <f t="shared" si="21"/>
        <v/>
      </c>
      <c r="AK69" s="112" t="str">
        <f t="shared" si="22"/>
        <v/>
      </c>
      <c r="AL69" t="str">
        <f t="shared" si="23"/>
        <v/>
      </c>
      <c r="AM69" t="str">
        <f t="shared" si="24"/>
        <v/>
      </c>
    </row>
    <row r="70" spans="1:39" ht="15" customHeight="1" x14ac:dyDescent="0.25">
      <c r="A70" s="131"/>
      <c r="B70" s="133"/>
      <c r="C70" s="133"/>
      <c r="D70" s="42" t="str">
        <f t="shared" si="0"/>
        <v/>
      </c>
      <c r="E70" s="43"/>
      <c r="F70" s="135"/>
      <c r="G70" s="77" t="str">
        <f t="shared" si="1"/>
        <v/>
      </c>
      <c r="H70" s="32" t="str">
        <f t="shared" si="25"/>
        <v/>
      </c>
      <c r="I70" s="78" t="str">
        <f t="shared" si="2"/>
        <v/>
      </c>
      <c r="J70" s="70" t="str">
        <f t="shared" si="16"/>
        <v/>
      </c>
      <c r="K70" s="135"/>
      <c r="L70" s="72" t="str">
        <f t="shared" si="3"/>
        <v/>
      </c>
      <c r="M70" s="135"/>
      <c r="N70" s="72" t="str">
        <f t="shared" si="4"/>
        <v/>
      </c>
      <c r="O70" s="135"/>
      <c r="P70" s="136"/>
      <c r="Q70" s="123" t="str">
        <f t="shared" si="5"/>
        <v/>
      </c>
      <c r="R70" s="45" t="str">
        <f t="shared" si="6"/>
        <v/>
      </c>
      <c r="S70" s="137"/>
      <c r="T70" s="79" t="str">
        <f t="shared" si="7"/>
        <v/>
      </c>
      <c r="U70" s="79" t="str">
        <f t="shared" si="8"/>
        <v/>
      </c>
      <c r="V70" s="73" t="str">
        <f t="shared" si="9"/>
        <v/>
      </c>
      <c r="W70" s="80" t="str">
        <f t="shared" si="10"/>
        <v/>
      </c>
      <c r="X70" s="73" t="str">
        <f t="shared" si="11"/>
        <v/>
      </c>
      <c r="Y70" s="80" t="str">
        <f t="shared" si="12"/>
        <v/>
      </c>
      <c r="Z70" s="74" t="str">
        <f t="shared" si="13"/>
        <v/>
      </c>
      <c r="AA70" s="75" t="str">
        <f t="shared" si="17"/>
        <v/>
      </c>
      <c r="AB70" s="103" t="str">
        <f t="shared" si="14"/>
        <v/>
      </c>
      <c r="AC70" s="104" t="str">
        <f t="shared" si="26"/>
        <v/>
      </c>
      <c r="AE70" s="139"/>
      <c r="AF70" s="110" t="str">
        <f t="shared" si="18"/>
        <v/>
      </c>
      <c r="AG70" s="111" t="str">
        <f t="shared" si="19"/>
        <v/>
      </c>
      <c r="AH70" s="111" t="str">
        <f t="shared" si="15"/>
        <v/>
      </c>
      <c r="AI70" s="111" t="str">
        <f t="shared" si="20"/>
        <v/>
      </c>
      <c r="AJ70" s="111" t="str">
        <f t="shared" si="21"/>
        <v/>
      </c>
      <c r="AK70" s="112" t="str">
        <f t="shared" si="22"/>
        <v/>
      </c>
      <c r="AL70" t="str">
        <f t="shared" si="23"/>
        <v/>
      </c>
      <c r="AM70" t="str">
        <f t="shared" si="24"/>
        <v/>
      </c>
    </row>
    <row r="71" spans="1:39" ht="15" customHeight="1" x14ac:dyDescent="0.25">
      <c r="A71" s="131"/>
      <c r="B71" s="133"/>
      <c r="C71" s="133"/>
      <c r="D71" s="42" t="str">
        <f t="shared" si="0"/>
        <v/>
      </c>
      <c r="E71" s="43"/>
      <c r="F71" s="135"/>
      <c r="G71" s="77" t="str">
        <f t="shared" si="1"/>
        <v/>
      </c>
      <c r="H71" s="32" t="str">
        <f t="shared" si="25"/>
        <v/>
      </c>
      <c r="I71" s="78" t="str">
        <f t="shared" si="2"/>
        <v/>
      </c>
      <c r="J71" s="70" t="str">
        <f t="shared" si="16"/>
        <v/>
      </c>
      <c r="K71" s="135"/>
      <c r="L71" s="72" t="str">
        <f t="shared" si="3"/>
        <v/>
      </c>
      <c r="M71" s="135"/>
      <c r="N71" s="72" t="str">
        <f t="shared" si="4"/>
        <v/>
      </c>
      <c r="O71" s="135"/>
      <c r="P71" s="136"/>
      <c r="Q71" s="123" t="str">
        <f t="shared" si="5"/>
        <v/>
      </c>
      <c r="R71" s="45" t="str">
        <f t="shared" si="6"/>
        <v/>
      </c>
      <c r="S71" s="137"/>
      <c r="T71" s="79" t="str">
        <f t="shared" si="7"/>
        <v/>
      </c>
      <c r="U71" s="79" t="str">
        <f t="shared" si="8"/>
        <v/>
      </c>
      <c r="V71" s="73" t="str">
        <f t="shared" si="9"/>
        <v/>
      </c>
      <c r="W71" s="80" t="str">
        <f t="shared" si="10"/>
        <v/>
      </c>
      <c r="X71" s="73" t="str">
        <f t="shared" si="11"/>
        <v/>
      </c>
      <c r="Y71" s="80" t="str">
        <f t="shared" si="12"/>
        <v/>
      </c>
      <c r="Z71" s="74" t="str">
        <f t="shared" si="13"/>
        <v/>
      </c>
      <c r="AA71" s="75" t="str">
        <f t="shared" si="17"/>
        <v/>
      </c>
      <c r="AB71" s="103" t="str">
        <f t="shared" si="14"/>
        <v/>
      </c>
      <c r="AC71" s="104" t="str">
        <f t="shared" si="26"/>
        <v/>
      </c>
      <c r="AE71" s="139"/>
      <c r="AF71" s="110" t="str">
        <f t="shared" si="18"/>
        <v/>
      </c>
      <c r="AG71" s="111" t="str">
        <f t="shared" si="19"/>
        <v/>
      </c>
      <c r="AH71" s="111" t="str">
        <f t="shared" si="15"/>
        <v/>
      </c>
      <c r="AI71" s="111" t="str">
        <f t="shared" si="20"/>
        <v/>
      </c>
      <c r="AJ71" s="111" t="str">
        <f t="shared" si="21"/>
        <v/>
      </c>
      <c r="AK71" s="112" t="str">
        <f t="shared" si="22"/>
        <v/>
      </c>
      <c r="AL71" t="str">
        <f t="shared" si="23"/>
        <v/>
      </c>
      <c r="AM71" t="str">
        <f t="shared" si="24"/>
        <v/>
      </c>
    </row>
    <row r="72" spans="1:39" ht="15" customHeight="1" x14ac:dyDescent="0.25">
      <c r="A72" s="131"/>
      <c r="B72" s="133"/>
      <c r="C72" s="133"/>
      <c r="D72" s="42" t="str">
        <f t="shared" ref="D72:D135" si="27">IF(A72="","",B72*C72)</f>
        <v/>
      </c>
      <c r="E72" s="43"/>
      <c r="F72" s="135"/>
      <c r="G72" s="77" t="str">
        <f t="shared" ref="G72:G135" si="28">IF(OR(F72="",C72=0,C72=""),"",F72/C72)</f>
        <v/>
      </c>
      <c r="H72" s="32" t="str">
        <f t="shared" ref="H72:H135" si="29">IF(F72="","",ROUND(F72*$G$1,2))</f>
        <v/>
      </c>
      <c r="I72" s="78" t="str">
        <f t="shared" ref="I72:I135" si="30">IF(OR(H72="",C72=0,C72=""),"",H72/C72)</f>
        <v/>
      </c>
      <c r="J72" s="70" t="str">
        <f t="shared" ref="J72:J135" si="31">IF(A72="","",F72*B72)</f>
        <v/>
      </c>
      <c r="K72" s="135"/>
      <c r="L72" s="72" t="str">
        <f t="shared" ref="L72:L135" si="32">IF(OR(K72=0,C72=0,K72="",C72=""),"",K72/C72)</f>
        <v/>
      </c>
      <c r="M72" s="135"/>
      <c r="N72" s="72" t="str">
        <f t="shared" ref="N72:N135" si="33">IF(OR(M72=0,C72=0,M72="",C72=""),"",M72/C72)</f>
        <v/>
      </c>
      <c r="O72" s="135"/>
      <c r="P72" s="136"/>
      <c r="Q72" s="123" t="str">
        <f t="shared" ref="Q72:Q135" si="34">IF(A72="","",IF(S72&gt;0,IF(J72&gt;0,S72/J72,0),IF(E72&gt;0,0,IF($I$2&gt;0,IF($I$3&gt;0,MAX($I$2-SUM($S$8:$S$1007),0)/$I$3,0),$I$1))))</f>
        <v/>
      </c>
      <c r="R72" s="45" t="str">
        <f t="shared" ref="R72:R135" si="35">IF(A72="","",IF(S72&gt;0,S72,IF(E72&gt;0,0,J72*IF($I$2&gt;0,IF($I$3&gt;0,MAX($I$2-SUM($S$8:$S$1007),0)/$I$3,0),$I$1))))</f>
        <v/>
      </c>
      <c r="S72" s="137"/>
      <c r="T72" s="79" t="str">
        <f t="shared" si="7"/>
        <v/>
      </c>
      <c r="U72" s="79" t="str">
        <f t="shared" ref="U72:U135" si="36">IF(OR(A72="",T72=""),"",T72*C72)</f>
        <v/>
      </c>
      <c r="V72" s="73" t="str">
        <f t="shared" ref="V72:V135" si="37">IF(OR(A72="",K72&lt;=0,U72=""),"",(K72-U72)/K72)</f>
        <v/>
      </c>
      <c r="W72" s="80" t="str">
        <f t="shared" ref="W72:W135" si="38">IF(OR(K72=0,U72=0,K72="",U72=""),"",K72-U72)</f>
        <v/>
      </c>
      <c r="X72" s="73" t="str">
        <f t="shared" ref="X72:X135" si="39">IF(OR(A72="",M72&lt;=0,U72=""),"",(M72-U72)/M72)</f>
        <v/>
      </c>
      <c r="Y72" s="80" t="str">
        <f t="shared" ref="Y72:Y135" si="40">IF(OR(M72=0,U72=0,M72="",U72=""),"",M72-U72)</f>
        <v/>
      </c>
      <c r="Z72" s="74" t="str">
        <f t="shared" ref="Z72:Z135" si="41">IF(OR(J72="",J72=0,$M$5="",$K$1=0),"",($M$5/$K$1)*J72)</f>
        <v/>
      </c>
      <c r="AA72" s="75" t="str">
        <f t="shared" si="17"/>
        <v/>
      </c>
      <c r="AB72" s="103" t="str">
        <f t="shared" ref="AB72:AB135" si="42">IF(OR(T72=0,T72="",D72=0,D72=""),"",T72*(D72+E72))</f>
        <v/>
      </c>
      <c r="AC72" s="104" t="str">
        <f t="shared" si="26"/>
        <v/>
      </c>
      <c r="AE72" s="139"/>
      <c r="AF72" s="110" t="str">
        <f t="shared" si="18"/>
        <v/>
      </c>
      <c r="AG72" s="111" t="str">
        <f t="shared" si="19"/>
        <v/>
      </c>
      <c r="AH72" s="111" t="str">
        <f t="shared" ref="AH72:AH135" si="43">IF(AG72="","",AG72*$AF$1+IF(SUM($AG$8:$AG$1007)=0,0,$AF$2*AG72/SUM($AG$8:$AG$1007)))</f>
        <v/>
      </c>
      <c r="AI72" s="111" t="str">
        <f t="shared" si="20"/>
        <v/>
      </c>
      <c r="AJ72" s="111" t="str">
        <f t="shared" si="21"/>
        <v/>
      </c>
      <c r="AK72" s="112" t="str">
        <f t="shared" si="22"/>
        <v/>
      </c>
      <c r="AL72" t="str">
        <f t="shared" si="23"/>
        <v/>
      </c>
      <c r="AM72" t="str">
        <f t="shared" si="24"/>
        <v/>
      </c>
    </row>
    <row r="73" spans="1:39" ht="15" customHeight="1" x14ac:dyDescent="0.25">
      <c r="A73" s="131"/>
      <c r="B73" s="133"/>
      <c r="C73" s="133"/>
      <c r="D73" s="42" t="str">
        <f t="shared" si="27"/>
        <v/>
      </c>
      <c r="E73" s="43"/>
      <c r="F73" s="135"/>
      <c r="G73" s="77" t="str">
        <f t="shared" si="28"/>
        <v/>
      </c>
      <c r="H73" s="32" t="str">
        <f t="shared" si="29"/>
        <v/>
      </c>
      <c r="I73" s="78" t="str">
        <f t="shared" si="30"/>
        <v/>
      </c>
      <c r="J73" s="70" t="str">
        <f t="shared" si="31"/>
        <v/>
      </c>
      <c r="K73" s="135"/>
      <c r="L73" s="72" t="str">
        <f t="shared" si="32"/>
        <v/>
      </c>
      <c r="M73" s="135"/>
      <c r="N73" s="72" t="str">
        <f t="shared" si="33"/>
        <v/>
      </c>
      <c r="O73" s="135"/>
      <c r="P73" s="136"/>
      <c r="Q73" s="123" t="str">
        <f t="shared" si="34"/>
        <v/>
      </c>
      <c r="R73" s="45" t="str">
        <f t="shared" si="35"/>
        <v/>
      </c>
      <c r="S73" s="137"/>
      <c r="T73" s="79" t="str">
        <f t="shared" ref="T73:T136" si="44">IF(A73="","",IF(OR(B73=0,B73="",C73&lt;=0,D73+E73&lt;=0),"",((F73+H73)*B73+(H73/C73)*E73-R73)/(D73+E73)-IF(Z73&gt;=0,Z73/D73,0)+IF(ISNUMBER(AA73),AA73/(D73+E73),0)))</f>
        <v/>
      </c>
      <c r="U73" s="79" t="str">
        <f t="shared" si="36"/>
        <v/>
      </c>
      <c r="V73" s="73" t="str">
        <f t="shared" si="37"/>
        <v/>
      </c>
      <c r="W73" s="80" t="str">
        <f t="shared" si="38"/>
        <v/>
      </c>
      <c r="X73" s="73" t="str">
        <f t="shared" si="39"/>
        <v/>
      </c>
      <c r="Y73" s="80" t="str">
        <f t="shared" si="40"/>
        <v/>
      </c>
      <c r="Z73" s="74" t="str">
        <f t="shared" si="41"/>
        <v/>
      </c>
      <c r="AA73" s="75" t="str">
        <f t="shared" ref="AA73:AA136" si="45">IF(OR(J73="",J73=0,($G$3-$I$4)=0),"",($K$3/($G$3-$I$4))*(J73-R73))</f>
        <v/>
      </c>
      <c r="AB73" s="103" t="str">
        <f t="shared" si="42"/>
        <v/>
      </c>
      <c r="AC73" s="104" t="str">
        <f t="shared" si="26"/>
        <v/>
      </c>
      <c r="AE73" s="139"/>
      <c r="AF73" s="110" t="str">
        <f t="shared" ref="AF73:AF136" si="46">IF(AE73="","",T73)</f>
        <v/>
      </c>
      <c r="AG73" s="111" t="str">
        <f t="shared" ref="AG73:AG136" si="47">IF(OR(AE73="",AF73=""),"",AE73*AF73)</f>
        <v/>
      </c>
      <c r="AH73" s="111" t="str">
        <f t="shared" si="43"/>
        <v/>
      </c>
      <c r="AI73" s="111" t="str">
        <f t="shared" ref="AI73:AI136" si="48">IF(AG73="","",AG73-AH73)</f>
        <v/>
      </c>
      <c r="AJ73" s="111" t="str">
        <f t="shared" ref="AJ73:AJ136" si="49">IF(AI73="","",AK73-AI73)</f>
        <v/>
      </c>
      <c r="AK73" s="112" t="str">
        <f t="shared" ref="AK73:AK136" si="50">IF(AI73="","",ROUND(AI73,0))</f>
        <v/>
      </c>
      <c r="AL73" t="str">
        <f t="shared" ref="AL73:AL136" si="51">IF(OR(AE73=0,AE73=""),"",AH73/AE73)</f>
        <v/>
      </c>
      <c r="AM73" t="str">
        <f t="shared" ref="AM73:AM136" si="52">IF(OR(AE73=0,AE73=""),"",AF73*C73)</f>
        <v/>
      </c>
    </row>
    <row r="74" spans="1:39" ht="15" customHeight="1" x14ac:dyDescent="0.25">
      <c r="A74" s="131"/>
      <c r="B74" s="133"/>
      <c r="C74" s="133"/>
      <c r="D74" s="42" t="str">
        <f t="shared" si="27"/>
        <v/>
      </c>
      <c r="E74" s="43"/>
      <c r="F74" s="135"/>
      <c r="G74" s="77" t="str">
        <f t="shared" si="28"/>
        <v/>
      </c>
      <c r="H74" s="32" t="str">
        <f t="shared" si="29"/>
        <v/>
      </c>
      <c r="I74" s="78" t="str">
        <f t="shared" si="30"/>
        <v/>
      </c>
      <c r="J74" s="70" t="str">
        <f t="shared" si="31"/>
        <v/>
      </c>
      <c r="K74" s="135"/>
      <c r="L74" s="72" t="str">
        <f t="shared" si="32"/>
        <v/>
      </c>
      <c r="M74" s="135"/>
      <c r="N74" s="72" t="str">
        <f t="shared" si="33"/>
        <v/>
      </c>
      <c r="O74" s="135"/>
      <c r="P74" s="136"/>
      <c r="Q74" s="123" t="str">
        <f t="shared" si="34"/>
        <v/>
      </c>
      <c r="R74" s="45" t="str">
        <f t="shared" si="35"/>
        <v/>
      </c>
      <c r="S74" s="137"/>
      <c r="T74" s="79" t="str">
        <f t="shared" si="44"/>
        <v/>
      </c>
      <c r="U74" s="79" t="str">
        <f t="shared" si="36"/>
        <v/>
      </c>
      <c r="V74" s="73" t="str">
        <f t="shared" si="37"/>
        <v/>
      </c>
      <c r="W74" s="80" t="str">
        <f t="shared" si="38"/>
        <v/>
      </c>
      <c r="X74" s="73" t="str">
        <f t="shared" si="39"/>
        <v/>
      </c>
      <c r="Y74" s="80" t="str">
        <f t="shared" si="40"/>
        <v/>
      </c>
      <c r="Z74" s="74" t="str">
        <f t="shared" si="41"/>
        <v/>
      </c>
      <c r="AA74" s="75" t="str">
        <f t="shared" si="45"/>
        <v/>
      </c>
      <c r="AB74" s="103" t="str">
        <f t="shared" si="42"/>
        <v/>
      </c>
      <c r="AC74" s="104" t="str">
        <f t="shared" ref="AC74:AC137" si="53">IF(OR(A74="",J74="",C74&lt;=0, B74=0),"",J74+H74*B74+(H74/C74)*E74)</f>
        <v/>
      </c>
      <c r="AE74" s="139"/>
      <c r="AF74" s="110" t="str">
        <f t="shared" si="46"/>
        <v/>
      </c>
      <c r="AG74" s="111" t="str">
        <f t="shared" si="47"/>
        <v/>
      </c>
      <c r="AH74" s="111" t="str">
        <f t="shared" si="43"/>
        <v/>
      </c>
      <c r="AI74" s="111" t="str">
        <f t="shared" si="48"/>
        <v/>
      </c>
      <c r="AJ74" s="111" t="str">
        <f t="shared" si="49"/>
        <v/>
      </c>
      <c r="AK74" s="112" t="str">
        <f t="shared" si="50"/>
        <v/>
      </c>
      <c r="AL74" t="str">
        <f t="shared" si="51"/>
        <v/>
      </c>
      <c r="AM74" t="str">
        <f t="shared" si="52"/>
        <v/>
      </c>
    </row>
    <row r="75" spans="1:39" ht="15" customHeight="1" x14ac:dyDescent="0.25">
      <c r="A75" s="131"/>
      <c r="B75" s="133"/>
      <c r="C75" s="133"/>
      <c r="D75" s="42" t="str">
        <f t="shared" si="27"/>
        <v/>
      </c>
      <c r="E75" s="43"/>
      <c r="F75" s="135"/>
      <c r="G75" s="77" t="str">
        <f t="shared" si="28"/>
        <v/>
      </c>
      <c r="H75" s="32" t="str">
        <f t="shared" si="29"/>
        <v/>
      </c>
      <c r="I75" s="78" t="str">
        <f t="shared" si="30"/>
        <v/>
      </c>
      <c r="J75" s="70" t="str">
        <f t="shared" si="31"/>
        <v/>
      </c>
      <c r="K75" s="135"/>
      <c r="L75" s="72" t="str">
        <f t="shared" si="32"/>
        <v/>
      </c>
      <c r="M75" s="135"/>
      <c r="N75" s="72" t="str">
        <f t="shared" si="33"/>
        <v/>
      </c>
      <c r="O75" s="135"/>
      <c r="P75" s="136"/>
      <c r="Q75" s="123" t="str">
        <f t="shared" si="34"/>
        <v/>
      </c>
      <c r="R75" s="45" t="str">
        <f t="shared" si="35"/>
        <v/>
      </c>
      <c r="S75" s="137"/>
      <c r="T75" s="79" t="str">
        <f t="shared" si="44"/>
        <v/>
      </c>
      <c r="U75" s="79" t="str">
        <f t="shared" si="36"/>
        <v/>
      </c>
      <c r="V75" s="73" t="str">
        <f t="shared" si="37"/>
        <v/>
      </c>
      <c r="W75" s="80" t="str">
        <f t="shared" si="38"/>
        <v/>
      </c>
      <c r="X75" s="73" t="str">
        <f t="shared" si="39"/>
        <v/>
      </c>
      <c r="Y75" s="80" t="str">
        <f t="shared" si="40"/>
        <v/>
      </c>
      <c r="Z75" s="74" t="str">
        <f t="shared" si="41"/>
        <v/>
      </c>
      <c r="AA75" s="75" t="str">
        <f t="shared" si="45"/>
        <v/>
      </c>
      <c r="AB75" s="103" t="str">
        <f t="shared" si="42"/>
        <v/>
      </c>
      <c r="AC75" s="104" t="str">
        <f t="shared" si="53"/>
        <v/>
      </c>
      <c r="AE75" s="139"/>
      <c r="AF75" s="110" t="str">
        <f t="shared" si="46"/>
        <v/>
      </c>
      <c r="AG75" s="111" t="str">
        <f t="shared" si="47"/>
        <v/>
      </c>
      <c r="AH75" s="111" t="str">
        <f t="shared" si="43"/>
        <v/>
      </c>
      <c r="AI75" s="111" t="str">
        <f t="shared" si="48"/>
        <v/>
      </c>
      <c r="AJ75" s="111" t="str">
        <f t="shared" si="49"/>
        <v/>
      </c>
      <c r="AK75" s="112" t="str">
        <f t="shared" si="50"/>
        <v/>
      </c>
      <c r="AL75" t="str">
        <f t="shared" si="51"/>
        <v/>
      </c>
      <c r="AM75" t="str">
        <f t="shared" si="52"/>
        <v/>
      </c>
    </row>
    <row r="76" spans="1:39" ht="15" customHeight="1" x14ac:dyDescent="0.25">
      <c r="A76" s="131"/>
      <c r="B76" s="133"/>
      <c r="C76" s="133"/>
      <c r="D76" s="42" t="str">
        <f t="shared" si="27"/>
        <v/>
      </c>
      <c r="E76" s="43"/>
      <c r="F76" s="135"/>
      <c r="G76" s="77" t="str">
        <f t="shared" si="28"/>
        <v/>
      </c>
      <c r="H76" s="32" t="str">
        <f t="shared" si="29"/>
        <v/>
      </c>
      <c r="I76" s="78" t="str">
        <f t="shared" si="30"/>
        <v/>
      </c>
      <c r="J76" s="70" t="str">
        <f t="shared" si="31"/>
        <v/>
      </c>
      <c r="K76" s="135"/>
      <c r="L76" s="72" t="str">
        <f t="shared" si="32"/>
        <v/>
      </c>
      <c r="M76" s="135"/>
      <c r="N76" s="72" t="str">
        <f t="shared" si="33"/>
        <v/>
      </c>
      <c r="O76" s="135"/>
      <c r="P76" s="136"/>
      <c r="Q76" s="123" t="str">
        <f t="shared" si="34"/>
        <v/>
      </c>
      <c r="R76" s="45" t="str">
        <f t="shared" si="35"/>
        <v/>
      </c>
      <c r="S76" s="137"/>
      <c r="T76" s="79" t="str">
        <f t="shared" si="44"/>
        <v/>
      </c>
      <c r="U76" s="79" t="str">
        <f t="shared" si="36"/>
        <v/>
      </c>
      <c r="V76" s="73" t="str">
        <f t="shared" si="37"/>
        <v/>
      </c>
      <c r="W76" s="80" t="str">
        <f t="shared" si="38"/>
        <v/>
      </c>
      <c r="X76" s="73" t="str">
        <f t="shared" si="39"/>
        <v/>
      </c>
      <c r="Y76" s="80" t="str">
        <f t="shared" si="40"/>
        <v/>
      </c>
      <c r="Z76" s="74" t="str">
        <f t="shared" si="41"/>
        <v/>
      </c>
      <c r="AA76" s="75" t="str">
        <f t="shared" si="45"/>
        <v/>
      </c>
      <c r="AB76" s="103" t="str">
        <f t="shared" si="42"/>
        <v/>
      </c>
      <c r="AC76" s="104" t="str">
        <f t="shared" si="53"/>
        <v/>
      </c>
      <c r="AE76" s="139"/>
      <c r="AF76" s="110" t="str">
        <f t="shared" si="46"/>
        <v/>
      </c>
      <c r="AG76" s="111" t="str">
        <f t="shared" si="47"/>
        <v/>
      </c>
      <c r="AH76" s="111" t="str">
        <f t="shared" si="43"/>
        <v/>
      </c>
      <c r="AI76" s="111" t="str">
        <f t="shared" si="48"/>
        <v/>
      </c>
      <c r="AJ76" s="111" t="str">
        <f t="shared" si="49"/>
        <v/>
      </c>
      <c r="AK76" s="112" t="str">
        <f t="shared" si="50"/>
        <v/>
      </c>
      <c r="AL76" t="str">
        <f t="shared" si="51"/>
        <v/>
      </c>
      <c r="AM76" t="str">
        <f t="shared" si="52"/>
        <v/>
      </c>
    </row>
    <row r="77" spans="1:39" ht="15" customHeight="1" x14ac:dyDescent="0.25">
      <c r="A77" s="131"/>
      <c r="B77" s="133"/>
      <c r="C77" s="133"/>
      <c r="D77" s="42" t="str">
        <f t="shared" si="27"/>
        <v/>
      </c>
      <c r="E77" s="43"/>
      <c r="F77" s="135"/>
      <c r="G77" s="77" t="str">
        <f t="shared" si="28"/>
        <v/>
      </c>
      <c r="H77" s="32" t="str">
        <f t="shared" si="29"/>
        <v/>
      </c>
      <c r="I77" s="78" t="str">
        <f t="shared" si="30"/>
        <v/>
      </c>
      <c r="J77" s="70" t="str">
        <f t="shared" si="31"/>
        <v/>
      </c>
      <c r="K77" s="135"/>
      <c r="L77" s="72" t="str">
        <f t="shared" si="32"/>
        <v/>
      </c>
      <c r="M77" s="135"/>
      <c r="N77" s="72" t="str">
        <f t="shared" si="33"/>
        <v/>
      </c>
      <c r="O77" s="135"/>
      <c r="P77" s="136"/>
      <c r="Q77" s="123" t="str">
        <f t="shared" si="34"/>
        <v/>
      </c>
      <c r="R77" s="45" t="str">
        <f t="shared" si="35"/>
        <v/>
      </c>
      <c r="S77" s="137"/>
      <c r="T77" s="79" t="str">
        <f t="shared" si="44"/>
        <v/>
      </c>
      <c r="U77" s="79" t="str">
        <f t="shared" si="36"/>
        <v/>
      </c>
      <c r="V77" s="73" t="str">
        <f t="shared" si="37"/>
        <v/>
      </c>
      <c r="W77" s="80" t="str">
        <f t="shared" si="38"/>
        <v/>
      </c>
      <c r="X77" s="73" t="str">
        <f t="shared" si="39"/>
        <v/>
      </c>
      <c r="Y77" s="80" t="str">
        <f t="shared" si="40"/>
        <v/>
      </c>
      <c r="Z77" s="74" t="str">
        <f t="shared" si="41"/>
        <v/>
      </c>
      <c r="AA77" s="75" t="str">
        <f t="shared" si="45"/>
        <v/>
      </c>
      <c r="AB77" s="103" t="str">
        <f t="shared" si="42"/>
        <v/>
      </c>
      <c r="AC77" s="104" t="str">
        <f t="shared" si="53"/>
        <v/>
      </c>
      <c r="AE77" s="139"/>
      <c r="AF77" s="110" t="str">
        <f t="shared" si="46"/>
        <v/>
      </c>
      <c r="AG77" s="111" t="str">
        <f t="shared" si="47"/>
        <v/>
      </c>
      <c r="AH77" s="111" t="str">
        <f t="shared" si="43"/>
        <v/>
      </c>
      <c r="AI77" s="111" t="str">
        <f t="shared" si="48"/>
        <v/>
      </c>
      <c r="AJ77" s="111" t="str">
        <f t="shared" si="49"/>
        <v/>
      </c>
      <c r="AK77" s="112" t="str">
        <f t="shared" si="50"/>
        <v/>
      </c>
      <c r="AL77" t="str">
        <f t="shared" si="51"/>
        <v/>
      </c>
      <c r="AM77" t="str">
        <f t="shared" si="52"/>
        <v/>
      </c>
    </row>
    <row r="78" spans="1:39" ht="15" customHeight="1" x14ac:dyDescent="0.25">
      <c r="A78" s="131"/>
      <c r="B78" s="133"/>
      <c r="C78" s="133"/>
      <c r="D78" s="42" t="str">
        <f t="shared" si="27"/>
        <v/>
      </c>
      <c r="E78" s="43"/>
      <c r="F78" s="135"/>
      <c r="G78" s="77" t="str">
        <f t="shared" si="28"/>
        <v/>
      </c>
      <c r="H78" s="32" t="str">
        <f t="shared" si="29"/>
        <v/>
      </c>
      <c r="I78" s="78" t="str">
        <f t="shared" si="30"/>
        <v/>
      </c>
      <c r="J78" s="70" t="str">
        <f t="shared" si="31"/>
        <v/>
      </c>
      <c r="K78" s="135"/>
      <c r="L78" s="72" t="str">
        <f t="shared" si="32"/>
        <v/>
      </c>
      <c r="M78" s="135"/>
      <c r="N78" s="72" t="str">
        <f t="shared" si="33"/>
        <v/>
      </c>
      <c r="O78" s="135"/>
      <c r="P78" s="136"/>
      <c r="Q78" s="123" t="str">
        <f t="shared" si="34"/>
        <v/>
      </c>
      <c r="R78" s="45" t="str">
        <f t="shared" si="35"/>
        <v/>
      </c>
      <c r="S78" s="137"/>
      <c r="T78" s="79" t="str">
        <f t="shared" si="44"/>
        <v/>
      </c>
      <c r="U78" s="79" t="str">
        <f t="shared" si="36"/>
        <v/>
      </c>
      <c r="V78" s="73" t="str">
        <f t="shared" si="37"/>
        <v/>
      </c>
      <c r="W78" s="80" t="str">
        <f t="shared" si="38"/>
        <v/>
      </c>
      <c r="X78" s="73" t="str">
        <f t="shared" si="39"/>
        <v/>
      </c>
      <c r="Y78" s="80" t="str">
        <f t="shared" si="40"/>
        <v/>
      </c>
      <c r="Z78" s="74" t="str">
        <f t="shared" si="41"/>
        <v/>
      </c>
      <c r="AA78" s="75" t="str">
        <f t="shared" si="45"/>
        <v/>
      </c>
      <c r="AB78" s="103" t="str">
        <f t="shared" si="42"/>
        <v/>
      </c>
      <c r="AC78" s="104" t="str">
        <f t="shared" si="53"/>
        <v/>
      </c>
      <c r="AE78" s="139"/>
      <c r="AF78" s="110" t="str">
        <f t="shared" si="46"/>
        <v/>
      </c>
      <c r="AG78" s="111" t="str">
        <f t="shared" si="47"/>
        <v/>
      </c>
      <c r="AH78" s="111" t="str">
        <f t="shared" si="43"/>
        <v/>
      </c>
      <c r="AI78" s="111" t="str">
        <f t="shared" si="48"/>
        <v/>
      </c>
      <c r="AJ78" s="111" t="str">
        <f t="shared" si="49"/>
        <v/>
      </c>
      <c r="AK78" s="112" t="str">
        <f t="shared" si="50"/>
        <v/>
      </c>
      <c r="AL78" t="str">
        <f t="shared" si="51"/>
        <v/>
      </c>
      <c r="AM78" t="str">
        <f t="shared" si="52"/>
        <v/>
      </c>
    </row>
    <row r="79" spans="1:39" ht="15" customHeight="1" x14ac:dyDescent="0.25">
      <c r="A79" s="131"/>
      <c r="B79" s="133"/>
      <c r="C79" s="133"/>
      <c r="D79" s="42" t="str">
        <f t="shared" si="27"/>
        <v/>
      </c>
      <c r="E79" s="43"/>
      <c r="F79" s="135"/>
      <c r="G79" s="77" t="str">
        <f t="shared" si="28"/>
        <v/>
      </c>
      <c r="H79" s="32" t="str">
        <f t="shared" si="29"/>
        <v/>
      </c>
      <c r="I79" s="78" t="str">
        <f t="shared" si="30"/>
        <v/>
      </c>
      <c r="J79" s="70" t="str">
        <f t="shared" si="31"/>
        <v/>
      </c>
      <c r="K79" s="135"/>
      <c r="L79" s="72" t="str">
        <f t="shared" si="32"/>
        <v/>
      </c>
      <c r="M79" s="135"/>
      <c r="N79" s="72" t="str">
        <f t="shared" si="33"/>
        <v/>
      </c>
      <c r="O79" s="135"/>
      <c r="P79" s="136"/>
      <c r="Q79" s="123" t="str">
        <f t="shared" si="34"/>
        <v/>
      </c>
      <c r="R79" s="45" t="str">
        <f t="shared" si="35"/>
        <v/>
      </c>
      <c r="S79" s="137"/>
      <c r="T79" s="79" t="str">
        <f t="shared" si="44"/>
        <v/>
      </c>
      <c r="U79" s="79" t="str">
        <f t="shared" si="36"/>
        <v/>
      </c>
      <c r="V79" s="73" t="str">
        <f t="shared" si="37"/>
        <v/>
      </c>
      <c r="W79" s="80" t="str">
        <f t="shared" si="38"/>
        <v/>
      </c>
      <c r="X79" s="73" t="str">
        <f t="shared" si="39"/>
        <v/>
      </c>
      <c r="Y79" s="80" t="str">
        <f t="shared" si="40"/>
        <v/>
      </c>
      <c r="Z79" s="74" t="str">
        <f t="shared" si="41"/>
        <v/>
      </c>
      <c r="AA79" s="75" t="str">
        <f t="shared" si="45"/>
        <v/>
      </c>
      <c r="AB79" s="103" t="str">
        <f t="shared" si="42"/>
        <v/>
      </c>
      <c r="AC79" s="104" t="str">
        <f t="shared" si="53"/>
        <v/>
      </c>
      <c r="AE79" s="139"/>
      <c r="AF79" s="110" t="str">
        <f t="shared" si="46"/>
        <v/>
      </c>
      <c r="AG79" s="111" t="str">
        <f t="shared" si="47"/>
        <v/>
      </c>
      <c r="AH79" s="111" t="str">
        <f t="shared" si="43"/>
        <v/>
      </c>
      <c r="AI79" s="111" t="str">
        <f t="shared" si="48"/>
        <v/>
      </c>
      <c r="AJ79" s="111" t="str">
        <f t="shared" si="49"/>
        <v/>
      </c>
      <c r="AK79" s="112" t="str">
        <f t="shared" si="50"/>
        <v/>
      </c>
      <c r="AL79" t="str">
        <f t="shared" si="51"/>
        <v/>
      </c>
      <c r="AM79" t="str">
        <f t="shared" si="52"/>
        <v/>
      </c>
    </row>
    <row r="80" spans="1:39" ht="15" customHeight="1" x14ac:dyDescent="0.25">
      <c r="A80" s="131"/>
      <c r="B80" s="133"/>
      <c r="C80" s="133"/>
      <c r="D80" s="42" t="str">
        <f t="shared" si="27"/>
        <v/>
      </c>
      <c r="E80" s="43"/>
      <c r="F80" s="135"/>
      <c r="G80" s="77" t="str">
        <f t="shared" si="28"/>
        <v/>
      </c>
      <c r="H80" s="32" t="str">
        <f t="shared" si="29"/>
        <v/>
      </c>
      <c r="I80" s="78" t="str">
        <f t="shared" si="30"/>
        <v/>
      </c>
      <c r="J80" s="70" t="str">
        <f t="shared" si="31"/>
        <v/>
      </c>
      <c r="K80" s="135"/>
      <c r="L80" s="72" t="str">
        <f t="shared" si="32"/>
        <v/>
      </c>
      <c r="M80" s="135"/>
      <c r="N80" s="72" t="str">
        <f t="shared" si="33"/>
        <v/>
      </c>
      <c r="O80" s="135"/>
      <c r="P80" s="136"/>
      <c r="Q80" s="123" t="str">
        <f t="shared" si="34"/>
        <v/>
      </c>
      <c r="R80" s="45" t="str">
        <f t="shared" si="35"/>
        <v/>
      </c>
      <c r="S80" s="137"/>
      <c r="T80" s="79" t="str">
        <f t="shared" si="44"/>
        <v/>
      </c>
      <c r="U80" s="79" t="str">
        <f t="shared" si="36"/>
        <v/>
      </c>
      <c r="V80" s="73" t="str">
        <f t="shared" si="37"/>
        <v/>
      </c>
      <c r="W80" s="80" t="str">
        <f t="shared" si="38"/>
        <v/>
      </c>
      <c r="X80" s="73" t="str">
        <f t="shared" si="39"/>
        <v/>
      </c>
      <c r="Y80" s="80" t="str">
        <f t="shared" si="40"/>
        <v/>
      </c>
      <c r="Z80" s="74" t="str">
        <f t="shared" si="41"/>
        <v/>
      </c>
      <c r="AA80" s="75" t="str">
        <f t="shared" si="45"/>
        <v/>
      </c>
      <c r="AB80" s="103" t="str">
        <f t="shared" si="42"/>
        <v/>
      </c>
      <c r="AC80" s="104" t="str">
        <f t="shared" si="53"/>
        <v/>
      </c>
      <c r="AE80" s="139"/>
      <c r="AF80" s="110" t="str">
        <f t="shared" si="46"/>
        <v/>
      </c>
      <c r="AG80" s="111" t="str">
        <f t="shared" si="47"/>
        <v/>
      </c>
      <c r="AH80" s="111" t="str">
        <f t="shared" si="43"/>
        <v/>
      </c>
      <c r="AI80" s="111" t="str">
        <f t="shared" si="48"/>
        <v/>
      </c>
      <c r="AJ80" s="111" t="str">
        <f t="shared" si="49"/>
        <v/>
      </c>
      <c r="AK80" s="112" t="str">
        <f t="shared" si="50"/>
        <v/>
      </c>
      <c r="AL80" t="str">
        <f t="shared" si="51"/>
        <v/>
      </c>
      <c r="AM80" t="str">
        <f t="shared" si="52"/>
        <v/>
      </c>
    </row>
    <row r="81" spans="1:39" ht="15" customHeight="1" x14ac:dyDescent="0.25">
      <c r="A81" s="131"/>
      <c r="B81" s="133"/>
      <c r="C81" s="133"/>
      <c r="D81" s="42" t="str">
        <f t="shared" si="27"/>
        <v/>
      </c>
      <c r="E81" s="43"/>
      <c r="F81" s="135"/>
      <c r="G81" s="77" t="str">
        <f t="shared" si="28"/>
        <v/>
      </c>
      <c r="H81" s="32" t="str">
        <f t="shared" si="29"/>
        <v/>
      </c>
      <c r="I81" s="78" t="str">
        <f t="shared" si="30"/>
        <v/>
      </c>
      <c r="J81" s="70" t="str">
        <f t="shared" si="31"/>
        <v/>
      </c>
      <c r="K81" s="135"/>
      <c r="L81" s="72" t="str">
        <f t="shared" si="32"/>
        <v/>
      </c>
      <c r="M81" s="135"/>
      <c r="N81" s="72" t="str">
        <f t="shared" si="33"/>
        <v/>
      </c>
      <c r="O81" s="135"/>
      <c r="P81" s="136"/>
      <c r="Q81" s="123" t="str">
        <f t="shared" si="34"/>
        <v/>
      </c>
      <c r="R81" s="45" t="str">
        <f t="shared" si="35"/>
        <v/>
      </c>
      <c r="S81" s="137"/>
      <c r="T81" s="79" t="str">
        <f t="shared" si="44"/>
        <v/>
      </c>
      <c r="U81" s="79" t="str">
        <f t="shared" si="36"/>
        <v/>
      </c>
      <c r="V81" s="73" t="str">
        <f t="shared" si="37"/>
        <v/>
      </c>
      <c r="W81" s="80" t="str">
        <f t="shared" si="38"/>
        <v/>
      </c>
      <c r="X81" s="73" t="str">
        <f t="shared" si="39"/>
        <v/>
      </c>
      <c r="Y81" s="80" t="str">
        <f t="shared" si="40"/>
        <v/>
      </c>
      <c r="Z81" s="74" t="str">
        <f t="shared" si="41"/>
        <v/>
      </c>
      <c r="AA81" s="75" t="str">
        <f t="shared" si="45"/>
        <v/>
      </c>
      <c r="AB81" s="103" t="str">
        <f t="shared" si="42"/>
        <v/>
      </c>
      <c r="AC81" s="104" t="str">
        <f t="shared" si="53"/>
        <v/>
      </c>
      <c r="AE81" s="139"/>
      <c r="AF81" s="110" t="str">
        <f t="shared" si="46"/>
        <v/>
      </c>
      <c r="AG81" s="111" t="str">
        <f t="shared" si="47"/>
        <v/>
      </c>
      <c r="AH81" s="111" t="str">
        <f t="shared" si="43"/>
        <v/>
      </c>
      <c r="AI81" s="111" t="str">
        <f t="shared" si="48"/>
        <v/>
      </c>
      <c r="AJ81" s="111" t="str">
        <f t="shared" si="49"/>
        <v/>
      </c>
      <c r="AK81" s="112" t="str">
        <f t="shared" si="50"/>
        <v/>
      </c>
      <c r="AL81" t="str">
        <f t="shared" si="51"/>
        <v/>
      </c>
      <c r="AM81" t="str">
        <f t="shared" si="52"/>
        <v/>
      </c>
    </row>
    <row r="82" spans="1:39" ht="15" customHeight="1" x14ac:dyDescent="0.25">
      <c r="A82" s="131"/>
      <c r="B82" s="133"/>
      <c r="C82" s="133"/>
      <c r="D82" s="42" t="str">
        <f t="shared" si="27"/>
        <v/>
      </c>
      <c r="E82" s="43"/>
      <c r="F82" s="135"/>
      <c r="G82" s="77" t="str">
        <f t="shared" si="28"/>
        <v/>
      </c>
      <c r="H82" s="32" t="str">
        <f t="shared" si="29"/>
        <v/>
      </c>
      <c r="I82" s="78" t="str">
        <f t="shared" si="30"/>
        <v/>
      </c>
      <c r="J82" s="70" t="str">
        <f t="shared" si="31"/>
        <v/>
      </c>
      <c r="K82" s="135"/>
      <c r="L82" s="72" t="str">
        <f t="shared" si="32"/>
        <v/>
      </c>
      <c r="M82" s="135"/>
      <c r="N82" s="72" t="str">
        <f t="shared" si="33"/>
        <v/>
      </c>
      <c r="O82" s="135"/>
      <c r="P82" s="136"/>
      <c r="Q82" s="123" t="str">
        <f t="shared" si="34"/>
        <v/>
      </c>
      <c r="R82" s="45" t="str">
        <f t="shared" si="35"/>
        <v/>
      </c>
      <c r="S82" s="137"/>
      <c r="T82" s="79" t="str">
        <f t="shared" si="44"/>
        <v/>
      </c>
      <c r="U82" s="79" t="str">
        <f t="shared" si="36"/>
        <v/>
      </c>
      <c r="V82" s="73" t="str">
        <f t="shared" si="37"/>
        <v/>
      </c>
      <c r="W82" s="80" t="str">
        <f t="shared" si="38"/>
        <v/>
      </c>
      <c r="X82" s="73" t="str">
        <f t="shared" si="39"/>
        <v/>
      </c>
      <c r="Y82" s="80" t="str">
        <f t="shared" si="40"/>
        <v/>
      </c>
      <c r="Z82" s="74" t="str">
        <f t="shared" si="41"/>
        <v/>
      </c>
      <c r="AA82" s="75" t="str">
        <f t="shared" si="45"/>
        <v/>
      </c>
      <c r="AB82" s="103" t="str">
        <f t="shared" si="42"/>
        <v/>
      </c>
      <c r="AC82" s="104" t="str">
        <f t="shared" si="53"/>
        <v/>
      </c>
      <c r="AE82" s="139"/>
      <c r="AF82" s="110" t="str">
        <f t="shared" si="46"/>
        <v/>
      </c>
      <c r="AG82" s="111" t="str">
        <f t="shared" si="47"/>
        <v/>
      </c>
      <c r="AH82" s="111" t="str">
        <f t="shared" si="43"/>
        <v/>
      </c>
      <c r="AI82" s="111" t="str">
        <f t="shared" si="48"/>
        <v/>
      </c>
      <c r="AJ82" s="111" t="str">
        <f t="shared" si="49"/>
        <v/>
      </c>
      <c r="AK82" s="112" t="str">
        <f t="shared" si="50"/>
        <v/>
      </c>
      <c r="AL82" t="str">
        <f t="shared" si="51"/>
        <v/>
      </c>
      <c r="AM82" t="str">
        <f t="shared" si="52"/>
        <v/>
      </c>
    </row>
    <row r="83" spans="1:39" ht="15" customHeight="1" x14ac:dyDescent="0.25">
      <c r="A83" s="131"/>
      <c r="B83" s="133"/>
      <c r="C83" s="133"/>
      <c r="D83" s="42" t="str">
        <f t="shared" si="27"/>
        <v/>
      </c>
      <c r="E83" s="43"/>
      <c r="F83" s="135"/>
      <c r="G83" s="77" t="str">
        <f t="shared" si="28"/>
        <v/>
      </c>
      <c r="H83" s="32" t="str">
        <f t="shared" si="29"/>
        <v/>
      </c>
      <c r="I83" s="78" t="str">
        <f t="shared" si="30"/>
        <v/>
      </c>
      <c r="J83" s="70" t="str">
        <f t="shared" si="31"/>
        <v/>
      </c>
      <c r="K83" s="135"/>
      <c r="L83" s="72" t="str">
        <f t="shared" si="32"/>
        <v/>
      </c>
      <c r="M83" s="135"/>
      <c r="N83" s="72" t="str">
        <f t="shared" si="33"/>
        <v/>
      </c>
      <c r="O83" s="135"/>
      <c r="P83" s="136"/>
      <c r="Q83" s="123" t="str">
        <f t="shared" si="34"/>
        <v/>
      </c>
      <c r="R83" s="45" t="str">
        <f t="shared" si="35"/>
        <v/>
      </c>
      <c r="S83" s="137"/>
      <c r="T83" s="79" t="str">
        <f t="shared" si="44"/>
        <v/>
      </c>
      <c r="U83" s="79" t="str">
        <f t="shared" si="36"/>
        <v/>
      </c>
      <c r="V83" s="73" t="str">
        <f t="shared" si="37"/>
        <v/>
      </c>
      <c r="W83" s="80" t="str">
        <f t="shared" si="38"/>
        <v/>
      </c>
      <c r="X83" s="73" t="str">
        <f t="shared" si="39"/>
        <v/>
      </c>
      <c r="Y83" s="80" t="str">
        <f t="shared" si="40"/>
        <v/>
      </c>
      <c r="Z83" s="74" t="str">
        <f t="shared" si="41"/>
        <v/>
      </c>
      <c r="AA83" s="75" t="str">
        <f t="shared" si="45"/>
        <v/>
      </c>
      <c r="AB83" s="103" t="str">
        <f t="shared" si="42"/>
        <v/>
      </c>
      <c r="AC83" s="104" t="str">
        <f t="shared" si="53"/>
        <v/>
      </c>
      <c r="AE83" s="139"/>
      <c r="AF83" s="110" t="str">
        <f t="shared" si="46"/>
        <v/>
      </c>
      <c r="AG83" s="111" t="str">
        <f t="shared" si="47"/>
        <v/>
      </c>
      <c r="AH83" s="111" t="str">
        <f t="shared" si="43"/>
        <v/>
      </c>
      <c r="AI83" s="111" t="str">
        <f t="shared" si="48"/>
        <v/>
      </c>
      <c r="AJ83" s="111" t="str">
        <f t="shared" si="49"/>
        <v/>
      </c>
      <c r="AK83" s="112" t="str">
        <f t="shared" si="50"/>
        <v/>
      </c>
      <c r="AL83" t="str">
        <f t="shared" si="51"/>
        <v/>
      </c>
      <c r="AM83" t="str">
        <f t="shared" si="52"/>
        <v/>
      </c>
    </row>
    <row r="84" spans="1:39" ht="15" customHeight="1" x14ac:dyDescent="0.25">
      <c r="A84" s="131"/>
      <c r="B84" s="133"/>
      <c r="C84" s="133"/>
      <c r="D84" s="42" t="str">
        <f t="shared" si="27"/>
        <v/>
      </c>
      <c r="E84" s="43"/>
      <c r="F84" s="135"/>
      <c r="G84" s="77" t="str">
        <f t="shared" si="28"/>
        <v/>
      </c>
      <c r="H84" s="32" t="str">
        <f t="shared" si="29"/>
        <v/>
      </c>
      <c r="I84" s="78" t="str">
        <f t="shared" si="30"/>
        <v/>
      </c>
      <c r="J84" s="70" t="str">
        <f t="shared" si="31"/>
        <v/>
      </c>
      <c r="K84" s="135"/>
      <c r="L84" s="72" t="str">
        <f t="shared" si="32"/>
        <v/>
      </c>
      <c r="M84" s="135"/>
      <c r="N84" s="72" t="str">
        <f t="shared" si="33"/>
        <v/>
      </c>
      <c r="O84" s="135"/>
      <c r="P84" s="136"/>
      <c r="Q84" s="123" t="str">
        <f t="shared" si="34"/>
        <v/>
      </c>
      <c r="R84" s="45" t="str">
        <f t="shared" si="35"/>
        <v/>
      </c>
      <c r="S84" s="137"/>
      <c r="T84" s="79" t="str">
        <f t="shared" si="44"/>
        <v/>
      </c>
      <c r="U84" s="79" t="str">
        <f t="shared" si="36"/>
        <v/>
      </c>
      <c r="V84" s="73" t="str">
        <f t="shared" si="37"/>
        <v/>
      </c>
      <c r="W84" s="80" t="str">
        <f t="shared" si="38"/>
        <v/>
      </c>
      <c r="X84" s="73" t="str">
        <f t="shared" si="39"/>
        <v/>
      </c>
      <c r="Y84" s="80" t="str">
        <f t="shared" si="40"/>
        <v/>
      </c>
      <c r="Z84" s="74" t="str">
        <f t="shared" si="41"/>
        <v/>
      </c>
      <c r="AA84" s="75" t="str">
        <f t="shared" si="45"/>
        <v/>
      </c>
      <c r="AB84" s="103" t="str">
        <f t="shared" si="42"/>
        <v/>
      </c>
      <c r="AC84" s="104" t="str">
        <f t="shared" si="53"/>
        <v/>
      </c>
      <c r="AE84" s="139"/>
      <c r="AF84" s="110" t="str">
        <f t="shared" si="46"/>
        <v/>
      </c>
      <c r="AG84" s="111" t="str">
        <f t="shared" si="47"/>
        <v/>
      </c>
      <c r="AH84" s="111" t="str">
        <f t="shared" si="43"/>
        <v/>
      </c>
      <c r="AI84" s="111" t="str">
        <f t="shared" si="48"/>
        <v/>
      </c>
      <c r="AJ84" s="111" t="str">
        <f t="shared" si="49"/>
        <v/>
      </c>
      <c r="AK84" s="112" t="str">
        <f t="shared" si="50"/>
        <v/>
      </c>
      <c r="AL84" t="str">
        <f t="shared" si="51"/>
        <v/>
      </c>
      <c r="AM84" t="str">
        <f t="shared" si="52"/>
        <v/>
      </c>
    </row>
    <row r="85" spans="1:39" ht="15" customHeight="1" x14ac:dyDescent="0.25">
      <c r="A85" s="131"/>
      <c r="B85" s="133"/>
      <c r="C85" s="133"/>
      <c r="D85" s="42" t="str">
        <f t="shared" si="27"/>
        <v/>
      </c>
      <c r="E85" s="43"/>
      <c r="F85" s="135"/>
      <c r="G85" s="77" t="str">
        <f t="shared" si="28"/>
        <v/>
      </c>
      <c r="H85" s="32" t="str">
        <f t="shared" si="29"/>
        <v/>
      </c>
      <c r="I85" s="78" t="str">
        <f t="shared" si="30"/>
        <v/>
      </c>
      <c r="J85" s="70" t="str">
        <f t="shared" si="31"/>
        <v/>
      </c>
      <c r="K85" s="135"/>
      <c r="L85" s="72" t="str">
        <f t="shared" si="32"/>
        <v/>
      </c>
      <c r="M85" s="135"/>
      <c r="N85" s="72" t="str">
        <f t="shared" si="33"/>
        <v/>
      </c>
      <c r="O85" s="135"/>
      <c r="P85" s="136"/>
      <c r="Q85" s="123" t="str">
        <f t="shared" si="34"/>
        <v/>
      </c>
      <c r="R85" s="45" t="str">
        <f t="shared" si="35"/>
        <v/>
      </c>
      <c r="S85" s="137"/>
      <c r="T85" s="79" t="str">
        <f t="shared" si="44"/>
        <v/>
      </c>
      <c r="U85" s="79" t="str">
        <f t="shared" si="36"/>
        <v/>
      </c>
      <c r="V85" s="73" t="str">
        <f t="shared" si="37"/>
        <v/>
      </c>
      <c r="W85" s="80" t="str">
        <f t="shared" si="38"/>
        <v/>
      </c>
      <c r="X85" s="73" t="str">
        <f t="shared" si="39"/>
        <v/>
      </c>
      <c r="Y85" s="80" t="str">
        <f t="shared" si="40"/>
        <v/>
      </c>
      <c r="Z85" s="74" t="str">
        <f t="shared" si="41"/>
        <v/>
      </c>
      <c r="AA85" s="75" t="str">
        <f t="shared" si="45"/>
        <v/>
      </c>
      <c r="AB85" s="103" t="str">
        <f t="shared" si="42"/>
        <v/>
      </c>
      <c r="AC85" s="104" t="str">
        <f t="shared" si="53"/>
        <v/>
      </c>
      <c r="AE85" s="139"/>
      <c r="AF85" s="110" t="str">
        <f t="shared" si="46"/>
        <v/>
      </c>
      <c r="AG85" s="111" t="str">
        <f t="shared" si="47"/>
        <v/>
      </c>
      <c r="AH85" s="111" t="str">
        <f t="shared" si="43"/>
        <v/>
      </c>
      <c r="AI85" s="111" t="str">
        <f t="shared" si="48"/>
        <v/>
      </c>
      <c r="AJ85" s="111" t="str">
        <f t="shared" si="49"/>
        <v/>
      </c>
      <c r="AK85" s="112" t="str">
        <f t="shared" si="50"/>
        <v/>
      </c>
      <c r="AL85" t="str">
        <f t="shared" si="51"/>
        <v/>
      </c>
      <c r="AM85" t="str">
        <f t="shared" si="52"/>
        <v/>
      </c>
    </row>
    <row r="86" spans="1:39" ht="15" customHeight="1" x14ac:dyDescent="0.25">
      <c r="A86" s="131"/>
      <c r="B86" s="133"/>
      <c r="C86" s="133"/>
      <c r="D86" s="42" t="str">
        <f t="shared" si="27"/>
        <v/>
      </c>
      <c r="E86" s="43"/>
      <c r="F86" s="135"/>
      <c r="G86" s="77" t="str">
        <f t="shared" si="28"/>
        <v/>
      </c>
      <c r="H86" s="32" t="str">
        <f t="shared" si="29"/>
        <v/>
      </c>
      <c r="I86" s="78" t="str">
        <f t="shared" si="30"/>
        <v/>
      </c>
      <c r="J86" s="70" t="str">
        <f t="shared" si="31"/>
        <v/>
      </c>
      <c r="K86" s="135"/>
      <c r="L86" s="72" t="str">
        <f t="shared" si="32"/>
        <v/>
      </c>
      <c r="M86" s="135"/>
      <c r="N86" s="72" t="str">
        <f t="shared" si="33"/>
        <v/>
      </c>
      <c r="O86" s="135"/>
      <c r="P86" s="136"/>
      <c r="Q86" s="123" t="str">
        <f t="shared" si="34"/>
        <v/>
      </c>
      <c r="R86" s="45" t="str">
        <f t="shared" si="35"/>
        <v/>
      </c>
      <c r="S86" s="137"/>
      <c r="T86" s="79" t="str">
        <f t="shared" si="44"/>
        <v/>
      </c>
      <c r="U86" s="79" t="str">
        <f t="shared" si="36"/>
        <v/>
      </c>
      <c r="V86" s="73" t="str">
        <f t="shared" si="37"/>
        <v/>
      </c>
      <c r="W86" s="80" t="str">
        <f t="shared" si="38"/>
        <v/>
      </c>
      <c r="X86" s="73" t="str">
        <f t="shared" si="39"/>
        <v/>
      </c>
      <c r="Y86" s="80" t="str">
        <f t="shared" si="40"/>
        <v/>
      </c>
      <c r="Z86" s="74" t="str">
        <f t="shared" si="41"/>
        <v/>
      </c>
      <c r="AA86" s="75" t="str">
        <f t="shared" si="45"/>
        <v/>
      </c>
      <c r="AB86" s="103" t="str">
        <f t="shared" si="42"/>
        <v/>
      </c>
      <c r="AC86" s="104" t="str">
        <f t="shared" si="53"/>
        <v/>
      </c>
      <c r="AE86" s="139"/>
      <c r="AF86" s="110" t="str">
        <f t="shared" si="46"/>
        <v/>
      </c>
      <c r="AG86" s="111" t="str">
        <f t="shared" si="47"/>
        <v/>
      </c>
      <c r="AH86" s="111" t="str">
        <f t="shared" si="43"/>
        <v/>
      </c>
      <c r="AI86" s="111" t="str">
        <f t="shared" si="48"/>
        <v/>
      </c>
      <c r="AJ86" s="111" t="str">
        <f t="shared" si="49"/>
        <v/>
      </c>
      <c r="AK86" s="112" t="str">
        <f t="shared" si="50"/>
        <v/>
      </c>
      <c r="AL86" t="str">
        <f t="shared" si="51"/>
        <v/>
      </c>
      <c r="AM86" t="str">
        <f t="shared" si="52"/>
        <v/>
      </c>
    </row>
    <row r="87" spans="1:39" ht="15" customHeight="1" x14ac:dyDescent="0.25">
      <c r="A87" s="131"/>
      <c r="B87" s="133"/>
      <c r="C87" s="133"/>
      <c r="D87" s="42" t="str">
        <f t="shared" si="27"/>
        <v/>
      </c>
      <c r="E87" s="43"/>
      <c r="F87" s="135"/>
      <c r="G87" s="77" t="str">
        <f t="shared" si="28"/>
        <v/>
      </c>
      <c r="H87" s="32" t="str">
        <f t="shared" si="29"/>
        <v/>
      </c>
      <c r="I87" s="78" t="str">
        <f t="shared" si="30"/>
        <v/>
      </c>
      <c r="J87" s="70" t="str">
        <f t="shared" si="31"/>
        <v/>
      </c>
      <c r="K87" s="135"/>
      <c r="L87" s="72" t="str">
        <f t="shared" si="32"/>
        <v/>
      </c>
      <c r="M87" s="135"/>
      <c r="N87" s="72" t="str">
        <f t="shared" si="33"/>
        <v/>
      </c>
      <c r="O87" s="135"/>
      <c r="P87" s="136"/>
      <c r="Q87" s="123" t="str">
        <f t="shared" si="34"/>
        <v/>
      </c>
      <c r="R87" s="45" t="str">
        <f t="shared" si="35"/>
        <v/>
      </c>
      <c r="S87" s="137"/>
      <c r="T87" s="79" t="str">
        <f t="shared" si="44"/>
        <v/>
      </c>
      <c r="U87" s="79" t="str">
        <f t="shared" si="36"/>
        <v/>
      </c>
      <c r="V87" s="73" t="str">
        <f t="shared" si="37"/>
        <v/>
      </c>
      <c r="W87" s="80" t="str">
        <f t="shared" si="38"/>
        <v/>
      </c>
      <c r="X87" s="73" t="str">
        <f t="shared" si="39"/>
        <v/>
      </c>
      <c r="Y87" s="80" t="str">
        <f t="shared" si="40"/>
        <v/>
      </c>
      <c r="Z87" s="74" t="str">
        <f t="shared" si="41"/>
        <v/>
      </c>
      <c r="AA87" s="75" t="str">
        <f t="shared" si="45"/>
        <v/>
      </c>
      <c r="AB87" s="103" t="str">
        <f t="shared" si="42"/>
        <v/>
      </c>
      <c r="AC87" s="104" t="str">
        <f t="shared" si="53"/>
        <v/>
      </c>
      <c r="AE87" s="139"/>
      <c r="AF87" s="110" t="str">
        <f t="shared" si="46"/>
        <v/>
      </c>
      <c r="AG87" s="111" t="str">
        <f t="shared" si="47"/>
        <v/>
      </c>
      <c r="AH87" s="111" t="str">
        <f t="shared" si="43"/>
        <v/>
      </c>
      <c r="AI87" s="111" t="str">
        <f t="shared" si="48"/>
        <v/>
      </c>
      <c r="AJ87" s="111" t="str">
        <f t="shared" si="49"/>
        <v/>
      </c>
      <c r="AK87" s="112" t="str">
        <f t="shared" si="50"/>
        <v/>
      </c>
      <c r="AL87" t="str">
        <f t="shared" si="51"/>
        <v/>
      </c>
      <c r="AM87" t="str">
        <f t="shared" si="52"/>
        <v/>
      </c>
    </row>
    <row r="88" spans="1:39" ht="15" customHeight="1" x14ac:dyDescent="0.25">
      <c r="A88" s="131"/>
      <c r="B88" s="133"/>
      <c r="C88" s="133"/>
      <c r="D88" s="42" t="str">
        <f t="shared" si="27"/>
        <v/>
      </c>
      <c r="E88" s="43"/>
      <c r="F88" s="135"/>
      <c r="G88" s="77" t="str">
        <f t="shared" si="28"/>
        <v/>
      </c>
      <c r="H88" s="32" t="str">
        <f t="shared" si="29"/>
        <v/>
      </c>
      <c r="I88" s="78" t="str">
        <f t="shared" si="30"/>
        <v/>
      </c>
      <c r="J88" s="70" t="str">
        <f t="shared" si="31"/>
        <v/>
      </c>
      <c r="K88" s="135"/>
      <c r="L88" s="72" t="str">
        <f t="shared" si="32"/>
        <v/>
      </c>
      <c r="M88" s="135"/>
      <c r="N88" s="72" t="str">
        <f t="shared" si="33"/>
        <v/>
      </c>
      <c r="O88" s="135"/>
      <c r="P88" s="136"/>
      <c r="Q88" s="123" t="str">
        <f t="shared" si="34"/>
        <v/>
      </c>
      <c r="R88" s="45" t="str">
        <f t="shared" si="35"/>
        <v/>
      </c>
      <c r="S88" s="137"/>
      <c r="T88" s="79" t="str">
        <f t="shared" si="44"/>
        <v/>
      </c>
      <c r="U88" s="79" t="str">
        <f t="shared" si="36"/>
        <v/>
      </c>
      <c r="V88" s="73" t="str">
        <f t="shared" si="37"/>
        <v/>
      </c>
      <c r="W88" s="80" t="str">
        <f t="shared" si="38"/>
        <v/>
      </c>
      <c r="X88" s="73" t="str">
        <f t="shared" si="39"/>
        <v/>
      </c>
      <c r="Y88" s="80" t="str">
        <f t="shared" si="40"/>
        <v/>
      </c>
      <c r="Z88" s="74" t="str">
        <f t="shared" si="41"/>
        <v/>
      </c>
      <c r="AA88" s="75" t="str">
        <f t="shared" si="45"/>
        <v/>
      </c>
      <c r="AB88" s="103" t="str">
        <f t="shared" si="42"/>
        <v/>
      </c>
      <c r="AC88" s="104" t="str">
        <f t="shared" si="53"/>
        <v/>
      </c>
      <c r="AE88" s="139"/>
      <c r="AF88" s="110" t="str">
        <f t="shared" si="46"/>
        <v/>
      </c>
      <c r="AG88" s="111" t="str">
        <f t="shared" si="47"/>
        <v/>
      </c>
      <c r="AH88" s="111" t="str">
        <f t="shared" si="43"/>
        <v/>
      </c>
      <c r="AI88" s="111" t="str">
        <f t="shared" si="48"/>
        <v/>
      </c>
      <c r="AJ88" s="111" t="str">
        <f t="shared" si="49"/>
        <v/>
      </c>
      <c r="AK88" s="112" t="str">
        <f t="shared" si="50"/>
        <v/>
      </c>
      <c r="AL88" t="str">
        <f t="shared" si="51"/>
        <v/>
      </c>
      <c r="AM88" t="str">
        <f t="shared" si="52"/>
        <v/>
      </c>
    </row>
    <row r="89" spans="1:39" ht="15" customHeight="1" x14ac:dyDescent="0.25">
      <c r="A89" s="131"/>
      <c r="B89" s="133"/>
      <c r="C89" s="133"/>
      <c r="D89" s="42" t="str">
        <f t="shared" si="27"/>
        <v/>
      </c>
      <c r="E89" s="43"/>
      <c r="F89" s="135"/>
      <c r="G89" s="77" t="str">
        <f t="shared" si="28"/>
        <v/>
      </c>
      <c r="H89" s="32" t="str">
        <f t="shared" si="29"/>
        <v/>
      </c>
      <c r="I89" s="78" t="str">
        <f t="shared" si="30"/>
        <v/>
      </c>
      <c r="J89" s="70" t="str">
        <f t="shared" si="31"/>
        <v/>
      </c>
      <c r="K89" s="135"/>
      <c r="L89" s="72" t="str">
        <f t="shared" si="32"/>
        <v/>
      </c>
      <c r="M89" s="135"/>
      <c r="N89" s="72" t="str">
        <f t="shared" si="33"/>
        <v/>
      </c>
      <c r="O89" s="135"/>
      <c r="P89" s="136"/>
      <c r="Q89" s="123" t="str">
        <f t="shared" si="34"/>
        <v/>
      </c>
      <c r="R89" s="45" t="str">
        <f t="shared" si="35"/>
        <v/>
      </c>
      <c r="S89" s="137"/>
      <c r="T89" s="79" t="str">
        <f t="shared" si="44"/>
        <v/>
      </c>
      <c r="U89" s="79" t="str">
        <f t="shared" si="36"/>
        <v/>
      </c>
      <c r="V89" s="73" t="str">
        <f t="shared" si="37"/>
        <v/>
      </c>
      <c r="W89" s="80" t="str">
        <f t="shared" si="38"/>
        <v/>
      </c>
      <c r="X89" s="73" t="str">
        <f t="shared" si="39"/>
        <v/>
      </c>
      <c r="Y89" s="80" t="str">
        <f t="shared" si="40"/>
        <v/>
      </c>
      <c r="Z89" s="74" t="str">
        <f t="shared" si="41"/>
        <v/>
      </c>
      <c r="AA89" s="75" t="str">
        <f t="shared" si="45"/>
        <v/>
      </c>
      <c r="AB89" s="103" t="str">
        <f t="shared" si="42"/>
        <v/>
      </c>
      <c r="AC89" s="104" t="str">
        <f t="shared" si="53"/>
        <v/>
      </c>
      <c r="AE89" s="139"/>
      <c r="AF89" s="110" t="str">
        <f t="shared" si="46"/>
        <v/>
      </c>
      <c r="AG89" s="111" t="str">
        <f t="shared" si="47"/>
        <v/>
      </c>
      <c r="AH89" s="111" t="str">
        <f t="shared" si="43"/>
        <v/>
      </c>
      <c r="AI89" s="111" t="str">
        <f t="shared" si="48"/>
        <v/>
      </c>
      <c r="AJ89" s="111" t="str">
        <f t="shared" si="49"/>
        <v/>
      </c>
      <c r="AK89" s="112" t="str">
        <f t="shared" si="50"/>
        <v/>
      </c>
      <c r="AL89" t="str">
        <f t="shared" si="51"/>
        <v/>
      </c>
      <c r="AM89" t="str">
        <f t="shared" si="52"/>
        <v/>
      </c>
    </row>
    <row r="90" spans="1:39" ht="15" customHeight="1" x14ac:dyDescent="0.25">
      <c r="A90" s="131"/>
      <c r="B90" s="133"/>
      <c r="C90" s="133"/>
      <c r="D90" s="42" t="str">
        <f t="shared" si="27"/>
        <v/>
      </c>
      <c r="E90" s="43"/>
      <c r="F90" s="135"/>
      <c r="G90" s="77" t="str">
        <f t="shared" si="28"/>
        <v/>
      </c>
      <c r="H90" s="32" t="str">
        <f t="shared" si="29"/>
        <v/>
      </c>
      <c r="I90" s="78" t="str">
        <f t="shared" si="30"/>
        <v/>
      </c>
      <c r="J90" s="70" t="str">
        <f t="shared" si="31"/>
        <v/>
      </c>
      <c r="K90" s="135"/>
      <c r="L90" s="72" t="str">
        <f t="shared" si="32"/>
        <v/>
      </c>
      <c r="M90" s="135"/>
      <c r="N90" s="72" t="str">
        <f t="shared" si="33"/>
        <v/>
      </c>
      <c r="O90" s="135"/>
      <c r="P90" s="136"/>
      <c r="Q90" s="123" t="str">
        <f t="shared" si="34"/>
        <v/>
      </c>
      <c r="R90" s="45" t="str">
        <f t="shared" si="35"/>
        <v/>
      </c>
      <c r="S90" s="137"/>
      <c r="T90" s="79" t="str">
        <f t="shared" si="44"/>
        <v/>
      </c>
      <c r="U90" s="79" t="str">
        <f t="shared" si="36"/>
        <v/>
      </c>
      <c r="V90" s="73" t="str">
        <f t="shared" si="37"/>
        <v/>
      </c>
      <c r="W90" s="80" t="str">
        <f t="shared" si="38"/>
        <v/>
      </c>
      <c r="X90" s="73" t="str">
        <f t="shared" si="39"/>
        <v/>
      </c>
      <c r="Y90" s="80" t="str">
        <f t="shared" si="40"/>
        <v/>
      </c>
      <c r="Z90" s="74" t="str">
        <f t="shared" si="41"/>
        <v/>
      </c>
      <c r="AA90" s="75" t="str">
        <f t="shared" si="45"/>
        <v/>
      </c>
      <c r="AB90" s="103" t="str">
        <f t="shared" si="42"/>
        <v/>
      </c>
      <c r="AC90" s="104" t="str">
        <f t="shared" si="53"/>
        <v/>
      </c>
      <c r="AE90" s="139"/>
      <c r="AF90" s="110" t="str">
        <f t="shared" si="46"/>
        <v/>
      </c>
      <c r="AG90" s="111" t="str">
        <f t="shared" si="47"/>
        <v/>
      </c>
      <c r="AH90" s="111" t="str">
        <f t="shared" si="43"/>
        <v/>
      </c>
      <c r="AI90" s="111" t="str">
        <f t="shared" si="48"/>
        <v/>
      </c>
      <c r="AJ90" s="111" t="str">
        <f t="shared" si="49"/>
        <v/>
      </c>
      <c r="AK90" s="112" t="str">
        <f t="shared" si="50"/>
        <v/>
      </c>
      <c r="AL90" t="str">
        <f t="shared" si="51"/>
        <v/>
      </c>
      <c r="AM90" t="str">
        <f t="shared" si="52"/>
        <v/>
      </c>
    </row>
    <row r="91" spans="1:39" ht="15" customHeight="1" x14ac:dyDescent="0.25">
      <c r="A91" s="131"/>
      <c r="B91" s="133"/>
      <c r="C91" s="133"/>
      <c r="D91" s="42" t="str">
        <f t="shared" si="27"/>
        <v/>
      </c>
      <c r="E91" s="43"/>
      <c r="F91" s="135"/>
      <c r="G91" s="77" t="str">
        <f t="shared" si="28"/>
        <v/>
      </c>
      <c r="H91" s="32" t="str">
        <f t="shared" si="29"/>
        <v/>
      </c>
      <c r="I91" s="78" t="str">
        <f t="shared" si="30"/>
        <v/>
      </c>
      <c r="J91" s="70" t="str">
        <f t="shared" si="31"/>
        <v/>
      </c>
      <c r="K91" s="135"/>
      <c r="L91" s="72" t="str">
        <f t="shared" si="32"/>
        <v/>
      </c>
      <c r="M91" s="135"/>
      <c r="N91" s="72" t="str">
        <f t="shared" si="33"/>
        <v/>
      </c>
      <c r="O91" s="135"/>
      <c r="P91" s="136"/>
      <c r="Q91" s="123" t="str">
        <f t="shared" si="34"/>
        <v/>
      </c>
      <c r="R91" s="45" t="str">
        <f t="shared" si="35"/>
        <v/>
      </c>
      <c r="S91" s="137"/>
      <c r="T91" s="79" t="str">
        <f t="shared" si="44"/>
        <v/>
      </c>
      <c r="U91" s="79" t="str">
        <f t="shared" si="36"/>
        <v/>
      </c>
      <c r="V91" s="73" t="str">
        <f t="shared" si="37"/>
        <v/>
      </c>
      <c r="W91" s="80" t="str">
        <f t="shared" si="38"/>
        <v/>
      </c>
      <c r="X91" s="73" t="str">
        <f t="shared" si="39"/>
        <v/>
      </c>
      <c r="Y91" s="80" t="str">
        <f t="shared" si="40"/>
        <v/>
      </c>
      <c r="Z91" s="74" t="str">
        <f t="shared" si="41"/>
        <v/>
      </c>
      <c r="AA91" s="75" t="str">
        <f t="shared" si="45"/>
        <v/>
      </c>
      <c r="AB91" s="103" t="str">
        <f t="shared" si="42"/>
        <v/>
      </c>
      <c r="AC91" s="104" t="str">
        <f t="shared" si="53"/>
        <v/>
      </c>
      <c r="AE91" s="139"/>
      <c r="AF91" s="110" t="str">
        <f t="shared" si="46"/>
        <v/>
      </c>
      <c r="AG91" s="111" t="str">
        <f t="shared" si="47"/>
        <v/>
      </c>
      <c r="AH91" s="111" t="str">
        <f t="shared" si="43"/>
        <v/>
      </c>
      <c r="AI91" s="111" t="str">
        <f t="shared" si="48"/>
        <v/>
      </c>
      <c r="AJ91" s="111" t="str">
        <f t="shared" si="49"/>
        <v/>
      </c>
      <c r="AK91" s="112" t="str">
        <f t="shared" si="50"/>
        <v/>
      </c>
      <c r="AL91" t="str">
        <f t="shared" si="51"/>
        <v/>
      </c>
      <c r="AM91" t="str">
        <f t="shared" si="52"/>
        <v/>
      </c>
    </row>
    <row r="92" spans="1:39" ht="15" customHeight="1" x14ac:dyDescent="0.25">
      <c r="A92" s="131"/>
      <c r="B92" s="133"/>
      <c r="C92" s="133"/>
      <c r="D92" s="42" t="str">
        <f t="shared" si="27"/>
        <v/>
      </c>
      <c r="E92" s="43"/>
      <c r="F92" s="135"/>
      <c r="G92" s="77" t="str">
        <f t="shared" si="28"/>
        <v/>
      </c>
      <c r="H92" s="32" t="str">
        <f t="shared" si="29"/>
        <v/>
      </c>
      <c r="I92" s="78" t="str">
        <f t="shared" si="30"/>
        <v/>
      </c>
      <c r="J92" s="70" t="str">
        <f t="shared" si="31"/>
        <v/>
      </c>
      <c r="K92" s="135"/>
      <c r="L92" s="72" t="str">
        <f t="shared" si="32"/>
        <v/>
      </c>
      <c r="M92" s="135"/>
      <c r="N92" s="72" t="str">
        <f t="shared" si="33"/>
        <v/>
      </c>
      <c r="O92" s="135"/>
      <c r="P92" s="136"/>
      <c r="Q92" s="123" t="str">
        <f t="shared" si="34"/>
        <v/>
      </c>
      <c r="R92" s="45" t="str">
        <f t="shared" si="35"/>
        <v/>
      </c>
      <c r="S92" s="137"/>
      <c r="T92" s="79" t="str">
        <f t="shared" si="44"/>
        <v/>
      </c>
      <c r="U92" s="79" t="str">
        <f t="shared" si="36"/>
        <v/>
      </c>
      <c r="V92" s="73" t="str">
        <f t="shared" si="37"/>
        <v/>
      </c>
      <c r="W92" s="80" t="str">
        <f t="shared" si="38"/>
        <v/>
      </c>
      <c r="X92" s="73" t="str">
        <f t="shared" si="39"/>
        <v/>
      </c>
      <c r="Y92" s="80" t="str">
        <f t="shared" si="40"/>
        <v/>
      </c>
      <c r="Z92" s="74" t="str">
        <f t="shared" si="41"/>
        <v/>
      </c>
      <c r="AA92" s="75" t="str">
        <f t="shared" si="45"/>
        <v/>
      </c>
      <c r="AB92" s="103" t="str">
        <f t="shared" si="42"/>
        <v/>
      </c>
      <c r="AC92" s="104" t="str">
        <f t="shared" si="53"/>
        <v/>
      </c>
      <c r="AE92" s="139"/>
      <c r="AF92" s="110" t="str">
        <f t="shared" si="46"/>
        <v/>
      </c>
      <c r="AG92" s="111" t="str">
        <f t="shared" si="47"/>
        <v/>
      </c>
      <c r="AH92" s="111" t="str">
        <f t="shared" si="43"/>
        <v/>
      </c>
      <c r="AI92" s="111" t="str">
        <f t="shared" si="48"/>
        <v/>
      </c>
      <c r="AJ92" s="111" t="str">
        <f t="shared" si="49"/>
        <v/>
      </c>
      <c r="AK92" s="112" t="str">
        <f t="shared" si="50"/>
        <v/>
      </c>
      <c r="AL92" t="str">
        <f t="shared" si="51"/>
        <v/>
      </c>
      <c r="AM92" t="str">
        <f t="shared" si="52"/>
        <v/>
      </c>
    </row>
    <row r="93" spans="1:39" ht="15" customHeight="1" x14ac:dyDescent="0.25">
      <c r="A93" s="131"/>
      <c r="B93" s="133"/>
      <c r="C93" s="133"/>
      <c r="D93" s="42" t="str">
        <f t="shared" si="27"/>
        <v/>
      </c>
      <c r="E93" s="43"/>
      <c r="F93" s="135"/>
      <c r="G93" s="77" t="str">
        <f t="shared" si="28"/>
        <v/>
      </c>
      <c r="H93" s="32" t="str">
        <f t="shared" si="29"/>
        <v/>
      </c>
      <c r="I93" s="78" t="str">
        <f t="shared" si="30"/>
        <v/>
      </c>
      <c r="J93" s="70" t="str">
        <f t="shared" si="31"/>
        <v/>
      </c>
      <c r="K93" s="135"/>
      <c r="L93" s="72" t="str">
        <f t="shared" si="32"/>
        <v/>
      </c>
      <c r="M93" s="135"/>
      <c r="N93" s="72" t="str">
        <f t="shared" si="33"/>
        <v/>
      </c>
      <c r="O93" s="135"/>
      <c r="P93" s="136"/>
      <c r="Q93" s="123" t="str">
        <f t="shared" si="34"/>
        <v/>
      </c>
      <c r="R93" s="45" t="str">
        <f t="shared" si="35"/>
        <v/>
      </c>
      <c r="S93" s="137"/>
      <c r="T93" s="79" t="str">
        <f t="shared" si="44"/>
        <v/>
      </c>
      <c r="U93" s="79" t="str">
        <f t="shared" si="36"/>
        <v/>
      </c>
      <c r="V93" s="73" t="str">
        <f t="shared" si="37"/>
        <v/>
      </c>
      <c r="W93" s="80" t="str">
        <f t="shared" si="38"/>
        <v/>
      </c>
      <c r="X93" s="73" t="str">
        <f t="shared" si="39"/>
        <v/>
      </c>
      <c r="Y93" s="80" t="str">
        <f t="shared" si="40"/>
        <v/>
      </c>
      <c r="Z93" s="74" t="str">
        <f t="shared" si="41"/>
        <v/>
      </c>
      <c r="AA93" s="75" t="str">
        <f t="shared" si="45"/>
        <v/>
      </c>
      <c r="AB93" s="103" t="str">
        <f t="shared" si="42"/>
        <v/>
      </c>
      <c r="AC93" s="104" t="str">
        <f t="shared" si="53"/>
        <v/>
      </c>
      <c r="AE93" s="139"/>
      <c r="AF93" s="110" t="str">
        <f t="shared" si="46"/>
        <v/>
      </c>
      <c r="AG93" s="111" t="str">
        <f t="shared" si="47"/>
        <v/>
      </c>
      <c r="AH93" s="111" t="str">
        <f t="shared" si="43"/>
        <v/>
      </c>
      <c r="AI93" s="111" t="str">
        <f t="shared" si="48"/>
        <v/>
      </c>
      <c r="AJ93" s="111" t="str">
        <f t="shared" si="49"/>
        <v/>
      </c>
      <c r="AK93" s="112" t="str">
        <f t="shared" si="50"/>
        <v/>
      </c>
      <c r="AL93" t="str">
        <f t="shared" si="51"/>
        <v/>
      </c>
      <c r="AM93" t="str">
        <f t="shared" si="52"/>
        <v/>
      </c>
    </row>
    <row r="94" spans="1:39" ht="15" customHeight="1" x14ac:dyDescent="0.25">
      <c r="A94" s="131"/>
      <c r="B94" s="133"/>
      <c r="C94" s="133"/>
      <c r="D94" s="42" t="str">
        <f t="shared" si="27"/>
        <v/>
      </c>
      <c r="E94" s="43"/>
      <c r="F94" s="135"/>
      <c r="G94" s="77" t="str">
        <f t="shared" si="28"/>
        <v/>
      </c>
      <c r="H94" s="32" t="str">
        <f t="shared" si="29"/>
        <v/>
      </c>
      <c r="I94" s="78" t="str">
        <f t="shared" si="30"/>
        <v/>
      </c>
      <c r="J94" s="70" t="str">
        <f t="shared" si="31"/>
        <v/>
      </c>
      <c r="K94" s="135"/>
      <c r="L94" s="72" t="str">
        <f t="shared" si="32"/>
        <v/>
      </c>
      <c r="M94" s="135"/>
      <c r="N94" s="72" t="str">
        <f t="shared" si="33"/>
        <v/>
      </c>
      <c r="O94" s="135"/>
      <c r="P94" s="136"/>
      <c r="Q94" s="123" t="str">
        <f t="shared" si="34"/>
        <v/>
      </c>
      <c r="R94" s="45" t="str">
        <f t="shared" si="35"/>
        <v/>
      </c>
      <c r="S94" s="137"/>
      <c r="T94" s="79" t="str">
        <f t="shared" si="44"/>
        <v/>
      </c>
      <c r="U94" s="79" t="str">
        <f t="shared" si="36"/>
        <v/>
      </c>
      <c r="V94" s="73" t="str">
        <f t="shared" si="37"/>
        <v/>
      </c>
      <c r="W94" s="80" t="str">
        <f t="shared" si="38"/>
        <v/>
      </c>
      <c r="X94" s="73" t="str">
        <f t="shared" si="39"/>
        <v/>
      </c>
      <c r="Y94" s="80" t="str">
        <f t="shared" si="40"/>
        <v/>
      </c>
      <c r="Z94" s="74" t="str">
        <f t="shared" si="41"/>
        <v/>
      </c>
      <c r="AA94" s="75" t="str">
        <f t="shared" si="45"/>
        <v/>
      </c>
      <c r="AB94" s="103" t="str">
        <f t="shared" si="42"/>
        <v/>
      </c>
      <c r="AC94" s="104" t="str">
        <f t="shared" si="53"/>
        <v/>
      </c>
      <c r="AE94" s="139"/>
      <c r="AF94" s="110" t="str">
        <f t="shared" si="46"/>
        <v/>
      </c>
      <c r="AG94" s="111" t="str">
        <f t="shared" si="47"/>
        <v/>
      </c>
      <c r="AH94" s="111" t="str">
        <f t="shared" si="43"/>
        <v/>
      </c>
      <c r="AI94" s="111" t="str">
        <f t="shared" si="48"/>
        <v/>
      </c>
      <c r="AJ94" s="111" t="str">
        <f t="shared" si="49"/>
        <v/>
      </c>
      <c r="AK94" s="112" t="str">
        <f t="shared" si="50"/>
        <v/>
      </c>
      <c r="AL94" t="str">
        <f t="shared" si="51"/>
        <v/>
      </c>
      <c r="AM94" t="str">
        <f t="shared" si="52"/>
        <v/>
      </c>
    </row>
    <row r="95" spans="1:39" ht="15" customHeight="1" x14ac:dyDescent="0.25">
      <c r="A95" s="131"/>
      <c r="B95" s="133"/>
      <c r="C95" s="133"/>
      <c r="D95" s="42" t="str">
        <f t="shared" si="27"/>
        <v/>
      </c>
      <c r="E95" s="43"/>
      <c r="F95" s="135"/>
      <c r="G95" s="77" t="str">
        <f t="shared" si="28"/>
        <v/>
      </c>
      <c r="H95" s="32" t="str">
        <f t="shared" si="29"/>
        <v/>
      </c>
      <c r="I95" s="78" t="str">
        <f t="shared" si="30"/>
        <v/>
      </c>
      <c r="J95" s="70" t="str">
        <f t="shared" si="31"/>
        <v/>
      </c>
      <c r="K95" s="135"/>
      <c r="L95" s="72" t="str">
        <f t="shared" si="32"/>
        <v/>
      </c>
      <c r="M95" s="135"/>
      <c r="N95" s="72" t="str">
        <f t="shared" si="33"/>
        <v/>
      </c>
      <c r="O95" s="135"/>
      <c r="P95" s="136"/>
      <c r="Q95" s="123" t="str">
        <f t="shared" si="34"/>
        <v/>
      </c>
      <c r="R95" s="45" t="str">
        <f t="shared" si="35"/>
        <v/>
      </c>
      <c r="S95" s="137"/>
      <c r="T95" s="79" t="str">
        <f t="shared" si="44"/>
        <v/>
      </c>
      <c r="U95" s="79" t="str">
        <f t="shared" si="36"/>
        <v/>
      </c>
      <c r="V95" s="73" t="str">
        <f t="shared" si="37"/>
        <v/>
      </c>
      <c r="W95" s="80" t="str">
        <f t="shared" si="38"/>
        <v/>
      </c>
      <c r="X95" s="73" t="str">
        <f t="shared" si="39"/>
        <v/>
      </c>
      <c r="Y95" s="80" t="str">
        <f t="shared" si="40"/>
        <v/>
      </c>
      <c r="Z95" s="74" t="str">
        <f t="shared" si="41"/>
        <v/>
      </c>
      <c r="AA95" s="75" t="str">
        <f t="shared" si="45"/>
        <v/>
      </c>
      <c r="AB95" s="103" t="str">
        <f t="shared" si="42"/>
        <v/>
      </c>
      <c r="AC95" s="104" t="str">
        <f t="shared" si="53"/>
        <v/>
      </c>
      <c r="AE95" s="139"/>
      <c r="AF95" s="110" t="str">
        <f t="shared" si="46"/>
        <v/>
      </c>
      <c r="AG95" s="111" t="str">
        <f t="shared" si="47"/>
        <v/>
      </c>
      <c r="AH95" s="111" t="str">
        <f t="shared" si="43"/>
        <v/>
      </c>
      <c r="AI95" s="111" t="str">
        <f t="shared" si="48"/>
        <v/>
      </c>
      <c r="AJ95" s="111" t="str">
        <f t="shared" si="49"/>
        <v/>
      </c>
      <c r="AK95" s="112" t="str">
        <f t="shared" si="50"/>
        <v/>
      </c>
      <c r="AL95" t="str">
        <f t="shared" si="51"/>
        <v/>
      </c>
      <c r="AM95" t="str">
        <f t="shared" si="52"/>
        <v/>
      </c>
    </row>
    <row r="96" spans="1:39" ht="15" customHeight="1" x14ac:dyDescent="0.25">
      <c r="A96" s="131"/>
      <c r="B96" s="133"/>
      <c r="C96" s="133"/>
      <c r="D96" s="42" t="str">
        <f t="shared" si="27"/>
        <v/>
      </c>
      <c r="E96" s="43"/>
      <c r="F96" s="135"/>
      <c r="G96" s="77" t="str">
        <f t="shared" si="28"/>
        <v/>
      </c>
      <c r="H96" s="32" t="str">
        <f t="shared" si="29"/>
        <v/>
      </c>
      <c r="I96" s="78" t="str">
        <f t="shared" si="30"/>
        <v/>
      </c>
      <c r="J96" s="70" t="str">
        <f t="shared" si="31"/>
        <v/>
      </c>
      <c r="K96" s="135"/>
      <c r="L96" s="72" t="str">
        <f t="shared" si="32"/>
        <v/>
      </c>
      <c r="M96" s="135"/>
      <c r="N96" s="72" t="str">
        <f t="shared" si="33"/>
        <v/>
      </c>
      <c r="O96" s="135"/>
      <c r="P96" s="136"/>
      <c r="Q96" s="123" t="str">
        <f t="shared" si="34"/>
        <v/>
      </c>
      <c r="R96" s="45" t="str">
        <f t="shared" si="35"/>
        <v/>
      </c>
      <c r="S96" s="137"/>
      <c r="T96" s="79" t="str">
        <f t="shared" si="44"/>
        <v/>
      </c>
      <c r="U96" s="79" t="str">
        <f t="shared" si="36"/>
        <v/>
      </c>
      <c r="V96" s="73" t="str">
        <f t="shared" si="37"/>
        <v/>
      </c>
      <c r="W96" s="80" t="str">
        <f t="shared" si="38"/>
        <v/>
      </c>
      <c r="X96" s="73" t="str">
        <f t="shared" si="39"/>
        <v/>
      </c>
      <c r="Y96" s="80" t="str">
        <f t="shared" si="40"/>
        <v/>
      </c>
      <c r="Z96" s="74" t="str">
        <f t="shared" si="41"/>
        <v/>
      </c>
      <c r="AA96" s="75" t="str">
        <f t="shared" si="45"/>
        <v/>
      </c>
      <c r="AB96" s="103" t="str">
        <f t="shared" si="42"/>
        <v/>
      </c>
      <c r="AC96" s="104" t="str">
        <f t="shared" si="53"/>
        <v/>
      </c>
      <c r="AE96" s="139"/>
      <c r="AF96" s="110" t="str">
        <f t="shared" si="46"/>
        <v/>
      </c>
      <c r="AG96" s="111" t="str">
        <f t="shared" si="47"/>
        <v/>
      </c>
      <c r="AH96" s="111" t="str">
        <f t="shared" si="43"/>
        <v/>
      </c>
      <c r="AI96" s="111" t="str">
        <f t="shared" si="48"/>
        <v/>
      </c>
      <c r="AJ96" s="111" t="str">
        <f t="shared" si="49"/>
        <v/>
      </c>
      <c r="AK96" s="112" t="str">
        <f t="shared" si="50"/>
        <v/>
      </c>
      <c r="AL96" t="str">
        <f t="shared" si="51"/>
        <v/>
      </c>
      <c r="AM96" t="str">
        <f t="shared" si="52"/>
        <v/>
      </c>
    </row>
    <row r="97" spans="1:39" ht="15" customHeight="1" x14ac:dyDescent="0.25">
      <c r="A97" s="131"/>
      <c r="B97" s="133"/>
      <c r="C97" s="133"/>
      <c r="D97" s="42" t="str">
        <f t="shared" si="27"/>
        <v/>
      </c>
      <c r="E97" s="43"/>
      <c r="F97" s="135"/>
      <c r="G97" s="77" t="str">
        <f t="shared" si="28"/>
        <v/>
      </c>
      <c r="H97" s="32" t="str">
        <f t="shared" si="29"/>
        <v/>
      </c>
      <c r="I97" s="78" t="str">
        <f t="shared" si="30"/>
        <v/>
      </c>
      <c r="J97" s="70" t="str">
        <f t="shared" si="31"/>
        <v/>
      </c>
      <c r="K97" s="135"/>
      <c r="L97" s="72" t="str">
        <f t="shared" si="32"/>
        <v/>
      </c>
      <c r="M97" s="135"/>
      <c r="N97" s="72" t="str">
        <f t="shared" si="33"/>
        <v/>
      </c>
      <c r="O97" s="135"/>
      <c r="P97" s="136"/>
      <c r="Q97" s="123" t="str">
        <f t="shared" si="34"/>
        <v/>
      </c>
      <c r="R97" s="45" t="str">
        <f t="shared" si="35"/>
        <v/>
      </c>
      <c r="S97" s="137"/>
      <c r="T97" s="79" t="str">
        <f t="shared" si="44"/>
        <v/>
      </c>
      <c r="U97" s="79" t="str">
        <f t="shared" si="36"/>
        <v/>
      </c>
      <c r="V97" s="73" t="str">
        <f t="shared" si="37"/>
        <v/>
      </c>
      <c r="W97" s="80" t="str">
        <f t="shared" si="38"/>
        <v/>
      </c>
      <c r="X97" s="73" t="str">
        <f t="shared" si="39"/>
        <v/>
      </c>
      <c r="Y97" s="80" t="str">
        <f t="shared" si="40"/>
        <v/>
      </c>
      <c r="Z97" s="74" t="str">
        <f t="shared" si="41"/>
        <v/>
      </c>
      <c r="AA97" s="75" t="str">
        <f t="shared" si="45"/>
        <v/>
      </c>
      <c r="AB97" s="103" t="str">
        <f t="shared" si="42"/>
        <v/>
      </c>
      <c r="AC97" s="104" t="str">
        <f t="shared" si="53"/>
        <v/>
      </c>
      <c r="AE97" s="139"/>
      <c r="AF97" s="110" t="str">
        <f t="shared" si="46"/>
        <v/>
      </c>
      <c r="AG97" s="111" t="str">
        <f t="shared" si="47"/>
        <v/>
      </c>
      <c r="AH97" s="111" t="str">
        <f t="shared" si="43"/>
        <v/>
      </c>
      <c r="AI97" s="111" t="str">
        <f t="shared" si="48"/>
        <v/>
      </c>
      <c r="AJ97" s="111" t="str">
        <f t="shared" si="49"/>
        <v/>
      </c>
      <c r="AK97" s="112" t="str">
        <f t="shared" si="50"/>
        <v/>
      </c>
      <c r="AL97" t="str">
        <f t="shared" si="51"/>
        <v/>
      </c>
      <c r="AM97" t="str">
        <f t="shared" si="52"/>
        <v/>
      </c>
    </row>
    <row r="98" spans="1:39" ht="15" customHeight="1" x14ac:dyDescent="0.25">
      <c r="A98" s="131"/>
      <c r="B98" s="133"/>
      <c r="C98" s="133"/>
      <c r="D98" s="42" t="str">
        <f t="shared" si="27"/>
        <v/>
      </c>
      <c r="E98" s="43"/>
      <c r="F98" s="135"/>
      <c r="G98" s="77" t="str">
        <f t="shared" si="28"/>
        <v/>
      </c>
      <c r="H98" s="32" t="str">
        <f t="shared" si="29"/>
        <v/>
      </c>
      <c r="I98" s="78" t="str">
        <f t="shared" si="30"/>
        <v/>
      </c>
      <c r="J98" s="70" t="str">
        <f t="shared" si="31"/>
        <v/>
      </c>
      <c r="K98" s="135"/>
      <c r="L98" s="72" t="str">
        <f t="shared" si="32"/>
        <v/>
      </c>
      <c r="M98" s="135"/>
      <c r="N98" s="72" t="str">
        <f t="shared" si="33"/>
        <v/>
      </c>
      <c r="O98" s="135"/>
      <c r="P98" s="136"/>
      <c r="Q98" s="123" t="str">
        <f t="shared" si="34"/>
        <v/>
      </c>
      <c r="R98" s="45" t="str">
        <f t="shared" si="35"/>
        <v/>
      </c>
      <c r="S98" s="137"/>
      <c r="T98" s="79" t="str">
        <f t="shared" si="44"/>
        <v/>
      </c>
      <c r="U98" s="79" t="str">
        <f t="shared" si="36"/>
        <v/>
      </c>
      <c r="V98" s="73" t="str">
        <f t="shared" si="37"/>
        <v/>
      </c>
      <c r="W98" s="80" t="str">
        <f t="shared" si="38"/>
        <v/>
      </c>
      <c r="X98" s="73" t="str">
        <f t="shared" si="39"/>
        <v/>
      </c>
      <c r="Y98" s="80" t="str">
        <f t="shared" si="40"/>
        <v/>
      </c>
      <c r="Z98" s="74" t="str">
        <f t="shared" si="41"/>
        <v/>
      </c>
      <c r="AA98" s="75" t="str">
        <f t="shared" si="45"/>
        <v/>
      </c>
      <c r="AB98" s="103" t="str">
        <f t="shared" si="42"/>
        <v/>
      </c>
      <c r="AC98" s="104" t="str">
        <f t="shared" si="53"/>
        <v/>
      </c>
      <c r="AE98" s="139"/>
      <c r="AF98" s="110" t="str">
        <f t="shared" si="46"/>
        <v/>
      </c>
      <c r="AG98" s="111" t="str">
        <f t="shared" si="47"/>
        <v/>
      </c>
      <c r="AH98" s="111" t="str">
        <f t="shared" si="43"/>
        <v/>
      </c>
      <c r="AI98" s="111" t="str">
        <f t="shared" si="48"/>
        <v/>
      </c>
      <c r="AJ98" s="111" t="str">
        <f t="shared" si="49"/>
        <v/>
      </c>
      <c r="AK98" s="112" t="str">
        <f t="shared" si="50"/>
        <v/>
      </c>
      <c r="AL98" t="str">
        <f t="shared" si="51"/>
        <v/>
      </c>
      <c r="AM98" t="str">
        <f t="shared" si="52"/>
        <v/>
      </c>
    </row>
    <row r="99" spans="1:39" ht="15" customHeight="1" x14ac:dyDescent="0.25">
      <c r="A99" s="131"/>
      <c r="B99" s="133"/>
      <c r="C99" s="133"/>
      <c r="D99" s="42" t="str">
        <f t="shared" si="27"/>
        <v/>
      </c>
      <c r="E99" s="43"/>
      <c r="F99" s="135"/>
      <c r="G99" s="77" t="str">
        <f t="shared" si="28"/>
        <v/>
      </c>
      <c r="H99" s="32" t="str">
        <f t="shared" si="29"/>
        <v/>
      </c>
      <c r="I99" s="78" t="str">
        <f t="shared" si="30"/>
        <v/>
      </c>
      <c r="J99" s="70" t="str">
        <f t="shared" si="31"/>
        <v/>
      </c>
      <c r="K99" s="135"/>
      <c r="L99" s="72" t="str">
        <f t="shared" si="32"/>
        <v/>
      </c>
      <c r="M99" s="135"/>
      <c r="N99" s="72" t="str">
        <f t="shared" si="33"/>
        <v/>
      </c>
      <c r="O99" s="135"/>
      <c r="P99" s="136"/>
      <c r="Q99" s="123" t="str">
        <f t="shared" si="34"/>
        <v/>
      </c>
      <c r="R99" s="45" t="str">
        <f t="shared" si="35"/>
        <v/>
      </c>
      <c r="S99" s="137"/>
      <c r="T99" s="79" t="str">
        <f t="shared" si="44"/>
        <v/>
      </c>
      <c r="U99" s="79" t="str">
        <f t="shared" si="36"/>
        <v/>
      </c>
      <c r="V99" s="73" t="str">
        <f t="shared" si="37"/>
        <v/>
      </c>
      <c r="W99" s="80" t="str">
        <f t="shared" si="38"/>
        <v/>
      </c>
      <c r="X99" s="73" t="str">
        <f t="shared" si="39"/>
        <v/>
      </c>
      <c r="Y99" s="80" t="str">
        <f t="shared" si="40"/>
        <v/>
      </c>
      <c r="Z99" s="74" t="str">
        <f t="shared" si="41"/>
        <v/>
      </c>
      <c r="AA99" s="75" t="str">
        <f t="shared" si="45"/>
        <v/>
      </c>
      <c r="AB99" s="103" t="str">
        <f t="shared" si="42"/>
        <v/>
      </c>
      <c r="AC99" s="104" t="str">
        <f t="shared" si="53"/>
        <v/>
      </c>
      <c r="AE99" s="139"/>
      <c r="AF99" s="110" t="str">
        <f t="shared" si="46"/>
        <v/>
      </c>
      <c r="AG99" s="111" t="str">
        <f t="shared" si="47"/>
        <v/>
      </c>
      <c r="AH99" s="111" t="str">
        <f t="shared" si="43"/>
        <v/>
      </c>
      <c r="AI99" s="111" t="str">
        <f t="shared" si="48"/>
        <v/>
      </c>
      <c r="AJ99" s="111" t="str">
        <f t="shared" si="49"/>
        <v/>
      </c>
      <c r="AK99" s="112" t="str">
        <f t="shared" si="50"/>
        <v/>
      </c>
      <c r="AL99" t="str">
        <f t="shared" si="51"/>
        <v/>
      </c>
      <c r="AM99" t="str">
        <f t="shared" si="52"/>
        <v/>
      </c>
    </row>
    <row r="100" spans="1:39" ht="15" customHeight="1" x14ac:dyDescent="0.25">
      <c r="A100" s="131"/>
      <c r="B100" s="133"/>
      <c r="C100" s="133"/>
      <c r="D100" s="42" t="str">
        <f t="shared" si="27"/>
        <v/>
      </c>
      <c r="E100" s="43"/>
      <c r="F100" s="135"/>
      <c r="G100" s="77" t="str">
        <f t="shared" si="28"/>
        <v/>
      </c>
      <c r="H100" s="32" t="str">
        <f t="shared" si="29"/>
        <v/>
      </c>
      <c r="I100" s="78" t="str">
        <f t="shared" si="30"/>
        <v/>
      </c>
      <c r="J100" s="70" t="str">
        <f t="shared" si="31"/>
        <v/>
      </c>
      <c r="K100" s="135"/>
      <c r="L100" s="72" t="str">
        <f t="shared" si="32"/>
        <v/>
      </c>
      <c r="M100" s="135"/>
      <c r="N100" s="72" t="str">
        <f t="shared" si="33"/>
        <v/>
      </c>
      <c r="O100" s="135"/>
      <c r="P100" s="136"/>
      <c r="Q100" s="123" t="str">
        <f t="shared" si="34"/>
        <v/>
      </c>
      <c r="R100" s="45" t="str">
        <f t="shared" si="35"/>
        <v/>
      </c>
      <c r="S100" s="137"/>
      <c r="T100" s="79" t="str">
        <f t="shared" si="44"/>
        <v/>
      </c>
      <c r="U100" s="79" t="str">
        <f t="shared" si="36"/>
        <v/>
      </c>
      <c r="V100" s="73" t="str">
        <f t="shared" si="37"/>
        <v/>
      </c>
      <c r="W100" s="80" t="str">
        <f t="shared" si="38"/>
        <v/>
      </c>
      <c r="X100" s="73" t="str">
        <f t="shared" si="39"/>
        <v/>
      </c>
      <c r="Y100" s="80" t="str">
        <f t="shared" si="40"/>
        <v/>
      </c>
      <c r="Z100" s="74" t="str">
        <f t="shared" si="41"/>
        <v/>
      </c>
      <c r="AA100" s="75" t="str">
        <f t="shared" si="45"/>
        <v/>
      </c>
      <c r="AB100" s="103" t="str">
        <f t="shared" si="42"/>
        <v/>
      </c>
      <c r="AC100" s="104" t="str">
        <f t="shared" si="53"/>
        <v/>
      </c>
      <c r="AE100" s="139"/>
      <c r="AF100" s="110" t="str">
        <f t="shared" si="46"/>
        <v/>
      </c>
      <c r="AG100" s="111" t="str">
        <f t="shared" si="47"/>
        <v/>
      </c>
      <c r="AH100" s="111" t="str">
        <f t="shared" si="43"/>
        <v/>
      </c>
      <c r="AI100" s="111" t="str">
        <f t="shared" si="48"/>
        <v/>
      </c>
      <c r="AJ100" s="111" t="str">
        <f t="shared" si="49"/>
        <v/>
      </c>
      <c r="AK100" s="112" t="str">
        <f t="shared" si="50"/>
        <v/>
      </c>
      <c r="AL100" t="str">
        <f t="shared" si="51"/>
        <v/>
      </c>
      <c r="AM100" t="str">
        <f t="shared" si="52"/>
        <v/>
      </c>
    </row>
    <row r="101" spans="1:39" ht="15" customHeight="1" x14ac:dyDescent="0.25">
      <c r="A101" s="131"/>
      <c r="B101" s="133"/>
      <c r="C101" s="133"/>
      <c r="D101" s="42" t="str">
        <f t="shared" si="27"/>
        <v/>
      </c>
      <c r="E101" s="43"/>
      <c r="F101" s="135"/>
      <c r="G101" s="77" t="str">
        <f t="shared" si="28"/>
        <v/>
      </c>
      <c r="H101" s="32" t="str">
        <f t="shared" si="29"/>
        <v/>
      </c>
      <c r="I101" s="78" t="str">
        <f t="shared" si="30"/>
        <v/>
      </c>
      <c r="J101" s="70" t="str">
        <f t="shared" si="31"/>
        <v/>
      </c>
      <c r="K101" s="135"/>
      <c r="L101" s="72" t="str">
        <f t="shared" si="32"/>
        <v/>
      </c>
      <c r="M101" s="135"/>
      <c r="N101" s="72" t="str">
        <f t="shared" si="33"/>
        <v/>
      </c>
      <c r="O101" s="135"/>
      <c r="P101" s="136"/>
      <c r="Q101" s="123" t="str">
        <f t="shared" si="34"/>
        <v/>
      </c>
      <c r="R101" s="45" t="str">
        <f t="shared" si="35"/>
        <v/>
      </c>
      <c r="S101" s="137"/>
      <c r="T101" s="79" t="str">
        <f t="shared" si="44"/>
        <v/>
      </c>
      <c r="U101" s="79" t="str">
        <f t="shared" si="36"/>
        <v/>
      </c>
      <c r="V101" s="73" t="str">
        <f t="shared" si="37"/>
        <v/>
      </c>
      <c r="W101" s="80" t="str">
        <f t="shared" si="38"/>
        <v/>
      </c>
      <c r="X101" s="73" t="str">
        <f t="shared" si="39"/>
        <v/>
      </c>
      <c r="Y101" s="80" t="str">
        <f t="shared" si="40"/>
        <v/>
      </c>
      <c r="Z101" s="74" t="str">
        <f t="shared" si="41"/>
        <v/>
      </c>
      <c r="AA101" s="75" t="str">
        <f t="shared" si="45"/>
        <v/>
      </c>
      <c r="AB101" s="103" t="str">
        <f t="shared" si="42"/>
        <v/>
      </c>
      <c r="AC101" s="104" t="str">
        <f t="shared" si="53"/>
        <v/>
      </c>
      <c r="AE101" s="139"/>
      <c r="AF101" s="110" t="str">
        <f t="shared" si="46"/>
        <v/>
      </c>
      <c r="AG101" s="111" t="str">
        <f t="shared" si="47"/>
        <v/>
      </c>
      <c r="AH101" s="111" t="str">
        <f t="shared" si="43"/>
        <v/>
      </c>
      <c r="AI101" s="111" t="str">
        <f t="shared" si="48"/>
        <v/>
      </c>
      <c r="AJ101" s="111" t="str">
        <f t="shared" si="49"/>
        <v/>
      </c>
      <c r="AK101" s="112" t="str">
        <f t="shared" si="50"/>
        <v/>
      </c>
      <c r="AL101" t="str">
        <f t="shared" si="51"/>
        <v/>
      </c>
      <c r="AM101" t="str">
        <f t="shared" si="52"/>
        <v/>
      </c>
    </row>
    <row r="102" spans="1:39" ht="15" customHeight="1" x14ac:dyDescent="0.25">
      <c r="A102" s="131"/>
      <c r="B102" s="133"/>
      <c r="C102" s="133"/>
      <c r="D102" s="42" t="str">
        <f t="shared" si="27"/>
        <v/>
      </c>
      <c r="E102" s="43"/>
      <c r="F102" s="135"/>
      <c r="G102" s="77" t="str">
        <f t="shared" si="28"/>
        <v/>
      </c>
      <c r="H102" s="32" t="str">
        <f t="shared" si="29"/>
        <v/>
      </c>
      <c r="I102" s="78" t="str">
        <f t="shared" si="30"/>
        <v/>
      </c>
      <c r="J102" s="70" t="str">
        <f t="shared" si="31"/>
        <v/>
      </c>
      <c r="K102" s="135"/>
      <c r="L102" s="72" t="str">
        <f t="shared" si="32"/>
        <v/>
      </c>
      <c r="M102" s="135"/>
      <c r="N102" s="72" t="str">
        <f t="shared" si="33"/>
        <v/>
      </c>
      <c r="O102" s="135"/>
      <c r="P102" s="136"/>
      <c r="Q102" s="123" t="str">
        <f t="shared" si="34"/>
        <v/>
      </c>
      <c r="R102" s="45" t="str">
        <f t="shared" si="35"/>
        <v/>
      </c>
      <c r="S102" s="137"/>
      <c r="T102" s="79" t="str">
        <f t="shared" si="44"/>
        <v/>
      </c>
      <c r="U102" s="79" t="str">
        <f t="shared" si="36"/>
        <v/>
      </c>
      <c r="V102" s="73" t="str">
        <f t="shared" si="37"/>
        <v/>
      </c>
      <c r="W102" s="80" t="str">
        <f t="shared" si="38"/>
        <v/>
      </c>
      <c r="X102" s="73" t="str">
        <f t="shared" si="39"/>
        <v/>
      </c>
      <c r="Y102" s="80" t="str">
        <f t="shared" si="40"/>
        <v/>
      </c>
      <c r="Z102" s="74" t="str">
        <f t="shared" si="41"/>
        <v/>
      </c>
      <c r="AA102" s="75" t="str">
        <f t="shared" si="45"/>
        <v/>
      </c>
      <c r="AB102" s="103" t="str">
        <f t="shared" si="42"/>
        <v/>
      </c>
      <c r="AC102" s="104" t="str">
        <f t="shared" si="53"/>
        <v/>
      </c>
      <c r="AE102" s="139"/>
      <c r="AF102" s="110" t="str">
        <f t="shared" si="46"/>
        <v/>
      </c>
      <c r="AG102" s="111" t="str">
        <f t="shared" si="47"/>
        <v/>
      </c>
      <c r="AH102" s="111" t="str">
        <f t="shared" si="43"/>
        <v/>
      </c>
      <c r="AI102" s="111" t="str">
        <f t="shared" si="48"/>
        <v/>
      </c>
      <c r="AJ102" s="111" t="str">
        <f t="shared" si="49"/>
        <v/>
      </c>
      <c r="AK102" s="112" t="str">
        <f t="shared" si="50"/>
        <v/>
      </c>
      <c r="AL102" t="str">
        <f t="shared" si="51"/>
        <v/>
      </c>
      <c r="AM102" t="str">
        <f t="shared" si="52"/>
        <v/>
      </c>
    </row>
    <row r="103" spans="1:39" ht="15" customHeight="1" x14ac:dyDescent="0.25">
      <c r="A103" s="131"/>
      <c r="B103" s="133"/>
      <c r="C103" s="133"/>
      <c r="D103" s="42" t="str">
        <f t="shared" si="27"/>
        <v/>
      </c>
      <c r="E103" s="43"/>
      <c r="F103" s="135"/>
      <c r="G103" s="77" t="str">
        <f t="shared" si="28"/>
        <v/>
      </c>
      <c r="H103" s="32" t="str">
        <f t="shared" si="29"/>
        <v/>
      </c>
      <c r="I103" s="78" t="str">
        <f t="shared" si="30"/>
        <v/>
      </c>
      <c r="J103" s="70" t="str">
        <f t="shared" si="31"/>
        <v/>
      </c>
      <c r="K103" s="135"/>
      <c r="L103" s="72" t="str">
        <f t="shared" si="32"/>
        <v/>
      </c>
      <c r="M103" s="135"/>
      <c r="N103" s="72" t="str">
        <f t="shared" si="33"/>
        <v/>
      </c>
      <c r="O103" s="135"/>
      <c r="P103" s="136"/>
      <c r="Q103" s="123" t="str">
        <f t="shared" si="34"/>
        <v/>
      </c>
      <c r="R103" s="45" t="str">
        <f t="shared" si="35"/>
        <v/>
      </c>
      <c r="S103" s="137"/>
      <c r="T103" s="79" t="str">
        <f t="shared" si="44"/>
        <v/>
      </c>
      <c r="U103" s="79" t="str">
        <f t="shared" si="36"/>
        <v/>
      </c>
      <c r="V103" s="73" t="str">
        <f t="shared" si="37"/>
        <v/>
      </c>
      <c r="W103" s="80" t="str">
        <f t="shared" si="38"/>
        <v/>
      </c>
      <c r="X103" s="73" t="str">
        <f t="shared" si="39"/>
        <v/>
      </c>
      <c r="Y103" s="80" t="str">
        <f t="shared" si="40"/>
        <v/>
      </c>
      <c r="Z103" s="74" t="str">
        <f t="shared" si="41"/>
        <v/>
      </c>
      <c r="AA103" s="75" t="str">
        <f t="shared" si="45"/>
        <v/>
      </c>
      <c r="AB103" s="103" t="str">
        <f t="shared" si="42"/>
        <v/>
      </c>
      <c r="AC103" s="104" t="str">
        <f t="shared" si="53"/>
        <v/>
      </c>
      <c r="AE103" s="139"/>
      <c r="AF103" s="110" t="str">
        <f t="shared" si="46"/>
        <v/>
      </c>
      <c r="AG103" s="111" t="str">
        <f t="shared" si="47"/>
        <v/>
      </c>
      <c r="AH103" s="111" t="str">
        <f t="shared" si="43"/>
        <v/>
      </c>
      <c r="AI103" s="111" t="str">
        <f t="shared" si="48"/>
        <v/>
      </c>
      <c r="AJ103" s="111" t="str">
        <f t="shared" si="49"/>
        <v/>
      </c>
      <c r="AK103" s="112" t="str">
        <f t="shared" si="50"/>
        <v/>
      </c>
      <c r="AL103" t="str">
        <f t="shared" si="51"/>
        <v/>
      </c>
      <c r="AM103" t="str">
        <f t="shared" si="52"/>
        <v/>
      </c>
    </row>
    <row r="104" spans="1:39" ht="15" customHeight="1" x14ac:dyDescent="0.25">
      <c r="A104" s="131"/>
      <c r="B104" s="133"/>
      <c r="C104" s="133"/>
      <c r="D104" s="42" t="str">
        <f t="shared" si="27"/>
        <v/>
      </c>
      <c r="E104" s="43"/>
      <c r="F104" s="135"/>
      <c r="G104" s="77" t="str">
        <f t="shared" si="28"/>
        <v/>
      </c>
      <c r="H104" s="32" t="str">
        <f t="shared" si="29"/>
        <v/>
      </c>
      <c r="I104" s="78" t="str">
        <f t="shared" si="30"/>
        <v/>
      </c>
      <c r="J104" s="70" t="str">
        <f t="shared" si="31"/>
        <v/>
      </c>
      <c r="K104" s="135"/>
      <c r="L104" s="72" t="str">
        <f t="shared" si="32"/>
        <v/>
      </c>
      <c r="M104" s="135"/>
      <c r="N104" s="72" t="str">
        <f t="shared" si="33"/>
        <v/>
      </c>
      <c r="O104" s="135"/>
      <c r="P104" s="136"/>
      <c r="Q104" s="123" t="str">
        <f t="shared" si="34"/>
        <v/>
      </c>
      <c r="R104" s="45" t="str">
        <f t="shared" si="35"/>
        <v/>
      </c>
      <c r="S104" s="137"/>
      <c r="T104" s="79" t="str">
        <f t="shared" si="44"/>
        <v/>
      </c>
      <c r="U104" s="79" t="str">
        <f t="shared" si="36"/>
        <v/>
      </c>
      <c r="V104" s="73" t="str">
        <f t="shared" si="37"/>
        <v/>
      </c>
      <c r="W104" s="80" t="str">
        <f t="shared" si="38"/>
        <v/>
      </c>
      <c r="X104" s="73" t="str">
        <f t="shared" si="39"/>
        <v/>
      </c>
      <c r="Y104" s="80" t="str">
        <f t="shared" si="40"/>
        <v/>
      </c>
      <c r="Z104" s="74" t="str">
        <f t="shared" si="41"/>
        <v/>
      </c>
      <c r="AA104" s="75" t="str">
        <f t="shared" si="45"/>
        <v/>
      </c>
      <c r="AB104" s="103" t="str">
        <f t="shared" si="42"/>
        <v/>
      </c>
      <c r="AC104" s="104" t="str">
        <f t="shared" si="53"/>
        <v/>
      </c>
      <c r="AE104" s="139"/>
      <c r="AF104" s="110" t="str">
        <f t="shared" si="46"/>
        <v/>
      </c>
      <c r="AG104" s="111" t="str">
        <f t="shared" si="47"/>
        <v/>
      </c>
      <c r="AH104" s="111" t="str">
        <f t="shared" si="43"/>
        <v/>
      </c>
      <c r="AI104" s="111" t="str">
        <f t="shared" si="48"/>
        <v/>
      </c>
      <c r="AJ104" s="111" t="str">
        <f t="shared" si="49"/>
        <v/>
      </c>
      <c r="AK104" s="112" t="str">
        <f t="shared" si="50"/>
        <v/>
      </c>
      <c r="AL104" t="str">
        <f t="shared" si="51"/>
        <v/>
      </c>
      <c r="AM104" t="str">
        <f t="shared" si="52"/>
        <v/>
      </c>
    </row>
    <row r="105" spans="1:39" ht="15" customHeight="1" x14ac:dyDescent="0.25">
      <c r="A105" s="131"/>
      <c r="B105" s="133"/>
      <c r="C105" s="133"/>
      <c r="D105" s="42" t="str">
        <f t="shared" si="27"/>
        <v/>
      </c>
      <c r="E105" s="43"/>
      <c r="F105" s="135"/>
      <c r="G105" s="77" t="str">
        <f t="shared" si="28"/>
        <v/>
      </c>
      <c r="H105" s="32" t="str">
        <f t="shared" si="29"/>
        <v/>
      </c>
      <c r="I105" s="78" t="str">
        <f t="shared" si="30"/>
        <v/>
      </c>
      <c r="J105" s="70" t="str">
        <f t="shared" si="31"/>
        <v/>
      </c>
      <c r="K105" s="135"/>
      <c r="L105" s="72" t="str">
        <f t="shared" si="32"/>
        <v/>
      </c>
      <c r="M105" s="135"/>
      <c r="N105" s="72" t="str">
        <f t="shared" si="33"/>
        <v/>
      </c>
      <c r="O105" s="135"/>
      <c r="P105" s="136"/>
      <c r="Q105" s="123" t="str">
        <f t="shared" si="34"/>
        <v/>
      </c>
      <c r="R105" s="45" t="str">
        <f t="shared" si="35"/>
        <v/>
      </c>
      <c r="S105" s="137"/>
      <c r="T105" s="79" t="str">
        <f t="shared" si="44"/>
        <v/>
      </c>
      <c r="U105" s="79" t="str">
        <f t="shared" si="36"/>
        <v/>
      </c>
      <c r="V105" s="73" t="str">
        <f t="shared" si="37"/>
        <v/>
      </c>
      <c r="W105" s="80" t="str">
        <f t="shared" si="38"/>
        <v/>
      </c>
      <c r="X105" s="73" t="str">
        <f t="shared" si="39"/>
        <v/>
      </c>
      <c r="Y105" s="80" t="str">
        <f t="shared" si="40"/>
        <v/>
      </c>
      <c r="Z105" s="74" t="str">
        <f t="shared" si="41"/>
        <v/>
      </c>
      <c r="AA105" s="75" t="str">
        <f t="shared" si="45"/>
        <v/>
      </c>
      <c r="AB105" s="103" t="str">
        <f t="shared" si="42"/>
        <v/>
      </c>
      <c r="AC105" s="104" t="str">
        <f t="shared" si="53"/>
        <v/>
      </c>
      <c r="AE105" s="139"/>
      <c r="AF105" s="110" t="str">
        <f t="shared" si="46"/>
        <v/>
      </c>
      <c r="AG105" s="111" t="str">
        <f t="shared" si="47"/>
        <v/>
      </c>
      <c r="AH105" s="111" t="str">
        <f t="shared" si="43"/>
        <v/>
      </c>
      <c r="AI105" s="111" t="str">
        <f t="shared" si="48"/>
        <v/>
      </c>
      <c r="AJ105" s="111" t="str">
        <f t="shared" si="49"/>
        <v/>
      </c>
      <c r="AK105" s="112" t="str">
        <f t="shared" si="50"/>
        <v/>
      </c>
      <c r="AL105" t="str">
        <f t="shared" si="51"/>
        <v/>
      </c>
      <c r="AM105" t="str">
        <f t="shared" si="52"/>
        <v/>
      </c>
    </row>
    <row r="106" spans="1:39" ht="15" customHeight="1" x14ac:dyDescent="0.25">
      <c r="A106" s="131"/>
      <c r="B106" s="133"/>
      <c r="C106" s="133"/>
      <c r="D106" s="42" t="str">
        <f t="shared" si="27"/>
        <v/>
      </c>
      <c r="E106" s="43"/>
      <c r="F106" s="135"/>
      <c r="G106" s="77" t="str">
        <f t="shared" si="28"/>
        <v/>
      </c>
      <c r="H106" s="32" t="str">
        <f t="shared" si="29"/>
        <v/>
      </c>
      <c r="I106" s="78" t="str">
        <f t="shared" si="30"/>
        <v/>
      </c>
      <c r="J106" s="70" t="str">
        <f t="shared" si="31"/>
        <v/>
      </c>
      <c r="K106" s="135"/>
      <c r="L106" s="72" t="str">
        <f t="shared" si="32"/>
        <v/>
      </c>
      <c r="M106" s="135"/>
      <c r="N106" s="72" t="str">
        <f t="shared" si="33"/>
        <v/>
      </c>
      <c r="O106" s="135"/>
      <c r="P106" s="136"/>
      <c r="Q106" s="123" t="str">
        <f t="shared" si="34"/>
        <v/>
      </c>
      <c r="R106" s="45" t="str">
        <f t="shared" si="35"/>
        <v/>
      </c>
      <c r="S106" s="137"/>
      <c r="T106" s="79" t="str">
        <f t="shared" si="44"/>
        <v/>
      </c>
      <c r="U106" s="79" t="str">
        <f t="shared" si="36"/>
        <v/>
      </c>
      <c r="V106" s="73" t="str">
        <f t="shared" si="37"/>
        <v/>
      </c>
      <c r="W106" s="80" t="str">
        <f t="shared" si="38"/>
        <v/>
      </c>
      <c r="X106" s="73" t="str">
        <f t="shared" si="39"/>
        <v/>
      </c>
      <c r="Y106" s="80" t="str">
        <f t="shared" si="40"/>
        <v/>
      </c>
      <c r="Z106" s="74" t="str">
        <f t="shared" si="41"/>
        <v/>
      </c>
      <c r="AA106" s="75" t="str">
        <f t="shared" si="45"/>
        <v/>
      </c>
      <c r="AB106" s="103" t="str">
        <f t="shared" si="42"/>
        <v/>
      </c>
      <c r="AC106" s="104" t="str">
        <f t="shared" si="53"/>
        <v/>
      </c>
      <c r="AE106" s="139"/>
      <c r="AF106" s="110" t="str">
        <f t="shared" si="46"/>
        <v/>
      </c>
      <c r="AG106" s="111" t="str">
        <f t="shared" si="47"/>
        <v/>
      </c>
      <c r="AH106" s="111" t="str">
        <f t="shared" si="43"/>
        <v/>
      </c>
      <c r="AI106" s="111" t="str">
        <f t="shared" si="48"/>
        <v/>
      </c>
      <c r="AJ106" s="111" t="str">
        <f t="shared" si="49"/>
        <v/>
      </c>
      <c r="AK106" s="112" t="str">
        <f t="shared" si="50"/>
        <v/>
      </c>
      <c r="AL106" t="str">
        <f t="shared" si="51"/>
        <v/>
      </c>
      <c r="AM106" t="str">
        <f t="shared" si="52"/>
        <v/>
      </c>
    </row>
    <row r="107" spans="1:39" ht="15" customHeight="1" x14ac:dyDescent="0.25">
      <c r="A107" s="131"/>
      <c r="B107" s="133"/>
      <c r="C107" s="133"/>
      <c r="D107" s="42" t="str">
        <f t="shared" si="27"/>
        <v/>
      </c>
      <c r="E107" s="43"/>
      <c r="F107" s="135"/>
      <c r="G107" s="77" t="str">
        <f t="shared" si="28"/>
        <v/>
      </c>
      <c r="H107" s="32" t="str">
        <f t="shared" si="29"/>
        <v/>
      </c>
      <c r="I107" s="78" t="str">
        <f t="shared" si="30"/>
        <v/>
      </c>
      <c r="J107" s="70" t="str">
        <f t="shared" si="31"/>
        <v/>
      </c>
      <c r="K107" s="135"/>
      <c r="L107" s="72" t="str">
        <f t="shared" si="32"/>
        <v/>
      </c>
      <c r="M107" s="135"/>
      <c r="N107" s="72" t="str">
        <f t="shared" si="33"/>
        <v/>
      </c>
      <c r="O107" s="135"/>
      <c r="P107" s="136"/>
      <c r="Q107" s="123" t="str">
        <f t="shared" si="34"/>
        <v/>
      </c>
      <c r="R107" s="45" t="str">
        <f t="shared" si="35"/>
        <v/>
      </c>
      <c r="S107" s="137"/>
      <c r="T107" s="79" t="str">
        <f t="shared" si="44"/>
        <v/>
      </c>
      <c r="U107" s="79" t="str">
        <f t="shared" si="36"/>
        <v/>
      </c>
      <c r="V107" s="73" t="str">
        <f t="shared" si="37"/>
        <v/>
      </c>
      <c r="W107" s="80" t="str">
        <f t="shared" si="38"/>
        <v/>
      </c>
      <c r="X107" s="73" t="str">
        <f t="shared" si="39"/>
        <v/>
      </c>
      <c r="Y107" s="80" t="str">
        <f t="shared" si="40"/>
        <v/>
      </c>
      <c r="Z107" s="74" t="str">
        <f t="shared" si="41"/>
        <v/>
      </c>
      <c r="AA107" s="75" t="str">
        <f t="shared" si="45"/>
        <v/>
      </c>
      <c r="AB107" s="103" t="str">
        <f t="shared" si="42"/>
        <v/>
      </c>
      <c r="AC107" s="104" t="str">
        <f t="shared" si="53"/>
        <v/>
      </c>
      <c r="AE107" s="139"/>
      <c r="AF107" s="110" t="str">
        <f t="shared" si="46"/>
        <v/>
      </c>
      <c r="AG107" s="111" t="str">
        <f t="shared" si="47"/>
        <v/>
      </c>
      <c r="AH107" s="111" t="str">
        <f t="shared" si="43"/>
        <v/>
      </c>
      <c r="AI107" s="111" t="str">
        <f t="shared" si="48"/>
        <v/>
      </c>
      <c r="AJ107" s="111" t="str">
        <f t="shared" si="49"/>
        <v/>
      </c>
      <c r="AK107" s="112" t="str">
        <f t="shared" si="50"/>
        <v/>
      </c>
      <c r="AL107" t="str">
        <f t="shared" si="51"/>
        <v/>
      </c>
      <c r="AM107" t="str">
        <f t="shared" si="52"/>
        <v/>
      </c>
    </row>
    <row r="108" spans="1:39" ht="15" customHeight="1" x14ac:dyDescent="0.25">
      <c r="A108" s="131"/>
      <c r="B108" s="133"/>
      <c r="C108" s="133"/>
      <c r="D108" s="42" t="str">
        <f t="shared" si="27"/>
        <v/>
      </c>
      <c r="E108" s="43"/>
      <c r="F108" s="135"/>
      <c r="G108" s="77" t="str">
        <f t="shared" si="28"/>
        <v/>
      </c>
      <c r="H108" s="32" t="str">
        <f t="shared" si="29"/>
        <v/>
      </c>
      <c r="I108" s="78" t="str">
        <f t="shared" si="30"/>
        <v/>
      </c>
      <c r="J108" s="70" t="str">
        <f t="shared" si="31"/>
        <v/>
      </c>
      <c r="K108" s="135"/>
      <c r="L108" s="72" t="str">
        <f t="shared" si="32"/>
        <v/>
      </c>
      <c r="M108" s="135"/>
      <c r="N108" s="72" t="str">
        <f t="shared" si="33"/>
        <v/>
      </c>
      <c r="O108" s="135"/>
      <c r="P108" s="136"/>
      <c r="Q108" s="123" t="str">
        <f t="shared" si="34"/>
        <v/>
      </c>
      <c r="R108" s="45" t="str">
        <f t="shared" si="35"/>
        <v/>
      </c>
      <c r="S108" s="137"/>
      <c r="T108" s="79" t="str">
        <f t="shared" si="44"/>
        <v/>
      </c>
      <c r="U108" s="79" t="str">
        <f t="shared" si="36"/>
        <v/>
      </c>
      <c r="V108" s="73" t="str">
        <f t="shared" si="37"/>
        <v/>
      </c>
      <c r="W108" s="80" t="str">
        <f t="shared" si="38"/>
        <v/>
      </c>
      <c r="X108" s="73" t="str">
        <f t="shared" si="39"/>
        <v/>
      </c>
      <c r="Y108" s="80" t="str">
        <f t="shared" si="40"/>
        <v/>
      </c>
      <c r="Z108" s="74" t="str">
        <f t="shared" si="41"/>
        <v/>
      </c>
      <c r="AA108" s="75" t="str">
        <f t="shared" si="45"/>
        <v/>
      </c>
      <c r="AB108" s="103" t="str">
        <f t="shared" si="42"/>
        <v/>
      </c>
      <c r="AC108" s="104" t="str">
        <f t="shared" si="53"/>
        <v/>
      </c>
      <c r="AE108" s="139"/>
      <c r="AF108" s="110" t="str">
        <f t="shared" si="46"/>
        <v/>
      </c>
      <c r="AG108" s="111" t="str">
        <f t="shared" si="47"/>
        <v/>
      </c>
      <c r="AH108" s="111" t="str">
        <f t="shared" si="43"/>
        <v/>
      </c>
      <c r="AI108" s="111" t="str">
        <f t="shared" si="48"/>
        <v/>
      </c>
      <c r="AJ108" s="111" t="str">
        <f t="shared" si="49"/>
        <v/>
      </c>
      <c r="AK108" s="112" t="str">
        <f t="shared" si="50"/>
        <v/>
      </c>
      <c r="AL108" t="str">
        <f t="shared" si="51"/>
        <v/>
      </c>
      <c r="AM108" t="str">
        <f t="shared" si="52"/>
        <v/>
      </c>
    </row>
    <row r="109" spans="1:39" ht="15" customHeight="1" x14ac:dyDescent="0.25">
      <c r="A109" s="131"/>
      <c r="B109" s="133"/>
      <c r="C109" s="133"/>
      <c r="D109" s="42" t="str">
        <f t="shared" si="27"/>
        <v/>
      </c>
      <c r="E109" s="43"/>
      <c r="F109" s="135"/>
      <c r="G109" s="77" t="str">
        <f t="shared" si="28"/>
        <v/>
      </c>
      <c r="H109" s="32" t="str">
        <f t="shared" si="29"/>
        <v/>
      </c>
      <c r="I109" s="78" t="str">
        <f t="shared" si="30"/>
        <v/>
      </c>
      <c r="J109" s="70" t="str">
        <f t="shared" si="31"/>
        <v/>
      </c>
      <c r="K109" s="135"/>
      <c r="L109" s="72" t="str">
        <f t="shared" si="32"/>
        <v/>
      </c>
      <c r="M109" s="135"/>
      <c r="N109" s="72" t="str">
        <f t="shared" si="33"/>
        <v/>
      </c>
      <c r="O109" s="135"/>
      <c r="P109" s="136"/>
      <c r="Q109" s="123" t="str">
        <f t="shared" si="34"/>
        <v/>
      </c>
      <c r="R109" s="45" t="str">
        <f t="shared" si="35"/>
        <v/>
      </c>
      <c r="S109" s="137"/>
      <c r="T109" s="79" t="str">
        <f t="shared" si="44"/>
        <v/>
      </c>
      <c r="U109" s="79" t="str">
        <f t="shared" si="36"/>
        <v/>
      </c>
      <c r="V109" s="73" t="str">
        <f t="shared" si="37"/>
        <v/>
      </c>
      <c r="W109" s="80" t="str">
        <f t="shared" si="38"/>
        <v/>
      </c>
      <c r="X109" s="73" t="str">
        <f t="shared" si="39"/>
        <v/>
      </c>
      <c r="Y109" s="80" t="str">
        <f t="shared" si="40"/>
        <v/>
      </c>
      <c r="Z109" s="74" t="str">
        <f t="shared" si="41"/>
        <v/>
      </c>
      <c r="AA109" s="75" t="str">
        <f t="shared" si="45"/>
        <v/>
      </c>
      <c r="AB109" s="103" t="str">
        <f t="shared" si="42"/>
        <v/>
      </c>
      <c r="AC109" s="104" t="str">
        <f t="shared" si="53"/>
        <v/>
      </c>
      <c r="AE109" s="139"/>
      <c r="AF109" s="110" t="str">
        <f t="shared" si="46"/>
        <v/>
      </c>
      <c r="AG109" s="111" t="str">
        <f t="shared" si="47"/>
        <v/>
      </c>
      <c r="AH109" s="111" t="str">
        <f t="shared" si="43"/>
        <v/>
      </c>
      <c r="AI109" s="111" t="str">
        <f t="shared" si="48"/>
        <v/>
      </c>
      <c r="AJ109" s="111" t="str">
        <f t="shared" si="49"/>
        <v/>
      </c>
      <c r="AK109" s="112" t="str">
        <f t="shared" si="50"/>
        <v/>
      </c>
      <c r="AL109" t="str">
        <f t="shared" si="51"/>
        <v/>
      </c>
      <c r="AM109" t="str">
        <f t="shared" si="52"/>
        <v/>
      </c>
    </row>
    <row r="110" spans="1:39" ht="15" customHeight="1" x14ac:dyDescent="0.25">
      <c r="A110" s="131"/>
      <c r="B110" s="133"/>
      <c r="C110" s="133"/>
      <c r="D110" s="42" t="str">
        <f t="shared" si="27"/>
        <v/>
      </c>
      <c r="E110" s="43"/>
      <c r="F110" s="135"/>
      <c r="G110" s="77" t="str">
        <f t="shared" si="28"/>
        <v/>
      </c>
      <c r="H110" s="32" t="str">
        <f t="shared" si="29"/>
        <v/>
      </c>
      <c r="I110" s="78" t="str">
        <f t="shared" si="30"/>
        <v/>
      </c>
      <c r="J110" s="70" t="str">
        <f t="shared" si="31"/>
        <v/>
      </c>
      <c r="K110" s="135"/>
      <c r="L110" s="72" t="str">
        <f t="shared" si="32"/>
        <v/>
      </c>
      <c r="M110" s="135"/>
      <c r="N110" s="72" t="str">
        <f t="shared" si="33"/>
        <v/>
      </c>
      <c r="O110" s="135"/>
      <c r="P110" s="136"/>
      <c r="Q110" s="123" t="str">
        <f t="shared" si="34"/>
        <v/>
      </c>
      <c r="R110" s="45" t="str">
        <f t="shared" si="35"/>
        <v/>
      </c>
      <c r="S110" s="137"/>
      <c r="T110" s="79" t="str">
        <f t="shared" si="44"/>
        <v/>
      </c>
      <c r="U110" s="79" t="str">
        <f t="shared" si="36"/>
        <v/>
      </c>
      <c r="V110" s="73" t="str">
        <f t="shared" si="37"/>
        <v/>
      </c>
      <c r="W110" s="80" t="str">
        <f t="shared" si="38"/>
        <v/>
      </c>
      <c r="X110" s="73" t="str">
        <f t="shared" si="39"/>
        <v/>
      </c>
      <c r="Y110" s="80" t="str">
        <f t="shared" si="40"/>
        <v/>
      </c>
      <c r="Z110" s="74" t="str">
        <f t="shared" si="41"/>
        <v/>
      </c>
      <c r="AA110" s="75" t="str">
        <f t="shared" si="45"/>
        <v/>
      </c>
      <c r="AB110" s="103" t="str">
        <f t="shared" si="42"/>
        <v/>
      </c>
      <c r="AC110" s="104" t="str">
        <f t="shared" si="53"/>
        <v/>
      </c>
      <c r="AE110" s="139"/>
      <c r="AF110" s="110" t="str">
        <f t="shared" si="46"/>
        <v/>
      </c>
      <c r="AG110" s="111" t="str">
        <f t="shared" si="47"/>
        <v/>
      </c>
      <c r="AH110" s="111" t="str">
        <f t="shared" si="43"/>
        <v/>
      </c>
      <c r="AI110" s="111" t="str">
        <f t="shared" si="48"/>
        <v/>
      </c>
      <c r="AJ110" s="111" t="str">
        <f t="shared" si="49"/>
        <v/>
      </c>
      <c r="AK110" s="112" t="str">
        <f t="shared" si="50"/>
        <v/>
      </c>
      <c r="AL110" t="str">
        <f t="shared" si="51"/>
        <v/>
      </c>
      <c r="AM110" t="str">
        <f t="shared" si="52"/>
        <v/>
      </c>
    </row>
    <row r="111" spans="1:39" ht="15" customHeight="1" x14ac:dyDescent="0.25">
      <c r="A111" s="131"/>
      <c r="B111" s="133"/>
      <c r="C111" s="133"/>
      <c r="D111" s="42" t="str">
        <f t="shared" si="27"/>
        <v/>
      </c>
      <c r="E111" s="43"/>
      <c r="F111" s="135"/>
      <c r="G111" s="77" t="str">
        <f t="shared" si="28"/>
        <v/>
      </c>
      <c r="H111" s="32" t="str">
        <f t="shared" si="29"/>
        <v/>
      </c>
      <c r="I111" s="78" t="str">
        <f t="shared" si="30"/>
        <v/>
      </c>
      <c r="J111" s="70" t="str">
        <f t="shared" si="31"/>
        <v/>
      </c>
      <c r="K111" s="135"/>
      <c r="L111" s="72" t="str">
        <f t="shared" si="32"/>
        <v/>
      </c>
      <c r="M111" s="135"/>
      <c r="N111" s="72" t="str">
        <f t="shared" si="33"/>
        <v/>
      </c>
      <c r="O111" s="135"/>
      <c r="P111" s="136"/>
      <c r="Q111" s="123" t="str">
        <f t="shared" si="34"/>
        <v/>
      </c>
      <c r="R111" s="45" t="str">
        <f t="shared" si="35"/>
        <v/>
      </c>
      <c r="S111" s="137"/>
      <c r="T111" s="79" t="str">
        <f t="shared" si="44"/>
        <v/>
      </c>
      <c r="U111" s="79" t="str">
        <f t="shared" si="36"/>
        <v/>
      </c>
      <c r="V111" s="73" t="str">
        <f t="shared" si="37"/>
        <v/>
      </c>
      <c r="W111" s="80" t="str">
        <f t="shared" si="38"/>
        <v/>
      </c>
      <c r="X111" s="73" t="str">
        <f t="shared" si="39"/>
        <v/>
      </c>
      <c r="Y111" s="80" t="str">
        <f t="shared" si="40"/>
        <v/>
      </c>
      <c r="Z111" s="74" t="str">
        <f t="shared" si="41"/>
        <v/>
      </c>
      <c r="AA111" s="75" t="str">
        <f t="shared" si="45"/>
        <v/>
      </c>
      <c r="AB111" s="103" t="str">
        <f t="shared" si="42"/>
        <v/>
      </c>
      <c r="AC111" s="104" t="str">
        <f t="shared" si="53"/>
        <v/>
      </c>
      <c r="AE111" s="139"/>
      <c r="AF111" s="110" t="str">
        <f t="shared" si="46"/>
        <v/>
      </c>
      <c r="AG111" s="111" t="str">
        <f t="shared" si="47"/>
        <v/>
      </c>
      <c r="AH111" s="111" t="str">
        <f t="shared" si="43"/>
        <v/>
      </c>
      <c r="AI111" s="111" t="str">
        <f t="shared" si="48"/>
        <v/>
      </c>
      <c r="AJ111" s="111" t="str">
        <f t="shared" si="49"/>
        <v/>
      </c>
      <c r="AK111" s="112" t="str">
        <f t="shared" si="50"/>
        <v/>
      </c>
      <c r="AL111" t="str">
        <f t="shared" si="51"/>
        <v/>
      </c>
      <c r="AM111" t="str">
        <f t="shared" si="52"/>
        <v/>
      </c>
    </row>
    <row r="112" spans="1:39" ht="15" customHeight="1" x14ac:dyDescent="0.25">
      <c r="A112" s="131"/>
      <c r="B112" s="133"/>
      <c r="C112" s="133"/>
      <c r="D112" s="42" t="str">
        <f t="shared" si="27"/>
        <v/>
      </c>
      <c r="E112" s="43"/>
      <c r="F112" s="135"/>
      <c r="G112" s="77" t="str">
        <f t="shared" si="28"/>
        <v/>
      </c>
      <c r="H112" s="32" t="str">
        <f t="shared" si="29"/>
        <v/>
      </c>
      <c r="I112" s="78" t="str">
        <f t="shared" si="30"/>
        <v/>
      </c>
      <c r="J112" s="70" t="str">
        <f t="shared" si="31"/>
        <v/>
      </c>
      <c r="K112" s="135"/>
      <c r="L112" s="72" t="str">
        <f t="shared" si="32"/>
        <v/>
      </c>
      <c r="M112" s="135"/>
      <c r="N112" s="72" t="str">
        <f t="shared" si="33"/>
        <v/>
      </c>
      <c r="O112" s="135"/>
      <c r="P112" s="136"/>
      <c r="Q112" s="123" t="str">
        <f t="shared" si="34"/>
        <v/>
      </c>
      <c r="R112" s="45" t="str">
        <f t="shared" si="35"/>
        <v/>
      </c>
      <c r="S112" s="137"/>
      <c r="T112" s="79" t="str">
        <f t="shared" si="44"/>
        <v/>
      </c>
      <c r="U112" s="79" t="str">
        <f t="shared" si="36"/>
        <v/>
      </c>
      <c r="V112" s="73" t="str">
        <f t="shared" si="37"/>
        <v/>
      </c>
      <c r="W112" s="80" t="str">
        <f t="shared" si="38"/>
        <v/>
      </c>
      <c r="X112" s="73" t="str">
        <f t="shared" si="39"/>
        <v/>
      </c>
      <c r="Y112" s="80" t="str">
        <f t="shared" si="40"/>
        <v/>
      </c>
      <c r="Z112" s="74" t="str">
        <f t="shared" si="41"/>
        <v/>
      </c>
      <c r="AA112" s="75" t="str">
        <f t="shared" si="45"/>
        <v/>
      </c>
      <c r="AB112" s="103" t="str">
        <f t="shared" si="42"/>
        <v/>
      </c>
      <c r="AC112" s="104" t="str">
        <f t="shared" si="53"/>
        <v/>
      </c>
      <c r="AE112" s="139"/>
      <c r="AF112" s="110" t="str">
        <f t="shared" si="46"/>
        <v/>
      </c>
      <c r="AG112" s="111" t="str">
        <f t="shared" si="47"/>
        <v/>
      </c>
      <c r="AH112" s="111" t="str">
        <f t="shared" si="43"/>
        <v/>
      </c>
      <c r="AI112" s="111" t="str">
        <f t="shared" si="48"/>
        <v/>
      </c>
      <c r="AJ112" s="111" t="str">
        <f t="shared" si="49"/>
        <v/>
      </c>
      <c r="AK112" s="112" t="str">
        <f t="shared" si="50"/>
        <v/>
      </c>
      <c r="AL112" t="str">
        <f t="shared" si="51"/>
        <v/>
      </c>
      <c r="AM112" t="str">
        <f t="shared" si="52"/>
        <v/>
      </c>
    </row>
    <row r="113" spans="1:39" ht="15" customHeight="1" x14ac:dyDescent="0.25">
      <c r="A113" s="131"/>
      <c r="B113" s="133"/>
      <c r="C113" s="133"/>
      <c r="D113" s="42" t="str">
        <f t="shared" si="27"/>
        <v/>
      </c>
      <c r="E113" s="43"/>
      <c r="F113" s="135"/>
      <c r="G113" s="77" t="str">
        <f t="shared" si="28"/>
        <v/>
      </c>
      <c r="H113" s="32" t="str">
        <f t="shared" si="29"/>
        <v/>
      </c>
      <c r="I113" s="78" t="str">
        <f t="shared" si="30"/>
        <v/>
      </c>
      <c r="J113" s="70" t="str">
        <f t="shared" si="31"/>
        <v/>
      </c>
      <c r="K113" s="135"/>
      <c r="L113" s="72" t="str">
        <f t="shared" si="32"/>
        <v/>
      </c>
      <c r="M113" s="135"/>
      <c r="N113" s="72" t="str">
        <f t="shared" si="33"/>
        <v/>
      </c>
      <c r="O113" s="135"/>
      <c r="P113" s="136"/>
      <c r="Q113" s="123" t="str">
        <f t="shared" si="34"/>
        <v/>
      </c>
      <c r="R113" s="45" t="str">
        <f t="shared" si="35"/>
        <v/>
      </c>
      <c r="S113" s="137"/>
      <c r="T113" s="79" t="str">
        <f t="shared" si="44"/>
        <v/>
      </c>
      <c r="U113" s="79" t="str">
        <f t="shared" si="36"/>
        <v/>
      </c>
      <c r="V113" s="73" t="str">
        <f t="shared" si="37"/>
        <v/>
      </c>
      <c r="W113" s="80" t="str">
        <f t="shared" si="38"/>
        <v/>
      </c>
      <c r="X113" s="73" t="str">
        <f t="shared" si="39"/>
        <v/>
      </c>
      <c r="Y113" s="80" t="str">
        <f t="shared" si="40"/>
        <v/>
      </c>
      <c r="Z113" s="74" t="str">
        <f t="shared" si="41"/>
        <v/>
      </c>
      <c r="AA113" s="75" t="str">
        <f t="shared" si="45"/>
        <v/>
      </c>
      <c r="AB113" s="103" t="str">
        <f t="shared" si="42"/>
        <v/>
      </c>
      <c r="AC113" s="104" t="str">
        <f t="shared" si="53"/>
        <v/>
      </c>
      <c r="AE113" s="139"/>
      <c r="AF113" s="110" t="str">
        <f t="shared" si="46"/>
        <v/>
      </c>
      <c r="AG113" s="111" t="str">
        <f t="shared" si="47"/>
        <v/>
      </c>
      <c r="AH113" s="111" t="str">
        <f t="shared" si="43"/>
        <v/>
      </c>
      <c r="AI113" s="111" t="str">
        <f t="shared" si="48"/>
        <v/>
      </c>
      <c r="AJ113" s="111" t="str">
        <f t="shared" si="49"/>
        <v/>
      </c>
      <c r="AK113" s="112" t="str">
        <f t="shared" si="50"/>
        <v/>
      </c>
      <c r="AL113" t="str">
        <f t="shared" si="51"/>
        <v/>
      </c>
      <c r="AM113" t="str">
        <f t="shared" si="52"/>
        <v/>
      </c>
    </row>
    <row r="114" spans="1:39" ht="15" customHeight="1" x14ac:dyDescent="0.25">
      <c r="A114" s="131"/>
      <c r="B114" s="133"/>
      <c r="C114" s="133"/>
      <c r="D114" s="42" t="str">
        <f t="shared" si="27"/>
        <v/>
      </c>
      <c r="E114" s="43"/>
      <c r="F114" s="135"/>
      <c r="G114" s="77" t="str">
        <f t="shared" si="28"/>
        <v/>
      </c>
      <c r="H114" s="32" t="str">
        <f t="shared" si="29"/>
        <v/>
      </c>
      <c r="I114" s="78" t="str">
        <f t="shared" si="30"/>
        <v/>
      </c>
      <c r="J114" s="70" t="str">
        <f t="shared" si="31"/>
        <v/>
      </c>
      <c r="K114" s="135"/>
      <c r="L114" s="72" t="str">
        <f t="shared" si="32"/>
        <v/>
      </c>
      <c r="M114" s="135"/>
      <c r="N114" s="72" t="str">
        <f t="shared" si="33"/>
        <v/>
      </c>
      <c r="O114" s="135"/>
      <c r="P114" s="136"/>
      <c r="Q114" s="123" t="str">
        <f t="shared" si="34"/>
        <v/>
      </c>
      <c r="R114" s="45" t="str">
        <f t="shared" si="35"/>
        <v/>
      </c>
      <c r="S114" s="137"/>
      <c r="T114" s="79" t="str">
        <f t="shared" si="44"/>
        <v/>
      </c>
      <c r="U114" s="79" t="str">
        <f t="shared" si="36"/>
        <v/>
      </c>
      <c r="V114" s="73" t="str">
        <f t="shared" si="37"/>
        <v/>
      </c>
      <c r="W114" s="80" t="str">
        <f t="shared" si="38"/>
        <v/>
      </c>
      <c r="X114" s="73" t="str">
        <f t="shared" si="39"/>
        <v/>
      </c>
      <c r="Y114" s="80" t="str">
        <f t="shared" si="40"/>
        <v/>
      </c>
      <c r="Z114" s="74" t="str">
        <f t="shared" si="41"/>
        <v/>
      </c>
      <c r="AA114" s="75" t="str">
        <f t="shared" si="45"/>
        <v/>
      </c>
      <c r="AB114" s="103" t="str">
        <f t="shared" si="42"/>
        <v/>
      </c>
      <c r="AC114" s="104" t="str">
        <f t="shared" si="53"/>
        <v/>
      </c>
      <c r="AE114" s="139"/>
      <c r="AF114" s="110" t="str">
        <f t="shared" si="46"/>
        <v/>
      </c>
      <c r="AG114" s="111" t="str">
        <f t="shared" si="47"/>
        <v/>
      </c>
      <c r="AH114" s="111" t="str">
        <f t="shared" si="43"/>
        <v/>
      </c>
      <c r="AI114" s="111" t="str">
        <f t="shared" si="48"/>
        <v/>
      </c>
      <c r="AJ114" s="111" t="str">
        <f t="shared" si="49"/>
        <v/>
      </c>
      <c r="AK114" s="112" t="str">
        <f t="shared" si="50"/>
        <v/>
      </c>
      <c r="AL114" t="str">
        <f t="shared" si="51"/>
        <v/>
      </c>
      <c r="AM114" t="str">
        <f t="shared" si="52"/>
        <v/>
      </c>
    </row>
    <row r="115" spans="1:39" ht="15" customHeight="1" x14ac:dyDescent="0.25">
      <c r="A115" s="131"/>
      <c r="B115" s="133"/>
      <c r="C115" s="133"/>
      <c r="D115" s="42" t="str">
        <f t="shared" si="27"/>
        <v/>
      </c>
      <c r="E115" s="43"/>
      <c r="F115" s="135"/>
      <c r="G115" s="77" t="str">
        <f t="shared" si="28"/>
        <v/>
      </c>
      <c r="H115" s="32" t="str">
        <f t="shared" si="29"/>
        <v/>
      </c>
      <c r="I115" s="78" t="str">
        <f t="shared" si="30"/>
        <v/>
      </c>
      <c r="J115" s="70" t="str">
        <f t="shared" si="31"/>
        <v/>
      </c>
      <c r="K115" s="135"/>
      <c r="L115" s="72" t="str">
        <f t="shared" si="32"/>
        <v/>
      </c>
      <c r="M115" s="135"/>
      <c r="N115" s="72" t="str">
        <f t="shared" si="33"/>
        <v/>
      </c>
      <c r="O115" s="135"/>
      <c r="P115" s="136"/>
      <c r="Q115" s="123" t="str">
        <f t="shared" si="34"/>
        <v/>
      </c>
      <c r="R115" s="45" t="str">
        <f t="shared" si="35"/>
        <v/>
      </c>
      <c r="S115" s="137"/>
      <c r="T115" s="79" t="str">
        <f t="shared" si="44"/>
        <v/>
      </c>
      <c r="U115" s="79" t="str">
        <f t="shared" si="36"/>
        <v/>
      </c>
      <c r="V115" s="73" t="str">
        <f t="shared" si="37"/>
        <v/>
      </c>
      <c r="W115" s="80" t="str">
        <f t="shared" si="38"/>
        <v/>
      </c>
      <c r="X115" s="73" t="str">
        <f t="shared" si="39"/>
        <v/>
      </c>
      <c r="Y115" s="80" t="str">
        <f t="shared" si="40"/>
        <v/>
      </c>
      <c r="Z115" s="74" t="str">
        <f t="shared" si="41"/>
        <v/>
      </c>
      <c r="AA115" s="75" t="str">
        <f t="shared" si="45"/>
        <v/>
      </c>
      <c r="AB115" s="103" t="str">
        <f t="shared" si="42"/>
        <v/>
      </c>
      <c r="AC115" s="104" t="str">
        <f t="shared" si="53"/>
        <v/>
      </c>
      <c r="AE115" s="139"/>
      <c r="AF115" s="110" t="str">
        <f t="shared" si="46"/>
        <v/>
      </c>
      <c r="AG115" s="111" t="str">
        <f t="shared" si="47"/>
        <v/>
      </c>
      <c r="AH115" s="111" t="str">
        <f t="shared" si="43"/>
        <v/>
      </c>
      <c r="AI115" s="111" t="str">
        <f t="shared" si="48"/>
        <v/>
      </c>
      <c r="AJ115" s="111" t="str">
        <f t="shared" si="49"/>
        <v/>
      </c>
      <c r="AK115" s="112" t="str">
        <f t="shared" si="50"/>
        <v/>
      </c>
      <c r="AL115" t="str">
        <f t="shared" si="51"/>
        <v/>
      </c>
      <c r="AM115" t="str">
        <f t="shared" si="52"/>
        <v/>
      </c>
    </row>
    <row r="116" spans="1:39" ht="15" customHeight="1" x14ac:dyDescent="0.25">
      <c r="A116" s="131"/>
      <c r="B116" s="133"/>
      <c r="C116" s="133"/>
      <c r="D116" s="42" t="str">
        <f t="shared" si="27"/>
        <v/>
      </c>
      <c r="E116" s="43"/>
      <c r="F116" s="135"/>
      <c r="G116" s="77" t="str">
        <f t="shared" si="28"/>
        <v/>
      </c>
      <c r="H116" s="32" t="str">
        <f t="shared" si="29"/>
        <v/>
      </c>
      <c r="I116" s="78" t="str">
        <f t="shared" si="30"/>
        <v/>
      </c>
      <c r="J116" s="70" t="str">
        <f t="shared" si="31"/>
        <v/>
      </c>
      <c r="K116" s="135"/>
      <c r="L116" s="72" t="str">
        <f t="shared" si="32"/>
        <v/>
      </c>
      <c r="M116" s="135"/>
      <c r="N116" s="72" t="str">
        <f t="shared" si="33"/>
        <v/>
      </c>
      <c r="O116" s="135"/>
      <c r="P116" s="136"/>
      <c r="Q116" s="123" t="str">
        <f t="shared" si="34"/>
        <v/>
      </c>
      <c r="R116" s="45" t="str">
        <f t="shared" si="35"/>
        <v/>
      </c>
      <c r="S116" s="137"/>
      <c r="T116" s="79" t="str">
        <f t="shared" si="44"/>
        <v/>
      </c>
      <c r="U116" s="79" t="str">
        <f t="shared" si="36"/>
        <v/>
      </c>
      <c r="V116" s="73" t="str">
        <f t="shared" si="37"/>
        <v/>
      </c>
      <c r="W116" s="80" t="str">
        <f t="shared" si="38"/>
        <v/>
      </c>
      <c r="X116" s="73" t="str">
        <f t="shared" si="39"/>
        <v/>
      </c>
      <c r="Y116" s="80" t="str">
        <f t="shared" si="40"/>
        <v/>
      </c>
      <c r="Z116" s="74" t="str">
        <f t="shared" si="41"/>
        <v/>
      </c>
      <c r="AA116" s="75" t="str">
        <f t="shared" si="45"/>
        <v/>
      </c>
      <c r="AB116" s="103" t="str">
        <f t="shared" si="42"/>
        <v/>
      </c>
      <c r="AC116" s="104" t="str">
        <f t="shared" si="53"/>
        <v/>
      </c>
      <c r="AE116" s="139"/>
      <c r="AF116" s="110" t="str">
        <f t="shared" si="46"/>
        <v/>
      </c>
      <c r="AG116" s="111" t="str">
        <f t="shared" si="47"/>
        <v/>
      </c>
      <c r="AH116" s="111" t="str">
        <f t="shared" si="43"/>
        <v/>
      </c>
      <c r="AI116" s="111" t="str">
        <f t="shared" si="48"/>
        <v/>
      </c>
      <c r="AJ116" s="111" t="str">
        <f t="shared" si="49"/>
        <v/>
      </c>
      <c r="AK116" s="112" t="str">
        <f t="shared" si="50"/>
        <v/>
      </c>
      <c r="AL116" t="str">
        <f t="shared" si="51"/>
        <v/>
      </c>
      <c r="AM116" t="str">
        <f t="shared" si="52"/>
        <v/>
      </c>
    </row>
    <row r="117" spans="1:39" ht="15" customHeight="1" x14ac:dyDescent="0.25">
      <c r="A117" s="131"/>
      <c r="B117" s="133"/>
      <c r="C117" s="133"/>
      <c r="D117" s="42" t="str">
        <f t="shared" si="27"/>
        <v/>
      </c>
      <c r="E117" s="43"/>
      <c r="F117" s="135"/>
      <c r="G117" s="77" t="str">
        <f t="shared" si="28"/>
        <v/>
      </c>
      <c r="H117" s="32" t="str">
        <f t="shared" si="29"/>
        <v/>
      </c>
      <c r="I117" s="78" t="str">
        <f t="shared" si="30"/>
        <v/>
      </c>
      <c r="J117" s="70" t="str">
        <f t="shared" si="31"/>
        <v/>
      </c>
      <c r="K117" s="135"/>
      <c r="L117" s="72" t="str">
        <f t="shared" si="32"/>
        <v/>
      </c>
      <c r="M117" s="135"/>
      <c r="N117" s="72" t="str">
        <f t="shared" si="33"/>
        <v/>
      </c>
      <c r="O117" s="135"/>
      <c r="P117" s="136"/>
      <c r="Q117" s="123" t="str">
        <f t="shared" si="34"/>
        <v/>
      </c>
      <c r="R117" s="45" t="str">
        <f t="shared" si="35"/>
        <v/>
      </c>
      <c r="S117" s="137"/>
      <c r="T117" s="79" t="str">
        <f t="shared" si="44"/>
        <v/>
      </c>
      <c r="U117" s="79" t="str">
        <f t="shared" si="36"/>
        <v/>
      </c>
      <c r="V117" s="73" t="str">
        <f t="shared" si="37"/>
        <v/>
      </c>
      <c r="W117" s="80" t="str">
        <f t="shared" si="38"/>
        <v/>
      </c>
      <c r="X117" s="73" t="str">
        <f t="shared" si="39"/>
        <v/>
      </c>
      <c r="Y117" s="80" t="str">
        <f t="shared" si="40"/>
        <v/>
      </c>
      <c r="Z117" s="74" t="str">
        <f t="shared" si="41"/>
        <v/>
      </c>
      <c r="AA117" s="75" t="str">
        <f t="shared" si="45"/>
        <v/>
      </c>
      <c r="AB117" s="103" t="str">
        <f t="shared" si="42"/>
        <v/>
      </c>
      <c r="AC117" s="104" t="str">
        <f t="shared" si="53"/>
        <v/>
      </c>
      <c r="AE117" s="139"/>
      <c r="AF117" s="110" t="str">
        <f t="shared" si="46"/>
        <v/>
      </c>
      <c r="AG117" s="111" t="str">
        <f t="shared" si="47"/>
        <v/>
      </c>
      <c r="AH117" s="111" t="str">
        <f t="shared" si="43"/>
        <v/>
      </c>
      <c r="AI117" s="111" t="str">
        <f t="shared" si="48"/>
        <v/>
      </c>
      <c r="AJ117" s="111" t="str">
        <f t="shared" si="49"/>
        <v/>
      </c>
      <c r="AK117" s="112" t="str">
        <f t="shared" si="50"/>
        <v/>
      </c>
      <c r="AL117" t="str">
        <f t="shared" si="51"/>
        <v/>
      </c>
      <c r="AM117" t="str">
        <f t="shared" si="52"/>
        <v/>
      </c>
    </row>
    <row r="118" spans="1:39" ht="15" customHeight="1" x14ac:dyDescent="0.25">
      <c r="A118" s="131"/>
      <c r="B118" s="133"/>
      <c r="C118" s="133"/>
      <c r="D118" s="42" t="str">
        <f t="shared" si="27"/>
        <v/>
      </c>
      <c r="E118" s="43"/>
      <c r="F118" s="135"/>
      <c r="G118" s="77" t="str">
        <f t="shared" si="28"/>
        <v/>
      </c>
      <c r="H118" s="32" t="str">
        <f t="shared" si="29"/>
        <v/>
      </c>
      <c r="I118" s="78" t="str">
        <f t="shared" si="30"/>
        <v/>
      </c>
      <c r="J118" s="70" t="str">
        <f t="shared" si="31"/>
        <v/>
      </c>
      <c r="K118" s="135"/>
      <c r="L118" s="72" t="str">
        <f t="shared" si="32"/>
        <v/>
      </c>
      <c r="M118" s="135"/>
      <c r="N118" s="72" t="str">
        <f t="shared" si="33"/>
        <v/>
      </c>
      <c r="O118" s="135"/>
      <c r="P118" s="136"/>
      <c r="Q118" s="123" t="str">
        <f t="shared" si="34"/>
        <v/>
      </c>
      <c r="R118" s="45" t="str">
        <f t="shared" si="35"/>
        <v/>
      </c>
      <c r="S118" s="137"/>
      <c r="T118" s="79" t="str">
        <f t="shared" si="44"/>
        <v/>
      </c>
      <c r="U118" s="79" t="str">
        <f t="shared" si="36"/>
        <v/>
      </c>
      <c r="V118" s="73" t="str">
        <f t="shared" si="37"/>
        <v/>
      </c>
      <c r="W118" s="80" t="str">
        <f t="shared" si="38"/>
        <v/>
      </c>
      <c r="X118" s="73" t="str">
        <f t="shared" si="39"/>
        <v/>
      </c>
      <c r="Y118" s="80" t="str">
        <f t="shared" si="40"/>
        <v/>
      </c>
      <c r="Z118" s="74" t="str">
        <f t="shared" si="41"/>
        <v/>
      </c>
      <c r="AA118" s="75" t="str">
        <f t="shared" si="45"/>
        <v/>
      </c>
      <c r="AB118" s="103" t="str">
        <f t="shared" si="42"/>
        <v/>
      </c>
      <c r="AC118" s="104" t="str">
        <f t="shared" si="53"/>
        <v/>
      </c>
      <c r="AE118" s="139"/>
      <c r="AF118" s="110" t="str">
        <f t="shared" si="46"/>
        <v/>
      </c>
      <c r="AG118" s="111" t="str">
        <f t="shared" si="47"/>
        <v/>
      </c>
      <c r="AH118" s="111" t="str">
        <f t="shared" si="43"/>
        <v/>
      </c>
      <c r="AI118" s="111" t="str">
        <f t="shared" si="48"/>
        <v/>
      </c>
      <c r="AJ118" s="111" t="str">
        <f t="shared" si="49"/>
        <v/>
      </c>
      <c r="AK118" s="112" t="str">
        <f t="shared" si="50"/>
        <v/>
      </c>
      <c r="AL118" t="str">
        <f t="shared" si="51"/>
        <v/>
      </c>
      <c r="AM118" t="str">
        <f t="shared" si="52"/>
        <v/>
      </c>
    </row>
    <row r="119" spans="1:39" ht="15" customHeight="1" x14ac:dyDescent="0.25">
      <c r="A119" s="131"/>
      <c r="B119" s="133"/>
      <c r="C119" s="133"/>
      <c r="D119" s="42" t="str">
        <f t="shared" si="27"/>
        <v/>
      </c>
      <c r="E119" s="43"/>
      <c r="F119" s="135"/>
      <c r="G119" s="77" t="str">
        <f t="shared" si="28"/>
        <v/>
      </c>
      <c r="H119" s="32" t="str">
        <f t="shared" si="29"/>
        <v/>
      </c>
      <c r="I119" s="78" t="str">
        <f t="shared" si="30"/>
        <v/>
      </c>
      <c r="J119" s="70" t="str">
        <f t="shared" si="31"/>
        <v/>
      </c>
      <c r="K119" s="135"/>
      <c r="L119" s="72" t="str">
        <f t="shared" si="32"/>
        <v/>
      </c>
      <c r="M119" s="135"/>
      <c r="N119" s="72" t="str">
        <f t="shared" si="33"/>
        <v/>
      </c>
      <c r="O119" s="135"/>
      <c r="P119" s="136"/>
      <c r="Q119" s="123" t="str">
        <f t="shared" si="34"/>
        <v/>
      </c>
      <c r="R119" s="45" t="str">
        <f t="shared" si="35"/>
        <v/>
      </c>
      <c r="S119" s="137"/>
      <c r="T119" s="79" t="str">
        <f t="shared" si="44"/>
        <v/>
      </c>
      <c r="U119" s="79" t="str">
        <f t="shared" si="36"/>
        <v/>
      </c>
      <c r="V119" s="73" t="str">
        <f t="shared" si="37"/>
        <v/>
      </c>
      <c r="W119" s="80" t="str">
        <f t="shared" si="38"/>
        <v/>
      </c>
      <c r="X119" s="73" t="str">
        <f t="shared" si="39"/>
        <v/>
      </c>
      <c r="Y119" s="80" t="str">
        <f t="shared" si="40"/>
        <v/>
      </c>
      <c r="Z119" s="74" t="str">
        <f t="shared" si="41"/>
        <v/>
      </c>
      <c r="AA119" s="75" t="str">
        <f t="shared" si="45"/>
        <v/>
      </c>
      <c r="AB119" s="103" t="str">
        <f t="shared" si="42"/>
        <v/>
      </c>
      <c r="AC119" s="104" t="str">
        <f t="shared" si="53"/>
        <v/>
      </c>
      <c r="AE119" s="139"/>
      <c r="AF119" s="110" t="str">
        <f t="shared" si="46"/>
        <v/>
      </c>
      <c r="AG119" s="111" t="str">
        <f t="shared" si="47"/>
        <v/>
      </c>
      <c r="AH119" s="111" t="str">
        <f t="shared" si="43"/>
        <v/>
      </c>
      <c r="AI119" s="111" t="str">
        <f t="shared" si="48"/>
        <v/>
      </c>
      <c r="AJ119" s="111" t="str">
        <f t="shared" si="49"/>
        <v/>
      </c>
      <c r="AK119" s="112" t="str">
        <f t="shared" si="50"/>
        <v/>
      </c>
      <c r="AL119" t="str">
        <f t="shared" si="51"/>
        <v/>
      </c>
      <c r="AM119" t="str">
        <f t="shared" si="52"/>
        <v/>
      </c>
    </row>
    <row r="120" spans="1:39" ht="15" customHeight="1" x14ac:dyDescent="0.25">
      <c r="A120" s="131"/>
      <c r="B120" s="133"/>
      <c r="C120" s="133"/>
      <c r="D120" s="42" t="str">
        <f t="shared" si="27"/>
        <v/>
      </c>
      <c r="E120" s="43"/>
      <c r="F120" s="135"/>
      <c r="G120" s="77" t="str">
        <f t="shared" si="28"/>
        <v/>
      </c>
      <c r="H120" s="32" t="str">
        <f t="shared" si="29"/>
        <v/>
      </c>
      <c r="I120" s="78" t="str">
        <f t="shared" si="30"/>
        <v/>
      </c>
      <c r="J120" s="70" t="str">
        <f t="shared" si="31"/>
        <v/>
      </c>
      <c r="K120" s="135"/>
      <c r="L120" s="72" t="str">
        <f t="shared" si="32"/>
        <v/>
      </c>
      <c r="M120" s="135"/>
      <c r="N120" s="72" t="str">
        <f t="shared" si="33"/>
        <v/>
      </c>
      <c r="O120" s="135"/>
      <c r="P120" s="136"/>
      <c r="Q120" s="123" t="str">
        <f t="shared" si="34"/>
        <v/>
      </c>
      <c r="R120" s="45" t="str">
        <f t="shared" si="35"/>
        <v/>
      </c>
      <c r="S120" s="137"/>
      <c r="T120" s="79" t="str">
        <f t="shared" si="44"/>
        <v/>
      </c>
      <c r="U120" s="79" t="str">
        <f t="shared" si="36"/>
        <v/>
      </c>
      <c r="V120" s="73" t="str">
        <f t="shared" si="37"/>
        <v/>
      </c>
      <c r="W120" s="80" t="str">
        <f t="shared" si="38"/>
        <v/>
      </c>
      <c r="X120" s="73" t="str">
        <f t="shared" si="39"/>
        <v/>
      </c>
      <c r="Y120" s="80" t="str">
        <f t="shared" si="40"/>
        <v/>
      </c>
      <c r="Z120" s="74" t="str">
        <f t="shared" si="41"/>
        <v/>
      </c>
      <c r="AA120" s="75" t="str">
        <f t="shared" si="45"/>
        <v/>
      </c>
      <c r="AB120" s="103" t="str">
        <f t="shared" si="42"/>
        <v/>
      </c>
      <c r="AC120" s="104" t="str">
        <f t="shared" si="53"/>
        <v/>
      </c>
      <c r="AE120" s="139"/>
      <c r="AF120" s="110" t="str">
        <f t="shared" si="46"/>
        <v/>
      </c>
      <c r="AG120" s="111" t="str">
        <f t="shared" si="47"/>
        <v/>
      </c>
      <c r="AH120" s="111" t="str">
        <f t="shared" si="43"/>
        <v/>
      </c>
      <c r="AI120" s="111" t="str">
        <f t="shared" si="48"/>
        <v/>
      </c>
      <c r="AJ120" s="111" t="str">
        <f t="shared" si="49"/>
        <v/>
      </c>
      <c r="AK120" s="112" t="str">
        <f t="shared" si="50"/>
        <v/>
      </c>
      <c r="AL120" t="str">
        <f t="shared" si="51"/>
        <v/>
      </c>
      <c r="AM120" t="str">
        <f t="shared" si="52"/>
        <v/>
      </c>
    </row>
    <row r="121" spans="1:39" ht="15" customHeight="1" x14ac:dyDescent="0.25">
      <c r="A121" s="131"/>
      <c r="B121" s="133"/>
      <c r="C121" s="133"/>
      <c r="D121" s="42" t="str">
        <f t="shared" si="27"/>
        <v/>
      </c>
      <c r="E121" s="43"/>
      <c r="F121" s="135"/>
      <c r="G121" s="77" t="str">
        <f t="shared" si="28"/>
        <v/>
      </c>
      <c r="H121" s="32" t="str">
        <f t="shared" si="29"/>
        <v/>
      </c>
      <c r="I121" s="78" t="str">
        <f t="shared" si="30"/>
        <v/>
      </c>
      <c r="J121" s="70" t="str">
        <f t="shared" si="31"/>
        <v/>
      </c>
      <c r="K121" s="135"/>
      <c r="L121" s="72" t="str">
        <f t="shared" si="32"/>
        <v/>
      </c>
      <c r="M121" s="135"/>
      <c r="N121" s="72" t="str">
        <f t="shared" si="33"/>
        <v/>
      </c>
      <c r="O121" s="135"/>
      <c r="P121" s="136"/>
      <c r="Q121" s="123" t="str">
        <f t="shared" si="34"/>
        <v/>
      </c>
      <c r="R121" s="45" t="str">
        <f t="shared" si="35"/>
        <v/>
      </c>
      <c r="S121" s="137"/>
      <c r="T121" s="79" t="str">
        <f t="shared" si="44"/>
        <v/>
      </c>
      <c r="U121" s="79" t="str">
        <f t="shared" si="36"/>
        <v/>
      </c>
      <c r="V121" s="73" t="str">
        <f t="shared" si="37"/>
        <v/>
      </c>
      <c r="W121" s="80" t="str">
        <f t="shared" si="38"/>
        <v/>
      </c>
      <c r="X121" s="73" t="str">
        <f t="shared" si="39"/>
        <v/>
      </c>
      <c r="Y121" s="80" t="str">
        <f t="shared" si="40"/>
        <v/>
      </c>
      <c r="Z121" s="74" t="str">
        <f t="shared" si="41"/>
        <v/>
      </c>
      <c r="AA121" s="75" t="str">
        <f t="shared" si="45"/>
        <v/>
      </c>
      <c r="AB121" s="103" t="str">
        <f t="shared" si="42"/>
        <v/>
      </c>
      <c r="AC121" s="104" t="str">
        <f t="shared" si="53"/>
        <v/>
      </c>
      <c r="AE121" s="139"/>
      <c r="AF121" s="110" t="str">
        <f t="shared" si="46"/>
        <v/>
      </c>
      <c r="AG121" s="111" t="str">
        <f t="shared" si="47"/>
        <v/>
      </c>
      <c r="AH121" s="111" t="str">
        <f t="shared" si="43"/>
        <v/>
      </c>
      <c r="AI121" s="111" t="str">
        <f t="shared" si="48"/>
        <v/>
      </c>
      <c r="AJ121" s="111" t="str">
        <f t="shared" si="49"/>
        <v/>
      </c>
      <c r="AK121" s="112" t="str">
        <f t="shared" si="50"/>
        <v/>
      </c>
      <c r="AL121" t="str">
        <f t="shared" si="51"/>
        <v/>
      </c>
      <c r="AM121" t="str">
        <f t="shared" si="52"/>
        <v/>
      </c>
    </row>
    <row r="122" spans="1:39" ht="15" customHeight="1" x14ac:dyDescent="0.25">
      <c r="A122" s="131"/>
      <c r="B122" s="133"/>
      <c r="C122" s="133"/>
      <c r="D122" s="42" t="str">
        <f t="shared" si="27"/>
        <v/>
      </c>
      <c r="E122" s="43"/>
      <c r="F122" s="135"/>
      <c r="G122" s="77" t="str">
        <f t="shared" si="28"/>
        <v/>
      </c>
      <c r="H122" s="32" t="str">
        <f t="shared" si="29"/>
        <v/>
      </c>
      <c r="I122" s="78" t="str">
        <f t="shared" si="30"/>
        <v/>
      </c>
      <c r="J122" s="70" t="str">
        <f t="shared" si="31"/>
        <v/>
      </c>
      <c r="K122" s="135"/>
      <c r="L122" s="72" t="str">
        <f t="shared" si="32"/>
        <v/>
      </c>
      <c r="M122" s="135"/>
      <c r="N122" s="72" t="str">
        <f t="shared" si="33"/>
        <v/>
      </c>
      <c r="O122" s="135"/>
      <c r="P122" s="136"/>
      <c r="Q122" s="123" t="str">
        <f t="shared" si="34"/>
        <v/>
      </c>
      <c r="R122" s="45" t="str">
        <f t="shared" si="35"/>
        <v/>
      </c>
      <c r="S122" s="137"/>
      <c r="T122" s="79" t="str">
        <f t="shared" si="44"/>
        <v/>
      </c>
      <c r="U122" s="79" t="str">
        <f t="shared" si="36"/>
        <v/>
      </c>
      <c r="V122" s="73" t="str">
        <f t="shared" si="37"/>
        <v/>
      </c>
      <c r="W122" s="80" t="str">
        <f t="shared" si="38"/>
        <v/>
      </c>
      <c r="X122" s="73" t="str">
        <f t="shared" si="39"/>
        <v/>
      </c>
      <c r="Y122" s="80" t="str">
        <f t="shared" si="40"/>
        <v/>
      </c>
      <c r="Z122" s="74" t="str">
        <f t="shared" si="41"/>
        <v/>
      </c>
      <c r="AA122" s="75" t="str">
        <f t="shared" si="45"/>
        <v/>
      </c>
      <c r="AB122" s="103" t="str">
        <f t="shared" si="42"/>
        <v/>
      </c>
      <c r="AC122" s="104" t="str">
        <f t="shared" si="53"/>
        <v/>
      </c>
      <c r="AE122" s="139"/>
      <c r="AF122" s="110" t="str">
        <f t="shared" si="46"/>
        <v/>
      </c>
      <c r="AG122" s="111" t="str">
        <f t="shared" si="47"/>
        <v/>
      </c>
      <c r="AH122" s="111" t="str">
        <f t="shared" si="43"/>
        <v/>
      </c>
      <c r="AI122" s="111" t="str">
        <f t="shared" si="48"/>
        <v/>
      </c>
      <c r="AJ122" s="111" t="str">
        <f t="shared" si="49"/>
        <v/>
      </c>
      <c r="AK122" s="112" t="str">
        <f t="shared" si="50"/>
        <v/>
      </c>
      <c r="AL122" t="str">
        <f t="shared" si="51"/>
        <v/>
      </c>
      <c r="AM122" t="str">
        <f t="shared" si="52"/>
        <v/>
      </c>
    </row>
    <row r="123" spans="1:39" ht="15" customHeight="1" x14ac:dyDescent="0.25">
      <c r="A123" s="131"/>
      <c r="B123" s="133"/>
      <c r="C123" s="133"/>
      <c r="D123" s="42" t="str">
        <f t="shared" si="27"/>
        <v/>
      </c>
      <c r="E123" s="43"/>
      <c r="F123" s="135"/>
      <c r="G123" s="77" t="str">
        <f t="shared" si="28"/>
        <v/>
      </c>
      <c r="H123" s="32" t="str">
        <f t="shared" si="29"/>
        <v/>
      </c>
      <c r="I123" s="78" t="str">
        <f t="shared" si="30"/>
        <v/>
      </c>
      <c r="J123" s="70" t="str">
        <f t="shared" si="31"/>
        <v/>
      </c>
      <c r="K123" s="135"/>
      <c r="L123" s="72" t="str">
        <f t="shared" si="32"/>
        <v/>
      </c>
      <c r="M123" s="135"/>
      <c r="N123" s="72" t="str">
        <f t="shared" si="33"/>
        <v/>
      </c>
      <c r="O123" s="135"/>
      <c r="P123" s="136"/>
      <c r="Q123" s="123" t="str">
        <f t="shared" si="34"/>
        <v/>
      </c>
      <c r="R123" s="45" t="str">
        <f t="shared" si="35"/>
        <v/>
      </c>
      <c r="S123" s="137"/>
      <c r="T123" s="79" t="str">
        <f t="shared" si="44"/>
        <v/>
      </c>
      <c r="U123" s="79" t="str">
        <f t="shared" si="36"/>
        <v/>
      </c>
      <c r="V123" s="73" t="str">
        <f t="shared" si="37"/>
        <v/>
      </c>
      <c r="W123" s="80" t="str">
        <f t="shared" si="38"/>
        <v/>
      </c>
      <c r="X123" s="73" t="str">
        <f t="shared" si="39"/>
        <v/>
      </c>
      <c r="Y123" s="80" t="str">
        <f t="shared" si="40"/>
        <v/>
      </c>
      <c r="Z123" s="74" t="str">
        <f t="shared" si="41"/>
        <v/>
      </c>
      <c r="AA123" s="75" t="str">
        <f t="shared" si="45"/>
        <v/>
      </c>
      <c r="AB123" s="103" t="str">
        <f t="shared" si="42"/>
        <v/>
      </c>
      <c r="AC123" s="104" t="str">
        <f t="shared" si="53"/>
        <v/>
      </c>
      <c r="AE123" s="139"/>
      <c r="AF123" s="110" t="str">
        <f t="shared" si="46"/>
        <v/>
      </c>
      <c r="AG123" s="111" t="str">
        <f t="shared" si="47"/>
        <v/>
      </c>
      <c r="AH123" s="111" t="str">
        <f t="shared" si="43"/>
        <v/>
      </c>
      <c r="AI123" s="111" t="str">
        <f t="shared" si="48"/>
        <v/>
      </c>
      <c r="AJ123" s="111" t="str">
        <f t="shared" si="49"/>
        <v/>
      </c>
      <c r="AK123" s="112" t="str">
        <f t="shared" si="50"/>
        <v/>
      </c>
      <c r="AL123" t="str">
        <f t="shared" si="51"/>
        <v/>
      </c>
      <c r="AM123" t="str">
        <f t="shared" si="52"/>
        <v/>
      </c>
    </row>
    <row r="124" spans="1:39" ht="15" customHeight="1" x14ac:dyDescent="0.25">
      <c r="A124" s="131"/>
      <c r="B124" s="133"/>
      <c r="C124" s="133"/>
      <c r="D124" s="42" t="str">
        <f t="shared" si="27"/>
        <v/>
      </c>
      <c r="E124" s="43"/>
      <c r="F124" s="135"/>
      <c r="G124" s="77" t="str">
        <f t="shared" si="28"/>
        <v/>
      </c>
      <c r="H124" s="32" t="str">
        <f t="shared" si="29"/>
        <v/>
      </c>
      <c r="I124" s="78" t="str">
        <f t="shared" si="30"/>
        <v/>
      </c>
      <c r="J124" s="70" t="str">
        <f t="shared" si="31"/>
        <v/>
      </c>
      <c r="K124" s="135"/>
      <c r="L124" s="72" t="str">
        <f t="shared" si="32"/>
        <v/>
      </c>
      <c r="M124" s="135"/>
      <c r="N124" s="72" t="str">
        <f t="shared" si="33"/>
        <v/>
      </c>
      <c r="O124" s="135"/>
      <c r="P124" s="136"/>
      <c r="Q124" s="123" t="str">
        <f t="shared" si="34"/>
        <v/>
      </c>
      <c r="R124" s="45" t="str">
        <f t="shared" si="35"/>
        <v/>
      </c>
      <c r="S124" s="137"/>
      <c r="T124" s="79" t="str">
        <f t="shared" si="44"/>
        <v/>
      </c>
      <c r="U124" s="79" t="str">
        <f t="shared" si="36"/>
        <v/>
      </c>
      <c r="V124" s="73" t="str">
        <f t="shared" si="37"/>
        <v/>
      </c>
      <c r="W124" s="80" t="str">
        <f t="shared" si="38"/>
        <v/>
      </c>
      <c r="X124" s="73" t="str">
        <f t="shared" si="39"/>
        <v/>
      </c>
      <c r="Y124" s="80" t="str">
        <f t="shared" si="40"/>
        <v/>
      </c>
      <c r="Z124" s="74" t="str">
        <f t="shared" si="41"/>
        <v/>
      </c>
      <c r="AA124" s="75" t="str">
        <f t="shared" si="45"/>
        <v/>
      </c>
      <c r="AB124" s="103" t="str">
        <f t="shared" si="42"/>
        <v/>
      </c>
      <c r="AC124" s="104" t="str">
        <f t="shared" si="53"/>
        <v/>
      </c>
      <c r="AE124" s="139"/>
      <c r="AF124" s="110" t="str">
        <f t="shared" si="46"/>
        <v/>
      </c>
      <c r="AG124" s="111" t="str">
        <f t="shared" si="47"/>
        <v/>
      </c>
      <c r="AH124" s="111" t="str">
        <f t="shared" si="43"/>
        <v/>
      </c>
      <c r="AI124" s="111" t="str">
        <f t="shared" si="48"/>
        <v/>
      </c>
      <c r="AJ124" s="111" t="str">
        <f t="shared" si="49"/>
        <v/>
      </c>
      <c r="AK124" s="112" t="str">
        <f t="shared" si="50"/>
        <v/>
      </c>
      <c r="AL124" t="str">
        <f t="shared" si="51"/>
        <v/>
      </c>
      <c r="AM124" t="str">
        <f t="shared" si="52"/>
        <v/>
      </c>
    </row>
    <row r="125" spans="1:39" ht="15" customHeight="1" x14ac:dyDescent="0.25">
      <c r="A125" s="131"/>
      <c r="B125" s="133"/>
      <c r="C125" s="133"/>
      <c r="D125" s="42" t="str">
        <f t="shared" si="27"/>
        <v/>
      </c>
      <c r="E125" s="43"/>
      <c r="F125" s="135"/>
      <c r="G125" s="77" t="str">
        <f t="shared" si="28"/>
        <v/>
      </c>
      <c r="H125" s="32" t="str">
        <f t="shared" si="29"/>
        <v/>
      </c>
      <c r="I125" s="78" t="str">
        <f t="shared" si="30"/>
        <v/>
      </c>
      <c r="J125" s="70" t="str">
        <f t="shared" si="31"/>
        <v/>
      </c>
      <c r="K125" s="135"/>
      <c r="L125" s="72" t="str">
        <f t="shared" si="32"/>
        <v/>
      </c>
      <c r="M125" s="135"/>
      <c r="N125" s="72" t="str">
        <f t="shared" si="33"/>
        <v/>
      </c>
      <c r="O125" s="135"/>
      <c r="P125" s="136"/>
      <c r="Q125" s="123" t="str">
        <f t="shared" si="34"/>
        <v/>
      </c>
      <c r="R125" s="45" t="str">
        <f t="shared" si="35"/>
        <v/>
      </c>
      <c r="S125" s="137"/>
      <c r="T125" s="79" t="str">
        <f t="shared" si="44"/>
        <v/>
      </c>
      <c r="U125" s="79" t="str">
        <f t="shared" si="36"/>
        <v/>
      </c>
      <c r="V125" s="73" t="str">
        <f t="shared" si="37"/>
        <v/>
      </c>
      <c r="W125" s="80" t="str">
        <f t="shared" si="38"/>
        <v/>
      </c>
      <c r="X125" s="73" t="str">
        <f t="shared" si="39"/>
        <v/>
      </c>
      <c r="Y125" s="80" t="str">
        <f t="shared" si="40"/>
        <v/>
      </c>
      <c r="Z125" s="74" t="str">
        <f t="shared" si="41"/>
        <v/>
      </c>
      <c r="AA125" s="75" t="str">
        <f t="shared" si="45"/>
        <v/>
      </c>
      <c r="AB125" s="103" t="str">
        <f t="shared" si="42"/>
        <v/>
      </c>
      <c r="AC125" s="104" t="str">
        <f t="shared" si="53"/>
        <v/>
      </c>
      <c r="AE125" s="139"/>
      <c r="AF125" s="110" t="str">
        <f t="shared" si="46"/>
        <v/>
      </c>
      <c r="AG125" s="111" t="str">
        <f t="shared" si="47"/>
        <v/>
      </c>
      <c r="AH125" s="111" t="str">
        <f t="shared" si="43"/>
        <v/>
      </c>
      <c r="AI125" s="111" t="str">
        <f t="shared" si="48"/>
        <v/>
      </c>
      <c r="AJ125" s="111" t="str">
        <f t="shared" si="49"/>
        <v/>
      </c>
      <c r="AK125" s="112" t="str">
        <f t="shared" si="50"/>
        <v/>
      </c>
      <c r="AL125" t="str">
        <f t="shared" si="51"/>
        <v/>
      </c>
      <c r="AM125" t="str">
        <f t="shared" si="52"/>
        <v/>
      </c>
    </row>
    <row r="126" spans="1:39" ht="15" customHeight="1" x14ac:dyDescent="0.25">
      <c r="A126" s="131"/>
      <c r="B126" s="133"/>
      <c r="C126" s="133"/>
      <c r="D126" s="42" t="str">
        <f t="shared" si="27"/>
        <v/>
      </c>
      <c r="E126" s="43"/>
      <c r="F126" s="135"/>
      <c r="G126" s="77" t="str">
        <f t="shared" si="28"/>
        <v/>
      </c>
      <c r="H126" s="32" t="str">
        <f t="shared" si="29"/>
        <v/>
      </c>
      <c r="I126" s="78" t="str">
        <f t="shared" si="30"/>
        <v/>
      </c>
      <c r="J126" s="70" t="str">
        <f t="shared" si="31"/>
        <v/>
      </c>
      <c r="K126" s="135"/>
      <c r="L126" s="72" t="str">
        <f t="shared" si="32"/>
        <v/>
      </c>
      <c r="M126" s="135"/>
      <c r="N126" s="72" t="str">
        <f t="shared" si="33"/>
        <v/>
      </c>
      <c r="O126" s="135"/>
      <c r="P126" s="136"/>
      <c r="Q126" s="123" t="str">
        <f t="shared" si="34"/>
        <v/>
      </c>
      <c r="R126" s="45" t="str">
        <f t="shared" si="35"/>
        <v/>
      </c>
      <c r="S126" s="137"/>
      <c r="T126" s="79" t="str">
        <f t="shared" si="44"/>
        <v/>
      </c>
      <c r="U126" s="79" t="str">
        <f t="shared" si="36"/>
        <v/>
      </c>
      <c r="V126" s="73" t="str">
        <f t="shared" si="37"/>
        <v/>
      </c>
      <c r="W126" s="80" t="str">
        <f t="shared" si="38"/>
        <v/>
      </c>
      <c r="X126" s="73" t="str">
        <f t="shared" si="39"/>
        <v/>
      </c>
      <c r="Y126" s="80" t="str">
        <f t="shared" si="40"/>
        <v/>
      </c>
      <c r="Z126" s="74" t="str">
        <f t="shared" si="41"/>
        <v/>
      </c>
      <c r="AA126" s="75" t="str">
        <f t="shared" si="45"/>
        <v/>
      </c>
      <c r="AB126" s="103" t="str">
        <f t="shared" si="42"/>
        <v/>
      </c>
      <c r="AC126" s="104" t="str">
        <f t="shared" si="53"/>
        <v/>
      </c>
      <c r="AE126" s="139"/>
      <c r="AF126" s="110" t="str">
        <f t="shared" si="46"/>
        <v/>
      </c>
      <c r="AG126" s="111" t="str">
        <f t="shared" si="47"/>
        <v/>
      </c>
      <c r="AH126" s="111" t="str">
        <f t="shared" si="43"/>
        <v/>
      </c>
      <c r="AI126" s="111" t="str">
        <f t="shared" si="48"/>
        <v/>
      </c>
      <c r="AJ126" s="111" t="str">
        <f t="shared" si="49"/>
        <v/>
      </c>
      <c r="AK126" s="112" t="str">
        <f t="shared" si="50"/>
        <v/>
      </c>
      <c r="AL126" t="str">
        <f t="shared" si="51"/>
        <v/>
      </c>
      <c r="AM126" t="str">
        <f t="shared" si="52"/>
        <v/>
      </c>
    </row>
    <row r="127" spans="1:39" ht="15" customHeight="1" x14ac:dyDescent="0.25">
      <c r="A127" s="131"/>
      <c r="B127" s="133"/>
      <c r="C127" s="133"/>
      <c r="D127" s="42" t="str">
        <f t="shared" si="27"/>
        <v/>
      </c>
      <c r="E127" s="43"/>
      <c r="F127" s="135"/>
      <c r="G127" s="77" t="str">
        <f t="shared" si="28"/>
        <v/>
      </c>
      <c r="H127" s="32" t="str">
        <f t="shared" si="29"/>
        <v/>
      </c>
      <c r="I127" s="78" t="str">
        <f t="shared" si="30"/>
        <v/>
      </c>
      <c r="J127" s="70" t="str">
        <f t="shared" si="31"/>
        <v/>
      </c>
      <c r="K127" s="135"/>
      <c r="L127" s="72" t="str">
        <f t="shared" si="32"/>
        <v/>
      </c>
      <c r="M127" s="135"/>
      <c r="N127" s="72" t="str">
        <f t="shared" si="33"/>
        <v/>
      </c>
      <c r="O127" s="135"/>
      <c r="P127" s="136"/>
      <c r="Q127" s="123" t="str">
        <f t="shared" si="34"/>
        <v/>
      </c>
      <c r="R127" s="45" t="str">
        <f t="shared" si="35"/>
        <v/>
      </c>
      <c r="S127" s="137"/>
      <c r="T127" s="79" t="str">
        <f t="shared" si="44"/>
        <v/>
      </c>
      <c r="U127" s="79" t="str">
        <f t="shared" si="36"/>
        <v/>
      </c>
      <c r="V127" s="73" t="str">
        <f t="shared" si="37"/>
        <v/>
      </c>
      <c r="W127" s="80" t="str">
        <f t="shared" si="38"/>
        <v/>
      </c>
      <c r="X127" s="73" t="str">
        <f t="shared" si="39"/>
        <v/>
      </c>
      <c r="Y127" s="80" t="str">
        <f t="shared" si="40"/>
        <v/>
      </c>
      <c r="Z127" s="74" t="str">
        <f t="shared" si="41"/>
        <v/>
      </c>
      <c r="AA127" s="75" t="str">
        <f t="shared" si="45"/>
        <v/>
      </c>
      <c r="AB127" s="103" t="str">
        <f t="shared" si="42"/>
        <v/>
      </c>
      <c r="AC127" s="104" t="str">
        <f t="shared" si="53"/>
        <v/>
      </c>
      <c r="AE127" s="139"/>
      <c r="AF127" s="110" t="str">
        <f t="shared" si="46"/>
        <v/>
      </c>
      <c r="AG127" s="111" t="str">
        <f t="shared" si="47"/>
        <v/>
      </c>
      <c r="AH127" s="111" t="str">
        <f t="shared" si="43"/>
        <v/>
      </c>
      <c r="AI127" s="111" t="str">
        <f t="shared" si="48"/>
        <v/>
      </c>
      <c r="AJ127" s="111" t="str">
        <f t="shared" si="49"/>
        <v/>
      </c>
      <c r="AK127" s="112" t="str">
        <f t="shared" si="50"/>
        <v/>
      </c>
      <c r="AL127" t="str">
        <f t="shared" si="51"/>
        <v/>
      </c>
      <c r="AM127" t="str">
        <f t="shared" si="52"/>
        <v/>
      </c>
    </row>
    <row r="128" spans="1:39" ht="15" customHeight="1" x14ac:dyDescent="0.25">
      <c r="A128" s="131"/>
      <c r="B128" s="133"/>
      <c r="C128" s="133"/>
      <c r="D128" s="42" t="str">
        <f t="shared" si="27"/>
        <v/>
      </c>
      <c r="E128" s="43"/>
      <c r="F128" s="135"/>
      <c r="G128" s="77" t="str">
        <f t="shared" si="28"/>
        <v/>
      </c>
      <c r="H128" s="32" t="str">
        <f t="shared" si="29"/>
        <v/>
      </c>
      <c r="I128" s="78" t="str">
        <f t="shared" si="30"/>
        <v/>
      </c>
      <c r="J128" s="70" t="str">
        <f t="shared" si="31"/>
        <v/>
      </c>
      <c r="K128" s="135"/>
      <c r="L128" s="72" t="str">
        <f t="shared" si="32"/>
        <v/>
      </c>
      <c r="M128" s="135"/>
      <c r="N128" s="72" t="str">
        <f t="shared" si="33"/>
        <v/>
      </c>
      <c r="O128" s="135"/>
      <c r="P128" s="136"/>
      <c r="Q128" s="123" t="str">
        <f t="shared" si="34"/>
        <v/>
      </c>
      <c r="R128" s="45" t="str">
        <f t="shared" si="35"/>
        <v/>
      </c>
      <c r="S128" s="137"/>
      <c r="T128" s="79" t="str">
        <f t="shared" si="44"/>
        <v/>
      </c>
      <c r="U128" s="79" t="str">
        <f t="shared" si="36"/>
        <v/>
      </c>
      <c r="V128" s="73" t="str">
        <f t="shared" si="37"/>
        <v/>
      </c>
      <c r="W128" s="80" t="str">
        <f t="shared" si="38"/>
        <v/>
      </c>
      <c r="X128" s="73" t="str">
        <f t="shared" si="39"/>
        <v/>
      </c>
      <c r="Y128" s="80" t="str">
        <f t="shared" si="40"/>
        <v/>
      </c>
      <c r="Z128" s="74" t="str">
        <f t="shared" si="41"/>
        <v/>
      </c>
      <c r="AA128" s="75" t="str">
        <f t="shared" si="45"/>
        <v/>
      </c>
      <c r="AB128" s="103" t="str">
        <f t="shared" si="42"/>
        <v/>
      </c>
      <c r="AC128" s="104" t="str">
        <f t="shared" si="53"/>
        <v/>
      </c>
      <c r="AE128" s="139"/>
      <c r="AF128" s="110" t="str">
        <f t="shared" si="46"/>
        <v/>
      </c>
      <c r="AG128" s="111" t="str">
        <f t="shared" si="47"/>
        <v/>
      </c>
      <c r="AH128" s="111" t="str">
        <f t="shared" si="43"/>
        <v/>
      </c>
      <c r="AI128" s="111" t="str">
        <f t="shared" si="48"/>
        <v/>
      </c>
      <c r="AJ128" s="111" t="str">
        <f t="shared" si="49"/>
        <v/>
      </c>
      <c r="AK128" s="112" t="str">
        <f t="shared" si="50"/>
        <v/>
      </c>
      <c r="AL128" t="str">
        <f t="shared" si="51"/>
        <v/>
      </c>
      <c r="AM128" t="str">
        <f t="shared" si="52"/>
        <v/>
      </c>
    </row>
    <row r="129" spans="1:39" ht="15" customHeight="1" x14ac:dyDescent="0.25">
      <c r="A129" s="131"/>
      <c r="B129" s="133"/>
      <c r="C129" s="133"/>
      <c r="D129" s="42" t="str">
        <f t="shared" si="27"/>
        <v/>
      </c>
      <c r="E129" s="43"/>
      <c r="F129" s="135"/>
      <c r="G129" s="77" t="str">
        <f t="shared" si="28"/>
        <v/>
      </c>
      <c r="H129" s="32" t="str">
        <f t="shared" si="29"/>
        <v/>
      </c>
      <c r="I129" s="78" t="str">
        <f t="shared" si="30"/>
        <v/>
      </c>
      <c r="J129" s="70" t="str">
        <f t="shared" si="31"/>
        <v/>
      </c>
      <c r="K129" s="135"/>
      <c r="L129" s="72" t="str">
        <f t="shared" si="32"/>
        <v/>
      </c>
      <c r="M129" s="135"/>
      <c r="N129" s="72" t="str">
        <f t="shared" si="33"/>
        <v/>
      </c>
      <c r="O129" s="135"/>
      <c r="P129" s="136"/>
      <c r="Q129" s="123" t="str">
        <f t="shared" si="34"/>
        <v/>
      </c>
      <c r="R129" s="45" t="str">
        <f t="shared" si="35"/>
        <v/>
      </c>
      <c r="S129" s="137"/>
      <c r="T129" s="79" t="str">
        <f t="shared" si="44"/>
        <v/>
      </c>
      <c r="U129" s="79" t="str">
        <f t="shared" si="36"/>
        <v/>
      </c>
      <c r="V129" s="73" t="str">
        <f t="shared" si="37"/>
        <v/>
      </c>
      <c r="W129" s="80" t="str">
        <f t="shared" si="38"/>
        <v/>
      </c>
      <c r="X129" s="73" t="str">
        <f t="shared" si="39"/>
        <v/>
      </c>
      <c r="Y129" s="80" t="str">
        <f t="shared" si="40"/>
        <v/>
      </c>
      <c r="Z129" s="74" t="str">
        <f t="shared" si="41"/>
        <v/>
      </c>
      <c r="AA129" s="75" t="str">
        <f t="shared" si="45"/>
        <v/>
      </c>
      <c r="AB129" s="103" t="str">
        <f t="shared" si="42"/>
        <v/>
      </c>
      <c r="AC129" s="104" t="str">
        <f t="shared" si="53"/>
        <v/>
      </c>
      <c r="AE129" s="139"/>
      <c r="AF129" s="110" t="str">
        <f t="shared" si="46"/>
        <v/>
      </c>
      <c r="AG129" s="111" t="str">
        <f t="shared" si="47"/>
        <v/>
      </c>
      <c r="AH129" s="111" t="str">
        <f t="shared" si="43"/>
        <v/>
      </c>
      <c r="AI129" s="111" t="str">
        <f t="shared" si="48"/>
        <v/>
      </c>
      <c r="AJ129" s="111" t="str">
        <f t="shared" si="49"/>
        <v/>
      </c>
      <c r="AK129" s="112" t="str">
        <f t="shared" si="50"/>
        <v/>
      </c>
      <c r="AL129" t="str">
        <f t="shared" si="51"/>
        <v/>
      </c>
      <c r="AM129" t="str">
        <f t="shared" si="52"/>
        <v/>
      </c>
    </row>
    <row r="130" spans="1:39" ht="15" customHeight="1" x14ac:dyDescent="0.25">
      <c r="A130" s="131"/>
      <c r="B130" s="133"/>
      <c r="C130" s="133"/>
      <c r="D130" s="42" t="str">
        <f t="shared" si="27"/>
        <v/>
      </c>
      <c r="E130" s="43"/>
      <c r="F130" s="135"/>
      <c r="G130" s="77" t="str">
        <f t="shared" si="28"/>
        <v/>
      </c>
      <c r="H130" s="32" t="str">
        <f t="shared" si="29"/>
        <v/>
      </c>
      <c r="I130" s="78" t="str">
        <f t="shared" si="30"/>
        <v/>
      </c>
      <c r="J130" s="70" t="str">
        <f t="shared" si="31"/>
        <v/>
      </c>
      <c r="K130" s="135"/>
      <c r="L130" s="72" t="str">
        <f t="shared" si="32"/>
        <v/>
      </c>
      <c r="M130" s="135"/>
      <c r="N130" s="72" t="str">
        <f t="shared" si="33"/>
        <v/>
      </c>
      <c r="O130" s="135"/>
      <c r="P130" s="136"/>
      <c r="Q130" s="123" t="str">
        <f t="shared" si="34"/>
        <v/>
      </c>
      <c r="R130" s="45" t="str">
        <f t="shared" si="35"/>
        <v/>
      </c>
      <c r="S130" s="137"/>
      <c r="T130" s="79" t="str">
        <f t="shared" si="44"/>
        <v/>
      </c>
      <c r="U130" s="79" t="str">
        <f t="shared" si="36"/>
        <v/>
      </c>
      <c r="V130" s="73" t="str">
        <f t="shared" si="37"/>
        <v/>
      </c>
      <c r="W130" s="80" t="str">
        <f t="shared" si="38"/>
        <v/>
      </c>
      <c r="X130" s="73" t="str">
        <f t="shared" si="39"/>
        <v/>
      </c>
      <c r="Y130" s="80" t="str">
        <f t="shared" si="40"/>
        <v/>
      </c>
      <c r="Z130" s="74" t="str">
        <f t="shared" si="41"/>
        <v/>
      </c>
      <c r="AA130" s="75" t="str">
        <f t="shared" si="45"/>
        <v/>
      </c>
      <c r="AB130" s="103" t="str">
        <f t="shared" si="42"/>
        <v/>
      </c>
      <c r="AC130" s="104" t="str">
        <f t="shared" si="53"/>
        <v/>
      </c>
      <c r="AE130" s="139"/>
      <c r="AF130" s="110" t="str">
        <f t="shared" si="46"/>
        <v/>
      </c>
      <c r="AG130" s="111" t="str">
        <f t="shared" si="47"/>
        <v/>
      </c>
      <c r="AH130" s="111" t="str">
        <f t="shared" si="43"/>
        <v/>
      </c>
      <c r="AI130" s="111" t="str">
        <f t="shared" si="48"/>
        <v/>
      </c>
      <c r="AJ130" s="111" t="str">
        <f t="shared" si="49"/>
        <v/>
      </c>
      <c r="AK130" s="112" t="str">
        <f t="shared" si="50"/>
        <v/>
      </c>
      <c r="AL130" t="str">
        <f t="shared" si="51"/>
        <v/>
      </c>
      <c r="AM130" t="str">
        <f t="shared" si="52"/>
        <v/>
      </c>
    </row>
    <row r="131" spans="1:39" ht="15" customHeight="1" x14ac:dyDescent="0.25">
      <c r="A131" s="131"/>
      <c r="B131" s="133"/>
      <c r="C131" s="133"/>
      <c r="D131" s="42" t="str">
        <f t="shared" si="27"/>
        <v/>
      </c>
      <c r="E131" s="43"/>
      <c r="F131" s="135"/>
      <c r="G131" s="77" t="str">
        <f t="shared" si="28"/>
        <v/>
      </c>
      <c r="H131" s="32" t="str">
        <f t="shared" si="29"/>
        <v/>
      </c>
      <c r="I131" s="78" t="str">
        <f t="shared" si="30"/>
        <v/>
      </c>
      <c r="J131" s="70" t="str">
        <f t="shared" si="31"/>
        <v/>
      </c>
      <c r="K131" s="135"/>
      <c r="L131" s="72" t="str">
        <f t="shared" si="32"/>
        <v/>
      </c>
      <c r="M131" s="135"/>
      <c r="N131" s="72" t="str">
        <f t="shared" si="33"/>
        <v/>
      </c>
      <c r="O131" s="135"/>
      <c r="P131" s="136"/>
      <c r="Q131" s="123" t="str">
        <f t="shared" si="34"/>
        <v/>
      </c>
      <c r="R131" s="45" t="str">
        <f t="shared" si="35"/>
        <v/>
      </c>
      <c r="S131" s="137"/>
      <c r="T131" s="79" t="str">
        <f t="shared" si="44"/>
        <v/>
      </c>
      <c r="U131" s="79" t="str">
        <f t="shared" si="36"/>
        <v/>
      </c>
      <c r="V131" s="73" t="str">
        <f t="shared" si="37"/>
        <v/>
      </c>
      <c r="W131" s="80" t="str">
        <f t="shared" si="38"/>
        <v/>
      </c>
      <c r="X131" s="73" t="str">
        <f t="shared" si="39"/>
        <v/>
      </c>
      <c r="Y131" s="80" t="str">
        <f t="shared" si="40"/>
        <v/>
      </c>
      <c r="Z131" s="74" t="str">
        <f t="shared" si="41"/>
        <v/>
      </c>
      <c r="AA131" s="75" t="str">
        <f t="shared" si="45"/>
        <v/>
      </c>
      <c r="AB131" s="103" t="str">
        <f t="shared" si="42"/>
        <v/>
      </c>
      <c r="AC131" s="104" t="str">
        <f t="shared" si="53"/>
        <v/>
      </c>
      <c r="AE131" s="139"/>
      <c r="AF131" s="110" t="str">
        <f t="shared" si="46"/>
        <v/>
      </c>
      <c r="AG131" s="111" t="str">
        <f t="shared" si="47"/>
        <v/>
      </c>
      <c r="AH131" s="111" t="str">
        <f t="shared" si="43"/>
        <v/>
      </c>
      <c r="AI131" s="111" t="str">
        <f t="shared" si="48"/>
        <v/>
      </c>
      <c r="AJ131" s="111" t="str">
        <f t="shared" si="49"/>
        <v/>
      </c>
      <c r="AK131" s="112" t="str">
        <f t="shared" si="50"/>
        <v/>
      </c>
      <c r="AL131" t="str">
        <f t="shared" si="51"/>
        <v/>
      </c>
      <c r="AM131" t="str">
        <f t="shared" si="52"/>
        <v/>
      </c>
    </row>
    <row r="132" spans="1:39" ht="15" customHeight="1" x14ac:dyDescent="0.25">
      <c r="A132" s="131"/>
      <c r="B132" s="133"/>
      <c r="C132" s="133"/>
      <c r="D132" s="42" t="str">
        <f t="shared" si="27"/>
        <v/>
      </c>
      <c r="E132" s="43"/>
      <c r="F132" s="135"/>
      <c r="G132" s="77" t="str">
        <f t="shared" si="28"/>
        <v/>
      </c>
      <c r="H132" s="32" t="str">
        <f t="shared" si="29"/>
        <v/>
      </c>
      <c r="I132" s="78" t="str">
        <f t="shared" si="30"/>
        <v/>
      </c>
      <c r="J132" s="70" t="str">
        <f t="shared" si="31"/>
        <v/>
      </c>
      <c r="K132" s="135"/>
      <c r="L132" s="72" t="str">
        <f t="shared" si="32"/>
        <v/>
      </c>
      <c r="M132" s="135"/>
      <c r="N132" s="72" t="str">
        <f t="shared" si="33"/>
        <v/>
      </c>
      <c r="O132" s="135"/>
      <c r="P132" s="136"/>
      <c r="Q132" s="123" t="str">
        <f t="shared" si="34"/>
        <v/>
      </c>
      <c r="R132" s="45" t="str">
        <f t="shared" si="35"/>
        <v/>
      </c>
      <c r="S132" s="137"/>
      <c r="T132" s="79" t="str">
        <f t="shared" si="44"/>
        <v/>
      </c>
      <c r="U132" s="79" t="str">
        <f t="shared" si="36"/>
        <v/>
      </c>
      <c r="V132" s="73" t="str">
        <f t="shared" si="37"/>
        <v/>
      </c>
      <c r="W132" s="80" t="str">
        <f t="shared" si="38"/>
        <v/>
      </c>
      <c r="X132" s="73" t="str">
        <f t="shared" si="39"/>
        <v/>
      </c>
      <c r="Y132" s="80" t="str">
        <f t="shared" si="40"/>
        <v/>
      </c>
      <c r="Z132" s="74" t="str">
        <f t="shared" si="41"/>
        <v/>
      </c>
      <c r="AA132" s="75" t="str">
        <f t="shared" si="45"/>
        <v/>
      </c>
      <c r="AB132" s="103" t="str">
        <f t="shared" si="42"/>
        <v/>
      </c>
      <c r="AC132" s="104" t="str">
        <f t="shared" si="53"/>
        <v/>
      </c>
      <c r="AE132" s="139"/>
      <c r="AF132" s="110" t="str">
        <f t="shared" si="46"/>
        <v/>
      </c>
      <c r="AG132" s="111" t="str">
        <f t="shared" si="47"/>
        <v/>
      </c>
      <c r="AH132" s="111" t="str">
        <f t="shared" si="43"/>
        <v/>
      </c>
      <c r="AI132" s="111" t="str">
        <f t="shared" si="48"/>
        <v/>
      </c>
      <c r="AJ132" s="111" t="str">
        <f t="shared" si="49"/>
        <v/>
      </c>
      <c r="AK132" s="112" t="str">
        <f t="shared" si="50"/>
        <v/>
      </c>
      <c r="AL132" t="str">
        <f t="shared" si="51"/>
        <v/>
      </c>
      <c r="AM132" t="str">
        <f t="shared" si="52"/>
        <v/>
      </c>
    </row>
    <row r="133" spans="1:39" ht="15" customHeight="1" x14ac:dyDescent="0.25">
      <c r="A133" s="131"/>
      <c r="B133" s="133"/>
      <c r="C133" s="133"/>
      <c r="D133" s="42" t="str">
        <f t="shared" si="27"/>
        <v/>
      </c>
      <c r="E133" s="43"/>
      <c r="F133" s="135"/>
      <c r="G133" s="77" t="str">
        <f t="shared" si="28"/>
        <v/>
      </c>
      <c r="H133" s="32" t="str">
        <f t="shared" si="29"/>
        <v/>
      </c>
      <c r="I133" s="78" t="str">
        <f t="shared" si="30"/>
        <v/>
      </c>
      <c r="J133" s="70" t="str">
        <f t="shared" si="31"/>
        <v/>
      </c>
      <c r="K133" s="135"/>
      <c r="L133" s="72" t="str">
        <f t="shared" si="32"/>
        <v/>
      </c>
      <c r="M133" s="135"/>
      <c r="N133" s="72" t="str">
        <f t="shared" si="33"/>
        <v/>
      </c>
      <c r="O133" s="135"/>
      <c r="P133" s="136"/>
      <c r="Q133" s="123" t="str">
        <f t="shared" si="34"/>
        <v/>
      </c>
      <c r="R133" s="45" t="str">
        <f t="shared" si="35"/>
        <v/>
      </c>
      <c r="S133" s="137"/>
      <c r="T133" s="79" t="str">
        <f t="shared" si="44"/>
        <v/>
      </c>
      <c r="U133" s="79" t="str">
        <f t="shared" si="36"/>
        <v/>
      </c>
      <c r="V133" s="73" t="str">
        <f t="shared" si="37"/>
        <v/>
      </c>
      <c r="W133" s="80" t="str">
        <f t="shared" si="38"/>
        <v/>
      </c>
      <c r="X133" s="73" t="str">
        <f t="shared" si="39"/>
        <v/>
      </c>
      <c r="Y133" s="80" t="str">
        <f t="shared" si="40"/>
        <v/>
      </c>
      <c r="Z133" s="74" t="str">
        <f t="shared" si="41"/>
        <v/>
      </c>
      <c r="AA133" s="75" t="str">
        <f t="shared" si="45"/>
        <v/>
      </c>
      <c r="AB133" s="103" t="str">
        <f t="shared" si="42"/>
        <v/>
      </c>
      <c r="AC133" s="104" t="str">
        <f t="shared" si="53"/>
        <v/>
      </c>
      <c r="AE133" s="139"/>
      <c r="AF133" s="110" t="str">
        <f t="shared" si="46"/>
        <v/>
      </c>
      <c r="AG133" s="111" t="str">
        <f t="shared" si="47"/>
        <v/>
      </c>
      <c r="AH133" s="111" t="str">
        <f t="shared" si="43"/>
        <v/>
      </c>
      <c r="AI133" s="111" t="str">
        <f t="shared" si="48"/>
        <v/>
      </c>
      <c r="AJ133" s="111" t="str">
        <f t="shared" si="49"/>
        <v/>
      </c>
      <c r="AK133" s="112" t="str">
        <f t="shared" si="50"/>
        <v/>
      </c>
      <c r="AL133" t="str">
        <f t="shared" si="51"/>
        <v/>
      </c>
      <c r="AM133" t="str">
        <f t="shared" si="52"/>
        <v/>
      </c>
    </row>
    <row r="134" spans="1:39" ht="15" customHeight="1" x14ac:dyDescent="0.25">
      <c r="A134" s="131"/>
      <c r="B134" s="133"/>
      <c r="C134" s="133"/>
      <c r="D134" s="42" t="str">
        <f t="shared" si="27"/>
        <v/>
      </c>
      <c r="E134" s="43"/>
      <c r="F134" s="135"/>
      <c r="G134" s="77" t="str">
        <f t="shared" si="28"/>
        <v/>
      </c>
      <c r="H134" s="32" t="str">
        <f t="shared" si="29"/>
        <v/>
      </c>
      <c r="I134" s="78" t="str">
        <f t="shared" si="30"/>
        <v/>
      </c>
      <c r="J134" s="70" t="str">
        <f t="shared" si="31"/>
        <v/>
      </c>
      <c r="K134" s="135"/>
      <c r="L134" s="72" t="str">
        <f t="shared" si="32"/>
        <v/>
      </c>
      <c r="M134" s="135"/>
      <c r="N134" s="72" t="str">
        <f t="shared" si="33"/>
        <v/>
      </c>
      <c r="O134" s="135"/>
      <c r="P134" s="136"/>
      <c r="Q134" s="123" t="str">
        <f t="shared" si="34"/>
        <v/>
      </c>
      <c r="R134" s="45" t="str">
        <f t="shared" si="35"/>
        <v/>
      </c>
      <c r="S134" s="137"/>
      <c r="T134" s="79" t="str">
        <f t="shared" si="44"/>
        <v/>
      </c>
      <c r="U134" s="79" t="str">
        <f t="shared" si="36"/>
        <v/>
      </c>
      <c r="V134" s="73" t="str">
        <f t="shared" si="37"/>
        <v/>
      </c>
      <c r="W134" s="80" t="str">
        <f t="shared" si="38"/>
        <v/>
      </c>
      <c r="X134" s="73" t="str">
        <f t="shared" si="39"/>
        <v/>
      </c>
      <c r="Y134" s="80" t="str">
        <f t="shared" si="40"/>
        <v/>
      </c>
      <c r="Z134" s="74" t="str">
        <f t="shared" si="41"/>
        <v/>
      </c>
      <c r="AA134" s="75" t="str">
        <f t="shared" si="45"/>
        <v/>
      </c>
      <c r="AB134" s="103" t="str">
        <f t="shared" si="42"/>
        <v/>
      </c>
      <c r="AC134" s="104" t="str">
        <f t="shared" si="53"/>
        <v/>
      </c>
      <c r="AE134" s="139"/>
      <c r="AF134" s="110" t="str">
        <f t="shared" si="46"/>
        <v/>
      </c>
      <c r="AG134" s="111" t="str">
        <f t="shared" si="47"/>
        <v/>
      </c>
      <c r="AH134" s="111" t="str">
        <f t="shared" si="43"/>
        <v/>
      </c>
      <c r="AI134" s="111" t="str">
        <f t="shared" si="48"/>
        <v/>
      </c>
      <c r="AJ134" s="111" t="str">
        <f t="shared" si="49"/>
        <v/>
      </c>
      <c r="AK134" s="112" t="str">
        <f t="shared" si="50"/>
        <v/>
      </c>
      <c r="AL134" t="str">
        <f t="shared" si="51"/>
        <v/>
      </c>
      <c r="AM134" t="str">
        <f t="shared" si="52"/>
        <v/>
      </c>
    </row>
    <row r="135" spans="1:39" ht="15" customHeight="1" x14ac:dyDescent="0.25">
      <c r="A135" s="131"/>
      <c r="B135" s="133"/>
      <c r="C135" s="133"/>
      <c r="D135" s="42" t="str">
        <f t="shared" si="27"/>
        <v/>
      </c>
      <c r="E135" s="43"/>
      <c r="F135" s="135"/>
      <c r="G135" s="77" t="str">
        <f t="shared" si="28"/>
        <v/>
      </c>
      <c r="H135" s="32" t="str">
        <f t="shared" si="29"/>
        <v/>
      </c>
      <c r="I135" s="78" t="str">
        <f t="shared" si="30"/>
        <v/>
      </c>
      <c r="J135" s="70" t="str">
        <f t="shared" si="31"/>
        <v/>
      </c>
      <c r="K135" s="135"/>
      <c r="L135" s="72" t="str">
        <f t="shared" si="32"/>
        <v/>
      </c>
      <c r="M135" s="135"/>
      <c r="N135" s="72" t="str">
        <f t="shared" si="33"/>
        <v/>
      </c>
      <c r="O135" s="135"/>
      <c r="P135" s="136"/>
      <c r="Q135" s="123" t="str">
        <f t="shared" si="34"/>
        <v/>
      </c>
      <c r="R135" s="45" t="str">
        <f t="shared" si="35"/>
        <v/>
      </c>
      <c r="S135" s="137"/>
      <c r="T135" s="79" t="str">
        <f t="shared" si="44"/>
        <v/>
      </c>
      <c r="U135" s="79" t="str">
        <f t="shared" si="36"/>
        <v/>
      </c>
      <c r="V135" s="73" t="str">
        <f t="shared" si="37"/>
        <v/>
      </c>
      <c r="W135" s="80" t="str">
        <f t="shared" si="38"/>
        <v/>
      </c>
      <c r="X135" s="73" t="str">
        <f t="shared" si="39"/>
        <v/>
      </c>
      <c r="Y135" s="80" t="str">
        <f t="shared" si="40"/>
        <v/>
      </c>
      <c r="Z135" s="74" t="str">
        <f t="shared" si="41"/>
        <v/>
      </c>
      <c r="AA135" s="75" t="str">
        <f t="shared" si="45"/>
        <v/>
      </c>
      <c r="AB135" s="103" t="str">
        <f t="shared" si="42"/>
        <v/>
      </c>
      <c r="AC135" s="104" t="str">
        <f t="shared" si="53"/>
        <v/>
      </c>
      <c r="AE135" s="139"/>
      <c r="AF135" s="110" t="str">
        <f t="shared" si="46"/>
        <v/>
      </c>
      <c r="AG135" s="111" t="str">
        <f t="shared" si="47"/>
        <v/>
      </c>
      <c r="AH135" s="111" t="str">
        <f t="shared" si="43"/>
        <v/>
      </c>
      <c r="AI135" s="111" t="str">
        <f t="shared" si="48"/>
        <v/>
      </c>
      <c r="AJ135" s="111" t="str">
        <f t="shared" si="49"/>
        <v/>
      </c>
      <c r="AK135" s="112" t="str">
        <f t="shared" si="50"/>
        <v/>
      </c>
      <c r="AL135" t="str">
        <f t="shared" si="51"/>
        <v/>
      </c>
      <c r="AM135" t="str">
        <f t="shared" si="52"/>
        <v/>
      </c>
    </row>
    <row r="136" spans="1:39" ht="15" customHeight="1" x14ac:dyDescent="0.25">
      <c r="A136" s="131"/>
      <c r="B136" s="133"/>
      <c r="C136" s="133"/>
      <c r="D136" s="42" t="str">
        <f t="shared" ref="D136:D199" si="54">IF(A136="","",B136*C136)</f>
        <v/>
      </c>
      <c r="E136" s="43"/>
      <c r="F136" s="135"/>
      <c r="G136" s="77" t="str">
        <f t="shared" ref="G136:G199" si="55">IF(OR(F136="",C136=0,C136=""),"",F136/C136)</f>
        <v/>
      </c>
      <c r="H136" s="32" t="str">
        <f t="shared" ref="H136:H199" si="56">IF(F136="","",ROUND(F136*$G$1,2))</f>
        <v/>
      </c>
      <c r="I136" s="78" t="str">
        <f t="shared" ref="I136:I199" si="57">IF(OR(H136="",C136=0,C136=""),"",H136/C136)</f>
        <v/>
      </c>
      <c r="J136" s="70" t="str">
        <f t="shared" ref="J136:J199" si="58">IF(A136="","",F136*B136)</f>
        <v/>
      </c>
      <c r="K136" s="135"/>
      <c r="L136" s="72" t="str">
        <f t="shared" ref="L136:L199" si="59">IF(OR(K136=0,C136=0,K136="",C136=""),"",K136/C136)</f>
        <v/>
      </c>
      <c r="M136" s="135"/>
      <c r="N136" s="72" t="str">
        <f t="shared" ref="N136:N199" si="60">IF(OR(M136=0,C136=0,M136="",C136=""),"",M136/C136)</f>
        <v/>
      </c>
      <c r="O136" s="135"/>
      <c r="P136" s="136"/>
      <c r="Q136" s="123" t="str">
        <f t="shared" ref="Q136:Q199" si="61">IF(A136="","",IF(S136&gt;0,IF(J136&gt;0,S136/J136,0),IF(E136&gt;0,0,IF($I$2&gt;0,IF($I$3&gt;0,MAX($I$2-SUM($S$8:$S$1007),0)/$I$3,0),$I$1))))</f>
        <v/>
      </c>
      <c r="R136" s="45" t="str">
        <f t="shared" ref="R136:R199" si="62">IF(A136="","",IF(S136&gt;0,S136,IF(E136&gt;0,0,J136*IF($I$2&gt;0,IF($I$3&gt;0,MAX($I$2-SUM($S$8:$S$1007),0)/$I$3,0),$I$1))))</f>
        <v/>
      </c>
      <c r="S136" s="137"/>
      <c r="T136" s="79" t="str">
        <f t="shared" si="44"/>
        <v/>
      </c>
      <c r="U136" s="79" t="str">
        <f t="shared" ref="U136:U199" si="63">IF(OR(A136="",T136=""),"",T136*C136)</f>
        <v/>
      </c>
      <c r="V136" s="73" t="str">
        <f t="shared" ref="V136:V199" si="64">IF(OR(A136="",K136&lt;=0,U136=""),"",(K136-U136)/K136)</f>
        <v/>
      </c>
      <c r="W136" s="80" t="str">
        <f t="shared" ref="W136:W199" si="65">IF(OR(K136=0,U136=0,K136="",U136=""),"",K136-U136)</f>
        <v/>
      </c>
      <c r="X136" s="73" t="str">
        <f t="shared" ref="X136:X199" si="66">IF(OR(A136="",M136&lt;=0,U136=""),"",(M136-U136)/M136)</f>
        <v/>
      </c>
      <c r="Y136" s="80" t="str">
        <f t="shared" ref="Y136:Y199" si="67">IF(OR(M136=0,U136=0,M136="",U136=""),"",M136-U136)</f>
        <v/>
      </c>
      <c r="Z136" s="74" t="str">
        <f t="shared" ref="Z136:Z199" si="68">IF(OR(J136="",J136=0,$M$5="",$K$1=0),"",($M$5/$K$1)*J136)</f>
        <v/>
      </c>
      <c r="AA136" s="75" t="str">
        <f t="shared" si="45"/>
        <v/>
      </c>
      <c r="AB136" s="103" t="str">
        <f t="shared" ref="AB136:AB199" si="69">IF(OR(T136=0,T136="",D136=0,D136=""),"",T136*(D136+E136))</f>
        <v/>
      </c>
      <c r="AC136" s="104" t="str">
        <f t="shared" si="53"/>
        <v/>
      </c>
      <c r="AE136" s="139"/>
      <c r="AF136" s="110" t="str">
        <f t="shared" si="46"/>
        <v/>
      </c>
      <c r="AG136" s="111" t="str">
        <f t="shared" si="47"/>
        <v/>
      </c>
      <c r="AH136" s="111" t="str">
        <f t="shared" ref="AH136:AH199" si="70">IF(AG136="","",AG136*$AF$1+IF(SUM($AG$8:$AG$1007)=0,0,$AF$2*AG136/SUM($AG$8:$AG$1007)))</f>
        <v/>
      </c>
      <c r="AI136" s="111" t="str">
        <f t="shared" si="48"/>
        <v/>
      </c>
      <c r="AJ136" s="111" t="str">
        <f t="shared" si="49"/>
        <v/>
      </c>
      <c r="AK136" s="112" t="str">
        <f t="shared" si="50"/>
        <v/>
      </c>
      <c r="AL136" t="str">
        <f t="shared" si="51"/>
        <v/>
      </c>
      <c r="AM136" t="str">
        <f t="shared" si="52"/>
        <v/>
      </c>
    </row>
    <row r="137" spans="1:39" ht="15" customHeight="1" x14ac:dyDescent="0.25">
      <c r="A137" s="131"/>
      <c r="B137" s="133"/>
      <c r="C137" s="133"/>
      <c r="D137" s="42" t="str">
        <f t="shared" si="54"/>
        <v/>
      </c>
      <c r="E137" s="43"/>
      <c r="F137" s="135"/>
      <c r="G137" s="77" t="str">
        <f t="shared" si="55"/>
        <v/>
      </c>
      <c r="H137" s="32" t="str">
        <f t="shared" si="56"/>
        <v/>
      </c>
      <c r="I137" s="78" t="str">
        <f t="shared" si="57"/>
        <v/>
      </c>
      <c r="J137" s="70" t="str">
        <f t="shared" si="58"/>
        <v/>
      </c>
      <c r="K137" s="135"/>
      <c r="L137" s="72" t="str">
        <f t="shared" si="59"/>
        <v/>
      </c>
      <c r="M137" s="135"/>
      <c r="N137" s="72" t="str">
        <f t="shared" si="60"/>
        <v/>
      </c>
      <c r="O137" s="135"/>
      <c r="P137" s="136"/>
      <c r="Q137" s="123" t="str">
        <f t="shared" si="61"/>
        <v/>
      </c>
      <c r="R137" s="45" t="str">
        <f t="shared" si="62"/>
        <v/>
      </c>
      <c r="S137" s="137"/>
      <c r="T137" s="79" t="str">
        <f t="shared" ref="T137:T200" si="71">IF(A137="","",IF(OR(B137=0,B137="",C137&lt;=0,D137+E137&lt;=0),"",((F137+H137)*B137+(H137/C137)*E137-R137)/(D137+E137)-IF(Z137&gt;=0,Z137/D137,0)+IF(ISNUMBER(AA137),AA137/(D137+E137),0)))</f>
        <v/>
      </c>
      <c r="U137" s="79" t="str">
        <f t="shared" si="63"/>
        <v/>
      </c>
      <c r="V137" s="73" t="str">
        <f t="shared" si="64"/>
        <v/>
      </c>
      <c r="W137" s="80" t="str">
        <f t="shared" si="65"/>
        <v/>
      </c>
      <c r="X137" s="73" t="str">
        <f t="shared" si="66"/>
        <v/>
      </c>
      <c r="Y137" s="80" t="str">
        <f t="shared" si="67"/>
        <v/>
      </c>
      <c r="Z137" s="74" t="str">
        <f t="shared" si="68"/>
        <v/>
      </c>
      <c r="AA137" s="75" t="str">
        <f t="shared" ref="AA137:AA200" si="72">IF(OR(J137="",J137=0,($G$3-$I$4)=0),"",($K$3/($G$3-$I$4))*(J137-R137))</f>
        <v/>
      </c>
      <c r="AB137" s="103" t="str">
        <f t="shared" si="69"/>
        <v/>
      </c>
      <c r="AC137" s="104" t="str">
        <f t="shared" si="53"/>
        <v/>
      </c>
      <c r="AE137" s="139"/>
      <c r="AF137" s="110" t="str">
        <f t="shared" ref="AF137:AF200" si="73">IF(AE137="","",T137)</f>
        <v/>
      </c>
      <c r="AG137" s="111" t="str">
        <f t="shared" ref="AG137:AG200" si="74">IF(OR(AE137="",AF137=""),"",AE137*AF137)</f>
        <v/>
      </c>
      <c r="AH137" s="111" t="str">
        <f t="shared" si="70"/>
        <v/>
      </c>
      <c r="AI137" s="111" t="str">
        <f t="shared" ref="AI137:AI200" si="75">IF(AG137="","",AG137-AH137)</f>
        <v/>
      </c>
      <c r="AJ137" s="111" t="str">
        <f t="shared" ref="AJ137:AJ200" si="76">IF(AI137="","",AK137-AI137)</f>
        <v/>
      </c>
      <c r="AK137" s="112" t="str">
        <f t="shared" ref="AK137:AK200" si="77">IF(AI137="","",ROUND(AI137,0))</f>
        <v/>
      </c>
      <c r="AL137" t="str">
        <f t="shared" ref="AL137:AL200" si="78">IF(OR(AE137=0,AE137=""),"",AH137/AE137)</f>
        <v/>
      </c>
      <c r="AM137" t="str">
        <f t="shared" ref="AM137:AM200" si="79">IF(OR(AE137=0,AE137=""),"",AF137*C137)</f>
        <v/>
      </c>
    </row>
    <row r="138" spans="1:39" ht="15" customHeight="1" x14ac:dyDescent="0.25">
      <c r="A138" s="131"/>
      <c r="B138" s="133"/>
      <c r="C138" s="133"/>
      <c r="D138" s="42" t="str">
        <f t="shared" si="54"/>
        <v/>
      </c>
      <c r="E138" s="43"/>
      <c r="F138" s="135"/>
      <c r="G138" s="77" t="str">
        <f t="shared" si="55"/>
        <v/>
      </c>
      <c r="H138" s="32" t="str">
        <f t="shared" si="56"/>
        <v/>
      </c>
      <c r="I138" s="78" t="str">
        <f t="shared" si="57"/>
        <v/>
      </c>
      <c r="J138" s="70" t="str">
        <f t="shared" si="58"/>
        <v/>
      </c>
      <c r="K138" s="135"/>
      <c r="L138" s="72" t="str">
        <f t="shared" si="59"/>
        <v/>
      </c>
      <c r="M138" s="135"/>
      <c r="N138" s="72" t="str">
        <f t="shared" si="60"/>
        <v/>
      </c>
      <c r="O138" s="135"/>
      <c r="P138" s="136"/>
      <c r="Q138" s="123" t="str">
        <f t="shared" si="61"/>
        <v/>
      </c>
      <c r="R138" s="45" t="str">
        <f t="shared" si="62"/>
        <v/>
      </c>
      <c r="S138" s="137"/>
      <c r="T138" s="79" t="str">
        <f t="shared" si="71"/>
        <v/>
      </c>
      <c r="U138" s="79" t="str">
        <f t="shared" si="63"/>
        <v/>
      </c>
      <c r="V138" s="73" t="str">
        <f t="shared" si="64"/>
        <v/>
      </c>
      <c r="W138" s="80" t="str">
        <f t="shared" si="65"/>
        <v/>
      </c>
      <c r="X138" s="73" t="str">
        <f t="shared" si="66"/>
        <v/>
      </c>
      <c r="Y138" s="80" t="str">
        <f t="shared" si="67"/>
        <v/>
      </c>
      <c r="Z138" s="74" t="str">
        <f t="shared" si="68"/>
        <v/>
      </c>
      <c r="AA138" s="75" t="str">
        <f t="shared" si="72"/>
        <v/>
      </c>
      <c r="AB138" s="103" t="str">
        <f t="shared" si="69"/>
        <v/>
      </c>
      <c r="AC138" s="104" t="str">
        <f t="shared" ref="AC138:AC201" si="80">IF(OR(A138="",J138="",C138&lt;=0, B138=0),"",J138+H138*B138+(H138/C138)*E138)</f>
        <v/>
      </c>
      <c r="AE138" s="139"/>
      <c r="AF138" s="110" t="str">
        <f t="shared" si="73"/>
        <v/>
      </c>
      <c r="AG138" s="111" t="str">
        <f t="shared" si="74"/>
        <v/>
      </c>
      <c r="AH138" s="111" t="str">
        <f t="shared" si="70"/>
        <v/>
      </c>
      <c r="AI138" s="111" t="str">
        <f t="shared" si="75"/>
        <v/>
      </c>
      <c r="AJ138" s="111" t="str">
        <f t="shared" si="76"/>
        <v/>
      </c>
      <c r="AK138" s="112" t="str">
        <f t="shared" si="77"/>
        <v/>
      </c>
      <c r="AL138" t="str">
        <f t="shared" si="78"/>
        <v/>
      </c>
      <c r="AM138" t="str">
        <f t="shared" si="79"/>
        <v/>
      </c>
    </row>
    <row r="139" spans="1:39" ht="15" customHeight="1" x14ac:dyDescent="0.25">
      <c r="A139" s="131"/>
      <c r="B139" s="133"/>
      <c r="C139" s="133"/>
      <c r="D139" s="42" t="str">
        <f t="shared" si="54"/>
        <v/>
      </c>
      <c r="E139" s="43"/>
      <c r="F139" s="135"/>
      <c r="G139" s="77" t="str">
        <f t="shared" si="55"/>
        <v/>
      </c>
      <c r="H139" s="32" t="str">
        <f t="shared" si="56"/>
        <v/>
      </c>
      <c r="I139" s="78" t="str">
        <f t="shared" si="57"/>
        <v/>
      </c>
      <c r="J139" s="70" t="str">
        <f t="shared" si="58"/>
        <v/>
      </c>
      <c r="K139" s="135"/>
      <c r="L139" s="72" t="str">
        <f t="shared" si="59"/>
        <v/>
      </c>
      <c r="M139" s="135"/>
      <c r="N139" s="72" t="str">
        <f t="shared" si="60"/>
        <v/>
      </c>
      <c r="O139" s="135"/>
      <c r="P139" s="136"/>
      <c r="Q139" s="123" t="str">
        <f t="shared" si="61"/>
        <v/>
      </c>
      <c r="R139" s="45" t="str">
        <f t="shared" si="62"/>
        <v/>
      </c>
      <c r="S139" s="137"/>
      <c r="T139" s="79" t="str">
        <f t="shared" si="71"/>
        <v/>
      </c>
      <c r="U139" s="79" t="str">
        <f t="shared" si="63"/>
        <v/>
      </c>
      <c r="V139" s="73" t="str">
        <f t="shared" si="64"/>
        <v/>
      </c>
      <c r="W139" s="80" t="str">
        <f t="shared" si="65"/>
        <v/>
      </c>
      <c r="X139" s="73" t="str">
        <f t="shared" si="66"/>
        <v/>
      </c>
      <c r="Y139" s="80" t="str">
        <f t="shared" si="67"/>
        <v/>
      </c>
      <c r="Z139" s="74" t="str">
        <f t="shared" si="68"/>
        <v/>
      </c>
      <c r="AA139" s="75" t="str">
        <f t="shared" si="72"/>
        <v/>
      </c>
      <c r="AB139" s="103" t="str">
        <f t="shared" si="69"/>
        <v/>
      </c>
      <c r="AC139" s="104" t="str">
        <f t="shared" si="80"/>
        <v/>
      </c>
      <c r="AE139" s="139"/>
      <c r="AF139" s="110" t="str">
        <f t="shared" si="73"/>
        <v/>
      </c>
      <c r="AG139" s="111" t="str">
        <f t="shared" si="74"/>
        <v/>
      </c>
      <c r="AH139" s="111" t="str">
        <f t="shared" si="70"/>
        <v/>
      </c>
      <c r="AI139" s="111" t="str">
        <f t="shared" si="75"/>
        <v/>
      </c>
      <c r="AJ139" s="111" t="str">
        <f t="shared" si="76"/>
        <v/>
      </c>
      <c r="AK139" s="112" t="str">
        <f t="shared" si="77"/>
        <v/>
      </c>
      <c r="AL139" t="str">
        <f t="shared" si="78"/>
        <v/>
      </c>
      <c r="AM139" t="str">
        <f t="shared" si="79"/>
        <v/>
      </c>
    </row>
    <row r="140" spans="1:39" ht="15" customHeight="1" x14ac:dyDescent="0.25">
      <c r="A140" s="131"/>
      <c r="B140" s="133"/>
      <c r="C140" s="133"/>
      <c r="D140" s="42" t="str">
        <f t="shared" si="54"/>
        <v/>
      </c>
      <c r="E140" s="43"/>
      <c r="F140" s="135"/>
      <c r="G140" s="77" t="str">
        <f t="shared" si="55"/>
        <v/>
      </c>
      <c r="H140" s="32" t="str">
        <f t="shared" si="56"/>
        <v/>
      </c>
      <c r="I140" s="78" t="str">
        <f t="shared" si="57"/>
        <v/>
      </c>
      <c r="J140" s="70" t="str">
        <f t="shared" si="58"/>
        <v/>
      </c>
      <c r="K140" s="135"/>
      <c r="L140" s="72" t="str">
        <f t="shared" si="59"/>
        <v/>
      </c>
      <c r="M140" s="135"/>
      <c r="N140" s="72" t="str">
        <f t="shared" si="60"/>
        <v/>
      </c>
      <c r="O140" s="135"/>
      <c r="P140" s="136"/>
      <c r="Q140" s="123" t="str">
        <f t="shared" si="61"/>
        <v/>
      </c>
      <c r="R140" s="45" t="str">
        <f t="shared" si="62"/>
        <v/>
      </c>
      <c r="S140" s="137"/>
      <c r="T140" s="79" t="str">
        <f t="shared" si="71"/>
        <v/>
      </c>
      <c r="U140" s="79" t="str">
        <f t="shared" si="63"/>
        <v/>
      </c>
      <c r="V140" s="73" t="str">
        <f t="shared" si="64"/>
        <v/>
      </c>
      <c r="W140" s="80" t="str">
        <f t="shared" si="65"/>
        <v/>
      </c>
      <c r="X140" s="73" t="str">
        <f t="shared" si="66"/>
        <v/>
      </c>
      <c r="Y140" s="80" t="str">
        <f t="shared" si="67"/>
        <v/>
      </c>
      <c r="Z140" s="74" t="str">
        <f t="shared" si="68"/>
        <v/>
      </c>
      <c r="AA140" s="75" t="str">
        <f t="shared" si="72"/>
        <v/>
      </c>
      <c r="AB140" s="103" t="str">
        <f t="shared" si="69"/>
        <v/>
      </c>
      <c r="AC140" s="104" t="str">
        <f t="shared" si="80"/>
        <v/>
      </c>
      <c r="AE140" s="139"/>
      <c r="AF140" s="110" t="str">
        <f t="shared" si="73"/>
        <v/>
      </c>
      <c r="AG140" s="111" t="str">
        <f t="shared" si="74"/>
        <v/>
      </c>
      <c r="AH140" s="111" t="str">
        <f t="shared" si="70"/>
        <v/>
      </c>
      <c r="AI140" s="111" t="str">
        <f t="shared" si="75"/>
        <v/>
      </c>
      <c r="AJ140" s="111" t="str">
        <f t="shared" si="76"/>
        <v/>
      </c>
      <c r="AK140" s="112" t="str">
        <f t="shared" si="77"/>
        <v/>
      </c>
      <c r="AL140" t="str">
        <f t="shared" si="78"/>
        <v/>
      </c>
      <c r="AM140" t="str">
        <f t="shared" si="79"/>
        <v/>
      </c>
    </row>
    <row r="141" spans="1:39" ht="15" customHeight="1" x14ac:dyDescent="0.25">
      <c r="A141" s="131"/>
      <c r="B141" s="133"/>
      <c r="C141" s="133"/>
      <c r="D141" s="42" t="str">
        <f t="shared" si="54"/>
        <v/>
      </c>
      <c r="E141" s="43"/>
      <c r="F141" s="135"/>
      <c r="G141" s="77" t="str">
        <f t="shared" si="55"/>
        <v/>
      </c>
      <c r="H141" s="32" t="str">
        <f t="shared" si="56"/>
        <v/>
      </c>
      <c r="I141" s="78" t="str">
        <f t="shared" si="57"/>
        <v/>
      </c>
      <c r="J141" s="70" t="str">
        <f t="shared" si="58"/>
        <v/>
      </c>
      <c r="K141" s="135"/>
      <c r="L141" s="72" t="str">
        <f t="shared" si="59"/>
        <v/>
      </c>
      <c r="M141" s="135"/>
      <c r="N141" s="72" t="str">
        <f t="shared" si="60"/>
        <v/>
      </c>
      <c r="O141" s="135"/>
      <c r="P141" s="136"/>
      <c r="Q141" s="123" t="str">
        <f t="shared" si="61"/>
        <v/>
      </c>
      <c r="R141" s="45" t="str">
        <f t="shared" si="62"/>
        <v/>
      </c>
      <c r="S141" s="137"/>
      <c r="T141" s="79" t="str">
        <f t="shared" si="71"/>
        <v/>
      </c>
      <c r="U141" s="79" t="str">
        <f t="shared" si="63"/>
        <v/>
      </c>
      <c r="V141" s="73" t="str">
        <f t="shared" si="64"/>
        <v/>
      </c>
      <c r="W141" s="80" t="str">
        <f t="shared" si="65"/>
        <v/>
      </c>
      <c r="X141" s="73" t="str">
        <f t="shared" si="66"/>
        <v/>
      </c>
      <c r="Y141" s="80" t="str">
        <f t="shared" si="67"/>
        <v/>
      </c>
      <c r="Z141" s="74" t="str">
        <f t="shared" si="68"/>
        <v/>
      </c>
      <c r="AA141" s="75" t="str">
        <f t="shared" si="72"/>
        <v/>
      </c>
      <c r="AB141" s="103" t="str">
        <f t="shared" si="69"/>
        <v/>
      </c>
      <c r="AC141" s="104" t="str">
        <f t="shared" si="80"/>
        <v/>
      </c>
      <c r="AE141" s="139"/>
      <c r="AF141" s="110" t="str">
        <f t="shared" si="73"/>
        <v/>
      </c>
      <c r="AG141" s="111" t="str">
        <f t="shared" si="74"/>
        <v/>
      </c>
      <c r="AH141" s="111" t="str">
        <f t="shared" si="70"/>
        <v/>
      </c>
      <c r="AI141" s="111" t="str">
        <f t="shared" si="75"/>
        <v/>
      </c>
      <c r="AJ141" s="111" t="str">
        <f t="shared" si="76"/>
        <v/>
      </c>
      <c r="AK141" s="112" t="str">
        <f t="shared" si="77"/>
        <v/>
      </c>
      <c r="AL141" t="str">
        <f t="shared" si="78"/>
        <v/>
      </c>
      <c r="AM141" t="str">
        <f t="shared" si="79"/>
        <v/>
      </c>
    </row>
    <row r="142" spans="1:39" ht="15" customHeight="1" x14ac:dyDescent="0.25">
      <c r="A142" s="131"/>
      <c r="B142" s="133"/>
      <c r="C142" s="133"/>
      <c r="D142" s="42" t="str">
        <f t="shared" si="54"/>
        <v/>
      </c>
      <c r="E142" s="43"/>
      <c r="F142" s="135"/>
      <c r="G142" s="77" t="str">
        <f t="shared" si="55"/>
        <v/>
      </c>
      <c r="H142" s="32" t="str">
        <f t="shared" si="56"/>
        <v/>
      </c>
      <c r="I142" s="78" t="str">
        <f t="shared" si="57"/>
        <v/>
      </c>
      <c r="J142" s="70" t="str">
        <f t="shared" si="58"/>
        <v/>
      </c>
      <c r="K142" s="135"/>
      <c r="L142" s="72" t="str">
        <f t="shared" si="59"/>
        <v/>
      </c>
      <c r="M142" s="135"/>
      <c r="N142" s="72" t="str">
        <f t="shared" si="60"/>
        <v/>
      </c>
      <c r="O142" s="135"/>
      <c r="P142" s="136"/>
      <c r="Q142" s="123" t="str">
        <f t="shared" si="61"/>
        <v/>
      </c>
      <c r="R142" s="45" t="str">
        <f t="shared" si="62"/>
        <v/>
      </c>
      <c r="S142" s="137"/>
      <c r="T142" s="79" t="str">
        <f t="shared" si="71"/>
        <v/>
      </c>
      <c r="U142" s="79" t="str">
        <f t="shared" si="63"/>
        <v/>
      </c>
      <c r="V142" s="73" t="str">
        <f t="shared" si="64"/>
        <v/>
      </c>
      <c r="W142" s="80" t="str">
        <f t="shared" si="65"/>
        <v/>
      </c>
      <c r="X142" s="73" t="str">
        <f t="shared" si="66"/>
        <v/>
      </c>
      <c r="Y142" s="80" t="str">
        <f t="shared" si="67"/>
        <v/>
      </c>
      <c r="Z142" s="74" t="str">
        <f t="shared" si="68"/>
        <v/>
      </c>
      <c r="AA142" s="75" t="str">
        <f t="shared" si="72"/>
        <v/>
      </c>
      <c r="AB142" s="103" t="str">
        <f t="shared" si="69"/>
        <v/>
      </c>
      <c r="AC142" s="104" t="str">
        <f t="shared" si="80"/>
        <v/>
      </c>
      <c r="AE142" s="139"/>
      <c r="AF142" s="110" t="str">
        <f t="shared" si="73"/>
        <v/>
      </c>
      <c r="AG142" s="111" t="str">
        <f t="shared" si="74"/>
        <v/>
      </c>
      <c r="AH142" s="111" t="str">
        <f t="shared" si="70"/>
        <v/>
      </c>
      <c r="AI142" s="111" t="str">
        <f t="shared" si="75"/>
        <v/>
      </c>
      <c r="AJ142" s="111" t="str">
        <f t="shared" si="76"/>
        <v/>
      </c>
      <c r="AK142" s="112" t="str">
        <f t="shared" si="77"/>
        <v/>
      </c>
      <c r="AL142" t="str">
        <f t="shared" si="78"/>
        <v/>
      </c>
      <c r="AM142" t="str">
        <f t="shared" si="79"/>
        <v/>
      </c>
    </row>
    <row r="143" spans="1:39" ht="15" customHeight="1" x14ac:dyDescent="0.25">
      <c r="A143" s="131"/>
      <c r="B143" s="133"/>
      <c r="C143" s="133"/>
      <c r="D143" s="42" t="str">
        <f t="shared" si="54"/>
        <v/>
      </c>
      <c r="E143" s="43"/>
      <c r="F143" s="135"/>
      <c r="G143" s="77" t="str">
        <f t="shared" si="55"/>
        <v/>
      </c>
      <c r="H143" s="32" t="str">
        <f t="shared" si="56"/>
        <v/>
      </c>
      <c r="I143" s="78" t="str">
        <f t="shared" si="57"/>
        <v/>
      </c>
      <c r="J143" s="70" t="str">
        <f t="shared" si="58"/>
        <v/>
      </c>
      <c r="K143" s="135"/>
      <c r="L143" s="72" t="str">
        <f t="shared" si="59"/>
        <v/>
      </c>
      <c r="M143" s="135"/>
      <c r="N143" s="72" t="str">
        <f t="shared" si="60"/>
        <v/>
      </c>
      <c r="O143" s="135"/>
      <c r="P143" s="136"/>
      <c r="Q143" s="123" t="str">
        <f t="shared" si="61"/>
        <v/>
      </c>
      <c r="R143" s="45" t="str">
        <f t="shared" si="62"/>
        <v/>
      </c>
      <c r="S143" s="137"/>
      <c r="T143" s="79" t="str">
        <f t="shared" si="71"/>
        <v/>
      </c>
      <c r="U143" s="79" t="str">
        <f t="shared" si="63"/>
        <v/>
      </c>
      <c r="V143" s="73" t="str">
        <f t="shared" si="64"/>
        <v/>
      </c>
      <c r="W143" s="80" t="str">
        <f t="shared" si="65"/>
        <v/>
      </c>
      <c r="X143" s="73" t="str">
        <f t="shared" si="66"/>
        <v/>
      </c>
      <c r="Y143" s="80" t="str">
        <f t="shared" si="67"/>
        <v/>
      </c>
      <c r="Z143" s="74" t="str">
        <f t="shared" si="68"/>
        <v/>
      </c>
      <c r="AA143" s="75" t="str">
        <f t="shared" si="72"/>
        <v/>
      </c>
      <c r="AB143" s="103" t="str">
        <f t="shared" si="69"/>
        <v/>
      </c>
      <c r="AC143" s="104" t="str">
        <f t="shared" si="80"/>
        <v/>
      </c>
      <c r="AE143" s="139"/>
      <c r="AF143" s="110" t="str">
        <f t="shared" si="73"/>
        <v/>
      </c>
      <c r="AG143" s="111" t="str">
        <f t="shared" si="74"/>
        <v/>
      </c>
      <c r="AH143" s="111" t="str">
        <f t="shared" si="70"/>
        <v/>
      </c>
      <c r="AI143" s="111" t="str">
        <f t="shared" si="75"/>
        <v/>
      </c>
      <c r="AJ143" s="111" t="str">
        <f t="shared" si="76"/>
        <v/>
      </c>
      <c r="AK143" s="112" t="str">
        <f t="shared" si="77"/>
        <v/>
      </c>
      <c r="AL143" t="str">
        <f t="shared" si="78"/>
        <v/>
      </c>
      <c r="AM143" t="str">
        <f t="shared" si="79"/>
        <v/>
      </c>
    </row>
    <row r="144" spans="1:39" ht="15" customHeight="1" x14ac:dyDescent="0.25">
      <c r="A144" s="131"/>
      <c r="B144" s="133"/>
      <c r="C144" s="133"/>
      <c r="D144" s="42" t="str">
        <f t="shared" si="54"/>
        <v/>
      </c>
      <c r="E144" s="43"/>
      <c r="F144" s="135"/>
      <c r="G144" s="77" t="str">
        <f t="shared" si="55"/>
        <v/>
      </c>
      <c r="H144" s="32" t="str">
        <f t="shared" si="56"/>
        <v/>
      </c>
      <c r="I144" s="78" t="str">
        <f t="shared" si="57"/>
        <v/>
      </c>
      <c r="J144" s="70" t="str">
        <f t="shared" si="58"/>
        <v/>
      </c>
      <c r="K144" s="135"/>
      <c r="L144" s="72" t="str">
        <f t="shared" si="59"/>
        <v/>
      </c>
      <c r="M144" s="135"/>
      <c r="N144" s="72" t="str">
        <f t="shared" si="60"/>
        <v/>
      </c>
      <c r="O144" s="135"/>
      <c r="P144" s="136"/>
      <c r="Q144" s="123" t="str">
        <f t="shared" si="61"/>
        <v/>
      </c>
      <c r="R144" s="45" t="str">
        <f t="shared" si="62"/>
        <v/>
      </c>
      <c r="S144" s="137"/>
      <c r="T144" s="79" t="str">
        <f t="shared" si="71"/>
        <v/>
      </c>
      <c r="U144" s="79" t="str">
        <f t="shared" si="63"/>
        <v/>
      </c>
      <c r="V144" s="73" t="str">
        <f t="shared" si="64"/>
        <v/>
      </c>
      <c r="W144" s="80" t="str">
        <f t="shared" si="65"/>
        <v/>
      </c>
      <c r="X144" s="73" t="str">
        <f t="shared" si="66"/>
        <v/>
      </c>
      <c r="Y144" s="80" t="str">
        <f t="shared" si="67"/>
        <v/>
      </c>
      <c r="Z144" s="74" t="str">
        <f t="shared" si="68"/>
        <v/>
      </c>
      <c r="AA144" s="75" t="str">
        <f t="shared" si="72"/>
        <v/>
      </c>
      <c r="AB144" s="103" t="str">
        <f t="shared" si="69"/>
        <v/>
      </c>
      <c r="AC144" s="104" t="str">
        <f t="shared" si="80"/>
        <v/>
      </c>
      <c r="AE144" s="139"/>
      <c r="AF144" s="110" t="str">
        <f t="shared" si="73"/>
        <v/>
      </c>
      <c r="AG144" s="111" t="str">
        <f t="shared" si="74"/>
        <v/>
      </c>
      <c r="AH144" s="111" t="str">
        <f t="shared" si="70"/>
        <v/>
      </c>
      <c r="AI144" s="111" t="str">
        <f t="shared" si="75"/>
        <v/>
      </c>
      <c r="AJ144" s="111" t="str">
        <f t="shared" si="76"/>
        <v/>
      </c>
      <c r="AK144" s="112" t="str">
        <f t="shared" si="77"/>
        <v/>
      </c>
      <c r="AL144" t="str">
        <f t="shared" si="78"/>
        <v/>
      </c>
      <c r="AM144" t="str">
        <f t="shared" si="79"/>
        <v/>
      </c>
    </row>
    <row r="145" spans="1:39" ht="15" customHeight="1" x14ac:dyDescent="0.25">
      <c r="A145" s="131"/>
      <c r="B145" s="133"/>
      <c r="C145" s="133"/>
      <c r="D145" s="42" t="str">
        <f t="shared" si="54"/>
        <v/>
      </c>
      <c r="E145" s="43"/>
      <c r="F145" s="135"/>
      <c r="G145" s="77" t="str">
        <f t="shared" si="55"/>
        <v/>
      </c>
      <c r="H145" s="32" t="str">
        <f t="shared" si="56"/>
        <v/>
      </c>
      <c r="I145" s="78" t="str">
        <f t="shared" si="57"/>
        <v/>
      </c>
      <c r="J145" s="70" t="str">
        <f t="shared" si="58"/>
        <v/>
      </c>
      <c r="K145" s="135"/>
      <c r="L145" s="72" t="str">
        <f t="shared" si="59"/>
        <v/>
      </c>
      <c r="M145" s="135"/>
      <c r="N145" s="72" t="str">
        <f t="shared" si="60"/>
        <v/>
      </c>
      <c r="O145" s="135"/>
      <c r="P145" s="136"/>
      <c r="Q145" s="123" t="str">
        <f t="shared" si="61"/>
        <v/>
      </c>
      <c r="R145" s="45" t="str">
        <f t="shared" si="62"/>
        <v/>
      </c>
      <c r="S145" s="137"/>
      <c r="T145" s="79" t="str">
        <f t="shared" si="71"/>
        <v/>
      </c>
      <c r="U145" s="79" t="str">
        <f t="shared" si="63"/>
        <v/>
      </c>
      <c r="V145" s="73" t="str">
        <f t="shared" si="64"/>
        <v/>
      </c>
      <c r="W145" s="80" t="str">
        <f t="shared" si="65"/>
        <v/>
      </c>
      <c r="X145" s="73" t="str">
        <f t="shared" si="66"/>
        <v/>
      </c>
      <c r="Y145" s="80" t="str">
        <f t="shared" si="67"/>
        <v/>
      </c>
      <c r="Z145" s="74" t="str">
        <f t="shared" si="68"/>
        <v/>
      </c>
      <c r="AA145" s="75" t="str">
        <f t="shared" si="72"/>
        <v/>
      </c>
      <c r="AB145" s="103" t="str">
        <f t="shared" si="69"/>
        <v/>
      </c>
      <c r="AC145" s="104" t="str">
        <f t="shared" si="80"/>
        <v/>
      </c>
      <c r="AE145" s="139"/>
      <c r="AF145" s="110" t="str">
        <f t="shared" si="73"/>
        <v/>
      </c>
      <c r="AG145" s="111" t="str">
        <f t="shared" si="74"/>
        <v/>
      </c>
      <c r="AH145" s="111" t="str">
        <f t="shared" si="70"/>
        <v/>
      </c>
      <c r="AI145" s="111" t="str">
        <f t="shared" si="75"/>
        <v/>
      </c>
      <c r="AJ145" s="111" t="str">
        <f t="shared" si="76"/>
        <v/>
      </c>
      <c r="AK145" s="112" t="str">
        <f t="shared" si="77"/>
        <v/>
      </c>
      <c r="AL145" t="str">
        <f t="shared" si="78"/>
        <v/>
      </c>
      <c r="AM145" t="str">
        <f t="shared" si="79"/>
        <v/>
      </c>
    </row>
    <row r="146" spans="1:39" ht="15" customHeight="1" x14ac:dyDescent="0.25">
      <c r="A146" s="131"/>
      <c r="B146" s="133"/>
      <c r="C146" s="133"/>
      <c r="D146" s="42" t="str">
        <f t="shared" si="54"/>
        <v/>
      </c>
      <c r="E146" s="43"/>
      <c r="F146" s="135"/>
      <c r="G146" s="77" t="str">
        <f t="shared" si="55"/>
        <v/>
      </c>
      <c r="H146" s="32" t="str">
        <f t="shared" si="56"/>
        <v/>
      </c>
      <c r="I146" s="78" t="str">
        <f t="shared" si="57"/>
        <v/>
      </c>
      <c r="J146" s="70" t="str">
        <f t="shared" si="58"/>
        <v/>
      </c>
      <c r="K146" s="135"/>
      <c r="L146" s="72" t="str">
        <f t="shared" si="59"/>
        <v/>
      </c>
      <c r="M146" s="135"/>
      <c r="N146" s="72" t="str">
        <f t="shared" si="60"/>
        <v/>
      </c>
      <c r="O146" s="135"/>
      <c r="P146" s="136"/>
      <c r="Q146" s="123" t="str">
        <f t="shared" si="61"/>
        <v/>
      </c>
      <c r="R146" s="45" t="str">
        <f t="shared" si="62"/>
        <v/>
      </c>
      <c r="S146" s="137"/>
      <c r="T146" s="79" t="str">
        <f t="shared" si="71"/>
        <v/>
      </c>
      <c r="U146" s="79" t="str">
        <f t="shared" si="63"/>
        <v/>
      </c>
      <c r="V146" s="73" t="str">
        <f t="shared" si="64"/>
        <v/>
      </c>
      <c r="W146" s="80" t="str">
        <f t="shared" si="65"/>
        <v/>
      </c>
      <c r="X146" s="73" t="str">
        <f t="shared" si="66"/>
        <v/>
      </c>
      <c r="Y146" s="80" t="str">
        <f t="shared" si="67"/>
        <v/>
      </c>
      <c r="Z146" s="74" t="str">
        <f t="shared" si="68"/>
        <v/>
      </c>
      <c r="AA146" s="75" t="str">
        <f t="shared" si="72"/>
        <v/>
      </c>
      <c r="AB146" s="103" t="str">
        <f t="shared" si="69"/>
        <v/>
      </c>
      <c r="AC146" s="104" t="str">
        <f t="shared" si="80"/>
        <v/>
      </c>
      <c r="AE146" s="139"/>
      <c r="AF146" s="110" t="str">
        <f t="shared" si="73"/>
        <v/>
      </c>
      <c r="AG146" s="111" t="str">
        <f t="shared" si="74"/>
        <v/>
      </c>
      <c r="AH146" s="111" t="str">
        <f t="shared" si="70"/>
        <v/>
      </c>
      <c r="AI146" s="111" t="str">
        <f t="shared" si="75"/>
        <v/>
      </c>
      <c r="AJ146" s="111" t="str">
        <f t="shared" si="76"/>
        <v/>
      </c>
      <c r="AK146" s="112" t="str">
        <f t="shared" si="77"/>
        <v/>
      </c>
      <c r="AL146" t="str">
        <f t="shared" si="78"/>
        <v/>
      </c>
      <c r="AM146" t="str">
        <f t="shared" si="79"/>
        <v/>
      </c>
    </row>
    <row r="147" spans="1:39" ht="15" customHeight="1" x14ac:dyDescent="0.25">
      <c r="A147" s="131"/>
      <c r="B147" s="133"/>
      <c r="C147" s="133"/>
      <c r="D147" s="42" t="str">
        <f t="shared" si="54"/>
        <v/>
      </c>
      <c r="E147" s="43"/>
      <c r="F147" s="135"/>
      <c r="G147" s="77" t="str">
        <f t="shared" si="55"/>
        <v/>
      </c>
      <c r="H147" s="32" t="str">
        <f t="shared" si="56"/>
        <v/>
      </c>
      <c r="I147" s="78" t="str">
        <f t="shared" si="57"/>
        <v/>
      </c>
      <c r="J147" s="70" t="str">
        <f t="shared" si="58"/>
        <v/>
      </c>
      <c r="K147" s="135"/>
      <c r="L147" s="72" t="str">
        <f t="shared" si="59"/>
        <v/>
      </c>
      <c r="M147" s="135"/>
      <c r="N147" s="72" t="str">
        <f t="shared" si="60"/>
        <v/>
      </c>
      <c r="O147" s="135"/>
      <c r="P147" s="136"/>
      <c r="Q147" s="123" t="str">
        <f t="shared" si="61"/>
        <v/>
      </c>
      <c r="R147" s="45" t="str">
        <f t="shared" si="62"/>
        <v/>
      </c>
      <c r="S147" s="137"/>
      <c r="T147" s="79" t="str">
        <f t="shared" si="71"/>
        <v/>
      </c>
      <c r="U147" s="79" t="str">
        <f t="shared" si="63"/>
        <v/>
      </c>
      <c r="V147" s="73" t="str">
        <f t="shared" si="64"/>
        <v/>
      </c>
      <c r="W147" s="80" t="str">
        <f t="shared" si="65"/>
        <v/>
      </c>
      <c r="X147" s="73" t="str">
        <f t="shared" si="66"/>
        <v/>
      </c>
      <c r="Y147" s="80" t="str">
        <f t="shared" si="67"/>
        <v/>
      </c>
      <c r="Z147" s="74" t="str">
        <f t="shared" si="68"/>
        <v/>
      </c>
      <c r="AA147" s="75" t="str">
        <f t="shared" si="72"/>
        <v/>
      </c>
      <c r="AB147" s="103" t="str">
        <f t="shared" si="69"/>
        <v/>
      </c>
      <c r="AC147" s="104" t="str">
        <f t="shared" si="80"/>
        <v/>
      </c>
      <c r="AE147" s="139"/>
      <c r="AF147" s="110" t="str">
        <f t="shared" si="73"/>
        <v/>
      </c>
      <c r="AG147" s="111" t="str">
        <f t="shared" si="74"/>
        <v/>
      </c>
      <c r="AH147" s="111" t="str">
        <f t="shared" si="70"/>
        <v/>
      </c>
      <c r="AI147" s="111" t="str">
        <f t="shared" si="75"/>
        <v/>
      </c>
      <c r="AJ147" s="111" t="str">
        <f t="shared" si="76"/>
        <v/>
      </c>
      <c r="AK147" s="112" t="str">
        <f t="shared" si="77"/>
        <v/>
      </c>
      <c r="AL147" t="str">
        <f t="shared" si="78"/>
        <v/>
      </c>
      <c r="AM147" t="str">
        <f t="shared" si="79"/>
        <v/>
      </c>
    </row>
    <row r="148" spans="1:39" ht="15" customHeight="1" x14ac:dyDescent="0.25">
      <c r="A148" s="131"/>
      <c r="B148" s="133"/>
      <c r="C148" s="133"/>
      <c r="D148" s="42" t="str">
        <f t="shared" si="54"/>
        <v/>
      </c>
      <c r="E148" s="43"/>
      <c r="F148" s="135"/>
      <c r="G148" s="77" t="str">
        <f t="shared" si="55"/>
        <v/>
      </c>
      <c r="H148" s="32" t="str">
        <f t="shared" si="56"/>
        <v/>
      </c>
      <c r="I148" s="78" t="str">
        <f t="shared" si="57"/>
        <v/>
      </c>
      <c r="J148" s="70" t="str">
        <f t="shared" si="58"/>
        <v/>
      </c>
      <c r="K148" s="135"/>
      <c r="L148" s="72" t="str">
        <f t="shared" si="59"/>
        <v/>
      </c>
      <c r="M148" s="135"/>
      <c r="N148" s="72" t="str">
        <f t="shared" si="60"/>
        <v/>
      </c>
      <c r="O148" s="135"/>
      <c r="P148" s="136"/>
      <c r="Q148" s="123" t="str">
        <f t="shared" si="61"/>
        <v/>
      </c>
      <c r="R148" s="45" t="str">
        <f t="shared" si="62"/>
        <v/>
      </c>
      <c r="S148" s="137"/>
      <c r="T148" s="79" t="str">
        <f t="shared" si="71"/>
        <v/>
      </c>
      <c r="U148" s="79" t="str">
        <f t="shared" si="63"/>
        <v/>
      </c>
      <c r="V148" s="73" t="str">
        <f t="shared" si="64"/>
        <v/>
      </c>
      <c r="W148" s="80" t="str">
        <f t="shared" si="65"/>
        <v/>
      </c>
      <c r="X148" s="73" t="str">
        <f t="shared" si="66"/>
        <v/>
      </c>
      <c r="Y148" s="80" t="str">
        <f t="shared" si="67"/>
        <v/>
      </c>
      <c r="Z148" s="74" t="str">
        <f t="shared" si="68"/>
        <v/>
      </c>
      <c r="AA148" s="75" t="str">
        <f t="shared" si="72"/>
        <v/>
      </c>
      <c r="AB148" s="103" t="str">
        <f t="shared" si="69"/>
        <v/>
      </c>
      <c r="AC148" s="104" t="str">
        <f t="shared" si="80"/>
        <v/>
      </c>
      <c r="AE148" s="139"/>
      <c r="AF148" s="110" t="str">
        <f t="shared" si="73"/>
        <v/>
      </c>
      <c r="AG148" s="111" t="str">
        <f t="shared" si="74"/>
        <v/>
      </c>
      <c r="AH148" s="111" t="str">
        <f t="shared" si="70"/>
        <v/>
      </c>
      <c r="AI148" s="111" t="str">
        <f t="shared" si="75"/>
        <v/>
      </c>
      <c r="AJ148" s="111" t="str">
        <f t="shared" si="76"/>
        <v/>
      </c>
      <c r="AK148" s="112" t="str">
        <f t="shared" si="77"/>
        <v/>
      </c>
      <c r="AL148" t="str">
        <f t="shared" si="78"/>
        <v/>
      </c>
      <c r="AM148" t="str">
        <f t="shared" si="79"/>
        <v/>
      </c>
    </row>
    <row r="149" spans="1:39" ht="15" customHeight="1" x14ac:dyDescent="0.25">
      <c r="A149" s="131"/>
      <c r="B149" s="133"/>
      <c r="C149" s="133"/>
      <c r="D149" s="42" t="str">
        <f t="shared" si="54"/>
        <v/>
      </c>
      <c r="E149" s="43"/>
      <c r="F149" s="135"/>
      <c r="G149" s="77" t="str">
        <f t="shared" si="55"/>
        <v/>
      </c>
      <c r="H149" s="32" t="str">
        <f t="shared" si="56"/>
        <v/>
      </c>
      <c r="I149" s="78" t="str">
        <f t="shared" si="57"/>
        <v/>
      </c>
      <c r="J149" s="70" t="str">
        <f t="shared" si="58"/>
        <v/>
      </c>
      <c r="K149" s="135"/>
      <c r="L149" s="72" t="str">
        <f t="shared" si="59"/>
        <v/>
      </c>
      <c r="M149" s="135"/>
      <c r="N149" s="72" t="str">
        <f t="shared" si="60"/>
        <v/>
      </c>
      <c r="O149" s="135"/>
      <c r="P149" s="136"/>
      <c r="Q149" s="123" t="str">
        <f t="shared" si="61"/>
        <v/>
      </c>
      <c r="R149" s="45" t="str">
        <f t="shared" si="62"/>
        <v/>
      </c>
      <c r="S149" s="137"/>
      <c r="T149" s="79" t="str">
        <f t="shared" si="71"/>
        <v/>
      </c>
      <c r="U149" s="79" t="str">
        <f t="shared" si="63"/>
        <v/>
      </c>
      <c r="V149" s="73" t="str">
        <f t="shared" si="64"/>
        <v/>
      </c>
      <c r="W149" s="80" t="str">
        <f t="shared" si="65"/>
        <v/>
      </c>
      <c r="X149" s="73" t="str">
        <f t="shared" si="66"/>
        <v/>
      </c>
      <c r="Y149" s="80" t="str">
        <f t="shared" si="67"/>
        <v/>
      </c>
      <c r="Z149" s="74" t="str">
        <f t="shared" si="68"/>
        <v/>
      </c>
      <c r="AA149" s="75" t="str">
        <f t="shared" si="72"/>
        <v/>
      </c>
      <c r="AB149" s="103" t="str">
        <f t="shared" si="69"/>
        <v/>
      </c>
      <c r="AC149" s="104" t="str">
        <f t="shared" si="80"/>
        <v/>
      </c>
      <c r="AE149" s="139"/>
      <c r="AF149" s="110" t="str">
        <f t="shared" si="73"/>
        <v/>
      </c>
      <c r="AG149" s="111" t="str">
        <f t="shared" si="74"/>
        <v/>
      </c>
      <c r="AH149" s="111" t="str">
        <f t="shared" si="70"/>
        <v/>
      </c>
      <c r="AI149" s="111" t="str">
        <f t="shared" si="75"/>
        <v/>
      </c>
      <c r="AJ149" s="111" t="str">
        <f t="shared" si="76"/>
        <v/>
      </c>
      <c r="AK149" s="112" t="str">
        <f t="shared" si="77"/>
        <v/>
      </c>
      <c r="AL149" t="str">
        <f t="shared" si="78"/>
        <v/>
      </c>
      <c r="AM149" t="str">
        <f t="shared" si="79"/>
        <v/>
      </c>
    </row>
    <row r="150" spans="1:39" ht="15" customHeight="1" x14ac:dyDescent="0.25">
      <c r="A150" s="131"/>
      <c r="B150" s="133"/>
      <c r="C150" s="133"/>
      <c r="D150" s="42" t="str">
        <f t="shared" si="54"/>
        <v/>
      </c>
      <c r="E150" s="43"/>
      <c r="F150" s="135"/>
      <c r="G150" s="77" t="str">
        <f t="shared" si="55"/>
        <v/>
      </c>
      <c r="H150" s="32" t="str">
        <f t="shared" si="56"/>
        <v/>
      </c>
      <c r="I150" s="78" t="str">
        <f t="shared" si="57"/>
        <v/>
      </c>
      <c r="J150" s="70" t="str">
        <f t="shared" si="58"/>
        <v/>
      </c>
      <c r="K150" s="135"/>
      <c r="L150" s="72" t="str">
        <f t="shared" si="59"/>
        <v/>
      </c>
      <c r="M150" s="135"/>
      <c r="N150" s="72" t="str">
        <f t="shared" si="60"/>
        <v/>
      </c>
      <c r="O150" s="135"/>
      <c r="P150" s="136"/>
      <c r="Q150" s="123" t="str">
        <f t="shared" si="61"/>
        <v/>
      </c>
      <c r="R150" s="45" t="str">
        <f t="shared" si="62"/>
        <v/>
      </c>
      <c r="S150" s="137"/>
      <c r="T150" s="79" t="str">
        <f t="shared" si="71"/>
        <v/>
      </c>
      <c r="U150" s="79" t="str">
        <f t="shared" si="63"/>
        <v/>
      </c>
      <c r="V150" s="73" t="str">
        <f t="shared" si="64"/>
        <v/>
      </c>
      <c r="W150" s="80" t="str">
        <f t="shared" si="65"/>
        <v/>
      </c>
      <c r="X150" s="73" t="str">
        <f t="shared" si="66"/>
        <v/>
      </c>
      <c r="Y150" s="80" t="str">
        <f t="shared" si="67"/>
        <v/>
      </c>
      <c r="Z150" s="74" t="str">
        <f t="shared" si="68"/>
        <v/>
      </c>
      <c r="AA150" s="75" t="str">
        <f t="shared" si="72"/>
        <v/>
      </c>
      <c r="AB150" s="103" t="str">
        <f t="shared" si="69"/>
        <v/>
      </c>
      <c r="AC150" s="104" t="str">
        <f t="shared" si="80"/>
        <v/>
      </c>
      <c r="AE150" s="139"/>
      <c r="AF150" s="110" t="str">
        <f t="shared" si="73"/>
        <v/>
      </c>
      <c r="AG150" s="111" t="str">
        <f t="shared" si="74"/>
        <v/>
      </c>
      <c r="AH150" s="111" t="str">
        <f t="shared" si="70"/>
        <v/>
      </c>
      <c r="AI150" s="111" t="str">
        <f t="shared" si="75"/>
        <v/>
      </c>
      <c r="AJ150" s="111" t="str">
        <f t="shared" si="76"/>
        <v/>
      </c>
      <c r="AK150" s="112" t="str">
        <f t="shared" si="77"/>
        <v/>
      </c>
      <c r="AL150" t="str">
        <f t="shared" si="78"/>
        <v/>
      </c>
      <c r="AM150" t="str">
        <f t="shared" si="79"/>
        <v/>
      </c>
    </row>
    <row r="151" spans="1:39" ht="15" customHeight="1" x14ac:dyDescent="0.25">
      <c r="A151" s="131"/>
      <c r="B151" s="133"/>
      <c r="C151" s="133"/>
      <c r="D151" s="42" t="str">
        <f t="shared" si="54"/>
        <v/>
      </c>
      <c r="E151" s="43"/>
      <c r="F151" s="135"/>
      <c r="G151" s="77" t="str">
        <f t="shared" si="55"/>
        <v/>
      </c>
      <c r="H151" s="32" t="str">
        <f t="shared" si="56"/>
        <v/>
      </c>
      <c r="I151" s="78" t="str">
        <f t="shared" si="57"/>
        <v/>
      </c>
      <c r="J151" s="70" t="str">
        <f t="shared" si="58"/>
        <v/>
      </c>
      <c r="K151" s="135"/>
      <c r="L151" s="72" t="str">
        <f t="shared" si="59"/>
        <v/>
      </c>
      <c r="M151" s="135"/>
      <c r="N151" s="72" t="str">
        <f t="shared" si="60"/>
        <v/>
      </c>
      <c r="O151" s="135"/>
      <c r="P151" s="136"/>
      <c r="Q151" s="123" t="str">
        <f t="shared" si="61"/>
        <v/>
      </c>
      <c r="R151" s="45" t="str">
        <f t="shared" si="62"/>
        <v/>
      </c>
      <c r="S151" s="137"/>
      <c r="T151" s="79" t="str">
        <f t="shared" si="71"/>
        <v/>
      </c>
      <c r="U151" s="79" t="str">
        <f t="shared" si="63"/>
        <v/>
      </c>
      <c r="V151" s="73" t="str">
        <f t="shared" si="64"/>
        <v/>
      </c>
      <c r="W151" s="80" t="str">
        <f t="shared" si="65"/>
        <v/>
      </c>
      <c r="X151" s="73" t="str">
        <f t="shared" si="66"/>
        <v/>
      </c>
      <c r="Y151" s="80" t="str">
        <f t="shared" si="67"/>
        <v/>
      </c>
      <c r="Z151" s="74" t="str">
        <f t="shared" si="68"/>
        <v/>
      </c>
      <c r="AA151" s="75" t="str">
        <f t="shared" si="72"/>
        <v/>
      </c>
      <c r="AB151" s="103" t="str">
        <f t="shared" si="69"/>
        <v/>
      </c>
      <c r="AC151" s="104" t="str">
        <f t="shared" si="80"/>
        <v/>
      </c>
      <c r="AE151" s="139"/>
      <c r="AF151" s="110" t="str">
        <f t="shared" si="73"/>
        <v/>
      </c>
      <c r="AG151" s="111" t="str">
        <f t="shared" si="74"/>
        <v/>
      </c>
      <c r="AH151" s="111" t="str">
        <f t="shared" si="70"/>
        <v/>
      </c>
      <c r="AI151" s="111" t="str">
        <f t="shared" si="75"/>
        <v/>
      </c>
      <c r="AJ151" s="111" t="str">
        <f t="shared" si="76"/>
        <v/>
      </c>
      <c r="AK151" s="112" t="str">
        <f t="shared" si="77"/>
        <v/>
      </c>
      <c r="AL151" t="str">
        <f t="shared" si="78"/>
        <v/>
      </c>
      <c r="AM151" t="str">
        <f t="shared" si="79"/>
        <v/>
      </c>
    </row>
    <row r="152" spans="1:39" ht="15" customHeight="1" x14ac:dyDescent="0.25">
      <c r="A152" s="131"/>
      <c r="B152" s="133"/>
      <c r="C152" s="133"/>
      <c r="D152" s="42" t="str">
        <f t="shared" si="54"/>
        <v/>
      </c>
      <c r="E152" s="43"/>
      <c r="F152" s="135"/>
      <c r="G152" s="77" t="str">
        <f t="shared" si="55"/>
        <v/>
      </c>
      <c r="H152" s="32" t="str">
        <f t="shared" si="56"/>
        <v/>
      </c>
      <c r="I152" s="78" t="str">
        <f t="shared" si="57"/>
        <v/>
      </c>
      <c r="J152" s="70" t="str">
        <f t="shared" si="58"/>
        <v/>
      </c>
      <c r="K152" s="135"/>
      <c r="L152" s="72" t="str">
        <f t="shared" si="59"/>
        <v/>
      </c>
      <c r="M152" s="135"/>
      <c r="N152" s="72" t="str">
        <f t="shared" si="60"/>
        <v/>
      </c>
      <c r="O152" s="135"/>
      <c r="P152" s="136"/>
      <c r="Q152" s="123" t="str">
        <f t="shared" si="61"/>
        <v/>
      </c>
      <c r="R152" s="45" t="str">
        <f t="shared" si="62"/>
        <v/>
      </c>
      <c r="S152" s="137"/>
      <c r="T152" s="79" t="str">
        <f t="shared" si="71"/>
        <v/>
      </c>
      <c r="U152" s="79" t="str">
        <f t="shared" si="63"/>
        <v/>
      </c>
      <c r="V152" s="73" t="str">
        <f t="shared" si="64"/>
        <v/>
      </c>
      <c r="W152" s="80" t="str">
        <f t="shared" si="65"/>
        <v/>
      </c>
      <c r="X152" s="73" t="str">
        <f t="shared" si="66"/>
        <v/>
      </c>
      <c r="Y152" s="80" t="str">
        <f t="shared" si="67"/>
        <v/>
      </c>
      <c r="Z152" s="74" t="str">
        <f t="shared" si="68"/>
        <v/>
      </c>
      <c r="AA152" s="75" t="str">
        <f t="shared" si="72"/>
        <v/>
      </c>
      <c r="AB152" s="103" t="str">
        <f t="shared" si="69"/>
        <v/>
      </c>
      <c r="AC152" s="104" t="str">
        <f t="shared" si="80"/>
        <v/>
      </c>
      <c r="AE152" s="139"/>
      <c r="AF152" s="110" t="str">
        <f t="shared" si="73"/>
        <v/>
      </c>
      <c r="AG152" s="111" t="str">
        <f t="shared" si="74"/>
        <v/>
      </c>
      <c r="AH152" s="111" t="str">
        <f t="shared" si="70"/>
        <v/>
      </c>
      <c r="AI152" s="111" t="str">
        <f t="shared" si="75"/>
        <v/>
      </c>
      <c r="AJ152" s="111" t="str">
        <f t="shared" si="76"/>
        <v/>
      </c>
      <c r="AK152" s="112" t="str">
        <f t="shared" si="77"/>
        <v/>
      </c>
      <c r="AL152" t="str">
        <f t="shared" si="78"/>
        <v/>
      </c>
      <c r="AM152" t="str">
        <f t="shared" si="79"/>
        <v/>
      </c>
    </row>
    <row r="153" spans="1:39" ht="15" customHeight="1" x14ac:dyDescent="0.25">
      <c r="A153" s="131"/>
      <c r="B153" s="133"/>
      <c r="C153" s="133"/>
      <c r="D153" s="42" t="str">
        <f t="shared" si="54"/>
        <v/>
      </c>
      <c r="E153" s="43"/>
      <c r="F153" s="135"/>
      <c r="G153" s="77" t="str">
        <f t="shared" si="55"/>
        <v/>
      </c>
      <c r="H153" s="32" t="str">
        <f t="shared" si="56"/>
        <v/>
      </c>
      <c r="I153" s="78" t="str">
        <f t="shared" si="57"/>
        <v/>
      </c>
      <c r="J153" s="70" t="str">
        <f t="shared" si="58"/>
        <v/>
      </c>
      <c r="K153" s="135"/>
      <c r="L153" s="72" t="str">
        <f t="shared" si="59"/>
        <v/>
      </c>
      <c r="M153" s="135"/>
      <c r="N153" s="72" t="str">
        <f t="shared" si="60"/>
        <v/>
      </c>
      <c r="O153" s="135"/>
      <c r="P153" s="136"/>
      <c r="Q153" s="123" t="str">
        <f t="shared" si="61"/>
        <v/>
      </c>
      <c r="R153" s="45" t="str">
        <f t="shared" si="62"/>
        <v/>
      </c>
      <c r="S153" s="137"/>
      <c r="T153" s="79" t="str">
        <f t="shared" si="71"/>
        <v/>
      </c>
      <c r="U153" s="79" t="str">
        <f t="shared" si="63"/>
        <v/>
      </c>
      <c r="V153" s="73" t="str">
        <f t="shared" si="64"/>
        <v/>
      </c>
      <c r="W153" s="80" t="str">
        <f t="shared" si="65"/>
        <v/>
      </c>
      <c r="X153" s="73" t="str">
        <f t="shared" si="66"/>
        <v/>
      </c>
      <c r="Y153" s="80" t="str">
        <f t="shared" si="67"/>
        <v/>
      </c>
      <c r="Z153" s="74" t="str">
        <f t="shared" si="68"/>
        <v/>
      </c>
      <c r="AA153" s="75" t="str">
        <f t="shared" si="72"/>
        <v/>
      </c>
      <c r="AB153" s="103" t="str">
        <f t="shared" si="69"/>
        <v/>
      </c>
      <c r="AC153" s="104" t="str">
        <f t="shared" si="80"/>
        <v/>
      </c>
      <c r="AE153" s="139"/>
      <c r="AF153" s="110" t="str">
        <f t="shared" si="73"/>
        <v/>
      </c>
      <c r="AG153" s="111" t="str">
        <f t="shared" si="74"/>
        <v/>
      </c>
      <c r="AH153" s="111" t="str">
        <f t="shared" si="70"/>
        <v/>
      </c>
      <c r="AI153" s="111" t="str">
        <f t="shared" si="75"/>
        <v/>
      </c>
      <c r="AJ153" s="111" t="str">
        <f t="shared" si="76"/>
        <v/>
      </c>
      <c r="AK153" s="112" t="str">
        <f t="shared" si="77"/>
        <v/>
      </c>
      <c r="AL153" t="str">
        <f t="shared" si="78"/>
        <v/>
      </c>
      <c r="AM153" t="str">
        <f t="shared" si="79"/>
        <v/>
      </c>
    </row>
    <row r="154" spans="1:39" ht="15" customHeight="1" x14ac:dyDescent="0.25">
      <c r="A154" s="131"/>
      <c r="B154" s="133"/>
      <c r="C154" s="133"/>
      <c r="D154" s="42" t="str">
        <f t="shared" si="54"/>
        <v/>
      </c>
      <c r="E154" s="43"/>
      <c r="F154" s="135"/>
      <c r="G154" s="77" t="str">
        <f t="shared" si="55"/>
        <v/>
      </c>
      <c r="H154" s="32" t="str">
        <f t="shared" si="56"/>
        <v/>
      </c>
      <c r="I154" s="78" t="str">
        <f t="shared" si="57"/>
        <v/>
      </c>
      <c r="J154" s="70" t="str">
        <f t="shared" si="58"/>
        <v/>
      </c>
      <c r="K154" s="135"/>
      <c r="L154" s="72" t="str">
        <f t="shared" si="59"/>
        <v/>
      </c>
      <c r="M154" s="135"/>
      <c r="N154" s="72" t="str">
        <f t="shared" si="60"/>
        <v/>
      </c>
      <c r="O154" s="135"/>
      <c r="P154" s="136"/>
      <c r="Q154" s="123" t="str">
        <f t="shared" si="61"/>
        <v/>
      </c>
      <c r="R154" s="45" t="str">
        <f t="shared" si="62"/>
        <v/>
      </c>
      <c r="S154" s="137"/>
      <c r="T154" s="79" t="str">
        <f t="shared" si="71"/>
        <v/>
      </c>
      <c r="U154" s="79" t="str">
        <f t="shared" si="63"/>
        <v/>
      </c>
      <c r="V154" s="73" t="str">
        <f t="shared" si="64"/>
        <v/>
      </c>
      <c r="W154" s="80" t="str">
        <f t="shared" si="65"/>
        <v/>
      </c>
      <c r="X154" s="73" t="str">
        <f t="shared" si="66"/>
        <v/>
      </c>
      <c r="Y154" s="80" t="str">
        <f t="shared" si="67"/>
        <v/>
      </c>
      <c r="Z154" s="74" t="str">
        <f t="shared" si="68"/>
        <v/>
      </c>
      <c r="AA154" s="75" t="str">
        <f t="shared" si="72"/>
        <v/>
      </c>
      <c r="AB154" s="103" t="str">
        <f t="shared" si="69"/>
        <v/>
      </c>
      <c r="AC154" s="104" t="str">
        <f t="shared" si="80"/>
        <v/>
      </c>
      <c r="AE154" s="139"/>
      <c r="AF154" s="110" t="str">
        <f t="shared" si="73"/>
        <v/>
      </c>
      <c r="AG154" s="111" t="str">
        <f t="shared" si="74"/>
        <v/>
      </c>
      <c r="AH154" s="111" t="str">
        <f t="shared" si="70"/>
        <v/>
      </c>
      <c r="AI154" s="111" t="str">
        <f t="shared" si="75"/>
        <v/>
      </c>
      <c r="AJ154" s="111" t="str">
        <f t="shared" si="76"/>
        <v/>
      </c>
      <c r="AK154" s="112" t="str">
        <f t="shared" si="77"/>
        <v/>
      </c>
      <c r="AL154" t="str">
        <f t="shared" si="78"/>
        <v/>
      </c>
      <c r="AM154" t="str">
        <f t="shared" si="79"/>
        <v/>
      </c>
    </row>
    <row r="155" spans="1:39" ht="15" customHeight="1" x14ac:dyDescent="0.25">
      <c r="A155" s="131"/>
      <c r="B155" s="133"/>
      <c r="C155" s="133"/>
      <c r="D155" s="42" t="str">
        <f t="shared" si="54"/>
        <v/>
      </c>
      <c r="E155" s="43"/>
      <c r="F155" s="135"/>
      <c r="G155" s="77" t="str">
        <f t="shared" si="55"/>
        <v/>
      </c>
      <c r="H155" s="32" t="str">
        <f t="shared" si="56"/>
        <v/>
      </c>
      <c r="I155" s="78" t="str">
        <f t="shared" si="57"/>
        <v/>
      </c>
      <c r="J155" s="70" t="str">
        <f t="shared" si="58"/>
        <v/>
      </c>
      <c r="K155" s="135"/>
      <c r="L155" s="72" t="str">
        <f t="shared" si="59"/>
        <v/>
      </c>
      <c r="M155" s="135"/>
      <c r="N155" s="72" t="str">
        <f t="shared" si="60"/>
        <v/>
      </c>
      <c r="O155" s="135"/>
      <c r="P155" s="136"/>
      <c r="Q155" s="123" t="str">
        <f t="shared" si="61"/>
        <v/>
      </c>
      <c r="R155" s="45" t="str">
        <f t="shared" si="62"/>
        <v/>
      </c>
      <c r="S155" s="137"/>
      <c r="T155" s="79" t="str">
        <f t="shared" si="71"/>
        <v/>
      </c>
      <c r="U155" s="79" t="str">
        <f t="shared" si="63"/>
        <v/>
      </c>
      <c r="V155" s="73" t="str">
        <f t="shared" si="64"/>
        <v/>
      </c>
      <c r="W155" s="80" t="str">
        <f t="shared" si="65"/>
        <v/>
      </c>
      <c r="X155" s="73" t="str">
        <f t="shared" si="66"/>
        <v/>
      </c>
      <c r="Y155" s="80" t="str">
        <f t="shared" si="67"/>
        <v/>
      </c>
      <c r="Z155" s="74" t="str">
        <f t="shared" si="68"/>
        <v/>
      </c>
      <c r="AA155" s="75" t="str">
        <f t="shared" si="72"/>
        <v/>
      </c>
      <c r="AB155" s="103" t="str">
        <f t="shared" si="69"/>
        <v/>
      </c>
      <c r="AC155" s="104" t="str">
        <f t="shared" si="80"/>
        <v/>
      </c>
      <c r="AE155" s="139"/>
      <c r="AF155" s="110" t="str">
        <f t="shared" si="73"/>
        <v/>
      </c>
      <c r="AG155" s="111" t="str">
        <f t="shared" si="74"/>
        <v/>
      </c>
      <c r="AH155" s="111" t="str">
        <f t="shared" si="70"/>
        <v/>
      </c>
      <c r="AI155" s="111" t="str">
        <f t="shared" si="75"/>
        <v/>
      </c>
      <c r="AJ155" s="111" t="str">
        <f t="shared" si="76"/>
        <v/>
      </c>
      <c r="AK155" s="112" t="str">
        <f t="shared" si="77"/>
        <v/>
      </c>
      <c r="AL155" t="str">
        <f t="shared" si="78"/>
        <v/>
      </c>
      <c r="AM155" t="str">
        <f t="shared" si="79"/>
        <v/>
      </c>
    </row>
    <row r="156" spans="1:39" ht="15" customHeight="1" x14ac:dyDescent="0.25">
      <c r="A156" s="131"/>
      <c r="B156" s="133"/>
      <c r="C156" s="133"/>
      <c r="D156" s="42" t="str">
        <f t="shared" si="54"/>
        <v/>
      </c>
      <c r="E156" s="43"/>
      <c r="F156" s="135"/>
      <c r="G156" s="77" t="str">
        <f t="shared" si="55"/>
        <v/>
      </c>
      <c r="H156" s="32" t="str">
        <f t="shared" si="56"/>
        <v/>
      </c>
      <c r="I156" s="78" t="str">
        <f t="shared" si="57"/>
        <v/>
      </c>
      <c r="J156" s="70" t="str">
        <f t="shared" si="58"/>
        <v/>
      </c>
      <c r="K156" s="135"/>
      <c r="L156" s="72" t="str">
        <f t="shared" si="59"/>
        <v/>
      </c>
      <c r="M156" s="135"/>
      <c r="N156" s="72" t="str">
        <f t="shared" si="60"/>
        <v/>
      </c>
      <c r="O156" s="135"/>
      <c r="P156" s="136"/>
      <c r="Q156" s="123" t="str">
        <f t="shared" si="61"/>
        <v/>
      </c>
      <c r="R156" s="45" t="str">
        <f t="shared" si="62"/>
        <v/>
      </c>
      <c r="S156" s="137"/>
      <c r="T156" s="79" t="str">
        <f t="shared" si="71"/>
        <v/>
      </c>
      <c r="U156" s="79" t="str">
        <f t="shared" si="63"/>
        <v/>
      </c>
      <c r="V156" s="73" t="str">
        <f t="shared" si="64"/>
        <v/>
      </c>
      <c r="W156" s="80" t="str">
        <f t="shared" si="65"/>
        <v/>
      </c>
      <c r="X156" s="73" t="str">
        <f t="shared" si="66"/>
        <v/>
      </c>
      <c r="Y156" s="80" t="str">
        <f t="shared" si="67"/>
        <v/>
      </c>
      <c r="Z156" s="74" t="str">
        <f t="shared" si="68"/>
        <v/>
      </c>
      <c r="AA156" s="75" t="str">
        <f t="shared" si="72"/>
        <v/>
      </c>
      <c r="AB156" s="103" t="str">
        <f t="shared" si="69"/>
        <v/>
      </c>
      <c r="AC156" s="104" t="str">
        <f t="shared" si="80"/>
        <v/>
      </c>
      <c r="AE156" s="139"/>
      <c r="AF156" s="110" t="str">
        <f t="shared" si="73"/>
        <v/>
      </c>
      <c r="AG156" s="111" t="str">
        <f t="shared" si="74"/>
        <v/>
      </c>
      <c r="AH156" s="111" t="str">
        <f t="shared" si="70"/>
        <v/>
      </c>
      <c r="AI156" s="111" t="str">
        <f t="shared" si="75"/>
        <v/>
      </c>
      <c r="AJ156" s="111" t="str">
        <f t="shared" si="76"/>
        <v/>
      </c>
      <c r="AK156" s="112" t="str">
        <f t="shared" si="77"/>
        <v/>
      </c>
      <c r="AL156" t="str">
        <f t="shared" si="78"/>
        <v/>
      </c>
      <c r="AM156" t="str">
        <f t="shared" si="79"/>
        <v/>
      </c>
    </row>
    <row r="157" spans="1:39" ht="15" customHeight="1" x14ac:dyDescent="0.25">
      <c r="A157" s="131"/>
      <c r="B157" s="133"/>
      <c r="C157" s="133"/>
      <c r="D157" s="42" t="str">
        <f t="shared" si="54"/>
        <v/>
      </c>
      <c r="E157" s="43"/>
      <c r="F157" s="135"/>
      <c r="G157" s="77" t="str">
        <f t="shared" si="55"/>
        <v/>
      </c>
      <c r="H157" s="32" t="str">
        <f t="shared" si="56"/>
        <v/>
      </c>
      <c r="I157" s="78" t="str">
        <f t="shared" si="57"/>
        <v/>
      </c>
      <c r="J157" s="70" t="str">
        <f t="shared" si="58"/>
        <v/>
      </c>
      <c r="K157" s="135"/>
      <c r="L157" s="72" t="str">
        <f t="shared" si="59"/>
        <v/>
      </c>
      <c r="M157" s="135"/>
      <c r="N157" s="72" t="str">
        <f t="shared" si="60"/>
        <v/>
      </c>
      <c r="O157" s="135"/>
      <c r="P157" s="136"/>
      <c r="Q157" s="123" t="str">
        <f t="shared" si="61"/>
        <v/>
      </c>
      <c r="R157" s="45" t="str">
        <f t="shared" si="62"/>
        <v/>
      </c>
      <c r="S157" s="137"/>
      <c r="T157" s="79" t="str">
        <f t="shared" si="71"/>
        <v/>
      </c>
      <c r="U157" s="79" t="str">
        <f t="shared" si="63"/>
        <v/>
      </c>
      <c r="V157" s="73" t="str">
        <f t="shared" si="64"/>
        <v/>
      </c>
      <c r="W157" s="80" t="str">
        <f t="shared" si="65"/>
        <v/>
      </c>
      <c r="X157" s="73" t="str">
        <f t="shared" si="66"/>
        <v/>
      </c>
      <c r="Y157" s="80" t="str">
        <f t="shared" si="67"/>
        <v/>
      </c>
      <c r="Z157" s="74" t="str">
        <f t="shared" si="68"/>
        <v/>
      </c>
      <c r="AA157" s="75" t="str">
        <f t="shared" si="72"/>
        <v/>
      </c>
      <c r="AB157" s="103" t="str">
        <f t="shared" si="69"/>
        <v/>
      </c>
      <c r="AC157" s="104" t="str">
        <f t="shared" si="80"/>
        <v/>
      </c>
      <c r="AE157" s="139"/>
      <c r="AF157" s="110" t="str">
        <f t="shared" si="73"/>
        <v/>
      </c>
      <c r="AG157" s="111" t="str">
        <f t="shared" si="74"/>
        <v/>
      </c>
      <c r="AH157" s="111" t="str">
        <f t="shared" si="70"/>
        <v/>
      </c>
      <c r="AI157" s="111" t="str">
        <f t="shared" si="75"/>
        <v/>
      </c>
      <c r="AJ157" s="111" t="str">
        <f t="shared" si="76"/>
        <v/>
      </c>
      <c r="AK157" s="112" t="str">
        <f t="shared" si="77"/>
        <v/>
      </c>
      <c r="AL157" t="str">
        <f t="shared" si="78"/>
        <v/>
      </c>
      <c r="AM157" t="str">
        <f t="shared" si="79"/>
        <v/>
      </c>
    </row>
    <row r="158" spans="1:39" ht="15" customHeight="1" x14ac:dyDescent="0.25">
      <c r="A158" s="131"/>
      <c r="B158" s="133"/>
      <c r="C158" s="133"/>
      <c r="D158" s="42" t="str">
        <f t="shared" si="54"/>
        <v/>
      </c>
      <c r="E158" s="43"/>
      <c r="F158" s="135"/>
      <c r="G158" s="77" t="str">
        <f t="shared" si="55"/>
        <v/>
      </c>
      <c r="H158" s="32" t="str">
        <f t="shared" si="56"/>
        <v/>
      </c>
      <c r="I158" s="78" t="str">
        <f t="shared" si="57"/>
        <v/>
      </c>
      <c r="J158" s="70" t="str">
        <f t="shared" si="58"/>
        <v/>
      </c>
      <c r="K158" s="135"/>
      <c r="L158" s="72" t="str">
        <f t="shared" si="59"/>
        <v/>
      </c>
      <c r="M158" s="135"/>
      <c r="N158" s="72" t="str">
        <f t="shared" si="60"/>
        <v/>
      </c>
      <c r="O158" s="135"/>
      <c r="P158" s="136"/>
      <c r="Q158" s="123" t="str">
        <f t="shared" si="61"/>
        <v/>
      </c>
      <c r="R158" s="45" t="str">
        <f t="shared" si="62"/>
        <v/>
      </c>
      <c r="S158" s="137"/>
      <c r="T158" s="79" t="str">
        <f t="shared" si="71"/>
        <v/>
      </c>
      <c r="U158" s="79" t="str">
        <f t="shared" si="63"/>
        <v/>
      </c>
      <c r="V158" s="73" t="str">
        <f t="shared" si="64"/>
        <v/>
      </c>
      <c r="W158" s="80" t="str">
        <f t="shared" si="65"/>
        <v/>
      </c>
      <c r="X158" s="73" t="str">
        <f t="shared" si="66"/>
        <v/>
      </c>
      <c r="Y158" s="80" t="str">
        <f t="shared" si="67"/>
        <v/>
      </c>
      <c r="Z158" s="74" t="str">
        <f t="shared" si="68"/>
        <v/>
      </c>
      <c r="AA158" s="75" t="str">
        <f t="shared" si="72"/>
        <v/>
      </c>
      <c r="AB158" s="103" t="str">
        <f t="shared" si="69"/>
        <v/>
      </c>
      <c r="AC158" s="104" t="str">
        <f t="shared" si="80"/>
        <v/>
      </c>
      <c r="AE158" s="139"/>
      <c r="AF158" s="110" t="str">
        <f t="shared" si="73"/>
        <v/>
      </c>
      <c r="AG158" s="111" t="str">
        <f t="shared" si="74"/>
        <v/>
      </c>
      <c r="AH158" s="111" t="str">
        <f t="shared" si="70"/>
        <v/>
      </c>
      <c r="AI158" s="111" t="str">
        <f t="shared" si="75"/>
        <v/>
      </c>
      <c r="AJ158" s="111" t="str">
        <f t="shared" si="76"/>
        <v/>
      </c>
      <c r="AK158" s="112" t="str">
        <f t="shared" si="77"/>
        <v/>
      </c>
      <c r="AL158" t="str">
        <f t="shared" si="78"/>
        <v/>
      </c>
      <c r="AM158" t="str">
        <f t="shared" si="79"/>
        <v/>
      </c>
    </row>
    <row r="159" spans="1:39" ht="15" customHeight="1" x14ac:dyDescent="0.25">
      <c r="A159" s="131"/>
      <c r="B159" s="133"/>
      <c r="C159" s="133"/>
      <c r="D159" s="42" t="str">
        <f t="shared" si="54"/>
        <v/>
      </c>
      <c r="E159" s="43"/>
      <c r="F159" s="135"/>
      <c r="G159" s="77" t="str">
        <f t="shared" si="55"/>
        <v/>
      </c>
      <c r="H159" s="32" t="str">
        <f t="shared" si="56"/>
        <v/>
      </c>
      <c r="I159" s="78" t="str">
        <f t="shared" si="57"/>
        <v/>
      </c>
      <c r="J159" s="70" t="str">
        <f t="shared" si="58"/>
        <v/>
      </c>
      <c r="K159" s="135"/>
      <c r="L159" s="72" t="str">
        <f t="shared" si="59"/>
        <v/>
      </c>
      <c r="M159" s="135"/>
      <c r="N159" s="72" t="str">
        <f t="shared" si="60"/>
        <v/>
      </c>
      <c r="O159" s="135"/>
      <c r="P159" s="136"/>
      <c r="Q159" s="123" t="str">
        <f t="shared" si="61"/>
        <v/>
      </c>
      <c r="R159" s="45" t="str">
        <f t="shared" si="62"/>
        <v/>
      </c>
      <c r="S159" s="137"/>
      <c r="T159" s="79" t="str">
        <f t="shared" si="71"/>
        <v/>
      </c>
      <c r="U159" s="79" t="str">
        <f t="shared" si="63"/>
        <v/>
      </c>
      <c r="V159" s="73" t="str">
        <f t="shared" si="64"/>
        <v/>
      </c>
      <c r="W159" s="80" t="str">
        <f t="shared" si="65"/>
        <v/>
      </c>
      <c r="X159" s="73" t="str">
        <f t="shared" si="66"/>
        <v/>
      </c>
      <c r="Y159" s="80" t="str">
        <f t="shared" si="67"/>
        <v/>
      </c>
      <c r="Z159" s="74" t="str">
        <f t="shared" si="68"/>
        <v/>
      </c>
      <c r="AA159" s="75" t="str">
        <f t="shared" si="72"/>
        <v/>
      </c>
      <c r="AB159" s="103" t="str">
        <f t="shared" si="69"/>
        <v/>
      </c>
      <c r="AC159" s="104" t="str">
        <f t="shared" si="80"/>
        <v/>
      </c>
      <c r="AE159" s="139"/>
      <c r="AF159" s="110" t="str">
        <f t="shared" si="73"/>
        <v/>
      </c>
      <c r="AG159" s="111" t="str">
        <f t="shared" si="74"/>
        <v/>
      </c>
      <c r="AH159" s="111" t="str">
        <f t="shared" si="70"/>
        <v/>
      </c>
      <c r="AI159" s="111" t="str">
        <f t="shared" si="75"/>
        <v/>
      </c>
      <c r="AJ159" s="111" t="str">
        <f t="shared" si="76"/>
        <v/>
      </c>
      <c r="AK159" s="112" t="str">
        <f t="shared" si="77"/>
        <v/>
      </c>
      <c r="AL159" t="str">
        <f t="shared" si="78"/>
        <v/>
      </c>
      <c r="AM159" t="str">
        <f t="shared" si="79"/>
        <v/>
      </c>
    </row>
    <row r="160" spans="1:39" ht="15" customHeight="1" x14ac:dyDescent="0.25">
      <c r="A160" s="131"/>
      <c r="B160" s="133"/>
      <c r="C160" s="133"/>
      <c r="D160" s="42" t="str">
        <f t="shared" si="54"/>
        <v/>
      </c>
      <c r="E160" s="43"/>
      <c r="F160" s="135"/>
      <c r="G160" s="77" t="str">
        <f t="shared" si="55"/>
        <v/>
      </c>
      <c r="H160" s="32" t="str">
        <f t="shared" si="56"/>
        <v/>
      </c>
      <c r="I160" s="78" t="str">
        <f t="shared" si="57"/>
        <v/>
      </c>
      <c r="J160" s="70" t="str">
        <f t="shared" si="58"/>
        <v/>
      </c>
      <c r="K160" s="135"/>
      <c r="L160" s="72" t="str">
        <f t="shared" si="59"/>
        <v/>
      </c>
      <c r="M160" s="135"/>
      <c r="N160" s="72" t="str">
        <f t="shared" si="60"/>
        <v/>
      </c>
      <c r="O160" s="135"/>
      <c r="P160" s="136"/>
      <c r="Q160" s="123" t="str">
        <f t="shared" si="61"/>
        <v/>
      </c>
      <c r="R160" s="45" t="str">
        <f t="shared" si="62"/>
        <v/>
      </c>
      <c r="S160" s="137"/>
      <c r="T160" s="79" t="str">
        <f t="shared" si="71"/>
        <v/>
      </c>
      <c r="U160" s="79" t="str">
        <f t="shared" si="63"/>
        <v/>
      </c>
      <c r="V160" s="73" t="str">
        <f t="shared" si="64"/>
        <v/>
      </c>
      <c r="W160" s="80" t="str">
        <f t="shared" si="65"/>
        <v/>
      </c>
      <c r="X160" s="73" t="str">
        <f t="shared" si="66"/>
        <v/>
      </c>
      <c r="Y160" s="80" t="str">
        <f t="shared" si="67"/>
        <v/>
      </c>
      <c r="Z160" s="74" t="str">
        <f t="shared" si="68"/>
        <v/>
      </c>
      <c r="AA160" s="75" t="str">
        <f t="shared" si="72"/>
        <v/>
      </c>
      <c r="AB160" s="103" t="str">
        <f t="shared" si="69"/>
        <v/>
      </c>
      <c r="AC160" s="104" t="str">
        <f t="shared" si="80"/>
        <v/>
      </c>
      <c r="AE160" s="139"/>
      <c r="AF160" s="110" t="str">
        <f t="shared" si="73"/>
        <v/>
      </c>
      <c r="AG160" s="111" t="str">
        <f t="shared" si="74"/>
        <v/>
      </c>
      <c r="AH160" s="111" t="str">
        <f t="shared" si="70"/>
        <v/>
      </c>
      <c r="AI160" s="111" t="str">
        <f t="shared" si="75"/>
        <v/>
      </c>
      <c r="AJ160" s="111" t="str">
        <f t="shared" si="76"/>
        <v/>
      </c>
      <c r="AK160" s="112" t="str">
        <f t="shared" si="77"/>
        <v/>
      </c>
      <c r="AL160" t="str">
        <f t="shared" si="78"/>
        <v/>
      </c>
      <c r="AM160" t="str">
        <f t="shared" si="79"/>
        <v/>
      </c>
    </row>
    <row r="161" spans="1:39" ht="15" customHeight="1" x14ac:dyDescent="0.25">
      <c r="A161" s="131"/>
      <c r="B161" s="133"/>
      <c r="C161" s="133"/>
      <c r="D161" s="42" t="str">
        <f t="shared" si="54"/>
        <v/>
      </c>
      <c r="E161" s="43"/>
      <c r="F161" s="135"/>
      <c r="G161" s="77" t="str">
        <f t="shared" si="55"/>
        <v/>
      </c>
      <c r="H161" s="32" t="str">
        <f t="shared" si="56"/>
        <v/>
      </c>
      <c r="I161" s="78" t="str">
        <f t="shared" si="57"/>
        <v/>
      </c>
      <c r="J161" s="70" t="str">
        <f t="shared" si="58"/>
        <v/>
      </c>
      <c r="K161" s="135"/>
      <c r="L161" s="72" t="str">
        <f t="shared" si="59"/>
        <v/>
      </c>
      <c r="M161" s="135"/>
      <c r="N161" s="72" t="str">
        <f t="shared" si="60"/>
        <v/>
      </c>
      <c r="O161" s="135"/>
      <c r="P161" s="136"/>
      <c r="Q161" s="123" t="str">
        <f t="shared" si="61"/>
        <v/>
      </c>
      <c r="R161" s="45" t="str">
        <f t="shared" si="62"/>
        <v/>
      </c>
      <c r="S161" s="137"/>
      <c r="T161" s="79" t="str">
        <f t="shared" si="71"/>
        <v/>
      </c>
      <c r="U161" s="79" t="str">
        <f t="shared" si="63"/>
        <v/>
      </c>
      <c r="V161" s="73" t="str">
        <f t="shared" si="64"/>
        <v/>
      </c>
      <c r="W161" s="80" t="str">
        <f t="shared" si="65"/>
        <v/>
      </c>
      <c r="X161" s="73" t="str">
        <f t="shared" si="66"/>
        <v/>
      </c>
      <c r="Y161" s="80" t="str">
        <f t="shared" si="67"/>
        <v/>
      </c>
      <c r="Z161" s="74" t="str">
        <f t="shared" si="68"/>
        <v/>
      </c>
      <c r="AA161" s="75" t="str">
        <f t="shared" si="72"/>
        <v/>
      </c>
      <c r="AB161" s="103" t="str">
        <f t="shared" si="69"/>
        <v/>
      </c>
      <c r="AC161" s="104" t="str">
        <f t="shared" si="80"/>
        <v/>
      </c>
      <c r="AE161" s="139"/>
      <c r="AF161" s="110" t="str">
        <f t="shared" si="73"/>
        <v/>
      </c>
      <c r="AG161" s="111" t="str">
        <f t="shared" si="74"/>
        <v/>
      </c>
      <c r="AH161" s="111" t="str">
        <f t="shared" si="70"/>
        <v/>
      </c>
      <c r="AI161" s="111" t="str">
        <f t="shared" si="75"/>
        <v/>
      </c>
      <c r="AJ161" s="111" t="str">
        <f t="shared" si="76"/>
        <v/>
      </c>
      <c r="AK161" s="112" t="str">
        <f t="shared" si="77"/>
        <v/>
      </c>
      <c r="AL161" t="str">
        <f t="shared" si="78"/>
        <v/>
      </c>
      <c r="AM161" t="str">
        <f t="shared" si="79"/>
        <v/>
      </c>
    </row>
    <row r="162" spans="1:39" ht="15" customHeight="1" x14ac:dyDescent="0.25">
      <c r="A162" s="131"/>
      <c r="B162" s="133"/>
      <c r="C162" s="133"/>
      <c r="D162" s="42" t="str">
        <f t="shared" si="54"/>
        <v/>
      </c>
      <c r="E162" s="43"/>
      <c r="F162" s="135"/>
      <c r="G162" s="77" t="str">
        <f t="shared" si="55"/>
        <v/>
      </c>
      <c r="H162" s="32" t="str">
        <f t="shared" si="56"/>
        <v/>
      </c>
      <c r="I162" s="78" t="str">
        <f t="shared" si="57"/>
        <v/>
      </c>
      <c r="J162" s="70" t="str">
        <f t="shared" si="58"/>
        <v/>
      </c>
      <c r="K162" s="135"/>
      <c r="L162" s="72" t="str">
        <f t="shared" si="59"/>
        <v/>
      </c>
      <c r="M162" s="135"/>
      <c r="N162" s="72" t="str">
        <f t="shared" si="60"/>
        <v/>
      </c>
      <c r="O162" s="135"/>
      <c r="P162" s="136"/>
      <c r="Q162" s="123" t="str">
        <f t="shared" si="61"/>
        <v/>
      </c>
      <c r="R162" s="45" t="str">
        <f t="shared" si="62"/>
        <v/>
      </c>
      <c r="S162" s="137"/>
      <c r="T162" s="79" t="str">
        <f t="shared" si="71"/>
        <v/>
      </c>
      <c r="U162" s="79" t="str">
        <f t="shared" si="63"/>
        <v/>
      </c>
      <c r="V162" s="73" t="str">
        <f t="shared" si="64"/>
        <v/>
      </c>
      <c r="W162" s="80" t="str">
        <f t="shared" si="65"/>
        <v/>
      </c>
      <c r="X162" s="73" t="str">
        <f t="shared" si="66"/>
        <v/>
      </c>
      <c r="Y162" s="80" t="str">
        <f t="shared" si="67"/>
        <v/>
      </c>
      <c r="Z162" s="74" t="str">
        <f t="shared" si="68"/>
        <v/>
      </c>
      <c r="AA162" s="75" t="str">
        <f t="shared" si="72"/>
        <v/>
      </c>
      <c r="AB162" s="103" t="str">
        <f t="shared" si="69"/>
        <v/>
      </c>
      <c r="AC162" s="104" t="str">
        <f t="shared" si="80"/>
        <v/>
      </c>
      <c r="AE162" s="139"/>
      <c r="AF162" s="110" t="str">
        <f t="shared" si="73"/>
        <v/>
      </c>
      <c r="AG162" s="111" t="str">
        <f t="shared" si="74"/>
        <v/>
      </c>
      <c r="AH162" s="111" t="str">
        <f t="shared" si="70"/>
        <v/>
      </c>
      <c r="AI162" s="111" t="str">
        <f t="shared" si="75"/>
        <v/>
      </c>
      <c r="AJ162" s="111" t="str">
        <f t="shared" si="76"/>
        <v/>
      </c>
      <c r="AK162" s="112" t="str">
        <f t="shared" si="77"/>
        <v/>
      </c>
      <c r="AL162" t="str">
        <f t="shared" si="78"/>
        <v/>
      </c>
      <c r="AM162" t="str">
        <f t="shared" si="79"/>
        <v/>
      </c>
    </row>
    <row r="163" spans="1:39" ht="15" customHeight="1" x14ac:dyDescent="0.25">
      <c r="A163" s="131"/>
      <c r="B163" s="133"/>
      <c r="C163" s="133"/>
      <c r="D163" s="42" t="str">
        <f t="shared" si="54"/>
        <v/>
      </c>
      <c r="E163" s="43"/>
      <c r="F163" s="135"/>
      <c r="G163" s="77" t="str">
        <f t="shared" si="55"/>
        <v/>
      </c>
      <c r="H163" s="32" t="str">
        <f t="shared" si="56"/>
        <v/>
      </c>
      <c r="I163" s="78" t="str">
        <f t="shared" si="57"/>
        <v/>
      </c>
      <c r="J163" s="70" t="str">
        <f t="shared" si="58"/>
        <v/>
      </c>
      <c r="K163" s="135"/>
      <c r="L163" s="72" t="str">
        <f t="shared" si="59"/>
        <v/>
      </c>
      <c r="M163" s="135"/>
      <c r="N163" s="72" t="str">
        <f t="shared" si="60"/>
        <v/>
      </c>
      <c r="O163" s="135"/>
      <c r="P163" s="136"/>
      <c r="Q163" s="123" t="str">
        <f t="shared" si="61"/>
        <v/>
      </c>
      <c r="R163" s="45" t="str">
        <f t="shared" si="62"/>
        <v/>
      </c>
      <c r="S163" s="137"/>
      <c r="T163" s="79" t="str">
        <f t="shared" si="71"/>
        <v/>
      </c>
      <c r="U163" s="79" t="str">
        <f t="shared" si="63"/>
        <v/>
      </c>
      <c r="V163" s="73" t="str">
        <f t="shared" si="64"/>
        <v/>
      </c>
      <c r="W163" s="80" t="str">
        <f t="shared" si="65"/>
        <v/>
      </c>
      <c r="X163" s="73" t="str">
        <f t="shared" si="66"/>
        <v/>
      </c>
      <c r="Y163" s="80" t="str">
        <f t="shared" si="67"/>
        <v/>
      </c>
      <c r="Z163" s="74" t="str">
        <f t="shared" si="68"/>
        <v/>
      </c>
      <c r="AA163" s="75" t="str">
        <f t="shared" si="72"/>
        <v/>
      </c>
      <c r="AB163" s="103" t="str">
        <f t="shared" si="69"/>
        <v/>
      </c>
      <c r="AC163" s="104" t="str">
        <f t="shared" si="80"/>
        <v/>
      </c>
      <c r="AE163" s="139"/>
      <c r="AF163" s="110" t="str">
        <f t="shared" si="73"/>
        <v/>
      </c>
      <c r="AG163" s="111" t="str">
        <f t="shared" si="74"/>
        <v/>
      </c>
      <c r="AH163" s="111" t="str">
        <f t="shared" si="70"/>
        <v/>
      </c>
      <c r="AI163" s="111" t="str">
        <f t="shared" si="75"/>
        <v/>
      </c>
      <c r="AJ163" s="111" t="str">
        <f t="shared" si="76"/>
        <v/>
      </c>
      <c r="AK163" s="112" t="str">
        <f t="shared" si="77"/>
        <v/>
      </c>
      <c r="AL163" t="str">
        <f t="shared" si="78"/>
        <v/>
      </c>
      <c r="AM163" t="str">
        <f t="shared" si="79"/>
        <v/>
      </c>
    </row>
    <row r="164" spans="1:39" ht="15" customHeight="1" x14ac:dyDescent="0.25">
      <c r="A164" s="131"/>
      <c r="B164" s="133"/>
      <c r="C164" s="133"/>
      <c r="D164" s="42" t="str">
        <f t="shared" si="54"/>
        <v/>
      </c>
      <c r="E164" s="43"/>
      <c r="F164" s="135"/>
      <c r="G164" s="77" t="str">
        <f t="shared" si="55"/>
        <v/>
      </c>
      <c r="H164" s="32" t="str">
        <f t="shared" si="56"/>
        <v/>
      </c>
      <c r="I164" s="78" t="str">
        <f t="shared" si="57"/>
        <v/>
      </c>
      <c r="J164" s="70" t="str">
        <f t="shared" si="58"/>
        <v/>
      </c>
      <c r="K164" s="135"/>
      <c r="L164" s="72" t="str">
        <f t="shared" si="59"/>
        <v/>
      </c>
      <c r="M164" s="135"/>
      <c r="N164" s="72" t="str">
        <f t="shared" si="60"/>
        <v/>
      </c>
      <c r="O164" s="135"/>
      <c r="P164" s="136"/>
      <c r="Q164" s="123" t="str">
        <f t="shared" si="61"/>
        <v/>
      </c>
      <c r="R164" s="45" t="str">
        <f t="shared" si="62"/>
        <v/>
      </c>
      <c r="S164" s="137"/>
      <c r="T164" s="79" t="str">
        <f t="shared" si="71"/>
        <v/>
      </c>
      <c r="U164" s="79" t="str">
        <f t="shared" si="63"/>
        <v/>
      </c>
      <c r="V164" s="73" t="str">
        <f t="shared" si="64"/>
        <v/>
      </c>
      <c r="W164" s="80" t="str">
        <f t="shared" si="65"/>
        <v/>
      </c>
      <c r="X164" s="73" t="str">
        <f t="shared" si="66"/>
        <v/>
      </c>
      <c r="Y164" s="80" t="str">
        <f t="shared" si="67"/>
        <v/>
      </c>
      <c r="Z164" s="74" t="str">
        <f t="shared" si="68"/>
        <v/>
      </c>
      <c r="AA164" s="75" t="str">
        <f t="shared" si="72"/>
        <v/>
      </c>
      <c r="AB164" s="103" t="str">
        <f t="shared" si="69"/>
        <v/>
      </c>
      <c r="AC164" s="104" t="str">
        <f t="shared" si="80"/>
        <v/>
      </c>
      <c r="AE164" s="139"/>
      <c r="AF164" s="110" t="str">
        <f t="shared" si="73"/>
        <v/>
      </c>
      <c r="AG164" s="111" t="str">
        <f t="shared" si="74"/>
        <v/>
      </c>
      <c r="AH164" s="111" t="str">
        <f t="shared" si="70"/>
        <v/>
      </c>
      <c r="AI164" s="111" t="str">
        <f t="shared" si="75"/>
        <v/>
      </c>
      <c r="AJ164" s="111" t="str">
        <f t="shared" si="76"/>
        <v/>
      </c>
      <c r="AK164" s="112" t="str">
        <f t="shared" si="77"/>
        <v/>
      </c>
      <c r="AL164" t="str">
        <f t="shared" si="78"/>
        <v/>
      </c>
      <c r="AM164" t="str">
        <f t="shared" si="79"/>
        <v/>
      </c>
    </row>
    <row r="165" spans="1:39" ht="15" customHeight="1" x14ac:dyDescent="0.25">
      <c r="A165" s="131"/>
      <c r="B165" s="133"/>
      <c r="C165" s="133"/>
      <c r="D165" s="42" t="str">
        <f t="shared" si="54"/>
        <v/>
      </c>
      <c r="E165" s="43"/>
      <c r="F165" s="135"/>
      <c r="G165" s="77" t="str">
        <f t="shared" si="55"/>
        <v/>
      </c>
      <c r="H165" s="32" t="str">
        <f t="shared" si="56"/>
        <v/>
      </c>
      <c r="I165" s="78" t="str">
        <f t="shared" si="57"/>
        <v/>
      </c>
      <c r="J165" s="70" t="str">
        <f t="shared" si="58"/>
        <v/>
      </c>
      <c r="K165" s="135"/>
      <c r="L165" s="72" t="str">
        <f t="shared" si="59"/>
        <v/>
      </c>
      <c r="M165" s="135"/>
      <c r="N165" s="72" t="str">
        <f t="shared" si="60"/>
        <v/>
      </c>
      <c r="O165" s="135"/>
      <c r="P165" s="136"/>
      <c r="Q165" s="123" t="str">
        <f t="shared" si="61"/>
        <v/>
      </c>
      <c r="R165" s="45" t="str">
        <f t="shared" si="62"/>
        <v/>
      </c>
      <c r="S165" s="137"/>
      <c r="T165" s="79" t="str">
        <f t="shared" si="71"/>
        <v/>
      </c>
      <c r="U165" s="79" t="str">
        <f t="shared" si="63"/>
        <v/>
      </c>
      <c r="V165" s="73" t="str">
        <f t="shared" si="64"/>
        <v/>
      </c>
      <c r="W165" s="80" t="str">
        <f t="shared" si="65"/>
        <v/>
      </c>
      <c r="X165" s="73" t="str">
        <f t="shared" si="66"/>
        <v/>
      </c>
      <c r="Y165" s="80" t="str">
        <f t="shared" si="67"/>
        <v/>
      </c>
      <c r="Z165" s="74" t="str">
        <f t="shared" si="68"/>
        <v/>
      </c>
      <c r="AA165" s="75" t="str">
        <f t="shared" si="72"/>
        <v/>
      </c>
      <c r="AB165" s="103" t="str">
        <f t="shared" si="69"/>
        <v/>
      </c>
      <c r="AC165" s="104" t="str">
        <f t="shared" si="80"/>
        <v/>
      </c>
      <c r="AE165" s="139"/>
      <c r="AF165" s="110" t="str">
        <f t="shared" si="73"/>
        <v/>
      </c>
      <c r="AG165" s="111" t="str">
        <f t="shared" si="74"/>
        <v/>
      </c>
      <c r="AH165" s="111" t="str">
        <f t="shared" si="70"/>
        <v/>
      </c>
      <c r="AI165" s="111" t="str">
        <f t="shared" si="75"/>
        <v/>
      </c>
      <c r="AJ165" s="111" t="str">
        <f t="shared" si="76"/>
        <v/>
      </c>
      <c r="AK165" s="112" t="str">
        <f t="shared" si="77"/>
        <v/>
      </c>
      <c r="AL165" t="str">
        <f t="shared" si="78"/>
        <v/>
      </c>
      <c r="AM165" t="str">
        <f t="shared" si="79"/>
        <v/>
      </c>
    </row>
    <row r="166" spans="1:39" ht="15" customHeight="1" x14ac:dyDescent="0.25">
      <c r="A166" s="131"/>
      <c r="B166" s="133"/>
      <c r="C166" s="133"/>
      <c r="D166" s="42" t="str">
        <f t="shared" si="54"/>
        <v/>
      </c>
      <c r="E166" s="43"/>
      <c r="F166" s="135"/>
      <c r="G166" s="77" t="str">
        <f t="shared" si="55"/>
        <v/>
      </c>
      <c r="H166" s="32" t="str">
        <f t="shared" si="56"/>
        <v/>
      </c>
      <c r="I166" s="78" t="str">
        <f t="shared" si="57"/>
        <v/>
      </c>
      <c r="J166" s="70" t="str">
        <f t="shared" si="58"/>
        <v/>
      </c>
      <c r="K166" s="135"/>
      <c r="L166" s="72" t="str">
        <f t="shared" si="59"/>
        <v/>
      </c>
      <c r="M166" s="135"/>
      <c r="N166" s="72" t="str">
        <f t="shared" si="60"/>
        <v/>
      </c>
      <c r="O166" s="135"/>
      <c r="P166" s="136"/>
      <c r="Q166" s="123" t="str">
        <f t="shared" si="61"/>
        <v/>
      </c>
      <c r="R166" s="45" t="str">
        <f t="shared" si="62"/>
        <v/>
      </c>
      <c r="S166" s="137"/>
      <c r="T166" s="79" t="str">
        <f t="shared" si="71"/>
        <v/>
      </c>
      <c r="U166" s="79" t="str">
        <f t="shared" si="63"/>
        <v/>
      </c>
      <c r="V166" s="73" t="str">
        <f t="shared" si="64"/>
        <v/>
      </c>
      <c r="W166" s="80" t="str">
        <f t="shared" si="65"/>
        <v/>
      </c>
      <c r="X166" s="73" t="str">
        <f t="shared" si="66"/>
        <v/>
      </c>
      <c r="Y166" s="80" t="str">
        <f t="shared" si="67"/>
        <v/>
      </c>
      <c r="Z166" s="74" t="str">
        <f t="shared" si="68"/>
        <v/>
      </c>
      <c r="AA166" s="75" t="str">
        <f t="shared" si="72"/>
        <v/>
      </c>
      <c r="AB166" s="103" t="str">
        <f t="shared" si="69"/>
        <v/>
      </c>
      <c r="AC166" s="104" t="str">
        <f t="shared" si="80"/>
        <v/>
      </c>
      <c r="AE166" s="139"/>
      <c r="AF166" s="110" t="str">
        <f t="shared" si="73"/>
        <v/>
      </c>
      <c r="AG166" s="111" t="str">
        <f t="shared" si="74"/>
        <v/>
      </c>
      <c r="AH166" s="111" t="str">
        <f t="shared" si="70"/>
        <v/>
      </c>
      <c r="AI166" s="111" t="str">
        <f t="shared" si="75"/>
        <v/>
      </c>
      <c r="AJ166" s="111" t="str">
        <f t="shared" si="76"/>
        <v/>
      </c>
      <c r="AK166" s="112" t="str">
        <f t="shared" si="77"/>
        <v/>
      </c>
      <c r="AL166" t="str">
        <f t="shared" si="78"/>
        <v/>
      </c>
      <c r="AM166" t="str">
        <f t="shared" si="79"/>
        <v/>
      </c>
    </row>
    <row r="167" spans="1:39" ht="15" customHeight="1" x14ac:dyDescent="0.25">
      <c r="A167" s="131"/>
      <c r="B167" s="133"/>
      <c r="C167" s="133"/>
      <c r="D167" s="42" t="str">
        <f t="shared" si="54"/>
        <v/>
      </c>
      <c r="E167" s="43"/>
      <c r="F167" s="135"/>
      <c r="G167" s="77" t="str">
        <f t="shared" si="55"/>
        <v/>
      </c>
      <c r="H167" s="32" t="str">
        <f t="shared" si="56"/>
        <v/>
      </c>
      <c r="I167" s="78" t="str">
        <f t="shared" si="57"/>
        <v/>
      </c>
      <c r="J167" s="70" t="str">
        <f t="shared" si="58"/>
        <v/>
      </c>
      <c r="K167" s="135"/>
      <c r="L167" s="72" t="str">
        <f t="shared" si="59"/>
        <v/>
      </c>
      <c r="M167" s="135"/>
      <c r="N167" s="72" t="str">
        <f t="shared" si="60"/>
        <v/>
      </c>
      <c r="O167" s="135"/>
      <c r="P167" s="136"/>
      <c r="Q167" s="123" t="str">
        <f t="shared" si="61"/>
        <v/>
      </c>
      <c r="R167" s="45" t="str">
        <f t="shared" si="62"/>
        <v/>
      </c>
      <c r="S167" s="137"/>
      <c r="T167" s="79" t="str">
        <f t="shared" si="71"/>
        <v/>
      </c>
      <c r="U167" s="79" t="str">
        <f t="shared" si="63"/>
        <v/>
      </c>
      <c r="V167" s="73" t="str">
        <f t="shared" si="64"/>
        <v/>
      </c>
      <c r="W167" s="80" t="str">
        <f t="shared" si="65"/>
        <v/>
      </c>
      <c r="X167" s="73" t="str">
        <f t="shared" si="66"/>
        <v/>
      </c>
      <c r="Y167" s="80" t="str">
        <f t="shared" si="67"/>
        <v/>
      </c>
      <c r="Z167" s="74" t="str">
        <f t="shared" si="68"/>
        <v/>
      </c>
      <c r="AA167" s="75" t="str">
        <f t="shared" si="72"/>
        <v/>
      </c>
      <c r="AB167" s="103" t="str">
        <f t="shared" si="69"/>
        <v/>
      </c>
      <c r="AC167" s="104" t="str">
        <f t="shared" si="80"/>
        <v/>
      </c>
      <c r="AE167" s="139"/>
      <c r="AF167" s="110" t="str">
        <f t="shared" si="73"/>
        <v/>
      </c>
      <c r="AG167" s="111" t="str">
        <f t="shared" si="74"/>
        <v/>
      </c>
      <c r="AH167" s="111" t="str">
        <f t="shared" si="70"/>
        <v/>
      </c>
      <c r="AI167" s="111" t="str">
        <f t="shared" si="75"/>
        <v/>
      </c>
      <c r="AJ167" s="111" t="str">
        <f t="shared" si="76"/>
        <v/>
      </c>
      <c r="AK167" s="112" t="str">
        <f t="shared" si="77"/>
        <v/>
      </c>
      <c r="AL167" t="str">
        <f t="shared" si="78"/>
        <v/>
      </c>
      <c r="AM167" t="str">
        <f t="shared" si="79"/>
        <v/>
      </c>
    </row>
    <row r="168" spans="1:39" ht="15" customHeight="1" x14ac:dyDescent="0.25">
      <c r="A168" s="131"/>
      <c r="B168" s="133"/>
      <c r="C168" s="133"/>
      <c r="D168" s="42" t="str">
        <f t="shared" si="54"/>
        <v/>
      </c>
      <c r="E168" s="43"/>
      <c r="F168" s="135"/>
      <c r="G168" s="77" t="str">
        <f t="shared" si="55"/>
        <v/>
      </c>
      <c r="H168" s="32" t="str">
        <f t="shared" si="56"/>
        <v/>
      </c>
      <c r="I168" s="78" t="str">
        <f t="shared" si="57"/>
        <v/>
      </c>
      <c r="J168" s="70" t="str">
        <f t="shared" si="58"/>
        <v/>
      </c>
      <c r="K168" s="135"/>
      <c r="L168" s="72" t="str">
        <f t="shared" si="59"/>
        <v/>
      </c>
      <c r="M168" s="135"/>
      <c r="N168" s="72" t="str">
        <f t="shared" si="60"/>
        <v/>
      </c>
      <c r="O168" s="135"/>
      <c r="P168" s="136"/>
      <c r="Q168" s="123" t="str">
        <f t="shared" si="61"/>
        <v/>
      </c>
      <c r="R168" s="45" t="str">
        <f t="shared" si="62"/>
        <v/>
      </c>
      <c r="S168" s="137"/>
      <c r="T168" s="79" t="str">
        <f t="shared" si="71"/>
        <v/>
      </c>
      <c r="U168" s="79" t="str">
        <f t="shared" si="63"/>
        <v/>
      </c>
      <c r="V168" s="73" t="str">
        <f t="shared" si="64"/>
        <v/>
      </c>
      <c r="W168" s="80" t="str">
        <f t="shared" si="65"/>
        <v/>
      </c>
      <c r="X168" s="73" t="str">
        <f t="shared" si="66"/>
        <v/>
      </c>
      <c r="Y168" s="80" t="str">
        <f t="shared" si="67"/>
        <v/>
      </c>
      <c r="Z168" s="74" t="str">
        <f t="shared" si="68"/>
        <v/>
      </c>
      <c r="AA168" s="75" t="str">
        <f t="shared" si="72"/>
        <v/>
      </c>
      <c r="AB168" s="103" t="str">
        <f t="shared" si="69"/>
        <v/>
      </c>
      <c r="AC168" s="104" t="str">
        <f t="shared" si="80"/>
        <v/>
      </c>
      <c r="AE168" s="139"/>
      <c r="AF168" s="110" t="str">
        <f t="shared" si="73"/>
        <v/>
      </c>
      <c r="AG168" s="111" t="str">
        <f t="shared" si="74"/>
        <v/>
      </c>
      <c r="AH168" s="111" t="str">
        <f t="shared" si="70"/>
        <v/>
      </c>
      <c r="AI168" s="111" t="str">
        <f t="shared" si="75"/>
        <v/>
      </c>
      <c r="AJ168" s="111" t="str">
        <f t="shared" si="76"/>
        <v/>
      </c>
      <c r="AK168" s="112" t="str">
        <f t="shared" si="77"/>
        <v/>
      </c>
      <c r="AL168" t="str">
        <f t="shared" si="78"/>
        <v/>
      </c>
      <c r="AM168" t="str">
        <f t="shared" si="79"/>
        <v/>
      </c>
    </row>
    <row r="169" spans="1:39" ht="15" customHeight="1" x14ac:dyDescent="0.25">
      <c r="A169" s="131"/>
      <c r="B169" s="133"/>
      <c r="C169" s="133"/>
      <c r="D169" s="42" t="str">
        <f t="shared" si="54"/>
        <v/>
      </c>
      <c r="E169" s="43"/>
      <c r="F169" s="135"/>
      <c r="G169" s="77" t="str">
        <f t="shared" si="55"/>
        <v/>
      </c>
      <c r="H169" s="32" t="str">
        <f t="shared" si="56"/>
        <v/>
      </c>
      <c r="I169" s="78" t="str">
        <f t="shared" si="57"/>
        <v/>
      </c>
      <c r="J169" s="70" t="str">
        <f t="shared" si="58"/>
        <v/>
      </c>
      <c r="K169" s="135"/>
      <c r="L169" s="72" t="str">
        <f t="shared" si="59"/>
        <v/>
      </c>
      <c r="M169" s="135"/>
      <c r="N169" s="72" t="str">
        <f t="shared" si="60"/>
        <v/>
      </c>
      <c r="O169" s="135"/>
      <c r="P169" s="136"/>
      <c r="Q169" s="123" t="str">
        <f t="shared" si="61"/>
        <v/>
      </c>
      <c r="R169" s="45" t="str">
        <f t="shared" si="62"/>
        <v/>
      </c>
      <c r="S169" s="137"/>
      <c r="T169" s="79" t="str">
        <f t="shared" si="71"/>
        <v/>
      </c>
      <c r="U169" s="79" t="str">
        <f t="shared" si="63"/>
        <v/>
      </c>
      <c r="V169" s="73" t="str">
        <f t="shared" si="64"/>
        <v/>
      </c>
      <c r="W169" s="80" t="str">
        <f t="shared" si="65"/>
        <v/>
      </c>
      <c r="X169" s="73" t="str">
        <f t="shared" si="66"/>
        <v/>
      </c>
      <c r="Y169" s="80" t="str">
        <f t="shared" si="67"/>
        <v/>
      </c>
      <c r="Z169" s="74" t="str">
        <f t="shared" si="68"/>
        <v/>
      </c>
      <c r="AA169" s="75" t="str">
        <f t="shared" si="72"/>
        <v/>
      </c>
      <c r="AB169" s="103" t="str">
        <f t="shared" si="69"/>
        <v/>
      </c>
      <c r="AC169" s="104" t="str">
        <f t="shared" si="80"/>
        <v/>
      </c>
      <c r="AE169" s="139"/>
      <c r="AF169" s="110" t="str">
        <f t="shared" si="73"/>
        <v/>
      </c>
      <c r="AG169" s="111" t="str">
        <f t="shared" si="74"/>
        <v/>
      </c>
      <c r="AH169" s="111" t="str">
        <f t="shared" si="70"/>
        <v/>
      </c>
      <c r="AI169" s="111" t="str">
        <f t="shared" si="75"/>
        <v/>
      </c>
      <c r="AJ169" s="111" t="str">
        <f t="shared" si="76"/>
        <v/>
      </c>
      <c r="AK169" s="112" t="str">
        <f t="shared" si="77"/>
        <v/>
      </c>
      <c r="AL169" t="str">
        <f t="shared" si="78"/>
        <v/>
      </c>
      <c r="AM169" t="str">
        <f t="shared" si="79"/>
        <v/>
      </c>
    </row>
    <row r="170" spans="1:39" ht="15" customHeight="1" x14ac:dyDescent="0.25">
      <c r="A170" s="131"/>
      <c r="B170" s="133"/>
      <c r="C170" s="133"/>
      <c r="D170" s="42" t="str">
        <f t="shared" si="54"/>
        <v/>
      </c>
      <c r="E170" s="43"/>
      <c r="F170" s="135"/>
      <c r="G170" s="77" t="str">
        <f t="shared" si="55"/>
        <v/>
      </c>
      <c r="H170" s="32" t="str">
        <f t="shared" si="56"/>
        <v/>
      </c>
      <c r="I170" s="78" t="str">
        <f t="shared" si="57"/>
        <v/>
      </c>
      <c r="J170" s="70" t="str">
        <f t="shared" si="58"/>
        <v/>
      </c>
      <c r="K170" s="135"/>
      <c r="L170" s="72" t="str">
        <f t="shared" si="59"/>
        <v/>
      </c>
      <c r="M170" s="135"/>
      <c r="N170" s="72" t="str">
        <f t="shared" si="60"/>
        <v/>
      </c>
      <c r="O170" s="135"/>
      <c r="P170" s="136"/>
      <c r="Q170" s="123" t="str">
        <f t="shared" si="61"/>
        <v/>
      </c>
      <c r="R170" s="45" t="str">
        <f t="shared" si="62"/>
        <v/>
      </c>
      <c r="S170" s="137"/>
      <c r="T170" s="79" t="str">
        <f t="shared" si="71"/>
        <v/>
      </c>
      <c r="U170" s="79" t="str">
        <f t="shared" si="63"/>
        <v/>
      </c>
      <c r="V170" s="73" t="str">
        <f t="shared" si="64"/>
        <v/>
      </c>
      <c r="W170" s="80" t="str">
        <f t="shared" si="65"/>
        <v/>
      </c>
      <c r="X170" s="73" t="str">
        <f t="shared" si="66"/>
        <v/>
      </c>
      <c r="Y170" s="80" t="str">
        <f t="shared" si="67"/>
        <v/>
      </c>
      <c r="Z170" s="74" t="str">
        <f t="shared" si="68"/>
        <v/>
      </c>
      <c r="AA170" s="75" t="str">
        <f t="shared" si="72"/>
        <v/>
      </c>
      <c r="AB170" s="103" t="str">
        <f t="shared" si="69"/>
        <v/>
      </c>
      <c r="AC170" s="104" t="str">
        <f t="shared" si="80"/>
        <v/>
      </c>
      <c r="AE170" s="139"/>
      <c r="AF170" s="110" t="str">
        <f t="shared" si="73"/>
        <v/>
      </c>
      <c r="AG170" s="111" t="str">
        <f t="shared" si="74"/>
        <v/>
      </c>
      <c r="AH170" s="111" t="str">
        <f t="shared" si="70"/>
        <v/>
      </c>
      <c r="AI170" s="111" t="str">
        <f t="shared" si="75"/>
        <v/>
      </c>
      <c r="AJ170" s="111" t="str">
        <f t="shared" si="76"/>
        <v/>
      </c>
      <c r="AK170" s="112" t="str">
        <f t="shared" si="77"/>
        <v/>
      </c>
      <c r="AL170" t="str">
        <f t="shared" si="78"/>
        <v/>
      </c>
      <c r="AM170" t="str">
        <f t="shared" si="79"/>
        <v/>
      </c>
    </row>
    <row r="171" spans="1:39" ht="15" customHeight="1" x14ac:dyDescent="0.25">
      <c r="A171" s="131"/>
      <c r="B171" s="133"/>
      <c r="C171" s="133"/>
      <c r="D171" s="42" t="str">
        <f t="shared" si="54"/>
        <v/>
      </c>
      <c r="E171" s="43"/>
      <c r="F171" s="135"/>
      <c r="G171" s="77" t="str">
        <f t="shared" si="55"/>
        <v/>
      </c>
      <c r="H171" s="32" t="str">
        <f t="shared" si="56"/>
        <v/>
      </c>
      <c r="I171" s="78" t="str">
        <f t="shared" si="57"/>
        <v/>
      </c>
      <c r="J171" s="70" t="str">
        <f t="shared" si="58"/>
        <v/>
      </c>
      <c r="K171" s="135"/>
      <c r="L171" s="72" t="str">
        <f t="shared" si="59"/>
        <v/>
      </c>
      <c r="M171" s="135"/>
      <c r="N171" s="72" t="str">
        <f t="shared" si="60"/>
        <v/>
      </c>
      <c r="O171" s="135"/>
      <c r="P171" s="136"/>
      <c r="Q171" s="123" t="str">
        <f t="shared" si="61"/>
        <v/>
      </c>
      <c r="R171" s="45" t="str">
        <f t="shared" si="62"/>
        <v/>
      </c>
      <c r="S171" s="137"/>
      <c r="T171" s="79" t="str">
        <f t="shared" si="71"/>
        <v/>
      </c>
      <c r="U171" s="79" t="str">
        <f t="shared" si="63"/>
        <v/>
      </c>
      <c r="V171" s="73" t="str">
        <f t="shared" si="64"/>
        <v/>
      </c>
      <c r="W171" s="80" t="str">
        <f t="shared" si="65"/>
        <v/>
      </c>
      <c r="X171" s="73" t="str">
        <f t="shared" si="66"/>
        <v/>
      </c>
      <c r="Y171" s="80" t="str">
        <f t="shared" si="67"/>
        <v/>
      </c>
      <c r="Z171" s="74" t="str">
        <f t="shared" si="68"/>
        <v/>
      </c>
      <c r="AA171" s="75" t="str">
        <f t="shared" si="72"/>
        <v/>
      </c>
      <c r="AB171" s="103" t="str">
        <f t="shared" si="69"/>
        <v/>
      </c>
      <c r="AC171" s="104" t="str">
        <f t="shared" si="80"/>
        <v/>
      </c>
      <c r="AE171" s="139"/>
      <c r="AF171" s="110" t="str">
        <f t="shared" si="73"/>
        <v/>
      </c>
      <c r="AG171" s="111" t="str">
        <f t="shared" si="74"/>
        <v/>
      </c>
      <c r="AH171" s="111" t="str">
        <f t="shared" si="70"/>
        <v/>
      </c>
      <c r="AI171" s="111" t="str">
        <f t="shared" si="75"/>
        <v/>
      </c>
      <c r="AJ171" s="111" t="str">
        <f t="shared" si="76"/>
        <v/>
      </c>
      <c r="AK171" s="112" t="str">
        <f t="shared" si="77"/>
        <v/>
      </c>
      <c r="AL171" t="str">
        <f t="shared" si="78"/>
        <v/>
      </c>
      <c r="AM171" t="str">
        <f t="shared" si="79"/>
        <v/>
      </c>
    </row>
    <row r="172" spans="1:39" ht="15" customHeight="1" x14ac:dyDescent="0.25">
      <c r="A172" s="131"/>
      <c r="B172" s="133"/>
      <c r="C172" s="133"/>
      <c r="D172" s="42" t="str">
        <f t="shared" si="54"/>
        <v/>
      </c>
      <c r="E172" s="43"/>
      <c r="F172" s="135"/>
      <c r="G172" s="77" t="str">
        <f t="shared" si="55"/>
        <v/>
      </c>
      <c r="H172" s="32" t="str">
        <f t="shared" si="56"/>
        <v/>
      </c>
      <c r="I172" s="78" t="str">
        <f t="shared" si="57"/>
        <v/>
      </c>
      <c r="J172" s="70" t="str">
        <f t="shared" si="58"/>
        <v/>
      </c>
      <c r="K172" s="135"/>
      <c r="L172" s="72" t="str">
        <f t="shared" si="59"/>
        <v/>
      </c>
      <c r="M172" s="135"/>
      <c r="N172" s="72" t="str">
        <f t="shared" si="60"/>
        <v/>
      </c>
      <c r="O172" s="135"/>
      <c r="P172" s="136"/>
      <c r="Q172" s="123" t="str">
        <f t="shared" si="61"/>
        <v/>
      </c>
      <c r="R172" s="45" t="str">
        <f t="shared" si="62"/>
        <v/>
      </c>
      <c r="S172" s="137"/>
      <c r="T172" s="79" t="str">
        <f t="shared" si="71"/>
        <v/>
      </c>
      <c r="U172" s="79" t="str">
        <f t="shared" si="63"/>
        <v/>
      </c>
      <c r="V172" s="73" t="str">
        <f t="shared" si="64"/>
        <v/>
      </c>
      <c r="W172" s="80" t="str">
        <f t="shared" si="65"/>
        <v/>
      </c>
      <c r="X172" s="73" t="str">
        <f t="shared" si="66"/>
        <v/>
      </c>
      <c r="Y172" s="80" t="str">
        <f t="shared" si="67"/>
        <v/>
      </c>
      <c r="Z172" s="74" t="str">
        <f t="shared" si="68"/>
        <v/>
      </c>
      <c r="AA172" s="75" t="str">
        <f t="shared" si="72"/>
        <v/>
      </c>
      <c r="AB172" s="103" t="str">
        <f t="shared" si="69"/>
        <v/>
      </c>
      <c r="AC172" s="104" t="str">
        <f t="shared" si="80"/>
        <v/>
      </c>
      <c r="AE172" s="139"/>
      <c r="AF172" s="110" t="str">
        <f t="shared" si="73"/>
        <v/>
      </c>
      <c r="AG172" s="111" t="str">
        <f t="shared" si="74"/>
        <v/>
      </c>
      <c r="AH172" s="111" t="str">
        <f t="shared" si="70"/>
        <v/>
      </c>
      <c r="AI172" s="111" t="str">
        <f t="shared" si="75"/>
        <v/>
      </c>
      <c r="AJ172" s="111" t="str">
        <f t="shared" si="76"/>
        <v/>
      </c>
      <c r="AK172" s="112" t="str">
        <f t="shared" si="77"/>
        <v/>
      </c>
      <c r="AL172" t="str">
        <f t="shared" si="78"/>
        <v/>
      </c>
      <c r="AM172" t="str">
        <f t="shared" si="79"/>
        <v/>
      </c>
    </row>
    <row r="173" spans="1:39" ht="15" customHeight="1" x14ac:dyDescent="0.25">
      <c r="A173" s="131"/>
      <c r="B173" s="133"/>
      <c r="C173" s="133"/>
      <c r="D173" s="42" t="str">
        <f t="shared" si="54"/>
        <v/>
      </c>
      <c r="E173" s="43"/>
      <c r="F173" s="135"/>
      <c r="G173" s="77" t="str">
        <f t="shared" si="55"/>
        <v/>
      </c>
      <c r="H173" s="32" t="str">
        <f t="shared" si="56"/>
        <v/>
      </c>
      <c r="I173" s="78" t="str">
        <f t="shared" si="57"/>
        <v/>
      </c>
      <c r="J173" s="70" t="str">
        <f t="shared" si="58"/>
        <v/>
      </c>
      <c r="K173" s="135"/>
      <c r="L173" s="72" t="str">
        <f t="shared" si="59"/>
        <v/>
      </c>
      <c r="M173" s="135"/>
      <c r="N173" s="72" t="str">
        <f t="shared" si="60"/>
        <v/>
      </c>
      <c r="O173" s="135"/>
      <c r="P173" s="136"/>
      <c r="Q173" s="123" t="str">
        <f t="shared" si="61"/>
        <v/>
      </c>
      <c r="R173" s="45" t="str">
        <f t="shared" si="62"/>
        <v/>
      </c>
      <c r="S173" s="137"/>
      <c r="T173" s="79" t="str">
        <f t="shared" si="71"/>
        <v/>
      </c>
      <c r="U173" s="79" t="str">
        <f t="shared" si="63"/>
        <v/>
      </c>
      <c r="V173" s="73" t="str">
        <f t="shared" si="64"/>
        <v/>
      </c>
      <c r="W173" s="80" t="str">
        <f t="shared" si="65"/>
        <v/>
      </c>
      <c r="X173" s="73" t="str">
        <f t="shared" si="66"/>
        <v/>
      </c>
      <c r="Y173" s="80" t="str">
        <f t="shared" si="67"/>
        <v/>
      </c>
      <c r="Z173" s="74" t="str">
        <f t="shared" si="68"/>
        <v/>
      </c>
      <c r="AA173" s="75" t="str">
        <f t="shared" si="72"/>
        <v/>
      </c>
      <c r="AB173" s="103" t="str">
        <f t="shared" si="69"/>
        <v/>
      </c>
      <c r="AC173" s="104" t="str">
        <f t="shared" si="80"/>
        <v/>
      </c>
      <c r="AE173" s="139"/>
      <c r="AF173" s="110" t="str">
        <f t="shared" si="73"/>
        <v/>
      </c>
      <c r="AG173" s="111" t="str">
        <f t="shared" si="74"/>
        <v/>
      </c>
      <c r="AH173" s="111" t="str">
        <f t="shared" si="70"/>
        <v/>
      </c>
      <c r="AI173" s="111" t="str">
        <f t="shared" si="75"/>
        <v/>
      </c>
      <c r="AJ173" s="111" t="str">
        <f t="shared" si="76"/>
        <v/>
      </c>
      <c r="AK173" s="112" t="str">
        <f t="shared" si="77"/>
        <v/>
      </c>
      <c r="AL173" t="str">
        <f t="shared" si="78"/>
        <v/>
      </c>
      <c r="AM173" t="str">
        <f t="shared" si="79"/>
        <v/>
      </c>
    </row>
    <row r="174" spans="1:39" ht="15" customHeight="1" x14ac:dyDescent="0.25">
      <c r="A174" s="131"/>
      <c r="B174" s="133"/>
      <c r="C174" s="133"/>
      <c r="D174" s="42" t="str">
        <f t="shared" si="54"/>
        <v/>
      </c>
      <c r="E174" s="43"/>
      <c r="F174" s="135"/>
      <c r="G174" s="77" t="str">
        <f t="shared" si="55"/>
        <v/>
      </c>
      <c r="H174" s="32" t="str">
        <f t="shared" si="56"/>
        <v/>
      </c>
      <c r="I174" s="78" t="str">
        <f t="shared" si="57"/>
        <v/>
      </c>
      <c r="J174" s="70" t="str">
        <f t="shared" si="58"/>
        <v/>
      </c>
      <c r="K174" s="135"/>
      <c r="L174" s="72" t="str">
        <f t="shared" si="59"/>
        <v/>
      </c>
      <c r="M174" s="135"/>
      <c r="N174" s="72" t="str">
        <f t="shared" si="60"/>
        <v/>
      </c>
      <c r="O174" s="135"/>
      <c r="P174" s="136"/>
      <c r="Q174" s="123" t="str">
        <f t="shared" si="61"/>
        <v/>
      </c>
      <c r="R174" s="45" t="str">
        <f t="shared" si="62"/>
        <v/>
      </c>
      <c r="S174" s="137"/>
      <c r="T174" s="79" t="str">
        <f t="shared" si="71"/>
        <v/>
      </c>
      <c r="U174" s="79" t="str">
        <f t="shared" si="63"/>
        <v/>
      </c>
      <c r="V174" s="73" t="str">
        <f t="shared" si="64"/>
        <v/>
      </c>
      <c r="W174" s="80" t="str">
        <f t="shared" si="65"/>
        <v/>
      </c>
      <c r="X174" s="73" t="str">
        <f t="shared" si="66"/>
        <v/>
      </c>
      <c r="Y174" s="80" t="str">
        <f t="shared" si="67"/>
        <v/>
      </c>
      <c r="Z174" s="74" t="str">
        <f t="shared" si="68"/>
        <v/>
      </c>
      <c r="AA174" s="75" t="str">
        <f t="shared" si="72"/>
        <v/>
      </c>
      <c r="AB174" s="103" t="str">
        <f t="shared" si="69"/>
        <v/>
      </c>
      <c r="AC174" s="104" t="str">
        <f t="shared" si="80"/>
        <v/>
      </c>
      <c r="AE174" s="139"/>
      <c r="AF174" s="110" t="str">
        <f t="shared" si="73"/>
        <v/>
      </c>
      <c r="AG174" s="111" t="str">
        <f t="shared" si="74"/>
        <v/>
      </c>
      <c r="AH174" s="111" t="str">
        <f t="shared" si="70"/>
        <v/>
      </c>
      <c r="AI174" s="111" t="str">
        <f t="shared" si="75"/>
        <v/>
      </c>
      <c r="AJ174" s="111" t="str">
        <f t="shared" si="76"/>
        <v/>
      </c>
      <c r="AK174" s="112" t="str">
        <f t="shared" si="77"/>
        <v/>
      </c>
      <c r="AL174" t="str">
        <f t="shared" si="78"/>
        <v/>
      </c>
      <c r="AM174" t="str">
        <f t="shared" si="79"/>
        <v/>
      </c>
    </row>
    <row r="175" spans="1:39" ht="15" customHeight="1" x14ac:dyDescent="0.25">
      <c r="A175" s="131"/>
      <c r="B175" s="133"/>
      <c r="C175" s="133"/>
      <c r="D175" s="42" t="str">
        <f t="shared" si="54"/>
        <v/>
      </c>
      <c r="E175" s="43"/>
      <c r="F175" s="135"/>
      <c r="G175" s="77" t="str">
        <f t="shared" si="55"/>
        <v/>
      </c>
      <c r="H175" s="32" t="str">
        <f t="shared" si="56"/>
        <v/>
      </c>
      <c r="I175" s="78" t="str">
        <f t="shared" si="57"/>
        <v/>
      </c>
      <c r="J175" s="70" t="str">
        <f t="shared" si="58"/>
        <v/>
      </c>
      <c r="K175" s="135"/>
      <c r="L175" s="72" t="str">
        <f t="shared" si="59"/>
        <v/>
      </c>
      <c r="M175" s="135"/>
      <c r="N175" s="72" t="str">
        <f t="shared" si="60"/>
        <v/>
      </c>
      <c r="O175" s="135"/>
      <c r="P175" s="136"/>
      <c r="Q175" s="123" t="str">
        <f t="shared" si="61"/>
        <v/>
      </c>
      <c r="R175" s="45" t="str">
        <f t="shared" si="62"/>
        <v/>
      </c>
      <c r="S175" s="137"/>
      <c r="T175" s="79" t="str">
        <f t="shared" si="71"/>
        <v/>
      </c>
      <c r="U175" s="79" t="str">
        <f t="shared" si="63"/>
        <v/>
      </c>
      <c r="V175" s="73" t="str">
        <f t="shared" si="64"/>
        <v/>
      </c>
      <c r="W175" s="80" t="str">
        <f t="shared" si="65"/>
        <v/>
      </c>
      <c r="X175" s="73" t="str">
        <f t="shared" si="66"/>
        <v/>
      </c>
      <c r="Y175" s="80" t="str">
        <f t="shared" si="67"/>
        <v/>
      </c>
      <c r="Z175" s="74" t="str">
        <f t="shared" si="68"/>
        <v/>
      </c>
      <c r="AA175" s="75" t="str">
        <f t="shared" si="72"/>
        <v/>
      </c>
      <c r="AB175" s="103" t="str">
        <f t="shared" si="69"/>
        <v/>
      </c>
      <c r="AC175" s="104" t="str">
        <f t="shared" si="80"/>
        <v/>
      </c>
      <c r="AE175" s="139"/>
      <c r="AF175" s="110" t="str">
        <f t="shared" si="73"/>
        <v/>
      </c>
      <c r="AG175" s="111" t="str">
        <f t="shared" si="74"/>
        <v/>
      </c>
      <c r="AH175" s="111" t="str">
        <f t="shared" si="70"/>
        <v/>
      </c>
      <c r="AI175" s="111" t="str">
        <f t="shared" si="75"/>
        <v/>
      </c>
      <c r="AJ175" s="111" t="str">
        <f t="shared" si="76"/>
        <v/>
      </c>
      <c r="AK175" s="112" t="str">
        <f t="shared" si="77"/>
        <v/>
      </c>
      <c r="AL175" t="str">
        <f t="shared" si="78"/>
        <v/>
      </c>
      <c r="AM175" t="str">
        <f t="shared" si="79"/>
        <v/>
      </c>
    </row>
    <row r="176" spans="1:39" ht="15" customHeight="1" x14ac:dyDescent="0.25">
      <c r="A176" s="131"/>
      <c r="B176" s="133"/>
      <c r="C176" s="133"/>
      <c r="D176" s="42" t="str">
        <f t="shared" si="54"/>
        <v/>
      </c>
      <c r="E176" s="43"/>
      <c r="F176" s="135"/>
      <c r="G176" s="77" t="str">
        <f t="shared" si="55"/>
        <v/>
      </c>
      <c r="H176" s="32" t="str">
        <f t="shared" si="56"/>
        <v/>
      </c>
      <c r="I176" s="78" t="str">
        <f t="shared" si="57"/>
        <v/>
      </c>
      <c r="J176" s="70" t="str">
        <f t="shared" si="58"/>
        <v/>
      </c>
      <c r="K176" s="135"/>
      <c r="L176" s="72" t="str">
        <f t="shared" si="59"/>
        <v/>
      </c>
      <c r="M176" s="135"/>
      <c r="N176" s="72" t="str">
        <f t="shared" si="60"/>
        <v/>
      </c>
      <c r="O176" s="135"/>
      <c r="P176" s="136"/>
      <c r="Q176" s="123" t="str">
        <f t="shared" si="61"/>
        <v/>
      </c>
      <c r="R176" s="45" t="str">
        <f t="shared" si="62"/>
        <v/>
      </c>
      <c r="S176" s="137"/>
      <c r="T176" s="79" t="str">
        <f t="shared" si="71"/>
        <v/>
      </c>
      <c r="U176" s="79" t="str">
        <f t="shared" si="63"/>
        <v/>
      </c>
      <c r="V176" s="73" t="str">
        <f t="shared" si="64"/>
        <v/>
      </c>
      <c r="W176" s="80" t="str">
        <f t="shared" si="65"/>
        <v/>
      </c>
      <c r="X176" s="73" t="str">
        <f t="shared" si="66"/>
        <v/>
      </c>
      <c r="Y176" s="80" t="str">
        <f t="shared" si="67"/>
        <v/>
      </c>
      <c r="Z176" s="74" t="str">
        <f t="shared" si="68"/>
        <v/>
      </c>
      <c r="AA176" s="75" t="str">
        <f t="shared" si="72"/>
        <v/>
      </c>
      <c r="AB176" s="103" t="str">
        <f t="shared" si="69"/>
        <v/>
      </c>
      <c r="AC176" s="104" t="str">
        <f t="shared" si="80"/>
        <v/>
      </c>
      <c r="AE176" s="139"/>
      <c r="AF176" s="110" t="str">
        <f t="shared" si="73"/>
        <v/>
      </c>
      <c r="AG176" s="111" t="str">
        <f t="shared" si="74"/>
        <v/>
      </c>
      <c r="AH176" s="111" t="str">
        <f t="shared" si="70"/>
        <v/>
      </c>
      <c r="AI176" s="111" t="str">
        <f t="shared" si="75"/>
        <v/>
      </c>
      <c r="AJ176" s="111" t="str">
        <f t="shared" si="76"/>
        <v/>
      </c>
      <c r="AK176" s="112" t="str">
        <f t="shared" si="77"/>
        <v/>
      </c>
      <c r="AL176" t="str">
        <f t="shared" si="78"/>
        <v/>
      </c>
      <c r="AM176" t="str">
        <f t="shared" si="79"/>
        <v/>
      </c>
    </row>
    <row r="177" spans="1:39" ht="15" customHeight="1" x14ac:dyDescent="0.25">
      <c r="A177" s="131"/>
      <c r="B177" s="133"/>
      <c r="C177" s="133"/>
      <c r="D177" s="42" t="str">
        <f t="shared" si="54"/>
        <v/>
      </c>
      <c r="E177" s="43"/>
      <c r="F177" s="135"/>
      <c r="G177" s="77" t="str">
        <f t="shared" si="55"/>
        <v/>
      </c>
      <c r="H177" s="32" t="str">
        <f t="shared" si="56"/>
        <v/>
      </c>
      <c r="I177" s="78" t="str">
        <f t="shared" si="57"/>
        <v/>
      </c>
      <c r="J177" s="70" t="str">
        <f t="shared" si="58"/>
        <v/>
      </c>
      <c r="K177" s="135"/>
      <c r="L177" s="72" t="str">
        <f t="shared" si="59"/>
        <v/>
      </c>
      <c r="M177" s="135"/>
      <c r="N177" s="72" t="str">
        <f t="shared" si="60"/>
        <v/>
      </c>
      <c r="O177" s="135"/>
      <c r="P177" s="136"/>
      <c r="Q177" s="123" t="str">
        <f t="shared" si="61"/>
        <v/>
      </c>
      <c r="R177" s="45" t="str">
        <f t="shared" si="62"/>
        <v/>
      </c>
      <c r="S177" s="137"/>
      <c r="T177" s="79" t="str">
        <f t="shared" si="71"/>
        <v/>
      </c>
      <c r="U177" s="79" t="str">
        <f t="shared" si="63"/>
        <v/>
      </c>
      <c r="V177" s="73" t="str">
        <f t="shared" si="64"/>
        <v/>
      </c>
      <c r="W177" s="80" t="str">
        <f t="shared" si="65"/>
        <v/>
      </c>
      <c r="X177" s="73" t="str">
        <f t="shared" si="66"/>
        <v/>
      </c>
      <c r="Y177" s="80" t="str">
        <f t="shared" si="67"/>
        <v/>
      </c>
      <c r="Z177" s="74" t="str">
        <f t="shared" si="68"/>
        <v/>
      </c>
      <c r="AA177" s="75" t="str">
        <f t="shared" si="72"/>
        <v/>
      </c>
      <c r="AB177" s="103" t="str">
        <f t="shared" si="69"/>
        <v/>
      </c>
      <c r="AC177" s="104" t="str">
        <f t="shared" si="80"/>
        <v/>
      </c>
      <c r="AE177" s="139"/>
      <c r="AF177" s="110" t="str">
        <f t="shared" si="73"/>
        <v/>
      </c>
      <c r="AG177" s="111" t="str">
        <f t="shared" si="74"/>
        <v/>
      </c>
      <c r="AH177" s="111" t="str">
        <f t="shared" si="70"/>
        <v/>
      </c>
      <c r="AI177" s="111" t="str">
        <f t="shared" si="75"/>
        <v/>
      </c>
      <c r="AJ177" s="111" t="str">
        <f t="shared" si="76"/>
        <v/>
      </c>
      <c r="AK177" s="112" t="str">
        <f t="shared" si="77"/>
        <v/>
      </c>
      <c r="AL177" t="str">
        <f t="shared" si="78"/>
        <v/>
      </c>
      <c r="AM177" t="str">
        <f t="shared" si="79"/>
        <v/>
      </c>
    </row>
    <row r="178" spans="1:39" ht="15" customHeight="1" x14ac:dyDescent="0.25">
      <c r="A178" s="131"/>
      <c r="B178" s="133"/>
      <c r="C178" s="133"/>
      <c r="D178" s="42" t="str">
        <f t="shared" si="54"/>
        <v/>
      </c>
      <c r="E178" s="43"/>
      <c r="F178" s="135"/>
      <c r="G178" s="77" t="str">
        <f t="shared" si="55"/>
        <v/>
      </c>
      <c r="H178" s="32" t="str">
        <f t="shared" si="56"/>
        <v/>
      </c>
      <c r="I178" s="78" t="str">
        <f t="shared" si="57"/>
        <v/>
      </c>
      <c r="J178" s="70" t="str">
        <f t="shared" si="58"/>
        <v/>
      </c>
      <c r="K178" s="135"/>
      <c r="L178" s="72" t="str">
        <f t="shared" si="59"/>
        <v/>
      </c>
      <c r="M178" s="135"/>
      <c r="N178" s="72" t="str">
        <f t="shared" si="60"/>
        <v/>
      </c>
      <c r="O178" s="135"/>
      <c r="P178" s="136"/>
      <c r="Q178" s="123" t="str">
        <f t="shared" si="61"/>
        <v/>
      </c>
      <c r="R178" s="45" t="str">
        <f t="shared" si="62"/>
        <v/>
      </c>
      <c r="S178" s="137"/>
      <c r="T178" s="79" t="str">
        <f t="shared" si="71"/>
        <v/>
      </c>
      <c r="U178" s="79" t="str">
        <f t="shared" si="63"/>
        <v/>
      </c>
      <c r="V178" s="73" t="str">
        <f t="shared" si="64"/>
        <v/>
      </c>
      <c r="W178" s="80" t="str">
        <f t="shared" si="65"/>
        <v/>
      </c>
      <c r="X178" s="73" t="str">
        <f t="shared" si="66"/>
        <v/>
      </c>
      <c r="Y178" s="80" t="str">
        <f t="shared" si="67"/>
        <v/>
      </c>
      <c r="Z178" s="74" t="str">
        <f t="shared" si="68"/>
        <v/>
      </c>
      <c r="AA178" s="75" t="str">
        <f t="shared" si="72"/>
        <v/>
      </c>
      <c r="AB178" s="103" t="str">
        <f t="shared" si="69"/>
        <v/>
      </c>
      <c r="AC178" s="104" t="str">
        <f t="shared" si="80"/>
        <v/>
      </c>
      <c r="AE178" s="139"/>
      <c r="AF178" s="110" t="str">
        <f t="shared" si="73"/>
        <v/>
      </c>
      <c r="AG178" s="111" t="str">
        <f t="shared" si="74"/>
        <v/>
      </c>
      <c r="AH178" s="111" t="str">
        <f t="shared" si="70"/>
        <v/>
      </c>
      <c r="AI178" s="111" t="str">
        <f t="shared" si="75"/>
        <v/>
      </c>
      <c r="AJ178" s="111" t="str">
        <f t="shared" si="76"/>
        <v/>
      </c>
      <c r="AK178" s="112" t="str">
        <f t="shared" si="77"/>
        <v/>
      </c>
      <c r="AL178" t="str">
        <f t="shared" si="78"/>
        <v/>
      </c>
      <c r="AM178" t="str">
        <f t="shared" si="79"/>
        <v/>
      </c>
    </row>
    <row r="179" spans="1:39" ht="15" customHeight="1" x14ac:dyDescent="0.25">
      <c r="A179" s="131"/>
      <c r="B179" s="133"/>
      <c r="C179" s="133"/>
      <c r="D179" s="42" t="str">
        <f t="shared" si="54"/>
        <v/>
      </c>
      <c r="E179" s="43"/>
      <c r="F179" s="135"/>
      <c r="G179" s="77" t="str">
        <f t="shared" si="55"/>
        <v/>
      </c>
      <c r="H179" s="32" t="str">
        <f t="shared" si="56"/>
        <v/>
      </c>
      <c r="I179" s="78" t="str">
        <f t="shared" si="57"/>
        <v/>
      </c>
      <c r="J179" s="70" t="str">
        <f t="shared" si="58"/>
        <v/>
      </c>
      <c r="K179" s="135"/>
      <c r="L179" s="72" t="str">
        <f t="shared" si="59"/>
        <v/>
      </c>
      <c r="M179" s="135"/>
      <c r="N179" s="72" t="str">
        <f t="shared" si="60"/>
        <v/>
      </c>
      <c r="O179" s="135"/>
      <c r="P179" s="136"/>
      <c r="Q179" s="123" t="str">
        <f t="shared" si="61"/>
        <v/>
      </c>
      <c r="R179" s="45" t="str">
        <f t="shared" si="62"/>
        <v/>
      </c>
      <c r="S179" s="137"/>
      <c r="T179" s="79" t="str">
        <f t="shared" si="71"/>
        <v/>
      </c>
      <c r="U179" s="79" t="str">
        <f t="shared" si="63"/>
        <v/>
      </c>
      <c r="V179" s="73" t="str">
        <f t="shared" si="64"/>
        <v/>
      </c>
      <c r="W179" s="80" t="str">
        <f t="shared" si="65"/>
        <v/>
      </c>
      <c r="X179" s="73" t="str">
        <f t="shared" si="66"/>
        <v/>
      </c>
      <c r="Y179" s="80" t="str">
        <f t="shared" si="67"/>
        <v/>
      </c>
      <c r="Z179" s="74" t="str">
        <f t="shared" si="68"/>
        <v/>
      </c>
      <c r="AA179" s="75" t="str">
        <f t="shared" si="72"/>
        <v/>
      </c>
      <c r="AB179" s="103" t="str">
        <f t="shared" si="69"/>
        <v/>
      </c>
      <c r="AC179" s="104" t="str">
        <f t="shared" si="80"/>
        <v/>
      </c>
      <c r="AE179" s="139"/>
      <c r="AF179" s="110" t="str">
        <f t="shared" si="73"/>
        <v/>
      </c>
      <c r="AG179" s="111" t="str">
        <f t="shared" si="74"/>
        <v/>
      </c>
      <c r="AH179" s="111" t="str">
        <f t="shared" si="70"/>
        <v/>
      </c>
      <c r="AI179" s="111" t="str">
        <f t="shared" si="75"/>
        <v/>
      </c>
      <c r="AJ179" s="111" t="str">
        <f t="shared" si="76"/>
        <v/>
      </c>
      <c r="AK179" s="112" t="str">
        <f t="shared" si="77"/>
        <v/>
      </c>
      <c r="AL179" t="str">
        <f t="shared" si="78"/>
        <v/>
      </c>
      <c r="AM179" t="str">
        <f t="shared" si="79"/>
        <v/>
      </c>
    </row>
    <row r="180" spans="1:39" ht="15" customHeight="1" x14ac:dyDescent="0.25">
      <c r="A180" s="131"/>
      <c r="B180" s="133"/>
      <c r="C180" s="133"/>
      <c r="D180" s="42" t="str">
        <f t="shared" si="54"/>
        <v/>
      </c>
      <c r="E180" s="43"/>
      <c r="F180" s="135"/>
      <c r="G180" s="77" t="str">
        <f t="shared" si="55"/>
        <v/>
      </c>
      <c r="H180" s="32" t="str">
        <f t="shared" si="56"/>
        <v/>
      </c>
      <c r="I180" s="78" t="str">
        <f t="shared" si="57"/>
        <v/>
      </c>
      <c r="J180" s="70" t="str">
        <f t="shared" si="58"/>
        <v/>
      </c>
      <c r="K180" s="135"/>
      <c r="L180" s="72" t="str">
        <f t="shared" si="59"/>
        <v/>
      </c>
      <c r="M180" s="135"/>
      <c r="N180" s="72" t="str">
        <f t="shared" si="60"/>
        <v/>
      </c>
      <c r="O180" s="135"/>
      <c r="P180" s="136"/>
      <c r="Q180" s="123" t="str">
        <f t="shared" si="61"/>
        <v/>
      </c>
      <c r="R180" s="45" t="str">
        <f t="shared" si="62"/>
        <v/>
      </c>
      <c r="S180" s="137"/>
      <c r="T180" s="79" t="str">
        <f t="shared" si="71"/>
        <v/>
      </c>
      <c r="U180" s="79" t="str">
        <f t="shared" si="63"/>
        <v/>
      </c>
      <c r="V180" s="73" t="str">
        <f t="shared" si="64"/>
        <v/>
      </c>
      <c r="W180" s="80" t="str">
        <f t="shared" si="65"/>
        <v/>
      </c>
      <c r="X180" s="73" t="str">
        <f t="shared" si="66"/>
        <v/>
      </c>
      <c r="Y180" s="80" t="str">
        <f t="shared" si="67"/>
        <v/>
      </c>
      <c r="Z180" s="74" t="str">
        <f t="shared" si="68"/>
        <v/>
      </c>
      <c r="AA180" s="75" t="str">
        <f t="shared" si="72"/>
        <v/>
      </c>
      <c r="AB180" s="103" t="str">
        <f t="shared" si="69"/>
        <v/>
      </c>
      <c r="AC180" s="104" t="str">
        <f t="shared" si="80"/>
        <v/>
      </c>
      <c r="AE180" s="139"/>
      <c r="AF180" s="110" t="str">
        <f t="shared" si="73"/>
        <v/>
      </c>
      <c r="AG180" s="111" t="str">
        <f t="shared" si="74"/>
        <v/>
      </c>
      <c r="AH180" s="111" t="str">
        <f t="shared" si="70"/>
        <v/>
      </c>
      <c r="AI180" s="111" t="str">
        <f t="shared" si="75"/>
        <v/>
      </c>
      <c r="AJ180" s="111" t="str">
        <f t="shared" si="76"/>
        <v/>
      </c>
      <c r="AK180" s="112" t="str">
        <f t="shared" si="77"/>
        <v/>
      </c>
      <c r="AL180" t="str">
        <f t="shared" si="78"/>
        <v/>
      </c>
      <c r="AM180" t="str">
        <f t="shared" si="79"/>
        <v/>
      </c>
    </row>
    <row r="181" spans="1:39" ht="15" customHeight="1" x14ac:dyDescent="0.25">
      <c r="A181" s="131"/>
      <c r="B181" s="133"/>
      <c r="C181" s="133"/>
      <c r="D181" s="42" t="str">
        <f t="shared" si="54"/>
        <v/>
      </c>
      <c r="E181" s="43"/>
      <c r="F181" s="135"/>
      <c r="G181" s="77" t="str">
        <f t="shared" si="55"/>
        <v/>
      </c>
      <c r="H181" s="32" t="str">
        <f t="shared" si="56"/>
        <v/>
      </c>
      <c r="I181" s="78" t="str">
        <f t="shared" si="57"/>
        <v/>
      </c>
      <c r="J181" s="70" t="str">
        <f t="shared" si="58"/>
        <v/>
      </c>
      <c r="K181" s="135"/>
      <c r="L181" s="72" t="str">
        <f t="shared" si="59"/>
        <v/>
      </c>
      <c r="M181" s="135"/>
      <c r="N181" s="72" t="str">
        <f t="shared" si="60"/>
        <v/>
      </c>
      <c r="O181" s="135"/>
      <c r="P181" s="136"/>
      <c r="Q181" s="123" t="str">
        <f t="shared" si="61"/>
        <v/>
      </c>
      <c r="R181" s="45" t="str">
        <f t="shared" si="62"/>
        <v/>
      </c>
      <c r="S181" s="137"/>
      <c r="T181" s="79" t="str">
        <f t="shared" si="71"/>
        <v/>
      </c>
      <c r="U181" s="79" t="str">
        <f t="shared" si="63"/>
        <v/>
      </c>
      <c r="V181" s="73" t="str">
        <f t="shared" si="64"/>
        <v/>
      </c>
      <c r="W181" s="80" t="str">
        <f t="shared" si="65"/>
        <v/>
      </c>
      <c r="X181" s="73" t="str">
        <f t="shared" si="66"/>
        <v/>
      </c>
      <c r="Y181" s="80" t="str">
        <f t="shared" si="67"/>
        <v/>
      </c>
      <c r="Z181" s="74" t="str">
        <f t="shared" si="68"/>
        <v/>
      </c>
      <c r="AA181" s="75" t="str">
        <f t="shared" si="72"/>
        <v/>
      </c>
      <c r="AB181" s="103" t="str">
        <f t="shared" si="69"/>
        <v/>
      </c>
      <c r="AC181" s="104" t="str">
        <f t="shared" si="80"/>
        <v/>
      </c>
      <c r="AE181" s="139"/>
      <c r="AF181" s="110" t="str">
        <f t="shared" si="73"/>
        <v/>
      </c>
      <c r="AG181" s="111" t="str">
        <f t="shared" si="74"/>
        <v/>
      </c>
      <c r="AH181" s="111" t="str">
        <f t="shared" si="70"/>
        <v/>
      </c>
      <c r="AI181" s="111" t="str">
        <f t="shared" si="75"/>
        <v/>
      </c>
      <c r="AJ181" s="111" t="str">
        <f t="shared" si="76"/>
        <v/>
      </c>
      <c r="AK181" s="112" t="str">
        <f t="shared" si="77"/>
        <v/>
      </c>
      <c r="AL181" t="str">
        <f t="shared" si="78"/>
        <v/>
      </c>
      <c r="AM181" t="str">
        <f t="shared" si="79"/>
        <v/>
      </c>
    </row>
    <row r="182" spans="1:39" ht="15" customHeight="1" x14ac:dyDescent="0.25">
      <c r="A182" s="131"/>
      <c r="B182" s="133"/>
      <c r="C182" s="133"/>
      <c r="D182" s="42" t="str">
        <f t="shared" si="54"/>
        <v/>
      </c>
      <c r="E182" s="43"/>
      <c r="F182" s="135"/>
      <c r="G182" s="77" t="str">
        <f t="shared" si="55"/>
        <v/>
      </c>
      <c r="H182" s="32" t="str">
        <f t="shared" si="56"/>
        <v/>
      </c>
      <c r="I182" s="78" t="str">
        <f t="shared" si="57"/>
        <v/>
      </c>
      <c r="J182" s="70" t="str">
        <f t="shared" si="58"/>
        <v/>
      </c>
      <c r="K182" s="135"/>
      <c r="L182" s="72" t="str">
        <f t="shared" si="59"/>
        <v/>
      </c>
      <c r="M182" s="135"/>
      <c r="N182" s="72" t="str">
        <f t="shared" si="60"/>
        <v/>
      </c>
      <c r="O182" s="135"/>
      <c r="P182" s="136"/>
      <c r="Q182" s="123" t="str">
        <f t="shared" si="61"/>
        <v/>
      </c>
      <c r="R182" s="45" t="str">
        <f t="shared" si="62"/>
        <v/>
      </c>
      <c r="S182" s="137"/>
      <c r="T182" s="79" t="str">
        <f t="shared" si="71"/>
        <v/>
      </c>
      <c r="U182" s="79" t="str">
        <f t="shared" si="63"/>
        <v/>
      </c>
      <c r="V182" s="73" t="str">
        <f t="shared" si="64"/>
        <v/>
      </c>
      <c r="W182" s="80" t="str">
        <f t="shared" si="65"/>
        <v/>
      </c>
      <c r="X182" s="73" t="str">
        <f t="shared" si="66"/>
        <v/>
      </c>
      <c r="Y182" s="80" t="str">
        <f t="shared" si="67"/>
        <v/>
      </c>
      <c r="Z182" s="74" t="str">
        <f t="shared" si="68"/>
        <v/>
      </c>
      <c r="AA182" s="75" t="str">
        <f t="shared" si="72"/>
        <v/>
      </c>
      <c r="AB182" s="103" t="str">
        <f t="shared" si="69"/>
        <v/>
      </c>
      <c r="AC182" s="104" t="str">
        <f t="shared" si="80"/>
        <v/>
      </c>
      <c r="AE182" s="139"/>
      <c r="AF182" s="110" t="str">
        <f t="shared" si="73"/>
        <v/>
      </c>
      <c r="AG182" s="111" t="str">
        <f t="shared" si="74"/>
        <v/>
      </c>
      <c r="AH182" s="111" t="str">
        <f t="shared" si="70"/>
        <v/>
      </c>
      <c r="AI182" s="111" t="str">
        <f t="shared" si="75"/>
        <v/>
      </c>
      <c r="AJ182" s="111" t="str">
        <f t="shared" si="76"/>
        <v/>
      </c>
      <c r="AK182" s="112" t="str">
        <f t="shared" si="77"/>
        <v/>
      </c>
      <c r="AL182" t="str">
        <f t="shared" si="78"/>
        <v/>
      </c>
      <c r="AM182" t="str">
        <f t="shared" si="79"/>
        <v/>
      </c>
    </row>
    <row r="183" spans="1:39" ht="15" customHeight="1" x14ac:dyDescent="0.25">
      <c r="A183" s="131"/>
      <c r="B183" s="133"/>
      <c r="C183" s="133"/>
      <c r="D183" s="42" t="str">
        <f t="shared" si="54"/>
        <v/>
      </c>
      <c r="E183" s="43"/>
      <c r="F183" s="135"/>
      <c r="G183" s="77" t="str">
        <f t="shared" si="55"/>
        <v/>
      </c>
      <c r="H183" s="32" t="str">
        <f t="shared" si="56"/>
        <v/>
      </c>
      <c r="I183" s="78" t="str">
        <f t="shared" si="57"/>
        <v/>
      </c>
      <c r="J183" s="70" t="str">
        <f t="shared" si="58"/>
        <v/>
      </c>
      <c r="K183" s="135"/>
      <c r="L183" s="72" t="str">
        <f t="shared" si="59"/>
        <v/>
      </c>
      <c r="M183" s="135"/>
      <c r="N183" s="72" t="str">
        <f t="shared" si="60"/>
        <v/>
      </c>
      <c r="O183" s="135"/>
      <c r="P183" s="136"/>
      <c r="Q183" s="123" t="str">
        <f t="shared" si="61"/>
        <v/>
      </c>
      <c r="R183" s="45" t="str">
        <f t="shared" si="62"/>
        <v/>
      </c>
      <c r="S183" s="137"/>
      <c r="T183" s="79" t="str">
        <f t="shared" si="71"/>
        <v/>
      </c>
      <c r="U183" s="79" t="str">
        <f t="shared" si="63"/>
        <v/>
      </c>
      <c r="V183" s="73" t="str">
        <f t="shared" si="64"/>
        <v/>
      </c>
      <c r="W183" s="80" t="str">
        <f t="shared" si="65"/>
        <v/>
      </c>
      <c r="X183" s="73" t="str">
        <f t="shared" si="66"/>
        <v/>
      </c>
      <c r="Y183" s="80" t="str">
        <f t="shared" si="67"/>
        <v/>
      </c>
      <c r="Z183" s="74" t="str">
        <f t="shared" si="68"/>
        <v/>
      </c>
      <c r="AA183" s="75" t="str">
        <f t="shared" si="72"/>
        <v/>
      </c>
      <c r="AB183" s="103" t="str">
        <f t="shared" si="69"/>
        <v/>
      </c>
      <c r="AC183" s="104" t="str">
        <f t="shared" si="80"/>
        <v/>
      </c>
      <c r="AE183" s="139"/>
      <c r="AF183" s="110" t="str">
        <f t="shared" si="73"/>
        <v/>
      </c>
      <c r="AG183" s="111" t="str">
        <f t="shared" si="74"/>
        <v/>
      </c>
      <c r="AH183" s="111" t="str">
        <f t="shared" si="70"/>
        <v/>
      </c>
      <c r="AI183" s="111" t="str">
        <f t="shared" si="75"/>
        <v/>
      </c>
      <c r="AJ183" s="111" t="str">
        <f t="shared" si="76"/>
        <v/>
      </c>
      <c r="AK183" s="112" t="str">
        <f t="shared" si="77"/>
        <v/>
      </c>
      <c r="AL183" t="str">
        <f t="shared" si="78"/>
        <v/>
      </c>
      <c r="AM183" t="str">
        <f t="shared" si="79"/>
        <v/>
      </c>
    </row>
    <row r="184" spans="1:39" ht="15" customHeight="1" x14ac:dyDescent="0.25">
      <c r="A184" s="131"/>
      <c r="B184" s="133"/>
      <c r="C184" s="133"/>
      <c r="D184" s="42" t="str">
        <f t="shared" si="54"/>
        <v/>
      </c>
      <c r="E184" s="43"/>
      <c r="F184" s="135"/>
      <c r="G184" s="77" t="str">
        <f t="shared" si="55"/>
        <v/>
      </c>
      <c r="H184" s="32" t="str">
        <f t="shared" si="56"/>
        <v/>
      </c>
      <c r="I184" s="78" t="str">
        <f t="shared" si="57"/>
        <v/>
      </c>
      <c r="J184" s="70" t="str">
        <f t="shared" si="58"/>
        <v/>
      </c>
      <c r="K184" s="135"/>
      <c r="L184" s="72" t="str">
        <f t="shared" si="59"/>
        <v/>
      </c>
      <c r="M184" s="135"/>
      <c r="N184" s="72" t="str">
        <f t="shared" si="60"/>
        <v/>
      </c>
      <c r="O184" s="135"/>
      <c r="P184" s="136"/>
      <c r="Q184" s="123" t="str">
        <f t="shared" si="61"/>
        <v/>
      </c>
      <c r="R184" s="45" t="str">
        <f t="shared" si="62"/>
        <v/>
      </c>
      <c r="S184" s="137"/>
      <c r="T184" s="79" t="str">
        <f t="shared" si="71"/>
        <v/>
      </c>
      <c r="U184" s="79" t="str">
        <f t="shared" si="63"/>
        <v/>
      </c>
      <c r="V184" s="73" t="str">
        <f t="shared" si="64"/>
        <v/>
      </c>
      <c r="W184" s="80" t="str">
        <f t="shared" si="65"/>
        <v/>
      </c>
      <c r="X184" s="73" t="str">
        <f t="shared" si="66"/>
        <v/>
      </c>
      <c r="Y184" s="80" t="str">
        <f t="shared" si="67"/>
        <v/>
      </c>
      <c r="Z184" s="74" t="str">
        <f t="shared" si="68"/>
        <v/>
      </c>
      <c r="AA184" s="75" t="str">
        <f t="shared" si="72"/>
        <v/>
      </c>
      <c r="AB184" s="103" t="str">
        <f t="shared" si="69"/>
        <v/>
      </c>
      <c r="AC184" s="104" t="str">
        <f t="shared" si="80"/>
        <v/>
      </c>
      <c r="AE184" s="139"/>
      <c r="AF184" s="110" t="str">
        <f t="shared" si="73"/>
        <v/>
      </c>
      <c r="AG184" s="111" t="str">
        <f t="shared" si="74"/>
        <v/>
      </c>
      <c r="AH184" s="111" t="str">
        <f t="shared" si="70"/>
        <v/>
      </c>
      <c r="AI184" s="111" t="str">
        <f t="shared" si="75"/>
        <v/>
      </c>
      <c r="AJ184" s="111" t="str">
        <f t="shared" si="76"/>
        <v/>
      </c>
      <c r="AK184" s="112" t="str">
        <f t="shared" si="77"/>
        <v/>
      </c>
      <c r="AL184" t="str">
        <f t="shared" si="78"/>
        <v/>
      </c>
      <c r="AM184" t="str">
        <f t="shared" si="79"/>
        <v/>
      </c>
    </row>
    <row r="185" spans="1:39" ht="15" customHeight="1" x14ac:dyDescent="0.25">
      <c r="A185" s="131"/>
      <c r="B185" s="133"/>
      <c r="C185" s="133"/>
      <c r="D185" s="42" t="str">
        <f t="shared" si="54"/>
        <v/>
      </c>
      <c r="E185" s="43"/>
      <c r="F185" s="135"/>
      <c r="G185" s="77" t="str">
        <f t="shared" si="55"/>
        <v/>
      </c>
      <c r="H185" s="32" t="str">
        <f t="shared" si="56"/>
        <v/>
      </c>
      <c r="I185" s="78" t="str">
        <f t="shared" si="57"/>
        <v/>
      </c>
      <c r="J185" s="70" t="str">
        <f t="shared" si="58"/>
        <v/>
      </c>
      <c r="K185" s="135"/>
      <c r="L185" s="72" t="str">
        <f t="shared" si="59"/>
        <v/>
      </c>
      <c r="M185" s="135"/>
      <c r="N185" s="72" t="str">
        <f t="shared" si="60"/>
        <v/>
      </c>
      <c r="O185" s="135"/>
      <c r="P185" s="136"/>
      <c r="Q185" s="123" t="str">
        <f t="shared" si="61"/>
        <v/>
      </c>
      <c r="R185" s="45" t="str">
        <f t="shared" si="62"/>
        <v/>
      </c>
      <c r="S185" s="137"/>
      <c r="T185" s="79" t="str">
        <f t="shared" si="71"/>
        <v/>
      </c>
      <c r="U185" s="79" t="str">
        <f t="shared" si="63"/>
        <v/>
      </c>
      <c r="V185" s="73" t="str">
        <f t="shared" si="64"/>
        <v/>
      </c>
      <c r="W185" s="80" t="str">
        <f t="shared" si="65"/>
        <v/>
      </c>
      <c r="X185" s="73" t="str">
        <f t="shared" si="66"/>
        <v/>
      </c>
      <c r="Y185" s="80" t="str">
        <f t="shared" si="67"/>
        <v/>
      </c>
      <c r="Z185" s="74" t="str">
        <f t="shared" si="68"/>
        <v/>
      </c>
      <c r="AA185" s="75" t="str">
        <f t="shared" si="72"/>
        <v/>
      </c>
      <c r="AB185" s="103" t="str">
        <f t="shared" si="69"/>
        <v/>
      </c>
      <c r="AC185" s="104" t="str">
        <f t="shared" si="80"/>
        <v/>
      </c>
      <c r="AE185" s="139"/>
      <c r="AF185" s="110" t="str">
        <f t="shared" si="73"/>
        <v/>
      </c>
      <c r="AG185" s="111" t="str">
        <f t="shared" si="74"/>
        <v/>
      </c>
      <c r="AH185" s="111" t="str">
        <f t="shared" si="70"/>
        <v/>
      </c>
      <c r="AI185" s="111" t="str">
        <f t="shared" si="75"/>
        <v/>
      </c>
      <c r="AJ185" s="111" t="str">
        <f t="shared" si="76"/>
        <v/>
      </c>
      <c r="AK185" s="112" t="str">
        <f t="shared" si="77"/>
        <v/>
      </c>
      <c r="AL185" t="str">
        <f t="shared" si="78"/>
        <v/>
      </c>
      <c r="AM185" t="str">
        <f t="shared" si="79"/>
        <v/>
      </c>
    </row>
    <row r="186" spans="1:39" ht="15" customHeight="1" x14ac:dyDescent="0.25">
      <c r="A186" s="131"/>
      <c r="B186" s="133"/>
      <c r="C186" s="133"/>
      <c r="D186" s="42" t="str">
        <f t="shared" si="54"/>
        <v/>
      </c>
      <c r="E186" s="43"/>
      <c r="F186" s="135"/>
      <c r="G186" s="77" t="str">
        <f t="shared" si="55"/>
        <v/>
      </c>
      <c r="H186" s="32" t="str">
        <f t="shared" si="56"/>
        <v/>
      </c>
      <c r="I186" s="78" t="str">
        <f t="shared" si="57"/>
        <v/>
      </c>
      <c r="J186" s="70" t="str">
        <f t="shared" si="58"/>
        <v/>
      </c>
      <c r="K186" s="135"/>
      <c r="L186" s="72" t="str">
        <f t="shared" si="59"/>
        <v/>
      </c>
      <c r="M186" s="135"/>
      <c r="N186" s="72" t="str">
        <f t="shared" si="60"/>
        <v/>
      </c>
      <c r="O186" s="135"/>
      <c r="P186" s="136"/>
      <c r="Q186" s="123" t="str">
        <f t="shared" si="61"/>
        <v/>
      </c>
      <c r="R186" s="45" t="str">
        <f t="shared" si="62"/>
        <v/>
      </c>
      <c r="S186" s="137"/>
      <c r="T186" s="79" t="str">
        <f t="shared" si="71"/>
        <v/>
      </c>
      <c r="U186" s="79" t="str">
        <f t="shared" si="63"/>
        <v/>
      </c>
      <c r="V186" s="73" t="str">
        <f t="shared" si="64"/>
        <v/>
      </c>
      <c r="W186" s="80" t="str">
        <f t="shared" si="65"/>
        <v/>
      </c>
      <c r="X186" s="73" t="str">
        <f t="shared" si="66"/>
        <v/>
      </c>
      <c r="Y186" s="80" t="str">
        <f t="shared" si="67"/>
        <v/>
      </c>
      <c r="Z186" s="74" t="str">
        <f t="shared" si="68"/>
        <v/>
      </c>
      <c r="AA186" s="75" t="str">
        <f t="shared" si="72"/>
        <v/>
      </c>
      <c r="AB186" s="103" t="str">
        <f t="shared" si="69"/>
        <v/>
      </c>
      <c r="AC186" s="104" t="str">
        <f t="shared" si="80"/>
        <v/>
      </c>
      <c r="AE186" s="139"/>
      <c r="AF186" s="110" t="str">
        <f t="shared" si="73"/>
        <v/>
      </c>
      <c r="AG186" s="111" t="str">
        <f t="shared" si="74"/>
        <v/>
      </c>
      <c r="AH186" s="111" t="str">
        <f t="shared" si="70"/>
        <v/>
      </c>
      <c r="AI186" s="111" t="str">
        <f t="shared" si="75"/>
        <v/>
      </c>
      <c r="AJ186" s="111" t="str">
        <f t="shared" si="76"/>
        <v/>
      </c>
      <c r="AK186" s="112" t="str">
        <f t="shared" si="77"/>
        <v/>
      </c>
      <c r="AL186" t="str">
        <f t="shared" si="78"/>
        <v/>
      </c>
      <c r="AM186" t="str">
        <f t="shared" si="79"/>
        <v/>
      </c>
    </row>
    <row r="187" spans="1:39" ht="15" customHeight="1" x14ac:dyDescent="0.25">
      <c r="A187" s="131"/>
      <c r="B187" s="133"/>
      <c r="C187" s="133"/>
      <c r="D187" s="42" t="str">
        <f t="shared" si="54"/>
        <v/>
      </c>
      <c r="E187" s="43"/>
      <c r="F187" s="135"/>
      <c r="G187" s="77" t="str">
        <f t="shared" si="55"/>
        <v/>
      </c>
      <c r="H187" s="32" t="str">
        <f t="shared" si="56"/>
        <v/>
      </c>
      <c r="I187" s="78" t="str">
        <f t="shared" si="57"/>
        <v/>
      </c>
      <c r="J187" s="70" t="str">
        <f t="shared" si="58"/>
        <v/>
      </c>
      <c r="K187" s="135"/>
      <c r="L187" s="72" t="str">
        <f t="shared" si="59"/>
        <v/>
      </c>
      <c r="M187" s="135"/>
      <c r="N187" s="72" t="str">
        <f t="shared" si="60"/>
        <v/>
      </c>
      <c r="O187" s="135"/>
      <c r="P187" s="136"/>
      <c r="Q187" s="123" t="str">
        <f t="shared" si="61"/>
        <v/>
      </c>
      <c r="R187" s="45" t="str">
        <f t="shared" si="62"/>
        <v/>
      </c>
      <c r="S187" s="137"/>
      <c r="T187" s="79" t="str">
        <f t="shared" si="71"/>
        <v/>
      </c>
      <c r="U187" s="79" t="str">
        <f t="shared" si="63"/>
        <v/>
      </c>
      <c r="V187" s="73" t="str">
        <f t="shared" si="64"/>
        <v/>
      </c>
      <c r="W187" s="80" t="str">
        <f t="shared" si="65"/>
        <v/>
      </c>
      <c r="X187" s="73" t="str">
        <f t="shared" si="66"/>
        <v/>
      </c>
      <c r="Y187" s="80" t="str">
        <f t="shared" si="67"/>
        <v/>
      </c>
      <c r="Z187" s="74" t="str">
        <f t="shared" si="68"/>
        <v/>
      </c>
      <c r="AA187" s="75" t="str">
        <f t="shared" si="72"/>
        <v/>
      </c>
      <c r="AB187" s="103" t="str">
        <f t="shared" si="69"/>
        <v/>
      </c>
      <c r="AC187" s="104" t="str">
        <f t="shared" si="80"/>
        <v/>
      </c>
      <c r="AE187" s="139"/>
      <c r="AF187" s="110" t="str">
        <f t="shared" si="73"/>
        <v/>
      </c>
      <c r="AG187" s="111" t="str">
        <f t="shared" si="74"/>
        <v/>
      </c>
      <c r="AH187" s="111" t="str">
        <f t="shared" si="70"/>
        <v/>
      </c>
      <c r="AI187" s="111" t="str">
        <f t="shared" si="75"/>
        <v/>
      </c>
      <c r="AJ187" s="111" t="str">
        <f t="shared" si="76"/>
        <v/>
      </c>
      <c r="AK187" s="112" t="str">
        <f t="shared" si="77"/>
        <v/>
      </c>
      <c r="AL187" t="str">
        <f t="shared" si="78"/>
        <v/>
      </c>
      <c r="AM187" t="str">
        <f t="shared" si="79"/>
        <v/>
      </c>
    </row>
    <row r="188" spans="1:39" ht="15" customHeight="1" x14ac:dyDescent="0.25">
      <c r="A188" s="131"/>
      <c r="B188" s="133"/>
      <c r="C188" s="133"/>
      <c r="D188" s="42" t="str">
        <f t="shared" si="54"/>
        <v/>
      </c>
      <c r="E188" s="43"/>
      <c r="F188" s="135"/>
      <c r="G188" s="77" t="str">
        <f t="shared" si="55"/>
        <v/>
      </c>
      <c r="H188" s="32" t="str">
        <f t="shared" si="56"/>
        <v/>
      </c>
      <c r="I188" s="78" t="str">
        <f t="shared" si="57"/>
        <v/>
      </c>
      <c r="J188" s="70" t="str">
        <f t="shared" si="58"/>
        <v/>
      </c>
      <c r="K188" s="135"/>
      <c r="L188" s="72" t="str">
        <f t="shared" si="59"/>
        <v/>
      </c>
      <c r="M188" s="135"/>
      <c r="N188" s="72" t="str">
        <f t="shared" si="60"/>
        <v/>
      </c>
      <c r="O188" s="135"/>
      <c r="P188" s="136"/>
      <c r="Q188" s="123" t="str">
        <f t="shared" si="61"/>
        <v/>
      </c>
      <c r="R188" s="45" t="str">
        <f t="shared" si="62"/>
        <v/>
      </c>
      <c r="S188" s="137"/>
      <c r="T188" s="79" t="str">
        <f t="shared" si="71"/>
        <v/>
      </c>
      <c r="U188" s="79" t="str">
        <f t="shared" si="63"/>
        <v/>
      </c>
      <c r="V188" s="73" t="str">
        <f t="shared" si="64"/>
        <v/>
      </c>
      <c r="W188" s="80" t="str">
        <f t="shared" si="65"/>
        <v/>
      </c>
      <c r="X188" s="73" t="str">
        <f t="shared" si="66"/>
        <v/>
      </c>
      <c r="Y188" s="80" t="str">
        <f t="shared" si="67"/>
        <v/>
      </c>
      <c r="Z188" s="74" t="str">
        <f t="shared" si="68"/>
        <v/>
      </c>
      <c r="AA188" s="75" t="str">
        <f t="shared" si="72"/>
        <v/>
      </c>
      <c r="AB188" s="103" t="str">
        <f t="shared" si="69"/>
        <v/>
      </c>
      <c r="AC188" s="104" t="str">
        <f t="shared" si="80"/>
        <v/>
      </c>
      <c r="AE188" s="139"/>
      <c r="AF188" s="110" t="str">
        <f t="shared" si="73"/>
        <v/>
      </c>
      <c r="AG188" s="111" t="str">
        <f t="shared" si="74"/>
        <v/>
      </c>
      <c r="AH188" s="111" t="str">
        <f t="shared" si="70"/>
        <v/>
      </c>
      <c r="AI188" s="111" t="str">
        <f t="shared" si="75"/>
        <v/>
      </c>
      <c r="AJ188" s="111" t="str">
        <f t="shared" si="76"/>
        <v/>
      </c>
      <c r="AK188" s="112" t="str">
        <f t="shared" si="77"/>
        <v/>
      </c>
      <c r="AL188" t="str">
        <f t="shared" si="78"/>
        <v/>
      </c>
      <c r="AM188" t="str">
        <f t="shared" si="79"/>
        <v/>
      </c>
    </row>
    <row r="189" spans="1:39" ht="15" customHeight="1" x14ac:dyDescent="0.25">
      <c r="A189" s="131"/>
      <c r="B189" s="133"/>
      <c r="C189" s="133"/>
      <c r="D189" s="42" t="str">
        <f t="shared" si="54"/>
        <v/>
      </c>
      <c r="E189" s="43"/>
      <c r="F189" s="135"/>
      <c r="G189" s="77" t="str">
        <f t="shared" si="55"/>
        <v/>
      </c>
      <c r="H189" s="32" t="str">
        <f t="shared" si="56"/>
        <v/>
      </c>
      <c r="I189" s="78" t="str">
        <f t="shared" si="57"/>
        <v/>
      </c>
      <c r="J189" s="70" t="str">
        <f t="shared" si="58"/>
        <v/>
      </c>
      <c r="K189" s="135"/>
      <c r="L189" s="72" t="str">
        <f t="shared" si="59"/>
        <v/>
      </c>
      <c r="M189" s="135"/>
      <c r="N189" s="72" t="str">
        <f t="shared" si="60"/>
        <v/>
      </c>
      <c r="O189" s="135"/>
      <c r="P189" s="136"/>
      <c r="Q189" s="123" t="str">
        <f t="shared" si="61"/>
        <v/>
      </c>
      <c r="R189" s="45" t="str">
        <f t="shared" si="62"/>
        <v/>
      </c>
      <c r="S189" s="137"/>
      <c r="T189" s="79" t="str">
        <f t="shared" si="71"/>
        <v/>
      </c>
      <c r="U189" s="79" t="str">
        <f t="shared" si="63"/>
        <v/>
      </c>
      <c r="V189" s="73" t="str">
        <f t="shared" si="64"/>
        <v/>
      </c>
      <c r="W189" s="80" t="str">
        <f t="shared" si="65"/>
        <v/>
      </c>
      <c r="X189" s="73" t="str">
        <f t="shared" si="66"/>
        <v/>
      </c>
      <c r="Y189" s="80" t="str">
        <f t="shared" si="67"/>
        <v/>
      </c>
      <c r="Z189" s="74" t="str">
        <f t="shared" si="68"/>
        <v/>
      </c>
      <c r="AA189" s="75" t="str">
        <f t="shared" si="72"/>
        <v/>
      </c>
      <c r="AB189" s="103" t="str">
        <f t="shared" si="69"/>
        <v/>
      </c>
      <c r="AC189" s="104" t="str">
        <f t="shared" si="80"/>
        <v/>
      </c>
      <c r="AE189" s="139"/>
      <c r="AF189" s="110" t="str">
        <f t="shared" si="73"/>
        <v/>
      </c>
      <c r="AG189" s="111" t="str">
        <f t="shared" si="74"/>
        <v/>
      </c>
      <c r="AH189" s="111" t="str">
        <f t="shared" si="70"/>
        <v/>
      </c>
      <c r="AI189" s="111" t="str">
        <f t="shared" si="75"/>
        <v/>
      </c>
      <c r="AJ189" s="111" t="str">
        <f t="shared" si="76"/>
        <v/>
      </c>
      <c r="AK189" s="112" t="str">
        <f t="shared" si="77"/>
        <v/>
      </c>
      <c r="AL189" t="str">
        <f t="shared" si="78"/>
        <v/>
      </c>
      <c r="AM189" t="str">
        <f t="shared" si="79"/>
        <v/>
      </c>
    </row>
    <row r="190" spans="1:39" ht="15" customHeight="1" x14ac:dyDescent="0.25">
      <c r="A190" s="131"/>
      <c r="B190" s="133"/>
      <c r="C190" s="133"/>
      <c r="D190" s="42" t="str">
        <f t="shared" si="54"/>
        <v/>
      </c>
      <c r="E190" s="43"/>
      <c r="F190" s="135"/>
      <c r="G190" s="77" t="str">
        <f t="shared" si="55"/>
        <v/>
      </c>
      <c r="H190" s="32" t="str">
        <f t="shared" si="56"/>
        <v/>
      </c>
      <c r="I190" s="78" t="str">
        <f t="shared" si="57"/>
        <v/>
      </c>
      <c r="J190" s="70" t="str">
        <f t="shared" si="58"/>
        <v/>
      </c>
      <c r="K190" s="135"/>
      <c r="L190" s="72" t="str">
        <f t="shared" si="59"/>
        <v/>
      </c>
      <c r="M190" s="135"/>
      <c r="N190" s="72" t="str">
        <f t="shared" si="60"/>
        <v/>
      </c>
      <c r="O190" s="135"/>
      <c r="P190" s="136"/>
      <c r="Q190" s="123" t="str">
        <f t="shared" si="61"/>
        <v/>
      </c>
      <c r="R190" s="45" t="str">
        <f t="shared" si="62"/>
        <v/>
      </c>
      <c r="S190" s="137"/>
      <c r="T190" s="79" t="str">
        <f t="shared" si="71"/>
        <v/>
      </c>
      <c r="U190" s="79" t="str">
        <f t="shared" si="63"/>
        <v/>
      </c>
      <c r="V190" s="73" t="str">
        <f t="shared" si="64"/>
        <v/>
      </c>
      <c r="W190" s="80" t="str">
        <f t="shared" si="65"/>
        <v/>
      </c>
      <c r="X190" s="73" t="str">
        <f t="shared" si="66"/>
        <v/>
      </c>
      <c r="Y190" s="80" t="str">
        <f t="shared" si="67"/>
        <v/>
      </c>
      <c r="Z190" s="74" t="str">
        <f t="shared" si="68"/>
        <v/>
      </c>
      <c r="AA190" s="75" t="str">
        <f t="shared" si="72"/>
        <v/>
      </c>
      <c r="AB190" s="103" t="str">
        <f t="shared" si="69"/>
        <v/>
      </c>
      <c r="AC190" s="104" t="str">
        <f t="shared" si="80"/>
        <v/>
      </c>
      <c r="AE190" s="139"/>
      <c r="AF190" s="110" t="str">
        <f t="shared" si="73"/>
        <v/>
      </c>
      <c r="AG190" s="111" t="str">
        <f t="shared" si="74"/>
        <v/>
      </c>
      <c r="AH190" s="111" t="str">
        <f t="shared" si="70"/>
        <v/>
      </c>
      <c r="AI190" s="111" t="str">
        <f t="shared" si="75"/>
        <v/>
      </c>
      <c r="AJ190" s="111" t="str">
        <f t="shared" si="76"/>
        <v/>
      </c>
      <c r="AK190" s="112" t="str">
        <f t="shared" si="77"/>
        <v/>
      </c>
      <c r="AL190" t="str">
        <f t="shared" si="78"/>
        <v/>
      </c>
      <c r="AM190" t="str">
        <f t="shared" si="79"/>
        <v/>
      </c>
    </row>
    <row r="191" spans="1:39" ht="15" customHeight="1" x14ac:dyDescent="0.25">
      <c r="A191" s="131"/>
      <c r="B191" s="133"/>
      <c r="C191" s="133"/>
      <c r="D191" s="42" t="str">
        <f t="shared" si="54"/>
        <v/>
      </c>
      <c r="E191" s="43"/>
      <c r="F191" s="135"/>
      <c r="G191" s="77" t="str">
        <f t="shared" si="55"/>
        <v/>
      </c>
      <c r="H191" s="32" t="str">
        <f t="shared" si="56"/>
        <v/>
      </c>
      <c r="I191" s="78" t="str">
        <f t="shared" si="57"/>
        <v/>
      </c>
      <c r="J191" s="70" t="str">
        <f t="shared" si="58"/>
        <v/>
      </c>
      <c r="K191" s="135"/>
      <c r="L191" s="72" t="str">
        <f t="shared" si="59"/>
        <v/>
      </c>
      <c r="M191" s="135"/>
      <c r="N191" s="72" t="str">
        <f t="shared" si="60"/>
        <v/>
      </c>
      <c r="O191" s="135"/>
      <c r="P191" s="136"/>
      <c r="Q191" s="123" t="str">
        <f t="shared" si="61"/>
        <v/>
      </c>
      <c r="R191" s="45" t="str">
        <f t="shared" si="62"/>
        <v/>
      </c>
      <c r="S191" s="137"/>
      <c r="T191" s="79" t="str">
        <f t="shared" si="71"/>
        <v/>
      </c>
      <c r="U191" s="79" t="str">
        <f t="shared" si="63"/>
        <v/>
      </c>
      <c r="V191" s="73" t="str">
        <f t="shared" si="64"/>
        <v/>
      </c>
      <c r="W191" s="80" t="str">
        <f t="shared" si="65"/>
        <v/>
      </c>
      <c r="X191" s="73" t="str">
        <f t="shared" si="66"/>
        <v/>
      </c>
      <c r="Y191" s="80" t="str">
        <f t="shared" si="67"/>
        <v/>
      </c>
      <c r="Z191" s="74" t="str">
        <f t="shared" si="68"/>
        <v/>
      </c>
      <c r="AA191" s="75" t="str">
        <f t="shared" si="72"/>
        <v/>
      </c>
      <c r="AB191" s="103" t="str">
        <f t="shared" si="69"/>
        <v/>
      </c>
      <c r="AC191" s="104" t="str">
        <f t="shared" si="80"/>
        <v/>
      </c>
      <c r="AE191" s="139"/>
      <c r="AF191" s="110" t="str">
        <f t="shared" si="73"/>
        <v/>
      </c>
      <c r="AG191" s="111" t="str">
        <f t="shared" si="74"/>
        <v/>
      </c>
      <c r="AH191" s="111" t="str">
        <f t="shared" si="70"/>
        <v/>
      </c>
      <c r="AI191" s="111" t="str">
        <f t="shared" si="75"/>
        <v/>
      </c>
      <c r="AJ191" s="111" t="str">
        <f t="shared" si="76"/>
        <v/>
      </c>
      <c r="AK191" s="112" t="str">
        <f t="shared" si="77"/>
        <v/>
      </c>
      <c r="AL191" t="str">
        <f t="shared" si="78"/>
        <v/>
      </c>
      <c r="AM191" t="str">
        <f t="shared" si="79"/>
        <v/>
      </c>
    </row>
    <row r="192" spans="1:39" ht="15" customHeight="1" x14ac:dyDescent="0.25">
      <c r="A192" s="131"/>
      <c r="B192" s="133"/>
      <c r="C192" s="133"/>
      <c r="D192" s="42" t="str">
        <f t="shared" si="54"/>
        <v/>
      </c>
      <c r="E192" s="43"/>
      <c r="F192" s="135"/>
      <c r="G192" s="77" t="str">
        <f t="shared" si="55"/>
        <v/>
      </c>
      <c r="H192" s="32" t="str">
        <f t="shared" si="56"/>
        <v/>
      </c>
      <c r="I192" s="78" t="str">
        <f t="shared" si="57"/>
        <v/>
      </c>
      <c r="J192" s="70" t="str">
        <f t="shared" si="58"/>
        <v/>
      </c>
      <c r="K192" s="135"/>
      <c r="L192" s="72" t="str">
        <f t="shared" si="59"/>
        <v/>
      </c>
      <c r="M192" s="135"/>
      <c r="N192" s="72" t="str">
        <f t="shared" si="60"/>
        <v/>
      </c>
      <c r="O192" s="135"/>
      <c r="P192" s="136"/>
      <c r="Q192" s="123" t="str">
        <f t="shared" si="61"/>
        <v/>
      </c>
      <c r="R192" s="45" t="str">
        <f t="shared" si="62"/>
        <v/>
      </c>
      <c r="S192" s="137"/>
      <c r="T192" s="79" t="str">
        <f t="shared" si="71"/>
        <v/>
      </c>
      <c r="U192" s="79" t="str">
        <f t="shared" si="63"/>
        <v/>
      </c>
      <c r="V192" s="73" t="str">
        <f t="shared" si="64"/>
        <v/>
      </c>
      <c r="W192" s="80" t="str">
        <f t="shared" si="65"/>
        <v/>
      </c>
      <c r="X192" s="73" t="str">
        <f t="shared" si="66"/>
        <v/>
      </c>
      <c r="Y192" s="80" t="str">
        <f t="shared" si="67"/>
        <v/>
      </c>
      <c r="Z192" s="74" t="str">
        <f t="shared" si="68"/>
        <v/>
      </c>
      <c r="AA192" s="75" t="str">
        <f t="shared" si="72"/>
        <v/>
      </c>
      <c r="AB192" s="103" t="str">
        <f t="shared" si="69"/>
        <v/>
      </c>
      <c r="AC192" s="104" t="str">
        <f t="shared" si="80"/>
        <v/>
      </c>
      <c r="AE192" s="139"/>
      <c r="AF192" s="110" t="str">
        <f t="shared" si="73"/>
        <v/>
      </c>
      <c r="AG192" s="111" t="str">
        <f t="shared" si="74"/>
        <v/>
      </c>
      <c r="AH192" s="111" t="str">
        <f t="shared" si="70"/>
        <v/>
      </c>
      <c r="AI192" s="111" t="str">
        <f t="shared" si="75"/>
        <v/>
      </c>
      <c r="AJ192" s="111" t="str">
        <f t="shared" si="76"/>
        <v/>
      </c>
      <c r="AK192" s="112" t="str">
        <f t="shared" si="77"/>
        <v/>
      </c>
      <c r="AL192" t="str">
        <f t="shared" si="78"/>
        <v/>
      </c>
      <c r="AM192" t="str">
        <f t="shared" si="79"/>
        <v/>
      </c>
    </row>
    <row r="193" spans="1:39" ht="15" customHeight="1" x14ac:dyDescent="0.25">
      <c r="A193" s="131"/>
      <c r="B193" s="133"/>
      <c r="C193" s="133"/>
      <c r="D193" s="42" t="str">
        <f t="shared" si="54"/>
        <v/>
      </c>
      <c r="E193" s="43"/>
      <c r="F193" s="135"/>
      <c r="G193" s="77" t="str">
        <f t="shared" si="55"/>
        <v/>
      </c>
      <c r="H193" s="32" t="str">
        <f t="shared" si="56"/>
        <v/>
      </c>
      <c r="I193" s="78" t="str">
        <f t="shared" si="57"/>
        <v/>
      </c>
      <c r="J193" s="70" t="str">
        <f t="shared" si="58"/>
        <v/>
      </c>
      <c r="K193" s="135"/>
      <c r="L193" s="72" t="str">
        <f t="shared" si="59"/>
        <v/>
      </c>
      <c r="M193" s="135"/>
      <c r="N193" s="72" t="str">
        <f t="shared" si="60"/>
        <v/>
      </c>
      <c r="O193" s="135"/>
      <c r="P193" s="136"/>
      <c r="Q193" s="123" t="str">
        <f t="shared" si="61"/>
        <v/>
      </c>
      <c r="R193" s="45" t="str">
        <f t="shared" si="62"/>
        <v/>
      </c>
      <c r="S193" s="137"/>
      <c r="T193" s="79" t="str">
        <f t="shared" si="71"/>
        <v/>
      </c>
      <c r="U193" s="79" t="str">
        <f t="shared" si="63"/>
        <v/>
      </c>
      <c r="V193" s="73" t="str">
        <f t="shared" si="64"/>
        <v/>
      </c>
      <c r="W193" s="80" t="str">
        <f t="shared" si="65"/>
        <v/>
      </c>
      <c r="X193" s="73" t="str">
        <f t="shared" si="66"/>
        <v/>
      </c>
      <c r="Y193" s="80" t="str">
        <f t="shared" si="67"/>
        <v/>
      </c>
      <c r="Z193" s="74" t="str">
        <f t="shared" si="68"/>
        <v/>
      </c>
      <c r="AA193" s="75" t="str">
        <f t="shared" si="72"/>
        <v/>
      </c>
      <c r="AB193" s="103" t="str">
        <f t="shared" si="69"/>
        <v/>
      </c>
      <c r="AC193" s="104" t="str">
        <f t="shared" si="80"/>
        <v/>
      </c>
      <c r="AE193" s="139"/>
      <c r="AF193" s="110" t="str">
        <f t="shared" si="73"/>
        <v/>
      </c>
      <c r="AG193" s="111" t="str">
        <f t="shared" si="74"/>
        <v/>
      </c>
      <c r="AH193" s="111" t="str">
        <f t="shared" si="70"/>
        <v/>
      </c>
      <c r="AI193" s="111" t="str">
        <f t="shared" si="75"/>
        <v/>
      </c>
      <c r="AJ193" s="111" t="str">
        <f t="shared" si="76"/>
        <v/>
      </c>
      <c r="AK193" s="112" t="str">
        <f t="shared" si="77"/>
        <v/>
      </c>
      <c r="AL193" t="str">
        <f t="shared" si="78"/>
        <v/>
      </c>
      <c r="AM193" t="str">
        <f t="shared" si="79"/>
        <v/>
      </c>
    </row>
    <row r="194" spans="1:39" ht="15" customHeight="1" x14ac:dyDescent="0.25">
      <c r="A194" s="131"/>
      <c r="B194" s="133"/>
      <c r="C194" s="133"/>
      <c r="D194" s="42" t="str">
        <f t="shared" si="54"/>
        <v/>
      </c>
      <c r="E194" s="43"/>
      <c r="F194" s="135"/>
      <c r="G194" s="77" t="str">
        <f t="shared" si="55"/>
        <v/>
      </c>
      <c r="H194" s="32" t="str">
        <f t="shared" si="56"/>
        <v/>
      </c>
      <c r="I194" s="78" t="str">
        <f t="shared" si="57"/>
        <v/>
      </c>
      <c r="J194" s="70" t="str">
        <f t="shared" si="58"/>
        <v/>
      </c>
      <c r="K194" s="135"/>
      <c r="L194" s="72" t="str">
        <f t="shared" si="59"/>
        <v/>
      </c>
      <c r="M194" s="135"/>
      <c r="N194" s="72" t="str">
        <f t="shared" si="60"/>
        <v/>
      </c>
      <c r="O194" s="135"/>
      <c r="P194" s="136"/>
      <c r="Q194" s="123" t="str">
        <f t="shared" si="61"/>
        <v/>
      </c>
      <c r="R194" s="45" t="str">
        <f t="shared" si="62"/>
        <v/>
      </c>
      <c r="S194" s="137"/>
      <c r="T194" s="79" t="str">
        <f t="shared" si="71"/>
        <v/>
      </c>
      <c r="U194" s="79" t="str">
        <f t="shared" si="63"/>
        <v/>
      </c>
      <c r="V194" s="73" t="str">
        <f t="shared" si="64"/>
        <v/>
      </c>
      <c r="W194" s="80" t="str">
        <f t="shared" si="65"/>
        <v/>
      </c>
      <c r="X194" s="73" t="str">
        <f t="shared" si="66"/>
        <v/>
      </c>
      <c r="Y194" s="80" t="str">
        <f t="shared" si="67"/>
        <v/>
      </c>
      <c r="Z194" s="74" t="str">
        <f t="shared" si="68"/>
        <v/>
      </c>
      <c r="AA194" s="75" t="str">
        <f t="shared" si="72"/>
        <v/>
      </c>
      <c r="AB194" s="103" t="str">
        <f t="shared" si="69"/>
        <v/>
      </c>
      <c r="AC194" s="104" t="str">
        <f t="shared" si="80"/>
        <v/>
      </c>
      <c r="AE194" s="139"/>
      <c r="AF194" s="110" t="str">
        <f t="shared" si="73"/>
        <v/>
      </c>
      <c r="AG194" s="111" t="str">
        <f t="shared" si="74"/>
        <v/>
      </c>
      <c r="AH194" s="111" t="str">
        <f t="shared" si="70"/>
        <v/>
      </c>
      <c r="AI194" s="111" t="str">
        <f t="shared" si="75"/>
        <v/>
      </c>
      <c r="AJ194" s="111" t="str">
        <f t="shared" si="76"/>
        <v/>
      </c>
      <c r="AK194" s="112" t="str">
        <f t="shared" si="77"/>
        <v/>
      </c>
      <c r="AL194" t="str">
        <f t="shared" si="78"/>
        <v/>
      </c>
      <c r="AM194" t="str">
        <f t="shared" si="79"/>
        <v/>
      </c>
    </row>
    <row r="195" spans="1:39" ht="15" customHeight="1" x14ac:dyDescent="0.25">
      <c r="A195" s="131"/>
      <c r="B195" s="133"/>
      <c r="C195" s="133"/>
      <c r="D195" s="42" t="str">
        <f t="shared" si="54"/>
        <v/>
      </c>
      <c r="E195" s="43"/>
      <c r="F195" s="135"/>
      <c r="G195" s="77" t="str">
        <f t="shared" si="55"/>
        <v/>
      </c>
      <c r="H195" s="32" t="str">
        <f t="shared" si="56"/>
        <v/>
      </c>
      <c r="I195" s="78" t="str">
        <f t="shared" si="57"/>
        <v/>
      </c>
      <c r="J195" s="70" t="str">
        <f t="shared" si="58"/>
        <v/>
      </c>
      <c r="K195" s="135"/>
      <c r="L195" s="72" t="str">
        <f t="shared" si="59"/>
        <v/>
      </c>
      <c r="M195" s="135"/>
      <c r="N195" s="72" t="str">
        <f t="shared" si="60"/>
        <v/>
      </c>
      <c r="O195" s="135"/>
      <c r="P195" s="136"/>
      <c r="Q195" s="123" t="str">
        <f t="shared" si="61"/>
        <v/>
      </c>
      <c r="R195" s="45" t="str">
        <f t="shared" si="62"/>
        <v/>
      </c>
      <c r="S195" s="137"/>
      <c r="T195" s="79" t="str">
        <f t="shared" si="71"/>
        <v/>
      </c>
      <c r="U195" s="79" t="str">
        <f t="shared" si="63"/>
        <v/>
      </c>
      <c r="V195" s="73" t="str">
        <f t="shared" si="64"/>
        <v/>
      </c>
      <c r="W195" s="80" t="str">
        <f t="shared" si="65"/>
        <v/>
      </c>
      <c r="X195" s="73" t="str">
        <f t="shared" si="66"/>
        <v/>
      </c>
      <c r="Y195" s="80" t="str">
        <f t="shared" si="67"/>
        <v/>
      </c>
      <c r="Z195" s="74" t="str">
        <f t="shared" si="68"/>
        <v/>
      </c>
      <c r="AA195" s="75" t="str">
        <f t="shared" si="72"/>
        <v/>
      </c>
      <c r="AB195" s="103" t="str">
        <f t="shared" si="69"/>
        <v/>
      </c>
      <c r="AC195" s="104" t="str">
        <f t="shared" si="80"/>
        <v/>
      </c>
      <c r="AE195" s="139"/>
      <c r="AF195" s="110" t="str">
        <f t="shared" si="73"/>
        <v/>
      </c>
      <c r="AG195" s="111" t="str">
        <f t="shared" si="74"/>
        <v/>
      </c>
      <c r="AH195" s="111" t="str">
        <f t="shared" si="70"/>
        <v/>
      </c>
      <c r="AI195" s="111" t="str">
        <f t="shared" si="75"/>
        <v/>
      </c>
      <c r="AJ195" s="111" t="str">
        <f t="shared" si="76"/>
        <v/>
      </c>
      <c r="AK195" s="112" t="str">
        <f t="shared" si="77"/>
        <v/>
      </c>
      <c r="AL195" t="str">
        <f t="shared" si="78"/>
        <v/>
      </c>
      <c r="AM195" t="str">
        <f t="shared" si="79"/>
        <v/>
      </c>
    </row>
    <row r="196" spans="1:39" ht="15" customHeight="1" x14ac:dyDescent="0.25">
      <c r="A196" s="131"/>
      <c r="B196" s="133"/>
      <c r="C196" s="133"/>
      <c r="D196" s="42" t="str">
        <f t="shared" si="54"/>
        <v/>
      </c>
      <c r="E196" s="43"/>
      <c r="F196" s="135"/>
      <c r="G196" s="77" t="str">
        <f t="shared" si="55"/>
        <v/>
      </c>
      <c r="H196" s="32" t="str">
        <f t="shared" si="56"/>
        <v/>
      </c>
      <c r="I196" s="78" t="str">
        <f t="shared" si="57"/>
        <v/>
      </c>
      <c r="J196" s="70" t="str">
        <f t="shared" si="58"/>
        <v/>
      </c>
      <c r="K196" s="135"/>
      <c r="L196" s="72" t="str">
        <f t="shared" si="59"/>
        <v/>
      </c>
      <c r="M196" s="135"/>
      <c r="N196" s="72" t="str">
        <f t="shared" si="60"/>
        <v/>
      </c>
      <c r="O196" s="135"/>
      <c r="P196" s="136"/>
      <c r="Q196" s="123" t="str">
        <f t="shared" si="61"/>
        <v/>
      </c>
      <c r="R196" s="45" t="str">
        <f t="shared" si="62"/>
        <v/>
      </c>
      <c r="S196" s="137"/>
      <c r="T196" s="79" t="str">
        <f t="shared" si="71"/>
        <v/>
      </c>
      <c r="U196" s="79" t="str">
        <f t="shared" si="63"/>
        <v/>
      </c>
      <c r="V196" s="73" t="str">
        <f t="shared" si="64"/>
        <v/>
      </c>
      <c r="W196" s="80" t="str">
        <f t="shared" si="65"/>
        <v/>
      </c>
      <c r="X196" s="73" t="str">
        <f t="shared" si="66"/>
        <v/>
      </c>
      <c r="Y196" s="80" t="str">
        <f t="shared" si="67"/>
        <v/>
      </c>
      <c r="Z196" s="74" t="str">
        <f t="shared" si="68"/>
        <v/>
      </c>
      <c r="AA196" s="75" t="str">
        <f t="shared" si="72"/>
        <v/>
      </c>
      <c r="AB196" s="103" t="str">
        <f t="shared" si="69"/>
        <v/>
      </c>
      <c r="AC196" s="104" t="str">
        <f t="shared" si="80"/>
        <v/>
      </c>
      <c r="AE196" s="139"/>
      <c r="AF196" s="110" t="str">
        <f t="shared" si="73"/>
        <v/>
      </c>
      <c r="AG196" s="111" t="str">
        <f t="shared" si="74"/>
        <v/>
      </c>
      <c r="AH196" s="111" t="str">
        <f t="shared" si="70"/>
        <v/>
      </c>
      <c r="AI196" s="111" t="str">
        <f t="shared" si="75"/>
        <v/>
      </c>
      <c r="AJ196" s="111" t="str">
        <f t="shared" si="76"/>
        <v/>
      </c>
      <c r="AK196" s="112" t="str">
        <f t="shared" si="77"/>
        <v/>
      </c>
      <c r="AL196" t="str">
        <f t="shared" si="78"/>
        <v/>
      </c>
      <c r="AM196" t="str">
        <f t="shared" si="79"/>
        <v/>
      </c>
    </row>
    <row r="197" spans="1:39" ht="15" customHeight="1" x14ac:dyDescent="0.25">
      <c r="A197" s="131"/>
      <c r="B197" s="133"/>
      <c r="C197" s="133"/>
      <c r="D197" s="42" t="str">
        <f t="shared" si="54"/>
        <v/>
      </c>
      <c r="E197" s="43"/>
      <c r="F197" s="135"/>
      <c r="G197" s="77" t="str">
        <f t="shared" si="55"/>
        <v/>
      </c>
      <c r="H197" s="32" t="str">
        <f t="shared" si="56"/>
        <v/>
      </c>
      <c r="I197" s="78" t="str">
        <f t="shared" si="57"/>
        <v/>
      </c>
      <c r="J197" s="70" t="str">
        <f t="shared" si="58"/>
        <v/>
      </c>
      <c r="K197" s="135"/>
      <c r="L197" s="72" t="str">
        <f t="shared" si="59"/>
        <v/>
      </c>
      <c r="M197" s="135"/>
      <c r="N197" s="72" t="str">
        <f t="shared" si="60"/>
        <v/>
      </c>
      <c r="O197" s="135"/>
      <c r="P197" s="136"/>
      <c r="Q197" s="123" t="str">
        <f t="shared" si="61"/>
        <v/>
      </c>
      <c r="R197" s="45" t="str">
        <f t="shared" si="62"/>
        <v/>
      </c>
      <c r="S197" s="137"/>
      <c r="T197" s="79" t="str">
        <f t="shared" si="71"/>
        <v/>
      </c>
      <c r="U197" s="79" t="str">
        <f t="shared" si="63"/>
        <v/>
      </c>
      <c r="V197" s="73" t="str">
        <f t="shared" si="64"/>
        <v/>
      </c>
      <c r="W197" s="80" t="str">
        <f t="shared" si="65"/>
        <v/>
      </c>
      <c r="X197" s="73" t="str">
        <f t="shared" si="66"/>
        <v/>
      </c>
      <c r="Y197" s="80" t="str">
        <f t="shared" si="67"/>
        <v/>
      </c>
      <c r="Z197" s="74" t="str">
        <f t="shared" si="68"/>
        <v/>
      </c>
      <c r="AA197" s="75" t="str">
        <f t="shared" si="72"/>
        <v/>
      </c>
      <c r="AB197" s="103" t="str">
        <f t="shared" si="69"/>
        <v/>
      </c>
      <c r="AC197" s="104" t="str">
        <f t="shared" si="80"/>
        <v/>
      </c>
      <c r="AE197" s="139"/>
      <c r="AF197" s="110" t="str">
        <f t="shared" si="73"/>
        <v/>
      </c>
      <c r="AG197" s="111" t="str">
        <f t="shared" si="74"/>
        <v/>
      </c>
      <c r="AH197" s="111" t="str">
        <f t="shared" si="70"/>
        <v/>
      </c>
      <c r="AI197" s="111" t="str">
        <f t="shared" si="75"/>
        <v/>
      </c>
      <c r="AJ197" s="111" t="str">
        <f t="shared" si="76"/>
        <v/>
      </c>
      <c r="AK197" s="112" t="str">
        <f t="shared" si="77"/>
        <v/>
      </c>
      <c r="AL197" t="str">
        <f t="shared" si="78"/>
        <v/>
      </c>
      <c r="AM197" t="str">
        <f t="shared" si="79"/>
        <v/>
      </c>
    </row>
    <row r="198" spans="1:39" ht="15" customHeight="1" x14ac:dyDescent="0.25">
      <c r="A198" s="131"/>
      <c r="B198" s="133"/>
      <c r="C198" s="133"/>
      <c r="D198" s="42" t="str">
        <f t="shared" si="54"/>
        <v/>
      </c>
      <c r="E198" s="43"/>
      <c r="F198" s="135"/>
      <c r="G198" s="77" t="str">
        <f t="shared" si="55"/>
        <v/>
      </c>
      <c r="H198" s="32" t="str">
        <f t="shared" si="56"/>
        <v/>
      </c>
      <c r="I198" s="78" t="str">
        <f t="shared" si="57"/>
        <v/>
      </c>
      <c r="J198" s="70" t="str">
        <f t="shared" si="58"/>
        <v/>
      </c>
      <c r="K198" s="135"/>
      <c r="L198" s="72" t="str">
        <f t="shared" si="59"/>
        <v/>
      </c>
      <c r="M198" s="135"/>
      <c r="N198" s="72" t="str">
        <f t="shared" si="60"/>
        <v/>
      </c>
      <c r="O198" s="135"/>
      <c r="P198" s="136"/>
      <c r="Q198" s="123" t="str">
        <f t="shared" si="61"/>
        <v/>
      </c>
      <c r="R198" s="45" t="str">
        <f t="shared" si="62"/>
        <v/>
      </c>
      <c r="S198" s="137"/>
      <c r="T198" s="79" t="str">
        <f t="shared" si="71"/>
        <v/>
      </c>
      <c r="U198" s="79" t="str">
        <f t="shared" si="63"/>
        <v/>
      </c>
      <c r="V198" s="73" t="str">
        <f t="shared" si="64"/>
        <v/>
      </c>
      <c r="W198" s="80" t="str">
        <f t="shared" si="65"/>
        <v/>
      </c>
      <c r="X198" s="73" t="str">
        <f t="shared" si="66"/>
        <v/>
      </c>
      <c r="Y198" s="80" t="str">
        <f t="shared" si="67"/>
        <v/>
      </c>
      <c r="Z198" s="74" t="str">
        <f t="shared" si="68"/>
        <v/>
      </c>
      <c r="AA198" s="75" t="str">
        <f t="shared" si="72"/>
        <v/>
      </c>
      <c r="AB198" s="103" t="str">
        <f t="shared" si="69"/>
        <v/>
      </c>
      <c r="AC198" s="104" t="str">
        <f t="shared" si="80"/>
        <v/>
      </c>
      <c r="AE198" s="139"/>
      <c r="AF198" s="110" t="str">
        <f t="shared" si="73"/>
        <v/>
      </c>
      <c r="AG198" s="111" t="str">
        <f t="shared" si="74"/>
        <v/>
      </c>
      <c r="AH198" s="111" t="str">
        <f t="shared" si="70"/>
        <v/>
      </c>
      <c r="AI198" s="111" t="str">
        <f t="shared" si="75"/>
        <v/>
      </c>
      <c r="AJ198" s="111" t="str">
        <f t="shared" si="76"/>
        <v/>
      </c>
      <c r="AK198" s="112" t="str">
        <f t="shared" si="77"/>
        <v/>
      </c>
      <c r="AL198" t="str">
        <f t="shared" si="78"/>
        <v/>
      </c>
      <c r="AM198" t="str">
        <f t="shared" si="79"/>
        <v/>
      </c>
    </row>
    <row r="199" spans="1:39" ht="15" customHeight="1" x14ac:dyDescent="0.25">
      <c r="A199" s="131"/>
      <c r="B199" s="133"/>
      <c r="C199" s="133"/>
      <c r="D199" s="42" t="str">
        <f t="shared" si="54"/>
        <v/>
      </c>
      <c r="E199" s="43"/>
      <c r="F199" s="135"/>
      <c r="G199" s="77" t="str">
        <f t="shared" si="55"/>
        <v/>
      </c>
      <c r="H199" s="32" t="str">
        <f t="shared" si="56"/>
        <v/>
      </c>
      <c r="I199" s="78" t="str">
        <f t="shared" si="57"/>
        <v/>
      </c>
      <c r="J199" s="70" t="str">
        <f t="shared" si="58"/>
        <v/>
      </c>
      <c r="K199" s="135"/>
      <c r="L199" s="72" t="str">
        <f t="shared" si="59"/>
        <v/>
      </c>
      <c r="M199" s="135"/>
      <c r="N199" s="72" t="str">
        <f t="shared" si="60"/>
        <v/>
      </c>
      <c r="O199" s="135"/>
      <c r="P199" s="136"/>
      <c r="Q199" s="123" t="str">
        <f t="shared" si="61"/>
        <v/>
      </c>
      <c r="R199" s="45" t="str">
        <f t="shared" si="62"/>
        <v/>
      </c>
      <c r="S199" s="137"/>
      <c r="T199" s="79" t="str">
        <f t="shared" si="71"/>
        <v/>
      </c>
      <c r="U199" s="79" t="str">
        <f t="shared" si="63"/>
        <v/>
      </c>
      <c r="V199" s="73" t="str">
        <f t="shared" si="64"/>
        <v/>
      </c>
      <c r="W199" s="80" t="str">
        <f t="shared" si="65"/>
        <v/>
      </c>
      <c r="X199" s="73" t="str">
        <f t="shared" si="66"/>
        <v/>
      </c>
      <c r="Y199" s="80" t="str">
        <f t="shared" si="67"/>
        <v/>
      </c>
      <c r="Z199" s="74" t="str">
        <f t="shared" si="68"/>
        <v/>
      </c>
      <c r="AA199" s="75" t="str">
        <f t="shared" si="72"/>
        <v/>
      </c>
      <c r="AB199" s="103" t="str">
        <f t="shared" si="69"/>
        <v/>
      </c>
      <c r="AC199" s="104" t="str">
        <f t="shared" si="80"/>
        <v/>
      </c>
      <c r="AE199" s="139"/>
      <c r="AF199" s="110" t="str">
        <f t="shared" si="73"/>
        <v/>
      </c>
      <c r="AG199" s="111" t="str">
        <f t="shared" si="74"/>
        <v/>
      </c>
      <c r="AH199" s="111" t="str">
        <f t="shared" si="70"/>
        <v/>
      </c>
      <c r="AI199" s="111" t="str">
        <f t="shared" si="75"/>
        <v/>
      </c>
      <c r="AJ199" s="111" t="str">
        <f t="shared" si="76"/>
        <v/>
      </c>
      <c r="AK199" s="112" t="str">
        <f t="shared" si="77"/>
        <v/>
      </c>
      <c r="AL199" t="str">
        <f t="shared" si="78"/>
        <v/>
      </c>
      <c r="AM199" t="str">
        <f t="shared" si="79"/>
        <v/>
      </c>
    </row>
    <row r="200" spans="1:39" ht="15" customHeight="1" x14ac:dyDescent="0.25">
      <c r="A200" s="131"/>
      <c r="B200" s="133"/>
      <c r="C200" s="133"/>
      <c r="D200" s="42" t="str">
        <f t="shared" ref="D200:D263" si="81">IF(A200="","",B200*C200)</f>
        <v/>
      </c>
      <c r="E200" s="43"/>
      <c r="F200" s="135"/>
      <c r="G200" s="77" t="str">
        <f t="shared" ref="G200:G263" si="82">IF(OR(F200="",C200=0,C200=""),"",F200/C200)</f>
        <v/>
      </c>
      <c r="H200" s="32" t="str">
        <f t="shared" ref="H200:H263" si="83">IF(F200="","",ROUND(F200*$G$1,2))</f>
        <v/>
      </c>
      <c r="I200" s="78" t="str">
        <f t="shared" ref="I200:I263" si="84">IF(OR(H200="",C200=0,C200=""),"",H200/C200)</f>
        <v/>
      </c>
      <c r="J200" s="70" t="str">
        <f t="shared" ref="J200:J263" si="85">IF(A200="","",F200*B200)</f>
        <v/>
      </c>
      <c r="K200" s="135"/>
      <c r="L200" s="72" t="str">
        <f t="shared" ref="L200:L263" si="86">IF(OR(K200=0,C200=0,K200="",C200=""),"",K200/C200)</f>
        <v/>
      </c>
      <c r="M200" s="135"/>
      <c r="N200" s="72" t="str">
        <f t="shared" ref="N200:N263" si="87">IF(OR(M200=0,C200=0,M200="",C200=""),"",M200/C200)</f>
        <v/>
      </c>
      <c r="O200" s="135"/>
      <c r="P200" s="136"/>
      <c r="Q200" s="123" t="str">
        <f t="shared" ref="Q200:Q263" si="88">IF(A200="","",IF(S200&gt;0,IF(J200&gt;0,S200/J200,0),IF(E200&gt;0,0,IF($I$2&gt;0,IF($I$3&gt;0,MAX($I$2-SUM($S$8:$S$1007),0)/$I$3,0),$I$1))))</f>
        <v/>
      </c>
      <c r="R200" s="45" t="str">
        <f t="shared" ref="R200:R263" si="89">IF(A200="","",IF(S200&gt;0,S200,IF(E200&gt;0,0,J200*IF($I$2&gt;0,IF($I$3&gt;0,MAX($I$2-SUM($S$8:$S$1007),0)/$I$3,0),$I$1))))</f>
        <v/>
      </c>
      <c r="S200" s="137"/>
      <c r="T200" s="79" t="str">
        <f t="shared" si="71"/>
        <v/>
      </c>
      <c r="U200" s="79" t="str">
        <f t="shared" ref="U200:U263" si="90">IF(OR(A200="",T200=""),"",T200*C200)</f>
        <v/>
      </c>
      <c r="V200" s="73" t="str">
        <f t="shared" ref="V200:V263" si="91">IF(OR(A200="",K200&lt;=0,U200=""),"",(K200-U200)/K200)</f>
        <v/>
      </c>
      <c r="W200" s="80" t="str">
        <f t="shared" ref="W200:W263" si="92">IF(OR(K200=0,U200=0,K200="",U200=""),"",K200-U200)</f>
        <v/>
      </c>
      <c r="X200" s="73" t="str">
        <f t="shared" ref="X200:X263" si="93">IF(OR(A200="",M200&lt;=0,U200=""),"",(M200-U200)/M200)</f>
        <v/>
      </c>
      <c r="Y200" s="80" t="str">
        <f t="shared" ref="Y200:Y263" si="94">IF(OR(M200=0,U200=0,M200="",U200=""),"",M200-U200)</f>
        <v/>
      </c>
      <c r="Z200" s="74" t="str">
        <f t="shared" ref="Z200:Z263" si="95">IF(OR(J200="",J200=0,$M$5="",$K$1=0),"",($M$5/$K$1)*J200)</f>
        <v/>
      </c>
      <c r="AA200" s="75" t="str">
        <f t="shared" si="72"/>
        <v/>
      </c>
      <c r="AB200" s="103" t="str">
        <f t="shared" ref="AB200:AB263" si="96">IF(OR(T200=0,T200="",D200=0,D200=""),"",T200*(D200+E200))</f>
        <v/>
      </c>
      <c r="AC200" s="104" t="str">
        <f t="shared" si="80"/>
        <v/>
      </c>
      <c r="AE200" s="139"/>
      <c r="AF200" s="110" t="str">
        <f t="shared" si="73"/>
        <v/>
      </c>
      <c r="AG200" s="111" t="str">
        <f t="shared" si="74"/>
        <v/>
      </c>
      <c r="AH200" s="111" t="str">
        <f t="shared" ref="AH200:AH263" si="97">IF(AG200="","",AG200*$AF$1+IF(SUM($AG$8:$AG$1007)=0,0,$AF$2*AG200/SUM($AG$8:$AG$1007)))</f>
        <v/>
      </c>
      <c r="AI200" s="111" t="str">
        <f t="shared" si="75"/>
        <v/>
      </c>
      <c r="AJ200" s="111" t="str">
        <f t="shared" si="76"/>
        <v/>
      </c>
      <c r="AK200" s="112" t="str">
        <f t="shared" si="77"/>
        <v/>
      </c>
      <c r="AL200" t="str">
        <f t="shared" si="78"/>
        <v/>
      </c>
      <c r="AM200" t="str">
        <f t="shared" si="79"/>
        <v/>
      </c>
    </row>
    <row r="201" spans="1:39" ht="15" customHeight="1" x14ac:dyDescent="0.25">
      <c r="A201" s="131"/>
      <c r="B201" s="133"/>
      <c r="C201" s="133"/>
      <c r="D201" s="42" t="str">
        <f t="shared" si="81"/>
        <v/>
      </c>
      <c r="E201" s="43"/>
      <c r="F201" s="135"/>
      <c r="G201" s="77" t="str">
        <f t="shared" si="82"/>
        <v/>
      </c>
      <c r="H201" s="32" t="str">
        <f t="shared" si="83"/>
        <v/>
      </c>
      <c r="I201" s="78" t="str">
        <f t="shared" si="84"/>
        <v/>
      </c>
      <c r="J201" s="70" t="str">
        <f t="shared" si="85"/>
        <v/>
      </c>
      <c r="K201" s="135"/>
      <c r="L201" s="72" t="str">
        <f t="shared" si="86"/>
        <v/>
      </c>
      <c r="M201" s="135"/>
      <c r="N201" s="72" t="str">
        <f t="shared" si="87"/>
        <v/>
      </c>
      <c r="O201" s="135"/>
      <c r="P201" s="136"/>
      <c r="Q201" s="123" t="str">
        <f t="shared" si="88"/>
        <v/>
      </c>
      <c r="R201" s="45" t="str">
        <f t="shared" si="89"/>
        <v/>
      </c>
      <c r="S201" s="137"/>
      <c r="T201" s="79" t="str">
        <f t="shared" ref="T201:T264" si="98">IF(A201="","",IF(OR(B201=0,B201="",C201&lt;=0,D201+E201&lt;=0),"",((F201+H201)*B201+(H201/C201)*E201-R201)/(D201+E201)-IF(Z201&gt;=0,Z201/D201,0)+IF(ISNUMBER(AA201),AA201/(D201+E201),0)))</f>
        <v/>
      </c>
      <c r="U201" s="79" t="str">
        <f t="shared" si="90"/>
        <v/>
      </c>
      <c r="V201" s="73" t="str">
        <f t="shared" si="91"/>
        <v/>
      </c>
      <c r="W201" s="80" t="str">
        <f t="shared" si="92"/>
        <v/>
      </c>
      <c r="X201" s="73" t="str">
        <f t="shared" si="93"/>
        <v/>
      </c>
      <c r="Y201" s="80" t="str">
        <f t="shared" si="94"/>
        <v/>
      </c>
      <c r="Z201" s="74" t="str">
        <f t="shared" si="95"/>
        <v/>
      </c>
      <c r="AA201" s="75" t="str">
        <f t="shared" ref="AA201:AA264" si="99">IF(OR(J201="",J201=0,($G$3-$I$4)=0),"",($K$3/($G$3-$I$4))*(J201-R201))</f>
        <v/>
      </c>
      <c r="AB201" s="103" t="str">
        <f t="shared" si="96"/>
        <v/>
      </c>
      <c r="AC201" s="104" t="str">
        <f t="shared" si="80"/>
        <v/>
      </c>
      <c r="AE201" s="139"/>
      <c r="AF201" s="110" t="str">
        <f t="shared" ref="AF201:AF264" si="100">IF(AE201="","",T201)</f>
        <v/>
      </c>
      <c r="AG201" s="111" t="str">
        <f t="shared" ref="AG201:AG264" si="101">IF(OR(AE201="",AF201=""),"",AE201*AF201)</f>
        <v/>
      </c>
      <c r="AH201" s="111" t="str">
        <f t="shared" si="97"/>
        <v/>
      </c>
      <c r="AI201" s="111" t="str">
        <f t="shared" ref="AI201:AI264" si="102">IF(AG201="","",AG201-AH201)</f>
        <v/>
      </c>
      <c r="AJ201" s="111" t="str">
        <f t="shared" ref="AJ201:AJ264" si="103">IF(AI201="","",AK201-AI201)</f>
        <v/>
      </c>
      <c r="AK201" s="112" t="str">
        <f t="shared" ref="AK201:AK264" si="104">IF(AI201="","",ROUND(AI201,0))</f>
        <v/>
      </c>
      <c r="AL201" t="str">
        <f t="shared" ref="AL201:AL264" si="105">IF(OR(AE201=0,AE201=""),"",AH201/AE201)</f>
        <v/>
      </c>
      <c r="AM201" t="str">
        <f t="shared" ref="AM201:AM264" si="106">IF(OR(AE201=0,AE201=""),"",AF201*C201)</f>
        <v/>
      </c>
    </row>
    <row r="202" spans="1:39" ht="15" customHeight="1" x14ac:dyDescent="0.25">
      <c r="A202" s="131"/>
      <c r="B202" s="133"/>
      <c r="C202" s="133"/>
      <c r="D202" s="42" t="str">
        <f t="shared" si="81"/>
        <v/>
      </c>
      <c r="E202" s="43"/>
      <c r="F202" s="135"/>
      <c r="G202" s="77" t="str">
        <f t="shared" si="82"/>
        <v/>
      </c>
      <c r="H202" s="32" t="str">
        <f t="shared" si="83"/>
        <v/>
      </c>
      <c r="I202" s="78" t="str">
        <f t="shared" si="84"/>
        <v/>
      </c>
      <c r="J202" s="70" t="str">
        <f t="shared" si="85"/>
        <v/>
      </c>
      <c r="K202" s="135"/>
      <c r="L202" s="72" t="str">
        <f t="shared" si="86"/>
        <v/>
      </c>
      <c r="M202" s="135"/>
      <c r="N202" s="72" t="str">
        <f t="shared" si="87"/>
        <v/>
      </c>
      <c r="O202" s="135"/>
      <c r="P202" s="136"/>
      <c r="Q202" s="123" t="str">
        <f t="shared" si="88"/>
        <v/>
      </c>
      <c r="R202" s="45" t="str">
        <f t="shared" si="89"/>
        <v/>
      </c>
      <c r="S202" s="137"/>
      <c r="T202" s="79" t="str">
        <f t="shared" si="98"/>
        <v/>
      </c>
      <c r="U202" s="79" t="str">
        <f t="shared" si="90"/>
        <v/>
      </c>
      <c r="V202" s="73" t="str">
        <f t="shared" si="91"/>
        <v/>
      </c>
      <c r="W202" s="80" t="str">
        <f t="shared" si="92"/>
        <v/>
      </c>
      <c r="X202" s="73" t="str">
        <f t="shared" si="93"/>
        <v/>
      </c>
      <c r="Y202" s="80" t="str">
        <f t="shared" si="94"/>
        <v/>
      </c>
      <c r="Z202" s="74" t="str">
        <f t="shared" si="95"/>
        <v/>
      </c>
      <c r="AA202" s="75" t="str">
        <f t="shared" si="99"/>
        <v/>
      </c>
      <c r="AB202" s="103" t="str">
        <f t="shared" si="96"/>
        <v/>
      </c>
      <c r="AC202" s="104" t="str">
        <f t="shared" ref="AC202:AC265" si="107">IF(OR(A202="",J202="",C202&lt;=0, B202=0),"",J202+H202*B202+(H202/C202)*E202)</f>
        <v/>
      </c>
      <c r="AE202" s="139"/>
      <c r="AF202" s="110" t="str">
        <f t="shared" si="100"/>
        <v/>
      </c>
      <c r="AG202" s="111" t="str">
        <f t="shared" si="101"/>
        <v/>
      </c>
      <c r="AH202" s="111" t="str">
        <f t="shared" si="97"/>
        <v/>
      </c>
      <c r="AI202" s="111" t="str">
        <f t="shared" si="102"/>
        <v/>
      </c>
      <c r="AJ202" s="111" t="str">
        <f t="shared" si="103"/>
        <v/>
      </c>
      <c r="AK202" s="112" t="str">
        <f t="shared" si="104"/>
        <v/>
      </c>
      <c r="AL202" t="str">
        <f t="shared" si="105"/>
        <v/>
      </c>
      <c r="AM202" t="str">
        <f t="shared" si="106"/>
        <v/>
      </c>
    </row>
    <row r="203" spans="1:39" ht="15" customHeight="1" x14ac:dyDescent="0.25">
      <c r="A203" s="131"/>
      <c r="B203" s="133"/>
      <c r="C203" s="133"/>
      <c r="D203" s="42" t="str">
        <f t="shared" si="81"/>
        <v/>
      </c>
      <c r="E203" s="43"/>
      <c r="F203" s="135"/>
      <c r="G203" s="77" t="str">
        <f t="shared" si="82"/>
        <v/>
      </c>
      <c r="H203" s="32" t="str">
        <f t="shared" si="83"/>
        <v/>
      </c>
      <c r="I203" s="78" t="str">
        <f t="shared" si="84"/>
        <v/>
      </c>
      <c r="J203" s="70" t="str">
        <f t="shared" si="85"/>
        <v/>
      </c>
      <c r="K203" s="135"/>
      <c r="L203" s="72" t="str">
        <f t="shared" si="86"/>
        <v/>
      </c>
      <c r="M203" s="135"/>
      <c r="N203" s="72" t="str">
        <f t="shared" si="87"/>
        <v/>
      </c>
      <c r="O203" s="135"/>
      <c r="P203" s="136"/>
      <c r="Q203" s="123" t="str">
        <f t="shared" si="88"/>
        <v/>
      </c>
      <c r="R203" s="45" t="str">
        <f t="shared" si="89"/>
        <v/>
      </c>
      <c r="S203" s="137"/>
      <c r="T203" s="79" t="str">
        <f t="shared" si="98"/>
        <v/>
      </c>
      <c r="U203" s="79" t="str">
        <f t="shared" si="90"/>
        <v/>
      </c>
      <c r="V203" s="73" t="str">
        <f t="shared" si="91"/>
        <v/>
      </c>
      <c r="W203" s="80" t="str">
        <f t="shared" si="92"/>
        <v/>
      </c>
      <c r="X203" s="73" t="str">
        <f t="shared" si="93"/>
        <v/>
      </c>
      <c r="Y203" s="80" t="str">
        <f t="shared" si="94"/>
        <v/>
      </c>
      <c r="Z203" s="74" t="str">
        <f t="shared" si="95"/>
        <v/>
      </c>
      <c r="AA203" s="75" t="str">
        <f t="shared" si="99"/>
        <v/>
      </c>
      <c r="AB203" s="103" t="str">
        <f t="shared" si="96"/>
        <v/>
      </c>
      <c r="AC203" s="104" t="str">
        <f t="shared" si="107"/>
        <v/>
      </c>
      <c r="AE203" s="139"/>
      <c r="AF203" s="110" t="str">
        <f t="shared" si="100"/>
        <v/>
      </c>
      <c r="AG203" s="111" t="str">
        <f t="shared" si="101"/>
        <v/>
      </c>
      <c r="AH203" s="111" t="str">
        <f t="shared" si="97"/>
        <v/>
      </c>
      <c r="AI203" s="111" t="str">
        <f t="shared" si="102"/>
        <v/>
      </c>
      <c r="AJ203" s="111" t="str">
        <f t="shared" si="103"/>
        <v/>
      </c>
      <c r="AK203" s="112" t="str">
        <f t="shared" si="104"/>
        <v/>
      </c>
      <c r="AL203" t="str">
        <f t="shared" si="105"/>
        <v/>
      </c>
      <c r="AM203" t="str">
        <f t="shared" si="106"/>
        <v/>
      </c>
    </row>
    <row r="204" spans="1:39" ht="15" customHeight="1" x14ac:dyDescent="0.25">
      <c r="A204" s="131"/>
      <c r="B204" s="133"/>
      <c r="C204" s="133"/>
      <c r="D204" s="42" t="str">
        <f t="shared" si="81"/>
        <v/>
      </c>
      <c r="E204" s="43"/>
      <c r="F204" s="135"/>
      <c r="G204" s="77" t="str">
        <f t="shared" si="82"/>
        <v/>
      </c>
      <c r="H204" s="32" t="str">
        <f t="shared" si="83"/>
        <v/>
      </c>
      <c r="I204" s="78" t="str">
        <f t="shared" si="84"/>
        <v/>
      </c>
      <c r="J204" s="70" t="str">
        <f t="shared" si="85"/>
        <v/>
      </c>
      <c r="K204" s="135"/>
      <c r="L204" s="72" t="str">
        <f t="shared" si="86"/>
        <v/>
      </c>
      <c r="M204" s="135"/>
      <c r="N204" s="72" t="str">
        <f t="shared" si="87"/>
        <v/>
      </c>
      <c r="O204" s="135"/>
      <c r="P204" s="136"/>
      <c r="Q204" s="123" t="str">
        <f t="shared" si="88"/>
        <v/>
      </c>
      <c r="R204" s="45" t="str">
        <f t="shared" si="89"/>
        <v/>
      </c>
      <c r="S204" s="137"/>
      <c r="T204" s="79" t="str">
        <f t="shared" si="98"/>
        <v/>
      </c>
      <c r="U204" s="79" t="str">
        <f t="shared" si="90"/>
        <v/>
      </c>
      <c r="V204" s="73" t="str">
        <f t="shared" si="91"/>
        <v/>
      </c>
      <c r="W204" s="80" t="str">
        <f t="shared" si="92"/>
        <v/>
      </c>
      <c r="X204" s="73" t="str">
        <f t="shared" si="93"/>
        <v/>
      </c>
      <c r="Y204" s="80" t="str">
        <f t="shared" si="94"/>
        <v/>
      </c>
      <c r="Z204" s="74" t="str">
        <f t="shared" si="95"/>
        <v/>
      </c>
      <c r="AA204" s="75" t="str">
        <f t="shared" si="99"/>
        <v/>
      </c>
      <c r="AB204" s="103" t="str">
        <f t="shared" si="96"/>
        <v/>
      </c>
      <c r="AC204" s="104" t="str">
        <f t="shared" si="107"/>
        <v/>
      </c>
      <c r="AE204" s="139"/>
      <c r="AF204" s="110" t="str">
        <f t="shared" si="100"/>
        <v/>
      </c>
      <c r="AG204" s="111" t="str">
        <f t="shared" si="101"/>
        <v/>
      </c>
      <c r="AH204" s="111" t="str">
        <f t="shared" si="97"/>
        <v/>
      </c>
      <c r="AI204" s="111" t="str">
        <f t="shared" si="102"/>
        <v/>
      </c>
      <c r="AJ204" s="111" t="str">
        <f t="shared" si="103"/>
        <v/>
      </c>
      <c r="AK204" s="112" t="str">
        <f t="shared" si="104"/>
        <v/>
      </c>
      <c r="AL204" t="str">
        <f t="shared" si="105"/>
        <v/>
      </c>
      <c r="AM204" t="str">
        <f t="shared" si="106"/>
        <v/>
      </c>
    </row>
    <row r="205" spans="1:39" ht="15" customHeight="1" x14ac:dyDescent="0.25">
      <c r="A205" s="131"/>
      <c r="B205" s="133"/>
      <c r="C205" s="133"/>
      <c r="D205" s="42" t="str">
        <f t="shared" si="81"/>
        <v/>
      </c>
      <c r="E205" s="43"/>
      <c r="F205" s="135"/>
      <c r="G205" s="77" t="str">
        <f t="shared" si="82"/>
        <v/>
      </c>
      <c r="H205" s="32" t="str">
        <f t="shared" si="83"/>
        <v/>
      </c>
      <c r="I205" s="78" t="str">
        <f t="shared" si="84"/>
        <v/>
      </c>
      <c r="J205" s="70" t="str">
        <f t="shared" si="85"/>
        <v/>
      </c>
      <c r="K205" s="135"/>
      <c r="L205" s="72" t="str">
        <f t="shared" si="86"/>
        <v/>
      </c>
      <c r="M205" s="135"/>
      <c r="N205" s="72" t="str">
        <f t="shared" si="87"/>
        <v/>
      </c>
      <c r="O205" s="135"/>
      <c r="P205" s="136"/>
      <c r="Q205" s="123" t="str">
        <f t="shared" si="88"/>
        <v/>
      </c>
      <c r="R205" s="45" t="str">
        <f t="shared" si="89"/>
        <v/>
      </c>
      <c r="S205" s="137"/>
      <c r="T205" s="79" t="str">
        <f t="shared" si="98"/>
        <v/>
      </c>
      <c r="U205" s="79" t="str">
        <f t="shared" si="90"/>
        <v/>
      </c>
      <c r="V205" s="73" t="str">
        <f t="shared" si="91"/>
        <v/>
      </c>
      <c r="W205" s="80" t="str">
        <f t="shared" si="92"/>
        <v/>
      </c>
      <c r="X205" s="73" t="str">
        <f t="shared" si="93"/>
        <v/>
      </c>
      <c r="Y205" s="80" t="str">
        <f t="shared" si="94"/>
        <v/>
      </c>
      <c r="Z205" s="74" t="str">
        <f t="shared" si="95"/>
        <v/>
      </c>
      <c r="AA205" s="75" t="str">
        <f t="shared" si="99"/>
        <v/>
      </c>
      <c r="AB205" s="103" t="str">
        <f t="shared" si="96"/>
        <v/>
      </c>
      <c r="AC205" s="104" t="str">
        <f t="shared" si="107"/>
        <v/>
      </c>
      <c r="AE205" s="139"/>
      <c r="AF205" s="110" t="str">
        <f t="shared" si="100"/>
        <v/>
      </c>
      <c r="AG205" s="111" t="str">
        <f t="shared" si="101"/>
        <v/>
      </c>
      <c r="AH205" s="111" t="str">
        <f t="shared" si="97"/>
        <v/>
      </c>
      <c r="AI205" s="111" t="str">
        <f t="shared" si="102"/>
        <v/>
      </c>
      <c r="AJ205" s="111" t="str">
        <f t="shared" si="103"/>
        <v/>
      </c>
      <c r="AK205" s="112" t="str">
        <f t="shared" si="104"/>
        <v/>
      </c>
      <c r="AL205" t="str">
        <f t="shared" si="105"/>
        <v/>
      </c>
      <c r="AM205" t="str">
        <f t="shared" si="106"/>
        <v/>
      </c>
    </row>
    <row r="206" spans="1:39" ht="15" customHeight="1" x14ac:dyDescent="0.25">
      <c r="A206" s="131"/>
      <c r="B206" s="133"/>
      <c r="C206" s="133"/>
      <c r="D206" s="42" t="str">
        <f t="shared" si="81"/>
        <v/>
      </c>
      <c r="E206" s="43"/>
      <c r="F206" s="135"/>
      <c r="G206" s="77" t="str">
        <f t="shared" si="82"/>
        <v/>
      </c>
      <c r="H206" s="32" t="str">
        <f t="shared" si="83"/>
        <v/>
      </c>
      <c r="I206" s="78" t="str">
        <f t="shared" si="84"/>
        <v/>
      </c>
      <c r="J206" s="70" t="str">
        <f t="shared" si="85"/>
        <v/>
      </c>
      <c r="K206" s="135"/>
      <c r="L206" s="72" t="str">
        <f t="shared" si="86"/>
        <v/>
      </c>
      <c r="M206" s="135"/>
      <c r="N206" s="72" t="str">
        <f t="shared" si="87"/>
        <v/>
      </c>
      <c r="O206" s="135"/>
      <c r="P206" s="136"/>
      <c r="Q206" s="123" t="str">
        <f t="shared" si="88"/>
        <v/>
      </c>
      <c r="R206" s="45" t="str">
        <f t="shared" si="89"/>
        <v/>
      </c>
      <c r="S206" s="137"/>
      <c r="T206" s="79" t="str">
        <f t="shared" si="98"/>
        <v/>
      </c>
      <c r="U206" s="79" t="str">
        <f t="shared" si="90"/>
        <v/>
      </c>
      <c r="V206" s="73" t="str">
        <f t="shared" si="91"/>
        <v/>
      </c>
      <c r="W206" s="80" t="str">
        <f t="shared" si="92"/>
        <v/>
      </c>
      <c r="X206" s="73" t="str">
        <f t="shared" si="93"/>
        <v/>
      </c>
      <c r="Y206" s="80" t="str">
        <f t="shared" si="94"/>
        <v/>
      </c>
      <c r="Z206" s="74" t="str">
        <f t="shared" si="95"/>
        <v/>
      </c>
      <c r="AA206" s="75" t="str">
        <f t="shared" si="99"/>
        <v/>
      </c>
      <c r="AB206" s="103" t="str">
        <f t="shared" si="96"/>
        <v/>
      </c>
      <c r="AC206" s="104" t="str">
        <f t="shared" si="107"/>
        <v/>
      </c>
      <c r="AE206" s="139"/>
      <c r="AF206" s="110" t="str">
        <f t="shared" si="100"/>
        <v/>
      </c>
      <c r="AG206" s="111" t="str">
        <f t="shared" si="101"/>
        <v/>
      </c>
      <c r="AH206" s="111" t="str">
        <f t="shared" si="97"/>
        <v/>
      </c>
      <c r="AI206" s="111" t="str">
        <f t="shared" si="102"/>
        <v/>
      </c>
      <c r="AJ206" s="111" t="str">
        <f t="shared" si="103"/>
        <v/>
      </c>
      <c r="AK206" s="112" t="str">
        <f t="shared" si="104"/>
        <v/>
      </c>
      <c r="AL206" t="str">
        <f t="shared" si="105"/>
        <v/>
      </c>
      <c r="AM206" t="str">
        <f t="shared" si="106"/>
        <v/>
      </c>
    </row>
    <row r="207" spans="1:39" ht="15" customHeight="1" x14ac:dyDescent="0.25">
      <c r="A207" s="131"/>
      <c r="B207" s="133"/>
      <c r="C207" s="133"/>
      <c r="D207" s="42" t="str">
        <f t="shared" si="81"/>
        <v/>
      </c>
      <c r="E207" s="43"/>
      <c r="F207" s="135"/>
      <c r="G207" s="77" t="str">
        <f t="shared" si="82"/>
        <v/>
      </c>
      <c r="H207" s="32" t="str">
        <f t="shared" si="83"/>
        <v/>
      </c>
      <c r="I207" s="78" t="str">
        <f t="shared" si="84"/>
        <v/>
      </c>
      <c r="J207" s="70" t="str">
        <f t="shared" si="85"/>
        <v/>
      </c>
      <c r="K207" s="135"/>
      <c r="L207" s="72" t="str">
        <f t="shared" si="86"/>
        <v/>
      </c>
      <c r="M207" s="135"/>
      <c r="N207" s="72" t="str">
        <f t="shared" si="87"/>
        <v/>
      </c>
      <c r="O207" s="135"/>
      <c r="P207" s="136"/>
      <c r="Q207" s="123" t="str">
        <f t="shared" si="88"/>
        <v/>
      </c>
      <c r="R207" s="45" t="str">
        <f t="shared" si="89"/>
        <v/>
      </c>
      <c r="S207" s="137"/>
      <c r="T207" s="79" t="str">
        <f t="shared" si="98"/>
        <v/>
      </c>
      <c r="U207" s="79" t="str">
        <f t="shared" si="90"/>
        <v/>
      </c>
      <c r="V207" s="73" t="str">
        <f t="shared" si="91"/>
        <v/>
      </c>
      <c r="W207" s="80" t="str">
        <f t="shared" si="92"/>
        <v/>
      </c>
      <c r="X207" s="73" t="str">
        <f t="shared" si="93"/>
        <v/>
      </c>
      <c r="Y207" s="80" t="str">
        <f t="shared" si="94"/>
        <v/>
      </c>
      <c r="Z207" s="74" t="str">
        <f t="shared" si="95"/>
        <v/>
      </c>
      <c r="AA207" s="75" t="str">
        <f t="shared" si="99"/>
        <v/>
      </c>
      <c r="AB207" s="103" t="str">
        <f t="shared" si="96"/>
        <v/>
      </c>
      <c r="AC207" s="104" t="str">
        <f t="shared" si="107"/>
        <v/>
      </c>
      <c r="AE207" s="139"/>
      <c r="AF207" s="110" t="str">
        <f t="shared" si="100"/>
        <v/>
      </c>
      <c r="AG207" s="111" t="str">
        <f t="shared" si="101"/>
        <v/>
      </c>
      <c r="AH207" s="111" t="str">
        <f t="shared" si="97"/>
        <v/>
      </c>
      <c r="AI207" s="111" t="str">
        <f t="shared" si="102"/>
        <v/>
      </c>
      <c r="AJ207" s="111" t="str">
        <f t="shared" si="103"/>
        <v/>
      </c>
      <c r="AK207" s="112" t="str">
        <f t="shared" si="104"/>
        <v/>
      </c>
      <c r="AL207" t="str">
        <f t="shared" si="105"/>
        <v/>
      </c>
      <c r="AM207" t="str">
        <f t="shared" si="106"/>
        <v/>
      </c>
    </row>
    <row r="208" spans="1:39" ht="15" customHeight="1" x14ac:dyDescent="0.25">
      <c r="A208" s="131"/>
      <c r="B208" s="133"/>
      <c r="C208" s="133"/>
      <c r="D208" s="42" t="str">
        <f t="shared" si="81"/>
        <v/>
      </c>
      <c r="E208" s="43"/>
      <c r="F208" s="135"/>
      <c r="G208" s="77" t="str">
        <f t="shared" si="82"/>
        <v/>
      </c>
      <c r="H208" s="32" t="str">
        <f t="shared" si="83"/>
        <v/>
      </c>
      <c r="I208" s="78" t="str">
        <f t="shared" si="84"/>
        <v/>
      </c>
      <c r="J208" s="70" t="str">
        <f t="shared" si="85"/>
        <v/>
      </c>
      <c r="K208" s="135"/>
      <c r="L208" s="72" t="str">
        <f t="shared" si="86"/>
        <v/>
      </c>
      <c r="M208" s="135"/>
      <c r="N208" s="72" t="str">
        <f t="shared" si="87"/>
        <v/>
      </c>
      <c r="O208" s="135"/>
      <c r="P208" s="136"/>
      <c r="Q208" s="123" t="str">
        <f t="shared" si="88"/>
        <v/>
      </c>
      <c r="R208" s="45" t="str">
        <f t="shared" si="89"/>
        <v/>
      </c>
      <c r="S208" s="137"/>
      <c r="T208" s="79" t="str">
        <f t="shared" si="98"/>
        <v/>
      </c>
      <c r="U208" s="79" t="str">
        <f t="shared" si="90"/>
        <v/>
      </c>
      <c r="V208" s="73" t="str">
        <f t="shared" si="91"/>
        <v/>
      </c>
      <c r="W208" s="80" t="str">
        <f t="shared" si="92"/>
        <v/>
      </c>
      <c r="X208" s="73" t="str">
        <f t="shared" si="93"/>
        <v/>
      </c>
      <c r="Y208" s="80" t="str">
        <f t="shared" si="94"/>
        <v/>
      </c>
      <c r="Z208" s="74" t="str">
        <f t="shared" si="95"/>
        <v/>
      </c>
      <c r="AA208" s="75" t="str">
        <f t="shared" si="99"/>
        <v/>
      </c>
      <c r="AB208" s="103" t="str">
        <f t="shared" si="96"/>
        <v/>
      </c>
      <c r="AC208" s="104" t="str">
        <f t="shared" si="107"/>
        <v/>
      </c>
      <c r="AE208" s="139"/>
      <c r="AF208" s="110" t="str">
        <f t="shared" si="100"/>
        <v/>
      </c>
      <c r="AG208" s="111" t="str">
        <f t="shared" si="101"/>
        <v/>
      </c>
      <c r="AH208" s="111" t="str">
        <f t="shared" si="97"/>
        <v/>
      </c>
      <c r="AI208" s="111" t="str">
        <f t="shared" si="102"/>
        <v/>
      </c>
      <c r="AJ208" s="111" t="str">
        <f t="shared" si="103"/>
        <v/>
      </c>
      <c r="AK208" s="112" t="str">
        <f t="shared" si="104"/>
        <v/>
      </c>
      <c r="AL208" t="str">
        <f t="shared" si="105"/>
        <v/>
      </c>
      <c r="AM208" t="str">
        <f t="shared" si="106"/>
        <v/>
      </c>
    </row>
    <row r="209" spans="1:39" ht="15" customHeight="1" x14ac:dyDescent="0.25">
      <c r="A209" s="131"/>
      <c r="B209" s="133"/>
      <c r="C209" s="133"/>
      <c r="D209" s="42" t="str">
        <f t="shared" si="81"/>
        <v/>
      </c>
      <c r="E209" s="43"/>
      <c r="F209" s="135"/>
      <c r="G209" s="77" t="str">
        <f t="shared" si="82"/>
        <v/>
      </c>
      <c r="H209" s="32" t="str">
        <f t="shared" si="83"/>
        <v/>
      </c>
      <c r="I209" s="78" t="str">
        <f t="shared" si="84"/>
        <v/>
      </c>
      <c r="J209" s="70" t="str">
        <f t="shared" si="85"/>
        <v/>
      </c>
      <c r="K209" s="135"/>
      <c r="L209" s="72" t="str">
        <f t="shared" si="86"/>
        <v/>
      </c>
      <c r="M209" s="135"/>
      <c r="N209" s="72" t="str">
        <f t="shared" si="87"/>
        <v/>
      </c>
      <c r="O209" s="135"/>
      <c r="P209" s="136"/>
      <c r="Q209" s="123" t="str">
        <f t="shared" si="88"/>
        <v/>
      </c>
      <c r="R209" s="45" t="str">
        <f t="shared" si="89"/>
        <v/>
      </c>
      <c r="S209" s="137"/>
      <c r="T209" s="79" t="str">
        <f t="shared" si="98"/>
        <v/>
      </c>
      <c r="U209" s="79" t="str">
        <f t="shared" si="90"/>
        <v/>
      </c>
      <c r="V209" s="73" t="str">
        <f t="shared" si="91"/>
        <v/>
      </c>
      <c r="W209" s="80" t="str">
        <f t="shared" si="92"/>
        <v/>
      </c>
      <c r="X209" s="73" t="str">
        <f t="shared" si="93"/>
        <v/>
      </c>
      <c r="Y209" s="80" t="str">
        <f t="shared" si="94"/>
        <v/>
      </c>
      <c r="Z209" s="74" t="str">
        <f t="shared" si="95"/>
        <v/>
      </c>
      <c r="AA209" s="75" t="str">
        <f t="shared" si="99"/>
        <v/>
      </c>
      <c r="AB209" s="103" t="str">
        <f t="shared" si="96"/>
        <v/>
      </c>
      <c r="AC209" s="104" t="str">
        <f t="shared" si="107"/>
        <v/>
      </c>
      <c r="AE209" s="139"/>
      <c r="AF209" s="110" t="str">
        <f t="shared" si="100"/>
        <v/>
      </c>
      <c r="AG209" s="111" t="str">
        <f t="shared" si="101"/>
        <v/>
      </c>
      <c r="AH209" s="111" t="str">
        <f t="shared" si="97"/>
        <v/>
      </c>
      <c r="AI209" s="111" t="str">
        <f t="shared" si="102"/>
        <v/>
      </c>
      <c r="AJ209" s="111" t="str">
        <f t="shared" si="103"/>
        <v/>
      </c>
      <c r="AK209" s="112" t="str">
        <f t="shared" si="104"/>
        <v/>
      </c>
      <c r="AL209" t="str">
        <f t="shared" si="105"/>
        <v/>
      </c>
      <c r="AM209" t="str">
        <f t="shared" si="106"/>
        <v/>
      </c>
    </row>
    <row r="210" spans="1:39" ht="15" customHeight="1" x14ac:dyDescent="0.25">
      <c r="A210" s="131"/>
      <c r="B210" s="133"/>
      <c r="C210" s="133"/>
      <c r="D210" s="42" t="str">
        <f t="shared" si="81"/>
        <v/>
      </c>
      <c r="E210" s="43"/>
      <c r="F210" s="135"/>
      <c r="G210" s="77" t="str">
        <f t="shared" si="82"/>
        <v/>
      </c>
      <c r="H210" s="32" t="str">
        <f t="shared" si="83"/>
        <v/>
      </c>
      <c r="I210" s="78" t="str">
        <f t="shared" si="84"/>
        <v/>
      </c>
      <c r="J210" s="70" t="str">
        <f t="shared" si="85"/>
        <v/>
      </c>
      <c r="K210" s="135"/>
      <c r="L210" s="72" t="str">
        <f t="shared" si="86"/>
        <v/>
      </c>
      <c r="M210" s="135"/>
      <c r="N210" s="72" t="str">
        <f t="shared" si="87"/>
        <v/>
      </c>
      <c r="O210" s="135"/>
      <c r="P210" s="136"/>
      <c r="Q210" s="123" t="str">
        <f t="shared" si="88"/>
        <v/>
      </c>
      <c r="R210" s="45" t="str">
        <f t="shared" si="89"/>
        <v/>
      </c>
      <c r="S210" s="137"/>
      <c r="T210" s="79" t="str">
        <f t="shared" si="98"/>
        <v/>
      </c>
      <c r="U210" s="79" t="str">
        <f t="shared" si="90"/>
        <v/>
      </c>
      <c r="V210" s="73" t="str">
        <f t="shared" si="91"/>
        <v/>
      </c>
      <c r="W210" s="80" t="str">
        <f t="shared" si="92"/>
        <v/>
      </c>
      <c r="X210" s="73" t="str">
        <f t="shared" si="93"/>
        <v/>
      </c>
      <c r="Y210" s="80" t="str">
        <f t="shared" si="94"/>
        <v/>
      </c>
      <c r="Z210" s="74" t="str">
        <f t="shared" si="95"/>
        <v/>
      </c>
      <c r="AA210" s="75" t="str">
        <f t="shared" si="99"/>
        <v/>
      </c>
      <c r="AB210" s="103" t="str">
        <f t="shared" si="96"/>
        <v/>
      </c>
      <c r="AC210" s="104" t="str">
        <f t="shared" si="107"/>
        <v/>
      </c>
      <c r="AE210" s="139"/>
      <c r="AF210" s="110" t="str">
        <f t="shared" si="100"/>
        <v/>
      </c>
      <c r="AG210" s="111" t="str">
        <f t="shared" si="101"/>
        <v/>
      </c>
      <c r="AH210" s="111" t="str">
        <f t="shared" si="97"/>
        <v/>
      </c>
      <c r="AI210" s="111" t="str">
        <f t="shared" si="102"/>
        <v/>
      </c>
      <c r="AJ210" s="111" t="str">
        <f t="shared" si="103"/>
        <v/>
      </c>
      <c r="AK210" s="112" t="str">
        <f t="shared" si="104"/>
        <v/>
      </c>
      <c r="AL210" t="str">
        <f t="shared" si="105"/>
        <v/>
      </c>
      <c r="AM210" t="str">
        <f t="shared" si="106"/>
        <v/>
      </c>
    </row>
    <row r="211" spans="1:39" ht="15" customHeight="1" x14ac:dyDescent="0.25">
      <c r="A211" s="131"/>
      <c r="B211" s="133"/>
      <c r="C211" s="133"/>
      <c r="D211" s="42" t="str">
        <f t="shared" si="81"/>
        <v/>
      </c>
      <c r="E211" s="43"/>
      <c r="F211" s="135"/>
      <c r="G211" s="77" t="str">
        <f t="shared" si="82"/>
        <v/>
      </c>
      <c r="H211" s="32" t="str">
        <f t="shared" si="83"/>
        <v/>
      </c>
      <c r="I211" s="78" t="str">
        <f t="shared" si="84"/>
        <v/>
      </c>
      <c r="J211" s="70" t="str">
        <f t="shared" si="85"/>
        <v/>
      </c>
      <c r="K211" s="135"/>
      <c r="L211" s="72" t="str">
        <f t="shared" si="86"/>
        <v/>
      </c>
      <c r="M211" s="135"/>
      <c r="N211" s="72" t="str">
        <f t="shared" si="87"/>
        <v/>
      </c>
      <c r="O211" s="135"/>
      <c r="P211" s="136"/>
      <c r="Q211" s="123" t="str">
        <f t="shared" si="88"/>
        <v/>
      </c>
      <c r="R211" s="45" t="str">
        <f t="shared" si="89"/>
        <v/>
      </c>
      <c r="S211" s="137"/>
      <c r="T211" s="79" t="str">
        <f t="shared" si="98"/>
        <v/>
      </c>
      <c r="U211" s="79" t="str">
        <f t="shared" si="90"/>
        <v/>
      </c>
      <c r="V211" s="73" t="str">
        <f t="shared" si="91"/>
        <v/>
      </c>
      <c r="W211" s="80" t="str">
        <f t="shared" si="92"/>
        <v/>
      </c>
      <c r="X211" s="73" t="str">
        <f t="shared" si="93"/>
        <v/>
      </c>
      <c r="Y211" s="80" t="str">
        <f t="shared" si="94"/>
        <v/>
      </c>
      <c r="Z211" s="74" t="str">
        <f t="shared" si="95"/>
        <v/>
      </c>
      <c r="AA211" s="75" t="str">
        <f t="shared" si="99"/>
        <v/>
      </c>
      <c r="AB211" s="103" t="str">
        <f t="shared" si="96"/>
        <v/>
      </c>
      <c r="AC211" s="104" t="str">
        <f t="shared" si="107"/>
        <v/>
      </c>
      <c r="AE211" s="139"/>
      <c r="AF211" s="110" t="str">
        <f t="shared" si="100"/>
        <v/>
      </c>
      <c r="AG211" s="111" t="str">
        <f t="shared" si="101"/>
        <v/>
      </c>
      <c r="AH211" s="111" t="str">
        <f t="shared" si="97"/>
        <v/>
      </c>
      <c r="AI211" s="111" t="str">
        <f t="shared" si="102"/>
        <v/>
      </c>
      <c r="AJ211" s="111" t="str">
        <f t="shared" si="103"/>
        <v/>
      </c>
      <c r="AK211" s="112" t="str">
        <f t="shared" si="104"/>
        <v/>
      </c>
      <c r="AL211" t="str">
        <f t="shared" si="105"/>
        <v/>
      </c>
      <c r="AM211" t="str">
        <f t="shared" si="106"/>
        <v/>
      </c>
    </row>
    <row r="212" spans="1:39" ht="15" customHeight="1" x14ac:dyDescent="0.25">
      <c r="A212" s="131"/>
      <c r="B212" s="133"/>
      <c r="C212" s="133"/>
      <c r="D212" s="42" t="str">
        <f t="shared" si="81"/>
        <v/>
      </c>
      <c r="E212" s="43"/>
      <c r="F212" s="135"/>
      <c r="G212" s="77" t="str">
        <f t="shared" si="82"/>
        <v/>
      </c>
      <c r="H212" s="32" t="str">
        <f t="shared" si="83"/>
        <v/>
      </c>
      <c r="I212" s="78" t="str">
        <f t="shared" si="84"/>
        <v/>
      </c>
      <c r="J212" s="70" t="str">
        <f t="shared" si="85"/>
        <v/>
      </c>
      <c r="K212" s="135"/>
      <c r="L212" s="72" t="str">
        <f t="shared" si="86"/>
        <v/>
      </c>
      <c r="M212" s="135"/>
      <c r="N212" s="72" t="str">
        <f t="shared" si="87"/>
        <v/>
      </c>
      <c r="O212" s="135"/>
      <c r="P212" s="136"/>
      <c r="Q212" s="123" t="str">
        <f t="shared" si="88"/>
        <v/>
      </c>
      <c r="R212" s="45" t="str">
        <f t="shared" si="89"/>
        <v/>
      </c>
      <c r="S212" s="137"/>
      <c r="T212" s="79" t="str">
        <f t="shared" si="98"/>
        <v/>
      </c>
      <c r="U212" s="79" t="str">
        <f t="shared" si="90"/>
        <v/>
      </c>
      <c r="V212" s="73" t="str">
        <f t="shared" si="91"/>
        <v/>
      </c>
      <c r="W212" s="80" t="str">
        <f t="shared" si="92"/>
        <v/>
      </c>
      <c r="X212" s="73" t="str">
        <f t="shared" si="93"/>
        <v/>
      </c>
      <c r="Y212" s="80" t="str">
        <f t="shared" si="94"/>
        <v/>
      </c>
      <c r="Z212" s="74" t="str">
        <f t="shared" si="95"/>
        <v/>
      </c>
      <c r="AA212" s="75" t="str">
        <f t="shared" si="99"/>
        <v/>
      </c>
      <c r="AB212" s="103" t="str">
        <f t="shared" si="96"/>
        <v/>
      </c>
      <c r="AC212" s="104" t="str">
        <f t="shared" si="107"/>
        <v/>
      </c>
      <c r="AE212" s="139"/>
      <c r="AF212" s="110" t="str">
        <f t="shared" si="100"/>
        <v/>
      </c>
      <c r="AG212" s="111" t="str">
        <f t="shared" si="101"/>
        <v/>
      </c>
      <c r="AH212" s="111" t="str">
        <f t="shared" si="97"/>
        <v/>
      </c>
      <c r="AI212" s="111" t="str">
        <f t="shared" si="102"/>
        <v/>
      </c>
      <c r="AJ212" s="111" t="str">
        <f t="shared" si="103"/>
        <v/>
      </c>
      <c r="AK212" s="112" t="str">
        <f t="shared" si="104"/>
        <v/>
      </c>
      <c r="AL212" t="str">
        <f t="shared" si="105"/>
        <v/>
      </c>
      <c r="AM212" t="str">
        <f t="shared" si="106"/>
        <v/>
      </c>
    </row>
    <row r="213" spans="1:39" ht="15" customHeight="1" x14ac:dyDescent="0.25">
      <c r="A213" s="131"/>
      <c r="B213" s="133"/>
      <c r="C213" s="133"/>
      <c r="D213" s="42" t="str">
        <f t="shared" si="81"/>
        <v/>
      </c>
      <c r="E213" s="43"/>
      <c r="F213" s="135"/>
      <c r="G213" s="77" t="str">
        <f t="shared" si="82"/>
        <v/>
      </c>
      <c r="H213" s="32" t="str">
        <f t="shared" si="83"/>
        <v/>
      </c>
      <c r="I213" s="78" t="str">
        <f t="shared" si="84"/>
        <v/>
      </c>
      <c r="J213" s="70" t="str">
        <f t="shared" si="85"/>
        <v/>
      </c>
      <c r="K213" s="135"/>
      <c r="L213" s="72" t="str">
        <f t="shared" si="86"/>
        <v/>
      </c>
      <c r="M213" s="135"/>
      <c r="N213" s="72" t="str">
        <f t="shared" si="87"/>
        <v/>
      </c>
      <c r="O213" s="135"/>
      <c r="P213" s="136"/>
      <c r="Q213" s="123" t="str">
        <f t="shared" si="88"/>
        <v/>
      </c>
      <c r="R213" s="45" t="str">
        <f t="shared" si="89"/>
        <v/>
      </c>
      <c r="S213" s="137"/>
      <c r="T213" s="79" t="str">
        <f t="shared" si="98"/>
        <v/>
      </c>
      <c r="U213" s="79" t="str">
        <f t="shared" si="90"/>
        <v/>
      </c>
      <c r="V213" s="73" t="str">
        <f t="shared" si="91"/>
        <v/>
      </c>
      <c r="W213" s="80" t="str">
        <f t="shared" si="92"/>
        <v/>
      </c>
      <c r="X213" s="73" t="str">
        <f t="shared" si="93"/>
        <v/>
      </c>
      <c r="Y213" s="80" t="str">
        <f t="shared" si="94"/>
        <v/>
      </c>
      <c r="Z213" s="74" t="str">
        <f t="shared" si="95"/>
        <v/>
      </c>
      <c r="AA213" s="75" t="str">
        <f t="shared" si="99"/>
        <v/>
      </c>
      <c r="AB213" s="103" t="str">
        <f t="shared" si="96"/>
        <v/>
      </c>
      <c r="AC213" s="104" t="str">
        <f t="shared" si="107"/>
        <v/>
      </c>
      <c r="AE213" s="139"/>
      <c r="AF213" s="110" t="str">
        <f t="shared" si="100"/>
        <v/>
      </c>
      <c r="AG213" s="111" t="str">
        <f t="shared" si="101"/>
        <v/>
      </c>
      <c r="AH213" s="111" t="str">
        <f t="shared" si="97"/>
        <v/>
      </c>
      <c r="AI213" s="111" t="str">
        <f t="shared" si="102"/>
        <v/>
      </c>
      <c r="AJ213" s="111" t="str">
        <f t="shared" si="103"/>
        <v/>
      </c>
      <c r="AK213" s="112" t="str">
        <f t="shared" si="104"/>
        <v/>
      </c>
      <c r="AL213" t="str">
        <f t="shared" si="105"/>
        <v/>
      </c>
      <c r="AM213" t="str">
        <f t="shared" si="106"/>
        <v/>
      </c>
    </row>
    <row r="214" spans="1:39" ht="15" customHeight="1" x14ac:dyDescent="0.25">
      <c r="A214" s="131"/>
      <c r="B214" s="133"/>
      <c r="C214" s="133"/>
      <c r="D214" s="42" t="str">
        <f t="shared" si="81"/>
        <v/>
      </c>
      <c r="E214" s="43"/>
      <c r="F214" s="135"/>
      <c r="G214" s="77" t="str">
        <f t="shared" si="82"/>
        <v/>
      </c>
      <c r="H214" s="32" t="str">
        <f t="shared" si="83"/>
        <v/>
      </c>
      <c r="I214" s="78" t="str">
        <f t="shared" si="84"/>
        <v/>
      </c>
      <c r="J214" s="70" t="str">
        <f t="shared" si="85"/>
        <v/>
      </c>
      <c r="K214" s="135"/>
      <c r="L214" s="72" t="str">
        <f t="shared" si="86"/>
        <v/>
      </c>
      <c r="M214" s="135"/>
      <c r="N214" s="72" t="str">
        <f t="shared" si="87"/>
        <v/>
      </c>
      <c r="O214" s="135"/>
      <c r="P214" s="136"/>
      <c r="Q214" s="123" t="str">
        <f t="shared" si="88"/>
        <v/>
      </c>
      <c r="R214" s="45" t="str">
        <f t="shared" si="89"/>
        <v/>
      </c>
      <c r="S214" s="137"/>
      <c r="T214" s="79" t="str">
        <f t="shared" si="98"/>
        <v/>
      </c>
      <c r="U214" s="79" t="str">
        <f t="shared" si="90"/>
        <v/>
      </c>
      <c r="V214" s="73" t="str">
        <f t="shared" si="91"/>
        <v/>
      </c>
      <c r="W214" s="80" t="str">
        <f t="shared" si="92"/>
        <v/>
      </c>
      <c r="X214" s="73" t="str">
        <f t="shared" si="93"/>
        <v/>
      </c>
      <c r="Y214" s="80" t="str">
        <f t="shared" si="94"/>
        <v/>
      </c>
      <c r="Z214" s="74" t="str">
        <f t="shared" si="95"/>
        <v/>
      </c>
      <c r="AA214" s="75" t="str">
        <f t="shared" si="99"/>
        <v/>
      </c>
      <c r="AB214" s="103" t="str">
        <f t="shared" si="96"/>
        <v/>
      </c>
      <c r="AC214" s="104" t="str">
        <f t="shared" si="107"/>
        <v/>
      </c>
      <c r="AE214" s="139"/>
      <c r="AF214" s="110" t="str">
        <f t="shared" si="100"/>
        <v/>
      </c>
      <c r="AG214" s="111" t="str">
        <f t="shared" si="101"/>
        <v/>
      </c>
      <c r="AH214" s="111" t="str">
        <f t="shared" si="97"/>
        <v/>
      </c>
      <c r="AI214" s="111" t="str">
        <f t="shared" si="102"/>
        <v/>
      </c>
      <c r="AJ214" s="111" t="str">
        <f t="shared" si="103"/>
        <v/>
      </c>
      <c r="AK214" s="112" t="str">
        <f t="shared" si="104"/>
        <v/>
      </c>
      <c r="AL214" t="str">
        <f t="shared" si="105"/>
        <v/>
      </c>
      <c r="AM214" t="str">
        <f t="shared" si="106"/>
        <v/>
      </c>
    </row>
    <row r="215" spans="1:39" ht="15" customHeight="1" x14ac:dyDescent="0.25">
      <c r="A215" s="131"/>
      <c r="B215" s="133"/>
      <c r="C215" s="133"/>
      <c r="D215" s="42" t="str">
        <f t="shared" si="81"/>
        <v/>
      </c>
      <c r="E215" s="43"/>
      <c r="F215" s="135"/>
      <c r="G215" s="77" t="str">
        <f t="shared" si="82"/>
        <v/>
      </c>
      <c r="H215" s="32" t="str">
        <f t="shared" si="83"/>
        <v/>
      </c>
      <c r="I215" s="78" t="str">
        <f t="shared" si="84"/>
        <v/>
      </c>
      <c r="J215" s="70" t="str">
        <f t="shared" si="85"/>
        <v/>
      </c>
      <c r="K215" s="135"/>
      <c r="L215" s="72" t="str">
        <f t="shared" si="86"/>
        <v/>
      </c>
      <c r="M215" s="135"/>
      <c r="N215" s="72" t="str">
        <f t="shared" si="87"/>
        <v/>
      </c>
      <c r="O215" s="135"/>
      <c r="P215" s="136"/>
      <c r="Q215" s="123" t="str">
        <f t="shared" si="88"/>
        <v/>
      </c>
      <c r="R215" s="45" t="str">
        <f t="shared" si="89"/>
        <v/>
      </c>
      <c r="S215" s="137"/>
      <c r="T215" s="79" t="str">
        <f t="shared" si="98"/>
        <v/>
      </c>
      <c r="U215" s="79" t="str">
        <f t="shared" si="90"/>
        <v/>
      </c>
      <c r="V215" s="73" t="str">
        <f t="shared" si="91"/>
        <v/>
      </c>
      <c r="W215" s="80" t="str">
        <f t="shared" si="92"/>
        <v/>
      </c>
      <c r="X215" s="73" t="str">
        <f t="shared" si="93"/>
        <v/>
      </c>
      <c r="Y215" s="80" t="str">
        <f t="shared" si="94"/>
        <v/>
      </c>
      <c r="Z215" s="74" t="str">
        <f t="shared" si="95"/>
        <v/>
      </c>
      <c r="AA215" s="75" t="str">
        <f t="shared" si="99"/>
        <v/>
      </c>
      <c r="AB215" s="103" t="str">
        <f t="shared" si="96"/>
        <v/>
      </c>
      <c r="AC215" s="104" t="str">
        <f t="shared" si="107"/>
        <v/>
      </c>
      <c r="AE215" s="139"/>
      <c r="AF215" s="110" t="str">
        <f t="shared" si="100"/>
        <v/>
      </c>
      <c r="AG215" s="111" t="str">
        <f t="shared" si="101"/>
        <v/>
      </c>
      <c r="AH215" s="111" t="str">
        <f t="shared" si="97"/>
        <v/>
      </c>
      <c r="AI215" s="111" t="str">
        <f t="shared" si="102"/>
        <v/>
      </c>
      <c r="AJ215" s="111" t="str">
        <f t="shared" si="103"/>
        <v/>
      </c>
      <c r="AK215" s="112" t="str">
        <f t="shared" si="104"/>
        <v/>
      </c>
      <c r="AL215" t="str">
        <f t="shared" si="105"/>
        <v/>
      </c>
      <c r="AM215" t="str">
        <f t="shared" si="106"/>
        <v/>
      </c>
    </row>
    <row r="216" spans="1:39" ht="15" customHeight="1" x14ac:dyDescent="0.25">
      <c r="A216" s="131"/>
      <c r="B216" s="133"/>
      <c r="C216" s="133"/>
      <c r="D216" s="42" t="str">
        <f t="shared" si="81"/>
        <v/>
      </c>
      <c r="E216" s="43"/>
      <c r="F216" s="135"/>
      <c r="G216" s="77" t="str">
        <f t="shared" si="82"/>
        <v/>
      </c>
      <c r="H216" s="32" t="str">
        <f t="shared" si="83"/>
        <v/>
      </c>
      <c r="I216" s="78" t="str">
        <f t="shared" si="84"/>
        <v/>
      </c>
      <c r="J216" s="70" t="str">
        <f t="shared" si="85"/>
        <v/>
      </c>
      <c r="K216" s="135"/>
      <c r="L216" s="72" t="str">
        <f t="shared" si="86"/>
        <v/>
      </c>
      <c r="M216" s="135"/>
      <c r="N216" s="72" t="str">
        <f t="shared" si="87"/>
        <v/>
      </c>
      <c r="O216" s="135"/>
      <c r="P216" s="136"/>
      <c r="Q216" s="123" t="str">
        <f t="shared" si="88"/>
        <v/>
      </c>
      <c r="R216" s="45" t="str">
        <f t="shared" si="89"/>
        <v/>
      </c>
      <c r="S216" s="137"/>
      <c r="T216" s="79" t="str">
        <f t="shared" si="98"/>
        <v/>
      </c>
      <c r="U216" s="79" t="str">
        <f t="shared" si="90"/>
        <v/>
      </c>
      <c r="V216" s="73" t="str">
        <f t="shared" si="91"/>
        <v/>
      </c>
      <c r="W216" s="80" t="str">
        <f t="shared" si="92"/>
        <v/>
      </c>
      <c r="X216" s="73" t="str">
        <f t="shared" si="93"/>
        <v/>
      </c>
      <c r="Y216" s="80" t="str">
        <f t="shared" si="94"/>
        <v/>
      </c>
      <c r="Z216" s="74" t="str">
        <f t="shared" si="95"/>
        <v/>
      </c>
      <c r="AA216" s="75" t="str">
        <f t="shared" si="99"/>
        <v/>
      </c>
      <c r="AB216" s="103" t="str">
        <f t="shared" si="96"/>
        <v/>
      </c>
      <c r="AC216" s="104" t="str">
        <f t="shared" si="107"/>
        <v/>
      </c>
      <c r="AE216" s="139"/>
      <c r="AF216" s="110" t="str">
        <f t="shared" si="100"/>
        <v/>
      </c>
      <c r="AG216" s="111" t="str">
        <f t="shared" si="101"/>
        <v/>
      </c>
      <c r="AH216" s="111" t="str">
        <f t="shared" si="97"/>
        <v/>
      </c>
      <c r="AI216" s="111" t="str">
        <f t="shared" si="102"/>
        <v/>
      </c>
      <c r="AJ216" s="111" t="str">
        <f t="shared" si="103"/>
        <v/>
      </c>
      <c r="AK216" s="112" t="str">
        <f t="shared" si="104"/>
        <v/>
      </c>
      <c r="AL216" t="str">
        <f t="shared" si="105"/>
        <v/>
      </c>
      <c r="AM216" t="str">
        <f t="shared" si="106"/>
        <v/>
      </c>
    </row>
    <row r="217" spans="1:39" ht="15" customHeight="1" x14ac:dyDescent="0.25">
      <c r="A217" s="131"/>
      <c r="B217" s="133"/>
      <c r="C217" s="133"/>
      <c r="D217" s="42" t="str">
        <f t="shared" si="81"/>
        <v/>
      </c>
      <c r="E217" s="43"/>
      <c r="F217" s="135"/>
      <c r="G217" s="77" t="str">
        <f t="shared" si="82"/>
        <v/>
      </c>
      <c r="H217" s="32" t="str">
        <f t="shared" si="83"/>
        <v/>
      </c>
      <c r="I217" s="78" t="str">
        <f t="shared" si="84"/>
        <v/>
      </c>
      <c r="J217" s="70" t="str">
        <f t="shared" si="85"/>
        <v/>
      </c>
      <c r="K217" s="135"/>
      <c r="L217" s="72" t="str">
        <f t="shared" si="86"/>
        <v/>
      </c>
      <c r="M217" s="135"/>
      <c r="N217" s="72" t="str">
        <f t="shared" si="87"/>
        <v/>
      </c>
      <c r="O217" s="135"/>
      <c r="P217" s="136"/>
      <c r="Q217" s="123" t="str">
        <f t="shared" si="88"/>
        <v/>
      </c>
      <c r="R217" s="45" t="str">
        <f t="shared" si="89"/>
        <v/>
      </c>
      <c r="S217" s="137"/>
      <c r="T217" s="79" t="str">
        <f t="shared" si="98"/>
        <v/>
      </c>
      <c r="U217" s="79" t="str">
        <f t="shared" si="90"/>
        <v/>
      </c>
      <c r="V217" s="73" t="str">
        <f t="shared" si="91"/>
        <v/>
      </c>
      <c r="W217" s="80" t="str">
        <f t="shared" si="92"/>
        <v/>
      </c>
      <c r="X217" s="73" t="str">
        <f t="shared" si="93"/>
        <v/>
      </c>
      <c r="Y217" s="80" t="str">
        <f t="shared" si="94"/>
        <v/>
      </c>
      <c r="Z217" s="74" t="str">
        <f t="shared" si="95"/>
        <v/>
      </c>
      <c r="AA217" s="75" t="str">
        <f t="shared" si="99"/>
        <v/>
      </c>
      <c r="AB217" s="103" t="str">
        <f t="shared" si="96"/>
        <v/>
      </c>
      <c r="AC217" s="104" t="str">
        <f t="shared" si="107"/>
        <v/>
      </c>
      <c r="AE217" s="139"/>
      <c r="AF217" s="110" t="str">
        <f t="shared" si="100"/>
        <v/>
      </c>
      <c r="AG217" s="111" t="str">
        <f t="shared" si="101"/>
        <v/>
      </c>
      <c r="AH217" s="111" t="str">
        <f t="shared" si="97"/>
        <v/>
      </c>
      <c r="AI217" s="111" t="str">
        <f t="shared" si="102"/>
        <v/>
      </c>
      <c r="AJ217" s="111" t="str">
        <f t="shared" si="103"/>
        <v/>
      </c>
      <c r="AK217" s="112" t="str">
        <f t="shared" si="104"/>
        <v/>
      </c>
      <c r="AL217" t="str">
        <f t="shared" si="105"/>
        <v/>
      </c>
      <c r="AM217" t="str">
        <f t="shared" si="106"/>
        <v/>
      </c>
    </row>
    <row r="218" spans="1:39" ht="15" customHeight="1" x14ac:dyDescent="0.25">
      <c r="A218" s="131"/>
      <c r="B218" s="133"/>
      <c r="C218" s="133"/>
      <c r="D218" s="42" t="str">
        <f t="shared" si="81"/>
        <v/>
      </c>
      <c r="E218" s="43"/>
      <c r="F218" s="135"/>
      <c r="G218" s="77" t="str">
        <f t="shared" si="82"/>
        <v/>
      </c>
      <c r="H218" s="32" t="str">
        <f t="shared" si="83"/>
        <v/>
      </c>
      <c r="I218" s="78" t="str">
        <f t="shared" si="84"/>
        <v/>
      </c>
      <c r="J218" s="70" t="str">
        <f t="shared" si="85"/>
        <v/>
      </c>
      <c r="K218" s="135"/>
      <c r="L218" s="72" t="str">
        <f t="shared" si="86"/>
        <v/>
      </c>
      <c r="M218" s="135"/>
      <c r="N218" s="72" t="str">
        <f t="shared" si="87"/>
        <v/>
      </c>
      <c r="O218" s="135"/>
      <c r="P218" s="136"/>
      <c r="Q218" s="123" t="str">
        <f t="shared" si="88"/>
        <v/>
      </c>
      <c r="R218" s="45" t="str">
        <f t="shared" si="89"/>
        <v/>
      </c>
      <c r="S218" s="137"/>
      <c r="T218" s="79" t="str">
        <f t="shared" si="98"/>
        <v/>
      </c>
      <c r="U218" s="79" t="str">
        <f t="shared" si="90"/>
        <v/>
      </c>
      <c r="V218" s="73" t="str">
        <f t="shared" si="91"/>
        <v/>
      </c>
      <c r="W218" s="80" t="str">
        <f t="shared" si="92"/>
        <v/>
      </c>
      <c r="X218" s="73" t="str">
        <f t="shared" si="93"/>
        <v/>
      </c>
      <c r="Y218" s="80" t="str">
        <f t="shared" si="94"/>
        <v/>
      </c>
      <c r="Z218" s="74" t="str">
        <f t="shared" si="95"/>
        <v/>
      </c>
      <c r="AA218" s="75" t="str">
        <f t="shared" si="99"/>
        <v/>
      </c>
      <c r="AB218" s="103" t="str">
        <f t="shared" si="96"/>
        <v/>
      </c>
      <c r="AC218" s="104" t="str">
        <f t="shared" si="107"/>
        <v/>
      </c>
      <c r="AE218" s="139"/>
      <c r="AF218" s="110" t="str">
        <f t="shared" si="100"/>
        <v/>
      </c>
      <c r="AG218" s="111" t="str">
        <f t="shared" si="101"/>
        <v/>
      </c>
      <c r="AH218" s="111" t="str">
        <f t="shared" si="97"/>
        <v/>
      </c>
      <c r="AI218" s="111" t="str">
        <f t="shared" si="102"/>
        <v/>
      </c>
      <c r="AJ218" s="111" t="str">
        <f t="shared" si="103"/>
        <v/>
      </c>
      <c r="AK218" s="112" t="str">
        <f t="shared" si="104"/>
        <v/>
      </c>
      <c r="AL218" t="str">
        <f t="shared" si="105"/>
        <v/>
      </c>
      <c r="AM218" t="str">
        <f t="shared" si="106"/>
        <v/>
      </c>
    </row>
    <row r="219" spans="1:39" ht="15" customHeight="1" x14ac:dyDescent="0.25">
      <c r="A219" s="131"/>
      <c r="B219" s="133"/>
      <c r="C219" s="133"/>
      <c r="D219" s="42" t="str">
        <f t="shared" si="81"/>
        <v/>
      </c>
      <c r="E219" s="43"/>
      <c r="F219" s="135"/>
      <c r="G219" s="77" t="str">
        <f t="shared" si="82"/>
        <v/>
      </c>
      <c r="H219" s="32" t="str">
        <f t="shared" si="83"/>
        <v/>
      </c>
      <c r="I219" s="78" t="str">
        <f t="shared" si="84"/>
        <v/>
      </c>
      <c r="J219" s="70" t="str">
        <f t="shared" si="85"/>
        <v/>
      </c>
      <c r="K219" s="135"/>
      <c r="L219" s="72" t="str">
        <f t="shared" si="86"/>
        <v/>
      </c>
      <c r="M219" s="135"/>
      <c r="N219" s="72" t="str">
        <f t="shared" si="87"/>
        <v/>
      </c>
      <c r="O219" s="135"/>
      <c r="P219" s="136"/>
      <c r="Q219" s="123" t="str">
        <f t="shared" si="88"/>
        <v/>
      </c>
      <c r="R219" s="45" t="str">
        <f t="shared" si="89"/>
        <v/>
      </c>
      <c r="S219" s="137"/>
      <c r="T219" s="79" t="str">
        <f t="shared" si="98"/>
        <v/>
      </c>
      <c r="U219" s="79" t="str">
        <f t="shared" si="90"/>
        <v/>
      </c>
      <c r="V219" s="73" t="str">
        <f t="shared" si="91"/>
        <v/>
      </c>
      <c r="W219" s="80" t="str">
        <f t="shared" si="92"/>
        <v/>
      </c>
      <c r="X219" s="73" t="str">
        <f t="shared" si="93"/>
        <v/>
      </c>
      <c r="Y219" s="80" t="str">
        <f t="shared" si="94"/>
        <v/>
      </c>
      <c r="Z219" s="74" t="str">
        <f t="shared" si="95"/>
        <v/>
      </c>
      <c r="AA219" s="75" t="str">
        <f t="shared" si="99"/>
        <v/>
      </c>
      <c r="AB219" s="103" t="str">
        <f t="shared" si="96"/>
        <v/>
      </c>
      <c r="AC219" s="104" t="str">
        <f t="shared" si="107"/>
        <v/>
      </c>
      <c r="AE219" s="139"/>
      <c r="AF219" s="110" t="str">
        <f t="shared" si="100"/>
        <v/>
      </c>
      <c r="AG219" s="111" t="str">
        <f t="shared" si="101"/>
        <v/>
      </c>
      <c r="AH219" s="111" t="str">
        <f t="shared" si="97"/>
        <v/>
      </c>
      <c r="AI219" s="111" t="str">
        <f t="shared" si="102"/>
        <v/>
      </c>
      <c r="AJ219" s="111" t="str">
        <f t="shared" si="103"/>
        <v/>
      </c>
      <c r="AK219" s="112" t="str">
        <f t="shared" si="104"/>
        <v/>
      </c>
      <c r="AL219" t="str">
        <f t="shared" si="105"/>
        <v/>
      </c>
      <c r="AM219" t="str">
        <f t="shared" si="106"/>
        <v/>
      </c>
    </row>
    <row r="220" spans="1:39" ht="15" customHeight="1" x14ac:dyDescent="0.25">
      <c r="A220" s="131"/>
      <c r="B220" s="133"/>
      <c r="C220" s="133"/>
      <c r="D220" s="42" t="str">
        <f t="shared" si="81"/>
        <v/>
      </c>
      <c r="E220" s="43"/>
      <c r="F220" s="135"/>
      <c r="G220" s="77" t="str">
        <f t="shared" si="82"/>
        <v/>
      </c>
      <c r="H220" s="32" t="str">
        <f t="shared" si="83"/>
        <v/>
      </c>
      <c r="I220" s="78" t="str">
        <f t="shared" si="84"/>
        <v/>
      </c>
      <c r="J220" s="70" t="str">
        <f t="shared" si="85"/>
        <v/>
      </c>
      <c r="K220" s="135"/>
      <c r="L220" s="72" t="str">
        <f t="shared" si="86"/>
        <v/>
      </c>
      <c r="M220" s="135"/>
      <c r="N220" s="72" t="str">
        <f t="shared" si="87"/>
        <v/>
      </c>
      <c r="O220" s="135"/>
      <c r="P220" s="136"/>
      <c r="Q220" s="123" t="str">
        <f t="shared" si="88"/>
        <v/>
      </c>
      <c r="R220" s="45" t="str">
        <f t="shared" si="89"/>
        <v/>
      </c>
      <c r="S220" s="137"/>
      <c r="T220" s="79" t="str">
        <f t="shared" si="98"/>
        <v/>
      </c>
      <c r="U220" s="79" t="str">
        <f t="shared" si="90"/>
        <v/>
      </c>
      <c r="V220" s="73" t="str">
        <f t="shared" si="91"/>
        <v/>
      </c>
      <c r="W220" s="80" t="str">
        <f t="shared" si="92"/>
        <v/>
      </c>
      <c r="X220" s="73" t="str">
        <f t="shared" si="93"/>
        <v/>
      </c>
      <c r="Y220" s="80" t="str">
        <f t="shared" si="94"/>
        <v/>
      </c>
      <c r="Z220" s="74" t="str">
        <f t="shared" si="95"/>
        <v/>
      </c>
      <c r="AA220" s="75" t="str">
        <f t="shared" si="99"/>
        <v/>
      </c>
      <c r="AB220" s="103" t="str">
        <f t="shared" si="96"/>
        <v/>
      </c>
      <c r="AC220" s="104" t="str">
        <f t="shared" si="107"/>
        <v/>
      </c>
      <c r="AE220" s="139"/>
      <c r="AF220" s="110" t="str">
        <f t="shared" si="100"/>
        <v/>
      </c>
      <c r="AG220" s="111" t="str">
        <f t="shared" si="101"/>
        <v/>
      </c>
      <c r="AH220" s="111" t="str">
        <f t="shared" si="97"/>
        <v/>
      </c>
      <c r="AI220" s="111" t="str">
        <f t="shared" si="102"/>
        <v/>
      </c>
      <c r="AJ220" s="111" t="str">
        <f t="shared" si="103"/>
        <v/>
      </c>
      <c r="AK220" s="112" t="str">
        <f t="shared" si="104"/>
        <v/>
      </c>
      <c r="AL220" t="str">
        <f t="shared" si="105"/>
        <v/>
      </c>
      <c r="AM220" t="str">
        <f t="shared" si="106"/>
        <v/>
      </c>
    </row>
    <row r="221" spans="1:39" ht="15" customHeight="1" x14ac:dyDescent="0.25">
      <c r="A221" s="131"/>
      <c r="B221" s="133"/>
      <c r="C221" s="133"/>
      <c r="D221" s="42" t="str">
        <f t="shared" si="81"/>
        <v/>
      </c>
      <c r="E221" s="43"/>
      <c r="F221" s="135"/>
      <c r="G221" s="77" t="str">
        <f t="shared" si="82"/>
        <v/>
      </c>
      <c r="H221" s="32" t="str">
        <f t="shared" si="83"/>
        <v/>
      </c>
      <c r="I221" s="78" t="str">
        <f t="shared" si="84"/>
        <v/>
      </c>
      <c r="J221" s="70" t="str">
        <f t="shared" si="85"/>
        <v/>
      </c>
      <c r="K221" s="135"/>
      <c r="L221" s="72" t="str">
        <f t="shared" si="86"/>
        <v/>
      </c>
      <c r="M221" s="135"/>
      <c r="N221" s="72" t="str">
        <f t="shared" si="87"/>
        <v/>
      </c>
      <c r="O221" s="135"/>
      <c r="P221" s="136"/>
      <c r="Q221" s="123" t="str">
        <f t="shared" si="88"/>
        <v/>
      </c>
      <c r="R221" s="45" t="str">
        <f t="shared" si="89"/>
        <v/>
      </c>
      <c r="S221" s="137"/>
      <c r="T221" s="79" t="str">
        <f t="shared" si="98"/>
        <v/>
      </c>
      <c r="U221" s="79" t="str">
        <f t="shared" si="90"/>
        <v/>
      </c>
      <c r="V221" s="73" t="str">
        <f t="shared" si="91"/>
        <v/>
      </c>
      <c r="W221" s="80" t="str">
        <f t="shared" si="92"/>
        <v/>
      </c>
      <c r="X221" s="73" t="str">
        <f t="shared" si="93"/>
        <v/>
      </c>
      <c r="Y221" s="80" t="str">
        <f t="shared" si="94"/>
        <v/>
      </c>
      <c r="Z221" s="74" t="str">
        <f t="shared" si="95"/>
        <v/>
      </c>
      <c r="AA221" s="75" t="str">
        <f t="shared" si="99"/>
        <v/>
      </c>
      <c r="AB221" s="103" t="str">
        <f t="shared" si="96"/>
        <v/>
      </c>
      <c r="AC221" s="104" t="str">
        <f t="shared" si="107"/>
        <v/>
      </c>
      <c r="AE221" s="139"/>
      <c r="AF221" s="110" t="str">
        <f t="shared" si="100"/>
        <v/>
      </c>
      <c r="AG221" s="111" t="str">
        <f t="shared" si="101"/>
        <v/>
      </c>
      <c r="AH221" s="111" t="str">
        <f t="shared" si="97"/>
        <v/>
      </c>
      <c r="AI221" s="111" t="str">
        <f t="shared" si="102"/>
        <v/>
      </c>
      <c r="AJ221" s="111" t="str">
        <f t="shared" si="103"/>
        <v/>
      </c>
      <c r="AK221" s="112" t="str">
        <f t="shared" si="104"/>
        <v/>
      </c>
      <c r="AL221" t="str">
        <f t="shared" si="105"/>
        <v/>
      </c>
      <c r="AM221" t="str">
        <f t="shared" si="106"/>
        <v/>
      </c>
    </row>
    <row r="222" spans="1:39" ht="15" customHeight="1" x14ac:dyDescent="0.25">
      <c r="A222" s="131"/>
      <c r="B222" s="133"/>
      <c r="C222" s="133"/>
      <c r="D222" s="42" t="str">
        <f t="shared" si="81"/>
        <v/>
      </c>
      <c r="E222" s="43"/>
      <c r="F222" s="135"/>
      <c r="G222" s="77" t="str">
        <f t="shared" si="82"/>
        <v/>
      </c>
      <c r="H222" s="32" t="str">
        <f t="shared" si="83"/>
        <v/>
      </c>
      <c r="I222" s="78" t="str">
        <f t="shared" si="84"/>
        <v/>
      </c>
      <c r="J222" s="70" t="str">
        <f t="shared" si="85"/>
        <v/>
      </c>
      <c r="K222" s="135"/>
      <c r="L222" s="72" t="str">
        <f t="shared" si="86"/>
        <v/>
      </c>
      <c r="M222" s="135"/>
      <c r="N222" s="72" t="str">
        <f t="shared" si="87"/>
        <v/>
      </c>
      <c r="O222" s="135"/>
      <c r="P222" s="136"/>
      <c r="Q222" s="123" t="str">
        <f t="shared" si="88"/>
        <v/>
      </c>
      <c r="R222" s="45" t="str">
        <f t="shared" si="89"/>
        <v/>
      </c>
      <c r="S222" s="137"/>
      <c r="T222" s="79" t="str">
        <f t="shared" si="98"/>
        <v/>
      </c>
      <c r="U222" s="79" t="str">
        <f t="shared" si="90"/>
        <v/>
      </c>
      <c r="V222" s="73" t="str">
        <f t="shared" si="91"/>
        <v/>
      </c>
      <c r="W222" s="80" t="str">
        <f t="shared" si="92"/>
        <v/>
      </c>
      <c r="X222" s="73" t="str">
        <f t="shared" si="93"/>
        <v/>
      </c>
      <c r="Y222" s="80" t="str">
        <f t="shared" si="94"/>
        <v/>
      </c>
      <c r="Z222" s="74" t="str">
        <f t="shared" si="95"/>
        <v/>
      </c>
      <c r="AA222" s="75" t="str">
        <f t="shared" si="99"/>
        <v/>
      </c>
      <c r="AB222" s="103" t="str">
        <f t="shared" si="96"/>
        <v/>
      </c>
      <c r="AC222" s="104" t="str">
        <f t="shared" si="107"/>
        <v/>
      </c>
      <c r="AE222" s="139"/>
      <c r="AF222" s="110" t="str">
        <f t="shared" si="100"/>
        <v/>
      </c>
      <c r="AG222" s="111" t="str">
        <f t="shared" si="101"/>
        <v/>
      </c>
      <c r="AH222" s="111" t="str">
        <f t="shared" si="97"/>
        <v/>
      </c>
      <c r="AI222" s="111" t="str">
        <f t="shared" si="102"/>
        <v/>
      </c>
      <c r="AJ222" s="111" t="str">
        <f t="shared" si="103"/>
        <v/>
      </c>
      <c r="AK222" s="112" t="str">
        <f t="shared" si="104"/>
        <v/>
      </c>
      <c r="AL222" t="str">
        <f t="shared" si="105"/>
        <v/>
      </c>
      <c r="AM222" t="str">
        <f t="shared" si="106"/>
        <v/>
      </c>
    </row>
    <row r="223" spans="1:39" ht="15" customHeight="1" x14ac:dyDescent="0.25">
      <c r="A223" s="131"/>
      <c r="B223" s="133"/>
      <c r="C223" s="133"/>
      <c r="D223" s="42" t="str">
        <f t="shared" si="81"/>
        <v/>
      </c>
      <c r="E223" s="43"/>
      <c r="F223" s="135"/>
      <c r="G223" s="77" t="str">
        <f t="shared" si="82"/>
        <v/>
      </c>
      <c r="H223" s="32" t="str">
        <f t="shared" si="83"/>
        <v/>
      </c>
      <c r="I223" s="78" t="str">
        <f t="shared" si="84"/>
        <v/>
      </c>
      <c r="J223" s="70" t="str">
        <f t="shared" si="85"/>
        <v/>
      </c>
      <c r="K223" s="135"/>
      <c r="L223" s="72" t="str">
        <f t="shared" si="86"/>
        <v/>
      </c>
      <c r="M223" s="135"/>
      <c r="N223" s="72" t="str">
        <f t="shared" si="87"/>
        <v/>
      </c>
      <c r="O223" s="135"/>
      <c r="P223" s="136"/>
      <c r="Q223" s="123" t="str">
        <f t="shared" si="88"/>
        <v/>
      </c>
      <c r="R223" s="45" t="str">
        <f t="shared" si="89"/>
        <v/>
      </c>
      <c r="S223" s="137"/>
      <c r="T223" s="79" t="str">
        <f t="shared" si="98"/>
        <v/>
      </c>
      <c r="U223" s="79" t="str">
        <f t="shared" si="90"/>
        <v/>
      </c>
      <c r="V223" s="73" t="str">
        <f t="shared" si="91"/>
        <v/>
      </c>
      <c r="W223" s="80" t="str">
        <f t="shared" si="92"/>
        <v/>
      </c>
      <c r="X223" s="73" t="str">
        <f t="shared" si="93"/>
        <v/>
      </c>
      <c r="Y223" s="80" t="str">
        <f t="shared" si="94"/>
        <v/>
      </c>
      <c r="Z223" s="74" t="str">
        <f t="shared" si="95"/>
        <v/>
      </c>
      <c r="AA223" s="75" t="str">
        <f t="shared" si="99"/>
        <v/>
      </c>
      <c r="AB223" s="103" t="str">
        <f t="shared" si="96"/>
        <v/>
      </c>
      <c r="AC223" s="104" t="str">
        <f t="shared" si="107"/>
        <v/>
      </c>
      <c r="AE223" s="139"/>
      <c r="AF223" s="110" t="str">
        <f t="shared" si="100"/>
        <v/>
      </c>
      <c r="AG223" s="111" t="str">
        <f t="shared" si="101"/>
        <v/>
      </c>
      <c r="AH223" s="111" t="str">
        <f t="shared" si="97"/>
        <v/>
      </c>
      <c r="AI223" s="111" t="str">
        <f t="shared" si="102"/>
        <v/>
      </c>
      <c r="AJ223" s="111" t="str">
        <f t="shared" si="103"/>
        <v/>
      </c>
      <c r="AK223" s="112" t="str">
        <f t="shared" si="104"/>
        <v/>
      </c>
      <c r="AL223" t="str">
        <f t="shared" si="105"/>
        <v/>
      </c>
      <c r="AM223" t="str">
        <f t="shared" si="106"/>
        <v/>
      </c>
    </row>
    <row r="224" spans="1:39" ht="15" customHeight="1" x14ac:dyDescent="0.25">
      <c r="A224" s="131"/>
      <c r="B224" s="133"/>
      <c r="C224" s="133"/>
      <c r="D224" s="42" t="str">
        <f t="shared" si="81"/>
        <v/>
      </c>
      <c r="E224" s="43"/>
      <c r="F224" s="135"/>
      <c r="G224" s="77" t="str">
        <f t="shared" si="82"/>
        <v/>
      </c>
      <c r="H224" s="32" t="str">
        <f t="shared" si="83"/>
        <v/>
      </c>
      <c r="I224" s="78" t="str">
        <f t="shared" si="84"/>
        <v/>
      </c>
      <c r="J224" s="70" t="str">
        <f t="shared" si="85"/>
        <v/>
      </c>
      <c r="K224" s="135"/>
      <c r="L224" s="72" t="str">
        <f t="shared" si="86"/>
        <v/>
      </c>
      <c r="M224" s="135"/>
      <c r="N224" s="72" t="str">
        <f t="shared" si="87"/>
        <v/>
      </c>
      <c r="O224" s="135"/>
      <c r="P224" s="136"/>
      <c r="Q224" s="123" t="str">
        <f t="shared" si="88"/>
        <v/>
      </c>
      <c r="R224" s="45" t="str">
        <f t="shared" si="89"/>
        <v/>
      </c>
      <c r="S224" s="137"/>
      <c r="T224" s="79" t="str">
        <f t="shared" si="98"/>
        <v/>
      </c>
      <c r="U224" s="79" t="str">
        <f t="shared" si="90"/>
        <v/>
      </c>
      <c r="V224" s="73" t="str">
        <f t="shared" si="91"/>
        <v/>
      </c>
      <c r="W224" s="80" t="str">
        <f t="shared" si="92"/>
        <v/>
      </c>
      <c r="X224" s="73" t="str">
        <f t="shared" si="93"/>
        <v/>
      </c>
      <c r="Y224" s="80" t="str">
        <f t="shared" si="94"/>
        <v/>
      </c>
      <c r="Z224" s="74" t="str">
        <f t="shared" si="95"/>
        <v/>
      </c>
      <c r="AA224" s="75" t="str">
        <f t="shared" si="99"/>
        <v/>
      </c>
      <c r="AB224" s="103" t="str">
        <f t="shared" si="96"/>
        <v/>
      </c>
      <c r="AC224" s="104" t="str">
        <f t="shared" si="107"/>
        <v/>
      </c>
      <c r="AE224" s="139"/>
      <c r="AF224" s="110" t="str">
        <f t="shared" si="100"/>
        <v/>
      </c>
      <c r="AG224" s="111" t="str">
        <f t="shared" si="101"/>
        <v/>
      </c>
      <c r="AH224" s="111" t="str">
        <f t="shared" si="97"/>
        <v/>
      </c>
      <c r="AI224" s="111" t="str">
        <f t="shared" si="102"/>
        <v/>
      </c>
      <c r="AJ224" s="111" t="str">
        <f t="shared" si="103"/>
        <v/>
      </c>
      <c r="AK224" s="112" t="str">
        <f t="shared" si="104"/>
        <v/>
      </c>
      <c r="AL224" t="str">
        <f t="shared" si="105"/>
        <v/>
      </c>
      <c r="AM224" t="str">
        <f t="shared" si="106"/>
        <v/>
      </c>
    </row>
    <row r="225" spans="1:39" ht="15" customHeight="1" x14ac:dyDescent="0.25">
      <c r="A225" s="131"/>
      <c r="B225" s="133"/>
      <c r="C225" s="133"/>
      <c r="D225" s="42" t="str">
        <f t="shared" si="81"/>
        <v/>
      </c>
      <c r="E225" s="43"/>
      <c r="F225" s="135"/>
      <c r="G225" s="77" t="str">
        <f t="shared" si="82"/>
        <v/>
      </c>
      <c r="H225" s="32" t="str">
        <f t="shared" si="83"/>
        <v/>
      </c>
      <c r="I225" s="78" t="str">
        <f t="shared" si="84"/>
        <v/>
      </c>
      <c r="J225" s="70" t="str">
        <f t="shared" si="85"/>
        <v/>
      </c>
      <c r="K225" s="135"/>
      <c r="L225" s="72" t="str">
        <f t="shared" si="86"/>
        <v/>
      </c>
      <c r="M225" s="135"/>
      <c r="N225" s="72" t="str">
        <f t="shared" si="87"/>
        <v/>
      </c>
      <c r="O225" s="135"/>
      <c r="P225" s="136"/>
      <c r="Q225" s="123" t="str">
        <f t="shared" si="88"/>
        <v/>
      </c>
      <c r="R225" s="45" t="str">
        <f t="shared" si="89"/>
        <v/>
      </c>
      <c r="S225" s="137"/>
      <c r="T225" s="79" t="str">
        <f t="shared" si="98"/>
        <v/>
      </c>
      <c r="U225" s="79" t="str">
        <f t="shared" si="90"/>
        <v/>
      </c>
      <c r="V225" s="73" t="str">
        <f t="shared" si="91"/>
        <v/>
      </c>
      <c r="W225" s="80" t="str">
        <f t="shared" si="92"/>
        <v/>
      </c>
      <c r="X225" s="73" t="str">
        <f t="shared" si="93"/>
        <v/>
      </c>
      <c r="Y225" s="80" t="str">
        <f t="shared" si="94"/>
        <v/>
      </c>
      <c r="Z225" s="74" t="str">
        <f t="shared" si="95"/>
        <v/>
      </c>
      <c r="AA225" s="75" t="str">
        <f t="shared" si="99"/>
        <v/>
      </c>
      <c r="AB225" s="103" t="str">
        <f t="shared" si="96"/>
        <v/>
      </c>
      <c r="AC225" s="104" t="str">
        <f t="shared" si="107"/>
        <v/>
      </c>
      <c r="AE225" s="139"/>
      <c r="AF225" s="110" t="str">
        <f t="shared" si="100"/>
        <v/>
      </c>
      <c r="AG225" s="111" t="str">
        <f t="shared" si="101"/>
        <v/>
      </c>
      <c r="AH225" s="111" t="str">
        <f t="shared" si="97"/>
        <v/>
      </c>
      <c r="AI225" s="111" t="str">
        <f t="shared" si="102"/>
        <v/>
      </c>
      <c r="AJ225" s="111" t="str">
        <f t="shared" si="103"/>
        <v/>
      </c>
      <c r="AK225" s="112" t="str">
        <f t="shared" si="104"/>
        <v/>
      </c>
      <c r="AL225" t="str">
        <f t="shared" si="105"/>
        <v/>
      </c>
      <c r="AM225" t="str">
        <f t="shared" si="106"/>
        <v/>
      </c>
    </row>
    <row r="226" spans="1:39" ht="15" customHeight="1" x14ac:dyDescent="0.25">
      <c r="A226" s="131"/>
      <c r="B226" s="133"/>
      <c r="C226" s="133"/>
      <c r="D226" s="42" t="str">
        <f t="shared" si="81"/>
        <v/>
      </c>
      <c r="E226" s="43"/>
      <c r="F226" s="135"/>
      <c r="G226" s="77" t="str">
        <f t="shared" si="82"/>
        <v/>
      </c>
      <c r="H226" s="32" t="str">
        <f t="shared" si="83"/>
        <v/>
      </c>
      <c r="I226" s="78" t="str">
        <f t="shared" si="84"/>
        <v/>
      </c>
      <c r="J226" s="70" t="str">
        <f t="shared" si="85"/>
        <v/>
      </c>
      <c r="K226" s="135"/>
      <c r="L226" s="72" t="str">
        <f t="shared" si="86"/>
        <v/>
      </c>
      <c r="M226" s="135"/>
      <c r="N226" s="72" t="str">
        <f t="shared" si="87"/>
        <v/>
      </c>
      <c r="O226" s="135"/>
      <c r="P226" s="136"/>
      <c r="Q226" s="123" t="str">
        <f t="shared" si="88"/>
        <v/>
      </c>
      <c r="R226" s="45" t="str">
        <f t="shared" si="89"/>
        <v/>
      </c>
      <c r="S226" s="137"/>
      <c r="T226" s="79" t="str">
        <f t="shared" si="98"/>
        <v/>
      </c>
      <c r="U226" s="79" t="str">
        <f t="shared" si="90"/>
        <v/>
      </c>
      <c r="V226" s="73" t="str">
        <f t="shared" si="91"/>
        <v/>
      </c>
      <c r="W226" s="80" t="str">
        <f t="shared" si="92"/>
        <v/>
      </c>
      <c r="X226" s="73" t="str">
        <f t="shared" si="93"/>
        <v/>
      </c>
      <c r="Y226" s="80" t="str">
        <f t="shared" si="94"/>
        <v/>
      </c>
      <c r="Z226" s="74" t="str">
        <f t="shared" si="95"/>
        <v/>
      </c>
      <c r="AA226" s="75" t="str">
        <f t="shared" si="99"/>
        <v/>
      </c>
      <c r="AB226" s="103" t="str">
        <f t="shared" si="96"/>
        <v/>
      </c>
      <c r="AC226" s="104" t="str">
        <f t="shared" si="107"/>
        <v/>
      </c>
      <c r="AE226" s="139"/>
      <c r="AF226" s="110" t="str">
        <f t="shared" si="100"/>
        <v/>
      </c>
      <c r="AG226" s="111" t="str">
        <f t="shared" si="101"/>
        <v/>
      </c>
      <c r="AH226" s="111" t="str">
        <f t="shared" si="97"/>
        <v/>
      </c>
      <c r="AI226" s="111" t="str">
        <f t="shared" si="102"/>
        <v/>
      </c>
      <c r="AJ226" s="111" t="str">
        <f t="shared" si="103"/>
        <v/>
      </c>
      <c r="AK226" s="112" t="str">
        <f t="shared" si="104"/>
        <v/>
      </c>
      <c r="AL226" t="str">
        <f t="shared" si="105"/>
        <v/>
      </c>
      <c r="AM226" t="str">
        <f t="shared" si="106"/>
        <v/>
      </c>
    </row>
    <row r="227" spans="1:39" ht="15" customHeight="1" x14ac:dyDescent="0.25">
      <c r="A227" s="131"/>
      <c r="B227" s="133"/>
      <c r="C227" s="133"/>
      <c r="D227" s="42" t="str">
        <f t="shared" si="81"/>
        <v/>
      </c>
      <c r="E227" s="43"/>
      <c r="F227" s="135"/>
      <c r="G227" s="77" t="str">
        <f t="shared" si="82"/>
        <v/>
      </c>
      <c r="H227" s="32" t="str">
        <f t="shared" si="83"/>
        <v/>
      </c>
      <c r="I227" s="78" t="str">
        <f t="shared" si="84"/>
        <v/>
      </c>
      <c r="J227" s="70" t="str">
        <f t="shared" si="85"/>
        <v/>
      </c>
      <c r="K227" s="135"/>
      <c r="L227" s="72" t="str">
        <f t="shared" si="86"/>
        <v/>
      </c>
      <c r="M227" s="135"/>
      <c r="N227" s="72" t="str">
        <f t="shared" si="87"/>
        <v/>
      </c>
      <c r="O227" s="135"/>
      <c r="P227" s="136"/>
      <c r="Q227" s="123" t="str">
        <f t="shared" si="88"/>
        <v/>
      </c>
      <c r="R227" s="45" t="str">
        <f t="shared" si="89"/>
        <v/>
      </c>
      <c r="S227" s="137"/>
      <c r="T227" s="79" t="str">
        <f t="shared" si="98"/>
        <v/>
      </c>
      <c r="U227" s="79" t="str">
        <f t="shared" si="90"/>
        <v/>
      </c>
      <c r="V227" s="73" t="str">
        <f t="shared" si="91"/>
        <v/>
      </c>
      <c r="W227" s="80" t="str">
        <f t="shared" si="92"/>
        <v/>
      </c>
      <c r="X227" s="73" t="str">
        <f t="shared" si="93"/>
        <v/>
      </c>
      <c r="Y227" s="80" t="str">
        <f t="shared" si="94"/>
        <v/>
      </c>
      <c r="Z227" s="74" t="str">
        <f t="shared" si="95"/>
        <v/>
      </c>
      <c r="AA227" s="75" t="str">
        <f t="shared" si="99"/>
        <v/>
      </c>
      <c r="AB227" s="103" t="str">
        <f t="shared" si="96"/>
        <v/>
      </c>
      <c r="AC227" s="104" t="str">
        <f t="shared" si="107"/>
        <v/>
      </c>
      <c r="AE227" s="139"/>
      <c r="AF227" s="110" t="str">
        <f t="shared" si="100"/>
        <v/>
      </c>
      <c r="AG227" s="111" t="str">
        <f t="shared" si="101"/>
        <v/>
      </c>
      <c r="AH227" s="111" t="str">
        <f t="shared" si="97"/>
        <v/>
      </c>
      <c r="AI227" s="111" t="str">
        <f t="shared" si="102"/>
        <v/>
      </c>
      <c r="AJ227" s="111" t="str">
        <f t="shared" si="103"/>
        <v/>
      </c>
      <c r="AK227" s="112" t="str">
        <f t="shared" si="104"/>
        <v/>
      </c>
      <c r="AL227" t="str">
        <f t="shared" si="105"/>
        <v/>
      </c>
      <c r="AM227" t="str">
        <f t="shared" si="106"/>
        <v/>
      </c>
    </row>
    <row r="228" spans="1:39" ht="15" customHeight="1" x14ac:dyDescent="0.25">
      <c r="A228" s="131"/>
      <c r="B228" s="133"/>
      <c r="C228" s="133"/>
      <c r="D228" s="42" t="str">
        <f t="shared" si="81"/>
        <v/>
      </c>
      <c r="E228" s="43"/>
      <c r="F228" s="135"/>
      <c r="G228" s="77" t="str">
        <f t="shared" si="82"/>
        <v/>
      </c>
      <c r="H228" s="32" t="str">
        <f t="shared" si="83"/>
        <v/>
      </c>
      <c r="I228" s="78" t="str">
        <f t="shared" si="84"/>
        <v/>
      </c>
      <c r="J228" s="70" t="str">
        <f t="shared" si="85"/>
        <v/>
      </c>
      <c r="K228" s="135"/>
      <c r="L228" s="72" t="str">
        <f t="shared" si="86"/>
        <v/>
      </c>
      <c r="M228" s="135"/>
      <c r="N228" s="72" t="str">
        <f t="shared" si="87"/>
        <v/>
      </c>
      <c r="O228" s="135"/>
      <c r="P228" s="136"/>
      <c r="Q228" s="123" t="str">
        <f t="shared" si="88"/>
        <v/>
      </c>
      <c r="R228" s="45" t="str">
        <f t="shared" si="89"/>
        <v/>
      </c>
      <c r="S228" s="137"/>
      <c r="T228" s="79" t="str">
        <f t="shared" si="98"/>
        <v/>
      </c>
      <c r="U228" s="79" t="str">
        <f t="shared" si="90"/>
        <v/>
      </c>
      <c r="V228" s="73" t="str">
        <f t="shared" si="91"/>
        <v/>
      </c>
      <c r="W228" s="80" t="str">
        <f t="shared" si="92"/>
        <v/>
      </c>
      <c r="X228" s="73" t="str">
        <f t="shared" si="93"/>
        <v/>
      </c>
      <c r="Y228" s="80" t="str">
        <f t="shared" si="94"/>
        <v/>
      </c>
      <c r="Z228" s="74" t="str">
        <f t="shared" si="95"/>
        <v/>
      </c>
      <c r="AA228" s="75" t="str">
        <f t="shared" si="99"/>
        <v/>
      </c>
      <c r="AB228" s="103" t="str">
        <f t="shared" si="96"/>
        <v/>
      </c>
      <c r="AC228" s="104" t="str">
        <f t="shared" si="107"/>
        <v/>
      </c>
      <c r="AE228" s="139"/>
      <c r="AF228" s="110" t="str">
        <f t="shared" si="100"/>
        <v/>
      </c>
      <c r="AG228" s="111" t="str">
        <f t="shared" si="101"/>
        <v/>
      </c>
      <c r="AH228" s="111" t="str">
        <f t="shared" si="97"/>
        <v/>
      </c>
      <c r="AI228" s="111" t="str">
        <f t="shared" si="102"/>
        <v/>
      </c>
      <c r="AJ228" s="111" t="str">
        <f t="shared" si="103"/>
        <v/>
      </c>
      <c r="AK228" s="112" t="str">
        <f t="shared" si="104"/>
        <v/>
      </c>
      <c r="AL228" t="str">
        <f t="shared" si="105"/>
        <v/>
      </c>
      <c r="AM228" t="str">
        <f t="shared" si="106"/>
        <v/>
      </c>
    </row>
    <row r="229" spans="1:39" ht="15" customHeight="1" x14ac:dyDescent="0.25">
      <c r="A229" s="131"/>
      <c r="B229" s="133"/>
      <c r="C229" s="133"/>
      <c r="D229" s="42" t="str">
        <f t="shared" si="81"/>
        <v/>
      </c>
      <c r="E229" s="43"/>
      <c r="F229" s="135"/>
      <c r="G229" s="77" t="str">
        <f t="shared" si="82"/>
        <v/>
      </c>
      <c r="H229" s="32" t="str">
        <f t="shared" si="83"/>
        <v/>
      </c>
      <c r="I229" s="78" t="str">
        <f t="shared" si="84"/>
        <v/>
      </c>
      <c r="J229" s="70" t="str">
        <f t="shared" si="85"/>
        <v/>
      </c>
      <c r="K229" s="135"/>
      <c r="L229" s="72" t="str">
        <f t="shared" si="86"/>
        <v/>
      </c>
      <c r="M229" s="135"/>
      <c r="N229" s="72" t="str">
        <f t="shared" si="87"/>
        <v/>
      </c>
      <c r="O229" s="135"/>
      <c r="P229" s="136"/>
      <c r="Q229" s="123" t="str">
        <f t="shared" si="88"/>
        <v/>
      </c>
      <c r="R229" s="45" t="str">
        <f t="shared" si="89"/>
        <v/>
      </c>
      <c r="S229" s="137"/>
      <c r="T229" s="79" t="str">
        <f t="shared" si="98"/>
        <v/>
      </c>
      <c r="U229" s="79" t="str">
        <f t="shared" si="90"/>
        <v/>
      </c>
      <c r="V229" s="73" t="str">
        <f t="shared" si="91"/>
        <v/>
      </c>
      <c r="W229" s="80" t="str">
        <f t="shared" si="92"/>
        <v/>
      </c>
      <c r="X229" s="73" t="str">
        <f t="shared" si="93"/>
        <v/>
      </c>
      <c r="Y229" s="80" t="str">
        <f t="shared" si="94"/>
        <v/>
      </c>
      <c r="Z229" s="74" t="str">
        <f t="shared" si="95"/>
        <v/>
      </c>
      <c r="AA229" s="75" t="str">
        <f t="shared" si="99"/>
        <v/>
      </c>
      <c r="AB229" s="103" t="str">
        <f t="shared" si="96"/>
        <v/>
      </c>
      <c r="AC229" s="104" t="str">
        <f t="shared" si="107"/>
        <v/>
      </c>
      <c r="AE229" s="139"/>
      <c r="AF229" s="110" t="str">
        <f t="shared" si="100"/>
        <v/>
      </c>
      <c r="AG229" s="111" t="str">
        <f t="shared" si="101"/>
        <v/>
      </c>
      <c r="AH229" s="111" t="str">
        <f t="shared" si="97"/>
        <v/>
      </c>
      <c r="AI229" s="111" t="str">
        <f t="shared" si="102"/>
        <v/>
      </c>
      <c r="AJ229" s="111" t="str">
        <f t="shared" si="103"/>
        <v/>
      </c>
      <c r="AK229" s="112" t="str">
        <f t="shared" si="104"/>
        <v/>
      </c>
      <c r="AL229" t="str">
        <f t="shared" si="105"/>
        <v/>
      </c>
      <c r="AM229" t="str">
        <f t="shared" si="106"/>
        <v/>
      </c>
    </row>
    <row r="230" spans="1:39" ht="15" customHeight="1" x14ac:dyDescent="0.25">
      <c r="A230" s="131"/>
      <c r="B230" s="133"/>
      <c r="C230" s="133"/>
      <c r="D230" s="42" t="str">
        <f t="shared" si="81"/>
        <v/>
      </c>
      <c r="E230" s="43"/>
      <c r="F230" s="135"/>
      <c r="G230" s="77" t="str">
        <f t="shared" si="82"/>
        <v/>
      </c>
      <c r="H230" s="32" t="str">
        <f t="shared" si="83"/>
        <v/>
      </c>
      <c r="I230" s="78" t="str">
        <f t="shared" si="84"/>
        <v/>
      </c>
      <c r="J230" s="70" t="str">
        <f t="shared" si="85"/>
        <v/>
      </c>
      <c r="K230" s="135"/>
      <c r="L230" s="72" t="str">
        <f t="shared" si="86"/>
        <v/>
      </c>
      <c r="M230" s="135"/>
      <c r="N230" s="72" t="str">
        <f t="shared" si="87"/>
        <v/>
      </c>
      <c r="O230" s="135"/>
      <c r="P230" s="136"/>
      <c r="Q230" s="123" t="str">
        <f t="shared" si="88"/>
        <v/>
      </c>
      <c r="R230" s="45" t="str">
        <f t="shared" si="89"/>
        <v/>
      </c>
      <c r="S230" s="137"/>
      <c r="T230" s="79" t="str">
        <f t="shared" si="98"/>
        <v/>
      </c>
      <c r="U230" s="79" t="str">
        <f t="shared" si="90"/>
        <v/>
      </c>
      <c r="V230" s="73" t="str">
        <f t="shared" si="91"/>
        <v/>
      </c>
      <c r="W230" s="80" t="str">
        <f t="shared" si="92"/>
        <v/>
      </c>
      <c r="X230" s="73" t="str">
        <f t="shared" si="93"/>
        <v/>
      </c>
      <c r="Y230" s="80" t="str">
        <f t="shared" si="94"/>
        <v/>
      </c>
      <c r="Z230" s="74" t="str">
        <f t="shared" si="95"/>
        <v/>
      </c>
      <c r="AA230" s="75" t="str">
        <f t="shared" si="99"/>
        <v/>
      </c>
      <c r="AB230" s="103" t="str">
        <f t="shared" si="96"/>
        <v/>
      </c>
      <c r="AC230" s="104" t="str">
        <f t="shared" si="107"/>
        <v/>
      </c>
      <c r="AE230" s="139"/>
      <c r="AF230" s="110" t="str">
        <f t="shared" si="100"/>
        <v/>
      </c>
      <c r="AG230" s="111" t="str">
        <f t="shared" si="101"/>
        <v/>
      </c>
      <c r="AH230" s="111" t="str">
        <f t="shared" si="97"/>
        <v/>
      </c>
      <c r="AI230" s="111" t="str">
        <f t="shared" si="102"/>
        <v/>
      </c>
      <c r="AJ230" s="111" t="str">
        <f t="shared" si="103"/>
        <v/>
      </c>
      <c r="AK230" s="112" t="str">
        <f t="shared" si="104"/>
        <v/>
      </c>
      <c r="AL230" t="str">
        <f t="shared" si="105"/>
        <v/>
      </c>
      <c r="AM230" t="str">
        <f t="shared" si="106"/>
        <v/>
      </c>
    </row>
    <row r="231" spans="1:39" ht="15" customHeight="1" x14ac:dyDescent="0.25">
      <c r="A231" s="131"/>
      <c r="B231" s="133"/>
      <c r="C231" s="133"/>
      <c r="D231" s="42" t="str">
        <f t="shared" si="81"/>
        <v/>
      </c>
      <c r="E231" s="43"/>
      <c r="F231" s="135"/>
      <c r="G231" s="77" t="str">
        <f t="shared" si="82"/>
        <v/>
      </c>
      <c r="H231" s="32" t="str">
        <f t="shared" si="83"/>
        <v/>
      </c>
      <c r="I231" s="78" t="str">
        <f t="shared" si="84"/>
        <v/>
      </c>
      <c r="J231" s="70" t="str">
        <f t="shared" si="85"/>
        <v/>
      </c>
      <c r="K231" s="135"/>
      <c r="L231" s="72" t="str">
        <f t="shared" si="86"/>
        <v/>
      </c>
      <c r="M231" s="135"/>
      <c r="N231" s="72" t="str">
        <f t="shared" si="87"/>
        <v/>
      </c>
      <c r="O231" s="135"/>
      <c r="P231" s="136"/>
      <c r="Q231" s="123" t="str">
        <f t="shared" si="88"/>
        <v/>
      </c>
      <c r="R231" s="45" t="str">
        <f t="shared" si="89"/>
        <v/>
      </c>
      <c r="S231" s="137"/>
      <c r="T231" s="79" t="str">
        <f t="shared" si="98"/>
        <v/>
      </c>
      <c r="U231" s="79" t="str">
        <f t="shared" si="90"/>
        <v/>
      </c>
      <c r="V231" s="73" t="str">
        <f t="shared" si="91"/>
        <v/>
      </c>
      <c r="W231" s="80" t="str">
        <f t="shared" si="92"/>
        <v/>
      </c>
      <c r="X231" s="73" t="str">
        <f t="shared" si="93"/>
        <v/>
      </c>
      <c r="Y231" s="80" t="str">
        <f t="shared" si="94"/>
        <v/>
      </c>
      <c r="Z231" s="74" t="str">
        <f t="shared" si="95"/>
        <v/>
      </c>
      <c r="AA231" s="75" t="str">
        <f t="shared" si="99"/>
        <v/>
      </c>
      <c r="AB231" s="103" t="str">
        <f t="shared" si="96"/>
        <v/>
      </c>
      <c r="AC231" s="104" t="str">
        <f t="shared" si="107"/>
        <v/>
      </c>
      <c r="AE231" s="139"/>
      <c r="AF231" s="110" t="str">
        <f t="shared" si="100"/>
        <v/>
      </c>
      <c r="AG231" s="111" t="str">
        <f t="shared" si="101"/>
        <v/>
      </c>
      <c r="AH231" s="111" t="str">
        <f t="shared" si="97"/>
        <v/>
      </c>
      <c r="AI231" s="111" t="str">
        <f t="shared" si="102"/>
        <v/>
      </c>
      <c r="AJ231" s="111" t="str">
        <f t="shared" si="103"/>
        <v/>
      </c>
      <c r="AK231" s="112" t="str">
        <f t="shared" si="104"/>
        <v/>
      </c>
      <c r="AL231" t="str">
        <f t="shared" si="105"/>
        <v/>
      </c>
      <c r="AM231" t="str">
        <f t="shared" si="106"/>
        <v/>
      </c>
    </row>
    <row r="232" spans="1:39" ht="15" customHeight="1" x14ac:dyDescent="0.25">
      <c r="A232" s="131"/>
      <c r="B232" s="133"/>
      <c r="C232" s="133"/>
      <c r="D232" s="42" t="str">
        <f t="shared" si="81"/>
        <v/>
      </c>
      <c r="E232" s="43"/>
      <c r="F232" s="135"/>
      <c r="G232" s="77" t="str">
        <f t="shared" si="82"/>
        <v/>
      </c>
      <c r="H232" s="32" t="str">
        <f t="shared" si="83"/>
        <v/>
      </c>
      <c r="I232" s="78" t="str">
        <f t="shared" si="84"/>
        <v/>
      </c>
      <c r="J232" s="70" t="str">
        <f t="shared" si="85"/>
        <v/>
      </c>
      <c r="K232" s="135"/>
      <c r="L232" s="72" t="str">
        <f t="shared" si="86"/>
        <v/>
      </c>
      <c r="M232" s="135"/>
      <c r="N232" s="72" t="str">
        <f t="shared" si="87"/>
        <v/>
      </c>
      <c r="O232" s="135"/>
      <c r="P232" s="136"/>
      <c r="Q232" s="123" t="str">
        <f t="shared" si="88"/>
        <v/>
      </c>
      <c r="R232" s="45" t="str">
        <f t="shared" si="89"/>
        <v/>
      </c>
      <c r="S232" s="137"/>
      <c r="T232" s="79" t="str">
        <f t="shared" si="98"/>
        <v/>
      </c>
      <c r="U232" s="79" t="str">
        <f t="shared" si="90"/>
        <v/>
      </c>
      <c r="V232" s="73" t="str">
        <f t="shared" si="91"/>
        <v/>
      </c>
      <c r="W232" s="80" t="str">
        <f t="shared" si="92"/>
        <v/>
      </c>
      <c r="X232" s="73" t="str">
        <f t="shared" si="93"/>
        <v/>
      </c>
      <c r="Y232" s="80" t="str">
        <f t="shared" si="94"/>
        <v/>
      </c>
      <c r="Z232" s="74" t="str">
        <f t="shared" si="95"/>
        <v/>
      </c>
      <c r="AA232" s="75" t="str">
        <f t="shared" si="99"/>
        <v/>
      </c>
      <c r="AB232" s="103" t="str">
        <f t="shared" si="96"/>
        <v/>
      </c>
      <c r="AC232" s="104" t="str">
        <f t="shared" si="107"/>
        <v/>
      </c>
      <c r="AE232" s="139"/>
      <c r="AF232" s="110" t="str">
        <f t="shared" si="100"/>
        <v/>
      </c>
      <c r="AG232" s="111" t="str">
        <f t="shared" si="101"/>
        <v/>
      </c>
      <c r="AH232" s="111" t="str">
        <f t="shared" si="97"/>
        <v/>
      </c>
      <c r="AI232" s="111" t="str">
        <f t="shared" si="102"/>
        <v/>
      </c>
      <c r="AJ232" s="111" t="str">
        <f t="shared" si="103"/>
        <v/>
      </c>
      <c r="AK232" s="112" t="str">
        <f t="shared" si="104"/>
        <v/>
      </c>
      <c r="AL232" t="str">
        <f t="shared" si="105"/>
        <v/>
      </c>
      <c r="AM232" t="str">
        <f t="shared" si="106"/>
        <v/>
      </c>
    </row>
    <row r="233" spans="1:39" ht="15" customHeight="1" x14ac:dyDescent="0.25">
      <c r="A233" s="131"/>
      <c r="B233" s="133"/>
      <c r="C233" s="133"/>
      <c r="D233" s="42" t="str">
        <f t="shared" si="81"/>
        <v/>
      </c>
      <c r="E233" s="43"/>
      <c r="F233" s="135"/>
      <c r="G233" s="77" t="str">
        <f t="shared" si="82"/>
        <v/>
      </c>
      <c r="H233" s="32" t="str">
        <f t="shared" si="83"/>
        <v/>
      </c>
      <c r="I233" s="78" t="str">
        <f t="shared" si="84"/>
        <v/>
      </c>
      <c r="J233" s="70" t="str">
        <f t="shared" si="85"/>
        <v/>
      </c>
      <c r="K233" s="135"/>
      <c r="L233" s="72" t="str">
        <f t="shared" si="86"/>
        <v/>
      </c>
      <c r="M233" s="135"/>
      <c r="N233" s="72" t="str">
        <f t="shared" si="87"/>
        <v/>
      </c>
      <c r="O233" s="135"/>
      <c r="P233" s="136"/>
      <c r="Q233" s="123" t="str">
        <f t="shared" si="88"/>
        <v/>
      </c>
      <c r="R233" s="45" t="str">
        <f t="shared" si="89"/>
        <v/>
      </c>
      <c r="S233" s="137"/>
      <c r="T233" s="79" t="str">
        <f t="shared" si="98"/>
        <v/>
      </c>
      <c r="U233" s="79" t="str">
        <f t="shared" si="90"/>
        <v/>
      </c>
      <c r="V233" s="73" t="str">
        <f t="shared" si="91"/>
        <v/>
      </c>
      <c r="W233" s="80" t="str">
        <f t="shared" si="92"/>
        <v/>
      </c>
      <c r="X233" s="73" t="str">
        <f t="shared" si="93"/>
        <v/>
      </c>
      <c r="Y233" s="80" t="str">
        <f t="shared" si="94"/>
        <v/>
      </c>
      <c r="Z233" s="74" t="str">
        <f t="shared" si="95"/>
        <v/>
      </c>
      <c r="AA233" s="75" t="str">
        <f t="shared" si="99"/>
        <v/>
      </c>
      <c r="AB233" s="103" t="str">
        <f t="shared" si="96"/>
        <v/>
      </c>
      <c r="AC233" s="104" t="str">
        <f t="shared" si="107"/>
        <v/>
      </c>
      <c r="AE233" s="139"/>
      <c r="AF233" s="110" t="str">
        <f t="shared" si="100"/>
        <v/>
      </c>
      <c r="AG233" s="111" t="str">
        <f t="shared" si="101"/>
        <v/>
      </c>
      <c r="AH233" s="111" t="str">
        <f t="shared" si="97"/>
        <v/>
      </c>
      <c r="AI233" s="111" t="str">
        <f t="shared" si="102"/>
        <v/>
      </c>
      <c r="AJ233" s="111" t="str">
        <f t="shared" si="103"/>
        <v/>
      </c>
      <c r="AK233" s="112" t="str">
        <f t="shared" si="104"/>
        <v/>
      </c>
      <c r="AL233" t="str">
        <f t="shared" si="105"/>
        <v/>
      </c>
      <c r="AM233" t="str">
        <f t="shared" si="106"/>
        <v/>
      </c>
    </row>
    <row r="234" spans="1:39" ht="15" customHeight="1" x14ac:dyDescent="0.25">
      <c r="A234" s="131"/>
      <c r="B234" s="133"/>
      <c r="C234" s="133"/>
      <c r="D234" s="42" t="str">
        <f t="shared" si="81"/>
        <v/>
      </c>
      <c r="E234" s="43"/>
      <c r="F234" s="135"/>
      <c r="G234" s="77" t="str">
        <f t="shared" si="82"/>
        <v/>
      </c>
      <c r="H234" s="32" t="str">
        <f t="shared" si="83"/>
        <v/>
      </c>
      <c r="I234" s="78" t="str">
        <f t="shared" si="84"/>
        <v/>
      </c>
      <c r="J234" s="70" t="str">
        <f t="shared" si="85"/>
        <v/>
      </c>
      <c r="K234" s="135"/>
      <c r="L234" s="72" t="str">
        <f t="shared" si="86"/>
        <v/>
      </c>
      <c r="M234" s="135"/>
      <c r="N234" s="72" t="str">
        <f t="shared" si="87"/>
        <v/>
      </c>
      <c r="O234" s="135"/>
      <c r="P234" s="136"/>
      <c r="Q234" s="123" t="str">
        <f t="shared" si="88"/>
        <v/>
      </c>
      <c r="R234" s="45" t="str">
        <f t="shared" si="89"/>
        <v/>
      </c>
      <c r="S234" s="137"/>
      <c r="T234" s="79" t="str">
        <f t="shared" si="98"/>
        <v/>
      </c>
      <c r="U234" s="79" t="str">
        <f t="shared" si="90"/>
        <v/>
      </c>
      <c r="V234" s="73" t="str">
        <f t="shared" si="91"/>
        <v/>
      </c>
      <c r="W234" s="80" t="str">
        <f t="shared" si="92"/>
        <v/>
      </c>
      <c r="X234" s="73" t="str">
        <f t="shared" si="93"/>
        <v/>
      </c>
      <c r="Y234" s="80" t="str">
        <f t="shared" si="94"/>
        <v/>
      </c>
      <c r="Z234" s="74" t="str">
        <f t="shared" si="95"/>
        <v/>
      </c>
      <c r="AA234" s="75" t="str">
        <f t="shared" si="99"/>
        <v/>
      </c>
      <c r="AB234" s="103" t="str">
        <f t="shared" si="96"/>
        <v/>
      </c>
      <c r="AC234" s="104" t="str">
        <f t="shared" si="107"/>
        <v/>
      </c>
      <c r="AE234" s="139"/>
      <c r="AF234" s="110" t="str">
        <f t="shared" si="100"/>
        <v/>
      </c>
      <c r="AG234" s="111" t="str">
        <f t="shared" si="101"/>
        <v/>
      </c>
      <c r="AH234" s="111" t="str">
        <f t="shared" si="97"/>
        <v/>
      </c>
      <c r="AI234" s="111" t="str">
        <f t="shared" si="102"/>
        <v/>
      </c>
      <c r="AJ234" s="111" t="str">
        <f t="shared" si="103"/>
        <v/>
      </c>
      <c r="AK234" s="112" t="str">
        <f t="shared" si="104"/>
        <v/>
      </c>
      <c r="AL234" t="str">
        <f t="shared" si="105"/>
        <v/>
      </c>
      <c r="AM234" t="str">
        <f t="shared" si="106"/>
        <v/>
      </c>
    </row>
    <row r="235" spans="1:39" ht="15" customHeight="1" x14ac:dyDescent="0.25">
      <c r="A235" s="131"/>
      <c r="B235" s="133"/>
      <c r="C235" s="133"/>
      <c r="D235" s="42" t="str">
        <f t="shared" si="81"/>
        <v/>
      </c>
      <c r="E235" s="43"/>
      <c r="F235" s="135"/>
      <c r="G235" s="77" t="str">
        <f t="shared" si="82"/>
        <v/>
      </c>
      <c r="H235" s="32" t="str">
        <f t="shared" si="83"/>
        <v/>
      </c>
      <c r="I235" s="78" t="str">
        <f t="shared" si="84"/>
        <v/>
      </c>
      <c r="J235" s="70" t="str">
        <f t="shared" si="85"/>
        <v/>
      </c>
      <c r="K235" s="135"/>
      <c r="L235" s="72" t="str">
        <f t="shared" si="86"/>
        <v/>
      </c>
      <c r="M235" s="135"/>
      <c r="N235" s="72" t="str">
        <f t="shared" si="87"/>
        <v/>
      </c>
      <c r="O235" s="135"/>
      <c r="P235" s="136"/>
      <c r="Q235" s="123" t="str">
        <f t="shared" si="88"/>
        <v/>
      </c>
      <c r="R235" s="45" t="str">
        <f t="shared" si="89"/>
        <v/>
      </c>
      <c r="S235" s="137"/>
      <c r="T235" s="79" t="str">
        <f t="shared" si="98"/>
        <v/>
      </c>
      <c r="U235" s="79" t="str">
        <f t="shared" si="90"/>
        <v/>
      </c>
      <c r="V235" s="73" t="str">
        <f t="shared" si="91"/>
        <v/>
      </c>
      <c r="W235" s="80" t="str">
        <f t="shared" si="92"/>
        <v/>
      </c>
      <c r="X235" s="73" t="str">
        <f t="shared" si="93"/>
        <v/>
      </c>
      <c r="Y235" s="80" t="str">
        <f t="shared" si="94"/>
        <v/>
      </c>
      <c r="Z235" s="74" t="str">
        <f t="shared" si="95"/>
        <v/>
      </c>
      <c r="AA235" s="75" t="str">
        <f t="shared" si="99"/>
        <v/>
      </c>
      <c r="AB235" s="103" t="str">
        <f t="shared" si="96"/>
        <v/>
      </c>
      <c r="AC235" s="104" t="str">
        <f t="shared" si="107"/>
        <v/>
      </c>
      <c r="AE235" s="139"/>
      <c r="AF235" s="110" t="str">
        <f t="shared" si="100"/>
        <v/>
      </c>
      <c r="AG235" s="111" t="str">
        <f t="shared" si="101"/>
        <v/>
      </c>
      <c r="AH235" s="111" t="str">
        <f t="shared" si="97"/>
        <v/>
      </c>
      <c r="AI235" s="111" t="str">
        <f t="shared" si="102"/>
        <v/>
      </c>
      <c r="AJ235" s="111" t="str">
        <f t="shared" si="103"/>
        <v/>
      </c>
      <c r="AK235" s="112" t="str">
        <f t="shared" si="104"/>
        <v/>
      </c>
      <c r="AL235" t="str">
        <f t="shared" si="105"/>
        <v/>
      </c>
      <c r="AM235" t="str">
        <f t="shared" si="106"/>
        <v/>
      </c>
    </row>
    <row r="236" spans="1:39" ht="15" customHeight="1" x14ac:dyDescent="0.25">
      <c r="A236" s="131"/>
      <c r="B236" s="133"/>
      <c r="C236" s="133"/>
      <c r="D236" s="42" t="str">
        <f t="shared" si="81"/>
        <v/>
      </c>
      <c r="E236" s="43"/>
      <c r="F236" s="135"/>
      <c r="G236" s="77" t="str">
        <f t="shared" si="82"/>
        <v/>
      </c>
      <c r="H236" s="32" t="str">
        <f t="shared" si="83"/>
        <v/>
      </c>
      <c r="I236" s="78" t="str">
        <f t="shared" si="84"/>
        <v/>
      </c>
      <c r="J236" s="70" t="str">
        <f t="shared" si="85"/>
        <v/>
      </c>
      <c r="K236" s="135"/>
      <c r="L236" s="72" t="str">
        <f t="shared" si="86"/>
        <v/>
      </c>
      <c r="M236" s="135"/>
      <c r="N236" s="72" t="str">
        <f t="shared" si="87"/>
        <v/>
      </c>
      <c r="O236" s="135"/>
      <c r="P236" s="136"/>
      <c r="Q236" s="123" t="str">
        <f t="shared" si="88"/>
        <v/>
      </c>
      <c r="R236" s="45" t="str">
        <f t="shared" si="89"/>
        <v/>
      </c>
      <c r="S236" s="137"/>
      <c r="T236" s="79" t="str">
        <f t="shared" si="98"/>
        <v/>
      </c>
      <c r="U236" s="79" t="str">
        <f t="shared" si="90"/>
        <v/>
      </c>
      <c r="V236" s="73" t="str">
        <f t="shared" si="91"/>
        <v/>
      </c>
      <c r="W236" s="80" t="str">
        <f t="shared" si="92"/>
        <v/>
      </c>
      <c r="X236" s="73" t="str">
        <f t="shared" si="93"/>
        <v/>
      </c>
      <c r="Y236" s="80" t="str">
        <f t="shared" si="94"/>
        <v/>
      </c>
      <c r="Z236" s="74" t="str">
        <f t="shared" si="95"/>
        <v/>
      </c>
      <c r="AA236" s="75" t="str">
        <f t="shared" si="99"/>
        <v/>
      </c>
      <c r="AB236" s="103" t="str">
        <f t="shared" si="96"/>
        <v/>
      </c>
      <c r="AC236" s="104" t="str">
        <f t="shared" si="107"/>
        <v/>
      </c>
      <c r="AE236" s="139"/>
      <c r="AF236" s="110" t="str">
        <f t="shared" si="100"/>
        <v/>
      </c>
      <c r="AG236" s="111" t="str">
        <f t="shared" si="101"/>
        <v/>
      </c>
      <c r="AH236" s="111" t="str">
        <f t="shared" si="97"/>
        <v/>
      </c>
      <c r="AI236" s="111" t="str">
        <f t="shared" si="102"/>
        <v/>
      </c>
      <c r="AJ236" s="111" t="str">
        <f t="shared" si="103"/>
        <v/>
      </c>
      <c r="AK236" s="112" t="str">
        <f t="shared" si="104"/>
        <v/>
      </c>
      <c r="AL236" t="str">
        <f t="shared" si="105"/>
        <v/>
      </c>
      <c r="AM236" t="str">
        <f t="shared" si="106"/>
        <v/>
      </c>
    </row>
    <row r="237" spans="1:39" ht="15" customHeight="1" x14ac:dyDescent="0.25">
      <c r="A237" s="131"/>
      <c r="B237" s="133"/>
      <c r="C237" s="133"/>
      <c r="D237" s="42" t="str">
        <f t="shared" si="81"/>
        <v/>
      </c>
      <c r="E237" s="43"/>
      <c r="F237" s="135"/>
      <c r="G237" s="77" t="str">
        <f t="shared" si="82"/>
        <v/>
      </c>
      <c r="H237" s="32" t="str">
        <f t="shared" si="83"/>
        <v/>
      </c>
      <c r="I237" s="78" t="str">
        <f t="shared" si="84"/>
        <v/>
      </c>
      <c r="J237" s="70" t="str">
        <f t="shared" si="85"/>
        <v/>
      </c>
      <c r="K237" s="135"/>
      <c r="L237" s="72" t="str">
        <f t="shared" si="86"/>
        <v/>
      </c>
      <c r="M237" s="135"/>
      <c r="N237" s="72" t="str">
        <f t="shared" si="87"/>
        <v/>
      </c>
      <c r="O237" s="135"/>
      <c r="P237" s="136"/>
      <c r="Q237" s="123" t="str">
        <f t="shared" si="88"/>
        <v/>
      </c>
      <c r="R237" s="45" t="str">
        <f t="shared" si="89"/>
        <v/>
      </c>
      <c r="S237" s="137"/>
      <c r="T237" s="79" t="str">
        <f t="shared" si="98"/>
        <v/>
      </c>
      <c r="U237" s="79" t="str">
        <f t="shared" si="90"/>
        <v/>
      </c>
      <c r="V237" s="73" t="str">
        <f t="shared" si="91"/>
        <v/>
      </c>
      <c r="W237" s="80" t="str">
        <f t="shared" si="92"/>
        <v/>
      </c>
      <c r="X237" s="73" t="str">
        <f t="shared" si="93"/>
        <v/>
      </c>
      <c r="Y237" s="80" t="str">
        <f t="shared" si="94"/>
        <v/>
      </c>
      <c r="Z237" s="74" t="str">
        <f t="shared" si="95"/>
        <v/>
      </c>
      <c r="AA237" s="75" t="str">
        <f t="shared" si="99"/>
        <v/>
      </c>
      <c r="AB237" s="103" t="str">
        <f t="shared" si="96"/>
        <v/>
      </c>
      <c r="AC237" s="104" t="str">
        <f t="shared" si="107"/>
        <v/>
      </c>
      <c r="AE237" s="139"/>
      <c r="AF237" s="110" t="str">
        <f t="shared" si="100"/>
        <v/>
      </c>
      <c r="AG237" s="111" t="str">
        <f t="shared" si="101"/>
        <v/>
      </c>
      <c r="AH237" s="111" t="str">
        <f t="shared" si="97"/>
        <v/>
      </c>
      <c r="AI237" s="111" t="str">
        <f t="shared" si="102"/>
        <v/>
      </c>
      <c r="AJ237" s="111" t="str">
        <f t="shared" si="103"/>
        <v/>
      </c>
      <c r="AK237" s="112" t="str">
        <f t="shared" si="104"/>
        <v/>
      </c>
      <c r="AL237" t="str">
        <f t="shared" si="105"/>
        <v/>
      </c>
      <c r="AM237" t="str">
        <f t="shared" si="106"/>
        <v/>
      </c>
    </row>
    <row r="238" spans="1:39" ht="15" customHeight="1" x14ac:dyDescent="0.25">
      <c r="A238" s="131"/>
      <c r="B238" s="133"/>
      <c r="C238" s="133"/>
      <c r="D238" s="42" t="str">
        <f t="shared" si="81"/>
        <v/>
      </c>
      <c r="E238" s="43"/>
      <c r="F238" s="135"/>
      <c r="G238" s="77" t="str">
        <f t="shared" si="82"/>
        <v/>
      </c>
      <c r="H238" s="32" t="str">
        <f t="shared" si="83"/>
        <v/>
      </c>
      <c r="I238" s="78" t="str">
        <f t="shared" si="84"/>
        <v/>
      </c>
      <c r="J238" s="70" t="str">
        <f t="shared" si="85"/>
        <v/>
      </c>
      <c r="K238" s="135"/>
      <c r="L238" s="72" t="str">
        <f t="shared" si="86"/>
        <v/>
      </c>
      <c r="M238" s="135"/>
      <c r="N238" s="72" t="str">
        <f t="shared" si="87"/>
        <v/>
      </c>
      <c r="O238" s="135"/>
      <c r="P238" s="136"/>
      <c r="Q238" s="123" t="str">
        <f t="shared" si="88"/>
        <v/>
      </c>
      <c r="R238" s="45" t="str">
        <f t="shared" si="89"/>
        <v/>
      </c>
      <c r="S238" s="137"/>
      <c r="T238" s="79" t="str">
        <f t="shared" si="98"/>
        <v/>
      </c>
      <c r="U238" s="79" t="str">
        <f t="shared" si="90"/>
        <v/>
      </c>
      <c r="V238" s="73" t="str">
        <f t="shared" si="91"/>
        <v/>
      </c>
      <c r="W238" s="80" t="str">
        <f t="shared" si="92"/>
        <v/>
      </c>
      <c r="X238" s="73" t="str">
        <f t="shared" si="93"/>
        <v/>
      </c>
      <c r="Y238" s="80" t="str">
        <f t="shared" si="94"/>
        <v/>
      </c>
      <c r="Z238" s="74" t="str">
        <f t="shared" si="95"/>
        <v/>
      </c>
      <c r="AA238" s="75" t="str">
        <f t="shared" si="99"/>
        <v/>
      </c>
      <c r="AB238" s="103" t="str">
        <f t="shared" si="96"/>
        <v/>
      </c>
      <c r="AC238" s="104" t="str">
        <f t="shared" si="107"/>
        <v/>
      </c>
      <c r="AE238" s="139"/>
      <c r="AF238" s="110" t="str">
        <f t="shared" si="100"/>
        <v/>
      </c>
      <c r="AG238" s="111" t="str">
        <f t="shared" si="101"/>
        <v/>
      </c>
      <c r="AH238" s="111" t="str">
        <f t="shared" si="97"/>
        <v/>
      </c>
      <c r="AI238" s="111" t="str">
        <f t="shared" si="102"/>
        <v/>
      </c>
      <c r="AJ238" s="111" t="str">
        <f t="shared" si="103"/>
        <v/>
      </c>
      <c r="AK238" s="112" t="str">
        <f t="shared" si="104"/>
        <v/>
      </c>
      <c r="AL238" t="str">
        <f t="shared" si="105"/>
        <v/>
      </c>
      <c r="AM238" t="str">
        <f t="shared" si="106"/>
        <v/>
      </c>
    </row>
    <row r="239" spans="1:39" ht="15" customHeight="1" x14ac:dyDescent="0.25">
      <c r="A239" s="131"/>
      <c r="B239" s="133"/>
      <c r="C239" s="133"/>
      <c r="D239" s="42" t="str">
        <f t="shared" si="81"/>
        <v/>
      </c>
      <c r="E239" s="43"/>
      <c r="F239" s="135"/>
      <c r="G239" s="77" t="str">
        <f t="shared" si="82"/>
        <v/>
      </c>
      <c r="H239" s="32" t="str">
        <f t="shared" si="83"/>
        <v/>
      </c>
      <c r="I239" s="78" t="str">
        <f t="shared" si="84"/>
        <v/>
      </c>
      <c r="J239" s="70" t="str">
        <f t="shared" si="85"/>
        <v/>
      </c>
      <c r="K239" s="135"/>
      <c r="L239" s="72" t="str">
        <f t="shared" si="86"/>
        <v/>
      </c>
      <c r="M239" s="135"/>
      <c r="N239" s="72" t="str">
        <f t="shared" si="87"/>
        <v/>
      </c>
      <c r="O239" s="135"/>
      <c r="P239" s="136"/>
      <c r="Q239" s="123" t="str">
        <f t="shared" si="88"/>
        <v/>
      </c>
      <c r="R239" s="45" t="str">
        <f t="shared" si="89"/>
        <v/>
      </c>
      <c r="S239" s="137"/>
      <c r="T239" s="79" t="str">
        <f t="shared" si="98"/>
        <v/>
      </c>
      <c r="U239" s="79" t="str">
        <f t="shared" si="90"/>
        <v/>
      </c>
      <c r="V239" s="73" t="str">
        <f t="shared" si="91"/>
        <v/>
      </c>
      <c r="W239" s="80" t="str">
        <f t="shared" si="92"/>
        <v/>
      </c>
      <c r="X239" s="73" t="str">
        <f t="shared" si="93"/>
        <v/>
      </c>
      <c r="Y239" s="80" t="str">
        <f t="shared" si="94"/>
        <v/>
      </c>
      <c r="Z239" s="74" t="str">
        <f t="shared" si="95"/>
        <v/>
      </c>
      <c r="AA239" s="75" t="str">
        <f t="shared" si="99"/>
        <v/>
      </c>
      <c r="AB239" s="103" t="str">
        <f t="shared" si="96"/>
        <v/>
      </c>
      <c r="AC239" s="104" t="str">
        <f t="shared" si="107"/>
        <v/>
      </c>
      <c r="AE239" s="139"/>
      <c r="AF239" s="110" t="str">
        <f t="shared" si="100"/>
        <v/>
      </c>
      <c r="AG239" s="111" t="str">
        <f t="shared" si="101"/>
        <v/>
      </c>
      <c r="AH239" s="111" t="str">
        <f t="shared" si="97"/>
        <v/>
      </c>
      <c r="AI239" s="111" t="str">
        <f t="shared" si="102"/>
        <v/>
      </c>
      <c r="AJ239" s="111" t="str">
        <f t="shared" si="103"/>
        <v/>
      </c>
      <c r="AK239" s="112" t="str">
        <f t="shared" si="104"/>
        <v/>
      </c>
      <c r="AL239" t="str">
        <f t="shared" si="105"/>
        <v/>
      </c>
      <c r="AM239" t="str">
        <f t="shared" si="106"/>
        <v/>
      </c>
    </row>
    <row r="240" spans="1:39" ht="15" customHeight="1" x14ac:dyDescent="0.25">
      <c r="A240" s="131"/>
      <c r="B240" s="133"/>
      <c r="C240" s="133"/>
      <c r="D240" s="42" t="str">
        <f t="shared" si="81"/>
        <v/>
      </c>
      <c r="E240" s="43"/>
      <c r="F240" s="135"/>
      <c r="G240" s="77" t="str">
        <f t="shared" si="82"/>
        <v/>
      </c>
      <c r="H240" s="32" t="str">
        <f t="shared" si="83"/>
        <v/>
      </c>
      <c r="I240" s="78" t="str">
        <f t="shared" si="84"/>
        <v/>
      </c>
      <c r="J240" s="70" t="str">
        <f t="shared" si="85"/>
        <v/>
      </c>
      <c r="K240" s="135"/>
      <c r="L240" s="72" t="str">
        <f t="shared" si="86"/>
        <v/>
      </c>
      <c r="M240" s="135"/>
      <c r="N240" s="72" t="str">
        <f t="shared" si="87"/>
        <v/>
      </c>
      <c r="O240" s="135"/>
      <c r="P240" s="136"/>
      <c r="Q240" s="123" t="str">
        <f t="shared" si="88"/>
        <v/>
      </c>
      <c r="R240" s="45" t="str">
        <f t="shared" si="89"/>
        <v/>
      </c>
      <c r="S240" s="137"/>
      <c r="T240" s="79" t="str">
        <f t="shared" si="98"/>
        <v/>
      </c>
      <c r="U240" s="79" t="str">
        <f t="shared" si="90"/>
        <v/>
      </c>
      <c r="V240" s="73" t="str">
        <f t="shared" si="91"/>
        <v/>
      </c>
      <c r="W240" s="80" t="str">
        <f t="shared" si="92"/>
        <v/>
      </c>
      <c r="X240" s="73" t="str">
        <f t="shared" si="93"/>
        <v/>
      </c>
      <c r="Y240" s="80" t="str">
        <f t="shared" si="94"/>
        <v/>
      </c>
      <c r="Z240" s="74" t="str">
        <f t="shared" si="95"/>
        <v/>
      </c>
      <c r="AA240" s="75" t="str">
        <f t="shared" si="99"/>
        <v/>
      </c>
      <c r="AB240" s="103" t="str">
        <f t="shared" si="96"/>
        <v/>
      </c>
      <c r="AC240" s="104" t="str">
        <f t="shared" si="107"/>
        <v/>
      </c>
      <c r="AE240" s="139"/>
      <c r="AF240" s="110" t="str">
        <f t="shared" si="100"/>
        <v/>
      </c>
      <c r="AG240" s="111" t="str">
        <f t="shared" si="101"/>
        <v/>
      </c>
      <c r="AH240" s="111" t="str">
        <f t="shared" si="97"/>
        <v/>
      </c>
      <c r="AI240" s="111" t="str">
        <f t="shared" si="102"/>
        <v/>
      </c>
      <c r="AJ240" s="111" t="str">
        <f t="shared" si="103"/>
        <v/>
      </c>
      <c r="AK240" s="112" t="str">
        <f t="shared" si="104"/>
        <v/>
      </c>
      <c r="AL240" t="str">
        <f t="shared" si="105"/>
        <v/>
      </c>
      <c r="AM240" t="str">
        <f t="shared" si="106"/>
        <v/>
      </c>
    </row>
    <row r="241" spans="1:39" ht="15" customHeight="1" x14ac:dyDescent="0.25">
      <c r="A241" s="131"/>
      <c r="B241" s="133"/>
      <c r="C241" s="133"/>
      <c r="D241" s="42" t="str">
        <f t="shared" si="81"/>
        <v/>
      </c>
      <c r="E241" s="43"/>
      <c r="F241" s="135"/>
      <c r="G241" s="77" t="str">
        <f t="shared" si="82"/>
        <v/>
      </c>
      <c r="H241" s="32" t="str">
        <f t="shared" si="83"/>
        <v/>
      </c>
      <c r="I241" s="78" t="str">
        <f t="shared" si="84"/>
        <v/>
      </c>
      <c r="J241" s="70" t="str">
        <f t="shared" si="85"/>
        <v/>
      </c>
      <c r="K241" s="135"/>
      <c r="L241" s="72" t="str">
        <f t="shared" si="86"/>
        <v/>
      </c>
      <c r="M241" s="135"/>
      <c r="N241" s="72" t="str">
        <f t="shared" si="87"/>
        <v/>
      </c>
      <c r="O241" s="135"/>
      <c r="P241" s="136"/>
      <c r="Q241" s="123" t="str">
        <f t="shared" si="88"/>
        <v/>
      </c>
      <c r="R241" s="45" t="str">
        <f t="shared" si="89"/>
        <v/>
      </c>
      <c r="S241" s="137"/>
      <c r="T241" s="79" t="str">
        <f t="shared" si="98"/>
        <v/>
      </c>
      <c r="U241" s="79" t="str">
        <f t="shared" si="90"/>
        <v/>
      </c>
      <c r="V241" s="73" t="str">
        <f t="shared" si="91"/>
        <v/>
      </c>
      <c r="W241" s="80" t="str">
        <f t="shared" si="92"/>
        <v/>
      </c>
      <c r="X241" s="73" t="str">
        <f t="shared" si="93"/>
        <v/>
      </c>
      <c r="Y241" s="80" t="str">
        <f t="shared" si="94"/>
        <v/>
      </c>
      <c r="Z241" s="74" t="str">
        <f t="shared" si="95"/>
        <v/>
      </c>
      <c r="AA241" s="75" t="str">
        <f t="shared" si="99"/>
        <v/>
      </c>
      <c r="AB241" s="103" t="str">
        <f t="shared" si="96"/>
        <v/>
      </c>
      <c r="AC241" s="104" t="str">
        <f t="shared" si="107"/>
        <v/>
      </c>
      <c r="AE241" s="139"/>
      <c r="AF241" s="110" t="str">
        <f t="shared" si="100"/>
        <v/>
      </c>
      <c r="AG241" s="111" t="str">
        <f t="shared" si="101"/>
        <v/>
      </c>
      <c r="AH241" s="111" t="str">
        <f t="shared" si="97"/>
        <v/>
      </c>
      <c r="AI241" s="111" t="str">
        <f t="shared" si="102"/>
        <v/>
      </c>
      <c r="AJ241" s="111" t="str">
        <f t="shared" si="103"/>
        <v/>
      </c>
      <c r="AK241" s="112" t="str">
        <f t="shared" si="104"/>
        <v/>
      </c>
      <c r="AL241" t="str">
        <f t="shared" si="105"/>
        <v/>
      </c>
      <c r="AM241" t="str">
        <f t="shared" si="106"/>
        <v/>
      </c>
    </row>
    <row r="242" spans="1:39" ht="15" customHeight="1" x14ac:dyDescent="0.25">
      <c r="A242" s="131"/>
      <c r="B242" s="133"/>
      <c r="C242" s="133"/>
      <c r="D242" s="42" t="str">
        <f t="shared" si="81"/>
        <v/>
      </c>
      <c r="E242" s="43"/>
      <c r="F242" s="135"/>
      <c r="G242" s="77" t="str">
        <f t="shared" si="82"/>
        <v/>
      </c>
      <c r="H242" s="32" t="str">
        <f t="shared" si="83"/>
        <v/>
      </c>
      <c r="I242" s="78" t="str">
        <f t="shared" si="84"/>
        <v/>
      </c>
      <c r="J242" s="70" t="str">
        <f t="shared" si="85"/>
        <v/>
      </c>
      <c r="K242" s="135"/>
      <c r="L242" s="72" t="str">
        <f t="shared" si="86"/>
        <v/>
      </c>
      <c r="M242" s="135"/>
      <c r="N242" s="72" t="str">
        <f t="shared" si="87"/>
        <v/>
      </c>
      <c r="O242" s="135"/>
      <c r="P242" s="136"/>
      <c r="Q242" s="123" t="str">
        <f t="shared" si="88"/>
        <v/>
      </c>
      <c r="R242" s="45" t="str">
        <f t="shared" si="89"/>
        <v/>
      </c>
      <c r="S242" s="137"/>
      <c r="T242" s="79" t="str">
        <f t="shared" si="98"/>
        <v/>
      </c>
      <c r="U242" s="79" t="str">
        <f t="shared" si="90"/>
        <v/>
      </c>
      <c r="V242" s="73" t="str">
        <f t="shared" si="91"/>
        <v/>
      </c>
      <c r="W242" s="80" t="str">
        <f t="shared" si="92"/>
        <v/>
      </c>
      <c r="X242" s="73" t="str">
        <f t="shared" si="93"/>
        <v/>
      </c>
      <c r="Y242" s="80" t="str">
        <f t="shared" si="94"/>
        <v/>
      </c>
      <c r="Z242" s="74" t="str">
        <f t="shared" si="95"/>
        <v/>
      </c>
      <c r="AA242" s="75" t="str">
        <f t="shared" si="99"/>
        <v/>
      </c>
      <c r="AB242" s="103" t="str">
        <f t="shared" si="96"/>
        <v/>
      </c>
      <c r="AC242" s="104" t="str">
        <f t="shared" si="107"/>
        <v/>
      </c>
      <c r="AE242" s="139"/>
      <c r="AF242" s="110" t="str">
        <f t="shared" si="100"/>
        <v/>
      </c>
      <c r="AG242" s="111" t="str">
        <f t="shared" si="101"/>
        <v/>
      </c>
      <c r="AH242" s="111" t="str">
        <f t="shared" si="97"/>
        <v/>
      </c>
      <c r="AI242" s="111" t="str">
        <f t="shared" si="102"/>
        <v/>
      </c>
      <c r="AJ242" s="111" t="str">
        <f t="shared" si="103"/>
        <v/>
      </c>
      <c r="AK242" s="112" t="str">
        <f t="shared" si="104"/>
        <v/>
      </c>
      <c r="AL242" t="str">
        <f t="shared" si="105"/>
        <v/>
      </c>
      <c r="AM242" t="str">
        <f t="shared" si="106"/>
        <v/>
      </c>
    </row>
    <row r="243" spans="1:39" ht="15" customHeight="1" x14ac:dyDescent="0.25">
      <c r="A243" s="131"/>
      <c r="B243" s="133"/>
      <c r="C243" s="133"/>
      <c r="D243" s="42" t="str">
        <f t="shared" si="81"/>
        <v/>
      </c>
      <c r="E243" s="43"/>
      <c r="F243" s="135"/>
      <c r="G243" s="77" t="str">
        <f t="shared" si="82"/>
        <v/>
      </c>
      <c r="H243" s="32" t="str">
        <f t="shared" si="83"/>
        <v/>
      </c>
      <c r="I243" s="78" t="str">
        <f t="shared" si="84"/>
        <v/>
      </c>
      <c r="J243" s="70" t="str">
        <f t="shared" si="85"/>
        <v/>
      </c>
      <c r="K243" s="135"/>
      <c r="L243" s="72" t="str">
        <f t="shared" si="86"/>
        <v/>
      </c>
      <c r="M243" s="135"/>
      <c r="N243" s="72" t="str">
        <f t="shared" si="87"/>
        <v/>
      </c>
      <c r="O243" s="135"/>
      <c r="P243" s="136"/>
      <c r="Q243" s="123" t="str">
        <f t="shared" si="88"/>
        <v/>
      </c>
      <c r="R243" s="45" t="str">
        <f t="shared" si="89"/>
        <v/>
      </c>
      <c r="S243" s="137"/>
      <c r="T243" s="79" t="str">
        <f t="shared" si="98"/>
        <v/>
      </c>
      <c r="U243" s="79" t="str">
        <f t="shared" si="90"/>
        <v/>
      </c>
      <c r="V243" s="73" t="str">
        <f t="shared" si="91"/>
        <v/>
      </c>
      <c r="W243" s="80" t="str">
        <f t="shared" si="92"/>
        <v/>
      </c>
      <c r="X243" s="73" t="str">
        <f t="shared" si="93"/>
        <v/>
      </c>
      <c r="Y243" s="80" t="str">
        <f t="shared" si="94"/>
        <v/>
      </c>
      <c r="Z243" s="74" t="str">
        <f t="shared" si="95"/>
        <v/>
      </c>
      <c r="AA243" s="75" t="str">
        <f t="shared" si="99"/>
        <v/>
      </c>
      <c r="AB243" s="103" t="str">
        <f t="shared" si="96"/>
        <v/>
      </c>
      <c r="AC243" s="104" t="str">
        <f t="shared" si="107"/>
        <v/>
      </c>
      <c r="AE243" s="139"/>
      <c r="AF243" s="110" t="str">
        <f t="shared" si="100"/>
        <v/>
      </c>
      <c r="AG243" s="111" t="str">
        <f t="shared" si="101"/>
        <v/>
      </c>
      <c r="AH243" s="111" t="str">
        <f t="shared" si="97"/>
        <v/>
      </c>
      <c r="AI243" s="111" t="str">
        <f t="shared" si="102"/>
        <v/>
      </c>
      <c r="AJ243" s="111" t="str">
        <f t="shared" si="103"/>
        <v/>
      </c>
      <c r="AK243" s="112" t="str">
        <f t="shared" si="104"/>
        <v/>
      </c>
      <c r="AL243" t="str">
        <f t="shared" si="105"/>
        <v/>
      </c>
      <c r="AM243" t="str">
        <f t="shared" si="106"/>
        <v/>
      </c>
    </row>
    <row r="244" spans="1:39" ht="15" customHeight="1" x14ac:dyDescent="0.25">
      <c r="A244" s="131"/>
      <c r="B244" s="133"/>
      <c r="C244" s="133"/>
      <c r="D244" s="42" t="str">
        <f t="shared" si="81"/>
        <v/>
      </c>
      <c r="E244" s="43"/>
      <c r="F244" s="135"/>
      <c r="G244" s="77" t="str">
        <f t="shared" si="82"/>
        <v/>
      </c>
      <c r="H244" s="32" t="str">
        <f t="shared" si="83"/>
        <v/>
      </c>
      <c r="I244" s="78" t="str">
        <f t="shared" si="84"/>
        <v/>
      </c>
      <c r="J244" s="70" t="str">
        <f t="shared" si="85"/>
        <v/>
      </c>
      <c r="K244" s="135"/>
      <c r="L244" s="72" t="str">
        <f t="shared" si="86"/>
        <v/>
      </c>
      <c r="M244" s="135"/>
      <c r="N244" s="72" t="str">
        <f t="shared" si="87"/>
        <v/>
      </c>
      <c r="O244" s="135"/>
      <c r="P244" s="136"/>
      <c r="Q244" s="123" t="str">
        <f t="shared" si="88"/>
        <v/>
      </c>
      <c r="R244" s="45" t="str">
        <f t="shared" si="89"/>
        <v/>
      </c>
      <c r="S244" s="137"/>
      <c r="T244" s="79" t="str">
        <f t="shared" si="98"/>
        <v/>
      </c>
      <c r="U244" s="79" t="str">
        <f t="shared" si="90"/>
        <v/>
      </c>
      <c r="V244" s="73" t="str">
        <f t="shared" si="91"/>
        <v/>
      </c>
      <c r="W244" s="80" t="str">
        <f t="shared" si="92"/>
        <v/>
      </c>
      <c r="X244" s="73" t="str">
        <f t="shared" si="93"/>
        <v/>
      </c>
      <c r="Y244" s="80" t="str">
        <f t="shared" si="94"/>
        <v/>
      </c>
      <c r="Z244" s="74" t="str">
        <f t="shared" si="95"/>
        <v/>
      </c>
      <c r="AA244" s="75" t="str">
        <f t="shared" si="99"/>
        <v/>
      </c>
      <c r="AB244" s="103" t="str">
        <f t="shared" si="96"/>
        <v/>
      </c>
      <c r="AC244" s="104" t="str">
        <f t="shared" si="107"/>
        <v/>
      </c>
      <c r="AE244" s="139"/>
      <c r="AF244" s="110" t="str">
        <f t="shared" si="100"/>
        <v/>
      </c>
      <c r="AG244" s="111" t="str">
        <f t="shared" si="101"/>
        <v/>
      </c>
      <c r="AH244" s="111" t="str">
        <f t="shared" si="97"/>
        <v/>
      </c>
      <c r="AI244" s="111" t="str">
        <f t="shared" si="102"/>
        <v/>
      </c>
      <c r="AJ244" s="111" t="str">
        <f t="shared" si="103"/>
        <v/>
      </c>
      <c r="AK244" s="112" t="str">
        <f t="shared" si="104"/>
        <v/>
      </c>
      <c r="AL244" t="str">
        <f t="shared" si="105"/>
        <v/>
      </c>
      <c r="AM244" t="str">
        <f t="shared" si="106"/>
        <v/>
      </c>
    </row>
    <row r="245" spans="1:39" ht="15" customHeight="1" x14ac:dyDescent="0.25">
      <c r="A245" s="131"/>
      <c r="B245" s="133"/>
      <c r="C245" s="133"/>
      <c r="D245" s="42" t="str">
        <f t="shared" si="81"/>
        <v/>
      </c>
      <c r="E245" s="43"/>
      <c r="F245" s="135"/>
      <c r="G245" s="77" t="str">
        <f t="shared" si="82"/>
        <v/>
      </c>
      <c r="H245" s="32" t="str">
        <f t="shared" si="83"/>
        <v/>
      </c>
      <c r="I245" s="78" t="str">
        <f t="shared" si="84"/>
        <v/>
      </c>
      <c r="J245" s="70" t="str">
        <f t="shared" si="85"/>
        <v/>
      </c>
      <c r="K245" s="135"/>
      <c r="L245" s="72" t="str">
        <f t="shared" si="86"/>
        <v/>
      </c>
      <c r="M245" s="135"/>
      <c r="N245" s="72" t="str">
        <f t="shared" si="87"/>
        <v/>
      </c>
      <c r="O245" s="135"/>
      <c r="P245" s="136"/>
      <c r="Q245" s="123" t="str">
        <f t="shared" si="88"/>
        <v/>
      </c>
      <c r="R245" s="45" t="str">
        <f t="shared" si="89"/>
        <v/>
      </c>
      <c r="S245" s="137"/>
      <c r="T245" s="79" t="str">
        <f t="shared" si="98"/>
        <v/>
      </c>
      <c r="U245" s="79" t="str">
        <f t="shared" si="90"/>
        <v/>
      </c>
      <c r="V245" s="73" t="str">
        <f t="shared" si="91"/>
        <v/>
      </c>
      <c r="W245" s="80" t="str">
        <f t="shared" si="92"/>
        <v/>
      </c>
      <c r="X245" s="73" t="str">
        <f t="shared" si="93"/>
        <v/>
      </c>
      <c r="Y245" s="80" t="str">
        <f t="shared" si="94"/>
        <v/>
      </c>
      <c r="Z245" s="74" t="str">
        <f t="shared" si="95"/>
        <v/>
      </c>
      <c r="AA245" s="75" t="str">
        <f t="shared" si="99"/>
        <v/>
      </c>
      <c r="AB245" s="103" t="str">
        <f t="shared" si="96"/>
        <v/>
      </c>
      <c r="AC245" s="104" t="str">
        <f t="shared" si="107"/>
        <v/>
      </c>
      <c r="AE245" s="139"/>
      <c r="AF245" s="110" t="str">
        <f t="shared" si="100"/>
        <v/>
      </c>
      <c r="AG245" s="111" t="str">
        <f t="shared" si="101"/>
        <v/>
      </c>
      <c r="AH245" s="111" t="str">
        <f t="shared" si="97"/>
        <v/>
      </c>
      <c r="AI245" s="111" t="str">
        <f t="shared" si="102"/>
        <v/>
      </c>
      <c r="AJ245" s="111" t="str">
        <f t="shared" si="103"/>
        <v/>
      </c>
      <c r="AK245" s="112" t="str">
        <f t="shared" si="104"/>
        <v/>
      </c>
      <c r="AL245" t="str">
        <f t="shared" si="105"/>
        <v/>
      </c>
      <c r="AM245" t="str">
        <f t="shared" si="106"/>
        <v/>
      </c>
    </row>
    <row r="246" spans="1:39" ht="15" customHeight="1" x14ac:dyDescent="0.25">
      <c r="A246" s="131"/>
      <c r="B246" s="133"/>
      <c r="C246" s="133"/>
      <c r="D246" s="42" t="str">
        <f t="shared" si="81"/>
        <v/>
      </c>
      <c r="E246" s="43"/>
      <c r="F246" s="135"/>
      <c r="G246" s="77" t="str">
        <f t="shared" si="82"/>
        <v/>
      </c>
      <c r="H246" s="32" t="str">
        <f t="shared" si="83"/>
        <v/>
      </c>
      <c r="I246" s="78" t="str">
        <f t="shared" si="84"/>
        <v/>
      </c>
      <c r="J246" s="70" t="str">
        <f t="shared" si="85"/>
        <v/>
      </c>
      <c r="K246" s="135"/>
      <c r="L246" s="72" t="str">
        <f t="shared" si="86"/>
        <v/>
      </c>
      <c r="M246" s="135"/>
      <c r="N246" s="72" t="str">
        <f t="shared" si="87"/>
        <v/>
      </c>
      <c r="O246" s="135"/>
      <c r="P246" s="136"/>
      <c r="Q246" s="123" t="str">
        <f t="shared" si="88"/>
        <v/>
      </c>
      <c r="R246" s="45" t="str">
        <f t="shared" si="89"/>
        <v/>
      </c>
      <c r="S246" s="137"/>
      <c r="T246" s="79" t="str">
        <f t="shared" si="98"/>
        <v/>
      </c>
      <c r="U246" s="79" t="str">
        <f t="shared" si="90"/>
        <v/>
      </c>
      <c r="V246" s="73" t="str">
        <f t="shared" si="91"/>
        <v/>
      </c>
      <c r="W246" s="80" t="str">
        <f t="shared" si="92"/>
        <v/>
      </c>
      <c r="X246" s="73" t="str">
        <f t="shared" si="93"/>
        <v/>
      </c>
      <c r="Y246" s="80" t="str">
        <f t="shared" si="94"/>
        <v/>
      </c>
      <c r="Z246" s="74" t="str">
        <f t="shared" si="95"/>
        <v/>
      </c>
      <c r="AA246" s="75" t="str">
        <f t="shared" si="99"/>
        <v/>
      </c>
      <c r="AB246" s="103" t="str">
        <f t="shared" si="96"/>
        <v/>
      </c>
      <c r="AC246" s="104" t="str">
        <f t="shared" si="107"/>
        <v/>
      </c>
      <c r="AE246" s="139"/>
      <c r="AF246" s="110" t="str">
        <f t="shared" si="100"/>
        <v/>
      </c>
      <c r="AG246" s="111" t="str">
        <f t="shared" si="101"/>
        <v/>
      </c>
      <c r="AH246" s="111" t="str">
        <f t="shared" si="97"/>
        <v/>
      </c>
      <c r="AI246" s="111" t="str">
        <f t="shared" si="102"/>
        <v/>
      </c>
      <c r="AJ246" s="111" t="str">
        <f t="shared" si="103"/>
        <v/>
      </c>
      <c r="AK246" s="112" t="str">
        <f t="shared" si="104"/>
        <v/>
      </c>
      <c r="AL246" t="str">
        <f t="shared" si="105"/>
        <v/>
      </c>
      <c r="AM246" t="str">
        <f t="shared" si="106"/>
        <v/>
      </c>
    </row>
    <row r="247" spans="1:39" ht="15" customHeight="1" x14ac:dyDescent="0.25">
      <c r="A247" s="131"/>
      <c r="B247" s="133"/>
      <c r="C247" s="133"/>
      <c r="D247" s="42" t="str">
        <f t="shared" si="81"/>
        <v/>
      </c>
      <c r="E247" s="43"/>
      <c r="F247" s="135"/>
      <c r="G247" s="77" t="str">
        <f t="shared" si="82"/>
        <v/>
      </c>
      <c r="H247" s="32" t="str">
        <f t="shared" si="83"/>
        <v/>
      </c>
      <c r="I247" s="78" t="str">
        <f t="shared" si="84"/>
        <v/>
      </c>
      <c r="J247" s="70" t="str">
        <f t="shared" si="85"/>
        <v/>
      </c>
      <c r="K247" s="135"/>
      <c r="L247" s="72" t="str">
        <f t="shared" si="86"/>
        <v/>
      </c>
      <c r="M247" s="135"/>
      <c r="N247" s="72" t="str">
        <f t="shared" si="87"/>
        <v/>
      </c>
      <c r="O247" s="135"/>
      <c r="P247" s="136"/>
      <c r="Q247" s="123" t="str">
        <f t="shared" si="88"/>
        <v/>
      </c>
      <c r="R247" s="45" t="str">
        <f t="shared" si="89"/>
        <v/>
      </c>
      <c r="S247" s="137"/>
      <c r="T247" s="79" t="str">
        <f t="shared" si="98"/>
        <v/>
      </c>
      <c r="U247" s="79" t="str">
        <f t="shared" si="90"/>
        <v/>
      </c>
      <c r="V247" s="73" t="str">
        <f t="shared" si="91"/>
        <v/>
      </c>
      <c r="W247" s="80" t="str">
        <f t="shared" si="92"/>
        <v/>
      </c>
      <c r="X247" s="73" t="str">
        <f t="shared" si="93"/>
        <v/>
      </c>
      <c r="Y247" s="80" t="str">
        <f t="shared" si="94"/>
        <v/>
      </c>
      <c r="Z247" s="74" t="str">
        <f t="shared" si="95"/>
        <v/>
      </c>
      <c r="AA247" s="75" t="str">
        <f t="shared" si="99"/>
        <v/>
      </c>
      <c r="AB247" s="103" t="str">
        <f t="shared" si="96"/>
        <v/>
      </c>
      <c r="AC247" s="104" t="str">
        <f t="shared" si="107"/>
        <v/>
      </c>
      <c r="AE247" s="139"/>
      <c r="AF247" s="110" t="str">
        <f t="shared" si="100"/>
        <v/>
      </c>
      <c r="AG247" s="111" t="str">
        <f t="shared" si="101"/>
        <v/>
      </c>
      <c r="AH247" s="111" t="str">
        <f t="shared" si="97"/>
        <v/>
      </c>
      <c r="AI247" s="111" t="str">
        <f t="shared" si="102"/>
        <v/>
      </c>
      <c r="AJ247" s="111" t="str">
        <f t="shared" si="103"/>
        <v/>
      </c>
      <c r="AK247" s="112" t="str">
        <f t="shared" si="104"/>
        <v/>
      </c>
      <c r="AL247" t="str">
        <f t="shared" si="105"/>
        <v/>
      </c>
      <c r="AM247" t="str">
        <f t="shared" si="106"/>
        <v/>
      </c>
    </row>
    <row r="248" spans="1:39" ht="15" customHeight="1" x14ac:dyDescent="0.25">
      <c r="A248" s="131"/>
      <c r="B248" s="133"/>
      <c r="C248" s="133"/>
      <c r="D248" s="42" t="str">
        <f t="shared" si="81"/>
        <v/>
      </c>
      <c r="E248" s="43"/>
      <c r="F248" s="135"/>
      <c r="G248" s="77" t="str">
        <f t="shared" si="82"/>
        <v/>
      </c>
      <c r="H248" s="32" t="str">
        <f t="shared" si="83"/>
        <v/>
      </c>
      <c r="I248" s="78" t="str">
        <f t="shared" si="84"/>
        <v/>
      </c>
      <c r="J248" s="70" t="str">
        <f t="shared" si="85"/>
        <v/>
      </c>
      <c r="K248" s="135"/>
      <c r="L248" s="72" t="str">
        <f t="shared" si="86"/>
        <v/>
      </c>
      <c r="M248" s="135"/>
      <c r="N248" s="72" t="str">
        <f t="shared" si="87"/>
        <v/>
      </c>
      <c r="O248" s="135"/>
      <c r="P248" s="136"/>
      <c r="Q248" s="123" t="str">
        <f t="shared" si="88"/>
        <v/>
      </c>
      <c r="R248" s="45" t="str">
        <f t="shared" si="89"/>
        <v/>
      </c>
      <c r="S248" s="137"/>
      <c r="T248" s="79" t="str">
        <f t="shared" si="98"/>
        <v/>
      </c>
      <c r="U248" s="79" t="str">
        <f t="shared" si="90"/>
        <v/>
      </c>
      <c r="V248" s="73" t="str">
        <f t="shared" si="91"/>
        <v/>
      </c>
      <c r="W248" s="80" t="str">
        <f t="shared" si="92"/>
        <v/>
      </c>
      <c r="X248" s="73" t="str">
        <f t="shared" si="93"/>
        <v/>
      </c>
      <c r="Y248" s="80" t="str">
        <f t="shared" si="94"/>
        <v/>
      </c>
      <c r="Z248" s="74" t="str">
        <f t="shared" si="95"/>
        <v/>
      </c>
      <c r="AA248" s="75" t="str">
        <f t="shared" si="99"/>
        <v/>
      </c>
      <c r="AB248" s="103" t="str">
        <f t="shared" si="96"/>
        <v/>
      </c>
      <c r="AC248" s="104" t="str">
        <f t="shared" si="107"/>
        <v/>
      </c>
      <c r="AE248" s="139"/>
      <c r="AF248" s="110" t="str">
        <f t="shared" si="100"/>
        <v/>
      </c>
      <c r="AG248" s="111" t="str">
        <f t="shared" si="101"/>
        <v/>
      </c>
      <c r="AH248" s="111" t="str">
        <f t="shared" si="97"/>
        <v/>
      </c>
      <c r="AI248" s="111" t="str">
        <f t="shared" si="102"/>
        <v/>
      </c>
      <c r="AJ248" s="111" t="str">
        <f t="shared" si="103"/>
        <v/>
      </c>
      <c r="AK248" s="112" t="str">
        <f t="shared" si="104"/>
        <v/>
      </c>
      <c r="AL248" t="str">
        <f t="shared" si="105"/>
        <v/>
      </c>
      <c r="AM248" t="str">
        <f t="shared" si="106"/>
        <v/>
      </c>
    </row>
    <row r="249" spans="1:39" ht="15" customHeight="1" x14ac:dyDescent="0.25">
      <c r="A249" s="131"/>
      <c r="B249" s="133"/>
      <c r="C249" s="133"/>
      <c r="D249" s="42" t="str">
        <f t="shared" si="81"/>
        <v/>
      </c>
      <c r="E249" s="43"/>
      <c r="F249" s="135"/>
      <c r="G249" s="77" t="str">
        <f t="shared" si="82"/>
        <v/>
      </c>
      <c r="H249" s="32" t="str">
        <f t="shared" si="83"/>
        <v/>
      </c>
      <c r="I249" s="78" t="str">
        <f t="shared" si="84"/>
        <v/>
      </c>
      <c r="J249" s="70" t="str">
        <f t="shared" si="85"/>
        <v/>
      </c>
      <c r="K249" s="135"/>
      <c r="L249" s="72" t="str">
        <f t="shared" si="86"/>
        <v/>
      </c>
      <c r="M249" s="135"/>
      <c r="N249" s="72" t="str">
        <f t="shared" si="87"/>
        <v/>
      </c>
      <c r="O249" s="135"/>
      <c r="P249" s="136"/>
      <c r="Q249" s="123" t="str">
        <f t="shared" si="88"/>
        <v/>
      </c>
      <c r="R249" s="45" t="str">
        <f t="shared" si="89"/>
        <v/>
      </c>
      <c r="S249" s="137"/>
      <c r="T249" s="79" t="str">
        <f t="shared" si="98"/>
        <v/>
      </c>
      <c r="U249" s="79" t="str">
        <f t="shared" si="90"/>
        <v/>
      </c>
      <c r="V249" s="73" t="str">
        <f t="shared" si="91"/>
        <v/>
      </c>
      <c r="W249" s="80" t="str">
        <f t="shared" si="92"/>
        <v/>
      </c>
      <c r="X249" s="73" t="str">
        <f t="shared" si="93"/>
        <v/>
      </c>
      <c r="Y249" s="80" t="str">
        <f t="shared" si="94"/>
        <v/>
      </c>
      <c r="Z249" s="74" t="str">
        <f t="shared" si="95"/>
        <v/>
      </c>
      <c r="AA249" s="75" t="str">
        <f t="shared" si="99"/>
        <v/>
      </c>
      <c r="AB249" s="103" t="str">
        <f t="shared" si="96"/>
        <v/>
      </c>
      <c r="AC249" s="104" t="str">
        <f t="shared" si="107"/>
        <v/>
      </c>
      <c r="AE249" s="139"/>
      <c r="AF249" s="110" t="str">
        <f t="shared" si="100"/>
        <v/>
      </c>
      <c r="AG249" s="111" t="str">
        <f t="shared" si="101"/>
        <v/>
      </c>
      <c r="AH249" s="111" t="str">
        <f t="shared" si="97"/>
        <v/>
      </c>
      <c r="AI249" s="111" t="str">
        <f t="shared" si="102"/>
        <v/>
      </c>
      <c r="AJ249" s="111" t="str">
        <f t="shared" si="103"/>
        <v/>
      </c>
      <c r="AK249" s="112" t="str">
        <f t="shared" si="104"/>
        <v/>
      </c>
      <c r="AL249" t="str">
        <f t="shared" si="105"/>
        <v/>
      </c>
      <c r="AM249" t="str">
        <f t="shared" si="106"/>
        <v/>
      </c>
    </row>
    <row r="250" spans="1:39" ht="15" customHeight="1" x14ac:dyDescent="0.25">
      <c r="A250" s="131"/>
      <c r="B250" s="133"/>
      <c r="C250" s="133"/>
      <c r="D250" s="42" t="str">
        <f t="shared" si="81"/>
        <v/>
      </c>
      <c r="E250" s="43"/>
      <c r="F250" s="135"/>
      <c r="G250" s="77" t="str">
        <f t="shared" si="82"/>
        <v/>
      </c>
      <c r="H250" s="32" t="str">
        <f t="shared" si="83"/>
        <v/>
      </c>
      <c r="I250" s="78" t="str">
        <f t="shared" si="84"/>
        <v/>
      </c>
      <c r="J250" s="70" t="str">
        <f t="shared" si="85"/>
        <v/>
      </c>
      <c r="K250" s="135"/>
      <c r="L250" s="72" t="str">
        <f t="shared" si="86"/>
        <v/>
      </c>
      <c r="M250" s="135"/>
      <c r="N250" s="72" t="str">
        <f t="shared" si="87"/>
        <v/>
      </c>
      <c r="O250" s="135"/>
      <c r="P250" s="136"/>
      <c r="Q250" s="123" t="str">
        <f t="shared" si="88"/>
        <v/>
      </c>
      <c r="R250" s="45" t="str">
        <f t="shared" si="89"/>
        <v/>
      </c>
      <c r="S250" s="137"/>
      <c r="T250" s="79" t="str">
        <f t="shared" si="98"/>
        <v/>
      </c>
      <c r="U250" s="79" t="str">
        <f t="shared" si="90"/>
        <v/>
      </c>
      <c r="V250" s="73" t="str">
        <f t="shared" si="91"/>
        <v/>
      </c>
      <c r="W250" s="80" t="str">
        <f t="shared" si="92"/>
        <v/>
      </c>
      <c r="X250" s="73" t="str">
        <f t="shared" si="93"/>
        <v/>
      </c>
      <c r="Y250" s="80" t="str">
        <f t="shared" si="94"/>
        <v/>
      </c>
      <c r="Z250" s="74" t="str">
        <f t="shared" si="95"/>
        <v/>
      </c>
      <c r="AA250" s="75" t="str">
        <f t="shared" si="99"/>
        <v/>
      </c>
      <c r="AB250" s="103" t="str">
        <f t="shared" si="96"/>
        <v/>
      </c>
      <c r="AC250" s="104" t="str">
        <f t="shared" si="107"/>
        <v/>
      </c>
      <c r="AE250" s="139"/>
      <c r="AF250" s="110" t="str">
        <f t="shared" si="100"/>
        <v/>
      </c>
      <c r="AG250" s="111" t="str">
        <f t="shared" si="101"/>
        <v/>
      </c>
      <c r="AH250" s="111" t="str">
        <f t="shared" si="97"/>
        <v/>
      </c>
      <c r="AI250" s="111" t="str">
        <f t="shared" si="102"/>
        <v/>
      </c>
      <c r="AJ250" s="111" t="str">
        <f t="shared" si="103"/>
        <v/>
      </c>
      <c r="AK250" s="112" t="str">
        <f t="shared" si="104"/>
        <v/>
      </c>
      <c r="AL250" t="str">
        <f t="shared" si="105"/>
        <v/>
      </c>
      <c r="AM250" t="str">
        <f t="shared" si="106"/>
        <v/>
      </c>
    </row>
    <row r="251" spans="1:39" ht="15" customHeight="1" x14ac:dyDescent="0.25">
      <c r="A251" s="131"/>
      <c r="B251" s="133"/>
      <c r="C251" s="133"/>
      <c r="D251" s="42" t="str">
        <f t="shared" si="81"/>
        <v/>
      </c>
      <c r="E251" s="43"/>
      <c r="F251" s="135"/>
      <c r="G251" s="77" t="str">
        <f t="shared" si="82"/>
        <v/>
      </c>
      <c r="H251" s="32" t="str">
        <f t="shared" si="83"/>
        <v/>
      </c>
      <c r="I251" s="78" t="str">
        <f t="shared" si="84"/>
        <v/>
      </c>
      <c r="J251" s="70" t="str">
        <f t="shared" si="85"/>
        <v/>
      </c>
      <c r="K251" s="135"/>
      <c r="L251" s="72" t="str">
        <f t="shared" si="86"/>
        <v/>
      </c>
      <c r="M251" s="135"/>
      <c r="N251" s="72" t="str">
        <f t="shared" si="87"/>
        <v/>
      </c>
      <c r="O251" s="135"/>
      <c r="P251" s="136"/>
      <c r="Q251" s="123" t="str">
        <f t="shared" si="88"/>
        <v/>
      </c>
      <c r="R251" s="45" t="str">
        <f t="shared" si="89"/>
        <v/>
      </c>
      <c r="S251" s="137"/>
      <c r="T251" s="79" t="str">
        <f t="shared" si="98"/>
        <v/>
      </c>
      <c r="U251" s="79" t="str">
        <f t="shared" si="90"/>
        <v/>
      </c>
      <c r="V251" s="73" t="str">
        <f t="shared" si="91"/>
        <v/>
      </c>
      <c r="W251" s="80" t="str">
        <f t="shared" si="92"/>
        <v/>
      </c>
      <c r="X251" s="73" t="str">
        <f t="shared" si="93"/>
        <v/>
      </c>
      <c r="Y251" s="80" t="str">
        <f t="shared" si="94"/>
        <v/>
      </c>
      <c r="Z251" s="74" t="str">
        <f t="shared" si="95"/>
        <v/>
      </c>
      <c r="AA251" s="75" t="str">
        <f t="shared" si="99"/>
        <v/>
      </c>
      <c r="AB251" s="103" t="str">
        <f t="shared" si="96"/>
        <v/>
      </c>
      <c r="AC251" s="104" t="str">
        <f t="shared" si="107"/>
        <v/>
      </c>
      <c r="AE251" s="139"/>
      <c r="AF251" s="110" t="str">
        <f t="shared" si="100"/>
        <v/>
      </c>
      <c r="AG251" s="111" t="str">
        <f t="shared" si="101"/>
        <v/>
      </c>
      <c r="AH251" s="111" t="str">
        <f t="shared" si="97"/>
        <v/>
      </c>
      <c r="AI251" s="111" t="str">
        <f t="shared" si="102"/>
        <v/>
      </c>
      <c r="AJ251" s="111" t="str">
        <f t="shared" si="103"/>
        <v/>
      </c>
      <c r="AK251" s="112" t="str">
        <f t="shared" si="104"/>
        <v/>
      </c>
      <c r="AL251" t="str">
        <f t="shared" si="105"/>
        <v/>
      </c>
      <c r="AM251" t="str">
        <f t="shared" si="106"/>
        <v/>
      </c>
    </row>
    <row r="252" spans="1:39" ht="15" customHeight="1" x14ac:dyDescent="0.25">
      <c r="A252" s="131"/>
      <c r="B252" s="133"/>
      <c r="C252" s="133"/>
      <c r="D252" s="42" t="str">
        <f t="shared" si="81"/>
        <v/>
      </c>
      <c r="E252" s="43"/>
      <c r="F252" s="135"/>
      <c r="G252" s="77" t="str">
        <f t="shared" si="82"/>
        <v/>
      </c>
      <c r="H252" s="32" t="str">
        <f t="shared" si="83"/>
        <v/>
      </c>
      <c r="I252" s="78" t="str">
        <f t="shared" si="84"/>
        <v/>
      </c>
      <c r="J252" s="70" t="str">
        <f t="shared" si="85"/>
        <v/>
      </c>
      <c r="K252" s="135"/>
      <c r="L252" s="72" t="str">
        <f t="shared" si="86"/>
        <v/>
      </c>
      <c r="M252" s="135"/>
      <c r="N252" s="72" t="str">
        <f t="shared" si="87"/>
        <v/>
      </c>
      <c r="O252" s="135"/>
      <c r="P252" s="136"/>
      <c r="Q252" s="123" t="str">
        <f t="shared" si="88"/>
        <v/>
      </c>
      <c r="R252" s="45" t="str">
        <f t="shared" si="89"/>
        <v/>
      </c>
      <c r="S252" s="137"/>
      <c r="T252" s="79" t="str">
        <f t="shared" si="98"/>
        <v/>
      </c>
      <c r="U252" s="79" t="str">
        <f t="shared" si="90"/>
        <v/>
      </c>
      <c r="V252" s="73" t="str">
        <f t="shared" si="91"/>
        <v/>
      </c>
      <c r="W252" s="80" t="str">
        <f t="shared" si="92"/>
        <v/>
      </c>
      <c r="X252" s="73" t="str">
        <f t="shared" si="93"/>
        <v/>
      </c>
      <c r="Y252" s="80" t="str">
        <f t="shared" si="94"/>
        <v/>
      </c>
      <c r="Z252" s="74" t="str">
        <f t="shared" si="95"/>
        <v/>
      </c>
      <c r="AA252" s="75" t="str">
        <f t="shared" si="99"/>
        <v/>
      </c>
      <c r="AB252" s="103" t="str">
        <f t="shared" si="96"/>
        <v/>
      </c>
      <c r="AC252" s="104" t="str">
        <f t="shared" si="107"/>
        <v/>
      </c>
      <c r="AE252" s="139"/>
      <c r="AF252" s="110" t="str">
        <f t="shared" si="100"/>
        <v/>
      </c>
      <c r="AG252" s="111" t="str">
        <f t="shared" si="101"/>
        <v/>
      </c>
      <c r="AH252" s="111" t="str">
        <f t="shared" si="97"/>
        <v/>
      </c>
      <c r="AI252" s="111" t="str">
        <f t="shared" si="102"/>
        <v/>
      </c>
      <c r="AJ252" s="111" t="str">
        <f t="shared" si="103"/>
        <v/>
      </c>
      <c r="AK252" s="112" t="str">
        <f t="shared" si="104"/>
        <v/>
      </c>
      <c r="AL252" t="str">
        <f t="shared" si="105"/>
        <v/>
      </c>
      <c r="AM252" t="str">
        <f t="shared" si="106"/>
        <v/>
      </c>
    </row>
    <row r="253" spans="1:39" ht="15" customHeight="1" x14ac:dyDescent="0.25">
      <c r="A253" s="131"/>
      <c r="B253" s="133"/>
      <c r="C253" s="133"/>
      <c r="D253" s="42" t="str">
        <f t="shared" si="81"/>
        <v/>
      </c>
      <c r="E253" s="43"/>
      <c r="F253" s="135"/>
      <c r="G253" s="77" t="str">
        <f t="shared" si="82"/>
        <v/>
      </c>
      <c r="H253" s="32" t="str">
        <f t="shared" si="83"/>
        <v/>
      </c>
      <c r="I253" s="78" t="str">
        <f t="shared" si="84"/>
        <v/>
      </c>
      <c r="J253" s="70" t="str">
        <f t="shared" si="85"/>
        <v/>
      </c>
      <c r="K253" s="135"/>
      <c r="L253" s="72" t="str">
        <f t="shared" si="86"/>
        <v/>
      </c>
      <c r="M253" s="135"/>
      <c r="N253" s="72" t="str">
        <f t="shared" si="87"/>
        <v/>
      </c>
      <c r="O253" s="135"/>
      <c r="P253" s="136"/>
      <c r="Q253" s="123" t="str">
        <f t="shared" si="88"/>
        <v/>
      </c>
      <c r="R253" s="45" t="str">
        <f t="shared" si="89"/>
        <v/>
      </c>
      <c r="S253" s="137"/>
      <c r="T253" s="79" t="str">
        <f t="shared" si="98"/>
        <v/>
      </c>
      <c r="U253" s="79" t="str">
        <f t="shared" si="90"/>
        <v/>
      </c>
      <c r="V253" s="73" t="str">
        <f t="shared" si="91"/>
        <v/>
      </c>
      <c r="W253" s="80" t="str">
        <f t="shared" si="92"/>
        <v/>
      </c>
      <c r="X253" s="73" t="str">
        <f t="shared" si="93"/>
        <v/>
      </c>
      <c r="Y253" s="80" t="str">
        <f t="shared" si="94"/>
        <v/>
      </c>
      <c r="Z253" s="74" t="str">
        <f t="shared" si="95"/>
        <v/>
      </c>
      <c r="AA253" s="75" t="str">
        <f t="shared" si="99"/>
        <v/>
      </c>
      <c r="AB253" s="103" t="str">
        <f t="shared" si="96"/>
        <v/>
      </c>
      <c r="AC253" s="104" t="str">
        <f t="shared" si="107"/>
        <v/>
      </c>
      <c r="AE253" s="139"/>
      <c r="AF253" s="110" t="str">
        <f t="shared" si="100"/>
        <v/>
      </c>
      <c r="AG253" s="111" t="str">
        <f t="shared" si="101"/>
        <v/>
      </c>
      <c r="AH253" s="111" t="str">
        <f t="shared" si="97"/>
        <v/>
      </c>
      <c r="AI253" s="111" t="str">
        <f t="shared" si="102"/>
        <v/>
      </c>
      <c r="AJ253" s="111" t="str">
        <f t="shared" si="103"/>
        <v/>
      </c>
      <c r="AK253" s="112" t="str">
        <f t="shared" si="104"/>
        <v/>
      </c>
      <c r="AL253" t="str">
        <f t="shared" si="105"/>
        <v/>
      </c>
      <c r="AM253" t="str">
        <f t="shared" si="106"/>
        <v/>
      </c>
    </row>
    <row r="254" spans="1:39" ht="15" customHeight="1" x14ac:dyDescent="0.25">
      <c r="A254" s="131"/>
      <c r="B254" s="133"/>
      <c r="C254" s="133"/>
      <c r="D254" s="42" t="str">
        <f t="shared" si="81"/>
        <v/>
      </c>
      <c r="E254" s="43"/>
      <c r="F254" s="135"/>
      <c r="G254" s="77" t="str">
        <f t="shared" si="82"/>
        <v/>
      </c>
      <c r="H254" s="32" t="str">
        <f t="shared" si="83"/>
        <v/>
      </c>
      <c r="I254" s="78" t="str">
        <f t="shared" si="84"/>
        <v/>
      </c>
      <c r="J254" s="70" t="str">
        <f t="shared" si="85"/>
        <v/>
      </c>
      <c r="K254" s="135"/>
      <c r="L254" s="72" t="str">
        <f t="shared" si="86"/>
        <v/>
      </c>
      <c r="M254" s="135"/>
      <c r="N254" s="72" t="str">
        <f t="shared" si="87"/>
        <v/>
      </c>
      <c r="O254" s="135"/>
      <c r="P254" s="136"/>
      <c r="Q254" s="123" t="str">
        <f t="shared" si="88"/>
        <v/>
      </c>
      <c r="R254" s="45" t="str">
        <f t="shared" si="89"/>
        <v/>
      </c>
      <c r="S254" s="137"/>
      <c r="T254" s="79" t="str">
        <f t="shared" si="98"/>
        <v/>
      </c>
      <c r="U254" s="79" t="str">
        <f t="shared" si="90"/>
        <v/>
      </c>
      <c r="V254" s="73" t="str">
        <f t="shared" si="91"/>
        <v/>
      </c>
      <c r="W254" s="80" t="str">
        <f t="shared" si="92"/>
        <v/>
      </c>
      <c r="X254" s="73" t="str">
        <f t="shared" si="93"/>
        <v/>
      </c>
      <c r="Y254" s="80" t="str">
        <f t="shared" si="94"/>
        <v/>
      </c>
      <c r="Z254" s="74" t="str">
        <f t="shared" si="95"/>
        <v/>
      </c>
      <c r="AA254" s="75" t="str">
        <f t="shared" si="99"/>
        <v/>
      </c>
      <c r="AB254" s="103" t="str">
        <f t="shared" si="96"/>
        <v/>
      </c>
      <c r="AC254" s="104" t="str">
        <f t="shared" si="107"/>
        <v/>
      </c>
      <c r="AE254" s="139"/>
      <c r="AF254" s="110" t="str">
        <f t="shared" si="100"/>
        <v/>
      </c>
      <c r="AG254" s="111" t="str">
        <f t="shared" si="101"/>
        <v/>
      </c>
      <c r="AH254" s="111" t="str">
        <f t="shared" si="97"/>
        <v/>
      </c>
      <c r="AI254" s="111" t="str">
        <f t="shared" si="102"/>
        <v/>
      </c>
      <c r="AJ254" s="111" t="str">
        <f t="shared" si="103"/>
        <v/>
      </c>
      <c r="AK254" s="112" t="str">
        <f t="shared" si="104"/>
        <v/>
      </c>
      <c r="AL254" t="str">
        <f t="shared" si="105"/>
        <v/>
      </c>
      <c r="AM254" t="str">
        <f t="shared" si="106"/>
        <v/>
      </c>
    </row>
    <row r="255" spans="1:39" ht="15" customHeight="1" x14ac:dyDescent="0.25">
      <c r="A255" s="131"/>
      <c r="B255" s="133"/>
      <c r="C255" s="133"/>
      <c r="D255" s="42" t="str">
        <f t="shared" si="81"/>
        <v/>
      </c>
      <c r="E255" s="43"/>
      <c r="F255" s="135"/>
      <c r="G255" s="77" t="str">
        <f t="shared" si="82"/>
        <v/>
      </c>
      <c r="H255" s="32" t="str">
        <f t="shared" si="83"/>
        <v/>
      </c>
      <c r="I255" s="78" t="str">
        <f t="shared" si="84"/>
        <v/>
      </c>
      <c r="J255" s="70" t="str">
        <f t="shared" si="85"/>
        <v/>
      </c>
      <c r="K255" s="135"/>
      <c r="L255" s="72" t="str">
        <f t="shared" si="86"/>
        <v/>
      </c>
      <c r="M255" s="135"/>
      <c r="N255" s="72" t="str">
        <f t="shared" si="87"/>
        <v/>
      </c>
      <c r="O255" s="135"/>
      <c r="P255" s="136"/>
      <c r="Q255" s="123" t="str">
        <f t="shared" si="88"/>
        <v/>
      </c>
      <c r="R255" s="45" t="str">
        <f t="shared" si="89"/>
        <v/>
      </c>
      <c r="S255" s="137"/>
      <c r="T255" s="79" t="str">
        <f t="shared" si="98"/>
        <v/>
      </c>
      <c r="U255" s="79" t="str">
        <f t="shared" si="90"/>
        <v/>
      </c>
      <c r="V255" s="73" t="str">
        <f t="shared" si="91"/>
        <v/>
      </c>
      <c r="W255" s="80" t="str">
        <f t="shared" si="92"/>
        <v/>
      </c>
      <c r="X255" s="73" t="str">
        <f t="shared" si="93"/>
        <v/>
      </c>
      <c r="Y255" s="80" t="str">
        <f t="shared" si="94"/>
        <v/>
      </c>
      <c r="Z255" s="74" t="str">
        <f t="shared" si="95"/>
        <v/>
      </c>
      <c r="AA255" s="75" t="str">
        <f t="shared" si="99"/>
        <v/>
      </c>
      <c r="AB255" s="103" t="str">
        <f t="shared" si="96"/>
        <v/>
      </c>
      <c r="AC255" s="104" t="str">
        <f t="shared" si="107"/>
        <v/>
      </c>
      <c r="AE255" s="139"/>
      <c r="AF255" s="110" t="str">
        <f t="shared" si="100"/>
        <v/>
      </c>
      <c r="AG255" s="111" t="str">
        <f t="shared" si="101"/>
        <v/>
      </c>
      <c r="AH255" s="111" t="str">
        <f t="shared" si="97"/>
        <v/>
      </c>
      <c r="AI255" s="111" t="str">
        <f t="shared" si="102"/>
        <v/>
      </c>
      <c r="AJ255" s="111" t="str">
        <f t="shared" si="103"/>
        <v/>
      </c>
      <c r="AK255" s="112" t="str">
        <f t="shared" si="104"/>
        <v/>
      </c>
      <c r="AL255" t="str">
        <f t="shared" si="105"/>
        <v/>
      </c>
      <c r="AM255" t="str">
        <f t="shared" si="106"/>
        <v/>
      </c>
    </row>
    <row r="256" spans="1:39" ht="15" customHeight="1" x14ac:dyDescent="0.25">
      <c r="A256" s="131"/>
      <c r="B256" s="133"/>
      <c r="C256" s="133"/>
      <c r="D256" s="42" t="str">
        <f t="shared" si="81"/>
        <v/>
      </c>
      <c r="E256" s="43"/>
      <c r="F256" s="135"/>
      <c r="G256" s="77" t="str">
        <f t="shared" si="82"/>
        <v/>
      </c>
      <c r="H256" s="32" t="str">
        <f t="shared" si="83"/>
        <v/>
      </c>
      <c r="I256" s="78" t="str">
        <f t="shared" si="84"/>
        <v/>
      </c>
      <c r="J256" s="70" t="str">
        <f t="shared" si="85"/>
        <v/>
      </c>
      <c r="K256" s="135"/>
      <c r="L256" s="72" t="str">
        <f t="shared" si="86"/>
        <v/>
      </c>
      <c r="M256" s="135"/>
      <c r="N256" s="72" t="str">
        <f t="shared" si="87"/>
        <v/>
      </c>
      <c r="O256" s="135"/>
      <c r="P256" s="136"/>
      <c r="Q256" s="123" t="str">
        <f t="shared" si="88"/>
        <v/>
      </c>
      <c r="R256" s="45" t="str">
        <f t="shared" si="89"/>
        <v/>
      </c>
      <c r="S256" s="137"/>
      <c r="T256" s="79" t="str">
        <f t="shared" si="98"/>
        <v/>
      </c>
      <c r="U256" s="79" t="str">
        <f t="shared" si="90"/>
        <v/>
      </c>
      <c r="V256" s="73" t="str">
        <f t="shared" si="91"/>
        <v/>
      </c>
      <c r="W256" s="80" t="str">
        <f t="shared" si="92"/>
        <v/>
      </c>
      <c r="X256" s="73" t="str">
        <f t="shared" si="93"/>
        <v/>
      </c>
      <c r="Y256" s="80" t="str">
        <f t="shared" si="94"/>
        <v/>
      </c>
      <c r="Z256" s="74" t="str">
        <f t="shared" si="95"/>
        <v/>
      </c>
      <c r="AA256" s="75" t="str">
        <f t="shared" si="99"/>
        <v/>
      </c>
      <c r="AB256" s="103" t="str">
        <f t="shared" si="96"/>
        <v/>
      </c>
      <c r="AC256" s="104" t="str">
        <f t="shared" si="107"/>
        <v/>
      </c>
      <c r="AE256" s="139"/>
      <c r="AF256" s="110" t="str">
        <f t="shared" si="100"/>
        <v/>
      </c>
      <c r="AG256" s="111" t="str">
        <f t="shared" si="101"/>
        <v/>
      </c>
      <c r="AH256" s="111" t="str">
        <f t="shared" si="97"/>
        <v/>
      </c>
      <c r="AI256" s="111" t="str">
        <f t="shared" si="102"/>
        <v/>
      </c>
      <c r="AJ256" s="111" t="str">
        <f t="shared" si="103"/>
        <v/>
      </c>
      <c r="AK256" s="112" t="str">
        <f t="shared" si="104"/>
        <v/>
      </c>
      <c r="AL256" t="str">
        <f t="shared" si="105"/>
        <v/>
      </c>
      <c r="AM256" t="str">
        <f t="shared" si="106"/>
        <v/>
      </c>
    </row>
    <row r="257" spans="1:39" ht="15" customHeight="1" x14ac:dyDescent="0.25">
      <c r="A257" s="131"/>
      <c r="B257" s="133"/>
      <c r="C257" s="133"/>
      <c r="D257" s="42" t="str">
        <f t="shared" si="81"/>
        <v/>
      </c>
      <c r="E257" s="43"/>
      <c r="F257" s="135"/>
      <c r="G257" s="77" t="str">
        <f t="shared" si="82"/>
        <v/>
      </c>
      <c r="H257" s="32" t="str">
        <f t="shared" si="83"/>
        <v/>
      </c>
      <c r="I257" s="78" t="str">
        <f t="shared" si="84"/>
        <v/>
      </c>
      <c r="J257" s="70" t="str">
        <f t="shared" si="85"/>
        <v/>
      </c>
      <c r="K257" s="135"/>
      <c r="L257" s="72" t="str">
        <f t="shared" si="86"/>
        <v/>
      </c>
      <c r="M257" s="135"/>
      <c r="N257" s="72" t="str">
        <f t="shared" si="87"/>
        <v/>
      </c>
      <c r="O257" s="135"/>
      <c r="P257" s="136"/>
      <c r="Q257" s="123" t="str">
        <f t="shared" si="88"/>
        <v/>
      </c>
      <c r="R257" s="45" t="str">
        <f t="shared" si="89"/>
        <v/>
      </c>
      <c r="S257" s="137"/>
      <c r="T257" s="79" t="str">
        <f t="shared" si="98"/>
        <v/>
      </c>
      <c r="U257" s="79" t="str">
        <f t="shared" si="90"/>
        <v/>
      </c>
      <c r="V257" s="73" t="str">
        <f t="shared" si="91"/>
        <v/>
      </c>
      <c r="W257" s="80" t="str">
        <f t="shared" si="92"/>
        <v/>
      </c>
      <c r="X257" s="73" t="str">
        <f t="shared" si="93"/>
        <v/>
      </c>
      <c r="Y257" s="80" t="str">
        <f t="shared" si="94"/>
        <v/>
      </c>
      <c r="Z257" s="74" t="str">
        <f t="shared" si="95"/>
        <v/>
      </c>
      <c r="AA257" s="75" t="str">
        <f t="shared" si="99"/>
        <v/>
      </c>
      <c r="AB257" s="103" t="str">
        <f t="shared" si="96"/>
        <v/>
      </c>
      <c r="AC257" s="104" t="str">
        <f t="shared" si="107"/>
        <v/>
      </c>
      <c r="AE257" s="139"/>
      <c r="AF257" s="110" t="str">
        <f t="shared" si="100"/>
        <v/>
      </c>
      <c r="AG257" s="111" t="str">
        <f t="shared" si="101"/>
        <v/>
      </c>
      <c r="AH257" s="111" t="str">
        <f t="shared" si="97"/>
        <v/>
      </c>
      <c r="AI257" s="111" t="str">
        <f t="shared" si="102"/>
        <v/>
      </c>
      <c r="AJ257" s="111" t="str">
        <f t="shared" si="103"/>
        <v/>
      </c>
      <c r="AK257" s="112" t="str">
        <f t="shared" si="104"/>
        <v/>
      </c>
      <c r="AL257" t="str">
        <f t="shared" si="105"/>
        <v/>
      </c>
      <c r="AM257" t="str">
        <f t="shared" si="106"/>
        <v/>
      </c>
    </row>
    <row r="258" spans="1:39" ht="15" customHeight="1" x14ac:dyDescent="0.25">
      <c r="A258" s="131"/>
      <c r="B258" s="133"/>
      <c r="C258" s="133"/>
      <c r="D258" s="42" t="str">
        <f t="shared" si="81"/>
        <v/>
      </c>
      <c r="E258" s="43"/>
      <c r="F258" s="135"/>
      <c r="G258" s="77" t="str">
        <f t="shared" si="82"/>
        <v/>
      </c>
      <c r="H258" s="32" t="str">
        <f t="shared" si="83"/>
        <v/>
      </c>
      <c r="I258" s="78" t="str">
        <f t="shared" si="84"/>
        <v/>
      </c>
      <c r="J258" s="70" t="str">
        <f t="shared" si="85"/>
        <v/>
      </c>
      <c r="K258" s="135"/>
      <c r="L258" s="72" t="str">
        <f t="shared" si="86"/>
        <v/>
      </c>
      <c r="M258" s="135"/>
      <c r="N258" s="72" t="str">
        <f t="shared" si="87"/>
        <v/>
      </c>
      <c r="O258" s="135"/>
      <c r="P258" s="136"/>
      <c r="Q258" s="123" t="str">
        <f t="shared" si="88"/>
        <v/>
      </c>
      <c r="R258" s="45" t="str">
        <f t="shared" si="89"/>
        <v/>
      </c>
      <c r="S258" s="137"/>
      <c r="T258" s="79" t="str">
        <f t="shared" si="98"/>
        <v/>
      </c>
      <c r="U258" s="79" t="str">
        <f t="shared" si="90"/>
        <v/>
      </c>
      <c r="V258" s="73" t="str">
        <f t="shared" si="91"/>
        <v/>
      </c>
      <c r="W258" s="80" t="str">
        <f t="shared" si="92"/>
        <v/>
      </c>
      <c r="X258" s="73" t="str">
        <f t="shared" si="93"/>
        <v/>
      </c>
      <c r="Y258" s="80" t="str">
        <f t="shared" si="94"/>
        <v/>
      </c>
      <c r="Z258" s="74" t="str">
        <f t="shared" si="95"/>
        <v/>
      </c>
      <c r="AA258" s="75" t="str">
        <f t="shared" si="99"/>
        <v/>
      </c>
      <c r="AB258" s="103" t="str">
        <f t="shared" si="96"/>
        <v/>
      </c>
      <c r="AC258" s="104" t="str">
        <f t="shared" si="107"/>
        <v/>
      </c>
      <c r="AE258" s="139"/>
      <c r="AF258" s="110" t="str">
        <f t="shared" si="100"/>
        <v/>
      </c>
      <c r="AG258" s="111" t="str">
        <f t="shared" si="101"/>
        <v/>
      </c>
      <c r="AH258" s="111" t="str">
        <f t="shared" si="97"/>
        <v/>
      </c>
      <c r="AI258" s="111" t="str">
        <f t="shared" si="102"/>
        <v/>
      </c>
      <c r="AJ258" s="111" t="str">
        <f t="shared" si="103"/>
        <v/>
      </c>
      <c r="AK258" s="112" t="str">
        <f t="shared" si="104"/>
        <v/>
      </c>
      <c r="AL258" t="str">
        <f t="shared" si="105"/>
        <v/>
      </c>
      <c r="AM258" t="str">
        <f t="shared" si="106"/>
        <v/>
      </c>
    </row>
    <row r="259" spans="1:39" ht="15" customHeight="1" x14ac:dyDescent="0.25">
      <c r="A259" s="131"/>
      <c r="B259" s="133"/>
      <c r="C259" s="133"/>
      <c r="D259" s="42" t="str">
        <f t="shared" si="81"/>
        <v/>
      </c>
      <c r="E259" s="43"/>
      <c r="F259" s="135"/>
      <c r="G259" s="77" t="str">
        <f t="shared" si="82"/>
        <v/>
      </c>
      <c r="H259" s="32" t="str">
        <f t="shared" si="83"/>
        <v/>
      </c>
      <c r="I259" s="78" t="str">
        <f t="shared" si="84"/>
        <v/>
      </c>
      <c r="J259" s="70" t="str">
        <f t="shared" si="85"/>
        <v/>
      </c>
      <c r="K259" s="135"/>
      <c r="L259" s="72" t="str">
        <f t="shared" si="86"/>
        <v/>
      </c>
      <c r="M259" s="135"/>
      <c r="N259" s="72" t="str">
        <f t="shared" si="87"/>
        <v/>
      </c>
      <c r="O259" s="135"/>
      <c r="P259" s="136"/>
      <c r="Q259" s="123" t="str">
        <f t="shared" si="88"/>
        <v/>
      </c>
      <c r="R259" s="45" t="str">
        <f t="shared" si="89"/>
        <v/>
      </c>
      <c r="S259" s="137"/>
      <c r="T259" s="79" t="str">
        <f t="shared" si="98"/>
        <v/>
      </c>
      <c r="U259" s="79" t="str">
        <f t="shared" si="90"/>
        <v/>
      </c>
      <c r="V259" s="73" t="str">
        <f t="shared" si="91"/>
        <v/>
      </c>
      <c r="W259" s="80" t="str">
        <f t="shared" si="92"/>
        <v/>
      </c>
      <c r="X259" s="73" t="str">
        <f t="shared" si="93"/>
        <v/>
      </c>
      <c r="Y259" s="80" t="str">
        <f t="shared" si="94"/>
        <v/>
      </c>
      <c r="Z259" s="74" t="str">
        <f t="shared" si="95"/>
        <v/>
      </c>
      <c r="AA259" s="75" t="str">
        <f t="shared" si="99"/>
        <v/>
      </c>
      <c r="AB259" s="103" t="str">
        <f t="shared" si="96"/>
        <v/>
      </c>
      <c r="AC259" s="104" t="str">
        <f t="shared" si="107"/>
        <v/>
      </c>
      <c r="AE259" s="139"/>
      <c r="AF259" s="110" t="str">
        <f t="shared" si="100"/>
        <v/>
      </c>
      <c r="AG259" s="111" t="str">
        <f t="shared" si="101"/>
        <v/>
      </c>
      <c r="AH259" s="111" t="str">
        <f t="shared" si="97"/>
        <v/>
      </c>
      <c r="AI259" s="111" t="str">
        <f t="shared" si="102"/>
        <v/>
      </c>
      <c r="AJ259" s="111" t="str">
        <f t="shared" si="103"/>
        <v/>
      </c>
      <c r="AK259" s="112" t="str">
        <f t="shared" si="104"/>
        <v/>
      </c>
      <c r="AL259" t="str">
        <f t="shared" si="105"/>
        <v/>
      </c>
      <c r="AM259" t="str">
        <f t="shared" si="106"/>
        <v/>
      </c>
    </row>
    <row r="260" spans="1:39" ht="15" customHeight="1" x14ac:dyDescent="0.25">
      <c r="A260" s="131"/>
      <c r="B260" s="133"/>
      <c r="C260" s="133"/>
      <c r="D260" s="42" t="str">
        <f t="shared" si="81"/>
        <v/>
      </c>
      <c r="E260" s="43"/>
      <c r="F260" s="135"/>
      <c r="G260" s="77" t="str">
        <f t="shared" si="82"/>
        <v/>
      </c>
      <c r="H260" s="32" t="str">
        <f t="shared" si="83"/>
        <v/>
      </c>
      <c r="I260" s="78" t="str">
        <f t="shared" si="84"/>
        <v/>
      </c>
      <c r="J260" s="70" t="str">
        <f t="shared" si="85"/>
        <v/>
      </c>
      <c r="K260" s="135"/>
      <c r="L260" s="72" t="str">
        <f t="shared" si="86"/>
        <v/>
      </c>
      <c r="M260" s="135"/>
      <c r="N260" s="72" t="str">
        <f t="shared" si="87"/>
        <v/>
      </c>
      <c r="O260" s="135"/>
      <c r="P260" s="136"/>
      <c r="Q260" s="123" t="str">
        <f t="shared" si="88"/>
        <v/>
      </c>
      <c r="R260" s="45" t="str">
        <f t="shared" si="89"/>
        <v/>
      </c>
      <c r="S260" s="137"/>
      <c r="T260" s="79" t="str">
        <f t="shared" si="98"/>
        <v/>
      </c>
      <c r="U260" s="79" t="str">
        <f t="shared" si="90"/>
        <v/>
      </c>
      <c r="V260" s="73" t="str">
        <f t="shared" si="91"/>
        <v/>
      </c>
      <c r="W260" s="80" t="str">
        <f t="shared" si="92"/>
        <v/>
      </c>
      <c r="X260" s="73" t="str">
        <f t="shared" si="93"/>
        <v/>
      </c>
      <c r="Y260" s="80" t="str">
        <f t="shared" si="94"/>
        <v/>
      </c>
      <c r="Z260" s="74" t="str">
        <f t="shared" si="95"/>
        <v/>
      </c>
      <c r="AA260" s="75" t="str">
        <f t="shared" si="99"/>
        <v/>
      </c>
      <c r="AB260" s="103" t="str">
        <f t="shared" si="96"/>
        <v/>
      </c>
      <c r="AC260" s="104" t="str">
        <f t="shared" si="107"/>
        <v/>
      </c>
      <c r="AE260" s="139"/>
      <c r="AF260" s="110" t="str">
        <f t="shared" si="100"/>
        <v/>
      </c>
      <c r="AG260" s="111" t="str">
        <f t="shared" si="101"/>
        <v/>
      </c>
      <c r="AH260" s="111" t="str">
        <f t="shared" si="97"/>
        <v/>
      </c>
      <c r="AI260" s="111" t="str">
        <f t="shared" si="102"/>
        <v/>
      </c>
      <c r="AJ260" s="111" t="str">
        <f t="shared" si="103"/>
        <v/>
      </c>
      <c r="AK260" s="112" t="str">
        <f t="shared" si="104"/>
        <v/>
      </c>
      <c r="AL260" t="str">
        <f t="shared" si="105"/>
        <v/>
      </c>
      <c r="AM260" t="str">
        <f t="shared" si="106"/>
        <v/>
      </c>
    </row>
    <row r="261" spans="1:39" ht="15" customHeight="1" x14ac:dyDescent="0.25">
      <c r="A261" s="131"/>
      <c r="B261" s="133"/>
      <c r="C261" s="133"/>
      <c r="D261" s="42" t="str">
        <f t="shared" si="81"/>
        <v/>
      </c>
      <c r="E261" s="43"/>
      <c r="F261" s="135"/>
      <c r="G261" s="77" t="str">
        <f t="shared" si="82"/>
        <v/>
      </c>
      <c r="H261" s="32" t="str">
        <f t="shared" si="83"/>
        <v/>
      </c>
      <c r="I261" s="78" t="str">
        <f t="shared" si="84"/>
        <v/>
      </c>
      <c r="J261" s="70" t="str">
        <f t="shared" si="85"/>
        <v/>
      </c>
      <c r="K261" s="135"/>
      <c r="L261" s="72" t="str">
        <f t="shared" si="86"/>
        <v/>
      </c>
      <c r="M261" s="135"/>
      <c r="N261" s="72" t="str">
        <f t="shared" si="87"/>
        <v/>
      </c>
      <c r="O261" s="135"/>
      <c r="P261" s="136"/>
      <c r="Q261" s="123" t="str">
        <f t="shared" si="88"/>
        <v/>
      </c>
      <c r="R261" s="45" t="str">
        <f t="shared" si="89"/>
        <v/>
      </c>
      <c r="S261" s="137"/>
      <c r="T261" s="79" t="str">
        <f t="shared" si="98"/>
        <v/>
      </c>
      <c r="U261" s="79" t="str">
        <f t="shared" si="90"/>
        <v/>
      </c>
      <c r="V261" s="73" t="str">
        <f t="shared" si="91"/>
        <v/>
      </c>
      <c r="W261" s="80" t="str">
        <f t="shared" si="92"/>
        <v/>
      </c>
      <c r="X261" s="73" t="str">
        <f t="shared" si="93"/>
        <v/>
      </c>
      <c r="Y261" s="80" t="str">
        <f t="shared" si="94"/>
        <v/>
      </c>
      <c r="Z261" s="74" t="str">
        <f t="shared" si="95"/>
        <v/>
      </c>
      <c r="AA261" s="75" t="str">
        <f t="shared" si="99"/>
        <v/>
      </c>
      <c r="AB261" s="103" t="str">
        <f t="shared" si="96"/>
        <v/>
      </c>
      <c r="AC261" s="104" t="str">
        <f t="shared" si="107"/>
        <v/>
      </c>
      <c r="AE261" s="139"/>
      <c r="AF261" s="110" t="str">
        <f t="shared" si="100"/>
        <v/>
      </c>
      <c r="AG261" s="111" t="str">
        <f t="shared" si="101"/>
        <v/>
      </c>
      <c r="AH261" s="111" t="str">
        <f t="shared" si="97"/>
        <v/>
      </c>
      <c r="AI261" s="111" t="str">
        <f t="shared" si="102"/>
        <v/>
      </c>
      <c r="AJ261" s="111" t="str">
        <f t="shared" si="103"/>
        <v/>
      </c>
      <c r="AK261" s="112" t="str">
        <f t="shared" si="104"/>
        <v/>
      </c>
      <c r="AL261" t="str">
        <f t="shared" si="105"/>
        <v/>
      </c>
      <c r="AM261" t="str">
        <f t="shared" si="106"/>
        <v/>
      </c>
    </row>
    <row r="262" spans="1:39" ht="15" customHeight="1" x14ac:dyDescent="0.25">
      <c r="A262" s="131"/>
      <c r="B262" s="133"/>
      <c r="C262" s="133"/>
      <c r="D262" s="42" t="str">
        <f t="shared" si="81"/>
        <v/>
      </c>
      <c r="E262" s="43"/>
      <c r="F262" s="135"/>
      <c r="G262" s="77" t="str">
        <f t="shared" si="82"/>
        <v/>
      </c>
      <c r="H262" s="32" t="str">
        <f t="shared" si="83"/>
        <v/>
      </c>
      <c r="I262" s="78" t="str">
        <f t="shared" si="84"/>
        <v/>
      </c>
      <c r="J262" s="70" t="str">
        <f t="shared" si="85"/>
        <v/>
      </c>
      <c r="K262" s="135"/>
      <c r="L262" s="72" t="str">
        <f t="shared" si="86"/>
        <v/>
      </c>
      <c r="M262" s="135"/>
      <c r="N262" s="72" t="str">
        <f t="shared" si="87"/>
        <v/>
      </c>
      <c r="O262" s="135"/>
      <c r="P262" s="136"/>
      <c r="Q262" s="123" t="str">
        <f t="shared" si="88"/>
        <v/>
      </c>
      <c r="R262" s="45" t="str">
        <f t="shared" si="89"/>
        <v/>
      </c>
      <c r="S262" s="137"/>
      <c r="T262" s="79" t="str">
        <f t="shared" si="98"/>
        <v/>
      </c>
      <c r="U262" s="79" t="str">
        <f t="shared" si="90"/>
        <v/>
      </c>
      <c r="V262" s="73" t="str">
        <f t="shared" si="91"/>
        <v/>
      </c>
      <c r="W262" s="80" t="str">
        <f t="shared" si="92"/>
        <v/>
      </c>
      <c r="X262" s="73" t="str">
        <f t="shared" si="93"/>
        <v/>
      </c>
      <c r="Y262" s="80" t="str">
        <f t="shared" si="94"/>
        <v/>
      </c>
      <c r="Z262" s="74" t="str">
        <f t="shared" si="95"/>
        <v/>
      </c>
      <c r="AA262" s="75" t="str">
        <f t="shared" si="99"/>
        <v/>
      </c>
      <c r="AB262" s="103" t="str">
        <f t="shared" si="96"/>
        <v/>
      </c>
      <c r="AC262" s="104" t="str">
        <f t="shared" si="107"/>
        <v/>
      </c>
      <c r="AE262" s="139"/>
      <c r="AF262" s="110" t="str">
        <f t="shared" si="100"/>
        <v/>
      </c>
      <c r="AG262" s="111" t="str">
        <f t="shared" si="101"/>
        <v/>
      </c>
      <c r="AH262" s="111" t="str">
        <f t="shared" si="97"/>
        <v/>
      </c>
      <c r="AI262" s="111" t="str">
        <f t="shared" si="102"/>
        <v/>
      </c>
      <c r="AJ262" s="111" t="str">
        <f t="shared" si="103"/>
        <v/>
      </c>
      <c r="AK262" s="112" t="str">
        <f t="shared" si="104"/>
        <v/>
      </c>
      <c r="AL262" t="str">
        <f t="shared" si="105"/>
        <v/>
      </c>
      <c r="AM262" t="str">
        <f t="shared" si="106"/>
        <v/>
      </c>
    </row>
    <row r="263" spans="1:39" ht="15" customHeight="1" x14ac:dyDescent="0.25">
      <c r="A263" s="131"/>
      <c r="B263" s="133"/>
      <c r="C263" s="133"/>
      <c r="D263" s="42" t="str">
        <f t="shared" si="81"/>
        <v/>
      </c>
      <c r="E263" s="43"/>
      <c r="F263" s="135"/>
      <c r="G263" s="77" t="str">
        <f t="shared" si="82"/>
        <v/>
      </c>
      <c r="H263" s="32" t="str">
        <f t="shared" si="83"/>
        <v/>
      </c>
      <c r="I263" s="78" t="str">
        <f t="shared" si="84"/>
        <v/>
      </c>
      <c r="J263" s="70" t="str">
        <f t="shared" si="85"/>
        <v/>
      </c>
      <c r="K263" s="135"/>
      <c r="L263" s="72" t="str">
        <f t="shared" si="86"/>
        <v/>
      </c>
      <c r="M263" s="135"/>
      <c r="N263" s="72" t="str">
        <f t="shared" si="87"/>
        <v/>
      </c>
      <c r="O263" s="135"/>
      <c r="P263" s="136"/>
      <c r="Q263" s="123" t="str">
        <f t="shared" si="88"/>
        <v/>
      </c>
      <c r="R263" s="45" t="str">
        <f t="shared" si="89"/>
        <v/>
      </c>
      <c r="S263" s="137"/>
      <c r="T263" s="79" t="str">
        <f t="shared" si="98"/>
        <v/>
      </c>
      <c r="U263" s="79" t="str">
        <f t="shared" si="90"/>
        <v/>
      </c>
      <c r="V263" s="73" t="str">
        <f t="shared" si="91"/>
        <v/>
      </c>
      <c r="W263" s="80" t="str">
        <f t="shared" si="92"/>
        <v/>
      </c>
      <c r="X263" s="73" t="str">
        <f t="shared" si="93"/>
        <v/>
      </c>
      <c r="Y263" s="80" t="str">
        <f t="shared" si="94"/>
        <v/>
      </c>
      <c r="Z263" s="74" t="str">
        <f t="shared" si="95"/>
        <v/>
      </c>
      <c r="AA263" s="75" t="str">
        <f t="shared" si="99"/>
        <v/>
      </c>
      <c r="AB263" s="103" t="str">
        <f t="shared" si="96"/>
        <v/>
      </c>
      <c r="AC263" s="104" t="str">
        <f t="shared" si="107"/>
        <v/>
      </c>
      <c r="AE263" s="139"/>
      <c r="AF263" s="110" t="str">
        <f t="shared" si="100"/>
        <v/>
      </c>
      <c r="AG263" s="111" t="str">
        <f t="shared" si="101"/>
        <v/>
      </c>
      <c r="AH263" s="111" t="str">
        <f t="shared" si="97"/>
        <v/>
      </c>
      <c r="AI263" s="111" t="str">
        <f t="shared" si="102"/>
        <v/>
      </c>
      <c r="AJ263" s="111" t="str">
        <f t="shared" si="103"/>
        <v/>
      </c>
      <c r="AK263" s="112" t="str">
        <f t="shared" si="104"/>
        <v/>
      </c>
      <c r="AL263" t="str">
        <f t="shared" si="105"/>
        <v/>
      </c>
      <c r="AM263" t="str">
        <f t="shared" si="106"/>
        <v/>
      </c>
    </row>
    <row r="264" spans="1:39" ht="15" customHeight="1" x14ac:dyDescent="0.25">
      <c r="A264" s="131"/>
      <c r="B264" s="133"/>
      <c r="C264" s="133"/>
      <c r="D264" s="42" t="str">
        <f t="shared" ref="D264:D327" si="108">IF(A264="","",B264*C264)</f>
        <v/>
      </c>
      <c r="E264" s="43"/>
      <c r="F264" s="135"/>
      <c r="G264" s="77" t="str">
        <f t="shared" ref="G264:G327" si="109">IF(OR(F264="",C264=0,C264=""),"",F264/C264)</f>
        <v/>
      </c>
      <c r="H264" s="32" t="str">
        <f t="shared" ref="H264:H327" si="110">IF(F264="","",ROUND(F264*$G$1,2))</f>
        <v/>
      </c>
      <c r="I264" s="78" t="str">
        <f t="shared" ref="I264:I327" si="111">IF(OR(H264="",C264=0,C264=""),"",H264/C264)</f>
        <v/>
      </c>
      <c r="J264" s="70" t="str">
        <f t="shared" ref="J264:J327" si="112">IF(A264="","",F264*B264)</f>
        <v/>
      </c>
      <c r="K264" s="135"/>
      <c r="L264" s="72" t="str">
        <f t="shared" ref="L264:L327" si="113">IF(OR(K264=0,C264=0,K264="",C264=""),"",K264/C264)</f>
        <v/>
      </c>
      <c r="M264" s="135"/>
      <c r="N264" s="72" t="str">
        <f t="shared" ref="N264:N327" si="114">IF(OR(M264=0,C264=0,M264="",C264=""),"",M264/C264)</f>
        <v/>
      </c>
      <c r="O264" s="135"/>
      <c r="P264" s="136"/>
      <c r="Q264" s="123" t="str">
        <f t="shared" ref="Q264:Q327" si="115">IF(A264="","",IF(S264&gt;0,IF(J264&gt;0,S264/J264,0),IF(E264&gt;0,0,IF($I$2&gt;0,IF($I$3&gt;0,MAX($I$2-SUM($S$8:$S$1007),0)/$I$3,0),$I$1))))</f>
        <v/>
      </c>
      <c r="R264" s="45" t="str">
        <f t="shared" ref="R264:R327" si="116">IF(A264="","",IF(S264&gt;0,S264,IF(E264&gt;0,0,J264*IF($I$2&gt;0,IF($I$3&gt;0,MAX($I$2-SUM($S$8:$S$1007),0)/$I$3,0),$I$1))))</f>
        <v/>
      </c>
      <c r="S264" s="137"/>
      <c r="T264" s="79" t="str">
        <f t="shared" si="98"/>
        <v/>
      </c>
      <c r="U264" s="79" t="str">
        <f t="shared" ref="U264:U327" si="117">IF(OR(A264="",T264=""),"",T264*C264)</f>
        <v/>
      </c>
      <c r="V264" s="73" t="str">
        <f t="shared" ref="V264:V327" si="118">IF(OR(A264="",K264&lt;=0,U264=""),"",(K264-U264)/K264)</f>
        <v/>
      </c>
      <c r="W264" s="80" t="str">
        <f t="shared" ref="W264:W327" si="119">IF(OR(K264=0,U264=0,K264="",U264=""),"",K264-U264)</f>
        <v/>
      </c>
      <c r="X264" s="73" t="str">
        <f t="shared" ref="X264:X327" si="120">IF(OR(A264="",M264&lt;=0,U264=""),"",(M264-U264)/M264)</f>
        <v/>
      </c>
      <c r="Y264" s="80" t="str">
        <f t="shared" ref="Y264:Y327" si="121">IF(OR(M264=0,U264=0,M264="",U264=""),"",M264-U264)</f>
        <v/>
      </c>
      <c r="Z264" s="74" t="str">
        <f t="shared" ref="Z264:Z327" si="122">IF(OR(J264="",J264=0,$M$5="",$K$1=0),"",($M$5/$K$1)*J264)</f>
        <v/>
      </c>
      <c r="AA264" s="75" t="str">
        <f t="shared" si="99"/>
        <v/>
      </c>
      <c r="AB264" s="103" t="str">
        <f t="shared" ref="AB264:AB327" si="123">IF(OR(T264=0,T264="",D264=0,D264=""),"",T264*(D264+E264))</f>
        <v/>
      </c>
      <c r="AC264" s="104" t="str">
        <f t="shared" si="107"/>
        <v/>
      </c>
      <c r="AE264" s="139"/>
      <c r="AF264" s="110" t="str">
        <f t="shared" si="100"/>
        <v/>
      </c>
      <c r="AG264" s="111" t="str">
        <f t="shared" si="101"/>
        <v/>
      </c>
      <c r="AH264" s="111" t="str">
        <f t="shared" ref="AH264:AH327" si="124">IF(AG264="","",AG264*$AF$1+IF(SUM($AG$8:$AG$1007)=0,0,$AF$2*AG264/SUM($AG$8:$AG$1007)))</f>
        <v/>
      </c>
      <c r="AI264" s="111" t="str">
        <f t="shared" si="102"/>
        <v/>
      </c>
      <c r="AJ264" s="111" t="str">
        <f t="shared" si="103"/>
        <v/>
      </c>
      <c r="AK264" s="112" t="str">
        <f t="shared" si="104"/>
        <v/>
      </c>
      <c r="AL264" t="str">
        <f t="shared" si="105"/>
        <v/>
      </c>
      <c r="AM264" t="str">
        <f t="shared" si="106"/>
        <v/>
      </c>
    </row>
    <row r="265" spans="1:39" ht="15" customHeight="1" x14ac:dyDescent="0.25">
      <c r="A265" s="131"/>
      <c r="B265" s="133"/>
      <c r="C265" s="133"/>
      <c r="D265" s="42" t="str">
        <f t="shared" si="108"/>
        <v/>
      </c>
      <c r="E265" s="43"/>
      <c r="F265" s="135"/>
      <c r="G265" s="77" t="str">
        <f t="shared" si="109"/>
        <v/>
      </c>
      <c r="H265" s="32" t="str">
        <f t="shared" si="110"/>
        <v/>
      </c>
      <c r="I265" s="78" t="str">
        <f t="shared" si="111"/>
        <v/>
      </c>
      <c r="J265" s="70" t="str">
        <f t="shared" si="112"/>
        <v/>
      </c>
      <c r="K265" s="135"/>
      <c r="L265" s="72" t="str">
        <f t="shared" si="113"/>
        <v/>
      </c>
      <c r="M265" s="135"/>
      <c r="N265" s="72" t="str">
        <f t="shared" si="114"/>
        <v/>
      </c>
      <c r="O265" s="135"/>
      <c r="P265" s="136"/>
      <c r="Q265" s="123" t="str">
        <f t="shared" si="115"/>
        <v/>
      </c>
      <c r="R265" s="45" t="str">
        <f t="shared" si="116"/>
        <v/>
      </c>
      <c r="S265" s="137"/>
      <c r="T265" s="79" t="str">
        <f t="shared" ref="T265:T328" si="125">IF(A265="","",IF(OR(B265=0,B265="",C265&lt;=0,D265+E265&lt;=0),"",((F265+H265)*B265+(H265/C265)*E265-R265)/(D265+E265)-IF(Z265&gt;=0,Z265/D265,0)+IF(ISNUMBER(AA265),AA265/(D265+E265),0)))</f>
        <v/>
      </c>
      <c r="U265" s="79" t="str">
        <f t="shared" si="117"/>
        <v/>
      </c>
      <c r="V265" s="73" t="str">
        <f t="shared" si="118"/>
        <v/>
      </c>
      <c r="W265" s="80" t="str">
        <f t="shared" si="119"/>
        <v/>
      </c>
      <c r="X265" s="73" t="str">
        <f t="shared" si="120"/>
        <v/>
      </c>
      <c r="Y265" s="80" t="str">
        <f t="shared" si="121"/>
        <v/>
      </c>
      <c r="Z265" s="74" t="str">
        <f t="shared" si="122"/>
        <v/>
      </c>
      <c r="AA265" s="75" t="str">
        <f t="shared" ref="AA265:AA328" si="126">IF(OR(J265="",J265=0,($G$3-$I$4)=0),"",($K$3/($G$3-$I$4))*(J265-R265))</f>
        <v/>
      </c>
      <c r="AB265" s="103" t="str">
        <f t="shared" si="123"/>
        <v/>
      </c>
      <c r="AC265" s="104" t="str">
        <f t="shared" si="107"/>
        <v/>
      </c>
      <c r="AE265" s="139"/>
      <c r="AF265" s="110" t="str">
        <f t="shared" ref="AF265:AF328" si="127">IF(AE265="","",T265)</f>
        <v/>
      </c>
      <c r="AG265" s="111" t="str">
        <f t="shared" ref="AG265:AG328" si="128">IF(OR(AE265="",AF265=""),"",AE265*AF265)</f>
        <v/>
      </c>
      <c r="AH265" s="111" t="str">
        <f t="shared" si="124"/>
        <v/>
      </c>
      <c r="AI265" s="111" t="str">
        <f t="shared" ref="AI265:AI328" si="129">IF(AG265="","",AG265-AH265)</f>
        <v/>
      </c>
      <c r="AJ265" s="111" t="str">
        <f t="shared" ref="AJ265:AJ328" si="130">IF(AI265="","",AK265-AI265)</f>
        <v/>
      </c>
      <c r="AK265" s="112" t="str">
        <f t="shared" ref="AK265:AK328" si="131">IF(AI265="","",ROUND(AI265,0))</f>
        <v/>
      </c>
      <c r="AL265" t="str">
        <f t="shared" ref="AL265:AL328" si="132">IF(OR(AE265=0,AE265=""),"",AH265/AE265)</f>
        <v/>
      </c>
      <c r="AM265" t="str">
        <f t="shared" ref="AM265:AM328" si="133">IF(OR(AE265=0,AE265=""),"",AF265*C265)</f>
        <v/>
      </c>
    </row>
    <row r="266" spans="1:39" ht="15" customHeight="1" x14ac:dyDescent="0.25">
      <c r="A266" s="131"/>
      <c r="B266" s="133"/>
      <c r="C266" s="133"/>
      <c r="D266" s="42" t="str">
        <f t="shared" si="108"/>
        <v/>
      </c>
      <c r="E266" s="43"/>
      <c r="F266" s="135"/>
      <c r="G266" s="77" t="str">
        <f t="shared" si="109"/>
        <v/>
      </c>
      <c r="H266" s="32" t="str">
        <f t="shared" si="110"/>
        <v/>
      </c>
      <c r="I266" s="78" t="str">
        <f t="shared" si="111"/>
        <v/>
      </c>
      <c r="J266" s="70" t="str">
        <f t="shared" si="112"/>
        <v/>
      </c>
      <c r="K266" s="135"/>
      <c r="L266" s="72" t="str">
        <f t="shared" si="113"/>
        <v/>
      </c>
      <c r="M266" s="135"/>
      <c r="N266" s="72" t="str">
        <f t="shared" si="114"/>
        <v/>
      </c>
      <c r="O266" s="135"/>
      <c r="P266" s="136"/>
      <c r="Q266" s="123" t="str">
        <f t="shared" si="115"/>
        <v/>
      </c>
      <c r="R266" s="45" t="str">
        <f t="shared" si="116"/>
        <v/>
      </c>
      <c r="S266" s="137"/>
      <c r="T266" s="79" t="str">
        <f t="shared" si="125"/>
        <v/>
      </c>
      <c r="U266" s="79" t="str">
        <f t="shared" si="117"/>
        <v/>
      </c>
      <c r="V266" s="73" t="str">
        <f t="shared" si="118"/>
        <v/>
      </c>
      <c r="W266" s="80" t="str">
        <f t="shared" si="119"/>
        <v/>
      </c>
      <c r="X266" s="73" t="str">
        <f t="shared" si="120"/>
        <v/>
      </c>
      <c r="Y266" s="80" t="str">
        <f t="shared" si="121"/>
        <v/>
      </c>
      <c r="Z266" s="74" t="str">
        <f t="shared" si="122"/>
        <v/>
      </c>
      <c r="AA266" s="75" t="str">
        <f t="shared" si="126"/>
        <v/>
      </c>
      <c r="AB266" s="103" t="str">
        <f t="shared" si="123"/>
        <v/>
      </c>
      <c r="AC266" s="104" t="str">
        <f t="shared" ref="AC266:AC329" si="134">IF(OR(A266="",J266="",C266&lt;=0, B266=0),"",J266+H266*B266+(H266/C266)*E266)</f>
        <v/>
      </c>
      <c r="AE266" s="139"/>
      <c r="AF266" s="110" t="str">
        <f t="shared" si="127"/>
        <v/>
      </c>
      <c r="AG266" s="111" t="str">
        <f t="shared" si="128"/>
        <v/>
      </c>
      <c r="AH266" s="111" t="str">
        <f t="shared" si="124"/>
        <v/>
      </c>
      <c r="AI266" s="111" t="str">
        <f t="shared" si="129"/>
        <v/>
      </c>
      <c r="AJ266" s="111" t="str">
        <f t="shared" si="130"/>
        <v/>
      </c>
      <c r="AK266" s="112" t="str">
        <f t="shared" si="131"/>
        <v/>
      </c>
      <c r="AL266" t="str">
        <f t="shared" si="132"/>
        <v/>
      </c>
      <c r="AM266" t="str">
        <f t="shared" si="133"/>
        <v/>
      </c>
    </row>
    <row r="267" spans="1:39" ht="15" customHeight="1" x14ac:dyDescent="0.25">
      <c r="A267" s="131"/>
      <c r="B267" s="133"/>
      <c r="C267" s="133"/>
      <c r="D267" s="42" t="str">
        <f t="shared" si="108"/>
        <v/>
      </c>
      <c r="E267" s="43"/>
      <c r="F267" s="135"/>
      <c r="G267" s="77" t="str">
        <f t="shared" si="109"/>
        <v/>
      </c>
      <c r="H267" s="32" t="str">
        <f t="shared" si="110"/>
        <v/>
      </c>
      <c r="I267" s="78" t="str">
        <f t="shared" si="111"/>
        <v/>
      </c>
      <c r="J267" s="70" t="str">
        <f t="shared" si="112"/>
        <v/>
      </c>
      <c r="K267" s="135"/>
      <c r="L267" s="72" t="str">
        <f t="shared" si="113"/>
        <v/>
      </c>
      <c r="M267" s="135"/>
      <c r="N267" s="72" t="str">
        <f t="shared" si="114"/>
        <v/>
      </c>
      <c r="O267" s="135"/>
      <c r="P267" s="136"/>
      <c r="Q267" s="123" t="str">
        <f t="shared" si="115"/>
        <v/>
      </c>
      <c r="R267" s="45" t="str">
        <f t="shared" si="116"/>
        <v/>
      </c>
      <c r="S267" s="137"/>
      <c r="T267" s="79" t="str">
        <f t="shared" si="125"/>
        <v/>
      </c>
      <c r="U267" s="79" t="str">
        <f t="shared" si="117"/>
        <v/>
      </c>
      <c r="V267" s="73" t="str">
        <f t="shared" si="118"/>
        <v/>
      </c>
      <c r="W267" s="80" t="str">
        <f t="shared" si="119"/>
        <v/>
      </c>
      <c r="X267" s="73" t="str">
        <f t="shared" si="120"/>
        <v/>
      </c>
      <c r="Y267" s="80" t="str">
        <f t="shared" si="121"/>
        <v/>
      </c>
      <c r="Z267" s="74" t="str">
        <f t="shared" si="122"/>
        <v/>
      </c>
      <c r="AA267" s="75" t="str">
        <f t="shared" si="126"/>
        <v/>
      </c>
      <c r="AB267" s="103" t="str">
        <f t="shared" si="123"/>
        <v/>
      </c>
      <c r="AC267" s="104" t="str">
        <f t="shared" si="134"/>
        <v/>
      </c>
      <c r="AE267" s="139"/>
      <c r="AF267" s="110" t="str">
        <f t="shared" si="127"/>
        <v/>
      </c>
      <c r="AG267" s="111" t="str">
        <f t="shared" si="128"/>
        <v/>
      </c>
      <c r="AH267" s="111" t="str">
        <f t="shared" si="124"/>
        <v/>
      </c>
      <c r="AI267" s="111" t="str">
        <f t="shared" si="129"/>
        <v/>
      </c>
      <c r="AJ267" s="111" t="str">
        <f t="shared" si="130"/>
        <v/>
      </c>
      <c r="AK267" s="112" t="str">
        <f t="shared" si="131"/>
        <v/>
      </c>
      <c r="AL267" t="str">
        <f t="shared" si="132"/>
        <v/>
      </c>
      <c r="AM267" t="str">
        <f t="shared" si="133"/>
        <v/>
      </c>
    </row>
    <row r="268" spans="1:39" ht="15" customHeight="1" x14ac:dyDescent="0.25">
      <c r="A268" s="131"/>
      <c r="B268" s="133"/>
      <c r="C268" s="133"/>
      <c r="D268" s="42" t="str">
        <f t="shared" si="108"/>
        <v/>
      </c>
      <c r="E268" s="43"/>
      <c r="F268" s="135"/>
      <c r="G268" s="77" t="str">
        <f t="shared" si="109"/>
        <v/>
      </c>
      <c r="H268" s="32" t="str">
        <f t="shared" si="110"/>
        <v/>
      </c>
      <c r="I268" s="78" t="str">
        <f t="shared" si="111"/>
        <v/>
      </c>
      <c r="J268" s="70" t="str">
        <f t="shared" si="112"/>
        <v/>
      </c>
      <c r="K268" s="135"/>
      <c r="L268" s="72" t="str">
        <f t="shared" si="113"/>
        <v/>
      </c>
      <c r="M268" s="135"/>
      <c r="N268" s="72" t="str">
        <f t="shared" si="114"/>
        <v/>
      </c>
      <c r="O268" s="135"/>
      <c r="P268" s="136"/>
      <c r="Q268" s="123" t="str">
        <f t="shared" si="115"/>
        <v/>
      </c>
      <c r="R268" s="45" t="str">
        <f t="shared" si="116"/>
        <v/>
      </c>
      <c r="S268" s="137"/>
      <c r="T268" s="79" t="str">
        <f t="shared" si="125"/>
        <v/>
      </c>
      <c r="U268" s="79" t="str">
        <f t="shared" si="117"/>
        <v/>
      </c>
      <c r="V268" s="73" t="str">
        <f t="shared" si="118"/>
        <v/>
      </c>
      <c r="W268" s="80" t="str">
        <f t="shared" si="119"/>
        <v/>
      </c>
      <c r="X268" s="73" t="str">
        <f t="shared" si="120"/>
        <v/>
      </c>
      <c r="Y268" s="80" t="str">
        <f t="shared" si="121"/>
        <v/>
      </c>
      <c r="Z268" s="74" t="str">
        <f t="shared" si="122"/>
        <v/>
      </c>
      <c r="AA268" s="75" t="str">
        <f t="shared" si="126"/>
        <v/>
      </c>
      <c r="AB268" s="103" t="str">
        <f t="shared" si="123"/>
        <v/>
      </c>
      <c r="AC268" s="104" t="str">
        <f t="shared" si="134"/>
        <v/>
      </c>
      <c r="AE268" s="139"/>
      <c r="AF268" s="110" t="str">
        <f t="shared" si="127"/>
        <v/>
      </c>
      <c r="AG268" s="111" t="str">
        <f t="shared" si="128"/>
        <v/>
      </c>
      <c r="AH268" s="111" t="str">
        <f t="shared" si="124"/>
        <v/>
      </c>
      <c r="AI268" s="111" t="str">
        <f t="shared" si="129"/>
        <v/>
      </c>
      <c r="AJ268" s="111" t="str">
        <f t="shared" si="130"/>
        <v/>
      </c>
      <c r="AK268" s="112" t="str">
        <f t="shared" si="131"/>
        <v/>
      </c>
      <c r="AL268" t="str">
        <f t="shared" si="132"/>
        <v/>
      </c>
      <c r="AM268" t="str">
        <f t="shared" si="133"/>
        <v/>
      </c>
    </row>
    <row r="269" spans="1:39" ht="15" customHeight="1" x14ac:dyDescent="0.25">
      <c r="A269" s="131"/>
      <c r="B269" s="133"/>
      <c r="C269" s="133"/>
      <c r="D269" s="42" t="str">
        <f t="shared" si="108"/>
        <v/>
      </c>
      <c r="E269" s="43"/>
      <c r="F269" s="135"/>
      <c r="G269" s="77" t="str">
        <f t="shared" si="109"/>
        <v/>
      </c>
      <c r="H269" s="32" t="str">
        <f t="shared" si="110"/>
        <v/>
      </c>
      <c r="I269" s="78" t="str">
        <f t="shared" si="111"/>
        <v/>
      </c>
      <c r="J269" s="70" t="str">
        <f t="shared" si="112"/>
        <v/>
      </c>
      <c r="K269" s="135"/>
      <c r="L269" s="72" t="str">
        <f t="shared" si="113"/>
        <v/>
      </c>
      <c r="M269" s="135"/>
      <c r="N269" s="72" t="str">
        <f t="shared" si="114"/>
        <v/>
      </c>
      <c r="O269" s="135"/>
      <c r="P269" s="136"/>
      <c r="Q269" s="123" t="str">
        <f t="shared" si="115"/>
        <v/>
      </c>
      <c r="R269" s="45" t="str">
        <f t="shared" si="116"/>
        <v/>
      </c>
      <c r="S269" s="137"/>
      <c r="T269" s="79" t="str">
        <f t="shared" si="125"/>
        <v/>
      </c>
      <c r="U269" s="79" t="str">
        <f t="shared" si="117"/>
        <v/>
      </c>
      <c r="V269" s="73" t="str">
        <f t="shared" si="118"/>
        <v/>
      </c>
      <c r="W269" s="80" t="str">
        <f t="shared" si="119"/>
        <v/>
      </c>
      <c r="X269" s="73" t="str">
        <f t="shared" si="120"/>
        <v/>
      </c>
      <c r="Y269" s="80" t="str">
        <f t="shared" si="121"/>
        <v/>
      </c>
      <c r="Z269" s="74" t="str">
        <f t="shared" si="122"/>
        <v/>
      </c>
      <c r="AA269" s="75" t="str">
        <f t="shared" si="126"/>
        <v/>
      </c>
      <c r="AB269" s="103" t="str">
        <f t="shared" si="123"/>
        <v/>
      </c>
      <c r="AC269" s="104" t="str">
        <f t="shared" si="134"/>
        <v/>
      </c>
      <c r="AE269" s="139"/>
      <c r="AF269" s="110" t="str">
        <f t="shared" si="127"/>
        <v/>
      </c>
      <c r="AG269" s="111" t="str">
        <f t="shared" si="128"/>
        <v/>
      </c>
      <c r="AH269" s="111" t="str">
        <f t="shared" si="124"/>
        <v/>
      </c>
      <c r="AI269" s="111" t="str">
        <f t="shared" si="129"/>
        <v/>
      </c>
      <c r="AJ269" s="111" t="str">
        <f t="shared" si="130"/>
        <v/>
      </c>
      <c r="AK269" s="112" t="str">
        <f t="shared" si="131"/>
        <v/>
      </c>
      <c r="AL269" t="str">
        <f t="shared" si="132"/>
        <v/>
      </c>
      <c r="AM269" t="str">
        <f t="shared" si="133"/>
        <v/>
      </c>
    </row>
    <row r="270" spans="1:39" ht="15" customHeight="1" x14ac:dyDescent="0.25">
      <c r="A270" s="131"/>
      <c r="B270" s="133"/>
      <c r="C270" s="133"/>
      <c r="D270" s="42" t="str">
        <f t="shared" si="108"/>
        <v/>
      </c>
      <c r="E270" s="43"/>
      <c r="F270" s="135"/>
      <c r="G270" s="77" t="str">
        <f t="shared" si="109"/>
        <v/>
      </c>
      <c r="H270" s="32" t="str">
        <f t="shared" si="110"/>
        <v/>
      </c>
      <c r="I270" s="78" t="str">
        <f t="shared" si="111"/>
        <v/>
      </c>
      <c r="J270" s="70" t="str">
        <f t="shared" si="112"/>
        <v/>
      </c>
      <c r="K270" s="135"/>
      <c r="L270" s="72" t="str">
        <f t="shared" si="113"/>
        <v/>
      </c>
      <c r="M270" s="135"/>
      <c r="N270" s="72" t="str">
        <f t="shared" si="114"/>
        <v/>
      </c>
      <c r="O270" s="135"/>
      <c r="P270" s="136"/>
      <c r="Q270" s="123" t="str">
        <f t="shared" si="115"/>
        <v/>
      </c>
      <c r="R270" s="45" t="str">
        <f t="shared" si="116"/>
        <v/>
      </c>
      <c r="S270" s="137"/>
      <c r="T270" s="79" t="str">
        <f t="shared" si="125"/>
        <v/>
      </c>
      <c r="U270" s="79" t="str">
        <f t="shared" si="117"/>
        <v/>
      </c>
      <c r="V270" s="73" t="str">
        <f t="shared" si="118"/>
        <v/>
      </c>
      <c r="W270" s="80" t="str">
        <f t="shared" si="119"/>
        <v/>
      </c>
      <c r="X270" s="73" t="str">
        <f t="shared" si="120"/>
        <v/>
      </c>
      <c r="Y270" s="80" t="str">
        <f t="shared" si="121"/>
        <v/>
      </c>
      <c r="Z270" s="74" t="str">
        <f t="shared" si="122"/>
        <v/>
      </c>
      <c r="AA270" s="75" t="str">
        <f t="shared" si="126"/>
        <v/>
      </c>
      <c r="AB270" s="103" t="str">
        <f t="shared" si="123"/>
        <v/>
      </c>
      <c r="AC270" s="104" t="str">
        <f t="shared" si="134"/>
        <v/>
      </c>
      <c r="AE270" s="139"/>
      <c r="AF270" s="110" t="str">
        <f t="shared" si="127"/>
        <v/>
      </c>
      <c r="AG270" s="111" t="str">
        <f t="shared" si="128"/>
        <v/>
      </c>
      <c r="AH270" s="111" t="str">
        <f t="shared" si="124"/>
        <v/>
      </c>
      <c r="AI270" s="111" t="str">
        <f t="shared" si="129"/>
        <v/>
      </c>
      <c r="AJ270" s="111" t="str">
        <f t="shared" si="130"/>
        <v/>
      </c>
      <c r="AK270" s="112" t="str">
        <f t="shared" si="131"/>
        <v/>
      </c>
      <c r="AL270" t="str">
        <f t="shared" si="132"/>
        <v/>
      </c>
      <c r="AM270" t="str">
        <f t="shared" si="133"/>
        <v/>
      </c>
    </row>
    <row r="271" spans="1:39" ht="15" customHeight="1" x14ac:dyDescent="0.25">
      <c r="A271" s="131"/>
      <c r="B271" s="133"/>
      <c r="C271" s="133"/>
      <c r="D271" s="42" t="str">
        <f t="shared" si="108"/>
        <v/>
      </c>
      <c r="E271" s="43"/>
      <c r="F271" s="135"/>
      <c r="G271" s="77" t="str">
        <f t="shared" si="109"/>
        <v/>
      </c>
      <c r="H271" s="32" t="str">
        <f t="shared" si="110"/>
        <v/>
      </c>
      <c r="I271" s="78" t="str">
        <f t="shared" si="111"/>
        <v/>
      </c>
      <c r="J271" s="70" t="str">
        <f t="shared" si="112"/>
        <v/>
      </c>
      <c r="K271" s="135"/>
      <c r="L271" s="72" t="str">
        <f t="shared" si="113"/>
        <v/>
      </c>
      <c r="M271" s="135"/>
      <c r="N271" s="72" t="str">
        <f t="shared" si="114"/>
        <v/>
      </c>
      <c r="O271" s="135"/>
      <c r="P271" s="136"/>
      <c r="Q271" s="123" t="str">
        <f t="shared" si="115"/>
        <v/>
      </c>
      <c r="R271" s="45" t="str">
        <f t="shared" si="116"/>
        <v/>
      </c>
      <c r="S271" s="137"/>
      <c r="T271" s="79" t="str">
        <f t="shared" si="125"/>
        <v/>
      </c>
      <c r="U271" s="79" t="str">
        <f t="shared" si="117"/>
        <v/>
      </c>
      <c r="V271" s="73" t="str">
        <f t="shared" si="118"/>
        <v/>
      </c>
      <c r="W271" s="80" t="str">
        <f t="shared" si="119"/>
        <v/>
      </c>
      <c r="X271" s="73" t="str">
        <f t="shared" si="120"/>
        <v/>
      </c>
      <c r="Y271" s="80" t="str">
        <f t="shared" si="121"/>
        <v/>
      </c>
      <c r="Z271" s="74" t="str">
        <f t="shared" si="122"/>
        <v/>
      </c>
      <c r="AA271" s="75" t="str">
        <f t="shared" si="126"/>
        <v/>
      </c>
      <c r="AB271" s="103" t="str">
        <f t="shared" si="123"/>
        <v/>
      </c>
      <c r="AC271" s="104" t="str">
        <f t="shared" si="134"/>
        <v/>
      </c>
      <c r="AE271" s="139"/>
      <c r="AF271" s="110" t="str">
        <f t="shared" si="127"/>
        <v/>
      </c>
      <c r="AG271" s="111" t="str">
        <f t="shared" si="128"/>
        <v/>
      </c>
      <c r="AH271" s="111" t="str">
        <f t="shared" si="124"/>
        <v/>
      </c>
      <c r="AI271" s="111" t="str">
        <f t="shared" si="129"/>
        <v/>
      </c>
      <c r="AJ271" s="111" t="str">
        <f t="shared" si="130"/>
        <v/>
      </c>
      <c r="AK271" s="112" t="str">
        <f t="shared" si="131"/>
        <v/>
      </c>
      <c r="AL271" t="str">
        <f t="shared" si="132"/>
        <v/>
      </c>
      <c r="AM271" t="str">
        <f t="shared" si="133"/>
        <v/>
      </c>
    </row>
    <row r="272" spans="1:39" ht="15" customHeight="1" x14ac:dyDescent="0.25">
      <c r="A272" s="131"/>
      <c r="B272" s="133"/>
      <c r="C272" s="133"/>
      <c r="D272" s="42" t="str">
        <f t="shared" si="108"/>
        <v/>
      </c>
      <c r="E272" s="43"/>
      <c r="F272" s="135"/>
      <c r="G272" s="77" t="str">
        <f t="shared" si="109"/>
        <v/>
      </c>
      <c r="H272" s="32" t="str">
        <f t="shared" si="110"/>
        <v/>
      </c>
      <c r="I272" s="78" t="str">
        <f t="shared" si="111"/>
        <v/>
      </c>
      <c r="J272" s="70" t="str">
        <f t="shared" si="112"/>
        <v/>
      </c>
      <c r="K272" s="135"/>
      <c r="L272" s="72" t="str">
        <f t="shared" si="113"/>
        <v/>
      </c>
      <c r="M272" s="135"/>
      <c r="N272" s="72" t="str">
        <f t="shared" si="114"/>
        <v/>
      </c>
      <c r="O272" s="135"/>
      <c r="P272" s="136"/>
      <c r="Q272" s="123" t="str">
        <f t="shared" si="115"/>
        <v/>
      </c>
      <c r="R272" s="45" t="str">
        <f t="shared" si="116"/>
        <v/>
      </c>
      <c r="S272" s="137"/>
      <c r="T272" s="79" t="str">
        <f t="shared" si="125"/>
        <v/>
      </c>
      <c r="U272" s="79" t="str">
        <f t="shared" si="117"/>
        <v/>
      </c>
      <c r="V272" s="73" t="str">
        <f t="shared" si="118"/>
        <v/>
      </c>
      <c r="W272" s="80" t="str">
        <f t="shared" si="119"/>
        <v/>
      </c>
      <c r="X272" s="73" t="str">
        <f t="shared" si="120"/>
        <v/>
      </c>
      <c r="Y272" s="80" t="str">
        <f t="shared" si="121"/>
        <v/>
      </c>
      <c r="Z272" s="74" t="str">
        <f t="shared" si="122"/>
        <v/>
      </c>
      <c r="AA272" s="75" t="str">
        <f t="shared" si="126"/>
        <v/>
      </c>
      <c r="AB272" s="103" t="str">
        <f t="shared" si="123"/>
        <v/>
      </c>
      <c r="AC272" s="104" t="str">
        <f t="shared" si="134"/>
        <v/>
      </c>
      <c r="AE272" s="139"/>
      <c r="AF272" s="110" t="str">
        <f t="shared" si="127"/>
        <v/>
      </c>
      <c r="AG272" s="111" t="str">
        <f t="shared" si="128"/>
        <v/>
      </c>
      <c r="AH272" s="111" t="str">
        <f t="shared" si="124"/>
        <v/>
      </c>
      <c r="AI272" s="111" t="str">
        <f t="shared" si="129"/>
        <v/>
      </c>
      <c r="AJ272" s="111" t="str">
        <f t="shared" si="130"/>
        <v/>
      </c>
      <c r="AK272" s="112" t="str">
        <f t="shared" si="131"/>
        <v/>
      </c>
      <c r="AL272" t="str">
        <f t="shared" si="132"/>
        <v/>
      </c>
      <c r="AM272" t="str">
        <f t="shared" si="133"/>
        <v/>
      </c>
    </row>
    <row r="273" spans="1:39" ht="15" customHeight="1" x14ac:dyDescent="0.25">
      <c r="A273" s="131"/>
      <c r="B273" s="133"/>
      <c r="C273" s="133"/>
      <c r="D273" s="42" t="str">
        <f t="shared" si="108"/>
        <v/>
      </c>
      <c r="E273" s="43"/>
      <c r="F273" s="135"/>
      <c r="G273" s="77" t="str">
        <f t="shared" si="109"/>
        <v/>
      </c>
      <c r="H273" s="32" t="str">
        <f t="shared" si="110"/>
        <v/>
      </c>
      <c r="I273" s="78" t="str">
        <f t="shared" si="111"/>
        <v/>
      </c>
      <c r="J273" s="70" t="str">
        <f t="shared" si="112"/>
        <v/>
      </c>
      <c r="K273" s="135"/>
      <c r="L273" s="72" t="str">
        <f t="shared" si="113"/>
        <v/>
      </c>
      <c r="M273" s="135"/>
      <c r="N273" s="72" t="str">
        <f t="shared" si="114"/>
        <v/>
      </c>
      <c r="O273" s="135"/>
      <c r="P273" s="136"/>
      <c r="Q273" s="123" t="str">
        <f t="shared" si="115"/>
        <v/>
      </c>
      <c r="R273" s="45" t="str">
        <f t="shared" si="116"/>
        <v/>
      </c>
      <c r="S273" s="137"/>
      <c r="T273" s="79" t="str">
        <f t="shared" si="125"/>
        <v/>
      </c>
      <c r="U273" s="79" t="str">
        <f t="shared" si="117"/>
        <v/>
      </c>
      <c r="V273" s="73" t="str">
        <f t="shared" si="118"/>
        <v/>
      </c>
      <c r="W273" s="80" t="str">
        <f t="shared" si="119"/>
        <v/>
      </c>
      <c r="X273" s="73" t="str">
        <f t="shared" si="120"/>
        <v/>
      </c>
      <c r="Y273" s="80" t="str">
        <f t="shared" si="121"/>
        <v/>
      </c>
      <c r="Z273" s="74" t="str">
        <f t="shared" si="122"/>
        <v/>
      </c>
      <c r="AA273" s="75" t="str">
        <f t="shared" si="126"/>
        <v/>
      </c>
      <c r="AB273" s="103" t="str">
        <f t="shared" si="123"/>
        <v/>
      </c>
      <c r="AC273" s="104" t="str">
        <f t="shared" si="134"/>
        <v/>
      </c>
      <c r="AE273" s="139"/>
      <c r="AF273" s="110" t="str">
        <f t="shared" si="127"/>
        <v/>
      </c>
      <c r="AG273" s="111" t="str">
        <f t="shared" si="128"/>
        <v/>
      </c>
      <c r="AH273" s="111" t="str">
        <f t="shared" si="124"/>
        <v/>
      </c>
      <c r="AI273" s="111" t="str">
        <f t="shared" si="129"/>
        <v/>
      </c>
      <c r="AJ273" s="111" t="str">
        <f t="shared" si="130"/>
        <v/>
      </c>
      <c r="AK273" s="112" t="str">
        <f t="shared" si="131"/>
        <v/>
      </c>
      <c r="AL273" t="str">
        <f t="shared" si="132"/>
        <v/>
      </c>
      <c r="AM273" t="str">
        <f t="shared" si="133"/>
        <v/>
      </c>
    </row>
    <row r="274" spans="1:39" ht="15" customHeight="1" x14ac:dyDescent="0.25">
      <c r="A274" s="131"/>
      <c r="B274" s="133"/>
      <c r="C274" s="133"/>
      <c r="D274" s="42" t="str">
        <f t="shared" si="108"/>
        <v/>
      </c>
      <c r="E274" s="43"/>
      <c r="F274" s="135"/>
      <c r="G274" s="77" t="str">
        <f t="shared" si="109"/>
        <v/>
      </c>
      <c r="H274" s="32" t="str">
        <f t="shared" si="110"/>
        <v/>
      </c>
      <c r="I274" s="78" t="str">
        <f t="shared" si="111"/>
        <v/>
      </c>
      <c r="J274" s="70" t="str">
        <f t="shared" si="112"/>
        <v/>
      </c>
      <c r="K274" s="135"/>
      <c r="L274" s="72" t="str">
        <f t="shared" si="113"/>
        <v/>
      </c>
      <c r="M274" s="135"/>
      <c r="N274" s="72" t="str">
        <f t="shared" si="114"/>
        <v/>
      </c>
      <c r="O274" s="135"/>
      <c r="P274" s="136"/>
      <c r="Q274" s="123" t="str">
        <f t="shared" si="115"/>
        <v/>
      </c>
      <c r="R274" s="45" t="str">
        <f t="shared" si="116"/>
        <v/>
      </c>
      <c r="S274" s="137"/>
      <c r="T274" s="79" t="str">
        <f t="shared" si="125"/>
        <v/>
      </c>
      <c r="U274" s="79" t="str">
        <f t="shared" si="117"/>
        <v/>
      </c>
      <c r="V274" s="73" t="str">
        <f t="shared" si="118"/>
        <v/>
      </c>
      <c r="W274" s="80" t="str">
        <f t="shared" si="119"/>
        <v/>
      </c>
      <c r="X274" s="73" t="str">
        <f t="shared" si="120"/>
        <v/>
      </c>
      <c r="Y274" s="80" t="str">
        <f t="shared" si="121"/>
        <v/>
      </c>
      <c r="Z274" s="74" t="str">
        <f t="shared" si="122"/>
        <v/>
      </c>
      <c r="AA274" s="75" t="str">
        <f t="shared" si="126"/>
        <v/>
      </c>
      <c r="AB274" s="103" t="str">
        <f t="shared" si="123"/>
        <v/>
      </c>
      <c r="AC274" s="104" t="str">
        <f t="shared" si="134"/>
        <v/>
      </c>
      <c r="AE274" s="139"/>
      <c r="AF274" s="110" t="str">
        <f t="shared" si="127"/>
        <v/>
      </c>
      <c r="AG274" s="111" t="str">
        <f t="shared" si="128"/>
        <v/>
      </c>
      <c r="AH274" s="111" t="str">
        <f t="shared" si="124"/>
        <v/>
      </c>
      <c r="AI274" s="111" t="str">
        <f t="shared" si="129"/>
        <v/>
      </c>
      <c r="AJ274" s="111" t="str">
        <f t="shared" si="130"/>
        <v/>
      </c>
      <c r="AK274" s="112" t="str">
        <f t="shared" si="131"/>
        <v/>
      </c>
      <c r="AL274" t="str">
        <f t="shared" si="132"/>
        <v/>
      </c>
      <c r="AM274" t="str">
        <f t="shared" si="133"/>
        <v/>
      </c>
    </row>
    <row r="275" spans="1:39" ht="15" customHeight="1" x14ac:dyDescent="0.25">
      <c r="A275" s="131"/>
      <c r="B275" s="133"/>
      <c r="C275" s="133"/>
      <c r="D275" s="42" t="str">
        <f t="shared" si="108"/>
        <v/>
      </c>
      <c r="E275" s="43"/>
      <c r="F275" s="135"/>
      <c r="G275" s="77" t="str">
        <f t="shared" si="109"/>
        <v/>
      </c>
      <c r="H275" s="32" t="str">
        <f t="shared" si="110"/>
        <v/>
      </c>
      <c r="I275" s="78" t="str">
        <f t="shared" si="111"/>
        <v/>
      </c>
      <c r="J275" s="70" t="str">
        <f t="shared" si="112"/>
        <v/>
      </c>
      <c r="K275" s="135"/>
      <c r="L275" s="72" t="str">
        <f t="shared" si="113"/>
        <v/>
      </c>
      <c r="M275" s="135"/>
      <c r="N275" s="72" t="str">
        <f t="shared" si="114"/>
        <v/>
      </c>
      <c r="O275" s="135"/>
      <c r="P275" s="136"/>
      <c r="Q275" s="123" t="str">
        <f t="shared" si="115"/>
        <v/>
      </c>
      <c r="R275" s="45" t="str">
        <f t="shared" si="116"/>
        <v/>
      </c>
      <c r="S275" s="137"/>
      <c r="T275" s="79" t="str">
        <f t="shared" si="125"/>
        <v/>
      </c>
      <c r="U275" s="79" t="str">
        <f t="shared" si="117"/>
        <v/>
      </c>
      <c r="V275" s="73" t="str">
        <f t="shared" si="118"/>
        <v/>
      </c>
      <c r="W275" s="80" t="str">
        <f t="shared" si="119"/>
        <v/>
      </c>
      <c r="X275" s="73" t="str">
        <f t="shared" si="120"/>
        <v/>
      </c>
      <c r="Y275" s="80" t="str">
        <f t="shared" si="121"/>
        <v/>
      </c>
      <c r="Z275" s="74" t="str">
        <f t="shared" si="122"/>
        <v/>
      </c>
      <c r="AA275" s="75" t="str">
        <f t="shared" si="126"/>
        <v/>
      </c>
      <c r="AB275" s="103" t="str">
        <f t="shared" si="123"/>
        <v/>
      </c>
      <c r="AC275" s="104" t="str">
        <f t="shared" si="134"/>
        <v/>
      </c>
      <c r="AE275" s="139"/>
      <c r="AF275" s="110" t="str">
        <f t="shared" si="127"/>
        <v/>
      </c>
      <c r="AG275" s="111" t="str">
        <f t="shared" si="128"/>
        <v/>
      </c>
      <c r="AH275" s="111" t="str">
        <f t="shared" si="124"/>
        <v/>
      </c>
      <c r="AI275" s="111" t="str">
        <f t="shared" si="129"/>
        <v/>
      </c>
      <c r="AJ275" s="111" t="str">
        <f t="shared" si="130"/>
        <v/>
      </c>
      <c r="AK275" s="112" t="str">
        <f t="shared" si="131"/>
        <v/>
      </c>
      <c r="AL275" t="str">
        <f t="shared" si="132"/>
        <v/>
      </c>
      <c r="AM275" t="str">
        <f t="shared" si="133"/>
        <v/>
      </c>
    </row>
    <row r="276" spans="1:39" ht="15" customHeight="1" x14ac:dyDescent="0.25">
      <c r="A276" s="131"/>
      <c r="B276" s="133"/>
      <c r="C276" s="133"/>
      <c r="D276" s="42" t="str">
        <f t="shared" si="108"/>
        <v/>
      </c>
      <c r="E276" s="43"/>
      <c r="F276" s="135"/>
      <c r="G276" s="77" t="str">
        <f t="shared" si="109"/>
        <v/>
      </c>
      <c r="H276" s="32" t="str">
        <f t="shared" si="110"/>
        <v/>
      </c>
      <c r="I276" s="78" t="str">
        <f t="shared" si="111"/>
        <v/>
      </c>
      <c r="J276" s="70" t="str">
        <f t="shared" si="112"/>
        <v/>
      </c>
      <c r="K276" s="135"/>
      <c r="L276" s="72" t="str">
        <f t="shared" si="113"/>
        <v/>
      </c>
      <c r="M276" s="135"/>
      <c r="N276" s="72" t="str">
        <f t="shared" si="114"/>
        <v/>
      </c>
      <c r="O276" s="135"/>
      <c r="P276" s="136"/>
      <c r="Q276" s="123" t="str">
        <f t="shared" si="115"/>
        <v/>
      </c>
      <c r="R276" s="45" t="str">
        <f t="shared" si="116"/>
        <v/>
      </c>
      <c r="S276" s="137"/>
      <c r="T276" s="79" t="str">
        <f t="shared" si="125"/>
        <v/>
      </c>
      <c r="U276" s="79" t="str">
        <f t="shared" si="117"/>
        <v/>
      </c>
      <c r="V276" s="73" t="str">
        <f t="shared" si="118"/>
        <v/>
      </c>
      <c r="W276" s="80" t="str">
        <f t="shared" si="119"/>
        <v/>
      </c>
      <c r="X276" s="73" t="str">
        <f t="shared" si="120"/>
        <v/>
      </c>
      <c r="Y276" s="80" t="str">
        <f t="shared" si="121"/>
        <v/>
      </c>
      <c r="Z276" s="74" t="str">
        <f t="shared" si="122"/>
        <v/>
      </c>
      <c r="AA276" s="75" t="str">
        <f t="shared" si="126"/>
        <v/>
      </c>
      <c r="AB276" s="103" t="str">
        <f t="shared" si="123"/>
        <v/>
      </c>
      <c r="AC276" s="104" t="str">
        <f t="shared" si="134"/>
        <v/>
      </c>
      <c r="AE276" s="139"/>
      <c r="AF276" s="110" t="str">
        <f t="shared" si="127"/>
        <v/>
      </c>
      <c r="AG276" s="111" t="str">
        <f t="shared" si="128"/>
        <v/>
      </c>
      <c r="AH276" s="111" t="str">
        <f t="shared" si="124"/>
        <v/>
      </c>
      <c r="AI276" s="111" t="str">
        <f t="shared" si="129"/>
        <v/>
      </c>
      <c r="AJ276" s="111" t="str">
        <f t="shared" si="130"/>
        <v/>
      </c>
      <c r="AK276" s="112" t="str">
        <f t="shared" si="131"/>
        <v/>
      </c>
      <c r="AL276" t="str">
        <f t="shared" si="132"/>
        <v/>
      </c>
      <c r="AM276" t="str">
        <f t="shared" si="133"/>
        <v/>
      </c>
    </row>
    <row r="277" spans="1:39" ht="15" customHeight="1" x14ac:dyDescent="0.25">
      <c r="A277" s="131"/>
      <c r="B277" s="133"/>
      <c r="C277" s="133"/>
      <c r="D277" s="42" t="str">
        <f t="shared" si="108"/>
        <v/>
      </c>
      <c r="E277" s="43"/>
      <c r="F277" s="135"/>
      <c r="G277" s="77" t="str">
        <f t="shared" si="109"/>
        <v/>
      </c>
      <c r="H277" s="32" t="str">
        <f t="shared" si="110"/>
        <v/>
      </c>
      <c r="I277" s="78" t="str">
        <f t="shared" si="111"/>
        <v/>
      </c>
      <c r="J277" s="70" t="str">
        <f t="shared" si="112"/>
        <v/>
      </c>
      <c r="K277" s="135"/>
      <c r="L277" s="72" t="str">
        <f t="shared" si="113"/>
        <v/>
      </c>
      <c r="M277" s="135"/>
      <c r="N277" s="72" t="str">
        <f t="shared" si="114"/>
        <v/>
      </c>
      <c r="O277" s="135"/>
      <c r="P277" s="136"/>
      <c r="Q277" s="123" t="str">
        <f t="shared" si="115"/>
        <v/>
      </c>
      <c r="R277" s="45" t="str">
        <f t="shared" si="116"/>
        <v/>
      </c>
      <c r="S277" s="137"/>
      <c r="T277" s="79" t="str">
        <f t="shared" si="125"/>
        <v/>
      </c>
      <c r="U277" s="79" t="str">
        <f t="shared" si="117"/>
        <v/>
      </c>
      <c r="V277" s="73" t="str">
        <f t="shared" si="118"/>
        <v/>
      </c>
      <c r="W277" s="80" t="str">
        <f t="shared" si="119"/>
        <v/>
      </c>
      <c r="X277" s="73" t="str">
        <f t="shared" si="120"/>
        <v/>
      </c>
      <c r="Y277" s="80" t="str">
        <f t="shared" si="121"/>
        <v/>
      </c>
      <c r="Z277" s="74" t="str">
        <f t="shared" si="122"/>
        <v/>
      </c>
      <c r="AA277" s="75" t="str">
        <f t="shared" si="126"/>
        <v/>
      </c>
      <c r="AB277" s="103" t="str">
        <f t="shared" si="123"/>
        <v/>
      </c>
      <c r="AC277" s="104" t="str">
        <f t="shared" si="134"/>
        <v/>
      </c>
      <c r="AE277" s="139"/>
      <c r="AF277" s="110" t="str">
        <f t="shared" si="127"/>
        <v/>
      </c>
      <c r="AG277" s="111" t="str">
        <f t="shared" si="128"/>
        <v/>
      </c>
      <c r="AH277" s="111" t="str">
        <f t="shared" si="124"/>
        <v/>
      </c>
      <c r="AI277" s="111" t="str">
        <f t="shared" si="129"/>
        <v/>
      </c>
      <c r="AJ277" s="111" t="str">
        <f t="shared" si="130"/>
        <v/>
      </c>
      <c r="AK277" s="112" t="str">
        <f t="shared" si="131"/>
        <v/>
      </c>
      <c r="AL277" t="str">
        <f t="shared" si="132"/>
        <v/>
      </c>
      <c r="AM277" t="str">
        <f t="shared" si="133"/>
        <v/>
      </c>
    </row>
    <row r="278" spans="1:39" ht="15" customHeight="1" x14ac:dyDescent="0.25">
      <c r="A278" s="131"/>
      <c r="B278" s="133"/>
      <c r="C278" s="133"/>
      <c r="D278" s="42" t="str">
        <f t="shared" si="108"/>
        <v/>
      </c>
      <c r="E278" s="43"/>
      <c r="F278" s="135"/>
      <c r="G278" s="77" t="str">
        <f t="shared" si="109"/>
        <v/>
      </c>
      <c r="H278" s="32" t="str">
        <f t="shared" si="110"/>
        <v/>
      </c>
      <c r="I278" s="78" t="str">
        <f t="shared" si="111"/>
        <v/>
      </c>
      <c r="J278" s="70" t="str">
        <f t="shared" si="112"/>
        <v/>
      </c>
      <c r="K278" s="135"/>
      <c r="L278" s="72" t="str">
        <f t="shared" si="113"/>
        <v/>
      </c>
      <c r="M278" s="135"/>
      <c r="N278" s="72" t="str">
        <f t="shared" si="114"/>
        <v/>
      </c>
      <c r="O278" s="135"/>
      <c r="P278" s="136"/>
      <c r="Q278" s="123" t="str">
        <f t="shared" si="115"/>
        <v/>
      </c>
      <c r="R278" s="45" t="str">
        <f t="shared" si="116"/>
        <v/>
      </c>
      <c r="S278" s="137"/>
      <c r="T278" s="79" t="str">
        <f t="shared" si="125"/>
        <v/>
      </c>
      <c r="U278" s="79" t="str">
        <f t="shared" si="117"/>
        <v/>
      </c>
      <c r="V278" s="73" t="str">
        <f t="shared" si="118"/>
        <v/>
      </c>
      <c r="W278" s="80" t="str">
        <f t="shared" si="119"/>
        <v/>
      </c>
      <c r="X278" s="73" t="str">
        <f t="shared" si="120"/>
        <v/>
      </c>
      <c r="Y278" s="80" t="str">
        <f t="shared" si="121"/>
        <v/>
      </c>
      <c r="Z278" s="74" t="str">
        <f t="shared" si="122"/>
        <v/>
      </c>
      <c r="AA278" s="75" t="str">
        <f t="shared" si="126"/>
        <v/>
      </c>
      <c r="AB278" s="103" t="str">
        <f t="shared" si="123"/>
        <v/>
      </c>
      <c r="AC278" s="104" t="str">
        <f t="shared" si="134"/>
        <v/>
      </c>
      <c r="AE278" s="139"/>
      <c r="AF278" s="110" t="str">
        <f t="shared" si="127"/>
        <v/>
      </c>
      <c r="AG278" s="111" t="str">
        <f t="shared" si="128"/>
        <v/>
      </c>
      <c r="AH278" s="111" t="str">
        <f t="shared" si="124"/>
        <v/>
      </c>
      <c r="AI278" s="111" t="str">
        <f t="shared" si="129"/>
        <v/>
      </c>
      <c r="AJ278" s="111" t="str">
        <f t="shared" si="130"/>
        <v/>
      </c>
      <c r="AK278" s="112" t="str">
        <f t="shared" si="131"/>
        <v/>
      </c>
      <c r="AL278" t="str">
        <f t="shared" si="132"/>
        <v/>
      </c>
      <c r="AM278" t="str">
        <f t="shared" si="133"/>
        <v/>
      </c>
    </row>
    <row r="279" spans="1:39" ht="15" customHeight="1" x14ac:dyDescent="0.25">
      <c r="A279" s="131"/>
      <c r="B279" s="133"/>
      <c r="C279" s="133"/>
      <c r="D279" s="42" t="str">
        <f t="shared" si="108"/>
        <v/>
      </c>
      <c r="E279" s="43"/>
      <c r="F279" s="135"/>
      <c r="G279" s="77" t="str">
        <f t="shared" si="109"/>
        <v/>
      </c>
      <c r="H279" s="32" t="str">
        <f t="shared" si="110"/>
        <v/>
      </c>
      <c r="I279" s="78" t="str">
        <f t="shared" si="111"/>
        <v/>
      </c>
      <c r="J279" s="70" t="str">
        <f t="shared" si="112"/>
        <v/>
      </c>
      <c r="K279" s="135"/>
      <c r="L279" s="72" t="str">
        <f t="shared" si="113"/>
        <v/>
      </c>
      <c r="M279" s="135"/>
      <c r="N279" s="72" t="str">
        <f t="shared" si="114"/>
        <v/>
      </c>
      <c r="O279" s="135"/>
      <c r="P279" s="136"/>
      <c r="Q279" s="123" t="str">
        <f t="shared" si="115"/>
        <v/>
      </c>
      <c r="R279" s="45" t="str">
        <f t="shared" si="116"/>
        <v/>
      </c>
      <c r="S279" s="137"/>
      <c r="T279" s="79" t="str">
        <f t="shared" si="125"/>
        <v/>
      </c>
      <c r="U279" s="79" t="str">
        <f t="shared" si="117"/>
        <v/>
      </c>
      <c r="V279" s="73" t="str">
        <f t="shared" si="118"/>
        <v/>
      </c>
      <c r="W279" s="80" t="str">
        <f t="shared" si="119"/>
        <v/>
      </c>
      <c r="X279" s="73" t="str">
        <f t="shared" si="120"/>
        <v/>
      </c>
      <c r="Y279" s="80" t="str">
        <f t="shared" si="121"/>
        <v/>
      </c>
      <c r="Z279" s="74" t="str">
        <f t="shared" si="122"/>
        <v/>
      </c>
      <c r="AA279" s="75" t="str">
        <f t="shared" si="126"/>
        <v/>
      </c>
      <c r="AB279" s="103" t="str">
        <f t="shared" si="123"/>
        <v/>
      </c>
      <c r="AC279" s="104" t="str">
        <f t="shared" si="134"/>
        <v/>
      </c>
      <c r="AE279" s="139"/>
      <c r="AF279" s="110" t="str">
        <f t="shared" si="127"/>
        <v/>
      </c>
      <c r="AG279" s="111" t="str">
        <f t="shared" si="128"/>
        <v/>
      </c>
      <c r="AH279" s="111" t="str">
        <f t="shared" si="124"/>
        <v/>
      </c>
      <c r="AI279" s="111" t="str">
        <f t="shared" si="129"/>
        <v/>
      </c>
      <c r="AJ279" s="111" t="str">
        <f t="shared" si="130"/>
        <v/>
      </c>
      <c r="AK279" s="112" t="str">
        <f t="shared" si="131"/>
        <v/>
      </c>
      <c r="AL279" t="str">
        <f t="shared" si="132"/>
        <v/>
      </c>
      <c r="AM279" t="str">
        <f t="shared" si="133"/>
        <v/>
      </c>
    </row>
    <row r="280" spans="1:39" ht="15" customHeight="1" x14ac:dyDescent="0.25">
      <c r="A280" s="131"/>
      <c r="B280" s="133"/>
      <c r="C280" s="133"/>
      <c r="D280" s="42" t="str">
        <f t="shared" si="108"/>
        <v/>
      </c>
      <c r="E280" s="43"/>
      <c r="F280" s="135"/>
      <c r="G280" s="77" t="str">
        <f t="shared" si="109"/>
        <v/>
      </c>
      <c r="H280" s="32" t="str">
        <f t="shared" si="110"/>
        <v/>
      </c>
      <c r="I280" s="78" t="str">
        <f t="shared" si="111"/>
        <v/>
      </c>
      <c r="J280" s="70" t="str">
        <f t="shared" si="112"/>
        <v/>
      </c>
      <c r="K280" s="135"/>
      <c r="L280" s="72" t="str">
        <f t="shared" si="113"/>
        <v/>
      </c>
      <c r="M280" s="135"/>
      <c r="N280" s="72" t="str">
        <f t="shared" si="114"/>
        <v/>
      </c>
      <c r="O280" s="135"/>
      <c r="P280" s="136"/>
      <c r="Q280" s="123" t="str">
        <f t="shared" si="115"/>
        <v/>
      </c>
      <c r="R280" s="45" t="str">
        <f t="shared" si="116"/>
        <v/>
      </c>
      <c r="S280" s="137"/>
      <c r="T280" s="79" t="str">
        <f t="shared" si="125"/>
        <v/>
      </c>
      <c r="U280" s="79" t="str">
        <f t="shared" si="117"/>
        <v/>
      </c>
      <c r="V280" s="73" t="str">
        <f t="shared" si="118"/>
        <v/>
      </c>
      <c r="W280" s="80" t="str">
        <f t="shared" si="119"/>
        <v/>
      </c>
      <c r="X280" s="73" t="str">
        <f t="shared" si="120"/>
        <v/>
      </c>
      <c r="Y280" s="80" t="str">
        <f t="shared" si="121"/>
        <v/>
      </c>
      <c r="Z280" s="74" t="str">
        <f t="shared" si="122"/>
        <v/>
      </c>
      <c r="AA280" s="75" t="str">
        <f t="shared" si="126"/>
        <v/>
      </c>
      <c r="AB280" s="103" t="str">
        <f t="shared" si="123"/>
        <v/>
      </c>
      <c r="AC280" s="104" t="str">
        <f t="shared" si="134"/>
        <v/>
      </c>
      <c r="AE280" s="139"/>
      <c r="AF280" s="110" t="str">
        <f t="shared" si="127"/>
        <v/>
      </c>
      <c r="AG280" s="111" t="str">
        <f t="shared" si="128"/>
        <v/>
      </c>
      <c r="AH280" s="111" t="str">
        <f t="shared" si="124"/>
        <v/>
      </c>
      <c r="AI280" s="111" t="str">
        <f t="shared" si="129"/>
        <v/>
      </c>
      <c r="AJ280" s="111" t="str">
        <f t="shared" si="130"/>
        <v/>
      </c>
      <c r="AK280" s="112" t="str">
        <f t="shared" si="131"/>
        <v/>
      </c>
      <c r="AL280" t="str">
        <f t="shared" si="132"/>
        <v/>
      </c>
      <c r="AM280" t="str">
        <f t="shared" si="133"/>
        <v/>
      </c>
    </row>
    <row r="281" spans="1:39" ht="15" customHeight="1" x14ac:dyDescent="0.25">
      <c r="A281" s="131"/>
      <c r="B281" s="133"/>
      <c r="C281" s="133"/>
      <c r="D281" s="42" t="str">
        <f t="shared" si="108"/>
        <v/>
      </c>
      <c r="E281" s="43"/>
      <c r="F281" s="135"/>
      <c r="G281" s="77" t="str">
        <f t="shared" si="109"/>
        <v/>
      </c>
      <c r="H281" s="32" t="str">
        <f t="shared" si="110"/>
        <v/>
      </c>
      <c r="I281" s="78" t="str">
        <f t="shared" si="111"/>
        <v/>
      </c>
      <c r="J281" s="70" t="str">
        <f t="shared" si="112"/>
        <v/>
      </c>
      <c r="K281" s="135"/>
      <c r="L281" s="72" t="str">
        <f t="shared" si="113"/>
        <v/>
      </c>
      <c r="M281" s="135"/>
      <c r="N281" s="72" t="str">
        <f t="shared" si="114"/>
        <v/>
      </c>
      <c r="O281" s="135"/>
      <c r="P281" s="136"/>
      <c r="Q281" s="123" t="str">
        <f t="shared" si="115"/>
        <v/>
      </c>
      <c r="R281" s="45" t="str">
        <f t="shared" si="116"/>
        <v/>
      </c>
      <c r="S281" s="137"/>
      <c r="T281" s="79" t="str">
        <f t="shared" si="125"/>
        <v/>
      </c>
      <c r="U281" s="79" t="str">
        <f t="shared" si="117"/>
        <v/>
      </c>
      <c r="V281" s="73" t="str">
        <f t="shared" si="118"/>
        <v/>
      </c>
      <c r="W281" s="80" t="str">
        <f t="shared" si="119"/>
        <v/>
      </c>
      <c r="X281" s="73" t="str">
        <f t="shared" si="120"/>
        <v/>
      </c>
      <c r="Y281" s="80" t="str">
        <f t="shared" si="121"/>
        <v/>
      </c>
      <c r="Z281" s="74" t="str">
        <f t="shared" si="122"/>
        <v/>
      </c>
      <c r="AA281" s="75" t="str">
        <f t="shared" si="126"/>
        <v/>
      </c>
      <c r="AB281" s="103" t="str">
        <f t="shared" si="123"/>
        <v/>
      </c>
      <c r="AC281" s="104" t="str">
        <f t="shared" si="134"/>
        <v/>
      </c>
      <c r="AE281" s="139"/>
      <c r="AF281" s="110" t="str">
        <f t="shared" si="127"/>
        <v/>
      </c>
      <c r="AG281" s="111" t="str">
        <f t="shared" si="128"/>
        <v/>
      </c>
      <c r="AH281" s="111" t="str">
        <f t="shared" si="124"/>
        <v/>
      </c>
      <c r="AI281" s="111" t="str">
        <f t="shared" si="129"/>
        <v/>
      </c>
      <c r="AJ281" s="111" t="str">
        <f t="shared" si="130"/>
        <v/>
      </c>
      <c r="AK281" s="112" t="str">
        <f t="shared" si="131"/>
        <v/>
      </c>
      <c r="AL281" t="str">
        <f t="shared" si="132"/>
        <v/>
      </c>
      <c r="AM281" t="str">
        <f t="shared" si="133"/>
        <v/>
      </c>
    </row>
    <row r="282" spans="1:39" ht="15" customHeight="1" x14ac:dyDescent="0.25">
      <c r="A282" s="131"/>
      <c r="B282" s="133"/>
      <c r="C282" s="133"/>
      <c r="D282" s="42" t="str">
        <f t="shared" si="108"/>
        <v/>
      </c>
      <c r="E282" s="43"/>
      <c r="F282" s="135"/>
      <c r="G282" s="77" t="str">
        <f t="shared" si="109"/>
        <v/>
      </c>
      <c r="H282" s="32" t="str">
        <f t="shared" si="110"/>
        <v/>
      </c>
      <c r="I282" s="78" t="str">
        <f t="shared" si="111"/>
        <v/>
      </c>
      <c r="J282" s="70" t="str">
        <f t="shared" si="112"/>
        <v/>
      </c>
      <c r="K282" s="135"/>
      <c r="L282" s="72" t="str">
        <f t="shared" si="113"/>
        <v/>
      </c>
      <c r="M282" s="135"/>
      <c r="N282" s="72" t="str">
        <f t="shared" si="114"/>
        <v/>
      </c>
      <c r="O282" s="135"/>
      <c r="P282" s="136"/>
      <c r="Q282" s="123" t="str">
        <f t="shared" si="115"/>
        <v/>
      </c>
      <c r="R282" s="45" t="str">
        <f t="shared" si="116"/>
        <v/>
      </c>
      <c r="S282" s="137"/>
      <c r="T282" s="79" t="str">
        <f t="shared" si="125"/>
        <v/>
      </c>
      <c r="U282" s="79" t="str">
        <f t="shared" si="117"/>
        <v/>
      </c>
      <c r="V282" s="73" t="str">
        <f t="shared" si="118"/>
        <v/>
      </c>
      <c r="W282" s="80" t="str">
        <f t="shared" si="119"/>
        <v/>
      </c>
      <c r="X282" s="73" t="str">
        <f t="shared" si="120"/>
        <v/>
      </c>
      <c r="Y282" s="80" t="str">
        <f t="shared" si="121"/>
        <v/>
      </c>
      <c r="Z282" s="74" t="str">
        <f t="shared" si="122"/>
        <v/>
      </c>
      <c r="AA282" s="75" t="str">
        <f t="shared" si="126"/>
        <v/>
      </c>
      <c r="AB282" s="103" t="str">
        <f t="shared" si="123"/>
        <v/>
      </c>
      <c r="AC282" s="104" t="str">
        <f t="shared" si="134"/>
        <v/>
      </c>
      <c r="AE282" s="139"/>
      <c r="AF282" s="110" t="str">
        <f t="shared" si="127"/>
        <v/>
      </c>
      <c r="AG282" s="111" t="str">
        <f t="shared" si="128"/>
        <v/>
      </c>
      <c r="AH282" s="111" t="str">
        <f t="shared" si="124"/>
        <v/>
      </c>
      <c r="AI282" s="111" t="str">
        <f t="shared" si="129"/>
        <v/>
      </c>
      <c r="AJ282" s="111" t="str">
        <f t="shared" si="130"/>
        <v/>
      </c>
      <c r="AK282" s="112" t="str">
        <f t="shared" si="131"/>
        <v/>
      </c>
      <c r="AL282" t="str">
        <f t="shared" si="132"/>
        <v/>
      </c>
      <c r="AM282" t="str">
        <f t="shared" si="133"/>
        <v/>
      </c>
    </row>
    <row r="283" spans="1:39" ht="15" customHeight="1" x14ac:dyDescent="0.25">
      <c r="A283" s="131"/>
      <c r="B283" s="133"/>
      <c r="C283" s="133"/>
      <c r="D283" s="42" t="str">
        <f t="shared" si="108"/>
        <v/>
      </c>
      <c r="E283" s="43"/>
      <c r="F283" s="135"/>
      <c r="G283" s="77" t="str">
        <f t="shared" si="109"/>
        <v/>
      </c>
      <c r="H283" s="32" t="str">
        <f t="shared" si="110"/>
        <v/>
      </c>
      <c r="I283" s="78" t="str">
        <f t="shared" si="111"/>
        <v/>
      </c>
      <c r="J283" s="70" t="str">
        <f t="shared" si="112"/>
        <v/>
      </c>
      <c r="K283" s="135"/>
      <c r="L283" s="72" t="str">
        <f t="shared" si="113"/>
        <v/>
      </c>
      <c r="M283" s="135"/>
      <c r="N283" s="72" t="str">
        <f t="shared" si="114"/>
        <v/>
      </c>
      <c r="O283" s="135"/>
      <c r="P283" s="136"/>
      <c r="Q283" s="123" t="str">
        <f t="shared" si="115"/>
        <v/>
      </c>
      <c r="R283" s="45" t="str">
        <f t="shared" si="116"/>
        <v/>
      </c>
      <c r="S283" s="137"/>
      <c r="T283" s="79" t="str">
        <f t="shared" si="125"/>
        <v/>
      </c>
      <c r="U283" s="79" t="str">
        <f t="shared" si="117"/>
        <v/>
      </c>
      <c r="V283" s="73" t="str">
        <f t="shared" si="118"/>
        <v/>
      </c>
      <c r="W283" s="80" t="str">
        <f t="shared" si="119"/>
        <v/>
      </c>
      <c r="X283" s="73" t="str">
        <f t="shared" si="120"/>
        <v/>
      </c>
      <c r="Y283" s="80" t="str">
        <f t="shared" si="121"/>
        <v/>
      </c>
      <c r="Z283" s="74" t="str">
        <f t="shared" si="122"/>
        <v/>
      </c>
      <c r="AA283" s="75" t="str">
        <f t="shared" si="126"/>
        <v/>
      </c>
      <c r="AB283" s="103" t="str">
        <f t="shared" si="123"/>
        <v/>
      </c>
      <c r="AC283" s="104" t="str">
        <f t="shared" si="134"/>
        <v/>
      </c>
      <c r="AE283" s="139"/>
      <c r="AF283" s="110" t="str">
        <f t="shared" si="127"/>
        <v/>
      </c>
      <c r="AG283" s="111" t="str">
        <f t="shared" si="128"/>
        <v/>
      </c>
      <c r="AH283" s="111" t="str">
        <f t="shared" si="124"/>
        <v/>
      </c>
      <c r="AI283" s="111" t="str">
        <f t="shared" si="129"/>
        <v/>
      </c>
      <c r="AJ283" s="111" t="str">
        <f t="shared" si="130"/>
        <v/>
      </c>
      <c r="AK283" s="112" t="str">
        <f t="shared" si="131"/>
        <v/>
      </c>
      <c r="AL283" t="str">
        <f t="shared" si="132"/>
        <v/>
      </c>
      <c r="AM283" t="str">
        <f t="shared" si="133"/>
        <v/>
      </c>
    </row>
    <row r="284" spans="1:39" ht="15" customHeight="1" x14ac:dyDescent="0.25">
      <c r="A284" s="131"/>
      <c r="B284" s="133"/>
      <c r="C284" s="133"/>
      <c r="D284" s="42" t="str">
        <f t="shared" si="108"/>
        <v/>
      </c>
      <c r="E284" s="43"/>
      <c r="F284" s="135"/>
      <c r="G284" s="77" t="str">
        <f t="shared" si="109"/>
        <v/>
      </c>
      <c r="H284" s="32" t="str">
        <f t="shared" si="110"/>
        <v/>
      </c>
      <c r="I284" s="78" t="str">
        <f t="shared" si="111"/>
        <v/>
      </c>
      <c r="J284" s="70" t="str">
        <f t="shared" si="112"/>
        <v/>
      </c>
      <c r="K284" s="135"/>
      <c r="L284" s="72" t="str">
        <f t="shared" si="113"/>
        <v/>
      </c>
      <c r="M284" s="135"/>
      <c r="N284" s="72" t="str">
        <f t="shared" si="114"/>
        <v/>
      </c>
      <c r="O284" s="135"/>
      <c r="P284" s="136"/>
      <c r="Q284" s="123" t="str">
        <f t="shared" si="115"/>
        <v/>
      </c>
      <c r="R284" s="45" t="str">
        <f t="shared" si="116"/>
        <v/>
      </c>
      <c r="S284" s="137"/>
      <c r="T284" s="79" t="str">
        <f t="shared" si="125"/>
        <v/>
      </c>
      <c r="U284" s="79" t="str">
        <f t="shared" si="117"/>
        <v/>
      </c>
      <c r="V284" s="73" t="str">
        <f t="shared" si="118"/>
        <v/>
      </c>
      <c r="W284" s="80" t="str">
        <f t="shared" si="119"/>
        <v/>
      </c>
      <c r="X284" s="73" t="str">
        <f t="shared" si="120"/>
        <v/>
      </c>
      <c r="Y284" s="80" t="str">
        <f t="shared" si="121"/>
        <v/>
      </c>
      <c r="Z284" s="74" t="str">
        <f t="shared" si="122"/>
        <v/>
      </c>
      <c r="AA284" s="75" t="str">
        <f t="shared" si="126"/>
        <v/>
      </c>
      <c r="AB284" s="103" t="str">
        <f t="shared" si="123"/>
        <v/>
      </c>
      <c r="AC284" s="104" t="str">
        <f t="shared" si="134"/>
        <v/>
      </c>
      <c r="AE284" s="139"/>
      <c r="AF284" s="110" t="str">
        <f t="shared" si="127"/>
        <v/>
      </c>
      <c r="AG284" s="111" t="str">
        <f t="shared" si="128"/>
        <v/>
      </c>
      <c r="AH284" s="111" t="str">
        <f t="shared" si="124"/>
        <v/>
      </c>
      <c r="AI284" s="111" t="str">
        <f t="shared" si="129"/>
        <v/>
      </c>
      <c r="AJ284" s="111" t="str">
        <f t="shared" si="130"/>
        <v/>
      </c>
      <c r="AK284" s="112" t="str">
        <f t="shared" si="131"/>
        <v/>
      </c>
      <c r="AL284" t="str">
        <f t="shared" si="132"/>
        <v/>
      </c>
      <c r="AM284" t="str">
        <f t="shared" si="133"/>
        <v/>
      </c>
    </row>
    <row r="285" spans="1:39" ht="15" customHeight="1" x14ac:dyDescent="0.25">
      <c r="A285" s="131"/>
      <c r="B285" s="133"/>
      <c r="C285" s="133"/>
      <c r="D285" s="42" t="str">
        <f t="shared" si="108"/>
        <v/>
      </c>
      <c r="E285" s="43"/>
      <c r="F285" s="135"/>
      <c r="G285" s="77" t="str">
        <f t="shared" si="109"/>
        <v/>
      </c>
      <c r="H285" s="32" t="str">
        <f t="shared" si="110"/>
        <v/>
      </c>
      <c r="I285" s="78" t="str">
        <f t="shared" si="111"/>
        <v/>
      </c>
      <c r="J285" s="70" t="str">
        <f t="shared" si="112"/>
        <v/>
      </c>
      <c r="K285" s="135"/>
      <c r="L285" s="72" t="str">
        <f t="shared" si="113"/>
        <v/>
      </c>
      <c r="M285" s="135"/>
      <c r="N285" s="72" t="str">
        <f t="shared" si="114"/>
        <v/>
      </c>
      <c r="O285" s="135"/>
      <c r="P285" s="136"/>
      <c r="Q285" s="123" t="str">
        <f t="shared" si="115"/>
        <v/>
      </c>
      <c r="R285" s="45" t="str">
        <f t="shared" si="116"/>
        <v/>
      </c>
      <c r="S285" s="137"/>
      <c r="T285" s="79" t="str">
        <f t="shared" si="125"/>
        <v/>
      </c>
      <c r="U285" s="79" t="str">
        <f t="shared" si="117"/>
        <v/>
      </c>
      <c r="V285" s="73" t="str">
        <f t="shared" si="118"/>
        <v/>
      </c>
      <c r="W285" s="80" t="str">
        <f t="shared" si="119"/>
        <v/>
      </c>
      <c r="X285" s="73" t="str">
        <f t="shared" si="120"/>
        <v/>
      </c>
      <c r="Y285" s="80" t="str">
        <f t="shared" si="121"/>
        <v/>
      </c>
      <c r="Z285" s="74" t="str">
        <f t="shared" si="122"/>
        <v/>
      </c>
      <c r="AA285" s="75" t="str">
        <f t="shared" si="126"/>
        <v/>
      </c>
      <c r="AB285" s="103" t="str">
        <f t="shared" si="123"/>
        <v/>
      </c>
      <c r="AC285" s="104" t="str">
        <f t="shared" si="134"/>
        <v/>
      </c>
      <c r="AE285" s="139"/>
      <c r="AF285" s="110" t="str">
        <f t="shared" si="127"/>
        <v/>
      </c>
      <c r="AG285" s="111" t="str">
        <f t="shared" si="128"/>
        <v/>
      </c>
      <c r="AH285" s="111" t="str">
        <f t="shared" si="124"/>
        <v/>
      </c>
      <c r="AI285" s="111" t="str">
        <f t="shared" si="129"/>
        <v/>
      </c>
      <c r="AJ285" s="111" t="str">
        <f t="shared" si="130"/>
        <v/>
      </c>
      <c r="AK285" s="112" t="str">
        <f t="shared" si="131"/>
        <v/>
      </c>
      <c r="AL285" t="str">
        <f t="shared" si="132"/>
        <v/>
      </c>
      <c r="AM285" t="str">
        <f t="shared" si="133"/>
        <v/>
      </c>
    </row>
    <row r="286" spans="1:39" ht="15" customHeight="1" x14ac:dyDescent="0.25">
      <c r="A286" s="131"/>
      <c r="B286" s="133"/>
      <c r="C286" s="133"/>
      <c r="D286" s="42" t="str">
        <f t="shared" si="108"/>
        <v/>
      </c>
      <c r="E286" s="43"/>
      <c r="F286" s="135"/>
      <c r="G286" s="77" t="str">
        <f t="shared" si="109"/>
        <v/>
      </c>
      <c r="H286" s="32" t="str">
        <f t="shared" si="110"/>
        <v/>
      </c>
      <c r="I286" s="78" t="str">
        <f t="shared" si="111"/>
        <v/>
      </c>
      <c r="J286" s="70" t="str">
        <f t="shared" si="112"/>
        <v/>
      </c>
      <c r="K286" s="135"/>
      <c r="L286" s="72" t="str">
        <f t="shared" si="113"/>
        <v/>
      </c>
      <c r="M286" s="135"/>
      <c r="N286" s="72" t="str">
        <f t="shared" si="114"/>
        <v/>
      </c>
      <c r="O286" s="135"/>
      <c r="P286" s="136"/>
      <c r="Q286" s="123" t="str">
        <f t="shared" si="115"/>
        <v/>
      </c>
      <c r="R286" s="45" t="str">
        <f t="shared" si="116"/>
        <v/>
      </c>
      <c r="S286" s="137"/>
      <c r="T286" s="79" t="str">
        <f t="shared" si="125"/>
        <v/>
      </c>
      <c r="U286" s="79" t="str">
        <f t="shared" si="117"/>
        <v/>
      </c>
      <c r="V286" s="73" t="str">
        <f t="shared" si="118"/>
        <v/>
      </c>
      <c r="W286" s="80" t="str">
        <f t="shared" si="119"/>
        <v/>
      </c>
      <c r="X286" s="73" t="str">
        <f t="shared" si="120"/>
        <v/>
      </c>
      <c r="Y286" s="80" t="str">
        <f t="shared" si="121"/>
        <v/>
      </c>
      <c r="Z286" s="74" t="str">
        <f t="shared" si="122"/>
        <v/>
      </c>
      <c r="AA286" s="75" t="str">
        <f t="shared" si="126"/>
        <v/>
      </c>
      <c r="AB286" s="103" t="str">
        <f t="shared" si="123"/>
        <v/>
      </c>
      <c r="AC286" s="104" t="str">
        <f t="shared" si="134"/>
        <v/>
      </c>
      <c r="AE286" s="139"/>
      <c r="AF286" s="110" t="str">
        <f t="shared" si="127"/>
        <v/>
      </c>
      <c r="AG286" s="111" t="str">
        <f t="shared" si="128"/>
        <v/>
      </c>
      <c r="AH286" s="111" t="str">
        <f t="shared" si="124"/>
        <v/>
      </c>
      <c r="AI286" s="111" t="str">
        <f t="shared" si="129"/>
        <v/>
      </c>
      <c r="AJ286" s="111" t="str">
        <f t="shared" si="130"/>
        <v/>
      </c>
      <c r="AK286" s="112" t="str">
        <f t="shared" si="131"/>
        <v/>
      </c>
      <c r="AL286" t="str">
        <f t="shared" si="132"/>
        <v/>
      </c>
      <c r="AM286" t="str">
        <f t="shared" si="133"/>
        <v/>
      </c>
    </row>
    <row r="287" spans="1:39" ht="15" customHeight="1" x14ac:dyDescent="0.25">
      <c r="A287" s="131"/>
      <c r="B287" s="133"/>
      <c r="C287" s="133"/>
      <c r="D287" s="42" t="str">
        <f t="shared" si="108"/>
        <v/>
      </c>
      <c r="E287" s="43"/>
      <c r="F287" s="135"/>
      <c r="G287" s="77" t="str">
        <f t="shared" si="109"/>
        <v/>
      </c>
      <c r="H287" s="32" t="str">
        <f t="shared" si="110"/>
        <v/>
      </c>
      <c r="I287" s="78" t="str">
        <f t="shared" si="111"/>
        <v/>
      </c>
      <c r="J287" s="70" t="str">
        <f t="shared" si="112"/>
        <v/>
      </c>
      <c r="K287" s="135"/>
      <c r="L287" s="72" t="str">
        <f t="shared" si="113"/>
        <v/>
      </c>
      <c r="M287" s="135"/>
      <c r="N287" s="72" t="str">
        <f t="shared" si="114"/>
        <v/>
      </c>
      <c r="O287" s="135"/>
      <c r="P287" s="136"/>
      <c r="Q287" s="123" t="str">
        <f t="shared" si="115"/>
        <v/>
      </c>
      <c r="R287" s="45" t="str">
        <f t="shared" si="116"/>
        <v/>
      </c>
      <c r="S287" s="137"/>
      <c r="T287" s="79" t="str">
        <f t="shared" si="125"/>
        <v/>
      </c>
      <c r="U287" s="79" t="str">
        <f t="shared" si="117"/>
        <v/>
      </c>
      <c r="V287" s="73" t="str">
        <f t="shared" si="118"/>
        <v/>
      </c>
      <c r="W287" s="80" t="str">
        <f t="shared" si="119"/>
        <v/>
      </c>
      <c r="X287" s="73" t="str">
        <f t="shared" si="120"/>
        <v/>
      </c>
      <c r="Y287" s="80" t="str">
        <f t="shared" si="121"/>
        <v/>
      </c>
      <c r="Z287" s="74" t="str">
        <f t="shared" si="122"/>
        <v/>
      </c>
      <c r="AA287" s="75" t="str">
        <f t="shared" si="126"/>
        <v/>
      </c>
      <c r="AB287" s="103" t="str">
        <f t="shared" si="123"/>
        <v/>
      </c>
      <c r="AC287" s="104" t="str">
        <f t="shared" si="134"/>
        <v/>
      </c>
      <c r="AE287" s="139"/>
      <c r="AF287" s="110" t="str">
        <f t="shared" si="127"/>
        <v/>
      </c>
      <c r="AG287" s="111" t="str">
        <f t="shared" si="128"/>
        <v/>
      </c>
      <c r="AH287" s="111" t="str">
        <f t="shared" si="124"/>
        <v/>
      </c>
      <c r="AI287" s="111" t="str">
        <f t="shared" si="129"/>
        <v/>
      </c>
      <c r="AJ287" s="111" t="str">
        <f t="shared" si="130"/>
        <v/>
      </c>
      <c r="AK287" s="112" t="str">
        <f t="shared" si="131"/>
        <v/>
      </c>
      <c r="AL287" t="str">
        <f t="shared" si="132"/>
        <v/>
      </c>
      <c r="AM287" t="str">
        <f t="shared" si="133"/>
        <v/>
      </c>
    </row>
    <row r="288" spans="1:39" ht="15" customHeight="1" x14ac:dyDescent="0.25">
      <c r="A288" s="131"/>
      <c r="B288" s="133"/>
      <c r="C288" s="133"/>
      <c r="D288" s="42" t="str">
        <f t="shared" si="108"/>
        <v/>
      </c>
      <c r="E288" s="43"/>
      <c r="F288" s="135"/>
      <c r="G288" s="77" t="str">
        <f t="shared" si="109"/>
        <v/>
      </c>
      <c r="H288" s="32" t="str">
        <f t="shared" si="110"/>
        <v/>
      </c>
      <c r="I288" s="78" t="str">
        <f t="shared" si="111"/>
        <v/>
      </c>
      <c r="J288" s="70" t="str">
        <f t="shared" si="112"/>
        <v/>
      </c>
      <c r="K288" s="135"/>
      <c r="L288" s="72" t="str">
        <f t="shared" si="113"/>
        <v/>
      </c>
      <c r="M288" s="135"/>
      <c r="N288" s="72" t="str">
        <f t="shared" si="114"/>
        <v/>
      </c>
      <c r="O288" s="135"/>
      <c r="P288" s="136"/>
      <c r="Q288" s="123" t="str">
        <f t="shared" si="115"/>
        <v/>
      </c>
      <c r="R288" s="45" t="str">
        <f t="shared" si="116"/>
        <v/>
      </c>
      <c r="S288" s="137"/>
      <c r="T288" s="79" t="str">
        <f t="shared" si="125"/>
        <v/>
      </c>
      <c r="U288" s="79" t="str">
        <f t="shared" si="117"/>
        <v/>
      </c>
      <c r="V288" s="73" t="str">
        <f t="shared" si="118"/>
        <v/>
      </c>
      <c r="W288" s="80" t="str">
        <f t="shared" si="119"/>
        <v/>
      </c>
      <c r="X288" s="73" t="str">
        <f t="shared" si="120"/>
        <v/>
      </c>
      <c r="Y288" s="80" t="str">
        <f t="shared" si="121"/>
        <v/>
      </c>
      <c r="Z288" s="74" t="str">
        <f t="shared" si="122"/>
        <v/>
      </c>
      <c r="AA288" s="75" t="str">
        <f t="shared" si="126"/>
        <v/>
      </c>
      <c r="AB288" s="103" t="str">
        <f t="shared" si="123"/>
        <v/>
      </c>
      <c r="AC288" s="104" t="str">
        <f t="shared" si="134"/>
        <v/>
      </c>
      <c r="AE288" s="139"/>
      <c r="AF288" s="110" t="str">
        <f t="shared" si="127"/>
        <v/>
      </c>
      <c r="AG288" s="111" t="str">
        <f t="shared" si="128"/>
        <v/>
      </c>
      <c r="AH288" s="111" t="str">
        <f t="shared" si="124"/>
        <v/>
      </c>
      <c r="AI288" s="111" t="str">
        <f t="shared" si="129"/>
        <v/>
      </c>
      <c r="AJ288" s="111" t="str">
        <f t="shared" si="130"/>
        <v/>
      </c>
      <c r="AK288" s="112" t="str">
        <f t="shared" si="131"/>
        <v/>
      </c>
      <c r="AL288" t="str">
        <f t="shared" si="132"/>
        <v/>
      </c>
      <c r="AM288" t="str">
        <f t="shared" si="133"/>
        <v/>
      </c>
    </row>
    <row r="289" spans="1:39" ht="15" customHeight="1" x14ac:dyDescent="0.25">
      <c r="A289" s="131"/>
      <c r="B289" s="133"/>
      <c r="C289" s="133"/>
      <c r="D289" s="42" t="str">
        <f t="shared" si="108"/>
        <v/>
      </c>
      <c r="E289" s="43"/>
      <c r="F289" s="135"/>
      <c r="G289" s="77" t="str">
        <f t="shared" si="109"/>
        <v/>
      </c>
      <c r="H289" s="32" t="str">
        <f t="shared" si="110"/>
        <v/>
      </c>
      <c r="I289" s="78" t="str">
        <f t="shared" si="111"/>
        <v/>
      </c>
      <c r="J289" s="70" t="str">
        <f t="shared" si="112"/>
        <v/>
      </c>
      <c r="K289" s="135"/>
      <c r="L289" s="72" t="str">
        <f t="shared" si="113"/>
        <v/>
      </c>
      <c r="M289" s="135"/>
      <c r="N289" s="72" t="str">
        <f t="shared" si="114"/>
        <v/>
      </c>
      <c r="O289" s="135"/>
      <c r="P289" s="136"/>
      <c r="Q289" s="123" t="str">
        <f t="shared" si="115"/>
        <v/>
      </c>
      <c r="R289" s="45" t="str">
        <f t="shared" si="116"/>
        <v/>
      </c>
      <c r="S289" s="137"/>
      <c r="T289" s="79" t="str">
        <f t="shared" si="125"/>
        <v/>
      </c>
      <c r="U289" s="79" t="str">
        <f t="shared" si="117"/>
        <v/>
      </c>
      <c r="V289" s="73" t="str">
        <f t="shared" si="118"/>
        <v/>
      </c>
      <c r="W289" s="80" t="str">
        <f t="shared" si="119"/>
        <v/>
      </c>
      <c r="X289" s="73" t="str">
        <f t="shared" si="120"/>
        <v/>
      </c>
      <c r="Y289" s="80" t="str">
        <f t="shared" si="121"/>
        <v/>
      </c>
      <c r="Z289" s="74" t="str">
        <f t="shared" si="122"/>
        <v/>
      </c>
      <c r="AA289" s="75" t="str">
        <f t="shared" si="126"/>
        <v/>
      </c>
      <c r="AB289" s="103" t="str">
        <f t="shared" si="123"/>
        <v/>
      </c>
      <c r="AC289" s="104" t="str">
        <f t="shared" si="134"/>
        <v/>
      </c>
      <c r="AE289" s="139"/>
      <c r="AF289" s="110" t="str">
        <f t="shared" si="127"/>
        <v/>
      </c>
      <c r="AG289" s="111" t="str">
        <f t="shared" si="128"/>
        <v/>
      </c>
      <c r="AH289" s="111" t="str">
        <f t="shared" si="124"/>
        <v/>
      </c>
      <c r="AI289" s="111" t="str">
        <f t="shared" si="129"/>
        <v/>
      </c>
      <c r="AJ289" s="111" t="str">
        <f t="shared" si="130"/>
        <v/>
      </c>
      <c r="AK289" s="112" t="str">
        <f t="shared" si="131"/>
        <v/>
      </c>
      <c r="AL289" t="str">
        <f t="shared" si="132"/>
        <v/>
      </c>
      <c r="AM289" t="str">
        <f t="shared" si="133"/>
        <v/>
      </c>
    </row>
    <row r="290" spans="1:39" ht="15" customHeight="1" x14ac:dyDescent="0.25">
      <c r="A290" s="131"/>
      <c r="B290" s="133"/>
      <c r="C290" s="133"/>
      <c r="D290" s="42" t="str">
        <f t="shared" si="108"/>
        <v/>
      </c>
      <c r="E290" s="43"/>
      <c r="F290" s="135"/>
      <c r="G290" s="77" t="str">
        <f t="shared" si="109"/>
        <v/>
      </c>
      <c r="H290" s="32" t="str">
        <f t="shared" si="110"/>
        <v/>
      </c>
      <c r="I290" s="78" t="str">
        <f t="shared" si="111"/>
        <v/>
      </c>
      <c r="J290" s="70" t="str">
        <f t="shared" si="112"/>
        <v/>
      </c>
      <c r="K290" s="135"/>
      <c r="L290" s="72" t="str">
        <f t="shared" si="113"/>
        <v/>
      </c>
      <c r="M290" s="135"/>
      <c r="N290" s="72" t="str">
        <f t="shared" si="114"/>
        <v/>
      </c>
      <c r="O290" s="135"/>
      <c r="P290" s="136"/>
      <c r="Q290" s="123" t="str">
        <f t="shared" si="115"/>
        <v/>
      </c>
      <c r="R290" s="45" t="str">
        <f t="shared" si="116"/>
        <v/>
      </c>
      <c r="S290" s="137"/>
      <c r="T290" s="79" t="str">
        <f t="shared" si="125"/>
        <v/>
      </c>
      <c r="U290" s="79" t="str">
        <f t="shared" si="117"/>
        <v/>
      </c>
      <c r="V290" s="73" t="str">
        <f t="shared" si="118"/>
        <v/>
      </c>
      <c r="W290" s="80" t="str">
        <f t="shared" si="119"/>
        <v/>
      </c>
      <c r="X290" s="73" t="str">
        <f t="shared" si="120"/>
        <v/>
      </c>
      <c r="Y290" s="80" t="str">
        <f t="shared" si="121"/>
        <v/>
      </c>
      <c r="Z290" s="74" t="str">
        <f t="shared" si="122"/>
        <v/>
      </c>
      <c r="AA290" s="75" t="str">
        <f t="shared" si="126"/>
        <v/>
      </c>
      <c r="AB290" s="103" t="str">
        <f t="shared" si="123"/>
        <v/>
      </c>
      <c r="AC290" s="104" t="str">
        <f t="shared" si="134"/>
        <v/>
      </c>
      <c r="AE290" s="139"/>
      <c r="AF290" s="110" t="str">
        <f t="shared" si="127"/>
        <v/>
      </c>
      <c r="AG290" s="111" t="str">
        <f t="shared" si="128"/>
        <v/>
      </c>
      <c r="AH290" s="111" t="str">
        <f t="shared" si="124"/>
        <v/>
      </c>
      <c r="AI290" s="111" t="str">
        <f t="shared" si="129"/>
        <v/>
      </c>
      <c r="AJ290" s="111" t="str">
        <f t="shared" si="130"/>
        <v/>
      </c>
      <c r="AK290" s="112" t="str">
        <f t="shared" si="131"/>
        <v/>
      </c>
      <c r="AL290" t="str">
        <f t="shared" si="132"/>
        <v/>
      </c>
      <c r="AM290" t="str">
        <f t="shared" si="133"/>
        <v/>
      </c>
    </row>
    <row r="291" spans="1:39" ht="15" customHeight="1" x14ac:dyDescent="0.25">
      <c r="A291" s="131"/>
      <c r="B291" s="133"/>
      <c r="C291" s="133"/>
      <c r="D291" s="42" t="str">
        <f t="shared" si="108"/>
        <v/>
      </c>
      <c r="E291" s="43"/>
      <c r="F291" s="135"/>
      <c r="G291" s="77" t="str">
        <f t="shared" si="109"/>
        <v/>
      </c>
      <c r="H291" s="32" t="str">
        <f t="shared" si="110"/>
        <v/>
      </c>
      <c r="I291" s="78" t="str">
        <f t="shared" si="111"/>
        <v/>
      </c>
      <c r="J291" s="70" t="str">
        <f t="shared" si="112"/>
        <v/>
      </c>
      <c r="K291" s="135"/>
      <c r="L291" s="72" t="str">
        <f t="shared" si="113"/>
        <v/>
      </c>
      <c r="M291" s="135"/>
      <c r="N291" s="72" t="str">
        <f t="shared" si="114"/>
        <v/>
      </c>
      <c r="O291" s="135"/>
      <c r="P291" s="136"/>
      <c r="Q291" s="123" t="str">
        <f t="shared" si="115"/>
        <v/>
      </c>
      <c r="R291" s="45" t="str">
        <f t="shared" si="116"/>
        <v/>
      </c>
      <c r="S291" s="137"/>
      <c r="T291" s="79" t="str">
        <f t="shared" si="125"/>
        <v/>
      </c>
      <c r="U291" s="79" t="str">
        <f t="shared" si="117"/>
        <v/>
      </c>
      <c r="V291" s="73" t="str">
        <f t="shared" si="118"/>
        <v/>
      </c>
      <c r="W291" s="80" t="str">
        <f t="shared" si="119"/>
        <v/>
      </c>
      <c r="X291" s="73" t="str">
        <f t="shared" si="120"/>
        <v/>
      </c>
      <c r="Y291" s="80" t="str">
        <f t="shared" si="121"/>
        <v/>
      </c>
      <c r="Z291" s="74" t="str">
        <f t="shared" si="122"/>
        <v/>
      </c>
      <c r="AA291" s="75" t="str">
        <f t="shared" si="126"/>
        <v/>
      </c>
      <c r="AB291" s="103" t="str">
        <f t="shared" si="123"/>
        <v/>
      </c>
      <c r="AC291" s="104" t="str">
        <f t="shared" si="134"/>
        <v/>
      </c>
      <c r="AE291" s="139"/>
      <c r="AF291" s="110" t="str">
        <f t="shared" si="127"/>
        <v/>
      </c>
      <c r="AG291" s="111" t="str">
        <f t="shared" si="128"/>
        <v/>
      </c>
      <c r="AH291" s="111" t="str">
        <f t="shared" si="124"/>
        <v/>
      </c>
      <c r="AI291" s="111" t="str">
        <f t="shared" si="129"/>
        <v/>
      </c>
      <c r="AJ291" s="111" t="str">
        <f t="shared" si="130"/>
        <v/>
      </c>
      <c r="AK291" s="112" t="str">
        <f t="shared" si="131"/>
        <v/>
      </c>
      <c r="AL291" t="str">
        <f t="shared" si="132"/>
        <v/>
      </c>
      <c r="AM291" t="str">
        <f t="shared" si="133"/>
        <v/>
      </c>
    </row>
    <row r="292" spans="1:39" ht="15" customHeight="1" x14ac:dyDescent="0.25">
      <c r="A292" s="131"/>
      <c r="B292" s="133"/>
      <c r="C292" s="133"/>
      <c r="D292" s="42" t="str">
        <f t="shared" si="108"/>
        <v/>
      </c>
      <c r="E292" s="43"/>
      <c r="F292" s="135"/>
      <c r="G292" s="77" t="str">
        <f t="shared" si="109"/>
        <v/>
      </c>
      <c r="H292" s="32" t="str">
        <f t="shared" si="110"/>
        <v/>
      </c>
      <c r="I292" s="78" t="str">
        <f t="shared" si="111"/>
        <v/>
      </c>
      <c r="J292" s="70" t="str">
        <f t="shared" si="112"/>
        <v/>
      </c>
      <c r="K292" s="135"/>
      <c r="L292" s="72" t="str">
        <f t="shared" si="113"/>
        <v/>
      </c>
      <c r="M292" s="135"/>
      <c r="N292" s="72" t="str">
        <f t="shared" si="114"/>
        <v/>
      </c>
      <c r="O292" s="135"/>
      <c r="P292" s="136"/>
      <c r="Q292" s="123" t="str">
        <f t="shared" si="115"/>
        <v/>
      </c>
      <c r="R292" s="45" t="str">
        <f t="shared" si="116"/>
        <v/>
      </c>
      <c r="S292" s="137"/>
      <c r="T292" s="79" t="str">
        <f t="shared" si="125"/>
        <v/>
      </c>
      <c r="U292" s="79" t="str">
        <f t="shared" si="117"/>
        <v/>
      </c>
      <c r="V292" s="73" t="str">
        <f t="shared" si="118"/>
        <v/>
      </c>
      <c r="W292" s="80" t="str">
        <f t="shared" si="119"/>
        <v/>
      </c>
      <c r="X292" s="73" t="str">
        <f t="shared" si="120"/>
        <v/>
      </c>
      <c r="Y292" s="80" t="str">
        <f t="shared" si="121"/>
        <v/>
      </c>
      <c r="Z292" s="74" t="str">
        <f t="shared" si="122"/>
        <v/>
      </c>
      <c r="AA292" s="75" t="str">
        <f t="shared" si="126"/>
        <v/>
      </c>
      <c r="AB292" s="103" t="str">
        <f t="shared" si="123"/>
        <v/>
      </c>
      <c r="AC292" s="104" t="str">
        <f t="shared" si="134"/>
        <v/>
      </c>
      <c r="AE292" s="139"/>
      <c r="AF292" s="110" t="str">
        <f t="shared" si="127"/>
        <v/>
      </c>
      <c r="AG292" s="111" t="str">
        <f t="shared" si="128"/>
        <v/>
      </c>
      <c r="AH292" s="111" t="str">
        <f t="shared" si="124"/>
        <v/>
      </c>
      <c r="AI292" s="111" t="str">
        <f t="shared" si="129"/>
        <v/>
      </c>
      <c r="AJ292" s="111" t="str">
        <f t="shared" si="130"/>
        <v/>
      </c>
      <c r="AK292" s="112" t="str">
        <f t="shared" si="131"/>
        <v/>
      </c>
      <c r="AL292" t="str">
        <f t="shared" si="132"/>
        <v/>
      </c>
      <c r="AM292" t="str">
        <f t="shared" si="133"/>
        <v/>
      </c>
    </row>
    <row r="293" spans="1:39" ht="15" customHeight="1" x14ac:dyDescent="0.25">
      <c r="A293" s="131"/>
      <c r="B293" s="133"/>
      <c r="C293" s="133"/>
      <c r="D293" s="42" t="str">
        <f t="shared" si="108"/>
        <v/>
      </c>
      <c r="E293" s="43"/>
      <c r="F293" s="135"/>
      <c r="G293" s="77" t="str">
        <f t="shared" si="109"/>
        <v/>
      </c>
      <c r="H293" s="32" t="str">
        <f t="shared" si="110"/>
        <v/>
      </c>
      <c r="I293" s="78" t="str">
        <f t="shared" si="111"/>
        <v/>
      </c>
      <c r="J293" s="70" t="str">
        <f t="shared" si="112"/>
        <v/>
      </c>
      <c r="K293" s="135"/>
      <c r="L293" s="72" t="str">
        <f t="shared" si="113"/>
        <v/>
      </c>
      <c r="M293" s="135"/>
      <c r="N293" s="72" t="str">
        <f t="shared" si="114"/>
        <v/>
      </c>
      <c r="O293" s="135"/>
      <c r="P293" s="136"/>
      <c r="Q293" s="123" t="str">
        <f t="shared" si="115"/>
        <v/>
      </c>
      <c r="R293" s="45" t="str">
        <f t="shared" si="116"/>
        <v/>
      </c>
      <c r="S293" s="137"/>
      <c r="T293" s="79" t="str">
        <f t="shared" si="125"/>
        <v/>
      </c>
      <c r="U293" s="79" t="str">
        <f t="shared" si="117"/>
        <v/>
      </c>
      <c r="V293" s="73" t="str">
        <f t="shared" si="118"/>
        <v/>
      </c>
      <c r="W293" s="80" t="str">
        <f t="shared" si="119"/>
        <v/>
      </c>
      <c r="X293" s="73" t="str">
        <f t="shared" si="120"/>
        <v/>
      </c>
      <c r="Y293" s="80" t="str">
        <f t="shared" si="121"/>
        <v/>
      </c>
      <c r="Z293" s="74" t="str">
        <f t="shared" si="122"/>
        <v/>
      </c>
      <c r="AA293" s="75" t="str">
        <f t="shared" si="126"/>
        <v/>
      </c>
      <c r="AB293" s="103" t="str">
        <f t="shared" si="123"/>
        <v/>
      </c>
      <c r="AC293" s="104" t="str">
        <f t="shared" si="134"/>
        <v/>
      </c>
      <c r="AE293" s="139"/>
      <c r="AF293" s="110" t="str">
        <f t="shared" si="127"/>
        <v/>
      </c>
      <c r="AG293" s="111" t="str">
        <f t="shared" si="128"/>
        <v/>
      </c>
      <c r="AH293" s="111" t="str">
        <f t="shared" si="124"/>
        <v/>
      </c>
      <c r="AI293" s="111" t="str">
        <f t="shared" si="129"/>
        <v/>
      </c>
      <c r="AJ293" s="111" t="str">
        <f t="shared" si="130"/>
        <v/>
      </c>
      <c r="AK293" s="112" t="str">
        <f t="shared" si="131"/>
        <v/>
      </c>
      <c r="AL293" t="str">
        <f t="shared" si="132"/>
        <v/>
      </c>
      <c r="AM293" t="str">
        <f t="shared" si="133"/>
        <v/>
      </c>
    </row>
    <row r="294" spans="1:39" ht="15" customHeight="1" x14ac:dyDescent="0.25">
      <c r="A294" s="131"/>
      <c r="B294" s="133"/>
      <c r="C294" s="133"/>
      <c r="D294" s="42" t="str">
        <f t="shared" si="108"/>
        <v/>
      </c>
      <c r="E294" s="43"/>
      <c r="F294" s="135"/>
      <c r="G294" s="77" t="str">
        <f t="shared" si="109"/>
        <v/>
      </c>
      <c r="H294" s="32" t="str">
        <f t="shared" si="110"/>
        <v/>
      </c>
      <c r="I294" s="78" t="str">
        <f t="shared" si="111"/>
        <v/>
      </c>
      <c r="J294" s="70" t="str">
        <f t="shared" si="112"/>
        <v/>
      </c>
      <c r="K294" s="135"/>
      <c r="L294" s="72" t="str">
        <f t="shared" si="113"/>
        <v/>
      </c>
      <c r="M294" s="135"/>
      <c r="N294" s="72" t="str">
        <f t="shared" si="114"/>
        <v/>
      </c>
      <c r="O294" s="135"/>
      <c r="P294" s="136"/>
      <c r="Q294" s="123" t="str">
        <f t="shared" si="115"/>
        <v/>
      </c>
      <c r="R294" s="45" t="str">
        <f t="shared" si="116"/>
        <v/>
      </c>
      <c r="S294" s="137"/>
      <c r="T294" s="79" t="str">
        <f t="shared" si="125"/>
        <v/>
      </c>
      <c r="U294" s="79" t="str">
        <f t="shared" si="117"/>
        <v/>
      </c>
      <c r="V294" s="73" t="str">
        <f t="shared" si="118"/>
        <v/>
      </c>
      <c r="W294" s="80" t="str">
        <f t="shared" si="119"/>
        <v/>
      </c>
      <c r="X294" s="73" t="str">
        <f t="shared" si="120"/>
        <v/>
      </c>
      <c r="Y294" s="80" t="str">
        <f t="shared" si="121"/>
        <v/>
      </c>
      <c r="Z294" s="74" t="str">
        <f t="shared" si="122"/>
        <v/>
      </c>
      <c r="AA294" s="75" t="str">
        <f t="shared" si="126"/>
        <v/>
      </c>
      <c r="AB294" s="103" t="str">
        <f t="shared" si="123"/>
        <v/>
      </c>
      <c r="AC294" s="104" t="str">
        <f t="shared" si="134"/>
        <v/>
      </c>
      <c r="AE294" s="139"/>
      <c r="AF294" s="110" t="str">
        <f t="shared" si="127"/>
        <v/>
      </c>
      <c r="AG294" s="111" t="str">
        <f t="shared" si="128"/>
        <v/>
      </c>
      <c r="AH294" s="111" t="str">
        <f t="shared" si="124"/>
        <v/>
      </c>
      <c r="AI294" s="111" t="str">
        <f t="shared" si="129"/>
        <v/>
      </c>
      <c r="AJ294" s="111" t="str">
        <f t="shared" si="130"/>
        <v/>
      </c>
      <c r="AK294" s="112" t="str">
        <f t="shared" si="131"/>
        <v/>
      </c>
      <c r="AL294" t="str">
        <f t="shared" si="132"/>
        <v/>
      </c>
      <c r="AM294" t="str">
        <f t="shared" si="133"/>
        <v/>
      </c>
    </row>
    <row r="295" spans="1:39" ht="15" customHeight="1" x14ac:dyDescent="0.25">
      <c r="A295" s="131"/>
      <c r="B295" s="133"/>
      <c r="C295" s="133"/>
      <c r="D295" s="42" t="str">
        <f t="shared" si="108"/>
        <v/>
      </c>
      <c r="E295" s="43"/>
      <c r="F295" s="135"/>
      <c r="G295" s="77" t="str">
        <f t="shared" si="109"/>
        <v/>
      </c>
      <c r="H295" s="32" t="str">
        <f t="shared" si="110"/>
        <v/>
      </c>
      <c r="I295" s="78" t="str">
        <f t="shared" si="111"/>
        <v/>
      </c>
      <c r="J295" s="70" t="str">
        <f t="shared" si="112"/>
        <v/>
      </c>
      <c r="K295" s="135"/>
      <c r="L295" s="72" t="str">
        <f t="shared" si="113"/>
        <v/>
      </c>
      <c r="M295" s="135"/>
      <c r="N295" s="72" t="str">
        <f t="shared" si="114"/>
        <v/>
      </c>
      <c r="O295" s="135"/>
      <c r="P295" s="136"/>
      <c r="Q295" s="123" t="str">
        <f t="shared" si="115"/>
        <v/>
      </c>
      <c r="R295" s="45" t="str">
        <f t="shared" si="116"/>
        <v/>
      </c>
      <c r="S295" s="137"/>
      <c r="T295" s="79" t="str">
        <f t="shared" si="125"/>
        <v/>
      </c>
      <c r="U295" s="79" t="str">
        <f t="shared" si="117"/>
        <v/>
      </c>
      <c r="V295" s="73" t="str">
        <f t="shared" si="118"/>
        <v/>
      </c>
      <c r="W295" s="80" t="str">
        <f t="shared" si="119"/>
        <v/>
      </c>
      <c r="X295" s="73" t="str">
        <f t="shared" si="120"/>
        <v/>
      </c>
      <c r="Y295" s="80" t="str">
        <f t="shared" si="121"/>
        <v/>
      </c>
      <c r="Z295" s="74" t="str">
        <f t="shared" si="122"/>
        <v/>
      </c>
      <c r="AA295" s="75" t="str">
        <f t="shared" si="126"/>
        <v/>
      </c>
      <c r="AB295" s="103" t="str">
        <f t="shared" si="123"/>
        <v/>
      </c>
      <c r="AC295" s="104" t="str">
        <f t="shared" si="134"/>
        <v/>
      </c>
      <c r="AE295" s="139"/>
      <c r="AF295" s="110" t="str">
        <f t="shared" si="127"/>
        <v/>
      </c>
      <c r="AG295" s="111" t="str">
        <f t="shared" si="128"/>
        <v/>
      </c>
      <c r="AH295" s="111" t="str">
        <f t="shared" si="124"/>
        <v/>
      </c>
      <c r="AI295" s="111" t="str">
        <f t="shared" si="129"/>
        <v/>
      </c>
      <c r="AJ295" s="111" t="str">
        <f t="shared" si="130"/>
        <v/>
      </c>
      <c r="AK295" s="112" t="str">
        <f t="shared" si="131"/>
        <v/>
      </c>
      <c r="AL295" t="str">
        <f t="shared" si="132"/>
        <v/>
      </c>
      <c r="AM295" t="str">
        <f t="shared" si="133"/>
        <v/>
      </c>
    </row>
    <row r="296" spans="1:39" ht="15" customHeight="1" x14ac:dyDescent="0.25">
      <c r="A296" s="131"/>
      <c r="B296" s="133"/>
      <c r="C296" s="133"/>
      <c r="D296" s="42" t="str">
        <f t="shared" si="108"/>
        <v/>
      </c>
      <c r="E296" s="43"/>
      <c r="F296" s="135"/>
      <c r="G296" s="77" t="str">
        <f t="shared" si="109"/>
        <v/>
      </c>
      <c r="H296" s="32" t="str">
        <f t="shared" si="110"/>
        <v/>
      </c>
      <c r="I296" s="78" t="str">
        <f t="shared" si="111"/>
        <v/>
      </c>
      <c r="J296" s="70" t="str">
        <f t="shared" si="112"/>
        <v/>
      </c>
      <c r="K296" s="135"/>
      <c r="L296" s="72" t="str">
        <f t="shared" si="113"/>
        <v/>
      </c>
      <c r="M296" s="135"/>
      <c r="N296" s="72" t="str">
        <f t="shared" si="114"/>
        <v/>
      </c>
      <c r="O296" s="135"/>
      <c r="P296" s="136"/>
      <c r="Q296" s="123" t="str">
        <f t="shared" si="115"/>
        <v/>
      </c>
      <c r="R296" s="45" t="str">
        <f t="shared" si="116"/>
        <v/>
      </c>
      <c r="S296" s="137"/>
      <c r="T296" s="79" t="str">
        <f t="shared" si="125"/>
        <v/>
      </c>
      <c r="U296" s="79" t="str">
        <f t="shared" si="117"/>
        <v/>
      </c>
      <c r="V296" s="73" t="str">
        <f t="shared" si="118"/>
        <v/>
      </c>
      <c r="W296" s="80" t="str">
        <f t="shared" si="119"/>
        <v/>
      </c>
      <c r="X296" s="73" t="str">
        <f t="shared" si="120"/>
        <v/>
      </c>
      <c r="Y296" s="80" t="str">
        <f t="shared" si="121"/>
        <v/>
      </c>
      <c r="Z296" s="74" t="str">
        <f t="shared" si="122"/>
        <v/>
      </c>
      <c r="AA296" s="75" t="str">
        <f t="shared" si="126"/>
        <v/>
      </c>
      <c r="AB296" s="103" t="str">
        <f t="shared" si="123"/>
        <v/>
      </c>
      <c r="AC296" s="104" t="str">
        <f t="shared" si="134"/>
        <v/>
      </c>
      <c r="AE296" s="139"/>
      <c r="AF296" s="110" t="str">
        <f t="shared" si="127"/>
        <v/>
      </c>
      <c r="AG296" s="111" t="str">
        <f t="shared" si="128"/>
        <v/>
      </c>
      <c r="AH296" s="111" t="str">
        <f t="shared" si="124"/>
        <v/>
      </c>
      <c r="AI296" s="111" t="str">
        <f t="shared" si="129"/>
        <v/>
      </c>
      <c r="AJ296" s="111" t="str">
        <f t="shared" si="130"/>
        <v/>
      </c>
      <c r="AK296" s="112" t="str">
        <f t="shared" si="131"/>
        <v/>
      </c>
      <c r="AL296" t="str">
        <f t="shared" si="132"/>
        <v/>
      </c>
      <c r="AM296" t="str">
        <f t="shared" si="133"/>
        <v/>
      </c>
    </row>
    <row r="297" spans="1:39" ht="15" customHeight="1" x14ac:dyDescent="0.25">
      <c r="A297" s="131"/>
      <c r="B297" s="133"/>
      <c r="C297" s="133"/>
      <c r="D297" s="42" t="str">
        <f t="shared" si="108"/>
        <v/>
      </c>
      <c r="E297" s="43"/>
      <c r="F297" s="135"/>
      <c r="G297" s="77" t="str">
        <f t="shared" si="109"/>
        <v/>
      </c>
      <c r="H297" s="32" t="str">
        <f t="shared" si="110"/>
        <v/>
      </c>
      <c r="I297" s="78" t="str">
        <f t="shared" si="111"/>
        <v/>
      </c>
      <c r="J297" s="70" t="str">
        <f t="shared" si="112"/>
        <v/>
      </c>
      <c r="K297" s="135"/>
      <c r="L297" s="72" t="str">
        <f t="shared" si="113"/>
        <v/>
      </c>
      <c r="M297" s="135"/>
      <c r="N297" s="72" t="str">
        <f t="shared" si="114"/>
        <v/>
      </c>
      <c r="O297" s="135"/>
      <c r="P297" s="136"/>
      <c r="Q297" s="123" t="str">
        <f t="shared" si="115"/>
        <v/>
      </c>
      <c r="R297" s="45" t="str">
        <f t="shared" si="116"/>
        <v/>
      </c>
      <c r="S297" s="137"/>
      <c r="T297" s="79" t="str">
        <f t="shared" si="125"/>
        <v/>
      </c>
      <c r="U297" s="79" t="str">
        <f t="shared" si="117"/>
        <v/>
      </c>
      <c r="V297" s="73" t="str">
        <f t="shared" si="118"/>
        <v/>
      </c>
      <c r="W297" s="80" t="str">
        <f t="shared" si="119"/>
        <v/>
      </c>
      <c r="X297" s="73" t="str">
        <f t="shared" si="120"/>
        <v/>
      </c>
      <c r="Y297" s="80" t="str">
        <f t="shared" si="121"/>
        <v/>
      </c>
      <c r="Z297" s="74" t="str">
        <f t="shared" si="122"/>
        <v/>
      </c>
      <c r="AA297" s="75" t="str">
        <f t="shared" si="126"/>
        <v/>
      </c>
      <c r="AB297" s="103" t="str">
        <f t="shared" si="123"/>
        <v/>
      </c>
      <c r="AC297" s="104" t="str">
        <f t="shared" si="134"/>
        <v/>
      </c>
      <c r="AE297" s="139"/>
      <c r="AF297" s="110" t="str">
        <f t="shared" si="127"/>
        <v/>
      </c>
      <c r="AG297" s="111" t="str">
        <f t="shared" si="128"/>
        <v/>
      </c>
      <c r="AH297" s="111" t="str">
        <f t="shared" si="124"/>
        <v/>
      </c>
      <c r="AI297" s="111" t="str">
        <f t="shared" si="129"/>
        <v/>
      </c>
      <c r="AJ297" s="111" t="str">
        <f t="shared" si="130"/>
        <v/>
      </c>
      <c r="AK297" s="112" t="str">
        <f t="shared" si="131"/>
        <v/>
      </c>
      <c r="AL297" t="str">
        <f t="shared" si="132"/>
        <v/>
      </c>
      <c r="AM297" t="str">
        <f t="shared" si="133"/>
        <v/>
      </c>
    </row>
    <row r="298" spans="1:39" ht="15" customHeight="1" x14ac:dyDescent="0.25">
      <c r="A298" s="131"/>
      <c r="B298" s="133"/>
      <c r="C298" s="133"/>
      <c r="D298" s="42" t="str">
        <f t="shared" si="108"/>
        <v/>
      </c>
      <c r="E298" s="43"/>
      <c r="F298" s="135"/>
      <c r="G298" s="77" t="str">
        <f t="shared" si="109"/>
        <v/>
      </c>
      <c r="H298" s="32" t="str">
        <f t="shared" si="110"/>
        <v/>
      </c>
      <c r="I298" s="78" t="str">
        <f t="shared" si="111"/>
        <v/>
      </c>
      <c r="J298" s="70" t="str">
        <f t="shared" si="112"/>
        <v/>
      </c>
      <c r="K298" s="135"/>
      <c r="L298" s="72" t="str">
        <f t="shared" si="113"/>
        <v/>
      </c>
      <c r="M298" s="135"/>
      <c r="N298" s="72" t="str">
        <f t="shared" si="114"/>
        <v/>
      </c>
      <c r="O298" s="135"/>
      <c r="P298" s="136"/>
      <c r="Q298" s="123" t="str">
        <f t="shared" si="115"/>
        <v/>
      </c>
      <c r="R298" s="45" t="str">
        <f t="shared" si="116"/>
        <v/>
      </c>
      <c r="S298" s="137"/>
      <c r="T298" s="79" t="str">
        <f t="shared" si="125"/>
        <v/>
      </c>
      <c r="U298" s="79" t="str">
        <f t="shared" si="117"/>
        <v/>
      </c>
      <c r="V298" s="73" t="str">
        <f t="shared" si="118"/>
        <v/>
      </c>
      <c r="W298" s="80" t="str">
        <f t="shared" si="119"/>
        <v/>
      </c>
      <c r="X298" s="73" t="str">
        <f t="shared" si="120"/>
        <v/>
      </c>
      <c r="Y298" s="80" t="str">
        <f t="shared" si="121"/>
        <v/>
      </c>
      <c r="Z298" s="74" t="str">
        <f t="shared" si="122"/>
        <v/>
      </c>
      <c r="AA298" s="75" t="str">
        <f t="shared" si="126"/>
        <v/>
      </c>
      <c r="AB298" s="103" t="str">
        <f t="shared" si="123"/>
        <v/>
      </c>
      <c r="AC298" s="104" t="str">
        <f t="shared" si="134"/>
        <v/>
      </c>
      <c r="AE298" s="139"/>
      <c r="AF298" s="110" t="str">
        <f t="shared" si="127"/>
        <v/>
      </c>
      <c r="AG298" s="111" t="str">
        <f t="shared" si="128"/>
        <v/>
      </c>
      <c r="AH298" s="111" t="str">
        <f t="shared" si="124"/>
        <v/>
      </c>
      <c r="AI298" s="111" t="str">
        <f t="shared" si="129"/>
        <v/>
      </c>
      <c r="AJ298" s="111" t="str">
        <f t="shared" si="130"/>
        <v/>
      </c>
      <c r="AK298" s="112" t="str">
        <f t="shared" si="131"/>
        <v/>
      </c>
      <c r="AL298" t="str">
        <f t="shared" si="132"/>
        <v/>
      </c>
      <c r="AM298" t="str">
        <f t="shared" si="133"/>
        <v/>
      </c>
    </row>
    <row r="299" spans="1:39" ht="15" customHeight="1" x14ac:dyDescent="0.25">
      <c r="A299" s="131"/>
      <c r="B299" s="133"/>
      <c r="C299" s="133"/>
      <c r="D299" s="42" t="str">
        <f t="shared" si="108"/>
        <v/>
      </c>
      <c r="E299" s="43"/>
      <c r="F299" s="135"/>
      <c r="G299" s="77" t="str">
        <f t="shared" si="109"/>
        <v/>
      </c>
      <c r="H299" s="32" t="str">
        <f t="shared" si="110"/>
        <v/>
      </c>
      <c r="I299" s="78" t="str">
        <f t="shared" si="111"/>
        <v/>
      </c>
      <c r="J299" s="70" t="str">
        <f t="shared" si="112"/>
        <v/>
      </c>
      <c r="K299" s="135"/>
      <c r="L299" s="72" t="str">
        <f t="shared" si="113"/>
        <v/>
      </c>
      <c r="M299" s="135"/>
      <c r="N299" s="72" t="str">
        <f t="shared" si="114"/>
        <v/>
      </c>
      <c r="O299" s="135"/>
      <c r="P299" s="136"/>
      <c r="Q299" s="123" t="str">
        <f t="shared" si="115"/>
        <v/>
      </c>
      <c r="R299" s="45" t="str">
        <f t="shared" si="116"/>
        <v/>
      </c>
      <c r="S299" s="137"/>
      <c r="T299" s="79" t="str">
        <f t="shared" si="125"/>
        <v/>
      </c>
      <c r="U299" s="79" t="str">
        <f t="shared" si="117"/>
        <v/>
      </c>
      <c r="V299" s="73" t="str">
        <f t="shared" si="118"/>
        <v/>
      </c>
      <c r="W299" s="80" t="str">
        <f t="shared" si="119"/>
        <v/>
      </c>
      <c r="X299" s="73" t="str">
        <f t="shared" si="120"/>
        <v/>
      </c>
      <c r="Y299" s="80" t="str">
        <f t="shared" si="121"/>
        <v/>
      </c>
      <c r="Z299" s="74" t="str">
        <f t="shared" si="122"/>
        <v/>
      </c>
      <c r="AA299" s="75" t="str">
        <f t="shared" si="126"/>
        <v/>
      </c>
      <c r="AB299" s="103" t="str">
        <f t="shared" si="123"/>
        <v/>
      </c>
      <c r="AC299" s="104" t="str">
        <f t="shared" si="134"/>
        <v/>
      </c>
      <c r="AE299" s="139"/>
      <c r="AF299" s="110" t="str">
        <f t="shared" si="127"/>
        <v/>
      </c>
      <c r="AG299" s="111" t="str">
        <f t="shared" si="128"/>
        <v/>
      </c>
      <c r="AH299" s="111" t="str">
        <f t="shared" si="124"/>
        <v/>
      </c>
      <c r="AI299" s="111" t="str">
        <f t="shared" si="129"/>
        <v/>
      </c>
      <c r="AJ299" s="111" t="str">
        <f t="shared" si="130"/>
        <v/>
      </c>
      <c r="AK299" s="112" t="str">
        <f t="shared" si="131"/>
        <v/>
      </c>
      <c r="AL299" t="str">
        <f t="shared" si="132"/>
        <v/>
      </c>
      <c r="AM299" t="str">
        <f t="shared" si="133"/>
        <v/>
      </c>
    </row>
    <row r="300" spans="1:39" ht="15" customHeight="1" x14ac:dyDescent="0.25">
      <c r="A300" s="131"/>
      <c r="B300" s="133"/>
      <c r="C300" s="133"/>
      <c r="D300" s="42" t="str">
        <f t="shared" si="108"/>
        <v/>
      </c>
      <c r="E300" s="43"/>
      <c r="F300" s="135"/>
      <c r="G300" s="77" t="str">
        <f t="shared" si="109"/>
        <v/>
      </c>
      <c r="H300" s="32" t="str">
        <f t="shared" si="110"/>
        <v/>
      </c>
      <c r="I300" s="78" t="str">
        <f t="shared" si="111"/>
        <v/>
      </c>
      <c r="J300" s="70" t="str">
        <f t="shared" si="112"/>
        <v/>
      </c>
      <c r="K300" s="135"/>
      <c r="L300" s="72" t="str">
        <f t="shared" si="113"/>
        <v/>
      </c>
      <c r="M300" s="135"/>
      <c r="N300" s="72" t="str">
        <f t="shared" si="114"/>
        <v/>
      </c>
      <c r="O300" s="135"/>
      <c r="P300" s="136"/>
      <c r="Q300" s="123" t="str">
        <f t="shared" si="115"/>
        <v/>
      </c>
      <c r="R300" s="45" t="str">
        <f t="shared" si="116"/>
        <v/>
      </c>
      <c r="S300" s="137"/>
      <c r="T300" s="79" t="str">
        <f t="shared" si="125"/>
        <v/>
      </c>
      <c r="U300" s="79" t="str">
        <f t="shared" si="117"/>
        <v/>
      </c>
      <c r="V300" s="73" t="str">
        <f t="shared" si="118"/>
        <v/>
      </c>
      <c r="W300" s="80" t="str">
        <f t="shared" si="119"/>
        <v/>
      </c>
      <c r="X300" s="73" t="str">
        <f t="shared" si="120"/>
        <v/>
      </c>
      <c r="Y300" s="80" t="str">
        <f t="shared" si="121"/>
        <v/>
      </c>
      <c r="Z300" s="74" t="str">
        <f t="shared" si="122"/>
        <v/>
      </c>
      <c r="AA300" s="75" t="str">
        <f t="shared" si="126"/>
        <v/>
      </c>
      <c r="AB300" s="103" t="str">
        <f t="shared" si="123"/>
        <v/>
      </c>
      <c r="AC300" s="104" t="str">
        <f t="shared" si="134"/>
        <v/>
      </c>
      <c r="AE300" s="139"/>
      <c r="AF300" s="110" t="str">
        <f t="shared" si="127"/>
        <v/>
      </c>
      <c r="AG300" s="111" t="str">
        <f t="shared" si="128"/>
        <v/>
      </c>
      <c r="AH300" s="111" t="str">
        <f t="shared" si="124"/>
        <v/>
      </c>
      <c r="AI300" s="111" t="str">
        <f t="shared" si="129"/>
        <v/>
      </c>
      <c r="AJ300" s="111" t="str">
        <f t="shared" si="130"/>
        <v/>
      </c>
      <c r="AK300" s="112" t="str">
        <f t="shared" si="131"/>
        <v/>
      </c>
      <c r="AL300" t="str">
        <f t="shared" si="132"/>
        <v/>
      </c>
      <c r="AM300" t="str">
        <f t="shared" si="133"/>
        <v/>
      </c>
    </row>
    <row r="301" spans="1:39" ht="15" customHeight="1" x14ac:dyDescent="0.25">
      <c r="A301" s="131"/>
      <c r="B301" s="133"/>
      <c r="C301" s="133"/>
      <c r="D301" s="42" t="str">
        <f t="shared" si="108"/>
        <v/>
      </c>
      <c r="E301" s="43"/>
      <c r="F301" s="135"/>
      <c r="G301" s="77" t="str">
        <f t="shared" si="109"/>
        <v/>
      </c>
      <c r="H301" s="32" t="str">
        <f t="shared" si="110"/>
        <v/>
      </c>
      <c r="I301" s="78" t="str">
        <f t="shared" si="111"/>
        <v/>
      </c>
      <c r="J301" s="70" t="str">
        <f t="shared" si="112"/>
        <v/>
      </c>
      <c r="K301" s="135"/>
      <c r="L301" s="72" t="str">
        <f t="shared" si="113"/>
        <v/>
      </c>
      <c r="M301" s="135"/>
      <c r="N301" s="72" t="str">
        <f t="shared" si="114"/>
        <v/>
      </c>
      <c r="O301" s="135"/>
      <c r="P301" s="136"/>
      <c r="Q301" s="123" t="str">
        <f t="shared" si="115"/>
        <v/>
      </c>
      <c r="R301" s="45" t="str">
        <f t="shared" si="116"/>
        <v/>
      </c>
      <c r="S301" s="137"/>
      <c r="T301" s="79" t="str">
        <f t="shared" si="125"/>
        <v/>
      </c>
      <c r="U301" s="79" t="str">
        <f t="shared" si="117"/>
        <v/>
      </c>
      <c r="V301" s="73" t="str">
        <f t="shared" si="118"/>
        <v/>
      </c>
      <c r="W301" s="80" t="str">
        <f t="shared" si="119"/>
        <v/>
      </c>
      <c r="X301" s="73" t="str">
        <f t="shared" si="120"/>
        <v/>
      </c>
      <c r="Y301" s="80" t="str">
        <f t="shared" si="121"/>
        <v/>
      </c>
      <c r="Z301" s="74" t="str">
        <f t="shared" si="122"/>
        <v/>
      </c>
      <c r="AA301" s="75" t="str">
        <f t="shared" si="126"/>
        <v/>
      </c>
      <c r="AB301" s="103" t="str">
        <f t="shared" si="123"/>
        <v/>
      </c>
      <c r="AC301" s="104" t="str">
        <f t="shared" si="134"/>
        <v/>
      </c>
      <c r="AE301" s="139"/>
      <c r="AF301" s="110" t="str">
        <f t="shared" si="127"/>
        <v/>
      </c>
      <c r="AG301" s="111" t="str">
        <f t="shared" si="128"/>
        <v/>
      </c>
      <c r="AH301" s="111" t="str">
        <f t="shared" si="124"/>
        <v/>
      </c>
      <c r="AI301" s="111" t="str">
        <f t="shared" si="129"/>
        <v/>
      </c>
      <c r="AJ301" s="111" t="str">
        <f t="shared" si="130"/>
        <v/>
      </c>
      <c r="AK301" s="112" t="str">
        <f t="shared" si="131"/>
        <v/>
      </c>
      <c r="AL301" t="str">
        <f t="shared" si="132"/>
        <v/>
      </c>
      <c r="AM301" t="str">
        <f t="shared" si="133"/>
        <v/>
      </c>
    </row>
    <row r="302" spans="1:39" ht="15" customHeight="1" x14ac:dyDescent="0.25">
      <c r="A302" s="131"/>
      <c r="B302" s="133"/>
      <c r="C302" s="133"/>
      <c r="D302" s="42" t="str">
        <f t="shared" si="108"/>
        <v/>
      </c>
      <c r="E302" s="43"/>
      <c r="F302" s="135"/>
      <c r="G302" s="77" t="str">
        <f t="shared" si="109"/>
        <v/>
      </c>
      <c r="H302" s="32" t="str">
        <f t="shared" si="110"/>
        <v/>
      </c>
      <c r="I302" s="78" t="str">
        <f t="shared" si="111"/>
        <v/>
      </c>
      <c r="J302" s="70" t="str">
        <f t="shared" si="112"/>
        <v/>
      </c>
      <c r="K302" s="135"/>
      <c r="L302" s="72" t="str">
        <f t="shared" si="113"/>
        <v/>
      </c>
      <c r="M302" s="135"/>
      <c r="N302" s="72" t="str">
        <f t="shared" si="114"/>
        <v/>
      </c>
      <c r="O302" s="135"/>
      <c r="P302" s="136"/>
      <c r="Q302" s="123" t="str">
        <f t="shared" si="115"/>
        <v/>
      </c>
      <c r="R302" s="45" t="str">
        <f t="shared" si="116"/>
        <v/>
      </c>
      <c r="S302" s="137"/>
      <c r="T302" s="79" t="str">
        <f t="shared" si="125"/>
        <v/>
      </c>
      <c r="U302" s="79" t="str">
        <f t="shared" si="117"/>
        <v/>
      </c>
      <c r="V302" s="73" t="str">
        <f t="shared" si="118"/>
        <v/>
      </c>
      <c r="W302" s="80" t="str">
        <f t="shared" si="119"/>
        <v/>
      </c>
      <c r="X302" s="73" t="str">
        <f t="shared" si="120"/>
        <v/>
      </c>
      <c r="Y302" s="80" t="str">
        <f t="shared" si="121"/>
        <v/>
      </c>
      <c r="Z302" s="74" t="str">
        <f t="shared" si="122"/>
        <v/>
      </c>
      <c r="AA302" s="75" t="str">
        <f t="shared" si="126"/>
        <v/>
      </c>
      <c r="AB302" s="103" t="str">
        <f t="shared" si="123"/>
        <v/>
      </c>
      <c r="AC302" s="104" t="str">
        <f t="shared" si="134"/>
        <v/>
      </c>
      <c r="AE302" s="139"/>
      <c r="AF302" s="110" t="str">
        <f t="shared" si="127"/>
        <v/>
      </c>
      <c r="AG302" s="111" t="str">
        <f t="shared" si="128"/>
        <v/>
      </c>
      <c r="AH302" s="111" t="str">
        <f t="shared" si="124"/>
        <v/>
      </c>
      <c r="AI302" s="111" t="str">
        <f t="shared" si="129"/>
        <v/>
      </c>
      <c r="AJ302" s="111" t="str">
        <f t="shared" si="130"/>
        <v/>
      </c>
      <c r="AK302" s="112" t="str">
        <f t="shared" si="131"/>
        <v/>
      </c>
      <c r="AL302" t="str">
        <f t="shared" si="132"/>
        <v/>
      </c>
      <c r="AM302" t="str">
        <f t="shared" si="133"/>
        <v/>
      </c>
    </row>
    <row r="303" spans="1:39" ht="15" customHeight="1" x14ac:dyDescent="0.25">
      <c r="A303" s="131"/>
      <c r="B303" s="133"/>
      <c r="C303" s="133"/>
      <c r="D303" s="42" t="str">
        <f t="shared" si="108"/>
        <v/>
      </c>
      <c r="E303" s="43"/>
      <c r="F303" s="135"/>
      <c r="G303" s="77" t="str">
        <f t="shared" si="109"/>
        <v/>
      </c>
      <c r="H303" s="32" t="str">
        <f t="shared" si="110"/>
        <v/>
      </c>
      <c r="I303" s="78" t="str">
        <f t="shared" si="111"/>
        <v/>
      </c>
      <c r="J303" s="70" t="str">
        <f t="shared" si="112"/>
        <v/>
      </c>
      <c r="K303" s="135"/>
      <c r="L303" s="72" t="str">
        <f t="shared" si="113"/>
        <v/>
      </c>
      <c r="M303" s="135"/>
      <c r="N303" s="72" t="str">
        <f t="shared" si="114"/>
        <v/>
      </c>
      <c r="O303" s="135"/>
      <c r="P303" s="136"/>
      <c r="Q303" s="123" t="str">
        <f t="shared" si="115"/>
        <v/>
      </c>
      <c r="R303" s="45" t="str">
        <f t="shared" si="116"/>
        <v/>
      </c>
      <c r="S303" s="137"/>
      <c r="T303" s="79" t="str">
        <f t="shared" si="125"/>
        <v/>
      </c>
      <c r="U303" s="79" t="str">
        <f t="shared" si="117"/>
        <v/>
      </c>
      <c r="V303" s="73" t="str">
        <f t="shared" si="118"/>
        <v/>
      </c>
      <c r="W303" s="80" t="str">
        <f t="shared" si="119"/>
        <v/>
      </c>
      <c r="X303" s="73" t="str">
        <f t="shared" si="120"/>
        <v/>
      </c>
      <c r="Y303" s="80" t="str">
        <f t="shared" si="121"/>
        <v/>
      </c>
      <c r="Z303" s="74" t="str">
        <f t="shared" si="122"/>
        <v/>
      </c>
      <c r="AA303" s="75" t="str">
        <f t="shared" si="126"/>
        <v/>
      </c>
      <c r="AB303" s="103" t="str">
        <f t="shared" si="123"/>
        <v/>
      </c>
      <c r="AC303" s="104" t="str">
        <f t="shared" si="134"/>
        <v/>
      </c>
      <c r="AE303" s="139"/>
      <c r="AF303" s="110" t="str">
        <f t="shared" si="127"/>
        <v/>
      </c>
      <c r="AG303" s="111" t="str">
        <f t="shared" si="128"/>
        <v/>
      </c>
      <c r="AH303" s="111" t="str">
        <f t="shared" si="124"/>
        <v/>
      </c>
      <c r="AI303" s="111" t="str">
        <f t="shared" si="129"/>
        <v/>
      </c>
      <c r="AJ303" s="111" t="str">
        <f t="shared" si="130"/>
        <v/>
      </c>
      <c r="AK303" s="112" t="str">
        <f t="shared" si="131"/>
        <v/>
      </c>
      <c r="AL303" t="str">
        <f t="shared" si="132"/>
        <v/>
      </c>
      <c r="AM303" t="str">
        <f t="shared" si="133"/>
        <v/>
      </c>
    </row>
    <row r="304" spans="1:39" ht="15" customHeight="1" x14ac:dyDescent="0.25">
      <c r="A304" s="131"/>
      <c r="B304" s="133"/>
      <c r="C304" s="133"/>
      <c r="D304" s="42" t="str">
        <f t="shared" si="108"/>
        <v/>
      </c>
      <c r="E304" s="43"/>
      <c r="F304" s="135"/>
      <c r="G304" s="77" t="str">
        <f t="shared" si="109"/>
        <v/>
      </c>
      <c r="H304" s="32" t="str">
        <f t="shared" si="110"/>
        <v/>
      </c>
      <c r="I304" s="78" t="str">
        <f t="shared" si="111"/>
        <v/>
      </c>
      <c r="J304" s="70" t="str">
        <f t="shared" si="112"/>
        <v/>
      </c>
      <c r="K304" s="135"/>
      <c r="L304" s="72" t="str">
        <f t="shared" si="113"/>
        <v/>
      </c>
      <c r="M304" s="135"/>
      <c r="N304" s="72" t="str">
        <f t="shared" si="114"/>
        <v/>
      </c>
      <c r="O304" s="135"/>
      <c r="P304" s="136"/>
      <c r="Q304" s="123" t="str">
        <f t="shared" si="115"/>
        <v/>
      </c>
      <c r="R304" s="45" t="str">
        <f t="shared" si="116"/>
        <v/>
      </c>
      <c r="S304" s="137"/>
      <c r="T304" s="79" t="str">
        <f t="shared" si="125"/>
        <v/>
      </c>
      <c r="U304" s="79" t="str">
        <f t="shared" si="117"/>
        <v/>
      </c>
      <c r="V304" s="73" t="str">
        <f t="shared" si="118"/>
        <v/>
      </c>
      <c r="W304" s="80" t="str">
        <f t="shared" si="119"/>
        <v/>
      </c>
      <c r="X304" s="73" t="str">
        <f t="shared" si="120"/>
        <v/>
      </c>
      <c r="Y304" s="80" t="str">
        <f t="shared" si="121"/>
        <v/>
      </c>
      <c r="Z304" s="74" t="str">
        <f t="shared" si="122"/>
        <v/>
      </c>
      <c r="AA304" s="75" t="str">
        <f t="shared" si="126"/>
        <v/>
      </c>
      <c r="AB304" s="103" t="str">
        <f t="shared" si="123"/>
        <v/>
      </c>
      <c r="AC304" s="104" t="str">
        <f t="shared" si="134"/>
        <v/>
      </c>
      <c r="AE304" s="139"/>
      <c r="AF304" s="110" t="str">
        <f t="shared" si="127"/>
        <v/>
      </c>
      <c r="AG304" s="111" t="str">
        <f t="shared" si="128"/>
        <v/>
      </c>
      <c r="AH304" s="111" t="str">
        <f t="shared" si="124"/>
        <v/>
      </c>
      <c r="AI304" s="111" t="str">
        <f t="shared" si="129"/>
        <v/>
      </c>
      <c r="AJ304" s="111" t="str">
        <f t="shared" si="130"/>
        <v/>
      </c>
      <c r="AK304" s="112" t="str">
        <f t="shared" si="131"/>
        <v/>
      </c>
      <c r="AL304" t="str">
        <f t="shared" si="132"/>
        <v/>
      </c>
      <c r="AM304" t="str">
        <f t="shared" si="133"/>
        <v/>
      </c>
    </row>
    <row r="305" spans="1:39" ht="15" customHeight="1" x14ac:dyDescent="0.25">
      <c r="A305" s="131"/>
      <c r="B305" s="133"/>
      <c r="C305" s="133"/>
      <c r="D305" s="42" t="str">
        <f t="shared" si="108"/>
        <v/>
      </c>
      <c r="E305" s="43"/>
      <c r="F305" s="135"/>
      <c r="G305" s="77" t="str">
        <f t="shared" si="109"/>
        <v/>
      </c>
      <c r="H305" s="32" t="str">
        <f t="shared" si="110"/>
        <v/>
      </c>
      <c r="I305" s="78" t="str">
        <f t="shared" si="111"/>
        <v/>
      </c>
      <c r="J305" s="70" t="str">
        <f t="shared" si="112"/>
        <v/>
      </c>
      <c r="K305" s="135"/>
      <c r="L305" s="72" t="str">
        <f t="shared" si="113"/>
        <v/>
      </c>
      <c r="M305" s="135"/>
      <c r="N305" s="72" t="str">
        <f t="shared" si="114"/>
        <v/>
      </c>
      <c r="O305" s="135"/>
      <c r="P305" s="136"/>
      <c r="Q305" s="123" t="str">
        <f t="shared" si="115"/>
        <v/>
      </c>
      <c r="R305" s="45" t="str">
        <f t="shared" si="116"/>
        <v/>
      </c>
      <c r="S305" s="137"/>
      <c r="T305" s="79" t="str">
        <f t="shared" si="125"/>
        <v/>
      </c>
      <c r="U305" s="79" t="str">
        <f t="shared" si="117"/>
        <v/>
      </c>
      <c r="V305" s="73" t="str">
        <f t="shared" si="118"/>
        <v/>
      </c>
      <c r="W305" s="80" t="str">
        <f t="shared" si="119"/>
        <v/>
      </c>
      <c r="X305" s="73" t="str">
        <f t="shared" si="120"/>
        <v/>
      </c>
      <c r="Y305" s="80" t="str">
        <f t="shared" si="121"/>
        <v/>
      </c>
      <c r="Z305" s="74" t="str">
        <f t="shared" si="122"/>
        <v/>
      </c>
      <c r="AA305" s="75" t="str">
        <f t="shared" si="126"/>
        <v/>
      </c>
      <c r="AB305" s="103" t="str">
        <f t="shared" si="123"/>
        <v/>
      </c>
      <c r="AC305" s="104" t="str">
        <f t="shared" si="134"/>
        <v/>
      </c>
      <c r="AE305" s="139"/>
      <c r="AF305" s="110" t="str">
        <f t="shared" si="127"/>
        <v/>
      </c>
      <c r="AG305" s="111" t="str">
        <f t="shared" si="128"/>
        <v/>
      </c>
      <c r="AH305" s="111" t="str">
        <f t="shared" si="124"/>
        <v/>
      </c>
      <c r="AI305" s="111" t="str">
        <f t="shared" si="129"/>
        <v/>
      </c>
      <c r="AJ305" s="111" t="str">
        <f t="shared" si="130"/>
        <v/>
      </c>
      <c r="AK305" s="112" t="str">
        <f t="shared" si="131"/>
        <v/>
      </c>
      <c r="AL305" t="str">
        <f t="shared" si="132"/>
        <v/>
      </c>
      <c r="AM305" t="str">
        <f t="shared" si="133"/>
        <v/>
      </c>
    </row>
    <row r="306" spans="1:39" ht="15" customHeight="1" x14ac:dyDescent="0.25">
      <c r="A306" s="131"/>
      <c r="B306" s="133"/>
      <c r="C306" s="133"/>
      <c r="D306" s="42" t="str">
        <f t="shared" si="108"/>
        <v/>
      </c>
      <c r="E306" s="43"/>
      <c r="F306" s="135"/>
      <c r="G306" s="77" t="str">
        <f t="shared" si="109"/>
        <v/>
      </c>
      <c r="H306" s="32" t="str">
        <f t="shared" si="110"/>
        <v/>
      </c>
      <c r="I306" s="78" t="str">
        <f t="shared" si="111"/>
        <v/>
      </c>
      <c r="J306" s="70" t="str">
        <f t="shared" si="112"/>
        <v/>
      </c>
      <c r="K306" s="135"/>
      <c r="L306" s="72" t="str">
        <f t="shared" si="113"/>
        <v/>
      </c>
      <c r="M306" s="135"/>
      <c r="N306" s="72" t="str">
        <f t="shared" si="114"/>
        <v/>
      </c>
      <c r="O306" s="135"/>
      <c r="P306" s="136"/>
      <c r="Q306" s="123" t="str">
        <f t="shared" si="115"/>
        <v/>
      </c>
      <c r="R306" s="45" t="str">
        <f t="shared" si="116"/>
        <v/>
      </c>
      <c r="S306" s="137"/>
      <c r="T306" s="79" t="str">
        <f t="shared" si="125"/>
        <v/>
      </c>
      <c r="U306" s="79" t="str">
        <f t="shared" si="117"/>
        <v/>
      </c>
      <c r="V306" s="73" t="str">
        <f t="shared" si="118"/>
        <v/>
      </c>
      <c r="W306" s="80" t="str">
        <f t="shared" si="119"/>
        <v/>
      </c>
      <c r="X306" s="73" t="str">
        <f t="shared" si="120"/>
        <v/>
      </c>
      <c r="Y306" s="80" t="str">
        <f t="shared" si="121"/>
        <v/>
      </c>
      <c r="Z306" s="74" t="str">
        <f t="shared" si="122"/>
        <v/>
      </c>
      <c r="AA306" s="75" t="str">
        <f t="shared" si="126"/>
        <v/>
      </c>
      <c r="AB306" s="103" t="str">
        <f t="shared" si="123"/>
        <v/>
      </c>
      <c r="AC306" s="104" t="str">
        <f t="shared" si="134"/>
        <v/>
      </c>
      <c r="AE306" s="139"/>
      <c r="AF306" s="110" t="str">
        <f t="shared" si="127"/>
        <v/>
      </c>
      <c r="AG306" s="111" t="str">
        <f t="shared" si="128"/>
        <v/>
      </c>
      <c r="AH306" s="111" t="str">
        <f t="shared" si="124"/>
        <v/>
      </c>
      <c r="AI306" s="111" t="str">
        <f t="shared" si="129"/>
        <v/>
      </c>
      <c r="AJ306" s="111" t="str">
        <f t="shared" si="130"/>
        <v/>
      </c>
      <c r="AK306" s="112" t="str">
        <f t="shared" si="131"/>
        <v/>
      </c>
      <c r="AL306" t="str">
        <f t="shared" si="132"/>
        <v/>
      </c>
      <c r="AM306" t="str">
        <f t="shared" si="133"/>
        <v/>
      </c>
    </row>
    <row r="307" spans="1:39" ht="15" customHeight="1" x14ac:dyDescent="0.25">
      <c r="A307" s="131"/>
      <c r="B307" s="133"/>
      <c r="C307" s="133"/>
      <c r="D307" s="42" t="str">
        <f t="shared" si="108"/>
        <v/>
      </c>
      <c r="E307" s="43"/>
      <c r="F307" s="135"/>
      <c r="G307" s="77" t="str">
        <f t="shared" si="109"/>
        <v/>
      </c>
      <c r="H307" s="32" t="str">
        <f t="shared" si="110"/>
        <v/>
      </c>
      <c r="I307" s="78" t="str">
        <f t="shared" si="111"/>
        <v/>
      </c>
      <c r="J307" s="70" t="str">
        <f t="shared" si="112"/>
        <v/>
      </c>
      <c r="K307" s="135"/>
      <c r="L307" s="72" t="str">
        <f t="shared" si="113"/>
        <v/>
      </c>
      <c r="M307" s="135"/>
      <c r="N307" s="72" t="str">
        <f t="shared" si="114"/>
        <v/>
      </c>
      <c r="O307" s="135"/>
      <c r="P307" s="136"/>
      <c r="Q307" s="123" t="str">
        <f t="shared" si="115"/>
        <v/>
      </c>
      <c r="R307" s="45" t="str">
        <f t="shared" si="116"/>
        <v/>
      </c>
      <c r="S307" s="137"/>
      <c r="T307" s="79" t="str">
        <f t="shared" si="125"/>
        <v/>
      </c>
      <c r="U307" s="79" t="str">
        <f t="shared" si="117"/>
        <v/>
      </c>
      <c r="V307" s="73" t="str">
        <f t="shared" si="118"/>
        <v/>
      </c>
      <c r="W307" s="80" t="str">
        <f t="shared" si="119"/>
        <v/>
      </c>
      <c r="X307" s="73" t="str">
        <f t="shared" si="120"/>
        <v/>
      </c>
      <c r="Y307" s="80" t="str">
        <f t="shared" si="121"/>
        <v/>
      </c>
      <c r="Z307" s="74" t="str">
        <f t="shared" si="122"/>
        <v/>
      </c>
      <c r="AA307" s="75" t="str">
        <f t="shared" si="126"/>
        <v/>
      </c>
      <c r="AB307" s="103" t="str">
        <f t="shared" si="123"/>
        <v/>
      </c>
      <c r="AC307" s="104" t="str">
        <f t="shared" si="134"/>
        <v/>
      </c>
      <c r="AE307" s="139"/>
      <c r="AF307" s="110" t="str">
        <f t="shared" si="127"/>
        <v/>
      </c>
      <c r="AG307" s="111" t="str">
        <f t="shared" si="128"/>
        <v/>
      </c>
      <c r="AH307" s="111" t="str">
        <f t="shared" si="124"/>
        <v/>
      </c>
      <c r="AI307" s="111" t="str">
        <f t="shared" si="129"/>
        <v/>
      </c>
      <c r="AJ307" s="111" t="str">
        <f t="shared" si="130"/>
        <v/>
      </c>
      <c r="AK307" s="112" t="str">
        <f t="shared" si="131"/>
        <v/>
      </c>
      <c r="AL307" t="str">
        <f t="shared" si="132"/>
        <v/>
      </c>
      <c r="AM307" t="str">
        <f t="shared" si="133"/>
        <v/>
      </c>
    </row>
    <row r="308" spans="1:39" ht="15" customHeight="1" x14ac:dyDescent="0.25">
      <c r="A308" s="131"/>
      <c r="B308" s="133"/>
      <c r="C308" s="133"/>
      <c r="D308" s="42" t="str">
        <f t="shared" si="108"/>
        <v/>
      </c>
      <c r="E308" s="43"/>
      <c r="F308" s="135"/>
      <c r="G308" s="77" t="str">
        <f t="shared" si="109"/>
        <v/>
      </c>
      <c r="H308" s="32" t="str">
        <f t="shared" si="110"/>
        <v/>
      </c>
      <c r="I308" s="78" t="str">
        <f t="shared" si="111"/>
        <v/>
      </c>
      <c r="J308" s="70" t="str">
        <f t="shared" si="112"/>
        <v/>
      </c>
      <c r="K308" s="135"/>
      <c r="L308" s="72" t="str">
        <f t="shared" si="113"/>
        <v/>
      </c>
      <c r="M308" s="135"/>
      <c r="N308" s="72" t="str">
        <f t="shared" si="114"/>
        <v/>
      </c>
      <c r="O308" s="135"/>
      <c r="P308" s="136"/>
      <c r="Q308" s="123" t="str">
        <f t="shared" si="115"/>
        <v/>
      </c>
      <c r="R308" s="45" t="str">
        <f t="shared" si="116"/>
        <v/>
      </c>
      <c r="S308" s="137"/>
      <c r="T308" s="79" t="str">
        <f t="shared" si="125"/>
        <v/>
      </c>
      <c r="U308" s="79" t="str">
        <f t="shared" si="117"/>
        <v/>
      </c>
      <c r="V308" s="73" t="str">
        <f t="shared" si="118"/>
        <v/>
      </c>
      <c r="W308" s="80" t="str">
        <f t="shared" si="119"/>
        <v/>
      </c>
      <c r="X308" s="73" t="str">
        <f t="shared" si="120"/>
        <v/>
      </c>
      <c r="Y308" s="80" t="str">
        <f t="shared" si="121"/>
        <v/>
      </c>
      <c r="Z308" s="74" t="str">
        <f t="shared" si="122"/>
        <v/>
      </c>
      <c r="AA308" s="75" t="str">
        <f t="shared" si="126"/>
        <v/>
      </c>
      <c r="AB308" s="103" t="str">
        <f t="shared" si="123"/>
        <v/>
      </c>
      <c r="AC308" s="104" t="str">
        <f t="shared" si="134"/>
        <v/>
      </c>
      <c r="AE308" s="139"/>
      <c r="AF308" s="110" t="str">
        <f t="shared" si="127"/>
        <v/>
      </c>
      <c r="AG308" s="111" t="str">
        <f t="shared" si="128"/>
        <v/>
      </c>
      <c r="AH308" s="111" t="str">
        <f t="shared" si="124"/>
        <v/>
      </c>
      <c r="AI308" s="111" t="str">
        <f t="shared" si="129"/>
        <v/>
      </c>
      <c r="AJ308" s="111" t="str">
        <f t="shared" si="130"/>
        <v/>
      </c>
      <c r="AK308" s="112" t="str">
        <f t="shared" si="131"/>
        <v/>
      </c>
      <c r="AL308" t="str">
        <f t="shared" si="132"/>
        <v/>
      </c>
      <c r="AM308" t="str">
        <f t="shared" si="133"/>
        <v/>
      </c>
    </row>
    <row r="309" spans="1:39" ht="15" customHeight="1" x14ac:dyDescent="0.25">
      <c r="A309" s="131"/>
      <c r="B309" s="133"/>
      <c r="C309" s="133"/>
      <c r="D309" s="42" t="str">
        <f t="shared" si="108"/>
        <v/>
      </c>
      <c r="E309" s="43"/>
      <c r="F309" s="135"/>
      <c r="G309" s="77" t="str">
        <f t="shared" si="109"/>
        <v/>
      </c>
      <c r="H309" s="32" t="str">
        <f t="shared" si="110"/>
        <v/>
      </c>
      <c r="I309" s="78" t="str">
        <f t="shared" si="111"/>
        <v/>
      </c>
      <c r="J309" s="70" t="str">
        <f t="shared" si="112"/>
        <v/>
      </c>
      <c r="K309" s="135"/>
      <c r="L309" s="72" t="str">
        <f t="shared" si="113"/>
        <v/>
      </c>
      <c r="M309" s="135"/>
      <c r="N309" s="72" t="str">
        <f t="shared" si="114"/>
        <v/>
      </c>
      <c r="O309" s="135"/>
      <c r="P309" s="136"/>
      <c r="Q309" s="123" t="str">
        <f t="shared" si="115"/>
        <v/>
      </c>
      <c r="R309" s="45" t="str">
        <f t="shared" si="116"/>
        <v/>
      </c>
      <c r="S309" s="137"/>
      <c r="T309" s="79" t="str">
        <f t="shared" si="125"/>
        <v/>
      </c>
      <c r="U309" s="79" t="str">
        <f t="shared" si="117"/>
        <v/>
      </c>
      <c r="V309" s="73" t="str">
        <f t="shared" si="118"/>
        <v/>
      </c>
      <c r="W309" s="80" t="str">
        <f t="shared" si="119"/>
        <v/>
      </c>
      <c r="X309" s="73" t="str">
        <f t="shared" si="120"/>
        <v/>
      </c>
      <c r="Y309" s="80" t="str">
        <f t="shared" si="121"/>
        <v/>
      </c>
      <c r="Z309" s="74" t="str">
        <f t="shared" si="122"/>
        <v/>
      </c>
      <c r="AA309" s="75" t="str">
        <f t="shared" si="126"/>
        <v/>
      </c>
      <c r="AB309" s="103" t="str">
        <f t="shared" si="123"/>
        <v/>
      </c>
      <c r="AC309" s="104" t="str">
        <f t="shared" si="134"/>
        <v/>
      </c>
      <c r="AE309" s="139"/>
      <c r="AF309" s="110" t="str">
        <f t="shared" si="127"/>
        <v/>
      </c>
      <c r="AG309" s="111" t="str">
        <f t="shared" si="128"/>
        <v/>
      </c>
      <c r="AH309" s="111" t="str">
        <f t="shared" si="124"/>
        <v/>
      </c>
      <c r="AI309" s="111" t="str">
        <f t="shared" si="129"/>
        <v/>
      </c>
      <c r="AJ309" s="111" t="str">
        <f t="shared" si="130"/>
        <v/>
      </c>
      <c r="AK309" s="112" t="str">
        <f t="shared" si="131"/>
        <v/>
      </c>
      <c r="AL309" t="str">
        <f t="shared" si="132"/>
        <v/>
      </c>
      <c r="AM309" t="str">
        <f t="shared" si="133"/>
        <v/>
      </c>
    </row>
    <row r="310" spans="1:39" ht="15" customHeight="1" x14ac:dyDescent="0.25">
      <c r="A310" s="131"/>
      <c r="B310" s="133"/>
      <c r="C310" s="133"/>
      <c r="D310" s="42" t="str">
        <f t="shared" si="108"/>
        <v/>
      </c>
      <c r="E310" s="43"/>
      <c r="F310" s="135"/>
      <c r="G310" s="77" t="str">
        <f t="shared" si="109"/>
        <v/>
      </c>
      <c r="H310" s="32" t="str">
        <f t="shared" si="110"/>
        <v/>
      </c>
      <c r="I310" s="78" t="str">
        <f t="shared" si="111"/>
        <v/>
      </c>
      <c r="J310" s="70" t="str">
        <f t="shared" si="112"/>
        <v/>
      </c>
      <c r="K310" s="135"/>
      <c r="L310" s="72" t="str">
        <f t="shared" si="113"/>
        <v/>
      </c>
      <c r="M310" s="135"/>
      <c r="N310" s="72" t="str">
        <f t="shared" si="114"/>
        <v/>
      </c>
      <c r="O310" s="135"/>
      <c r="P310" s="136"/>
      <c r="Q310" s="123" t="str">
        <f t="shared" si="115"/>
        <v/>
      </c>
      <c r="R310" s="45" t="str">
        <f t="shared" si="116"/>
        <v/>
      </c>
      <c r="S310" s="137"/>
      <c r="T310" s="79" t="str">
        <f t="shared" si="125"/>
        <v/>
      </c>
      <c r="U310" s="79" t="str">
        <f t="shared" si="117"/>
        <v/>
      </c>
      <c r="V310" s="73" t="str">
        <f t="shared" si="118"/>
        <v/>
      </c>
      <c r="W310" s="80" t="str">
        <f t="shared" si="119"/>
        <v/>
      </c>
      <c r="X310" s="73" t="str">
        <f t="shared" si="120"/>
        <v/>
      </c>
      <c r="Y310" s="80" t="str">
        <f t="shared" si="121"/>
        <v/>
      </c>
      <c r="Z310" s="74" t="str">
        <f t="shared" si="122"/>
        <v/>
      </c>
      <c r="AA310" s="75" t="str">
        <f t="shared" si="126"/>
        <v/>
      </c>
      <c r="AB310" s="103" t="str">
        <f t="shared" si="123"/>
        <v/>
      </c>
      <c r="AC310" s="104" t="str">
        <f t="shared" si="134"/>
        <v/>
      </c>
      <c r="AE310" s="139"/>
      <c r="AF310" s="110" t="str">
        <f t="shared" si="127"/>
        <v/>
      </c>
      <c r="AG310" s="111" t="str">
        <f t="shared" si="128"/>
        <v/>
      </c>
      <c r="AH310" s="111" t="str">
        <f t="shared" si="124"/>
        <v/>
      </c>
      <c r="AI310" s="111" t="str">
        <f t="shared" si="129"/>
        <v/>
      </c>
      <c r="AJ310" s="111" t="str">
        <f t="shared" si="130"/>
        <v/>
      </c>
      <c r="AK310" s="112" t="str">
        <f t="shared" si="131"/>
        <v/>
      </c>
      <c r="AL310" t="str">
        <f t="shared" si="132"/>
        <v/>
      </c>
      <c r="AM310" t="str">
        <f t="shared" si="133"/>
        <v/>
      </c>
    </row>
    <row r="311" spans="1:39" ht="15" customHeight="1" x14ac:dyDescent="0.25">
      <c r="A311" s="131"/>
      <c r="B311" s="133"/>
      <c r="C311" s="133"/>
      <c r="D311" s="42" t="str">
        <f t="shared" si="108"/>
        <v/>
      </c>
      <c r="E311" s="43"/>
      <c r="F311" s="135"/>
      <c r="G311" s="77" t="str">
        <f t="shared" si="109"/>
        <v/>
      </c>
      <c r="H311" s="32" t="str">
        <f t="shared" si="110"/>
        <v/>
      </c>
      <c r="I311" s="78" t="str">
        <f t="shared" si="111"/>
        <v/>
      </c>
      <c r="J311" s="70" t="str">
        <f t="shared" si="112"/>
        <v/>
      </c>
      <c r="K311" s="135"/>
      <c r="L311" s="72" t="str">
        <f t="shared" si="113"/>
        <v/>
      </c>
      <c r="M311" s="135"/>
      <c r="N311" s="72" t="str">
        <f t="shared" si="114"/>
        <v/>
      </c>
      <c r="O311" s="135"/>
      <c r="P311" s="136"/>
      <c r="Q311" s="123" t="str">
        <f t="shared" si="115"/>
        <v/>
      </c>
      <c r="R311" s="45" t="str">
        <f t="shared" si="116"/>
        <v/>
      </c>
      <c r="S311" s="137"/>
      <c r="T311" s="79" t="str">
        <f t="shared" si="125"/>
        <v/>
      </c>
      <c r="U311" s="79" t="str">
        <f t="shared" si="117"/>
        <v/>
      </c>
      <c r="V311" s="73" t="str">
        <f t="shared" si="118"/>
        <v/>
      </c>
      <c r="W311" s="80" t="str">
        <f t="shared" si="119"/>
        <v/>
      </c>
      <c r="X311" s="73" t="str">
        <f t="shared" si="120"/>
        <v/>
      </c>
      <c r="Y311" s="80" t="str">
        <f t="shared" si="121"/>
        <v/>
      </c>
      <c r="Z311" s="74" t="str">
        <f t="shared" si="122"/>
        <v/>
      </c>
      <c r="AA311" s="75" t="str">
        <f t="shared" si="126"/>
        <v/>
      </c>
      <c r="AB311" s="103" t="str">
        <f t="shared" si="123"/>
        <v/>
      </c>
      <c r="AC311" s="104" t="str">
        <f t="shared" si="134"/>
        <v/>
      </c>
      <c r="AE311" s="139"/>
      <c r="AF311" s="110" t="str">
        <f t="shared" si="127"/>
        <v/>
      </c>
      <c r="AG311" s="111" t="str">
        <f t="shared" si="128"/>
        <v/>
      </c>
      <c r="AH311" s="111" t="str">
        <f t="shared" si="124"/>
        <v/>
      </c>
      <c r="AI311" s="111" t="str">
        <f t="shared" si="129"/>
        <v/>
      </c>
      <c r="AJ311" s="111" t="str">
        <f t="shared" si="130"/>
        <v/>
      </c>
      <c r="AK311" s="112" t="str">
        <f t="shared" si="131"/>
        <v/>
      </c>
      <c r="AL311" t="str">
        <f t="shared" si="132"/>
        <v/>
      </c>
      <c r="AM311" t="str">
        <f t="shared" si="133"/>
        <v/>
      </c>
    </row>
    <row r="312" spans="1:39" ht="15" customHeight="1" x14ac:dyDescent="0.25">
      <c r="A312" s="131"/>
      <c r="B312" s="133"/>
      <c r="C312" s="133"/>
      <c r="D312" s="42" t="str">
        <f t="shared" si="108"/>
        <v/>
      </c>
      <c r="E312" s="43"/>
      <c r="F312" s="135"/>
      <c r="G312" s="77" t="str">
        <f t="shared" si="109"/>
        <v/>
      </c>
      <c r="H312" s="32" t="str">
        <f t="shared" si="110"/>
        <v/>
      </c>
      <c r="I312" s="78" t="str">
        <f t="shared" si="111"/>
        <v/>
      </c>
      <c r="J312" s="70" t="str">
        <f t="shared" si="112"/>
        <v/>
      </c>
      <c r="K312" s="135"/>
      <c r="L312" s="72" t="str">
        <f t="shared" si="113"/>
        <v/>
      </c>
      <c r="M312" s="135"/>
      <c r="N312" s="72" t="str">
        <f t="shared" si="114"/>
        <v/>
      </c>
      <c r="O312" s="135"/>
      <c r="P312" s="136"/>
      <c r="Q312" s="123" t="str">
        <f t="shared" si="115"/>
        <v/>
      </c>
      <c r="R312" s="45" t="str">
        <f t="shared" si="116"/>
        <v/>
      </c>
      <c r="S312" s="137"/>
      <c r="T312" s="79" t="str">
        <f t="shared" si="125"/>
        <v/>
      </c>
      <c r="U312" s="79" t="str">
        <f t="shared" si="117"/>
        <v/>
      </c>
      <c r="V312" s="73" t="str">
        <f t="shared" si="118"/>
        <v/>
      </c>
      <c r="W312" s="80" t="str">
        <f t="shared" si="119"/>
        <v/>
      </c>
      <c r="X312" s="73" t="str">
        <f t="shared" si="120"/>
        <v/>
      </c>
      <c r="Y312" s="80" t="str">
        <f t="shared" si="121"/>
        <v/>
      </c>
      <c r="Z312" s="74" t="str">
        <f t="shared" si="122"/>
        <v/>
      </c>
      <c r="AA312" s="75" t="str">
        <f t="shared" si="126"/>
        <v/>
      </c>
      <c r="AB312" s="103" t="str">
        <f t="shared" si="123"/>
        <v/>
      </c>
      <c r="AC312" s="104" t="str">
        <f t="shared" si="134"/>
        <v/>
      </c>
      <c r="AE312" s="139"/>
      <c r="AF312" s="110" t="str">
        <f t="shared" si="127"/>
        <v/>
      </c>
      <c r="AG312" s="111" t="str">
        <f t="shared" si="128"/>
        <v/>
      </c>
      <c r="AH312" s="111" t="str">
        <f t="shared" si="124"/>
        <v/>
      </c>
      <c r="AI312" s="111" t="str">
        <f t="shared" si="129"/>
        <v/>
      </c>
      <c r="AJ312" s="111" t="str">
        <f t="shared" si="130"/>
        <v/>
      </c>
      <c r="AK312" s="112" t="str">
        <f t="shared" si="131"/>
        <v/>
      </c>
      <c r="AL312" t="str">
        <f t="shared" si="132"/>
        <v/>
      </c>
      <c r="AM312" t="str">
        <f t="shared" si="133"/>
        <v/>
      </c>
    </row>
    <row r="313" spans="1:39" ht="15" customHeight="1" x14ac:dyDescent="0.25">
      <c r="A313" s="131"/>
      <c r="B313" s="133"/>
      <c r="C313" s="133"/>
      <c r="D313" s="42" t="str">
        <f t="shared" si="108"/>
        <v/>
      </c>
      <c r="E313" s="43"/>
      <c r="F313" s="135"/>
      <c r="G313" s="77" t="str">
        <f t="shared" si="109"/>
        <v/>
      </c>
      <c r="H313" s="32" t="str">
        <f t="shared" si="110"/>
        <v/>
      </c>
      <c r="I313" s="78" t="str">
        <f t="shared" si="111"/>
        <v/>
      </c>
      <c r="J313" s="70" t="str">
        <f t="shared" si="112"/>
        <v/>
      </c>
      <c r="K313" s="135"/>
      <c r="L313" s="72" t="str">
        <f t="shared" si="113"/>
        <v/>
      </c>
      <c r="M313" s="135"/>
      <c r="N313" s="72" t="str">
        <f t="shared" si="114"/>
        <v/>
      </c>
      <c r="O313" s="135"/>
      <c r="P313" s="136"/>
      <c r="Q313" s="123" t="str">
        <f t="shared" si="115"/>
        <v/>
      </c>
      <c r="R313" s="45" t="str">
        <f t="shared" si="116"/>
        <v/>
      </c>
      <c r="S313" s="137"/>
      <c r="T313" s="79" t="str">
        <f t="shared" si="125"/>
        <v/>
      </c>
      <c r="U313" s="79" t="str">
        <f t="shared" si="117"/>
        <v/>
      </c>
      <c r="V313" s="73" t="str">
        <f t="shared" si="118"/>
        <v/>
      </c>
      <c r="W313" s="80" t="str">
        <f t="shared" si="119"/>
        <v/>
      </c>
      <c r="X313" s="73" t="str">
        <f t="shared" si="120"/>
        <v/>
      </c>
      <c r="Y313" s="80" t="str">
        <f t="shared" si="121"/>
        <v/>
      </c>
      <c r="Z313" s="74" t="str">
        <f t="shared" si="122"/>
        <v/>
      </c>
      <c r="AA313" s="75" t="str">
        <f t="shared" si="126"/>
        <v/>
      </c>
      <c r="AB313" s="103" t="str">
        <f t="shared" si="123"/>
        <v/>
      </c>
      <c r="AC313" s="104" t="str">
        <f t="shared" si="134"/>
        <v/>
      </c>
      <c r="AE313" s="139"/>
      <c r="AF313" s="110" t="str">
        <f t="shared" si="127"/>
        <v/>
      </c>
      <c r="AG313" s="111" t="str">
        <f t="shared" si="128"/>
        <v/>
      </c>
      <c r="AH313" s="111" t="str">
        <f t="shared" si="124"/>
        <v/>
      </c>
      <c r="AI313" s="111" t="str">
        <f t="shared" si="129"/>
        <v/>
      </c>
      <c r="AJ313" s="111" t="str">
        <f t="shared" si="130"/>
        <v/>
      </c>
      <c r="AK313" s="112" t="str">
        <f t="shared" si="131"/>
        <v/>
      </c>
      <c r="AL313" t="str">
        <f t="shared" si="132"/>
        <v/>
      </c>
      <c r="AM313" t="str">
        <f t="shared" si="133"/>
        <v/>
      </c>
    </row>
    <row r="314" spans="1:39" ht="15" customHeight="1" x14ac:dyDescent="0.25">
      <c r="A314" s="131"/>
      <c r="B314" s="133"/>
      <c r="C314" s="133"/>
      <c r="D314" s="42" t="str">
        <f t="shared" si="108"/>
        <v/>
      </c>
      <c r="E314" s="43"/>
      <c r="F314" s="135"/>
      <c r="G314" s="77" t="str">
        <f t="shared" si="109"/>
        <v/>
      </c>
      <c r="H314" s="32" t="str">
        <f t="shared" si="110"/>
        <v/>
      </c>
      <c r="I314" s="78" t="str">
        <f t="shared" si="111"/>
        <v/>
      </c>
      <c r="J314" s="70" t="str">
        <f t="shared" si="112"/>
        <v/>
      </c>
      <c r="K314" s="135"/>
      <c r="L314" s="72" t="str">
        <f t="shared" si="113"/>
        <v/>
      </c>
      <c r="M314" s="135"/>
      <c r="N314" s="72" t="str">
        <f t="shared" si="114"/>
        <v/>
      </c>
      <c r="O314" s="135"/>
      <c r="P314" s="136"/>
      <c r="Q314" s="123" t="str">
        <f t="shared" si="115"/>
        <v/>
      </c>
      <c r="R314" s="45" t="str">
        <f t="shared" si="116"/>
        <v/>
      </c>
      <c r="S314" s="137"/>
      <c r="T314" s="79" t="str">
        <f t="shared" si="125"/>
        <v/>
      </c>
      <c r="U314" s="79" t="str">
        <f t="shared" si="117"/>
        <v/>
      </c>
      <c r="V314" s="73" t="str">
        <f t="shared" si="118"/>
        <v/>
      </c>
      <c r="W314" s="80" t="str">
        <f t="shared" si="119"/>
        <v/>
      </c>
      <c r="X314" s="73" t="str">
        <f t="shared" si="120"/>
        <v/>
      </c>
      <c r="Y314" s="80" t="str">
        <f t="shared" si="121"/>
        <v/>
      </c>
      <c r="Z314" s="74" t="str">
        <f t="shared" si="122"/>
        <v/>
      </c>
      <c r="AA314" s="75" t="str">
        <f t="shared" si="126"/>
        <v/>
      </c>
      <c r="AB314" s="103" t="str">
        <f t="shared" si="123"/>
        <v/>
      </c>
      <c r="AC314" s="104" t="str">
        <f t="shared" si="134"/>
        <v/>
      </c>
      <c r="AE314" s="139"/>
      <c r="AF314" s="110" t="str">
        <f t="shared" si="127"/>
        <v/>
      </c>
      <c r="AG314" s="111" t="str">
        <f t="shared" si="128"/>
        <v/>
      </c>
      <c r="AH314" s="111" t="str">
        <f t="shared" si="124"/>
        <v/>
      </c>
      <c r="AI314" s="111" t="str">
        <f t="shared" si="129"/>
        <v/>
      </c>
      <c r="AJ314" s="111" t="str">
        <f t="shared" si="130"/>
        <v/>
      </c>
      <c r="AK314" s="112" t="str">
        <f t="shared" si="131"/>
        <v/>
      </c>
      <c r="AL314" t="str">
        <f t="shared" si="132"/>
        <v/>
      </c>
      <c r="AM314" t="str">
        <f t="shared" si="133"/>
        <v/>
      </c>
    </row>
    <row r="315" spans="1:39" ht="15" customHeight="1" x14ac:dyDescent="0.25">
      <c r="A315" s="131"/>
      <c r="B315" s="133"/>
      <c r="C315" s="133"/>
      <c r="D315" s="42" t="str">
        <f t="shared" si="108"/>
        <v/>
      </c>
      <c r="E315" s="43"/>
      <c r="F315" s="135"/>
      <c r="G315" s="77" t="str">
        <f t="shared" si="109"/>
        <v/>
      </c>
      <c r="H315" s="32" t="str">
        <f t="shared" si="110"/>
        <v/>
      </c>
      <c r="I315" s="78" t="str">
        <f t="shared" si="111"/>
        <v/>
      </c>
      <c r="J315" s="70" t="str">
        <f t="shared" si="112"/>
        <v/>
      </c>
      <c r="K315" s="135"/>
      <c r="L315" s="72" t="str">
        <f t="shared" si="113"/>
        <v/>
      </c>
      <c r="M315" s="135"/>
      <c r="N315" s="72" t="str">
        <f t="shared" si="114"/>
        <v/>
      </c>
      <c r="O315" s="135"/>
      <c r="P315" s="136"/>
      <c r="Q315" s="123" t="str">
        <f t="shared" si="115"/>
        <v/>
      </c>
      <c r="R315" s="45" t="str">
        <f t="shared" si="116"/>
        <v/>
      </c>
      <c r="S315" s="137"/>
      <c r="T315" s="79" t="str">
        <f t="shared" si="125"/>
        <v/>
      </c>
      <c r="U315" s="79" t="str">
        <f t="shared" si="117"/>
        <v/>
      </c>
      <c r="V315" s="73" t="str">
        <f t="shared" si="118"/>
        <v/>
      </c>
      <c r="W315" s="80" t="str">
        <f t="shared" si="119"/>
        <v/>
      </c>
      <c r="X315" s="73" t="str">
        <f t="shared" si="120"/>
        <v/>
      </c>
      <c r="Y315" s="80" t="str">
        <f t="shared" si="121"/>
        <v/>
      </c>
      <c r="Z315" s="74" t="str">
        <f t="shared" si="122"/>
        <v/>
      </c>
      <c r="AA315" s="75" t="str">
        <f t="shared" si="126"/>
        <v/>
      </c>
      <c r="AB315" s="103" t="str">
        <f t="shared" si="123"/>
        <v/>
      </c>
      <c r="AC315" s="104" t="str">
        <f t="shared" si="134"/>
        <v/>
      </c>
      <c r="AE315" s="139"/>
      <c r="AF315" s="110" t="str">
        <f t="shared" si="127"/>
        <v/>
      </c>
      <c r="AG315" s="111" t="str">
        <f t="shared" si="128"/>
        <v/>
      </c>
      <c r="AH315" s="111" t="str">
        <f t="shared" si="124"/>
        <v/>
      </c>
      <c r="AI315" s="111" t="str">
        <f t="shared" si="129"/>
        <v/>
      </c>
      <c r="AJ315" s="111" t="str">
        <f t="shared" si="130"/>
        <v/>
      </c>
      <c r="AK315" s="112" t="str">
        <f t="shared" si="131"/>
        <v/>
      </c>
      <c r="AL315" t="str">
        <f t="shared" si="132"/>
        <v/>
      </c>
      <c r="AM315" t="str">
        <f t="shared" si="133"/>
        <v/>
      </c>
    </row>
    <row r="316" spans="1:39" ht="15" customHeight="1" x14ac:dyDescent="0.25">
      <c r="A316" s="131"/>
      <c r="B316" s="133"/>
      <c r="C316" s="133"/>
      <c r="D316" s="42" t="str">
        <f t="shared" si="108"/>
        <v/>
      </c>
      <c r="E316" s="43"/>
      <c r="F316" s="135"/>
      <c r="G316" s="77" t="str">
        <f t="shared" si="109"/>
        <v/>
      </c>
      <c r="H316" s="32" t="str">
        <f t="shared" si="110"/>
        <v/>
      </c>
      <c r="I316" s="78" t="str">
        <f t="shared" si="111"/>
        <v/>
      </c>
      <c r="J316" s="70" t="str">
        <f t="shared" si="112"/>
        <v/>
      </c>
      <c r="K316" s="135"/>
      <c r="L316" s="72" t="str">
        <f t="shared" si="113"/>
        <v/>
      </c>
      <c r="M316" s="135"/>
      <c r="N316" s="72" t="str">
        <f t="shared" si="114"/>
        <v/>
      </c>
      <c r="O316" s="135"/>
      <c r="P316" s="136"/>
      <c r="Q316" s="123" t="str">
        <f t="shared" si="115"/>
        <v/>
      </c>
      <c r="R316" s="45" t="str">
        <f t="shared" si="116"/>
        <v/>
      </c>
      <c r="S316" s="137"/>
      <c r="T316" s="79" t="str">
        <f t="shared" si="125"/>
        <v/>
      </c>
      <c r="U316" s="79" t="str">
        <f t="shared" si="117"/>
        <v/>
      </c>
      <c r="V316" s="73" t="str">
        <f t="shared" si="118"/>
        <v/>
      </c>
      <c r="W316" s="80" t="str">
        <f t="shared" si="119"/>
        <v/>
      </c>
      <c r="X316" s="73" t="str">
        <f t="shared" si="120"/>
        <v/>
      </c>
      <c r="Y316" s="80" t="str">
        <f t="shared" si="121"/>
        <v/>
      </c>
      <c r="Z316" s="74" t="str">
        <f t="shared" si="122"/>
        <v/>
      </c>
      <c r="AA316" s="75" t="str">
        <f t="shared" si="126"/>
        <v/>
      </c>
      <c r="AB316" s="103" t="str">
        <f t="shared" si="123"/>
        <v/>
      </c>
      <c r="AC316" s="104" t="str">
        <f t="shared" si="134"/>
        <v/>
      </c>
      <c r="AE316" s="139"/>
      <c r="AF316" s="110" t="str">
        <f t="shared" si="127"/>
        <v/>
      </c>
      <c r="AG316" s="111" t="str">
        <f t="shared" si="128"/>
        <v/>
      </c>
      <c r="AH316" s="111" t="str">
        <f t="shared" si="124"/>
        <v/>
      </c>
      <c r="AI316" s="111" t="str">
        <f t="shared" si="129"/>
        <v/>
      </c>
      <c r="AJ316" s="111" t="str">
        <f t="shared" si="130"/>
        <v/>
      </c>
      <c r="AK316" s="112" t="str">
        <f t="shared" si="131"/>
        <v/>
      </c>
      <c r="AL316" t="str">
        <f t="shared" si="132"/>
        <v/>
      </c>
      <c r="AM316" t="str">
        <f t="shared" si="133"/>
        <v/>
      </c>
    </row>
    <row r="317" spans="1:39" ht="15" customHeight="1" x14ac:dyDescent="0.25">
      <c r="A317" s="131"/>
      <c r="B317" s="133"/>
      <c r="C317" s="133"/>
      <c r="D317" s="42" t="str">
        <f t="shared" si="108"/>
        <v/>
      </c>
      <c r="E317" s="43"/>
      <c r="F317" s="135"/>
      <c r="G317" s="77" t="str">
        <f t="shared" si="109"/>
        <v/>
      </c>
      <c r="H317" s="32" t="str">
        <f t="shared" si="110"/>
        <v/>
      </c>
      <c r="I317" s="78" t="str">
        <f t="shared" si="111"/>
        <v/>
      </c>
      <c r="J317" s="70" t="str">
        <f t="shared" si="112"/>
        <v/>
      </c>
      <c r="K317" s="135"/>
      <c r="L317" s="72" t="str">
        <f t="shared" si="113"/>
        <v/>
      </c>
      <c r="M317" s="135"/>
      <c r="N317" s="72" t="str">
        <f t="shared" si="114"/>
        <v/>
      </c>
      <c r="O317" s="135"/>
      <c r="P317" s="136"/>
      <c r="Q317" s="123" t="str">
        <f t="shared" si="115"/>
        <v/>
      </c>
      <c r="R317" s="45" t="str">
        <f t="shared" si="116"/>
        <v/>
      </c>
      <c r="S317" s="137"/>
      <c r="T317" s="79" t="str">
        <f t="shared" si="125"/>
        <v/>
      </c>
      <c r="U317" s="79" t="str">
        <f t="shared" si="117"/>
        <v/>
      </c>
      <c r="V317" s="73" t="str">
        <f t="shared" si="118"/>
        <v/>
      </c>
      <c r="W317" s="80" t="str">
        <f t="shared" si="119"/>
        <v/>
      </c>
      <c r="X317" s="73" t="str">
        <f t="shared" si="120"/>
        <v/>
      </c>
      <c r="Y317" s="80" t="str">
        <f t="shared" si="121"/>
        <v/>
      </c>
      <c r="Z317" s="74" t="str">
        <f t="shared" si="122"/>
        <v/>
      </c>
      <c r="AA317" s="75" t="str">
        <f t="shared" si="126"/>
        <v/>
      </c>
      <c r="AB317" s="103" t="str">
        <f t="shared" si="123"/>
        <v/>
      </c>
      <c r="AC317" s="104" t="str">
        <f t="shared" si="134"/>
        <v/>
      </c>
      <c r="AE317" s="139"/>
      <c r="AF317" s="110" t="str">
        <f t="shared" si="127"/>
        <v/>
      </c>
      <c r="AG317" s="111" t="str">
        <f t="shared" si="128"/>
        <v/>
      </c>
      <c r="AH317" s="111" t="str">
        <f t="shared" si="124"/>
        <v/>
      </c>
      <c r="AI317" s="111" t="str">
        <f t="shared" si="129"/>
        <v/>
      </c>
      <c r="AJ317" s="111" t="str">
        <f t="shared" si="130"/>
        <v/>
      </c>
      <c r="AK317" s="112" t="str">
        <f t="shared" si="131"/>
        <v/>
      </c>
      <c r="AL317" t="str">
        <f t="shared" si="132"/>
        <v/>
      </c>
      <c r="AM317" t="str">
        <f t="shared" si="133"/>
        <v/>
      </c>
    </row>
    <row r="318" spans="1:39" ht="15" customHeight="1" x14ac:dyDescent="0.25">
      <c r="A318" s="131"/>
      <c r="B318" s="133"/>
      <c r="C318" s="133"/>
      <c r="D318" s="42" t="str">
        <f t="shared" si="108"/>
        <v/>
      </c>
      <c r="E318" s="43"/>
      <c r="F318" s="135"/>
      <c r="G318" s="77" t="str">
        <f t="shared" si="109"/>
        <v/>
      </c>
      <c r="H318" s="32" t="str">
        <f t="shared" si="110"/>
        <v/>
      </c>
      <c r="I318" s="78" t="str">
        <f t="shared" si="111"/>
        <v/>
      </c>
      <c r="J318" s="70" t="str">
        <f t="shared" si="112"/>
        <v/>
      </c>
      <c r="K318" s="135"/>
      <c r="L318" s="72" t="str">
        <f t="shared" si="113"/>
        <v/>
      </c>
      <c r="M318" s="135"/>
      <c r="N318" s="72" t="str">
        <f t="shared" si="114"/>
        <v/>
      </c>
      <c r="O318" s="135"/>
      <c r="P318" s="136"/>
      <c r="Q318" s="123" t="str">
        <f t="shared" si="115"/>
        <v/>
      </c>
      <c r="R318" s="45" t="str">
        <f t="shared" si="116"/>
        <v/>
      </c>
      <c r="S318" s="137"/>
      <c r="T318" s="79" t="str">
        <f t="shared" si="125"/>
        <v/>
      </c>
      <c r="U318" s="79" t="str">
        <f t="shared" si="117"/>
        <v/>
      </c>
      <c r="V318" s="73" t="str">
        <f t="shared" si="118"/>
        <v/>
      </c>
      <c r="W318" s="80" t="str">
        <f t="shared" si="119"/>
        <v/>
      </c>
      <c r="X318" s="73" t="str">
        <f t="shared" si="120"/>
        <v/>
      </c>
      <c r="Y318" s="80" t="str">
        <f t="shared" si="121"/>
        <v/>
      </c>
      <c r="Z318" s="74" t="str">
        <f t="shared" si="122"/>
        <v/>
      </c>
      <c r="AA318" s="75" t="str">
        <f t="shared" si="126"/>
        <v/>
      </c>
      <c r="AB318" s="103" t="str">
        <f t="shared" si="123"/>
        <v/>
      </c>
      <c r="AC318" s="104" t="str">
        <f t="shared" si="134"/>
        <v/>
      </c>
      <c r="AE318" s="139"/>
      <c r="AF318" s="110" t="str">
        <f t="shared" si="127"/>
        <v/>
      </c>
      <c r="AG318" s="111" t="str">
        <f t="shared" si="128"/>
        <v/>
      </c>
      <c r="AH318" s="111" t="str">
        <f t="shared" si="124"/>
        <v/>
      </c>
      <c r="AI318" s="111" t="str">
        <f t="shared" si="129"/>
        <v/>
      </c>
      <c r="AJ318" s="111" t="str">
        <f t="shared" si="130"/>
        <v/>
      </c>
      <c r="AK318" s="112" t="str">
        <f t="shared" si="131"/>
        <v/>
      </c>
      <c r="AL318" t="str">
        <f t="shared" si="132"/>
        <v/>
      </c>
      <c r="AM318" t="str">
        <f t="shared" si="133"/>
        <v/>
      </c>
    </row>
    <row r="319" spans="1:39" ht="15" customHeight="1" x14ac:dyDescent="0.25">
      <c r="A319" s="131"/>
      <c r="B319" s="133"/>
      <c r="C319" s="133"/>
      <c r="D319" s="42" t="str">
        <f t="shared" si="108"/>
        <v/>
      </c>
      <c r="E319" s="43"/>
      <c r="F319" s="135"/>
      <c r="G319" s="77" t="str">
        <f t="shared" si="109"/>
        <v/>
      </c>
      <c r="H319" s="32" t="str">
        <f t="shared" si="110"/>
        <v/>
      </c>
      <c r="I319" s="78" t="str">
        <f t="shared" si="111"/>
        <v/>
      </c>
      <c r="J319" s="70" t="str">
        <f t="shared" si="112"/>
        <v/>
      </c>
      <c r="K319" s="135"/>
      <c r="L319" s="72" t="str">
        <f t="shared" si="113"/>
        <v/>
      </c>
      <c r="M319" s="135"/>
      <c r="N319" s="72" t="str">
        <f t="shared" si="114"/>
        <v/>
      </c>
      <c r="O319" s="135"/>
      <c r="P319" s="136"/>
      <c r="Q319" s="123" t="str">
        <f t="shared" si="115"/>
        <v/>
      </c>
      <c r="R319" s="45" t="str">
        <f t="shared" si="116"/>
        <v/>
      </c>
      <c r="S319" s="137"/>
      <c r="T319" s="79" t="str">
        <f t="shared" si="125"/>
        <v/>
      </c>
      <c r="U319" s="79" t="str">
        <f t="shared" si="117"/>
        <v/>
      </c>
      <c r="V319" s="73" t="str">
        <f t="shared" si="118"/>
        <v/>
      </c>
      <c r="W319" s="80" t="str">
        <f t="shared" si="119"/>
        <v/>
      </c>
      <c r="X319" s="73" t="str">
        <f t="shared" si="120"/>
        <v/>
      </c>
      <c r="Y319" s="80" t="str">
        <f t="shared" si="121"/>
        <v/>
      </c>
      <c r="Z319" s="74" t="str">
        <f t="shared" si="122"/>
        <v/>
      </c>
      <c r="AA319" s="75" t="str">
        <f t="shared" si="126"/>
        <v/>
      </c>
      <c r="AB319" s="103" t="str">
        <f t="shared" si="123"/>
        <v/>
      </c>
      <c r="AC319" s="104" t="str">
        <f t="shared" si="134"/>
        <v/>
      </c>
      <c r="AE319" s="139"/>
      <c r="AF319" s="110" t="str">
        <f t="shared" si="127"/>
        <v/>
      </c>
      <c r="AG319" s="111" t="str">
        <f t="shared" si="128"/>
        <v/>
      </c>
      <c r="AH319" s="111" t="str">
        <f t="shared" si="124"/>
        <v/>
      </c>
      <c r="AI319" s="111" t="str">
        <f t="shared" si="129"/>
        <v/>
      </c>
      <c r="AJ319" s="111" t="str">
        <f t="shared" si="130"/>
        <v/>
      </c>
      <c r="AK319" s="112" t="str">
        <f t="shared" si="131"/>
        <v/>
      </c>
      <c r="AL319" t="str">
        <f t="shared" si="132"/>
        <v/>
      </c>
      <c r="AM319" t="str">
        <f t="shared" si="133"/>
        <v/>
      </c>
    </row>
    <row r="320" spans="1:39" ht="15" customHeight="1" x14ac:dyDescent="0.25">
      <c r="A320" s="131"/>
      <c r="B320" s="133"/>
      <c r="C320" s="133"/>
      <c r="D320" s="42" t="str">
        <f t="shared" si="108"/>
        <v/>
      </c>
      <c r="E320" s="43"/>
      <c r="F320" s="135"/>
      <c r="G320" s="77" t="str">
        <f t="shared" si="109"/>
        <v/>
      </c>
      <c r="H320" s="32" t="str">
        <f t="shared" si="110"/>
        <v/>
      </c>
      <c r="I320" s="78" t="str">
        <f t="shared" si="111"/>
        <v/>
      </c>
      <c r="J320" s="70" t="str">
        <f t="shared" si="112"/>
        <v/>
      </c>
      <c r="K320" s="135"/>
      <c r="L320" s="72" t="str">
        <f t="shared" si="113"/>
        <v/>
      </c>
      <c r="M320" s="135"/>
      <c r="N320" s="72" t="str">
        <f t="shared" si="114"/>
        <v/>
      </c>
      <c r="O320" s="135"/>
      <c r="P320" s="136"/>
      <c r="Q320" s="123" t="str">
        <f t="shared" si="115"/>
        <v/>
      </c>
      <c r="R320" s="45" t="str">
        <f t="shared" si="116"/>
        <v/>
      </c>
      <c r="S320" s="137"/>
      <c r="T320" s="79" t="str">
        <f t="shared" si="125"/>
        <v/>
      </c>
      <c r="U320" s="79" t="str">
        <f t="shared" si="117"/>
        <v/>
      </c>
      <c r="V320" s="73" t="str">
        <f t="shared" si="118"/>
        <v/>
      </c>
      <c r="W320" s="80" t="str">
        <f t="shared" si="119"/>
        <v/>
      </c>
      <c r="X320" s="73" t="str">
        <f t="shared" si="120"/>
        <v/>
      </c>
      <c r="Y320" s="80" t="str">
        <f t="shared" si="121"/>
        <v/>
      </c>
      <c r="Z320" s="74" t="str">
        <f t="shared" si="122"/>
        <v/>
      </c>
      <c r="AA320" s="75" t="str">
        <f t="shared" si="126"/>
        <v/>
      </c>
      <c r="AB320" s="103" t="str">
        <f t="shared" si="123"/>
        <v/>
      </c>
      <c r="AC320" s="104" t="str">
        <f t="shared" si="134"/>
        <v/>
      </c>
      <c r="AE320" s="139"/>
      <c r="AF320" s="110" t="str">
        <f t="shared" si="127"/>
        <v/>
      </c>
      <c r="AG320" s="111" t="str">
        <f t="shared" si="128"/>
        <v/>
      </c>
      <c r="AH320" s="111" t="str">
        <f t="shared" si="124"/>
        <v/>
      </c>
      <c r="AI320" s="111" t="str">
        <f t="shared" si="129"/>
        <v/>
      </c>
      <c r="AJ320" s="111" t="str">
        <f t="shared" si="130"/>
        <v/>
      </c>
      <c r="AK320" s="112" t="str">
        <f t="shared" si="131"/>
        <v/>
      </c>
      <c r="AL320" t="str">
        <f t="shared" si="132"/>
        <v/>
      </c>
      <c r="AM320" t="str">
        <f t="shared" si="133"/>
        <v/>
      </c>
    </row>
    <row r="321" spans="1:39" ht="15" customHeight="1" x14ac:dyDescent="0.25">
      <c r="A321" s="131"/>
      <c r="B321" s="133"/>
      <c r="C321" s="133"/>
      <c r="D321" s="42" t="str">
        <f t="shared" si="108"/>
        <v/>
      </c>
      <c r="E321" s="43"/>
      <c r="F321" s="135"/>
      <c r="G321" s="77" t="str">
        <f t="shared" si="109"/>
        <v/>
      </c>
      <c r="H321" s="32" t="str">
        <f t="shared" si="110"/>
        <v/>
      </c>
      <c r="I321" s="78" t="str">
        <f t="shared" si="111"/>
        <v/>
      </c>
      <c r="J321" s="70" t="str">
        <f t="shared" si="112"/>
        <v/>
      </c>
      <c r="K321" s="135"/>
      <c r="L321" s="72" t="str">
        <f t="shared" si="113"/>
        <v/>
      </c>
      <c r="M321" s="135"/>
      <c r="N321" s="72" t="str">
        <f t="shared" si="114"/>
        <v/>
      </c>
      <c r="O321" s="135"/>
      <c r="P321" s="136"/>
      <c r="Q321" s="123" t="str">
        <f t="shared" si="115"/>
        <v/>
      </c>
      <c r="R321" s="45" t="str">
        <f t="shared" si="116"/>
        <v/>
      </c>
      <c r="S321" s="137"/>
      <c r="T321" s="79" t="str">
        <f t="shared" si="125"/>
        <v/>
      </c>
      <c r="U321" s="79" t="str">
        <f t="shared" si="117"/>
        <v/>
      </c>
      <c r="V321" s="73" t="str">
        <f t="shared" si="118"/>
        <v/>
      </c>
      <c r="W321" s="80" t="str">
        <f t="shared" si="119"/>
        <v/>
      </c>
      <c r="X321" s="73" t="str">
        <f t="shared" si="120"/>
        <v/>
      </c>
      <c r="Y321" s="80" t="str">
        <f t="shared" si="121"/>
        <v/>
      </c>
      <c r="Z321" s="74" t="str">
        <f t="shared" si="122"/>
        <v/>
      </c>
      <c r="AA321" s="75" t="str">
        <f t="shared" si="126"/>
        <v/>
      </c>
      <c r="AB321" s="103" t="str">
        <f t="shared" si="123"/>
        <v/>
      </c>
      <c r="AC321" s="104" t="str">
        <f t="shared" si="134"/>
        <v/>
      </c>
      <c r="AE321" s="139"/>
      <c r="AF321" s="110" t="str">
        <f t="shared" si="127"/>
        <v/>
      </c>
      <c r="AG321" s="111" t="str">
        <f t="shared" si="128"/>
        <v/>
      </c>
      <c r="AH321" s="111" t="str">
        <f t="shared" si="124"/>
        <v/>
      </c>
      <c r="AI321" s="111" t="str">
        <f t="shared" si="129"/>
        <v/>
      </c>
      <c r="AJ321" s="111" t="str">
        <f t="shared" si="130"/>
        <v/>
      </c>
      <c r="AK321" s="112" t="str">
        <f t="shared" si="131"/>
        <v/>
      </c>
      <c r="AL321" t="str">
        <f t="shared" si="132"/>
        <v/>
      </c>
      <c r="AM321" t="str">
        <f t="shared" si="133"/>
        <v/>
      </c>
    </row>
    <row r="322" spans="1:39" ht="15" customHeight="1" x14ac:dyDescent="0.25">
      <c r="A322" s="131"/>
      <c r="B322" s="133"/>
      <c r="C322" s="133"/>
      <c r="D322" s="42" t="str">
        <f t="shared" si="108"/>
        <v/>
      </c>
      <c r="E322" s="43"/>
      <c r="F322" s="135"/>
      <c r="G322" s="77" t="str">
        <f t="shared" si="109"/>
        <v/>
      </c>
      <c r="H322" s="32" t="str">
        <f t="shared" si="110"/>
        <v/>
      </c>
      <c r="I322" s="78" t="str">
        <f t="shared" si="111"/>
        <v/>
      </c>
      <c r="J322" s="70" t="str">
        <f t="shared" si="112"/>
        <v/>
      </c>
      <c r="K322" s="135"/>
      <c r="L322" s="72" t="str">
        <f t="shared" si="113"/>
        <v/>
      </c>
      <c r="M322" s="135"/>
      <c r="N322" s="72" t="str">
        <f t="shared" si="114"/>
        <v/>
      </c>
      <c r="O322" s="135"/>
      <c r="P322" s="136"/>
      <c r="Q322" s="123" t="str">
        <f t="shared" si="115"/>
        <v/>
      </c>
      <c r="R322" s="45" t="str">
        <f t="shared" si="116"/>
        <v/>
      </c>
      <c r="S322" s="137"/>
      <c r="T322" s="79" t="str">
        <f t="shared" si="125"/>
        <v/>
      </c>
      <c r="U322" s="79" t="str">
        <f t="shared" si="117"/>
        <v/>
      </c>
      <c r="V322" s="73" t="str">
        <f t="shared" si="118"/>
        <v/>
      </c>
      <c r="W322" s="80" t="str">
        <f t="shared" si="119"/>
        <v/>
      </c>
      <c r="X322" s="73" t="str">
        <f t="shared" si="120"/>
        <v/>
      </c>
      <c r="Y322" s="80" t="str">
        <f t="shared" si="121"/>
        <v/>
      </c>
      <c r="Z322" s="74" t="str">
        <f t="shared" si="122"/>
        <v/>
      </c>
      <c r="AA322" s="75" t="str">
        <f t="shared" si="126"/>
        <v/>
      </c>
      <c r="AB322" s="103" t="str">
        <f t="shared" si="123"/>
        <v/>
      </c>
      <c r="AC322" s="104" t="str">
        <f t="shared" si="134"/>
        <v/>
      </c>
      <c r="AE322" s="139"/>
      <c r="AF322" s="110" t="str">
        <f t="shared" si="127"/>
        <v/>
      </c>
      <c r="AG322" s="111" t="str">
        <f t="shared" si="128"/>
        <v/>
      </c>
      <c r="AH322" s="111" t="str">
        <f t="shared" si="124"/>
        <v/>
      </c>
      <c r="AI322" s="111" t="str">
        <f t="shared" si="129"/>
        <v/>
      </c>
      <c r="AJ322" s="111" t="str">
        <f t="shared" si="130"/>
        <v/>
      </c>
      <c r="AK322" s="112" t="str">
        <f t="shared" si="131"/>
        <v/>
      </c>
      <c r="AL322" t="str">
        <f t="shared" si="132"/>
        <v/>
      </c>
      <c r="AM322" t="str">
        <f t="shared" si="133"/>
        <v/>
      </c>
    </row>
    <row r="323" spans="1:39" ht="15" customHeight="1" x14ac:dyDescent="0.25">
      <c r="A323" s="131"/>
      <c r="B323" s="133"/>
      <c r="C323" s="133"/>
      <c r="D323" s="42" t="str">
        <f t="shared" si="108"/>
        <v/>
      </c>
      <c r="E323" s="43"/>
      <c r="F323" s="135"/>
      <c r="G323" s="77" t="str">
        <f t="shared" si="109"/>
        <v/>
      </c>
      <c r="H323" s="32" t="str">
        <f t="shared" si="110"/>
        <v/>
      </c>
      <c r="I323" s="78" t="str">
        <f t="shared" si="111"/>
        <v/>
      </c>
      <c r="J323" s="70" t="str">
        <f t="shared" si="112"/>
        <v/>
      </c>
      <c r="K323" s="135"/>
      <c r="L323" s="72" t="str">
        <f t="shared" si="113"/>
        <v/>
      </c>
      <c r="M323" s="135"/>
      <c r="N323" s="72" t="str">
        <f t="shared" si="114"/>
        <v/>
      </c>
      <c r="O323" s="135"/>
      <c r="P323" s="136"/>
      <c r="Q323" s="123" t="str">
        <f t="shared" si="115"/>
        <v/>
      </c>
      <c r="R323" s="45" t="str">
        <f t="shared" si="116"/>
        <v/>
      </c>
      <c r="S323" s="137"/>
      <c r="T323" s="79" t="str">
        <f t="shared" si="125"/>
        <v/>
      </c>
      <c r="U323" s="79" t="str">
        <f t="shared" si="117"/>
        <v/>
      </c>
      <c r="V323" s="73" t="str">
        <f t="shared" si="118"/>
        <v/>
      </c>
      <c r="W323" s="80" t="str">
        <f t="shared" si="119"/>
        <v/>
      </c>
      <c r="X323" s="73" t="str">
        <f t="shared" si="120"/>
        <v/>
      </c>
      <c r="Y323" s="80" t="str">
        <f t="shared" si="121"/>
        <v/>
      </c>
      <c r="Z323" s="74" t="str">
        <f t="shared" si="122"/>
        <v/>
      </c>
      <c r="AA323" s="75" t="str">
        <f t="shared" si="126"/>
        <v/>
      </c>
      <c r="AB323" s="103" t="str">
        <f t="shared" si="123"/>
        <v/>
      </c>
      <c r="AC323" s="104" t="str">
        <f t="shared" si="134"/>
        <v/>
      </c>
      <c r="AE323" s="139"/>
      <c r="AF323" s="110" t="str">
        <f t="shared" si="127"/>
        <v/>
      </c>
      <c r="AG323" s="111" t="str">
        <f t="shared" si="128"/>
        <v/>
      </c>
      <c r="AH323" s="111" t="str">
        <f t="shared" si="124"/>
        <v/>
      </c>
      <c r="AI323" s="111" t="str">
        <f t="shared" si="129"/>
        <v/>
      </c>
      <c r="AJ323" s="111" t="str">
        <f t="shared" si="130"/>
        <v/>
      </c>
      <c r="AK323" s="112" t="str">
        <f t="shared" si="131"/>
        <v/>
      </c>
      <c r="AL323" t="str">
        <f t="shared" si="132"/>
        <v/>
      </c>
      <c r="AM323" t="str">
        <f t="shared" si="133"/>
        <v/>
      </c>
    </row>
    <row r="324" spans="1:39" ht="15" customHeight="1" x14ac:dyDescent="0.25">
      <c r="A324" s="131"/>
      <c r="B324" s="133"/>
      <c r="C324" s="133"/>
      <c r="D324" s="42" t="str">
        <f t="shared" si="108"/>
        <v/>
      </c>
      <c r="E324" s="43"/>
      <c r="F324" s="135"/>
      <c r="G324" s="77" t="str">
        <f t="shared" si="109"/>
        <v/>
      </c>
      <c r="H324" s="32" t="str">
        <f t="shared" si="110"/>
        <v/>
      </c>
      <c r="I324" s="78" t="str">
        <f t="shared" si="111"/>
        <v/>
      </c>
      <c r="J324" s="70" t="str">
        <f t="shared" si="112"/>
        <v/>
      </c>
      <c r="K324" s="135"/>
      <c r="L324" s="72" t="str">
        <f t="shared" si="113"/>
        <v/>
      </c>
      <c r="M324" s="135"/>
      <c r="N324" s="72" t="str">
        <f t="shared" si="114"/>
        <v/>
      </c>
      <c r="O324" s="135"/>
      <c r="P324" s="136"/>
      <c r="Q324" s="123" t="str">
        <f t="shared" si="115"/>
        <v/>
      </c>
      <c r="R324" s="45" t="str">
        <f t="shared" si="116"/>
        <v/>
      </c>
      <c r="S324" s="137"/>
      <c r="T324" s="79" t="str">
        <f t="shared" si="125"/>
        <v/>
      </c>
      <c r="U324" s="79" t="str">
        <f t="shared" si="117"/>
        <v/>
      </c>
      <c r="V324" s="73" t="str">
        <f t="shared" si="118"/>
        <v/>
      </c>
      <c r="W324" s="80" t="str">
        <f t="shared" si="119"/>
        <v/>
      </c>
      <c r="X324" s="73" t="str">
        <f t="shared" si="120"/>
        <v/>
      </c>
      <c r="Y324" s="80" t="str">
        <f t="shared" si="121"/>
        <v/>
      </c>
      <c r="Z324" s="74" t="str">
        <f t="shared" si="122"/>
        <v/>
      </c>
      <c r="AA324" s="75" t="str">
        <f t="shared" si="126"/>
        <v/>
      </c>
      <c r="AB324" s="103" t="str">
        <f t="shared" si="123"/>
        <v/>
      </c>
      <c r="AC324" s="104" t="str">
        <f t="shared" si="134"/>
        <v/>
      </c>
      <c r="AE324" s="139"/>
      <c r="AF324" s="110" t="str">
        <f t="shared" si="127"/>
        <v/>
      </c>
      <c r="AG324" s="111" t="str">
        <f t="shared" si="128"/>
        <v/>
      </c>
      <c r="AH324" s="111" t="str">
        <f t="shared" si="124"/>
        <v/>
      </c>
      <c r="AI324" s="111" t="str">
        <f t="shared" si="129"/>
        <v/>
      </c>
      <c r="AJ324" s="111" t="str">
        <f t="shared" si="130"/>
        <v/>
      </c>
      <c r="AK324" s="112" t="str">
        <f t="shared" si="131"/>
        <v/>
      </c>
      <c r="AL324" t="str">
        <f t="shared" si="132"/>
        <v/>
      </c>
      <c r="AM324" t="str">
        <f t="shared" si="133"/>
        <v/>
      </c>
    </row>
    <row r="325" spans="1:39" ht="15" customHeight="1" x14ac:dyDescent="0.25">
      <c r="A325" s="131"/>
      <c r="B325" s="133"/>
      <c r="C325" s="133"/>
      <c r="D325" s="42" t="str">
        <f t="shared" si="108"/>
        <v/>
      </c>
      <c r="E325" s="43"/>
      <c r="F325" s="135"/>
      <c r="G325" s="77" t="str">
        <f t="shared" si="109"/>
        <v/>
      </c>
      <c r="H325" s="32" t="str">
        <f t="shared" si="110"/>
        <v/>
      </c>
      <c r="I325" s="78" t="str">
        <f t="shared" si="111"/>
        <v/>
      </c>
      <c r="J325" s="70" t="str">
        <f t="shared" si="112"/>
        <v/>
      </c>
      <c r="K325" s="135"/>
      <c r="L325" s="72" t="str">
        <f t="shared" si="113"/>
        <v/>
      </c>
      <c r="M325" s="135"/>
      <c r="N325" s="72" t="str">
        <f t="shared" si="114"/>
        <v/>
      </c>
      <c r="O325" s="135"/>
      <c r="P325" s="136"/>
      <c r="Q325" s="123" t="str">
        <f t="shared" si="115"/>
        <v/>
      </c>
      <c r="R325" s="45" t="str">
        <f t="shared" si="116"/>
        <v/>
      </c>
      <c r="S325" s="137"/>
      <c r="T325" s="79" t="str">
        <f t="shared" si="125"/>
        <v/>
      </c>
      <c r="U325" s="79" t="str">
        <f t="shared" si="117"/>
        <v/>
      </c>
      <c r="V325" s="73" t="str">
        <f t="shared" si="118"/>
        <v/>
      </c>
      <c r="W325" s="80" t="str">
        <f t="shared" si="119"/>
        <v/>
      </c>
      <c r="X325" s="73" t="str">
        <f t="shared" si="120"/>
        <v/>
      </c>
      <c r="Y325" s="80" t="str">
        <f t="shared" si="121"/>
        <v/>
      </c>
      <c r="Z325" s="74" t="str">
        <f t="shared" si="122"/>
        <v/>
      </c>
      <c r="AA325" s="75" t="str">
        <f t="shared" si="126"/>
        <v/>
      </c>
      <c r="AB325" s="103" t="str">
        <f t="shared" si="123"/>
        <v/>
      </c>
      <c r="AC325" s="104" t="str">
        <f t="shared" si="134"/>
        <v/>
      </c>
      <c r="AE325" s="139"/>
      <c r="AF325" s="110" t="str">
        <f t="shared" si="127"/>
        <v/>
      </c>
      <c r="AG325" s="111" t="str">
        <f t="shared" si="128"/>
        <v/>
      </c>
      <c r="AH325" s="111" t="str">
        <f t="shared" si="124"/>
        <v/>
      </c>
      <c r="AI325" s="111" t="str">
        <f t="shared" si="129"/>
        <v/>
      </c>
      <c r="AJ325" s="111" t="str">
        <f t="shared" si="130"/>
        <v/>
      </c>
      <c r="AK325" s="112" t="str">
        <f t="shared" si="131"/>
        <v/>
      </c>
      <c r="AL325" t="str">
        <f t="shared" si="132"/>
        <v/>
      </c>
      <c r="AM325" t="str">
        <f t="shared" si="133"/>
        <v/>
      </c>
    </row>
    <row r="326" spans="1:39" ht="15" customHeight="1" x14ac:dyDescent="0.25">
      <c r="A326" s="131"/>
      <c r="B326" s="133"/>
      <c r="C326" s="133"/>
      <c r="D326" s="42" t="str">
        <f t="shared" si="108"/>
        <v/>
      </c>
      <c r="E326" s="43"/>
      <c r="F326" s="135"/>
      <c r="G326" s="77" t="str">
        <f t="shared" si="109"/>
        <v/>
      </c>
      <c r="H326" s="32" t="str">
        <f t="shared" si="110"/>
        <v/>
      </c>
      <c r="I326" s="78" t="str">
        <f t="shared" si="111"/>
        <v/>
      </c>
      <c r="J326" s="70" t="str">
        <f t="shared" si="112"/>
        <v/>
      </c>
      <c r="K326" s="135"/>
      <c r="L326" s="72" t="str">
        <f t="shared" si="113"/>
        <v/>
      </c>
      <c r="M326" s="135"/>
      <c r="N326" s="72" t="str">
        <f t="shared" si="114"/>
        <v/>
      </c>
      <c r="O326" s="135"/>
      <c r="P326" s="136"/>
      <c r="Q326" s="123" t="str">
        <f t="shared" si="115"/>
        <v/>
      </c>
      <c r="R326" s="45" t="str">
        <f t="shared" si="116"/>
        <v/>
      </c>
      <c r="S326" s="137"/>
      <c r="T326" s="79" t="str">
        <f t="shared" si="125"/>
        <v/>
      </c>
      <c r="U326" s="79" t="str">
        <f t="shared" si="117"/>
        <v/>
      </c>
      <c r="V326" s="73" t="str">
        <f t="shared" si="118"/>
        <v/>
      </c>
      <c r="W326" s="80" t="str">
        <f t="shared" si="119"/>
        <v/>
      </c>
      <c r="X326" s="73" t="str">
        <f t="shared" si="120"/>
        <v/>
      </c>
      <c r="Y326" s="80" t="str">
        <f t="shared" si="121"/>
        <v/>
      </c>
      <c r="Z326" s="74" t="str">
        <f t="shared" si="122"/>
        <v/>
      </c>
      <c r="AA326" s="75" t="str">
        <f t="shared" si="126"/>
        <v/>
      </c>
      <c r="AB326" s="103" t="str">
        <f t="shared" si="123"/>
        <v/>
      </c>
      <c r="AC326" s="104" t="str">
        <f t="shared" si="134"/>
        <v/>
      </c>
      <c r="AE326" s="139"/>
      <c r="AF326" s="110" t="str">
        <f t="shared" si="127"/>
        <v/>
      </c>
      <c r="AG326" s="111" t="str">
        <f t="shared" si="128"/>
        <v/>
      </c>
      <c r="AH326" s="111" t="str">
        <f t="shared" si="124"/>
        <v/>
      </c>
      <c r="AI326" s="111" t="str">
        <f t="shared" si="129"/>
        <v/>
      </c>
      <c r="AJ326" s="111" t="str">
        <f t="shared" si="130"/>
        <v/>
      </c>
      <c r="AK326" s="112" t="str">
        <f t="shared" si="131"/>
        <v/>
      </c>
      <c r="AL326" t="str">
        <f t="shared" si="132"/>
        <v/>
      </c>
      <c r="AM326" t="str">
        <f t="shared" si="133"/>
        <v/>
      </c>
    </row>
    <row r="327" spans="1:39" ht="15" customHeight="1" x14ac:dyDescent="0.25">
      <c r="A327" s="131"/>
      <c r="B327" s="133"/>
      <c r="C327" s="133"/>
      <c r="D327" s="42" t="str">
        <f t="shared" si="108"/>
        <v/>
      </c>
      <c r="E327" s="43"/>
      <c r="F327" s="135"/>
      <c r="G327" s="77" t="str">
        <f t="shared" si="109"/>
        <v/>
      </c>
      <c r="H327" s="32" t="str">
        <f t="shared" si="110"/>
        <v/>
      </c>
      <c r="I327" s="78" t="str">
        <f t="shared" si="111"/>
        <v/>
      </c>
      <c r="J327" s="70" t="str">
        <f t="shared" si="112"/>
        <v/>
      </c>
      <c r="K327" s="135"/>
      <c r="L327" s="72" t="str">
        <f t="shared" si="113"/>
        <v/>
      </c>
      <c r="M327" s="135"/>
      <c r="N327" s="72" t="str">
        <f t="shared" si="114"/>
        <v/>
      </c>
      <c r="O327" s="135"/>
      <c r="P327" s="136"/>
      <c r="Q327" s="123" t="str">
        <f t="shared" si="115"/>
        <v/>
      </c>
      <c r="R327" s="45" t="str">
        <f t="shared" si="116"/>
        <v/>
      </c>
      <c r="S327" s="137"/>
      <c r="T327" s="79" t="str">
        <f t="shared" si="125"/>
        <v/>
      </c>
      <c r="U327" s="79" t="str">
        <f t="shared" si="117"/>
        <v/>
      </c>
      <c r="V327" s="73" t="str">
        <f t="shared" si="118"/>
        <v/>
      </c>
      <c r="W327" s="80" t="str">
        <f t="shared" si="119"/>
        <v/>
      </c>
      <c r="X327" s="73" t="str">
        <f t="shared" si="120"/>
        <v/>
      </c>
      <c r="Y327" s="80" t="str">
        <f t="shared" si="121"/>
        <v/>
      </c>
      <c r="Z327" s="74" t="str">
        <f t="shared" si="122"/>
        <v/>
      </c>
      <c r="AA327" s="75" t="str">
        <f t="shared" si="126"/>
        <v/>
      </c>
      <c r="AB327" s="103" t="str">
        <f t="shared" si="123"/>
        <v/>
      </c>
      <c r="AC327" s="104" t="str">
        <f t="shared" si="134"/>
        <v/>
      </c>
      <c r="AE327" s="139"/>
      <c r="AF327" s="110" t="str">
        <f t="shared" si="127"/>
        <v/>
      </c>
      <c r="AG327" s="111" t="str">
        <f t="shared" si="128"/>
        <v/>
      </c>
      <c r="AH327" s="111" t="str">
        <f t="shared" si="124"/>
        <v/>
      </c>
      <c r="AI327" s="111" t="str">
        <f t="shared" si="129"/>
        <v/>
      </c>
      <c r="AJ327" s="111" t="str">
        <f t="shared" si="130"/>
        <v/>
      </c>
      <c r="AK327" s="112" t="str">
        <f t="shared" si="131"/>
        <v/>
      </c>
      <c r="AL327" t="str">
        <f t="shared" si="132"/>
        <v/>
      </c>
      <c r="AM327" t="str">
        <f t="shared" si="133"/>
        <v/>
      </c>
    </row>
    <row r="328" spans="1:39" ht="15" customHeight="1" x14ac:dyDescent="0.25">
      <c r="A328" s="131"/>
      <c r="B328" s="133"/>
      <c r="C328" s="133"/>
      <c r="D328" s="42" t="str">
        <f t="shared" ref="D328:D391" si="135">IF(A328="","",B328*C328)</f>
        <v/>
      </c>
      <c r="E328" s="43"/>
      <c r="F328" s="135"/>
      <c r="G328" s="77" t="str">
        <f t="shared" ref="G328:G391" si="136">IF(OR(F328="",C328=0,C328=""),"",F328/C328)</f>
        <v/>
      </c>
      <c r="H328" s="32" t="str">
        <f t="shared" ref="H328:H391" si="137">IF(F328="","",ROUND(F328*$G$1,2))</f>
        <v/>
      </c>
      <c r="I328" s="78" t="str">
        <f t="shared" ref="I328:I391" si="138">IF(OR(H328="",C328=0,C328=""),"",H328/C328)</f>
        <v/>
      </c>
      <c r="J328" s="70" t="str">
        <f t="shared" ref="J328:J391" si="139">IF(A328="","",F328*B328)</f>
        <v/>
      </c>
      <c r="K328" s="135"/>
      <c r="L328" s="72" t="str">
        <f t="shared" ref="L328:L391" si="140">IF(OR(K328=0,C328=0,K328="",C328=""),"",K328/C328)</f>
        <v/>
      </c>
      <c r="M328" s="135"/>
      <c r="N328" s="72" t="str">
        <f t="shared" ref="N328:N391" si="141">IF(OR(M328=0,C328=0,M328="",C328=""),"",M328/C328)</f>
        <v/>
      </c>
      <c r="O328" s="135"/>
      <c r="P328" s="136"/>
      <c r="Q328" s="123" t="str">
        <f t="shared" ref="Q328:Q391" si="142">IF(A328="","",IF(S328&gt;0,IF(J328&gt;0,S328/J328,0),IF(E328&gt;0,0,IF($I$2&gt;0,IF($I$3&gt;0,MAX($I$2-SUM($S$8:$S$1007),0)/$I$3,0),$I$1))))</f>
        <v/>
      </c>
      <c r="R328" s="45" t="str">
        <f t="shared" ref="R328:R391" si="143">IF(A328="","",IF(S328&gt;0,S328,IF(E328&gt;0,0,J328*IF($I$2&gt;0,IF($I$3&gt;0,MAX($I$2-SUM($S$8:$S$1007),0)/$I$3,0),$I$1))))</f>
        <v/>
      </c>
      <c r="S328" s="137"/>
      <c r="T328" s="79" t="str">
        <f t="shared" si="125"/>
        <v/>
      </c>
      <c r="U328" s="79" t="str">
        <f t="shared" ref="U328:U391" si="144">IF(OR(A328="",T328=""),"",T328*C328)</f>
        <v/>
      </c>
      <c r="V328" s="73" t="str">
        <f t="shared" ref="V328:V391" si="145">IF(OR(A328="",K328&lt;=0,U328=""),"",(K328-U328)/K328)</f>
        <v/>
      </c>
      <c r="W328" s="80" t="str">
        <f t="shared" ref="W328:W391" si="146">IF(OR(K328=0,U328=0,K328="",U328=""),"",K328-U328)</f>
        <v/>
      </c>
      <c r="X328" s="73" t="str">
        <f t="shared" ref="X328:X391" si="147">IF(OR(A328="",M328&lt;=0,U328=""),"",(M328-U328)/M328)</f>
        <v/>
      </c>
      <c r="Y328" s="80" t="str">
        <f t="shared" ref="Y328:Y391" si="148">IF(OR(M328=0,U328=0,M328="",U328=""),"",M328-U328)</f>
        <v/>
      </c>
      <c r="Z328" s="74" t="str">
        <f t="shared" ref="Z328:Z391" si="149">IF(OR(J328="",J328=0,$M$5="",$K$1=0),"",($M$5/$K$1)*J328)</f>
        <v/>
      </c>
      <c r="AA328" s="75" t="str">
        <f t="shared" si="126"/>
        <v/>
      </c>
      <c r="AB328" s="103" t="str">
        <f t="shared" ref="AB328:AB391" si="150">IF(OR(T328=0,T328="",D328=0,D328=""),"",T328*(D328+E328))</f>
        <v/>
      </c>
      <c r="AC328" s="104" t="str">
        <f t="shared" si="134"/>
        <v/>
      </c>
      <c r="AE328" s="139"/>
      <c r="AF328" s="110" t="str">
        <f t="shared" si="127"/>
        <v/>
      </c>
      <c r="AG328" s="111" t="str">
        <f t="shared" si="128"/>
        <v/>
      </c>
      <c r="AH328" s="111" t="str">
        <f t="shared" ref="AH328:AH391" si="151">IF(AG328="","",AG328*$AF$1+IF(SUM($AG$8:$AG$1007)=0,0,$AF$2*AG328/SUM($AG$8:$AG$1007)))</f>
        <v/>
      </c>
      <c r="AI328" s="111" t="str">
        <f t="shared" si="129"/>
        <v/>
      </c>
      <c r="AJ328" s="111" t="str">
        <f t="shared" si="130"/>
        <v/>
      </c>
      <c r="AK328" s="112" t="str">
        <f t="shared" si="131"/>
        <v/>
      </c>
      <c r="AL328" t="str">
        <f t="shared" si="132"/>
        <v/>
      </c>
      <c r="AM328" t="str">
        <f t="shared" si="133"/>
        <v/>
      </c>
    </row>
    <row r="329" spans="1:39" ht="15" customHeight="1" x14ac:dyDescent="0.25">
      <c r="A329" s="131"/>
      <c r="B329" s="133"/>
      <c r="C329" s="133"/>
      <c r="D329" s="42" t="str">
        <f t="shared" si="135"/>
        <v/>
      </c>
      <c r="E329" s="43"/>
      <c r="F329" s="135"/>
      <c r="G329" s="77" t="str">
        <f t="shared" si="136"/>
        <v/>
      </c>
      <c r="H329" s="32" t="str">
        <f t="shared" si="137"/>
        <v/>
      </c>
      <c r="I329" s="78" t="str">
        <f t="shared" si="138"/>
        <v/>
      </c>
      <c r="J329" s="70" t="str">
        <f t="shared" si="139"/>
        <v/>
      </c>
      <c r="K329" s="135"/>
      <c r="L329" s="72" t="str">
        <f t="shared" si="140"/>
        <v/>
      </c>
      <c r="M329" s="135"/>
      <c r="N329" s="72" t="str">
        <f t="shared" si="141"/>
        <v/>
      </c>
      <c r="O329" s="135"/>
      <c r="P329" s="136"/>
      <c r="Q329" s="123" t="str">
        <f t="shared" si="142"/>
        <v/>
      </c>
      <c r="R329" s="45" t="str">
        <f t="shared" si="143"/>
        <v/>
      </c>
      <c r="S329" s="137"/>
      <c r="T329" s="79" t="str">
        <f t="shared" ref="T329:T392" si="152">IF(A329="","",IF(OR(B329=0,B329="",C329&lt;=0,D329+E329&lt;=0),"",((F329+H329)*B329+(H329/C329)*E329-R329)/(D329+E329)-IF(Z329&gt;=0,Z329/D329,0)+IF(ISNUMBER(AA329),AA329/(D329+E329),0)))</f>
        <v/>
      </c>
      <c r="U329" s="79" t="str">
        <f t="shared" si="144"/>
        <v/>
      </c>
      <c r="V329" s="73" t="str">
        <f t="shared" si="145"/>
        <v/>
      </c>
      <c r="W329" s="80" t="str">
        <f t="shared" si="146"/>
        <v/>
      </c>
      <c r="X329" s="73" t="str">
        <f t="shared" si="147"/>
        <v/>
      </c>
      <c r="Y329" s="80" t="str">
        <f t="shared" si="148"/>
        <v/>
      </c>
      <c r="Z329" s="74" t="str">
        <f t="shared" si="149"/>
        <v/>
      </c>
      <c r="AA329" s="75" t="str">
        <f t="shared" ref="AA329:AA392" si="153">IF(OR(J329="",J329=0,($G$3-$I$4)=0),"",($K$3/($G$3-$I$4))*(J329-R329))</f>
        <v/>
      </c>
      <c r="AB329" s="103" t="str">
        <f t="shared" si="150"/>
        <v/>
      </c>
      <c r="AC329" s="104" t="str">
        <f t="shared" si="134"/>
        <v/>
      </c>
      <c r="AE329" s="139"/>
      <c r="AF329" s="110" t="str">
        <f t="shared" ref="AF329:AF392" si="154">IF(AE329="","",T329)</f>
        <v/>
      </c>
      <c r="AG329" s="111" t="str">
        <f t="shared" ref="AG329:AG392" si="155">IF(OR(AE329="",AF329=""),"",AE329*AF329)</f>
        <v/>
      </c>
      <c r="AH329" s="111" t="str">
        <f t="shared" si="151"/>
        <v/>
      </c>
      <c r="AI329" s="111" t="str">
        <f t="shared" ref="AI329:AI392" si="156">IF(AG329="","",AG329-AH329)</f>
        <v/>
      </c>
      <c r="AJ329" s="111" t="str">
        <f t="shared" ref="AJ329:AJ392" si="157">IF(AI329="","",AK329-AI329)</f>
        <v/>
      </c>
      <c r="AK329" s="112" t="str">
        <f t="shared" ref="AK329:AK392" si="158">IF(AI329="","",ROUND(AI329,0))</f>
        <v/>
      </c>
      <c r="AL329" t="str">
        <f t="shared" ref="AL329:AL392" si="159">IF(OR(AE329=0,AE329=""),"",AH329/AE329)</f>
        <v/>
      </c>
      <c r="AM329" t="str">
        <f t="shared" ref="AM329:AM392" si="160">IF(OR(AE329=0,AE329=""),"",AF329*C329)</f>
        <v/>
      </c>
    </row>
    <row r="330" spans="1:39" ht="15" customHeight="1" x14ac:dyDescent="0.25">
      <c r="A330" s="131"/>
      <c r="B330" s="133"/>
      <c r="C330" s="133"/>
      <c r="D330" s="42" t="str">
        <f t="shared" si="135"/>
        <v/>
      </c>
      <c r="E330" s="43"/>
      <c r="F330" s="135"/>
      <c r="G330" s="77" t="str">
        <f t="shared" si="136"/>
        <v/>
      </c>
      <c r="H330" s="32" t="str">
        <f t="shared" si="137"/>
        <v/>
      </c>
      <c r="I330" s="78" t="str">
        <f t="shared" si="138"/>
        <v/>
      </c>
      <c r="J330" s="70" t="str">
        <f t="shared" si="139"/>
        <v/>
      </c>
      <c r="K330" s="135"/>
      <c r="L330" s="72" t="str">
        <f t="shared" si="140"/>
        <v/>
      </c>
      <c r="M330" s="135"/>
      <c r="N330" s="72" t="str">
        <f t="shared" si="141"/>
        <v/>
      </c>
      <c r="O330" s="135"/>
      <c r="P330" s="136"/>
      <c r="Q330" s="123" t="str">
        <f t="shared" si="142"/>
        <v/>
      </c>
      <c r="R330" s="45" t="str">
        <f t="shared" si="143"/>
        <v/>
      </c>
      <c r="S330" s="137"/>
      <c r="T330" s="79" t="str">
        <f t="shared" si="152"/>
        <v/>
      </c>
      <c r="U330" s="79" t="str">
        <f t="shared" si="144"/>
        <v/>
      </c>
      <c r="V330" s="73" t="str">
        <f t="shared" si="145"/>
        <v/>
      </c>
      <c r="W330" s="80" t="str">
        <f t="shared" si="146"/>
        <v/>
      </c>
      <c r="X330" s="73" t="str">
        <f t="shared" si="147"/>
        <v/>
      </c>
      <c r="Y330" s="80" t="str">
        <f t="shared" si="148"/>
        <v/>
      </c>
      <c r="Z330" s="74" t="str">
        <f t="shared" si="149"/>
        <v/>
      </c>
      <c r="AA330" s="75" t="str">
        <f t="shared" si="153"/>
        <v/>
      </c>
      <c r="AB330" s="103" t="str">
        <f t="shared" si="150"/>
        <v/>
      </c>
      <c r="AC330" s="104" t="str">
        <f t="shared" ref="AC330:AC393" si="161">IF(OR(A330="",J330="",C330&lt;=0, B330=0),"",J330+H330*B330+(H330/C330)*E330)</f>
        <v/>
      </c>
      <c r="AE330" s="139"/>
      <c r="AF330" s="110" t="str">
        <f t="shared" si="154"/>
        <v/>
      </c>
      <c r="AG330" s="111" t="str">
        <f t="shared" si="155"/>
        <v/>
      </c>
      <c r="AH330" s="111" t="str">
        <f t="shared" si="151"/>
        <v/>
      </c>
      <c r="AI330" s="111" t="str">
        <f t="shared" si="156"/>
        <v/>
      </c>
      <c r="AJ330" s="111" t="str">
        <f t="shared" si="157"/>
        <v/>
      </c>
      <c r="AK330" s="112" t="str">
        <f t="shared" si="158"/>
        <v/>
      </c>
      <c r="AL330" t="str">
        <f t="shared" si="159"/>
        <v/>
      </c>
      <c r="AM330" t="str">
        <f t="shared" si="160"/>
        <v/>
      </c>
    </row>
    <row r="331" spans="1:39" ht="15" customHeight="1" x14ac:dyDescent="0.25">
      <c r="A331" s="131"/>
      <c r="B331" s="133"/>
      <c r="C331" s="133"/>
      <c r="D331" s="42" t="str">
        <f t="shared" si="135"/>
        <v/>
      </c>
      <c r="E331" s="43"/>
      <c r="F331" s="135"/>
      <c r="G331" s="77" t="str">
        <f t="shared" si="136"/>
        <v/>
      </c>
      <c r="H331" s="32" t="str">
        <f t="shared" si="137"/>
        <v/>
      </c>
      <c r="I331" s="78" t="str">
        <f t="shared" si="138"/>
        <v/>
      </c>
      <c r="J331" s="70" t="str">
        <f t="shared" si="139"/>
        <v/>
      </c>
      <c r="K331" s="135"/>
      <c r="L331" s="72" t="str">
        <f t="shared" si="140"/>
        <v/>
      </c>
      <c r="M331" s="135"/>
      <c r="N331" s="72" t="str">
        <f t="shared" si="141"/>
        <v/>
      </c>
      <c r="O331" s="135"/>
      <c r="P331" s="136"/>
      <c r="Q331" s="123" t="str">
        <f t="shared" si="142"/>
        <v/>
      </c>
      <c r="R331" s="45" t="str">
        <f t="shared" si="143"/>
        <v/>
      </c>
      <c r="S331" s="137"/>
      <c r="T331" s="79" t="str">
        <f t="shared" si="152"/>
        <v/>
      </c>
      <c r="U331" s="79" t="str">
        <f t="shared" si="144"/>
        <v/>
      </c>
      <c r="V331" s="73" t="str">
        <f t="shared" si="145"/>
        <v/>
      </c>
      <c r="W331" s="80" t="str">
        <f t="shared" si="146"/>
        <v/>
      </c>
      <c r="X331" s="73" t="str">
        <f t="shared" si="147"/>
        <v/>
      </c>
      <c r="Y331" s="80" t="str">
        <f t="shared" si="148"/>
        <v/>
      </c>
      <c r="Z331" s="74" t="str">
        <f t="shared" si="149"/>
        <v/>
      </c>
      <c r="AA331" s="75" t="str">
        <f t="shared" si="153"/>
        <v/>
      </c>
      <c r="AB331" s="103" t="str">
        <f t="shared" si="150"/>
        <v/>
      </c>
      <c r="AC331" s="104" t="str">
        <f t="shared" si="161"/>
        <v/>
      </c>
      <c r="AE331" s="139"/>
      <c r="AF331" s="110" t="str">
        <f t="shared" si="154"/>
        <v/>
      </c>
      <c r="AG331" s="111" t="str">
        <f t="shared" si="155"/>
        <v/>
      </c>
      <c r="AH331" s="111" t="str">
        <f t="shared" si="151"/>
        <v/>
      </c>
      <c r="AI331" s="111" t="str">
        <f t="shared" si="156"/>
        <v/>
      </c>
      <c r="AJ331" s="111" t="str">
        <f t="shared" si="157"/>
        <v/>
      </c>
      <c r="AK331" s="112" t="str">
        <f t="shared" si="158"/>
        <v/>
      </c>
      <c r="AL331" t="str">
        <f t="shared" si="159"/>
        <v/>
      </c>
      <c r="AM331" t="str">
        <f t="shared" si="160"/>
        <v/>
      </c>
    </row>
    <row r="332" spans="1:39" ht="15" customHeight="1" x14ac:dyDescent="0.25">
      <c r="A332" s="131"/>
      <c r="B332" s="133"/>
      <c r="C332" s="133"/>
      <c r="D332" s="42" t="str">
        <f t="shared" si="135"/>
        <v/>
      </c>
      <c r="E332" s="43"/>
      <c r="F332" s="135"/>
      <c r="G332" s="77" t="str">
        <f t="shared" si="136"/>
        <v/>
      </c>
      <c r="H332" s="32" t="str">
        <f t="shared" si="137"/>
        <v/>
      </c>
      <c r="I332" s="78" t="str">
        <f t="shared" si="138"/>
        <v/>
      </c>
      <c r="J332" s="70" t="str">
        <f t="shared" si="139"/>
        <v/>
      </c>
      <c r="K332" s="135"/>
      <c r="L332" s="72" t="str">
        <f t="shared" si="140"/>
        <v/>
      </c>
      <c r="M332" s="135"/>
      <c r="N332" s="72" t="str">
        <f t="shared" si="141"/>
        <v/>
      </c>
      <c r="O332" s="135"/>
      <c r="P332" s="136"/>
      <c r="Q332" s="123" t="str">
        <f t="shared" si="142"/>
        <v/>
      </c>
      <c r="R332" s="45" t="str">
        <f t="shared" si="143"/>
        <v/>
      </c>
      <c r="S332" s="137"/>
      <c r="T332" s="79" t="str">
        <f t="shared" si="152"/>
        <v/>
      </c>
      <c r="U332" s="79" t="str">
        <f t="shared" si="144"/>
        <v/>
      </c>
      <c r="V332" s="73" t="str">
        <f t="shared" si="145"/>
        <v/>
      </c>
      <c r="W332" s="80" t="str">
        <f t="shared" si="146"/>
        <v/>
      </c>
      <c r="X332" s="73" t="str">
        <f t="shared" si="147"/>
        <v/>
      </c>
      <c r="Y332" s="80" t="str">
        <f t="shared" si="148"/>
        <v/>
      </c>
      <c r="Z332" s="74" t="str">
        <f t="shared" si="149"/>
        <v/>
      </c>
      <c r="AA332" s="75" t="str">
        <f t="shared" si="153"/>
        <v/>
      </c>
      <c r="AB332" s="103" t="str">
        <f t="shared" si="150"/>
        <v/>
      </c>
      <c r="AC332" s="104" t="str">
        <f t="shared" si="161"/>
        <v/>
      </c>
      <c r="AE332" s="139"/>
      <c r="AF332" s="110" t="str">
        <f t="shared" si="154"/>
        <v/>
      </c>
      <c r="AG332" s="111" t="str">
        <f t="shared" si="155"/>
        <v/>
      </c>
      <c r="AH332" s="111" t="str">
        <f t="shared" si="151"/>
        <v/>
      </c>
      <c r="AI332" s="111" t="str">
        <f t="shared" si="156"/>
        <v/>
      </c>
      <c r="AJ332" s="111" t="str">
        <f t="shared" si="157"/>
        <v/>
      </c>
      <c r="AK332" s="112" t="str">
        <f t="shared" si="158"/>
        <v/>
      </c>
      <c r="AL332" t="str">
        <f t="shared" si="159"/>
        <v/>
      </c>
      <c r="AM332" t="str">
        <f t="shared" si="160"/>
        <v/>
      </c>
    </row>
    <row r="333" spans="1:39" ht="15" customHeight="1" x14ac:dyDescent="0.25">
      <c r="A333" s="131"/>
      <c r="B333" s="133"/>
      <c r="C333" s="133"/>
      <c r="D333" s="42" t="str">
        <f t="shared" si="135"/>
        <v/>
      </c>
      <c r="E333" s="43"/>
      <c r="F333" s="135"/>
      <c r="G333" s="77" t="str">
        <f t="shared" si="136"/>
        <v/>
      </c>
      <c r="H333" s="32" t="str">
        <f t="shared" si="137"/>
        <v/>
      </c>
      <c r="I333" s="78" t="str">
        <f t="shared" si="138"/>
        <v/>
      </c>
      <c r="J333" s="70" t="str">
        <f t="shared" si="139"/>
        <v/>
      </c>
      <c r="K333" s="135"/>
      <c r="L333" s="72" t="str">
        <f t="shared" si="140"/>
        <v/>
      </c>
      <c r="M333" s="135"/>
      <c r="N333" s="72" t="str">
        <f t="shared" si="141"/>
        <v/>
      </c>
      <c r="O333" s="135"/>
      <c r="P333" s="136"/>
      <c r="Q333" s="123" t="str">
        <f t="shared" si="142"/>
        <v/>
      </c>
      <c r="R333" s="45" t="str">
        <f t="shared" si="143"/>
        <v/>
      </c>
      <c r="S333" s="137"/>
      <c r="T333" s="79" t="str">
        <f t="shared" si="152"/>
        <v/>
      </c>
      <c r="U333" s="79" t="str">
        <f t="shared" si="144"/>
        <v/>
      </c>
      <c r="V333" s="73" t="str">
        <f t="shared" si="145"/>
        <v/>
      </c>
      <c r="W333" s="80" t="str">
        <f t="shared" si="146"/>
        <v/>
      </c>
      <c r="X333" s="73" t="str">
        <f t="shared" si="147"/>
        <v/>
      </c>
      <c r="Y333" s="80" t="str">
        <f t="shared" si="148"/>
        <v/>
      </c>
      <c r="Z333" s="74" t="str">
        <f t="shared" si="149"/>
        <v/>
      </c>
      <c r="AA333" s="75" t="str">
        <f t="shared" si="153"/>
        <v/>
      </c>
      <c r="AB333" s="103" t="str">
        <f t="shared" si="150"/>
        <v/>
      </c>
      <c r="AC333" s="104" t="str">
        <f t="shared" si="161"/>
        <v/>
      </c>
      <c r="AE333" s="139"/>
      <c r="AF333" s="110" t="str">
        <f t="shared" si="154"/>
        <v/>
      </c>
      <c r="AG333" s="111" t="str">
        <f t="shared" si="155"/>
        <v/>
      </c>
      <c r="AH333" s="111" t="str">
        <f t="shared" si="151"/>
        <v/>
      </c>
      <c r="AI333" s="111" t="str">
        <f t="shared" si="156"/>
        <v/>
      </c>
      <c r="AJ333" s="111" t="str">
        <f t="shared" si="157"/>
        <v/>
      </c>
      <c r="AK333" s="112" t="str">
        <f t="shared" si="158"/>
        <v/>
      </c>
      <c r="AL333" t="str">
        <f t="shared" si="159"/>
        <v/>
      </c>
      <c r="AM333" t="str">
        <f t="shared" si="160"/>
        <v/>
      </c>
    </row>
    <row r="334" spans="1:39" ht="15" customHeight="1" x14ac:dyDescent="0.25">
      <c r="A334" s="131"/>
      <c r="B334" s="133"/>
      <c r="C334" s="133"/>
      <c r="D334" s="42" t="str">
        <f t="shared" si="135"/>
        <v/>
      </c>
      <c r="E334" s="43"/>
      <c r="F334" s="135"/>
      <c r="G334" s="77" t="str">
        <f t="shared" si="136"/>
        <v/>
      </c>
      <c r="H334" s="32" t="str">
        <f t="shared" si="137"/>
        <v/>
      </c>
      <c r="I334" s="78" t="str">
        <f t="shared" si="138"/>
        <v/>
      </c>
      <c r="J334" s="70" t="str">
        <f t="shared" si="139"/>
        <v/>
      </c>
      <c r="K334" s="135"/>
      <c r="L334" s="72" t="str">
        <f t="shared" si="140"/>
        <v/>
      </c>
      <c r="M334" s="135"/>
      <c r="N334" s="72" t="str">
        <f t="shared" si="141"/>
        <v/>
      </c>
      <c r="O334" s="135"/>
      <c r="P334" s="136"/>
      <c r="Q334" s="123" t="str">
        <f t="shared" si="142"/>
        <v/>
      </c>
      <c r="R334" s="45" t="str">
        <f t="shared" si="143"/>
        <v/>
      </c>
      <c r="S334" s="137"/>
      <c r="T334" s="79" t="str">
        <f t="shared" si="152"/>
        <v/>
      </c>
      <c r="U334" s="79" t="str">
        <f t="shared" si="144"/>
        <v/>
      </c>
      <c r="V334" s="73" t="str">
        <f t="shared" si="145"/>
        <v/>
      </c>
      <c r="W334" s="80" t="str">
        <f t="shared" si="146"/>
        <v/>
      </c>
      <c r="X334" s="73" t="str">
        <f t="shared" si="147"/>
        <v/>
      </c>
      <c r="Y334" s="80" t="str">
        <f t="shared" si="148"/>
        <v/>
      </c>
      <c r="Z334" s="74" t="str">
        <f t="shared" si="149"/>
        <v/>
      </c>
      <c r="AA334" s="75" t="str">
        <f t="shared" si="153"/>
        <v/>
      </c>
      <c r="AB334" s="103" t="str">
        <f t="shared" si="150"/>
        <v/>
      </c>
      <c r="AC334" s="104" t="str">
        <f t="shared" si="161"/>
        <v/>
      </c>
      <c r="AE334" s="139"/>
      <c r="AF334" s="110" t="str">
        <f t="shared" si="154"/>
        <v/>
      </c>
      <c r="AG334" s="111" t="str">
        <f t="shared" si="155"/>
        <v/>
      </c>
      <c r="AH334" s="111" t="str">
        <f t="shared" si="151"/>
        <v/>
      </c>
      <c r="AI334" s="111" t="str">
        <f t="shared" si="156"/>
        <v/>
      </c>
      <c r="AJ334" s="111" t="str">
        <f t="shared" si="157"/>
        <v/>
      </c>
      <c r="AK334" s="112" t="str">
        <f t="shared" si="158"/>
        <v/>
      </c>
      <c r="AL334" t="str">
        <f t="shared" si="159"/>
        <v/>
      </c>
      <c r="AM334" t="str">
        <f t="shared" si="160"/>
        <v/>
      </c>
    </row>
    <row r="335" spans="1:39" ht="15" customHeight="1" x14ac:dyDescent="0.25">
      <c r="A335" s="131"/>
      <c r="B335" s="133"/>
      <c r="C335" s="133"/>
      <c r="D335" s="42" t="str">
        <f t="shared" si="135"/>
        <v/>
      </c>
      <c r="E335" s="43"/>
      <c r="F335" s="135"/>
      <c r="G335" s="77" t="str">
        <f t="shared" si="136"/>
        <v/>
      </c>
      <c r="H335" s="32" t="str">
        <f t="shared" si="137"/>
        <v/>
      </c>
      <c r="I335" s="78" t="str">
        <f t="shared" si="138"/>
        <v/>
      </c>
      <c r="J335" s="70" t="str">
        <f t="shared" si="139"/>
        <v/>
      </c>
      <c r="K335" s="135"/>
      <c r="L335" s="72" t="str">
        <f t="shared" si="140"/>
        <v/>
      </c>
      <c r="M335" s="135"/>
      <c r="N335" s="72" t="str">
        <f t="shared" si="141"/>
        <v/>
      </c>
      <c r="O335" s="135"/>
      <c r="P335" s="136"/>
      <c r="Q335" s="123" t="str">
        <f t="shared" si="142"/>
        <v/>
      </c>
      <c r="R335" s="45" t="str">
        <f t="shared" si="143"/>
        <v/>
      </c>
      <c r="S335" s="137"/>
      <c r="T335" s="79" t="str">
        <f t="shared" si="152"/>
        <v/>
      </c>
      <c r="U335" s="79" t="str">
        <f t="shared" si="144"/>
        <v/>
      </c>
      <c r="V335" s="73" t="str">
        <f t="shared" si="145"/>
        <v/>
      </c>
      <c r="W335" s="80" t="str">
        <f t="shared" si="146"/>
        <v/>
      </c>
      <c r="X335" s="73" t="str">
        <f t="shared" si="147"/>
        <v/>
      </c>
      <c r="Y335" s="80" t="str">
        <f t="shared" si="148"/>
        <v/>
      </c>
      <c r="Z335" s="74" t="str">
        <f t="shared" si="149"/>
        <v/>
      </c>
      <c r="AA335" s="75" t="str">
        <f t="shared" si="153"/>
        <v/>
      </c>
      <c r="AB335" s="103" t="str">
        <f t="shared" si="150"/>
        <v/>
      </c>
      <c r="AC335" s="104" t="str">
        <f t="shared" si="161"/>
        <v/>
      </c>
      <c r="AE335" s="139"/>
      <c r="AF335" s="110" t="str">
        <f t="shared" si="154"/>
        <v/>
      </c>
      <c r="AG335" s="111" t="str">
        <f t="shared" si="155"/>
        <v/>
      </c>
      <c r="AH335" s="111" t="str">
        <f t="shared" si="151"/>
        <v/>
      </c>
      <c r="AI335" s="111" t="str">
        <f t="shared" si="156"/>
        <v/>
      </c>
      <c r="AJ335" s="111" t="str">
        <f t="shared" si="157"/>
        <v/>
      </c>
      <c r="AK335" s="112" t="str">
        <f t="shared" si="158"/>
        <v/>
      </c>
      <c r="AL335" t="str">
        <f t="shared" si="159"/>
        <v/>
      </c>
      <c r="AM335" t="str">
        <f t="shared" si="160"/>
        <v/>
      </c>
    </row>
    <row r="336" spans="1:39" ht="15" customHeight="1" x14ac:dyDescent="0.25">
      <c r="A336" s="131"/>
      <c r="B336" s="133"/>
      <c r="C336" s="133"/>
      <c r="D336" s="42" t="str">
        <f t="shared" si="135"/>
        <v/>
      </c>
      <c r="E336" s="43"/>
      <c r="F336" s="135"/>
      <c r="G336" s="77" t="str">
        <f t="shared" si="136"/>
        <v/>
      </c>
      <c r="H336" s="32" t="str">
        <f t="shared" si="137"/>
        <v/>
      </c>
      <c r="I336" s="78" t="str">
        <f t="shared" si="138"/>
        <v/>
      </c>
      <c r="J336" s="70" t="str">
        <f t="shared" si="139"/>
        <v/>
      </c>
      <c r="K336" s="135"/>
      <c r="L336" s="72" t="str">
        <f t="shared" si="140"/>
        <v/>
      </c>
      <c r="M336" s="135"/>
      <c r="N336" s="72" t="str">
        <f t="shared" si="141"/>
        <v/>
      </c>
      <c r="O336" s="135"/>
      <c r="P336" s="136"/>
      <c r="Q336" s="123" t="str">
        <f t="shared" si="142"/>
        <v/>
      </c>
      <c r="R336" s="45" t="str">
        <f t="shared" si="143"/>
        <v/>
      </c>
      <c r="S336" s="137"/>
      <c r="T336" s="79" t="str">
        <f t="shared" si="152"/>
        <v/>
      </c>
      <c r="U336" s="79" t="str">
        <f t="shared" si="144"/>
        <v/>
      </c>
      <c r="V336" s="73" t="str">
        <f t="shared" si="145"/>
        <v/>
      </c>
      <c r="W336" s="80" t="str">
        <f t="shared" si="146"/>
        <v/>
      </c>
      <c r="X336" s="73" t="str">
        <f t="shared" si="147"/>
        <v/>
      </c>
      <c r="Y336" s="80" t="str">
        <f t="shared" si="148"/>
        <v/>
      </c>
      <c r="Z336" s="74" t="str">
        <f t="shared" si="149"/>
        <v/>
      </c>
      <c r="AA336" s="75" t="str">
        <f t="shared" si="153"/>
        <v/>
      </c>
      <c r="AB336" s="103" t="str">
        <f t="shared" si="150"/>
        <v/>
      </c>
      <c r="AC336" s="104" t="str">
        <f t="shared" si="161"/>
        <v/>
      </c>
      <c r="AE336" s="139"/>
      <c r="AF336" s="110" t="str">
        <f t="shared" si="154"/>
        <v/>
      </c>
      <c r="AG336" s="111" t="str">
        <f t="shared" si="155"/>
        <v/>
      </c>
      <c r="AH336" s="111" t="str">
        <f t="shared" si="151"/>
        <v/>
      </c>
      <c r="AI336" s="111" t="str">
        <f t="shared" si="156"/>
        <v/>
      </c>
      <c r="AJ336" s="111" t="str">
        <f t="shared" si="157"/>
        <v/>
      </c>
      <c r="AK336" s="112" t="str">
        <f t="shared" si="158"/>
        <v/>
      </c>
      <c r="AL336" t="str">
        <f t="shared" si="159"/>
        <v/>
      </c>
      <c r="AM336" t="str">
        <f t="shared" si="160"/>
        <v/>
      </c>
    </row>
    <row r="337" spans="1:39" ht="15" customHeight="1" x14ac:dyDescent="0.25">
      <c r="A337" s="131"/>
      <c r="B337" s="133"/>
      <c r="C337" s="133"/>
      <c r="D337" s="42" t="str">
        <f t="shared" si="135"/>
        <v/>
      </c>
      <c r="E337" s="43"/>
      <c r="F337" s="135"/>
      <c r="G337" s="77" t="str">
        <f t="shared" si="136"/>
        <v/>
      </c>
      <c r="H337" s="32" t="str">
        <f t="shared" si="137"/>
        <v/>
      </c>
      <c r="I337" s="78" t="str">
        <f t="shared" si="138"/>
        <v/>
      </c>
      <c r="J337" s="70" t="str">
        <f t="shared" si="139"/>
        <v/>
      </c>
      <c r="K337" s="135"/>
      <c r="L337" s="72" t="str">
        <f t="shared" si="140"/>
        <v/>
      </c>
      <c r="M337" s="135"/>
      <c r="N337" s="72" t="str">
        <f t="shared" si="141"/>
        <v/>
      </c>
      <c r="O337" s="135"/>
      <c r="P337" s="136"/>
      <c r="Q337" s="123" t="str">
        <f t="shared" si="142"/>
        <v/>
      </c>
      <c r="R337" s="45" t="str">
        <f t="shared" si="143"/>
        <v/>
      </c>
      <c r="S337" s="137"/>
      <c r="T337" s="79" t="str">
        <f t="shared" si="152"/>
        <v/>
      </c>
      <c r="U337" s="79" t="str">
        <f t="shared" si="144"/>
        <v/>
      </c>
      <c r="V337" s="73" t="str">
        <f t="shared" si="145"/>
        <v/>
      </c>
      <c r="W337" s="80" t="str">
        <f t="shared" si="146"/>
        <v/>
      </c>
      <c r="X337" s="73" t="str">
        <f t="shared" si="147"/>
        <v/>
      </c>
      <c r="Y337" s="80" t="str">
        <f t="shared" si="148"/>
        <v/>
      </c>
      <c r="Z337" s="74" t="str">
        <f t="shared" si="149"/>
        <v/>
      </c>
      <c r="AA337" s="75" t="str">
        <f t="shared" si="153"/>
        <v/>
      </c>
      <c r="AB337" s="103" t="str">
        <f t="shared" si="150"/>
        <v/>
      </c>
      <c r="AC337" s="104" t="str">
        <f t="shared" si="161"/>
        <v/>
      </c>
      <c r="AE337" s="139"/>
      <c r="AF337" s="110" t="str">
        <f t="shared" si="154"/>
        <v/>
      </c>
      <c r="AG337" s="111" t="str">
        <f t="shared" si="155"/>
        <v/>
      </c>
      <c r="AH337" s="111" t="str">
        <f t="shared" si="151"/>
        <v/>
      </c>
      <c r="AI337" s="111" t="str">
        <f t="shared" si="156"/>
        <v/>
      </c>
      <c r="AJ337" s="111" t="str">
        <f t="shared" si="157"/>
        <v/>
      </c>
      <c r="AK337" s="112" t="str">
        <f t="shared" si="158"/>
        <v/>
      </c>
      <c r="AL337" t="str">
        <f t="shared" si="159"/>
        <v/>
      </c>
      <c r="AM337" t="str">
        <f t="shared" si="160"/>
        <v/>
      </c>
    </row>
    <row r="338" spans="1:39" ht="15" customHeight="1" x14ac:dyDescent="0.25">
      <c r="A338" s="131"/>
      <c r="B338" s="133"/>
      <c r="C338" s="133"/>
      <c r="D338" s="42" t="str">
        <f t="shared" si="135"/>
        <v/>
      </c>
      <c r="E338" s="43"/>
      <c r="F338" s="135"/>
      <c r="G338" s="77" t="str">
        <f t="shared" si="136"/>
        <v/>
      </c>
      <c r="H338" s="32" t="str">
        <f t="shared" si="137"/>
        <v/>
      </c>
      <c r="I338" s="78" t="str">
        <f t="shared" si="138"/>
        <v/>
      </c>
      <c r="J338" s="70" t="str">
        <f t="shared" si="139"/>
        <v/>
      </c>
      <c r="K338" s="135"/>
      <c r="L338" s="72" t="str">
        <f t="shared" si="140"/>
        <v/>
      </c>
      <c r="M338" s="135"/>
      <c r="N338" s="72" t="str">
        <f t="shared" si="141"/>
        <v/>
      </c>
      <c r="O338" s="135"/>
      <c r="P338" s="136"/>
      <c r="Q338" s="123" t="str">
        <f t="shared" si="142"/>
        <v/>
      </c>
      <c r="R338" s="45" t="str">
        <f t="shared" si="143"/>
        <v/>
      </c>
      <c r="S338" s="137"/>
      <c r="T338" s="79" t="str">
        <f t="shared" si="152"/>
        <v/>
      </c>
      <c r="U338" s="79" t="str">
        <f t="shared" si="144"/>
        <v/>
      </c>
      <c r="V338" s="73" t="str">
        <f t="shared" si="145"/>
        <v/>
      </c>
      <c r="W338" s="80" t="str">
        <f t="shared" si="146"/>
        <v/>
      </c>
      <c r="X338" s="73" t="str">
        <f t="shared" si="147"/>
        <v/>
      </c>
      <c r="Y338" s="80" t="str">
        <f t="shared" si="148"/>
        <v/>
      </c>
      <c r="Z338" s="74" t="str">
        <f t="shared" si="149"/>
        <v/>
      </c>
      <c r="AA338" s="75" t="str">
        <f t="shared" si="153"/>
        <v/>
      </c>
      <c r="AB338" s="103" t="str">
        <f t="shared" si="150"/>
        <v/>
      </c>
      <c r="AC338" s="104" t="str">
        <f t="shared" si="161"/>
        <v/>
      </c>
      <c r="AE338" s="139"/>
      <c r="AF338" s="110" t="str">
        <f t="shared" si="154"/>
        <v/>
      </c>
      <c r="AG338" s="111" t="str">
        <f t="shared" si="155"/>
        <v/>
      </c>
      <c r="AH338" s="111" t="str">
        <f t="shared" si="151"/>
        <v/>
      </c>
      <c r="AI338" s="111" t="str">
        <f t="shared" si="156"/>
        <v/>
      </c>
      <c r="AJ338" s="111" t="str">
        <f t="shared" si="157"/>
        <v/>
      </c>
      <c r="AK338" s="112" t="str">
        <f t="shared" si="158"/>
        <v/>
      </c>
      <c r="AL338" t="str">
        <f t="shared" si="159"/>
        <v/>
      </c>
      <c r="AM338" t="str">
        <f t="shared" si="160"/>
        <v/>
      </c>
    </row>
    <row r="339" spans="1:39" ht="15" customHeight="1" x14ac:dyDescent="0.25">
      <c r="A339" s="131"/>
      <c r="B339" s="133"/>
      <c r="C339" s="133"/>
      <c r="D339" s="42" t="str">
        <f t="shared" si="135"/>
        <v/>
      </c>
      <c r="E339" s="43"/>
      <c r="F339" s="135"/>
      <c r="G339" s="77" t="str">
        <f t="shared" si="136"/>
        <v/>
      </c>
      <c r="H339" s="32" t="str">
        <f t="shared" si="137"/>
        <v/>
      </c>
      <c r="I339" s="78" t="str">
        <f t="shared" si="138"/>
        <v/>
      </c>
      <c r="J339" s="70" t="str">
        <f t="shared" si="139"/>
        <v/>
      </c>
      <c r="K339" s="135"/>
      <c r="L339" s="72" t="str">
        <f t="shared" si="140"/>
        <v/>
      </c>
      <c r="M339" s="135"/>
      <c r="N339" s="72" t="str">
        <f t="shared" si="141"/>
        <v/>
      </c>
      <c r="O339" s="135"/>
      <c r="P339" s="136"/>
      <c r="Q339" s="123" t="str">
        <f t="shared" si="142"/>
        <v/>
      </c>
      <c r="R339" s="45" t="str">
        <f t="shared" si="143"/>
        <v/>
      </c>
      <c r="S339" s="137"/>
      <c r="T339" s="79" t="str">
        <f t="shared" si="152"/>
        <v/>
      </c>
      <c r="U339" s="79" t="str">
        <f t="shared" si="144"/>
        <v/>
      </c>
      <c r="V339" s="73" t="str">
        <f t="shared" si="145"/>
        <v/>
      </c>
      <c r="W339" s="80" t="str">
        <f t="shared" si="146"/>
        <v/>
      </c>
      <c r="X339" s="73" t="str">
        <f t="shared" si="147"/>
        <v/>
      </c>
      <c r="Y339" s="80" t="str">
        <f t="shared" si="148"/>
        <v/>
      </c>
      <c r="Z339" s="74" t="str">
        <f t="shared" si="149"/>
        <v/>
      </c>
      <c r="AA339" s="75" t="str">
        <f t="shared" si="153"/>
        <v/>
      </c>
      <c r="AB339" s="103" t="str">
        <f t="shared" si="150"/>
        <v/>
      </c>
      <c r="AC339" s="104" t="str">
        <f t="shared" si="161"/>
        <v/>
      </c>
      <c r="AE339" s="139"/>
      <c r="AF339" s="110" t="str">
        <f t="shared" si="154"/>
        <v/>
      </c>
      <c r="AG339" s="111" t="str">
        <f t="shared" si="155"/>
        <v/>
      </c>
      <c r="AH339" s="111" t="str">
        <f t="shared" si="151"/>
        <v/>
      </c>
      <c r="AI339" s="111" t="str">
        <f t="shared" si="156"/>
        <v/>
      </c>
      <c r="AJ339" s="111" t="str">
        <f t="shared" si="157"/>
        <v/>
      </c>
      <c r="AK339" s="112" t="str">
        <f t="shared" si="158"/>
        <v/>
      </c>
      <c r="AL339" t="str">
        <f t="shared" si="159"/>
        <v/>
      </c>
      <c r="AM339" t="str">
        <f t="shared" si="160"/>
        <v/>
      </c>
    </row>
    <row r="340" spans="1:39" ht="15" customHeight="1" x14ac:dyDescent="0.25">
      <c r="A340" s="131"/>
      <c r="B340" s="133"/>
      <c r="C340" s="133"/>
      <c r="D340" s="42" t="str">
        <f t="shared" si="135"/>
        <v/>
      </c>
      <c r="E340" s="43"/>
      <c r="F340" s="135"/>
      <c r="G340" s="77" t="str">
        <f t="shared" si="136"/>
        <v/>
      </c>
      <c r="H340" s="32" t="str">
        <f t="shared" si="137"/>
        <v/>
      </c>
      <c r="I340" s="78" t="str">
        <f t="shared" si="138"/>
        <v/>
      </c>
      <c r="J340" s="70" t="str">
        <f t="shared" si="139"/>
        <v/>
      </c>
      <c r="K340" s="135"/>
      <c r="L340" s="72" t="str">
        <f t="shared" si="140"/>
        <v/>
      </c>
      <c r="M340" s="135"/>
      <c r="N340" s="72" t="str">
        <f t="shared" si="141"/>
        <v/>
      </c>
      <c r="O340" s="135"/>
      <c r="P340" s="136"/>
      <c r="Q340" s="123" t="str">
        <f t="shared" si="142"/>
        <v/>
      </c>
      <c r="R340" s="45" t="str">
        <f t="shared" si="143"/>
        <v/>
      </c>
      <c r="S340" s="137"/>
      <c r="T340" s="79" t="str">
        <f t="shared" si="152"/>
        <v/>
      </c>
      <c r="U340" s="79" t="str">
        <f t="shared" si="144"/>
        <v/>
      </c>
      <c r="V340" s="73" t="str">
        <f t="shared" si="145"/>
        <v/>
      </c>
      <c r="W340" s="80" t="str">
        <f t="shared" si="146"/>
        <v/>
      </c>
      <c r="X340" s="73" t="str">
        <f t="shared" si="147"/>
        <v/>
      </c>
      <c r="Y340" s="80" t="str">
        <f t="shared" si="148"/>
        <v/>
      </c>
      <c r="Z340" s="74" t="str">
        <f t="shared" si="149"/>
        <v/>
      </c>
      <c r="AA340" s="75" t="str">
        <f t="shared" si="153"/>
        <v/>
      </c>
      <c r="AB340" s="103" t="str">
        <f t="shared" si="150"/>
        <v/>
      </c>
      <c r="AC340" s="104" t="str">
        <f t="shared" si="161"/>
        <v/>
      </c>
      <c r="AE340" s="139"/>
      <c r="AF340" s="110" t="str">
        <f t="shared" si="154"/>
        <v/>
      </c>
      <c r="AG340" s="111" t="str">
        <f t="shared" si="155"/>
        <v/>
      </c>
      <c r="AH340" s="111" t="str">
        <f t="shared" si="151"/>
        <v/>
      </c>
      <c r="AI340" s="111" t="str">
        <f t="shared" si="156"/>
        <v/>
      </c>
      <c r="AJ340" s="111" t="str">
        <f t="shared" si="157"/>
        <v/>
      </c>
      <c r="AK340" s="112" t="str">
        <f t="shared" si="158"/>
        <v/>
      </c>
      <c r="AL340" t="str">
        <f t="shared" si="159"/>
        <v/>
      </c>
      <c r="AM340" t="str">
        <f t="shared" si="160"/>
        <v/>
      </c>
    </row>
    <row r="341" spans="1:39" ht="15" customHeight="1" x14ac:dyDescent="0.25">
      <c r="A341" s="131"/>
      <c r="B341" s="133"/>
      <c r="C341" s="133"/>
      <c r="D341" s="42" t="str">
        <f t="shared" si="135"/>
        <v/>
      </c>
      <c r="E341" s="43"/>
      <c r="F341" s="135"/>
      <c r="G341" s="77" t="str">
        <f t="shared" si="136"/>
        <v/>
      </c>
      <c r="H341" s="32" t="str">
        <f t="shared" si="137"/>
        <v/>
      </c>
      <c r="I341" s="78" t="str">
        <f t="shared" si="138"/>
        <v/>
      </c>
      <c r="J341" s="70" t="str">
        <f t="shared" si="139"/>
        <v/>
      </c>
      <c r="K341" s="135"/>
      <c r="L341" s="72" t="str">
        <f t="shared" si="140"/>
        <v/>
      </c>
      <c r="M341" s="135"/>
      <c r="N341" s="72" t="str">
        <f t="shared" si="141"/>
        <v/>
      </c>
      <c r="O341" s="135"/>
      <c r="P341" s="136"/>
      <c r="Q341" s="123" t="str">
        <f t="shared" si="142"/>
        <v/>
      </c>
      <c r="R341" s="45" t="str">
        <f t="shared" si="143"/>
        <v/>
      </c>
      <c r="S341" s="137"/>
      <c r="T341" s="79" t="str">
        <f t="shared" si="152"/>
        <v/>
      </c>
      <c r="U341" s="79" t="str">
        <f t="shared" si="144"/>
        <v/>
      </c>
      <c r="V341" s="73" t="str">
        <f t="shared" si="145"/>
        <v/>
      </c>
      <c r="W341" s="80" t="str">
        <f t="shared" si="146"/>
        <v/>
      </c>
      <c r="X341" s="73" t="str">
        <f t="shared" si="147"/>
        <v/>
      </c>
      <c r="Y341" s="80" t="str">
        <f t="shared" si="148"/>
        <v/>
      </c>
      <c r="Z341" s="74" t="str">
        <f t="shared" si="149"/>
        <v/>
      </c>
      <c r="AA341" s="75" t="str">
        <f t="shared" si="153"/>
        <v/>
      </c>
      <c r="AB341" s="103" t="str">
        <f t="shared" si="150"/>
        <v/>
      </c>
      <c r="AC341" s="104" t="str">
        <f t="shared" si="161"/>
        <v/>
      </c>
      <c r="AE341" s="139"/>
      <c r="AF341" s="110" t="str">
        <f t="shared" si="154"/>
        <v/>
      </c>
      <c r="AG341" s="111" t="str">
        <f t="shared" si="155"/>
        <v/>
      </c>
      <c r="AH341" s="111" t="str">
        <f t="shared" si="151"/>
        <v/>
      </c>
      <c r="AI341" s="111" t="str">
        <f t="shared" si="156"/>
        <v/>
      </c>
      <c r="AJ341" s="111" t="str">
        <f t="shared" si="157"/>
        <v/>
      </c>
      <c r="AK341" s="112" t="str">
        <f t="shared" si="158"/>
        <v/>
      </c>
      <c r="AL341" t="str">
        <f t="shared" si="159"/>
        <v/>
      </c>
      <c r="AM341" t="str">
        <f t="shared" si="160"/>
        <v/>
      </c>
    </row>
    <row r="342" spans="1:39" ht="15" customHeight="1" x14ac:dyDescent="0.25">
      <c r="A342" s="131"/>
      <c r="B342" s="133"/>
      <c r="C342" s="133"/>
      <c r="D342" s="42" t="str">
        <f t="shared" si="135"/>
        <v/>
      </c>
      <c r="E342" s="43"/>
      <c r="F342" s="135"/>
      <c r="G342" s="77" t="str">
        <f t="shared" si="136"/>
        <v/>
      </c>
      <c r="H342" s="32" t="str">
        <f t="shared" si="137"/>
        <v/>
      </c>
      <c r="I342" s="78" t="str">
        <f t="shared" si="138"/>
        <v/>
      </c>
      <c r="J342" s="70" t="str">
        <f t="shared" si="139"/>
        <v/>
      </c>
      <c r="K342" s="135"/>
      <c r="L342" s="72" t="str">
        <f t="shared" si="140"/>
        <v/>
      </c>
      <c r="M342" s="135"/>
      <c r="N342" s="72" t="str">
        <f t="shared" si="141"/>
        <v/>
      </c>
      <c r="O342" s="135"/>
      <c r="P342" s="136"/>
      <c r="Q342" s="123" t="str">
        <f t="shared" si="142"/>
        <v/>
      </c>
      <c r="R342" s="45" t="str">
        <f t="shared" si="143"/>
        <v/>
      </c>
      <c r="S342" s="137"/>
      <c r="T342" s="79" t="str">
        <f t="shared" si="152"/>
        <v/>
      </c>
      <c r="U342" s="79" t="str">
        <f t="shared" si="144"/>
        <v/>
      </c>
      <c r="V342" s="73" t="str">
        <f t="shared" si="145"/>
        <v/>
      </c>
      <c r="W342" s="80" t="str">
        <f t="shared" si="146"/>
        <v/>
      </c>
      <c r="X342" s="73" t="str">
        <f t="shared" si="147"/>
        <v/>
      </c>
      <c r="Y342" s="80" t="str">
        <f t="shared" si="148"/>
        <v/>
      </c>
      <c r="Z342" s="74" t="str">
        <f t="shared" si="149"/>
        <v/>
      </c>
      <c r="AA342" s="75" t="str">
        <f t="shared" si="153"/>
        <v/>
      </c>
      <c r="AB342" s="103" t="str">
        <f t="shared" si="150"/>
        <v/>
      </c>
      <c r="AC342" s="104" t="str">
        <f t="shared" si="161"/>
        <v/>
      </c>
      <c r="AE342" s="139"/>
      <c r="AF342" s="110" t="str">
        <f t="shared" si="154"/>
        <v/>
      </c>
      <c r="AG342" s="111" t="str">
        <f t="shared" si="155"/>
        <v/>
      </c>
      <c r="AH342" s="111" t="str">
        <f t="shared" si="151"/>
        <v/>
      </c>
      <c r="AI342" s="111" t="str">
        <f t="shared" si="156"/>
        <v/>
      </c>
      <c r="AJ342" s="111" t="str">
        <f t="shared" si="157"/>
        <v/>
      </c>
      <c r="AK342" s="112" t="str">
        <f t="shared" si="158"/>
        <v/>
      </c>
      <c r="AL342" t="str">
        <f t="shared" si="159"/>
        <v/>
      </c>
      <c r="AM342" t="str">
        <f t="shared" si="160"/>
        <v/>
      </c>
    </row>
    <row r="343" spans="1:39" ht="15" customHeight="1" x14ac:dyDescent="0.25">
      <c r="A343" s="131"/>
      <c r="B343" s="133"/>
      <c r="C343" s="133"/>
      <c r="D343" s="42" t="str">
        <f t="shared" si="135"/>
        <v/>
      </c>
      <c r="E343" s="43"/>
      <c r="F343" s="135"/>
      <c r="G343" s="77" t="str">
        <f t="shared" si="136"/>
        <v/>
      </c>
      <c r="H343" s="32" t="str">
        <f t="shared" si="137"/>
        <v/>
      </c>
      <c r="I343" s="78" t="str">
        <f t="shared" si="138"/>
        <v/>
      </c>
      <c r="J343" s="70" t="str">
        <f t="shared" si="139"/>
        <v/>
      </c>
      <c r="K343" s="135"/>
      <c r="L343" s="72" t="str">
        <f t="shared" si="140"/>
        <v/>
      </c>
      <c r="M343" s="135"/>
      <c r="N343" s="72" t="str">
        <f t="shared" si="141"/>
        <v/>
      </c>
      <c r="O343" s="135"/>
      <c r="P343" s="136"/>
      <c r="Q343" s="123" t="str">
        <f t="shared" si="142"/>
        <v/>
      </c>
      <c r="R343" s="45" t="str">
        <f t="shared" si="143"/>
        <v/>
      </c>
      <c r="S343" s="137"/>
      <c r="T343" s="79" t="str">
        <f t="shared" si="152"/>
        <v/>
      </c>
      <c r="U343" s="79" t="str">
        <f t="shared" si="144"/>
        <v/>
      </c>
      <c r="V343" s="73" t="str">
        <f t="shared" si="145"/>
        <v/>
      </c>
      <c r="W343" s="80" t="str">
        <f t="shared" si="146"/>
        <v/>
      </c>
      <c r="X343" s="73" t="str">
        <f t="shared" si="147"/>
        <v/>
      </c>
      <c r="Y343" s="80" t="str">
        <f t="shared" si="148"/>
        <v/>
      </c>
      <c r="Z343" s="74" t="str">
        <f t="shared" si="149"/>
        <v/>
      </c>
      <c r="AA343" s="75" t="str">
        <f t="shared" si="153"/>
        <v/>
      </c>
      <c r="AB343" s="103" t="str">
        <f t="shared" si="150"/>
        <v/>
      </c>
      <c r="AC343" s="104" t="str">
        <f t="shared" si="161"/>
        <v/>
      </c>
      <c r="AE343" s="139"/>
      <c r="AF343" s="110" t="str">
        <f t="shared" si="154"/>
        <v/>
      </c>
      <c r="AG343" s="111" t="str">
        <f t="shared" si="155"/>
        <v/>
      </c>
      <c r="AH343" s="111" t="str">
        <f t="shared" si="151"/>
        <v/>
      </c>
      <c r="AI343" s="111" t="str">
        <f t="shared" si="156"/>
        <v/>
      </c>
      <c r="AJ343" s="111" t="str">
        <f t="shared" si="157"/>
        <v/>
      </c>
      <c r="AK343" s="112" t="str">
        <f t="shared" si="158"/>
        <v/>
      </c>
      <c r="AL343" t="str">
        <f t="shared" si="159"/>
        <v/>
      </c>
      <c r="AM343" t="str">
        <f t="shared" si="160"/>
        <v/>
      </c>
    </row>
    <row r="344" spans="1:39" ht="15" customHeight="1" x14ac:dyDescent="0.25">
      <c r="A344" s="131"/>
      <c r="B344" s="133"/>
      <c r="C344" s="133"/>
      <c r="D344" s="42" t="str">
        <f t="shared" si="135"/>
        <v/>
      </c>
      <c r="E344" s="43"/>
      <c r="F344" s="135"/>
      <c r="G344" s="77" t="str">
        <f t="shared" si="136"/>
        <v/>
      </c>
      <c r="H344" s="32" t="str">
        <f t="shared" si="137"/>
        <v/>
      </c>
      <c r="I344" s="78" t="str">
        <f t="shared" si="138"/>
        <v/>
      </c>
      <c r="J344" s="70" t="str">
        <f t="shared" si="139"/>
        <v/>
      </c>
      <c r="K344" s="135"/>
      <c r="L344" s="72" t="str">
        <f t="shared" si="140"/>
        <v/>
      </c>
      <c r="M344" s="135"/>
      <c r="N344" s="72" t="str">
        <f t="shared" si="141"/>
        <v/>
      </c>
      <c r="O344" s="135"/>
      <c r="P344" s="136"/>
      <c r="Q344" s="123" t="str">
        <f t="shared" si="142"/>
        <v/>
      </c>
      <c r="R344" s="45" t="str">
        <f t="shared" si="143"/>
        <v/>
      </c>
      <c r="S344" s="137"/>
      <c r="T344" s="79" t="str">
        <f t="shared" si="152"/>
        <v/>
      </c>
      <c r="U344" s="79" t="str">
        <f t="shared" si="144"/>
        <v/>
      </c>
      <c r="V344" s="73" t="str">
        <f t="shared" si="145"/>
        <v/>
      </c>
      <c r="W344" s="80" t="str">
        <f t="shared" si="146"/>
        <v/>
      </c>
      <c r="X344" s="73" t="str">
        <f t="shared" si="147"/>
        <v/>
      </c>
      <c r="Y344" s="80" t="str">
        <f t="shared" si="148"/>
        <v/>
      </c>
      <c r="Z344" s="74" t="str">
        <f t="shared" si="149"/>
        <v/>
      </c>
      <c r="AA344" s="75" t="str">
        <f t="shared" si="153"/>
        <v/>
      </c>
      <c r="AB344" s="103" t="str">
        <f t="shared" si="150"/>
        <v/>
      </c>
      <c r="AC344" s="104" t="str">
        <f t="shared" si="161"/>
        <v/>
      </c>
      <c r="AE344" s="139"/>
      <c r="AF344" s="110" t="str">
        <f t="shared" si="154"/>
        <v/>
      </c>
      <c r="AG344" s="111" t="str">
        <f t="shared" si="155"/>
        <v/>
      </c>
      <c r="AH344" s="111" t="str">
        <f t="shared" si="151"/>
        <v/>
      </c>
      <c r="AI344" s="111" t="str">
        <f t="shared" si="156"/>
        <v/>
      </c>
      <c r="AJ344" s="111" t="str">
        <f t="shared" si="157"/>
        <v/>
      </c>
      <c r="AK344" s="112" t="str">
        <f t="shared" si="158"/>
        <v/>
      </c>
      <c r="AL344" t="str">
        <f t="shared" si="159"/>
        <v/>
      </c>
      <c r="AM344" t="str">
        <f t="shared" si="160"/>
        <v/>
      </c>
    </row>
    <row r="345" spans="1:39" ht="15" customHeight="1" x14ac:dyDescent="0.25">
      <c r="A345" s="131"/>
      <c r="B345" s="133"/>
      <c r="C345" s="133"/>
      <c r="D345" s="42" t="str">
        <f t="shared" si="135"/>
        <v/>
      </c>
      <c r="E345" s="43"/>
      <c r="F345" s="135"/>
      <c r="G345" s="77" t="str">
        <f t="shared" si="136"/>
        <v/>
      </c>
      <c r="H345" s="32" t="str">
        <f t="shared" si="137"/>
        <v/>
      </c>
      <c r="I345" s="78" t="str">
        <f t="shared" si="138"/>
        <v/>
      </c>
      <c r="J345" s="70" t="str">
        <f t="shared" si="139"/>
        <v/>
      </c>
      <c r="K345" s="135"/>
      <c r="L345" s="72" t="str">
        <f t="shared" si="140"/>
        <v/>
      </c>
      <c r="M345" s="135"/>
      <c r="N345" s="72" t="str">
        <f t="shared" si="141"/>
        <v/>
      </c>
      <c r="O345" s="135"/>
      <c r="P345" s="136"/>
      <c r="Q345" s="123" t="str">
        <f t="shared" si="142"/>
        <v/>
      </c>
      <c r="R345" s="45" t="str">
        <f t="shared" si="143"/>
        <v/>
      </c>
      <c r="S345" s="137"/>
      <c r="T345" s="79" t="str">
        <f t="shared" si="152"/>
        <v/>
      </c>
      <c r="U345" s="79" t="str">
        <f t="shared" si="144"/>
        <v/>
      </c>
      <c r="V345" s="73" t="str">
        <f t="shared" si="145"/>
        <v/>
      </c>
      <c r="W345" s="80" t="str">
        <f t="shared" si="146"/>
        <v/>
      </c>
      <c r="X345" s="73" t="str">
        <f t="shared" si="147"/>
        <v/>
      </c>
      <c r="Y345" s="80" t="str">
        <f t="shared" si="148"/>
        <v/>
      </c>
      <c r="Z345" s="74" t="str">
        <f t="shared" si="149"/>
        <v/>
      </c>
      <c r="AA345" s="75" t="str">
        <f t="shared" si="153"/>
        <v/>
      </c>
      <c r="AB345" s="103" t="str">
        <f t="shared" si="150"/>
        <v/>
      </c>
      <c r="AC345" s="104" t="str">
        <f t="shared" si="161"/>
        <v/>
      </c>
      <c r="AE345" s="139"/>
      <c r="AF345" s="110" t="str">
        <f t="shared" si="154"/>
        <v/>
      </c>
      <c r="AG345" s="111" t="str">
        <f t="shared" si="155"/>
        <v/>
      </c>
      <c r="AH345" s="111" t="str">
        <f t="shared" si="151"/>
        <v/>
      </c>
      <c r="AI345" s="111" t="str">
        <f t="shared" si="156"/>
        <v/>
      </c>
      <c r="AJ345" s="111" t="str">
        <f t="shared" si="157"/>
        <v/>
      </c>
      <c r="AK345" s="112" t="str">
        <f t="shared" si="158"/>
        <v/>
      </c>
      <c r="AL345" t="str">
        <f t="shared" si="159"/>
        <v/>
      </c>
      <c r="AM345" t="str">
        <f t="shared" si="160"/>
        <v/>
      </c>
    </row>
    <row r="346" spans="1:39" ht="15" customHeight="1" x14ac:dyDescent="0.25">
      <c r="A346" s="131"/>
      <c r="B346" s="133"/>
      <c r="C346" s="133"/>
      <c r="D346" s="42" t="str">
        <f t="shared" si="135"/>
        <v/>
      </c>
      <c r="E346" s="43"/>
      <c r="F346" s="135"/>
      <c r="G346" s="77" t="str">
        <f t="shared" si="136"/>
        <v/>
      </c>
      <c r="H346" s="32" t="str">
        <f t="shared" si="137"/>
        <v/>
      </c>
      <c r="I346" s="78" t="str">
        <f t="shared" si="138"/>
        <v/>
      </c>
      <c r="J346" s="70" t="str">
        <f t="shared" si="139"/>
        <v/>
      </c>
      <c r="K346" s="135"/>
      <c r="L346" s="72" t="str">
        <f t="shared" si="140"/>
        <v/>
      </c>
      <c r="M346" s="135"/>
      <c r="N346" s="72" t="str">
        <f t="shared" si="141"/>
        <v/>
      </c>
      <c r="O346" s="135"/>
      <c r="P346" s="136"/>
      <c r="Q346" s="123" t="str">
        <f t="shared" si="142"/>
        <v/>
      </c>
      <c r="R346" s="45" t="str">
        <f t="shared" si="143"/>
        <v/>
      </c>
      <c r="S346" s="137"/>
      <c r="T346" s="79" t="str">
        <f t="shared" si="152"/>
        <v/>
      </c>
      <c r="U346" s="79" t="str">
        <f t="shared" si="144"/>
        <v/>
      </c>
      <c r="V346" s="73" t="str">
        <f t="shared" si="145"/>
        <v/>
      </c>
      <c r="W346" s="80" t="str">
        <f t="shared" si="146"/>
        <v/>
      </c>
      <c r="X346" s="73" t="str">
        <f t="shared" si="147"/>
        <v/>
      </c>
      <c r="Y346" s="80" t="str">
        <f t="shared" si="148"/>
        <v/>
      </c>
      <c r="Z346" s="74" t="str">
        <f t="shared" si="149"/>
        <v/>
      </c>
      <c r="AA346" s="75" t="str">
        <f t="shared" si="153"/>
        <v/>
      </c>
      <c r="AB346" s="103" t="str">
        <f t="shared" si="150"/>
        <v/>
      </c>
      <c r="AC346" s="104" t="str">
        <f t="shared" si="161"/>
        <v/>
      </c>
      <c r="AE346" s="139"/>
      <c r="AF346" s="110" t="str">
        <f t="shared" si="154"/>
        <v/>
      </c>
      <c r="AG346" s="111" t="str">
        <f t="shared" si="155"/>
        <v/>
      </c>
      <c r="AH346" s="111" t="str">
        <f t="shared" si="151"/>
        <v/>
      </c>
      <c r="AI346" s="111" t="str">
        <f t="shared" si="156"/>
        <v/>
      </c>
      <c r="AJ346" s="111" t="str">
        <f t="shared" si="157"/>
        <v/>
      </c>
      <c r="AK346" s="112" t="str">
        <f t="shared" si="158"/>
        <v/>
      </c>
      <c r="AL346" t="str">
        <f t="shared" si="159"/>
        <v/>
      </c>
      <c r="AM346" t="str">
        <f t="shared" si="160"/>
        <v/>
      </c>
    </row>
    <row r="347" spans="1:39" ht="15" customHeight="1" x14ac:dyDescent="0.25">
      <c r="A347" s="131"/>
      <c r="B347" s="133"/>
      <c r="C347" s="133"/>
      <c r="D347" s="42" t="str">
        <f t="shared" si="135"/>
        <v/>
      </c>
      <c r="E347" s="43"/>
      <c r="F347" s="135"/>
      <c r="G347" s="77" t="str">
        <f t="shared" si="136"/>
        <v/>
      </c>
      <c r="H347" s="32" t="str">
        <f t="shared" si="137"/>
        <v/>
      </c>
      <c r="I347" s="78" t="str">
        <f t="shared" si="138"/>
        <v/>
      </c>
      <c r="J347" s="70" t="str">
        <f t="shared" si="139"/>
        <v/>
      </c>
      <c r="K347" s="135"/>
      <c r="L347" s="72" t="str">
        <f t="shared" si="140"/>
        <v/>
      </c>
      <c r="M347" s="135"/>
      <c r="N347" s="72" t="str">
        <f t="shared" si="141"/>
        <v/>
      </c>
      <c r="O347" s="135"/>
      <c r="P347" s="136"/>
      <c r="Q347" s="123" t="str">
        <f t="shared" si="142"/>
        <v/>
      </c>
      <c r="R347" s="45" t="str">
        <f t="shared" si="143"/>
        <v/>
      </c>
      <c r="S347" s="137"/>
      <c r="T347" s="79" t="str">
        <f t="shared" si="152"/>
        <v/>
      </c>
      <c r="U347" s="79" t="str">
        <f t="shared" si="144"/>
        <v/>
      </c>
      <c r="V347" s="73" t="str">
        <f t="shared" si="145"/>
        <v/>
      </c>
      <c r="W347" s="80" t="str">
        <f t="shared" si="146"/>
        <v/>
      </c>
      <c r="X347" s="73" t="str">
        <f t="shared" si="147"/>
        <v/>
      </c>
      <c r="Y347" s="80" t="str">
        <f t="shared" si="148"/>
        <v/>
      </c>
      <c r="Z347" s="74" t="str">
        <f t="shared" si="149"/>
        <v/>
      </c>
      <c r="AA347" s="75" t="str">
        <f t="shared" si="153"/>
        <v/>
      </c>
      <c r="AB347" s="103" t="str">
        <f t="shared" si="150"/>
        <v/>
      </c>
      <c r="AC347" s="104" t="str">
        <f t="shared" si="161"/>
        <v/>
      </c>
      <c r="AE347" s="139"/>
      <c r="AF347" s="110" t="str">
        <f t="shared" si="154"/>
        <v/>
      </c>
      <c r="AG347" s="111" t="str">
        <f t="shared" si="155"/>
        <v/>
      </c>
      <c r="AH347" s="111" t="str">
        <f t="shared" si="151"/>
        <v/>
      </c>
      <c r="AI347" s="111" t="str">
        <f t="shared" si="156"/>
        <v/>
      </c>
      <c r="AJ347" s="111" t="str">
        <f t="shared" si="157"/>
        <v/>
      </c>
      <c r="AK347" s="112" t="str">
        <f t="shared" si="158"/>
        <v/>
      </c>
      <c r="AL347" t="str">
        <f t="shared" si="159"/>
        <v/>
      </c>
      <c r="AM347" t="str">
        <f t="shared" si="160"/>
        <v/>
      </c>
    </row>
    <row r="348" spans="1:39" ht="15" customHeight="1" x14ac:dyDescent="0.25">
      <c r="A348" s="131"/>
      <c r="B348" s="133"/>
      <c r="C348" s="133"/>
      <c r="D348" s="42" t="str">
        <f t="shared" si="135"/>
        <v/>
      </c>
      <c r="E348" s="43"/>
      <c r="F348" s="135"/>
      <c r="G348" s="77" t="str">
        <f t="shared" si="136"/>
        <v/>
      </c>
      <c r="H348" s="32" t="str">
        <f t="shared" si="137"/>
        <v/>
      </c>
      <c r="I348" s="78" t="str">
        <f t="shared" si="138"/>
        <v/>
      </c>
      <c r="J348" s="70" t="str">
        <f t="shared" si="139"/>
        <v/>
      </c>
      <c r="K348" s="135"/>
      <c r="L348" s="72" t="str">
        <f t="shared" si="140"/>
        <v/>
      </c>
      <c r="M348" s="135"/>
      <c r="N348" s="72" t="str">
        <f t="shared" si="141"/>
        <v/>
      </c>
      <c r="O348" s="135"/>
      <c r="P348" s="136"/>
      <c r="Q348" s="123" t="str">
        <f t="shared" si="142"/>
        <v/>
      </c>
      <c r="R348" s="45" t="str">
        <f t="shared" si="143"/>
        <v/>
      </c>
      <c r="S348" s="137"/>
      <c r="T348" s="79" t="str">
        <f t="shared" si="152"/>
        <v/>
      </c>
      <c r="U348" s="79" t="str">
        <f t="shared" si="144"/>
        <v/>
      </c>
      <c r="V348" s="73" t="str">
        <f t="shared" si="145"/>
        <v/>
      </c>
      <c r="W348" s="80" t="str">
        <f t="shared" si="146"/>
        <v/>
      </c>
      <c r="X348" s="73" t="str">
        <f t="shared" si="147"/>
        <v/>
      </c>
      <c r="Y348" s="80" t="str">
        <f t="shared" si="148"/>
        <v/>
      </c>
      <c r="Z348" s="74" t="str">
        <f t="shared" si="149"/>
        <v/>
      </c>
      <c r="AA348" s="75" t="str">
        <f t="shared" si="153"/>
        <v/>
      </c>
      <c r="AB348" s="103" t="str">
        <f t="shared" si="150"/>
        <v/>
      </c>
      <c r="AC348" s="104" t="str">
        <f t="shared" si="161"/>
        <v/>
      </c>
      <c r="AE348" s="139"/>
      <c r="AF348" s="110" t="str">
        <f t="shared" si="154"/>
        <v/>
      </c>
      <c r="AG348" s="111" t="str">
        <f t="shared" si="155"/>
        <v/>
      </c>
      <c r="AH348" s="111" t="str">
        <f t="shared" si="151"/>
        <v/>
      </c>
      <c r="AI348" s="111" t="str">
        <f t="shared" si="156"/>
        <v/>
      </c>
      <c r="AJ348" s="111" t="str">
        <f t="shared" si="157"/>
        <v/>
      </c>
      <c r="AK348" s="112" t="str">
        <f t="shared" si="158"/>
        <v/>
      </c>
      <c r="AL348" t="str">
        <f t="shared" si="159"/>
        <v/>
      </c>
      <c r="AM348" t="str">
        <f t="shared" si="160"/>
        <v/>
      </c>
    </row>
    <row r="349" spans="1:39" ht="15" customHeight="1" x14ac:dyDescent="0.25">
      <c r="A349" s="131"/>
      <c r="B349" s="133"/>
      <c r="C349" s="133"/>
      <c r="D349" s="42" t="str">
        <f t="shared" si="135"/>
        <v/>
      </c>
      <c r="E349" s="43"/>
      <c r="F349" s="135"/>
      <c r="G349" s="77" t="str">
        <f t="shared" si="136"/>
        <v/>
      </c>
      <c r="H349" s="32" t="str">
        <f t="shared" si="137"/>
        <v/>
      </c>
      <c r="I349" s="78" t="str">
        <f t="shared" si="138"/>
        <v/>
      </c>
      <c r="J349" s="70" t="str">
        <f t="shared" si="139"/>
        <v/>
      </c>
      <c r="K349" s="135"/>
      <c r="L349" s="72" t="str">
        <f t="shared" si="140"/>
        <v/>
      </c>
      <c r="M349" s="135"/>
      <c r="N349" s="72" t="str">
        <f t="shared" si="141"/>
        <v/>
      </c>
      <c r="O349" s="135"/>
      <c r="P349" s="136"/>
      <c r="Q349" s="123" t="str">
        <f t="shared" si="142"/>
        <v/>
      </c>
      <c r="R349" s="45" t="str">
        <f t="shared" si="143"/>
        <v/>
      </c>
      <c r="S349" s="137"/>
      <c r="T349" s="79" t="str">
        <f t="shared" si="152"/>
        <v/>
      </c>
      <c r="U349" s="79" t="str">
        <f t="shared" si="144"/>
        <v/>
      </c>
      <c r="V349" s="73" t="str">
        <f t="shared" si="145"/>
        <v/>
      </c>
      <c r="W349" s="80" t="str">
        <f t="shared" si="146"/>
        <v/>
      </c>
      <c r="X349" s="73" t="str">
        <f t="shared" si="147"/>
        <v/>
      </c>
      <c r="Y349" s="80" t="str">
        <f t="shared" si="148"/>
        <v/>
      </c>
      <c r="Z349" s="74" t="str">
        <f t="shared" si="149"/>
        <v/>
      </c>
      <c r="AA349" s="75" t="str">
        <f t="shared" si="153"/>
        <v/>
      </c>
      <c r="AB349" s="103" t="str">
        <f t="shared" si="150"/>
        <v/>
      </c>
      <c r="AC349" s="104" t="str">
        <f t="shared" si="161"/>
        <v/>
      </c>
      <c r="AE349" s="139"/>
      <c r="AF349" s="110" t="str">
        <f t="shared" si="154"/>
        <v/>
      </c>
      <c r="AG349" s="111" t="str">
        <f t="shared" si="155"/>
        <v/>
      </c>
      <c r="AH349" s="111" t="str">
        <f t="shared" si="151"/>
        <v/>
      </c>
      <c r="AI349" s="111" t="str">
        <f t="shared" si="156"/>
        <v/>
      </c>
      <c r="AJ349" s="111" t="str">
        <f t="shared" si="157"/>
        <v/>
      </c>
      <c r="AK349" s="112" t="str">
        <f t="shared" si="158"/>
        <v/>
      </c>
      <c r="AL349" t="str">
        <f t="shared" si="159"/>
        <v/>
      </c>
      <c r="AM349" t="str">
        <f t="shared" si="160"/>
        <v/>
      </c>
    </row>
    <row r="350" spans="1:39" ht="15" customHeight="1" x14ac:dyDescent="0.25">
      <c r="A350" s="131"/>
      <c r="B350" s="133"/>
      <c r="C350" s="133"/>
      <c r="D350" s="42" t="str">
        <f t="shared" si="135"/>
        <v/>
      </c>
      <c r="E350" s="43"/>
      <c r="F350" s="135"/>
      <c r="G350" s="77" t="str">
        <f t="shared" si="136"/>
        <v/>
      </c>
      <c r="H350" s="32" t="str">
        <f t="shared" si="137"/>
        <v/>
      </c>
      <c r="I350" s="78" t="str">
        <f t="shared" si="138"/>
        <v/>
      </c>
      <c r="J350" s="70" t="str">
        <f t="shared" si="139"/>
        <v/>
      </c>
      <c r="K350" s="135"/>
      <c r="L350" s="72" t="str">
        <f t="shared" si="140"/>
        <v/>
      </c>
      <c r="M350" s="135"/>
      <c r="N350" s="72" t="str">
        <f t="shared" si="141"/>
        <v/>
      </c>
      <c r="O350" s="135"/>
      <c r="P350" s="136"/>
      <c r="Q350" s="123" t="str">
        <f t="shared" si="142"/>
        <v/>
      </c>
      <c r="R350" s="45" t="str">
        <f t="shared" si="143"/>
        <v/>
      </c>
      <c r="S350" s="137"/>
      <c r="T350" s="79" t="str">
        <f t="shared" si="152"/>
        <v/>
      </c>
      <c r="U350" s="79" t="str">
        <f t="shared" si="144"/>
        <v/>
      </c>
      <c r="V350" s="73" t="str">
        <f t="shared" si="145"/>
        <v/>
      </c>
      <c r="W350" s="80" t="str">
        <f t="shared" si="146"/>
        <v/>
      </c>
      <c r="X350" s="73" t="str">
        <f t="shared" si="147"/>
        <v/>
      </c>
      <c r="Y350" s="80" t="str">
        <f t="shared" si="148"/>
        <v/>
      </c>
      <c r="Z350" s="74" t="str">
        <f t="shared" si="149"/>
        <v/>
      </c>
      <c r="AA350" s="75" t="str">
        <f t="shared" si="153"/>
        <v/>
      </c>
      <c r="AB350" s="103" t="str">
        <f t="shared" si="150"/>
        <v/>
      </c>
      <c r="AC350" s="104" t="str">
        <f t="shared" si="161"/>
        <v/>
      </c>
      <c r="AE350" s="139"/>
      <c r="AF350" s="110" t="str">
        <f t="shared" si="154"/>
        <v/>
      </c>
      <c r="AG350" s="111" t="str">
        <f t="shared" si="155"/>
        <v/>
      </c>
      <c r="AH350" s="111" t="str">
        <f t="shared" si="151"/>
        <v/>
      </c>
      <c r="AI350" s="111" t="str">
        <f t="shared" si="156"/>
        <v/>
      </c>
      <c r="AJ350" s="111" t="str">
        <f t="shared" si="157"/>
        <v/>
      </c>
      <c r="AK350" s="112" t="str">
        <f t="shared" si="158"/>
        <v/>
      </c>
      <c r="AL350" t="str">
        <f t="shared" si="159"/>
        <v/>
      </c>
      <c r="AM350" t="str">
        <f t="shared" si="160"/>
        <v/>
      </c>
    </row>
    <row r="351" spans="1:39" ht="15" customHeight="1" x14ac:dyDescent="0.25">
      <c r="A351" s="131"/>
      <c r="B351" s="133"/>
      <c r="C351" s="133"/>
      <c r="D351" s="42" t="str">
        <f t="shared" si="135"/>
        <v/>
      </c>
      <c r="E351" s="43"/>
      <c r="F351" s="135"/>
      <c r="G351" s="77" t="str">
        <f t="shared" si="136"/>
        <v/>
      </c>
      <c r="H351" s="32" t="str">
        <f t="shared" si="137"/>
        <v/>
      </c>
      <c r="I351" s="78" t="str">
        <f t="shared" si="138"/>
        <v/>
      </c>
      <c r="J351" s="70" t="str">
        <f t="shared" si="139"/>
        <v/>
      </c>
      <c r="K351" s="135"/>
      <c r="L351" s="72" t="str">
        <f t="shared" si="140"/>
        <v/>
      </c>
      <c r="M351" s="135"/>
      <c r="N351" s="72" t="str">
        <f t="shared" si="141"/>
        <v/>
      </c>
      <c r="O351" s="135"/>
      <c r="P351" s="136"/>
      <c r="Q351" s="123" t="str">
        <f t="shared" si="142"/>
        <v/>
      </c>
      <c r="R351" s="45" t="str">
        <f t="shared" si="143"/>
        <v/>
      </c>
      <c r="S351" s="137"/>
      <c r="T351" s="79" t="str">
        <f t="shared" si="152"/>
        <v/>
      </c>
      <c r="U351" s="79" t="str">
        <f t="shared" si="144"/>
        <v/>
      </c>
      <c r="V351" s="73" t="str">
        <f t="shared" si="145"/>
        <v/>
      </c>
      <c r="W351" s="80" t="str">
        <f t="shared" si="146"/>
        <v/>
      </c>
      <c r="X351" s="73" t="str">
        <f t="shared" si="147"/>
        <v/>
      </c>
      <c r="Y351" s="80" t="str">
        <f t="shared" si="148"/>
        <v/>
      </c>
      <c r="Z351" s="74" t="str">
        <f t="shared" si="149"/>
        <v/>
      </c>
      <c r="AA351" s="75" t="str">
        <f t="shared" si="153"/>
        <v/>
      </c>
      <c r="AB351" s="103" t="str">
        <f t="shared" si="150"/>
        <v/>
      </c>
      <c r="AC351" s="104" t="str">
        <f t="shared" si="161"/>
        <v/>
      </c>
      <c r="AE351" s="139"/>
      <c r="AF351" s="110" t="str">
        <f t="shared" si="154"/>
        <v/>
      </c>
      <c r="AG351" s="111" t="str">
        <f t="shared" si="155"/>
        <v/>
      </c>
      <c r="AH351" s="111" t="str">
        <f t="shared" si="151"/>
        <v/>
      </c>
      <c r="AI351" s="111" t="str">
        <f t="shared" si="156"/>
        <v/>
      </c>
      <c r="AJ351" s="111" t="str">
        <f t="shared" si="157"/>
        <v/>
      </c>
      <c r="AK351" s="112" t="str">
        <f t="shared" si="158"/>
        <v/>
      </c>
      <c r="AL351" t="str">
        <f t="shared" si="159"/>
        <v/>
      </c>
      <c r="AM351" t="str">
        <f t="shared" si="160"/>
        <v/>
      </c>
    </row>
    <row r="352" spans="1:39" ht="15" customHeight="1" x14ac:dyDescent="0.25">
      <c r="A352" s="131"/>
      <c r="B352" s="133"/>
      <c r="C352" s="133"/>
      <c r="D352" s="42" t="str">
        <f t="shared" si="135"/>
        <v/>
      </c>
      <c r="E352" s="43"/>
      <c r="F352" s="135"/>
      <c r="G352" s="77" t="str">
        <f t="shared" si="136"/>
        <v/>
      </c>
      <c r="H352" s="32" t="str">
        <f t="shared" si="137"/>
        <v/>
      </c>
      <c r="I352" s="78" t="str">
        <f t="shared" si="138"/>
        <v/>
      </c>
      <c r="J352" s="70" t="str">
        <f t="shared" si="139"/>
        <v/>
      </c>
      <c r="K352" s="135"/>
      <c r="L352" s="72" t="str">
        <f t="shared" si="140"/>
        <v/>
      </c>
      <c r="M352" s="135"/>
      <c r="N352" s="72" t="str">
        <f t="shared" si="141"/>
        <v/>
      </c>
      <c r="O352" s="135"/>
      <c r="P352" s="136"/>
      <c r="Q352" s="123" t="str">
        <f t="shared" si="142"/>
        <v/>
      </c>
      <c r="R352" s="45" t="str">
        <f t="shared" si="143"/>
        <v/>
      </c>
      <c r="S352" s="137"/>
      <c r="T352" s="79" t="str">
        <f t="shared" si="152"/>
        <v/>
      </c>
      <c r="U352" s="79" t="str">
        <f t="shared" si="144"/>
        <v/>
      </c>
      <c r="V352" s="73" t="str">
        <f t="shared" si="145"/>
        <v/>
      </c>
      <c r="W352" s="80" t="str">
        <f t="shared" si="146"/>
        <v/>
      </c>
      <c r="X352" s="73" t="str">
        <f t="shared" si="147"/>
        <v/>
      </c>
      <c r="Y352" s="80" t="str">
        <f t="shared" si="148"/>
        <v/>
      </c>
      <c r="Z352" s="74" t="str">
        <f t="shared" si="149"/>
        <v/>
      </c>
      <c r="AA352" s="75" t="str">
        <f t="shared" si="153"/>
        <v/>
      </c>
      <c r="AB352" s="103" t="str">
        <f t="shared" si="150"/>
        <v/>
      </c>
      <c r="AC352" s="104" t="str">
        <f t="shared" si="161"/>
        <v/>
      </c>
      <c r="AE352" s="139"/>
      <c r="AF352" s="110" t="str">
        <f t="shared" si="154"/>
        <v/>
      </c>
      <c r="AG352" s="111" t="str">
        <f t="shared" si="155"/>
        <v/>
      </c>
      <c r="AH352" s="111" t="str">
        <f t="shared" si="151"/>
        <v/>
      </c>
      <c r="AI352" s="111" t="str">
        <f t="shared" si="156"/>
        <v/>
      </c>
      <c r="AJ352" s="111" t="str">
        <f t="shared" si="157"/>
        <v/>
      </c>
      <c r="AK352" s="112" t="str">
        <f t="shared" si="158"/>
        <v/>
      </c>
      <c r="AL352" t="str">
        <f t="shared" si="159"/>
        <v/>
      </c>
      <c r="AM352" t="str">
        <f t="shared" si="160"/>
        <v/>
      </c>
    </row>
    <row r="353" spans="1:39" ht="15" customHeight="1" x14ac:dyDescent="0.25">
      <c r="A353" s="131"/>
      <c r="B353" s="133"/>
      <c r="C353" s="133"/>
      <c r="D353" s="42" t="str">
        <f t="shared" si="135"/>
        <v/>
      </c>
      <c r="E353" s="43"/>
      <c r="F353" s="135"/>
      <c r="G353" s="77" t="str">
        <f t="shared" si="136"/>
        <v/>
      </c>
      <c r="H353" s="32" t="str">
        <f t="shared" si="137"/>
        <v/>
      </c>
      <c r="I353" s="78" t="str">
        <f t="shared" si="138"/>
        <v/>
      </c>
      <c r="J353" s="70" t="str">
        <f t="shared" si="139"/>
        <v/>
      </c>
      <c r="K353" s="135"/>
      <c r="L353" s="72" t="str">
        <f t="shared" si="140"/>
        <v/>
      </c>
      <c r="M353" s="135"/>
      <c r="N353" s="72" t="str">
        <f t="shared" si="141"/>
        <v/>
      </c>
      <c r="O353" s="135"/>
      <c r="P353" s="136"/>
      <c r="Q353" s="123" t="str">
        <f t="shared" si="142"/>
        <v/>
      </c>
      <c r="R353" s="45" t="str">
        <f t="shared" si="143"/>
        <v/>
      </c>
      <c r="S353" s="137"/>
      <c r="T353" s="79" t="str">
        <f t="shared" si="152"/>
        <v/>
      </c>
      <c r="U353" s="79" t="str">
        <f t="shared" si="144"/>
        <v/>
      </c>
      <c r="V353" s="73" t="str">
        <f t="shared" si="145"/>
        <v/>
      </c>
      <c r="W353" s="80" t="str">
        <f t="shared" si="146"/>
        <v/>
      </c>
      <c r="X353" s="73" t="str">
        <f t="shared" si="147"/>
        <v/>
      </c>
      <c r="Y353" s="80" t="str">
        <f t="shared" si="148"/>
        <v/>
      </c>
      <c r="Z353" s="74" t="str">
        <f t="shared" si="149"/>
        <v/>
      </c>
      <c r="AA353" s="75" t="str">
        <f t="shared" si="153"/>
        <v/>
      </c>
      <c r="AB353" s="103" t="str">
        <f t="shared" si="150"/>
        <v/>
      </c>
      <c r="AC353" s="104" t="str">
        <f t="shared" si="161"/>
        <v/>
      </c>
      <c r="AE353" s="139"/>
      <c r="AF353" s="110" t="str">
        <f t="shared" si="154"/>
        <v/>
      </c>
      <c r="AG353" s="111" t="str">
        <f t="shared" si="155"/>
        <v/>
      </c>
      <c r="AH353" s="111" t="str">
        <f t="shared" si="151"/>
        <v/>
      </c>
      <c r="AI353" s="111" t="str">
        <f t="shared" si="156"/>
        <v/>
      </c>
      <c r="AJ353" s="111" t="str">
        <f t="shared" si="157"/>
        <v/>
      </c>
      <c r="AK353" s="112" t="str">
        <f t="shared" si="158"/>
        <v/>
      </c>
      <c r="AL353" t="str">
        <f t="shared" si="159"/>
        <v/>
      </c>
      <c r="AM353" t="str">
        <f t="shared" si="160"/>
        <v/>
      </c>
    </row>
    <row r="354" spans="1:39" ht="15" customHeight="1" x14ac:dyDescent="0.25">
      <c r="A354" s="131"/>
      <c r="B354" s="133"/>
      <c r="C354" s="133"/>
      <c r="D354" s="42" t="str">
        <f t="shared" si="135"/>
        <v/>
      </c>
      <c r="E354" s="43"/>
      <c r="F354" s="135"/>
      <c r="G354" s="77" t="str">
        <f t="shared" si="136"/>
        <v/>
      </c>
      <c r="H354" s="32" t="str">
        <f t="shared" si="137"/>
        <v/>
      </c>
      <c r="I354" s="78" t="str">
        <f t="shared" si="138"/>
        <v/>
      </c>
      <c r="J354" s="70" t="str">
        <f t="shared" si="139"/>
        <v/>
      </c>
      <c r="K354" s="135"/>
      <c r="L354" s="72" t="str">
        <f t="shared" si="140"/>
        <v/>
      </c>
      <c r="M354" s="135"/>
      <c r="N354" s="72" t="str">
        <f t="shared" si="141"/>
        <v/>
      </c>
      <c r="O354" s="135"/>
      <c r="P354" s="136"/>
      <c r="Q354" s="123" t="str">
        <f t="shared" si="142"/>
        <v/>
      </c>
      <c r="R354" s="45" t="str">
        <f t="shared" si="143"/>
        <v/>
      </c>
      <c r="S354" s="137"/>
      <c r="T354" s="79" t="str">
        <f t="shared" si="152"/>
        <v/>
      </c>
      <c r="U354" s="79" t="str">
        <f t="shared" si="144"/>
        <v/>
      </c>
      <c r="V354" s="73" t="str">
        <f t="shared" si="145"/>
        <v/>
      </c>
      <c r="W354" s="80" t="str">
        <f t="shared" si="146"/>
        <v/>
      </c>
      <c r="X354" s="73" t="str">
        <f t="shared" si="147"/>
        <v/>
      </c>
      <c r="Y354" s="80" t="str">
        <f t="shared" si="148"/>
        <v/>
      </c>
      <c r="Z354" s="74" t="str">
        <f t="shared" si="149"/>
        <v/>
      </c>
      <c r="AA354" s="75" t="str">
        <f t="shared" si="153"/>
        <v/>
      </c>
      <c r="AB354" s="103" t="str">
        <f t="shared" si="150"/>
        <v/>
      </c>
      <c r="AC354" s="104" t="str">
        <f t="shared" si="161"/>
        <v/>
      </c>
      <c r="AE354" s="139"/>
      <c r="AF354" s="110" t="str">
        <f t="shared" si="154"/>
        <v/>
      </c>
      <c r="AG354" s="111" t="str">
        <f t="shared" si="155"/>
        <v/>
      </c>
      <c r="AH354" s="111" t="str">
        <f t="shared" si="151"/>
        <v/>
      </c>
      <c r="AI354" s="111" t="str">
        <f t="shared" si="156"/>
        <v/>
      </c>
      <c r="AJ354" s="111" t="str">
        <f t="shared" si="157"/>
        <v/>
      </c>
      <c r="AK354" s="112" t="str">
        <f t="shared" si="158"/>
        <v/>
      </c>
      <c r="AL354" t="str">
        <f t="shared" si="159"/>
        <v/>
      </c>
      <c r="AM354" t="str">
        <f t="shared" si="160"/>
        <v/>
      </c>
    </row>
    <row r="355" spans="1:39" ht="15" customHeight="1" x14ac:dyDescent="0.25">
      <c r="A355" s="131"/>
      <c r="B355" s="133"/>
      <c r="C355" s="133"/>
      <c r="D355" s="42" t="str">
        <f t="shared" si="135"/>
        <v/>
      </c>
      <c r="E355" s="43"/>
      <c r="F355" s="135"/>
      <c r="G355" s="77" t="str">
        <f t="shared" si="136"/>
        <v/>
      </c>
      <c r="H355" s="32" t="str">
        <f t="shared" si="137"/>
        <v/>
      </c>
      <c r="I355" s="78" t="str">
        <f t="shared" si="138"/>
        <v/>
      </c>
      <c r="J355" s="70" t="str">
        <f t="shared" si="139"/>
        <v/>
      </c>
      <c r="K355" s="135"/>
      <c r="L355" s="72" t="str">
        <f t="shared" si="140"/>
        <v/>
      </c>
      <c r="M355" s="135"/>
      <c r="N355" s="72" t="str">
        <f t="shared" si="141"/>
        <v/>
      </c>
      <c r="O355" s="135"/>
      <c r="P355" s="136"/>
      <c r="Q355" s="123" t="str">
        <f t="shared" si="142"/>
        <v/>
      </c>
      <c r="R355" s="45" t="str">
        <f t="shared" si="143"/>
        <v/>
      </c>
      <c r="S355" s="137"/>
      <c r="T355" s="79" t="str">
        <f t="shared" si="152"/>
        <v/>
      </c>
      <c r="U355" s="79" t="str">
        <f t="shared" si="144"/>
        <v/>
      </c>
      <c r="V355" s="73" t="str">
        <f t="shared" si="145"/>
        <v/>
      </c>
      <c r="W355" s="80" t="str">
        <f t="shared" si="146"/>
        <v/>
      </c>
      <c r="X355" s="73" t="str">
        <f t="shared" si="147"/>
        <v/>
      </c>
      <c r="Y355" s="80" t="str">
        <f t="shared" si="148"/>
        <v/>
      </c>
      <c r="Z355" s="74" t="str">
        <f t="shared" si="149"/>
        <v/>
      </c>
      <c r="AA355" s="75" t="str">
        <f t="shared" si="153"/>
        <v/>
      </c>
      <c r="AB355" s="103" t="str">
        <f t="shared" si="150"/>
        <v/>
      </c>
      <c r="AC355" s="104" t="str">
        <f t="shared" si="161"/>
        <v/>
      </c>
      <c r="AE355" s="139"/>
      <c r="AF355" s="110" t="str">
        <f t="shared" si="154"/>
        <v/>
      </c>
      <c r="AG355" s="111" t="str">
        <f t="shared" si="155"/>
        <v/>
      </c>
      <c r="AH355" s="111" t="str">
        <f t="shared" si="151"/>
        <v/>
      </c>
      <c r="AI355" s="111" t="str">
        <f t="shared" si="156"/>
        <v/>
      </c>
      <c r="AJ355" s="111" t="str">
        <f t="shared" si="157"/>
        <v/>
      </c>
      <c r="AK355" s="112" t="str">
        <f t="shared" si="158"/>
        <v/>
      </c>
      <c r="AL355" t="str">
        <f t="shared" si="159"/>
        <v/>
      </c>
      <c r="AM355" t="str">
        <f t="shared" si="160"/>
        <v/>
      </c>
    </row>
    <row r="356" spans="1:39" ht="15" customHeight="1" x14ac:dyDescent="0.25">
      <c r="A356" s="131"/>
      <c r="B356" s="133"/>
      <c r="C356" s="133"/>
      <c r="D356" s="42" t="str">
        <f t="shared" si="135"/>
        <v/>
      </c>
      <c r="E356" s="43"/>
      <c r="F356" s="135"/>
      <c r="G356" s="77" t="str">
        <f t="shared" si="136"/>
        <v/>
      </c>
      <c r="H356" s="32" t="str">
        <f t="shared" si="137"/>
        <v/>
      </c>
      <c r="I356" s="78" t="str">
        <f t="shared" si="138"/>
        <v/>
      </c>
      <c r="J356" s="70" t="str">
        <f t="shared" si="139"/>
        <v/>
      </c>
      <c r="K356" s="135"/>
      <c r="L356" s="72" t="str">
        <f t="shared" si="140"/>
        <v/>
      </c>
      <c r="M356" s="135"/>
      <c r="N356" s="72" t="str">
        <f t="shared" si="141"/>
        <v/>
      </c>
      <c r="O356" s="135"/>
      <c r="P356" s="136"/>
      <c r="Q356" s="123" t="str">
        <f t="shared" si="142"/>
        <v/>
      </c>
      <c r="R356" s="45" t="str">
        <f t="shared" si="143"/>
        <v/>
      </c>
      <c r="S356" s="137"/>
      <c r="T356" s="79" t="str">
        <f t="shared" si="152"/>
        <v/>
      </c>
      <c r="U356" s="79" t="str">
        <f t="shared" si="144"/>
        <v/>
      </c>
      <c r="V356" s="73" t="str">
        <f t="shared" si="145"/>
        <v/>
      </c>
      <c r="W356" s="80" t="str">
        <f t="shared" si="146"/>
        <v/>
      </c>
      <c r="X356" s="73" t="str">
        <f t="shared" si="147"/>
        <v/>
      </c>
      <c r="Y356" s="80" t="str">
        <f t="shared" si="148"/>
        <v/>
      </c>
      <c r="Z356" s="74" t="str">
        <f t="shared" si="149"/>
        <v/>
      </c>
      <c r="AA356" s="75" t="str">
        <f t="shared" si="153"/>
        <v/>
      </c>
      <c r="AB356" s="103" t="str">
        <f t="shared" si="150"/>
        <v/>
      </c>
      <c r="AC356" s="104" t="str">
        <f t="shared" si="161"/>
        <v/>
      </c>
      <c r="AE356" s="139"/>
      <c r="AF356" s="110" t="str">
        <f t="shared" si="154"/>
        <v/>
      </c>
      <c r="AG356" s="111" t="str">
        <f t="shared" si="155"/>
        <v/>
      </c>
      <c r="AH356" s="111" t="str">
        <f t="shared" si="151"/>
        <v/>
      </c>
      <c r="AI356" s="111" t="str">
        <f t="shared" si="156"/>
        <v/>
      </c>
      <c r="AJ356" s="111" t="str">
        <f t="shared" si="157"/>
        <v/>
      </c>
      <c r="AK356" s="112" t="str">
        <f t="shared" si="158"/>
        <v/>
      </c>
      <c r="AL356" t="str">
        <f t="shared" si="159"/>
        <v/>
      </c>
      <c r="AM356" t="str">
        <f t="shared" si="160"/>
        <v/>
      </c>
    </row>
    <row r="357" spans="1:39" ht="15" customHeight="1" x14ac:dyDescent="0.25">
      <c r="A357" s="131"/>
      <c r="B357" s="133"/>
      <c r="C357" s="133"/>
      <c r="D357" s="42" t="str">
        <f t="shared" si="135"/>
        <v/>
      </c>
      <c r="E357" s="43"/>
      <c r="F357" s="135"/>
      <c r="G357" s="77" t="str">
        <f t="shared" si="136"/>
        <v/>
      </c>
      <c r="H357" s="32" t="str">
        <f t="shared" si="137"/>
        <v/>
      </c>
      <c r="I357" s="78" t="str">
        <f t="shared" si="138"/>
        <v/>
      </c>
      <c r="J357" s="70" t="str">
        <f t="shared" si="139"/>
        <v/>
      </c>
      <c r="K357" s="135"/>
      <c r="L357" s="72" t="str">
        <f t="shared" si="140"/>
        <v/>
      </c>
      <c r="M357" s="135"/>
      <c r="N357" s="72" t="str">
        <f t="shared" si="141"/>
        <v/>
      </c>
      <c r="O357" s="135"/>
      <c r="P357" s="136"/>
      <c r="Q357" s="123" t="str">
        <f t="shared" si="142"/>
        <v/>
      </c>
      <c r="R357" s="45" t="str">
        <f t="shared" si="143"/>
        <v/>
      </c>
      <c r="S357" s="137"/>
      <c r="T357" s="79" t="str">
        <f t="shared" si="152"/>
        <v/>
      </c>
      <c r="U357" s="79" t="str">
        <f t="shared" si="144"/>
        <v/>
      </c>
      <c r="V357" s="73" t="str">
        <f t="shared" si="145"/>
        <v/>
      </c>
      <c r="W357" s="80" t="str">
        <f t="shared" si="146"/>
        <v/>
      </c>
      <c r="X357" s="73" t="str">
        <f t="shared" si="147"/>
        <v/>
      </c>
      <c r="Y357" s="80" t="str">
        <f t="shared" si="148"/>
        <v/>
      </c>
      <c r="Z357" s="74" t="str">
        <f t="shared" si="149"/>
        <v/>
      </c>
      <c r="AA357" s="75" t="str">
        <f t="shared" si="153"/>
        <v/>
      </c>
      <c r="AB357" s="103" t="str">
        <f t="shared" si="150"/>
        <v/>
      </c>
      <c r="AC357" s="104" t="str">
        <f t="shared" si="161"/>
        <v/>
      </c>
      <c r="AE357" s="139"/>
      <c r="AF357" s="110" t="str">
        <f t="shared" si="154"/>
        <v/>
      </c>
      <c r="AG357" s="111" t="str">
        <f t="shared" si="155"/>
        <v/>
      </c>
      <c r="AH357" s="111" t="str">
        <f t="shared" si="151"/>
        <v/>
      </c>
      <c r="AI357" s="111" t="str">
        <f t="shared" si="156"/>
        <v/>
      </c>
      <c r="AJ357" s="111" t="str">
        <f t="shared" si="157"/>
        <v/>
      </c>
      <c r="AK357" s="112" t="str">
        <f t="shared" si="158"/>
        <v/>
      </c>
      <c r="AL357" t="str">
        <f t="shared" si="159"/>
        <v/>
      </c>
      <c r="AM357" t="str">
        <f t="shared" si="160"/>
        <v/>
      </c>
    </row>
    <row r="358" spans="1:39" ht="15" customHeight="1" x14ac:dyDescent="0.25">
      <c r="A358" s="131"/>
      <c r="B358" s="133"/>
      <c r="C358" s="133"/>
      <c r="D358" s="42" t="str">
        <f t="shared" si="135"/>
        <v/>
      </c>
      <c r="E358" s="43"/>
      <c r="F358" s="135"/>
      <c r="G358" s="77" t="str">
        <f t="shared" si="136"/>
        <v/>
      </c>
      <c r="H358" s="32" t="str">
        <f t="shared" si="137"/>
        <v/>
      </c>
      <c r="I358" s="78" t="str">
        <f t="shared" si="138"/>
        <v/>
      </c>
      <c r="J358" s="70" t="str">
        <f t="shared" si="139"/>
        <v/>
      </c>
      <c r="K358" s="135"/>
      <c r="L358" s="72" t="str">
        <f t="shared" si="140"/>
        <v/>
      </c>
      <c r="M358" s="135"/>
      <c r="N358" s="72" t="str">
        <f t="shared" si="141"/>
        <v/>
      </c>
      <c r="O358" s="135"/>
      <c r="P358" s="136"/>
      <c r="Q358" s="123" t="str">
        <f t="shared" si="142"/>
        <v/>
      </c>
      <c r="R358" s="45" t="str">
        <f t="shared" si="143"/>
        <v/>
      </c>
      <c r="S358" s="137"/>
      <c r="T358" s="79" t="str">
        <f t="shared" si="152"/>
        <v/>
      </c>
      <c r="U358" s="79" t="str">
        <f t="shared" si="144"/>
        <v/>
      </c>
      <c r="V358" s="73" t="str">
        <f t="shared" si="145"/>
        <v/>
      </c>
      <c r="W358" s="80" t="str">
        <f t="shared" si="146"/>
        <v/>
      </c>
      <c r="X358" s="73" t="str">
        <f t="shared" si="147"/>
        <v/>
      </c>
      <c r="Y358" s="80" t="str">
        <f t="shared" si="148"/>
        <v/>
      </c>
      <c r="Z358" s="74" t="str">
        <f t="shared" si="149"/>
        <v/>
      </c>
      <c r="AA358" s="75" t="str">
        <f t="shared" si="153"/>
        <v/>
      </c>
      <c r="AB358" s="103" t="str">
        <f t="shared" si="150"/>
        <v/>
      </c>
      <c r="AC358" s="104" t="str">
        <f t="shared" si="161"/>
        <v/>
      </c>
      <c r="AE358" s="139"/>
      <c r="AF358" s="110" t="str">
        <f t="shared" si="154"/>
        <v/>
      </c>
      <c r="AG358" s="111" t="str">
        <f t="shared" si="155"/>
        <v/>
      </c>
      <c r="AH358" s="111" t="str">
        <f t="shared" si="151"/>
        <v/>
      </c>
      <c r="AI358" s="111" t="str">
        <f t="shared" si="156"/>
        <v/>
      </c>
      <c r="AJ358" s="111" t="str">
        <f t="shared" si="157"/>
        <v/>
      </c>
      <c r="AK358" s="112" t="str">
        <f t="shared" si="158"/>
        <v/>
      </c>
      <c r="AL358" t="str">
        <f t="shared" si="159"/>
        <v/>
      </c>
      <c r="AM358" t="str">
        <f t="shared" si="160"/>
        <v/>
      </c>
    </row>
    <row r="359" spans="1:39" ht="15" customHeight="1" x14ac:dyDescent="0.25">
      <c r="A359" s="131"/>
      <c r="B359" s="133"/>
      <c r="C359" s="133"/>
      <c r="D359" s="42" t="str">
        <f t="shared" si="135"/>
        <v/>
      </c>
      <c r="E359" s="43"/>
      <c r="F359" s="135"/>
      <c r="G359" s="77" t="str">
        <f t="shared" si="136"/>
        <v/>
      </c>
      <c r="H359" s="32" t="str">
        <f t="shared" si="137"/>
        <v/>
      </c>
      <c r="I359" s="78" t="str">
        <f t="shared" si="138"/>
        <v/>
      </c>
      <c r="J359" s="70" t="str">
        <f t="shared" si="139"/>
        <v/>
      </c>
      <c r="K359" s="135"/>
      <c r="L359" s="72" t="str">
        <f t="shared" si="140"/>
        <v/>
      </c>
      <c r="M359" s="135"/>
      <c r="N359" s="72" t="str">
        <f t="shared" si="141"/>
        <v/>
      </c>
      <c r="O359" s="135"/>
      <c r="P359" s="136"/>
      <c r="Q359" s="123" t="str">
        <f t="shared" si="142"/>
        <v/>
      </c>
      <c r="R359" s="45" t="str">
        <f t="shared" si="143"/>
        <v/>
      </c>
      <c r="S359" s="137"/>
      <c r="T359" s="79" t="str">
        <f t="shared" si="152"/>
        <v/>
      </c>
      <c r="U359" s="79" t="str">
        <f t="shared" si="144"/>
        <v/>
      </c>
      <c r="V359" s="73" t="str">
        <f t="shared" si="145"/>
        <v/>
      </c>
      <c r="W359" s="80" t="str">
        <f t="shared" si="146"/>
        <v/>
      </c>
      <c r="X359" s="73" t="str">
        <f t="shared" si="147"/>
        <v/>
      </c>
      <c r="Y359" s="80" t="str">
        <f t="shared" si="148"/>
        <v/>
      </c>
      <c r="Z359" s="74" t="str">
        <f t="shared" si="149"/>
        <v/>
      </c>
      <c r="AA359" s="75" t="str">
        <f t="shared" si="153"/>
        <v/>
      </c>
      <c r="AB359" s="103" t="str">
        <f t="shared" si="150"/>
        <v/>
      </c>
      <c r="AC359" s="104" t="str">
        <f t="shared" si="161"/>
        <v/>
      </c>
      <c r="AE359" s="139"/>
      <c r="AF359" s="110" t="str">
        <f t="shared" si="154"/>
        <v/>
      </c>
      <c r="AG359" s="111" t="str">
        <f t="shared" si="155"/>
        <v/>
      </c>
      <c r="AH359" s="111" t="str">
        <f t="shared" si="151"/>
        <v/>
      </c>
      <c r="AI359" s="111" t="str">
        <f t="shared" si="156"/>
        <v/>
      </c>
      <c r="AJ359" s="111" t="str">
        <f t="shared" si="157"/>
        <v/>
      </c>
      <c r="AK359" s="112" t="str">
        <f t="shared" si="158"/>
        <v/>
      </c>
      <c r="AL359" t="str">
        <f t="shared" si="159"/>
        <v/>
      </c>
      <c r="AM359" t="str">
        <f t="shared" si="160"/>
        <v/>
      </c>
    </row>
    <row r="360" spans="1:39" ht="15" customHeight="1" x14ac:dyDescent="0.25">
      <c r="A360" s="131"/>
      <c r="B360" s="133"/>
      <c r="C360" s="133"/>
      <c r="D360" s="42" t="str">
        <f t="shared" si="135"/>
        <v/>
      </c>
      <c r="E360" s="43"/>
      <c r="F360" s="135"/>
      <c r="G360" s="77" t="str">
        <f t="shared" si="136"/>
        <v/>
      </c>
      <c r="H360" s="32" t="str">
        <f t="shared" si="137"/>
        <v/>
      </c>
      <c r="I360" s="78" t="str">
        <f t="shared" si="138"/>
        <v/>
      </c>
      <c r="J360" s="70" t="str">
        <f t="shared" si="139"/>
        <v/>
      </c>
      <c r="K360" s="135"/>
      <c r="L360" s="72" t="str">
        <f t="shared" si="140"/>
        <v/>
      </c>
      <c r="M360" s="135"/>
      <c r="N360" s="72" t="str">
        <f t="shared" si="141"/>
        <v/>
      </c>
      <c r="O360" s="135"/>
      <c r="P360" s="136"/>
      <c r="Q360" s="123" t="str">
        <f t="shared" si="142"/>
        <v/>
      </c>
      <c r="R360" s="45" t="str">
        <f t="shared" si="143"/>
        <v/>
      </c>
      <c r="S360" s="137"/>
      <c r="T360" s="79" t="str">
        <f t="shared" si="152"/>
        <v/>
      </c>
      <c r="U360" s="79" t="str">
        <f t="shared" si="144"/>
        <v/>
      </c>
      <c r="V360" s="73" t="str">
        <f t="shared" si="145"/>
        <v/>
      </c>
      <c r="W360" s="80" t="str">
        <f t="shared" si="146"/>
        <v/>
      </c>
      <c r="X360" s="73" t="str">
        <f t="shared" si="147"/>
        <v/>
      </c>
      <c r="Y360" s="80" t="str">
        <f t="shared" si="148"/>
        <v/>
      </c>
      <c r="Z360" s="74" t="str">
        <f t="shared" si="149"/>
        <v/>
      </c>
      <c r="AA360" s="75" t="str">
        <f t="shared" si="153"/>
        <v/>
      </c>
      <c r="AB360" s="103" t="str">
        <f t="shared" si="150"/>
        <v/>
      </c>
      <c r="AC360" s="104" t="str">
        <f t="shared" si="161"/>
        <v/>
      </c>
      <c r="AE360" s="139"/>
      <c r="AF360" s="110" t="str">
        <f t="shared" si="154"/>
        <v/>
      </c>
      <c r="AG360" s="111" t="str">
        <f t="shared" si="155"/>
        <v/>
      </c>
      <c r="AH360" s="111" t="str">
        <f t="shared" si="151"/>
        <v/>
      </c>
      <c r="AI360" s="111" t="str">
        <f t="shared" si="156"/>
        <v/>
      </c>
      <c r="AJ360" s="111" t="str">
        <f t="shared" si="157"/>
        <v/>
      </c>
      <c r="AK360" s="112" t="str">
        <f t="shared" si="158"/>
        <v/>
      </c>
      <c r="AL360" t="str">
        <f t="shared" si="159"/>
        <v/>
      </c>
      <c r="AM360" t="str">
        <f t="shared" si="160"/>
        <v/>
      </c>
    </row>
    <row r="361" spans="1:39" ht="15" customHeight="1" x14ac:dyDescent="0.25">
      <c r="A361" s="131"/>
      <c r="B361" s="133"/>
      <c r="C361" s="133"/>
      <c r="D361" s="42" t="str">
        <f t="shared" si="135"/>
        <v/>
      </c>
      <c r="E361" s="43"/>
      <c r="F361" s="135"/>
      <c r="G361" s="77" t="str">
        <f t="shared" si="136"/>
        <v/>
      </c>
      <c r="H361" s="32" t="str">
        <f t="shared" si="137"/>
        <v/>
      </c>
      <c r="I361" s="78" t="str">
        <f t="shared" si="138"/>
        <v/>
      </c>
      <c r="J361" s="70" t="str">
        <f t="shared" si="139"/>
        <v/>
      </c>
      <c r="K361" s="135"/>
      <c r="L361" s="72" t="str">
        <f t="shared" si="140"/>
        <v/>
      </c>
      <c r="M361" s="135"/>
      <c r="N361" s="72" t="str">
        <f t="shared" si="141"/>
        <v/>
      </c>
      <c r="O361" s="135"/>
      <c r="P361" s="136"/>
      <c r="Q361" s="123" t="str">
        <f t="shared" si="142"/>
        <v/>
      </c>
      <c r="R361" s="45" t="str">
        <f t="shared" si="143"/>
        <v/>
      </c>
      <c r="S361" s="137"/>
      <c r="T361" s="79" t="str">
        <f t="shared" si="152"/>
        <v/>
      </c>
      <c r="U361" s="79" t="str">
        <f t="shared" si="144"/>
        <v/>
      </c>
      <c r="V361" s="73" t="str">
        <f t="shared" si="145"/>
        <v/>
      </c>
      <c r="W361" s="80" t="str">
        <f t="shared" si="146"/>
        <v/>
      </c>
      <c r="X361" s="73" t="str">
        <f t="shared" si="147"/>
        <v/>
      </c>
      <c r="Y361" s="80" t="str">
        <f t="shared" si="148"/>
        <v/>
      </c>
      <c r="Z361" s="74" t="str">
        <f t="shared" si="149"/>
        <v/>
      </c>
      <c r="AA361" s="75" t="str">
        <f t="shared" si="153"/>
        <v/>
      </c>
      <c r="AB361" s="103" t="str">
        <f t="shared" si="150"/>
        <v/>
      </c>
      <c r="AC361" s="104" t="str">
        <f t="shared" si="161"/>
        <v/>
      </c>
      <c r="AE361" s="139"/>
      <c r="AF361" s="110" t="str">
        <f t="shared" si="154"/>
        <v/>
      </c>
      <c r="AG361" s="111" t="str">
        <f t="shared" si="155"/>
        <v/>
      </c>
      <c r="AH361" s="111" t="str">
        <f t="shared" si="151"/>
        <v/>
      </c>
      <c r="AI361" s="111" t="str">
        <f t="shared" si="156"/>
        <v/>
      </c>
      <c r="AJ361" s="111" t="str">
        <f t="shared" si="157"/>
        <v/>
      </c>
      <c r="AK361" s="112" t="str">
        <f t="shared" si="158"/>
        <v/>
      </c>
      <c r="AL361" t="str">
        <f t="shared" si="159"/>
        <v/>
      </c>
      <c r="AM361" t="str">
        <f t="shared" si="160"/>
        <v/>
      </c>
    </row>
    <row r="362" spans="1:39" ht="15" customHeight="1" x14ac:dyDescent="0.25">
      <c r="A362" s="131"/>
      <c r="B362" s="133"/>
      <c r="C362" s="133"/>
      <c r="D362" s="42" t="str">
        <f t="shared" si="135"/>
        <v/>
      </c>
      <c r="E362" s="43"/>
      <c r="F362" s="135"/>
      <c r="G362" s="77" t="str">
        <f t="shared" si="136"/>
        <v/>
      </c>
      <c r="H362" s="32" t="str">
        <f t="shared" si="137"/>
        <v/>
      </c>
      <c r="I362" s="78" t="str">
        <f t="shared" si="138"/>
        <v/>
      </c>
      <c r="J362" s="70" t="str">
        <f t="shared" si="139"/>
        <v/>
      </c>
      <c r="K362" s="135"/>
      <c r="L362" s="72" t="str">
        <f t="shared" si="140"/>
        <v/>
      </c>
      <c r="M362" s="135"/>
      <c r="N362" s="72" t="str">
        <f t="shared" si="141"/>
        <v/>
      </c>
      <c r="O362" s="135"/>
      <c r="P362" s="136"/>
      <c r="Q362" s="123" t="str">
        <f t="shared" si="142"/>
        <v/>
      </c>
      <c r="R362" s="45" t="str">
        <f t="shared" si="143"/>
        <v/>
      </c>
      <c r="S362" s="137"/>
      <c r="T362" s="79" t="str">
        <f t="shared" si="152"/>
        <v/>
      </c>
      <c r="U362" s="79" t="str">
        <f t="shared" si="144"/>
        <v/>
      </c>
      <c r="V362" s="73" t="str">
        <f t="shared" si="145"/>
        <v/>
      </c>
      <c r="W362" s="80" t="str">
        <f t="shared" si="146"/>
        <v/>
      </c>
      <c r="X362" s="73" t="str">
        <f t="shared" si="147"/>
        <v/>
      </c>
      <c r="Y362" s="80" t="str">
        <f t="shared" si="148"/>
        <v/>
      </c>
      <c r="Z362" s="74" t="str">
        <f t="shared" si="149"/>
        <v/>
      </c>
      <c r="AA362" s="75" t="str">
        <f t="shared" si="153"/>
        <v/>
      </c>
      <c r="AB362" s="103" t="str">
        <f t="shared" si="150"/>
        <v/>
      </c>
      <c r="AC362" s="104" t="str">
        <f t="shared" si="161"/>
        <v/>
      </c>
      <c r="AE362" s="139"/>
      <c r="AF362" s="110" t="str">
        <f t="shared" si="154"/>
        <v/>
      </c>
      <c r="AG362" s="111" t="str">
        <f t="shared" si="155"/>
        <v/>
      </c>
      <c r="AH362" s="111" t="str">
        <f t="shared" si="151"/>
        <v/>
      </c>
      <c r="AI362" s="111" t="str">
        <f t="shared" si="156"/>
        <v/>
      </c>
      <c r="AJ362" s="111" t="str">
        <f t="shared" si="157"/>
        <v/>
      </c>
      <c r="AK362" s="112" t="str">
        <f t="shared" si="158"/>
        <v/>
      </c>
      <c r="AL362" t="str">
        <f t="shared" si="159"/>
        <v/>
      </c>
      <c r="AM362" t="str">
        <f t="shared" si="160"/>
        <v/>
      </c>
    </row>
    <row r="363" spans="1:39" ht="15" customHeight="1" x14ac:dyDescent="0.25">
      <c r="A363" s="131"/>
      <c r="B363" s="133"/>
      <c r="C363" s="133"/>
      <c r="D363" s="42" t="str">
        <f t="shared" si="135"/>
        <v/>
      </c>
      <c r="E363" s="43"/>
      <c r="F363" s="135"/>
      <c r="G363" s="77" t="str">
        <f t="shared" si="136"/>
        <v/>
      </c>
      <c r="H363" s="32" t="str">
        <f t="shared" si="137"/>
        <v/>
      </c>
      <c r="I363" s="78" t="str">
        <f t="shared" si="138"/>
        <v/>
      </c>
      <c r="J363" s="70" t="str">
        <f t="shared" si="139"/>
        <v/>
      </c>
      <c r="K363" s="135"/>
      <c r="L363" s="72" t="str">
        <f t="shared" si="140"/>
        <v/>
      </c>
      <c r="M363" s="135"/>
      <c r="N363" s="72" t="str">
        <f t="shared" si="141"/>
        <v/>
      </c>
      <c r="O363" s="135"/>
      <c r="P363" s="136"/>
      <c r="Q363" s="123" t="str">
        <f t="shared" si="142"/>
        <v/>
      </c>
      <c r="R363" s="45" t="str">
        <f t="shared" si="143"/>
        <v/>
      </c>
      <c r="S363" s="137"/>
      <c r="T363" s="79" t="str">
        <f t="shared" si="152"/>
        <v/>
      </c>
      <c r="U363" s="79" t="str">
        <f t="shared" si="144"/>
        <v/>
      </c>
      <c r="V363" s="73" t="str">
        <f t="shared" si="145"/>
        <v/>
      </c>
      <c r="W363" s="80" t="str">
        <f t="shared" si="146"/>
        <v/>
      </c>
      <c r="X363" s="73" t="str">
        <f t="shared" si="147"/>
        <v/>
      </c>
      <c r="Y363" s="80" t="str">
        <f t="shared" si="148"/>
        <v/>
      </c>
      <c r="Z363" s="74" t="str">
        <f t="shared" si="149"/>
        <v/>
      </c>
      <c r="AA363" s="75" t="str">
        <f t="shared" si="153"/>
        <v/>
      </c>
      <c r="AB363" s="103" t="str">
        <f t="shared" si="150"/>
        <v/>
      </c>
      <c r="AC363" s="104" t="str">
        <f t="shared" si="161"/>
        <v/>
      </c>
      <c r="AE363" s="139"/>
      <c r="AF363" s="110" t="str">
        <f t="shared" si="154"/>
        <v/>
      </c>
      <c r="AG363" s="111" t="str">
        <f t="shared" si="155"/>
        <v/>
      </c>
      <c r="AH363" s="111" t="str">
        <f t="shared" si="151"/>
        <v/>
      </c>
      <c r="AI363" s="111" t="str">
        <f t="shared" si="156"/>
        <v/>
      </c>
      <c r="AJ363" s="111" t="str">
        <f t="shared" si="157"/>
        <v/>
      </c>
      <c r="AK363" s="112" t="str">
        <f t="shared" si="158"/>
        <v/>
      </c>
      <c r="AL363" t="str">
        <f t="shared" si="159"/>
        <v/>
      </c>
      <c r="AM363" t="str">
        <f t="shared" si="160"/>
        <v/>
      </c>
    </row>
    <row r="364" spans="1:39" ht="15" customHeight="1" x14ac:dyDescent="0.25">
      <c r="A364" s="131"/>
      <c r="B364" s="133"/>
      <c r="C364" s="133"/>
      <c r="D364" s="42" t="str">
        <f t="shared" si="135"/>
        <v/>
      </c>
      <c r="E364" s="43"/>
      <c r="F364" s="135"/>
      <c r="G364" s="77" t="str">
        <f t="shared" si="136"/>
        <v/>
      </c>
      <c r="H364" s="32" t="str">
        <f t="shared" si="137"/>
        <v/>
      </c>
      <c r="I364" s="78" t="str">
        <f t="shared" si="138"/>
        <v/>
      </c>
      <c r="J364" s="70" t="str">
        <f t="shared" si="139"/>
        <v/>
      </c>
      <c r="K364" s="135"/>
      <c r="L364" s="72" t="str">
        <f t="shared" si="140"/>
        <v/>
      </c>
      <c r="M364" s="135"/>
      <c r="N364" s="72" t="str">
        <f t="shared" si="141"/>
        <v/>
      </c>
      <c r="O364" s="135"/>
      <c r="P364" s="136"/>
      <c r="Q364" s="123" t="str">
        <f t="shared" si="142"/>
        <v/>
      </c>
      <c r="R364" s="45" t="str">
        <f t="shared" si="143"/>
        <v/>
      </c>
      <c r="S364" s="137"/>
      <c r="T364" s="79" t="str">
        <f t="shared" si="152"/>
        <v/>
      </c>
      <c r="U364" s="79" t="str">
        <f t="shared" si="144"/>
        <v/>
      </c>
      <c r="V364" s="73" t="str">
        <f t="shared" si="145"/>
        <v/>
      </c>
      <c r="W364" s="80" t="str">
        <f t="shared" si="146"/>
        <v/>
      </c>
      <c r="X364" s="73" t="str">
        <f t="shared" si="147"/>
        <v/>
      </c>
      <c r="Y364" s="80" t="str">
        <f t="shared" si="148"/>
        <v/>
      </c>
      <c r="Z364" s="74" t="str">
        <f t="shared" si="149"/>
        <v/>
      </c>
      <c r="AA364" s="75" t="str">
        <f t="shared" si="153"/>
        <v/>
      </c>
      <c r="AB364" s="103" t="str">
        <f t="shared" si="150"/>
        <v/>
      </c>
      <c r="AC364" s="104" t="str">
        <f t="shared" si="161"/>
        <v/>
      </c>
      <c r="AE364" s="139"/>
      <c r="AF364" s="110" t="str">
        <f t="shared" si="154"/>
        <v/>
      </c>
      <c r="AG364" s="111" t="str">
        <f t="shared" si="155"/>
        <v/>
      </c>
      <c r="AH364" s="111" t="str">
        <f t="shared" si="151"/>
        <v/>
      </c>
      <c r="AI364" s="111" t="str">
        <f t="shared" si="156"/>
        <v/>
      </c>
      <c r="AJ364" s="111" t="str">
        <f t="shared" si="157"/>
        <v/>
      </c>
      <c r="AK364" s="112" t="str">
        <f t="shared" si="158"/>
        <v/>
      </c>
      <c r="AL364" t="str">
        <f t="shared" si="159"/>
        <v/>
      </c>
      <c r="AM364" t="str">
        <f t="shared" si="160"/>
        <v/>
      </c>
    </row>
    <row r="365" spans="1:39" ht="15" customHeight="1" x14ac:dyDescent="0.25">
      <c r="A365" s="131"/>
      <c r="B365" s="133"/>
      <c r="C365" s="133"/>
      <c r="D365" s="42" t="str">
        <f t="shared" si="135"/>
        <v/>
      </c>
      <c r="E365" s="43"/>
      <c r="F365" s="135"/>
      <c r="G365" s="77" t="str">
        <f t="shared" si="136"/>
        <v/>
      </c>
      <c r="H365" s="32" t="str">
        <f t="shared" si="137"/>
        <v/>
      </c>
      <c r="I365" s="78" t="str">
        <f t="shared" si="138"/>
        <v/>
      </c>
      <c r="J365" s="70" t="str">
        <f t="shared" si="139"/>
        <v/>
      </c>
      <c r="K365" s="135"/>
      <c r="L365" s="72" t="str">
        <f t="shared" si="140"/>
        <v/>
      </c>
      <c r="M365" s="135"/>
      <c r="N365" s="72" t="str">
        <f t="shared" si="141"/>
        <v/>
      </c>
      <c r="O365" s="135"/>
      <c r="P365" s="136"/>
      <c r="Q365" s="123" t="str">
        <f t="shared" si="142"/>
        <v/>
      </c>
      <c r="R365" s="45" t="str">
        <f t="shared" si="143"/>
        <v/>
      </c>
      <c r="S365" s="137"/>
      <c r="T365" s="79" t="str">
        <f t="shared" si="152"/>
        <v/>
      </c>
      <c r="U365" s="79" t="str">
        <f t="shared" si="144"/>
        <v/>
      </c>
      <c r="V365" s="73" t="str">
        <f t="shared" si="145"/>
        <v/>
      </c>
      <c r="W365" s="80" t="str">
        <f t="shared" si="146"/>
        <v/>
      </c>
      <c r="X365" s="73" t="str">
        <f t="shared" si="147"/>
        <v/>
      </c>
      <c r="Y365" s="80" t="str">
        <f t="shared" si="148"/>
        <v/>
      </c>
      <c r="Z365" s="74" t="str">
        <f t="shared" si="149"/>
        <v/>
      </c>
      <c r="AA365" s="75" t="str">
        <f t="shared" si="153"/>
        <v/>
      </c>
      <c r="AB365" s="103" t="str">
        <f t="shared" si="150"/>
        <v/>
      </c>
      <c r="AC365" s="104" t="str">
        <f t="shared" si="161"/>
        <v/>
      </c>
      <c r="AE365" s="139"/>
      <c r="AF365" s="110" t="str">
        <f t="shared" si="154"/>
        <v/>
      </c>
      <c r="AG365" s="111" t="str">
        <f t="shared" si="155"/>
        <v/>
      </c>
      <c r="AH365" s="111" t="str">
        <f t="shared" si="151"/>
        <v/>
      </c>
      <c r="AI365" s="111" t="str">
        <f t="shared" si="156"/>
        <v/>
      </c>
      <c r="AJ365" s="111" t="str">
        <f t="shared" si="157"/>
        <v/>
      </c>
      <c r="AK365" s="112" t="str">
        <f t="shared" si="158"/>
        <v/>
      </c>
      <c r="AL365" t="str">
        <f t="shared" si="159"/>
        <v/>
      </c>
      <c r="AM365" t="str">
        <f t="shared" si="160"/>
        <v/>
      </c>
    </row>
    <row r="366" spans="1:39" ht="15" customHeight="1" x14ac:dyDescent="0.25">
      <c r="A366" s="131"/>
      <c r="B366" s="133"/>
      <c r="C366" s="133"/>
      <c r="D366" s="42" t="str">
        <f t="shared" si="135"/>
        <v/>
      </c>
      <c r="E366" s="43"/>
      <c r="F366" s="135"/>
      <c r="G366" s="77" t="str">
        <f t="shared" si="136"/>
        <v/>
      </c>
      <c r="H366" s="32" t="str">
        <f t="shared" si="137"/>
        <v/>
      </c>
      <c r="I366" s="78" t="str">
        <f t="shared" si="138"/>
        <v/>
      </c>
      <c r="J366" s="70" t="str">
        <f t="shared" si="139"/>
        <v/>
      </c>
      <c r="K366" s="135"/>
      <c r="L366" s="72" t="str">
        <f t="shared" si="140"/>
        <v/>
      </c>
      <c r="M366" s="135"/>
      <c r="N366" s="72" t="str">
        <f t="shared" si="141"/>
        <v/>
      </c>
      <c r="O366" s="135"/>
      <c r="P366" s="136"/>
      <c r="Q366" s="123" t="str">
        <f t="shared" si="142"/>
        <v/>
      </c>
      <c r="R366" s="45" t="str">
        <f t="shared" si="143"/>
        <v/>
      </c>
      <c r="S366" s="137"/>
      <c r="T366" s="79" t="str">
        <f t="shared" si="152"/>
        <v/>
      </c>
      <c r="U366" s="79" t="str">
        <f t="shared" si="144"/>
        <v/>
      </c>
      <c r="V366" s="73" t="str">
        <f t="shared" si="145"/>
        <v/>
      </c>
      <c r="W366" s="80" t="str">
        <f t="shared" si="146"/>
        <v/>
      </c>
      <c r="X366" s="73" t="str">
        <f t="shared" si="147"/>
        <v/>
      </c>
      <c r="Y366" s="80" t="str">
        <f t="shared" si="148"/>
        <v/>
      </c>
      <c r="Z366" s="74" t="str">
        <f t="shared" si="149"/>
        <v/>
      </c>
      <c r="AA366" s="75" t="str">
        <f t="shared" si="153"/>
        <v/>
      </c>
      <c r="AB366" s="103" t="str">
        <f t="shared" si="150"/>
        <v/>
      </c>
      <c r="AC366" s="104" t="str">
        <f t="shared" si="161"/>
        <v/>
      </c>
      <c r="AE366" s="139"/>
      <c r="AF366" s="110" t="str">
        <f t="shared" si="154"/>
        <v/>
      </c>
      <c r="AG366" s="111" t="str">
        <f t="shared" si="155"/>
        <v/>
      </c>
      <c r="AH366" s="111" t="str">
        <f t="shared" si="151"/>
        <v/>
      </c>
      <c r="AI366" s="111" t="str">
        <f t="shared" si="156"/>
        <v/>
      </c>
      <c r="AJ366" s="111" t="str">
        <f t="shared" si="157"/>
        <v/>
      </c>
      <c r="AK366" s="112" t="str">
        <f t="shared" si="158"/>
        <v/>
      </c>
      <c r="AL366" t="str">
        <f t="shared" si="159"/>
        <v/>
      </c>
      <c r="AM366" t="str">
        <f t="shared" si="160"/>
        <v/>
      </c>
    </row>
    <row r="367" spans="1:39" ht="15" customHeight="1" x14ac:dyDescent="0.25">
      <c r="A367" s="131"/>
      <c r="B367" s="133"/>
      <c r="C367" s="133"/>
      <c r="D367" s="42" t="str">
        <f t="shared" si="135"/>
        <v/>
      </c>
      <c r="E367" s="43"/>
      <c r="F367" s="135"/>
      <c r="G367" s="77" t="str">
        <f t="shared" si="136"/>
        <v/>
      </c>
      <c r="H367" s="32" t="str">
        <f t="shared" si="137"/>
        <v/>
      </c>
      <c r="I367" s="78" t="str">
        <f t="shared" si="138"/>
        <v/>
      </c>
      <c r="J367" s="70" t="str">
        <f t="shared" si="139"/>
        <v/>
      </c>
      <c r="K367" s="135"/>
      <c r="L367" s="72" t="str">
        <f t="shared" si="140"/>
        <v/>
      </c>
      <c r="M367" s="135"/>
      <c r="N367" s="72" t="str">
        <f t="shared" si="141"/>
        <v/>
      </c>
      <c r="O367" s="135"/>
      <c r="P367" s="136"/>
      <c r="Q367" s="123" t="str">
        <f t="shared" si="142"/>
        <v/>
      </c>
      <c r="R367" s="45" t="str">
        <f t="shared" si="143"/>
        <v/>
      </c>
      <c r="S367" s="137"/>
      <c r="T367" s="79" t="str">
        <f t="shared" si="152"/>
        <v/>
      </c>
      <c r="U367" s="79" t="str">
        <f t="shared" si="144"/>
        <v/>
      </c>
      <c r="V367" s="73" t="str">
        <f t="shared" si="145"/>
        <v/>
      </c>
      <c r="W367" s="80" t="str">
        <f t="shared" si="146"/>
        <v/>
      </c>
      <c r="X367" s="73" t="str">
        <f t="shared" si="147"/>
        <v/>
      </c>
      <c r="Y367" s="80" t="str">
        <f t="shared" si="148"/>
        <v/>
      </c>
      <c r="Z367" s="74" t="str">
        <f t="shared" si="149"/>
        <v/>
      </c>
      <c r="AA367" s="75" t="str">
        <f t="shared" si="153"/>
        <v/>
      </c>
      <c r="AB367" s="103" t="str">
        <f t="shared" si="150"/>
        <v/>
      </c>
      <c r="AC367" s="104" t="str">
        <f t="shared" si="161"/>
        <v/>
      </c>
      <c r="AE367" s="139"/>
      <c r="AF367" s="110" t="str">
        <f t="shared" si="154"/>
        <v/>
      </c>
      <c r="AG367" s="111" t="str">
        <f t="shared" si="155"/>
        <v/>
      </c>
      <c r="AH367" s="111" t="str">
        <f t="shared" si="151"/>
        <v/>
      </c>
      <c r="AI367" s="111" t="str">
        <f t="shared" si="156"/>
        <v/>
      </c>
      <c r="AJ367" s="111" t="str">
        <f t="shared" si="157"/>
        <v/>
      </c>
      <c r="AK367" s="112" t="str">
        <f t="shared" si="158"/>
        <v/>
      </c>
      <c r="AL367" t="str">
        <f t="shared" si="159"/>
        <v/>
      </c>
      <c r="AM367" t="str">
        <f t="shared" si="160"/>
        <v/>
      </c>
    </row>
    <row r="368" spans="1:39" ht="15" customHeight="1" x14ac:dyDescent="0.25">
      <c r="A368" s="131"/>
      <c r="B368" s="133"/>
      <c r="C368" s="133"/>
      <c r="D368" s="42" t="str">
        <f t="shared" si="135"/>
        <v/>
      </c>
      <c r="E368" s="43"/>
      <c r="F368" s="135"/>
      <c r="G368" s="77" t="str">
        <f t="shared" si="136"/>
        <v/>
      </c>
      <c r="H368" s="32" t="str">
        <f t="shared" si="137"/>
        <v/>
      </c>
      <c r="I368" s="78" t="str">
        <f t="shared" si="138"/>
        <v/>
      </c>
      <c r="J368" s="70" t="str">
        <f t="shared" si="139"/>
        <v/>
      </c>
      <c r="K368" s="135"/>
      <c r="L368" s="72" t="str">
        <f t="shared" si="140"/>
        <v/>
      </c>
      <c r="M368" s="135"/>
      <c r="N368" s="72" t="str">
        <f t="shared" si="141"/>
        <v/>
      </c>
      <c r="O368" s="135"/>
      <c r="P368" s="136"/>
      <c r="Q368" s="123" t="str">
        <f t="shared" si="142"/>
        <v/>
      </c>
      <c r="R368" s="45" t="str">
        <f t="shared" si="143"/>
        <v/>
      </c>
      <c r="S368" s="137"/>
      <c r="T368" s="79" t="str">
        <f t="shared" si="152"/>
        <v/>
      </c>
      <c r="U368" s="79" t="str">
        <f t="shared" si="144"/>
        <v/>
      </c>
      <c r="V368" s="73" t="str">
        <f t="shared" si="145"/>
        <v/>
      </c>
      <c r="W368" s="80" t="str">
        <f t="shared" si="146"/>
        <v/>
      </c>
      <c r="X368" s="73" t="str">
        <f t="shared" si="147"/>
        <v/>
      </c>
      <c r="Y368" s="80" t="str">
        <f t="shared" si="148"/>
        <v/>
      </c>
      <c r="Z368" s="74" t="str">
        <f t="shared" si="149"/>
        <v/>
      </c>
      <c r="AA368" s="75" t="str">
        <f t="shared" si="153"/>
        <v/>
      </c>
      <c r="AB368" s="103" t="str">
        <f t="shared" si="150"/>
        <v/>
      </c>
      <c r="AC368" s="104" t="str">
        <f t="shared" si="161"/>
        <v/>
      </c>
      <c r="AE368" s="139"/>
      <c r="AF368" s="110" t="str">
        <f t="shared" si="154"/>
        <v/>
      </c>
      <c r="AG368" s="111" t="str">
        <f t="shared" si="155"/>
        <v/>
      </c>
      <c r="AH368" s="111" t="str">
        <f t="shared" si="151"/>
        <v/>
      </c>
      <c r="AI368" s="111" t="str">
        <f t="shared" si="156"/>
        <v/>
      </c>
      <c r="AJ368" s="111" t="str">
        <f t="shared" si="157"/>
        <v/>
      </c>
      <c r="AK368" s="112" t="str">
        <f t="shared" si="158"/>
        <v/>
      </c>
      <c r="AL368" t="str">
        <f t="shared" si="159"/>
        <v/>
      </c>
      <c r="AM368" t="str">
        <f t="shared" si="160"/>
        <v/>
      </c>
    </row>
    <row r="369" spans="1:39" ht="15" customHeight="1" x14ac:dyDescent="0.25">
      <c r="A369" s="131"/>
      <c r="B369" s="133"/>
      <c r="C369" s="133"/>
      <c r="D369" s="42" t="str">
        <f t="shared" si="135"/>
        <v/>
      </c>
      <c r="E369" s="43"/>
      <c r="F369" s="135"/>
      <c r="G369" s="77" t="str">
        <f t="shared" si="136"/>
        <v/>
      </c>
      <c r="H369" s="32" t="str">
        <f t="shared" si="137"/>
        <v/>
      </c>
      <c r="I369" s="78" t="str">
        <f t="shared" si="138"/>
        <v/>
      </c>
      <c r="J369" s="70" t="str">
        <f t="shared" si="139"/>
        <v/>
      </c>
      <c r="K369" s="135"/>
      <c r="L369" s="72" t="str">
        <f t="shared" si="140"/>
        <v/>
      </c>
      <c r="M369" s="135"/>
      <c r="N369" s="72" t="str">
        <f t="shared" si="141"/>
        <v/>
      </c>
      <c r="O369" s="135"/>
      <c r="P369" s="136"/>
      <c r="Q369" s="123" t="str">
        <f t="shared" si="142"/>
        <v/>
      </c>
      <c r="R369" s="45" t="str">
        <f t="shared" si="143"/>
        <v/>
      </c>
      <c r="S369" s="137"/>
      <c r="T369" s="79" t="str">
        <f t="shared" si="152"/>
        <v/>
      </c>
      <c r="U369" s="79" t="str">
        <f t="shared" si="144"/>
        <v/>
      </c>
      <c r="V369" s="73" t="str">
        <f t="shared" si="145"/>
        <v/>
      </c>
      <c r="W369" s="80" t="str">
        <f t="shared" si="146"/>
        <v/>
      </c>
      <c r="X369" s="73" t="str">
        <f t="shared" si="147"/>
        <v/>
      </c>
      <c r="Y369" s="80" t="str">
        <f t="shared" si="148"/>
        <v/>
      </c>
      <c r="Z369" s="74" t="str">
        <f t="shared" si="149"/>
        <v/>
      </c>
      <c r="AA369" s="75" t="str">
        <f t="shared" si="153"/>
        <v/>
      </c>
      <c r="AB369" s="103" t="str">
        <f t="shared" si="150"/>
        <v/>
      </c>
      <c r="AC369" s="104" t="str">
        <f t="shared" si="161"/>
        <v/>
      </c>
      <c r="AE369" s="139"/>
      <c r="AF369" s="110" t="str">
        <f t="shared" si="154"/>
        <v/>
      </c>
      <c r="AG369" s="111" t="str">
        <f t="shared" si="155"/>
        <v/>
      </c>
      <c r="AH369" s="111" t="str">
        <f t="shared" si="151"/>
        <v/>
      </c>
      <c r="AI369" s="111" t="str">
        <f t="shared" si="156"/>
        <v/>
      </c>
      <c r="AJ369" s="111" t="str">
        <f t="shared" si="157"/>
        <v/>
      </c>
      <c r="AK369" s="112" t="str">
        <f t="shared" si="158"/>
        <v/>
      </c>
      <c r="AL369" t="str">
        <f t="shared" si="159"/>
        <v/>
      </c>
      <c r="AM369" t="str">
        <f t="shared" si="160"/>
        <v/>
      </c>
    </row>
    <row r="370" spans="1:39" ht="15" customHeight="1" x14ac:dyDescent="0.25">
      <c r="A370" s="131"/>
      <c r="B370" s="133"/>
      <c r="C370" s="133"/>
      <c r="D370" s="42" t="str">
        <f t="shared" si="135"/>
        <v/>
      </c>
      <c r="E370" s="43"/>
      <c r="F370" s="135"/>
      <c r="G370" s="77" t="str">
        <f t="shared" si="136"/>
        <v/>
      </c>
      <c r="H370" s="32" t="str">
        <f t="shared" si="137"/>
        <v/>
      </c>
      <c r="I370" s="78" t="str">
        <f t="shared" si="138"/>
        <v/>
      </c>
      <c r="J370" s="70" t="str">
        <f t="shared" si="139"/>
        <v/>
      </c>
      <c r="K370" s="135"/>
      <c r="L370" s="72" t="str">
        <f t="shared" si="140"/>
        <v/>
      </c>
      <c r="M370" s="135"/>
      <c r="N370" s="72" t="str">
        <f t="shared" si="141"/>
        <v/>
      </c>
      <c r="O370" s="135"/>
      <c r="P370" s="136"/>
      <c r="Q370" s="123" t="str">
        <f t="shared" si="142"/>
        <v/>
      </c>
      <c r="R370" s="45" t="str">
        <f t="shared" si="143"/>
        <v/>
      </c>
      <c r="S370" s="137"/>
      <c r="T370" s="79" t="str">
        <f t="shared" si="152"/>
        <v/>
      </c>
      <c r="U370" s="79" t="str">
        <f t="shared" si="144"/>
        <v/>
      </c>
      <c r="V370" s="73" t="str">
        <f t="shared" si="145"/>
        <v/>
      </c>
      <c r="W370" s="80" t="str">
        <f t="shared" si="146"/>
        <v/>
      </c>
      <c r="X370" s="73" t="str">
        <f t="shared" si="147"/>
        <v/>
      </c>
      <c r="Y370" s="80" t="str">
        <f t="shared" si="148"/>
        <v/>
      </c>
      <c r="Z370" s="74" t="str">
        <f t="shared" si="149"/>
        <v/>
      </c>
      <c r="AA370" s="75" t="str">
        <f t="shared" si="153"/>
        <v/>
      </c>
      <c r="AB370" s="103" t="str">
        <f t="shared" si="150"/>
        <v/>
      </c>
      <c r="AC370" s="104" t="str">
        <f t="shared" si="161"/>
        <v/>
      </c>
      <c r="AE370" s="139"/>
      <c r="AF370" s="110" t="str">
        <f t="shared" si="154"/>
        <v/>
      </c>
      <c r="AG370" s="111" t="str">
        <f t="shared" si="155"/>
        <v/>
      </c>
      <c r="AH370" s="111" t="str">
        <f t="shared" si="151"/>
        <v/>
      </c>
      <c r="AI370" s="111" t="str">
        <f t="shared" si="156"/>
        <v/>
      </c>
      <c r="AJ370" s="111" t="str">
        <f t="shared" si="157"/>
        <v/>
      </c>
      <c r="AK370" s="112" t="str">
        <f t="shared" si="158"/>
        <v/>
      </c>
      <c r="AL370" t="str">
        <f t="shared" si="159"/>
        <v/>
      </c>
      <c r="AM370" t="str">
        <f t="shared" si="160"/>
        <v/>
      </c>
    </row>
    <row r="371" spans="1:39" ht="15" customHeight="1" x14ac:dyDescent="0.25">
      <c r="A371" s="131"/>
      <c r="B371" s="133"/>
      <c r="C371" s="133"/>
      <c r="D371" s="42" t="str">
        <f t="shared" si="135"/>
        <v/>
      </c>
      <c r="E371" s="43"/>
      <c r="F371" s="135"/>
      <c r="G371" s="77" t="str">
        <f t="shared" si="136"/>
        <v/>
      </c>
      <c r="H371" s="32" t="str">
        <f t="shared" si="137"/>
        <v/>
      </c>
      <c r="I371" s="78" t="str">
        <f t="shared" si="138"/>
        <v/>
      </c>
      <c r="J371" s="70" t="str">
        <f t="shared" si="139"/>
        <v/>
      </c>
      <c r="K371" s="135"/>
      <c r="L371" s="72" t="str">
        <f t="shared" si="140"/>
        <v/>
      </c>
      <c r="M371" s="135"/>
      <c r="N371" s="72" t="str">
        <f t="shared" si="141"/>
        <v/>
      </c>
      <c r="O371" s="135"/>
      <c r="P371" s="136"/>
      <c r="Q371" s="123" t="str">
        <f t="shared" si="142"/>
        <v/>
      </c>
      <c r="R371" s="45" t="str">
        <f t="shared" si="143"/>
        <v/>
      </c>
      <c r="S371" s="137"/>
      <c r="T371" s="79" t="str">
        <f t="shared" si="152"/>
        <v/>
      </c>
      <c r="U371" s="79" t="str">
        <f t="shared" si="144"/>
        <v/>
      </c>
      <c r="V371" s="73" t="str">
        <f t="shared" si="145"/>
        <v/>
      </c>
      <c r="W371" s="80" t="str">
        <f t="shared" si="146"/>
        <v/>
      </c>
      <c r="X371" s="73" t="str">
        <f t="shared" si="147"/>
        <v/>
      </c>
      <c r="Y371" s="80" t="str">
        <f t="shared" si="148"/>
        <v/>
      </c>
      <c r="Z371" s="74" t="str">
        <f t="shared" si="149"/>
        <v/>
      </c>
      <c r="AA371" s="75" t="str">
        <f t="shared" si="153"/>
        <v/>
      </c>
      <c r="AB371" s="103" t="str">
        <f t="shared" si="150"/>
        <v/>
      </c>
      <c r="AC371" s="104" t="str">
        <f t="shared" si="161"/>
        <v/>
      </c>
      <c r="AE371" s="139"/>
      <c r="AF371" s="110" t="str">
        <f t="shared" si="154"/>
        <v/>
      </c>
      <c r="AG371" s="111" t="str">
        <f t="shared" si="155"/>
        <v/>
      </c>
      <c r="AH371" s="111" t="str">
        <f t="shared" si="151"/>
        <v/>
      </c>
      <c r="AI371" s="111" t="str">
        <f t="shared" si="156"/>
        <v/>
      </c>
      <c r="AJ371" s="111" t="str">
        <f t="shared" si="157"/>
        <v/>
      </c>
      <c r="AK371" s="112" t="str">
        <f t="shared" si="158"/>
        <v/>
      </c>
      <c r="AL371" t="str">
        <f t="shared" si="159"/>
        <v/>
      </c>
      <c r="AM371" t="str">
        <f t="shared" si="160"/>
        <v/>
      </c>
    </row>
    <row r="372" spans="1:39" ht="15" customHeight="1" x14ac:dyDescent="0.25">
      <c r="A372" s="131"/>
      <c r="B372" s="133"/>
      <c r="C372" s="133"/>
      <c r="D372" s="42" t="str">
        <f t="shared" si="135"/>
        <v/>
      </c>
      <c r="E372" s="43"/>
      <c r="F372" s="135"/>
      <c r="G372" s="77" t="str">
        <f t="shared" si="136"/>
        <v/>
      </c>
      <c r="H372" s="32" t="str">
        <f t="shared" si="137"/>
        <v/>
      </c>
      <c r="I372" s="78" t="str">
        <f t="shared" si="138"/>
        <v/>
      </c>
      <c r="J372" s="70" t="str">
        <f t="shared" si="139"/>
        <v/>
      </c>
      <c r="K372" s="135"/>
      <c r="L372" s="72" t="str">
        <f t="shared" si="140"/>
        <v/>
      </c>
      <c r="M372" s="135"/>
      <c r="N372" s="72" t="str">
        <f t="shared" si="141"/>
        <v/>
      </c>
      <c r="O372" s="135"/>
      <c r="P372" s="136"/>
      <c r="Q372" s="123" t="str">
        <f t="shared" si="142"/>
        <v/>
      </c>
      <c r="R372" s="45" t="str">
        <f t="shared" si="143"/>
        <v/>
      </c>
      <c r="S372" s="137"/>
      <c r="T372" s="79" t="str">
        <f t="shared" si="152"/>
        <v/>
      </c>
      <c r="U372" s="79" t="str">
        <f t="shared" si="144"/>
        <v/>
      </c>
      <c r="V372" s="73" t="str">
        <f t="shared" si="145"/>
        <v/>
      </c>
      <c r="W372" s="80" t="str">
        <f t="shared" si="146"/>
        <v/>
      </c>
      <c r="X372" s="73" t="str">
        <f t="shared" si="147"/>
        <v/>
      </c>
      <c r="Y372" s="80" t="str">
        <f t="shared" si="148"/>
        <v/>
      </c>
      <c r="Z372" s="74" t="str">
        <f t="shared" si="149"/>
        <v/>
      </c>
      <c r="AA372" s="75" t="str">
        <f t="shared" si="153"/>
        <v/>
      </c>
      <c r="AB372" s="103" t="str">
        <f t="shared" si="150"/>
        <v/>
      </c>
      <c r="AC372" s="104" t="str">
        <f t="shared" si="161"/>
        <v/>
      </c>
      <c r="AE372" s="139"/>
      <c r="AF372" s="110" t="str">
        <f t="shared" si="154"/>
        <v/>
      </c>
      <c r="AG372" s="111" t="str">
        <f t="shared" si="155"/>
        <v/>
      </c>
      <c r="AH372" s="111" t="str">
        <f t="shared" si="151"/>
        <v/>
      </c>
      <c r="AI372" s="111" t="str">
        <f t="shared" si="156"/>
        <v/>
      </c>
      <c r="AJ372" s="111" t="str">
        <f t="shared" si="157"/>
        <v/>
      </c>
      <c r="AK372" s="112" t="str">
        <f t="shared" si="158"/>
        <v/>
      </c>
      <c r="AL372" t="str">
        <f t="shared" si="159"/>
        <v/>
      </c>
      <c r="AM372" t="str">
        <f t="shared" si="160"/>
        <v/>
      </c>
    </row>
    <row r="373" spans="1:39" ht="15" customHeight="1" x14ac:dyDescent="0.25">
      <c r="A373" s="131"/>
      <c r="B373" s="133"/>
      <c r="C373" s="133"/>
      <c r="D373" s="42" t="str">
        <f t="shared" si="135"/>
        <v/>
      </c>
      <c r="E373" s="43"/>
      <c r="F373" s="135"/>
      <c r="G373" s="77" t="str">
        <f t="shared" si="136"/>
        <v/>
      </c>
      <c r="H373" s="32" t="str">
        <f t="shared" si="137"/>
        <v/>
      </c>
      <c r="I373" s="78" t="str">
        <f t="shared" si="138"/>
        <v/>
      </c>
      <c r="J373" s="70" t="str">
        <f t="shared" si="139"/>
        <v/>
      </c>
      <c r="K373" s="135"/>
      <c r="L373" s="72" t="str">
        <f t="shared" si="140"/>
        <v/>
      </c>
      <c r="M373" s="135"/>
      <c r="N373" s="72" t="str">
        <f t="shared" si="141"/>
        <v/>
      </c>
      <c r="O373" s="135"/>
      <c r="P373" s="136"/>
      <c r="Q373" s="123" t="str">
        <f t="shared" si="142"/>
        <v/>
      </c>
      <c r="R373" s="45" t="str">
        <f t="shared" si="143"/>
        <v/>
      </c>
      <c r="S373" s="137"/>
      <c r="T373" s="79" t="str">
        <f t="shared" si="152"/>
        <v/>
      </c>
      <c r="U373" s="79" t="str">
        <f t="shared" si="144"/>
        <v/>
      </c>
      <c r="V373" s="73" t="str">
        <f t="shared" si="145"/>
        <v/>
      </c>
      <c r="W373" s="80" t="str">
        <f t="shared" si="146"/>
        <v/>
      </c>
      <c r="X373" s="73" t="str">
        <f t="shared" si="147"/>
        <v/>
      </c>
      <c r="Y373" s="80" t="str">
        <f t="shared" si="148"/>
        <v/>
      </c>
      <c r="Z373" s="74" t="str">
        <f t="shared" si="149"/>
        <v/>
      </c>
      <c r="AA373" s="75" t="str">
        <f t="shared" si="153"/>
        <v/>
      </c>
      <c r="AB373" s="103" t="str">
        <f t="shared" si="150"/>
        <v/>
      </c>
      <c r="AC373" s="104" t="str">
        <f t="shared" si="161"/>
        <v/>
      </c>
      <c r="AE373" s="139"/>
      <c r="AF373" s="110" t="str">
        <f t="shared" si="154"/>
        <v/>
      </c>
      <c r="AG373" s="111" t="str">
        <f t="shared" si="155"/>
        <v/>
      </c>
      <c r="AH373" s="111" t="str">
        <f t="shared" si="151"/>
        <v/>
      </c>
      <c r="AI373" s="111" t="str">
        <f t="shared" si="156"/>
        <v/>
      </c>
      <c r="AJ373" s="111" t="str">
        <f t="shared" si="157"/>
        <v/>
      </c>
      <c r="AK373" s="112" t="str">
        <f t="shared" si="158"/>
        <v/>
      </c>
      <c r="AL373" t="str">
        <f t="shared" si="159"/>
        <v/>
      </c>
      <c r="AM373" t="str">
        <f t="shared" si="160"/>
        <v/>
      </c>
    </row>
    <row r="374" spans="1:39" ht="15" customHeight="1" x14ac:dyDescent="0.25">
      <c r="A374" s="131"/>
      <c r="B374" s="133"/>
      <c r="C374" s="133"/>
      <c r="D374" s="42" t="str">
        <f t="shared" si="135"/>
        <v/>
      </c>
      <c r="E374" s="43"/>
      <c r="F374" s="135"/>
      <c r="G374" s="77" t="str">
        <f t="shared" si="136"/>
        <v/>
      </c>
      <c r="H374" s="32" t="str">
        <f t="shared" si="137"/>
        <v/>
      </c>
      <c r="I374" s="78" t="str">
        <f t="shared" si="138"/>
        <v/>
      </c>
      <c r="J374" s="70" t="str">
        <f t="shared" si="139"/>
        <v/>
      </c>
      <c r="K374" s="135"/>
      <c r="L374" s="72" t="str">
        <f t="shared" si="140"/>
        <v/>
      </c>
      <c r="M374" s="135"/>
      <c r="N374" s="72" t="str">
        <f t="shared" si="141"/>
        <v/>
      </c>
      <c r="O374" s="135"/>
      <c r="P374" s="136"/>
      <c r="Q374" s="123" t="str">
        <f t="shared" si="142"/>
        <v/>
      </c>
      <c r="R374" s="45" t="str">
        <f t="shared" si="143"/>
        <v/>
      </c>
      <c r="S374" s="137"/>
      <c r="T374" s="79" t="str">
        <f t="shared" si="152"/>
        <v/>
      </c>
      <c r="U374" s="79" t="str">
        <f t="shared" si="144"/>
        <v/>
      </c>
      <c r="V374" s="73" t="str">
        <f t="shared" si="145"/>
        <v/>
      </c>
      <c r="W374" s="80" t="str">
        <f t="shared" si="146"/>
        <v/>
      </c>
      <c r="X374" s="73" t="str">
        <f t="shared" si="147"/>
        <v/>
      </c>
      <c r="Y374" s="80" t="str">
        <f t="shared" si="148"/>
        <v/>
      </c>
      <c r="Z374" s="74" t="str">
        <f t="shared" si="149"/>
        <v/>
      </c>
      <c r="AA374" s="75" t="str">
        <f t="shared" si="153"/>
        <v/>
      </c>
      <c r="AB374" s="103" t="str">
        <f t="shared" si="150"/>
        <v/>
      </c>
      <c r="AC374" s="104" t="str">
        <f t="shared" si="161"/>
        <v/>
      </c>
      <c r="AE374" s="139"/>
      <c r="AF374" s="110" t="str">
        <f t="shared" si="154"/>
        <v/>
      </c>
      <c r="AG374" s="111" t="str">
        <f t="shared" si="155"/>
        <v/>
      </c>
      <c r="AH374" s="111" t="str">
        <f t="shared" si="151"/>
        <v/>
      </c>
      <c r="AI374" s="111" t="str">
        <f t="shared" si="156"/>
        <v/>
      </c>
      <c r="AJ374" s="111" t="str">
        <f t="shared" si="157"/>
        <v/>
      </c>
      <c r="AK374" s="112" t="str">
        <f t="shared" si="158"/>
        <v/>
      </c>
      <c r="AL374" t="str">
        <f t="shared" si="159"/>
        <v/>
      </c>
      <c r="AM374" t="str">
        <f t="shared" si="160"/>
        <v/>
      </c>
    </row>
    <row r="375" spans="1:39" ht="15" customHeight="1" x14ac:dyDescent="0.25">
      <c r="A375" s="131"/>
      <c r="B375" s="133"/>
      <c r="C375" s="133"/>
      <c r="D375" s="42" t="str">
        <f t="shared" si="135"/>
        <v/>
      </c>
      <c r="E375" s="43"/>
      <c r="F375" s="135"/>
      <c r="G375" s="77" t="str">
        <f t="shared" si="136"/>
        <v/>
      </c>
      <c r="H375" s="32" t="str">
        <f t="shared" si="137"/>
        <v/>
      </c>
      <c r="I375" s="78" t="str">
        <f t="shared" si="138"/>
        <v/>
      </c>
      <c r="J375" s="70" t="str">
        <f t="shared" si="139"/>
        <v/>
      </c>
      <c r="K375" s="135"/>
      <c r="L375" s="72" t="str">
        <f t="shared" si="140"/>
        <v/>
      </c>
      <c r="M375" s="135"/>
      <c r="N375" s="72" t="str">
        <f t="shared" si="141"/>
        <v/>
      </c>
      <c r="O375" s="135"/>
      <c r="P375" s="136"/>
      <c r="Q375" s="123" t="str">
        <f t="shared" si="142"/>
        <v/>
      </c>
      <c r="R375" s="45" t="str">
        <f t="shared" si="143"/>
        <v/>
      </c>
      <c r="S375" s="137"/>
      <c r="T375" s="79" t="str">
        <f t="shared" si="152"/>
        <v/>
      </c>
      <c r="U375" s="79" t="str">
        <f t="shared" si="144"/>
        <v/>
      </c>
      <c r="V375" s="73" t="str">
        <f t="shared" si="145"/>
        <v/>
      </c>
      <c r="W375" s="80" t="str">
        <f t="shared" si="146"/>
        <v/>
      </c>
      <c r="X375" s="73" t="str">
        <f t="shared" si="147"/>
        <v/>
      </c>
      <c r="Y375" s="80" t="str">
        <f t="shared" si="148"/>
        <v/>
      </c>
      <c r="Z375" s="74" t="str">
        <f t="shared" si="149"/>
        <v/>
      </c>
      <c r="AA375" s="75" t="str">
        <f t="shared" si="153"/>
        <v/>
      </c>
      <c r="AB375" s="103" t="str">
        <f t="shared" si="150"/>
        <v/>
      </c>
      <c r="AC375" s="104" t="str">
        <f t="shared" si="161"/>
        <v/>
      </c>
      <c r="AE375" s="139"/>
      <c r="AF375" s="110" t="str">
        <f t="shared" si="154"/>
        <v/>
      </c>
      <c r="AG375" s="111" t="str">
        <f t="shared" si="155"/>
        <v/>
      </c>
      <c r="AH375" s="111" t="str">
        <f t="shared" si="151"/>
        <v/>
      </c>
      <c r="AI375" s="111" t="str">
        <f t="shared" si="156"/>
        <v/>
      </c>
      <c r="AJ375" s="111" t="str">
        <f t="shared" si="157"/>
        <v/>
      </c>
      <c r="AK375" s="112" t="str">
        <f t="shared" si="158"/>
        <v/>
      </c>
      <c r="AL375" t="str">
        <f t="shared" si="159"/>
        <v/>
      </c>
      <c r="AM375" t="str">
        <f t="shared" si="160"/>
        <v/>
      </c>
    </row>
    <row r="376" spans="1:39" ht="15" customHeight="1" x14ac:dyDescent="0.25">
      <c r="A376" s="131"/>
      <c r="B376" s="133"/>
      <c r="C376" s="133"/>
      <c r="D376" s="42" t="str">
        <f t="shared" si="135"/>
        <v/>
      </c>
      <c r="E376" s="43"/>
      <c r="F376" s="135"/>
      <c r="G376" s="77" t="str">
        <f t="shared" si="136"/>
        <v/>
      </c>
      <c r="H376" s="32" t="str">
        <f t="shared" si="137"/>
        <v/>
      </c>
      <c r="I376" s="78" t="str">
        <f t="shared" si="138"/>
        <v/>
      </c>
      <c r="J376" s="70" t="str">
        <f t="shared" si="139"/>
        <v/>
      </c>
      <c r="K376" s="135"/>
      <c r="L376" s="72" t="str">
        <f t="shared" si="140"/>
        <v/>
      </c>
      <c r="M376" s="135"/>
      <c r="N376" s="72" t="str">
        <f t="shared" si="141"/>
        <v/>
      </c>
      <c r="O376" s="135"/>
      <c r="P376" s="136"/>
      <c r="Q376" s="123" t="str">
        <f t="shared" si="142"/>
        <v/>
      </c>
      <c r="R376" s="45" t="str">
        <f t="shared" si="143"/>
        <v/>
      </c>
      <c r="S376" s="137"/>
      <c r="T376" s="79" t="str">
        <f t="shared" si="152"/>
        <v/>
      </c>
      <c r="U376" s="79" t="str">
        <f t="shared" si="144"/>
        <v/>
      </c>
      <c r="V376" s="73" t="str">
        <f t="shared" si="145"/>
        <v/>
      </c>
      <c r="W376" s="80" t="str">
        <f t="shared" si="146"/>
        <v/>
      </c>
      <c r="X376" s="73" t="str">
        <f t="shared" si="147"/>
        <v/>
      </c>
      <c r="Y376" s="80" t="str">
        <f t="shared" si="148"/>
        <v/>
      </c>
      <c r="Z376" s="74" t="str">
        <f t="shared" si="149"/>
        <v/>
      </c>
      <c r="AA376" s="75" t="str">
        <f t="shared" si="153"/>
        <v/>
      </c>
      <c r="AB376" s="103" t="str">
        <f t="shared" si="150"/>
        <v/>
      </c>
      <c r="AC376" s="104" t="str">
        <f t="shared" si="161"/>
        <v/>
      </c>
      <c r="AE376" s="139"/>
      <c r="AF376" s="110" t="str">
        <f t="shared" si="154"/>
        <v/>
      </c>
      <c r="AG376" s="111" t="str">
        <f t="shared" si="155"/>
        <v/>
      </c>
      <c r="AH376" s="111" t="str">
        <f t="shared" si="151"/>
        <v/>
      </c>
      <c r="AI376" s="111" t="str">
        <f t="shared" si="156"/>
        <v/>
      </c>
      <c r="AJ376" s="111" t="str">
        <f t="shared" si="157"/>
        <v/>
      </c>
      <c r="AK376" s="112" t="str">
        <f t="shared" si="158"/>
        <v/>
      </c>
      <c r="AL376" t="str">
        <f t="shared" si="159"/>
        <v/>
      </c>
      <c r="AM376" t="str">
        <f t="shared" si="160"/>
        <v/>
      </c>
    </row>
    <row r="377" spans="1:39" ht="15" customHeight="1" x14ac:dyDescent="0.25">
      <c r="A377" s="131"/>
      <c r="B377" s="133"/>
      <c r="C377" s="133"/>
      <c r="D377" s="42" t="str">
        <f t="shared" si="135"/>
        <v/>
      </c>
      <c r="E377" s="43"/>
      <c r="F377" s="135"/>
      <c r="G377" s="77" t="str">
        <f t="shared" si="136"/>
        <v/>
      </c>
      <c r="H377" s="32" t="str">
        <f t="shared" si="137"/>
        <v/>
      </c>
      <c r="I377" s="78" t="str">
        <f t="shared" si="138"/>
        <v/>
      </c>
      <c r="J377" s="70" t="str">
        <f t="shared" si="139"/>
        <v/>
      </c>
      <c r="K377" s="135"/>
      <c r="L377" s="72" t="str">
        <f t="shared" si="140"/>
        <v/>
      </c>
      <c r="M377" s="135"/>
      <c r="N377" s="72" t="str">
        <f t="shared" si="141"/>
        <v/>
      </c>
      <c r="O377" s="135"/>
      <c r="P377" s="136"/>
      <c r="Q377" s="123" t="str">
        <f t="shared" si="142"/>
        <v/>
      </c>
      <c r="R377" s="45" t="str">
        <f t="shared" si="143"/>
        <v/>
      </c>
      <c r="S377" s="137"/>
      <c r="T377" s="79" t="str">
        <f t="shared" si="152"/>
        <v/>
      </c>
      <c r="U377" s="79" t="str">
        <f t="shared" si="144"/>
        <v/>
      </c>
      <c r="V377" s="73" t="str">
        <f t="shared" si="145"/>
        <v/>
      </c>
      <c r="W377" s="80" t="str">
        <f t="shared" si="146"/>
        <v/>
      </c>
      <c r="X377" s="73" t="str">
        <f t="shared" si="147"/>
        <v/>
      </c>
      <c r="Y377" s="80" t="str">
        <f t="shared" si="148"/>
        <v/>
      </c>
      <c r="Z377" s="74" t="str">
        <f t="shared" si="149"/>
        <v/>
      </c>
      <c r="AA377" s="75" t="str">
        <f t="shared" si="153"/>
        <v/>
      </c>
      <c r="AB377" s="103" t="str">
        <f t="shared" si="150"/>
        <v/>
      </c>
      <c r="AC377" s="104" t="str">
        <f t="shared" si="161"/>
        <v/>
      </c>
      <c r="AE377" s="139"/>
      <c r="AF377" s="110" t="str">
        <f t="shared" si="154"/>
        <v/>
      </c>
      <c r="AG377" s="111" t="str">
        <f t="shared" si="155"/>
        <v/>
      </c>
      <c r="AH377" s="111" t="str">
        <f t="shared" si="151"/>
        <v/>
      </c>
      <c r="AI377" s="111" t="str">
        <f t="shared" si="156"/>
        <v/>
      </c>
      <c r="AJ377" s="111" t="str">
        <f t="shared" si="157"/>
        <v/>
      </c>
      <c r="AK377" s="112" t="str">
        <f t="shared" si="158"/>
        <v/>
      </c>
      <c r="AL377" t="str">
        <f t="shared" si="159"/>
        <v/>
      </c>
      <c r="AM377" t="str">
        <f t="shared" si="160"/>
        <v/>
      </c>
    </row>
    <row r="378" spans="1:39" ht="15" customHeight="1" x14ac:dyDescent="0.25">
      <c r="A378" s="131"/>
      <c r="B378" s="133"/>
      <c r="C378" s="133"/>
      <c r="D378" s="42" t="str">
        <f t="shared" si="135"/>
        <v/>
      </c>
      <c r="E378" s="43"/>
      <c r="F378" s="135"/>
      <c r="G378" s="77" t="str">
        <f t="shared" si="136"/>
        <v/>
      </c>
      <c r="H378" s="32" t="str">
        <f t="shared" si="137"/>
        <v/>
      </c>
      <c r="I378" s="78" t="str">
        <f t="shared" si="138"/>
        <v/>
      </c>
      <c r="J378" s="70" t="str">
        <f t="shared" si="139"/>
        <v/>
      </c>
      <c r="K378" s="135"/>
      <c r="L378" s="72" t="str">
        <f t="shared" si="140"/>
        <v/>
      </c>
      <c r="M378" s="135"/>
      <c r="N378" s="72" t="str">
        <f t="shared" si="141"/>
        <v/>
      </c>
      <c r="O378" s="135"/>
      <c r="P378" s="136"/>
      <c r="Q378" s="123" t="str">
        <f t="shared" si="142"/>
        <v/>
      </c>
      <c r="R378" s="45" t="str">
        <f t="shared" si="143"/>
        <v/>
      </c>
      <c r="S378" s="137"/>
      <c r="T378" s="79" t="str">
        <f t="shared" si="152"/>
        <v/>
      </c>
      <c r="U378" s="79" t="str">
        <f t="shared" si="144"/>
        <v/>
      </c>
      <c r="V378" s="73" t="str">
        <f t="shared" si="145"/>
        <v/>
      </c>
      <c r="W378" s="80" t="str">
        <f t="shared" si="146"/>
        <v/>
      </c>
      <c r="X378" s="73" t="str">
        <f t="shared" si="147"/>
        <v/>
      </c>
      <c r="Y378" s="80" t="str">
        <f t="shared" si="148"/>
        <v/>
      </c>
      <c r="Z378" s="74" t="str">
        <f t="shared" si="149"/>
        <v/>
      </c>
      <c r="AA378" s="75" t="str">
        <f t="shared" si="153"/>
        <v/>
      </c>
      <c r="AB378" s="103" t="str">
        <f t="shared" si="150"/>
        <v/>
      </c>
      <c r="AC378" s="104" t="str">
        <f t="shared" si="161"/>
        <v/>
      </c>
      <c r="AE378" s="139"/>
      <c r="AF378" s="110" t="str">
        <f t="shared" si="154"/>
        <v/>
      </c>
      <c r="AG378" s="111" t="str">
        <f t="shared" si="155"/>
        <v/>
      </c>
      <c r="AH378" s="111" t="str">
        <f t="shared" si="151"/>
        <v/>
      </c>
      <c r="AI378" s="111" t="str">
        <f t="shared" si="156"/>
        <v/>
      </c>
      <c r="AJ378" s="111" t="str">
        <f t="shared" si="157"/>
        <v/>
      </c>
      <c r="AK378" s="112" t="str">
        <f t="shared" si="158"/>
        <v/>
      </c>
      <c r="AL378" t="str">
        <f t="shared" si="159"/>
        <v/>
      </c>
      <c r="AM378" t="str">
        <f t="shared" si="160"/>
        <v/>
      </c>
    </row>
    <row r="379" spans="1:39" ht="15" customHeight="1" x14ac:dyDescent="0.25">
      <c r="A379" s="131"/>
      <c r="B379" s="133"/>
      <c r="C379" s="133"/>
      <c r="D379" s="42" t="str">
        <f t="shared" si="135"/>
        <v/>
      </c>
      <c r="E379" s="43"/>
      <c r="F379" s="135"/>
      <c r="G379" s="77" t="str">
        <f t="shared" si="136"/>
        <v/>
      </c>
      <c r="H379" s="32" t="str">
        <f t="shared" si="137"/>
        <v/>
      </c>
      <c r="I379" s="78" t="str">
        <f t="shared" si="138"/>
        <v/>
      </c>
      <c r="J379" s="70" t="str">
        <f t="shared" si="139"/>
        <v/>
      </c>
      <c r="K379" s="135"/>
      <c r="L379" s="72" t="str">
        <f t="shared" si="140"/>
        <v/>
      </c>
      <c r="M379" s="135"/>
      <c r="N379" s="72" t="str">
        <f t="shared" si="141"/>
        <v/>
      </c>
      <c r="O379" s="135"/>
      <c r="P379" s="136"/>
      <c r="Q379" s="123" t="str">
        <f t="shared" si="142"/>
        <v/>
      </c>
      <c r="R379" s="45" t="str">
        <f t="shared" si="143"/>
        <v/>
      </c>
      <c r="S379" s="137"/>
      <c r="T379" s="79" t="str">
        <f t="shared" si="152"/>
        <v/>
      </c>
      <c r="U379" s="79" t="str">
        <f t="shared" si="144"/>
        <v/>
      </c>
      <c r="V379" s="73" t="str">
        <f t="shared" si="145"/>
        <v/>
      </c>
      <c r="W379" s="80" t="str">
        <f t="shared" si="146"/>
        <v/>
      </c>
      <c r="X379" s="73" t="str">
        <f t="shared" si="147"/>
        <v/>
      </c>
      <c r="Y379" s="80" t="str">
        <f t="shared" si="148"/>
        <v/>
      </c>
      <c r="Z379" s="74" t="str">
        <f t="shared" si="149"/>
        <v/>
      </c>
      <c r="AA379" s="75" t="str">
        <f t="shared" si="153"/>
        <v/>
      </c>
      <c r="AB379" s="103" t="str">
        <f t="shared" si="150"/>
        <v/>
      </c>
      <c r="AC379" s="104" t="str">
        <f t="shared" si="161"/>
        <v/>
      </c>
      <c r="AE379" s="139"/>
      <c r="AF379" s="110" t="str">
        <f t="shared" si="154"/>
        <v/>
      </c>
      <c r="AG379" s="111" t="str">
        <f t="shared" si="155"/>
        <v/>
      </c>
      <c r="AH379" s="111" t="str">
        <f t="shared" si="151"/>
        <v/>
      </c>
      <c r="AI379" s="111" t="str">
        <f t="shared" si="156"/>
        <v/>
      </c>
      <c r="AJ379" s="111" t="str">
        <f t="shared" si="157"/>
        <v/>
      </c>
      <c r="AK379" s="112" t="str">
        <f t="shared" si="158"/>
        <v/>
      </c>
      <c r="AL379" t="str">
        <f t="shared" si="159"/>
        <v/>
      </c>
      <c r="AM379" t="str">
        <f t="shared" si="160"/>
        <v/>
      </c>
    </row>
    <row r="380" spans="1:39" ht="15" customHeight="1" x14ac:dyDescent="0.25">
      <c r="A380" s="131"/>
      <c r="B380" s="133"/>
      <c r="C380" s="133"/>
      <c r="D380" s="42" t="str">
        <f t="shared" si="135"/>
        <v/>
      </c>
      <c r="E380" s="43"/>
      <c r="F380" s="135"/>
      <c r="G380" s="77" t="str">
        <f t="shared" si="136"/>
        <v/>
      </c>
      <c r="H380" s="32" t="str">
        <f t="shared" si="137"/>
        <v/>
      </c>
      <c r="I380" s="78" t="str">
        <f t="shared" si="138"/>
        <v/>
      </c>
      <c r="J380" s="70" t="str">
        <f t="shared" si="139"/>
        <v/>
      </c>
      <c r="K380" s="135"/>
      <c r="L380" s="72" t="str">
        <f t="shared" si="140"/>
        <v/>
      </c>
      <c r="M380" s="135"/>
      <c r="N380" s="72" t="str">
        <f t="shared" si="141"/>
        <v/>
      </c>
      <c r="O380" s="135"/>
      <c r="P380" s="136"/>
      <c r="Q380" s="123" t="str">
        <f t="shared" si="142"/>
        <v/>
      </c>
      <c r="R380" s="45" t="str">
        <f t="shared" si="143"/>
        <v/>
      </c>
      <c r="S380" s="137"/>
      <c r="T380" s="79" t="str">
        <f t="shared" si="152"/>
        <v/>
      </c>
      <c r="U380" s="79" t="str">
        <f t="shared" si="144"/>
        <v/>
      </c>
      <c r="V380" s="73" t="str">
        <f t="shared" si="145"/>
        <v/>
      </c>
      <c r="W380" s="80" t="str">
        <f t="shared" si="146"/>
        <v/>
      </c>
      <c r="X380" s="73" t="str">
        <f t="shared" si="147"/>
        <v/>
      </c>
      <c r="Y380" s="80" t="str">
        <f t="shared" si="148"/>
        <v/>
      </c>
      <c r="Z380" s="74" t="str">
        <f t="shared" si="149"/>
        <v/>
      </c>
      <c r="AA380" s="75" t="str">
        <f t="shared" si="153"/>
        <v/>
      </c>
      <c r="AB380" s="103" t="str">
        <f t="shared" si="150"/>
        <v/>
      </c>
      <c r="AC380" s="104" t="str">
        <f t="shared" si="161"/>
        <v/>
      </c>
      <c r="AE380" s="139"/>
      <c r="AF380" s="110" t="str">
        <f t="shared" si="154"/>
        <v/>
      </c>
      <c r="AG380" s="111" t="str">
        <f t="shared" si="155"/>
        <v/>
      </c>
      <c r="AH380" s="111" t="str">
        <f t="shared" si="151"/>
        <v/>
      </c>
      <c r="AI380" s="111" t="str">
        <f t="shared" si="156"/>
        <v/>
      </c>
      <c r="AJ380" s="111" t="str">
        <f t="shared" si="157"/>
        <v/>
      </c>
      <c r="AK380" s="112" t="str">
        <f t="shared" si="158"/>
        <v/>
      </c>
      <c r="AL380" t="str">
        <f t="shared" si="159"/>
        <v/>
      </c>
      <c r="AM380" t="str">
        <f t="shared" si="160"/>
        <v/>
      </c>
    </row>
    <row r="381" spans="1:39" ht="15" customHeight="1" x14ac:dyDescent="0.25">
      <c r="A381" s="131"/>
      <c r="B381" s="133"/>
      <c r="C381" s="133"/>
      <c r="D381" s="42" t="str">
        <f t="shared" si="135"/>
        <v/>
      </c>
      <c r="E381" s="43"/>
      <c r="F381" s="135"/>
      <c r="G381" s="77" t="str">
        <f t="shared" si="136"/>
        <v/>
      </c>
      <c r="H381" s="32" t="str">
        <f t="shared" si="137"/>
        <v/>
      </c>
      <c r="I381" s="78" t="str">
        <f t="shared" si="138"/>
        <v/>
      </c>
      <c r="J381" s="70" t="str">
        <f t="shared" si="139"/>
        <v/>
      </c>
      <c r="K381" s="135"/>
      <c r="L381" s="72" t="str">
        <f t="shared" si="140"/>
        <v/>
      </c>
      <c r="M381" s="135"/>
      <c r="N381" s="72" t="str">
        <f t="shared" si="141"/>
        <v/>
      </c>
      <c r="O381" s="135"/>
      <c r="P381" s="136"/>
      <c r="Q381" s="123" t="str">
        <f t="shared" si="142"/>
        <v/>
      </c>
      <c r="R381" s="45" t="str">
        <f t="shared" si="143"/>
        <v/>
      </c>
      <c r="S381" s="137"/>
      <c r="T381" s="79" t="str">
        <f t="shared" si="152"/>
        <v/>
      </c>
      <c r="U381" s="79" t="str">
        <f t="shared" si="144"/>
        <v/>
      </c>
      <c r="V381" s="73" t="str">
        <f t="shared" si="145"/>
        <v/>
      </c>
      <c r="W381" s="80" t="str">
        <f t="shared" si="146"/>
        <v/>
      </c>
      <c r="X381" s="73" t="str">
        <f t="shared" si="147"/>
        <v/>
      </c>
      <c r="Y381" s="80" t="str">
        <f t="shared" si="148"/>
        <v/>
      </c>
      <c r="Z381" s="74" t="str">
        <f t="shared" si="149"/>
        <v/>
      </c>
      <c r="AA381" s="75" t="str">
        <f t="shared" si="153"/>
        <v/>
      </c>
      <c r="AB381" s="103" t="str">
        <f t="shared" si="150"/>
        <v/>
      </c>
      <c r="AC381" s="104" t="str">
        <f t="shared" si="161"/>
        <v/>
      </c>
      <c r="AE381" s="139"/>
      <c r="AF381" s="110" t="str">
        <f t="shared" si="154"/>
        <v/>
      </c>
      <c r="AG381" s="111" t="str">
        <f t="shared" si="155"/>
        <v/>
      </c>
      <c r="AH381" s="111" t="str">
        <f t="shared" si="151"/>
        <v/>
      </c>
      <c r="AI381" s="111" t="str">
        <f t="shared" si="156"/>
        <v/>
      </c>
      <c r="AJ381" s="111" t="str">
        <f t="shared" si="157"/>
        <v/>
      </c>
      <c r="AK381" s="112" t="str">
        <f t="shared" si="158"/>
        <v/>
      </c>
      <c r="AL381" t="str">
        <f t="shared" si="159"/>
        <v/>
      </c>
      <c r="AM381" t="str">
        <f t="shared" si="160"/>
        <v/>
      </c>
    </row>
    <row r="382" spans="1:39" ht="15" customHeight="1" x14ac:dyDescent="0.25">
      <c r="A382" s="131"/>
      <c r="B382" s="133"/>
      <c r="C382" s="133"/>
      <c r="D382" s="42" t="str">
        <f t="shared" si="135"/>
        <v/>
      </c>
      <c r="E382" s="43"/>
      <c r="F382" s="135"/>
      <c r="G382" s="77" t="str">
        <f t="shared" si="136"/>
        <v/>
      </c>
      <c r="H382" s="32" t="str">
        <f t="shared" si="137"/>
        <v/>
      </c>
      <c r="I382" s="78" t="str">
        <f t="shared" si="138"/>
        <v/>
      </c>
      <c r="J382" s="70" t="str">
        <f t="shared" si="139"/>
        <v/>
      </c>
      <c r="K382" s="135"/>
      <c r="L382" s="72" t="str">
        <f t="shared" si="140"/>
        <v/>
      </c>
      <c r="M382" s="135"/>
      <c r="N382" s="72" t="str">
        <f t="shared" si="141"/>
        <v/>
      </c>
      <c r="O382" s="135"/>
      <c r="P382" s="136"/>
      <c r="Q382" s="123" t="str">
        <f t="shared" si="142"/>
        <v/>
      </c>
      <c r="R382" s="45" t="str">
        <f t="shared" si="143"/>
        <v/>
      </c>
      <c r="S382" s="137"/>
      <c r="T382" s="79" t="str">
        <f t="shared" si="152"/>
        <v/>
      </c>
      <c r="U382" s="79" t="str">
        <f t="shared" si="144"/>
        <v/>
      </c>
      <c r="V382" s="73" t="str">
        <f t="shared" si="145"/>
        <v/>
      </c>
      <c r="W382" s="80" t="str">
        <f t="shared" si="146"/>
        <v/>
      </c>
      <c r="X382" s="73" t="str">
        <f t="shared" si="147"/>
        <v/>
      </c>
      <c r="Y382" s="80" t="str">
        <f t="shared" si="148"/>
        <v/>
      </c>
      <c r="Z382" s="74" t="str">
        <f t="shared" si="149"/>
        <v/>
      </c>
      <c r="AA382" s="75" t="str">
        <f t="shared" si="153"/>
        <v/>
      </c>
      <c r="AB382" s="103" t="str">
        <f t="shared" si="150"/>
        <v/>
      </c>
      <c r="AC382" s="104" t="str">
        <f t="shared" si="161"/>
        <v/>
      </c>
      <c r="AE382" s="139"/>
      <c r="AF382" s="110" t="str">
        <f t="shared" si="154"/>
        <v/>
      </c>
      <c r="AG382" s="111" t="str">
        <f t="shared" si="155"/>
        <v/>
      </c>
      <c r="AH382" s="111" t="str">
        <f t="shared" si="151"/>
        <v/>
      </c>
      <c r="AI382" s="111" t="str">
        <f t="shared" si="156"/>
        <v/>
      </c>
      <c r="AJ382" s="111" t="str">
        <f t="shared" si="157"/>
        <v/>
      </c>
      <c r="AK382" s="112" t="str">
        <f t="shared" si="158"/>
        <v/>
      </c>
      <c r="AL382" t="str">
        <f t="shared" si="159"/>
        <v/>
      </c>
      <c r="AM382" t="str">
        <f t="shared" si="160"/>
        <v/>
      </c>
    </row>
    <row r="383" spans="1:39" ht="15" customHeight="1" x14ac:dyDescent="0.25">
      <c r="A383" s="131"/>
      <c r="B383" s="133"/>
      <c r="C383" s="133"/>
      <c r="D383" s="42" t="str">
        <f t="shared" si="135"/>
        <v/>
      </c>
      <c r="E383" s="43"/>
      <c r="F383" s="135"/>
      <c r="G383" s="77" t="str">
        <f t="shared" si="136"/>
        <v/>
      </c>
      <c r="H383" s="32" t="str">
        <f t="shared" si="137"/>
        <v/>
      </c>
      <c r="I383" s="78" t="str">
        <f t="shared" si="138"/>
        <v/>
      </c>
      <c r="J383" s="70" t="str">
        <f t="shared" si="139"/>
        <v/>
      </c>
      <c r="K383" s="135"/>
      <c r="L383" s="72" t="str">
        <f t="shared" si="140"/>
        <v/>
      </c>
      <c r="M383" s="135"/>
      <c r="N383" s="72" t="str">
        <f t="shared" si="141"/>
        <v/>
      </c>
      <c r="O383" s="135"/>
      <c r="P383" s="136"/>
      <c r="Q383" s="123" t="str">
        <f t="shared" si="142"/>
        <v/>
      </c>
      <c r="R383" s="45" t="str">
        <f t="shared" si="143"/>
        <v/>
      </c>
      <c r="S383" s="137"/>
      <c r="T383" s="79" t="str">
        <f t="shared" si="152"/>
        <v/>
      </c>
      <c r="U383" s="79" t="str">
        <f t="shared" si="144"/>
        <v/>
      </c>
      <c r="V383" s="73" t="str">
        <f t="shared" si="145"/>
        <v/>
      </c>
      <c r="W383" s="80" t="str">
        <f t="shared" si="146"/>
        <v/>
      </c>
      <c r="X383" s="73" t="str">
        <f t="shared" si="147"/>
        <v/>
      </c>
      <c r="Y383" s="80" t="str">
        <f t="shared" si="148"/>
        <v/>
      </c>
      <c r="Z383" s="74" t="str">
        <f t="shared" si="149"/>
        <v/>
      </c>
      <c r="AA383" s="75" t="str">
        <f t="shared" si="153"/>
        <v/>
      </c>
      <c r="AB383" s="103" t="str">
        <f t="shared" si="150"/>
        <v/>
      </c>
      <c r="AC383" s="104" t="str">
        <f t="shared" si="161"/>
        <v/>
      </c>
      <c r="AE383" s="139"/>
      <c r="AF383" s="110" t="str">
        <f t="shared" si="154"/>
        <v/>
      </c>
      <c r="AG383" s="111" t="str">
        <f t="shared" si="155"/>
        <v/>
      </c>
      <c r="AH383" s="111" t="str">
        <f t="shared" si="151"/>
        <v/>
      </c>
      <c r="AI383" s="111" t="str">
        <f t="shared" si="156"/>
        <v/>
      </c>
      <c r="AJ383" s="111" t="str">
        <f t="shared" si="157"/>
        <v/>
      </c>
      <c r="AK383" s="112" t="str">
        <f t="shared" si="158"/>
        <v/>
      </c>
      <c r="AL383" t="str">
        <f t="shared" si="159"/>
        <v/>
      </c>
      <c r="AM383" t="str">
        <f t="shared" si="160"/>
        <v/>
      </c>
    </row>
    <row r="384" spans="1:39" ht="15" customHeight="1" x14ac:dyDescent="0.25">
      <c r="A384" s="131"/>
      <c r="B384" s="133"/>
      <c r="C384" s="133"/>
      <c r="D384" s="42" t="str">
        <f t="shared" si="135"/>
        <v/>
      </c>
      <c r="E384" s="43"/>
      <c r="F384" s="135"/>
      <c r="G384" s="77" t="str">
        <f t="shared" si="136"/>
        <v/>
      </c>
      <c r="H384" s="32" t="str">
        <f t="shared" si="137"/>
        <v/>
      </c>
      <c r="I384" s="78" t="str">
        <f t="shared" si="138"/>
        <v/>
      </c>
      <c r="J384" s="70" t="str">
        <f t="shared" si="139"/>
        <v/>
      </c>
      <c r="K384" s="135"/>
      <c r="L384" s="72" t="str">
        <f t="shared" si="140"/>
        <v/>
      </c>
      <c r="M384" s="135"/>
      <c r="N384" s="72" t="str">
        <f t="shared" si="141"/>
        <v/>
      </c>
      <c r="O384" s="135"/>
      <c r="P384" s="136"/>
      <c r="Q384" s="123" t="str">
        <f t="shared" si="142"/>
        <v/>
      </c>
      <c r="R384" s="45" t="str">
        <f t="shared" si="143"/>
        <v/>
      </c>
      <c r="S384" s="137"/>
      <c r="T384" s="79" t="str">
        <f t="shared" si="152"/>
        <v/>
      </c>
      <c r="U384" s="79" t="str">
        <f t="shared" si="144"/>
        <v/>
      </c>
      <c r="V384" s="73" t="str">
        <f t="shared" si="145"/>
        <v/>
      </c>
      <c r="W384" s="80" t="str">
        <f t="shared" si="146"/>
        <v/>
      </c>
      <c r="X384" s="73" t="str">
        <f t="shared" si="147"/>
        <v/>
      </c>
      <c r="Y384" s="80" t="str">
        <f t="shared" si="148"/>
        <v/>
      </c>
      <c r="Z384" s="74" t="str">
        <f t="shared" si="149"/>
        <v/>
      </c>
      <c r="AA384" s="75" t="str">
        <f t="shared" si="153"/>
        <v/>
      </c>
      <c r="AB384" s="103" t="str">
        <f t="shared" si="150"/>
        <v/>
      </c>
      <c r="AC384" s="104" t="str">
        <f t="shared" si="161"/>
        <v/>
      </c>
      <c r="AE384" s="139"/>
      <c r="AF384" s="110" t="str">
        <f t="shared" si="154"/>
        <v/>
      </c>
      <c r="AG384" s="111" t="str">
        <f t="shared" si="155"/>
        <v/>
      </c>
      <c r="AH384" s="111" t="str">
        <f t="shared" si="151"/>
        <v/>
      </c>
      <c r="AI384" s="111" t="str">
        <f t="shared" si="156"/>
        <v/>
      </c>
      <c r="AJ384" s="111" t="str">
        <f t="shared" si="157"/>
        <v/>
      </c>
      <c r="AK384" s="112" t="str">
        <f t="shared" si="158"/>
        <v/>
      </c>
      <c r="AL384" t="str">
        <f t="shared" si="159"/>
        <v/>
      </c>
      <c r="AM384" t="str">
        <f t="shared" si="160"/>
        <v/>
      </c>
    </row>
    <row r="385" spans="1:39" ht="15" customHeight="1" x14ac:dyDescent="0.25">
      <c r="A385" s="131"/>
      <c r="B385" s="133"/>
      <c r="C385" s="133"/>
      <c r="D385" s="42" t="str">
        <f t="shared" si="135"/>
        <v/>
      </c>
      <c r="E385" s="43"/>
      <c r="F385" s="135"/>
      <c r="G385" s="77" t="str">
        <f t="shared" si="136"/>
        <v/>
      </c>
      <c r="H385" s="32" t="str">
        <f t="shared" si="137"/>
        <v/>
      </c>
      <c r="I385" s="78" t="str">
        <f t="shared" si="138"/>
        <v/>
      </c>
      <c r="J385" s="70" t="str">
        <f t="shared" si="139"/>
        <v/>
      </c>
      <c r="K385" s="135"/>
      <c r="L385" s="72" t="str">
        <f t="shared" si="140"/>
        <v/>
      </c>
      <c r="M385" s="135"/>
      <c r="N385" s="72" t="str">
        <f t="shared" si="141"/>
        <v/>
      </c>
      <c r="O385" s="135"/>
      <c r="P385" s="136"/>
      <c r="Q385" s="123" t="str">
        <f t="shared" si="142"/>
        <v/>
      </c>
      <c r="R385" s="45" t="str">
        <f t="shared" si="143"/>
        <v/>
      </c>
      <c r="S385" s="137"/>
      <c r="T385" s="79" t="str">
        <f t="shared" si="152"/>
        <v/>
      </c>
      <c r="U385" s="79" t="str">
        <f t="shared" si="144"/>
        <v/>
      </c>
      <c r="V385" s="73" t="str">
        <f t="shared" si="145"/>
        <v/>
      </c>
      <c r="W385" s="80" t="str">
        <f t="shared" si="146"/>
        <v/>
      </c>
      <c r="X385" s="73" t="str">
        <f t="shared" si="147"/>
        <v/>
      </c>
      <c r="Y385" s="80" t="str">
        <f t="shared" si="148"/>
        <v/>
      </c>
      <c r="Z385" s="74" t="str">
        <f t="shared" si="149"/>
        <v/>
      </c>
      <c r="AA385" s="75" t="str">
        <f t="shared" si="153"/>
        <v/>
      </c>
      <c r="AB385" s="103" t="str">
        <f t="shared" si="150"/>
        <v/>
      </c>
      <c r="AC385" s="104" t="str">
        <f t="shared" si="161"/>
        <v/>
      </c>
      <c r="AE385" s="139"/>
      <c r="AF385" s="110" t="str">
        <f t="shared" si="154"/>
        <v/>
      </c>
      <c r="AG385" s="111" t="str">
        <f t="shared" si="155"/>
        <v/>
      </c>
      <c r="AH385" s="111" t="str">
        <f t="shared" si="151"/>
        <v/>
      </c>
      <c r="AI385" s="111" t="str">
        <f t="shared" si="156"/>
        <v/>
      </c>
      <c r="AJ385" s="111" t="str">
        <f t="shared" si="157"/>
        <v/>
      </c>
      <c r="AK385" s="112" t="str">
        <f t="shared" si="158"/>
        <v/>
      </c>
      <c r="AL385" t="str">
        <f t="shared" si="159"/>
        <v/>
      </c>
      <c r="AM385" t="str">
        <f t="shared" si="160"/>
        <v/>
      </c>
    </row>
    <row r="386" spans="1:39" ht="15" customHeight="1" x14ac:dyDescent="0.25">
      <c r="A386" s="131"/>
      <c r="B386" s="133"/>
      <c r="C386" s="133"/>
      <c r="D386" s="42" t="str">
        <f t="shared" si="135"/>
        <v/>
      </c>
      <c r="E386" s="43"/>
      <c r="F386" s="135"/>
      <c r="G386" s="77" t="str">
        <f t="shared" si="136"/>
        <v/>
      </c>
      <c r="H386" s="32" t="str">
        <f t="shared" si="137"/>
        <v/>
      </c>
      <c r="I386" s="78" t="str">
        <f t="shared" si="138"/>
        <v/>
      </c>
      <c r="J386" s="70" t="str">
        <f t="shared" si="139"/>
        <v/>
      </c>
      <c r="K386" s="135"/>
      <c r="L386" s="72" t="str">
        <f t="shared" si="140"/>
        <v/>
      </c>
      <c r="M386" s="135"/>
      <c r="N386" s="72" t="str">
        <f t="shared" si="141"/>
        <v/>
      </c>
      <c r="O386" s="135"/>
      <c r="P386" s="136"/>
      <c r="Q386" s="123" t="str">
        <f t="shared" si="142"/>
        <v/>
      </c>
      <c r="R386" s="45" t="str">
        <f t="shared" si="143"/>
        <v/>
      </c>
      <c r="S386" s="137"/>
      <c r="T386" s="79" t="str">
        <f t="shared" si="152"/>
        <v/>
      </c>
      <c r="U386" s="79" t="str">
        <f t="shared" si="144"/>
        <v/>
      </c>
      <c r="V386" s="73" t="str">
        <f t="shared" si="145"/>
        <v/>
      </c>
      <c r="W386" s="80" t="str">
        <f t="shared" si="146"/>
        <v/>
      </c>
      <c r="X386" s="73" t="str">
        <f t="shared" si="147"/>
        <v/>
      </c>
      <c r="Y386" s="80" t="str">
        <f t="shared" si="148"/>
        <v/>
      </c>
      <c r="Z386" s="74" t="str">
        <f t="shared" si="149"/>
        <v/>
      </c>
      <c r="AA386" s="75" t="str">
        <f t="shared" si="153"/>
        <v/>
      </c>
      <c r="AB386" s="103" t="str">
        <f t="shared" si="150"/>
        <v/>
      </c>
      <c r="AC386" s="104" t="str">
        <f t="shared" si="161"/>
        <v/>
      </c>
      <c r="AE386" s="139"/>
      <c r="AF386" s="110" t="str">
        <f t="shared" si="154"/>
        <v/>
      </c>
      <c r="AG386" s="111" t="str">
        <f t="shared" si="155"/>
        <v/>
      </c>
      <c r="AH386" s="111" t="str">
        <f t="shared" si="151"/>
        <v/>
      </c>
      <c r="AI386" s="111" t="str">
        <f t="shared" si="156"/>
        <v/>
      </c>
      <c r="AJ386" s="111" t="str">
        <f t="shared" si="157"/>
        <v/>
      </c>
      <c r="AK386" s="112" t="str">
        <f t="shared" si="158"/>
        <v/>
      </c>
      <c r="AL386" t="str">
        <f t="shared" si="159"/>
        <v/>
      </c>
      <c r="AM386" t="str">
        <f t="shared" si="160"/>
        <v/>
      </c>
    </row>
    <row r="387" spans="1:39" ht="15" customHeight="1" x14ac:dyDescent="0.25">
      <c r="A387" s="131"/>
      <c r="B387" s="133"/>
      <c r="C387" s="133"/>
      <c r="D387" s="42" t="str">
        <f t="shared" si="135"/>
        <v/>
      </c>
      <c r="E387" s="43"/>
      <c r="F387" s="135"/>
      <c r="G387" s="77" t="str">
        <f t="shared" si="136"/>
        <v/>
      </c>
      <c r="H387" s="32" t="str">
        <f t="shared" si="137"/>
        <v/>
      </c>
      <c r="I387" s="78" t="str">
        <f t="shared" si="138"/>
        <v/>
      </c>
      <c r="J387" s="70" t="str">
        <f t="shared" si="139"/>
        <v/>
      </c>
      <c r="K387" s="135"/>
      <c r="L387" s="72" t="str">
        <f t="shared" si="140"/>
        <v/>
      </c>
      <c r="M387" s="135"/>
      <c r="N387" s="72" t="str">
        <f t="shared" si="141"/>
        <v/>
      </c>
      <c r="O387" s="135"/>
      <c r="P387" s="136"/>
      <c r="Q387" s="123" t="str">
        <f t="shared" si="142"/>
        <v/>
      </c>
      <c r="R387" s="45" t="str">
        <f t="shared" si="143"/>
        <v/>
      </c>
      <c r="S387" s="137"/>
      <c r="T387" s="79" t="str">
        <f t="shared" si="152"/>
        <v/>
      </c>
      <c r="U387" s="79" t="str">
        <f t="shared" si="144"/>
        <v/>
      </c>
      <c r="V387" s="73" t="str">
        <f t="shared" si="145"/>
        <v/>
      </c>
      <c r="W387" s="80" t="str">
        <f t="shared" si="146"/>
        <v/>
      </c>
      <c r="X387" s="73" t="str">
        <f t="shared" si="147"/>
        <v/>
      </c>
      <c r="Y387" s="80" t="str">
        <f t="shared" si="148"/>
        <v/>
      </c>
      <c r="Z387" s="74" t="str">
        <f t="shared" si="149"/>
        <v/>
      </c>
      <c r="AA387" s="75" t="str">
        <f t="shared" si="153"/>
        <v/>
      </c>
      <c r="AB387" s="103" t="str">
        <f t="shared" si="150"/>
        <v/>
      </c>
      <c r="AC387" s="104" t="str">
        <f t="shared" si="161"/>
        <v/>
      </c>
      <c r="AE387" s="139"/>
      <c r="AF387" s="110" t="str">
        <f t="shared" si="154"/>
        <v/>
      </c>
      <c r="AG387" s="111" t="str">
        <f t="shared" si="155"/>
        <v/>
      </c>
      <c r="AH387" s="111" t="str">
        <f t="shared" si="151"/>
        <v/>
      </c>
      <c r="AI387" s="111" t="str">
        <f t="shared" si="156"/>
        <v/>
      </c>
      <c r="AJ387" s="111" t="str">
        <f t="shared" si="157"/>
        <v/>
      </c>
      <c r="AK387" s="112" t="str">
        <f t="shared" si="158"/>
        <v/>
      </c>
      <c r="AL387" t="str">
        <f t="shared" si="159"/>
        <v/>
      </c>
      <c r="AM387" t="str">
        <f t="shared" si="160"/>
        <v/>
      </c>
    </row>
    <row r="388" spans="1:39" ht="15" customHeight="1" x14ac:dyDescent="0.25">
      <c r="A388" s="131"/>
      <c r="B388" s="133"/>
      <c r="C388" s="133"/>
      <c r="D388" s="42" t="str">
        <f t="shared" si="135"/>
        <v/>
      </c>
      <c r="E388" s="43"/>
      <c r="F388" s="135"/>
      <c r="G388" s="77" t="str">
        <f t="shared" si="136"/>
        <v/>
      </c>
      <c r="H388" s="32" t="str">
        <f t="shared" si="137"/>
        <v/>
      </c>
      <c r="I388" s="78" t="str">
        <f t="shared" si="138"/>
        <v/>
      </c>
      <c r="J388" s="70" t="str">
        <f t="shared" si="139"/>
        <v/>
      </c>
      <c r="K388" s="135"/>
      <c r="L388" s="72" t="str">
        <f t="shared" si="140"/>
        <v/>
      </c>
      <c r="M388" s="135"/>
      <c r="N388" s="72" t="str">
        <f t="shared" si="141"/>
        <v/>
      </c>
      <c r="O388" s="135"/>
      <c r="P388" s="136"/>
      <c r="Q388" s="123" t="str">
        <f t="shared" si="142"/>
        <v/>
      </c>
      <c r="R388" s="45" t="str">
        <f t="shared" si="143"/>
        <v/>
      </c>
      <c r="S388" s="137"/>
      <c r="T388" s="79" t="str">
        <f t="shared" si="152"/>
        <v/>
      </c>
      <c r="U388" s="79" t="str">
        <f t="shared" si="144"/>
        <v/>
      </c>
      <c r="V388" s="73" t="str">
        <f t="shared" si="145"/>
        <v/>
      </c>
      <c r="W388" s="80" t="str">
        <f t="shared" si="146"/>
        <v/>
      </c>
      <c r="X388" s="73" t="str">
        <f t="shared" si="147"/>
        <v/>
      </c>
      <c r="Y388" s="80" t="str">
        <f t="shared" si="148"/>
        <v/>
      </c>
      <c r="Z388" s="74" t="str">
        <f t="shared" si="149"/>
        <v/>
      </c>
      <c r="AA388" s="75" t="str">
        <f t="shared" si="153"/>
        <v/>
      </c>
      <c r="AB388" s="103" t="str">
        <f t="shared" si="150"/>
        <v/>
      </c>
      <c r="AC388" s="104" t="str">
        <f t="shared" si="161"/>
        <v/>
      </c>
      <c r="AE388" s="139"/>
      <c r="AF388" s="110" t="str">
        <f t="shared" si="154"/>
        <v/>
      </c>
      <c r="AG388" s="111" t="str">
        <f t="shared" si="155"/>
        <v/>
      </c>
      <c r="AH388" s="111" t="str">
        <f t="shared" si="151"/>
        <v/>
      </c>
      <c r="AI388" s="111" t="str">
        <f t="shared" si="156"/>
        <v/>
      </c>
      <c r="AJ388" s="111" t="str">
        <f t="shared" si="157"/>
        <v/>
      </c>
      <c r="AK388" s="112" t="str">
        <f t="shared" si="158"/>
        <v/>
      </c>
      <c r="AL388" t="str">
        <f t="shared" si="159"/>
        <v/>
      </c>
      <c r="AM388" t="str">
        <f t="shared" si="160"/>
        <v/>
      </c>
    </row>
    <row r="389" spans="1:39" ht="15" customHeight="1" x14ac:dyDescent="0.25">
      <c r="A389" s="131"/>
      <c r="B389" s="133"/>
      <c r="C389" s="133"/>
      <c r="D389" s="42" t="str">
        <f t="shared" si="135"/>
        <v/>
      </c>
      <c r="E389" s="43"/>
      <c r="F389" s="135"/>
      <c r="G389" s="77" t="str">
        <f t="shared" si="136"/>
        <v/>
      </c>
      <c r="H389" s="32" t="str">
        <f t="shared" si="137"/>
        <v/>
      </c>
      <c r="I389" s="78" t="str">
        <f t="shared" si="138"/>
        <v/>
      </c>
      <c r="J389" s="70" t="str">
        <f t="shared" si="139"/>
        <v/>
      </c>
      <c r="K389" s="135"/>
      <c r="L389" s="72" t="str">
        <f t="shared" si="140"/>
        <v/>
      </c>
      <c r="M389" s="135"/>
      <c r="N389" s="72" t="str">
        <f t="shared" si="141"/>
        <v/>
      </c>
      <c r="O389" s="135"/>
      <c r="P389" s="136"/>
      <c r="Q389" s="123" t="str">
        <f t="shared" si="142"/>
        <v/>
      </c>
      <c r="R389" s="45" t="str">
        <f t="shared" si="143"/>
        <v/>
      </c>
      <c r="S389" s="137"/>
      <c r="T389" s="79" t="str">
        <f t="shared" si="152"/>
        <v/>
      </c>
      <c r="U389" s="79" t="str">
        <f t="shared" si="144"/>
        <v/>
      </c>
      <c r="V389" s="73" t="str">
        <f t="shared" si="145"/>
        <v/>
      </c>
      <c r="W389" s="80" t="str">
        <f t="shared" si="146"/>
        <v/>
      </c>
      <c r="X389" s="73" t="str">
        <f t="shared" si="147"/>
        <v/>
      </c>
      <c r="Y389" s="80" t="str">
        <f t="shared" si="148"/>
        <v/>
      </c>
      <c r="Z389" s="74" t="str">
        <f t="shared" si="149"/>
        <v/>
      </c>
      <c r="AA389" s="75" t="str">
        <f t="shared" si="153"/>
        <v/>
      </c>
      <c r="AB389" s="103" t="str">
        <f t="shared" si="150"/>
        <v/>
      </c>
      <c r="AC389" s="104" t="str">
        <f t="shared" si="161"/>
        <v/>
      </c>
      <c r="AE389" s="139"/>
      <c r="AF389" s="110" t="str">
        <f t="shared" si="154"/>
        <v/>
      </c>
      <c r="AG389" s="111" t="str">
        <f t="shared" si="155"/>
        <v/>
      </c>
      <c r="AH389" s="111" t="str">
        <f t="shared" si="151"/>
        <v/>
      </c>
      <c r="AI389" s="111" t="str">
        <f t="shared" si="156"/>
        <v/>
      </c>
      <c r="AJ389" s="111" t="str">
        <f t="shared" si="157"/>
        <v/>
      </c>
      <c r="AK389" s="112" t="str">
        <f t="shared" si="158"/>
        <v/>
      </c>
      <c r="AL389" t="str">
        <f t="shared" si="159"/>
        <v/>
      </c>
      <c r="AM389" t="str">
        <f t="shared" si="160"/>
        <v/>
      </c>
    </row>
    <row r="390" spans="1:39" ht="15" customHeight="1" x14ac:dyDescent="0.25">
      <c r="A390" s="131"/>
      <c r="B390" s="133"/>
      <c r="C390" s="133"/>
      <c r="D390" s="42" t="str">
        <f t="shared" si="135"/>
        <v/>
      </c>
      <c r="E390" s="43"/>
      <c r="F390" s="135"/>
      <c r="G390" s="77" t="str">
        <f t="shared" si="136"/>
        <v/>
      </c>
      <c r="H390" s="32" t="str">
        <f t="shared" si="137"/>
        <v/>
      </c>
      <c r="I390" s="78" t="str">
        <f t="shared" si="138"/>
        <v/>
      </c>
      <c r="J390" s="70" t="str">
        <f t="shared" si="139"/>
        <v/>
      </c>
      <c r="K390" s="135"/>
      <c r="L390" s="72" t="str">
        <f t="shared" si="140"/>
        <v/>
      </c>
      <c r="M390" s="135"/>
      <c r="N390" s="72" t="str">
        <f t="shared" si="141"/>
        <v/>
      </c>
      <c r="O390" s="135"/>
      <c r="P390" s="136"/>
      <c r="Q390" s="123" t="str">
        <f t="shared" si="142"/>
        <v/>
      </c>
      <c r="R390" s="45" t="str">
        <f t="shared" si="143"/>
        <v/>
      </c>
      <c r="S390" s="137"/>
      <c r="T390" s="79" t="str">
        <f t="shared" si="152"/>
        <v/>
      </c>
      <c r="U390" s="79" t="str">
        <f t="shared" si="144"/>
        <v/>
      </c>
      <c r="V390" s="73" t="str">
        <f t="shared" si="145"/>
        <v/>
      </c>
      <c r="W390" s="80" t="str">
        <f t="shared" si="146"/>
        <v/>
      </c>
      <c r="X390" s="73" t="str">
        <f t="shared" si="147"/>
        <v/>
      </c>
      <c r="Y390" s="80" t="str">
        <f t="shared" si="148"/>
        <v/>
      </c>
      <c r="Z390" s="74" t="str">
        <f t="shared" si="149"/>
        <v/>
      </c>
      <c r="AA390" s="75" t="str">
        <f t="shared" si="153"/>
        <v/>
      </c>
      <c r="AB390" s="103" t="str">
        <f t="shared" si="150"/>
        <v/>
      </c>
      <c r="AC390" s="104" t="str">
        <f t="shared" si="161"/>
        <v/>
      </c>
      <c r="AE390" s="139"/>
      <c r="AF390" s="110" t="str">
        <f t="shared" si="154"/>
        <v/>
      </c>
      <c r="AG390" s="111" t="str">
        <f t="shared" si="155"/>
        <v/>
      </c>
      <c r="AH390" s="111" t="str">
        <f t="shared" si="151"/>
        <v/>
      </c>
      <c r="AI390" s="111" t="str">
        <f t="shared" si="156"/>
        <v/>
      </c>
      <c r="AJ390" s="111" t="str">
        <f t="shared" si="157"/>
        <v/>
      </c>
      <c r="AK390" s="112" t="str">
        <f t="shared" si="158"/>
        <v/>
      </c>
      <c r="AL390" t="str">
        <f t="shared" si="159"/>
        <v/>
      </c>
      <c r="AM390" t="str">
        <f t="shared" si="160"/>
        <v/>
      </c>
    </row>
    <row r="391" spans="1:39" ht="15" customHeight="1" x14ac:dyDescent="0.25">
      <c r="A391" s="131"/>
      <c r="B391" s="133"/>
      <c r="C391" s="133"/>
      <c r="D391" s="42" t="str">
        <f t="shared" si="135"/>
        <v/>
      </c>
      <c r="E391" s="43"/>
      <c r="F391" s="135"/>
      <c r="G391" s="77" t="str">
        <f t="shared" si="136"/>
        <v/>
      </c>
      <c r="H391" s="32" t="str">
        <f t="shared" si="137"/>
        <v/>
      </c>
      <c r="I391" s="78" t="str">
        <f t="shared" si="138"/>
        <v/>
      </c>
      <c r="J391" s="70" t="str">
        <f t="shared" si="139"/>
        <v/>
      </c>
      <c r="K391" s="135"/>
      <c r="L391" s="72" t="str">
        <f t="shared" si="140"/>
        <v/>
      </c>
      <c r="M391" s="135"/>
      <c r="N391" s="72" t="str">
        <f t="shared" si="141"/>
        <v/>
      </c>
      <c r="O391" s="135"/>
      <c r="P391" s="136"/>
      <c r="Q391" s="123" t="str">
        <f t="shared" si="142"/>
        <v/>
      </c>
      <c r="R391" s="45" t="str">
        <f t="shared" si="143"/>
        <v/>
      </c>
      <c r="S391" s="137"/>
      <c r="T391" s="79" t="str">
        <f t="shared" si="152"/>
        <v/>
      </c>
      <c r="U391" s="79" t="str">
        <f t="shared" si="144"/>
        <v/>
      </c>
      <c r="V391" s="73" t="str">
        <f t="shared" si="145"/>
        <v/>
      </c>
      <c r="W391" s="80" t="str">
        <f t="shared" si="146"/>
        <v/>
      </c>
      <c r="X391" s="73" t="str">
        <f t="shared" si="147"/>
        <v/>
      </c>
      <c r="Y391" s="80" t="str">
        <f t="shared" si="148"/>
        <v/>
      </c>
      <c r="Z391" s="74" t="str">
        <f t="shared" si="149"/>
        <v/>
      </c>
      <c r="AA391" s="75" t="str">
        <f t="shared" si="153"/>
        <v/>
      </c>
      <c r="AB391" s="103" t="str">
        <f t="shared" si="150"/>
        <v/>
      </c>
      <c r="AC391" s="104" t="str">
        <f t="shared" si="161"/>
        <v/>
      </c>
      <c r="AE391" s="139"/>
      <c r="AF391" s="110" t="str">
        <f t="shared" si="154"/>
        <v/>
      </c>
      <c r="AG391" s="111" t="str">
        <f t="shared" si="155"/>
        <v/>
      </c>
      <c r="AH391" s="111" t="str">
        <f t="shared" si="151"/>
        <v/>
      </c>
      <c r="AI391" s="111" t="str">
        <f t="shared" si="156"/>
        <v/>
      </c>
      <c r="AJ391" s="111" t="str">
        <f t="shared" si="157"/>
        <v/>
      </c>
      <c r="AK391" s="112" t="str">
        <f t="shared" si="158"/>
        <v/>
      </c>
      <c r="AL391" t="str">
        <f t="shared" si="159"/>
        <v/>
      </c>
      <c r="AM391" t="str">
        <f t="shared" si="160"/>
        <v/>
      </c>
    </row>
    <row r="392" spans="1:39" ht="15" customHeight="1" x14ac:dyDescent="0.25">
      <c r="A392" s="131"/>
      <c r="B392" s="133"/>
      <c r="C392" s="133"/>
      <c r="D392" s="42" t="str">
        <f t="shared" ref="D392:D455" si="162">IF(A392="","",B392*C392)</f>
        <v/>
      </c>
      <c r="E392" s="43"/>
      <c r="F392" s="135"/>
      <c r="G392" s="77" t="str">
        <f t="shared" ref="G392:G455" si="163">IF(OR(F392="",C392=0,C392=""),"",F392/C392)</f>
        <v/>
      </c>
      <c r="H392" s="32" t="str">
        <f t="shared" ref="H392:H455" si="164">IF(F392="","",ROUND(F392*$G$1,2))</f>
        <v/>
      </c>
      <c r="I392" s="78" t="str">
        <f t="shared" ref="I392:I455" si="165">IF(OR(H392="",C392=0,C392=""),"",H392/C392)</f>
        <v/>
      </c>
      <c r="J392" s="70" t="str">
        <f t="shared" ref="J392:J455" si="166">IF(A392="","",F392*B392)</f>
        <v/>
      </c>
      <c r="K392" s="135"/>
      <c r="L392" s="72" t="str">
        <f t="shared" ref="L392:L455" si="167">IF(OR(K392=0,C392=0,K392="",C392=""),"",K392/C392)</f>
        <v/>
      </c>
      <c r="M392" s="135"/>
      <c r="N392" s="72" t="str">
        <f t="shared" ref="N392:N455" si="168">IF(OR(M392=0,C392=0,M392="",C392=""),"",M392/C392)</f>
        <v/>
      </c>
      <c r="O392" s="135"/>
      <c r="P392" s="136"/>
      <c r="Q392" s="123" t="str">
        <f t="shared" ref="Q392:Q455" si="169">IF(A392="","",IF(S392&gt;0,IF(J392&gt;0,S392/J392,0),IF(E392&gt;0,0,IF($I$2&gt;0,IF($I$3&gt;0,MAX($I$2-SUM($S$8:$S$1007),0)/$I$3,0),$I$1))))</f>
        <v/>
      </c>
      <c r="R392" s="45" t="str">
        <f t="shared" ref="R392:R455" si="170">IF(A392="","",IF(S392&gt;0,S392,IF(E392&gt;0,0,J392*IF($I$2&gt;0,IF($I$3&gt;0,MAX($I$2-SUM($S$8:$S$1007),0)/$I$3,0),$I$1))))</f>
        <v/>
      </c>
      <c r="S392" s="137"/>
      <c r="T392" s="79" t="str">
        <f t="shared" si="152"/>
        <v/>
      </c>
      <c r="U392" s="79" t="str">
        <f t="shared" ref="U392:U455" si="171">IF(OR(A392="",T392=""),"",T392*C392)</f>
        <v/>
      </c>
      <c r="V392" s="73" t="str">
        <f t="shared" ref="V392:V455" si="172">IF(OR(A392="",K392&lt;=0,U392=""),"",(K392-U392)/K392)</f>
        <v/>
      </c>
      <c r="W392" s="80" t="str">
        <f t="shared" ref="W392:W455" si="173">IF(OR(K392=0,U392=0,K392="",U392=""),"",K392-U392)</f>
        <v/>
      </c>
      <c r="X392" s="73" t="str">
        <f t="shared" ref="X392:X455" si="174">IF(OR(A392="",M392&lt;=0,U392=""),"",(M392-U392)/M392)</f>
        <v/>
      </c>
      <c r="Y392" s="80" t="str">
        <f t="shared" ref="Y392:Y455" si="175">IF(OR(M392=0,U392=0,M392="",U392=""),"",M392-U392)</f>
        <v/>
      </c>
      <c r="Z392" s="74" t="str">
        <f t="shared" ref="Z392:Z455" si="176">IF(OR(J392="",J392=0,$M$5="",$K$1=0),"",($M$5/$K$1)*J392)</f>
        <v/>
      </c>
      <c r="AA392" s="75" t="str">
        <f t="shared" si="153"/>
        <v/>
      </c>
      <c r="AB392" s="103" t="str">
        <f t="shared" ref="AB392:AB455" si="177">IF(OR(T392=0,T392="",D392=0,D392=""),"",T392*(D392+E392))</f>
        <v/>
      </c>
      <c r="AC392" s="104" t="str">
        <f t="shared" si="161"/>
        <v/>
      </c>
      <c r="AE392" s="139"/>
      <c r="AF392" s="110" t="str">
        <f t="shared" si="154"/>
        <v/>
      </c>
      <c r="AG392" s="111" t="str">
        <f t="shared" si="155"/>
        <v/>
      </c>
      <c r="AH392" s="111" t="str">
        <f t="shared" ref="AH392:AH455" si="178">IF(AG392="","",AG392*$AF$1+IF(SUM($AG$8:$AG$1007)=0,0,$AF$2*AG392/SUM($AG$8:$AG$1007)))</f>
        <v/>
      </c>
      <c r="AI392" s="111" t="str">
        <f t="shared" si="156"/>
        <v/>
      </c>
      <c r="AJ392" s="111" t="str">
        <f t="shared" si="157"/>
        <v/>
      </c>
      <c r="AK392" s="112" t="str">
        <f t="shared" si="158"/>
        <v/>
      </c>
      <c r="AL392" t="str">
        <f t="shared" si="159"/>
        <v/>
      </c>
      <c r="AM392" t="str">
        <f t="shared" si="160"/>
        <v/>
      </c>
    </row>
    <row r="393" spans="1:39" ht="15" customHeight="1" x14ac:dyDescent="0.25">
      <c r="A393" s="131"/>
      <c r="B393" s="133"/>
      <c r="C393" s="133"/>
      <c r="D393" s="42" t="str">
        <f t="shared" si="162"/>
        <v/>
      </c>
      <c r="E393" s="43"/>
      <c r="F393" s="135"/>
      <c r="G393" s="77" t="str">
        <f t="shared" si="163"/>
        <v/>
      </c>
      <c r="H393" s="32" t="str">
        <f t="shared" si="164"/>
        <v/>
      </c>
      <c r="I393" s="78" t="str">
        <f t="shared" si="165"/>
        <v/>
      </c>
      <c r="J393" s="70" t="str">
        <f t="shared" si="166"/>
        <v/>
      </c>
      <c r="K393" s="135"/>
      <c r="L393" s="72" t="str">
        <f t="shared" si="167"/>
        <v/>
      </c>
      <c r="M393" s="135"/>
      <c r="N393" s="72" t="str">
        <f t="shared" si="168"/>
        <v/>
      </c>
      <c r="O393" s="135"/>
      <c r="P393" s="136"/>
      <c r="Q393" s="123" t="str">
        <f t="shared" si="169"/>
        <v/>
      </c>
      <c r="R393" s="45" t="str">
        <f t="shared" si="170"/>
        <v/>
      </c>
      <c r="S393" s="137"/>
      <c r="T393" s="79" t="str">
        <f t="shared" ref="T393:T456" si="179">IF(A393="","",IF(OR(B393=0,B393="",C393&lt;=0,D393+E393&lt;=0),"",((F393+H393)*B393+(H393/C393)*E393-R393)/(D393+E393)-IF(Z393&gt;=0,Z393/D393,0)+IF(ISNUMBER(AA393),AA393/(D393+E393),0)))</f>
        <v/>
      </c>
      <c r="U393" s="79" t="str">
        <f t="shared" si="171"/>
        <v/>
      </c>
      <c r="V393" s="73" t="str">
        <f t="shared" si="172"/>
        <v/>
      </c>
      <c r="W393" s="80" t="str">
        <f t="shared" si="173"/>
        <v/>
      </c>
      <c r="X393" s="73" t="str">
        <f t="shared" si="174"/>
        <v/>
      </c>
      <c r="Y393" s="80" t="str">
        <f t="shared" si="175"/>
        <v/>
      </c>
      <c r="Z393" s="74" t="str">
        <f t="shared" si="176"/>
        <v/>
      </c>
      <c r="AA393" s="75" t="str">
        <f t="shared" ref="AA393:AA456" si="180">IF(OR(J393="",J393=0,($G$3-$I$4)=0),"",($K$3/($G$3-$I$4))*(J393-R393))</f>
        <v/>
      </c>
      <c r="AB393" s="103" t="str">
        <f t="shared" si="177"/>
        <v/>
      </c>
      <c r="AC393" s="104" t="str">
        <f t="shared" si="161"/>
        <v/>
      </c>
      <c r="AE393" s="139"/>
      <c r="AF393" s="110" t="str">
        <f t="shared" ref="AF393:AF456" si="181">IF(AE393="","",T393)</f>
        <v/>
      </c>
      <c r="AG393" s="111" t="str">
        <f t="shared" ref="AG393:AG456" si="182">IF(OR(AE393="",AF393=""),"",AE393*AF393)</f>
        <v/>
      </c>
      <c r="AH393" s="111" t="str">
        <f t="shared" si="178"/>
        <v/>
      </c>
      <c r="AI393" s="111" t="str">
        <f t="shared" ref="AI393:AI456" si="183">IF(AG393="","",AG393-AH393)</f>
        <v/>
      </c>
      <c r="AJ393" s="111" t="str">
        <f t="shared" ref="AJ393:AJ456" si="184">IF(AI393="","",AK393-AI393)</f>
        <v/>
      </c>
      <c r="AK393" s="112" t="str">
        <f t="shared" ref="AK393:AK456" si="185">IF(AI393="","",ROUND(AI393,0))</f>
        <v/>
      </c>
      <c r="AL393" t="str">
        <f t="shared" ref="AL393:AL456" si="186">IF(OR(AE393=0,AE393=""),"",AH393/AE393)</f>
        <v/>
      </c>
      <c r="AM393" t="str">
        <f t="shared" ref="AM393:AM456" si="187">IF(OR(AE393=0,AE393=""),"",AF393*C393)</f>
        <v/>
      </c>
    </row>
    <row r="394" spans="1:39" ht="15" customHeight="1" x14ac:dyDescent="0.25">
      <c r="A394" s="131"/>
      <c r="B394" s="133"/>
      <c r="C394" s="133"/>
      <c r="D394" s="42" t="str">
        <f t="shared" si="162"/>
        <v/>
      </c>
      <c r="E394" s="43"/>
      <c r="F394" s="135"/>
      <c r="G394" s="77" t="str">
        <f t="shared" si="163"/>
        <v/>
      </c>
      <c r="H394" s="32" t="str">
        <f t="shared" si="164"/>
        <v/>
      </c>
      <c r="I394" s="78" t="str">
        <f t="shared" si="165"/>
        <v/>
      </c>
      <c r="J394" s="70" t="str">
        <f t="shared" si="166"/>
        <v/>
      </c>
      <c r="K394" s="135"/>
      <c r="L394" s="72" t="str">
        <f t="shared" si="167"/>
        <v/>
      </c>
      <c r="M394" s="135"/>
      <c r="N394" s="72" t="str">
        <f t="shared" si="168"/>
        <v/>
      </c>
      <c r="O394" s="135"/>
      <c r="P394" s="136"/>
      <c r="Q394" s="123" t="str">
        <f t="shared" si="169"/>
        <v/>
      </c>
      <c r="R394" s="45" t="str">
        <f t="shared" si="170"/>
        <v/>
      </c>
      <c r="S394" s="137"/>
      <c r="T394" s="79" t="str">
        <f t="shared" si="179"/>
        <v/>
      </c>
      <c r="U394" s="79" t="str">
        <f t="shared" si="171"/>
        <v/>
      </c>
      <c r="V394" s="73" t="str">
        <f t="shared" si="172"/>
        <v/>
      </c>
      <c r="W394" s="80" t="str">
        <f t="shared" si="173"/>
        <v/>
      </c>
      <c r="X394" s="73" t="str">
        <f t="shared" si="174"/>
        <v/>
      </c>
      <c r="Y394" s="80" t="str">
        <f t="shared" si="175"/>
        <v/>
      </c>
      <c r="Z394" s="74" t="str">
        <f t="shared" si="176"/>
        <v/>
      </c>
      <c r="AA394" s="75" t="str">
        <f t="shared" si="180"/>
        <v/>
      </c>
      <c r="AB394" s="103" t="str">
        <f t="shared" si="177"/>
        <v/>
      </c>
      <c r="AC394" s="104" t="str">
        <f t="shared" ref="AC394:AC457" si="188">IF(OR(A394="",J394="",C394&lt;=0, B394=0),"",J394+H394*B394+(H394/C394)*E394)</f>
        <v/>
      </c>
      <c r="AE394" s="139"/>
      <c r="AF394" s="110" t="str">
        <f t="shared" si="181"/>
        <v/>
      </c>
      <c r="AG394" s="111" t="str">
        <f t="shared" si="182"/>
        <v/>
      </c>
      <c r="AH394" s="111" t="str">
        <f t="shared" si="178"/>
        <v/>
      </c>
      <c r="AI394" s="111" t="str">
        <f t="shared" si="183"/>
        <v/>
      </c>
      <c r="AJ394" s="111" t="str">
        <f t="shared" si="184"/>
        <v/>
      </c>
      <c r="AK394" s="112" t="str">
        <f t="shared" si="185"/>
        <v/>
      </c>
      <c r="AL394" t="str">
        <f t="shared" si="186"/>
        <v/>
      </c>
      <c r="AM394" t="str">
        <f t="shared" si="187"/>
        <v/>
      </c>
    </row>
    <row r="395" spans="1:39" ht="15" customHeight="1" x14ac:dyDescent="0.25">
      <c r="A395" s="131"/>
      <c r="B395" s="133"/>
      <c r="C395" s="133"/>
      <c r="D395" s="42" t="str">
        <f t="shared" si="162"/>
        <v/>
      </c>
      <c r="E395" s="43"/>
      <c r="F395" s="135"/>
      <c r="G395" s="77" t="str">
        <f t="shared" si="163"/>
        <v/>
      </c>
      <c r="H395" s="32" t="str">
        <f t="shared" si="164"/>
        <v/>
      </c>
      <c r="I395" s="78" t="str">
        <f t="shared" si="165"/>
        <v/>
      </c>
      <c r="J395" s="70" t="str">
        <f t="shared" si="166"/>
        <v/>
      </c>
      <c r="K395" s="135"/>
      <c r="L395" s="72" t="str">
        <f t="shared" si="167"/>
        <v/>
      </c>
      <c r="M395" s="135"/>
      <c r="N395" s="72" t="str">
        <f t="shared" si="168"/>
        <v/>
      </c>
      <c r="O395" s="135"/>
      <c r="P395" s="136"/>
      <c r="Q395" s="123" t="str">
        <f t="shared" si="169"/>
        <v/>
      </c>
      <c r="R395" s="45" t="str">
        <f t="shared" si="170"/>
        <v/>
      </c>
      <c r="S395" s="137"/>
      <c r="T395" s="79" t="str">
        <f t="shared" si="179"/>
        <v/>
      </c>
      <c r="U395" s="79" t="str">
        <f t="shared" si="171"/>
        <v/>
      </c>
      <c r="V395" s="73" t="str">
        <f t="shared" si="172"/>
        <v/>
      </c>
      <c r="W395" s="80" t="str">
        <f t="shared" si="173"/>
        <v/>
      </c>
      <c r="X395" s="73" t="str">
        <f t="shared" si="174"/>
        <v/>
      </c>
      <c r="Y395" s="80" t="str">
        <f t="shared" si="175"/>
        <v/>
      </c>
      <c r="Z395" s="74" t="str">
        <f t="shared" si="176"/>
        <v/>
      </c>
      <c r="AA395" s="75" t="str">
        <f t="shared" si="180"/>
        <v/>
      </c>
      <c r="AB395" s="103" t="str">
        <f t="shared" si="177"/>
        <v/>
      </c>
      <c r="AC395" s="104" t="str">
        <f t="shared" si="188"/>
        <v/>
      </c>
      <c r="AE395" s="139"/>
      <c r="AF395" s="110" t="str">
        <f t="shared" si="181"/>
        <v/>
      </c>
      <c r="AG395" s="111" t="str">
        <f t="shared" si="182"/>
        <v/>
      </c>
      <c r="AH395" s="111" t="str">
        <f t="shared" si="178"/>
        <v/>
      </c>
      <c r="AI395" s="111" t="str">
        <f t="shared" si="183"/>
        <v/>
      </c>
      <c r="AJ395" s="111" t="str">
        <f t="shared" si="184"/>
        <v/>
      </c>
      <c r="AK395" s="112" t="str">
        <f t="shared" si="185"/>
        <v/>
      </c>
      <c r="AL395" t="str">
        <f t="shared" si="186"/>
        <v/>
      </c>
      <c r="AM395" t="str">
        <f t="shared" si="187"/>
        <v/>
      </c>
    </row>
    <row r="396" spans="1:39" ht="15" customHeight="1" x14ac:dyDescent="0.25">
      <c r="A396" s="131"/>
      <c r="B396" s="133"/>
      <c r="C396" s="133"/>
      <c r="D396" s="42" t="str">
        <f t="shared" si="162"/>
        <v/>
      </c>
      <c r="E396" s="43"/>
      <c r="F396" s="135"/>
      <c r="G396" s="77" t="str">
        <f t="shared" si="163"/>
        <v/>
      </c>
      <c r="H396" s="32" t="str">
        <f t="shared" si="164"/>
        <v/>
      </c>
      <c r="I396" s="78" t="str">
        <f t="shared" si="165"/>
        <v/>
      </c>
      <c r="J396" s="70" t="str">
        <f t="shared" si="166"/>
        <v/>
      </c>
      <c r="K396" s="135"/>
      <c r="L396" s="72" t="str">
        <f t="shared" si="167"/>
        <v/>
      </c>
      <c r="M396" s="135"/>
      <c r="N396" s="72" t="str">
        <f t="shared" si="168"/>
        <v/>
      </c>
      <c r="O396" s="135"/>
      <c r="P396" s="136"/>
      <c r="Q396" s="123" t="str">
        <f t="shared" si="169"/>
        <v/>
      </c>
      <c r="R396" s="45" t="str">
        <f t="shared" si="170"/>
        <v/>
      </c>
      <c r="S396" s="137"/>
      <c r="T396" s="79" t="str">
        <f t="shared" si="179"/>
        <v/>
      </c>
      <c r="U396" s="79" t="str">
        <f t="shared" si="171"/>
        <v/>
      </c>
      <c r="V396" s="73" t="str">
        <f t="shared" si="172"/>
        <v/>
      </c>
      <c r="W396" s="80" t="str">
        <f t="shared" si="173"/>
        <v/>
      </c>
      <c r="X396" s="73" t="str">
        <f t="shared" si="174"/>
        <v/>
      </c>
      <c r="Y396" s="80" t="str">
        <f t="shared" si="175"/>
        <v/>
      </c>
      <c r="Z396" s="74" t="str">
        <f t="shared" si="176"/>
        <v/>
      </c>
      <c r="AA396" s="75" t="str">
        <f t="shared" si="180"/>
        <v/>
      </c>
      <c r="AB396" s="103" t="str">
        <f t="shared" si="177"/>
        <v/>
      </c>
      <c r="AC396" s="104" t="str">
        <f t="shared" si="188"/>
        <v/>
      </c>
      <c r="AE396" s="139"/>
      <c r="AF396" s="110" t="str">
        <f t="shared" si="181"/>
        <v/>
      </c>
      <c r="AG396" s="111" t="str">
        <f t="shared" si="182"/>
        <v/>
      </c>
      <c r="AH396" s="111" t="str">
        <f t="shared" si="178"/>
        <v/>
      </c>
      <c r="AI396" s="111" t="str">
        <f t="shared" si="183"/>
        <v/>
      </c>
      <c r="AJ396" s="111" t="str">
        <f t="shared" si="184"/>
        <v/>
      </c>
      <c r="AK396" s="112" t="str">
        <f t="shared" si="185"/>
        <v/>
      </c>
      <c r="AL396" t="str">
        <f t="shared" si="186"/>
        <v/>
      </c>
      <c r="AM396" t="str">
        <f t="shared" si="187"/>
        <v/>
      </c>
    </row>
    <row r="397" spans="1:39" ht="15" customHeight="1" x14ac:dyDescent="0.25">
      <c r="A397" s="131"/>
      <c r="B397" s="133"/>
      <c r="C397" s="133"/>
      <c r="D397" s="42" t="str">
        <f t="shared" si="162"/>
        <v/>
      </c>
      <c r="E397" s="43"/>
      <c r="F397" s="135"/>
      <c r="G397" s="77" t="str">
        <f t="shared" si="163"/>
        <v/>
      </c>
      <c r="H397" s="32" t="str">
        <f t="shared" si="164"/>
        <v/>
      </c>
      <c r="I397" s="78" t="str">
        <f t="shared" si="165"/>
        <v/>
      </c>
      <c r="J397" s="70" t="str">
        <f t="shared" si="166"/>
        <v/>
      </c>
      <c r="K397" s="135"/>
      <c r="L397" s="72" t="str">
        <f t="shared" si="167"/>
        <v/>
      </c>
      <c r="M397" s="135"/>
      <c r="N397" s="72" t="str">
        <f t="shared" si="168"/>
        <v/>
      </c>
      <c r="O397" s="135"/>
      <c r="P397" s="136"/>
      <c r="Q397" s="123" t="str">
        <f t="shared" si="169"/>
        <v/>
      </c>
      <c r="R397" s="45" t="str">
        <f t="shared" si="170"/>
        <v/>
      </c>
      <c r="S397" s="137"/>
      <c r="T397" s="79" t="str">
        <f t="shared" si="179"/>
        <v/>
      </c>
      <c r="U397" s="79" t="str">
        <f t="shared" si="171"/>
        <v/>
      </c>
      <c r="V397" s="73" t="str">
        <f t="shared" si="172"/>
        <v/>
      </c>
      <c r="W397" s="80" t="str">
        <f t="shared" si="173"/>
        <v/>
      </c>
      <c r="X397" s="73" t="str">
        <f t="shared" si="174"/>
        <v/>
      </c>
      <c r="Y397" s="80" t="str">
        <f t="shared" si="175"/>
        <v/>
      </c>
      <c r="Z397" s="74" t="str">
        <f t="shared" si="176"/>
        <v/>
      </c>
      <c r="AA397" s="75" t="str">
        <f t="shared" si="180"/>
        <v/>
      </c>
      <c r="AB397" s="103" t="str">
        <f t="shared" si="177"/>
        <v/>
      </c>
      <c r="AC397" s="104" t="str">
        <f t="shared" si="188"/>
        <v/>
      </c>
      <c r="AE397" s="139"/>
      <c r="AF397" s="110" t="str">
        <f t="shared" si="181"/>
        <v/>
      </c>
      <c r="AG397" s="111" t="str">
        <f t="shared" si="182"/>
        <v/>
      </c>
      <c r="AH397" s="111" t="str">
        <f t="shared" si="178"/>
        <v/>
      </c>
      <c r="AI397" s="111" t="str">
        <f t="shared" si="183"/>
        <v/>
      </c>
      <c r="AJ397" s="111" t="str">
        <f t="shared" si="184"/>
        <v/>
      </c>
      <c r="AK397" s="112" t="str">
        <f t="shared" si="185"/>
        <v/>
      </c>
      <c r="AL397" t="str">
        <f t="shared" si="186"/>
        <v/>
      </c>
      <c r="AM397" t="str">
        <f t="shared" si="187"/>
        <v/>
      </c>
    </row>
    <row r="398" spans="1:39" ht="15" customHeight="1" x14ac:dyDescent="0.25">
      <c r="A398" s="131"/>
      <c r="B398" s="133"/>
      <c r="C398" s="133"/>
      <c r="D398" s="42" t="str">
        <f t="shared" si="162"/>
        <v/>
      </c>
      <c r="E398" s="43"/>
      <c r="F398" s="135"/>
      <c r="G398" s="77" t="str">
        <f t="shared" si="163"/>
        <v/>
      </c>
      <c r="H398" s="32" t="str">
        <f t="shared" si="164"/>
        <v/>
      </c>
      <c r="I398" s="78" t="str">
        <f t="shared" si="165"/>
        <v/>
      </c>
      <c r="J398" s="70" t="str">
        <f t="shared" si="166"/>
        <v/>
      </c>
      <c r="K398" s="135"/>
      <c r="L398" s="72" t="str">
        <f t="shared" si="167"/>
        <v/>
      </c>
      <c r="M398" s="135"/>
      <c r="N398" s="72" t="str">
        <f t="shared" si="168"/>
        <v/>
      </c>
      <c r="O398" s="135"/>
      <c r="P398" s="136"/>
      <c r="Q398" s="123" t="str">
        <f t="shared" si="169"/>
        <v/>
      </c>
      <c r="R398" s="45" t="str">
        <f t="shared" si="170"/>
        <v/>
      </c>
      <c r="S398" s="137"/>
      <c r="T398" s="79" t="str">
        <f t="shared" si="179"/>
        <v/>
      </c>
      <c r="U398" s="79" t="str">
        <f t="shared" si="171"/>
        <v/>
      </c>
      <c r="V398" s="73" t="str">
        <f t="shared" si="172"/>
        <v/>
      </c>
      <c r="W398" s="80" t="str">
        <f t="shared" si="173"/>
        <v/>
      </c>
      <c r="X398" s="73" t="str">
        <f t="shared" si="174"/>
        <v/>
      </c>
      <c r="Y398" s="80" t="str">
        <f t="shared" si="175"/>
        <v/>
      </c>
      <c r="Z398" s="74" t="str">
        <f t="shared" si="176"/>
        <v/>
      </c>
      <c r="AA398" s="75" t="str">
        <f t="shared" si="180"/>
        <v/>
      </c>
      <c r="AB398" s="103" t="str">
        <f t="shared" si="177"/>
        <v/>
      </c>
      <c r="AC398" s="104" t="str">
        <f t="shared" si="188"/>
        <v/>
      </c>
      <c r="AE398" s="139"/>
      <c r="AF398" s="110" t="str">
        <f t="shared" si="181"/>
        <v/>
      </c>
      <c r="AG398" s="111" t="str">
        <f t="shared" si="182"/>
        <v/>
      </c>
      <c r="AH398" s="111" t="str">
        <f t="shared" si="178"/>
        <v/>
      </c>
      <c r="AI398" s="111" t="str">
        <f t="shared" si="183"/>
        <v/>
      </c>
      <c r="AJ398" s="111" t="str">
        <f t="shared" si="184"/>
        <v/>
      </c>
      <c r="AK398" s="112" t="str">
        <f t="shared" si="185"/>
        <v/>
      </c>
      <c r="AL398" t="str">
        <f t="shared" si="186"/>
        <v/>
      </c>
      <c r="AM398" t="str">
        <f t="shared" si="187"/>
        <v/>
      </c>
    </row>
    <row r="399" spans="1:39" ht="15" customHeight="1" x14ac:dyDescent="0.25">
      <c r="A399" s="131"/>
      <c r="B399" s="133"/>
      <c r="C399" s="133"/>
      <c r="D399" s="42" t="str">
        <f t="shared" si="162"/>
        <v/>
      </c>
      <c r="E399" s="43"/>
      <c r="F399" s="135"/>
      <c r="G399" s="77" t="str">
        <f t="shared" si="163"/>
        <v/>
      </c>
      <c r="H399" s="32" t="str">
        <f t="shared" si="164"/>
        <v/>
      </c>
      <c r="I399" s="78" t="str">
        <f t="shared" si="165"/>
        <v/>
      </c>
      <c r="J399" s="70" t="str">
        <f t="shared" si="166"/>
        <v/>
      </c>
      <c r="K399" s="135"/>
      <c r="L399" s="72" t="str">
        <f t="shared" si="167"/>
        <v/>
      </c>
      <c r="M399" s="135"/>
      <c r="N399" s="72" t="str">
        <f t="shared" si="168"/>
        <v/>
      </c>
      <c r="O399" s="135"/>
      <c r="P399" s="136"/>
      <c r="Q399" s="123" t="str">
        <f t="shared" si="169"/>
        <v/>
      </c>
      <c r="R399" s="45" t="str">
        <f t="shared" si="170"/>
        <v/>
      </c>
      <c r="S399" s="137"/>
      <c r="T399" s="79" t="str">
        <f t="shared" si="179"/>
        <v/>
      </c>
      <c r="U399" s="79" t="str">
        <f t="shared" si="171"/>
        <v/>
      </c>
      <c r="V399" s="73" t="str">
        <f t="shared" si="172"/>
        <v/>
      </c>
      <c r="W399" s="80" t="str">
        <f t="shared" si="173"/>
        <v/>
      </c>
      <c r="X399" s="73" t="str">
        <f t="shared" si="174"/>
        <v/>
      </c>
      <c r="Y399" s="80" t="str">
        <f t="shared" si="175"/>
        <v/>
      </c>
      <c r="Z399" s="74" t="str">
        <f t="shared" si="176"/>
        <v/>
      </c>
      <c r="AA399" s="75" t="str">
        <f t="shared" si="180"/>
        <v/>
      </c>
      <c r="AB399" s="103" t="str">
        <f t="shared" si="177"/>
        <v/>
      </c>
      <c r="AC399" s="104" t="str">
        <f t="shared" si="188"/>
        <v/>
      </c>
      <c r="AE399" s="139"/>
      <c r="AF399" s="110" t="str">
        <f t="shared" si="181"/>
        <v/>
      </c>
      <c r="AG399" s="111" t="str">
        <f t="shared" si="182"/>
        <v/>
      </c>
      <c r="AH399" s="111" t="str">
        <f t="shared" si="178"/>
        <v/>
      </c>
      <c r="AI399" s="111" t="str">
        <f t="shared" si="183"/>
        <v/>
      </c>
      <c r="AJ399" s="111" t="str">
        <f t="shared" si="184"/>
        <v/>
      </c>
      <c r="AK399" s="112" t="str">
        <f t="shared" si="185"/>
        <v/>
      </c>
      <c r="AL399" t="str">
        <f t="shared" si="186"/>
        <v/>
      </c>
      <c r="AM399" t="str">
        <f t="shared" si="187"/>
        <v/>
      </c>
    </row>
    <row r="400" spans="1:39" ht="15" customHeight="1" x14ac:dyDescent="0.25">
      <c r="A400" s="131"/>
      <c r="B400" s="133"/>
      <c r="C400" s="133"/>
      <c r="D400" s="42" t="str">
        <f t="shared" si="162"/>
        <v/>
      </c>
      <c r="E400" s="43"/>
      <c r="F400" s="135"/>
      <c r="G400" s="77" t="str">
        <f t="shared" si="163"/>
        <v/>
      </c>
      <c r="H400" s="32" t="str">
        <f t="shared" si="164"/>
        <v/>
      </c>
      <c r="I400" s="78" t="str">
        <f t="shared" si="165"/>
        <v/>
      </c>
      <c r="J400" s="70" t="str">
        <f t="shared" si="166"/>
        <v/>
      </c>
      <c r="K400" s="135"/>
      <c r="L400" s="72" t="str">
        <f t="shared" si="167"/>
        <v/>
      </c>
      <c r="M400" s="135"/>
      <c r="N400" s="72" t="str">
        <f t="shared" si="168"/>
        <v/>
      </c>
      <c r="O400" s="135"/>
      <c r="P400" s="136"/>
      <c r="Q400" s="123" t="str">
        <f t="shared" si="169"/>
        <v/>
      </c>
      <c r="R400" s="45" t="str">
        <f t="shared" si="170"/>
        <v/>
      </c>
      <c r="S400" s="137"/>
      <c r="T400" s="79" t="str">
        <f t="shared" si="179"/>
        <v/>
      </c>
      <c r="U400" s="79" t="str">
        <f t="shared" si="171"/>
        <v/>
      </c>
      <c r="V400" s="73" t="str">
        <f t="shared" si="172"/>
        <v/>
      </c>
      <c r="W400" s="80" t="str">
        <f t="shared" si="173"/>
        <v/>
      </c>
      <c r="X400" s="73" t="str">
        <f t="shared" si="174"/>
        <v/>
      </c>
      <c r="Y400" s="80" t="str">
        <f t="shared" si="175"/>
        <v/>
      </c>
      <c r="Z400" s="74" t="str">
        <f t="shared" si="176"/>
        <v/>
      </c>
      <c r="AA400" s="75" t="str">
        <f t="shared" si="180"/>
        <v/>
      </c>
      <c r="AB400" s="103" t="str">
        <f t="shared" si="177"/>
        <v/>
      </c>
      <c r="AC400" s="104" t="str">
        <f t="shared" si="188"/>
        <v/>
      </c>
      <c r="AE400" s="139"/>
      <c r="AF400" s="110" t="str">
        <f t="shared" si="181"/>
        <v/>
      </c>
      <c r="AG400" s="111" t="str">
        <f t="shared" si="182"/>
        <v/>
      </c>
      <c r="AH400" s="111" t="str">
        <f t="shared" si="178"/>
        <v/>
      </c>
      <c r="AI400" s="111" t="str">
        <f t="shared" si="183"/>
        <v/>
      </c>
      <c r="AJ400" s="111" t="str">
        <f t="shared" si="184"/>
        <v/>
      </c>
      <c r="AK400" s="112" t="str">
        <f t="shared" si="185"/>
        <v/>
      </c>
      <c r="AL400" t="str">
        <f t="shared" si="186"/>
        <v/>
      </c>
      <c r="AM400" t="str">
        <f t="shared" si="187"/>
        <v/>
      </c>
    </row>
    <row r="401" spans="1:39" ht="15" customHeight="1" x14ac:dyDescent="0.25">
      <c r="A401" s="131"/>
      <c r="B401" s="133"/>
      <c r="C401" s="133"/>
      <c r="D401" s="42" t="str">
        <f t="shared" si="162"/>
        <v/>
      </c>
      <c r="E401" s="43"/>
      <c r="F401" s="135"/>
      <c r="G401" s="77" t="str">
        <f t="shared" si="163"/>
        <v/>
      </c>
      <c r="H401" s="32" t="str">
        <f t="shared" si="164"/>
        <v/>
      </c>
      <c r="I401" s="78" t="str">
        <f t="shared" si="165"/>
        <v/>
      </c>
      <c r="J401" s="70" t="str">
        <f t="shared" si="166"/>
        <v/>
      </c>
      <c r="K401" s="135"/>
      <c r="L401" s="72" t="str">
        <f t="shared" si="167"/>
        <v/>
      </c>
      <c r="M401" s="135"/>
      <c r="N401" s="72" t="str">
        <f t="shared" si="168"/>
        <v/>
      </c>
      <c r="O401" s="135"/>
      <c r="P401" s="136"/>
      <c r="Q401" s="123" t="str">
        <f t="shared" si="169"/>
        <v/>
      </c>
      <c r="R401" s="45" t="str">
        <f t="shared" si="170"/>
        <v/>
      </c>
      <c r="S401" s="137"/>
      <c r="T401" s="79" t="str">
        <f t="shared" si="179"/>
        <v/>
      </c>
      <c r="U401" s="79" t="str">
        <f t="shared" si="171"/>
        <v/>
      </c>
      <c r="V401" s="73" t="str">
        <f t="shared" si="172"/>
        <v/>
      </c>
      <c r="W401" s="80" t="str">
        <f t="shared" si="173"/>
        <v/>
      </c>
      <c r="X401" s="73" t="str">
        <f t="shared" si="174"/>
        <v/>
      </c>
      <c r="Y401" s="80" t="str">
        <f t="shared" si="175"/>
        <v/>
      </c>
      <c r="Z401" s="74" t="str">
        <f t="shared" si="176"/>
        <v/>
      </c>
      <c r="AA401" s="75" t="str">
        <f t="shared" si="180"/>
        <v/>
      </c>
      <c r="AB401" s="103" t="str">
        <f t="shared" si="177"/>
        <v/>
      </c>
      <c r="AC401" s="104" t="str">
        <f t="shared" si="188"/>
        <v/>
      </c>
      <c r="AE401" s="139"/>
      <c r="AF401" s="110" t="str">
        <f t="shared" si="181"/>
        <v/>
      </c>
      <c r="AG401" s="111" t="str">
        <f t="shared" si="182"/>
        <v/>
      </c>
      <c r="AH401" s="111" t="str">
        <f t="shared" si="178"/>
        <v/>
      </c>
      <c r="AI401" s="111" t="str">
        <f t="shared" si="183"/>
        <v/>
      </c>
      <c r="AJ401" s="111" t="str">
        <f t="shared" si="184"/>
        <v/>
      </c>
      <c r="AK401" s="112" t="str">
        <f t="shared" si="185"/>
        <v/>
      </c>
      <c r="AL401" t="str">
        <f t="shared" si="186"/>
        <v/>
      </c>
      <c r="AM401" t="str">
        <f t="shared" si="187"/>
        <v/>
      </c>
    </row>
    <row r="402" spans="1:39" ht="15" customHeight="1" x14ac:dyDescent="0.25">
      <c r="A402" s="131"/>
      <c r="B402" s="133"/>
      <c r="C402" s="133"/>
      <c r="D402" s="42" t="str">
        <f t="shared" si="162"/>
        <v/>
      </c>
      <c r="E402" s="43"/>
      <c r="F402" s="135"/>
      <c r="G402" s="77" t="str">
        <f t="shared" si="163"/>
        <v/>
      </c>
      <c r="H402" s="32" t="str">
        <f t="shared" si="164"/>
        <v/>
      </c>
      <c r="I402" s="78" t="str">
        <f t="shared" si="165"/>
        <v/>
      </c>
      <c r="J402" s="70" t="str">
        <f t="shared" si="166"/>
        <v/>
      </c>
      <c r="K402" s="135"/>
      <c r="L402" s="72" t="str">
        <f t="shared" si="167"/>
        <v/>
      </c>
      <c r="M402" s="135"/>
      <c r="N402" s="72" t="str">
        <f t="shared" si="168"/>
        <v/>
      </c>
      <c r="O402" s="135"/>
      <c r="P402" s="136"/>
      <c r="Q402" s="123" t="str">
        <f t="shared" si="169"/>
        <v/>
      </c>
      <c r="R402" s="45" t="str">
        <f t="shared" si="170"/>
        <v/>
      </c>
      <c r="S402" s="137"/>
      <c r="T402" s="79" t="str">
        <f t="shared" si="179"/>
        <v/>
      </c>
      <c r="U402" s="79" t="str">
        <f t="shared" si="171"/>
        <v/>
      </c>
      <c r="V402" s="73" t="str">
        <f t="shared" si="172"/>
        <v/>
      </c>
      <c r="W402" s="80" t="str">
        <f t="shared" si="173"/>
        <v/>
      </c>
      <c r="X402" s="73" t="str">
        <f t="shared" si="174"/>
        <v/>
      </c>
      <c r="Y402" s="80" t="str">
        <f t="shared" si="175"/>
        <v/>
      </c>
      <c r="Z402" s="74" t="str">
        <f t="shared" si="176"/>
        <v/>
      </c>
      <c r="AA402" s="75" t="str">
        <f t="shared" si="180"/>
        <v/>
      </c>
      <c r="AB402" s="103" t="str">
        <f t="shared" si="177"/>
        <v/>
      </c>
      <c r="AC402" s="104" t="str">
        <f t="shared" si="188"/>
        <v/>
      </c>
      <c r="AE402" s="139"/>
      <c r="AF402" s="110" t="str">
        <f t="shared" si="181"/>
        <v/>
      </c>
      <c r="AG402" s="111" t="str">
        <f t="shared" si="182"/>
        <v/>
      </c>
      <c r="AH402" s="111" t="str">
        <f t="shared" si="178"/>
        <v/>
      </c>
      <c r="AI402" s="111" t="str">
        <f t="shared" si="183"/>
        <v/>
      </c>
      <c r="AJ402" s="111" t="str">
        <f t="shared" si="184"/>
        <v/>
      </c>
      <c r="AK402" s="112" t="str">
        <f t="shared" si="185"/>
        <v/>
      </c>
      <c r="AL402" t="str">
        <f t="shared" si="186"/>
        <v/>
      </c>
      <c r="AM402" t="str">
        <f t="shared" si="187"/>
        <v/>
      </c>
    </row>
    <row r="403" spans="1:39" ht="15" customHeight="1" x14ac:dyDescent="0.25">
      <c r="A403" s="131"/>
      <c r="B403" s="133"/>
      <c r="C403" s="133"/>
      <c r="D403" s="42" t="str">
        <f t="shared" si="162"/>
        <v/>
      </c>
      <c r="E403" s="43"/>
      <c r="F403" s="135"/>
      <c r="G403" s="77" t="str">
        <f t="shared" si="163"/>
        <v/>
      </c>
      <c r="H403" s="32" t="str">
        <f t="shared" si="164"/>
        <v/>
      </c>
      <c r="I403" s="78" t="str">
        <f t="shared" si="165"/>
        <v/>
      </c>
      <c r="J403" s="70" t="str">
        <f t="shared" si="166"/>
        <v/>
      </c>
      <c r="K403" s="135"/>
      <c r="L403" s="72" t="str">
        <f t="shared" si="167"/>
        <v/>
      </c>
      <c r="M403" s="135"/>
      <c r="N403" s="72" t="str">
        <f t="shared" si="168"/>
        <v/>
      </c>
      <c r="O403" s="135"/>
      <c r="P403" s="136"/>
      <c r="Q403" s="123" t="str">
        <f t="shared" si="169"/>
        <v/>
      </c>
      <c r="R403" s="45" t="str">
        <f t="shared" si="170"/>
        <v/>
      </c>
      <c r="S403" s="137"/>
      <c r="T403" s="79" t="str">
        <f t="shared" si="179"/>
        <v/>
      </c>
      <c r="U403" s="79" t="str">
        <f t="shared" si="171"/>
        <v/>
      </c>
      <c r="V403" s="73" t="str">
        <f t="shared" si="172"/>
        <v/>
      </c>
      <c r="W403" s="80" t="str">
        <f t="shared" si="173"/>
        <v/>
      </c>
      <c r="X403" s="73" t="str">
        <f t="shared" si="174"/>
        <v/>
      </c>
      <c r="Y403" s="80" t="str">
        <f t="shared" si="175"/>
        <v/>
      </c>
      <c r="Z403" s="74" t="str">
        <f t="shared" si="176"/>
        <v/>
      </c>
      <c r="AA403" s="75" t="str">
        <f t="shared" si="180"/>
        <v/>
      </c>
      <c r="AB403" s="103" t="str">
        <f t="shared" si="177"/>
        <v/>
      </c>
      <c r="AC403" s="104" t="str">
        <f t="shared" si="188"/>
        <v/>
      </c>
      <c r="AE403" s="139"/>
      <c r="AF403" s="110" t="str">
        <f t="shared" si="181"/>
        <v/>
      </c>
      <c r="AG403" s="111" t="str">
        <f t="shared" si="182"/>
        <v/>
      </c>
      <c r="AH403" s="111" t="str">
        <f t="shared" si="178"/>
        <v/>
      </c>
      <c r="AI403" s="111" t="str">
        <f t="shared" si="183"/>
        <v/>
      </c>
      <c r="AJ403" s="111" t="str">
        <f t="shared" si="184"/>
        <v/>
      </c>
      <c r="AK403" s="112" t="str">
        <f t="shared" si="185"/>
        <v/>
      </c>
      <c r="AL403" t="str">
        <f t="shared" si="186"/>
        <v/>
      </c>
      <c r="AM403" t="str">
        <f t="shared" si="187"/>
        <v/>
      </c>
    </row>
    <row r="404" spans="1:39" ht="15" customHeight="1" x14ac:dyDescent="0.25">
      <c r="A404" s="131"/>
      <c r="B404" s="133"/>
      <c r="C404" s="133"/>
      <c r="D404" s="42" t="str">
        <f t="shared" si="162"/>
        <v/>
      </c>
      <c r="E404" s="43"/>
      <c r="F404" s="135"/>
      <c r="G404" s="77" t="str">
        <f t="shared" si="163"/>
        <v/>
      </c>
      <c r="H404" s="32" t="str">
        <f t="shared" si="164"/>
        <v/>
      </c>
      <c r="I404" s="78" t="str">
        <f t="shared" si="165"/>
        <v/>
      </c>
      <c r="J404" s="70" t="str">
        <f t="shared" si="166"/>
        <v/>
      </c>
      <c r="K404" s="135"/>
      <c r="L404" s="72" t="str">
        <f t="shared" si="167"/>
        <v/>
      </c>
      <c r="M404" s="135"/>
      <c r="N404" s="72" t="str">
        <f t="shared" si="168"/>
        <v/>
      </c>
      <c r="O404" s="135"/>
      <c r="P404" s="136"/>
      <c r="Q404" s="123" t="str">
        <f t="shared" si="169"/>
        <v/>
      </c>
      <c r="R404" s="45" t="str">
        <f t="shared" si="170"/>
        <v/>
      </c>
      <c r="S404" s="137"/>
      <c r="T404" s="79" t="str">
        <f t="shared" si="179"/>
        <v/>
      </c>
      <c r="U404" s="79" t="str">
        <f t="shared" si="171"/>
        <v/>
      </c>
      <c r="V404" s="73" t="str">
        <f t="shared" si="172"/>
        <v/>
      </c>
      <c r="W404" s="80" t="str">
        <f t="shared" si="173"/>
        <v/>
      </c>
      <c r="X404" s="73" t="str">
        <f t="shared" si="174"/>
        <v/>
      </c>
      <c r="Y404" s="80" t="str">
        <f t="shared" si="175"/>
        <v/>
      </c>
      <c r="Z404" s="74" t="str">
        <f t="shared" si="176"/>
        <v/>
      </c>
      <c r="AA404" s="75" t="str">
        <f t="shared" si="180"/>
        <v/>
      </c>
      <c r="AB404" s="103" t="str">
        <f t="shared" si="177"/>
        <v/>
      </c>
      <c r="AC404" s="104" t="str">
        <f t="shared" si="188"/>
        <v/>
      </c>
      <c r="AE404" s="139"/>
      <c r="AF404" s="110" t="str">
        <f t="shared" si="181"/>
        <v/>
      </c>
      <c r="AG404" s="111" t="str">
        <f t="shared" si="182"/>
        <v/>
      </c>
      <c r="AH404" s="111" t="str">
        <f t="shared" si="178"/>
        <v/>
      </c>
      <c r="AI404" s="111" t="str">
        <f t="shared" si="183"/>
        <v/>
      </c>
      <c r="AJ404" s="111" t="str">
        <f t="shared" si="184"/>
        <v/>
      </c>
      <c r="AK404" s="112" t="str">
        <f t="shared" si="185"/>
        <v/>
      </c>
      <c r="AL404" t="str">
        <f t="shared" si="186"/>
        <v/>
      </c>
      <c r="AM404" t="str">
        <f t="shared" si="187"/>
        <v/>
      </c>
    </row>
    <row r="405" spans="1:39" ht="15" customHeight="1" x14ac:dyDescent="0.25">
      <c r="A405" s="131"/>
      <c r="B405" s="133"/>
      <c r="C405" s="133"/>
      <c r="D405" s="42" t="str">
        <f t="shared" si="162"/>
        <v/>
      </c>
      <c r="E405" s="43"/>
      <c r="F405" s="135"/>
      <c r="G405" s="77" t="str">
        <f t="shared" si="163"/>
        <v/>
      </c>
      <c r="H405" s="32" t="str">
        <f t="shared" si="164"/>
        <v/>
      </c>
      <c r="I405" s="78" t="str">
        <f t="shared" si="165"/>
        <v/>
      </c>
      <c r="J405" s="70" t="str">
        <f t="shared" si="166"/>
        <v/>
      </c>
      <c r="K405" s="135"/>
      <c r="L405" s="72" t="str">
        <f t="shared" si="167"/>
        <v/>
      </c>
      <c r="M405" s="135"/>
      <c r="N405" s="72" t="str">
        <f t="shared" si="168"/>
        <v/>
      </c>
      <c r="O405" s="135"/>
      <c r="P405" s="136"/>
      <c r="Q405" s="123" t="str">
        <f t="shared" si="169"/>
        <v/>
      </c>
      <c r="R405" s="45" t="str">
        <f t="shared" si="170"/>
        <v/>
      </c>
      <c r="S405" s="137"/>
      <c r="T405" s="79" t="str">
        <f t="shared" si="179"/>
        <v/>
      </c>
      <c r="U405" s="79" t="str">
        <f t="shared" si="171"/>
        <v/>
      </c>
      <c r="V405" s="73" t="str">
        <f t="shared" si="172"/>
        <v/>
      </c>
      <c r="W405" s="80" t="str">
        <f t="shared" si="173"/>
        <v/>
      </c>
      <c r="X405" s="73" t="str">
        <f t="shared" si="174"/>
        <v/>
      </c>
      <c r="Y405" s="80" t="str">
        <f t="shared" si="175"/>
        <v/>
      </c>
      <c r="Z405" s="74" t="str">
        <f t="shared" si="176"/>
        <v/>
      </c>
      <c r="AA405" s="75" t="str">
        <f t="shared" si="180"/>
        <v/>
      </c>
      <c r="AB405" s="103" t="str">
        <f t="shared" si="177"/>
        <v/>
      </c>
      <c r="AC405" s="104" t="str">
        <f t="shared" si="188"/>
        <v/>
      </c>
      <c r="AE405" s="139"/>
      <c r="AF405" s="110" t="str">
        <f t="shared" si="181"/>
        <v/>
      </c>
      <c r="AG405" s="111" t="str">
        <f t="shared" si="182"/>
        <v/>
      </c>
      <c r="AH405" s="111" t="str">
        <f t="shared" si="178"/>
        <v/>
      </c>
      <c r="AI405" s="111" t="str">
        <f t="shared" si="183"/>
        <v/>
      </c>
      <c r="AJ405" s="111" t="str">
        <f t="shared" si="184"/>
        <v/>
      </c>
      <c r="AK405" s="112" t="str">
        <f t="shared" si="185"/>
        <v/>
      </c>
      <c r="AL405" t="str">
        <f t="shared" si="186"/>
        <v/>
      </c>
      <c r="AM405" t="str">
        <f t="shared" si="187"/>
        <v/>
      </c>
    </row>
    <row r="406" spans="1:39" ht="15" customHeight="1" x14ac:dyDescent="0.25">
      <c r="A406" s="131"/>
      <c r="B406" s="133"/>
      <c r="C406" s="133"/>
      <c r="D406" s="42" t="str">
        <f t="shared" si="162"/>
        <v/>
      </c>
      <c r="E406" s="43"/>
      <c r="F406" s="135"/>
      <c r="G406" s="77" t="str">
        <f t="shared" si="163"/>
        <v/>
      </c>
      <c r="H406" s="32" t="str">
        <f t="shared" si="164"/>
        <v/>
      </c>
      <c r="I406" s="78" t="str">
        <f t="shared" si="165"/>
        <v/>
      </c>
      <c r="J406" s="70" t="str">
        <f t="shared" si="166"/>
        <v/>
      </c>
      <c r="K406" s="135"/>
      <c r="L406" s="72" t="str">
        <f t="shared" si="167"/>
        <v/>
      </c>
      <c r="M406" s="135"/>
      <c r="N406" s="72" t="str">
        <f t="shared" si="168"/>
        <v/>
      </c>
      <c r="O406" s="135"/>
      <c r="P406" s="136"/>
      <c r="Q406" s="123" t="str">
        <f t="shared" si="169"/>
        <v/>
      </c>
      <c r="R406" s="45" t="str">
        <f t="shared" si="170"/>
        <v/>
      </c>
      <c r="S406" s="137"/>
      <c r="T406" s="79" t="str">
        <f t="shared" si="179"/>
        <v/>
      </c>
      <c r="U406" s="79" t="str">
        <f t="shared" si="171"/>
        <v/>
      </c>
      <c r="V406" s="73" t="str">
        <f t="shared" si="172"/>
        <v/>
      </c>
      <c r="W406" s="80" t="str">
        <f t="shared" si="173"/>
        <v/>
      </c>
      <c r="X406" s="73" t="str">
        <f t="shared" si="174"/>
        <v/>
      </c>
      <c r="Y406" s="80" t="str">
        <f t="shared" si="175"/>
        <v/>
      </c>
      <c r="Z406" s="74" t="str">
        <f t="shared" si="176"/>
        <v/>
      </c>
      <c r="AA406" s="75" t="str">
        <f t="shared" si="180"/>
        <v/>
      </c>
      <c r="AB406" s="103" t="str">
        <f t="shared" si="177"/>
        <v/>
      </c>
      <c r="AC406" s="104" t="str">
        <f t="shared" si="188"/>
        <v/>
      </c>
      <c r="AE406" s="139"/>
      <c r="AF406" s="110" t="str">
        <f t="shared" si="181"/>
        <v/>
      </c>
      <c r="AG406" s="111" t="str">
        <f t="shared" si="182"/>
        <v/>
      </c>
      <c r="AH406" s="111" t="str">
        <f t="shared" si="178"/>
        <v/>
      </c>
      <c r="AI406" s="111" t="str">
        <f t="shared" si="183"/>
        <v/>
      </c>
      <c r="AJ406" s="111" t="str">
        <f t="shared" si="184"/>
        <v/>
      </c>
      <c r="AK406" s="112" t="str">
        <f t="shared" si="185"/>
        <v/>
      </c>
      <c r="AL406" t="str">
        <f t="shared" si="186"/>
        <v/>
      </c>
      <c r="AM406" t="str">
        <f t="shared" si="187"/>
        <v/>
      </c>
    </row>
    <row r="407" spans="1:39" ht="15" customHeight="1" x14ac:dyDescent="0.25">
      <c r="A407" s="131"/>
      <c r="B407" s="133"/>
      <c r="C407" s="133"/>
      <c r="D407" s="42" t="str">
        <f t="shared" si="162"/>
        <v/>
      </c>
      <c r="E407" s="43"/>
      <c r="F407" s="135"/>
      <c r="G407" s="77" t="str">
        <f t="shared" si="163"/>
        <v/>
      </c>
      <c r="H407" s="32" t="str">
        <f t="shared" si="164"/>
        <v/>
      </c>
      <c r="I407" s="78" t="str">
        <f t="shared" si="165"/>
        <v/>
      </c>
      <c r="J407" s="70" t="str">
        <f t="shared" si="166"/>
        <v/>
      </c>
      <c r="K407" s="135"/>
      <c r="L407" s="72" t="str">
        <f t="shared" si="167"/>
        <v/>
      </c>
      <c r="M407" s="135"/>
      <c r="N407" s="72" t="str">
        <f t="shared" si="168"/>
        <v/>
      </c>
      <c r="O407" s="135"/>
      <c r="P407" s="136"/>
      <c r="Q407" s="123" t="str">
        <f t="shared" si="169"/>
        <v/>
      </c>
      <c r="R407" s="45" t="str">
        <f t="shared" si="170"/>
        <v/>
      </c>
      <c r="S407" s="137"/>
      <c r="T407" s="79" t="str">
        <f t="shared" si="179"/>
        <v/>
      </c>
      <c r="U407" s="79" t="str">
        <f t="shared" si="171"/>
        <v/>
      </c>
      <c r="V407" s="73" t="str">
        <f t="shared" si="172"/>
        <v/>
      </c>
      <c r="W407" s="80" t="str">
        <f t="shared" si="173"/>
        <v/>
      </c>
      <c r="X407" s="73" t="str">
        <f t="shared" si="174"/>
        <v/>
      </c>
      <c r="Y407" s="80" t="str">
        <f t="shared" si="175"/>
        <v/>
      </c>
      <c r="Z407" s="74" t="str">
        <f t="shared" si="176"/>
        <v/>
      </c>
      <c r="AA407" s="75" t="str">
        <f t="shared" si="180"/>
        <v/>
      </c>
      <c r="AB407" s="103" t="str">
        <f t="shared" si="177"/>
        <v/>
      </c>
      <c r="AC407" s="104" t="str">
        <f t="shared" si="188"/>
        <v/>
      </c>
      <c r="AE407" s="139"/>
      <c r="AF407" s="110" t="str">
        <f t="shared" si="181"/>
        <v/>
      </c>
      <c r="AG407" s="111" t="str">
        <f t="shared" si="182"/>
        <v/>
      </c>
      <c r="AH407" s="111" t="str">
        <f t="shared" si="178"/>
        <v/>
      </c>
      <c r="AI407" s="111" t="str">
        <f t="shared" si="183"/>
        <v/>
      </c>
      <c r="AJ407" s="111" t="str">
        <f t="shared" si="184"/>
        <v/>
      </c>
      <c r="AK407" s="112" t="str">
        <f t="shared" si="185"/>
        <v/>
      </c>
      <c r="AL407" t="str">
        <f t="shared" si="186"/>
        <v/>
      </c>
      <c r="AM407" t="str">
        <f t="shared" si="187"/>
        <v/>
      </c>
    </row>
    <row r="408" spans="1:39" ht="15" customHeight="1" x14ac:dyDescent="0.25">
      <c r="A408" s="131"/>
      <c r="B408" s="133"/>
      <c r="C408" s="133"/>
      <c r="D408" s="42" t="str">
        <f t="shared" si="162"/>
        <v/>
      </c>
      <c r="E408" s="43"/>
      <c r="F408" s="135"/>
      <c r="G408" s="77" t="str">
        <f t="shared" si="163"/>
        <v/>
      </c>
      <c r="H408" s="32" t="str">
        <f t="shared" si="164"/>
        <v/>
      </c>
      <c r="I408" s="78" t="str">
        <f t="shared" si="165"/>
        <v/>
      </c>
      <c r="J408" s="70" t="str">
        <f t="shared" si="166"/>
        <v/>
      </c>
      <c r="K408" s="135"/>
      <c r="L408" s="72" t="str">
        <f t="shared" si="167"/>
        <v/>
      </c>
      <c r="M408" s="135"/>
      <c r="N408" s="72" t="str">
        <f t="shared" si="168"/>
        <v/>
      </c>
      <c r="O408" s="135"/>
      <c r="P408" s="136"/>
      <c r="Q408" s="123" t="str">
        <f t="shared" si="169"/>
        <v/>
      </c>
      <c r="R408" s="45" t="str">
        <f t="shared" si="170"/>
        <v/>
      </c>
      <c r="S408" s="137"/>
      <c r="T408" s="79" t="str">
        <f t="shared" si="179"/>
        <v/>
      </c>
      <c r="U408" s="79" t="str">
        <f t="shared" si="171"/>
        <v/>
      </c>
      <c r="V408" s="73" t="str">
        <f t="shared" si="172"/>
        <v/>
      </c>
      <c r="W408" s="80" t="str">
        <f t="shared" si="173"/>
        <v/>
      </c>
      <c r="X408" s="73" t="str">
        <f t="shared" si="174"/>
        <v/>
      </c>
      <c r="Y408" s="80" t="str">
        <f t="shared" si="175"/>
        <v/>
      </c>
      <c r="Z408" s="74" t="str">
        <f t="shared" si="176"/>
        <v/>
      </c>
      <c r="AA408" s="75" t="str">
        <f t="shared" si="180"/>
        <v/>
      </c>
      <c r="AB408" s="103" t="str">
        <f t="shared" si="177"/>
        <v/>
      </c>
      <c r="AC408" s="104" t="str">
        <f t="shared" si="188"/>
        <v/>
      </c>
      <c r="AE408" s="139"/>
      <c r="AF408" s="110" t="str">
        <f t="shared" si="181"/>
        <v/>
      </c>
      <c r="AG408" s="111" t="str">
        <f t="shared" si="182"/>
        <v/>
      </c>
      <c r="AH408" s="111" t="str">
        <f t="shared" si="178"/>
        <v/>
      </c>
      <c r="AI408" s="111" t="str">
        <f t="shared" si="183"/>
        <v/>
      </c>
      <c r="AJ408" s="111" t="str">
        <f t="shared" si="184"/>
        <v/>
      </c>
      <c r="AK408" s="112" t="str">
        <f t="shared" si="185"/>
        <v/>
      </c>
      <c r="AL408" t="str">
        <f t="shared" si="186"/>
        <v/>
      </c>
      <c r="AM408" t="str">
        <f t="shared" si="187"/>
        <v/>
      </c>
    </row>
    <row r="409" spans="1:39" ht="15" customHeight="1" x14ac:dyDescent="0.25">
      <c r="A409" s="131"/>
      <c r="B409" s="133"/>
      <c r="C409" s="133"/>
      <c r="D409" s="42" t="str">
        <f t="shared" si="162"/>
        <v/>
      </c>
      <c r="E409" s="43"/>
      <c r="F409" s="135"/>
      <c r="G409" s="77" t="str">
        <f t="shared" si="163"/>
        <v/>
      </c>
      <c r="H409" s="32" t="str">
        <f t="shared" si="164"/>
        <v/>
      </c>
      <c r="I409" s="78" t="str">
        <f t="shared" si="165"/>
        <v/>
      </c>
      <c r="J409" s="70" t="str">
        <f t="shared" si="166"/>
        <v/>
      </c>
      <c r="K409" s="135"/>
      <c r="L409" s="72" t="str">
        <f t="shared" si="167"/>
        <v/>
      </c>
      <c r="M409" s="135"/>
      <c r="N409" s="72" t="str">
        <f t="shared" si="168"/>
        <v/>
      </c>
      <c r="O409" s="135"/>
      <c r="P409" s="136"/>
      <c r="Q409" s="123" t="str">
        <f t="shared" si="169"/>
        <v/>
      </c>
      <c r="R409" s="45" t="str">
        <f t="shared" si="170"/>
        <v/>
      </c>
      <c r="S409" s="137"/>
      <c r="T409" s="79" t="str">
        <f t="shared" si="179"/>
        <v/>
      </c>
      <c r="U409" s="79" t="str">
        <f t="shared" si="171"/>
        <v/>
      </c>
      <c r="V409" s="73" t="str">
        <f t="shared" si="172"/>
        <v/>
      </c>
      <c r="W409" s="80" t="str">
        <f t="shared" si="173"/>
        <v/>
      </c>
      <c r="X409" s="73" t="str">
        <f t="shared" si="174"/>
        <v/>
      </c>
      <c r="Y409" s="80" t="str">
        <f t="shared" si="175"/>
        <v/>
      </c>
      <c r="Z409" s="74" t="str">
        <f t="shared" si="176"/>
        <v/>
      </c>
      <c r="AA409" s="75" t="str">
        <f t="shared" si="180"/>
        <v/>
      </c>
      <c r="AB409" s="103" t="str">
        <f t="shared" si="177"/>
        <v/>
      </c>
      <c r="AC409" s="104" t="str">
        <f t="shared" si="188"/>
        <v/>
      </c>
      <c r="AE409" s="139"/>
      <c r="AF409" s="110" t="str">
        <f t="shared" si="181"/>
        <v/>
      </c>
      <c r="AG409" s="111" t="str">
        <f t="shared" si="182"/>
        <v/>
      </c>
      <c r="AH409" s="111" t="str">
        <f t="shared" si="178"/>
        <v/>
      </c>
      <c r="AI409" s="111" t="str">
        <f t="shared" si="183"/>
        <v/>
      </c>
      <c r="AJ409" s="111" t="str">
        <f t="shared" si="184"/>
        <v/>
      </c>
      <c r="AK409" s="112" t="str">
        <f t="shared" si="185"/>
        <v/>
      </c>
      <c r="AL409" t="str">
        <f t="shared" si="186"/>
        <v/>
      </c>
      <c r="AM409" t="str">
        <f t="shared" si="187"/>
        <v/>
      </c>
    </row>
    <row r="410" spans="1:39" ht="15" customHeight="1" x14ac:dyDescent="0.25">
      <c r="A410" s="131"/>
      <c r="B410" s="133"/>
      <c r="C410" s="133"/>
      <c r="D410" s="42" t="str">
        <f t="shared" si="162"/>
        <v/>
      </c>
      <c r="E410" s="43"/>
      <c r="F410" s="135"/>
      <c r="G410" s="77" t="str">
        <f t="shared" si="163"/>
        <v/>
      </c>
      <c r="H410" s="32" t="str">
        <f t="shared" si="164"/>
        <v/>
      </c>
      <c r="I410" s="78" t="str">
        <f t="shared" si="165"/>
        <v/>
      </c>
      <c r="J410" s="70" t="str">
        <f t="shared" si="166"/>
        <v/>
      </c>
      <c r="K410" s="135"/>
      <c r="L410" s="72" t="str">
        <f t="shared" si="167"/>
        <v/>
      </c>
      <c r="M410" s="135"/>
      <c r="N410" s="72" t="str">
        <f t="shared" si="168"/>
        <v/>
      </c>
      <c r="O410" s="135"/>
      <c r="P410" s="136"/>
      <c r="Q410" s="123" t="str">
        <f t="shared" si="169"/>
        <v/>
      </c>
      <c r="R410" s="45" t="str">
        <f t="shared" si="170"/>
        <v/>
      </c>
      <c r="S410" s="137"/>
      <c r="T410" s="79" t="str">
        <f t="shared" si="179"/>
        <v/>
      </c>
      <c r="U410" s="79" t="str">
        <f t="shared" si="171"/>
        <v/>
      </c>
      <c r="V410" s="73" t="str">
        <f t="shared" si="172"/>
        <v/>
      </c>
      <c r="W410" s="80" t="str">
        <f t="shared" si="173"/>
        <v/>
      </c>
      <c r="X410" s="73" t="str">
        <f t="shared" si="174"/>
        <v/>
      </c>
      <c r="Y410" s="80" t="str">
        <f t="shared" si="175"/>
        <v/>
      </c>
      <c r="Z410" s="74" t="str">
        <f t="shared" si="176"/>
        <v/>
      </c>
      <c r="AA410" s="75" t="str">
        <f t="shared" si="180"/>
        <v/>
      </c>
      <c r="AB410" s="103" t="str">
        <f t="shared" si="177"/>
        <v/>
      </c>
      <c r="AC410" s="104" t="str">
        <f t="shared" si="188"/>
        <v/>
      </c>
      <c r="AE410" s="139"/>
      <c r="AF410" s="110" t="str">
        <f t="shared" si="181"/>
        <v/>
      </c>
      <c r="AG410" s="111" t="str">
        <f t="shared" si="182"/>
        <v/>
      </c>
      <c r="AH410" s="111" t="str">
        <f t="shared" si="178"/>
        <v/>
      </c>
      <c r="AI410" s="111" t="str">
        <f t="shared" si="183"/>
        <v/>
      </c>
      <c r="AJ410" s="111" t="str">
        <f t="shared" si="184"/>
        <v/>
      </c>
      <c r="AK410" s="112" t="str">
        <f t="shared" si="185"/>
        <v/>
      </c>
      <c r="AL410" t="str">
        <f t="shared" si="186"/>
        <v/>
      </c>
      <c r="AM410" t="str">
        <f t="shared" si="187"/>
        <v/>
      </c>
    </row>
    <row r="411" spans="1:39" ht="15" customHeight="1" x14ac:dyDescent="0.25">
      <c r="A411" s="131"/>
      <c r="B411" s="133"/>
      <c r="C411" s="133"/>
      <c r="D411" s="42" t="str">
        <f t="shared" si="162"/>
        <v/>
      </c>
      <c r="E411" s="43"/>
      <c r="F411" s="135"/>
      <c r="G411" s="77" t="str">
        <f t="shared" si="163"/>
        <v/>
      </c>
      <c r="H411" s="32" t="str">
        <f t="shared" si="164"/>
        <v/>
      </c>
      <c r="I411" s="78" t="str">
        <f t="shared" si="165"/>
        <v/>
      </c>
      <c r="J411" s="70" t="str">
        <f t="shared" si="166"/>
        <v/>
      </c>
      <c r="K411" s="135"/>
      <c r="L411" s="72" t="str">
        <f t="shared" si="167"/>
        <v/>
      </c>
      <c r="M411" s="135"/>
      <c r="N411" s="72" t="str">
        <f t="shared" si="168"/>
        <v/>
      </c>
      <c r="O411" s="135"/>
      <c r="P411" s="136"/>
      <c r="Q411" s="123" t="str">
        <f t="shared" si="169"/>
        <v/>
      </c>
      <c r="R411" s="45" t="str">
        <f t="shared" si="170"/>
        <v/>
      </c>
      <c r="S411" s="137"/>
      <c r="T411" s="79" t="str">
        <f t="shared" si="179"/>
        <v/>
      </c>
      <c r="U411" s="79" t="str">
        <f t="shared" si="171"/>
        <v/>
      </c>
      <c r="V411" s="73" t="str">
        <f t="shared" si="172"/>
        <v/>
      </c>
      <c r="W411" s="80" t="str">
        <f t="shared" si="173"/>
        <v/>
      </c>
      <c r="X411" s="73" t="str">
        <f t="shared" si="174"/>
        <v/>
      </c>
      <c r="Y411" s="80" t="str">
        <f t="shared" si="175"/>
        <v/>
      </c>
      <c r="Z411" s="74" t="str">
        <f t="shared" si="176"/>
        <v/>
      </c>
      <c r="AA411" s="75" t="str">
        <f t="shared" si="180"/>
        <v/>
      </c>
      <c r="AB411" s="103" t="str">
        <f t="shared" si="177"/>
        <v/>
      </c>
      <c r="AC411" s="104" t="str">
        <f t="shared" si="188"/>
        <v/>
      </c>
      <c r="AE411" s="139"/>
      <c r="AF411" s="110" t="str">
        <f t="shared" si="181"/>
        <v/>
      </c>
      <c r="AG411" s="111" t="str">
        <f t="shared" si="182"/>
        <v/>
      </c>
      <c r="AH411" s="111" t="str">
        <f t="shared" si="178"/>
        <v/>
      </c>
      <c r="AI411" s="111" t="str">
        <f t="shared" si="183"/>
        <v/>
      </c>
      <c r="AJ411" s="111" t="str">
        <f t="shared" si="184"/>
        <v/>
      </c>
      <c r="AK411" s="112" t="str">
        <f t="shared" si="185"/>
        <v/>
      </c>
      <c r="AL411" t="str">
        <f t="shared" si="186"/>
        <v/>
      </c>
      <c r="AM411" t="str">
        <f t="shared" si="187"/>
        <v/>
      </c>
    </row>
    <row r="412" spans="1:39" ht="15" customHeight="1" x14ac:dyDescent="0.25">
      <c r="A412" s="131"/>
      <c r="B412" s="133"/>
      <c r="C412" s="133"/>
      <c r="D412" s="42" t="str">
        <f t="shared" si="162"/>
        <v/>
      </c>
      <c r="E412" s="43"/>
      <c r="F412" s="135"/>
      <c r="G412" s="77" t="str">
        <f t="shared" si="163"/>
        <v/>
      </c>
      <c r="H412" s="32" t="str">
        <f t="shared" si="164"/>
        <v/>
      </c>
      <c r="I412" s="78" t="str">
        <f t="shared" si="165"/>
        <v/>
      </c>
      <c r="J412" s="70" t="str">
        <f t="shared" si="166"/>
        <v/>
      </c>
      <c r="K412" s="135"/>
      <c r="L412" s="72" t="str">
        <f t="shared" si="167"/>
        <v/>
      </c>
      <c r="M412" s="135"/>
      <c r="N412" s="72" t="str">
        <f t="shared" si="168"/>
        <v/>
      </c>
      <c r="O412" s="135"/>
      <c r="P412" s="136"/>
      <c r="Q412" s="123" t="str">
        <f t="shared" si="169"/>
        <v/>
      </c>
      <c r="R412" s="45" t="str">
        <f t="shared" si="170"/>
        <v/>
      </c>
      <c r="S412" s="137"/>
      <c r="T412" s="79" t="str">
        <f t="shared" si="179"/>
        <v/>
      </c>
      <c r="U412" s="79" t="str">
        <f t="shared" si="171"/>
        <v/>
      </c>
      <c r="V412" s="73" t="str">
        <f t="shared" si="172"/>
        <v/>
      </c>
      <c r="W412" s="80" t="str">
        <f t="shared" si="173"/>
        <v/>
      </c>
      <c r="X412" s="73" t="str">
        <f t="shared" si="174"/>
        <v/>
      </c>
      <c r="Y412" s="80" t="str">
        <f t="shared" si="175"/>
        <v/>
      </c>
      <c r="Z412" s="74" t="str">
        <f t="shared" si="176"/>
        <v/>
      </c>
      <c r="AA412" s="75" t="str">
        <f t="shared" si="180"/>
        <v/>
      </c>
      <c r="AB412" s="103" t="str">
        <f t="shared" si="177"/>
        <v/>
      </c>
      <c r="AC412" s="104" t="str">
        <f t="shared" si="188"/>
        <v/>
      </c>
      <c r="AE412" s="139"/>
      <c r="AF412" s="110" t="str">
        <f t="shared" si="181"/>
        <v/>
      </c>
      <c r="AG412" s="111" t="str">
        <f t="shared" si="182"/>
        <v/>
      </c>
      <c r="AH412" s="111" t="str">
        <f t="shared" si="178"/>
        <v/>
      </c>
      <c r="AI412" s="111" t="str">
        <f t="shared" si="183"/>
        <v/>
      </c>
      <c r="AJ412" s="111" t="str">
        <f t="shared" si="184"/>
        <v/>
      </c>
      <c r="AK412" s="112" t="str">
        <f t="shared" si="185"/>
        <v/>
      </c>
      <c r="AL412" t="str">
        <f t="shared" si="186"/>
        <v/>
      </c>
      <c r="AM412" t="str">
        <f t="shared" si="187"/>
        <v/>
      </c>
    </row>
    <row r="413" spans="1:39" ht="15" customHeight="1" x14ac:dyDescent="0.25">
      <c r="A413" s="131"/>
      <c r="B413" s="133"/>
      <c r="C413" s="133"/>
      <c r="D413" s="42" t="str">
        <f t="shared" si="162"/>
        <v/>
      </c>
      <c r="E413" s="43"/>
      <c r="F413" s="135"/>
      <c r="G413" s="77" t="str">
        <f t="shared" si="163"/>
        <v/>
      </c>
      <c r="H413" s="32" t="str">
        <f t="shared" si="164"/>
        <v/>
      </c>
      <c r="I413" s="78" t="str">
        <f t="shared" si="165"/>
        <v/>
      </c>
      <c r="J413" s="70" t="str">
        <f t="shared" si="166"/>
        <v/>
      </c>
      <c r="K413" s="135"/>
      <c r="L413" s="72" t="str">
        <f t="shared" si="167"/>
        <v/>
      </c>
      <c r="M413" s="135"/>
      <c r="N413" s="72" t="str">
        <f t="shared" si="168"/>
        <v/>
      </c>
      <c r="O413" s="135"/>
      <c r="P413" s="136"/>
      <c r="Q413" s="123" t="str">
        <f t="shared" si="169"/>
        <v/>
      </c>
      <c r="R413" s="45" t="str">
        <f t="shared" si="170"/>
        <v/>
      </c>
      <c r="S413" s="137"/>
      <c r="T413" s="79" t="str">
        <f t="shared" si="179"/>
        <v/>
      </c>
      <c r="U413" s="79" t="str">
        <f t="shared" si="171"/>
        <v/>
      </c>
      <c r="V413" s="73" t="str">
        <f t="shared" si="172"/>
        <v/>
      </c>
      <c r="W413" s="80" t="str">
        <f t="shared" si="173"/>
        <v/>
      </c>
      <c r="X413" s="73" t="str">
        <f t="shared" si="174"/>
        <v/>
      </c>
      <c r="Y413" s="80" t="str">
        <f t="shared" si="175"/>
        <v/>
      </c>
      <c r="Z413" s="74" t="str">
        <f t="shared" si="176"/>
        <v/>
      </c>
      <c r="AA413" s="75" t="str">
        <f t="shared" si="180"/>
        <v/>
      </c>
      <c r="AB413" s="103" t="str">
        <f t="shared" si="177"/>
        <v/>
      </c>
      <c r="AC413" s="104" t="str">
        <f t="shared" si="188"/>
        <v/>
      </c>
      <c r="AE413" s="139"/>
      <c r="AF413" s="110" t="str">
        <f t="shared" si="181"/>
        <v/>
      </c>
      <c r="AG413" s="111" t="str">
        <f t="shared" si="182"/>
        <v/>
      </c>
      <c r="AH413" s="111" t="str">
        <f t="shared" si="178"/>
        <v/>
      </c>
      <c r="AI413" s="111" t="str">
        <f t="shared" si="183"/>
        <v/>
      </c>
      <c r="AJ413" s="111" t="str">
        <f t="shared" si="184"/>
        <v/>
      </c>
      <c r="AK413" s="112" t="str">
        <f t="shared" si="185"/>
        <v/>
      </c>
      <c r="AL413" t="str">
        <f t="shared" si="186"/>
        <v/>
      </c>
      <c r="AM413" t="str">
        <f t="shared" si="187"/>
        <v/>
      </c>
    </row>
    <row r="414" spans="1:39" ht="15" customHeight="1" x14ac:dyDescent="0.25">
      <c r="A414" s="131"/>
      <c r="B414" s="133"/>
      <c r="C414" s="133"/>
      <c r="D414" s="42" t="str">
        <f t="shared" si="162"/>
        <v/>
      </c>
      <c r="E414" s="43"/>
      <c r="F414" s="135"/>
      <c r="G414" s="77" t="str">
        <f t="shared" si="163"/>
        <v/>
      </c>
      <c r="H414" s="32" t="str">
        <f t="shared" si="164"/>
        <v/>
      </c>
      <c r="I414" s="78" t="str">
        <f t="shared" si="165"/>
        <v/>
      </c>
      <c r="J414" s="70" t="str">
        <f t="shared" si="166"/>
        <v/>
      </c>
      <c r="K414" s="135"/>
      <c r="L414" s="72" t="str">
        <f t="shared" si="167"/>
        <v/>
      </c>
      <c r="M414" s="135"/>
      <c r="N414" s="72" t="str">
        <f t="shared" si="168"/>
        <v/>
      </c>
      <c r="O414" s="135"/>
      <c r="P414" s="136"/>
      <c r="Q414" s="123" t="str">
        <f t="shared" si="169"/>
        <v/>
      </c>
      <c r="R414" s="45" t="str">
        <f t="shared" si="170"/>
        <v/>
      </c>
      <c r="S414" s="137"/>
      <c r="T414" s="79" t="str">
        <f t="shared" si="179"/>
        <v/>
      </c>
      <c r="U414" s="79" t="str">
        <f t="shared" si="171"/>
        <v/>
      </c>
      <c r="V414" s="73" t="str">
        <f t="shared" si="172"/>
        <v/>
      </c>
      <c r="W414" s="80" t="str">
        <f t="shared" si="173"/>
        <v/>
      </c>
      <c r="X414" s="73" t="str">
        <f t="shared" si="174"/>
        <v/>
      </c>
      <c r="Y414" s="80" t="str">
        <f t="shared" si="175"/>
        <v/>
      </c>
      <c r="Z414" s="74" t="str">
        <f t="shared" si="176"/>
        <v/>
      </c>
      <c r="AA414" s="75" t="str">
        <f t="shared" si="180"/>
        <v/>
      </c>
      <c r="AB414" s="103" t="str">
        <f t="shared" si="177"/>
        <v/>
      </c>
      <c r="AC414" s="104" t="str">
        <f t="shared" si="188"/>
        <v/>
      </c>
      <c r="AE414" s="139"/>
      <c r="AF414" s="110" t="str">
        <f t="shared" si="181"/>
        <v/>
      </c>
      <c r="AG414" s="111" t="str">
        <f t="shared" si="182"/>
        <v/>
      </c>
      <c r="AH414" s="111" t="str">
        <f t="shared" si="178"/>
        <v/>
      </c>
      <c r="AI414" s="111" t="str">
        <f t="shared" si="183"/>
        <v/>
      </c>
      <c r="AJ414" s="111" t="str">
        <f t="shared" si="184"/>
        <v/>
      </c>
      <c r="AK414" s="112" t="str">
        <f t="shared" si="185"/>
        <v/>
      </c>
      <c r="AL414" t="str">
        <f t="shared" si="186"/>
        <v/>
      </c>
      <c r="AM414" t="str">
        <f t="shared" si="187"/>
        <v/>
      </c>
    </row>
    <row r="415" spans="1:39" ht="15" customHeight="1" x14ac:dyDescent="0.25">
      <c r="A415" s="131"/>
      <c r="B415" s="133"/>
      <c r="C415" s="133"/>
      <c r="D415" s="42" t="str">
        <f t="shared" si="162"/>
        <v/>
      </c>
      <c r="E415" s="43"/>
      <c r="F415" s="135"/>
      <c r="G415" s="77" t="str">
        <f t="shared" si="163"/>
        <v/>
      </c>
      <c r="H415" s="32" t="str">
        <f t="shared" si="164"/>
        <v/>
      </c>
      <c r="I415" s="78" t="str">
        <f t="shared" si="165"/>
        <v/>
      </c>
      <c r="J415" s="70" t="str">
        <f t="shared" si="166"/>
        <v/>
      </c>
      <c r="K415" s="135"/>
      <c r="L415" s="72" t="str">
        <f t="shared" si="167"/>
        <v/>
      </c>
      <c r="M415" s="135"/>
      <c r="N415" s="72" t="str">
        <f t="shared" si="168"/>
        <v/>
      </c>
      <c r="O415" s="135"/>
      <c r="P415" s="136"/>
      <c r="Q415" s="123" t="str">
        <f t="shared" si="169"/>
        <v/>
      </c>
      <c r="R415" s="45" t="str">
        <f t="shared" si="170"/>
        <v/>
      </c>
      <c r="S415" s="137"/>
      <c r="T415" s="79" t="str">
        <f t="shared" si="179"/>
        <v/>
      </c>
      <c r="U415" s="79" t="str">
        <f t="shared" si="171"/>
        <v/>
      </c>
      <c r="V415" s="73" t="str">
        <f t="shared" si="172"/>
        <v/>
      </c>
      <c r="W415" s="80" t="str">
        <f t="shared" si="173"/>
        <v/>
      </c>
      <c r="X415" s="73" t="str">
        <f t="shared" si="174"/>
        <v/>
      </c>
      <c r="Y415" s="80" t="str">
        <f t="shared" si="175"/>
        <v/>
      </c>
      <c r="Z415" s="74" t="str">
        <f t="shared" si="176"/>
        <v/>
      </c>
      <c r="AA415" s="75" t="str">
        <f t="shared" si="180"/>
        <v/>
      </c>
      <c r="AB415" s="103" t="str">
        <f t="shared" si="177"/>
        <v/>
      </c>
      <c r="AC415" s="104" t="str">
        <f t="shared" si="188"/>
        <v/>
      </c>
      <c r="AE415" s="139"/>
      <c r="AF415" s="110" t="str">
        <f t="shared" si="181"/>
        <v/>
      </c>
      <c r="AG415" s="111" t="str">
        <f t="shared" si="182"/>
        <v/>
      </c>
      <c r="AH415" s="111" t="str">
        <f t="shared" si="178"/>
        <v/>
      </c>
      <c r="AI415" s="111" t="str">
        <f t="shared" si="183"/>
        <v/>
      </c>
      <c r="AJ415" s="111" t="str">
        <f t="shared" si="184"/>
        <v/>
      </c>
      <c r="AK415" s="112" t="str">
        <f t="shared" si="185"/>
        <v/>
      </c>
      <c r="AL415" t="str">
        <f t="shared" si="186"/>
        <v/>
      </c>
      <c r="AM415" t="str">
        <f t="shared" si="187"/>
        <v/>
      </c>
    </row>
    <row r="416" spans="1:39" ht="15" customHeight="1" x14ac:dyDescent="0.25">
      <c r="A416" s="131"/>
      <c r="B416" s="133"/>
      <c r="C416" s="133"/>
      <c r="D416" s="42" t="str">
        <f t="shared" si="162"/>
        <v/>
      </c>
      <c r="E416" s="43"/>
      <c r="F416" s="135"/>
      <c r="G416" s="77" t="str">
        <f t="shared" si="163"/>
        <v/>
      </c>
      <c r="H416" s="32" t="str">
        <f t="shared" si="164"/>
        <v/>
      </c>
      <c r="I416" s="78" t="str">
        <f t="shared" si="165"/>
        <v/>
      </c>
      <c r="J416" s="70" t="str">
        <f t="shared" si="166"/>
        <v/>
      </c>
      <c r="K416" s="135"/>
      <c r="L416" s="72" t="str">
        <f t="shared" si="167"/>
        <v/>
      </c>
      <c r="M416" s="135"/>
      <c r="N416" s="72" t="str">
        <f t="shared" si="168"/>
        <v/>
      </c>
      <c r="O416" s="135"/>
      <c r="P416" s="136"/>
      <c r="Q416" s="123" t="str">
        <f t="shared" si="169"/>
        <v/>
      </c>
      <c r="R416" s="45" t="str">
        <f t="shared" si="170"/>
        <v/>
      </c>
      <c r="S416" s="137"/>
      <c r="T416" s="79" t="str">
        <f t="shared" si="179"/>
        <v/>
      </c>
      <c r="U416" s="79" t="str">
        <f t="shared" si="171"/>
        <v/>
      </c>
      <c r="V416" s="73" t="str">
        <f t="shared" si="172"/>
        <v/>
      </c>
      <c r="W416" s="80" t="str">
        <f t="shared" si="173"/>
        <v/>
      </c>
      <c r="X416" s="73" t="str">
        <f t="shared" si="174"/>
        <v/>
      </c>
      <c r="Y416" s="80" t="str">
        <f t="shared" si="175"/>
        <v/>
      </c>
      <c r="Z416" s="74" t="str">
        <f t="shared" si="176"/>
        <v/>
      </c>
      <c r="AA416" s="75" t="str">
        <f t="shared" si="180"/>
        <v/>
      </c>
      <c r="AB416" s="103" t="str">
        <f t="shared" si="177"/>
        <v/>
      </c>
      <c r="AC416" s="104" t="str">
        <f t="shared" si="188"/>
        <v/>
      </c>
      <c r="AE416" s="139"/>
      <c r="AF416" s="110" t="str">
        <f t="shared" si="181"/>
        <v/>
      </c>
      <c r="AG416" s="111" t="str">
        <f t="shared" si="182"/>
        <v/>
      </c>
      <c r="AH416" s="111" t="str">
        <f t="shared" si="178"/>
        <v/>
      </c>
      <c r="AI416" s="111" t="str">
        <f t="shared" si="183"/>
        <v/>
      </c>
      <c r="AJ416" s="111" t="str">
        <f t="shared" si="184"/>
        <v/>
      </c>
      <c r="AK416" s="112" t="str">
        <f t="shared" si="185"/>
        <v/>
      </c>
      <c r="AL416" t="str">
        <f t="shared" si="186"/>
        <v/>
      </c>
      <c r="AM416" t="str">
        <f t="shared" si="187"/>
        <v/>
      </c>
    </row>
    <row r="417" spans="1:39" ht="15" customHeight="1" x14ac:dyDescent="0.25">
      <c r="A417" s="131"/>
      <c r="B417" s="133"/>
      <c r="C417" s="133"/>
      <c r="D417" s="42" t="str">
        <f t="shared" si="162"/>
        <v/>
      </c>
      <c r="E417" s="43"/>
      <c r="F417" s="135"/>
      <c r="G417" s="77" t="str">
        <f t="shared" si="163"/>
        <v/>
      </c>
      <c r="H417" s="32" t="str">
        <f t="shared" si="164"/>
        <v/>
      </c>
      <c r="I417" s="78" t="str">
        <f t="shared" si="165"/>
        <v/>
      </c>
      <c r="J417" s="70" t="str">
        <f t="shared" si="166"/>
        <v/>
      </c>
      <c r="K417" s="135"/>
      <c r="L417" s="72" t="str">
        <f t="shared" si="167"/>
        <v/>
      </c>
      <c r="M417" s="135"/>
      <c r="N417" s="72" t="str">
        <f t="shared" si="168"/>
        <v/>
      </c>
      <c r="O417" s="135"/>
      <c r="P417" s="136"/>
      <c r="Q417" s="123" t="str">
        <f t="shared" si="169"/>
        <v/>
      </c>
      <c r="R417" s="45" t="str">
        <f t="shared" si="170"/>
        <v/>
      </c>
      <c r="S417" s="137"/>
      <c r="T417" s="79" t="str">
        <f t="shared" si="179"/>
        <v/>
      </c>
      <c r="U417" s="79" t="str">
        <f t="shared" si="171"/>
        <v/>
      </c>
      <c r="V417" s="73" t="str">
        <f t="shared" si="172"/>
        <v/>
      </c>
      <c r="W417" s="80" t="str">
        <f t="shared" si="173"/>
        <v/>
      </c>
      <c r="X417" s="73" t="str">
        <f t="shared" si="174"/>
        <v/>
      </c>
      <c r="Y417" s="80" t="str">
        <f t="shared" si="175"/>
        <v/>
      </c>
      <c r="Z417" s="74" t="str">
        <f t="shared" si="176"/>
        <v/>
      </c>
      <c r="AA417" s="75" t="str">
        <f t="shared" si="180"/>
        <v/>
      </c>
      <c r="AB417" s="103" t="str">
        <f t="shared" si="177"/>
        <v/>
      </c>
      <c r="AC417" s="104" t="str">
        <f t="shared" si="188"/>
        <v/>
      </c>
      <c r="AE417" s="139"/>
      <c r="AF417" s="110" t="str">
        <f t="shared" si="181"/>
        <v/>
      </c>
      <c r="AG417" s="111" t="str">
        <f t="shared" si="182"/>
        <v/>
      </c>
      <c r="AH417" s="111" t="str">
        <f t="shared" si="178"/>
        <v/>
      </c>
      <c r="AI417" s="111" t="str">
        <f t="shared" si="183"/>
        <v/>
      </c>
      <c r="AJ417" s="111" t="str">
        <f t="shared" si="184"/>
        <v/>
      </c>
      <c r="AK417" s="112" t="str">
        <f t="shared" si="185"/>
        <v/>
      </c>
      <c r="AL417" t="str">
        <f t="shared" si="186"/>
        <v/>
      </c>
      <c r="AM417" t="str">
        <f t="shared" si="187"/>
        <v/>
      </c>
    </row>
    <row r="418" spans="1:39" ht="15" customHeight="1" x14ac:dyDescent="0.25">
      <c r="A418" s="131"/>
      <c r="B418" s="133"/>
      <c r="C418" s="133"/>
      <c r="D418" s="42" t="str">
        <f t="shared" si="162"/>
        <v/>
      </c>
      <c r="E418" s="43"/>
      <c r="F418" s="135"/>
      <c r="G418" s="77" t="str">
        <f t="shared" si="163"/>
        <v/>
      </c>
      <c r="H418" s="32" t="str">
        <f t="shared" si="164"/>
        <v/>
      </c>
      <c r="I418" s="78" t="str">
        <f t="shared" si="165"/>
        <v/>
      </c>
      <c r="J418" s="70" t="str">
        <f t="shared" si="166"/>
        <v/>
      </c>
      <c r="K418" s="135"/>
      <c r="L418" s="72" t="str">
        <f t="shared" si="167"/>
        <v/>
      </c>
      <c r="M418" s="135"/>
      <c r="N418" s="72" t="str">
        <f t="shared" si="168"/>
        <v/>
      </c>
      <c r="O418" s="135"/>
      <c r="P418" s="136"/>
      <c r="Q418" s="123" t="str">
        <f t="shared" si="169"/>
        <v/>
      </c>
      <c r="R418" s="45" t="str">
        <f t="shared" si="170"/>
        <v/>
      </c>
      <c r="S418" s="137"/>
      <c r="T418" s="79" t="str">
        <f t="shared" si="179"/>
        <v/>
      </c>
      <c r="U418" s="79" t="str">
        <f t="shared" si="171"/>
        <v/>
      </c>
      <c r="V418" s="73" t="str">
        <f t="shared" si="172"/>
        <v/>
      </c>
      <c r="W418" s="80" t="str">
        <f t="shared" si="173"/>
        <v/>
      </c>
      <c r="X418" s="73" t="str">
        <f t="shared" si="174"/>
        <v/>
      </c>
      <c r="Y418" s="80" t="str">
        <f t="shared" si="175"/>
        <v/>
      </c>
      <c r="Z418" s="74" t="str">
        <f t="shared" si="176"/>
        <v/>
      </c>
      <c r="AA418" s="75" t="str">
        <f t="shared" si="180"/>
        <v/>
      </c>
      <c r="AB418" s="103" t="str">
        <f t="shared" si="177"/>
        <v/>
      </c>
      <c r="AC418" s="104" t="str">
        <f t="shared" si="188"/>
        <v/>
      </c>
      <c r="AE418" s="139"/>
      <c r="AF418" s="110" t="str">
        <f t="shared" si="181"/>
        <v/>
      </c>
      <c r="AG418" s="111" t="str">
        <f t="shared" si="182"/>
        <v/>
      </c>
      <c r="AH418" s="111" t="str">
        <f t="shared" si="178"/>
        <v/>
      </c>
      <c r="AI418" s="111" t="str">
        <f t="shared" si="183"/>
        <v/>
      </c>
      <c r="AJ418" s="111" t="str">
        <f t="shared" si="184"/>
        <v/>
      </c>
      <c r="AK418" s="112" t="str">
        <f t="shared" si="185"/>
        <v/>
      </c>
      <c r="AL418" t="str">
        <f t="shared" si="186"/>
        <v/>
      </c>
      <c r="AM418" t="str">
        <f t="shared" si="187"/>
        <v/>
      </c>
    </row>
    <row r="419" spans="1:39" ht="15" customHeight="1" x14ac:dyDescent="0.25">
      <c r="A419" s="131"/>
      <c r="B419" s="133"/>
      <c r="C419" s="133"/>
      <c r="D419" s="42" t="str">
        <f t="shared" si="162"/>
        <v/>
      </c>
      <c r="E419" s="43"/>
      <c r="F419" s="135"/>
      <c r="G419" s="77" t="str">
        <f t="shared" si="163"/>
        <v/>
      </c>
      <c r="H419" s="32" t="str">
        <f t="shared" si="164"/>
        <v/>
      </c>
      <c r="I419" s="78" t="str">
        <f t="shared" si="165"/>
        <v/>
      </c>
      <c r="J419" s="70" t="str">
        <f t="shared" si="166"/>
        <v/>
      </c>
      <c r="K419" s="135"/>
      <c r="L419" s="72" t="str">
        <f t="shared" si="167"/>
        <v/>
      </c>
      <c r="M419" s="135"/>
      <c r="N419" s="72" t="str">
        <f t="shared" si="168"/>
        <v/>
      </c>
      <c r="O419" s="135"/>
      <c r="P419" s="136"/>
      <c r="Q419" s="123" t="str">
        <f t="shared" si="169"/>
        <v/>
      </c>
      <c r="R419" s="45" t="str">
        <f t="shared" si="170"/>
        <v/>
      </c>
      <c r="S419" s="137"/>
      <c r="T419" s="79" t="str">
        <f t="shared" si="179"/>
        <v/>
      </c>
      <c r="U419" s="79" t="str">
        <f t="shared" si="171"/>
        <v/>
      </c>
      <c r="V419" s="73" t="str">
        <f t="shared" si="172"/>
        <v/>
      </c>
      <c r="W419" s="80" t="str">
        <f t="shared" si="173"/>
        <v/>
      </c>
      <c r="X419" s="73" t="str">
        <f t="shared" si="174"/>
        <v/>
      </c>
      <c r="Y419" s="80" t="str">
        <f t="shared" si="175"/>
        <v/>
      </c>
      <c r="Z419" s="74" t="str">
        <f t="shared" si="176"/>
        <v/>
      </c>
      <c r="AA419" s="75" t="str">
        <f t="shared" si="180"/>
        <v/>
      </c>
      <c r="AB419" s="103" t="str">
        <f t="shared" si="177"/>
        <v/>
      </c>
      <c r="AC419" s="104" t="str">
        <f t="shared" si="188"/>
        <v/>
      </c>
      <c r="AE419" s="139"/>
      <c r="AF419" s="110" t="str">
        <f t="shared" si="181"/>
        <v/>
      </c>
      <c r="AG419" s="111" t="str">
        <f t="shared" si="182"/>
        <v/>
      </c>
      <c r="AH419" s="111" t="str">
        <f t="shared" si="178"/>
        <v/>
      </c>
      <c r="AI419" s="111" t="str">
        <f t="shared" si="183"/>
        <v/>
      </c>
      <c r="AJ419" s="111" t="str">
        <f t="shared" si="184"/>
        <v/>
      </c>
      <c r="AK419" s="112" t="str">
        <f t="shared" si="185"/>
        <v/>
      </c>
      <c r="AL419" t="str">
        <f t="shared" si="186"/>
        <v/>
      </c>
      <c r="AM419" t="str">
        <f t="shared" si="187"/>
        <v/>
      </c>
    </row>
    <row r="420" spans="1:39" ht="15" customHeight="1" x14ac:dyDescent="0.25">
      <c r="A420" s="131"/>
      <c r="B420" s="133"/>
      <c r="C420" s="133"/>
      <c r="D420" s="42" t="str">
        <f t="shared" si="162"/>
        <v/>
      </c>
      <c r="E420" s="43"/>
      <c r="F420" s="135"/>
      <c r="G420" s="77" t="str">
        <f t="shared" si="163"/>
        <v/>
      </c>
      <c r="H420" s="32" t="str">
        <f t="shared" si="164"/>
        <v/>
      </c>
      <c r="I420" s="78" t="str">
        <f t="shared" si="165"/>
        <v/>
      </c>
      <c r="J420" s="70" t="str">
        <f t="shared" si="166"/>
        <v/>
      </c>
      <c r="K420" s="135"/>
      <c r="L420" s="72" t="str">
        <f t="shared" si="167"/>
        <v/>
      </c>
      <c r="M420" s="135"/>
      <c r="N420" s="72" t="str">
        <f t="shared" si="168"/>
        <v/>
      </c>
      <c r="O420" s="135"/>
      <c r="P420" s="136"/>
      <c r="Q420" s="123" t="str">
        <f t="shared" si="169"/>
        <v/>
      </c>
      <c r="R420" s="45" t="str">
        <f t="shared" si="170"/>
        <v/>
      </c>
      <c r="S420" s="137"/>
      <c r="T420" s="79" t="str">
        <f t="shared" si="179"/>
        <v/>
      </c>
      <c r="U420" s="79" t="str">
        <f t="shared" si="171"/>
        <v/>
      </c>
      <c r="V420" s="73" t="str">
        <f t="shared" si="172"/>
        <v/>
      </c>
      <c r="W420" s="80" t="str">
        <f t="shared" si="173"/>
        <v/>
      </c>
      <c r="X420" s="73" t="str">
        <f t="shared" si="174"/>
        <v/>
      </c>
      <c r="Y420" s="80" t="str">
        <f t="shared" si="175"/>
        <v/>
      </c>
      <c r="Z420" s="74" t="str">
        <f t="shared" si="176"/>
        <v/>
      </c>
      <c r="AA420" s="75" t="str">
        <f t="shared" si="180"/>
        <v/>
      </c>
      <c r="AB420" s="103" t="str">
        <f t="shared" si="177"/>
        <v/>
      </c>
      <c r="AC420" s="104" t="str">
        <f t="shared" si="188"/>
        <v/>
      </c>
      <c r="AE420" s="139"/>
      <c r="AF420" s="110" t="str">
        <f t="shared" si="181"/>
        <v/>
      </c>
      <c r="AG420" s="111" t="str">
        <f t="shared" si="182"/>
        <v/>
      </c>
      <c r="AH420" s="111" t="str">
        <f t="shared" si="178"/>
        <v/>
      </c>
      <c r="AI420" s="111" t="str">
        <f t="shared" si="183"/>
        <v/>
      </c>
      <c r="AJ420" s="111" t="str">
        <f t="shared" si="184"/>
        <v/>
      </c>
      <c r="AK420" s="112" t="str">
        <f t="shared" si="185"/>
        <v/>
      </c>
      <c r="AL420" t="str">
        <f t="shared" si="186"/>
        <v/>
      </c>
      <c r="AM420" t="str">
        <f t="shared" si="187"/>
        <v/>
      </c>
    </row>
    <row r="421" spans="1:39" ht="15" customHeight="1" x14ac:dyDescent="0.25">
      <c r="A421" s="131"/>
      <c r="B421" s="133"/>
      <c r="C421" s="133"/>
      <c r="D421" s="42" t="str">
        <f t="shared" si="162"/>
        <v/>
      </c>
      <c r="E421" s="43"/>
      <c r="F421" s="135"/>
      <c r="G421" s="77" t="str">
        <f t="shared" si="163"/>
        <v/>
      </c>
      <c r="H421" s="32" t="str">
        <f t="shared" si="164"/>
        <v/>
      </c>
      <c r="I421" s="78" t="str">
        <f t="shared" si="165"/>
        <v/>
      </c>
      <c r="J421" s="70" t="str">
        <f t="shared" si="166"/>
        <v/>
      </c>
      <c r="K421" s="135"/>
      <c r="L421" s="72" t="str">
        <f t="shared" si="167"/>
        <v/>
      </c>
      <c r="M421" s="135"/>
      <c r="N421" s="72" t="str">
        <f t="shared" si="168"/>
        <v/>
      </c>
      <c r="O421" s="135"/>
      <c r="P421" s="136"/>
      <c r="Q421" s="123" t="str">
        <f t="shared" si="169"/>
        <v/>
      </c>
      <c r="R421" s="45" t="str">
        <f t="shared" si="170"/>
        <v/>
      </c>
      <c r="S421" s="137"/>
      <c r="T421" s="79" t="str">
        <f t="shared" si="179"/>
        <v/>
      </c>
      <c r="U421" s="79" t="str">
        <f t="shared" si="171"/>
        <v/>
      </c>
      <c r="V421" s="73" t="str">
        <f t="shared" si="172"/>
        <v/>
      </c>
      <c r="W421" s="80" t="str">
        <f t="shared" si="173"/>
        <v/>
      </c>
      <c r="X421" s="73" t="str">
        <f t="shared" si="174"/>
        <v/>
      </c>
      <c r="Y421" s="80" t="str">
        <f t="shared" si="175"/>
        <v/>
      </c>
      <c r="Z421" s="74" t="str">
        <f t="shared" si="176"/>
        <v/>
      </c>
      <c r="AA421" s="75" t="str">
        <f t="shared" si="180"/>
        <v/>
      </c>
      <c r="AB421" s="103" t="str">
        <f t="shared" si="177"/>
        <v/>
      </c>
      <c r="AC421" s="104" t="str">
        <f t="shared" si="188"/>
        <v/>
      </c>
      <c r="AE421" s="139"/>
      <c r="AF421" s="110" t="str">
        <f t="shared" si="181"/>
        <v/>
      </c>
      <c r="AG421" s="111" t="str">
        <f t="shared" si="182"/>
        <v/>
      </c>
      <c r="AH421" s="111" t="str">
        <f t="shared" si="178"/>
        <v/>
      </c>
      <c r="AI421" s="111" t="str">
        <f t="shared" si="183"/>
        <v/>
      </c>
      <c r="AJ421" s="111" t="str">
        <f t="shared" si="184"/>
        <v/>
      </c>
      <c r="AK421" s="112" t="str">
        <f t="shared" si="185"/>
        <v/>
      </c>
      <c r="AL421" t="str">
        <f t="shared" si="186"/>
        <v/>
      </c>
      <c r="AM421" t="str">
        <f t="shared" si="187"/>
        <v/>
      </c>
    </row>
    <row r="422" spans="1:39" ht="15" customHeight="1" x14ac:dyDescent="0.25">
      <c r="A422" s="131"/>
      <c r="B422" s="133"/>
      <c r="C422" s="133"/>
      <c r="D422" s="42" t="str">
        <f t="shared" si="162"/>
        <v/>
      </c>
      <c r="E422" s="43"/>
      <c r="F422" s="135"/>
      <c r="G422" s="77" t="str">
        <f t="shared" si="163"/>
        <v/>
      </c>
      <c r="H422" s="32" t="str">
        <f t="shared" si="164"/>
        <v/>
      </c>
      <c r="I422" s="78" t="str">
        <f t="shared" si="165"/>
        <v/>
      </c>
      <c r="J422" s="70" t="str">
        <f t="shared" si="166"/>
        <v/>
      </c>
      <c r="K422" s="135"/>
      <c r="L422" s="72" t="str">
        <f t="shared" si="167"/>
        <v/>
      </c>
      <c r="M422" s="135"/>
      <c r="N422" s="72" t="str">
        <f t="shared" si="168"/>
        <v/>
      </c>
      <c r="O422" s="135"/>
      <c r="P422" s="136"/>
      <c r="Q422" s="123" t="str">
        <f t="shared" si="169"/>
        <v/>
      </c>
      <c r="R422" s="45" t="str">
        <f t="shared" si="170"/>
        <v/>
      </c>
      <c r="S422" s="137"/>
      <c r="T422" s="79" t="str">
        <f t="shared" si="179"/>
        <v/>
      </c>
      <c r="U422" s="79" t="str">
        <f t="shared" si="171"/>
        <v/>
      </c>
      <c r="V422" s="73" t="str">
        <f t="shared" si="172"/>
        <v/>
      </c>
      <c r="W422" s="80" t="str">
        <f t="shared" si="173"/>
        <v/>
      </c>
      <c r="X422" s="73" t="str">
        <f t="shared" si="174"/>
        <v/>
      </c>
      <c r="Y422" s="80" t="str">
        <f t="shared" si="175"/>
        <v/>
      </c>
      <c r="Z422" s="74" t="str">
        <f t="shared" si="176"/>
        <v/>
      </c>
      <c r="AA422" s="75" t="str">
        <f t="shared" si="180"/>
        <v/>
      </c>
      <c r="AB422" s="103" t="str">
        <f t="shared" si="177"/>
        <v/>
      </c>
      <c r="AC422" s="104" t="str">
        <f t="shared" si="188"/>
        <v/>
      </c>
      <c r="AE422" s="139"/>
      <c r="AF422" s="110" t="str">
        <f t="shared" si="181"/>
        <v/>
      </c>
      <c r="AG422" s="111" t="str">
        <f t="shared" si="182"/>
        <v/>
      </c>
      <c r="AH422" s="111" t="str">
        <f t="shared" si="178"/>
        <v/>
      </c>
      <c r="AI422" s="111" t="str">
        <f t="shared" si="183"/>
        <v/>
      </c>
      <c r="AJ422" s="111" t="str">
        <f t="shared" si="184"/>
        <v/>
      </c>
      <c r="AK422" s="112" t="str">
        <f t="shared" si="185"/>
        <v/>
      </c>
      <c r="AL422" t="str">
        <f t="shared" si="186"/>
        <v/>
      </c>
      <c r="AM422" t="str">
        <f t="shared" si="187"/>
        <v/>
      </c>
    </row>
    <row r="423" spans="1:39" ht="15" customHeight="1" x14ac:dyDescent="0.25">
      <c r="A423" s="131"/>
      <c r="B423" s="133"/>
      <c r="C423" s="133"/>
      <c r="D423" s="42" t="str">
        <f t="shared" si="162"/>
        <v/>
      </c>
      <c r="E423" s="43"/>
      <c r="F423" s="135"/>
      <c r="G423" s="77" t="str">
        <f t="shared" si="163"/>
        <v/>
      </c>
      <c r="H423" s="32" t="str">
        <f t="shared" si="164"/>
        <v/>
      </c>
      <c r="I423" s="78" t="str">
        <f t="shared" si="165"/>
        <v/>
      </c>
      <c r="J423" s="70" t="str">
        <f t="shared" si="166"/>
        <v/>
      </c>
      <c r="K423" s="135"/>
      <c r="L423" s="72" t="str">
        <f t="shared" si="167"/>
        <v/>
      </c>
      <c r="M423" s="135"/>
      <c r="N423" s="72" t="str">
        <f t="shared" si="168"/>
        <v/>
      </c>
      <c r="O423" s="135"/>
      <c r="P423" s="136"/>
      <c r="Q423" s="123" t="str">
        <f t="shared" si="169"/>
        <v/>
      </c>
      <c r="R423" s="45" t="str">
        <f t="shared" si="170"/>
        <v/>
      </c>
      <c r="S423" s="137"/>
      <c r="T423" s="79" t="str">
        <f t="shared" si="179"/>
        <v/>
      </c>
      <c r="U423" s="79" t="str">
        <f t="shared" si="171"/>
        <v/>
      </c>
      <c r="V423" s="73" t="str">
        <f t="shared" si="172"/>
        <v/>
      </c>
      <c r="W423" s="80" t="str">
        <f t="shared" si="173"/>
        <v/>
      </c>
      <c r="X423" s="73" t="str">
        <f t="shared" si="174"/>
        <v/>
      </c>
      <c r="Y423" s="80" t="str">
        <f t="shared" si="175"/>
        <v/>
      </c>
      <c r="Z423" s="74" t="str">
        <f t="shared" si="176"/>
        <v/>
      </c>
      <c r="AA423" s="75" t="str">
        <f t="shared" si="180"/>
        <v/>
      </c>
      <c r="AB423" s="103" t="str">
        <f t="shared" si="177"/>
        <v/>
      </c>
      <c r="AC423" s="104" t="str">
        <f t="shared" si="188"/>
        <v/>
      </c>
      <c r="AE423" s="139"/>
      <c r="AF423" s="110" t="str">
        <f t="shared" si="181"/>
        <v/>
      </c>
      <c r="AG423" s="111" t="str">
        <f t="shared" si="182"/>
        <v/>
      </c>
      <c r="AH423" s="111" t="str">
        <f t="shared" si="178"/>
        <v/>
      </c>
      <c r="AI423" s="111" t="str">
        <f t="shared" si="183"/>
        <v/>
      </c>
      <c r="AJ423" s="111" t="str">
        <f t="shared" si="184"/>
        <v/>
      </c>
      <c r="AK423" s="112" t="str">
        <f t="shared" si="185"/>
        <v/>
      </c>
      <c r="AL423" t="str">
        <f t="shared" si="186"/>
        <v/>
      </c>
      <c r="AM423" t="str">
        <f t="shared" si="187"/>
        <v/>
      </c>
    </row>
    <row r="424" spans="1:39" ht="15" customHeight="1" x14ac:dyDescent="0.25">
      <c r="A424" s="131"/>
      <c r="B424" s="133"/>
      <c r="C424" s="133"/>
      <c r="D424" s="42" t="str">
        <f t="shared" si="162"/>
        <v/>
      </c>
      <c r="E424" s="43"/>
      <c r="F424" s="135"/>
      <c r="G424" s="77" t="str">
        <f t="shared" si="163"/>
        <v/>
      </c>
      <c r="H424" s="32" t="str">
        <f t="shared" si="164"/>
        <v/>
      </c>
      <c r="I424" s="78" t="str">
        <f t="shared" si="165"/>
        <v/>
      </c>
      <c r="J424" s="70" t="str">
        <f t="shared" si="166"/>
        <v/>
      </c>
      <c r="K424" s="135"/>
      <c r="L424" s="72" t="str">
        <f t="shared" si="167"/>
        <v/>
      </c>
      <c r="M424" s="135"/>
      <c r="N424" s="72" t="str">
        <f t="shared" si="168"/>
        <v/>
      </c>
      <c r="O424" s="135"/>
      <c r="P424" s="136"/>
      <c r="Q424" s="123" t="str">
        <f t="shared" si="169"/>
        <v/>
      </c>
      <c r="R424" s="45" t="str">
        <f t="shared" si="170"/>
        <v/>
      </c>
      <c r="S424" s="137"/>
      <c r="T424" s="79" t="str">
        <f t="shared" si="179"/>
        <v/>
      </c>
      <c r="U424" s="79" t="str">
        <f t="shared" si="171"/>
        <v/>
      </c>
      <c r="V424" s="73" t="str">
        <f t="shared" si="172"/>
        <v/>
      </c>
      <c r="W424" s="80" t="str">
        <f t="shared" si="173"/>
        <v/>
      </c>
      <c r="X424" s="73" t="str">
        <f t="shared" si="174"/>
        <v/>
      </c>
      <c r="Y424" s="80" t="str">
        <f t="shared" si="175"/>
        <v/>
      </c>
      <c r="Z424" s="74" t="str">
        <f t="shared" si="176"/>
        <v/>
      </c>
      <c r="AA424" s="75" t="str">
        <f t="shared" si="180"/>
        <v/>
      </c>
      <c r="AB424" s="103" t="str">
        <f t="shared" si="177"/>
        <v/>
      </c>
      <c r="AC424" s="104" t="str">
        <f t="shared" si="188"/>
        <v/>
      </c>
      <c r="AE424" s="139"/>
      <c r="AF424" s="110" t="str">
        <f t="shared" si="181"/>
        <v/>
      </c>
      <c r="AG424" s="111" t="str">
        <f t="shared" si="182"/>
        <v/>
      </c>
      <c r="AH424" s="111" t="str">
        <f t="shared" si="178"/>
        <v/>
      </c>
      <c r="AI424" s="111" t="str">
        <f t="shared" si="183"/>
        <v/>
      </c>
      <c r="AJ424" s="111" t="str">
        <f t="shared" si="184"/>
        <v/>
      </c>
      <c r="AK424" s="112" t="str">
        <f t="shared" si="185"/>
        <v/>
      </c>
      <c r="AL424" t="str">
        <f t="shared" si="186"/>
        <v/>
      </c>
      <c r="AM424" t="str">
        <f t="shared" si="187"/>
        <v/>
      </c>
    </row>
    <row r="425" spans="1:39" ht="15" customHeight="1" x14ac:dyDescent="0.25">
      <c r="A425" s="131"/>
      <c r="B425" s="133"/>
      <c r="C425" s="133"/>
      <c r="D425" s="42" t="str">
        <f t="shared" si="162"/>
        <v/>
      </c>
      <c r="E425" s="43"/>
      <c r="F425" s="135"/>
      <c r="G425" s="77" t="str">
        <f t="shared" si="163"/>
        <v/>
      </c>
      <c r="H425" s="32" t="str">
        <f t="shared" si="164"/>
        <v/>
      </c>
      <c r="I425" s="78" t="str">
        <f t="shared" si="165"/>
        <v/>
      </c>
      <c r="J425" s="70" t="str">
        <f t="shared" si="166"/>
        <v/>
      </c>
      <c r="K425" s="135"/>
      <c r="L425" s="72" t="str">
        <f t="shared" si="167"/>
        <v/>
      </c>
      <c r="M425" s="135"/>
      <c r="N425" s="72" t="str">
        <f t="shared" si="168"/>
        <v/>
      </c>
      <c r="O425" s="135"/>
      <c r="P425" s="136"/>
      <c r="Q425" s="123" t="str">
        <f t="shared" si="169"/>
        <v/>
      </c>
      <c r="R425" s="45" t="str">
        <f t="shared" si="170"/>
        <v/>
      </c>
      <c r="S425" s="137"/>
      <c r="T425" s="79" t="str">
        <f t="shared" si="179"/>
        <v/>
      </c>
      <c r="U425" s="79" t="str">
        <f t="shared" si="171"/>
        <v/>
      </c>
      <c r="V425" s="73" t="str">
        <f t="shared" si="172"/>
        <v/>
      </c>
      <c r="W425" s="80" t="str">
        <f t="shared" si="173"/>
        <v/>
      </c>
      <c r="X425" s="73" t="str">
        <f t="shared" si="174"/>
        <v/>
      </c>
      <c r="Y425" s="80" t="str">
        <f t="shared" si="175"/>
        <v/>
      </c>
      <c r="Z425" s="74" t="str">
        <f t="shared" si="176"/>
        <v/>
      </c>
      <c r="AA425" s="75" t="str">
        <f t="shared" si="180"/>
        <v/>
      </c>
      <c r="AB425" s="103" t="str">
        <f t="shared" si="177"/>
        <v/>
      </c>
      <c r="AC425" s="104" t="str">
        <f t="shared" si="188"/>
        <v/>
      </c>
      <c r="AE425" s="139"/>
      <c r="AF425" s="110" t="str">
        <f t="shared" si="181"/>
        <v/>
      </c>
      <c r="AG425" s="111" t="str">
        <f t="shared" si="182"/>
        <v/>
      </c>
      <c r="AH425" s="111" t="str">
        <f t="shared" si="178"/>
        <v/>
      </c>
      <c r="AI425" s="111" t="str">
        <f t="shared" si="183"/>
        <v/>
      </c>
      <c r="AJ425" s="111" t="str">
        <f t="shared" si="184"/>
        <v/>
      </c>
      <c r="AK425" s="112" t="str">
        <f t="shared" si="185"/>
        <v/>
      </c>
      <c r="AL425" t="str">
        <f t="shared" si="186"/>
        <v/>
      </c>
      <c r="AM425" t="str">
        <f t="shared" si="187"/>
        <v/>
      </c>
    </row>
    <row r="426" spans="1:39" ht="15" customHeight="1" x14ac:dyDescent="0.25">
      <c r="A426" s="131"/>
      <c r="B426" s="133"/>
      <c r="C426" s="133"/>
      <c r="D426" s="42" t="str">
        <f t="shared" si="162"/>
        <v/>
      </c>
      <c r="E426" s="43"/>
      <c r="F426" s="135"/>
      <c r="G426" s="77" t="str">
        <f t="shared" si="163"/>
        <v/>
      </c>
      <c r="H426" s="32" t="str">
        <f t="shared" si="164"/>
        <v/>
      </c>
      <c r="I426" s="78" t="str">
        <f t="shared" si="165"/>
        <v/>
      </c>
      <c r="J426" s="70" t="str">
        <f t="shared" si="166"/>
        <v/>
      </c>
      <c r="K426" s="135"/>
      <c r="L426" s="72" t="str">
        <f t="shared" si="167"/>
        <v/>
      </c>
      <c r="M426" s="135"/>
      <c r="N426" s="72" t="str">
        <f t="shared" si="168"/>
        <v/>
      </c>
      <c r="O426" s="135"/>
      <c r="P426" s="136"/>
      <c r="Q426" s="123" t="str">
        <f t="shared" si="169"/>
        <v/>
      </c>
      <c r="R426" s="45" t="str">
        <f t="shared" si="170"/>
        <v/>
      </c>
      <c r="S426" s="137"/>
      <c r="T426" s="79" t="str">
        <f t="shared" si="179"/>
        <v/>
      </c>
      <c r="U426" s="79" t="str">
        <f t="shared" si="171"/>
        <v/>
      </c>
      <c r="V426" s="73" t="str">
        <f t="shared" si="172"/>
        <v/>
      </c>
      <c r="W426" s="80" t="str">
        <f t="shared" si="173"/>
        <v/>
      </c>
      <c r="X426" s="73" t="str">
        <f t="shared" si="174"/>
        <v/>
      </c>
      <c r="Y426" s="80" t="str">
        <f t="shared" si="175"/>
        <v/>
      </c>
      <c r="Z426" s="74" t="str">
        <f t="shared" si="176"/>
        <v/>
      </c>
      <c r="AA426" s="75" t="str">
        <f t="shared" si="180"/>
        <v/>
      </c>
      <c r="AB426" s="103" t="str">
        <f t="shared" si="177"/>
        <v/>
      </c>
      <c r="AC426" s="104" t="str">
        <f t="shared" si="188"/>
        <v/>
      </c>
      <c r="AE426" s="139"/>
      <c r="AF426" s="110" t="str">
        <f t="shared" si="181"/>
        <v/>
      </c>
      <c r="AG426" s="111" t="str">
        <f t="shared" si="182"/>
        <v/>
      </c>
      <c r="AH426" s="111" t="str">
        <f t="shared" si="178"/>
        <v/>
      </c>
      <c r="AI426" s="111" t="str">
        <f t="shared" si="183"/>
        <v/>
      </c>
      <c r="AJ426" s="111" t="str">
        <f t="shared" si="184"/>
        <v/>
      </c>
      <c r="AK426" s="112" t="str">
        <f t="shared" si="185"/>
        <v/>
      </c>
      <c r="AL426" t="str">
        <f t="shared" si="186"/>
        <v/>
      </c>
      <c r="AM426" t="str">
        <f t="shared" si="187"/>
        <v/>
      </c>
    </row>
    <row r="427" spans="1:39" ht="15" customHeight="1" x14ac:dyDescent="0.25">
      <c r="A427" s="131"/>
      <c r="B427" s="133"/>
      <c r="C427" s="133"/>
      <c r="D427" s="42" t="str">
        <f t="shared" si="162"/>
        <v/>
      </c>
      <c r="E427" s="43"/>
      <c r="F427" s="135"/>
      <c r="G427" s="77" t="str">
        <f t="shared" si="163"/>
        <v/>
      </c>
      <c r="H427" s="32" t="str">
        <f t="shared" si="164"/>
        <v/>
      </c>
      <c r="I427" s="78" t="str">
        <f t="shared" si="165"/>
        <v/>
      </c>
      <c r="J427" s="70" t="str">
        <f t="shared" si="166"/>
        <v/>
      </c>
      <c r="K427" s="135"/>
      <c r="L427" s="72" t="str">
        <f t="shared" si="167"/>
        <v/>
      </c>
      <c r="M427" s="135"/>
      <c r="N427" s="72" t="str">
        <f t="shared" si="168"/>
        <v/>
      </c>
      <c r="O427" s="135"/>
      <c r="P427" s="136"/>
      <c r="Q427" s="123" t="str">
        <f t="shared" si="169"/>
        <v/>
      </c>
      <c r="R427" s="45" t="str">
        <f t="shared" si="170"/>
        <v/>
      </c>
      <c r="S427" s="137"/>
      <c r="T427" s="79" t="str">
        <f t="shared" si="179"/>
        <v/>
      </c>
      <c r="U427" s="79" t="str">
        <f t="shared" si="171"/>
        <v/>
      </c>
      <c r="V427" s="73" t="str">
        <f t="shared" si="172"/>
        <v/>
      </c>
      <c r="W427" s="80" t="str">
        <f t="shared" si="173"/>
        <v/>
      </c>
      <c r="X427" s="73" t="str">
        <f t="shared" si="174"/>
        <v/>
      </c>
      <c r="Y427" s="80" t="str">
        <f t="shared" si="175"/>
        <v/>
      </c>
      <c r="Z427" s="74" t="str">
        <f t="shared" si="176"/>
        <v/>
      </c>
      <c r="AA427" s="75" t="str">
        <f t="shared" si="180"/>
        <v/>
      </c>
      <c r="AB427" s="103" t="str">
        <f t="shared" si="177"/>
        <v/>
      </c>
      <c r="AC427" s="104" t="str">
        <f t="shared" si="188"/>
        <v/>
      </c>
      <c r="AE427" s="139"/>
      <c r="AF427" s="110" t="str">
        <f t="shared" si="181"/>
        <v/>
      </c>
      <c r="AG427" s="111" t="str">
        <f t="shared" si="182"/>
        <v/>
      </c>
      <c r="AH427" s="111" t="str">
        <f t="shared" si="178"/>
        <v/>
      </c>
      <c r="AI427" s="111" t="str">
        <f t="shared" si="183"/>
        <v/>
      </c>
      <c r="AJ427" s="111" t="str">
        <f t="shared" si="184"/>
        <v/>
      </c>
      <c r="AK427" s="112" t="str">
        <f t="shared" si="185"/>
        <v/>
      </c>
      <c r="AL427" t="str">
        <f t="shared" si="186"/>
        <v/>
      </c>
      <c r="AM427" t="str">
        <f t="shared" si="187"/>
        <v/>
      </c>
    </row>
    <row r="428" spans="1:39" ht="15" customHeight="1" x14ac:dyDescent="0.25">
      <c r="A428" s="131"/>
      <c r="B428" s="133"/>
      <c r="C428" s="133"/>
      <c r="D428" s="42" t="str">
        <f t="shared" si="162"/>
        <v/>
      </c>
      <c r="E428" s="43"/>
      <c r="F428" s="135"/>
      <c r="G428" s="77" t="str">
        <f t="shared" si="163"/>
        <v/>
      </c>
      <c r="H428" s="32" t="str">
        <f t="shared" si="164"/>
        <v/>
      </c>
      <c r="I428" s="78" t="str">
        <f t="shared" si="165"/>
        <v/>
      </c>
      <c r="J428" s="70" t="str">
        <f t="shared" si="166"/>
        <v/>
      </c>
      <c r="K428" s="135"/>
      <c r="L428" s="72" t="str">
        <f t="shared" si="167"/>
        <v/>
      </c>
      <c r="M428" s="135"/>
      <c r="N428" s="72" t="str">
        <f t="shared" si="168"/>
        <v/>
      </c>
      <c r="O428" s="135"/>
      <c r="P428" s="136"/>
      <c r="Q428" s="123" t="str">
        <f t="shared" si="169"/>
        <v/>
      </c>
      <c r="R428" s="45" t="str">
        <f t="shared" si="170"/>
        <v/>
      </c>
      <c r="S428" s="137"/>
      <c r="T428" s="79" t="str">
        <f t="shared" si="179"/>
        <v/>
      </c>
      <c r="U428" s="79" t="str">
        <f t="shared" si="171"/>
        <v/>
      </c>
      <c r="V428" s="73" t="str">
        <f t="shared" si="172"/>
        <v/>
      </c>
      <c r="W428" s="80" t="str">
        <f t="shared" si="173"/>
        <v/>
      </c>
      <c r="X428" s="73" t="str">
        <f t="shared" si="174"/>
        <v/>
      </c>
      <c r="Y428" s="80" t="str">
        <f t="shared" si="175"/>
        <v/>
      </c>
      <c r="Z428" s="74" t="str">
        <f t="shared" si="176"/>
        <v/>
      </c>
      <c r="AA428" s="75" t="str">
        <f t="shared" si="180"/>
        <v/>
      </c>
      <c r="AB428" s="103" t="str">
        <f t="shared" si="177"/>
        <v/>
      </c>
      <c r="AC428" s="104" t="str">
        <f t="shared" si="188"/>
        <v/>
      </c>
      <c r="AE428" s="139"/>
      <c r="AF428" s="110" t="str">
        <f t="shared" si="181"/>
        <v/>
      </c>
      <c r="AG428" s="111" t="str">
        <f t="shared" si="182"/>
        <v/>
      </c>
      <c r="AH428" s="111" t="str">
        <f t="shared" si="178"/>
        <v/>
      </c>
      <c r="AI428" s="111" t="str">
        <f t="shared" si="183"/>
        <v/>
      </c>
      <c r="AJ428" s="111" t="str">
        <f t="shared" si="184"/>
        <v/>
      </c>
      <c r="AK428" s="112" t="str">
        <f t="shared" si="185"/>
        <v/>
      </c>
      <c r="AL428" t="str">
        <f t="shared" si="186"/>
        <v/>
      </c>
      <c r="AM428" t="str">
        <f t="shared" si="187"/>
        <v/>
      </c>
    </row>
    <row r="429" spans="1:39" ht="15" customHeight="1" x14ac:dyDescent="0.25">
      <c r="A429" s="131"/>
      <c r="B429" s="133"/>
      <c r="C429" s="133"/>
      <c r="D429" s="42" t="str">
        <f t="shared" si="162"/>
        <v/>
      </c>
      <c r="E429" s="43"/>
      <c r="F429" s="135"/>
      <c r="G429" s="77" t="str">
        <f t="shared" si="163"/>
        <v/>
      </c>
      <c r="H429" s="32" t="str">
        <f t="shared" si="164"/>
        <v/>
      </c>
      <c r="I429" s="78" t="str">
        <f t="shared" si="165"/>
        <v/>
      </c>
      <c r="J429" s="70" t="str">
        <f t="shared" si="166"/>
        <v/>
      </c>
      <c r="K429" s="135"/>
      <c r="L429" s="72" t="str">
        <f t="shared" si="167"/>
        <v/>
      </c>
      <c r="M429" s="135"/>
      <c r="N429" s="72" t="str">
        <f t="shared" si="168"/>
        <v/>
      </c>
      <c r="O429" s="135"/>
      <c r="P429" s="136"/>
      <c r="Q429" s="123" t="str">
        <f t="shared" si="169"/>
        <v/>
      </c>
      <c r="R429" s="45" t="str">
        <f t="shared" si="170"/>
        <v/>
      </c>
      <c r="S429" s="137"/>
      <c r="T429" s="79" t="str">
        <f t="shared" si="179"/>
        <v/>
      </c>
      <c r="U429" s="79" t="str">
        <f t="shared" si="171"/>
        <v/>
      </c>
      <c r="V429" s="73" t="str">
        <f t="shared" si="172"/>
        <v/>
      </c>
      <c r="W429" s="80" t="str">
        <f t="shared" si="173"/>
        <v/>
      </c>
      <c r="X429" s="73" t="str">
        <f t="shared" si="174"/>
        <v/>
      </c>
      <c r="Y429" s="80" t="str">
        <f t="shared" si="175"/>
        <v/>
      </c>
      <c r="Z429" s="74" t="str">
        <f t="shared" si="176"/>
        <v/>
      </c>
      <c r="AA429" s="75" t="str">
        <f t="shared" si="180"/>
        <v/>
      </c>
      <c r="AB429" s="103" t="str">
        <f t="shared" si="177"/>
        <v/>
      </c>
      <c r="AC429" s="104" t="str">
        <f t="shared" si="188"/>
        <v/>
      </c>
      <c r="AE429" s="139"/>
      <c r="AF429" s="110" t="str">
        <f t="shared" si="181"/>
        <v/>
      </c>
      <c r="AG429" s="111" t="str">
        <f t="shared" si="182"/>
        <v/>
      </c>
      <c r="AH429" s="111" t="str">
        <f t="shared" si="178"/>
        <v/>
      </c>
      <c r="AI429" s="111" t="str">
        <f t="shared" si="183"/>
        <v/>
      </c>
      <c r="AJ429" s="111" t="str">
        <f t="shared" si="184"/>
        <v/>
      </c>
      <c r="AK429" s="112" t="str">
        <f t="shared" si="185"/>
        <v/>
      </c>
      <c r="AL429" t="str">
        <f t="shared" si="186"/>
        <v/>
      </c>
      <c r="AM429" t="str">
        <f t="shared" si="187"/>
        <v/>
      </c>
    </row>
    <row r="430" spans="1:39" ht="15" customHeight="1" x14ac:dyDescent="0.25">
      <c r="A430" s="131"/>
      <c r="B430" s="133"/>
      <c r="C430" s="133"/>
      <c r="D430" s="42" t="str">
        <f t="shared" si="162"/>
        <v/>
      </c>
      <c r="E430" s="43"/>
      <c r="F430" s="135"/>
      <c r="G430" s="77" t="str">
        <f t="shared" si="163"/>
        <v/>
      </c>
      <c r="H430" s="32" t="str">
        <f t="shared" si="164"/>
        <v/>
      </c>
      <c r="I430" s="78" t="str">
        <f t="shared" si="165"/>
        <v/>
      </c>
      <c r="J430" s="70" t="str">
        <f t="shared" si="166"/>
        <v/>
      </c>
      <c r="K430" s="135"/>
      <c r="L430" s="72" t="str">
        <f t="shared" si="167"/>
        <v/>
      </c>
      <c r="M430" s="135"/>
      <c r="N430" s="72" t="str">
        <f t="shared" si="168"/>
        <v/>
      </c>
      <c r="O430" s="135"/>
      <c r="P430" s="136"/>
      <c r="Q430" s="123" t="str">
        <f t="shared" si="169"/>
        <v/>
      </c>
      <c r="R430" s="45" t="str">
        <f t="shared" si="170"/>
        <v/>
      </c>
      <c r="S430" s="137"/>
      <c r="T430" s="79" t="str">
        <f t="shared" si="179"/>
        <v/>
      </c>
      <c r="U430" s="79" t="str">
        <f t="shared" si="171"/>
        <v/>
      </c>
      <c r="V430" s="73" t="str">
        <f t="shared" si="172"/>
        <v/>
      </c>
      <c r="W430" s="80" t="str">
        <f t="shared" si="173"/>
        <v/>
      </c>
      <c r="X430" s="73" t="str">
        <f t="shared" si="174"/>
        <v/>
      </c>
      <c r="Y430" s="80" t="str">
        <f t="shared" si="175"/>
        <v/>
      </c>
      <c r="Z430" s="74" t="str">
        <f t="shared" si="176"/>
        <v/>
      </c>
      <c r="AA430" s="75" t="str">
        <f t="shared" si="180"/>
        <v/>
      </c>
      <c r="AB430" s="103" t="str">
        <f t="shared" si="177"/>
        <v/>
      </c>
      <c r="AC430" s="104" t="str">
        <f t="shared" si="188"/>
        <v/>
      </c>
      <c r="AE430" s="139"/>
      <c r="AF430" s="110" t="str">
        <f t="shared" si="181"/>
        <v/>
      </c>
      <c r="AG430" s="111" t="str">
        <f t="shared" si="182"/>
        <v/>
      </c>
      <c r="AH430" s="111" t="str">
        <f t="shared" si="178"/>
        <v/>
      </c>
      <c r="AI430" s="111" t="str">
        <f t="shared" si="183"/>
        <v/>
      </c>
      <c r="AJ430" s="111" t="str">
        <f t="shared" si="184"/>
        <v/>
      </c>
      <c r="AK430" s="112" t="str">
        <f t="shared" si="185"/>
        <v/>
      </c>
      <c r="AL430" t="str">
        <f t="shared" si="186"/>
        <v/>
      </c>
      <c r="AM430" t="str">
        <f t="shared" si="187"/>
        <v/>
      </c>
    </row>
    <row r="431" spans="1:39" ht="15" customHeight="1" x14ac:dyDescent="0.25">
      <c r="A431" s="131"/>
      <c r="B431" s="133"/>
      <c r="C431" s="133"/>
      <c r="D431" s="42" t="str">
        <f t="shared" si="162"/>
        <v/>
      </c>
      <c r="E431" s="43"/>
      <c r="F431" s="135"/>
      <c r="G431" s="77" t="str">
        <f t="shared" si="163"/>
        <v/>
      </c>
      <c r="H431" s="32" t="str">
        <f t="shared" si="164"/>
        <v/>
      </c>
      <c r="I431" s="78" t="str">
        <f t="shared" si="165"/>
        <v/>
      </c>
      <c r="J431" s="70" t="str">
        <f t="shared" si="166"/>
        <v/>
      </c>
      <c r="K431" s="135"/>
      <c r="L431" s="72" t="str">
        <f t="shared" si="167"/>
        <v/>
      </c>
      <c r="M431" s="135"/>
      <c r="N431" s="72" t="str">
        <f t="shared" si="168"/>
        <v/>
      </c>
      <c r="O431" s="135"/>
      <c r="P431" s="136"/>
      <c r="Q431" s="123" t="str">
        <f t="shared" si="169"/>
        <v/>
      </c>
      <c r="R431" s="45" t="str">
        <f t="shared" si="170"/>
        <v/>
      </c>
      <c r="S431" s="137"/>
      <c r="T431" s="79" t="str">
        <f t="shared" si="179"/>
        <v/>
      </c>
      <c r="U431" s="79" t="str">
        <f t="shared" si="171"/>
        <v/>
      </c>
      <c r="V431" s="73" t="str">
        <f t="shared" si="172"/>
        <v/>
      </c>
      <c r="W431" s="80" t="str">
        <f t="shared" si="173"/>
        <v/>
      </c>
      <c r="X431" s="73" t="str">
        <f t="shared" si="174"/>
        <v/>
      </c>
      <c r="Y431" s="80" t="str">
        <f t="shared" si="175"/>
        <v/>
      </c>
      <c r="Z431" s="74" t="str">
        <f t="shared" si="176"/>
        <v/>
      </c>
      <c r="AA431" s="75" t="str">
        <f t="shared" si="180"/>
        <v/>
      </c>
      <c r="AB431" s="103" t="str">
        <f t="shared" si="177"/>
        <v/>
      </c>
      <c r="AC431" s="104" t="str">
        <f t="shared" si="188"/>
        <v/>
      </c>
      <c r="AE431" s="139"/>
      <c r="AF431" s="110" t="str">
        <f t="shared" si="181"/>
        <v/>
      </c>
      <c r="AG431" s="111" t="str">
        <f t="shared" si="182"/>
        <v/>
      </c>
      <c r="AH431" s="111" t="str">
        <f t="shared" si="178"/>
        <v/>
      </c>
      <c r="AI431" s="111" t="str">
        <f t="shared" si="183"/>
        <v/>
      </c>
      <c r="AJ431" s="111" t="str">
        <f t="shared" si="184"/>
        <v/>
      </c>
      <c r="AK431" s="112" t="str">
        <f t="shared" si="185"/>
        <v/>
      </c>
      <c r="AL431" t="str">
        <f t="shared" si="186"/>
        <v/>
      </c>
      <c r="AM431" t="str">
        <f t="shared" si="187"/>
        <v/>
      </c>
    </row>
    <row r="432" spans="1:39" ht="15" customHeight="1" x14ac:dyDescent="0.25">
      <c r="A432" s="131"/>
      <c r="B432" s="133"/>
      <c r="C432" s="133"/>
      <c r="D432" s="42" t="str">
        <f t="shared" si="162"/>
        <v/>
      </c>
      <c r="E432" s="43"/>
      <c r="F432" s="135"/>
      <c r="G432" s="77" t="str">
        <f t="shared" si="163"/>
        <v/>
      </c>
      <c r="H432" s="32" t="str">
        <f t="shared" si="164"/>
        <v/>
      </c>
      <c r="I432" s="78" t="str">
        <f t="shared" si="165"/>
        <v/>
      </c>
      <c r="J432" s="70" t="str">
        <f t="shared" si="166"/>
        <v/>
      </c>
      <c r="K432" s="135"/>
      <c r="L432" s="72" t="str">
        <f t="shared" si="167"/>
        <v/>
      </c>
      <c r="M432" s="135"/>
      <c r="N432" s="72" t="str">
        <f t="shared" si="168"/>
        <v/>
      </c>
      <c r="O432" s="135"/>
      <c r="P432" s="136"/>
      <c r="Q432" s="123" t="str">
        <f t="shared" si="169"/>
        <v/>
      </c>
      <c r="R432" s="45" t="str">
        <f t="shared" si="170"/>
        <v/>
      </c>
      <c r="S432" s="137"/>
      <c r="T432" s="79" t="str">
        <f t="shared" si="179"/>
        <v/>
      </c>
      <c r="U432" s="79" t="str">
        <f t="shared" si="171"/>
        <v/>
      </c>
      <c r="V432" s="73" t="str">
        <f t="shared" si="172"/>
        <v/>
      </c>
      <c r="W432" s="80" t="str">
        <f t="shared" si="173"/>
        <v/>
      </c>
      <c r="X432" s="73" t="str">
        <f t="shared" si="174"/>
        <v/>
      </c>
      <c r="Y432" s="80" t="str">
        <f t="shared" si="175"/>
        <v/>
      </c>
      <c r="Z432" s="74" t="str">
        <f t="shared" si="176"/>
        <v/>
      </c>
      <c r="AA432" s="75" t="str">
        <f t="shared" si="180"/>
        <v/>
      </c>
      <c r="AB432" s="103" t="str">
        <f t="shared" si="177"/>
        <v/>
      </c>
      <c r="AC432" s="104" t="str">
        <f t="shared" si="188"/>
        <v/>
      </c>
      <c r="AE432" s="139"/>
      <c r="AF432" s="110" t="str">
        <f t="shared" si="181"/>
        <v/>
      </c>
      <c r="AG432" s="111" t="str">
        <f t="shared" si="182"/>
        <v/>
      </c>
      <c r="AH432" s="111" t="str">
        <f t="shared" si="178"/>
        <v/>
      </c>
      <c r="AI432" s="111" t="str">
        <f t="shared" si="183"/>
        <v/>
      </c>
      <c r="AJ432" s="111" t="str">
        <f t="shared" si="184"/>
        <v/>
      </c>
      <c r="AK432" s="112" t="str">
        <f t="shared" si="185"/>
        <v/>
      </c>
      <c r="AL432" t="str">
        <f t="shared" si="186"/>
        <v/>
      </c>
      <c r="AM432" t="str">
        <f t="shared" si="187"/>
        <v/>
      </c>
    </row>
    <row r="433" spans="1:39" ht="15" customHeight="1" x14ac:dyDescent="0.25">
      <c r="A433" s="131"/>
      <c r="B433" s="133"/>
      <c r="C433" s="133"/>
      <c r="D433" s="42" t="str">
        <f t="shared" si="162"/>
        <v/>
      </c>
      <c r="E433" s="43"/>
      <c r="F433" s="135"/>
      <c r="G433" s="77" t="str">
        <f t="shared" si="163"/>
        <v/>
      </c>
      <c r="H433" s="32" t="str">
        <f t="shared" si="164"/>
        <v/>
      </c>
      <c r="I433" s="78" t="str">
        <f t="shared" si="165"/>
        <v/>
      </c>
      <c r="J433" s="70" t="str">
        <f t="shared" si="166"/>
        <v/>
      </c>
      <c r="K433" s="135"/>
      <c r="L433" s="72" t="str">
        <f t="shared" si="167"/>
        <v/>
      </c>
      <c r="M433" s="135"/>
      <c r="N433" s="72" t="str">
        <f t="shared" si="168"/>
        <v/>
      </c>
      <c r="O433" s="135"/>
      <c r="P433" s="136"/>
      <c r="Q433" s="123" t="str">
        <f t="shared" si="169"/>
        <v/>
      </c>
      <c r="R433" s="45" t="str">
        <f t="shared" si="170"/>
        <v/>
      </c>
      <c r="S433" s="137"/>
      <c r="T433" s="79" t="str">
        <f t="shared" si="179"/>
        <v/>
      </c>
      <c r="U433" s="79" t="str">
        <f t="shared" si="171"/>
        <v/>
      </c>
      <c r="V433" s="73" t="str">
        <f t="shared" si="172"/>
        <v/>
      </c>
      <c r="W433" s="80" t="str">
        <f t="shared" si="173"/>
        <v/>
      </c>
      <c r="X433" s="73" t="str">
        <f t="shared" si="174"/>
        <v/>
      </c>
      <c r="Y433" s="80" t="str">
        <f t="shared" si="175"/>
        <v/>
      </c>
      <c r="Z433" s="74" t="str">
        <f t="shared" si="176"/>
        <v/>
      </c>
      <c r="AA433" s="75" t="str">
        <f t="shared" si="180"/>
        <v/>
      </c>
      <c r="AB433" s="103" t="str">
        <f t="shared" si="177"/>
        <v/>
      </c>
      <c r="AC433" s="104" t="str">
        <f t="shared" si="188"/>
        <v/>
      </c>
      <c r="AE433" s="139"/>
      <c r="AF433" s="110" t="str">
        <f t="shared" si="181"/>
        <v/>
      </c>
      <c r="AG433" s="111" t="str">
        <f t="shared" si="182"/>
        <v/>
      </c>
      <c r="AH433" s="111" t="str">
        <f t="shared" si="178"/>
        <v/>
      </c>
      <c r="AI433" s="111" t="str">
        <f t="shared" si="183"/>
        <v/>
      </c>
      <c r="AJ433" s="111" t="str">
        <f t="shared" si="184"/>
        <v/>
      </c>
      <c r="AK433" s="112" t="str">
        <f t="shared" si="185"/>
        <v/>
      </c>
      <c r="AL433" t="str">
        <f t="shared" si="186"/>
        <v/>
      </c>
      <c r="AM433" t="str">
        <f t="shared" si="187"/>
        <v/>
      </c>
    </row>
    <row r="434" spans="1:39" ht="15" customHeight="1" x14ac:dyDescent="0.25">
      <c r="A434" s="131"/>
      <c r="B434" s="133"/>
      <c r="C434" s="133"/>
      <c r="D434" s="42" t="str">
        <f t="shared" si="162"/>
        <v/>
      </c>
      <c r="E434" s="43"/>
      <c r="F434" s="135"/>
      <c r="G434" s="77" t="str">
        <f t="shared" si="163"/>
        <v/>
      </c>
      <c r="H434" s="32" t="str">
        <f t="shared" si="164"/>
        <v/>
      </c>
      <c r="I434" s="78" t="str">
        <f t="shared" si="165"/>
        <v/>
      </c>
      <c r="J434" s="70" t="str">
        <f t="shared" si="166"/>
        <v/>
      </c>
      <c r="K434" s="135"/>
      <c r="L434" s="72" t="str">
        <f t="shared" si="167"/>
        <v/>
      </c>
      <c r="M434" s="135"/>
      <c r="N434" s="72" t="str">
        <f t="shared" si="168"/>
        <v/>
      </c>
      <c r="O434" s="135"/>
      <c r="P434" s="136"/>
      <c r="Q434" s="123" t="str">
        <f t="shared" si="169"/>
        <v/>
      </c>
      <c r="R434" s="45" t="str">
        <f t="shared" si="170"/>
        <v/>
      </c>
      <c r="S434" s="137"/>
      <c r="T434" s="79" t="str">
        <f t="shared" si="179"/>
        <v/>
      </c>
      <c r="U434" s="79" t="str">
        <f t="shared" si="171"/>
        <v/>
      </c>
      <c r="V434" s="73" t="str">
        <f t="shared" si="172"/>
        <v/>
      </c>
      <c r="W434" s="80" t="str">
        <f t="shared" si="173"/>
        <v/>
      </c>
      <c r="X434" s="73" t="str">
        <f t="shared" si="174"/>
        <v/>
      </c>
      <c r="Y434" s="80" t="str">
        <f t="shared" si="175"/>
        <v/>
      </c>
      <c r="Z434" s="74" t="str">
        <f t="shared" si="176"/>
        <v/>
      </c>
      <c r="AA434" s="75" t="str">
        <f t="shared" si="180"/>
        <v/>
      </c>
      <c r="AB434" s="103" t="str">
        <f t="shared" si="177"/>
        <v/>
      </c>
      <c r="AC434" s="104" t="str">
        <f t="shared" si="188"/>
        <v/>
      </c>
      <c r="AE434" s="139"/>
      <c r="AF434" s="110" t="str">
        <f t="shared" si="181"/>
        <v/>
      </c>
      <c r="AG434" s="111" t="str">
        <f t="shared" si="182"/>
        <v/>
      </c>
      <c r="AH434" s="111" t="str">
        <f t="shared" si="178"/>
        <v/>
      </c>
      <c r="AI434" s="111" t="str">
        <f t="shared" si="183"/>
        <v/>
      </c>
      <c r="AJ434" s="111" t="str">
        <f t="shared" si="184"/>
        <v/>
      </c>
      <c r="AK434" s="112" t="str">
        <f t="shared" si="185"/>
        <v/>
      </c>
      <c r="AL434" t="str">
        <f t="shared" si="186"/>
        <v/>
      </c>
      <c r="AM434" t="str">
        <f t="shared" si="187"/>
        <v/>
      </c>
    </row>
    <row r="435" spans="1:39" ht="15" customHeight="1" x14ac:dyDescent="0.25">
      <c r="A435" s="131"/>
      <c r="B435" s="133"/>
      <c r="C435" s="133"/>
      <c r="D435" s="42" t="str">
        <f t="shared" si="162"/>
        <v/>
      </c>
      <c r="E435" s="43"/>
      <c r="F435" s="135"/>
      <c r="G435" s="77" t="str">
        <f t="shared" si="163"/>
        <v/>
      </c>
      <c r="H435" s="32" t="str">
        <f t="shared" si="164"/>
        <v/>
      </c>
      <c r="I435" s="78" t="str">
        <f t="shared" si="165"/>
        <v/>
      </c>
      <c r="J435" s="70" t="str">
        <f t="shared" si="166"/>
        <v/>
      </c>
      <c r="K435" s="135"/>
      <c r="L435" s="72" t="str">
        <f t="shared" si="167"/>
        <v/>
      </c>
      <c r="M435" s="135"/>
      <c r="N435" s="72" t="str">
        <f t="shared" si="168"/>
        <v/>
      </c>
      <c r="O435" s="135"/>
      <c r="P435" s="136"/>
      <c r="Q435" s="123" t="str">
        <f t="shared" si="169"/>
        <v/>
      </c>
      <c r="R435" s="45" t="str">
        <f t="shared" si="170"/>
        <v/>
      </c>
      <c r="S435" s="137"/>
      <c r="T435" s="79" t="str">
        <f t="shared" si="179"/>
        <v/>
      </c>
      <c r="U435" s="79" t="str">
        <f t="shared" si="171"/>
        <v/>
      </c>
      <c r="V435" s="73" t="str">
        <f t="shared" si="172"/>
        <v/>
      </c>
      <c r="W435" s="80" t="str">
        <f t="shared" si="173"/>
        <v/>
      </c>
      <c r="X435" s="73" t="str">
        <f t="shared" si="174"/>
        <v/>
      </c>
      <c r="Y435" s="80" t="str">
        <f t="shared" si="175"/>
        <v/>
      </c>
      <c r="Z435" s="74" t="str">
        <f t="shared" si="176"/>
        <v/>
      </c>
      <c r="AA435" s="75" t="str">
        <f t="shared" si="180"/>
        <v/>
      </c>
      <c r="AB435" s="103" t="str">
        <f t="shared" si="177"/>
        <v/>
      </c>
      <c r="AC435" s="104" t="str">
        <f t="shared" si="188"/>
        <v/>
      </c>
      <c r="AE435" s="139"/>
      <c r="AF435" s="110" t="str">
        <f t="shared" si="181"/>
        <v/>
      </c>
      <c r="AG435" s="111" t="str">
        <f t="shared" si="182"/>
        <v/>
      </c>
      <c r="AH435" s="111" t="str">
        <f t="shared" si="178"/>
        <v/>
      </c>
      <c r="AI435" s="111" t="str">
        <f t="shared" si="183"/>
        <v/>
      </c>
      <c r="AJ435" s="111" t="str">
        <f t="shared" si="184"/>
        <v/>
      </c>
      <c r="AK435" s="112" t="str">
        <f t="shared" si="185"/>
        <v/>
      </c>
      <c r="AL435" t="str">
        <f t="shared" si="186"/>
        <v/>
      </c>
      <c r="AM435" t="str">
        <f t="shared" si="187"/>
        <v/>
      </c>
    </row>
    <row r="436" spans="1:39" ht="15" customHeight="1" x14ac:dyDescent="0.25">
      <c r="A436" s="131"/>
      <c r="B436" s="133"/>
      <c r="C436" s="133"/>
      <c r="D436" s="42" t="str">
        <f t="shared" si="162"/>
        <v/>
      </c>
      <c r="E436" s="43"/>
      <c r="F436" s="135"/>
      <c r="G436" s="77" t="str">
        <f t="shared" si="163"/>
        <v/>
      </c>
      <c r="H436" s="32" t="str">
        <f t="shared" si="164"/>
        <v/>
      </c>
      <c r="I436" s="78" t="str">
        <f t="shared" si="165"/>
        <v/>
      </c>
      <c r="J436" s="70" t="str">
        <f t="shared" si="166"/>
        <v/>
      </c>
      <c r="K436" s="135"/>
      <c r="L436" s="72" t="str">
        <f t="shared" si="167"/>
        <v/>
      </c>
      <c r="M436" s="135"/>
      <c r="N436" s="72" t="str">
        <f t="shared" si="168"/>
        <v/>
      </c>
      <c r="O436" s="135"/>
      <c r="P436" s="136"/>
      <c r="Q436" s="123" t="str">
        <f t="shared" si="169"/>
        <v/>
      </c>
      <c r="R436" s="45" t="str">
        <f t="shared" si="170"/>
        <v/>
      </c>
      <c r="S436" s="137"/>
      <c r="T436" s="79" t="str">
        <f t="shared" si="179"/>
        <v/>
      </c>
      <c r="U436" s="79" t="str">
        <f t="shared" si="171"/>
        <v/>
      </c>
      <c r="V436" s="73" t="str">
        <f t="shared" si="172"/>
        <v/>
      </c>
      <c r="W436" s="80" t="str">
        <f t="shared" si="173"/>
        <v/>
      </c>
      <c r="X436" s="73" t="str">
        <f t="shared" si="174"/>
        <v/>
      </c>
      <c r="Y436" s="80" t="str">
        <f t="shared" si="175"/>
        <v/>
      </c>
      <c r="Z436" s="74" t="str">
        <f t="shared" si="176"/>
        <v/>
      </c>
      <c r="AA436" s="75" t="str">
        <f t="shared" si="180"/>
        <v/>
      </c>
      <c r="AB436" s="103" t="str">
        <f t="shared" si="177"/>
        <v/>
      </c>
      <c r="AC436" s="104" t="str">
        <f t="shared" si="188"/>
        <v/>
      </c>
      <c r="AE436" s="139"/>
      <c r="AF436" s="110" t="str">
        <f t="shared" si="181"/>
        <v/>
      </c>
      <c r="AG436" s="111" t="str">
        <f t="shared" si="182"/>
        <v/>
      </c>
      <c r="AH436" s="111" t="str">
        <f t="shared" si="178"/>
        <v/>
      </c>
      <c r="AI436" s="111" t="str">
        <f t="shared" si="183"/>
        <v/>
      </c>
      <c r="AJ436" s="111" t="str">
        <f t="shared" si="184"/>
        <v/>
      </c>
      <c r="AK436" s="112" t="str">
        <f t="shared" si="185"/>
        <v/>
      </c>
      <c r="AL436" t="str">
        <f t="shared" si="186"/>
        <v/>
      </c>
      <c r="AM436" t="str">
        <f t="shared" si="187"/>
        <v/>
      </c>
    </row>
    <row r="437" spans="1:39" ht="15" customHeight="1" x14ac:dyDescent="0.25">
      <c r="A437" s="131"/>
      <c r="B437" s="133"/>
      <c r="C437" s="133"/>
      <c r="D437" s="42" t="str">
        <f t="shared" si="162"/>
        <v/>
      </c>
      <c r="E437" s="43"/>
      <c r="F437" s="135"/>
      <c r="G437" s="77" t="str">
        <f t="shared" si="163"/>
        <v/>
      </c>
      <c r="H437" s="32" t="str">
        <f t="shared" si="164"/>
        <v/>
      </c>
      <c r="I437" s="78" t="str">
        <f t="shared" si="165"/>
        <v/>
      </c>
      <c r="J437" s="70" t="str">
        <f t="shared" si="166"/>
        <v/>
      </c>
      <c r="K437" s="135"/>
      <c r="L437" s="72" t="str">
        <f t="shared" si="167"/>
        <v/>
      </c>
      <c r="M437" s="135"/>
      <c r="N437" s="72" t="str">
        <f t="shared" si="168"/>
        <v/>
      </c>
      <c r="O437" s="135"/>
      <c r="P437" s="136"/>
      <c r="Q437" s="123" t="str">
        <f t="shared" si="169"/>
        <v/>
      </c>
      <c r="R437" s="45" t="str">
        <f t="shared" si="170"/>
        <v/>
      </c>
      <c r="S437" s="137"/>
      <c r="T437" s="79" t="str">
        <f t="shared" si="179"/>
        <v/>
      </c>
      <c r="U437" s="79" t="str">
        <f t="shared" si="171"/>
        <v/>
      </c>
      <c r="V437" s="73" t="str">
        <f t="shared" si="172"/>
        <v/>
      </c>
      <c r="W437" s="80" t="str">
        <f t="shared" si="173"/>
        <v/>
      </c>
      <c r="X437" s="73" t="str">
        <f t="shared" si="174"/>
        <v/>
      </c>
      <c r="Y437" s="80" t="str">
        <f t="shared" si="175"/>
        <v/>
      </c>
      <c r="Z437" s="74" t="str">
        <f t="shared" si="176"/>
        <v/>
      </c>
      <c r="AA437" s="75" t="str">
        <f t="shared" si="180"/>
        <v/>
      </c>
      <c r="AB437" s="103" t="str">
        <f t="shared" si="177"/>
        <v/>
      </c>
      <c r="AC437" s="104" t="str">
        <f t="shared" si="188"/>
        <v/>
      </c>
      <c r="AE437" s="139"/>
      <c r="AF437" s="110" t="str">
        <f t="shared" si="181"/>
        <v/>
      </c>
      <c r="AG437" s="111" t="str">
        <f t="shared" si="182"/>
        <v/>
      </c>
      <c r="AH437" s="111" t="str">
        <f t="shared" si="178"/>
        <v/>
      </c>
      <c r="AI437" s="111" t="str">
        <f t="shared" si="183"/>
        <v/>
      </c>
      <c r="AJ437" s="111" t="str">
        <f t="shared" si="184"/>
        <v/>
      </c>
      <c r="AK437" s="112" t="str">
        <f t="shared" si="185"/>
        <v/>
      </c>
      <c r="AL437" t="str">
        <f t="shared" si="186"/>
        <v/>
      </c>
      <c r="AM437" t="str">
        <f t="shared" si="187"/>
        <v/>
      </c>
    </row>
    <row r="438" spans="1:39" ht="15" customHeight="1" x14ac:dyDescent="0.25">
      <c r="A438" s="131"/>
      <c r="B438" s="133"/>
      <c r="C438" s="133"/>
      <c r="D438" s="42" t="str">
        <f t="shared" si="162"/>
        <v/>
      </c>
      <c r="E438" s="43"/>
      <c r="F438" s="135"/>
      <c r="G438" s="77" t="str">
        <f t="shared" si="163"/>
        <v/>
      </c>
      <c r="H438" s="32" t="str">
        <f t="shared" si="164"/>
        <v/>
      </c>
      <c r="I438" s="78" t="str">
        <f t="shared" si="165"/>
        <v/>
      </c>
      <c r="J438" s="70" t="str">
        <f t="shared" si="166"/>
        <v/>
      </c>
      <c r="K438" s="135"/>
      <c r="L438" s="72" t="str">
        <f t="shared" si="167"/>
        <v/>
      </c>
      <c r="M438" s="135"/>
      <c r="N438" s="72" t="str">
        <f t="shared" si="168"/>
        <v/>
      </c>
      <c r="O438" s="135"/>
      <c r="P438" s="136"/>
      <c r="Q438" s="123" t="str">
        <f t="shared" si="169"/>
        <v/>
      </c>
      <c r="R438" s="45" t="str">
        <f t="shared" si="170"/>
        <v/>
      </c>
      <c r="S438" s="137"/>
      <c r="T438" s="79" t="str">
        <f t="shared" si="179"/>
        <v/>
      </c>
      <c r="U438" s="79" t="str">
        <f t="shared" si="171"/>
        <v/>
      </c>
      <c r="V438" s="73" t="str">
        <f t="shared" si="172"/>
        <v/>
      </c>
      <c r="W438" s="80" t="str">
        <f t="shared" si="173"/>
        <v/>
      </c>
      <c r="X438" s="73" t="str">
        <f t="shared" si="174"/>
        <v/>
      </c>
      <c r="Y438" s="80" t="str">
        <f t="shared" si="175"/>
        <v/>
      </c>
      <c r="Z438" s="74" t="str">
        <f t="shared" si="176"/>
        <v/>
      </c>
      <c r="AA438" s="75" t="str">
        <f t="shared" si="180"/>
        <v/>
      </c>
      <c r="AB438" s="103" t="str">
        <f t="shared" si="177"/>
        <v/>
      </c>
      <c r="AC438" s="104" t="str">
        <f t="shared" si="188"/>
        <v/>
      </c>
      <c r="AE438" s="139"/>
      <c r="AF438" s="110" t="str">
        <f t="shared" si="181"/>
        <v/>
      </c>
      <c r="AG438" s="111" t="str">
        <f t="shared" si="182"/>
        <v/>
      </c>
      <c r="AH438" s="111" t="str">
        <f t="shared" si="178"/>
        <v/>
      </c>
      <c r="AI438" s="111" t="str">
        <f t="shared" si="183"/>
        <v/>
      </c>
      <c r="AJ438" s="111" t="str">
        <f t="shared" si="184"/>
        <v/>
      </c>
      <c r="AK438" s="112" t="str">
        <f t="shared" si="185"/>
        <v/>
      </c>
      <c r="AL438" t="str">
        <f t="shared" si="186"/>
        <v/>
      </c>
      <c r="AM438" t="str">
        <f t="shared" si="187"/>
        <v/>
      </c>
    </row>
    <row r="439" spans="1:39" ht="15" customHeight="1" x14ac:dyDescent="0.25">
      <c r="A439" s="131"/>
      <c r="B439" s="133"/>
      <c r="C439" s="133"/>
      <c r="D439" s="42" t="str">
        <f t="shared" si="162"/>
        <v/>
      </c>
      <c r="E439" s="43"/>
      <c r="F439" s="135"/>
      <c r="G439" s="77" t="str">
        <f t="shared" si="163"/>
        <v/>
      </c>
      <c r="H439" s="32" t="str">
        <f t="shared" si="164"/>
        <v/>
      </c>
      <c r="I439" s="78" t="str">
        <f t="shared" si="165"/>
        <v/>
      </c>
      <c r="J439" s="70" t="str">
        <f t="shared" si="166"/>
        <v/>
      </c>
      <c r="K439" s="135"/>
      <c r="L439" s="72" t="str">
        <f t="shared" si="167"/>
        <v/>
      </c>
      <c r="M439" s="135"/>
      <c r="N439" s="72" t="str">
        <f t="shared" si="168"/>
        <v/>
      </c>
      <c r="O439" s="135"/>
      <c r="P439" s="136"/>
      <c r="Q439" s="123" t="str">
        <f t="shared" si="169"/>
        <v/>
      </c>
      <c r="R439" s="45" t="str">
        <f t="shared" si="170"/>
        <v/>
      </c>
      <c r="S439" s="137"/>
      <c r="T439" s="79" t="str">
        <f t="shared" si="179"/>
        <v/>
      </c>
      <c r="U439" s="79" t="str">
        <f t="shared" si="171"/>
        <v/>
      </c>
      <c r="V439" s="73" t="str">
        <f t="shared" si="172"/>
        <v/>
      </c>
      <c r="W439" s="80" t="str">
        <f t="shared" si="173"/>
        <v/>
      </c>
      <c r="X439" s="73" t="str">
        <f t="shared" si="174"/>
        <v/>
      </c>
      <c r="Y439" s="80" t="str">
        <f t="shared" si="175"/>
        <v/>
      </c>
      <c r="Z439" s="74" t="str">
        <f t="shared" si="176"/>
        <v/>
      </c>
      <c r="AA439" s="75" t="str">
        <f t="shared" si="180"/>
        <v/>
      </c>
      <c r="AB439" s="103" t="str">
        <f t="shared" si="177"/>
        <v/>
      </c>
      <c r="AC439" s="104" t="str">
        <f t="shared" si="188"/>
        <v/>
      </c>
      <c r="AE439" s="139"/>
      <c r="AF439" s="110" t="str">
        <f t="shared" si="181"/>
        <v/>
      </c>
      <c r="AG439" s="111" t="str">
        <f t="shared" si="182"/>
        <v/>
      </c>
      <c r="AH439" s="111" t="str">
        <f t="shared" si="178"/>
        <v/>
      </c>
      <c r="AI439" s="111" t="str">
        <f t="shared" si="183"/>
        <v/>
      </c>
      <c r="AJ439" s="111" t="str">
        <f t="shared" si="184"/>
        <v/>
      </c>
      <c r="AK439" s="112" t="str">
        <f t="shared" si="185"/>
        <v/>
      </c>
      <c r="AL439" t="str">
        <f t="shared" si="186"/>
        <v/>
      </c>
      <c r="AM439" t="str">
        <f t="shared" si="187"/>
        <v/>
      </c>
    </row>
    <row r="440" spans="1:39" ht="15" customHeight="1" x14ac:dyDescent="0.25">
      <c r="A440" s="131"/>
      <c r="B440" s="133"/>
      <c r="C440" s="133"/>
      <c r="D440" s="42" t="str">
        <f t="shared" si="162"/>
        <v/>
      </c>
      <c r="E440" s="43"/>
      <c r="F440" s="135"/>
      <c r="G440" s="77" t="str">
        <f t="shared" si="163"/>
        <v/>
      </c>
      <c r="H440" s="32" t="str">
        <f t="shared" si="164"/>
        <v/>
      </c>
      <c r="I440" s="78" t="str">
        <f t="shared" si="165"/>
        <v/>
      </c>
      <c r="J440" s="70" t="str">
        <f t="shared" si="166"/>
        <v/>
      </c>
      <c r="K440" s="135"/>
      <c r="L440" s="72" t="str">
        <f t="shared" si="167"/>
        <v/>
      </c>
      <c r="M440" s="135"/>
      <c r="N440" s="72" t="str">
        <f t="shared" si="168"/>
        <v/>
      </c>
      <c r="O440" s="135"/>
      <c r="P440" s="136"/>
      <c r="Q440" s="123" t="str">
        <f t="shared" si="169"/>
        <v/>
      </c>
      <c r="R440" s="45" t="str">
        <f t="shared" si="170"/>
        <v/>
      </c>
      <c r="S440" s="137"/>
      <c r="T440" s="79" t="str">
        <f t="shared" si="179"/>
        <v/>
      </c>
      <c r="U440" s="79" t="str">
        <f t="shared" si="171"/>
        <v/>
      </c>
      <c r="V440" s="73" t="str">
        <f t="shared" si="172"/>
        <v/>
      </c>
      <c r="W440" s="80" t="str">
        <f t="shared" si="173"/>
        <v/>
      </c>
      <c r="X440" s="73" t="str">
        <f t="shared" si="174"/>
        <v/>
      </c>
      <c r="Y440" s="80" t="str">
        <f t="shared" si="175"/>
        <v/>
      </c>
      <c r="Z440" s="74" t="str">
        <f t="shared" si="176"/>
        <v/>
      </c>
      <c r="AA440" s="75" t="str">
        <f t="shared" si="180"/>
        <v/>
      </c>
      <c r="AB440" s="103" t="str">
        <f t="shared" si="177"/>
        <v/>
      </c>
      <c r="AC440" s="104" t="str">
        <f t="shared" si="188"/>
        <v/>
      </c>
      <c r="AE440" s="139"/>
      <c r="AF440" s="110" t="str">
        <f t="shared" si="181"/>
        <v/>
      </c>
      <c r="AG440" s="111" t="str">
        <f t="shared" si="182"/>
        <v/>
      </c>
      <c r="AH440" s="111" t="str">
        <f t="shared" si="178"/>
        <v/>
      </c>
      <c r="AI440" s="111" t="str">
        <f t="shared" si="183"/>
        <v/>
      </c>
      <c r="AJ440" s="111" t="str">
        <f t="shared" si="184"/>
        <v/>
      </c>
      <c r="AK440" s="112" t="str">
        <f t="shared" si="185"/>
        <v/>
      </c>
      <c r="AL440" t="str">
        <f t="shared" si="186"/>
        <v/>
      </c>
      <c r="AM440" t="str">
        <f t="shared" si="187"/>
        <v/>
      </c>
    </row>
    <row r="441" spans="1:39" ht="15" customHeight="1" x14ac:dyDescent="0.25">
      <c r="A441" s="131"/>
      <c r="B441" s="133"/>
      <c r="C441" s="133"/>
      <c r="D441" s="42" t="str">
        <f t="shared" si="162"/>
        <v/>
      </c>
      <c r="E441" s="43"/>
      <c r="F441" s="135"/>
      <c r="G441" s="77" t="str">
        <f t="shared" si="163"/>
        <v/>
      </c>
      <c r="H441" s="32" t="str">
        <f t="shared" si="164"/>
        <v/>
      </c>
      <c r="I441" s="78" t="str">
        <f t="shared" si="165"/>
        <v/>
      </c>
      <c r="J441" s="70" t="str">
        <f t="shared" si="166"/>
        <v/>
      </c>
      <c r="K441" s="135"/>
      <c r="L441" s="72" t="str">
        <f t="shared" si="167"/>
        <v/>
      </c>
      <c r="M441" s="135"/>
      <c r="N441" s="72" t="str">
        <f t="shared" si="168"/>
        <v/>
      </c>
      <c r="O441" s="135"/>
      <c r="P441" s="136"/>
      <c r="Q441" s="123" t="str">
        <f t="shared" si="169"/>
        <v/>
      </c>
      <c r="R441" s="45" t="str">
        <f t="shared" si="170"/>
        <v/>
      </c>
      <c r="S441" s="137"/>
      <c r="T441" s="79" t="str">
        <f t="shared" si="179"/>
        <v/>
      </c>
      <c r="U441" s="79" t="str">
        <f t="shared" si="171"/>
        <v/>
      </c>
      <c r="V441" s="73" t="str">
        <f t="shared" si="172"/>
        <v/>
      </c>
      <c r="W441" s="80" t="str">
        <f t="shared" si="173"/>
        <v/>
      </c>
      <c r="X441" s="73" t="str">
        <f t="shared" si="174"/>
        <v/>
      </c>
      <c r="Y441" s="80" t="str">
        <f t="shared" si="175"/>
        <v/>
      </c>
      <c r="Z441" s="74" t="str">
        <f t="shared" si="176"/>
        <v/>
      </c>
      <c r="AA441" s="75" t="str">
        <f t="shared" si="180"/>
        <v/>
      </c>
      <c r="AB441" s="103" t="str">
        <f t="shared" si="177"/>
        <v/>
      </c>
      <c r="AC441" s="104" t="str">
        <f t="shared" si="188"/>
        <v/>
      </c>
      <c r="AE441" s="139"/>
      <c r="AF441" s="110" t="str">
        <f t="shared" si="181"/>
        <v/>
      </c>
      <c r="AG441" s="111" t="str">
        <f t="shared" si="182"/>
        <v/>
      </c>
      <c r="AH441" s="111" t="str">
        <f t="shared" si="178"/>
        <v/>
      </c>
      <c r="AI441" s="111" t="str">
        <f t="shared" si="183"/>
        <v/>
      </c>
      <c r="AJ441" s="111" t="str">
        <f t="shared" si="184"/>
        <v/>
      </c>
      <c r="AK441" s="112" t="str">
        <f t="shared" si="185"/>
        <v/>
      </c>
      <c r="AL441" t="str">
        <f t="shared" si="186"/>
        <v/>
      </c>
      <c r="AM441" t="str">
        <f t="shared" si="187"/>
        <v/>
      </c>
    </row>
    <row r="442" spans="1:39" ht="15" customHeight="1" x14ac:dyDescent="0.25">
      <c r="A442" s="131"/>
      <c r="B442" s="133"/>
      <c r="C442" s="133"/>
      <c r="D442" s="42" t="str">
        <f t="shared" si="162"/>
        <v/>
      </c>
      <c r="E442" s="43"/>
      <c r="F442" s="135"/>
      <c r="G442" s="77" t="str">
        <f t="shared" si="163"/>
        <v/>
      </c>
      <c r="H442" s="32" t="str">
        <f t="shared" si="164"/>
        <v/>
      </c>
      <c r="I442" s="78" t="str">
        <f t="shared" si="165"/>
        <v/>
      </c>
      <c r="J442" s="70" t="str">
        <f t="shared" si="166"/>
        <v/>
      </c>
      <c r="K442" s="135"/>
      <c r="L442" s="72" t="str">
        <f t="shared" si="167"/>
        <v/>
      </c>
      <c r="M442" s="135"/>
      <c r="N442" s="72" t="str">
        <f t="shared" si="168"/>
        <v/>
      </c>
      <c r="O442" s="135"/>
      <c r="P442" s="136"/>
      <c r="Q442" s="123" t="str">
        <f t="shared" si="169"/>
        <v/>
      </c>
      <c r="R442" s="45" t="str">
        <f t="shared" si="170"/>
        <v/>
      </c>
      <c r="S442" s="137"/>
      <c r="T442" s="79" t="str">
        <f t="shared" si="179"/>
        <v/>
      </c>
      <c r="U442" s="79" t="str">
        <f t="shared" si="171"/>
        <v/>
      </c>
      <c r="V442" s="73" t="str">
        <f t="shared" si="172"/>
        <v/>
      </c>
      <c r="W442" s="80" t="str">
        <f t="shared" si="173"/>
        <v/>
      </c>
      <c r="X442" s="73" t="str">
        <f t="shared" si="174"/>
        <v/>
      </c>
      <c r="Y442" s="80" t="str">
        <f t="shared" si="175"/>
        <v/>
      </c>
      <c r="Z442" s="74" t="str">
        <f t="shared" si="176"/>
        <v/>
      </c>
      <c r="AA442" s="75" t="str">
        <f t="shared" si="180"/>
        <v/>
      </c>
      <c r="AB442" s="103" t="str">
        <f t="shared" si="177"/>
        <v/>
      </c>
      <c r="AC442" s="104" t="str">
        <f t="shared" si="188"/>
        <v/>
      </c>
      <c r="AE442" s="139"/>
      <c r="AF442" s="110" t="str">
        <f t="shared" si="181"/>
        <v/>
      </c>
      <c r="AG442" s="111" t="str">
        <f t="shared" si="182"/>
        <v/>
      </c>
      <c r="AH442" s="111" t="str">
        <f t="shared" si="178"/>
        <v/>
      </c>
      <c r="AI442" s="111" t="str">
        <f t="shared" si="183"/>
        <v/>
      </c>
      <c r="AJ442" s="111" t="str">
        <f t="shared" si="184"/>
        <v/>
      </c>
      <c r="AK442" s="112" t="str">
        <f t="shared" si="185"/>
        <v/>
      </c>
      <c r="AL442" t="str">
        <f t="shared" si="186"/>
        <v/>
      </c>
      <c r="AM442" t="str">
        <f t="shared" si="187"/>
        <v/>
      </c>
    </row>
    <row r="443" spans="1:39" ht="15" customHeight="1" x14ac:dyDescent="0.25">
      <c r="A443" s="131"/>
      <c r="B443" s="133"/>
      <c r="C443" s="133"/>
      <c r="D443" s="42" t="str">
        <f t="shared" si="162"/>
        <v/>
      </c>
      <c r="E443" s="43"/>
      <c r="F443" s="135"/>
      <c r="G443" s="77" t="str">
        <f t="shared" si="163"/>
        <v/>
      </c>
      <c r="H443" s="32" t="str">
        <f t="shared" si="164"/>
        <v/>
      </c>
      <c r="I443" s="78" t="str">
        <f t="shared" si="165"/>
        <v/>
      </c>
      <c r="J443" s="70" t="str">
        <f t="shared" si="166"/>
        <v/>
      </c>
      <c r="K443" s="135"/>
      <c r="L443" s="72" t="str">
        <f t="shared" si="167"/>
        <v/>
      </c>
      <c r="M443" s="135"/>
      <c r="N443" s="72" t="str">
        <f t="shared" si="168"/>
        <v/>
      </c>
      <c r="O443" s="135"/>
      <c r="P443" s="136"/>
      <c r="Q443" s="123" t="str">
        <f t="shared" si="169"/>
        <v/>
      </c>
      <c r="R443" s="45" t="str">
        <f t="shared" si="170"/>
        <v/>
      </c>
      <c r="S443" s="137"/>
      <c r="T443" s="79" t="str">
        <f t="shared" si="179"/>
        <v/>
      </c>
      <c r="U443" s="79" t="str">
        <f t="shared" si="171"/>
        <v/>
      </c>
      <c r="V443" s="73" t="str">
        <f t="shared" si="172"/>
        <v/>
      </c>
      <c r="W443" s="80" t="str">
        <f t="shared" si="173"/>
        <v/>
      </c>
      <c r="X443" s="73" t="str">
        <f t="shared" si="174"/>
        <v/>
      </c>
      <c r="Y443" s="80" t="str">
        <f t="shared" si="175"/>
        <v/>
      </c>
      <c r="Z443" s="74" t="str">
        <f t="shared" si="176"/>
        <v/>
      </c>
      <c r="AA443" s="75" t="str">
        <f t="shared" si="180"/>
        <v/>
      </c>
      <c r="AB443" s="103" t="str">
        <f t="shared" si="177"/>
        <v/>
      </c>
      <c r="AC443" s="104" t="str">
        <f t="shared" si="188"/>
        <v/>
      </c>
      <c r="AE443" s="139"/>
      <c r="AF443" s="110" t="str">
        <f t="shared" si="181"/>
        <v/>
      </c>
      <c r="AG443" s="111" t="str">
        <f t="shared" si="182"/>
        <v/>
      </c>
      <c r="AH443" s="111" t="str">
        <f t="shared" si="178"/>
        <v/>
      </c>
      <c r="AI443" s="111" t="str">
        <f t="shared" si="183"/>
        <v/>
      </c>
      <c r="AJ443" s="111" t="str">
        <f t="shared" si="184"/>
        <v/>
      </c>
      <c r="AK443" s="112" t="str">
        <f t="shared" si="185"/>
        <v/>
      </c>
      <c r="AL443" t="str">
        <f t="shared" si="186"/>
        <v/>
      </c>
      <c r="AM443" t="str">
        <f t="shared" si="187"/>
        <v/>
      </c>
    </row>
    <row r="444" spans="1:39" ht="15" customHeight="1" x14ac:dyDescent="0.25">
      <c r="A444" s="131"/>
      <c r="B444" s="133"/>
      <c r="C444" s="133"/>
      <c r="D444" s="42" t="str">
        <f t="shared" si="162"/>
        <v/>
      </c>
      <c r="E444" s="43"/>
      <c r="F444" s="135"/>
      <c r="G444" s="77" t="str">
        <f t="shared" si="163"/>
        <v/>
      </c>
      <c r="H444" s="32" t="str">
        <f t="shared" si="164"/>
        <v/>
      </c>
      <c r="I444" s="78" t="str">
        <f t="shared" si="165"/>
        <v/>
      </c>
      <c r="J444" s="70" t="str">
        <f t="shared" si="166"/>
        <v/>
      </c>
      <c r="K444" s="135"/>
      <c r="L444" s="72" t="str">
        <f t="shared" si="167"/>
        <v/>
      </c>
      <c r="M444" s="135"/>
      <c r="N444" s="72" t="str">
        <f t="shared" si="168"/>
        <v/>
      </c>
      <c r="O444" s="135"/>
      <c r="P444" s="136"/>
      <c r="Q444" s="123" t="str">
        <f t="shared" si="169"/>
        <v/>
      </c>
      <c r="R444" s="45" t="str">
        <f t="shared" si="170"/>
        <v/>
      </c>
      <c r="S444" s="137"/>
      <c r="T444" s="79" t="str">
        <f t="shared" si="179"/>
        <v/>
      </c>
      <c r="U444" s="79" t="str">
        <f t="shared" si="171"/>
        <v/>
      </c>
      <c r="V444" s="73" t="str">
        <f t="shared" si="172"/>
        <v/>
      </c>
      <c r="W444" s="80" t="str">
        <f t="shared" si="173"/>
        <v/>
      </c>
      <c r="X444" s="73" t="str">
        <f t="shared" si="174"/>
        <v/>
      </c>
      <c r="Y444" s="80" t="str">
        <f t="shared" si="175"/>
        <v/>
      </c>
      <c r="Z444" s="74" t="str">
        <f t="shared" si="176"/>
        <v/>
      </c>
      <c r="AA444" s="75" t="str">
        <f t="shared" si="180"/>
        <v/>
      </c>
      <c r="AB444" s="103" t="str">
        <f t="shared" si="177"/>
        <v/>
      </c>
      <c r="AC444" s="104" t="str">
        <f t="shared" si="188"/>
        <v/>
      </c>
      <c r="AE444" s="139"/>
      <c r="AF444" s="110" t="str">
        <f t="shared" si="181"/>
        <v/>
      </c>
      <c r="AG444" s="111" t="str">
        <f t="shared" si="182"/>
        <v/>
      </c>
      <c r="AH444" s="111" t="str">
        <f t="shared" si="178"/>
        <v/>
      </c>
      <c r="AI444" s="111" t="str">
        <f t="shared" si="183"/>
        <v/>
      </c>
      <c r="AJ444" s="111" t="str">
        <f t="shared" si="184"/>
        <v/>
      </c>
      <c r="AK444" s="112" t="str">
        <f t="shared" si="185"/>
        <v/>
      </c>
      <c r="AL444" t="str">
        <f t="shared" si="186"/>
        <v/>
      </c>
      <c r="AM444" t="str">
        <f t="shared" si="187"/>
        <v/>
      </c>
    </row>
    <row r="445" spans="1:39" ht="15" customHeight="1" x14ac:dyDescent="0.25">
      <c r="A445" s="131"/>
      <c r="B445" s="133"/>
      <c r="C445" s="133"/>
      <c r="D445" s="42" t="str">
        <f t="shared" si="162"/>
        <v/>
      </c>
      <c r="E445" s="43"/>
      <c r="F445" s="135"/>
      <c r="G445" s="77" t="str">
        <f t="shared" si="163"/>
        <v/>
      </c>
      <c r="H445" s="32" t="str">
        <f t="shared" si="164"/>
        <v/>
      </c>
      <c r="I445" s="78" t="str">
        <f t="shared" si="165"/>
        <v/>
      </c>
      <c r="J445" s="70" t="str">
        <f t="shared" si="166"/>
        <v/>
      </c>
      <c r="K445" s="135"/>
      <c r="L445" s="72" t="str">
        <f t="shared" si="167"/>
        <v/>
      </c>
      <c r="M445" s="135"/>
      <c r="N445" s="72" t="str">
        <f t="shared" si="168"/>
        <v/>
      </c>
      <c r="O445" s="135"/>
      <c r="P445" s="136"/>
      <c r="Q445" s="123" t="str">
        <f t="shared" si="169"/>
        <v/>
      </c>
      <c r="R445" s="45" t="str">
        <f t="shared" si="170"/>
        <v/>
      </c>
      <c r="S445" s="137"/>
      <c r="T445" s="79" t="str">
        <f t="shared" si="179"/>
        <v/>
      </c>
      <c r="U445" s="79" t="str">
        <f t="shared" si="171"/>
        <v/>
      </c>
      <c r="V445" s="73" t="str">
        <f t="shared" si="172"/>
        <v/>
      </c>
      <c r="W445" s="80" t="str">
        <f t="shared" si="173"/>
        <v/>
      </c>
      <c r="X445" s="73" t="str">
        <f t="shared" si="174"/>
        <v/>
      </c>
      <c r="Y445" s="80" t="str">
        <f t="shared" si="175"/>
        <v/>
      </c>
      <c r="Z445" s="74" t="str">
        <f t="shared" si="176"/>
        <v/>
      </c>
      <c r="AA445" s="75" t="str">
        <f t="shared" si="180"/>
        <v/>
      </c>
      <c r="AB445" s="103" t="str">
        <f t="shared" si="177"/>
        <v/>
      </c>
      <c r="AC445" s="104" t="str">
        <f t="shared" si="188"/>
        <v/>
      </c>
      <c r="AE445" s="139"/>
      <c r="AF445" s="110" t="str">
        <f t="shared" si="181"/>
        <v/>
      </c>
      <c r="AG445" s="111" t="str">
        <f t="shared" si="182"/>
        <v/>
      </c>
      <c r="AH445" s="111" t="str">
        <f t="shared" si="178"/>
        <v/>
      </c>
      <c r="AI445" s="111" t="str">
        <f t="shared" si="183"/>
        <v/>
      </c>
      <c r="AJ445" s="111" t="str">
        <f t="shared" si="184"/>
        <v/>
      </c>
      <c r="AK445" s="112" t="str">
        <f t="shared" si="185"/>
        <v/>
      </c>
      <c r="AL445" t="str">
        <f t="shared" si="186"/>
        <v/>
      </c>
      <c r="AM445" t="str">
        <f t="shared" si="187"/>
        <v/>
      </c>
    </row>
    <row r="446" spans="1:39" ht="15" customHeight="1" x14ac:dyDescent="0.25">
      <c r="A446" s="131"/>
      <c r="B446" s="133"/>
      <c r="C446" s="133"/>
      <c r="D446" s="42" t="str">
        <f t="shared" si="162"/>
        <v/>
      </c>
      <c r="E446" s="43"/>
      <c r="F446" s="135"/>
      <c r="G446" s="77" t="str">
        <f t="shared" si="163"/>
        <v/>
      </c>
      <c r="H446" s="32" t="str">
        <f t="shared" si="164"/>
        <v/>
      </c>
      <c r="I446" s="78" t="str">
        <f t="shared" si="165"/>
        <v/>
      </c>
      <c r="J446" s="70" t="str">
        <f t="shared" si="166"/>
        <v/>
      </c>
      <c r="K446" s="135"/>
      <c r="L446" s="72" t="str">
        <f t="shared" si="167"/>
        <v/>
      </c>
      <c r="M446" s="135"/>
      <c r="N446" s="72" t="str">
        <f t="shared" si="168"/>
        <v/>
      </c>
      <c r="O446" s="135"/>
      <c r="P446" s="136"/>
      <c r="Q446" s="123" t="str">
        <f t="shared" si="169"/>
        <v/>
      </c>
      <c r="R446" s="45" t="str">
        <f t="shared" si="170"/>
        <v/>
      </c>
      <c r="S446" s="137"/>
      <c r="T446" s="79" t="str">
        <f t="shared" si="179"/>
        <v/>
      </c>
      <c r="U446" s="79" t="str">
        <f t="shared" si="171"/>
        <v/>
      </c>
      <c r="V446" s="73" t="str">
        <f t="shared" si="172"/>
        <v/>
      </c>
      <c r="W446" s="80" t="str">
        <f t="shared" si="173"/>
        <v/>
      </c>
      <c r="X446" s="73" t="str">
        <f t="shared" si="174"/>
        <v/>
      </c>
      <c r="Y446" s="80" t="str">
        <f t="shared" si="175"/>
        <v/>
      </c>
      <c r="Z446" s="74" t="str">
        <f t="shared" si="176"/>
        <v/>
      </c>
      <c r="AA446" s="75" t="str">
        <f t="shared" si="180"/>
        <v/>
      </c>
      <c r="AB446" s="103" t="str">
        <f t="shared" si="177"/>
        <v/>
      </c>
      <c r="AC446" s="104" t="str">
        <f t="shared" si="188"/>
        <v/>
      </c>
      <c r="AE446" s="139"/>
      <c r="AF446" s="110" t="str">
        <f t="shared" si="181"/>
        <v/>
      </c>
      <c r="AG446" s="111" t="str">
        <f t="shared" si="182"/>
        <v/>
      </c>
      <c r="AH446" s="111" t="str">
        <f t="shared" si="178"/>
        <v/>
      </c>
      <c r="AI446" s="111" t="str">
        <f t="shared" si="183"/>
        <v/>
      </c>
      <c r="AJ446" s="111" t="str">
        <f t="shared" si="184"/>
        <v/>
      </c>
      <c r="AK446" s="112" t="str">
        <f t="shared" si="185"/>
        <v/>
      </c>
      <c r="AL446" t="str">
        <f t="shared" si="186"/>
        <v/>
      </c>
      <c r="AM446" t="str">
        <f t="shared" si="187"/>
        <v/>
      </c>
    </row>
    <row r="447" spans="1:39" ht="15" customHeight="1" x14ac:dyDescent="0.25">
      <c r="A447" s="131"/>
      <c r="B447" s="133"/>
      <c r="C447" s="133"/>
      <c r="D447" s="42" t="str">
        <f t="shared" si="162"/>
        <v/>
      </c>
      <c r="E447" s="43"/>
      <c r="F447" s="135"/>
      <c r="G447" s="77" t="str">
        <f t="shared" si="163"/>
        <v/>
      </c>
      <c r="H447" s="32" t="str">
        <f t="shared" si="164"/>
        <v/>
      </c>
      <c r="I447" s="78" t="str">
        <f t="shared" si="165"/>
        <v/>
      </c>
      <c r="J447" s="70" t="str">
        <f t="shared" si="166"/>
        <v/>
      </c>
      <c r="K447" s="135"/>
      <c r="L447" s="72" t="str">
        <f t="shared" si="167"/>
        <v/>
      </c>
      <c r="M447" s="135"/>
      <c r="N447" s="72" t="str">
        <f t="shared" si="168"/>
        <v/>
      </c>
      <c r="O447" s="135"/>
      <c r="P447" s="136"/>
      <c r="Q447" s="123" t="str">
        <f t="shared" si="169"/>
        <v/>
      </c>
      <c r="R447" s="45" t="str">
        <f t="shared" si="170"/>
        <v/>
      </c>
      <c r="S447" s="137"/>
      <c r="T447" s="79" t="str">
        <f t="shared" si="179"/>
        <v/>
      </c>
      <c r="U447" s="79" t="str">
        <f t="shared" si="171"/>
        <v/>
      </c>
      <c r="V447" s="73" t="str">
        <f t="shared" si="172"/>
        <v/>
      </c>
      <c r="W447" s="80" t="str">
        <f t="shared" si="173"/>
        <v/>
      </c>
      <c r="X447" s="73" t="str">
        <f t="shared" si="174"/>
        <v/>
      </c>
      <c r="Y447" s="80" t="str">
        <f t="shared" si="175"/>
        <v/>
      </c>
      <c r="Z447" s="74" t="str">
        <f t="shared" si="176"/>
        <v/>
      </c>
      <c r="AA447" s="75" t="str">
        <f t="shared" si="180"/>
        <v/>
      </c>
      <c r="AB447" s="103" t="str">
        <f t="shared" si="177"/>
        <v/>
      </c>
      <c r="AC447" s="104" t="str">
        <f t="shared" si="188"/>
        <v/>
      </c>
      <c r="AE447" s="139"/>
      <c r="AF447" s="110" t="str">
        <f t="shared" si="181"/>
        <v/>
      </c>
      <c r="AG447" s="111" t="str">
        <f t="shared" si="182"/>
        <v/>
      </c>
      <c r="AH447" s="111" t="str">
        <f t="shared" si="178"/>
        <v/>
      </c>
      <c r="AI447" s="111" t="str">
        <f t="shared" si="183"/>
        <v/>
      </c>
      <c r="AJ447" s="111" t="str">
        <f t="shared" si="184"/>
        <v/>
      </c>
      <c r="AK447" s="112" t="str">
        <f t="shared" si="185"/>
        <v/>
      </c>
      <c r="AL447" t="str">
        <f t="shared" si="186"/>
        <v/>
      </c>
      <c r="AM447" t="str">
        <f t="shared" si="187"/>
        <v/>
      </c>
    </row>
    <row r="448" spans="1:39" ht="15" customHeight="1" x14ac:dyDescent="0.25">
      <c r="A448" s="131"/>
      <c r="B448" s="133"/>
      <c r="C448" s="133"/>
      <c r="D448" s="42" t="str">
        <f t="shared" si="162"/>
        <v/>
      </c>
      <c r="E448" s="43"/>
      <c r="F448" s="135"/>
      <c r="G448" s="77" t="str">
        <f t="shared" si="163"/>
        <v/>
      </c>
      <c r="H448" s="32" t="str">
        <f t="shared" si="164"/>
        <v/>
      </c>
      <c r="I448" s="78" t="str">
        <f t="shared" si="165"/>
        <v/>
      </c>
      <c r="J448" s="70" t="str">
        <f t="shared" si="166"/>
        <v/>
      </c>
      <c r="K448" s="135"/>
      <c r="L448" s="72" t="str">
        <f t="shared" si="167"/>
        <v/>
      </c>
      <c r="M448" s="135"/>
      <c r="N448" s="72" t="str">
        <f t="shared" si="168"/>
        <v/>
      </c>
      <c r="O448" s="135"/>
      <c r="P448" s="136"/>
      <c r="Q448" s="123" t="str">
        <f t="shared" si="169"/>
        <v/>
      </c>
      <c r="R448" s="45" t="str">
        <f t="shared" si="170"/>
        <v/>
      </c>
      <c r="S448" s="137"/>
      <c r="T448" s="79" t="str">
        <f t="shared" si="179"/>
        <v/>
      </c>
      <c r="U448" s="79" t="str">
        <f t="shared" si="171"/>
        <v/>
      </c>
      <c r="V448" s="73" t="str">
        <f t="shared" si="172"/>
        <v/>
      </c>
      <c r="W448" s="80" t="str">
        <f t="shared" si="173"/>
        <v/>
      </c>
      <c r="X448" s="73" t="str">
        <f t="shared" si="174"/>
        <v/>
      </c>
      <c r="Y448" s="80" t="str">
        <f t="shared" si="175"/>
        <v/>
      </c>
      <c r="Z448" s="74" t="str">
        <f t="shared" si="176"/>
        <v/>
      </c>
      <c r="AA448" s="75" t="str">
        <f t="shared" si="180"/>
        <v/>
      </c>
      <c r="AB448" s="103" t="str">
        <f t="shared" si="177"/>
        <v/>
      </c>
      <c r="AC448" s="104" t="str">
        <f t="shared" si="188"/>
        <v/>
      </c>
      <c r="AE448" s="139"/>
      <c r="AF448" s="110" t="str">
        <f t="shared" si="181"/>
        <v/>
      </c>
      <c r="AG448" s="111" t="str">
        <f t="shared" si="182"/>
        <v/>
      </c>
      <c r="AH448" s="111" t="str">
        <f t="shared" si="178"/>
        <v/>
      </c>
      <c r="AI448" s="111" t="str">
        <f t="shared" si="183"/>
        <v/>
      </c>
      <c r="AJ448" s="111" t="str">
        <f t="shared" si="184"/>
        <v/>
      </c>
      <c r="AK448" s="112" t="str">
        <f t="shared" si="185"/>
        <v/>
      </c>
      <c r="AL448" t="str">
        <f t="shared" si="186"/>
        <v/>
      </c>
      <c r="AM448" t="str">
        <f t="shared" si="187"/>
        <v/>
      </c>
    </row>
    <row r="449" spans="1:39" ht="15" customHeight="1" x14ac:dyDescent="0.25">
      <c r="A449" s="131"/>
      <c r="B449" s="133"/>
      <c r="C449" s="133"/>
      <c r="D449" s="42" t="str">
        <f t="shared" si="162"/>
        <v/>
      </c>
      <c r="E449" s="43"/>
      <c r="F449" s="135"/>
      <c r="G449" s="77" t="str">
        <f t="shared" si="163"/>
        <v/>
      </c>
      <c r="H449" s="32" t="str">
        <f t="shared" si="164"/>
        <v/>
      </c>
      <c r="I449" s="78" t="str">
        <f t="shared" si="165"/>
        <v/>
      </c>
      <c r="J449" s="70" t="str">
        <f t="shared" si="166"/>
        <v/>
      </c>
      <c r="K449" s="135"/>
      <c r="L449" s="72" t="str">
        <f t="shared" si="167"/>
        <v/>
      </c>
      <c r="M449" s="135"/>
      <c r="N449" s="72" t="str">
        <f t="shared" si="168"/>
        <v/>
      </c>
      <c r="O449" s="135"/>
      <c r="P449" s="136"/>
      <c r="Q449" s="123" t="str">
        <f t="shared" si="169"/>
        <v/>
      </c>
      <c r="R449" s="45" t="str">
        <f t="shared" si="170"/>
        <v/>
      </c>
      <c r="S449" s="137"/>
      <c r="T449" s="79" t="str">
        <f t="shared" si="179"/>
        <v/>
      </c>
      <c r="U449" s="79" t="str">
        <f t="shared" si="171"/>
        <v/>
      </c>
      <c r="V449" s="73" t="str">
        <f t="shared" si="172"/>
        <v/>
      </c>
      <c r="W449" s="80" t="str">
        <f t="shared" si="173"/>
        <v/>
      </c>
      <c r="X449" s="73" t="str">
        <f t="shared" si="174"/>
        <v/>
      </c>
      <c r="Y449" s="80" t="str">
        <f t="shared" si="175"/>
        <v/>
      </c>
      <c r="Z449" s="74" t="str">
        <f t="shared" si="176"/>
        <v/>
      </c>
      <c r="AA449" s="75" t="str">
        <f t="shared" si="180"/>
        <v/>
      </c>
      <c r="AB449" s="103" t="str">
        <f t="shared" si="177"/>
        <v/>
      </c>
      <c r="AC449" s="104" t="str">
        <f t="shared" si="188"/>
        <v/>
      </c>
      <c r="AE449" s="139"/>
      <c r="AF449" s="110" t="str">
        <f t="shared" si="181"/>
        <v/>
      </c>
      <c r="AG449" s="111" t="str">
        <f t="shared" si="182"/>
        <v/>
      </c>
      <c r="AH449" s="111" t="str">
        <f t="shared" si="178"/>
        <v/>
      </c>
      <c r="AI449" s="111" t="str">
        <f t="shared" si="183"/>
        <v/>
      </c>
      <c r="AJ449" s="111" t="str">
        <f t="shared" si="184"/>
        <v/>
      </c>
      <c r="AK449" s="112" t="str">
        <f t="shared" si="185"/>
        <v/>
      </c>
      <c r="AL449" t="str">
        <f t="shared" si="186"/>
        <v/>
      </c>
      <c r="AM449" t="str">
        <f t="shared" si="187"/>
        <v/>
      </c>
    </row>
    <row r="450" spans="1:39" ht="15" customHeight="1" x14ac:dyDescent="0.25">
      <c r="A450" s="131"/>
      <c r="B450" s="133"/>
      <c r="C450" s="133"/>
      <c r="D450" s="42" t="str">
        <f t="shared" si="162"/>
        <v/>
      </c>
      <c r="E450" s="43"/>
      <c r="F450" s="135"/>
      <c r="G450" s="77" t="str">
        <f t="shared" si="163"/>
        <v/>
      </c>
      <c r="H450" s="32" t="str">
        <f t="shared" si="164"/>
        <v/>
      </c>
      <c r="I450" s="78" t="str">
        <f t="shared" si="165"/>
        <v/>
      </c>
      <c r="J450" s="70" t="str">
        <f t="shared" si="166"/>
        <v/>
      </c>
      <c r="K450" s="135"/>
      <c r="L450" s="72" t="str">
        <f t="shared" si="167"/>
        <v/>
      </c>
      <c r="M450" s="135"/>
      <c r="N450" s="72" t="str">
        <f t="shared" si="168"/>
        <v/>
      </c>
      <c r="O450" s="135"/>
      <c r="P450" s="136"/>
      <c r="Q450" s="123" t="str">
        <f t="shared" si="169"/>
        <v/>
      </c>
      <c r="R450" s="45" t="str">
        <f t="shared" si="170"/>
        <v/>
      </c>
      <c r="S450" s="137"/>
      <c r="T450" s="79" t="str">
        <f t="shared" si="179"/>
        <v/>
      </c>
      <c r="U450" s="79" t="str">
        <f t="shared" si="171"/>
        <v/>
      </c>
      <c r="V450" s="73" t="str">
        <f t="shared" si="172"/>
        <v/>
      </c>
      <c r="W450" s="80" t="str">
        <f t="shared" si="173"/>
        <v/>
      </c>
      <c r="X450" s="73" t="str">
        <f t="shared" si="174"/>
        <v/>
      </c>
      <c r="Y450" s="80" t="str">
        <f t="shared" si="175"/>
        <v/>
      </c>
      <c r="Z450" s="74" t="str">
        <f t="shared" si="176"/>
        <v/>
      </c>
      <c r="AA450" s="75" t="str">
        <f t="shared" si="180"/>
        <v/>
      </c>
      <c r="AB450" s="103" t="str">
        <f t="shared" si="177"/>
        <v/>
      </c>
      <c r="AC450" s="104" t="str">
        <f t="shared" si="188"/>
        <v/>
      </c>
      <c r="AE450" s="139"/>
      <c r="AF450" s="110" t="str">
        <f t="shared" si="181"/>
        <v/>
      </c>
      <c r="AG450" s="111" t="str">
        <f t="shared" si="182"/>
        <v/>
      </c>
      <c r="AH450" s="111" t="str">
        <f t="shared" si="178"/>
        <v/>
      </c>
      <c r="AI450" s="111" t="str">
        <f t="shared" si="183"/>
        <v/>
      </c>
      <c r="AJ450" s="111" t="str">
        <f t="shared" si="184"/>
        <v/>
      </c>
      <c r="AK450" s="112" t="str">
        <f t="shared" si="185"/>
        <v/>
      </c>
      <c r="AL450" t="str">
        <f t="shared" si="186"/>
        <v/>
      </c>
      <c r="AM450" t="str">
        <f t="shared" si="187"/>
        <v/>
      </c>
    </row>
    <row r="451" spans="1:39" ht="15" customHeight="1" x14ac:dyDescent="0.25">
      <c r="A451" s="131"/>
      <c r="B451" s="133"/>
      <c r="C451" s="133"/>
      <c r="D451" s="42" t="str">
        <f t="shared" si="162"/>
        <v/>
      </c>
      <c r="E451" s="43"/>
      <c r="F451" s="135"/>
      <c r="G451" s="77" t="str">
        <f t="shared" si="163"/>
        <v/>
      </c>
      <c r="H451" s="32" t="str">
        <f t="shared" si="164"/>
        <v/>
      </c>
      <c r="I451" s="78" t="str">
        <f t="shared" si="165"/>
        <v/>
      </c>
      <c r="J451" s="70" t="str">
        <f t="shared" si="166"/>
        <v/>
      </c>
      <c r="K451" s="135"/>
      <c r="L451" s="72" t="str">
        <f t="shared" si="167"/>
        <v/>
      </c>
      <c r="M451" s="135"/>
      <c r="N451" s="72" t="str">
        <f t="shared" si="168"/>
        <v/>
      </c>
      <c r="O451" s="135"/>
      <c r="P451" s="136"/>
      <c r="Q451" s="123" t="str">
        <f t="shared" si="169"/>
        <v/>
      </c>
      <c r="R451" s="45" t="str">
        <f t="shared" si="170"/>
        <v/>
      </c>
      <c r="S451" s="137"/>
      <c r="T451" s="79" t="str">
        <f t="shared" si="179"/>
        <v/>
      </c>
      <c r="U451" s="79" t="str">
        <f t="shared" si="171"/>
        <v/>
      </c>
      <c r="V451" s="73" t="str">
        <f t="shared" si="172"/>
        <v/>
      </c>
      <c r="W451" s="80" t="str">
        <f t="shared" si="173"/>
        <v/>
      </c>
      <c r="X451" s="73" t="str">
        <f t="shared" si="174"/>
        <v/>
      </c>
      <c r="Y451" s="80" t="str">
        <f t="shared" si="175"/>
        <v/>
      </c>
      <c r="Z451" s="74" t="str">
        <f t="shared" si="176"/>
        <v/>
      </c>
      <c r="AA451" s="75" t="str">
        <f t="shared" si="180"/>
        <v/>
      </c>
      <c r="AB451" s="103" t="str">
        <f t="shared" si="177"/>
        <v/>
      </c>
      <c r="AC451" s="104" t="str">
        <f t="shared" si="188"/>
        <v/>
      </c>
      <c r="AE451" s="139"/>
      <c r="AF451" s="110" t="str">
        <f t="shared" si="181"/>
        <v/>
      </c>
      <c r="AG451" s="111" t="str">
        <f t="shared" si="182"/>
        <v/>
      </c>
      <c r="AH451" s="111" t="str">
        <f t="shared" si="178"/>
        <v/>
      </c>
      <c r="AI451" s="111" t="str">
        <f t="shared" si="183"/>
        <v/>
      </c>
      <c r="AJ451" s="111" t="str">
        <f t="shared" si="184"/>
        <v/>
      </c>
      <c r="AK451" s="112" t="str">
        <f t="shared" si="185"/>
        <v/>
      </c>
      <c r="AL451" t="str">
        <f t="shared" si="186"/>
        <v/>
      </c>
      <c r="AM451" t="str">
        <f t="shared" si="187"/>
        <v/>
      </c>
    </row>
    <row r="452" spans="1:39" ht="15" customHeight="1" x14ac:dyDescent="0.25">
      <c r="A452" s="131"/>
      <c r="B452" s="133"/>
      <c r="C452" s="133"/>
      <c r="D452" s="42" t="str">
        <f t="shared" si="162"/>
        <v/>
      </c>
      <c r="E452" s="43"/>
      <c r="F452" s="135"/>
      <c r="G452" s="77" t="str">
        <f t="shared" si="163"/>
        <v/>
      </c>
      <c r="H452" s="32" t="str">
        <f t="shared" si="164"/>
        <v/>
      </c>
      <c r="I452" s="78" t="str">
        <f t="shared" si="165"/>
        <v/>
      </c>
      <c r="J452" s="70" t="str">
        <f t="shared" si="166"/>
        <v/>
      </c>
      <c r="K452" s="135"/>
      <c r="L452" s="72" t="str">
        <f t="shared" si="167"/>
        <v/>
      </c>
      <c r="M452" s="135"/>
      <c r="N452" s="72" t="str">
        <f t="shared" si="168"/>
        <v/>
      </c>
      <c r="O452" s="135"/>
      <c r="P452" s="136"/>
      <c r="Q452" s="123" t="str">
        <f t="shared" si="169"/>
        <v/>
      </c>
      <c r="R452" s="45" t="str">
        <f t="shared" si="170"/>
        <v/>
      </c>
      <c r="S452" s="137"/>
      <c r="T452" s="79" t="str">
        <f t="shared" si="179"/>
        <v/>
      </c>
      <c r="U452" s="79" t="str">
        <f t="shared" si="171"/>
        <v/>
      </c>
      <c r="V452" s="73" t="str">
        <f t="shared" si="172"/>
        <v/>
      </c>
      <c r="W452" s="80" t="str">
        <f t="shared" si="173"/>
        <v/>
      </c>
      <c r="X452" s="73" t="str">
        <f t="shared" si="174"/>
        <v/>
      </c>
      <c r="Y452" s="80" t="str">
        <f t="shared" si="175"/>
        <v/>
      </c>
      <c r="Z452" s="74" t="str">
        <f t="shared" si="176"/>
        <v/>
      </c>
      <c r="AA452" s="75" t="str">
        <f t="shared" si="180"/>
        <v/>
      </c>
      <c r="AB452" s="103" t="str">
        <f t="shared" si="177"/>
        <v/>
      </c>
      <c r="AC452" s="104" t="str">
        <f t="shared" si="188"/>
        <v/>
      </c>
      <c r="AE452" s="139"/>
      <c r="AF452" s="110" t="str">
        <f t="shared" si="181"/>
        <v/>
      </c>
      <c r="AG452" s="111" t="str">
        <f t="shared" si="182"/>
        <v/>
      </c>
      <c r="AH452" s="111" t="str">
        <f t="shared" si="178"/>
        <v/>
      </c>
      <c r="AI452" s="111" t="str">
        <f t="shared" si="183"/>
        <v/>
      </c>
      <c r="AJ452" s="111" t="str">
        <f t="shared" si="184"/>
        <v/>
      </c>
      <c r="AK452" s="112" t="str">
        <f t="shared" si="185"/>
        <v/>
      </c>
      <c r="AL452" t="str">
        <f t="shared" si="186"/>
        <v/>
      </c>
      <c r="AM452" t="str">
        <f t="shared" si="187"/>
        <v/>
      </c>
    </row>
    <row r="453" spans="1:39" ht="15" customHeight="1" x14ac:dyDescent="0.25">
      <c r="A453" s="131"/>
      <c r="B453" s="133"/>
      <c r="C453" s="133"/>
      <c r="D453" s="42" t="str">
        <f t="shared" si="162"/>
        <v/>
      </c>
      <c r="E453" s="43"/>
      <c r="F453" s="135"/>
      <c r="G453" s="77" t="str">
        <f t="shared" si="163"/>
        <v/>
      </c>
      <c r="H453" s="32" t="str">
        <f t="shared" si="164"/>
        <v/>
      </c>
      <c r="I453" s="78" t="str">
        <f t="shared" si="165"/>
        <v/>
      </c>
      <c r="J453" s="70" t="str">
        <f t="shared" si="166"/>
        <v/>
      </c>
      <c r="K453" s="135"/>
      <c r="L453" s="72" t="str">
        <f t="shared" si="167"/>
        <v/>
      </c>
      <c r="M453" s="135"/>
      <c r="N453" s="72" t="str">
        <f t="shared" si="168"/>
        <v/>
      </c>
      <c r="O453" s="135"/>
      <c r="P453" s="136"/>
      <c r="Q453" s="123" t="str">
        <f t="shared" si="169"/>
        <v/>
      </c>
      <c r="R453" s="45" t="str">
        <f t="shared" si="170"/>
        <v/>
      </c>
      <c r="S453" s="137"/>
      <c r="T453" s="79" t="str">
        <f t="shared" si="179"/>
        <v/>
      </c>
      <c r="U453" s="79" t="str">
        <f t="shared" si="171"/>
        <v/>
      </c>
      <c r="V453" s="73" t="str">
        <f t="shared" si="172"/>
        <v/>
      </c>
      <c r="W453" s="80" t="str">
        <f t="shared" si="173"/>
        <v/>
      </c>
      <c r="X453" s="73" t="str">
        <f t="shared" si="174"/>
        <v/>
      </c>
      <c r="Y453" s="80" t="str">
        <f t="shared" si="175"/>
        <v/>
      </c>
      <c r="Z453" s="74" t="str">
        <f t="shared" si="176"/>
        <v/>
      </c>
      <c r="AA453" s="75" t="str">
        <f t="shared" si="180"/>
        <v/>
      </c>
      <c r="AB453" s="103" t="str">
        <f t="shared" si="177"/>
        <v/>
      </c>
      <c r="AC453" s="104" t="str">
        <f t="shared" si="188"/>
        <v/>
      </c>
      <c r="AE453" s="139"/>
      <c r="AF453" s="110" t="str">
        <f t="shared" si="181"/>
        <v/>
      </c>
      <c r="AG453" s="111" t="str">
        <f t="shared" si="182"/>
        <v/>
      </c>
      <c r="AH453" s="111" t="str">
        <f t="shared" si="178"/>
        <v/>
      </c>
      <c r="AI453" s="111" t="str">
        <f t="shared" si="183"/>
        <v/>
      </c>
      <c r="AJ453" s="111" t="str">
        <f t="shared" si="184"/>
        <v/>
      </c>
      <c r="AK453" s="112" t="str">
        <f t="shared" si="185"/>
        <v/>
      </c>
      <c r="AL453" t="str">
        <f t="shared" si="186"/>
        <v/>
      </c>
      <c r="AM453" t="str">
        <f t="shared" si="187"/>
        <v/>
      </c>
    </row>
    <row r="454" spans="1:39" ht="15" customHeight="1" x14ac:dyDescent="0.25">
      <c r="A454" s="131"/>
      <c r="B454" s="133"/>
      <c r="C454" s="133"/>
      <c r="D454" s="42" t="str">
        <f t="shared" si="162"/>
        <v/>
      </c>
      <c r="E454" s="43"/>
      <c r="F454" s="135"/>
      <c r="G454" s="77" t="str">
        <f t="shared" si="163"/>
        <v/>
      </c>
      <c r="H454" s="32" t="str">
        <f t="shared" si="164"/>
        <v/>
      </c>
      <c r="I454" s="78" t="str">
        <f t="shared" si="165"/>
        <v/>
      </c>
      <c r="J454" s="70" t="str">
        <f t="shared" si="166"/>
        <v/>
      </c>
      <c r="K454" s="135"/>
      <c r="L454" s="72" t="str">
        <f t="shared" si="167"/>
        <v/>
      </c>
      <c r="M454" s="135"/>
      <c r="N454" s="72" t="str">
        <f t="shared" si="168"/>
        <v/>
      </c>
      <c r="O454" s="135"/>
      <c r="P454" s="136"/>
      <c r="Q454" s="123" t="str">
        <f t="shared" si="169"/>
        <v/>
      </c>
      <c r="R454" s="45" t="str">
        <f t="shared" si="170"/>
        <v/>
      </c>
      <c r="S454" s="137"/>
      <c r="T454" s="79" t="str">
        <f t="shared" si="179"/>
        <v/>
      </c>
      <c r="U454" s="79" t="str">
        <f t="shared" si="171"/>
        <v/>
      </c>
      <c r="V454" s="73" t="str">
        <f t="shared" si="172"/>
        <v/>
      </c>
      <c r="W454" s="80" t="str">
        <f t="shared" si="173"/>
        <v/>
      </c>
      <c r="X454" s="73" t="str">
        <f t="shared" si="174"/>
        <v/>
      </c>
      <c r="Y454" s="80" t="str">
        <f t="shared" si="175"/>
        <v/>
      </c>
      <c r="Z454" s="74" t="str">
        <f t="shared" si="176"/>
        <v/>
      </c>
      <c r="AA454" s="75" t="str">
        <f t="shared" si="180"/>
        <v/>
      </c>
      <c r="AB454" s="103" t="str">
        <f t="shared" si="177"/>
        <v/>
      </c>
      <c r="AC454" s="104" t="str">
        <f t="shared" si="188"/>
        <v/>
      </c>
      <c r="AE454" s="139"/>
      <c r="AF454" s="110" t="str">
        <f t="shared" si="181"/>
        <v/>
      </c>
      <c r="AG454" s="111" t="str">
        <f t="shared" si="182"/>
        <v/>
      </c>
      <c r="AH454" s="111" t="str">
        <f t="shared" si="178"/>
        <v/>
      </c>
      <c r="AI454" s="111" t="str">
        <f t="shared" si="183"/>
        <v/>
      </c>
      <c r="AJ454" s="111" t="str">
        <f t="shared" si="184"/>
        <v/>
      </c>
      <c r="AK454" s="112" t="str">
        <f t="shared" si="185"/>
        <v/>
      </c>
      <c r="AL454" t="str">
        <f t="shared" si="186"/>
        <v/>
      </c>
      <c r="AM454" t="str">
        <f t="shared" si="187"/>
        <v/>
      </c>
    </row>
    <row r="455" spans="1:39" ht="15" customHeight="1" x14ac:dyDescent="0.25">
      <c r="A455" s="131"/>
      <c r="B455" s="133"/>
      <c r="C455" s="133"/>
      <c r="D455" s="42" t="str">
        <f t="shared" si="162"/>
        <v/>
      </c>
      <c r="E455" s="43"/>
      <c r="F455" s="135"/>
      <c r="G455" s="77" t="str">
        <f t="shared" si="163"/>
        <v/>
      </c>
      <c r="H455" s="32" t="str">
        <f t="shared" si="164"/>
        <v/>
      </c>
      <c r="I455" s="78" t="str">
        <f t="shared" si="165"/>
        <v/>
      </c>
      <c r="J455" s="70" t="str">
        <f t="shared" si="166"/>
        <v/>
      </c>
      <c r="K455" s="135"/>
      <c r="L455" s="72" t="str">
        <f t="shared" si="167"/>
        <v/>
      </c>
      <c r="M455" s="135"/>
      <c r="N455" s="72" t="str">
        <f t="shared" si="168"/>
        <v/>
      </c>
      <c r="O455" s="135"/>
      <c r="P455" s="136"/>
      <c r="Q455" s="123" t="str">
        <f t="shared" si="169"/>
        <v/>
      </c>
      <c r="R455" s="45" t="str">
        <f t="shared" si="170"/>
        <v/>
      </c>
      <c r="S455" s="137"/>
      <c r="T455" s="79" t="str">
        <f t="shared" si="179"/>
        <v/>
      </c>
      <c r="U455" s="79" t="str">
        <f t="shared" si="171"/>
        <v/>
      </c>
      <c r="V455" s="73" t="str">
        <f t="shared" si="172"/>
        <v/>
      </c>
      <c r="W455" s="80" t="str">
        <f t="shared" si="173"/>
        <v/>
      </c>
      <c r="X455" s="73" t="str">
        <f t="shared" si="174"/>
        <v/>
      </c>
      <c r="Y455" s="80" t="str">
        <f t="shared" si="175"/>
        <v/>
      </c>
      <c r="Z455" s="74" t="str">
        <f t="shared" si="176"/>
        <v/>
      </c>
      <c r="AA455" s="75" t="str">
        <f t="shared" si="180"/>
        <v/>
      </c>
      <c r="AB455" s="103" t="str">
        <f t="shared" si="177"/>
        <v/>
      </c>
      <c r="AC455" s="104" t="str">
        <f t="shared" si="188"/>
        <v/>
      </c>
      <c r="AE455" s="139"/>
      <c r="AF455" s="110" t="str">
        <f t="shared" si="181"/>
        <v/>
      </c>
      <c r="AG455" s="111" t="str">
        <f t="shared" si="182"/>
        <v/>
      </c>
      <c r="AH455" s="111" t="str">
        <f t="shared" si="178"/>
        <v/>
      </c>
      <c r="AI455" s="111" t="str">
        <f t="shared" si="183"/>
        <v/>
      </c>
      <c r="AJ455" s="111" t="str">
        <f t="shared" si="184"/>
        <v/>
      </c>
      <c r="AK455" s="112" t="str">
        <f t="shared" si="185"/>
        <v/>
      </c>
      <c r="AL455" t="str">
        <f t="shared" si="186"/>
        <v/>
      </c>
      <c r="AM455" t="str">
        <f t="shared" si="187"/>
        <v/>
      </c>
    </row>
    <row r="456" spans="1:39" ht="15" customHeight="1" x14ac:dyDescent="0.25">
      <c r="A456" s="131"/>
      <c r="B456" s="133"/>
      <c r="C456" s="133"/>
      <c r="D456" s="42" t="str">
        <f t="shared" ref="D456:D519" si="189">IF(A456="","",B456*C456)</f>
        <v/>
      </c>
      <c r="E456" s="43"/>
      <c r="F456" s="135"/>
      <c r="G456" s="77" t="str">
        <f t="shared" ref="G456:G519" si="190">IF(OR(F456="",C456=0,C456=""),"",F456/C456)</f>
        <v/>
      </c>
      <c r="H456" s="32" t="str">
        <f t="shared" ref="H456:H519" si="191">IF(F456="","",ROUND(F456*$G$1,2))</f>
        <v/>
      </c>
      <c r="I456" s="78" t="str">
        <f t="shared" ref="I456:I519" si="192">IF(OR(H456="",C456=0,C456=""),"",H456/C456)</f>
        <v/>
      </c>
      <c r="J456" s="70" t="str">
        <f t="shared" ref="J456:J519" si="193">IF(A456="","",F456*B456)</f>
        <v/>
      </c>
      <c r="K456" s="135"/>
      <c r="L456" s="72" t="str">
        <f t="shared" ref="L456:L519" si="194">IF(OR(K456=0,C456=0,K456="",C456=""),"",K456/C456)</f>
        <v/>
      </c>
      <c r="M456" s="135"/>
      <c r="N456" s="72" t="str">
        <f t="shared" ref="N456:N519" si="195">IF(OR(M456=0,C456=0,M456="",C456=""),"",M456/C456)</f>
        <v/>
      </c>
      <c r="O456" s="135"/>
      <c r="P456" s="136"/>
      <c r="Q456" s="123" t="str">
        <f t="shared" ref="Q456:Q519" si="196">IF(A456="","",IF(S456&gt;0,IF(J456&gt;0,S456/J456,0),IF(E456&gt;0,0,IF($I$2&gt;0,IF($I$3&gt;0,MAX($I$2-SUM($S$8:$S$1007),0)/$I$3,0),$I$1))))</f>
        <v/>
      </c>
      <c r="R456" s="45" t="str">
        <f t="shared" ref="R456:R519" si="197">IF(A456="","",IF(S456&gt;0,S456,IF(E456&gt;0,0,J456*IF($I$2&gt;0,IF($I$3&gt;0,MAX($I$2-SUM($S$8:$S$1007),0)/$I$3,0),$I$1))))</f>
        <v/>
      </c>
      <c r="S456" s="137"/>
      <c r="T456" s="79" t="str">
        <f t="shared" si="179"/>
        <v/>
      </c>
      <c r="U456" s="79" t="str">
        <f t="shared" ref="U456:U519" si="198">IF(OR(A456="",T456=""),"",T456*C456)</f>
        <v/>
      </c>
      <c r="V456" s="73" t="str">
        <f t="shared" ref="V456:V519" si="199">IF(OR(A456="",K456&lt;=0,U456=""),"",(K456-U456)/K456)</f>
        <v/>
      </c>
      <c r="W456" s="80" t="str">
        <f t="shared" ref="W456:W519" si="200">IF(OR(K456=0,U456=0,K456="",U456=""),"",K456-U456)</f>
        <v/>
      </c>
      <c r="X456" s="73" t="str">
        <f t="shared" ref="X456:X519" si="201">IF(OR(A456="",M456&lt;=0,U456=""),"",(M456-U456)/M456)</f>
        <v/>
      </c>
      <c r="Y456" s="80" t="str">
        <f t="shared" ref="Y456:Y519" si="202">IF(OR(M456=0,U456=0,M456="",U456=""),"",M456-U456)</f>
        <v/>
      </c>
      <c r="Z456" s="74" t="str">
        <f t="shared" ref="Z456:Z519" si="203">IF(OR(J456="",J456=0,$M$5="",$K$1=0),"",($M$5/$K$1)*J456)</f>
        <v/>
      </c>
      <c r="AA456" s="75" t="str">
        <f t="shared" si="180"/>
        <v/>
      </c>
      <c r="AB456" s="103" t="str">
        <f t="shared" ref="AB456:AB519" si="204">IF(OR(T456=0,T456="",D456=0,D456=""),"",T456*(D456+E456))</f>
        <v/>
      </c>
      <c r="AC456" s="104" t="str">
        <f t="shared" si="188"/>
        <v/>
      </c>
      <c r="AE456" s="139"/>
      <c r="AF456" s="110" t="str">
        <f t="shared" si="181"/>
        <v/>
      </c>
      <c r="AG456" s="111" t="str">
        <f t="shared" si="182"/>
        <v/>
      </c>
      <c r="AH456" s="111" t="str">
        <f t="shared" ref="AH456:AH519" si="205">IF(AG456="","",AG456*$AF$1+IF(SUM($AG$8:$AG$1007)=0,0,$AF$2*AG456/SUM($AG$8:$AG$1007)))</f>
        <v/>
      </c>
      <c r="AI456" s="111" t="str">
        <f t="shared" si="183"/>
        <v/>
      </c>
      <c r="AJ456" s="111" t="str">
        <f t="shared" si="184"/>
        <v/>
      </c>
      <c r="AK456" s="112" t="str">
        <f t="shared" si="185"/>
        <v/>
      </c>
      <c r="AL456" t="str">
        <f t="shared" si="186"/>
        <v/>
      </c>
      <c r="AM456" t="str">
        <f t="shared" si="187"/>
        <v/>
      </c>
    </row>
    <row r="457" spans="1:39" ht="15" customHeight="1" x14ac:dyDescent="0.25">
      <c r="A457" s="131"/>
      <c r="B457" s="133"/>
      <c r="C457" s="133"/>
      <c r="D457" s="42" t="str">
        <f t="shared" si="189"/>
        <v/>
      </c>
      <c r="E457" s="43"/>
      <c r="F457" s="135"/>
      <c r="G457" s="77" t="str">
        <f t="shared" si="190"/>
        <v/>
      </c>
      <c r="H457" s="32" t="str">
        <f t="shared" si="191"/>
        <v/>
      </c>
      <c r="I457" s="78" t="str">
        <f t="shared" si="192"/>
        <v/>
      </c>
      <c r="J457" s="70" t="str">
        <f t="shared" si="193"/>
        <v/>
      </c>
      <c r="K457" s="135"/>
      <c r="L457" s="72" t="str">
        <f t="shared" si="194"/>
        <v/>
      </c>
      <c r="M457" s="135"/>
      <c r="N457" s="72" t="str">
        <f t="shared" si="195"/>
        <v/>
      </c>
      <c r="O457" s="135"/>
      <c r="P457" s="136"/>
      <c r="Q457" s="123" t="str">
        <f t="shared" si="196"/>
        <v/>
      </c>
      <c r="R457" s="45" t="str">
        <f t="shared" si="197"/>
        <v/>
      </c>
      <c r="S457" s="137"/>
      <c r="T457" s="79" t="str">
        <f t="shared" ref="T457:T520" si="206">IF(A457="","",IF(OR(B457=0,B457="",C457&lt;=0,D457+E457&lt;=0),"",((F457+H457)*B457+(H457/C457)*E457-R457)/(D457+E457)-IF(Z457&gt;=0,Z457/D457,0)+IF(ISNUMBER(AA457),AA457/(D457+E457),0)))</f>
        <v/>
      </c>
      <c r="U457" s="79" t="str">
        <f t="shared" si="198"/>
        <v/>
      </c>
      <c r="V457" s="73" t="str">
        <f t="shared" si="199"/>
        <v/>
      </c>
      <c r="W457" s="80" t="str">
        <f t="shared" si="200"/>
        <v/>
      </c>
      <c r="X457" s="73" t="str">
        <f t="shared" si="201"/>
        <v/>
      </c>
      <c r="Y457" s="80" t="str">
        <f t="shared" si="202"/>
        <v/>
      </c>
      <c r="Z457" s="74" t="str">
        <f t="shared" si="203"/>
        <v/>
      </c>
      <c r="AA457" s="75" t="str">
        <f t="shared" ref="AA457:AA520" si="207">IF(OR(J457="",J457=0,($G$3-$I$4)=0),"",($K$3/($G$3-$I$4))*(J457-R457))</f>
        <v/>
      </c>
      <c r="AB457" s="103" t="str">
        <f t="shared" si="204"/>
        <v/>
      </c>
      <c r="AC457" s="104" t="str">
        <f t="shared" si="188"/>
        <v/>
      </c>
      <c r="AE457" s="139"/>
      <c r="AF457" s="110" t="str">
        <f t="shared" ref="AF457:AF520" si="208">IF(AE457="","",T457)</f>
        <v/>
      </c>
      <c r="AG457" s="111" t="str">
        <f t="shared" ref="AG457:AG520" si="209">IF(OR(AE457="",AF457=""),"",AE457*AF457)</f>
        <v/>
      </c>
      <c r="AH457" s="111" t="str">
        <f t="shared" si="205"/>
        <v/>
      </c>
      <c r="AI457" s="111" t="str">
        <f t="shared" ref="AI457:AI520" si="210">IF(AG457="","",AG457-AH457)</f>
        <v/>
      </c>
      <c r="AJ457" s="111" t="str">
        <f t="shared" ref="AJ457:AJ520" si="211">IF(AI457="","",AK457-AI457)</f>
        <v/>
      </c>
      <c r="AK457" s="112" t="str">
        <f t="shared" ref="AK457:AK520" si="212">IF(AI457="","",ROUND(AI457,0))</f>
        <v/>
      </c>
      <c r="AL457" t="str">
        <f t="shared" ref="AL457:AL520" si="213">IF(OR(AE457=0,AE457=""),"",AH457/AE457)</f>
        <v/>
      </c>
      <c r="AM457" t="str">
        <f t="shared" ref="AM457:AM520" si="214">IF(OR(AE457=0,AE457=""),"",AF457*C457)</f>
        <v/>
      </c>
    </row>
    <row r="458" spans="1:39" ht="15" customHeight="1" x14ac:dyDescent="0.25">
      <c r="A458" s="131"/>
      <c r="B458" s="133"/>
      <c r="C458" s="133"/>
      <c r="D458" s="42" t="str">
        <f t="shared" si="189"/>
        <v/>
      </c>
      <c r="E458" s="43"/>
      <c r="F458" s="135"/>
      <c r="G458" s="77" t="str">
        <f t="shared" si="190"/>
        <v/>
      </c>
      <c r="H458" s="32" t="str">
        <f t="shared" si="191"/>
        <v/>
      </c>
      <c r="I458" s="78" t="str">
        <f t="shared" si="192"/>
        <v/>
      </c>
      <c r="J458" s="70" t="str">
        <f t="shared" si="193"/>
        <v/>
      </c>
      <c r="K458" s="135"/>
      <c r="L458" s="72" t="str">
        <f t="shared" si="194"/>
        <v/>
      </c>
      <c r="M458" s="135"/>
      <c r="N458" s="72" t="str">
        <f t="shared" si="195"/>
        <v/>
      </c>
      <c r="O458" s="135"/>
      <c r="P458" s="136"/>
      <c r="Q458" s="123" t="str">
        <f t="shared" si="196"/>
        <v/>
      </c>
      <c r="R458" s="45" t="str">
        <f t="shared" si="197"/>
        <v/>
      </c>
      <c r="S458" s="137"/>
      <c r="T458" s="79" t="str">
        <f t="shared" si="206"/>
        <v/>
      </c>
      <c r="U458" s="79" t="str">
        <f t="shared" si="198"/>
        <v/>
      </c>
      <c r="V458" s="73" t="str">
        <f t="shared" si="199"/>
        <v/>
      </c>
      <c r="W458" s="80" t="str">
        <f t="shared" si="200"/>
        <v/>
      </c>
      <c r="X458" s="73" t="str">
        <f t="shared" si="201"/>
        <v/>
      </c>
      <c r="Y458" s="80" t="str">
        <f t="shared" si="202"/>
        <v/>
      </c>
      <c r="Z458" s="74" t="str">
        <f t="shared" si="203"/>
        <v/>
      </c>
      <c r="AA458" s="75" t="str">
        <f t="shared" si="207"/>
        <v/>
      </c>
      <c r="AB458" s="103" t="str">
        <f t="shared" si="204"/>
        <v/>
      </c>
      <c r="AC458" s="104" t="str">
        <f t="shared" ref="AC458:AC521" si="215">IF(OR(A458="",J458="",C458&lt;=0, B458=0),"",J458+H458*B458+(H458/C458)*E458)</f>
        <v/>
      </c>
      <c r="AE458" s="139"/>
      <c r="AF458" s="110" t="str">
        <f t="shared" si="208"/>
        <v/>
      </c>
      <c r="AG458" s="111" t="str">
        <f t="shared" si="209"/>
        <v/>
      </c>
      <c r="AH458" s="111" t="str">
        <f t="shared" si="205"/>
        <v/>
      </c>
      <c r="AI458" s="111" t="str">
        <f t="shared" si="210"/>
        <v/>
      </c>
      <c r="AJ458" s="111" t="str">
        <f t="shared" si="211"/>
        <v/>
      </c>
      <c r="AK458" s="112" t="str">
        <f t="shared" si="212"/>
        <v/>
      </c>
      <c r="AL458" t="str">
        <f t="shared" si="213"/>
        <v/>
      </c>
      <c r="AM458" t="str">
        <f t="shared" si="214"/>
        <v/>
      </c>
    </row>
    <row r="459" spans="1:39" ht="15" customHeight="1" x14ac:dyDescent="0.25">
      <c r="A459" s="131"/>
      <c r="B459" s="133"/>
      <c r="C459" s="133"/>
      <c r="D459" s="42" t="str">
        <f t="shared" si="189"/>
        <v/>
      </c>
      <c r="E459" s="43"/>
      <c r="F459" s="135"/>
      <c r="G459" s="77" t="str">
        <f t="shared" si="190"/>
        <v/>
      </c>
      <c r="H459" s="32" t="str">
        <f t="shared" si="191"/>
        <v/>
      </c>
      <c r="I459" s="78" t="str">
        <f t="shared" si="192"/>
        <v/>
      </c>
      <c r="J459" s="70" t="str">
        <f t="shared" si="193"/>
        <v/>
      </c>
      <c r="K459" s="135"/>
      <c r="L459" s="72" t="str">
        <f t="shared" si="194"/>
        <v/>
      </c>
      <c r="M459" s="135"/>
      <c r="N459" s="72" t="str">
        <f t="shared" si="195"/>
        <v/>
      </c>
      <c r="O459" s="135"/>
      <c r="P459" s="136"/>
      <c r="Q459" s="123" t="str">
        <f t="shared" si="196"/>
        <v/>
      </c>
      <c r="R459" s="45" t="str">
        <f t="shared" si="197"/>
        <v/>
      </c>
      <c r="S459" s="137"/>
      <c r="T459" s="79" t="str">
        <f t="shared" si="206"/>
        <v/>
      </c>
      <c r="U459" s="79" t="str">
        <f t="shared" si="198"/>
        <v/>
      </c>
      <c r="V459" s="73" t="str">
        <f t="shared" si="199"/>
        <v/>
      </c>
      <c r="W459" s="80" t="str">
        <f t="shared" si="200"/>
        <v/>
      </c>
      <c r="X459" s="73" t="str">
        <f t="shared" si="201"/>
        <v/>
      </c>
      <c r="Y459" s="80" t="str">
        <f t="shared" si="202"/>
        <v/>
      </c>
      <c r="Z459" s="74" t="str">
        <f t="shared" si="203"/>
        <v/>
      </c>
      <c r="AA459" s="75" t="str">
        <f t="shared" si="207"/>
        <v/>
      </c>
      <c r="AB459" s="103" t="str">
        <f t="shared" si="204"/>
        <v/>
      </c>
      <c r="AC459" s="104" t="str">
        <f t="shared" si="215"/>
        <v/>
      </c>
      <c r="AE459" s="139"/>
      <c r="AF459" s="110" t="str">
        <f t="shared" si="208"/>
        <v/>
      </c>
      <c r="AG459" s="111" t="str">
        <f t="shared" si="209"/>
        <v/>
      </c>
      <c r="AH459" s="111" t="str">
        <f t="shared" si="205"/>
        <v/>
      </c>
      <c r="AI459" s="111" t="str">
        <f t="shared" si="210"/>
        <v/>
      </c>
      <c r="AJ459" s="111" t="str">
        <f t="shared" si="211"/>
        <v/>
      </c>
      <c r="AK459" s="112" t="str">
        <f t="shared" si="212"/>
        <v/>
      </c>
      <c r="AL459" t="str">
        <f t="shared" si="213"/>
        <v/>
      </c>
      <c r="AM459" t="str">
        <f t="shared" si="214"/>
        <v/>
      </c>
    </row>
    <row r="460" spans="1:39" ht="15" customHeight="1" x14ac:dyDescent="0.25">
      <c r="A460" s="131"/>
      <c r="B460" s="133"/>
      <c r="C460" s="133"/>
      <c r="D460" s="42" t="str">
        <f t="shared" si="189"/>
        <v/>
      </c>
      <c r="E460" s="43"/>
      <c r="F460" s="135"/>
      <c r="G460" s="77" t="str">
        <f t="shared" si="190"/>
        <v/>
      </c>
      <c r="H460" s="32" t="str">
        <f t="shared" si="191"/>
        <v/>
      </c>
      <c r="I460" s="78" t="str">
        <f t="shared" si="192"/>
        <v/>
      </c>
      <c r="J460" s="70" t="str">
        <f t="shared" si="193"/>
        <v/>
      </c>
      <c r="K460" s="135"/>
      <c r="L460" s="72" t="str">
        <f t="shared" si="194"/>
        <v/>
      </c>
      <c r="M460" s="135"/>
      <c r="N460" s="72" t="str">
        <f t="shared" si="195"/>
        <v/>
      </c>
      <c r="O460" s="135"/>
      <c r="P460" s="136"/>
      <c r="Q460" s="123" t="str">
        <f t="shared" si="196"/>
        <v/>
      </c>
      <c r="R460" s="45" t="str">
        <f t="shared" si="197"/>
        <v/>
      </c>
      <c r="S460" s="137"/>
      <c r="T460" s="79" t="str">
        <f t="shared" si="206"/>
        <v/>
      </c>
      <c r="U460" s="79" t="str">
        <f t="shared" si="198"/>
        <v/>
      </c>
      <c r="V460" s="73" t="str">
        <f t="shared" si="199"/>
        <v/>
      </c>
      <c r="W460" s="80" t="str">
        <f t="shared" si="200"/>
        <v/>
      </c>
      <c r="X460" s="73" t="str">
        <f t="shared" si="201"/>
        <v/>
      </c>
      <c r="Y460" s="80" t="str">
        <f t="shared" si="202"/>
        <v/>
      </c>
      <c r="Z460" s="74" t="str">
        <f t="shared" si="203"/>
        <v/>
      </c>
      <c r="AA460" s="75" t="str">
        <f t="shared" si="207"/>
        <v/>
      </c>
      <c r="AB460" s="103" t="str">
        <f t="shared" si="204"/>
        <v/>
      </c>
      <c r="AC460" s="104" t="str">
        <f t="shared" si="215"/>
        <v/>
      </c>
      <c r="AE460" s="139"/>
      <c r="AF460" s="110" t="str">
        <f t="shared" si="208"/>
        <v/>
      </c>
      <c r="AG460" s="111" t="str">
        <f t="shared" si="209"/>
        <v/>
      </c>
      <c r="AH460" s="111" t="str">
        <f t="shared" si="205"/>
        <v/>
      </c>
      <c r="AI460" s="111" t="str">
        <f t="shared" si="210"/>
        <v/>
      </c>
      <c r="AJ460" s="111" t="str">
        <f t="shared" si="211"/>
        <v/>
      </c>
      <c r="AK460" s="112" t="str">
        <f t="shared" si="212"/>
        <v/>
      </c>
      <c r="AL460" t="str">
        <f t="shared" si="213"/>
        <v/>
      </c>
      <c r="AM460" t="str">
        <f t="shared" si="214"/>
        <v/>
      </c>
    </row>
    <row r="461" spans="1:39" ht="15" customHeight="1" x14ac:dyDescent="0.25">
      <c r="A461" s="131"/>
      <c r="B461" s="133"/>
      <c r="C461" s="133"/>
      <c r="D461" s="42" t="str">
        <f t="shared" si="189"/>
        <v/>
      </c>
      <c r="E461" s="43"/>
      <c r="F461" s="135"/>
      <c r="G461" s="77" t="str">
        <f t="shared" si="190"/>
        <v/>
      </c>
      <c r="H461" s="32" t="str">
        <f t="shared" si="191"/>
        <v/>
      </c>
      <c r="I461" s="78" t="str">
        <f t="shared" si="192"/>
        <v/>
      </c>
      <c r="J461" s="70" t="str">
        <f t="shared" si="193"/>
        <v/>
      </c>
      <c r="K461" s="135"/>
      <c r="L461" s="72" t="str">
        <f t="shared" si="194"/>
        <v/>
      </c>
      <c r="M461" s="135"/>
      <c r="N461" s="72" t="str">
        <f t="shared" si="195"/>
        <v/>
      </c>
      <c r="O461" s="135"/>
      <c r="P461" s="136"/>
      <c r="Q461" s="123" t="str">
        <f t="shared" si="196"/>
        <v/>
      </c>
      <c r="R461" s="45" t="str">
        <f t="shared" si="197"/>
        <v/>
      </c>
      <c r="S461" s="137"/>
      <c r="T461" s="79" t="str">
        <f t="shared" si="206"/>
        <v/>
      </c>
      <c r="U461" s="79" t="str">
        <f t="shared" si="198"/>
        <v/>
      </c>
      <c r="V461" s="73" t="str">
        <f t="shared" si="199"/>
        <v/>
      </c>
      <c r="W461" s="80" t="str">
        <f t="shared" si="200"/>
        <v/>
      </c>
      <c r="X461" s="73" t="str">
        <f t="shared" si="201"/>
        <v/>
      </c>
      <c r="Y461" s="80" t="str">
        <f t="shared" si="202"/>
        <v/>
      </c>
      <c r="Z461" s="74" t="str">
        <f t="shared" si="203"/>
        <v/>
      </c>
      <c r="AA461" s="75" t="str">
        <f t="shared" si="207"/>
        <v/>
      </c>
      <c r="AB461" s="103" t="str">
        <f t="shared" si="204"/>
        <v/>
      </c>
      <c r="AC461" s="104" t="str">
        <f t="shared" si="215"/>
        <v/>
      </c>
      <c r="AE461" s="139"/>
      <c r="AF461" s="110" t="str">
        <f t="shared" si="208"/>
        <v/>
      </c>
      <c r="AG461" s="111" t="str">
        <f t="shared" si="209"/>
        <v/>
      </c>
      <c r="AH461" s="111" t="str">
        <f t="shared" si="205"/>
        <v/>
      </c>
      <c r="AI461" s="111" t="str">
        <f t="shared" si="210"/>
        <v/>
      </c>
      <c r="AJ461" s="111" t="str">
        <f t="shared" si="211"/>
        <v/>
      </c>
      <c r="AK461" s="112" t="str">
        <f t="shared" si="212"/>
        <v/>
      </c>
      <c r="AL461" t="str">
        <f t="shared" si="213"/>
        <v/>
      </c>
      <c r="AM461" t="str">
        <f t="shared" si="214"/>
        <v/>
      </c>
    </row>
    <row r="462" spans="1:39" ht="15" customHeight="1" x14ac:dyDescent="0.25">
      <c r="A462" s="131"/>
      <c r="B462" s="133"/>
      <c r="C462" s="133"/>
      <c r="D462" s="42" t="str">
        <f t="shared" si="189"/>
        <v/>
      </c>
      <c r="E462" s="43"/>
      <c r="F462" s="135"/>
      <c r="G462" s="77" t="str">
        <f t="shared" si="190"/>
        <v/>
      </c>
      <c r="H462" s="32" t="str">
        <f t="shared" si="191"/>
        <v/>
      </c>
      <c r="I462" s="78" t="str">
        <f t="shared" si="192"/>
        <v/>
      </c>
      <c r="J462" s="70" t="str">
        <f t="shared" si="193"/>
        <v/>
      </c>
      <c r="K462" s="135"/>
      <c r="L462" s="72" t="str">
        <f t="shared" si="194"/>
        <v/>
      </c>
      <c r="M462" s="135"/>
      <c r="N462" s="72" t="str">
        <f t="shared" si="195"/>
        <v/>
      </c>
      <c r="O462" s="135"/>
      <c r="P462" s="136"/>
      <c r="Q462" s="123" t="str">
        <f t="shared" si="196"/>
        <v/>
      </c>
      <c r="R462" s="45" t="str">
        <f t="shared" si="197"/>
        <v/>
      </c>
      <c r="S462" s="137"/>
      <c r="T462" s="79" t="str">
        <f t="shared" si="206"/>
        <v/>
      </c>
      <c r="U462" s="79" t="str">
        <f t="shared" si="198"/>
        <v/>
      </c>
      <c r="V462" s="73" t="str">
        <f t="shared" si="199"/>
        <v/>
      </c>
      <c r="W462" s="80" t="str">
        <f t="shared" si="200"/>
        <v/>
      </c>
      <c r="X462" s="73" t="str">
        <f t="shared" si="201"/>
        <v/>
      </c>
      <c r="Y462" s="80" t="str">
        <f t="shared" si="202"/>
        <v/>
      </c>
      <c r="Z462" s="74" t="str">
        <f t="shared" si="203"/>
        <v/>
      </c>
      <c r="AA462" s="75" t="str">
        <f t="shared" si="207"/>
        <v/>
      </c>
      <c r="AB462" s="103" t="str">
        <f t="shared" si="204"/>
        <v/>
      </c>
      <c r="AC462" s="104" t="str">
        <f t="shared" si="215"/>
        <v/>
      </c>
      <c r="AE462" s="139"/>
      <c r="AF462" s="110" t="str">
        <f t="shared" si="208"/>
        <v/>
      </c>
      <c r="AG462" s="111" t="str">
        <f t="shared" si="209"/>
        <v/>
      </c>
      <c r="AH462" s="111" t="str">
        <f t="shared" si="205"/>
        <v/>
      </c>
      <c r="AI462" s="111" t="str">
        <f t="shared" si="210"/>
        <v/>
      </c>
      <c r="AJ462" s="111" t="str">
        <f t="shared" si="211"/>
        <v/>
      </c>
      <c r="AK462" s="112" t="str">
        <f t="shared" si="212"/>
        <v/>
      </c>
      <c r="AL462" t="str">
        <f t="shared" si="213"/>
        <v/>
      </c>
      <c r="AM462" t="str">
        <f t="shared" si="214"/>
        <v/>
      </c>
    </row>
    <row r="463" spans="1:39" ht="15" customHeight="1" x14ac:dyDescent="0.25">
      <c r="A463" s="131"/>
      <c r="B463" s="133"/>
      <c r="C463" s="133"/>
      <c r="D463" s="42" t="str">
        <f t="shared" si="189"/>
        <v/>
      </c>
      <c r="E463" s="43"/>
      <c r="F463" s="135"/>
      <c r="G463" s="77" t="str">
        <f t="shared" si="190"/>
        <v/>
      </c>
      <c r="H463" s="32" t="str">
        <f t="shared" si="191"/>
        <v/>
      </c>
      <c r="I463" s="78" t="str">
        <f t="shared" si="192"/>
        <v/>
      </c>
      <c r="J463" s="70" t="str">
        <f t="shared" si="193"/>
        <v/>
      </c>
      <c r="K463" s="135"/>
      <c r="L463" s="72" t="str">
        <f t="shared" si="194"/>
        <v/>
      </c>
      <c r="M463" s="135"/>
      <c r="N463" s="72" t="str">
        <f t="shared" si="195"/>
        <v/>
      </c>
      <c r="O463" s="135"/>
      <c r="P463" s="136"/>
      <c r="Q463" s="123" t="str">
        <f t="shared" si="196"/>
        <v/>
      </c>
      <c r="R463" s="45" t="str">
        <f t="shared" si="197"/>
        <v/>
      </c>
      <c r="S463" s="137"/>
      <c r="T463" s="79" t="str">
        <f t="shared" si="206"/>
        <v/>
      </c>
      <c r="U463" s="79" t="str">
        <f t="shared" si="198"/>
        <v/>
      </c>
      <c r="V463" s="73" t="str">
        <f t="shared" si="199"/>
        <v/>
      </c>
      <c r="W463" s="80" t="str">
        <f t="shared" si="200"/>
        <v/>
      </c>
      <c r="X463" s="73" t="str">
        <f t="shared" si="201"/>
        <v/>
      </c>
      <c r="Y463" s="80" t="str">
        <f t="shared" si="202"/>
        <v/>
      </c>
      <c r="Z463" s="74" t="str">
        <f t="shared" si="203"/>
        <v/>
      </c>
      <c r="AA463" s="75" t="str">
        <f t="shared" si="207"/>
        <v/>
      </c>
      <c r="AB463" s="103" t="str">
        <f t="shared" si="204"/>
        <v/>
      </c>
      <c r="AC463" s="104" t="str">
        <f t="shared" si="215"/>
        <v/>
      </c>
      <c r="AE463" s="139"/>
      <c r="AF463" s="110" t="str">
        <f t="shared" si="208"/>
        <v/>
      </c>
      <c r="AG463" s="111" t="str">
        <f t="shared" si="209"/>
        <v/>
      </c>
      <c r="AH463" s="111" t="str">
        <f t="shared" si="205"/>
        <v/>
      </c>
      <c r="AI463" s="111" t="str">
        <f t="shared" si="210"/>
        <v/>
      </c>
      <c r="AJ463" s="111" t="str">
        <f t="shared" si="211"/>
        <v/>
      </c>
      <c r="AK463" s="112" t="str">
        <f t="shared" si="212"/>
        <v/>
      </c>
      <c r="AL463" t="str">
        <f t="shared" si="213"/>
        <v/>
      </c>
      <c r="AM463" t="str">
        <f t="shared" si="214"/>
        <v/>
      </c>
    </row>
    <row r="464" spans="1:39" ht="15" customHeight="1" x14ac:dyDescent="0.25">
      <c r="A464" s="131"/>
      <c r="B464" s="133"/>
      <c r="C464" s="133"/>
      <c r="D464" s="42" t="str">
        <f t="shared" si="189"/>
        <v/>
      </c>
      <c r="E464" s="43"/>
      <c r="F464" s="135"/>
      <c r="G464" s="77" t="str">
        <f t="shared" si="190"/>
        <v/>
      </c>
      <c r="H464" s="32" t="str">
        <f t="shared" si="191"/>
        <v/>
      </c>
      <c r="I464" s="78" t="str">
        <f t="shared" si="192"/>
        <v/>
      </c>
      <c r="J464" s="70" t="str">
        <f t="shared" si="193"/>
        <v/>
      </c>
      <c r="K464" s="135"/>
      <c r="L464" s="72" t="str">
        <f t="shared" si="194"/>
        <v/>
      </c>
      <c r="M464" s="135"/>
      <c r="N464" s="72" t="str">
        <f t="shared" si="195"/>
        <v/>
      </c>
      <c r="O464" s="135"/>
      <c r="P464" s="136"/>
      <c r="Q464" s="123" t="str">
        <f t="shared" si="196"/>
        <v/>
      </c>
      <c r="R464" s="45" t="str">
        <f t="shared" si="197"/>
        <v/>
      </c>
      <c r="S464" s="137"/>
      <c r="T464" s="79" t="str">
        <f t="shared" si="206"/>
        <v/>
      </c>
      <c r="U464" s="79" t="str">
        <f t="shared" si="198"/>
        <v/>
      </c>
      <c r="V464" s="73" t="str">
        <f t="shared" si="199"/>
        <v/>
      </c>
      <c r="W464" s="80" t="str">
        <f t="shared" si="200"/>
        <v/>
      </c>
      <c r="X464" s="73" t="str">
        <f t="shared" si="201"/>
        <v/>
      </c>
      <c r="Y464" s="80" t="str">
        <f t="shared" si="202"/>
        <v/>
      </c>
      <c r="Z464" s="74" t="str">
        <f t="shared" si="203"/>
        <v/>
      </c>
      <c r="AA464" s="75" t="str">
        <f t="shared" si="207"/>
        <v/>
      </c>
      <c r="AB464" s="103" t="str">
        <f t="shared" si="204"/>
        <v/>
      </c>
      <c r="AC464" s="104" t="str">
        <f t="shared" si="215"/>
        <v/>
      </c>
      <c r="AE464" s="139"/>
      <c r="AF464" s="110" t="str">
        <f t="shared" si="208"/>
        <v/>
      </c>
      <c r="AG464" s="111" t="str">
        <f t="shared" si="209"/>
        <v/>
      </c>
      <c r="AH464" s="111" t="str">
        <f t="shared" si="205"/>
        <v/>
      </c>
      <c r="AI464" s="111" t="str">
        <f t="shared" si="210"/>
        <v/>
      </c>
      <c r="AJ464" s="111" t="str">
        <f t="shared" si="211"/>
        <v/>
      </c>
      <c r="AK464" s="112" t="str">
        <f t="shared" si="212"/>
        <v/>
      </c>
      <c r="AL464" t="str">
        <f t="shared" si="213"/>
        <v/>
      </c>
      <c r="AM464" t="str">
        <f t="shared" si="214"/>
        <v/>
      </c>
    </row>
    <row r="465" spans="1:39" ht="15" customHeight="1" x14ac:dyDescent="0.25">
      <c r="A465" s="131"/>
      <c r="B465" s="133"/>
      <c r="C465" s="133"/>
      <c r="D465" s="42" t="str">
        <f t="shared" si="189"/>
        <v/>
      </c>
      <c r="E465" s="43"/>
      <c r="F465" s="135"/>
      <c r="G465" s="77" t="str">
        <f t="shared" si="190"/>
        <v/>
      </c>
      <c r="H465" s="32" t="str">
        <f t="shared" si="191"/>
        <v/>
      </c>
      <c r="I465" s="78" t="str">
        <f t="shared" si="192"/>
        <v/>
      </c>
      <c r="J465" s="70" t="str">
        <f t="shared" si="193"/>
        <v/>
      </c>
      <c r="K465" s="135"/>
      <c r="L465" s="72" t="str">
        <f t="shared" si="194"/>
        <v/>
      </c>
      <c r="M465" s="135"/>
      <c r="N465" s="72" t="str">
        <f t="shared" si="195"/>
        <v/>
      </c>
      <c r="O465" s="135"/>
      <c r="P465" s="136"/>
      <c r="Q465" s="123" t="str">
        <f t="shared" si="196"/>
        <v/>
      </c>
      <c r="R465" s="45" t="str">
        <f t="shared" si="197"/>
        <v/>
      </c>
      <c r="S465" s="137"/>
      <c r="T465" s="79" t="str">
        <f t="shared" si="206"/>
        <v/>
      </c>
      <c r="U465" s="79" t="str">
        <f t="shared" si="198"/>
        <v/>
      </c>
      <c r="V465" s="73" t="str">
        <f t="shared" si="199"/>
        <v/>
      </c>
      <c r="W465" s="80" t="str">
        <f t="shared" si="200"/>
        <v/>
      </c>
      <c r="X465" s="73" t="str">
        <f t="shared" si="201"/>
        <v/>
      </c>
      <c r="Y465" s="80" t="str">
        <f t="shared" si="202"/>
        <v/>
      </c>
      <c r="Z465" s="74" t="str">
        <f t="shared" si="203"/>
        <v/>
      </c>
      <c r="AA465" s="75" t="str">
        <f t="shared" si="207"/>
        <v/>
      </c>
      <c r="AB465" s="103" t="str">
        <f t="shared" si="204"/>
        <v/>
      </c>
      <c r="AC465" s="104" t="str">
        <f t="shared" si="215"/>
        <v/>
      </c>
      <c r="AE465" s="139"/>
      <c r="AF465" s="110" t="str">
        <f t="shared" si="208"/>
        <v/>
      </c>
      <c r="AG465" s="111" t="str">
        <f t="shared" si="209"/>
        <v/>
      </c>
      <c r="AH465" s="111" t="str">
        <f t="shared" si="205"/>
        <v/>
      </c>
      <c r="AI465" s="111" t="str">
        <f t="shared" si="210"/>
        <v/>
      </c>
      <c r="AJ465" s="111" t="str">
        <f t="shared" si="211"/>
        <v/>
      </c>
      <c r="AK465" s="112" t="str">
        <f t="shared" si="212"/>
        <v/>
      </c>
      <c r="AL465" t="str">
        <f t="shared" si="213"/>
        <v/>
      </c>
      <c r="AM465" t="str">
        <f t="shared" si="214"/>
        <v/>
      </c>
    </row>
    <row r="466" spans="1:39" ht="15" customHeight="1" x14ac:dyDescent="0.25">
      <c r="A466" s="131"/>
      <c r="B466" s="133"/>
      <c r="C466" s="133"/>
      <c r="D466" s="42" t="str">
        <f t="shared" si="189"/>
        <v/>
      </c>
      <c r="E466" s="43"/>
      <c r="F466" s="135"/>
      <c r="G466" s="77" t="str">
        <f t="shared" si="190"/>
        <v/>
      </c>
      <c r="H466" s="32" t="str">
        <f t="shared" si="191"/>
        <v/>
      </c>
      <c r="I466" s="78" t="str">
        <f t="shared" si="192"/>
        <v/>
      </c>
      <c r="J466" s="70" t="str">
        <f t="shared" si="193"/>
        <v/>
      </c>
      <c r="K466" s="135"/>
      <c r="L466" s="72" t="str">
        <f t="shared" si="194"/>
        <v/>
      </c>
      <c r="M466" s="135"/>
      <c r="N466" s="72" t="str">
        <f t="shared" si="195"/>
        <v/>
      </c>
      <c r="O466" s="135"/>
      <c r="P466" s="136"/>
      <c r="Q466" s="123" t="str">
        <f t="shared" si="196"/>
        <v/>
      </c>
      <c r="R466" s="45" t="str">
        <f t="shared" si="197"/>
        <v/>
      </c>
      <c r="S466" s="137"/>
      <c r="T466" s="79" t="str">
        <f t="shared" si="206"/>
        <v/>
      </c>
      <c r="U466" s="79" t="str">
        <f t="shared" si="198"/>
        <v/>
      </c>
      <c r="V466" s="73" t="str">
        <f t="shared" si="199"/>
        <v/>
      </c>
      <c r="W466" s="80" t="str">
        <f t="shared" si="200"/>
        <v/>
      </c>
      <c r="X466" s="73" t="str">
        <f t="shared" si="201"/>
        <v/>
      </c>
      <c r="Y466" s="80" t="str">
        <f t="shared" si="202"/>
        <v/>
      </c>
      <c r="Z466" s="74" t="str">
        <f t="shared" si="203"/>
        <v/>
      </c>
      <c r="AA466" s="75" t="str">
        <f t="shared" si="207"/>
        <v/>
      </c>
      <c r="AB466" s="103" t="str">
        <f t="shared" si="204"/>
        <v/>
      </c>
      <c r="AC466" s="104" t="str">
        <f t="shared" si="215"/>
        <v/>
      </c>
      <c r="AE466" s="139"/>
      <c r="AF466" s="110" t="str">
        <f t="shared" si="208"/>
        <v/>
      </c>
      <c r="AG466" s="111" t="str">
        <f t="shared" si="209"/>
        <v/>
      </c>
      <c r="AH466" s="111" t="str">
        <f t="shared" si="205"/>
        <v/>
      </c>
      <c r="AI466" s="111" t="str">
        <f t="shared" si="210"/>
        <v/>
      </c>
      <c r="AJ466" s="111" t="str">
        <f t="shared" si="211"/>
        <v/>
      </c>
      <c r="AK466" s="112" t="str">
        <f t="shared" si="212"/>
        <v/>
      </c>
      <c r="AL466" t="str">
        <f t="shared" si="213"/>
        <v/>
      </c>
      <c r="AM466" t="str">
        <f t="shared" si="214"/>
        <v/>
      </c>
    </row>
    <row r="467" spans="1:39" ht="15" customHeight="1" x14ac:dyDescent="0.25">
      <c r="A467" s="131"/>
      <c r="B467" s="133"/>
      <c r="C467" s="133"/>
      <c r="D467" s="42" t="str">
        <f t="shared" si="189"/>
        <v/>
      </c>
      <c r="E467" s="43"/>
      <c r="F467" s="135"/>
      <c r="G467" s="77" t="str">
        <f t="shared" si="190"/>
        <v/>
      </c>
      <c r="H467" s="32" t="str">
        <f t="shared" si="191"/>
        <v/>
      </c>
      <c r="I467" s="78" t="str">
        <f t="shared" si="192"/>
        <v/>
      </c>
      <c r="J467" s="70" t="str">
        <f t="shared" si="193"/>
        <v/>
      </c>
      <c r="K467" s="135"/>
      <c r="L467" s="72" t="str">
        <f t="shared" si="194"/>
        <v/>
      </c>
      <c r="M467" s="135"/>
      <c r="N467" s="72" t="str">
        <f t="shared" si="195"/>
        <v/>
      </c>
      <c r="O467" s="135"/>
      <c r="P467" s="136"/>
      <c r="Q467" s="123" t="str">
        <f t="shared" si="196"/>
        <v/>
      </c>
      <c r="R467" s="45" t="str">
        <f t="shared" si="197"/>
        <v/>
      </c>
      <c r="S467" s="137"/>
      <c r="T467" s="79" t="str">
        <f t="shared" si="206"/>
        <v/>
      </c>
      <c r="U467" s="79" t="str">
        <f t="shared" si="198"/>
        <v/>
      </c>
      <c r="V467" s="73" t="str">
        <f t="shared" si="199"/>
        <v/>
      </c>
      <c r="W467" s="80" t="str">
        <f t="shared" si="200"/>
        <v/>
      </c>
      <c r="X467" s="73" t="str">
        <f t="shared" si="201"/>
        <v/>
      </c>
      <c r="Y467" s="80" t="str">
        <f t="shared" si="202"/>
        <v/>
      </c>
      <c r="Z467" s="74" t="str">
        <f t="shared" si="203"/>
        <v/>
      </c>
      <c r="AA467" s="75" t="str">
        <f t="shared" si="207"/>
        <v/>
      </c>
      <c r="AB467" s="103" t="str">
        <f t="shared" si="204"/>
        <v/>
      </c>
      <c r="AC467" s="104" t="str">
        <f t="shared" si="215"/>
        <v/>
      </c>
      <c r="AE467" s="139"/>
      <c r="AF467" s="110" t="str">
        <f t="shared" si="208"/>
        <v/>
      </c>
      <c r="AG467" s="111" t="str">
        <f t="shared" si="209"/>
        <v/>
      </c>
      <c r="AH467" s="111" t="str">
        <f t="shared" si="205"/>
        <v/>
      </c>
      <c r="AI467" s="111" t="str">
        <f t="shared" si="210"/>
        <v/>
      </c>
      <c r="AJ467" s="111" t="str">
        <f t="shared" si="211"/>
        <v/>
      </c>
      <c r="AK467" s="112" t="str">
        <f t="shared" si="212"/>
        <v/>
      </c>
      <c r="AL467" t="str">
        <f t="shared" si="213"/>
        <v/>
      </c>
      <c r="AM467" t="str">
        <f t="shared" si="214"/>
        <v/>
      </c>
    </row>
    <row r="468" spans="1:39" ht="15" customHeight="1" x14ac:dyDescent="0.25">
      <c r="A468" s="131"/>
      <c r="B468" s="133"/>
      <c r="C468" s="133"/>
      <c r="D468" s="42" t="str">
        <f t="shared" si="189"/>
        <v/>
      </c>
      <c r="E468" s="43"/>
      <c r="F468" s="135"/>
      <c r="G468" s="77" t="str">
        <f t="shared" si="190"/>
        <v/>
      </c>
      <c r="H468" s="32" t="str">
        <f t="shared" si="191"/>
        <v/>
      </c>
      <c r="I468" s="78" t="str">
        <f t="shared" si="192"/>
        <v/>
      </c>
      <c r="J468" s="70" t="str">
        <f t="shared" si="193"/>
        <v/>
      </c>
      <c r="K468" s="135"/>
      <c r="L468" s="72" t="str">
        <f t="shared" si="194"/>
        <v/>
      </c>
      <c r="M468" s="135"/>
      <c r="N468" s="72" t="str">
        <f t="shared" si="195"/>
        <v/>
      </c>
      <c r="O468" s="135"/>
      <c r="P468" s="136"/>
      <c r="Q468" s="123" t="str">
        <f t="shared" si="196"/>
        <v/>
      </c>
      <c r="R468" s="45" t="str">
        <f t="shared" si="197"/>
        <v/>
      </c>
      <c r="S468" s="137"/>
      <c r="T468" s="79" t="str">
        <f t="shared" si="206"/>
        <v/>
      </c>
      <c r="U468" s="79" t="str">
        <f t="shared" si="198"/>
        <v/>
      </c>
      <c r="V468" s="73" t="str">
        <f t="shared" si="199"/>
        <v/>
      </c>
      <c r="W468" s="80" t="str">
        <f t="shared" si="200"/>
        <v/>
      </c>
      <c r="X468" s="73" t="str">
        <f t="shared" si="201"/>
        <v/>
      </c>
      <c r="Y468" s="80" t="str">
        <f t="shared" si="202"/>
        <v/>
      </c>
      <c r="Z468" s="74" t="str">
        <f t="shared" si="203"/>
        <v/>
      </c>
      <c r="AA468" s="75" t="str">
        <f t="shared" si="207"/>
        <v/>
      </c>
      <c r="AB468" s="103" t="str">
        <f t="shared" si="204"/>
        <v/>
      </c>
      <c r="AC468" s="104" t="str">
        <f t="shared" si="215"/>
        <v/>
      </c>
      <c r="AE468" s="139"/>
      <c r="AF468" s="110" t="str">
        <f t="shared" si="208"/>
        <v/>
      </c>
      <c r="AG468" s="111" t="str">
        <f t="shared" si="209"/>
        <v/>
      </c>
      <c r="AH468" s="111" t="str">
        <f t="shared" si="205"/>
        <v/>
      </c>
      <c r="AI468" s="111" t="str">
        <f t="shared" si="210"/>
        <v/>
      </c>
      <c r="AJ468" s="111" t="str">
        <f t="shared" si="211"/>
        <v/>
      </c>
      <c r="AK468" s="112" t="str">
        <f t="shared" si="212"/>
        <v/>
      </c>
      <c r="AL468" t="str">
        <f t="shared" si="213"/>
        <v/>
      </c>
      <c r="AM468" t="str">
        <f t="shared" si="214"/>
        <v/>
      </c>
    </row>
    <row r="469" spans="1:39" ht="15" customHeight="1" x14ac:dyDescent="0.25">
      <c r="A469" s="131"/>
      <c r="B469" s="133"/>
      <c r="C469" s="133"/>
      <c r="D469" s="42" t="str">
        <f t="shared" si="189"/>
        <v/>
      </c>
      <c r="E469" s="43"/>
      <c r="F469" s="135"/>
      <c r="G469" s="77" t="str">
        <f t="shared" si="190"/>
        <v/>
      </c>
      <c r="H469" s="32" t="str">
        <f t="shared" si="191"/>
        <v/>
      </c>
      <c r="I469" s="78" t="str">
        <f t="shared" si="192"/>
        <v/>
      </c>
      <c r="J469" s="70" t="str">
        <f t="shared" si="193"/>
        <v/>
      </c>
      <c r="K469" s="135"/>
      <c r="L469" s="72" t="str">
        <f t="shared" si="194"/>
        <v/>
      </c>
      <c r="M469" s="135"/>
      <c r="N469" s="72" t="str">
        <f t="shared" si="195"/>
        <v/>
      </c>
      <c r="O469" s="135"/>
      <c r="P469" s="136"/>
      <c r="Q469" s="123" t="str">
        <f t="shared" si="196"/>
        <v/>
      </c>
      <c r="R469" s="45" t="str">
        <f t="shared" si="197"/>
        <v/>
      </c>
      <c r="S469" s="137"/>
      <c r="T469" s="79" t="str">
        <f t="shared" si="206"/>
        <v/>
      </c>
      <c r="U469" s="79" t="str">
        <f t="shared" si="198"/>
        <v/>
      </c>
      <c r="V469" s="73" t="str">
        <f t="shared" si="199"/>
        <v/>
      </c>
      <c r="W469" s="80" t="str">
        <f t="shared" si="200"/>
        <v/>
      </c>
      <c r="X469" s="73" t="str">
        <f t="shared" si="201"/>
        <v/>
      </c>
      <c r="Y469" s="80" t="str">
        <f t="shared" si="202"/>
        <v/>
      </c>
      <c r="Z469" s="74" t="str">
        <f t="shared" si="203"/>
        <v/>
      </c>
      <c r="AA469" s="75" t="str">
        <f t="shared" si="207"/>
        <v/>
      </c>
      <c r="AB469" s="103" t="str">
        <f t="shared" si="204"/>
        <v/>
      </c>
      <c r="AC469" s="104" t="str">
        <f t="shared" si="215"/>
        <v/>
      </c>
      <c r="AE469" s="139"/>
      <c r="AF469" s="110" t="str">
        <f t="shared" si="208"/>
        <v/>
      </c>
      <c r="AG469" s="111" t="str">
        <f t="shared" si="209"/>
        <v/>
      </c>
      <c r="AH469" s="111" t="str">
        <f t="shared" si="205"/>
        <v/>
      </c>
      <c r="AI469" s="111" t="str">
        <f t="shared" si="210"/>
        <v/>
      </c>
      <c r="AJ469" s="111" t="str">
        <f t="shared" si="211"/>
        <v/>
      </c>
      <c r="AK469" s="112" t="str">
        <f t="shared" si="212"/>
        <v/>
      </c>
      <c r="AL469" t="str">
        <f t="shared" si="213"/>
        <v/>
      </c>
      <c r="AM469" t="str">
        <f t="shared" si="214"/>
        <v/>
      </c>
    </row>
    <row r="470" spans="1:39" ht="15" customHeight="1" x14ac:dyDescent="0.25">
      <c r="A470" s="131"/>
      <c r="B470" s="133"/>
      <c r="C470" s="133"/>
      <c r="D470" s="42" t="str">
        <f t="shared" si="189"/>
        <v/>
      </c>
      <c r="E470" s="43"/>
      <c r="F470" s="135"/>
      <c r="G470" s="77" t="str">
        <f t="shared" si="190"/>
        <v/>
      </c>
      <c r="H470" s="32" t="str">
        <f t="shared" si="191"/>
        <v/>
      </c>
      <c r="I470" s="78" t="str">
        <f t="shared" si="192"/>
        <v/>
      </c>
      <c r="J470" s="70" t="str">
        <f t="shared" si="193"/>
        <v/>
      </c>
      <c r="K470" s="135"/>
      <c r="L470" s="72" t="str">
        <f t="shared" si="194"/>
        <v/>
      </c>
      <c r="M470" s="135"/>
      <c r="N470" s="72" t="str">
        <f t="shared" si="195"/>
        <v/>
      </c>
      <c r="O470" s="135"/>
      <c r="P470" s="136"/>
      <c r="Q470" s="123" t="str">
        <f t="shared" si="196"/>
        <v/>
      </c>
      <c r="R470" s="45" t="str">
        <f t="shared" si="197"/>
        <v/>
      </c>
      <c r="S470" s="137"/>
      <c r="T470" s="79" t="str">
        <f t="shared" si="206"/>
        <v/>
      </c>
      <c r="U470" s="79" t="str">
        <f t="shared" si="198"/>
        <v/>
      </c>
      <c r="V470" s="73" t="str">
        <f t="shared" si="199"/>
        <v/>
      </c>
      <c r="W470" s="80" t="str">
        <f t="shared" si="200"/>
        <v/>
      </c>
      <c r="X470" s="73" t="str">
        <f t="shared" si="201"/>
        <v/>
      </c>
      <c r="Y470" s="80" t="str">
        <f t="shared" si="202"/>
        <v/>
      </c>
      <c r="Z470" s="74" t="str">
        <f t="shared" si="203"/>
        <v/>
      </c>
      <c r="AA470" s="75" t="str">
        <f t="shared" si="207"/>
        <v/>
      </c>
      <c r="AB470" s="103" t="str">
        <f t="shared" si="204"/>
        <v/>
      </c>
      <c r="AC470" s="104" t="str">
        <f t="shared" si="215"/>
        <v/>
      </c>
      <c r="AE470" s="139"/>
      <c r="AF470" s="110" t="str">
        <f t="shared" si="208"/>
        <v/>
      </c>
      <c r="AG470" s="111" t="str">
        <f t="shared" si="209"/>
        <v/>
      </c>
      <c r="AH470" s="111" t="str">
        <f t="shared" si="205"/>
        <v/>
      </c>
      <c r="AI470" s="111" t="str">
        <f t="shared" si="210"/>
        <v/>
      </c>
      <c r="AJ470" s="111" t="str">
        <f t="shared" si="211"/>
        <v/>
      </c>
      <c r="AK470" s="112" t="str">
        <f t="shared" si="212"/>
        <v/>
      </c>
      <c r="AL470" t="str">
        <f t="shared" si="213"/>
        <v/>
      </c>
      <c r="AM470" t="str">
        <f t="shared" si="214"/>
        <v/>
      </c>
    </row>
    <row r="471" spans="1:39" ht="15" customHeight="1" x14ac:dyDescent="0.25">
      <c r="A471" s="131"/>
      <c r="B471" s="133"/>
      <c r="C471" s="133"/>
      <c r="D471" s="42" t="str">
        <f t="shared" si="189"/>
        <v/>
      </c>
      <c r="E471" s="43"/>
      <c r="F471" s="135"/>
      <c r="G471" s="77" t="str">
        <f t="shared" si="190"/>
        <v/>
      </c>
      <c r="H471" s="32" t="str">
        <f t="shared" si="191"/>
        <v/>
      </c>
      <c r="I471" s="78" t="str">
        <f t="shared" si="192"/>
        <v/>
      </c>
      <c r="J471" s="70" t="str">
        <f t="shared" si="193"/>
        <v/>
      </c>
      <c r="K471" s="135"/>
      <c r="L471" s="72" t="str">
        <f t="shared" si="194"/>
        <v/>
      </c>
      <c r="M471" s="135"/>
      <c r="N471" s="72" t="str">
        <f t="shared" si="195"/>
        <v/>
      </c>
      <c r="O471" s="135"/>
      <c r="P471" s="136"/>
      <c r="Q471" s="123" t="str">
        <f t="shared" si="196"/>
        <v/>
      </c>
      <c r="R471" s="45" t="str">
        <f t="shared" si="197"/>
        <v/>
      </c>
      <c r="S471" s="137"/>
      <c r="T471" s="79" t="str">
        <f t="shared" si="206"/>
        <v/>
      </c>
      <c r="U471" s="79" t="str">
        <f t="shared" si="198"/>
        <v/>
      </c>
      <c r="V471" s="73" t="str">
        <f t="shared" si="199"/>
        <v/>
      </c>
      <c r="W471" s="80" t="str">
        <f t="shared" si="200"/>
        <v/>
      </c>
      <c r="X471" s="73" t="str">
        <f t="shared" si="201"/>
        <v/>
      </c>
      <c r="Y471" s="80" t="str">
        <f t="shared" si="202"/>
        <v/>
      </c>
      <c r="Z471" s="74" t="str">
        <f t="shared" si="203"/>
        <v/>
      </c>
      <c r="AA471" s="75" t="str">
        <f t="shared" si="207"/>
        <v/>
      </c>
      <c r="AB471" s="103" t="str">
        <f t="shared" si="204"/>
        <v/>
      </c>
      <c r="AC471" s="104" t="str">
        <f t="shared" si="215"/>
        <v/>
      </c>
      <c r="AE471" s="139"/>
      <c r="AF471" s="110" t="str">
        <f t="shared" si="208"/>
        <v/>
      </c>
      <c r="AG471" s="111" t="str">
        <f t="shared" si="209"/>
        <v/>
      </c>
      <c r="AH471" s="111" t="str">
        <f t="shared" si="205"/>
        <v/>
      </c>
      <c r="AI471" s="111" t="str">
        <f t="shared" si="210"/>
        <v/>
      </c>
      <c r="AJ471" s="111" t="str">
        <f t="shared" si="211"/>
        <v/>
      </c>
      <c r="AK471" s="112" t="str">
        <f t="shared" si="212"/>
        <v/>
      </c>
      <c r="AL471" t="str">
        <f t="shared" si="213"/>
        <v/>
      </c>
      <c r="AM471" t="str">
        <f t="shared" si="214"/>
        <v/>
      </c>
    </row>
    <row r="472" spans="1:39" ht="15" customHeight="1" x14ac:dyDescent="0.25">
      <c r="A472" s="131"/>
      <c r="B472" s="133"/>
      <c r="C472" s="133"/>
      <c r="D472" s="42" t="str">
        <f t="shared" si="189"/>
        <v/>
      </c>
      <c r="E472" s="43"/>
      <c r="F472" s="135"/>
      <c r="G472" s="77" t="str">
        <f t="shared" si="190"/>
        <v/>
      </c>
      <c r="H472" s="32" t="str">
        <f t="shared" si="191"/>
        <v/>
      </c>
      <c r="I472" s="78" t="str">
        <f t="shared" si="192"/>
        <v/>
      </c>
      <c r="J472" s="70" t="str">
        <f t="shared" si="193"/>
        <v/>
      </c>
      <c r="K472" s="135"/>
      <c r="L472" s="72" t="str">
        <f t="shared" si="194"/>
        <v/>
      </c>
      <c r="M472" s="135"/>
      <c r="N472" s="72" t="str">
        <f t="shared" si="195"/>
        <v/>
      </c>
      <c r="O472" s="135"/>
      <c r="P472" s="136"/>
      <c r="Q472" s="123" t="str">
        <f t="shared" si="196"/>
        <v/>
      </c>
      <c r="R472" s="45" t="str">
        <f t="shared" si="197"/>
        <v/>
      </c>
      <c r="S472" s="137"/>
      <c r="T472" s="79" t="str">
        <f t="shared" si="206"/>
        <v/>
      </c>
      <c r="U472" s="79" t="str">
        <f t="shared" si="198"/>
        <v/>
      </c>
      <c r="V472" s="73" t="str">
        <f t="shared" si="199"/>
        <v/>
      </c>
      <c r="W472" s="80" t="str">
        <f t="shared" si="200"/>
        <v/>
      </c>
      <c r="X472" s="73" t="str">
        <f t="shared" si="201"/>
        <v/>
      </c>
      <c r="Y472" s="80" t="str">
        <f t="shared" si="202"/>
        <v/>
      </c>
      <c r="Z472" s="74" t="str">
        <f t="shared" si="203"/>
        <v/>
      </c>
      <c r="AA472" s="75" t="str">
        <f t="shared" si="207"/>
        <v/>
      </c>
      <c r="AB472" s="103" t="str">
        <f t="shared" si="204"/>
        <v/>
      </c>
      <c r="AC472" s="104" t="str">
        <f t="shared" si="215"/>
        <v/>
      </c>
      <c r="AE472" s="139"/>
      <c r="AF472" s="110" t="str">
        <f t="shared" si="208"/>
        <v/>
      </c>
      <c r="AG472" s="111" t="str">
        <f t="shared" si="209"/>
        <v/>
      </c>
      <c r="AH472" s="111" t="str">
        <f t="shared" si="205"/>
        <v/>
      </c>
      <c r="AI472" s="111" t="str">
        <f t="shared" si="210"/>
        <v/>
      </c>
      <c r="AJ472" s="111" t="str">
        <f t="shared" si="211"/>
        <v/>
      </c>
      <c r="AK472" s="112" t="str">
        <f t="shared" si="212"/>
        <v/>
      </c>
      <c r="AL472" t="str">
        <f t="shared" si="213"/>
        <v/>
      </c>
      <c r="AM472" t="str">
        <f t="shared" si="214"/>
        <v/>
      </c>
    </row>
    <row r="473" spans="1:39" ht="15" customHeight="1" x14ac:dyDescent="0.25">
      <c r="A473" s="131"/>
      <c r="B473" s="133"/>
      <c r="C473" s="133"/>
      <c r="D473" s="42" t="str">
        <f t="shared" si="189"/>
        <v/>
      </c>
      <c r="E473" s="43"/>
      <c r="F473" s="135"/>
      <c r="G473" s="77" t="str">
        <f t="shared" si="190"/>
        <v/>
      </c>
      <c r="H473" s="32" t="str">
        <f t="shared" si="191"/>
        <v/>
      </c>
      <c r="I473" s="78" t="str">
        <f t="shared" si="192"/>
        <v/>
      </c>
      <c r="J473" s="70" t="str">
        <f t="shared" si="193"/>
        <v/>
      </c>
      <c r="K473" s="135"/>
      <c r="L473" s="72" t="str">
        <f t="shared" si="194"/>
        <v/>
      </c>
      <c r="M473" s="135"/>
      <c r="N473" s="72" t="str">
        <f t="shared" si="195"/>
        <v/>
      </c>
      <c r="O473" s="135"/>
      <c r="P473" s="136"/>
      <c r="Q473" s="123" t="str">
        <f t="shared" si="196"/>
        <v/>
      </c>
      <c r="R473" s="45" t="str">
        <f t="shared" si="197"/>
        <v/>
      </c>
      <c r="S473" s="137"/>
      <c r="T473" s="79" t="str">
        <f t="shared" si="206"/>
        <v/>
      </c>
      <c r="U473" s="79" t="str">
        <f t="shared" si="198"/>
        <v/>
      </c>
      <c r="V473" s="73" t="str">
        <f t="shared" si="199"/>
        <v/>
      </c>
      <c r="W473" s="80" t="str">
        <f t="shared" si="200"/>
        <v/>
      </c>
      <c r="X473" s="73" t="str">
        <f t="shared" si="201"/>
        <v/>
      </c>
      <c r="Y473" s="80" t="str">
        <f t="shared" si="202"/>
        <v/>
      </c>
      <c r="Z473" s="74" t="str">
        <f t="shared" si="203"/>
        <v/>
      </c>
      <c r="AA473" s="75" t="str">
        <f t="shared" si="207"/>
        <v/>
      </c>
      <c r="AB473" s="103" t="str">
        <f t="shared" si="204"/>
        <v/>
      </c>
      <c r="AC473" s="104" t="str">
        <f t="shared" si="215"/>
        <v/>
      </c>
      <c r="AE473" s="139"/>
      <c r="AF473" s="110" t="str">
        <f t="shared" si="208"/>
        <v/>
      </c>
      <c r="AG473" s="111" t="str">
        <f t="shared" si="209"/>
        <v/>
      </c>
      <c r="AH473" s="111" t="str">
        <f t="shared" si="205"/>
        <v/>
      </c>
      <c r="AI473" s="111" t="str">
        <f t="shared" si="210"/>
        <v/>
      </c>
      <c r="AJ473" s="111" t="str">
        <f t="shared" si="211"/>
        <v/>
      </c>
      <c r="AK473" s="112" t="str">
        <f t="shared" si="212"/>
        <v/>
      </c>
      <c r="AL473" t="str">
        <f t="shared" si="213"/>
        <v/>
      </c>
      <c r="AM473" t="str">
        <f t="shared" si="214"/>
        <v/>
      </c>
    </row>
    <row r="474" spans="1:39" ht="15" customHeight="1" x14ac:dyDescent="0.25">
      <c r="A474" s="131"/>
      <c r="B474" s="133"/>
      <c r="C474" s="133"/>
      <c r="D474" s="42" t="str">
        <f t="shared" si="189"/>
        <v/>
      </c>
      <c r="E474" s="43"/>
      <c r="F474" s="135"/>
      <c r="G474" s="77" t="str">
        <f t="shared" si="190"/>
        <v/>
      </c>
      <c r="H474" s="32" t="str">
        <f t="shared" si="191"/>
        <v/>
      </c>
      <c r="I474" s="78" t="str">
        <f t="shared" si="192"/>
        <v/>
      </c>
      <c r="J474" s="70" t="str">
        <f t="shared" si="193"/>
        <v/>
      </c>
      <c r="K474" s="135"/>
      <c r="L474" s="72" t="str">
        <f t="shared" si="194"/>
        <v/>
      </c>
      <c r="M474" s="135"/>
      <c r="N474" s="72" t="str">
        <f t="shared" si="195"/>
        <v/>
      </c>
      <c r="O474" s="135"/>
      <c r="P474" s="136"/>
      <c r="Q474" s="123" t="str">
        <f t="shared" si="196"/>
        <v/>
      </c>
      <c r="R474" s="45" t="str">
        <f t="shared" si="197"/>
        <v/>
      </c>
      <c r="S474" s="137"/>
      <c r="T474" s="79" t="str">
        <f t="shared" si="206"/>
        <v/>
      </c>
      <c r="U474" s="79" t="str">
        <f t="shared" si="198"/>
        <v/>
      </c>
      <c r="V474" s="73" t="str">
        <f t="shared" si="199"/>
        <v/>
      </c>
      <c r="W474" s="80" t="str">
        <f t="shared" si="200"/>
        <v/>
      </c>
      <c r="X474" s="73" t="str">
        <f t="shared" si="201"/>
        <v/>
      </c>
      <c r="Y474" s="80" t="str">
        <f t="shared" si="202"/>
        <v/>
      </c>
      <c r="Z474" s="74" t="str">
        <f t="shared" si="203"/>
        <v/>
      </c>
      <c r="AA474" s="75" t="str">
        <f t="shared" si="207"/>
        <v/>
      </c>
      <c r="AB474" s="103" t="str">
        <f t="shared" si="204"/>
        <v/>
      </c>
      <c r="AC474" s="104" t="str">
        <f t="shared" si="215"/>
        <v/>
      </c>
      <c r="AE474" s="139"/>
      <c r="AF474" s="110" t="str">
        <f t="shared" si="208"/>
        <v/>
      </c>
      <c r="AG474" s="111" t="str">
        <f t="shared" si="209"/>
        <v/>
      </c>
      <c r="AH474" s="111" t="str">
        <f t="shared" si="205"/>
        <v/>
      </c>
      <c r="AI474" s="111" t="str">
        <f t="shared" si="210"/>
        <v/>
      </c>
      <c r="AJ474" s="111" t="str">
        <f t="shared" si="211"/>
        <v/>
      </c>
      <c r="AK474" s="112" t="str">
        <f t="shared" si="212"/>
        <v/>
      </c>
      <c r="AL474" t="str">
        <f t="shared" si="213"/>
        <v/>
      </c>
      <c r="AM474" t="str">
        <f t="shared" si="214"/>
        <v/>
      </c>
    </row>
    <row r="475" spans="1:39" ht="15" customHeight="1" x14ac:dyDescent="0.25">
      <c r="A475" s="131"/>
      <c r="B475" s="133"/>
      <c r="C475" s="133"/>
      <c r="D475" s="42" t="str">
        <f t="shared" si="189"/>
        <v/>
      </c>
      <c r="E475" s="43"/>
      <c r="F475" s="135"/>
      <c r="G475" s="77" t="str">
        <f t="shared" si="190"/>
        <v/>
      </c>
      <c r="H475" s="32" t="str">
        <f t="shared" si="191"/>
        <v/>
      </c>
      <c r="I475" s="78" t="str">
        <f t="shared" si="192"/>
        <v/>
      </c>
      <c r="J475" s="70" t="str">
        <f t="shared" si="193"/>
        <v/>
      </c>
      <c r="K475" s="135"/>
      <c r="L475" s="72" t="str">
        <f t="shared" si="194"/>
        <v/>
      </c>
      <c r="M475" s="135"/>
      <c r="N475" s="72" t="str">
        <f t="shared" si="195"/>
        <v/>
      </c>
      <c r="O475" s="135"/>
      <c r="P475" s="136"/>
      <c r="Q475" s="123" t="str">
        <f t="shared" si="196"/>
        <v/>
      </c>
      <c r="R475" s="45" t="str">
        <f t="shared" si="197"/>
        <v/>
      </c>
      <c r="S475" s="137"/>
      <c r="T475" s="79" t="str">
        <f t="shared" si="206"/>
        <v/>
      </c>
      <c r="U475" s="79" t="str">
        <f t="shared" si="198"/>
        <v/>
      </c>
      <c r="V475" s="73" t="str">
        <f t="shared" si="199"/>
        <v/>
      </c>
      <c r="W475" s="80" t="str">
        <f t="shared" si="200"/>
        <v/>
      </c>
      <c r="X475" s="73" t="str">
        <f t="shared" si="201"/>
        <v/>
      </c>
      <c r="Y475" s="80" t="str">
        <f t="shared" si="202"/>
        <v/>
      </c>
      <c r="Z475" s="74" t="str">
        <f t="shared" si="203"/>
        <v/>
      </c>
      <c r="AA475" s="75" t="str">
        <f t="shared" si="207"/>
        <v/>
      </c>
      <c r="AB475" s="103" t="str">
        <f t="shared" si="204"/>
        <v/>
      </c>
      <c r="AC475" s="104" t="str">
        <f t="shared" si="215"/>
        <v/>
      </c>
      <c r="AE475" s="139"/>
      <c r="AF475" s="110" t="str">
        <f t="shared" si="208"/>
        <v/>
      </c>
      <c r="AG475" s="111" t="str">
        <f t="shared" si="209"/>
        <v/>
      </c>
      <c r="AH475" s="111" t="str">
        <f t="shared" si="205"/>
        <v/>
      </c>
      <c r="AI475" s="111" t="str">
        <f t="shared" si="210"/>
        <v/>
      </c>
      <c r="AJ475" s="111" t="str">
        <f t="shared" si="211"/>
        <v/>
      </c>
      <c r="AK475" s="112" t="str">
        <f t="shared" si="212"/>
        <v/>
      </c>
      <c r="AL475" t="str">
        <f t="shared" si="213"/>
        <v/>
      </c>
      <c r="AM475" t="str">
        <f t="shared" si="214"/>
        <v/>
      </c>
    </row>
    <row r="476" spans="1:39" ht="15" customHeight="1" x14ac:dyDescent="0.25">
      <c r="A476" s="131"/>
      <c r="B476" s="133"/>
      <c r="C476" s="133"/>
      <c r="D476" s="42" t="str">
        <f t="shared" si="189"/>
        <v/>
      </c>
      <c r="E476" s="43"/>
      <c r="F476" s="135"/>
      <c r="G476" s="77" t="str">
        <f t="shared" si="190"/>
        <v/>
      </c>
      <c r="H476" s="32" t="str">
        <f t="shared" si="191"/>
        <v/>
      </c>
      <c r="I476" s="78" t="str">
        <f t="shared" si="192"/>
        <v/>
      </c>
      <c r="J476" s="70" t="str">
        <f t="shared" si="193"/>
        <v/>
      </c>
      <c r="K476" s="135"/>
      <c r="L476" s="72" t="str">
        <f t="shared" si="194"/>
        <v/>
      </c>
      <c r="M476" s="135"/>
      <c r="N476" s="72" t="str">
        <f t="shared" si="195"/>
        <v/>
      </c>
      <c r="O476" s="135"/>
      <c r="P476" s="136"/>
      <c r="Q476" s="123" t="str">
        <f t="shared" si="196"/>
        <v/>
      </c>
      <c r="R476" s="45" t="str">
        <f t="shared" si="197"/>
        <v/>
      </c>
      <c r="S476" s="137"/>
      <c r="T476" s="79" t="str">
        <f t="shared" si="206"/>
        <v/>
      </c>
      <c r="U476" s="79" t="str">
        <f t="shared" si="198"/>
        <v/>
      </c>
      <c r="V476" s="73" t="str">
        <f t="shared" si="199"/>
        <v/>
      </c>
      <c r="W476" s="80" t="str">
        <f t="shared" si="200"/>
        <v/>
      </c>
      <c r="X476" s="73" t="str">
        <f t="shared" si="201"/>
        <v/>
      </c>
      <c r="Y476" s="80" t="str">
        <f t="shared" si="202"/>
        <v/>
      </c>
      <c r="Z476" s="74" t="str">
        <f t="shared" si="203"/>
        <v/>
      </c>
      <c r="AA476" s="75" t="str">
        <f t="shared" si="207"/>
        <v/>
      </c>
      <c r="AB476" s="103" t="str">
        <f t="shared" si="204"/>
        <v/>
      </c>
      <c r="AC476" s="104" t="str">
        <f t="shared" si="215"/>
        <v/>
      </c>
      <c r="AE476" s="139"/>
      <c r="AF476" s="110" t="str">
        <f t="shared" si="208"/>
        <v/>
      </c>
      <c r="AG476" s="111" t="str">
        <f t="shared" si="209"/>
        <v/>
      </c>
      <c r="AH476" s="111" t="str">
        <f t="shared" si="205"/>
        <v/>
      </c>
      <c r="AI476" s="111" t="str">
        <f t="shared" si="210"/>
        <v/>
      </c>
      <c r="AJ476" s="111" t="str">
        <f t="shared" si="211"/>
        <v/>
      </c>
      <c r="AK476" s="112" t="str">
        <f t="shared" si="212"/>
        <v/>
      </c>
      <c r="AL476" t="str">
        <f t="shared" si="213"/>
        <v/>
      </c>
      <c r="AM476" t="str">
        <f t="shared" si="214"/>
        <v/>
      </c>
    </row>
    <row r="477" spans="1:39" ht="15" customHeight="1" x14ac:dyDescent="0.25">
      <c r="A477" s="131"/>
      <c r="B477" s="133"/>
      <c r="C477" s="133"/>
      <c r="D477" s="42" t="str">
        <f t="shared" si="189"/>
        <v/>
      </c>
      <c r="E477" s="43"/>
      <c r="F477" s="135"/>
      <c r="G477" s="77" t="str">
        <f t="shared" si="190"/>
        <v/>
      </c>
      <c r="H477" s="32" t="str">
        <f t="shared" si="191"/>
        <v/>
      </c>
      <c r="I477" s="78" t="str">
        <f t="shared" si="192"/>
        <v/>
      </c>
      <c r="J477" s="70" t="str">
        <f t="shared" si="193"/>
        <v/>
      </c>
      <c r="K477" s="135"/>
      <c r="L477" s="72" t="str">
        <f t="shared" si="194"/>
        <v/>
      </c>
      <c r="M477" s="135"/>
      <c r="N477" s="72" t="str">
        <f t="shared" si="195"/>
        <v/>
      </c>
      <c r="O477" s="135"/>
      <c r="P477" s="136"/>
      <c r="Q477" s="123" t="str">
        <f t="shared" si="196"/>
        <v/>
      </c>
      <c r="R477" s="45" t="str">
        <f t="shared" si="197"/>
        <v/>
      </c>
      <c r="S477" s="137"/>
      <c r="T477" s="79" t="str">
        <f t="shared" si="206"/>
        <v/>
      </c>
      <c r="U477" s="79" t="str">
        <f t="shared" si="198"/>
        <v/>
      </c>
      <c r="V477" s="73" t="str">
        <f t="shared" si="199"/>
        <v/>
      </c>
      <c r="W477" s="80" t="str">
        <f t="shared" si="200"/>
        <v/>
      </c>
      <c r="X477" s="73" t="str">
        <f t="shared" si="201"/>
        <v/>
      </c>
      <c r="Y477" s="80" t="str">
        <f t="shared" si="202"/>
        <v/>
      </c>
      <c r="Z477" s="74" t="str">
        <f t="shared" si="203"/>
        <v/>
      </c>
      <c r="AA477" s="75" t="str">
        <f t="shared" si="207"/>
        <v/>
      </c>
      <c r="AB477" s="103" t="str">
        <f t="shared" si="204"/>
        <v/>
      </c>
      <c r="AC477" s="104" t="str">
        <f t="shared" si="215"/>
        <v/>
      </c>
      <c r="AE477" s="139"/>
      <c r="AF477" s="110" t="str">
        <f t="shared" si="208"/>
        <v/>
      </c>
      <c r="AG477" s="111" t="str">
        <f t="shared" si="209"/>
        <v/>
      </c>
      <c r="AH477" s="111" t="str">
        <f t="shared" si="205"/>
        <v/>
      </c>
      <c r="AI477" s="111" t="str">
        <f t="shared" si="210"/>
        <v/>
      </c>
      <c r="AJ477" s="111" t="str">
        <f t="shared" si="211"/>
        <v/>
      </c>
      <c r="AK477" s="112" t="str">
        <f t="shared" si="212"/>
        <v/>
      </c>
      <c r="AL477" t="str">
        <f t="shared" si="213"/>
        <v/>
      </c>
      <c r="AM477" t="str">
        <f t="shared" si="214"/>
        <v/>
      </c>
    </row>
    <row r="478" spans="1:39" ht="15" customHeight="1" x14ac:dyDescent="0.25">
      <c r="A478" s="131"/>
      <c r="B478" s="133"/>
      <c r="C478" s="133"/>
      <c r="D478" s="42" t="str">
        <f t="shared" si="189"/>
        <v/>
      </c>
      <c r="E478" s="43"/>
      <c r="F478" s="135"/>
      <c r="G478" s="77" t="str">
        <f t="shared" si="190"/>
        <v/>
      </c>
      <c r="H478" s="32" t="str">
        <f t="shared" si="191"/>
        <v/>
      </c>
      <c r="I478" s="78" t="str">
        <f t="shared" si="192"/>
        <v/>
      </c>
      <c r="J478" s="70" t="str">
        <f t="shared" si="193"/>
        <v/>
      </c>
      <c r="K478" s="135"/>
      <c r="L478" s="72" t="str">
        <f t="shared" si="194"/>
        <v/>
      </c>
      <c r="M478" s="135"/>
      <c r="N478" s="72" t="str">
        <f t="shared" si="195"/>
        <v/>
      </c>
      <c r="O478" s="135"/>
      <c r="P478" s="136"/>
      <c r="Q478" s="123" t="str">
        <f t="shared" si="196"/>
        <v/>
      </c>
      <c r="R478" s="45" t="str">
        <f t="shared" si="197"/>
        <v/>
      </c>
      <c r="S478" s="137"/>
      <c r="T478" s="79" t="str">
        <f t="shared" si="206"/>
        <v/>
      </c>
      <c r="U478" s="79" t="str">
        <f t="shared" si="198"/>
        <v/>
      </c>
      <c r="V478" s="73" t="str">
        <f t="shared" si="199"/>
        <v/>
      </c>
      <c r="W478" s="80" t="str">
        <f t="shared" si="200"/>
        <v/>
      </c>
      <c r="X478" s="73" t="str">
        <f t="shared" si="201"/>
        <v/>
      </c>
      <c r="Y478" s="80" t="str">
        <f t="shared" si="202"/>
        <v/>
      </c>
      <c r="Z478" s="74" t="str">
        <f t="shared" si="203"/>
        <v/>
      </c>
      <c r="AA478" s="75" t="str">
        <f t="shared" si="207"/>
        <v/>
      </c>
      <c r="AB478" s="103" t="str">
        <f t="shared" si="204"/>
        <v/>
      </c>
      <c r="AC478" s="104" t="str">
        <f t="shared" si="215"/>
        <v/>
      </c>
      <c r="AE478" s="139"/>
      <c r="AF478" s="110" t="str">
        <f t="shared" si="208"/>
        <v/>
      </c>
      <c r="AG478" s="111" t="str">
        <f t="shared" si="209"/>
        <v/>
      </c>
      <c r="AH478" s="111" t="str">
        <f t="shared" si="205"/>
        <v/>
      </c>
      <c r="AI478" s="111" t="str">
        <f t="shared" si="210"/>
        <v/>
      </c>
      <c r="AJ478" s="111" t="str">
        <f t="shared" si="211"/>
        <v/>
      </c>
      <c r="AK478" s="112" t="str">
        <f t="shared" si="212"/>
        <v/>
      </c>
      <c r="AL478" t="str">
        <f t="shared" si="213"/>
        <v/>
      </c>
      <c r="AM478" t="str">
        <f t="shared" si="214"/>
        <v/>
      </c>
    </row>
    <row r="479" spans="1:39" ht="15" customHeight="1" x14ac:dyDescent="0.25">
      <c r="A479" s="131"/>
      <c r="B479" s="133"/>
      <c r="C479" s="133"/>
      <c r="D479" s="42" t="str">
        <f t="shared" si="189"/>
        <v/>
      </c>
      <c r="E479" s="43"/>
      <c r="F479" s="135"/>
      <c r="G479" s="77" t="str">
        <f t="shared" si="190"/>
        <v/>
      </c>
      <c r="H479" s="32" t="str">
        <f t="shared" si="191"/>
        <v/>
      </c>
      <c r="I479" s="78" t="str">
        <f t="shared" si="192"/>
        <v/>
      </c>
      <c r="J479" s="70" t="str">
        <f t="shared" si="193"/>
        <v/>
      </c>
      <c r="K479" s="135"/>
      <c r="L479" s="72" t="str">
        <f t="shared" si="194"/>
        <v/>
      </c>
      <c r="M479" s="135"/>
      <c r="N479" s="72" t="str">
        <f t="shared" si="195"/>
        <v/>
      </c>
      <c r="O479" s="135"/>
      <c r="P479" s="136"/>
      <c r="Q479" s="123" t="str">
        <f t="shared" si="196"/>
        <v/>
      </c>
      <c r="R479" s="45" t="str">
        <f t="shared" si="197"/>
        <v/>
      </c>
      <c r="S479" s="137"/>
      <c r="T479" s="79" t="str">
        <f t="shared" si="206"/>
        <v/>
      </c>
      <c r="U479" s="79" t="str">
        <f t="shared" si="198"/>
        <v/>
      </c>
      <c r="V479" s="73" t="str">
        <f t="shared" si="199"/>
        <v/>
      </c>
      <c r="W479" s="80" t="str">
        <f t="shared" si="200"/>
        <v/>
      </c>
      <c r="X479" s="73" t="str">
        <f t="shared" si="201"/>
        <v/>
      </c>
      <c r="Y479" s="80" t="str">
        <f t="shared" si="202"/>
        <v/>
      </c>
      <c r="Z479" s="74" t="str">
        <f t="shared" si="203"/>
        <v/>
      </c>
      <c r="AA479" s="75" t="str">
        <f t="shared" si="207"/>
        <v/>
      </c>
      <c r="AB479" s="103" t="str">
        <f t="shared" si="204"/>
        <v/>
      </c>
      <c r="AC479" s="104" t="str">
        <f t="shared" si="215"/>
        <v/>
      </c>
      <c r="AE479" s="139"/>
      <c r="AF479" s="110" t="str">
        <f t="shared" si="208"/>
        <v/>
      </c>
      <c r="AG479" s="111" t="str">
        <f t="shared" si="209"/>
        <v/>
      </c>
      <c r="AH479" s="111" t="str">
        <f t="shared" si="205"/>
        <v/>
      </c>
      <c r="AI479" s="111" t="str">
        <f t="shared" si="210"/>
        <v/>
      </c>
      <c r="AJ479" s="111" t="str">
        <f t="shared" si="211"/>
        <v/>
      </c>
      <c r="AK479" s="112" t="str">
        <f t="shared" si="212"/>
        <v/>
      </c>
      <c r="AL479" t="str">
        <f t="shared" si="213"/>
        <v/>
      </c>
      <c r="AM479" t="str">
        <f t="shared" si="214"/>
        <v/>
      </c>
    </row>
    <row r="480" spans="1:39" ht="15" customHeight="1" x14ac:dyDescent="0.25">
      <c r="A480" s="131"/>
      <c r="B480" s="133"/>
      <c r="C480" s="133"/>
      <c r="D480" s="42" t="str">
        <f t="shared" si="189"/>
        <v/>
      </c>
      <c r="E480" s="43"/>
      <c r="F480" s="135"/>
      <c r="G480" s="77" t="str">
        <f t="shared" si="190"/>
        <v/>
      </c>
      <c r="H480" s="32" t="str">
        <f t="shared" si="191"/>
        <v/>
      </c>
      <c r="I480" s="78" t="str">
        <f t="shared" si="192"/>
        <v/>
      </c>
      <c r="J480" s="70" t="str">
        <f t="shared" si="193"/>
        <v/>
      </c>
      <c r="K480" s="135"/>
      <c r="L480" s="72" t="str">
        <f t="shared" si="194"/>
        <v/>
      </c>
      <c r="M480" s="135"/>
      <c r="N480" s="72" t="str">
        <f t="shared" si="195"/>
        <v/>
      </c>
      <c r="O480" s="135"/>
      <c r="P480" s="136"/>
      <c r="Q480" s="123" t="str">
        <f t="shared" si="196"/>
        <v/>
      </c>
      <c r="R480" s="45" t="str">
        <f t="shared" si="197"/>
        <v/>
      </c>
      <c r="S480" s="137"/>
      <c r="T480" s="79" t="str">
        <f t="shared" si="206"/>
        <v/>
      </c>
      <c r="U480" s="79" t="str">
        <f t="shared" si="198"/>
        <v/>
      </c>
      <c r="V480" s="73" t="str">
        <f t="shared" si="199"/>
        <v/>
      </c>
      <c r="W480" s="80" t="str">
        <f t="shared" si="200"/>
        <v/>
      </c>
      <c r="X480" s="73" t="str">
        <f t="shared" si="201"/>
        <v/>
      </c>
      <c r="Y480" s="80" t="str">
        <f t="shared" si="202"/>
        <v/>
      </c>
      <c r="Z480" s="74" t="str">
        <f t="shared" si="203"/>
        <v/>
      </c>
      <c r="AA480" s="75" t="str">
        <f t="shared" si="207"/>
        <v/>
      </c>
      <c r="AB480" s="103" t="str">
        <f t="shared" si="204"/>
        <v/>
      </c>
      <c r="AC480" s="104" t="str">
        <f t="shared" si="215"/>
        <v/>
      </c>
      <c r="AE480" s="139"/>
      <c r="AF480" s="110" t="str">
        <f t="shared" si="208"/>
        <v/>
      </c>
      <c r="AG480" s="111" t="str">
        <f t="shared" si="209"/>
        <v/>
      </c>
      <c r="AH480" s="111" t="str">
        <f t="shared" si="205"/>
        <v/>
      </c>
      <c r="AI480" s="111" t="str">
        <f t="shared" si="210"/>
        <v/>
      </c>
      <c r="AJ480" s="111" t="str">
        <f t="shared" si="211"/>
        <v/>
      </c>
      <c r="AK480" s="112" t="str">
        <f t="shared" si="212"/>
        <v/>
      </c>
      <c r="AL480" t="str">
        <f t="shared" si="213"/>
        <v/>
      </c>
      <c r="AM480" t="str">
        <f t="shared" si="214"/>
        <v/>
      </c>
    </row>
    <row r="481" spans="1:39" ht="15" customHeight="1" x14ac:dyDescent="0.25">
      <c r="A481" s="131"/>
      <c r="B481" s="133"/>
      <c r="C481" s="133"/>
      <c r="D481" s="42" t="str">
        <f t="shared" si="189"/>
        <v/>
      </c>
      <c r="E481" s="43"/>
      <c r="F481" s="135"/>
      <c r="G481" s="77" t="str">
        <f t="shared" si="190"/>
        <v/>
      </c>
      <c r="H481" s="32" t="str">
        <f t="shared" si="191"/>
        <v/>
      </c>
      <c r="I481" s="78" t="str">
        <f t="shared" si="192"/>
        <v/>
      </c>
      <c r="J481" s="70" t="str">
        <f t="shared" si="193"/>
        <v/>
      </c>
      <c r="K481" s="135"/>
      <c r="L481" s="72" t="str">
        <f t="shared" si="194"/>
        <v/>
      </c>
      <c r="M481" s="135"/>
      <c r="N481" s="72" t="str">
        <f t="shared" si="195"/>
        <v/>
      </c>
      <c r="O481" s="135"/>
      <c r="P481" s="136"/>
      <c r="Q481" s="123" t="str">
        <f t="shared" si="196"/>
        <v/>
      </c>
      <c r="R481" s="45" t="str">
        <f t="shared" si="197"/>
        <v/>
      </c>
      <c r="S481" s="137"/>
      <c r="T481" s="79" t="str">
        <f t="shared" si="206"/>
        <v/>
      </c>
      <c r="U481" s="79" t="str">
        <f t="shared" si="198"/>
        <v/>
      </c>
      <c r="V481" s="73" t="str">
        <f t="shared" si="199"/>
        <v/>
      </c>
      <c r="W481" s="80" t="str">
        <f t="shared" si="200"/>
        <v/>
      </c>
      <c r="X481" s="73" t="str">
        <f t="shared" si="201"/>
        <v/>
      </c>
      <c r="Y481" s="80" t="str">
        <f t="shared" si="202"/>
        <v/>
      </c>
      <c r="Z481" s="74" t="str">
        <f t="shared" si="203"/>
        <v/>
      </c>
      <c r="AA481" s="75" t="str">
        <f t="shared" si="207"/>
        <v/>
      </c>
      <c r="AB481" s="103" t="str">
        <f t="shared" si="204"/>
        <v/>
      </c>
      <c r="AC481" s="104" t="str">
        <f t="shared" si="215"/>
        <v/>
      </c>
      <c r="AE481" s="139"/>
      <c r="AF481" s="110" t="str">
        <f t="shared" si="208"/>
        <v/>
      </c>
      <c r="AG481" s="111" t="str">
        <f t="shared" si="209"/>
        <v/>
      </c>
      <c r="AH481" s="111" t="str">
        <f t="shared" si="205"/>
        <v/>
      </c>
      <c r="AI481" s="111" t="str">
        <f t="shared" si="210"/>
        <v/>
      </c>
      <c r="AJ481" s="111" t="str">
        <f t="shared" si="211"/>
        <v/>
      </c>
      <c r="AK481" s="112" t="str">
        <f t="shared" si="212"/>
        <v/>
      </c>
      <c r="AL481" t="str">
        <f t="shared" si="213"/>
        <v/>
      </c>
      <c r="AM481" t="str">
        <f t="shared" si="214"/>
        <v/>
      </c>
    </row>
    <row r="482" spans="1:39" ht="15" customHeight="1" x14ac:dyDescent="0.25">
      <c r="A482" s="131"/>
      <c r="B482" s="133"/>
      <c r="C482" s="133"/>
      <c r="D482" s="42" t="str">
        <f t="shared" si="189"/>
        <v/>
      </c>
      <c r="E482" s="43"/>
      <c r="F482" s="135"/>
      <c r="G482" s="77" t="str">
        <f t="shared" si="190"/>
        <v/>
      </c>
      <c r="H482" s="32" t="str">
        <f t="shared" si="191"/>
        <v/>
      </c>
      <c r="I482" s="78" t="str">
        <f t="shared" si="192"/>
        <v/>
      </c>
      <c r="J482" s="70" t="str">
        <f t="shared" si="193"/>
        <v/>
      </c>
      <c r="K482" s="135"/>
      <c r="L482" s="72" t="str">
        <f t="shared" si="194"/>
        <v/>
      </c>
      <c r="M482" s="135"/>
      <c r="N482" s="72" t="str">
        <f t="shared" si="195"/>
        <v/>
      </c>
      <c r="O482" s="135"/>
      <c r="P482" s="136"/>
      <c r="Q482" s="123" t="str">
        <f t="shared" si="196"/>
        <v/>
      </c>
      <c r="R482" s="45" t="str">
        <f t="shared" si="197"/>
        <v/>
      </c>
      <c r="S482" s="137"/>
      <c r="T482" s="79" t="str">
        <f t="shared" si="206"/>
        <v/>
      </c>
      <c r="U482" s="79" t="str">
        <f t="shared" si="198"/>
        <v/>
      </c>
      <c r="V482" s="73" t="str">
        <f t="shared" si="199"/>
        <v/>
      </c>
      <c r="W482" s="80" t="str">
        <f t="shared" si="200"/>
        <v/>
      </c>
      <c r="X482" s="73" t="str">
        <f t="shared" si="201"/>
        <v/>
      </c>
      <c r="Y482" s="80" t="str">
        <f t="shared" si="202"/>
        <v/>
      </c>
      <c r="Z482" s="74" t="str">
        <f t="shared" si="203"/>
        <v/>
      </c>
      <c r="AA482" s="75" t="str">
        <f t="shared" si="207"/>
        <v/>
      </c>
      <c r="AB482" s="103" t="str">
        <f t="shared" si="204"/>
        <v/>
      </c>
      <c r="AC482" s="104" t="str">
        <f t="shared" si="215"/>
        <v/>
      </c>
      <c r="AE482" s="139"/>
      <c r="AF482" s="110" t="str">
        <f t="shared" si="208"/>
        <v/>
      </c>
      <c r="AG482" s="111" t="str">
        <f t="shared" si="209"/>
        <v/>
      </c>
      <c r="AH482" s="111" t="str">
        <f t="shared" si="205"/>
        <v/>
      </c>
      <c r="AI482" s="111" t="str">
        <f t="shared" si="210"/>
        <v/>
      </c>
      <c r="AJ482" s="111" t="str">
        <f t="shared" si="211"/>
        <v/>
      </c>
      <c r="AK482" s="112" t="str">
        <f t="shared" si="212"/>
        <v/>
      </c>
      <c r="AL482" t="str">
        <f t="shared" si="213"/>
        <v/>
      </c>
      <c r="AM482" t="str">
        <f t="shared" si="214"/>
        <v/>
      </c>
    </row>
    <row r="483" spans="1:39" ht="15" customHeight="1" x14ac:dyDescent="0.25">
      <c r="A483" s="131"/>
      <c r="B483" s="133"/>
      <c r="C483" s="133"/>
      <c r="D483" s="42" t="str">
        <f t="shared" si="189"/>
        <v/>
      </c>
      <c r="E483" s="43"/>
      <c r="F483" s="135"/>
      <c r="G483" s="77" t="str">
        <f t="shared" si="190"/>
        <v/>
      </c>
      <c r="H483" s="32" t="str">
        <f t="shared" si="191"/>
        <v/>
      </c>
      <c r="I483" s="78" t="str">
        <f t="shared" si="192"/>
        <v/>
      </c>
      <c r="J483" s="70" t="str">
        <f t="shared" si="193"/>
        <v/>
      </c>
      <c r="K483" s="135"/>
      <c r="L483" s="72" t="str">
        <f t="shared" si="194"/>
        <v/>
      </c>
      <c r="M483" s="135"/>
      <c r="N483" s="72" t="str">
        <f t="shared" si="195"/>
        <v/>
      </c>
      <c r="O483" s="135"/>
      <c r="P483" s="136"/>
      <c r="Q483" s="123" t="str">
        <f t="shared" si="196"/>
        <v/>
      </c>
      <c r="R483" s="45" t="str">
        <f t="shared" si="197"/>
        <v/>
      </c>
      <c r="S483" s="137"/>
      <c r="T483" s="79" t="str">
        <f t="shared" si="206"/>
        <v/>
      </c>
      <c r="U483" s="79" t="str">
        <f t="shared" si="198"/>
        <v/>
      </c>
      <c r="V483" s="73" t="str">
        <f t="shared" si="199"/>
        <v/>
      </c>
      <c r="W483" s="80" t="str">
        <f t="shared" si="200"/>
        <v/>
      </c>
      <c r="X483" s="73" t="str">
        <f t="shared" si="201"/>
        <v/>
      </c>
      <c r="Y483" s="80" t="str">
        <f t="shared" si="202"/>
        <v/>
      </c>
      <c r="Z483" s="74" t="str">
        <f t="shared" si="203"/>
        <v/>
      </c>
      <c r="AA483" s="75" t="str">
        <f t="shared" si="207"/>
        <v/>
      </c>
      <c r="AB483" s="103" t="str">
        <f t="shared" si="204"/>
        <v/>
      </c>
      <c r="AC483" s="104" t="str">
        <f t="shared" si="215"/>
        <v/>
      </c>
      <c r="AE483" s="139"/>
      <c r="AF483" s="110" t="str">
        <f t="shared" si="208"/>
        <v/>
      </c>
      <c r="AG483" s="111" t="str">
        <f t="shared" si="209"/>
        <v/>
      </c>
      <c r="AH483" s="111" t="str">
        <f t="shared" si="205"/>
        <v/>
      </c>
      <c r="AI483" s="111" t="str">
        <f t="shared" si="210"/>
        <v/>
      </c>
      <c r="AJ483" s="111" t="str">
        <f t="shared" si="211"/>
        <v/>
      </c>
      <c r="AK483" s="112" t="str">
        <f t="shared" si="212"/>
        <v/>
      </c>
      <c r="AL483" t="str">
        <f t="shared" si="213"/>
        <v/>
      </c>
      <c r="AM483" t="str">
        <f t="shared" si="214"/>
        <v/>
      </c>
    </row>
    <row r="484" spans="1:39" ht="15" customHeight="1" x14ac:dyDescent="0.25">
      <c r="A484" s="131"/>
      <c r="B484" s="133"/>
      <c r="C484" s="133"/>
      <c r="D484" s="42" t="str">
        <f t="shared" si="189"/>
        <v/>
      </c>
      <c r="E484" s="43"/>
      <c r="F484" s="135"/>
      <c r="G484" s="77" t="str">
        <f t="shared" si="190"/>
        <v/>
      </c>
      <c r="H484" s="32" t="str">
        <f t="shared" si="191"/>
        <v/>
      </c>
      <c r="I484" s="78" t="str">
        <f t="shared" si="192"/>
        <v/>
      </c>
      <c r="J484" s="70" t="str">
        <f t="shared" si="193"/>
        <v/>
      </c>
      <c r="K484" s="135"/>
      <c r="L484" s="72" t="str">
        <f t="shared" si="194"/>
        <v/>
      </c>
      <c r="M484" s="135"/>
      <c r="N484" s="72" t="str">
        <f t="shared" si="195"/>
        <v/>
      </c>
      <c r="O484" s="135"/>
      <c r="P484" s="136"/>
      <c r="Q484" s="123" t="str">
        <f t="shared" si="196"/>
        <v/>
      </c>
      <c r="R484" s="45" t="str">
        <f t="shared" si="197"/>
        <v/>
      </c>
      <c r="S484" s="137"/>
      <c r="T484" s="79" t="str">
        <f t="shared" si="206"/>
        <v/>
      </c>
      <c r="U484" s="79" t="str">
        <f t="shared" si="198"/>
        <v/>
      </c>
      <c r="V484" s="73" t="str">
        <f t="shared" si="199"/>
        <v/>
      </c>
      <c r="W484" s="80" t="str">
        <f t="shared" si="200"/>
        <v/>
      </c>
      <c r="X484" s="73" t="str">
        <f t="shared" si="201"/>
        <v/>
      </c>
      <c r="Y484" s="80" t="str">
        <f t="shared" si="202"/>
        <v/>
      </c>
      <c r="Z484" s="74" t="str">
        <f t="shared" si="203"/>
        <v/>
      </c>
      <c r="AA484" s="75" t="str">
        <f t="shared" si="207"/>
        <v/>
      </c>
      <c r="AB484" s="103" t="str">
        <f t="shared" si="204"/>
        <v/>
      </c>
      <c r="AC484" s="104" t="str">
        <f t="shared" si="215"/>
        <v/>
      </c>
      <c r="AE484" s="139"/>
      <c r="AF484" s="110" t="str">
        <f t="shared" si="208"/>
        <v/>
      </c>
      <c r="AG484" s="111" t="str">
        <f t="shared" si="209"/>
        <v/>
      </c>
      <c r="AH484" s="111" t="str">
        <f t="shared" si="205"/>
        <v/>
      </c>
      <c r="AI484" s="111" t="str">
        <f t="shared" si="210"/>
        <v/>
      </c>
      <c r="AJ484" s="111" t="str">
        <f t="shared" si="211"/>
        <v/>
      </c>
      <c r="AK484" s="112" t="str">
        <f t="shared" si="212"/>
        <v/>
      </c>
      <c r="AL484" t="str">
        <f t="shared" si="213"/>
        <v/>
      </c>
      <c r="AM484" t="str">
        <f t="shared" si="214"/>
        <v/>
      </c>
    </row>
    <row r="485" spans="1:39" ht="15" customHeight="1" x14ac:dyDescent="0.25">
      <c r="A485" s="131"/>
      <c r="B485" s="133"/>
      <c r="C485" s="133"/>
      <c r="D485" s="42" t="str">
        <f t="shared" si="189"/>
        <v/>
      </c>
      <c r="E485" s="43"/>
      <c r="F485" s="135"/>
      <c r="G485" s="77" t="str">
        <f t="shared" si="190"/>
        <v/>
      </c>
      <c r="H485" s="32" t="str">
        <f t="shared" si="191"/>
        <v/>
      </c>
      <c r="I485" s="78" t="str">
        <f t="shared" si="192"/>
        <v/>
      </c>
      <c r="J485" s="70" t="str">
        <f t="shared" si="193"/>
        <v/>
      </c>
      <c r="K485" s="135"/>
      <c r="L485" s="72" t="str">
        <f t="shared" si="194"/>
        <v/>
      </c>
      <c r="M485" s="135"/>
      <c r="N485" s="72" t="str">
        <f t="shared" si="195"/>
        <v/>
      </c>
      <c r="O485" s="135"/>
      <c r="P485" s="136"/>
      <c r="Q485" s="123" t="str">
        <f t="shared" si="196"/>
        <v/>
      </c>
      <c r="R485" s="45" t="str">
        <f t="shared" si="197"/>
        <v/>
      </c>
      <c r="S485" s="137"/>
      <c r="T485" s="79" t="str">
        <f t="shared" si="206"/>
        <v/>
      </c>
      <c r="U485" s="79" t="str">
        <f t="shared" si="198"/>
        <v/>
      </c>
      <c r="V485" s="73" t="str">
        <f t="shared" si="199"/>
        <v/>
      </c>
      <c r="W485" s="80" t="str">
        <f t="shared" si="200"/>
        <v/>
      </c>
      <c r="X485" s="73" t="str">
        <f t="shared" si="201"/>
        <v/>
      </c>
      <c r="Y485" s="80" t="str">
        <f t="shared" si="202"/>
        <v/>
      </c>
      <c r="Z485" s="74" t="str">
        <f t="shared" si="203"/>
        <v/>
      </c>
      <c r="AA485" s="75" t="str">
        <f t="shared" si="207"/>
        <v/>
      </c>
      <c r="AB485" s="103" t="str">
        <f t="shared" si="204"/>
        <v/>
      </c>
      <c r="AC485" s="104" t="str">
        <f t="shared" si="215"/>
        <v/>
      </c>
      <c r="AE485" s="139"/>
      <c r="AF485" s="110" t="str">
        <f t="shared" si="208"/>
        <v/>
      </c>
      <c r="AG485" s="111" t="str">
        <f t="shared" si="209"/>
        <v/>
      </c>
      <c r="AH485" s="111" t="str">
        <f t="shared" si="205"/>
        <v/>
      </c>
      <c r="AI485" s="111" t="str">
        <f t="shared" si="210"/>
        <v/>
      </c>
      <c r="AJ485" s="111" t="str">
        <f t="shared" si="211"/>
        <v/>
      </c>
      <c r="AK485" s="112" t="str">
        <f t="shared" si="212"/>
        <v/>
      </c>
      <c r="AL485" t="str">
        <f t="shared" si="213"/>
        <v/>
      </c>
      <c r="AM485" t="str">
        <f t="shared" si="214"/>
        <v/>
      </c>
    </row>
    <row r="486" spans="1:39" ht="15" customHeight="1" x14ac:dyDescent="0.25">
      <c r="A486" s="131"/>
      <c r="B486" s="133"/>
      <c r="C486" s="133"/>
      <c r="D486" s="42" t="str">
        <f t="shared" si="189"/>
        <v/>
      </c>
      <c r="E486" s="43"/>
      <c r="F486" s="135"/>
      <c r="G486" s="77" t="str">
        <f t="shared" si="190"/>
        <v/>
      </c>
      <c r="H486" s="32" t="str">
        <f t="shared" si="191"/>
        <v/>
      </c>
      <c r="I486" s="78" t="str">
        <f t="shared" si="192"/>
        <v/>
      </c>
      <c r="J486" s="70" t="str">
        <f t="shared" si="193"/>
        <v/>
      </c>
      <c r="K486" s="135"/>
      <c r="L486" s="72" t="str">
        <f t="shared" si="194"/>
        <v/>
      </c>
      <c r="M486" s="135"/>
      <c r="N486" s="72" t="str">
        <f t="shared" si="195"/>
        <v/>
      </c>
      <c r="O486" s="135"/>
      <c r="P486" s="136"/>
      <c r="Q486" s="123" t="str">
        <f t="shared" si="196"/>
        <v/>
      </c>
      <c r="R486" s="45" t="str">
        <f t="shared" si="197"/>
        <v/>
      </c>
      <c r="S486" s="137"/>
      <c r="T486" s="79" t="str">
        <f t="shared" si="206"/>
        <v/>
      </c>
      <c r="U486" s="79" t="str">
        <f t="shared" si="198"/>
        <v/>
      </c>
      <c r="V486" s="73" t="str">
        <f t="shared" si="199"/>
        <v/>
      </c>
      <c r="W486" s="80" t="str">
        <f t="shared" si="200"/>
        <v/>
      </c>
      <c r="X486" s="73" t="str">
        <f t="shared" si="201"/>
        <v/>
      </c>
      <c r="Y486" s="80" t="str">
        <f t="shared" si="202"/>
        <v/>
      </c>
      <c r="Z486" s="74" t="str">
        <f t="shared" si="203"/>
        <v/>
      </c>
      <c r="AA486" s="75" t="str">
        <f t="shared" si="207"/>
        <v/>
      </c>
      <c r="AB486" s="103" t="str">
        <f t="shared" si="204"/>
        <v/>
      </c>
      <c r="AC486" s="104" t="str">
        <f t="shared" si="215"/>
        <v/>
      </c>
      <c r="AE486" s="139"/>
      <c r="AF486" s="110" t="str">
        <f t="shared" si="208"/>
        <v/>
      </c>
      <c r="AG486" s="111" t="str">
        <f t="shared" si="209"/>
        <v/>
      </c>
      <c r="AH486" s="111" t="str">
        <f t="shared" si="205"/>
        <v/>
      </c>
      <c r="AI486" s="111" t="str">
        <f t="shared" si="210"/>
        <v/>
      </c>
      <c r="AJ486" s="111" t="str">
        <f t="shared" si="211"/>
        <v/>
      </c>
      <c r="AK486" s="112" t="str">
        <f t="shared" si="212"/>
        <v/>
      </c>
      <c r="AL486" t="str">
        <f t="shared" si="213"/>
        <v/>
      </c>
      <c r="AM486" t="str">
        <f t="shared" si="214"/>
        <v/>
      </c>
    </row>
    <row r="487" spans="1:39" ht="15" customHeight="1" x14ac:dyDescent="0.25">
      <c r="A487" s="131"/>
      <c r="B487" s="133"/>
      <c r="C487" s="133"/>
      <c r="D487" s="42" t="str">
        <f t="shared" si="189"/>
        <v/>
      </c>
      <c r="E487" s="43"/>
      <c r="F487" s="135"/>
      <c r="G487" s="77" t="str">
        <f t="shared" si="190"/>
        <v/>
      </c>
      <c r="H487" s="32" t="str">
        <f t="shared" si="191"/>
        <v/>
      </c>
      <c r="I487" s="78" t="str">
        <f t="shared" si="192"/>
        <v/>
      </c>
      <c r="J487" s="70" t="str">
        <f t="shared" si="193"/>
        <v/>
      </c>
      <c r="K487" s="135"/>
      <c r="L487" s="72" t="str">
        <f t="shared" si="194"/>
        <v/>
      </c>
      <c r="M487" s="135"/>
      <c r="N487" s="72" t="str">
        <f t="shared" si="195"/>
        <v/>
      </c>
      <c r="O487" s="135"/>
      <c r="P487" s="136"/>
      <c r="Q487" s="123" t="str">
        <f t="shared" si="196"/>
        <v/>
      </c>
      <c r="R487" s="45" t="str">
        <f t="shared" si="197"/>
        <v/>
      </c>
      <c r="S487" s="137"/>
      <c r="T487" s="79" t="str">
        <f t="shared" si="206"/>
        <v/>
      </c>
      <c r="U487" s="79" t="str">
        <f t="shared" si="198"/>
        <v/>
      </c>
      <c r="V487" s="73" t="str">
        <f t="shared" si="199"/>
        <v/>
      </c>
      <c r="W487" s="80" t="str">
        <f t="shared" si="200"/>
        <v/>
      </c>
      <c r="X487" s="73" t="str">
        <f t="shared" si="201"/>
        <v/>
      </c>
      <c r="Y487" s="80" t="str">
        <f t="shared" si="202"/>
        <v/>
      </c>
      <c r="Z487" s="74" t="str">
        <f t="shared" si="203"/>
        <v/>
      </c>
      <c r="AA487" s="75" t="str">
        <f t="shared" si="207"/>
        <v/>
      </c>
      <c r="AB487" s="103" t="str">
        <f t="shared" si="204"/>
        <v/>
      </c>
      <c r="AC487" s="104" t="str">
        <f t="shared" si="215"/>
        <v/>
      </c>
      <c r="AE487" s="139"/>
      <c r="AF487" s="110" t="str">
        <f t="shared" si="208"/>
        <v/>
      </c>
      <c r="AG487" s="111" t="str">
        <f t="shared" si="209"/>
        <v/>
      </c>
      <c r="AH487" s="111" t="str">
        <f t="shared" si="205"/>
        <v/>
      </c>
      <c r="AI487" s="111" t="str">
        <f t="shared" si="210"/>
        <v/>
      </c>
      <c r="AJ487" s="111" t="str">
        <f t="shared" si="211"/>
        <v/>
      </c>
      <c r="AK487" s="112" t="str">
        <f t="shared" si="212"/>
        <v/>
      </c>
      <c r="AL487" t="str">
        <f t="shared" si="213"/>
        <v/>
      </c>
      <c r="AM487" t="str">
        <f t="shared" si="214"/>
        <v/>
      </c>
    </row>
    <row r="488" spans="1:39" ht="15" customHeight="1" x14ac:dyDescent="0.25">
      <c r="A488" s="131"/>
      <c r="B488" s="133"/>
      <c r="C488" s="133"/>
      <c r="D488" s="42" t="str">
        <f t="shared" si="189"/>
        <v/>
      </c>
      <c r="E488" s="43"/>
      <c r="F488" s="135"/>
      <c r="G488" s="77" t="str">
        <f t="shared" si="190"/>
        <v/>
      </c>
      <c r="H488" s="32" t="str">
        <f t="shared" si="191"/>
        <v/>
      </c>
      <c r="I488" s="78" t="str">
        <f t="shared" si="192"/>
        <v/>
      </c>
      <c r="J488" s="70" t="str">
        <f t="shared" si="193"/>
        <v/>
      </c>
      <c r="K488" s="135"/>
      <c r="L488" s="72" t="str">
        <f t="shared" si="194"/>
        <v/>
      </c>
      <c r="M488" s="135"/>
      <c r="N488" s="72" t="str">
        <f t="shared" si="195"/>
        <v/>
      </c>
      <c r="O488" s="135"/>
      <c r="P488" s="136"/>
      <c r="Q488" s="123" t="str">
        <f t="shared" si="196"/>
        <v/>
      </c>
      <c r="R488" s="45" t="str">
        <f t="shared" si="197"/>
        <v/>
      </c>
      <c r="S488" s="137"/>
      <c r="T488" s="79" t="str">
        <f t="shared" si="206"/>
        <v/>
      </c>
      <c r="U488" s="79" t="str">
        <f t="shared" si="198"/>
        <v/>
      </c>
      <c r="V488" s="73" t="str">
        <f t="shared" si="199"/>
        <v/>
      </c>
      <c r="W488" s="80" t="str">
        <f t="shared" si="200"/>
        <v/>
      </c>
      <c r="X488" s="73" t="str">
        <f t="shared" si="201"/>
        <v/>
      </c>
      <c r="Y488" s="80" t="str">
        <f t="shared" si="202"/>
        <v/>
      </c>
      <c r="Z488" s="74" t="str">
        <f t="shared" si="203"/>
        <v/>
      </c>
      <c r="AA488" s="75" t="str">
        <f t="shared" si="207"/>
        <v/>
      </c>
      <c r="AB488" s="103" t="str">
        <f t="shared" si="204"/>
        <v/>
      </c>
      <c r="AC488" s="104" t="str">
        <f t="shared" si="215"/>
        <v/>
      </c>
      <c r="AE488" s="139"/>
      <c r="AF488" s="110" t="str">
        <f t="shared" si="208"/>
        <v/>
      </c>
      <c r="AG488" s="111" t="str">
        <f t="shared" si="209"/>
        <v/>
      </c>
      <c r="AH488" s="111" t="str">
        <f t="shared" si="205"/>
        <v/>
      </c>
      <c r="AI488" s="111" t="str">
        <f t="shared" si="210"/>
        <v/>
      </c>
      <c r="AJ488" s="111" t="str">
        <f t="shared" si="211"/>
        <v/>
      </c>
      <c r="AK488" s="112" t="str">
        <f t="shared" si="212"/>
        <v/>
      </c>
      <c r="AL488" t="str">
        <f t="shared" si="213"/>
        <v/>
      </c>
      <c r="AM488" t="str">
        <f t="shared" si="214"/>
        <v/>
      </c>
    </row>
    <row r="489" spans="1:39" ht="15" customHeight="1" x14ac:dyDescent="0.25">
      <c r="A489" s="131"/>
      <c r="B489" s="133"/>
      <c r="C489" s="133"/>
      <c r="D489" s="42" t="str">
        <f t="shared" si="189"/>
        <v/>
      </c>
      <c r="E489" s="43"/>
      <c r="F489" s="135"/>
      <c r="G489" s="77" t="str">
        <f t="shared" si="190"/>
        <v/>
      </c>
      <c r="H489" s="32" t="str">
        <f t="shared" si="191"/>
        <v/>
      </c>
      <c r="I489" s="78" t="str">
        <f t="shared" si="192"/>
        <v/>
      </c>
      <c r="J489" s="70" t="str">
        <f t="shared" si="193"/>
        <v/>
      </c>
      <c r="K489" s="135"/>
      <c r="L489" s="72" t="str">
        <f t="shared" si="194"/>
        <v/>
      </c>
      <c r="M489" s="135"/>
      <c r="N489" s="72" t="str">
        <f t="shared" si="195"/>
        <v/>
      </c>
      <c r="O489" s="135"/>
      <c r="P489" s="136"/>
      <c r="Q489" s="123" t="str">
        <f t="shared" si="196"/>
        <v/>
      </c>
      <c r="R489" s="45" t="str">
        <f t="shared" si="197"/>
        <v/>
      </c>
      <c r="S489" s="137"/>
      <c r="T489" s="79" t="str">
        <f t="shared" si="206"/>
        <v/>
      </c>
      <c r="U489" s="79" t="str">
        <f t="shared" si="198"/>
        <v/>
      </c>
      <c r="V489" s="73" t="str">
        <f t="shared" si="199"/>
        <v/>
      </c>
      <c r="W489" s="80" t="str">
        <f t="shared" si="200"/>
        <v/>
      </c>
      <c r="X489" s="73" t="str">
        <f t="shared" si="201"/>
        <v/>
      </c>
      <c r="Y489" s="80" t="str">
        <f t="shared" si="202"/>
        <v/>
      </c>
      <c r="Z489" s="74" t="str">
        <f t="shared" si="203"/>
        <v/>
      </c>
      <c r="AA489" s="75" t="str">
        <f t="shared" si="207"/>
        <v/>
      </c>
      <c r="AB489" s="103" t="str">
        <f t="shared" si="204"/>
        <v/>
      </c>
      <c r="AC489" s="104" t="str">
        <f t="shared" si="215"/>
        <v/>
      </c>
      <c r="AE489" s="139"/>
      <c r="AF489" s="110" t="str">
        <f t="shared" si="208"/>
        <v/>
      </c>
      <c r="AG489" s="111" t="str">
        <f t="shared" si="209"/>
        <v/>
      </c>
      <c r="AH489" s="111" t="str">
        <f t="shared" si="205"/>
        <v/>
      </c>
      <c r="AI489" s="111" t="str">
        <f t="shared" si="210"/>
        <v/>
      </c>
      <c r="AJ489" s="111" t="str">
        <f t="shared" si="211"/>
        <v/>
      </c>
      <c r="AK489" s="112" t="str">
        <f t="shared" si="212"/>
        <v/>
      </c>
      <c r="AL489" t="str">
        <f t="shared" si="213"/>
        <v/>
      </c>
      <c r="AM489" t="str">
        <f t="shared" si="214"/>
        <v/>
      </c>
    </row>
    <row r="490" spans="1:39" ht="15" customHeight="1" x14ac:dyDescent="0.25">
      <c r="A490" s="131"/>
      <c r="B490" s="133"/>
      <c r="C490" s="133"/>
      <c r="D490" s="42" t="str">
        <f t="shared" si="189"/>
        <v/>
      </c>
      <c r="E490" s="43"/>
      <c r="F490" s="135"/>
      <c r="G490" s="77" t="str">
        <f t="shared" si="190"/>
        <v/>
      </c>
      <c r="H490" s="32" t="str">
        <f t="shared" si="191"/>
        <v/>
      </c>
      <c r="I490" s="78" t="str">
        <f t="shared" si="192"/>
        <v/>
      </c>
      <c r="J490" s="70" t="str">
        <f t="shared" si="193"/>
        <v/>
      </c>
      <c r="K490" s="135"/>
      <c r="L490" s="72" t="str">
        <f t="shared" si="194"/>
        <v/>
      </c>
      <c r="M490" s="135"/>
      <c r="N490" s="72" t="str">
        <f t="shared" si="195"/>
        <v/>
      </c>
      <c r="O490" s="135"/>
      <c r="P490" s="136"/>
      <c r="Q490" s="123" t="str">
        <f t="shared" si="196"/>
        <v/>
      </c>
      <c r="R490" s="45" t="str">
        <f t="shared" si="197"/>
        <v/>
      </c>
      <c r="S490" s="137"/>
      <c r="T490" s="79" t="str">
        <f t="shared" si="206"/>
        <v/>
      </c>
      <c r="U490" s="79" t="str">
        <f t="shared" si="198"/>
        <v/>
      </c>
      <c r="V490" s="73" t="str">
        <f t="shared" si="199"/>
        <v/>
      </c>
      <c r="W490" s="80" t="str">
        <f t="shared" si="200"/>
        <v/>
      </c>
      <c r="X490" s="73" t="str">
        <f t="shared" si="201"/>
        <v/>
      </c>
      <c r="Y490" s="80" t="str">
        <f t="shared" si="202"/>
        <v/>
      </c>
      <c r="Z490" s="74" t="str">
        <f t="shared" si="203"/>
        <v/>
      </c>
      <c r="AA490" s="75" t="str">
        <f t="shared" si="207"/>
        <v/>
      </c>
      <c r="AB490" s="103" t="str">
        <f t="shared" si="204"/>
        <v/>
      </c>
      <c r="AC490" s="104" t="str">
        <f t="shared" si="215"/>
        <v/>
      </c>
      <c r="AE490" s="139"/>
      <c r="AF490" s="110" t="str">
        <f t="shared" si="208"/>
        <v/>
      </c>
      <c r="AG490" s="111" t="str">
        <f t="shared" si="209"/>
        <v/>
      </c>
      <c r="AH490" s="111" t="str">
        <f t="shared" si="205"/>
        <v/>
      </c>
      <c r="AI490" s="111" t="str">
        <f t="shared" si="210"/>
        <v/>
      </c>
      <c r="AJ490" s="111" t="str">
        <f t="shared" si="211"/>
        <v/>
      </c>
      <c r="AK490" s="112" t="str">
        <f t="shared" si="212"/>
        <v/>
      </c>
      <c r="AL490" t="str">
        <f t="shared" si="213"/>
        <v/>
      </c>
      <c r="AM490" t="str">
        <f t="shared" si="214"/>
        <v/>
      </c>
    </row>
    <row r="491" spans="1:39" ht="15" customHeight="1" x14ac:dyDescent="0.25">
      <c r="A491" s="131"/>
      <c r="B491" s="133"/>
      <c r="C491" s="133"/>
      <c r="D491" s="42" t="str">
        <f t="shared" si="189"/>
        <v/>
      </c>
      <c r="E491" s="43"/>
      <c r="F491" s="135"/>
      <c r="G491" s="77" t="str">
        <f t="shared" si="190"/>
        <v/>
      </c>
      <c r="H491" s="32" t="str">
        <f t="shared" si="191"/>
        <v/>
      </c>
      <c r="I491" s="78" t="str">
        <f t="shared" si="192"/>
        <v/>
      </c>
      <c r="J491" s="70" t="str">
        <f t="shared" si="193"/>
        <v/>
      </c>
      <c r="K491" s="135"/>
      <c r="L491" s="72" t="str">
        <f t="shared" si="194"/>
        <v/>
      </c>
      <c r="M491" s="135"/>
      <c r="N491" s="72" t="str">
        <f t="shared" si="195"/>
        <v/>
      </c>
      <c r="O491" s="135"/>
      <c r="P491" s="136"/>
      <c r="Q491" s="123" t="str">
        <f t="shared" si="196"/>
        <v/>
      </c>
      <c r="R491" s="45" t="str">
        <f t="shared" si="197"/>
        <v/>
      </c>
      <c r="S491" s="137"/>
      <c r="T491" s="79" t="str">
        <f t="shared" si="206"/>
        <v/>
      </c>
      <c r="U491" s="79" t="str">
        <f t="shared" si="198"/>
        <v/>
      </c>
      <c r="V491" s="73" t="str">
        <f t="shared" si="199"/>
        <v/>
      </c>
      <c r="W491" s="80" t="str">
        <f t="shared" si="200"/>
        <v/>
      </c>
      <c r="X491" s="73" t="str">
        <f t="shared" si="201"/>
        <v/>
      </c>
      <c r="Y491" s="80" t="str">
        <f t="shared" si="202"/>
        <v/>
      </c>
      <c r="Z491" s="74" t="str">
        <f t="shared" si="203"/>
        <v/>
      </c>
      <c r="AA491" s="75" t="str">
        <f t="shared" si="207"/>
        <v/>
      </c>
      <c r="AB491" s="103" t="str">
        <f t="shared" si="204"/>
        <v/>
      </c>
      <c r="AC491" s="104" t="str">
        <f t="shared" si="215"/>
        <v/>
      </c>
      <c r="AE491" s="139"/>
      <c r="AF491" s="110" t="str">
        <f t="shared" si="208"/>
        <v/>
      </c>
      <c r="AG491" s="111" t="str">
        <f t="shared" si="209"/>
        <v/>
      </c>
      <c r="AH491" s="111" t="str">
        <f t="shared" si="205"/>
        <v/>
      </c>
      <c r="AI491" s="111" t="str">
        <f t="shared" si="210"/>
        <v/>
      </c>
      <c r="AJ491" s="111" t="str">
        <f t="shared" si="211"/>
        <v/>
      </c>
      <c r="AK491" s="112" t="str">
        <f t="shared" si="212"/>
        <v/>
      </c>
      <c r="AL491" t="str">
        <f t="shared" si="213"/>
        <v/>
      </c>
      <c r="AM491" t="str">
        <f t="shared" si="214"/>
        <v/>
      </c>
    </row>
    <row r="492" spans="1:39" ht="15" customHeight="1" x14ac:dyDescent="0.25">
      <c r="A492" s="131"/>
      <c r="B492" s="133"/>
      <c r="C492" s="133"/>
      <c r="D492" s="42" t="str">
        <f t="shared" si="189"/>
        <v/>
      </c>
      <c r="E492" s="43"/>
      <c r="F492" s="135"/>
      <c r="G492" s="77" t="str">
        <f t="shared" si="190"/>
        <v/>
      </c>
      <c r="H492" s="32" t="str">
        <f t="shared" si="191"/>
        <v/>
      </c>
      <c r="I492" s="78" t="str">
        <f t="shared" si="192"/>
        <v/>
      </c>
      <c r="J492" s="70" t="str">
        <f t="shared" si="193"/>
        <v/>
      </c>
      <c r="K492" s="135"/>
      <c r="L492" s="72" t="str">
        <f t="shared" si="194"/>
        <v/>
      </c>
      <c r="M492" s="135"/>
      <c r="N492" s="72" t="str">
        <f t="shared" si="195"/>
        <v/>
      </c>
      <c r="O492" s="135"/>
      <c r="P492" s="136"/>
      <c r="Q492" s="123" t="str">
        <f t="shared" si="196"/>
        <v/>
      </c>
      <c r="R492" s="45" t="str">
        <f t="shared" si="197"/>
        <v/>
      </c>
      <c r="S492" s="137"/>
      <c r="T492" s="79" t="str">
        <f t="shared" si="206"/>
        <v/>
      </c>
      <c r="U492" s="79" t="str">
        <f t="shared" si="198"/>
        <v/>
      </c>
      <c r="V492" s="73" t="str">
        <f t="shared" si="199"/>
        <v/>
      </c>
      <c r="W492" s="80" t="str">
        <f t="shared" si="200"/>
        <v/>
      </c>
      <c r="X492" s="73" t="str">
        <f t="shared" si="201"/>
        <v/>
      </c>
      <c r="Y492" s="80" t="str">
        <f t="shared" si="202"/>
        <v/>
      </c>
      <c r="Z492" s="74" t="str">
        <f t="shared" si="203"/>
        <v/>
      </c>
      <c r="AA492" s="75" t="str">
        <f t="shared" si="207"/>
        <v/>
      </c>
      <c r="AB492" s="103" t="str">
        <f t="shared" si="204"/>
        <v/>
      </c>
      <c r="AC492" s="104" t="str">
        <f t="shared" si="215"/>
        <v/>
      </c>
      <c r="AE492" s="139"/>
      <c r="AF492" s="110" t="str">
        <f t="shared" si="208"/>
        <v/>
      </c>
      <c r="AG492" s="111" t="str">
        <f t="shared" si="209"/>
        <v/>
      </c>
      <c r="AH492" s="111" t="str">
        <f t="shared" si="205"/>
        <v/>
      </c>
      <c r="AI492" s="111" t="str">
        <f t="shared" si="210"/>
        <v/>
      </c>
      <c r="AJ492" s="111" t="str">
        <f t="shared" si="211"/>
        <v/>
      </c>
      <c r="AK492" s="112" t="str">
        <f t="shared" si="212"/>
        <v/>
      </c>
      <c r="AL492" t="str">
        <f t="shared" si="213"/>
        <v/>
      </c>
      <c r="AM492" t="str">
        <f t="shared" si="214"/>
        <v/>
      </c>
    </row>
    <row r="493" spans="1:39" ht="15" customHeight="1" x14ac:dyDescent="0.25">
      <c r="A493" s="131"/>
      <c r="B493" s="133"/>
      <c r="C493" s="133"/>
      <c r="D493" s="42" t="str">
        <f t="shared" si="189"/>
        <v/>
      </c>
      <c r="E493" s="43"/>
      <c r="F493" s="135"/>
      <c r="G493" s="77" t="str">
        <f t="shared" si="190"/>
        <v/>
      </c>
      <c r="H493" s="32" t="str">
        <f t="shared" si="191"/>
        <v/>
      </c>
      <c r="I493" s="78" t="str">
        <f t="shared" si="192"/>
        <v/>
      </c>
      <c r="J493" s="70" t="str">
        <f t="shared" si="193"/>
        <v/>
      </c>
      <c r="K493" s="135"/>
      <c r="L493" s="72" t="str">
        <f t="shared" si="194"/>
        <v/>
      </c>
      <c r="M493" s="135"/>
      <c r="N493" s="72" t="str">
        <f t="shared" si="195"/>
        <v/>
      </c>
      <c r="O493" s="135"/>
      <c r="P493" s="136"/>
      <c r="Q493" s="123" t="str">
        <f t="shared" si="196"/>
        <v/>
      </c>
      <c r="R493" s="45" t="str">
        <f t="shared" si="197"/>
        <v/>
      </c>
      <c r="S493" s="137"/>
      <c r="T493" s="79" t="str">
        <f t="shared" si="206"/>
        <v/>
      </c>
      <c r="U493" s="79" t="str">
        <f t="shared" si="198"/>
        <v/>
      </c>
      <c r="V493" s="73" t="str">
        <f t="shared" si="199"/>
        <v/>
      </c>
      <c r="W493" s="80" t="str">
        <f t="shared" si="200"/>
        <v/>
      </c>
      <c r="X493" s="73" t="str">
        <f t="shared" si="201"/>
        <v/>
      </c>
      <c r="Y493" s="80" t="str">
        <f t="shared" si="202"/>
        <v/>
      </c>
      <c r="Z493" s="74" t="str">
        <f t="shared" si="203"/>
        <v/>
      </c>
      <c r="AA493" s="75" t="str">
        <f t="shared" si="207"/>
        <v/>
      </c>
      <c r="AB493" s="103" t="str">
        <f t="shared" si="204"/>
        <v/>
      </c>
      <c r="AC493" s="104" t="str">
        <f t="shared" si="215"/>
        <v/>
      </c>
      <c r="AE493" s="139"/>
      <c r="AF493" s="110" t="str">
        <f t="shared" si="208"/>
        <v/>
      </c>
      <c r="AG493" s="111" t="str">
        <f t="shared" si="209"/>
        <v/>
      </c>
      <c r="AH493" s="111" t="str">
        <f t="shared" si="205"/>
        <v/>
      </c>
      <c r="AI493" s="111" t="str">
        <f t="shared" si="210"/>
        <v/>
      </c>
      <c r="AJ493" s="111" t="str">
        <f t="shared" si="211"/>
        <v/>
      </c>
      <c r="AK493" s="112" t="str">
        <f t="shared" si="212"/>
        <v/>
      </c>
      <c r="AL493" t="str">
        <f t="shared" si="213"/>
        <v/>
      </c>
      <c r="AM493" t="str">
        <f t="shared" si="214"/>
        <v/>
      </c>
    </row>
    <row r="494" spans="1:39" ht="15" customHeight="1" x14ac:dyDescent="0.25">
      <c r="A494" s="131"/>
      <c r="B494" s="133"/>
      <c r="C494" s="133"/>
      <c r="D494" s="42" t="str">
        <f t="shared" si="189"/>
        <v/>
      </c>
      <c r="E494" s="43"/>
      <c r="F494" s="135"/>
      <c r="G494" s="77" t="str">
        <f t="shared" si="190"/>
        <v/>
      </c>
      <c r="H494" s="32" t="str">
        <f t="shared" si="191"/>
        <v/>
      </c>
      <c r="I494" s="78" t="str">
        <f t="shared" si="192"/>
        <v/>
      </c>
      <c r="J494" s="70" t="str">
        <f t="shared" si="193"/>
        <v/>
      </c>
      <c r="K494" s="135"/>
      <c r="L494" s="72" t="str">
        <f t="shared" si="194"/>
        <v/>
      </c>
      <c r="M494" s="135"/>
      <c r="N494" s="72" t="str">
        <f t="shared" si="195"/>
        <v/>
      </c>
      <c r="O494" s="135"/>
      <c r="P494" s="136"/>
      <c r="Q494" s="123" t="str">
        <f t="shared" si="196"/>
        <v/>
      </c>
      <c r="R494" s="45" t="str">
        <f t="shared" si="197"/>
        <v/>
      </c>
      <c r="S494" s="137"/>
      <c r="T494" s="79" t="str">
        <f t="shared" si="206"/>
        <v/>
      </c>
      <c r="U494" s="79" t="str">
        <f t="shared" si="198"/>
        <v/>
      </c>
      <c r="V494" s="73" t="str">
        <f t="shared" si="199"/>
        <v/>
      </c>
      <c r="W494" s="80" t="str">
        <f t="shared" si="200"/>
        <v/>
      </c>
      <c r="X494" s="73" t="str">
        <f t="shared" si="201"/>
        <v/>
      </c>
      <c r="Y494" s="80" t="str">
        <f t="shared" si="202"/>
        <v/>
      </c>
      <c r="Z494" s="74" t="str">
        <f t="shared" si="203"/>
        <v/>
      </c>
      <c r="AA494" s="75" t="str">
        <f t="shared" si="207"/>
        <v/>
      </c>
      <c r="AB494" s="103" t="str">
        <f t="shared" si="204"/>
        <v/>
      </c>
      <c r="AC494" s="104" t="str">
        <f t="shared" si="215"/>
        <v/>
      </c>
      <c r="AE494" s="139"/>
      <c r="AF494" s="110" t="str">
        <f t="shared" si="208"/>
        <v/>
      </c>
      <c r="AG494" s="111" t="str">
        <f t="shared" si="209"/>
        <v/>
      </c>
      <c r="AH494" s="111" t="str">
        <f t="shared" si="205"/>
        <v/>
      </c>
      <c r="AI494" s="111" t="str">
        <f t="shared" si="210"/>
        <v/>
      </c>
      <c r="AJ494" s="111" t="str">
        <f t="shared" si="211"/>
        <v/>
      </c>
      <c r="AK494" s="112" t="str">
        <f t="shared" si="212"/>
        <v/>
      </c>
      <c r="AL494" t="str">
        <f t="shared" si="213"/>
        <v/>
      </c>
      <c r="AM494" t="str">
        <f t="shared" si="214"/>
        <v/>
      </c>
    </row>
    <row r="495" spans="1:39" ht="15" customHeight="1" x14ac:dyDescent="0.25">
      <c r="A495" s="131"/>
      <c r="B495" s="133"/>
      <c r="C495" s="133"/>
      <c r="D495" s="42" t="str">
        <f t="shared" si="189"/>
        <v/>
      </c>
      <c r="E495" s="43"/>
      <c r="F495" s="135"/>
      <c r="G495" s="77" t="str">
        <f t="shared" si="190"/>
        <v/>
      </c>
      <c r="H495" s="32" t="str">
        <f t="shared" si="191"/>
        <v/>
      </c>
      <c r="I495" s="78" t="str">
        <f t="shared" si="192"/>
        <v/>
      </c>
      <c r="J495" s="70" t="str">
        <f t="shared" si="193"/>
        <v/>
      </c>
      <c r="K495" s="135"/>
      <c r="L495" s="72" t="str">
        <f t="shared" si="194"/>
        <v/>
      </c>
      <c r="M495" s="135"/>
      <c r="N495" s="72" t="str">
        <f t="shared" si="195"/>
        <v/>
      </c>
      <c r="O495" s="135"/>
      <c r="P495" s="136"/>
      <c r="Q495" s="123" t="str">
        <f t="shared" si="196"/>
        <v/>
      </c>
      <c r="R495" s="45" t="str">
        <f t="shared" si="197"/>
        <v/>
      </c>
      <c r="S495" s="137"/>
      <c r="T495" s="79" t="str">
        <f t="shared" si="206"/>
        <v/>
      </c>
      <c r="U495" s="79" t="str">
        <f t="shared" si="198"/>
        <v/>
      </c>
      <c r="V495" s="73" t="str">
        <f t="shared" si="199"/>
        <v/>
      </c>
      <c r="W495" s="80" t="str">
        <f t="shared" si="200"/>
        <v/>
      </c>
      <c r="X495" s="73" t="str">
        <f t="shared" si="201"/>
        <v/>
      </c>
      <c r="Y495" s="80" t="str">
        <f t="shared" si="202"/>
        <v/>
      </c>
      <c r="Z495" s="74" t="str">
        <f t="shared" si="203"/>
        <v/>
      </c>
      <c r="AA495" s="75" t="str">
        <f t="shared" si="207"/>
        <v/>
      </c>
      <c r="AB495" s="103" t="str">
        <f t="shared" si="204"/>
        <v/>
      </c>
      <c r="AC495" s="104" t="str">
        <f t="shared" si="215"/>
        <v/>
      </c>
      <c r="AE495" s="139"/>
      <c r="AF495" s="110" t="str">
        <f t="shared" si="208"/>
        <v/>
      </c>
      <c r="AG495" s="111" t="str">
        <f t="shared" si="209"/>
        <v/>
      </c>
      <c r="AH495" s="111" t="str">
        <f t="shared" si="205"/>
        <v/>
      </c>
      <c r="AI495" s="111" t="str">
        <f t="shared" si="210"/>
        <v/>
      </c>
      <c r="AJ495" s="111" t="str">
        <f t="shared" si="211"/>
        <v/>
      </c>
      <c r="AK495" s="112" t="str">
        <f t="shared" si="212"/>
        <v/>
      </c>
      <c r="AL495" t="str">
        <f t="shared" si="213"/>
        <v/>
      </c>
      <c r="AM495" t="str">
        <f t="shared" si="214"/>
        <v/>
      </c>
    </row>
    <row r="496" spans="1:39" ht="15" customHeight="1" x14ac:dyDescent="0.25">
      <c r="A496" s="131"/>
      <c r="B496" s="133"/>
      <c r="C496" s="133"/>
      <c r="D496" s="42" t="str">
        <f t="shared" si="189"/>
        <v/>
      </c>
      <c r="E496" s="43"/>
      <c r="F496" s="135"/>
      <c r="G496" s="77" t="str">
        <f t="shared" si="190"/>
        <v/>
      </c>
      <c r="H496" s="32" t="str">
        <f t="shared" si="191"/>
        <v/>
      </c>
      <c r="I496" s="78" t="str">
        <f t="shared" si="192"/>
        <v/>
      </c>
      <c r="J496" s="70" t="str">
        <f t="shared" si="193"/>
        <v/>
      </c>
      <c r="K496" s="135"/>
      <c r="L496" s="72" t="str">
        <f t="shared" si="194"/>
        <v/>
      </c>
      <c r="M496" s="135"/>
      <c r="N496" s="72" t="str">
        <f t="shared" si="195"/>
        <v/>
      </c>
      <c r="O496" s="135"/>
      <c r="P496" s="136"/>
      <c r="Q496" s="123" t="str">
        <f t="shared" si="196"/>
        <v/>
      </c>
      <c r="R496" s="45" t="str">
        <f t="shared" si="197"/>
        <v/>
      </c>
      <c r="S496" s="137"/>
      <c r="T496" s="79" t="str">
        <f t="shared" si="206"/>
        <v/>
      </c>
      <c r="U496" s="79" t="str">
        <f t="shared" si="198"/>
        <v/>
      </c>
      <c r="V496" s="73" t="str">
        <f t="shared" si="199"/>
        <v/>
      </c>
      <c r="W496" s="80" t="str">
        <f t="shared" si="200"/>
        <v/>
      </c>
      <c r="X496" s="73" t="str">
        <f t="shared" si="201"/>
        <v/>
      </c>
      <c r="Y496" s="80" t="str">
        <f t="shared" si="202"/>
        <v/>
      </c>
      <c r="Z496" s="74" t="str">
        <f t="shared" si="203"/>
        <v/>
      </c>
      <c r="AA496" s="75" t="str">
        <f t="shared" si="207"/>
        <v/>
      </c>
      <c r="AB496" s="103" t="str">
        <f t="shared" si="204"/>
        <v/>
      </c>
      <c r="AC496" s="104" t="str">
        <f t="shared" si="215"/>
        <v/>
      </c>
      <c r="AE496" s="139"/>
      <c r="AF496" s="110" t="str">
        <f t="shared" si="208"/>
        <v/>
      </c>
      <c r="AG496" s="111" t="str">
        <f t="shared" si="209"/>
        <v/>
      </c>
      <c r="AH496" s="111" t="str">
        <f t="shared" si="205"/>
        <v/>
      </c>
      <c r="AI496" s="111" t="str">
        <f t="shared" si="210"/>
        <v/>
      </c>
      <c r="AJ496" s="111" t="str">
        <f t="shared" si="211"/>
        <v/>
      </c>
      <c r="AK496" s="112" t="str">
        <f t="shared" si="212"/>
        <v/>
      </c>
      <c r="AL496" t="str">
        <f t="shared" si="213"/>
        <v/>
      </c>
      <c r="AM496" t="str">
        <f t="shared" si="214"/>
        <v/>
      </c>
    </row>
    <row r="497" spans="1:39" ht="15" customHeight="1" x14ac:dyDescent="0.25">
      <c r="A497" s="131"/>
      <c r="B497" s="133"/>
      <c r="C497" s="133"/>
      <c r="D497" s="42" t="str">
        <f t="shared" si="189"/>
        <v/>
      </c>
      <c r="E497" s="43"/>
      <c r="F497" s="135"/>
      <c r="G497" s="77" t="str">
        <f t="shared" si="190"/>
        <v/>
      </c>
      <c r="H497" s="32" t="str">
        <f t="shared" si="191"/>
        <v/>
      </c>
      <c r="I497" s="78" t="str">
        <f t="shared" si="192"/>
        <v/>
      </c>
      <c r="J497" s="70" t="str">
        <f t="shared" si="193"/>
        <v/>
      </c>
      <c r="K497" s="135"/>
      <c r="L497" s="72" t="str">
        <f t="shared" si="194"/>
        <v/>
      </c>
      <c r="M497" s="135"/>
      <c r="N497" s="72" t="str">
        <f t="shared" si="195"/>
        <v/>
      </c>
      <c r="O497" s="135"/>
      <c r="P497" s="136"/>
      <c r="Q497" s="123" t="str">
        <f t="shared" si="196"/>
        <v/>
      </c>
      <c r="R497" s="45" t="str">
        <f t="shared" si="197"/>
        <v/>
      </c>
      <c r="S497" s="137"/>
      <c r="T497" s="79" t="str">
        <f t="shared" si="206"/>
        <v/>
      </c>
      <c r="U497" s="79" t="str">
        <f t="shared" si="198"/>
        <v/>
      </c>
      <c r="V497" s="73" t="str">
        <f t="shared" si="199"/>
        <v/>
      </c>
      <c r="W497" s="80" t="str">
        <f t="shared" si="200"/>
        <v/>
      </c>
      <c r="X497" s="73" t="str">
        <f t="shared" si="201"/>
        <v/>
      </c>
      <c r="Y497" s="80" t="str">
        <f t="shared" si="202"/>
        <v/>
      </c>
      <c r="Z497" s="74" t="str">
        <f t="shared" si="203"/>
        <v/>
      </c>
      <c r="AA497" s="75" t="str">
        <f t="shared" si="207"/>
        <v/>
      </c>
      <c r="AB497" s="103" t="str">
        <f t="shared" si="204"/>
        <v/>
      </c>
      <c r="AC497" s="104" t="str">
        <f t="shared" si="215"/>
        <v/>
      </c>
      <c r="AE497" s="139"/>
      <c r="AF497" s="110" t="str">
        <f t="shared" si="208"/>
        <v/>
      </c>
      <c r="AG497" s="111" t="str">
        <f t="shared" si="209"/>
        <v/>
      </c>
      <c r="AH497" s="111" t="str">
        <f t="shared" si="205"/>
        <v/>
      </c>
      <c r="AI497" s="111" t="str">
        <f t="shared" si="210"/>
        <v/>
      </c>
      <c r="AJ497" s="111" t="str">
        <f t="shared" si="211"/>
        <v/>
      </c>
      <c r="AK497" s="112" t="str">
        <f t="shared" si="212"/>
        <v/>
      </c>
      <c r="AL497" t="str">
        <f t="shared" si="213"/>
        <v/>
      </c>
      <c r="AM497" t="str">
        <f t="shared" si="214"/>
        <v/>
      </c>
    </row>
    <row r="498" spans="1:39" ht="15" customHeight="1" x14ac:dyDescent="0.25">
      <c r="A498" s="131"/>
      <c r="B498" s="133"/>
      <c r="C498" s="133"/>
      <c r="D498" s="42" t="str">
        <f t="shared" si="189"/>
        <v/>
      </c>
      <c r="E498" s="43"/>
      <c r="F498" s="135"/>
      <c r="G498" s="77" t="str">
        <f t="shared" si="190"/>
        <v/>
      </c>
      <c r="H498" s="32" t="str">
        <f t="shared" si="191"/>
        <v/>
      </c>
      <c r="I498" s="78" t="str">
        <f t="shared" si="192"/>
        <v/>
      </c>
      <c r="J498" s="70" t="str">
        <f t="shared" si="193"/>
        <v/>
      </c>
      <c r="K498" s="135"/>
      <c r="L498" s="72" t="str">
        <f t="shared" si="194"/>
        <v/>
      </c>
      <c r="M498" s="135"/>
      <c r="N498" s="72" t="str">
        <f t="shared" si="195"/>
        <v/>
      </c>
      <c r="O498" s="135"/>
      <c r="P498" s="136"/>
      <c r="Q498" s="123" t="str">
        <f t="shared" si="196"/>
        <v/>
      </c>
      <c r="R498" s="45" t="str">
        <f t="shared" si="197"/>
        <v/>
      </c>
      <c r="S498" s="137"/>
      <c r="T498" s="79" t="str">
        <f t="shared" si="206"/>
        <v/>
      </c>
      <c r="U498" s="79" t="str">
        <f t="shared" si="198"/>
        <v/>
      </c>
      <c r="V498" s="73" t="str">
        <f t="shared" si="199"/>
        <v/>
      </c>
      <c r="W498" s="80" t="str">
        <f t="shared" si="200"/>
        <v/>
      </c>
      <c r="X498" s="73" t="str">
        <f t="shared" si="201"/>
        <v/>
      </c>
      <c r="Y498" s="80" t="str">
        <f t="shared" si="202"/>
        <v/>
      </c>
      <c r="Z498" s="74" t="str">
        <f t="shared" si="203"/>
        <v/>
      </c>
      <c r="AA498" s="75" t="str">
        <f t="shared" si="207"/>
        <v/>
      </c>
      <c r="AB498" s="103" t="str">
        <f t="shared" si="204"/>
        <v/>
      </c>
      <c r="AC498" s="104" t="str">
        <f t="shared" si="215"/>
        <v/>
      </c>
      <c r="AE498" s="139"/>
      <c r="AF498" s="110" t="str">
        <f t="shared" si="208"/>
        <v/>
      </c>
      <c r="AG498" s="111" t="str">
        <f t="shared" si="209"/>
        <v/>
      </c>
      <c r="AH498" s="111" t="str">
        <f t="shared" si="205"/>
        <v/>
      </c>
      <c r="AI498" s="111" t="str">
        <f t="shared" si="210"/>
        <v/>
      </c>
      <c r="AJ498" s="111" t="str">
        <f t="shared" si="211"/>
        <v/>
      </c>
      <c r="AK498" s="112" t="str">
        <f t="shared" si="212"/>
        <v/>
      </c>
      <c r="AL498" t="str">
        <f t="shared" si="213"/>
        <v/>
      </c>
      <c r="AM498" t="str">
        <f t="shared" si="214"/>
        <v/>
      </c>
    </row>
    <row r="499" spans="1:39" ht="15" customHeight="1" x14ac:dyDescent="0.25">
      <c r="A499" s="131"/>
      <c r="B499" s="133"/>
      <c r="C499" s="133"/>
      <c r="D499" s="42" t="str">
        <f t="shared" si="189"/>
        <v/>
      </c>
      <c r="E499" s="43"/>
      <c r="F499" s="135"/>
      <c r="G499" s="77" t="str">
        <f t="shared" si="190"/>
        <v/>
      </c>
      <c r="H499" s="32" t="str">
        <f t="shared" si="191"/>
        <v/>
      </c>
      <c r="I499" s="78" t="str">
        <f t="shared" si="192"/>
        <v/>
      </c>
      <c r="J499" s="70" t="str">
        <f t="shared" si="193"/>
        <v/>
      </c>
      <c r="K499" s="135"/>
      <c r="L499" s="72" t="str">
        <f t="shared" si="194"/>
        <v/>
      </c>
      <c r="M499" s="135"/>
      <c r="N499" s="72" t="str">
        <f t="shared" si="195"/>
        <v/>
      </c>
      <c r="O499" s="135"/>
      <c r="P499" s="136"/>
      <c r="Q499" s="123" t="str">
        <f t="shared" si="196"/>
        <v/>
      </c>
      <c r="R499" s="45" t="str">
        <f t="shared" si="197"/>
        <v/>
      </c>
      <c r="S499" s="137"/>
      <c r="T499" s="79" t="str">
        <f t="shared" si="206"/>
        <v/>
      </c>
      <c r="U499" s="79" t="str">
        <f t="shared" si="198"/>
        <v/>
      </c>
      <c r="V499" s="73" t="str">
        <f t="shared" si="199"/>
        <v/>
      </c>
      <c r="W499" s="80" t="str">
        <f t="shared" si="200"/>
        <v/>
      </c>
      <c r="X499" s="73" t="str">
        <f t="shared" si="201"/>
        <v/>
      </c>
      <c r="Y499" s="80" t="str">
        <f t="shared" si="202"/>
        <v/>
      </c>
      <c r="Z499" s="74" t="str">
        <f t="shared" si="203"/>
        <v/>
      </c>
      <c r="AA499" s="75" t="str">
        <f t="shared" si="207"/>
        <v/>
      </c>
      <c r="AB499" s="103" t="str">
        <f t="shared" si="204"/>
        <v/>
      </c>
      <c r="AC499" s="104" t="str">
        <f t="shared" si="215"/>
        <v/>
      </c>
      <c r="AE499" s="139"/>
      <c r="AF499" s="110" t="str">
        <f t="shared" si="208"/>
        <v/>
      </c>
      <c r="AG499" s="111" t="str">
        <f t="shared" si="209"/>
        <v/>
      </c>
      <c r="AH499" s="111" t="str">
        <f t="shared" si="205"/>
        <v/>
      </c>
      <c r="AI499" s="111" t="str">
        <f t="shared" si="210"/>
        <v/>
      </c>
      <c r="AJ499" s="111" t="str">
        <f t="shared" si="211"/>
        <v/>
      </c>
      <c r="AK499" s="112" t="str">
        <f t="shared" si="212"/>
        <v/>
      </c>
      <c r="AL499" t="str">
        <f t="shared" si="213"/>
        <v/>
      </c>
      <c r="AM499" t="str">
        <f t="shared" si="214"/>
        <v/>
      </c>
    </row>
    <row r="500" spans="1:39" ht="15" customHeight="1" x14ac:dyDescent="0.25">
      <c r="A500" s="131"/>
      <c r="B500" s="133"/>
      <c r="C500" s="133"/>
      <c r="D500" s="42" t="str">
        <f t="shared" si="189"/>
        <v/>
      </c>
      <c r="E500" s="43"/>
      <c r="F500" s="135"/>
      <c r="G500" s="77" t="str">
        <f t="shared" si="190"/>
        <v/>
      </c>
      <c r="H500" s="32" t="str">
        <f t="shared" si="191"/>
        <v/>
      </c>
      <c r="I500" s="78" t="str">
        <f t="shared" si="192"/>
        <v/>
      </c>
      <c r="J500" s="70" t="str">
        <f t="shared" si="193"/>
        <v/>
      </c>
      <c r="K500" s="135"/>
      <c r="L500" s="72" t="str">
        <f t="shared" si="194"/>
        <v/>
      </c>
      <c r="M500" s="135"/>
      <c r="N500" s="72" t="str">
        <f t="shared" si="195"/>
        <v/>
      </c>
      <c r="O500" s="135"/>
      <c r="P500" s="136"/>
      <c r="Q500" s="123" t="str">
        <f t="shared" si="196"/>
        <v/>
      </c>
      <c r="R500" s="45" t="str">
        <f t="shared" si="197"/>
        <v/>
      </c>
      <c r="S500" s="137"/>
      <c r="T500" s="79" t="str">
        <f t="shared" si="206"/>
        <v/>
      </c>
      <c r="U500" s="79" t="str">
        <f t="shared" si="198"/>
        <v/>
      </c>
      <c r="V500" s="73" t="str">
        <f t="shared" si="199"/>
        <v/>
      </c>
      <c r="W500" s="80" t="str">
        <f t="shared" si="200"/>
        <v/>
      </c>
      <c r="X500" s="73" t="str">
        <f t="shared" si="201"/>
        <v/>
      </c>
      <c r="Y500" s="80" t="str">
        <f t="shared" si="202"/>
        <v/>
      </c>
      <c r="Z500" s="74" t="str">
        <f t="shared" si="203"/>
        <v/>
      </c>
      <c r="AA500" s="75" t="str">
        <f t="shared" si="207"/>
        <v/>
      </c>
      <c r="AB500" s="103" t="str">
        <f t="shared" si="204"/>
        <v/>
      </c>
      <c r="AC500" s="104" t="str">
        <f t="shared" si="215"/>
        <v/>
      </c>
      <c r="AE500" s="139"/>
      <c r="AF500" s="110" t="str">
        <f t="shared" si="208"/>
        <v/>
      </c>
      <c r="AG500" s="111" t="str">
        <f t="shared" si="209"/>
        <v/>
      </c>
      <c r="AH500" s="111" t="str">
        <f t="shared" si="205"/>
        <v/>
      </c>
      <c r="AI500" s="111" t="str">
        <f t="shared" si="210"/>
        <v/>
      </c>
      <c r="AJ500" s="111" t="str">
        <f t="shared" si="211"/>
        <v/>
      </c>
      <c r="AK500" s="112" t="str">
        <f t="shared" si="212"/>
        <v/>
      </c>
      <c r="AL500" t="str">
        <f t="shared" si="213"/>
        <v/>
      </c>
      <c r="AM500" t="str">
        <f t="shared" si="214"/>
        <v/>
      </c>
    </row>
    <row r="501" spans="1:39" ht="15" customHeight="1" x14ac:dyDescent="0.25">
      <c r="A501" s="131"/>
      <c r="B501" s="133"/>
      <c r="C501" s="133"/>
      <c r="D501" s="42" t="str">
        <f t="shared" si="189"/>
        <v/>
      </c>
      <c r="E501" s="43"/>
      <c r="F501" s="135"/>
      <c r="G501" s="77" t="str">
        <f t="shared" si="190"/>
        <v/>
      </c>
      <c r="H501" s="32" t="str">
        <f t="shared" si="191"/>
        <v/>
      </c>
      <c r="I501" s="78" t="str">
        <f t="shared" si="192"/>
        <v/>
      </c>
      <c r="J501" s="70" t="str">
        <f t="shared" si="193"/>
        <v/>
      </c>
      <c r="K501" s="135"/>
      <c r="L501" s="72" t="str">
        <f t="shared" si="194"/>
        <v/>
      </c>
      <c r="M501" s="135"/>
      <c r="N501" s="72" t="str">
        <f t="shared" si="195"/>
        <v/>
      </c>
      <c r="O501" s="135"/>
      <c r="P501" s="136"/>
      <c r="Q501" s="123" t="str">
        <f t="shared" si="196"/>
        <v/>
      </c>
      <c r="R501" s="45" t="str">
        <f t="shared" si="197"/>
        <v/>
      </c>
      <c r="S501" s="137"/>
      <c r="T501" s="79" t="str">
        <f t="shared" si="206"/>
        <v/>
      </c>
      <c r="U501" s="79" t="str">
        <f t="shared" si="198"/>
        <v/>
      </c>
      <c r="V501" s="73" t="str">
        <f t="shared" si="199"/>
        <v/>
      </c>
      <c r="W501" s="80" t="str">
        <f t="shared" si="200"/>
        <v/>
      </c>
      <c r="X501" s="73" t="str">
        <f t="shared" si="201"/>
        <v/>
      </c>
      <c r="Y501" s="80" t="str">
        <f t="shared" si="202"/>
        <v/>
      </c>
      <c r="Z501" s="74" t="str">
        <f t="shared" si="203"/>
        <v/>
      </c>
      <c r="AA501" s="75" t="str">
        <f t="shared" si="207"/>
        <v/>
      </c>
      <c r="AB501" s="103" t="str">
        <f t="shared" si="204"/>
        <v/>
      </c>
      <c r="AC501" s="104" t="str">
        <f t="shared" si="215"/>
        <v/>
      </c>
      <c r="AE501" s="139"/>
      <c r="AF501" s="110" t="str">
        <f t="shared" si="208"/>
        <v/>
      </c>
      <c r="AG501" s="111" t="str">
        <f t="shared" si="209"/>
        <v/>
      </c>
      <c r="AH501" s="111" t="str">
        <f t="shared" si="205"/>
        <v/>
      </c>
      <c r="AI501" s="111" t="str">
        <f t="shared" si="210"/>
        <v/>
      </c>
      <c r="AJ501" s="111" t="str">
        <f t="shared" si="211"/>
        <v/>
      </c>
      <c r="AK501" s="112" t="str">
        <f t="shared" si="212"/>
        <v/>
      </c>
      <c r="AL501" t="str">
        <f t="shared" si="213"/>
        <v/>
      </c>
      <c r="AM501" t="str">
        <f t="shared" si="214"/>
        <v/>
      </c>
    </row>
    <row r="502" spans="1:39" ht="15" customHeight="1" x14ac:dyDescent="0.25">
      <c r="A502" s="131"/>
      <c r="B502" s="133"/>
      <c r="C502" s="133"/>
      <c r="D502" s="42" t="str">
        <f t="shared" si="189"/>
        <v/>
      </c>
      <c r="E502" s="43"/>
      <c r="F502" s="135"/>
      <c r="G502" s="77" t="str">
        <f t="shared" si="190"/>
        <v/>
      </c>
      <c r="H502" s="32" t="str">
        <f t="shared" si="191"/>
        <v/>
      </c>
      <c r="I502" s="78" t="str">
        <f t="shared" si="192"/>
        <v/>
      </c>
      <c r="J502" s="70" t="str">
        <f t="shared" si="193"/>
        <v/>
      </c>
      <c r="K502" s="135"/>
      <c r="L502" s="72" t="str">
        <f t="shared" si="194"/>
        <v/>
      </c>
      <c r="M502" s="135"/>
      <c r="N502" s="72" t="str">
        <f t="shared" si="195"/>
        <v/>
      </c>
      <c r="O502" s="135"/>
      <c r="P502" s="136"/>
      <c r="Q502" s="123" t="str">
        <f t="shared" si="196"/>
        <v/>
      </c>
      <c r="R502" s="45" t="str">
        <f t="shared" si="197"/>
        <v/>
      </c>
      <c r="S502" s="137"/>
      <c r="T502" s="79" t="str">
        <f t="shared" si="206"/>
        <v/>
      </c>
      <c r="U502" s="79" t="str">
        <f t="shared" si="198"/>
        <v/>
      </c>
      <c r="V502" s="73" t="str">
        <f t="shared" si="199"/>
        <v/>
      </c>
      <c r="W502" s="80" t="str">
        <f t="shared" si="200"/>
        <v/>
      </c>
      <c r="X502" s="73" t="str">
        <f t="shared" si="201"/>
        <v/>
      </c>
      <c r="Y502" s="80" t="str">
        <f t="shared" si="202"/>
        <v/>
      </c>
      <c r="Z502" s="74" t="str">
        <f t="shared" si="203"/>
        <v/>
      </c>
      <c r="AA502" s="75" t="str">
        <f t="shared" si="207"/>
        <v/>
      </c>
      <c r="AB502" s="103" t="str">
        <f t="shared" si="204"/>
        <v/>
      </c>
      <c r="AC502" s="104" t="str">
        <f t="shared" si="215"/>
        <v/>
      </c>
      <c r="AE502" s="139"/>
      <c r="AF502" s="110" t="str">
        <f t="shared" si="208"/>
        <v/>
      </c>
      <c r="AG502" s="111" t="str">
        <f t="shared" si="209"/>
        <v/>
      </c>
      <c r="AH502" s="111" t="str">
        <f t="shared" si="205"/>
        <v/>
      </c>
      <c r="AI502" s="111" t="str">
        <f t="shared" si="210"/>
        <v/>
      </c>
      <c r="AJ502" s="111" t="str">
        <f t="shared" si="211"/>
        <v/>
      </c>
      <c r="AK502" s="112" t="str">
        <f t="shared" si="212"/>
        <v/>
      </c>
      <c r="AL502" t="str">
        <f t="shared" si="213"/>
        <v/>
      </c>
      <c r="AM502" t="str">
        <f t="shared" si="214"/>
        <v/>
      </c>
    </row>
    <row r="503" spans="1:39" ht="15" customHeight="1" x14ac:dyDescent="0.25">
      <c r="A503" s="131"/>
      <c r="B503" s="133"/>
      <c r="C503" s="133"/>
      <c r="D503" s="42" t="str">
        <f t="shared" si="189"/>
        <v/>
      </c>
      <c r="E503" s="43"/>
      <c r="F503" s="135"/>
      <c r="G503" s="77" t="str">
        <f t="shared" si="190"/>
        <v/>
      </c>
      <c r="H503" s="32" t="str">
        <f t="shared" si="191"/>
        <v/>
      </c>
      <c r="I503" s="78" t="str">
        <f t="shared" si="192"/>
        <v/>
      </c>
      <c r="J503" s="70" t="str">
        <f t="shared" si="193"/>
        <v/>
      </c>
      <c r="K503" s="135"/>
      <c r="L503" s="72" t="str">
        <f t="shared" si="194"/>
        <v/>
      </c>
      <c r="M503" s="135"/>
      <c r="N503" s="72" t="str">
        <f t="shared" si="195"/>
        <v/>
      </c>
      <c r="O503" s="135"/>
      <c r="P503" s="136"/>
      <c r="Q503" s="123" t="str">
        <f t="shared" si="196"/>
        <v/>
      </c>
      <c r="R503" s="45" t="str">
        <f t="shared" si="197"/>
        <v/>
      </c>
      <c r="S503" s="137"/>
      <c r="T503" s="79" t="str">
        <f t="shared" si="206"/>
        <v/>
      </c>
      <c r="U503" s="79" t="str">
        <f t="shared" si="198"/>
        <v/>
      </c>
      <c r="V503" s="73" t="str">
        <f t="shared" si="199"/>
        <v/>
      </c>
      <c r="W503" s="80" t="str">
        <f t="shared" si="200"/>
        <v/>
      </c>
      <c r="X503" s="73" t="str">
        <f t="shared" si="201"/>
        <v/>
      </c>
      <c r="Y503" s="80" t="str">
        <f t="shared" si="202"/>
        <v/>
      </c>
      <c r="Z503" s="74" t="str">
        <f t="shared" si="203"/>
        <v/>
      </c>
      <c r="AA503" s="75" t="str">
        <f t="shared" si="207"/>
        <v/>
      </c>
      <c r="AB503" s="103" t="str">
        <f t="shared" si="204"/>
        <v/>
      </c>
      <c r="AC503" s="104" t="str">
        <f t="shared" si="215"/>
        <v/>
      </c>
      <c r="AE503" s="139"/>
      <c r="AF503" s="110" t="str">
        <f t="shared" si="208"/>
        <v/>
      </c>
      <c r="AG503" s="111" t="str">
        <f t="shared" si="209"/>
        <v/>
      </c>
      <c r="AH503" s="111" t="str">
        <f t="shared" si="205"/>
        <v/>
      </c>
      <c r="AI503" s="111" t="str">
        <f t="shared" si="210"/>
        <v/>
      </c>
      <c r="AJ503" s="111" t="str">
        <f t="shared" si="211"/>
        <v/>
      </c>
      <c r="AK503" s="112" t="str">
        <f t="shared" si="212"/>
        <v/>
      </c>
      <c r="AL503" t="str">
        <f t="shared" si="213"/>
        <v/>
      </c>
      <c r="AM503" t="str">
        <f t="shared" si="214"/>
        <v/>
      </c>
    </row>
    <row r="504" spans="1:39" ht="15" customHeight="1" x14ac:dyDescent="0.25">
      <c r="A504" s="131"/>
      <c r="B504" s="133"/>
      <c r="C504" s="133"/>
      <c r="D504" s="42" t="str">
        <f t="shared" si="189"/>
        <v/>
      </c>
      <c r="E504" s="43"/>
      <c r="F504" s="135"/>
      <c r="G504" s="77" t="str">
        <f t="shared" si="190"/>
        <v/>
      </c>
      <c r="H504" s="32" t="str">
        <f t="shared" si="191"/>
        <v/>
      </c>
      <c r="I504" s="78" t="str">
        <f t="shared" si="192"/>
        <v/>
      </c>
      <c r="J504" s="70" t="str">
        <f t="shared" si="193"/>
        <v/>
      </c>
      <c r="K504" s="135"/>
      <c r="L504" s="72" t="str">
        <f t="shared" si="194"/>
        <v/>
      </c>
      <c r="M504" s="135"/>
      <c r="N504" s="72" t="str">
        <f t="shared" si="195"/>
        <v/>
      </c>
      <c r="O504" s="135"/>
      <c r="P504" s="136"/>
      <c r="Q504" s="123" t="str">
        <f t="shared" si="196"/>
        <v/>
      </c>
      <c r="R504" s="45" t="str">
        <f t="shared" si="197"/>
        <v/>
      </c>
      <c r="S504" s="137"/>
      <c r="T504" s="79" t="str">
        <f t="shared" si="206"/>
        <v/>
      </c>
      <c r="U504" s="79" t="str">
        <f t="shared" si="198"/>
        <v/>
      </c>
      <c r="V504" s="73" t="str">
        <f t="shared" si="199"/>
        <v/>
      </c>
      <c r="W504" s="80" t="str">
        <f t="shared" si="200"/>
        <v/>
      </c>
      <c r="X504" s="73" t="str">
        <f t="shared" si="201"/>
        <v/>
      </c>
      <c r="Y504" s="80" t="str">
        <f t="shared" si="202"/>
        <v/>
      </c>
      <c r="Z504" s="74" t="str">
        <f t="shared" si="203"/>
        <v/>
      </c>
      <c r="AA504" s="75" t="str">
        <f t="shared" si="207"/>
        <v/>
      </c>
      <c r="AB504" s="103" t="str">
        <f t="shared" si="204"/>
        <v/>
      </c>
      <c r="AC504" s="104" t="str">
        <f t="shared" si="215"/>
        <v/>
      </c>
      <c r="AE504" s="139"/>
      <c r="AF504" s="110" t="str">
        <f t="shared" si="208"/>
        <v/>
      </c>
      <c r="AG504" s="111" t="str">
        <f t="shared" si="209"/>
        <v/>
      </c>
      <c r="AH504" s="111" t="str">
        <f t="shared" si="205"/>
        <v/>
      </c>
      <c r="AI504" s="111" t="str">
        <f t="shared" si="210"/>
        <v/>
      </c>
      <c r="AJ504" s="111" t="str">
        <f t="shared" si="211"/>
        <v/>
      </c>
      <c r="AK504" s="112" t="str">
        <f t="shared" si="212"/>
        <v/>
      </c>
      <c r="AL504" t="str">
        <f t="shared" si="213"/>
        <v/>
      </c>
      <c r="AM504" t="str">
        <f t="shared" si="214"/>
        <v/>
      </c>
    </row>
    <row r="505" spans="1:39" ht="15" customHeight="1" x14ac:dyDescent="0.25">
      <c r="A505" s="131"/>
      <c r="B505" s="133"/>
      <c r="C505" s="133"/>
      <c r="D505" s="42" t="str">
        <f t="shared" si="189"/>
        <v/>
      </c>
      <c r="E505" s="43"/>
      <c r="F505" s="135"/>
      <c r="G505" s="77" t="str">
        <f t="shared" si="190"/>
        <v/>
      </c>
      <c r="H505" s="32" t="str">
        <f t="shared" si="191"/>
        <v/>
      </c>
      <c r="I505" s="78" t="str">
        <f t="shared" si="192"/>
        <v/>
      </c>
      <c r="J505" s="70" t="str">
        <f t="shared" si="193"/>
        <v/>
      </c>
      <c r="K505" s="135"/>
      <c r="L505" s="72" t="str">
        <f t="shared" si="194"/>
        <v/>
      </c>
      <c r="M505" s="135"/>
      <c r="N505" s="72" t="str">
        <f t="shared" si="195"/>
        <v/>
      </c>
      <c r="O505" s="135"/>
      <c r="P505" s="136"/>
      <c r="Q505" s="123" t="str">
        <f t="shared" si="196"/>
        <v/>
      </c>
      <c r="R505" s="45" t="str">
        <f t="shared" si="197"/>
        <v/>
      </c>
      <c r="S505" s="137"/>
      <c r="T505" s="79" t="str">
        <f t="shared" si="206"/>
        <v/>
      </c>
      <c r="U505" s="79" t="str">
        <f t="shared" si="198"/>
        <v/>
      </c>
      <c r="V505" s="73" t="str">
        <f t="shared" si="199"/>
        <v/>
      </c>
      <c r="W505" s="80" t="str">
        <f t="shared" si="200"/>
        <v/>
      </c>
      <c r="X505" s="73" t="str">
        <f t="shared" si="201"/>
        <v/>
      </c>
      <c r="Y505" s="80" t="str">
        <f t="shared" si="202"/>
        <v/>
      </c>
      <c r="Z505" s="74" t="str">
        <f t="shared" si="203"/>
        <v/>
      </c>
      <c r="AA505" s="75" t="str">
        <f t="shared" si="207"/>
        <v/>
      </c>
      <c r="AB505" s="103" t="str">
        <f t="shared" si="204"/>
        <v/>
      </c>
      <c r="AC505" s="104" t="str">
        <f t="shared" si="215"/>
        <v/>
      </c>
      <c r="AE505" s="139"/>
      <c r="AF505" s="110" t="str">
        <f t="shared" si="208"/>
        <v/>
      </c>
      <c r="AG505" s="111" t="str">
        <f t="shared" si="209"/>
        <v/>
      </c>
      <c r="AH505" s="111" t="str">
        <f t="shared" si="205"/>
        <v/>
      </c>
      <c r="AI505" s="111" t="str">
        <f t="shared" si="210"/>
        <v/>
      </c>
      <c r="AJ505" s="111" t="str">
        <f t="shared" si="211"/>
        <v/>
      </c>
      <c r="AK505" s="112" t="str">
        <f t="shared" si="212"/>
        <v/>
      </c>
      <c r="AL505" t="str">
        <f t="shared" si="213"/>
        <v/>
      </c>
      <c r="AM505" t="str">
        <f t="shared" si="214"/>
        <v/>
      </c>
    </row>
    <row r="506" spans="1:39" ht="15" customHeight="1" x14ac:dyDescent="0.25">
      <c r="A506" s="131"/>
      <c r="B506" s="133"/>
      <c r="C506" s="133"/>
      <c r="D506" s="42" t="str">
        <f t="shared" si="189"/>
        <v/>
      </c>
      <c r="E506" s="43"/>
      <c r="F506" s="135"/>
      <c r="G506" s="77" t="str">
        <f t="shared" si="190"/>
        <v/>
      </c>
      <c r="H506" s="32" t="str">
        <f t="shared" si="191"/>
        <v/>
      </c>
      <c r="I506" s="78" t="str">
        <f t="shared" si="192"/>
        <v/>
      </c>
      <c r="J506" s="70" t="str">
        <f t="shared" si="193"/>
        <v/>
      </c>
      <c r="K506" s="135"/>
      <c r="L506" s="72" t="str">
        <f t="shared" si="194"/>
        <v/>
      </c>
      <c r="M506" s="135"/>
      <c r="N506" s="72" t="str">
        <f t="shared" si="195"/>
        <v/>
      </c>
      <c r="O506" s="135"/>
      <c r="P506" s="136"/>
      <c r="Q506" s="123" t="str">
        <f t="shared" si="196"/>
        <v/>
      </c>
      <c r="R506" s="45" t="str">
        <f t="shared" si="197"/>
        <v/>
      </c>
      <c r="S506" s="137"/>
      <c r="T506" s="79" t="str">
        <f t="shared" si="206"/>
        <v/>
      </c>
      <c r="U506" s="79" t="str">
        <f t="shared" si="198"/>
        <v/>
      </c>
      <c r="V506" s="73" t="str">
        <f t="shared" si="199"/>
        <v/>
      </c>
      <c r="W506" s="80" t="str">
        <f t="shared" si="200"/>
        <v/>
      </c>
      <c r="X506" s="73" t="str">
        <f t="shared" si="201"/>
        <v/>
      </c>
      <c r="Y506" s="80" t="str">
        <f t="shared" si="202"/>
        <v/>
      </c>
      <c r="Z506" s="74" t="str">
        <f t="shared" si="203"/>
        <v/>
      </c>
      <c r="AA506" s="75" t="str">
        <f t="shared" si="207"/>
        <v/>
      </c>
      <c r="AB506" s="103" t="str">
        <f t="shared" si="204"/>
        <v/>
      </c>
      <c r="AC506" s="104" t="str">
        <f t="shared" si="215"/>
        <v/>
      </c>
      <c r="AE506" s="139"/>
      <c r="AF506" s="110" t="str">
        <f t="shared" si="208"/>
        <v/>
      </c>
      <c r="AG506" s="111" t="str">
        <f t="shared" si="209"/>
        <v/>
      </c>
      <c r="AH506" s="111" t="str">
        <f t="shared" si="205"/>
        <v/>
      </c>
      <c r="AI506" s="111" t="str">
        <f t="shared" si="210"/>
        <v/>
      </c>
      <c r="AJ506" s="111" t="str">
        <f t="shared" si="211"/>
        <v/>
      </c>
      <c r="AK506" s="112" t="str">
        <f t="shared" si="212"/>
        <v/>
      </c>
      <c r="AL506" t="str">
        <f t="shared" si="213"/>
        <v/>
      </c>
      <c r="AM506" t="str">
        <f t="shared" si="214"/>
        <v/>
      </c>
    </row>
    <row r="507" spans="1:39" ht="15" customHeight="1" x14ac:dyDescent="0.25">
      <c r="A507" s="131"/>
      <c r="B507" s="133"/>
      <c r="C507" s="133"/>
      <c r="D507" s="42" t="str">
        <f t="shared" si="189"/>
        <v/>
      </c>
      <c r="E507" s="43"/>
      <c r="F507" s="135"/>
      <c r="G507" s="77" t="str">
        <f t="shared" si="190"/>
        <v/>
      </c>
      <c r="H507" s="32" t="str">
        <f t="shared" si="191"/>
        <v/>
      </c>
      <c r="I507" s="78" t="str">
        <f t="shared" si="192"/>
        <v/>
      </c>
      <c r="J507" s="70" t="str">
        <f t="shared" si="193"/>
        <v/>
      </c>
      <c r="K507" s="135"/>
      <c r="L507" s="72" t="str">
        <f t="shared" si="194"/>
        <v/>
      </c>
      <c r="M507" s="135"/>
      <c r="N507" s="72" t="str">
        <f t="shared" si="195"/>
        <v/>
      </c>
      <c r="O507" s="135"/>
      <c r="P507" s="136"/>
      <c r="Q507" s="123" t="str">
        <f t="shared" si="196"/>
        <v/>
      </c>
      <c r="R507" s="45" t="str">
        <f t="shared" si="197"/>
        <v/>
      </c>
      <c r="S507" s="137"/>
      <c r="T507" s="79" t="str">
        <f t="shared" si="206"/>
        <v/>
      </c>
      <c r="U507" s="79" t="str">
        <f t="shared" si="198"/>
        <v/>
      </c>
      <c r="V507" s="73" t="str">
        <f t="shared" si="199"/>
        <v/>
      </c>
      <c r="W507" s="80" t="str">
        <f t="shared" si="200"/>
        <v/>
      </c>
      <c r="X507" s="73" t="str">
        <f t="shared" si="201"/>
        <v/>
      </c>
      <c r="Y507" s="80" t="str">
        <f t="shared" si="202"/>
        <v/>
      </c>
      <c r="Z507" s="74" t="str">
        <f t="shared" si="203"/>
        <v/>
      </c>
      <c r="AA507" s="75" t="str">
        <f t="shared" si="207"/>
        <v/>
      </c>
      <c r="AB507" s="103" t="str">
        <f t="shared" si="204"/>
        <v/>
      </c>
      <c r="AC507" s="104" t="str">
        <f t="shared" si="215"/>
        <v/>
      </c>
      <c r="AE507" s="139"/>
      <c r="AF507" s="110" t="str">
        <f t="shared" si="208"/>
        <v/>
      </c>
      <c r="AG507" s="111" t="str">
        <f t="shared" si="209"/>
        <v/>
      </c>
      <c r="AH507" s="111" t="str">
        <f t="shared" si="205"/>
        <v/>
      </c>
      <c r="AI507" s="111" t="str">
        <f t="shared" si="210"/>
        <v/>
      </c>
      <c r="AJ507" s="111" t="str">
        <f t="shared" si="211"/>
        <v/>
      </c>
      <c r="AK507" s="112" t="str">
        <f t="shared" si="212"/>
        <v/>
      </c>
      <c r="AL507" t="str">
        <f t="shared" si="213"/>
        <v/>
      </c>
      <c r="AM507" t="str">
        <f t="shared" si="214"/>
        <v/>
      </c>
    </row>
    <row r="508" spans="1:39" ht="15" customHeight="1" x14ac:dyDescent="0.25">
      <c r="A508" s="131"/>
      <c r="B508" s="133"/>
      <c r="C508" s="133"/>
      <c r="D508" s="42" t="str">
        <f t="shared" si="189"/>
        <v/>
      </c>
      <c r="E508" s="43"/>
      <c r="F508" s="135"/>
      <c r="G508" s="77" t="str">
        <f t="shared" si="190"/>
        <v/>
      </c>
      <c r="H508" s="32" t="str">
        <f t="shared" si="191"/>
        <v/>
      </c>
      <c r="I508" s="78" t="str">
        <f t="shared" si="192"/>
        <v/>
      </c>
      <c r="J508" s="70" t="str">
        <f t="shared" si="193"/>
        <v/>
      </c>
      <c r="K508" s="135"/>
      <c r="L508" s="72" t="str">
        <f t="shared" si="194"/>
        <v/>
      </c>
      <c r="M508" s="135"/>
      <c r="N508" s="72" t="str">
        <f t="shared" si="195"/>
        <v/>
      </c>
      <c r="O508" s="135"/>
      <c r="P508" s="136"/>
      <c r="Q508" s="123" t="str">
        <f t="shared" si="196"/>
        <v/>
      </c>
      <c r="R508" s="45" t="str">
        <f t="shared" si="197"/>
        <v/>
      </c>
      <c r="S508" s="137"/>
      <c r="T508" s="79" t="str">
        <f t="shared" si="206"/>
        <v/>
      </c>
      <c r="U508" s="79" t="str">
        <f t="shared" si="198"/>
        <v/>
      </c>
      <c r="V508" s="73" t="str">
        <f t="shared" si="199"/>
        <v/>
      </c>
      <c r="W508" s="80" t="str">
        <f t="shared" si="200"/>
        <v/>
      </c>
      <c r="X508" s="73" t="str">
        <f t="shared" si="201"/>
        <v/>
      </c>
      <c r="Y508" s="80" t="str">
        <f t="shared" si="202"/>
        <v/>
      </c>
      <c r="Z508" s="74" t="str">
        <f t="shared" si="203"/>
        <v/>
      </c>
      <c r="AA508" s="75" t="str">
        <f t="shared" si="207"/>
        <v/>
      </c>
      <c r="AB508" s="103" t="str">
        <f t="shared" si="204"/>
        <v/>
      </c>
      <c r="AC508" s="104" t="str">
        <f t="shared" si="215"/>
        <v/>
      </c>
      <c r="AE508" s="139"/>
      <c r="AF508" s="110" t="str">
        <f t="shared" si="208"/>
        <v/>
      </c>
      <c r="AG508" s="111" t="str">
        <f t="shared" si="209"/>
        <v/>
      </c>
      <c r="AH508" s="111" t="str">
        <f t="shared" si="205"/>
        <v/>
      </c>
      <c r="AI508" s="111" t="str">
        <f t="shared" si="210"/>
        <v/>
      </c>
      <c r="AJ508" s="111" t="str">
        <f t="shared" si="211"/>
        <v/>
      </c>
      <c r="AK508" s="112" t="str">
        <f t="shared" si="212"/>
        <v/>
      </c>
      <c r="AL508" t="str">
        <f t="shared" si="213"/>
        <v/>
      </c>
      <c r="AM508" t="str">
        <f t="shared" si="214"/>
        <v/>
      </c>
    </row>
    <row r="509" spans="1:39" ht="15" customHeight="1" x14ac:dyDescent="0.25">
      <c r="A509" s="131"/>
      <c r="B509" s="133"/>
      <c r="C509" s="133"/>
      <c r="D509" s="42" t="str">
        <f t="shared" si="189"/>
        <v/>
      </c>
      <c r="E509" s="43"/>
      <c r="F509" s="135"/>
      <c r="G509" s="77" t="str">
        <f t="shared" si="190"/>
        <v/>
      </c>
      <c r="H509" s="32" t="str">
        <f t="shared" si="191"/>
        <v/>
      </c>
      <c r="I509" s="78" t="str">
        <f t="shared" si="192"/>
        <v/>
      </c>
      <c r="J509" s="70" t="str">
        <f t="shared" si="193"/>
        <v/>
      </c>
      <c r="K509" s="135"/>
      <c r="L509" s="72" t="str">
        <f t="shared" si="194"/>
        <v/>
      </c>
      <c r="M509" s="135"/>
      <c r="N509" s="72" t="str">
        <f t="shared" si="195"/>
        <v/>
      </c>
      <c r="O509" s="135"/>
      <c r="P509" s="136"/>
      <c r="Q509" s="123" t="str">
        <f t="shared" si="196"/>
        <v/>
      </c>
      <c r="R509" s="45" t="str">
        <f t="shared" si="197"/>
        <v/>
      </c>
      <c r="S509" s="137"/>
      <c r="T509" s="79" t="str">
        <f t="shared" si="206"/>
        <v/>
      </c>
      <c r="U509" s="79" t="str">
        <f t="shared" si="198"/>
        <v/>
      </c>
      <c r="V509" s="73" t="str">
        <f t="shared" si="199"/>
        <v/>
      </c>
      <c r="W509" s="80" t="str">
        <f t="shared" si="200"/>
        <v/>
      </c>
      <c r="X509" s="73" t="str">
        <f t="shared" si="201"/>
        <v/>
      </c>
      <c r="Y509" s="80" t="str">
        <f t="shared" si="202"/>
        <v/>
      </c>
      <c r="Z509" s="74" t="str">
        <f t="shared" si="203"/>
        <v/>
      </c>
      <c r="AA509" s="75" t="str">
        <f t="shared" si="207"/>
        <v/>
      </c>
      <c r="AB509" s="103" t="str">
        <f t="shared" si="204"/>
        <v/>
      </c>
      <c r="AC509" s="104" t="str">
        <f t="shared" si="215"/>
        <v/>
      </c>
      <c r="AE509" s="139"/>
      <c r="AF509" s="110" t="str">
        <f t="shared" si="208"/>
        <v/>
      </c>
      <c r="AG509" s="111" t="str">
        <f t="shared" si="209"/>
        <v/>
      </c>
      <c r="AH509" s="111" t="str">
        <f t="shared" si="205"/>
        <v/>
      </c>
      <c r="AI509" s="111" t="str">
        <f t="shared" si="210"/>
        <v/>
      </c>
      <c r="AJ509" s="111" t="str">
        <f t="shared" si="211"/>
        <v/>
      </c>
      <c r="AK509" s="112" t="str">
        <f t="shared" si="212"/>
        <v/>
      </c>
      <c r="AL509" t="str">
        <f t="shared" si="213"/>
        <v/>
      </c>
      <c r="AM509" t="str">
        <f t="shared" si="214"/>
        <v/>
      </c>
    </row>
    <row r="510" spans="1:39" ht="15" customHeight="1" x14ac:dyDescent="0.25">
      <c r="A510" s="131"/>
      <c r="B510" s="133"/>
      <c r="C510" s="133"/>
      <c r="D510" s="42" t="str">
        <f t="shared" si="189"/>
        <v/>
      </c>
      <c r="E510" s="43"/>
      <c r="F510" s="135"/>
      <c r="G510" s="77" t="str">
        <f t="shared" si="190"/>
        <v/>
      </c>
      <c r="H510" s="32" t="str">
        <f t="shared" si="191"/>
        <v/>
      </c>
      <c r="I510" s="78" t="str">
        <f t="shared" si="192"/>
        <v/>
      </c>
      <c r="J510" s="70" t="str">
        <f t="shared" si="193"/>
        <v/>
      </c>
      <c r="K510" s="135"/>
      <c r="L510" s="72" t="str">
        <f t="shared" si="194"/>
        <v/>
      </c>
      <c r="M510" s="135"/>
      <c r="N510" s="72" t="str">
        <f t="shared" si="195"/>
        <v/>
      </c>
      <c r="O510" s="135"/>
      <c r="P510" s="136"/>
      <c r="Q510" s="123" t="str">
        <f t="shared" si="196"/>
        <v/>
      </c>
      <c r="R510" s="45" t="str">
        <f t="shared" si="197"/>
        <v/>
      </c>
      <c r="S510" s="137"/>
      <c r="T510" s="79" t="str">
        <f t="shared" si="206"/>
        <v/>
      </c>
      <c r="U510" s="79" t="str">
        <f t="shared" si="198"/>
        <v/>
      </c>
      <c r="V510" s="73" t="str">
        <f t="shared" si="199"/>
        <v/>
      </c>
      <c r="W510" s="80" t="str">
        <f t="shared" si="200"/>
        <v/>
      </c>
      <c r="X510" s="73" t="str">
        <f t="shared" si="201"/>
        <v/>
      </c>
      <c r="Y510" s="80" t="str">
        <f t="shared" si="202"/>
        <v/>
      </c>
      <c r="Z510" s="74" t="str">
        <f t="shared" si="203"/>
        <v/>
      </c>
      <c r="AA510" s="75" t="str">
        <f t="shared" si="207"/>
        <v/>
      </c>
      <c r="AB510" s="103" t="str">
        <f t="shared" si="204"/>
        <v/>
      </c>
      <c r="AC510" s="104" t="str">
        <f t="shared" si="215"/>
        <v/>
      </c>
      <c r="AE510" s="139"/>
      <c r="AF510" s="110" t="str">
        <f t="shared" si="208"/>
        <v/>
      </c>
      <c r="AG510" s="111" t="str">
        <f t="shared" si="209"/>
        <v/>
      </c>
      <c r="AH510" s="111" t="str">
        <f t="shared" si="205"/>
        <v/>
      </c>
      <c r="AI510" s="111" t="str">
        <f t="shared" si="210"/>
        <v/>
      </c>
      <c r="AJ510" s="111" t="str">
        <f t="shared" si="211"/>
        <v/>
      </c>
      <c r="AK510" s="112" t="str">
        <f t="shared" si="212"/>
        <v/>
      </c>
      <c r="AL510" t="str">
        <f t="shared" si="213"/>
        <v/>
      </c>
      <c r="AM510" t="str">
        <f t="shared" si="214"/>
        <v/>
      </c>
    </row>
    <row r="511" spans="1:39" ht="15" customHeight="1" x14ac:dyDescent="0.25">
      <c r="A511" s="131"/>
      <c r="B511" s="133"/>
      <c r="C511" s="133"/>
      <c r="D511" s="42" t="str">
        <f t="shared" si="189"/>
        <v/>
      </c>
      <c r="E511" s="43"/>
      <c r="F511" s="135"/>
      <c r="G511" s="77" t="str">
        <f t="shared" si="190"/>
        <v/>
      </c>
      <c r="H511" s="32" t="str">
        <f t="shared" si="191"/>
        <v/>
      </c>
      <c r="I511" s="78" t="str">
        <f t="shared" si="192"/>
        <v/>
      </c>
      <c r="J511" s="70" t="str">
        <f t="shared" si="193"/>
        <v/>
      </c>
      <c r="K511" s="135"/>
      <c r="L511" s="72" t="str">
        <f t="shared" si="194"/>
        <v/>
      </c>
      <c r="M511" s="135"/>
      <c r="N511" s="72" t="str">
        <f t="shared" si="195"/>
        <v/>
      </c>
      <c r="O511" s="135"/>
      <c r="P511" s="136"/>
      <c r="Q511" s="123" t="str">
        <f t="shared" si="196"/>
        <v/>
      </c>
      <c r="R511" s="45" t="str">
        <f t="shared" si="197"/>
        <v/>
      </c>
      <c r="S511" s="137"/>
      <c r="T511" s="79" t="str">
        <f t="shared" si="206"/>
        <v/>
      </c>
      <c r="U511" s="79" t="str">
        <f t="shared" si="198"/>
        <v/>
      </c>
      <c r="V511" s="73" t="str">
        <f t="shared" si="199"/>
        <v/>
      </c>
      <c r="W511" s="80" t="str">
        <f t="shared" si="200"/>
        <v/>
      </c>
      <c r="X511" s="73" t="str">
        <f t="shared" si="201"/>
        <v/>
      </c>
      <c r="Y511" s="80" t="str">
        <f t="shared" si="202"/>
        <v/>
      </c>
      <c r="Z511" s="74" t="str">
        <f t="shared" si="203"/>
        <v/>
      </c>
      <c r="AA511" s="75" t="str">
        <f t="shared" si="207"/>
        <v/>
      </c>
      <c r="AB511" s="103" t="str">
        <f t="shared" si="204"/>
        <v/>
      </c>
      <c r="AC511" s="104" t="str">
        <f t="shared" si="215"/>
        <v/>
      </c>
      <c r="AE511" s="139"/>
      <c r="AF511" s="110" t="str">
        <f t="shared" si="208"/>
        <v/>
      </c>
      <c r="AG511" s="111" t="str">
        <f t="shared" si="209"/>
        <v/>
      </c>
      <c r="AH511" s="111" t="str">
        <f t="shared" si="205"/>
        <v/>
      </c>
      <c r="AI511" s="111" t="str">
        <f t="shared" si="210"/>
        <v/>
      </c>
      <c r="AJ511" s="111" t="str">
        <f t="shared" si="211"/>
        <v/>
      </c>
      <c r="AK511" s="112" t="str">
        <f t="shared" si="212"/>
        <v/>
      </c>
      <c r="AL511" t="str">
        <f t="shared" si="213"/>
        <v/>
      </c>
      <c r="AM511" t="str">
        <f t="shared" si="214"/>
        <v/>
      </c>
    </row>
    <row r="512" spans="1:39" ht="15" customHeight="1" x14ac:dyDescent="0.25">
      <c r="A512" s="131"/>
      <c r="B512" s="133"/>
      <c r="C512" s="133"/>
      <c r="D512" s="42" t="str">
        <f t="shared" si="189"/>
        <v/>
      </c>
      <c r="E512" s="43"/>
      <c r="F512" s="135"/>
      <c r="G512" s="77" t="str">
        <f t="shared" si="190"/>
        <v/>
      </c>
      <c r="H512" s="32" t="str">
        <f t="shared" si="191"/>
        <v/>
      </c>
      <c r="I512" s="78" t="str">
        <f t="shared" si="192"/>
        <v/>
      </c>
      <c r="J512" s="70" t="str">
        <f t="shared" si="193"/>
        <v/>
      </c>
      <c r="K512" s="135"/>
      <c r="L512" s="72" t="str">
        <f t="shared" si="194"/>
        <v/>
      </c>
      <c r="M512" s="135"/>
      <c r="N512" s="72" t="str">
        <f t="shared" si="195"/>
        <v/>
      </c>
      <c r="O512" s="135"/>
      <c r="P512" s="136"/>
      <c r="Q512" s="123" t="str">
        <f t="shared" si="196"/>
        <v/>
      </c>
      <c r="R512" s="45" t="str">
        <f t="shared" si="197"/>
        <v/>
      </c>
      <c r="S512" s="137"/>
      <c r="T512" s="79" t="str">
        <f t="shared" si="206"/>
        <v/>
      </c>
      <c r="U512" s="79" t="str">
        <f t="shared" si="198"/>
        <v/>
      </c>
      <c r="V512" s="73" t="str">
        <f t="shared" si="199"/>
        <v/>
      </c>
      <c r="W512" s="80" t="str">
        <f t="shared" si="200"/>
        <v/>
      </c>
      <c r="X512" s="73" t="str">
        <f t="shared" si="201"/>
        <v/>
      </c>
      <c r="Y512" s="80" t="str">
        <f t="shared" si="202"/>
        <v/>
      </c>
      <c r="Z512" s="74" t="str">
        <f t="shared" si="203"/>
        <v/>
      </c>
      <c r="AA512" s="75" t="str">
        <f t="shared" si="207"/>
        <v/>
      </c>
      <c r="AB512" s="103" t="str">
        <f t="shared" si="204"/>
        <v/>
      </c>
      <c r="AC512" s="104" t="str">
        <f t="shared" si="215"/>
        <v/>
      </c>
      <c r="AE512" s="139"/>
      <c r="AF512" s="110" t="str">
        <f t="shared" si="208"/>
        <v/>
      </c>
      <c r="AG512" s="111" t="str">
        <f t="shared" si="209"/>
        <v/>
      </c>
      <c r="AH512" s="111" t="str">
        <f t="shared" si="205"/>
        <v/>
      </c>
      <c r="AI512" s="111" t="str">
        <f t="shared" si="210"/>
        <v/>
      </c>
      <c r="AJ512" s="111" t="str">
        <f t="shared" si="211"/>
        <v/>
      </c>
      <c r="AK512" s="112" t="str">
        <f t="shared" si="212"/>
        <v/>
      </c>
      <c r="AL512" t="str">
        <f t="shared" si="213"/>
        <v/>
      </c>
      <c r="AM512" t="str">
        <f t="shared" si="214"/>
        <v/>
      </c>
    </row>
    <row r="513" spans="1:39" ht="15" customHeight="1" x14ac:dyDescent="0.25">
      <c r="A513" s="131"/>
      <c r="B513" s="133"/>
      <c r="C513" s="133"/>
      <c r="D513" s="42" t="str">
        <f t="shared" si="189"/>
        <v/>
      </c>
      <c r="E513" s="43"/>
      <c r="F513" s="135"/>
      <c r="G513" s="77" t="str">
        <f t="shared" si="190"/>
        <v/>
      </c>
      <c r="H513" s="32" t="str">
        <f t="shared" si="191"/>
        <v/>
      </c>
      <c r="I513" s="78" t="str">
        <f t="shared" si="192"/>
        <v/>
      </c>
      <c r="J513" s="70" t="str">
        <f t="shared" si="193"/>
        <v/>
      </c>
      <c r="K513" s="135"/>
      <c r="L513" s="72" t="str">
        <f t="shared" si="194"/>
        <v/>
      </c>
      <c r="M513" s="135"/>
      <c r="N513" s="72" t="str">
        <f t="shared" si="195"/>
        <v/>
      </c>
      <c r="O513" s="135"/>
      <c r="P513" s="136"/>
      <c r="Q513" s="123" t="str">
        <f t="shared" si="196"/>
        <v/>
      </c>
      <c r="R513" s="45" t="str">
        <f t="shared" si="197"/>
        <v/>
      </c>
      <c r="S513" s="137"/>
      <c r="T513" s="79" t="str">
        <f t="shared" si="206"/>
        <v/>
      </c>
      <c r="U513" s="79" t="str">
        <f t="shared" si="198"/>
        <v/>
      </c>
      <c r="V513" s="73" t="str">
        <f t="shared" si="199"/>
        <v/>
      </c>
      <c r="W513" s="80" t="str">
        <f t="shared" si="200"/>
        <v/>
      </c>
      <c r="X513" s="73" t="str">
        <f t="shared" si="201"/>
        <v/>
      </c>
      <c r="Y513" s="80" t="str">
        <f t="shared" si="202"/>
        <v/>
      </c>
      <c r="Z513" s="74" t="str">
        <f t="shared" si="203"/>
        <v/>
      </c>
      <c r="AA513" s="75" t="str">
        <f t="shared" si="207"/>
        <v/>
      </c>
      <c r="AB513" s="103" t="str">
        <f t="shared" si="204"/>
        <v/>
      </c>
      <c r="AC513" s="104" t="str">
        <f t="shared" si="215"/>
        <v/>
      </c>
      <c r="AE513" s="139"/>
      <c r="AF513" s="110" t="str">
        <f t="shared" si="208"/>
        <v/>
      </c>
      <c r="AG513" s="111" t="str">
        <f t="shared" si="209"/>
        <v/>
      </c>
      <c r="AH513" s="111" t="str">
        <f t="shared" si="205"/>
        <v/>
      </c>
      <c r="AI513" s="111" t="str">
        <f t="shared" si="210"/>
        <v/>
      </c>
      <c r="AJ513" s="111" t="str">
        <f t="shared" si="211"/>
        <v/>
      </c>
      <c r="AK513" s="112" t="str">
        <f t="shared" si="212"/>
        <v/>
      </c>
      <c r="AL513" t="str">
        <f t="shared" si="213"/>
        <v/>
      </c>
      <c r="AM513" t="str">
        <f t="shared" si="214"/>
        <v/>
      </c>
    </row>
    <row r="514" spans="1:39" ht="15" customHeight="1" x14ac:dyDescent="0.25">
      <c r="A514" s="131"/>
      <c r="B514" s="133"/>
      <c r="C514" s="133"/>
      <c r="D514" s="42" t="str">
        <f t="shared" si="189"/>
        <v/>
      </c>
      <c r="E514" s="43"/>
      <c r="F514" s="135"/>
      <c r="G514" s="77" t="str">
        <f t="shared" si="190"/>
        <v/>
      </c>
      <c r="H514" s="32" t="str">
        <f t="shared" si="191"/>
        <v/>
      </c>
      <c r="I514" s="78" t="str">
        <f t="shared" si="192"/>
        <v/>
      </c>
      <c r="J514" s="70" t="str">
        <f t="shared" si="193"/>
        <v/>
      </c>
      <c r="K514" s="135"/>
      <c r="L514" s="72" t="str">
        <f t="shared" si="194"/>
        <v/>
      </c>
      <c r="M514" s="135"/>
      <c r="N514" s="72" t="str">
        <f t="shared" si="195"/>
        <v/>
      </c>
      <c r="O514" s="135"/>
      <c r="P514" s="136"/>
      <c r="Q514" s="123" t="str">
        <f t="shared" si="196"/>
        <v/>
      </c>
      <c r="R514" s="45" t="str">
        <f t="shared" si="197"/>
        <v/>
      </c>
      <c r="S514" s="137"/>
      <c r="T514" s="79" t="str">
        <f t="shared" si="206"/>
        <v/>
      </c>
      <c r="U514" s="79" t="str">
        <f t="shared" si="198"/>
        <v/>
      </c>
      <c r="V514" s="73" t="str">
        <f t="shared" si="199"/>
        <v/>
      </c>
      <c r="W514" s="80" t="str">
        <f t="shared" si="200"/>
        <v/>
      </c>
      <c r="X514" s="73" t="str">
        <f t="shared" si="201"/>
        <v/>
      </c>
      <c r="Y514" s="80" t="str">
        <f t="shared" si="202"/>
        <v/>
      </c>
      <c r="Z514" s="74" t="str">
        <f t="shared" si="203"/>
        <v/>
      </c>
      <c r="AA514" s="75" t="str">
        <f t="shared" si="207"/>
        <v/>
      </c>
      <c r="AB514" s="103" t="str">
        <f t="shared" si="204"/>
        <v/>
      </c>
      <c r="AC514" s="104" t="str">
        <f t="shared" si="215"/>
        <v/>
      </c>
      <c r="AE514" s="139"/>
      <c r="AF514" s="110" t="str">
        <f t="shared" si="208"/>
        <v/>
      </c>
      <c r="AG514" s="111" t="str">
        <f t="shared" si="209"/>
        <v/>
      </c>
      <c r="AH514" s="111" t="str">
        <f t="shared" si="205"/>
        <v/>
      </c>
      <c r="AI514" s="111" t="str">
        <f t="shared" si="210"/>
        <v/>
      </c>
      <c r="AJ514" s="111" t="str">
        <f t="shared" si="211"/>
        <v/>
      </c>
      <c r="AK514" s="112" t="str">
        <f t="shared" si="212"/>
        <v/>
      </c>
      <c r="AL514" t="str">
        <f t="shared" si="213"/>
        <v/>
      </c>
      <c r="AM514" t="str">
        <f t="shared" si="214"/>
        <v/>
      </c>
    </row>
    <row r="515" spans="1:39" ht="15" customHeight="1" x14ac:dyDescent="0.25">
      <c r="A515" s="131"/>
      <c r="B515" s="133"/>
      <c r="C515" s="133"/>
      <c r="D515" s="42" t="str">
        <f t="shared" si="189"/>
        <v/>
      </c>
      <c r="E515" s="43"/>
      <c r="F515" s="135"/>
      <c r="G515" s="77" t="str">
        <f t="shared" si="190"/>
        <v/>
      </c>
      <c r="H515" s="32" t="str">
        <f t="shared" si="191"/>
        <v/>
      </c>
      <c r="I515" s="78" t="str">
        <f t="shared" si="192"/>
        <v/>
      </c>
      <c r="J515" s="70" t="str">
        <f t="shared" si="193"/>
        <v/>
      </c>
      <c r="K515" s="135"/>
      <c r="L515" s="72" t="str">
        <f t="shared" si="194"/>
        <v/>
      </c>
      <c r="M515" s="135"/>
      <c r="N515" s="72" t="str">
        <f t="shared" si="195"/>
        <v/>
      </c>
      <c r="O515" s="135"/>
      <c r="P515" s="136"/>
      <c r="Q515" s="123" t="str">
        <f t="shared" si="196"/>
        <v/>
      </c>
      <c r="R515" s="45" t="str">
        <f t="shared" si="197"/>
        <v/>
      </c>
      <c r="S515" s="137"/>
      <c r="T515" s="79" t="str">
        <f t="shared" si="206"/>
        <v/>
      </c>
      <c r="U515" s="79" t="str">
        <f t="shared" si="198"/>
        <v/>
      </c>
      <c r="V515" s="73" t="str">
        <f t="shared" si="199"/>
        <v/>
      </c>
      <c r="W515" s="80" t="str">
        <f t="shared" si="200"/>
        <v/>
      </c>
      <c r="X515" s="73" t="str">
        <f t="shared" si="201"/>
        <v/>
      </c>
      <c r="Y515" s="80" t="str">
        <f t="shared" si="202"/>
        <v/>
      </c>
      <c r="Z515" s="74" t="str">
        <f t="shared" si="203"/>
        <v/>
      </c>
      <c r="AA515" s="75" t="str">
        <f t="shared" si="207"/>
        <v/>
      </c>
      <c r="AB515" s="103" t="str">
        <f t="shared" si="204"/>
        <v/>
      </c>
      <c r="AC515" s="104" t="str">
        <f t="shared" si="215"/>
        <v/>
      </c>
      <c r="AE515" s="139"/>
      <c r="AF515" s="110" t="str">
        <f t="shared" si="208"/>
        <v/>
      </c>
      <c r="AG515" s="111" t="str">
        <f t="shared" si="209"/>
        <v/>
      </c>
      <c r="AH515" s="111" t="str">
        <f t="shared" si="205"/>
        <v/>
      </c>
      <c r="AI515" s="111" t="str">
        <f t="shared" si="210"/>
        <v/>
      </c>
      <c r="AJ515" s="111" t="str">
        <f t="shared" si="211"/>
        <v/>
      </c>
      <c r="AK515" s="112" t="str">
        <f t="shared" si="212"/>
        <v/>
      </c>
      <c r="AL515" t="str">
        <f t="shared" si="213"/>
        <v/>
      </c>
      <c r="AM515" t="str">
        <f t="shared" si="214"/>
        <v/>
      </c>
    </row>
    <row r="516" spans="1:39" ht="15" customHeight="1" x14ac:dyDescent="0.25">
      <c r="A516" s="131"/>
      <c r="B516" s="133"/>
      <c r="C516" s="133"/>
      <c r="D516" s="42" t="str">
        <f t="shared" si="189"/>
        <v/>
      </c>
      <c r="E516" s="43"/>
      <c r="F516" s="135"/>
      <c r="G516" s="77" t="str">
        <f t="shared" si="190"/>
        <v/>
      </c>
      <c r="H516" s="32" t="str">
        <f t="shared" si="191"/>
        <v/>
      </c>
      <c r="I516" s="78" t="str">
        <f t="shared" si="192"/>
        <v/>
      </c>
      <c r="J516" s="70" t="str">
        <f t="shared" si="193"/>
        <v/>
      </c>
      <c r="K516" s="135"/>
      <c r="L516" s="72" t="str">
        <f t="shared" si="194"/>
        <v/>
      </c>
      <c r="M516" s="135"/>
      <c r="N516" s="72" t="str">
        <f t="shared" si="195"/>
        <v/>
      </c>
      <c r="O516" s="135"/>
      <c r="P516" s="136"/>
      <c r="Q516" s="123" t="str">
        <f t="shared" si="196"/>
        <v/>
      </c>
      <c r="R516" s="45" t="str">
        <f t="shared" si="197"/>
        <v/>
      </c>
      <c r="S516" s="137"/>
      <c r="T516" s="79" t="str">
        <f t="shared" si="206"/>
        <v/>
      </c>
      <c r="U516" s="79" t="str">
        <f t="shared" si="198"/>
        <v/>
      </c>
      <c r="V516" s="73" t="str">
        <f t="shared" si="199"/>
        <v/>
      </c>
      <c r="W516" s="80" t="str">
        <f t="shared" si="200"/>
        <v/>
      </c>
      <c r="X516" s="73" t="str">
        <f t="shared" si="201"/>
        <v/>
      </c>
      <c r="Y516" s="80" t="str">
        <f t="shared" si="202"/>
        <v/>
      </c>
      <c r="Z516" s="74" t="str">
        <f t="shared" si="203"/>
        <v/>
      </c>
      <c r="AA516" s="75" t="str">
        <f t="shared" si="207"/>
        <v/>
      </c>
      <c r="AB516" s="103" t="str">
        <f t="shared" si="204"/>
        <v/>
      </c>
      <c r="AC516" s="104" t="str">
        <f t="shared" si="215"/>
        <v/>
      </c>
      <c r="AE516" s="139"/>
      <c r="AF516" s="110" t="str">
        <f t="shared" si="208"/>
        <v/>
      </c>
      <c r="AG516" s="111" t="str">
        <f t="shared" si="209"/>
        <v/>
      </c>
      <c r="AH516" s="111" t="str">
        <f t="shared" si="205"/>
        <v/>
      </c>
      <c r="AI516" s="111" t="str">
        <f t="shared" si="210"/>
        <v/>
      </c>
      <c r="AJ516" s="111" t="str">
        <f t="shared" si="211"/>
        <v/>
      </c>
      <c r="AK516" s="112" t="str">
        <f t="shared" si="212"/>
        <v/>
      </c>
      <c r="AL516" t="str">
        <f t="shared" si="213"/>
        <v/>
      </c>
      <c r="AM516" t="str">
        <f t="shared" si="214"/>
        <v/>
      </c>
    </row>
    <row r="517" spans="1:39" ht="15" customHeight="1" x14ac:dyDescent="0.25">
      <c r="A517" s="131"/>
      <c r="B517" s="133"/>
      <c r="C517" s="133"/>
      <c r="D517" s="42" t="str">
        <f t="shared" si="189"/>
        <v/>
      </c>
      <c r="E517" s="43"/>
      <c r="F517" s="135"/>
      <c r="G517" s="77" t="str">
        <f t="shared" si="190"/>
        <v/>
      </c>
      <c r="H517" s="32" t="str">
        <f t="shared" si="191"/>
        <v/>
      </c>
      <c r="I517" s="78" t="str">
        <f t="shared" si="192"/>
        <v/>
      </c>
      <c r="J517" s="70" t="str">
        <f t="shared" si="193"/>
        <v/>
      </c>
      <c r="K517" s="135"/>
      <c r="L517" s="72" t="str">
        <f t="shared" si="194"/>
        <v/>
      </c>
      <c r="M517" s="135"/>
      <c r="N517" s="72" t="str">
        <f t="shared" si="195"/>
        <v/>
      </c>
      <c r="O517" s="135"/>
      <c r="P517" s="136"/>
      <c r="Q517" s="123" t="str">
        <f t="shared" si="196"/>
        <v/>
      </c>
      <c r="R517" s="45" t="str">
        <f t="shared" si="197"/>
        <v/>
      </c>
      <c r="S517" s="137"/>
      <c r="T517" s="79" t="str">
        <f t="shared" si="206"/>
        <v/>
      </c>
      <c r="U517" s="79" t="str">
        <f t="shared" si="198"/>
        <v/>
      </c>
      <c r="V517" s="73" t="str">
        <f t="shared" si="199"/>
        <v/>
      </c>
      <c r="W517" s="80" t="str">
        <f t="shared" si="200"/>
        <v/>
      </c>
      <c r="X517" s="73" t="str">
        <f t="shared" si="201"/>
        <v/>
      </c>
      <c r="Y517" s="80" t="str">
        <f t="shared" si="202"/>
        <v/>
      </c>
      <c r="Z517" s="74" t="str">
        <f t="shared" si="203"/>
        <v/>
      </c>
      <c r="AA517" s="75" t="str">
        <f t="shared" si="207"/>
        <v/>
      </c>
      <c r="AB517" s="103" t="str">
        <f t="shared" si="204"/>
        <v/>
      </c>
      <c r="AC517" s="104" t="str">
        <f t="shared" si="215"/>
        <v/>
      </c>
      <c r="AE517" s="139"/>
      <c r="AF517" s="110" t="str">
        <f t="shared" si="208"/>
        <v/>
      </c>
      <c r="AG517" s="111" t="str">
        <f t="shared" si="209"/>
        <v/>
      </c>
      <c r="AH517" s="111" t="str">
        <f t="shared" si="205"/>
        <v/>
      </c>
      <c r="AI517" s="111" t="str">
        <f t="shared" si="210"/>
        <v/>
      </c>
      <c r="AJ517" s="111" t="str">
        <f t="shared" si="211"/>
        <v/>
      </c>
      <c r="AK517" s="112" t="str">
        <f t="shared" si="212"/>
        <v/>
      </c>
      <c r="AL517" t="str">
        <f t="shared" si="213"/>
        <v/>
      </c>
      <c r="AM517" t="str">
        <f t="shared" si="214"/>
        <v/>
      </c>
    </row>
    <row r="518" spans="1:39" ht="15" customHeight="1" x14ac:dyDescent="0.25">
      <c r="A518" s="131"/>
      <c r="B518" s="133"/>
      <c r="C518" s="133"/>
      <c r="D518" s="42" t="str">
        <f t="shared" si="189"/>
        <v/>
      </c>
      <c r="E518" s="43"/>
      <c r="F518" s="135"/>
      <c r="G518" s="77" t="str">
        <f t="shared" si="190"/>
        <v/>
      </c>
      <c r="H518" s="32" t="str">
        <f t="shared" si="191"/>
        <v/>
      </c>
      <c r="I518" s="78" t="str">
        <f t="shared" si="192"/>
        <v/>
      </c>
      <c r="J518" s="70" t="str">
        <f t="shared" si="193"/>
        <v/>
      </c>
      <c r="K518" s="135"/>
      <c r="L518" s="72" t="str">
        <f t="shared" si="194"/>
        <v/>
      </c>
      <c r="M518" s="135"/>
      <c r="N518" s="72" t="str">
        <f t="shared" si="195"/>
        <v/>
      </c>
      <c r="O518" s="135"/>
      <c r="P518" s="136"/>
      <c r="Q518" s="123" t="str">
        <f t="shared" si="196"/>
        <v/>
      </c>
      <c r="R518" s="45" t="str">
        <f t="shared" si="197"/>
        <v/>
      </c>
      <c r="S518" s="137"/>
      <c r="T518" s="79" t="str">
        <f t="shared" si="206"/>
        <v/>
      </c>
      <c r="U518" s="79" t="str">
        <f t="shared" si="198"/>
        <v/>
      </c>
      <c r="V518" s="73" t="str">
        <f t="shared" si="199"/>
        <v/>
      </c>
      <c r="W518" s="80" t="str">
        <f t="shared" si="200"/>
        <v/>
      </c>
      <c r="X518" s="73" t="str">
        <f t="shared" si="201"/>
        <v/>
      </c>
      <c r="Y518" s="80" t="str">
        <f t="shared" si="202"/>
        <v/>
      </c>
      <c r="Z518" s="74" t="str">
        <f t="shared" si="203"/>
        <v/>
      </c>
      <c r="AA518" s="75" t="str">
        <f t="shared" si="207"/>
        <v/>
      </c>
      <c r="AB518" s="103" t="str">
        <f t="shared" si="204"/>
        <v/>
      </c>
      <c r="AC518" s="104" t="str">
        <f t="shared" si="215"/>
        <v/>
      </c>
      <c r="AE518" s="139"/>
      <c r="AF518" s="110" t="str">
        <f t="shared" si="208"/>
        <v/>
      </c>
      <c r="AG518" s="111" t="str">
        <f t="shared" si="209"/>
        <v/>
      </c>
      <c r="AH518" s="111" t="str">
        <f t="shared" si="205"/>
        <v/>
      </c>
      <c r="AI518" s="111" t="str">
        <f t="shared" si="210"/>
        <v/>
      </c>
      <c r="AJ518" s="111" t="str">
        <f t="shared" si="211"/>
        <v/>
      </c>
      <c r="AK518" s="112" t="str">
        <f t="shared" si="212"/>
        <v/>
      </c>
      <c r="AL518" t="str">
        <f t="shared" si="213"/>
        <v/>
      </c>
      <c r="AM518" t="str">
        <f t="shared" si="214"/>
        <v/>
      </c>
    </row>
    <row r="519" spans="1:39" ht="15" customHeight="1" x14ac:dyDescent="0.25">
      <c r="A519" s="131"/>
      <c r="B519" s="133"/>
      <c r="C519" s="133"/>
      <c r="D519" s="42" t="str">
        <f t="shared" si="189"/>
        <v/>
      </c>
      <c r="E519" s="43"/>
      <c r="F519" s="135"/>
      <c r="G519" s="77" t="str">
        <f t="shared" si="190"/>
        <v/>
      </c>
      <c r="H519" s="32" t="str">
        <f t="shared" si="191"/>
        <v/>
      </c>
      <c r="I519" s="78" t="str">
        <f t="shared" si="192"/>
        <v/>
      </c>
      <c r="J519" s="70" t="str">
        <f t="shared" si="193"/>
        <v/>
      </c>
      <c r="K519" s="135"/>
      <c r="L519" s="72" t="str">
        <f t="shared" si="194"/>
        <v/>
      </c>
      <c r="M519" s="135"/>
      <c r="N519" s="72" t="str">
        <f t="shared" si="195"/>
        <v/>
      </c>
      <c r="O519" s="135"/>
      <c r="P519" s="136"/>
      <c r="Q519" s="123" t="str">
        <f t="shared" si="196"/>
        <v/>
      </c>
      <c r="R519" s="45" t="str">
        <f t="shared" si="197"/>
        <v/>
      </c>
      <c r="S519" s="137"/>
      <c r="T519" s="79" t="str">
        <f t="shared" si="206"/>
        <v/>
      </c>
      <c r="U519" s="79" t="str">
        <f t="shared" si="198"/>
        <v/>
      </c>
      <c r="V519" s="73" t="str">
        <f t="shared" si="199"/>
        <v/>
      </c>
      <c r="W519" s="80" t="str">
        <f t="shared" si="200"/>
        <v/>
      </c>
      <c r="X519" s="73" t="str">
        <f t="shared" si="201"/>
        <v/>
      </c>
      <c r="Y519" s="80" t="str">
        <f t="shared" si="202"/>
        <v/>
      </c>
      <c r="Z519" s="74" t="str">
        <f t="shared" si="203"/>
        <v/>
      </c>
      <c r="AA519" s="75" t="str">
        <f t="shared" si="207"/>
        <v/>
      </c>
      <c r="AB519" s="103" t="str">
        <f t="shared" si="204"/>
        <v/>
      </c>
      <c r="AC519" s="104" t="str">
        <f t="shared" si="215"/>
        <v/>
      </c>
      <c r="AE519" s="139"/>
      <c r="AF519" s="110" t="str">
        <f t="shared" si="208"/>
        <v/>
      </c>
      <c r="AG519" s="111" t="str">
        <f t="shared" si="209"/>
        <v/>
      </c>
      <c r="AH519" s="111" t="str">
        <f t="shared" si="205"/>
        <v/>
      </c>
      <c r="AI519" s="111" t="str">
        <f t="shared" si="210"/>
        <v/>
      </c>
      <c r="AJ519" s="111" t="str">
        <f t="shared" si="211"/>
        <v/>
      </c>
      <c r="AK519" s="112" t="str">
        <f t="shared" si="212"/>
        <v/>
      </c>
      <c r="AL519" t="str">
        <f t="shared" si="213"/>
        <v/>
      </c>
      <c r="AM519" t="str">
        <f t="shared" si="214"/>
        <v/>
      </c>
    </row>
    <row r="520" spans="1:39" ht="15" customHeight="1" x14ac:dyDescent="0.25">
      <c r="A520" s="131"/>
      <c r="B520" s="133"/>
      <c r="C520" s="133"/>
      <c r="D520" s="42" t="str">
        <f t="shared" ref="D520:D583" si="216">IF(A520="","",B520*C520)</f>
        <v/>
      </c>
      <c r="E520" s="43"/>
      <c r="F520" s="135"/>
      <c r="G520" s="77" t="str">
        <f t="shared" ref="G520:G583" si="217">IF(OR(F520="",C520=0,C520=""),"",F520/C520)</f>
        <v/>
      </c>
      <c r="H520" s="32" t="str">
        <f t="shared" ref="H520:H583" si="218">IF(F520="","",ROUND(F520*$G$1,2))</f>
        <v/>
      </c>
      <c r="I520" s="78" t="str">
        <f t="shared" ref="I520:I583" si="219">IF(OR(H520="",C520=0,C520=""),"",H520/C520)</f>
        <v/>
      </c>
      <c r="J520" s="70" t="str">
        <f t="shared" ref="J520:J583" si="220">IF(A520="","",F520*B520)</f>
        <v/>
      </c>
      <c r="K520" s="135"/>
      <c r="L520" s="72" t="str">
        <f t="shared" ref="L520:L583" si="221">IF(OR(K520=0,C520=0,K520="",C520=""),"",K520/C520)</f>
        <v/>
      </c>
      <c r="M520" s="135"/>
      <c r="N520" s="72" t="str">
        <f t="shared" ref="N520:N583" si="222">IF(OR(M520=0,C520=0,M520="",C520=""),"",M520/C520)</f>
        <v/>
      </c>
      <c r="O520" s="135"/>
      <c r="P520" s="136"/>
      <c r="Q520" s="123" t="str">
        <f t="shared" ref="Q520:Q583" si="223">IF(A520="","",IF(S520&gt;0,IF(J520&gt;0,S520/J520,0),IF(E520&gt;0,0,IF($I$2&gt;0,IF($I$3&gt;0,MAX($I$2-SUM($S$8:$S$1007),0)/$I$3,0),$I$1))))</f>
        <v/>
      </c>
      <c r="R520" s="45" t="str">
        <f t="shared" ref="R520:R583" si="224">IF(A520="","",IF(S520&gt;0,S520,IF(E520&gt;0,0,J520*IF($I$2&gt;0,IF($I$3&gt;0,MAX($I$2-SUM($S$8:$S$1007),0)/$I$3,0),$I$1))))</f>
        <v/>
      </c>
      <c r="S520" s="137"/>
      <c r="T520" s="79" t="str">
        <f t="shared" si="206"/>
        <v/>
      </c>
      <c r="U520" s="79" t="str">
        <f t="shared" ref="U520:U583" si="225">IF(OR(A520="",T520=""),"",T520*C520)</f>
        <v/>
      </c>
      <c r="V520" s="73" t="str">
        <f t="shared" ref="V520:V583" si="226">IF(OR(A520="",K520&lt;=0,U520=""),"",(K520-U520)/K520)</f>
        <v/>
      </c>
      <c r="W520" s="80" t="str">
        <f t="shared" ref="W520:W583" si="227">IF(OR(K520=0,U520=0,K520="",U520=""),"",K520-U520)</f>
        <v/>
      </c>
      <c r="X520" s="73" t="str">
        <f t="shared" ref="X520:X583" si="228">IF(OR(A520="",M520&lt;=0,U520=""),"",(M520-U520)/M520)</f>
        <v/>
      </c>
      <c r="Y520" s="80" t="str">
        <f t="shared" ref="Y520:Y583" si="229">IF(OR(M520=0,U520=0,M520="",U520=""),"",M520-U520)</f>
        <v/>
      </c>
      <c r="Z520" s="74" t="str">
        <f t="shared" ref="Z520:Z583" si="230">IF(OR(J520="",J520=0,$M$5="",$K$1=0),"",($M$5/$K$1)*J520)</f>
        <v/>
      </c>
      <c r="AA520" s="75" t="str">
        <f t="shared" si="207"/>
        <v/>
      </c>
      <c r="AB520" s="103" t="str">
        <f t="shared" ref="AB520:AB583" si="231">IF(OR(T520=0,T520="",D520=0,D520=""),"",T520*(D520+E520))</f>
        <v/>
      </c>
      <c r="AC520" s="104" t="str">
        <f t="shared" si="215"/>
        <v/>
      </c>
      <c r="AE520" s="139"/>
      <c r="AF520" s="110" t="str">
        <f t="shared" si="208"/>
        <v/>
      </c>
      <c r="AG520" s="111" t="str">
        <f t="shared" si="209"/>
        <v/>
      </c>
      <c r="AH520" s="111" t="str">
        <f t="shared" ref="AH520:AH583" si="232">IF(AG520="","",AG520*$AF$1+IF(SUM($AG$8:$AG$1007)=0,0,$AF$2*AG520/SUM($AG$8:$AG$1007)))</f>
        <v/>
      </c>
      <c r="AI520" s="111" t="str">
        <f t="shared" si="210"/>
        <v/>
      </c>
      <c r="AJ520" s="111" t="str">
        <f t="shared" si="211"/>
        <v/>
      </c>
      <c r="AK520" s="112" t="str">
        <f t="shared" si="212"/>
        <v/>
      </c>
      <c r="AL520" t="str">
        <f t="shared" si="213"/>
        <v/>
      </c>
      <c r="AM520" t="str">
        <f t="shared" si="214"/>
        <v/>
      </c>
    </row>
    <row r="521" spans="1:39" ht="15" customHeight="1" x14ac:dyDescent="0.25">
      <c r="A521" s="131"/>
      <c r="B521" s="133"/>
      <c r="C521" s="133"/>
      <c r="D521" s="42" t="str">
        <f t="shared" si="216"/>
        <v/>
      </c>
      <c r="E521" s="43"/>
      <c r="F521" s="135"/>
      <c r="G521" s="77" t="str">
        <f t="shared" si="217"/>
        <v/>
      </c>
      <c r="H521" s="32" t="str">
        <f t="shared" si="218"/>
        <v/>
      </c>
      <c r="I521" s="78" t="str">
        <f t="shared" si="219"/>
        <v/>
      </c>
      <c r="J521" s="70" t="str">
        <f t="shared" si="220"/>
        <v/>
      </c>
      <c r="K521" s="135"/>
      <c r="L521" s="72" t="str">
        <f t="shared" si="221"/>
        <v/>
      </c>
      <c r="M521" s="135"/>
      <c r="N521" s="72" t="str">
        <f t="shared" si="222"/>
        <v/>
      </c>
      <c r="O521" s="135"/>
      <c r="P521" s="136"/>
      <c r="Q521" s="123" t="str">
        <f t="shared" si="223"/>
        <v/>
      </c>
      <c r="R521" s="45" t="str">
        <f t="shared" si="224"/>
        <v/>
      </c>
      <c r="S521" s="137"/>
      <c r="T521" s="79" t="str">
        <f t="shared" ref="T521:T584" si="233">IF(A521="","",IF(OR(B521=0,B521="",C521&lt;=0,D521+E521&lt;=0),"",((F521+H521)*B521+(H521/C521)*E521-R521)/(D521+E521)-IF(Z521&gt;=0,Z521/D521,0)+IF(ISNUMBER(AA521),AA521/(D521+E521),0)))</f>
        <v/>
      </c>
      <c r="U521" s="79" t="str">
        <f t="shared" si="225"/>
        <v/>
      </c>
      <c r="V521" s="73" t="str">
        <f t="shared" si="226"/>
        <v/>
      </c>
      <c r="W521" s="80" t="str">
        <f t="shared" si="227"/>
        <v/>
      </c>
      <c r="X521" s="73" t="str">
        <f t="shared" si="228"/>
        <v/>
      </c>
      <c r="Y521" s="80" t="str">
        <f t="shared" si="229"/>
        <v/>
      </c>
      <c r="Z521" s="74" t="str">
        <f t="shared" si="230"/>
        <v/>
      </c>
      <c r="AA521" s="75" t="str">
        <f t="shared" ref="AA521:AA584" si="234">IF(OR(J521="",J521=0,($G$3-$I$4)=0),"",($K$3/($G$3-$I$4))*(J521-R521))</f>
        <v/>
      </c>
      <c r="AB521" s="103" t="str">
        <f t="shared" si="231"/>
        <v/>
      </c>
      <c r="AC521" s="104" t="str">
        <f t="shared" si="215"/>
        <v/>
      </c>
      <c r="AE521" s="139"/>
      <c r="AF521" s="110" t="str">
        <f t="shared" ref="AF521:AF584" si="235">IF(AE521="","",T521)</f>
        <v/>
      </c>
      <c r="AG521" s="111" t="str">
        <f t="shared" ref="AG521:AG584" si="236">IF(OR(AE521="",AF521=""),"",AE521*AF521)</f>
        <v/>
      </c>
      <c r="AH521" s="111" t="str">
        <f t="shared" si="232"/>
        <v/>
      </c>
      <c r="AI521" s="111" t="str">
        <f t="shared" ref="AI521:AI584" si="237">IF(AG521="","",AG521-AH521)</f>
        <v/>
      </c>
      <c r="AJ521" s="111" t="str">
        <f t="shared" ref="AJ521:AJ584" si="238">IF(AI521="","",AK521-AI521)</f>
        <v/>
      </c>
      <c r="AK521" s="112" t="str">
        <f t="shared" ref="AK521:AK584" si="239">IF(AI521="","",ROUND(AI521,0))</f>
        <v/>
      </c>
      <c r="AL521" t="str">
        <f t="shared" ref="AL521:AL584" si="240">IF(OR(AE521=0,AE521=""),"",AH521/AE521)</f>
        <v/>
      </c>
      <c r="AM521" t="str">
        <f t="shared" ref="AM521:AM584" si="241">IF(OR(AE521=0,AE521=""),"",AF521*C521)</f>
        <v/>
      </c>
    </row>
    <row r="522" spans="1:39" ht="15" customHeight="1" x14ac:dyDescent="0.25">
      <c r="A522" s="131"/>
      <c r="B522" s="133"/>
      <c r="C522" s="133"/>
      <c r="D522" s="42" t="str">
        <f t="shared" si="216"/>
        <v/>
      </c>
      <c r="E522" s="43"/>
      <c r="F522" s="135"/>
      <c r="G522" s="77" t="str">
        <f t="shared" si="217"/>
        <v/>
      </c>
      <c r="H522" s="32" t="str">
        <f t="shared" si="218"/>
        <v/>
      </c>
      <c r="I522" s="78" t="str">
        <f t="shared" si="219"/>
        <v/>
      </c>
      <c r="J522" s="70" t="str">
        <f t="shared" si="220"/>
        <v/>
      </c>
      <c r="K522" s="135"/>
      <c r="L522" s="72" t="str">
        <f t="shared" si="221"/>
        <v/>
      </c>
      <c r="M522" s="135"/>
      <c r="N522" s="72" t="str">
        <f t="shared" si="222"/>
        <v/>
      </c>
      <c r="O522" s="135"/>
      <c r="P522" s="136"/>
      <c r="Q522" s="123" t="str">
        <f t="shared" si="223"/>
        <v/>
      </c>
      <c r="R522" s="45" t="str">
        <f t="shared" si="224"/>
        <v/>
      </c>
      <c r="S522" s="137"/>
      <c r="T522" s="79" t="str">
        <f t="shared" si="233"/>
        <v/>
      </c>
      <c r="U522" s="79" t="str">
        <f t="shared" si="225"/>
        <v/>
      </c>
      <c r="V522" s="73" t="str">
        <f t="shared" si="226"/>
        <v/>
      </c>
      <c r="W522" s="80" t="str">
        <f t="shared" si="227"/>
        <v/>
      </c>
      <c r="X522" s="73" t="str">
        <f t="shared" si="228"/>
        <v/>
      </c>
      <c r="Y522" s="80" t="str">
        <f t="shared" si="229"/>
        <v/>
      </c>
      <c r="Z522" s="74" t="str">
        <f t="shared" si="230"/>
        <v/>
      </c>
      <c r="AA522" s="75" t="str">
        <f t="shared" si="234"/>
        <v/>
      </c>
      <c r="AB522" s="103" t="str">
        <f t="shared" si="231"/>
        <v/>
      </c>
      <c r="AC522" s="104" t="str">
        <f t="shared" ref="AC522:AC585" si="242">IF(OR(A522="",J522="",C522&lt;=0, B522=0),"",J522+H522*B522+(H522/C522)*E522)</f>
        <v/>
      </c>
      <c r="AE522" s="139"/>
      <c r="AF522" s="110" t="str">
        <f t="shared" si="235"/>
        <v/>
      </c>
      <c r="AG522" s="111" t="str">
        <f t="shared" si="236"/>
        <v/>
      </c>
      <c r="AH522" s="111" t="str">
        <f t="shared" si="232"/>
        <v/>
      </c>
      <c r="AI522" s="111" t="str">
        <f t="shared" si="237"/>
        <v/>
      </c>
      <c r="AJ522" s="111" t="str">
        <f t="shared" si="238"/>
        <v/>
      </c>
      <c r="AK522" s="112" t="str">
        <f t="shared" si="239"/>
        <v/>
      </c>
      <c r="AL522" t="str">
        <f t="shared" si="240"/>
        <v/>
      </c>
      <c r="AM522" t="str">
        <f t="shared" si="241"/>
        <v/>
      </c>
    </row>
    <row r="523" spans="1:39" ht="15" customHeight="1" x14ac:dyDescent="0.25">
      <c r="A523" s="131"/>
      <c r="B523" s="133"/>
      <c r="C523" s="133"/>
      <c r="D523" s="42" t="str">
        <f t="shared" si="216"/>
        <v/>
      </c>
      <c r="E523" s="43"/>
      <c r="F523" s="135"/>
      <c r="G523" s="77" t="str">
        <f t="shared" si="217"/>
        <v/>
      </c>
      <c r="H523" s="32" t="str">
        <f t="shared" si="218"/>
        <v/>
      </c>
      <c r="I523" s="78" t="str">
        <f t="shared" si="219"/>
        <v/>
      </c>
      <c r="J523" s="70" t="str">
        <f t="shared" si="220"/>
        <v/>
      </c>
      <c r="K523" s="135"/>
      <c r="L523" s="72" t="str">
        <f t="shared" si="221"/>
        <v/>
      </c>
      <c r="M523" s="135"/>
      <c r="N523" s="72" t="str">
        <f t="shared" si="222"/>
        <v/>
      </c>
      <c r="O523" s="135"/>
      <c r="P523" s="136"/>
      <c r="Q523" s="123" t="str">
        <f t="shared" si="223"/>
        <v/>
      </c>
      <c r="R523" s="45" t="str">
        <f t="shared" si="224"/>
        <v/>
      </c>
      <c r="S523" s="137"/>
      <c r="T523" s="79" t="str">
        <f t="shared" si="233"/>
        <v/>
      </c>
      <c r="U523" s="79" t="str">
        <f t="shared" si="225"/>
        <v/>
      </c>
      <c r="V523" s="73" t="str">
        <f t="shared" si="226"/>
        <v/>
      </c>
      <c r="W523" s="80" t="str">
        <f t="shared" si="227"/>
        <v/>
      </c>
      <c r="X523" s="73" t="str">
        <f t="shared" si="228"/>
        <v/>
      </c>
      <c r="Y523" s="80" t="str">
        <f t="shared" si="229"/>
        <v/>
      </c>
      <c r="Z523" s="74" t="str">
        <f t="shared" si="230"/>
        <v/>
      </c>
      <c r="AA523" s="75" t="str">
        <f t="shared" si="234"/>
        <v/>
      </c>
      <c r="AB523" s="103" t="str">
        <f t="shared" si="231"/>
        <v/>
      </c>
      <c r="AC523" s="104" t="str">
        <f t="shared" si="242"/>
        <v/>
      </c>
      <c r="AE523" s="139"/>
      <c r="AF523" s="110" t="str">
        <f t="shared" si="235"/>
        <v/>
      </c>
      <c r="AG523" s="111" t="str">
        <f t="shared" si="236"/>
        <v/>
      </c>
      <c r="AH523" s="111" t="str">
        <f t="shared" si="232"/>
        <v/>
      </c>
      <c r="AI523" s="111" t="str">
        <f t="shared" si="237"/>
        <v/>
      </c>
      <c r="AJ523" s="111" t="str">
        <f t="shared" si="238"/>
        <v/>
      </c>
      <c r="AK523" s="112" t="str">
        <f t="shared" si="239"/>
        <v/>
      </c>
      <c r="AL523" t="str">
        <f t="shared" si="240"/>
        <v/>
      </c>
      <c r="AM523" t="str">
        <f t="shared" si="241"/>
        <v/>
      </c>
    </row>
    <row r="524" spans="1:39" ht="15" customHeight="1" x14ac:dyDescent="0.25">
      <c r="A524" s="131"/>
      <c r="B524" s="133"/>
      <c r="C524" s="133"/>
      <c r="D524" s="42" t="str">
        <f t="shared" si="216"/>
        <v/>
      </c>
      <c r="E524" s="43"/>
      <c r="F524" s="135"/>
      <c r="G524" s="77" t="str">
        <f t="shared" si="217"/>
        <v/>
      </c>
      <c r="H524" s="32" t="str">
        <f t="shared" si="218"/>
        <v/>
      </c>
      <c r="I524" s="78" t="str">
        <f t="shared" si="219"/>
        <v/>
      </c>
      <c r="J524" s="70" t="str">
        <f t="shared" si="220"/>
        <v/>
      </c>
      <c r="K524" s="135"/>
      <c r="L524" s="72" t="str">
        <f t="shared" si="221"/>
        <v/>
      </c>
      <c r="M524" s="135"/>
      <c r="N524" s="72" t="str">
        <f t="shared" si="222"/>
        <v/>
      </c>
      <c r="O524" s="135"/>
      <c r="P524" s="136"/>
      <c r="Q524" s="123" t="str">
        <f t="shared" si="223"/>
        <v/>
      </c>
      <c r="R524" s="45" t="str">
        <f t="shared" si="224"/>
        <v/>
      </c>
      <c r="S524" s="137"/>
      <c r="T524" s="79" t="str">
        <f t="shared" si="233"/>
        <v/>
      </c>
      <c r="U524" s="79" t="str">
        <f t="shared" si="225"/>
        <v/>
      </c>
      <c r="V524" s="73" t="str">
        <f t="shared" si="226"/>
        <v/>
      </c>
      <c r="W524" s="80" t="str">
        <f t="shared" si="227"/>
        <v/>
      </c>
      <c r="X524" s="73" t="str">
        <f t="shared" si="228"/>
        <v/>
      </c>
      <c r="Y524" s="80" t="str">
        <f t="shared" si="229"/>
        <v/>
      </c>
      <c r="Z524" s="74" t="str">
        <f t="shared" si="230"/>
        <v/>
      </c>
      <c r="AA524" s="75" t="str">
        <f t="shared" si="234"/>
        <v/>
      </c>
      <c r="AB524" s="103" t="str">
        <f t="shared" si="231"/>
        <v/>
      </c>
      <c r="AC524" s="104" t="str">
        <f t="shared" si="242"/>
        <v/>
      </c>
      <c r="AE524" s="139"/>
      <c r="AF524" s="110" t="str">
        <f t="shared" si="235"/>
        <v/>
      </c>
      <c r="AG524" s="111" t="str">
        <f t="shared" si="236"/>
        <v/>
      </c>
      <c r="AH524" s="111" t="str">
        <f t="shared" si="232"/>
        <v/>
      </c>
      <c r="AI524" s="111" t="str">
        <f t="shared" si="237"/>
        <v/>
      </c>
      <c r="AJ524" s="111" t="str">
        <f t="shared" si="238"/>
        <v/>
      </c>
      <c r="AK524" s="112" t="str">
        <f t="shared" si="239"/>
        <v/>
      </c>
      <c r="AL524" t="str">
        <f t="shared" si="240"/>
        <v/>
      </c>
      <c r="AM524" t="str">
        <f t="shared" si="241"/>
        <v/>
      </c>
    </row>
    <row r="525" spans="1:39" ht="15" customHeight="1" x14ac:dyDescent="0.25">
      <c r="A525" s="131"/>
      <c r="B525" s="133"/>
      <c r="C525" s="133"/>
      <c r="D525" s="42" t="str">
        <f t="shared" si="216"/>
        <v/>
      </c>
      <c r="E525" s="43"/>
      <c r="F525" s="135"/>
      <c r="G525" s="77" t="str">
        <f t="shared" si="217"/>
        <v/>
      </c>
      <c r="H525" s="32" t="str">
        <f t="shared" si="218"/>
        <v/>
      </c>
      <c r="I525" s="78" t="str">
        <f t="shared" si="219"/>
        <v/>
      </c>
      <c r="J525" s="70" t="str">
        <f t="shared" si="220"/>
        <v/>
      </c>
      <c r="K525" s="135"/>
      <c r="L525" s="72" t="str">
        <f t="shared" si="221"/>
        <v/>
      </c>
      <c r="M525" s="135"/>
      <c r="N525" s="72" t="str">
        <f t="shared" si="222"/>
        <v/>
      </c>
      <c r="O525" s="135"/>
      <c r="P525" s="136"/>
      <c r="Q525" s="123" t="str">
        <f t="shared" si="223"/>
        <v/>
      </c>
      <c r="R525" s="45" t="str">
        <f t="shared" si="224"/>
        <v/>
      </c>
      <c r="S525" s="137"/>
      <c r="T525" s="79" t="str">
        <f t="shared" si="233"/>
        <v/>
      </c>
      <c r="U525" s="79" t="str">
        <f t="shared" si="225"/>
        <v/>
      </c>
      <c r="V525" s="73" t="str">
        <f t="shared" si="226"/>
        <v/>
      </c>
      <c r="W525" s="80" t="str">
        <f t="shared" si="227"/>
        <v/>
      </c>
      <c r="X525" s="73" t="str">
        <f t="shared" si="228"/>
        <v/>
      </c>
      <c r="Y525" s="80" t="str">
        <f t="shared" si="229"/>
        <v/>
      </c>
      <c r="Z525" s="74" t="str">
        <f t="shared" si="230"/>
        <v/>
      </c>
      <c r="AA525" s="75" t="str">
        <f t="shared" si="234"/>
        <v/>
      </c>
      <c r="AB525" s="103" t="str">
        <f t="shared" si="231"/>
        <v/>
      </c>
      <c r="AC525" s="104" t="str">
        <f t="shared" si="242"/>
        <v/>
      </c>
      <c r="AE525" s="139"/>
      <c r="AF525" s="110" t="str">
        <f t="shared" si="235"/>
        <v/>
      </c>
      <c r="AG525" s="111" t="str">
        <f t="shared" si="236"/>
        <v/>
      </c>
      <c r="AH525" s="111" t="str">
        <f t="shared" si="232"/>
        <v/>
      </c>
      <c r="AI525" s="111" t="str">
        <f t="shared" si="237"/>
        <v/>
      </c>
      <c r="AJ525" s="111" t="str">
        <f t="shared" si="238"/>
        <v/>
      </c>
      <c r="AK525" s="112" t="str">
        <f t="shared" si="239"/>
        <v/>
      </c>
      <c r="AL525" t="str">
        <f t="shared" si="240"/>
        <v/>
      </c>
      <c r="AM525" t="str">
        <f t="shared" si="241"/>
        <v/>
      </c>
    </row>
    <row r="526" spans="1:39" ht="15" customHeight="1" x14ac:dyDescent="0.25">
      <c r="A526" s="131"/>
      <c r="B526" s="133"/>
      <c r="C526" s="133"/>
      <c r="D526" s="42" t="str">
        <f t="shared" si="216"/>
        <v/>
      </c>
      <c r="E526" s="43"/>
      <c r="F526" s="135"/>
      <c r="G526" s="77" t="str">
        <f t="shared" si="217"/>
        <v/>
      </c>
      <c r="H526" s="32" t="str">
        <f t="shared" si="218"/>
        <v/>
      </c>
      <c r="I526" s="78" t="str">
        <f t="shared" si="219"/>
        <v/>
      </c>
      <c r="J526" s="70" t="str">
        <f t="shared" si="220"/>
        <v/>
      </c>
      <c r="K526" s="135"/>
      <c r="L526" s="72" t="str">
        <f t="shared" si="221"/>
        <v/>
      </c>
      <c r="M526" s="135"/>
      <c r="N526" s="72" t="str">
        <f t="shared" si="222"/>
        <v/>
      </c>
      <c r="O526" s="135"/>
      <c r="P526" s="136"/>
      <c r="Q526" s="123" t="str">
        <f t="shared" si="223"/>
        <v/>
      </c>
      <c r="R526" s="45" t="str">
        <f t="shared" si="224"/>
        <v/>
      </c>
      <c r="S526" s="137"/>
      <c r="T526" s="79" t="str">
        <f t="shared" si="233"/>
        <v/>
      </c>
      <c r="U526" s="79" t="str">
        <f t="shared" si="225"/>
        <v/>
      </c>
      <c r="V526" s="73" t="str">
        <f t="shared" si="226"/>
        <v/>
      </c>
      <c r="W526" s="80" t="str">
        <f t="shared" si="227"/>
        <v/>
      </c>
      <c r="X526" s="73" t="str">
        <f t="shared" si="228"/>
        <v/>
      </c>
      <c r="Y526" s="80" t="str">
        <f t="shared" si="229"/>
        <v/>
      </c>
      <c r="Z526" s="74" t="str">
        <f t="shared" si="230"/>
        <v/>
      </c>
      <c r="AA526" s="75" t="str">
        <f t="shared" si="234"/>
        <v/>
      </c>
      <c r="AB526" s="103" t="str">
        <f t="shared" si="231"/>
        <v/>
      </c>
      <c r="AC526" s="104" t="str">
        <f t="shared" si="242"/>
        <v/>
      </c>
      <c r="AE526" s="139"/>
      <c r="AF526" s="110" t="str">
        <f t="shared" si="235"/>
        <v/>
      </c>
      <c r="AG526" s="111" t="str">
        <f t="shared" si="236"/>
        <v/>
      </c>
      <c r="AH526" s="111" t="str">
        <f t="shared" si="232"/>
        <v/>
      </c>
      <c r="AI526" s="111" t="str">
        <f t="shared" si="237"/>
        <v/>
      </c>
      <c r="AJ526" s="111" t="str">
        <f t="shared" si="238"/>
        <v/>
      </c>
      <c r="AK526" s="112" t="str">
        <f t="shared" si="239"/>
        <v/>
      </c>
      <c r="AL526" t="str">
        <f t="shared" si="240"/>
        <v/>
      </c>
      <c r="AM526" t="str">
        <f t="shared" si="241"/>
        <v/>
      </c>
    </row>
    <row r="527" spans="1:39" ht="15" customHeight="1" x14ac:dyDescent="0.25">
      <c r="A527" s="131"/>
      <c r="B527" s="133"/>
      <c r="C527" s="133"/>
      <c r="D527" s="42" t="str">
        <f t="shared" si="216"/>
        <v/>
      </c>
      <c r="E527" s="43"/>
      <c r="F527" s="135"/>
      <c r="G527" s="77" t="str">
        <f t="shared" si="217"/>
        <v/>
      </c>
      <c r="H527" s="32" t="str">
        <f t="shared" si="218"/>
        <v/>
      </c>
      <c r="I527" s="78" t="str">
        <f t="shared" si="219"/>
        <v/>
      </c>
      <c r="J527" s="70" t="str">
        <f t="shared" si="220"/>
        <v/>
      </c>
      <c r="K527" s="135"/>
      <c r="L527" s="72" t="str">
        <f t="shared" si="221"/>
        <v/>
      </c>
      <c r="M527" s="135"/>
      <c r="N527" s="72" t="str">
        <f t="shared" si="222"/>
        <v/>
      </c>
      <c r="O527" s="135"/>
      <c r="P527" s="136"/>
      <c r="Q527" s="123" t="str">
        <f t="shared" si="223"/>
        <v/>
      </c>
      <c r="R527" s="45" t="str">
        <f t="shared" si="224"/>
        <v/>
      </c>
      <c r="S527" s="137"/>
      <c r="T527" s="79" t="str">
        <f t="shared" si="233"/>
        <v/>
      </c>
      <c r="U527" s="79" t="str">
        <f t="shared" si="225"/>
        <v/>
      </c>
      <c r="V527" s="73" t="str">
        <f t="shared" si="226"/>
        <v/>
      </c>
      <c r="W527" s="80" t="str">
        <f t="shared" si="227"/>
        <v/>
      </c>
      <c r="X527" s="73" t="str">
        <f t="shared" si="228"/>
        <v/>
      </c>
      <c r="Y527" s="80" t="str">
        <f t="shared" si="229"/>
        <v/>
      </c>
      <c r="Z527" s="74" t="str">
        <f t="shared" si="230"/>
        <v/>
      </c>
      <c r="AA527" s="75" t="str">
        <f t="shared" si="234"/>
        <v/>
      </c>
      <c r="AB527" s="103" t="str">
        <f t="shared" si="231"/>
        <v/>
      </c>
      <c r="AC527" s="104" t="str">
        <f t="shared" si="242"/>
        <v/>
      </c>
      <c r="AE527" s="139"/>
      <c r="AF527" s="110" t="str">
        <f t="shared" si="235"/>
        <v/>
      </c>
      <c r="AG527" s="111" t="str">
        <f t="shared" si="236"/>
        <v/>
      </c>
      <c r="AH527" s="111" t="str">
        <f t="shared" si="232"/>
        <v/>
      </c>
      <c r="AI527" s="111" t="str">
        <f t="shared" si="237"/>
        <v/>
      </c>
      <c r="AJ527" s="111" t="str">
        <f t="shared" si="238"/>
        <v/>
      </c>
      <c r="AK527" s="112" t="str">
        <f t="shared" si="239"/>
        <v/>
      </c>
      <c r="AL527" t="str">
        <f t="shared" si="240"/>
        <v/>
      </c>
      <c r="AM527" t="str">
        <f t="shared" si="241"/>
        <v/>
      </c>
    </row>
    <row r="528" spans="1:39" ht="15" customHeight="1" x14ac:dyDescent="0.25">
      <c r="A528" s="131"/>
      <c r="B528" s="133"/>
      <c r="C528" s="133"/>
      <c r="D528" s="42" t="str">
        <f t="shared" si="216"/>
        <v/>
      </c>
      <c r="E528" s="43"/>
      <c r="F528" s="135"/>
      <c r="G528" s="77" t="str">
        <f t="shared" si="217"/>
        <v/>
      </c>
      <c r="H528" s="32" t="str">
        <f t="shared" si="218"/>
        <v/>
      </c>
      <c r="I528" s="78" t="str">
        <f t="shared" si="219"/>
        <v/>
      </c>
      <c r="J528" s="70" t="str">
        <f t="shared" si="220"/>
        <v/>
      </c>
      <c r="K528" s="135"/>
      <c r="L528" s="72" t="str">
        <f t="shared" si="221"/>
        <v/>
      </c>
      <c r="M528" s="135"/>
      <c r="N528" s="72" t="str">
        <f t="shared" si="222"/>
        <v/>
      </c>
      <c r="O528" s="135"/>
      <c r="P528" s="136"/>
      <c r="Q528" s="123" t="str">
        <f t="shared" si="223"/>
        <v/>
      </c>
      <c r="R528" s="45" t="str">
        <f t="shared" si="224"/>
        <v/>
      </c>
      <c r="S528" s="137"/>
      <c r="T528" s="79" t="str">
        <f t="shared" si="233"/>
        <v/>
      </c>
      <c r="U528" s="79" t="str">
        <f t="shared" si="225"/>
        <v/>
      </c>
      <c r="V528" s="73" t="str">
        <f t="shared" si="226"/>
        <v/>
      </c>
      <c r="W528" s="80" t="str">
        <f t="shared" si="227"/>
        <v/>
      </c>
      <c r="X528" s="73" t="str">
        <f t="shared" si="228"/>
        <v/>
      </c>
      <c r="Y528" s="80" t="str">
        <f t="shared" si="229"/>
        <v/>
      </c>
      <c r="Z528" s="74" t="str">
        <f t="shared" si="230"/>
        <v/>
      </c>
      <c r="AA528" s="75" t="str">
        <f t="shared" si="234"/>
        <v/>
      </c>
      <c r="AB528" s="103" t="str">
        <f t="shared" si="231"/>
        <v/>
      </c>
      <c r="AC528" s="104" t="str">
        <f t="shared" si="242"/>
        <v/>
      </c>
      <c r="AE528" s="139"/>
      <c r="AF528" s="110" t="str">
        <f t="shared" si="235"/>
        <v/>
      </c>
      <c r="AG528" s="111" t="str">
        <f t="shared" si="236"/>
        <v/>
      </c>
      <c r="AH528" s="111" t="str">
        <f t="shared" si="232"/>
        <v/>
      </c>
      <c r="AI528" s="111" t="str">
        <f t="shared" si="237"/>
        <v/>
      </c>
      <c r="AJ528" s="111" t="str">
        <f t="shared" si="238"/>
        <v/>
      </c>
      <c r="AK528" s="112" t="str">
        <f t="shared" si="239"/>
        <v/>
      </c>
      <c r="AL528" t="str">
        <f t="shared" si="240"/>
        <v/>
      </c>
      <c r="AM528" t="str">
        <f t="shared" si="241"/>
        <v/>
      </c>
    </row>
    <row r="529" spans="1:39" ht="15" customHeight="1" x14ac:dyDescent="0.25">
      <c r="A529" s="131"/>
      <c r="B529" s="133"/>
      <c r="C529" s="133"/>
      <c r="D529" s="42" t="str">
        <f t="shared" si="216"/>
        <v/>
      </c>
      <c r="E529" s="43"/>
      <c r="F529" s="135"/>
      <c r="G529" s="77" t="str">
        <f t="shared" si="217"/>
        <v/>
      </c>
      <c r="H529" s="32" t="str">
        <f t="shared" si="218"/>
        <v/>
      </c>
      <c r="I529" s="78" t="str">
        <f t="shared" si="219"/>
        <v/>
      </c>
      <c r="J529" s="70" t="str">
        <f t="shared" si="220"/>
        <v/>
      </c>
      <c r="K529" s="135"/>
      <c r="L529" s="72" t="str">
        <f t="shared" si="221"/>
        <v/>
      </c>
      <c r="M529" s="135"/>
      <c r="N529" s="72" t="str">
        <f t="shared" si="222"/>
        <v/>
      </c>
      <c r="O529" s="135"/>
      <c r="P529" s="136"/>
      <c r="Q529" s="123" t="str">
        <f t="shared" si="223"/>
        <v/>
      </c>
      <c r="R529" s="45" t="str">
        <f t="shared" si="224"/>
        <v/>
      </c>
      <c r="S529" s="137"/>
      <c r="T529" s="79" t="str">
        <f t="shared" si="233"/>
        <v/>
      </c>
      <c r="U529" s="79" t="str">
        <f t="shared" si="225"/>
        <v/>
      </c>
      <c r="V529" s="73" t="str">
        <f t="shared" si="226"/>
        <v/>
      </c>
      <c r="W529" s="80" t="str">
        <f t="shared" si="227"/>
        <v/>
      </c>
      <c r="X529" s="73" t="str">
        <f t="shared" si="228"/>
        <v/>
      </c>
      <c r="Y529" s="80" t="str">
        <f t="shared" si="229"/>
        <v/>
      </c>
      <c r="Z529" s="74" t="str">
        <f t="shared" si="230"/>
        <v/>
      </c>
      <c r="AA529" s="75" t="str">
        <f t="shared" si="234"/>
        <v/>
      </c>
      <c r="AB529" s="103" t="str">
        <f t="shared" si="231"/>
        <v/>
      </c>
      <c r="AC529" s="104" t="str">
        <f t="shared" si="242"/>
        <v/>
      </c>
      <c r="AE529" s="139"/>
      <c r="AF529" s="110" t="str">
        <f t="shared" si="235"/>
        <v/>
      </c>
      <c r="AG529" s="111" t="str">
        <f t="shared" si="236"/>
        <v/>
      </c>
      <c r="AH529" s="111" t="str">
        <f t="shared" si="232"/>
        <v/>
      </c>
      <c r="AI529" s="111" t="str">
        <f t="shared" si="237"/>
        <v/>
      </c>
      <c r="AJ529" s="111" t="str">
        <f t="shared" si="238"/>
        <v/>
      </c>
      <c r="AK529" s="112" t="str">
        <f t="shared" si="239"/>
        <v/>
      </c>
      <c r="AL529" t="str">
        <f t="shared" si="240"/>
        <v/>
      </c>
      <c r="AM529" t="str">
        <f t="shared" si="241"/>
        <v/>
      </c>
    </row>
    <row r="530" spans="1:39" ht="15" customHeight="1" x14ac:dyDescent="0.25">
      <c r="A530" s="131"/>
      <c r="B530" s="133"/>
      <c r="C530" s="133"/>
      <c r="D530" s="42" t="str">
        <f t="shared" si="216"/>
        <v/>
      </c>
      <c r="E530" s="43"/>
      <c r="F530" s="135"/>
      <c r="G530" s="77" t="str">
        <f t="shared" si="217"/>
        <v/>
      </c>
      <c r="H530" s="32" t="str">
        <f t="shared" si="218"/>
        <v/>
      </c>
      <c r="I530" s="78" t="str">
        <f t="shared" si="219"/>
        <v/>
      </c>
      <c r="J530" s="70" t="str">
        <f t="shared" si="220"/>
        <v/>
      </c>
      <c r="K530" s="135"/>
      <c r="L530" s="72" t="str">
        <f t="shared" si="221"/>
        <v/>
      </c>
      <c r="M530" s="135"/>
      <c r="N530" s="72" t="str">
        <f t="shared" si="222"/>
        <v/>
      </c>
      <c r="O530" s="135"/>
      <c r="P530" s="136"/>
      <c r="Q530" s="123" t="str">
        <f t="shared" si="223"/>
        <v/>
      </c>
      <c r="R530" s="45" t="str">
        <f t="shared" si="224"/>
        <v/>
      </c>
      <c r="S530" s="137"/>
      <c r="T530" s="79" t="str">
        <f t="shared" si="233"/>
        <v/>
      </c>
      <c r="U530" s="79" t="str">
        <f t="shared" si="225"/>
        <v/>
      </c>
      <c r="V530" s="73" t="str">
        <f t="shared" si="226"/>
        <v/>
      </c>
      <c r="W530" s="80" t="str">
        <f t="shared" si="227"/>
        <v/>
      </c>
      <c r="X530" s="73" t="str">
        <f t="shared" si="228"/>
        <v/>
      </c>
      <c r="Y530" s="80" t="str">
        <f t="shared" si="229"/>
        <v/>
      </c>
      <c r="Z530" s="74" t="str">
        <f t="shared" si="230"/>
        <v/>
      </c>
      <c r="AA530" s="75" t="str">
        <f t="shared" si="234"/>
        <v/>
      </c>
      <c r="AB530" s="103" t="str">
        <f t="shared" si="231"/>
        <v/>
      </c>
      <c r="AC530" s="104" t="str">
        <f t="shared" si="242"/>
        <v/>
      </c>
      <c r="AE530" s="139"/>
      <c r="AF530" s="110" t="str">
        <f t="shared" si="235"/>
        <v/>
      </c>
      <c r="AG530" s="111" t="str">
        <f t="shared" si="236"/>
        <v/>
      </c>
      <c r="AH530" s="111" t="str">
        <f t="shared" si="232"/>
        <v/>
      </c>
      <c r="AI530" s="111" t="str">
        <f t="shared" si="237"/>
        <v/>
      </c>
      <c r="AJ530" s="111" t="str">
        <f t="shared" si="238"/>
        <v/>
      </c>
      <c r="AK530" s="112" t="str">
        <f t="shared" si="239"/>
        <v/>
      </c>
      <c r="AL530" t="str">
        <f t="shared" si="240"/>
        <v/>
      </c>
      <c r="AM530" t="str">
        <f t="shared" si="241"/>
        <v/>
      </c>
    </row>
    <row r="531" spans="1:39" ht="15" customHeight="1" x14ac:dyDescent="0.25">
      <c r="A531" s="131"/>
      <c r="B531" s="133"/>
      <c r="C531" s="133"/>
      <c r="D531" s="42" t="str">
        <f t="shared" si="216"/>
        <v/>
      </c>
      <c r="E531" s="43"/>
      <c r="F531" s="135"/>
      <c r="G531" s="77" t="str">
        <f t="shared" si="217"/>
        <v/>
      </c>
      <c r="H531" s="32" t="str">
        <f t="shared" si="218"/>
        <v/>
      </c>
      <c r="I531" s="78" t="str">
        <f t="shared" si="219"/>
        <v/>
      </c>
      <c r="J531" s="70" t="str">
        <f t="shared" si="220"/>
        <v/>
      </c>
      <c r="K531" s="135"/>
      <c r="L531" s="72" t="str">
        <f t="shared" si="221"/>
        <v/>
      </c>
      <c r="M531" s="135"/>
      <c r="N531" s="72" t="str">
        <f t="shared" si="222"/>
        <v/>
      </c>
      <c r="O531" s="135"/>
      <c r="P531" s="136"/>
      <c r="Q531" s="123" t="str">
        <f t="shared" si="223"/>
        <v/>
      </c>
      <c r="R531" s="45" t="str">
        <f t="shared" si="224"/>
        <v/>
      </c>
      <c r="S531" s="137"/>
      <c r="T531" s="79" t="str">
        <f t="shared" si="233"/>
        <v/>
      </c>
      <c r="U531" s="79" t="str">
        <f t="shared" si="225"/>
        <v/>
      </c>
      <c r="V531" s="73" t="str">
        <f t="shared" si="226"/>
        <v/>
      </c>
      <c r="W531" s="80" t="str">
        <f t="shared" si="227"/>
        <v/>
      </c>
      <c r="X531" s="73" t="str">
        <f t="shared" si="228"/>
        <v/>
      </c>
      <c r="Y531" s="80" t="str">
        <f t="shared" si="229"/>
        <v/>
      </c>
      <c r="Z531" s="74" t="str">
        <f t="shared" si="230"/>
        <v/>
      </c>
      <c r="AA531" s="75" t="str">
        <f t="shared" si="234"/>
        <v/>
      </c>
      <c r="AB531" s="103" t="str">
        <f t="shared" si="231"/>
        <v/>
      </c>
      <c r="AC531" s="104" t="str">
        <f t="shared" si="242"/>
        <v/>
      </c>
      <c r="AE531" s="139"/>
      <c r="AF531" s="110" t="str">
        <f t="shared" si="235"/>
        <v/>
      </c>
      <c r="AG531" s="111" t="str">
        <f t="shared" si="236"/>
        <v/>
      </c>
      <c r="AH531" s="111" t="str">
        <f t="shared" si="232"/>
        <v/>
      </c>
      <c r="AI531" s="111" t="str">
        <f t="shared" si="237"/>
        <v/>
      </c>
      <c r="AJ531" s="111" t="str">
        <f t="shared" si="238"/>
        <v/>
      </c>
      <c r="AK531" s="112" t="str">
        <f t="shared" si="239"/>
        <v/>
      </c>
      <c r="AL531" t="str">
        <f t="shared" si="240"/>
        <v/>
      </c>
      <c r="AM531" t="str">
        <f t="shared" si="241"/>
        <v/>
      </c>
    </row>
    <row r="532" spans="1:39" ht="15" customHeight="1" x14ac:dyDescent="0.25">
      <c r="A532" s="131"/>
      <c r="B532" s="133"/>
      <c r="C532" s="133"/>
      <c r="D532" s="42" t="str">
        <f t="shared" si="216"/>
        <v/>
      </c>
      <c r="E532" s="43"/>
      <c r="F532" s="135"/>
      <c r="G532" s="77" t="str">
        <f t="shared" si="217"/>
        <v/>
      </c>
      <c r="H532" s="32" t="str">
        <f t="shared" si="218"/>
        <v/>
      </c>
      <c r="I532" s="78" t="str">
        <f t="shared" si="219"/>
        <v/>
      </c>
      <c r="J532" s="70" t="str">
        <f t="shared" si="220"/>
        <v/>
      </c>
      <c r="K532" s="135"/>
      <c r="L532" s="72" t="str">
        <f t="shared" si="221"/>
        <v/>
      </c>
      <c r="M532" s="135"/>
      <c r="N532" s="72" t="str">
        <f t="shared" si="222"/>
        <v/>
      </c>
      <c r="O532" s="135"/>
      <c r="P532" s="136"/>
      <c r="Q532" s="123" t="str">
        <f t="shared" si="223"/>
        <v/>
      </c>
      <c r="R532" s="45" t="str">
        <f t="shared" si="224"/>
        <v/>
      </c>
      <c r="S532" s="137"/>
      <c r="T532" s="79" t="str">
        <f t="shared" si="233"/>
        <v/>
      </c>
      <c r="U532" s="79" t="str">
        <f t="shared" si="225"/>
        <v/>
      </c>
      <c r="V532" s="73" t="str">
        <f t="shared" si="226"/>
        <v/>
      </c>
      <c r="W532" s="80" t="str">
        <f t="shared" si="227"/>
        <v/>
      </c>
      <c r="X532" s="73" t="str">
        <f t="shared" si="228"/>
        <v/>
      </c>
      <c r="Y532" s="80" t="str">
        <f t="shared" si="229"/>
        <v/>
      </c>
      <c r="Z532" s="74" t="str">
        <f t="shared" si="230"/>
        <v/>
      </c>
      <c r="AA532" s="75" t="str">
        <f t="shared" si="234"/>
        <v/>
      </c>
      <c r="AB532" s="103" t="str">
        <f t="shared" si="231"/>
        <v/>
      </c>
      <c r="AC532" s="104" t="str">
        <f t="shared" si="242"/>
        <v/>
      </c>
      <c r="AE532" s="139"/>
      <c r="AF532" s="110" t="str">
        <f t="shared" si="235"/>
        <v/>
      </c>
      <c r="AG532" s="111" t="str">
        <f t="shared" si="236"/>
        <v/>
      </c>
      <c r="AH532" s="111" t="str">
        <f t="shared" si="232"/>
        <v/>
      </c>
      <c r="AI532" s="111" t="str">
        <f t="shared" si="237"/>
        <v/>
      </c>
      <c r="AJ532" s="111" t="str">
        <f t="shared" si="238"/>
        <v/>
      </c>
      <c r="AK532" s="112" t="str">
        <f t="shared" si="239"/>
        <v/>
      </c>
      <c r="AL532" t="str">
        <f t="shared" si="240"/>
        <v/>
      </c>
      <c r="AM532" t="str">
        <f t="shared" si="241"/>
        <v/>
      </c>
    </row>
    <row r="533" spans="1:39" ht="15" customHeight="1" x14ac:dyDescent="0.25">
      <c r="A533" s="131"/>
      <c r="B533" s="133"/>
      <c r="C533" s="133"/>
      <c r="D533" s="42" t="str">
        <f t="shared" si="216"/>
        <v/>
      </c>
      <c r="E533" s="43"/>
      <c r="F533" s="135"/>
      <c r="G533" s="77" t="str">
        <f t="shared" si="217"/>
        <v/>
      </c>
      <c r="H533" s="32" t="str">
        <f t="shared" si="218"/>
        <v/>
      </c>
      <c r="I533" s="78" t="str">
        <f t="shared" si="219"/>
        <v/>
      </c>
      <c r="J533" s="70" t="str">
        <f t="shared" si="220"/>
        <v/>
      </c>
      <c r="K533" s="135"/>
      <c r="L533" s="72" t="str">
        <f t="shared" si="221"/>
        <v/>
      </c>
      <c r="M533" s="135"/>
      <c r="N533" s="72" t="str">
        <f t="shared" si="222"/>
        <v/>
      </c>
      <c r="O533" s="135"/>
      <c r="P533" s="136"/>
      <c r="Q533" s="123" t="str">
        <f t="shared" si="223"/>
        <v/>
      </c>
      <c r="R533" s="45" t="str">
        <f t="shared" si="224"/>
        <v/>
      </c>
      <c r="S533" s="137"/>
      <c r="T533" s="79" t="str">
        <f t="shared" si="233"/>
        <v/>
      </c>
      <c r="U533" s="79" t="str">
        <f t="shared" si="225"/>
        <v/>
      </c>
      <c r="V533" s="73" t="str">
        <f t="shared" si="226"/>
        <v/>
      </c>
      <c r="W533" s="80" t="str">
        <f t="shared" si="227"/>
        <v/>
      </c>
      <c r="X533" s="73" t="str">
        <f t="shared" si="228"/>
        <v/>
      </c>
      <c r="Y533" s="80" t="str">
        <f t="shared" si="229"/>
        <v/>
      </c>
      <c r="Z533" s="74" t="str">
        <f t="shared" si="230"/>
        <v/>
      </c>
      <c r="AA533" s="75" t="str">
        <f t="shared" si="234"/>
        <v/>
      </c>
      <c r="AB533" s="103" t="str">
        <f t="shared" si="231"/>
        <v/>
      </c>
      <c r="AC533" s="104" t="str">
        <f t="shared" si="242"/>
        <v/>
      </c>
      <c r="AE533" s="139"/>
      <c r="AF533" s="110" t="str">
        <f t="shared" si="235"/>
        <v/>
      </c>
      <c r="AG533" s="111" t="str">
        <f t="shared" si="236"/>
        <v/>
      </c>
      <c r="AH533" s="111" t="str">
        <f t="shared" si="232"/>
        <v/>
      </c>
      <c r="AI533" s="111" t="str">
        <f t="shared" si="237"/>
        <v/>
      </c>
      <c r="AJ533" s="111" t="str">
        <f t="shared" si="238"/>
        <v/>
      </c>
      <c r="AK533" s="112" t="str">
        <f t="shared" si="239"/>
        <v/>
      </c>
      <c r="AL533" t="str">
        <f t="shared" si="240"/>
        <v/>
      </c>
      <c r="AM533" t="str">
        <f t="shared" si="241"/>
        <v/>
      </c>
    </row>
    <row r="534" spans="1:39" ht="15" customHeight="1" x14ac:dyDescent="0.25">
      <c r="A534" s="131"/>
      <c r="B534" s="133"/>
      <c r="C534" s="133"/>
      <c r="D534" s="42" t="str">
        <f t="shared" si="216"/>
        <v/>
      </c>
      <c r="E534" s="43"/>
      <c r="F534" s="135"/>
      <c r="G534" s="77" t="str">
        <f t="shared" si="217"/>
        <v/>
      </c>
      <c r="H534" s="32" t="str">
        <f t="shared" si="218"/>
        <v/>
      </c>
      <c r="I534" s="78" t="str">
        <f t="shared" si="219"/>
        <v/>
      </c>
      <c r="J534" s="70" t="str">
        <f t="shared" si="220"/>
        <v/>
      </c>
      <c r="K534" s="135"/>
      <c r="L534" s="72" t="str">
        <f t="shared" si="221"/>
        <v/>
      </c>
      <c r="M534" s="135"/>
      <c r="N534" s="72" t="str">
        <f t="shared" si="222"/>
        <v/>
      </c>
      <c r="O534" s="135"/>
      <c r="P534" s="136"/>
      <c r="Q534" s="123" t="str">
        <f t="shared" si="223"/>
        <v/>
      </c>
      <c r="R534" s="45" t="str">
        <f t="shared" si="224"/>
        <v/>
      </c>
      <c r="S534" s="137"/>
      <c r="T534" s="79" t="str">
        <f t="shared" si="233"/>
        <v/>
      </c>
      <c r="U534" s="79" t="str">
        <f t="shared" si="225"/>
        <v/>
      </c>
      <c r="V534" s="73" t="str">
        <f t="shared" si="226"/>
        <v/>
      </c>
      <c r="W534" s="80" t="str">
        <f t="shared" si="227"/>
        <v/>
      </c>
      <c r="X534" s="73" t="str">
        <f t="shared" si="228"/>
        <v/>
      </c>
      <c r="Y534" s="80" t="str">
        <f t="shared" si="229"/>
        <v/>
      </c>
      <c r="Z534" s="74" t="str">
        <f t="shared" si="230"/>
        <v/>
      </c>
      <c r="AA534" s="75" t="str">
        <f t="shared" si="234"/>
        <v/>
      </c>
      <c r="AB534" s="103" t="str">
        <f t="shared" si="231"/>
        <v/>
      </c>
      <c r="AC534" s="104" t="str">
        <f t="shared" si="242"/>
        <v/>
      </c>
      <c r="AE534" s="139"/>
      <c r="AF534" s="110" t="str">
        <f t="shared" si="235"/>
        <v/>
      </c>
      <c r="AG534" s="111" t="str">
        <f t="shared" si="236"/>
        <v/>
      </c>
      <c r="AH534" s="111" t="str">
        <f t="shared" si="232"/>
        <v/>
      </c>
      <c r="AI534" s="111" t="str">
        <f t="shared" si="237"/>
        <v/>
      </c>
      <c r="AJ534" s="111" t="str">
        <f t="shared" si="238"/>
        <v/>
      </c>
      <c r="AK534" s="112" t="str">
        <f t="shared" si="239"/>
        <v/>
      </c>
      <c r="AL534" t="str">
        <f t="shared" si="240"/>
        <v/>
      </c>
      <c r="AM534" t="str">
        <f t="shared" si="241"/>
        <v/>
      </c>
    </row>
    <row r="535" spans="1:39" ht="15" customHeight="1" x14ac:dyDescent="0.25">
      <c r="A535" s="131"/>
      <c r="B535" s="133"/>
      <c r="C535" s="133"/>
      <c r="D535" s="42" t="str">
        <f t="shared" si="216"/>
        <v/>
      </c>
      <c r="E535" s="43"/>
      <c r="F535" s="135"/>
      <c r="G535" s="77" t="str">
        <f t="shared" si="217"/>
        <v/>
      </c>
      <c r="H535" s="32" t="str">
        <f t="shared" si="218"/>
        <v/>
      </c>
      <c r="I535" s="78" t="str">
        <f t="shared" si="219"/>
        <v/>
      </c>
      <c r="J535" s="70" t="str">
        <f t="shared" si="220"/>
        <v/>
      </c>
      <c r="K535" s="135"/>
      <c r="L535" s="72" t="str">
        <f t="shared" si="221"/>
        <v/>
      </c>
      <c r="M535" s="135"/>
      <c r="N535" s="72" t="str">
        <f t="shared" si="222"/>
        <v/>
      </c>
      <c r="O535" s="135"/>
      <c r="P535" s="136"/>
      <c r="Q535" s="123" t="str">
        <f t="shared" si="223"/>
        <v/>
      </c>
      <c r="R535" s="45" t="str">
        <f t="shared" si="224"/>
        <v/>
      </c>
      <c r="S535" s="137"/>
      <c r="T535" s="79" t="str">
        <f t="shared" si="233"/>
        <v/>
      </c>
      <c r="U535" s="79" t="str">
        <f t="shared" si="225"/>
        <v/>
      </c>
      <c r="V535" s="73" t="str">
        <f t="shared" si="226"/>
        <v/>
      </c>
      <c r="W535" s="80" t="str">
        <f t="shared" si="227"/>
        <v/>
      </c>
      <c r="X535" s="73" t="str">
        <f t="shared" si="228"/>
        <v/>
      </c>
      <c r="Y535" s="80" t="str">
        <f t="shared" si="229"/>
        <v/>
      </c>
      <c r="Z535" s="74" t="str">
        <f t="shared" si="230"/>
        <v/>
      </c>
      <c r="AA535" s="75" t="str">
        <f t="shared" si="234"/>
        <v/>
      </c>
      <c r="AB535" s="103" t="str">
        <f t="shared" si="231"/>
        <v/>
      </c>
      <c r="AC535" s="104" t="str">
        <f t="shared" si="242"/>
        <v/>
      </c>
      <c r="AE535" s="139"/>
      <c r="AF535" s="110" t="str">
        <f t="shared" si="235"/>
        <v/>
      </c>
      <c r="AG535" s="111" t="str">
        <f t="shared" si="236"/>
        <v/>
      </c>
      <c r="AH535" s="111" t="str">
        <f t="shared" si="232"/>
        <v/>
      </c>
      <c r="AI535" s="111" t="str">
        <f t="shared" si="237"/>
        <v/>
      </c>
      <c r="AJ535" s="111" t="str">
        <f t="shared" si="238"/>
        <v/>
      </c>
      <c r="AK535" s="112" t="str">
        <f t="shared" si="239"/>
        <v/>
      </c>
      <c r="AL535" t="str">
        <f t="shared" si="240"/>
        <v/>
      </c>
      <c r="AM535" t="str">
        <f t="shared" si="241"/>
        <v/>
      </c>
    </row>
    <row r="536" spans="1:39" ht="15" customHeight="1" x14ac:dyDescent="0.25">
      <c r="A536" s="131"/>
      <c r="B536" s="133"/>
      <c r="C536" s="133"/>
      <c r="D536" s="42" t="str">
        <f t="shared" si="216"/>
        <v/>
      </c>
      <c r="E536" s="43"/>
      <c r="F536" s="135"/>
      <c r="G536" s="77" t="str">
        <f t="shared" si="217"/>
        <v/>
      </c>
      <c r="H536" s="32" t="str">
        <f t="shared" si="218"/>
        <v/>
      </c>
      <c r="I536" s="78" t="str">
        <f t="shared" si="219"/>
        <v/>
      </c>
      <c r="J536" s="70" t="str">
        <f t="shared" si="220"/>
        <v/>
      </c>
      <c r="K536" s="135"/>
      <c r="L536" s="72" t="str">
        <f t="shared" si="221"/>
        <v/>
      </c>
      <c r="M536" s="135"/>
      <c r="N536" s="72" t="str">
        <f t="shared" si="222"/>
        <v/>
      </c>
      <c r="O536" s="135"/>
      <c r="P536" s="136"/>
      <c r="Q536" s="123" t="str">
        <f t="shared" si="223"/>
        <v/>
      </c>
      <c r="R536" s="45" t="str">
        <f t="shared" si="224"/>
        <v/>
      </c>
      <c r="S536" s="137"/>
      <c r="T536" s="79" t="str">
        <f t="shared" si="233"/>
        <v/>
      </c>
      <c r="U536" s="79" t="str">
        <f t="shared" si="225"/>
        <v/>
      </c>
      <c r="V536" s="73" t="str">
        <f t="shared" si="226"/>
        <v/>
      </c>
      <c r="W536" s="80" t="str">
        <f t="shared" si="227"/>
        <v/>
      </c>
      <c r="X536" s="73" t="str">
        <f t="shared" si="228"/>
        <v/>
      </c>
      <c r="Y536" s="80" t="str">
        <f t="shared" si="229"/>
        <v/>
      </c>
      <c r="Z536" s="74" t="str">
        <f t="shared" si="230"/>
        <v/>
      </c>
      <c r="AA536" s="75" t="str">
        <f t="shared" si="234"/>
        <v/>
      </c>
      <c r="AB536" s="103" t="str">
        <f t="shared" si="231"/>
        <v/>
      </c>
      <c r="AC536" s="104" t="str">
        <f t="shared" si="242"/>
        <v/>
      </c>
      <c r="AE536" s="139"/>
      <c r="AF536" s="110" t="str">
        <f t="shared" si="235"/>
        <v/>
      </c>
      <c r="AG536" s="111" t="str">
        <f t="shared" si="236"/>
        <v/>
      </c>
      <c r="AH536" s="111" t="str">
        <f t="shared" si="232"/>
        <v/>
      </c>
      <c r="AI536" s="111" t="str">
        <f t="shared" si="237"/>
        <v/>
      </c>
      <c r="AJ536" s="111" t="str">
        <f t="shared" si="238"/>
        <v/>
      </c>
      <c r="AK536" s="112" t="str">
        <f t="shared" si="239"/>
        <v/>
      </c>
      <c r="AL536" t="str">
        <f t="shared" si="240"/>
        <v/>
      </c>
      <c r="AM536" t="str">
        <f t="shared" si="241"/>
        <v/>
      </c>
    </row>
    <row r="537" spans="1:39" ht="15" customHeight="1" x14ac:dyDescent="0.25">
      <c r="A537" s="131"/>
      <c r="B537" s="133"/>
      <c r="C537" s="133"/>
      <c r="D537" s="42" t="str">
        <f t="shared" si="216"/>
        <v/>
      </c>
      <c r="E537" s="43"/>
      <c r="F537" s="135"/>
      <c r="G537" s="77" t="str">
        <f t="shared" si="217"/>
        <v/>
      </c>
      <c r="H537" s="32" t="str">
        <f t="shared" si="218"/>
        <v/>
      </c>
      <c r="I537" s="78" t="str">
        <f t="shared" si="219"/>
        <v/>
      </c>
      <c r="J537" s="70" t="str">
        <f t="shared" si="220"/>
        <v/>
      </c>
      <c r="K537" s="135"/>
      <c r="L537" s="72" t="str">
        <f t="shared" si="221"/>
        <v/>
      </c>
      <c r="M537" s="135"/>
      <c r="N537" s="72" t="str">
        <f t="shared" si="222"/>
        <v/>
      </c>
      <c r="O537" s="135"/>
      <c r="P537" s="136"/>
      <c r="Q537" s="123" t="str">
        <f t="shared" si="223"/>
        <v/>
      </c>
      <c r="R537" s="45" t="str">
        <f t="shared" si="224"/>
        <v/>
      </c>
      <c r="S537" s="137"/>
      <c r="T537" s="79" t="str">
        <f t="shared" si="233"/>
        <v/>
      </c>
      <c r="U537" s="79" t="str">
        <f t="shared" si="225"/>
        <v/>
      </c>
      <c r="V537" s="73" t="str">
        <f t="shared" si="226"/>
        <v/>
      </c>
      <c r="W537" s="80" t="str">
        <f t="shared" si="227"/>
        <v/>
      </c>
      <c r="X537" s="73" t="str">
        <f t="shared" si="228"/>
        <v/>
      </c>
      <c r="Y537" s="80" t="str">
        <f t="shared" si="229"/>
        <v/>
      </c>
      <c r="Z537" s="74" t="str">
        <f t="shared" si="230"/>
        <v/>
      </c>
      <c r="AA537" s="75" t="str">
        <f t="shared" si="234"/>
        <v/>
      </c>
      <c r="AB537" s="103" t="str">
        <f t="shared" si="231"/>
        <v/>
      </c>
      <c r="AC537" s="104" t="str">
        <f t="shared" si="242"/>
        <v/>
      </c>
      <c r="AE537" s="139"/>
      <c r="AF537" s="110" t="str">
        <f t="shared" si="235"/>
        <v/>
      </c>
      <c r="AG537" s="111" t="str">
        <f t="shared" si="236"/>
        <v/>
      </c>
      <c r="AH537" s="111" t="str">
        <f t="shared" si="232"/>
        <v/>
      </c>
      <c r="AI537" s="111" t="str">
        <f t="shared" si="237"/>
        <v/>
      </c>
      <c r="AJ537" s="111" t="str">
        <f t="shared" si="238"/>
        <v/>
      </c>
      <c r="AK537" s="112" t="str">
        <f t="shared" si="239"/>
        <v/>
      </c>
      <c r="AL537" t="str">
        <f t="shared" si="240"/>
        <v/>
      </c>
      <c r="AM537" t="str">
        <f t="shared" si="241"/>
        <v/>
      </c>
    </row>
    <row r="538" spans="1:39" ht="15" customHeight="1" x14ac:dyDescent="0.25">
      <c r="A538" s="131"/>
      <c r="B538" s="133"/>
      <c r="C538" s="133"/>
      <c r="D538" s="42" t="str">
        <f t="shared" si="216"/>
        <v/>
      </c>
      <c r="E538" s="43"/>
      <c r="F538" s="135"/>
      <c r="G538" s="77" t="str">
        <f t="shared" si="217"/>
        <v/>
      </c>
      <c r="H538" s="32" t="str">
        <f t="shared" si="218"/>
        <v/>
      </c>
      <c r="I538" s="78" t="str">
        <f t="shared" si="219"/>
        <v/>
      </c>
      <c r="J538" s="70" t="str">
        <f t="shared" si="220"/>
        <v/>
      </c>
      <c r="K538" s="135"/>
      <c r="L538" s="72" t="str">
        <f t="shared" si="221"/>
        <v/>
      </c>
      <c r="M538" s="135"/>
      <c r="N538" s="72" t="str">
        <f t="shared" si="222"/>
        <v/>
      </c>
      <c r="O538" s="135"/>
      <c r="P538" s="136"/>
      <c r="Q538" s="123" t="str">
        <f t="shared" si="223"/>
        <v/>
      </c>
      <c r="R538" s="45" t="str">
        <f t="shared" si="224"/>
        <v/>
      </c>
      <c r="S538" s="137"/>
      <c r="T538" s="79" t="str">
        <f t="shared" si="233"/>
        <v/>
      </c>
      <c r="U538" s="79" t="str">
        <f t="shared" si="225"/>
        <v/>
      </c>
      <c r="V538" s="73" t="str">
        <f t="shared" si="226"/>
        <v/>
      </c>
      <c r="W538" s="80" t="str">
        <f t="shared" si="227"/>
        <v/>
      </c>
      <c r="X538" s="73" t="str">
        <f t="shared" si="228"/>
        <v/>
      </c>
      <c r="Y538" s="80" t="str">
        <f t="shared" si="229"/>
        <v/>
      </c>
      <c r="Z538" s="74" t="str">
        <f t="shared" si="230"/>
        <v/>
      </c>
      <c r="AA538" s="75" t="str">
        <f t="shared" si="234"/>
        <v/>
      </c>
      <c r="AB538" s="103" t="str">
        <f t="shared" si="231"/>
        <v/>
      </c>
      <c r="AC538" s="104" t="str">
        <f t="shared" si="242"/>
        <v/>
      </c>
      <c r="AE538" s="139"/>
      <c r="AF538" s="110" t="str">
        <f t="shared" si="235"/>
        <v/>
      </c>
      <c r="AG538" s="111" t="str">
        <f t="shared" si="236"/>
        <v/>
      </c>
      <c r="AH538" s="111" t="str">
        <f t="shared" si="232"/>
        <v/>
      </c>
      <c r="AI538" s="111" t="str">
        <f t="shared" si="237"/>
        <v/>
      </c>
      <c r="AJ538" s="111" t="str">
        <f t="shared" si="238"/>
        <v/>
      </c>
      <c r="AK538" s="112" t="str">
        <f t="shared" si="239"/>
        <v/>
      </c>
      <c r="AL538" t="str">
        <f t="shared" si="240"/>
        <v/>
      </c>
      <c r="AM538" t="str">
        <f t="shared" si="241"/>
        <v/>
      </c>
    </row>
    <row r="539" spans="1:39" ht="15" customHeight="1" x14ac:dyDescent="0.25">
      <c r="A539" s="131"/>
      <c r="B539" s="133"/>
      <c r="C539" s="133"/>
      <c r="D539" s="42" t="str">
        <f t="shared" si="216"/>
        <v/>
      </c>
      <c r="E539" s="43"/>
      <c r="F539" s="135"/>
      <c r="G539" s="77" t="str">
        <f t="shared" si="217"/>
        <v/>
      </c>
      <c r="H539" s="32" t="str">
        <f t="shared" si="218"/>
        <v/>
      </c>
      <c r="I539" s="78" t="str">
        <f t="shared" si="219"/>
        <v/>
      </c>
      <c r="J539" s="70" t="str">
        <f t="shared" si="220"/>
        <v/>
      </c>
      <c r="K539" s="135"/>
      <c r="L539" s="72" t="str">
        <f t="shared" si="221"/>
        <v/>
      </c>
      <c r="M539" s="135"/>
      <c r="N539" s="72" t="str">
        <f t="shared" si="222"/>
        <v/>
      </c>
      <c r="O539" s="135"/>
      <c r="P539" s="136"/>
      <c r="Q539" s="123" t="str">
        <f t="shared" si="223"/>
        <v/>
      </c>
      <c r="R539" s="45" t="str">
        <f t="shared" si="224"/>
        <v/>
      </c>
      <c r="S539" s="137"/>
      <c r="T539" s="79" t="str">
        <f t="shared" si="233"/>
        <v/>
      </c>
      <c r="U539" s="79" t="str">
        <f t="shared" si="225"/>
        <v/>
      </c>
      <c r="V539" s="73" t="str">
        <f t="shared" si="226"/>
        <v/>
      </c>
      <c r="W539" s="80" t="str">
        <f t="shared" si="227"/>
        <v/>
      </c>
      <c r="X539" s="73" t="str">
        <f t="shared" si="228"/>
        <v/>
      </c>
      <c r="Y539" s="80" t="str">
        <f t="shared" si="229"/>
        <v/>
      </c>
      <c r="Z539" s="74" t="str">
        <f t="shared" si="230"/>
        <v/>
      </c>
      <c r="AA539" s="75" t="str">
        <f t="shared" si="234"/>
        <v/>
      </c>
      <c r="AB539" s="103" t="str">
        <f t="shared" si="231"/>
        <v/>
      </c>
      <c r="AC539" s="104" t="str">
        <f t="shared" si="242"/>
        <v/>
      </c>
      <c r="AE539" s="139"/>
      <c r="AF539" s="110" t="str">
        <f t="shared" si="235"/>
        <v/>
      </c>
      <c r="AG539" s="111" t="str">
        <f t="shared" si="236"/>
        <v/>
      </c>
      <c r="AH539" s="111" t="str">
        <f t="shared" si="232"/>
        <v/>
      </c>
      <c r="AI539" s="111" t="str">
        <f t="shared" si="237"/>
        <v/>
      </c>
      <c r="AJ539" s="111" t="str">
        <f t="shared" si="238"/>
        <v/>
      </c>
      <c r="AK539" s="112" t="str">
        <f t="shared" si="239"/>
        <v/>
      </c>
      <c r="AL539" t="str">
        <f t="shared" si="240"/>
        <v/>
      </c>
      <c r="AM539" t="str">
        <f t="shared" si="241"/>
        <v/>
      </c>
    </row>
    <row r="540" spans="1:39" ht="15" customHeight="1" x14ac:dyDescent="0.25">
      <c r="A540" s="131"/>
      <c r="B540" s="133"/>
      <c r="C540" s="133"/>
      <c r="D540" s="42" t="str">
        <f t="shared" si="216"/>
        <v/>
      </c>
      <c r="E540" s="43"/>
      <c r="F540" s="135"/>
      <c r="G540" s="77" t="str">
        <f t="shared" si="217"/>
        <v/>
      </c>
      <c r="H540" s="32" t="str">
        <f t="shared" si="218"/>
        <v/>
      </c>
      <c r="I540" s="78" t="str">
        <f t="shared" si="219"/>
        <v/>
      </c>
      <c r="J540" s="70" t="str">
        <f t="shared" si="220"/>
        <v/>
      </c>
      <c r="K540" s="135"/>
      <c r="L540" s="72" t="str">
        <f t="shared" si="221"/>
        <v/>
      </c>
      <c r="M540" s="135"/>
      <c r="N540" s="72" t="str">
        <f t="shared" si="222"/>
        <v/>
      </c>
      <c r="O540" s="135"/>
      <c r="P540" s="136"/>
      <c r="Q540" s="123" t="str">
        <f t="shared" si="223"/>
        <v/>
      </c>
      <c r="R540" s="45" t="str">
        <f t="shared" si="224"/>
        <v/>
      </c>
      <c r="S540" s="137"/>
      <c r="T540" s="79" t="str">
        <f t="shared" si="233"/>
        <v/>
      </c>
      <c r="U540" s="79" t="str">
        <f t="shared" si="225"/>
        <v/>
      </c>
      <c r="V540" s="73" t="str">
        <f t="shared" si="226"/>
        <v/>
      </c>
      <c r="W540" s="80" t="str">
        <f t="shared" si="227"/>
        <v/>
      </c>
      <c r="X540" s="73" t="str">
        <f t="shared" si="228"/>
        <v/>
      </c>
      <c r="Y540" s="80" t="str">
        <f t="shared" si="229"/>
        <v/>
      </c>
      <c r="Z540" s="74" t="str">
        <f t="shared" si="230"/>
        <v/>
      </c>
      <c r="AA540" s="75" t="str">
        <f t="shared" si="234"/>
        <v/>
      </c>
      <c r="AB540" s="103" t="str">
        <f t="shared" si="231"/>
        <v/>
      </c>
      <c r="AC540" s="104" t="str">
        <f t="shared" si="242"/>
        <v/>
      </c>
      <c r="AE540" s="139"/>
      <c r="AF540" s="110" t="str">
        <f t="shared" si="235"/>
        <v/>
      </c>
      <c r="AG540" s="111" t="str">
        <f t="shared" si="236"/>
        <v/>
      </c>
      <c r="AH540" s="111" t="str">
        <f t="shared" si="232"/>
        <v/>
      </c>
      <c r="AI540" s="111" t="str">
        <f t="shared" si="237"/>
        <v/>
      </c>
      <c r="AJ540" s="111" t="str">
        <f t="shared" si="238"/>
        <v/>
      </c>
      <c r="AK540" s="112" t="str">
        <f t="shared" si="239"/>
        <v/>
      </c>
      <c r="AL540" t="str">
        <f t="shared" si="240"/>
        <v/>
      </c>
      <c r="AM540" t="str">
        <f t="shared" si="241"/>
        <v/>
      </c>
    </row>
    <row r="541" spans="1:39" ht="15" customHeight="1" x14ac:dyDescent="0.25">
      <c r="A541" s="131"/>
      <c r="B541" s="133"/>
      <c r="C541" s="133"/>
      <c r="D541" s="42" t="str">
        <f t="shared" si="216"/>
        <v/>
      </c>
      <c r="E541" s="43"/>
      <c r="F541" s="135"/>
      <c r="G541" s="77" t="str">
        <f t="shared" si="217"/>
        <v/>
      </c>
      <c r="H541" s="32" t="str">
        <f t="shared" si="218"/>
        <v/>
      </c>
      <c r="I541" s="78" t="str">
        <f t="shared" si="219"/>
        <v/>
      </c>
      <c r="J541" s="70" t="str">
        <f t="shared" si="220"/>
        <v/>
      </c>
      <c r="K541" s="135"/>
      <c r="L541" s="72" t="str">
        <f t="shared" si="221"/>
        <v/>
      </c>
      <c r="M541" s="135"/>
      <c r="N541" s="72" t="str">
        <f t="shared" si="222"/>
        <v/>
      </c>
      <c r="O541" s="135"/>
      <c r="P541" s="136"/>
      <c r="Q541" s="123" t="str">
        <f t="shared" si="223"/>
        <v/>
      </c>
      <c r="R541" s="45" t="str">
        <f t="shared" si="224"/>
        <v/>
      </c>
      <c r="S541" s="137"/>
      <c r="T541" s="79" t="str">
        <f t="shared" si="233"/>
        <v/>
      </c>
      <c r="U541" s="79" t="str">
        <f t="shared" si="225"/>
        <v/>
      </c>
      <c r="V541" s="73" t="str">
        <f t="shared" si="226"/>
        <v/>
      </c>
      <c r="W541" s="80" t="str">
        <f t="shared" si="227"/>
        <v/>
      </c>
      <c r="X541" s="73" t="str">
        <f t="shared" si="228"/>
        <v/>
      </c>
      <c r="Y541" s="80" t="str">
        <f t="shared" si="229"/>
        <v/>
      </c>
      <c r="Z541" s="74" t="str">
        <f t="shared" si="230"/>
        <v/>
      </c>
      <c r="AA541" s="75" t="str">
        <f t="shared" si="234"/>
        <v/>
      </c>
      <c r="AB541" s="103" t="str">
        <f t="shared" si="231"/>
        <v/>
      </c>
      <c r="AC541" s="104" t="str">
        <f t="shared" si="242"/>
        <v/>
      </c>
      <c r="AE541" s="139"/>
      <c r="AF541" s="110" t="str">
        <f t="shared" si="235"/>
        <v/>
      </c>
      <c r="AG541" s="111" t="str">
        <f t="shared" si="236"/>
        <v/>
      </c>
      <c r="AH541" s="111" t="str">
        <f t="shared" si="232"/>
        <v/>
      </c>
      <c r="AI541" s="111" t="str">
        <f t="shared" si="237"/>
        <v/>
      </c>
      <c r="AJ541" s="111" t="str">
        <f t="shared" si="238"/>
        <v/>
      </c>
      <c r="AK541" s="112" t="str">
        <f t="shared" si="239"/>
        <v/>
      </c>
      <c r="AL541" t="str">
        <f t="shared" si="240"/>
        <v/>
      </c>
      <c r="AM541" t="str">
        <f t="shared" si="241"/>
        <v/>
      </c>
    </row>
    <row r="542" spans="1:39" ht="15" customHeight="1" x14ac:dyDescent="0.25">
      <c r="A542" s="131"/>
      <c r="B542" s="133"/>
      <c r="C542" s="133"/>
      <c r="D542" s="42" t="str">
        <f t="shared" si="216"/>
        <v/>
      </c>
      <c r="E542" s="43"/>
      <c r="F542" s="135"/>
      <c r="G542" s="77" t="str">
        <f t="shared" si="217"/>
        <v/>
      </c>
      <c r="H542" s="32" t="str">
        <f t="shared" si="218"/>
        <v/>
      </c>
      <c r="I542" s="78" t="str">
        <f t="shared" si="219"/>
        <v/>
      </c>
      <c r="J542" s="70" t="str">
        <f t="shared" si="220"/>
        <v/>
      </c>
      <c r="K542" s="135"/>
      <c r="L542" s="72" t="str">
        <f t="shared" si="221"/>
        <v/>
      </c>
      <c r="M542" s="135"/>
      <c r="N542" s="72" t="str">
        <f t="shared" si="222"/>
        <v/>
      </c>
      <c r="O542" s="135"/>
      <c r="P542" s="136"/>
      <c r="Q542" s="123" t="str">
        <f t="shared" si="223"/>
        <v/>
      </c>
      <c r="R542" s="45" t="str">
        <f t="shared" si="224"/>
        <v/>
      </c>
      <c r="S542" s="137"/>
      <c r="T542" s="79" t="str">
        <f t="shared" si="233"/>
        <v/>
      </c>
      <c r="U542" s="79" t="str">
        <f t="shared" si="225"/>
        <v/>
      </c>
      <c r="V542" s="73" t="str">
        <f t="shared" si="226"/>
        <v/>
      </c>
      <c r="W542" s="80" t="str">
        <f t="shared" si="227"/>
        <v/>
      </c>
      <c r="X542" s="73" t="str">
        <f t="shared" si="228"/>
        <v/>
      </c>
      <c r="Y542" s="80" t="str">
        <f t="shared" si="229"/>
        <v/>
      </c>
      <c r="Z542" s="74" t="str">
        <f t="shared" si="230"/>
        <v/>
      </c>
      <c r="AA542" s="75" t="str">
        <f t="shared" si="234"/>
        <v/>
      </c>
      <c r="AB542" s="103" t="str">
        <f t="shared" si="231"/>
        <v/>
      </c>
      <c r="AC542" s="104" t="str">
        <f t="shared" si="242"/>
        <v/>
      </c>
      <c r="AE542" s="139"/>
      <c r="AF542" s="110" t="str">
        <f t="shared" si="235"/>
        <v/>
      </c>
      <c r="AG542" s="111" t="str">
        <f t="shared" si="236"/>
        <v/>
      </c>
      <c r="AH542" s="111" t="str">
        <f t="shared" si="232"/>
        <v/>
      </c>
      <c r="AI542" s="111" t="str">
        <f t="shared" si="237"/>
        <v/>
      </c>
      <c r="AJ542" s="111" t="str">
        <f t="shared" si="238"/>
        <v/>
      </c>
      <c r="AK542" s="112" t="str">
        <f t="shared" si="239"/>
        <v/>
      </c>
      <c r="AL542" t="str">
        <f t="shared" si="240"/>
        <v/>
      </c>
      <c r="AM542" t="str">
        <f t="shared" si="241"/>
        <v/>
      </c>
    </row>
    <row r="543" spans="1:39" ht="15" customHeight="1" x14ac:dyDescent="0.25">
      <c r="A543" s="131"/>
      <c r="B543" s="133"/>
      <c r="C543" s="133"/>
      <c r="D543" s="42" t="str">
        <f t="shared" si="216"/>
        <v/>
      </c>
      <c r="E543" s="43"/>
      <c r="F543" s="135"/>
      <c r="G543" s="77" t="str">
        <f t="shared" si="217"/>
        <v/>
      </c>
      <c r="H543" s="32" t="str">
        <f t="shared" si="218"/>
        <v/>
      </c>
      <c r="I543" s="78" t="str">
        <f t="shared" si="219"/>
        <v/>
      </c>
      <c r="J543" s="70" t="str">
        <f t="shared" si="220"/>
        <v/>
      </c>
      <c r="K543" s="135"/>
      <c r="L543" s="72" t="str">
        <f t="shared" si="221"/>
        <v/>
      </c>
      <c r="M543" s="135"/>
      <c r="N543" s="72" t="str">
        <f t="shared" si="222"/>
        <v/>
      </c>
      <c r="O543" s="135"/>
      <c r="P543" s="136"/>
      <c r="Q543" s="123" t="str">
        <f t="shared" si="223"/>
        <v/>
      </c>
      <c r="R543" s="45" t="str">
        <f t="shared" si="224"/>
        <v/>
      </c>
      <c r="S543" s="137"/>
      <c r="T543" s="79" t="str">
        <f t="shared" si="233"/>
        <v/>
      </c>
      <c r="U543" s="79" t="str">
        <f t="shared" si="225"/>
        <v/>
      </c>
      <c r="V543" s="73" t="str">
        <f t="shared" si="226"/>
        <v/>
      </c>
      <c r="W543" s="80" t="str">
        <f t="shared" si="227"/>
        <v/>
      </c>
      <c r="X543" s="73" t="str">
        <f t="shared" si="228"/>
        <v/>
      </c>
      <c r="Y543" s="80" t="str">
        <f t="shared" si="229"/>
        <v/>
      </c>
      <c r="Z543" s="74" t="str">
        <f t="shared" si="230"/>
        <v/>
      </c>
      <c r="AA543" s="75" t="str">
        <f t="shared" si="234"/>
        <v/>
      </c>
      <c r="AB543" s="103" t="str">
        <f t="shared" si="231"/>
        <v/>
      </c>
      <c r="AC543" s="104" t="str">
        <f t="shared" si="242"/>
        <v/>
      </c>
      <c r="AE543" s="139"/>
      <c r="AF543" s="110" t="str">
        <f t="shared" si="235"/>
        <v/>
      </c>
      <c r="AG543" s="111" t="str">
        <f t="shared" si="236"/>
        <v/>
      </c>
      <c r="AH543" s="111" t="str">
        <f t="shared" si="232"/>
        <v/>
      </c>
      <c r="AI543" s="111" t="str">
        <f t="shared" si="237"/>
        <v/>
      </c>
      <c r="AJ543" s="111" t="str">
        <f t="shared" si="238"/>
        <v/>
      </c>
      <c r="AK543" s="112" t="str">
        <f t="shared" si="239"/>
        <v/>
      </c>
      <c r="AL543" t="str">
        <f t="shared" si="240"/>
        <v/>
      </c>
      <c r="AM543" t="str">
        <f t="shared" si="241"/>
        <v/>
      </c>
    </row>
    <row r="544" spans="1:39" ht="15" customHeight="1" x14ac:dyDescent="0.25">
      <c r="A544" s="131"/>
      <c r="B544" s="133"/>
      <c r="C544" s="133"/>
      <c r="D544" s="42" t="str">
        <f t="shared" si="216"/>
        <v/>
      </c>
      <c r="E544" s="43"/>
      <c r="F544" s="135"/>
      <c r="G544" s="77" t="str">
        <f t="shared" si="217"/>
        <v/>
      </c>
      <c r="H544" s="32" t="str">
        <f t="shared" si="218"/>
        <v/>
      </c>
      <c r="I544" s="78" t="str">
        <f t="shared" si="219"/>
        <v/>
      </c>
      <c r="J544" s="70" t="str">
        <f t="shared" si="220"/>
        <v/>
      </c>
      <c r="K544" s="135"/>
      <c r="L544" s="72" t="str">
        <f t="shared" si="221"/>
        <v/>
      </c>
      <c r="M544" s="135"/>
      <c r="N544" s="72" t="str">
        <f t="shared" si="222"/>
        <v/>
      </c>
      <c r="O544" s="135"/>
      <c r="P544" s="136"/>
      <c r="Q544" s="123" t="str">
        <f t="shared" si="223"/>
        <v/>
      </c>
      <c r="R544" s="45" t="str">
        <f t="shared" si="224"/>
        <v/>
      </c>
      <c r="S544" s="137"/>
      <c r="T544" s="79" t="str">
        <f t="shared" si="233"/>
        <v/>
      </c>
      <c r="U544" s="79" t="str">
        <f t="shared" si="225"/>
        <v/>
      </c>
      <c r="V544" s="73" t="str">
        <f t="shared" si="226"/>
        <v/>
      </c>
      <c r="W544" s="80" t="str">
        <f t="shared" si="227"/>
        <v/>
      </c>
      <c r="X544" s="73" t="str">
        <f t="shared" si="228"/>
        <v/>
      </c>
      <c r="Y544" s="80" t="str">
        <f t="shared" si="229"/>
        <v/>
      </c>
      <c r="Z544" s="74" t="str">
        <f t="shared" si="230"/>
        <v/>
      </c>
      <c r="AA544" s="75" t="str">
        <f t="shared" si="234"/>
        <v/>
      </c>
      <c r="AB544" s="103" t="str">
        <f t="shared" si="231"/>
        <v/>
      </c>
      <c r="AC544" s="104" t="str">
        <f t="shared" si="242"/>
        <v/>
      </c>
      <c r="AE544" s="139"/>
      <c r="AF544" s="110" t="str">
        <f t="shared" si="235"/>
        <v/>
      </c>
      <c r="AG544" s="111" t="str">
        <f t="shared" si="236"/>
        <v/>
      </c>
      <c r="AH544" s="111" t="str">
        <f t="shared" si="232"/>
        <v/>
      </c>
      <c r="AI544" s="111" t="str">
        <f t="shared" si="237"/>
        <v/>
      </c>
      <c r="AJ544" s="111" t="str">
        <f t="shared" si="238"/>
        <v/>
      </c>
      <c r="AK544" s="112" t="str">
        <f t="shared" si="239"/>
        <v/>
      </c>
      <c r="AL544" t="str">
        <f t="shared" si="240"/>
        <v/>
      </c>
      <c r="AM544" t="str">
        <f t="shared" si="241"/>
        <v/>
      </c>
    </row>
    <row r="545" spans="1:39" ht="15" customHeight="1" x14ac:dyDescent="0.25">
      <c r="A545" s="131"/>
      <c r="B545" s="133"/>
      <c r="C545" s="133"/>
      <c r="D545" s="42" t="str">
        <f t="shared" si="216"/>
        <v/>
      </c>
      <c r="E545" s="43"/>
      <c r="F545" s="135"/>
      <c r="G545" s="77" t="str">
        <f t="shared" si="217"/>
        <v/>
      </c>
      <c r="H545" s="32" t="str">
        <f t="shared" si="218"/>
        <v/>
      </c>
      <c r="I545" s="78" t="str">
        <f t="shared" si="219"/>
        <v/>
      </c>
      <c r="J545" s="70" t="str">
        <f t="shared" si="220"/>
        <v/>
      </c>
      <c r="K545" s="135"/>
      <c r="L545" s="72" t="str">
        <f t="shared" si="221"/>
        <v/>
      </c>
      <c r="M545" s="135"/>
      <c r="N545" s="72" t="str">
        <f t="shared" si="222"/>
        <v/>
      </c>
      <c r="O545" s="135"/>
      <c r="P545" s="136"/>
      <c r="Q545" s="123" t="str">
        <f t="shared" si="223"/>
        <v/>
      </c>
      <c r="R545" s="45" t="str">
        <f t="shared" si="224"/>
        <v/>
      </c>
      <c r="S545" s="137"/>
      <c r="T545" s="79" t="str">
        <f t="shared" si="233"/>
        <v/>
      </c>
      <c r="U545" s="79" t="str">
        <f t="shared" si="225"/>
        <v/>
      </c>
      <c r="V545" s="73" t="str">
        <f t="shared" si="226"/>
        <v/>
      </c>
      <c r="W545" s="80" t="str">
        <f t="shared" si="227"/>
        <v/>
      </c>
      <c r="X545" s="73" t="str">
        <f t="shared" si="228"/>
        <v/>
      </c>
      <c r="Y545" s="80" t="str">
        <f t="shared" si="229"/>
        <v/>
      </c>
      <c r="Z545" s="74" t="str">
        <f t="shared" si="230"/>
        <v/>
      </c>
      <c r="AA545" s="75" t="str">
        <f t="shared" si="234"/>
        <v/>
      </c>
      <c r="AB545" s="103" t="str">
        <f t="shared" si="231"/>
        <v/>
      </c>
      <c r="AC545" s="104" t="str">
        <f t="shared" si="242"/>
        <v/>
      </c>
      <c r="AE545" s="139"/>
      <c r="AF545" s="110" t="str">
        <f t="shared" si="235"/>
        <v/>
      </c>
      <c r="AG545" s="111" t="str">
        <f t="shared" si="236"/>
        <v/>
      </c>
      <c r="AH545" s="111" t="str">
        <f t="shared" si="232"/>
        <v/>
      </c>
      <c r="AI545" s="111" t="str">
        <f t="shared" si="237"/>
        <v/>
      </c>
      <c r="AJ545" s="111" t="str">
        <f t="shared" si="238"/>
        <v/>
      </c>
      <c r="AK545" s="112" t="str">
        <f t="shared" si="239"/>
        <v/>
      </c>
      <c r="AL545" t="str">
        <f t="shared" si="240"/>
        <v/>
      </c>
      <c r="AM545" t="str">
        <f t="shared" si="241"/>
        <v/>
      </c>
    </row>
    <row r="546" spans="1:39" ht="15" customHeight="1" x14ac:dyDescent="0.25">
      <c r="A546" s="131"/>
      <c r="B546" s="133"/>
      <c r="C546" s="133"/>
      <c r="D546" s="42" t="str">
        <f t="shared" si="216"/>
        <v/>
      </c>
      <c r="E546" s="43"/>
      <c r="F546" s="135"/>
      <c r="G546" s="77" t="str">
        <f t="shared" si="217"/>
        <v/>
      </c>
      <c r="H546" s="32" t="str">
        <f t="shared" si="218"/>
        <v/>
      </c>
      <c r="I546" s="78" t="str">
        <f t="shared" si="219"/>
        <v/>
      </c>
      <c r="J546" s="70" t="str">
        <f t="shared" si="220"/>
        <v/>
      </c>
      <c r="K546" s="135"/>
      <c r="L546" s="72" t="str">
        <f t="shared" si="221"/>
        <v/>
      </c>
      <c r="M546" s="135"/>
      <c r="N546" s="72" t="str">
        <f t="shared" si="222"/>
        <v/>
      </c>
      <c r="O546" s="135"/>
      <c r="P546" s="136"/>
      <c r="Q546" s="123" t="str">
        <f t="shared" si="223"/>
        <v/>
      </c>
      <c r="R546" s="45" t="str">
        <f t="shared" si="224"/>
        <v/>
      </c>
      <c r="S546" s="137"/>
      <c r="T546" s="79" t="str">
        <f t="shared" si="233"/>
        <v/>
      </c>
      <c r="U546" s="79" t="str">
        <f t="shared" si="225"/>
        <v/>
      </c>
      <c r="V546" s="73" t="str">
        <f t="shared" si="226"/>
        <v/>
      </c>
      <c r="W546" s="80" t="str">
        <f t="shared" si="227"/>
        <v/>
      </c>
      <c r="X546" s="73" t="str">
        <f t="shared" si="228"/>
        <v/>
      </c>
      <c r="Y546" s="80" t="str">
        <f t="shared" si="229"/>
        <v/>
      </c>
      <c r="Z546" s="74" t="str">
        <f t="shared" si="230"/>
        <v/>
      </c>
      <c r="AA546" s="75" t="str">
        <f t="shared" si="234"/>
        <v/>
      </c>
      <c r="AB546" s="103" t="str">
        <f t="shared" si="231"/>
        <v/>
      </c>
      <c r="AC546" s="104" t="str">
        <f t="shared" si="242"/>
        <v/>
      </c>
      <c r="AE546" s="139"/>
      <c r="AF546" s="110" t="str">
        <f t="shared" si="235"/>
        <v/>
      </c>
      <c r="AG546" s="111" t="str">
        <f t="shared" si="236"/>
        <v/>
      </c>
      <c r="AH546" s="111" t="str">
        <f t="shared" si="232"/>
        <v/>
      </c>
      <c r="AI546" s="111" t="str">
        <f t="shared" si="237"/>
        <v/>
      </c>
      <c r="AJ546" s="111" t="str">
        <f t="shared" si="238"/>
        <v/>
      </c>
      <c r="AK546" s="112" t="str">
        <f t="shared" si="239"/>
        <v/>
      </c>
      <c r="AL546" t="str">
        <f t="shared" si="240"/>
        <v/>
      </c>
      <c r="AM546" t="str">
        <f t="shared" si="241"/>
        <v/>
      </c>
    </row>
    <row r="547" spans="1:39" ht="15" customHeight="1" x14ac:dyDescent="0.25">
      <c r="A547" s="131"/>
      <c r="B547" s="133"/>
      <c r="C547" s="133"/>
      <c r="D547" s="42" t="str">
        <f t="shared" si="216"/>
        <v/>
      </c>
      <c r="E547" s="43"/>
      <c r="F547" s="135"/>
      <c r="G547" s="77" t="str">
        <f t="shared" si="217"/>
        <v/>
      </c>
      <c r="H547" s="32" t="str">
        <f t="shared" si="218"/>
        <v/>
      </c>
      <c r="I547" s="78" t="str">
        <f t="shared" si="219"/>
        <v/>
      </c>
      <c r="J547" s="70" t="str">
        <f t="shared" si="220"/>
        <v/>
      </c>
      <c r="K547" s="135"/>
      <c r="L547" s="72" t="str">
        <f t="shared" si="221"/>
        <v/>
      </c>
      <c r="M547" s="135"/>
      <c r="N547" s="72" t="str">
        <f t="shared" si="222"/>
        <v/>
      </c>
      <c r="O547" s="135"/>
      <c r="P547" s="136"/>
      <c r="Q547" s="123" t="str">
        <f t="shared" si="223"/>
        <v/>
      </c>
      <c r="R547" s="45" t="str">
        <f t="shared" si="224"/>
        <v/>
      </c>
      <c r="S547" s="137"/>
      <c r="T547" s="79" t="str">
        <f t="shared" si="233"/>
        <v/>
      </c>
      <c r="U547" s="79" t="str">
        <f t="shared" si="225"/>
        <v/>
      </c>
      <c r="V547" s="73" t="str">
        <f t="shared" si="226"/>
        <v/>
      </c>
      <c r="W547" s="80" t="str">
        <f t="shared" si="227"/>
        <v/>
      </c>
      <c r="X547" s="73" t="str">
        <f t="shared" si="228"/>
        <v/>
      </c>
      <c r="Y547" s="80" t="str">
        <f t="shared" si="229"/>
        <v/>
      </c>
      <c r="Z547" s="74" t="str">
        <f t="shared" si="230"/>
        <v/>
      </c>
      <c r="AA547" s="75" t="str">
        <f t="shared" si="234"/>
        <v/>
      </c>
      <c r="AB547" s="103" t="str">
        <f t="shared" si="231"/>
        <v/>
      </c>
      <c r="AC547" s="104" t="str">
        <f t="shared" si="242"/>
        <v/>
      </c>
      <c r="AE547" s="139"/>
      <c r="AF547" s="110" t="str">
        <f t="shared" si="235"/>
        <v/>
      </c>
      <c r="AG547" s="111" t="str">
        <f t="shared" si="236"/>
        <v/>
      </c>
      <c r="AH547" s="111" t="str">
        <f t="shared" si="232"/>
        <v/>
      </c>
      <c r="AI547" s="111" t="str">
        <f t="shared" si="237"/>
        <v/>
      </c>
      <c r="AJ547" s="111" t="str">
        <f t="shared" si="238"/>
        <v/>
      </c>
      <c r="AK547" s="112" t="str">
        <f t="shared" si="239"/>
        <v/>
      </c>
      <c r="AL547" t="str">
        <f t="shared" si="240"/>
        <v/>
      </c>
      <c r="AM547" t="str">
        <f t="shared" si="241"/>
        <v/>
      </c>
    </row>
    <row r="548" spans="1:39" ht="15" customHeight="1" x14ac:dyDescent="0.25">
      <c r="A548" s="131"/>
      <c r="B548" s="133"/>
      <c r="C548" s="133"/>
      <c r="D548" s="42" t="str">
        <f t="shared" si="216"/>
        <v/>
      </c>
      <c r="E548" s="43"/>
      <c r="F548" s="135"/>
      <c r="G548" s="77" t="str">
        <f t="shared" si="217"/>
        <v/>
      </c>
      <c r="H548" s="32" t="str">
        <f t="shared" si="218"/>
        <v/>
      </c>
      <c r="I548" s="78" t="str">
        <f t="shared" si="219"/>
        <v/>
      </c>
      <c r="J548" s="70" t="str">
        <f t="shared" si="220"/>
        <v/>
      </c>
      <c r="K548" s="135"/>
      <c r="L548" s="72" t="str">
        <f t="shared" si="221"/>
        <v/>
      </c>
      <c r="M548" s="135"/>
      <c r="N548" s="72" t="str">
        <f t="shared" si="222"/>
        <v/>
      </c>
      <c r="O548" s="135"/>
      <c r="P548" s="136"/>
      <c r="Q548" s="123" t="str">
        <f t="shared" si="223"/>
        <v/>
      </c>
      <c r="R548" s="45" t="str">
        <f t="shared" si="224"/>
        <v/>
      </c>
      <c r="S548" s="137"/>
      <c r="T548" s="79" t="str">
        <f t="shared" si="233"/>
        <v/>
      </c>
      <c r="U548" s="79" t="str">
        <f t="shared" si="225"/>
        <v/>
      </c>
      <c r="V548" s="73" t="str">
        <f t="shared" si="226"/>
        <v/>
      </c>
      <c r="W548" s="80" t="str">
        <f t="shared" si="227"/>
        <v/>
      </c>
      <c r="X548" s="73" t="str">
        <f t="shared" si="228"/>
        <v/>
      </c>
      <c r="Y548" s="80" t="str">
        <f t="shared" si="229"/>
        <v/>
      </c>
      <c r="Z548" s="74" t="str">
        <f t="shared" si="230"/>
        <v/>
      </c>
      <c r="AA548" s="75" t="str">
        <f t="shared" si="234"/>
        <v/>
      </c>
      <c r="AB548" s="103" t="str">
        <f t="shared" si="231"/>
        <v/>
      </c>
      <c r="AC548" s="104" t="str">
        <f t="shared" si="242"/>
        <v/>
      </c>
      <c r="AE548" s="139"/>
      <c r="AF548" s="110" t="str">
        <f t="shared" si="235"/>
        <v/>
      </c>
      <c r="AG548" s="111" t="str">
        <f t="shared" si="236"/>
        <v/>
      </c>
      <c r="AH548" s="111" t="str">
        <f t="shared" si="232"/>
        <v/>
      </c>
      <c r="AI548" s="111" t="str">
        <f t="shared" si="237"/>
        <v/>
      </c>
      <c r="AJ548" s="111" t="str">
        <f t="shared" si="238"/>
        <v/>
      </c>
      <c r="AK548" s="112" t="str">
        <f t="shared" si="239"/>
        <v/>
      </c>
      <c r="AL548" t="str">
        <f t="shared" si="240"/>
        <v/>
      </c>
      <c r="AM548" t="str">
        <f t="shared" si="241"/>
        <v/>
      </c>
    </row>
    <row r="549" spans="1:39" ht="15" customHeight="1" x14ac:dyDescent="0.25">
      <c r="A549" s="131"/>
      <c r="B549" s="133"/>
      <c r="C549" s="133"/>
      <c r="D549" s="42" t="str">
        <f t="shared" si="216"/>
        <v/>
      </c>
      <c r="E549" s="43"/>
      <c r="F549" s="135"/>
      <c r="G549" s="77" t="str">
        <f t="shared" si="217"/>
        <v/>
      </c>
      <c r="H549" s="32" t="str">
        <f t="shared" si="218"/>
        <v/>
      </c>
      <c r="I549" s="78" t="str">
        <f t="shared" si="219"/>
        <v/>
      </c>
      <c r="J549" s="70" t="str">
        <f t="shared" si="220"/>
        <v/>
      </c>
      <c r="K549" s="135"/>
      <c r="L549" s="72" t="str">
        <f t="shared" si="221"/>
        <v/>
      </c>
      <c r="M549" s="135"/>
      <c r="N549" s="72" t="str">
        <f t="shared" si="222"/>
        <v/>
      </c>
      <c r="O549" s="135"/>
      <c r="P549" s="136"/>
      <c r="Q549" s="123" t="str">
        <f t="shared" si="223"/>
        <v/>
      </c>
      <c r="R549" s="45" t="str">
        <f t="shared" si="224"/>
        <v/>
      </c>
      <c r="S549" s="137"/>
      <c r="T549" s="79" t="str">
        <f t="shared" si="233"/>
        <v/>
      </c>
      <c r="U549" s="79" t="str">
        <f t="shared" si="225"/>
        <v/>
      </c>
      <c r="V549" s="73" t="str">
        <f t="shared" si="226"/>
        <v/>
      </c>
      <c r="W549" s="80" t="str">
        <f t="shared" si="227"/>
        <v/>
      </c>
      <c r="X549" s="73" t="str">
        <f t="shared" si="228"/>
        <v/>
      </c>
      <c r="Y549" s="80" t="str">
        <f t="shared" si="229"/>
        <v/>
      </c>
      <c r="Z549" s="74" t="str">
        <f t="shared" si="230"/>
        <v/>
      </c>
      <c r="AA549" s="75" t="str">
        <f t="shared" si="234"/>
        <v/>
      </c>
      <c r="AB549" s="103" t="str">
        <f t="shared" si="231"/>
        <v/>
      </c>
      <c r="AC549" s="104" t="str">
        <f t="shared" si="242"/>
        <v/>
      </c>
      <c r="AE549" s="139"/>
      <c r="AF549" s="110" t="str">
        <f t="shared" si="235"/>
        <v/>
      </c>
      <c r="AG549" s="111" t="str">
        <f t="shared" si="236"/>
        <v/>
      </c>
      <c r="AH549" s="111" t="str">
        <f t="shared" si="232"/>
        <v/>
      </c>
      <c r="AI549" s="111" t="str">
        <f t="shared" si="237"/>
        <v/>
      </c>
      <c r="AJ549" s="111" t="str">
        <f t="shared" si="238"/>
        <v/>
      </c>
      <c r="AK549" s="112" t="str">
        <f t="shared" si="239"/>
        <v/>
      </c>
      <c r="AL549" t="str">
        <f t="shared" si="240"/>
        <v/>
      </c>
      <c r="AM549" t="str">
        <f t="shared" si="241"/>
        <v/>
      </c>
    </row>
    <row r="550" spans="1:39" ht="15" customHeight="1" x14ac:dyDescent="0.25">
      <c r="A550" s="131"/>
      <c r="B550" s="133"/>
      <c r="C550" s="133"/>
      <c r="D550" s="42" t="str">
        <f t="shared" si="216"/>
        <v/>
      </c>
      <c r="E550" s="43"/>
      <c r="F550" s="135"/>
      <c r="G550" s="77" t="str">
        <f t="shared" si="217"/>
        <v/>
      </c>
      <c r="H550" s="32" t="str">
        <f t="shared" si="218"/>
        <v/>
      </c>
      <c r="I550" s="78" t="str">
        <f t="shared" si="219"/>
        <v/>
      </c>
      <c r="J550" s="70" t="str">
        <f t="shared" si="220"/>
        <v/>
      </c>
      <c r="K550" s="135"/>
      <c r="L550" s="72" t="str">
        <f t="shared" si="221"/>
        <v/>
      </c>
      <c r="M550" s="135"/>
      <c r="N550" s="72" t="str">
        <f t="shared" si="222"/>
        <v/>
      </c>
      <c r="O550" s="135"/>
      <c r="P550" s="136"/>
      <c r="Q550" s="123" t="str">
        <f t="shared" si="223"/>
        <v/>
      </c>
      <c r="R550" s="45" t="str">
        <f t="shared" si="224"/>
        <v/>
      </c>
      <c r="S550" s="137"/>
      <c r="T550" s="79" t="str">
        <f t="shared" si="233"/>
        <v/>
      </c>
      <c r="U550" s="79" t="str">
        <f t="shared" si="225"/>
        <v/>
      </c>
      <c r="V550" s="73" t="str">
        <f t="shared" si="226"/>
        <v/>
      </c>
      <c r="W550" s="80" t="str">
        <f t="shared" si="227"/>
        <v/>
      </c>
      <c r="X550" s="73" t="str">
        <f t="shared" si="228"/>
        <v/>
      </c>
      <c r="Y550" s="80" t="str">
        <f t="shared" si="229"/>
        <v/>
      </c>
      <c r="Z550" s="74" t="str">
        <f t="shared" si="230"/>
        <v/>
      </c>
      <c r="AA550" s="75" t="str">
        <f t="shared" si="234"/>
        <v/>
      </c>
      <c r="AB550" s="103" t="str">
        <f t="shared" si="231"/>
        <v/>
      </c>
      <c r="AC550" s="104" t="str">
        <f t="shared" si="242"/>
        <v/>
      </c>
      <c r="AE550" s="139"/>
      <c r="AF550" s="110" t="str">
        <f t="shared" si="235"/>
        <v/>
      </c>
      <c r="AG550" s="111" t="str">
        <f t="shared" si="236"/>
        <v/>
      </c>
      <c r="AH550" s="111" t="str">
        <f t="shared" si="232"/>
        <v/>
      </c>
      <c r="AI550" s="111" t="str">
        <f t="shared" si="237"/>
        <v/>
      </c>
      <c r="AJ550" s="111" t="str">
        <f t="shared" si="238"/>
        <v/>
      </c>
      <c r="AK550" s="112" t="str">
        <f t="shared" si="239"/>
        <v/>
      </c>
      <c r="AL550" t="str">
        <f t="shared" si="240"/>
        <v/>
      </c>
      <c r="AM550" t="str">
        <f t="shared" si="241"/>
        <v/>
      </c>
    </row>
    <row r="551" spans="1:39" ht="15" customHeight="1" x14ac:dyDescent="0.25">
      <c r="A551" s="131"/>
      <c r="B551" s="133"/>
      <c r="C551" s="133"/>
      <c r="D551" s="42" t="str">
        <f t="shared" si="216"/>
        <v/>
      </c>
      <c r="E551" s="43"/>
      <c r="F551" s="135"/>
      <c r="G551" s="77" t="str">
        <f t="shared" si="217"/>
        <v/>
      </c>
      <c r="H551" s="32" t="str">
        <f t="shared" si="218"/>
        <v/>
      </c>
      <c r="I551" s="78" t="str">
        <f t="shared" si="219"/>
        <v/>
      </c>
      <c r="J551" s="70" t="str">
        <f t="shared" si="220"/>
        <v/>
      </c>
      <c r="K551" s="135"/>
      <c r="L551" s="72" t="str">
        <f t="shared" si="221"/>
        <v/>
      </c>
      <c r="M551" s="135"/>
      <c r="N551" s="72" t="str">
        <f t="shared" si="222"/>
        <v/>
      </c>
      <c r="O551" s="135"/>
      <c r="P551" s="136"/>
      <c r="Q551" s="123" t="str">
        <f t="shared" si="223"/>
        <v/>
      </c>
      <c r="R551" s="45" t="str">
        <f t="shared" si="224"/>
        <v/>
      </c>
      <c r="S551" s="137"/>
      <c r="T551" s="79" t="str">
        <f t="shared" si="233"/>
        <v/>
      </c>
      <c r="U551" s="79" t="str">
        <f t="shared" si="225"/>
        <v/>
      </c>
      <c r="V551" s="73" t="str">
        <f t="shared" si="226"/>
        <v/>
      </c>
      <c r="W551" s="80" t="str">
        <f t="shared" si="227"/>
        <v/>
      </c>
      <c r="X551" s="73" t="str">
        <f t="shared" si="228"/>
        <v/>
      </c>
      <c r="Y551" s="80" t="str">
        <f t="shared" si="229"/>
        <v/>
      </c>
      <c r="Z551" s="74" t="str">
        <f t="shared" si="230"/>
        <v/>
      </c>
      <c r="AA551" s="75" t="str">
        <f t="shared" si="234"/>
        <v/>
      </c>
      <c r="AB551" s="103" t="str">
        <f t="shared" si="231"/>
        <v/>
      </c>
      <c r="AC551" s="104" t="str">
        <f t="shared" si="242"/>
        <v/>
      </c>
      <c r="AE551" s="139"/>
      <c r="AF551" s="110" t="str">
        <f t="shared" si="235"/>
        <v/>
      </c>
      <c r="AG551" s="111" t="str">
        <f t="shared" si="236"/>
        <v/>
      </c>
      <c r="AH551" s="111" t="str">
        <f t="shared" si="232"/>
        <v/>
      </c>
      <c r="AI551" s="111" t="str">
        <f t="shared" si="237"/>
        <v/>
      </c>
      <c r="AJ551" s="111" t="str">
        <f t="shared" si="238"/>
        <v/>
      </c>
      <c r="AK551" s="112" t="str">
        <f t="shared" si="239"/>
        <v/>
      </c>
      <c r="AL551" t="str">
        <f t="shared" si="240"/>
        <v/>
      </c>
      <c r="AM551" t="str">
        <f t="shared" si="241"/>
        <v/>
      </c>
    </row>
    <row r="552" spans="1:39" ht="15" customHeight="1" x14ac:dyDescent="0.25">
      <c r="A552" s="131"/>
      <c r="B552" s="133"/>
      <c r="C552" s="133"/>
      <c r="D552" s="42" t="str">
        <f t="shared" si="216"/>
        <v/>
      </c>
      <c r="E552" s="43"/>
      <c r="F552" s="135"/>
      <c r="G552" s="77" t="str">
        <f t="shared" si="217"/>
        <v/>
      </c>
      <c r="H552" s="32" t="str">
        <f t="shared" si="218"/>
        <v/>
      </c>
      <c r="I552" s="78" t="str">
        <f t="shared" si="219"/>
        <v/>
      </c>
      <c r="J552" s="70" t="str">
        <f t="shared" si="220"/>
        <v/>
      </c>
      <c r="K552" s="135"/>
      <c r="L552" s="72" t="str">
        <f t="shared" si="221"/>
        <v/>
      </c>
      <c r="M552" s="135"/>
      <c r="N552" s="72" t="str">
        <f t="shared" si="222"/>
        <v/>
      </c>
      <c r="O552" s="135"/>
      <c r="P552" s="136"/>
      <c r="Q552" s="123" t="str">
        <f t="shared" si="223"/>
        <v/>
      </c>
      <c r="R552" s="45" t="str">
        <f t="shared" si="224"/>
        <v/>
      </c>
      <c r="S552" s="137"/>
      <c r="T552" s="79" t="str">
        <f t="shared" si="233"/>
        <v/>
      </c>
      <c r="U552" s="79" t="str">
        <f t="shared" si="225"/>
        <v/>
      </c>
      <c r="V552" s="73" t="str">
        <f t="shared" si="226"/>
        <v/>
      </c>
      <c r="W552" s="80" t="str">
        <f t="shared" si="227"/>
        <v/>
      </c>
      <c r="X552" s="73" t="str">
        <f t="shared" si="228"/>
        <v/>
      </c>
      <c r="Y552" s="80" t="str">
        <f t="shared" si="229"/>
        <v/>
      </c>
      <c r="Z552" s="74" t="str">
        <f t="shared" si="230"/>
        <v/>
      </c>
      <c r="AA552" s="75" t="str">
        <f t="shared" si="234"/>
        <v/>
      </c>
      <c r="AB552" s="103" t="str">
        <f t="shared" si="231"/>
        <v/>
      </c>
      <c r="AC552" s="104" t="str">
        <f t="shared" si="242"/>
        <v/>
      </c>
      <c r="AE552" s="139"/>
      <c r="AF552" s="110" t="str">
        <f t="shared" si="235"/>
        <v/>
      </c>
      <c r="AG552" s="111" t="str">
        <f t="shared" si="236"/>
        <v/>
      </c>
      <c r="AH552" s="111" t="str">
        <f t="shared" si="232"/>
        <v/>
      </c>
      <c r="AI552" s="111" t="str">
        <f t="shared" si="237"/>
        <v/>
      </c>
      <c r="AJ552" s="111" t="str">
        <f t="shared" si="238"/>
        <v/>
      </c>
      <c r="AK552" s="112" t="str">
        <f t="shared" si="239"/>
        <v/>
      </c>
      <c r="AL552" t="str">
        <f t="shared" si="240"/>
        <v/>
      </c>
      <c r="AM552" t="str">
        <f t="shared" si="241"/>
        <v/>
      </c>
    </row>
    <row r="553" spans="1:39" ht="15" customHeight="1" x14ac:dyDescent="0.25">
      <c r="A553" s="131"/>
      <c r="B553" s="133"/>
      <c r="C553" s="133"/>
      <c r="D553" s="42" t="str">
        <f t="shared" si="216"/>
        <v/>
      </c>
      <c r="E553" s="43"/>
      <c r="F553" s="135"/>
      <c r="G553" s="77" t="str">
        <f t="shared" si="217"/>
        <v/>
      </c>
      <c r="H553" s="32" t="str">
        <f t="shared" si="218"/>
        <v/>
      </c>
      <c r="I553" s="78" t="str">
        <f t="shared" si="219"/>
        <v/>
      </c>
      <c r="J553" s="70" t="str">
        <f t="shared" si="220"/>
        <v/>
      </c>
      <c r="K553" s="135"/>
      <c r="L553" s="72" t="str">
        <f t="shared" si="221"/>
        <v/>
      </c>
      <c r="M553" s="135"/>
      <c r="N553" s="72" t="str">
        <f t="shared" si="222"/>
        <v/>
      </c>
      <c r="O553" s="135"/>
      <c r="P553" s="136"/>
      <c r="Q553" s="123" t="str">
        <f t="shared" si="223"/>
        <v/>
      </c>
      <c r="R553" s="45" t="str">
        <f t="shared" si="224"/>
        <v/>
      </c>
      <c r="S553" s="137"/>
      <c r="T553" s="79" t="str">
        <f t="shared" si="233"/>
        <v/>
      </c>
      <c r="U553" s="79" t="str">
        <f t="shared" si="225"/>
        <v/>
      </c>
      <c r="V553" s="73" t="str">
        <f t="shared" si="226"/>
        <v/>
      </c>
      <c r="W553" s="80" t="str">
        <f t="shared" si="227"/>
        <v/>
      </c>
      <c r="X553" s="73" t="str">
        <f t="shared" si="228"/>
        <v/>
      </c>
      <c r="Y553" s="80" t="str">
        <f t="shared" si="229"/>
        <v/>
      </c>
      <c r="Z553" s="74" t="str">
        <f t="shared" si="230"/>
        <v/>
      </c>
      <c r="AA553" s="75" t="str">
        <f t="shared" si="234"/>
        <v/>
      </c>
      <c r="AB553" s="103" t="str">
        <f t="shared" si="231"/>
        <v/>
      </c>
      <c r="AC553" s="104" t="str">
        <f t="shared" si="242"/>
        <v/>
      </c>
      <c r="AE553" s="139"/>
      <c r="AF553" s="110" t="str">
        <f t="shared" si="235"/>
        <v/>
      </c>
      <c r="AG553" s="111" t="str">
        <f t="shared" si="236"/>
        <v/>
      </c>
      <c r="AH553" s="111" t="str">
        <f t="shared" si="232"/>
        <v/>
      </c>
      <c r="AI553" s="111" t="str">
        <f t="shared" si="237"/>
        <v/>
      </c>
      <c r="AJ553" s="111" t="str">
        <f t="shared" si="238"/>
        <v/>
      </c>
      <c r="AK553" s="112" t="str">
        <f t="shared" si="239"/>
        <v/>
      </c>
      <c r="AL553" t="str">
        <f t="shared" si="240"/>
        <v/>
      </c>
      <c r="AM553" t="str">
        <f t="shared" si="241"/>
        <v/>
      </c>
    </row>
    <row r="554" spans="1:39" ht="15" customHeight="1" x14ac:dyDescent="0.25">
      <c r="A554" s="131"/>
      <c r="B554" s="133"/>
      <c r="C554" s="133"/>
      <c r="D554" s="42" t="str">
        <f t="shared" si="216"/>
        <v/>
      </c>
      <c r="E554" s="43"/>
      <c r="F554" s="135"/>
      <c r="G554" s="77" t="str">
        <f t="shared" si="217"/>
        <v/>
      </c>
      <c r="H554" s="32" t="str">
        <f t="shared" si="218"/>
        <v/>
      </c>
      <c r="I554" s="78" t="str">
        <f t="shared" si="219"/>
        <v/>
      </c>
      <c r="J554" s="70" t="str">
        <f t="shared" si="220"/>
        <v/>
      </c>
      <c r="K554" s="135"/>
      <c r="L554" s="72" t="str">
        <f t="shared" si="221"/>
        <v/>
      </c>
      <c r="M554" s="135"/>
      <c r="N554" s="72" t="str">
        <f t="shared" si="222"/>
        <v/>
      </c>
      <c r="O554" s="135"/>
      <c r="P554" s="136"/>
      <c r="Q554" s="123" t="str">
        <f t="shared" si="223"/>
        <v/>
      </c>
      <c r="R554" s="45" t="str">
        <f t="shared" si="224"/>
        <v/>
      </c>
      <c r="S554" s="137"/>
      <c r="T554" s="79" t="str">
        <f t="shared" si="233"/>
        <v/>
      </c>
      <c r="U554" s="79" t="str">
        <f t="shared" si="225"/>
        <v/>
      </c>
      <c r="V554" s="73" t="str">
        <f t="shared" si="226"/>
        <v/>
      </c>
      <c r="W554" s="80" t="str">
        <f t="shared" si="227"/>
        <v/>
      </c>
      <c r="X554" s="73" t="str">
        <f t="shared" si="228"/>
        <v/>
      </c>
      <c r="Y554" s="80" t="str">
        <f t="shared" si="229"/>
        <v/>
      </c>
      <c r="Z554" s="74" t="str">
        <f t="shared" si="230"/>
        <v/>
      </c>
      <c r="AA554" s="75" t="str">
        <f t="shared" si="234"/>
        <v/>
      </c>
      <c r="AB554" s="103" t="str">
        <f t="shared" si="231"/>
        <v/>
      </c>
      <c r="AC554" s="104" t="str">
        <f t="shared" si="242"/>
        <v/>
      </c>
      <c r="AE554" s="139"/>
      <c r="AF554" s="110" t="str">
        <f t="shared" si="235"/>
        <v/>
      </c>
      <c r="AG554" s="111" t="str">
        <f t="shared" si="236"/>
        <v/>
      </c>
      <c r="AH554" s="111" t="str">
        <f t="shared" si="232"/>
        <v/>
      </c>
      <c r="AI554" s="111" t="str">
        <f t="shared" si="237"/>
        <v/>
      </c>
      <c r="AJ554" s="111" t="str">
        <f t="shared" si="238"/>
        <v/>
      </c>
      <c r="AK554" s="112" t="str">
        <f t="shared" si="239"/>
        <v/>
      </c>
      <c r="AL554" t="str">
        <f t="shared" si="240"/>
        <v/>
      </c>
      <c r="AM554" t="str">
        <f t="shared" si="241"/>
        <v/>
      </c>
    </row>
    <row r="555" spans="1:39" ht="15" customHeight="1" x14ac:dyDescent="0.25">
      <c r="A555" s="131"/>
      <c r="B555" s="133"/>
      <c r="C555" s="133"/>
      <c r="D555" s="42" t="str">
        <f t="shared" si="216"/>
        <v/>
      </c>
      <c r="E555" s="43"/>
      <c r="F555" s="135"/>
      <c r="G555" s="77" t="str">
        <f t="shared" si="217"/>
        <v/>
      </c>
      <c r="H555" s="32" t="str">
        <f t="shared" si="218"/>
        <v/>
      </c>
      <c r="I555" s="78" t="str">
        <f t="shared" si="219"/>
        <v/>
      </c>
      <c r="J555" s="70" t="str">
        <f t="shared" si="220"/>
        <v/>
      </c>
      <c r="K555" s="135"/>
      <c r="L555" s="72" t="str">
        <f t="shared" si="221"/>
        <v/>
      </c>
      <c r="M555" s="135"/>
      <c r="N555" s="72" t="str">
        <f t="shared" si="222"/>
        <v/>
      </c>
      <c r="O555" s="135"/>
      <c r="P555" s="136"/>
      <c r="Q555" s="123" t="str">
        <f t="shared" si="223"/>
        <v/>
      </c>
      <c r="R555" s="45" t="str">
        <f t="shared" si="224"/>
        <v/>
      </c>
      <c r="S555" s="137"/>
      <c r="T555" s="79" t="str">
        <f t="shared" si="233"/>
        <v/>
      </c>
      <c r="U555" s="79" t="str">
        <f t="shared" si="225"/>
        <v/>
      </c>
      <c r="V555" s="73" t="str">
        <f t="shared" si="226"/>
        <v/>
      </c>
      <c r="W555" s="80" t="str">
        <f t="shared" si="227"/>
        <v/>
      </c>
      <c r="X555" s="73" t="str">
        <f t="shared" si="228"/>
        <v/>
      </c>
      <c r="Y555" s="80" t="str">
        <f t="shared" si="229"/>
        <v/>
      </c>
      <c r="Z555" s="74" t="str">
        <f t="shared" si="230"/>
        <v/>
      </c>
      <c r="AA555" s="75" t="str">
        <f t="shared" si="234"/>
        <v/>
      </c>
      <c r="AB555" s="103" t="str">
        <f t="shared" si="231"/>
        <v/>
      </c>
      <c r="AC555" s="104" t="str">
        <f t="shared" si="242"/>
        <v/>
      </c>
      <c r="AE555" s="139"/>
      <c r="AF555" s="110" t="str">
        <f t="shared" si="235"/>
        <v/>
      </c>
      <c r="AG555" s="111" t="str">
        <f t="shared" si="236"/>
        <v/>
      </c>
      <c r="AH555" s="111" t="str">
        <f t="shared" si="232"/>
        <v/>
      </c>
      <c r="AI555" s="111" t="str">
        <f t="shared" si="237"/>
        <v/>
      </c>
      <c r="AJ555" s="111" t="str">
        <f t="shared" si="238"/>
        <v/>
      </c>
      <c r="AK555" s="112" t="str">
        <f t="shared" si="239"/>
        <v/>
      </c>
      <c r="AL555" t="str">
        <f t="shared" si="240"/>
        <v/>
      </c>
      <c r="AM555" t="str">
        <f t="shared" si="241"/>
        <v/>
      </c>
    </row>
    <row r="556" spans="1:39" ht="15" customHeight="1" x14ac:dyDescent="0.25">
      <c r="A556" s="131"/>
      <c r="B556" s="133"/>
      <c r="C556" s="133"/>
      <c r="D556" s="42" t="str">
        <f t="shared" si="216"/>
        <v/>
      </c>
      <c r="E556" s="43"/>
      <c r="F556" s="135"/>
      <c r="G556" s="77" t="str">
        <f t="shared" si="217"/>
        <v/>
      </c>
      <c r="H556" s="32" t="str">
        <f t="shared" si="218"/>
        <v/>
      </c>
      <c r="I556" s="78" t="str">
        <f t="shared" si="219"/>
        <v/>
      </c>
      <c r="J556" s="70" t="str">
        <f t="shared" si="220"/>
        <v/>
      </c>
      <c r="K556" s="135"/>
      <c r="L556" s="72" t="str">
        <f t="shared" si="221"/>
        <v/>
      </c>
      <c r="M556" s="135"/>
      <c r="N556" s="72" t="str">
        <f t="shared" si="222"/>
        <v/>
      </c>
      <c r="O556" s="135"/>
      <c r="P556" s="136"/>
      <c r="Q556" s="123" t="str">
        <f t="shared" si="223"/>
        <v/>
      </c>
      <c r="R556" s="45" t="str">
        <f t="shared" si="224"/>
        <v/>
      </c>
      <c r="S556" s="137"/>
      <c r="T556" s="79" t="str">
        <f t="shared" si="233"/>
        <v/>
      </c>
      <c r="U556" s="79" t="str">
        <f t="shared" si="225"/>
        <v/>
      </c>
      <c r="V556" s="73" t="str">
        <f t="shared" si="226"/>
        <v/>
      </c>
      <c r="W556" s="80" t="str">
        <f t="shared" si="227"/>
        <v/>
      </c>
      <c r="X556" s="73" t="str">
        <f t="shared" si="228"/>
        <v/>
      </c>
      <c r="Y556" s="80" t="str">
        <f t="shared" si="229"/>
        <v/>
      </c>
      <c r="Z556" s="74" t="str">
        <f t="shared" si="230"/>
        <v/>
      </c>
      <c r="AA556" s="75" t="str">
        <f t="shared" si="234"/>
        <v/>
      </c>
      <c r="AB556" s="103" t="str">
        <f t="shared" si="231"/>
        <v/>
      </c>
      <c r="AC556" s="104" t="str">
        <f t="shared" si="242"/>
        <v/>
      </c>
      <c r="AE556" s="139"/>
      <c r="AF556" s="110" t="str">
        <f t="shared" si="235"/>
        <v/>
      </c>
      <c r="AG556" s="111" t="str">
        <f t="shared" si="236"/>
        <v/>
      </c>
      <c r="AH556" s="111" t="str">
        <f t="shared" si="232"/>
        <v/>
      </c>
      <c r="AI556" s="111" t="str">
        <f t="shared" si="237"/>
        <v/>
      </c>
      <c r="AJ556" s="111" t="str">
        <f t="shared" si="238"/>
        <v/>
      </c>
      <c r="AK556" s="112" t="str">
        <f t="shared" si="239"/>
        <v/>
      </c>
      <c r="AL556" t="str">
        <f t="shared" si="240"/>
        <v/>
      </c>
      <c r="AM556" t="str">
        <f t="shared" si="241"/>
        <v/>
      </c>
    </row>
    <row r="557" spans="1:39" ht="15" customHeight="1" x14ac:dyDescent="0.25">
      <c r="A557" s="131"/>
      <c r="B557" s="133"/>
      <c r="C557" s="133"/>
      <c r="D557" s="42" t="str">
        <f t="shared" si="216"/>
        <v/>
      </c>
      <c r="E557" s="43"/>
      <c r="F557" s="135"/>
      <c r="G557" s="77" t="str">
        <f t="shared" si="217"/>
        <v/>
      </c>
      <c r="H557" s="32" t="str">
        <f t="shared" si="218"/>
        <v/>
      </c>
      <c r="I557" s="78" t="str">
        <f t="shared" si="219"/>
        <v/>
      </c>
      <c r="J557" s="70" t="str">
        <f t="shared" si="220"/>
        <v/>
      </c>
      <c r="K557" s="135"/>
      <c r="L557" s="72" t="str">
        <f t="shared" si="221"/>
        <v/>
      </c>
      <c r="M557" s="135"/>
      <c r="N557" s="72" t="str">
        <f t="shared" si="222"/>
        <v/>
      </c>
      <c r="O557" s="135"/>
      <c r="P557" s="136"/>
      <c r="Q557" s="123" t="str">
        <f t="shared" si="223"/>
        <v/>
      </c>
      <c r="R557" s="45" t="str">
        <f t="shared" si="224"/>
        <v/>
      </c>
      <c r="S557" s="137"/>
      <c r="T557" s="79" t="str">
        <f t="shared" si="233"/>
        <v/>
      </c>
      <c r="U557" s="79" t="str">
        <f t="shared" si="225"/>
        <v/>
      </c>
      <c r="V557" s="73" t="str">
        <f t="shared" si="226"/>
        <v/>
      </c>
      <c r="W557" s="80" t="str">
        <f t="shared" si="227"/>
        <v/>
      </c>
      <c r="X557" s="73" t="str">
        <f t="shared" si="228"/>
        <v/>
      </c>
      <c r="Y557" s="80" t="str">
        <f t="shared" si="229"/>
        <v/>
      </c>
      <c r="Z557" s="74" t="str">
        <f t="shared" si="230"/>
        <v/>
      </c>
      <c r="AA557" s="75" t="str">
        <f t="shared" si="234"/>
        <v/>
      </c>
      <c r="AB557" s="103" t="str">
        <f t="shared" si="231"/>
        <v/>
      </c>
      <c r="AC557" s="104" t="str">
        <f t="shared" si="242"/>
        <v/>
      </c>
      <c r="AE557" s="139"/>
      <c r="AF557" s="110" t="str">
        <f t="shared" si="235"/>
        <v/>
      </c>
      <c r="AG557" s="111" t="str">
        <f t="shared" si="236"/>
        <v/>
      </c>
      <c r="AH557" s="111" t="str">
        <f t="shared" si="232"/>
        <v/>
      </c>
      <c r="AI557" s="111" t="str">
        <f t="shared" si="237"/>
        <v/>
      </c>
      <c r="AJ557" s="111" t="str">
        <f t="shared" si="238"/>
        <v/>
      </c>
      <c r="AK557" s="112" t="str">
        <f t="shared" si="239"/>
        <v/>
      </c>
      <c r="AL557" t="str">
        <f t="shared" si="240"/>
        <v/>
      </c>
      <c r="AM557" t="str">
        <f t="shared" si="241"/>
        <v/>
      </c>
    </row>
    <row r="558" spans="1:39" ht="15" customHeight="1" x14ac:dyDescent="0.25">
      <c r="A558" s="131"/>
      <c r="B558" s="133"/>
      <c r="C558" s="133"/>
      <c r="D558" s="42" t="str">
        <f t="shared" si="216"/>
        <v/>
      </c>
      <c r="E558" s="43"/>
      <c r="F558" s="135"/>
      <c r="G558" s="77" t="str">
        <f t="shared" si="217"/>
        <v/>
      </c>
      <c r="H558" s="32" t="str">
        <f t="shared" si="218"/>
        <v/>
      </c>
      <c r="I558" s="78" t="str">
        <f t="shared" si="219"/>
        <v/>
      </c>
      <c r="J558" s="70" t="str">
        <f t="shared" si="220"/>
        <v/>
      </c>
      <c r="K558" s="135"/>
      <c r="L558" s="72" t="str">
        <f t="shared" si="221"/>
        <v/>
      </c>
      <c r="M558" s="135"/>
      <c r="N558" s="72" t="str">
        <f t="shared" si="222"/>
        <v/>
      </c>
      <c r="O558" s="135"/>
      <c r="P558" s="136"/>
      <c r="Q558" s="123" t="str">
        <f t="shared" si="223"/>
        <v/>
      </c>
      <c r="R558" s="45" t="str">
        <f t="shared" si="224"/>
        <v/>
      </c>
      <c r="S558" s="137"/>
      <c r="T558" s="79" t="str">
        <f t="shared" si="233"/>
        <v/>
      </c>
      <c r="U558" s="79" t="str">
        <f t="shared" si="225"/>
        <v/>
      </c>
      <c r="V558" s="73" t="str">
        <f t="shared" si="226"/>
        <v/>
      </c>
      <c r="W558" s="80" t="str">
        <f t="shared" si="227"/>
        <v/>
      </c>
      <c r="X558" s="73" t="str">
        <f t="shared" si="228"/>
        <v/>
      </c>
      <c r="Y558" s="80" t="str">
        <f t="shared" si="229"/>
        <v/>
      </c>
      <c r="Z558" s="74" t="str">
        <f t="shared" si="230"/>
        <v/>
      </c>
      <c r="AA558" s="75" t="str">
        <f t="shared" si="234"/>
        <v/>
      </c>
      <c r="AB558" s="103" t="str">
        <f t="shared" si="231"/>
        <v/>
      </c>
      <c r="AC558" s="104" t="str">
        <f t="shared" si="242"/>
        <v/>
      </c>
      <c r="AE558" s="139"/>
      <c r="AF558" s="110" t="str">
        <f t="shared" si="235"/>
        <v/>
      </c>
      <c r="AG558" s="111" t="str">
        <f t="shared" si="236"/>
        <v/>
      </c>
      <c r="AH558" s="111" t="str">
        <f t="shared" si="232"/>
        <v/>
      </c>
      <c r="AI558" s="111" t="str">
        <f t="shared" si="237"/>
        <v/>
      </c>
      <c r="AJ558" s="111" t="str">
        <f t="shared" si="238"/>
        <v/>
      </c>
      <c r="AK558" s="112" t="str">
        <f t="shared" si="239"/>
        <v/>
      </c>
      <c r="AL558" t="str">
        <f t="shared" si="240"/>
        <v/>
      </c>
      <c r="AM558" t="str">
        <f t="shared" si="241"/>
        <v/>
      </c>
    </row>
    <row r="559" spans="1:39" ht="15" customHeight="1" x14ac:dyDescent="0.25">
      <c r="A559" s="131"/>
      <c r="B559" s="133"/>
      <c r="C559" s="133"/>
      <c r="D559" s="42" t="str">
        <f t="shared" si="216"/>
        <v/>
      </c>
      <c r="E559" s="43"/>
      <c r="F559" s="135"/>
      <c r="G559" s="77" t="str">
        <f t="shared" si="217"/>
        <v/>
      </c>
      <c r="H559" s="32" t="str">
        <f t="shared" si="218"/>
        <v/>
      </c>
      <c r="I559" s="78" t="str">
        <f t="shared" si="219"/>
        <v/>
      </c>
      <c r="J559" s="70" t="str">
        <f t="shared" si="220"/>
        <v/>
      </c>
      <c r="K559" s="135"/>
      <c r="L559" s="72" t="str">
        <f t="shared" si="221"/>
        <v/>
      </c>
      <c r="M559" s="135"/>
      <c r="N559" s="72" t="str">
        <f t="shared" si="222"/>
        <v/>
      </c>
      <c r="O559" s="135"/>
      <c r="P559" s="136"/>
      <c r="Q559" s="123" t="str">
        <f t="shared" si="223"/>
        <v/>
      </c>
      <c r="R559" s="45" t="str">
        <f t="shared" si="224"/>
        <v/>
      </c>
      <c r="S559" s="137"/>
      <c r="T559" s="79" t="str">
        <f t="shared" si="233"/>
        <v/>
      </c>
      <c r="U559" s="79" t="str">
        <f t="shared" si="225"/>
        <v/>
      </c>
      <c r="V559" s="73" t="str">
        <f t="shared" si="226"/>
        <v/>
      </c>
      <c r="W559" s="80" t="str">
        <f t="shared" si="227"/>
        <v/>
      </c>
      <c r="X559" s="73" t="str">
        <f t="shared" si="228"/>
        <v/>
      </c>
      <c r="Y559" s="80" t="str">
        <f t="shared" si="229"/>
        <v/>
      </c>
      <c r="Z559" s="74" t="str">
        <f t="shared" si="230"/>
        <v/>
      </c>
      <c r="AA559" s="75" t="str">
        <f t="shared" si="234"/>
        <v/>
      </c>
      <c r="AB559" s="103" t="str">
        <f t="shared" si="231"/>
        <v/>
      </c>
      <c r="AC559" s="104" t="str">
        <f t="shared" si="242"/>
        <v/>
      </c>
      <c r="AE559" s="139"/>
      <c r="AF559" s="110" t="str">
        <f t="shared" si="235"/>
        <v/>
      </c>
      <c r="AG559" s="111" t="str">
        <f t="shared" si="236"/>
        <v/>
      </c>
      <c r="AH559" s="111" t="str">
        <f t="shared" si="232"/>
        <v/>
      </c>
      <c r="AI559" s="111" t="str">
        <f t="shared" si="237"/>
        <v/>
      </c>
      <c r="AJ559" s="111" t="str">
        <f t="shared" si="238"/>
        <v/>
      </c>
      <c r="AK559" s="112" t="str">
        <f t="shared" si="239"/>
        <v/>
      </c>
      <c r="AL559" t="str">
        <f t="shared" si="240"/>
        <v/>
      </c>
      <c r="AM559" t="str">
        <f t="shared" si="241"/>
        <v/>
      </c>
    </row>
    <row r="560" spans="1:39" ht="15" customHeight="1" x14ac:dyDescent="0.25">
      <c r="A560" s="131"/>
      <c r="B560" s="133"/>
      <c r="C560" s="133"/>
      <c r="D560" s="42" t="str">
        <f t="shared" si="216"/>
        <v/>
      </c>
      <c r="E560" s="43"/>
      <c r="F560" s="135"/>
      <c r="G560" s="77" t="str">
        <f t="shared" si="217"/>
        <v/>
      </c>
      <c r="H560" s="32" t="str">
        <f t="shared" si="218"/>
        <v/>
      </c>
      <c r="I560" s="78" t="str">
        <f t="shared" si="219"/>
        <v/>
      </c>
      <c r="J560" s="70" t="str">
        <f t="shared" si="220"/>
        <v/>
      </c>
      <c r="K560" s="135"/>
      <c r="L560" s="72" t="str">
        <f t="shared" si="221"/>
        <v/>
      </c>
      <c r="M560" s="135"/>
      <c r="N560" s="72" t="str">
        <f t="shared" si="222"/>
        <v/>
      </c>
      <c r="O560" s="135"/>
      <c r="P560" s="136"/>
      <c r="Q560" s="123" t="str">
        <f t="shared" si="223"/>
        <v/>
      </c>
      <c r="R560" s="45" t="str">
        <f t="shared" si="224"/>
        <v/>
      </c>
      <c r="S560" s="137"/>
      <c r="T560" s="79" t="str">
        <f t="shared" si="233"/>
        <v/>
      </c>
      <c r="U560" s="79" t="str">
        <f t="shared" si="225"/>
        <v/>
      </c>
      <c r="V560" s="73" t="str">
        <f t="shared" si="226"/>
        <v/>
      </c>
      <c r="W560" s="80" t="str">
        <f t="shared" si="227"/>
        <v/>
      </c>
      <c r="X560" s="73" t="str">
        <f t="shared" si="228"/>
        <v/>
      </c>
      <c r="Y560" s="80" t="str">
        <f t="shared" si="229"/>
        <v/>
      </c>
      <c r="Z560" s="74" t="str">
        <f t="shared" si="230"/>
        <v/>
      </c>
      <c r="AA560" s="75" t="str">
        <f t="shared" si="234"/>
        <v/>
      </c>
      <c r="AB560" s="103" t="str">
        <f t="shared" si="231"/>
        <v/>
      </c>
      <c r="AC560" s="104" t="str">
        <f t="shared" si="242"/>
        <v/>
      </c>
      <c r="AE560" s="139"/>
      <c r="AF560" s="110" t="str">
        <f t="shared" si="235"/>
        <v/>
      </c>
      <c r="AG560" s="111" t="str">
        <f t="shared" si="236"/>
        <v/>
      </c>
      <c r="AH560" s="111" t="str">
        <f t="shared" si="232"/>
        <v/>
      </c>
      <c r="AI560" s="111" t="str">
        <f t="shared" si="237"/>
        <v/>
      </c>
      <c r="AJ560" s="111" t="str">
        <f t="shared" si="238"/>
        <v/>
      </c>
      <c r="AK560" s="112" t="str">
        <f t="shared" si="239"/>
        <v/>
      </c>
      <c r="AL560" t="str">
        <f t="shared" si="240"/>
        <v/>
      </c>
      <c r="AM560" t="str">
        <f t="shared" si="241"/>
        <v/>
      </c>
    </row>
    <row r="561" spans="1:39" ht="15" customHeight="1" x14ac:dyDescent="0.25">
      <c r="A561" s="131"/>
      <c r="B561" s="133"/>
      <c r="C561" s="133"/>
      <c r="D561" s="42" t="str">
        <f t="shared" si="216"/>
        <v/>
      </c>
      <c r="E561" s="43"/>
      <c r="F561" s="135"/>
      <c r="G561" s="77" t="str">
        <f t="shared" si="217"/>
        <v/>
      </c>
      <c r="H561" s="32" t="str">
        <f t="shared" si="218"/>
        <v/>
      </c>
      <c r="I561" s="78" t="str">
        <f t="shared" si="219"/>
        <v/>
      </c>
      <c r="J561" s="70" t="str">
        <f t="shared" si="220"/>
        <v/>
      </c>
      <c r="K561" s="135"/>
      <c r="L561" s="72" t="str">
        <f t="shared" si="221"/>
        <v/>
      </c>
      <c r="M561" s="135"/>
      <c r="N561" s="72" t="str">
        <f t="shared" si="222"/>
        <v/>
      </c>
      <c r="O561" s="135"/>
      <c r="P561" s="136"/>
      <c r="Q561" s="123" t="str">
        <f t="shared" si="223"/>
        <v/>
      </c>
      <c r="R561" s="45" t="str">
        <f t="shared" si="224"/>
        <v/>
      </c>
      <c r="S561" s="137"/>
      <c r="T561" s="79" t="str">
        <f t="shared" si="233"/>
        <v/>
      </c>
      <c r="U561" s="79" t="str">
        <f t="shared" si="225"/>
        <v/>
      </c>
      <c r="V561" s="73" t="str">
        <f t="shared" si="226"/>
        <v/>
      </c>
      <c r="W561" s="80" t="str">
        <f t="shared" si="227"/>
        <v/>
      </c>
      <c r="X561" s="73" t="str">
        <f t="shared" si="228"/>
        <v/>
      </c>
      <c r="Y561" s="80" t="str">
        <f t="shared" si="229"/>
        <v/>
      </c>
      <c r="Z561" s="74" t="str">
        <f t="shared" si="230"/>
        <v/>
      </c>
      <c r="AA561" s="75" t="str">
        <f t="shared" si="234"/>
        <v/>
      </c>
      <c r="AB561" s="103" t="str">
        <f t="shared" si="231"/>
        <v/>
      </c>
      <c r="AC561" s="104" t="str">
        <f t="shared" si="242"/>
        <v/>
      </c>
      <c r="AE561" s="139"/>
      <c r="AF561" s="110" t="str">
        <f t="shared" si="235"/>
        <v/>
      </c>
      <c r="AG561" s="111" t="str">
        <f t="shared" si="236"/>
        <v/>
      </c>
      <c r="AH561" s="111" t="str">
        <f t="shared" si="232"/>
        <v/>
      </c>
      <c r="AI561" s="111" t="str">
        <f t="shared" si="237"/>
        <v/>
      </c>
      <c r="AJ561" s="111" t="str">
        <f t="shared" si="238"/>
        <v/>
      </c>
      <c r="AK561" s="112" t="str">
        <f t="shared" si="239"/>
        <v/>
      </c>
      <c r="AL561" t="str">
        <f t="shared" si="240"/>
        <v/>
      </c>
      <c r="AM561" t="str">
        <f t="shared" si="241"/>
        <v/>
      </c>
    </row>
    <row r="562" spans="1:39" ht="15" customHeight="1" x14ac:dyDescent="0.25">
      <c r="A562" s="131"/>
      <c r="B562" s="133"/>
      <c r="C562" s="133"/>
      <c r="D562" s="42" t="str">
        <f t="shared" si="216"/>
        <v/>
      </c>
      <c r="E562" s="43"/>
      <c r="F562" s="135"/>
      <c r="G562" s="77" t="str">
        <f t="shared" si="217"/>
        <v/>
      </c>
      <c r="H562" s="32" t="str">
        <f t="shared" si="218"/>
        <v/>
      </c>
      <c r="I562" s="78" t="str">
        <f t="shared" si="219"/>
        <v/>
      </c>
      <c r="J562" s="70" t="str">
        <f t="shared" si="220"/>
        <v/>
      </c>
      <c r="K562" s="135"/>
      <c r="L562" s="72" t="str">
        <f t="shared" si="221"/>
        <v/>
      </c>
      <c r="M562" s="135"/>
      <c r="N562" s="72" t="str">
        <f t="shared" si="222"/>
        <v/>
      </c>
      <c r="O562" s="135"/>
      <c r="P562" s="136"/>
      <c r="Q562" s="123" t="str">
        <f t="shared" si="223"/>
        <v/>
      </c>
      <c r="R562" s="45" t="str">
        <f t="shared" si="224"/>
        <v/>
      </c>
      <c r="S562" s="137"/>
      <c r="T562" s="79" t="str">
        <f t="shared" si="233"/>
        <v/>
      </c>
      <c r="U562" s="79" t="str">
        <f t="shared" si="225"/>
        <v/>
      </c>
      <c r="V562" s="73" t="str">
        <f t="shared" si="226"/>
        <v/>
      </c>
      <c r="W562" s="80" t="str">
        <f t="shared" si="227"/>
        <v/>
      </c>
      <c r="X562" s="73" t="str">
        <f t="shared" si="228"/>
        <v/>
      </c>
      <c r="Y562" s="80" t="str">
        <f t="shared" si="229"/>
        <v/>
      </c>
      <c r="Z562" s="74" t="str">
        <f t="shared" si="230"/>
        <v/>
      </c>
      <c r="AA562" s="75" t="str">
        <f t="shared" si="234"/>
        <v/>
      </c>
      <c r="AB562" s="103" t="str">
        <f t="shared" si="231"/>
        <v/>
      </c>
      <c r="AC562" s="104" t="str">
        <f t="shared" si="242"/>
        <v/>
      </c>
      <c r="AE562" s="139"/>
      <c r="AF562" s="110" t="str">
        <f t="shared" si="235"/>
        <v/>
      </c>
      <c r="AG562" s="111" t="str">
        <f t="shared" si="236"/>
        <v/>
      </c>
      <c r="AH562" s="111" t="str">
        <f t="shared" si="232"/>
        <v/>
      </c>
      <c r="AI562" s="111" t="str">
        <f t="shared" si="237"/>
        <v/>
      </c>
      <c r="AJ562" s="111" t="str">
        <f t="shared" si="238"/>
        <v/>
      </c>
      <c r="AK562" s="112" t="str">
        <f t="shared" si="239"/>
        <v/>
      </c>
      <c r="AL562" t="str">
        <f t="shared" si="240"/>
        <v/>
      </c>
      <c r="AM562" t="str">
        <f t="shared" si="241"/>
        <v/>
      </c>
    </row>
    <row r="563" spans="1:39" ht="15" customHeight="1" x14ac:dyDescent="0.25">
      <c r="A563" s="131"/>
      <c r="B563" s="133"/>
      <c r="C563" s="133"/>
      <c r="D563" s="42" t="str">
        <f t="shared" si="216"/>
        <v/>
      </c>
      <c r="E563" s="43"/>
      <c r="F563" s="135"/>
      <c r="G563" s="77" t="str">
        <f t="shared" si="217"/>
        <v/>
      </c>
      <c r="H563" s="32" t="str">
        <f t="shared" si="218"/>
        <v/>
      </c>
      <c r="I563" s="78" t="str">
        <f t="shared" si="219"/>
        <v/>
      </c>
      <c r="J563" s="70" t="str">
        <f t="shared" si="220"/>
        <v/>
      </c>
      <c r="K563" s="135"/>
      <c r="L563" s="72" t="str">
        <f t="shared" si="221"/>
        <v/>
      </c>
      <c r="M563" s="135"/>
      <c r="N563" s="72" t="str">
        <f t="shared" si="222"/>
        <v/>
      </c>
      <c r="O563" s="135"/>
      <c r="P563" s="136"/>
      <c r="Q563" s="123" t="str">
        <f t="shared" si="223"/>
        <v/>
      </c>
      <c r="R563" s="45" t="str">
        <f t="shared" si="224"/>
        <v/>
      </c>
      <c r="S563" s="137"/>
      <c r="T563" s="79" t="str">
        <f t="shared" si="233"/>
        <v/>
      </c>
      <c r="U563" s="79" t="str">
        <f t="shared" si="225"/>
        <v/>
      </c>
      <c r="V563" s="73" t="str">
        <f t="shared" si="226"/>
        <v/>
      </c>
      <c r="W563" s="80" t="str">
        <f t="shared" si="227"/>
        <v/>
      </c>
      <c r="X563" s="73" t="str">
        <f t="shared" si="228"/>
        <v/>
      </c>
      <c r="Y563" s="80" t="str">
        <f t="shared" si="229"/>
        <v/>
      </c>
      <c r="Z563" s="74" t="str">
        <f t="shared" si="230"/>
        <v/>
      </c>
      <c r="AA563" s="75" t="str">
        <f t="shared" si="234"/>
        <v/>
      </c>
      <c r="AB563" s="103" t="str">
        <f t="shared" si="231"/>
        <v/>
      </c>
      <c r="AC563" s="104" t="str">
        <f t="shared" si="242"/>
        <v/>
      </c>
      <c r="AE563" s="139"/>
      <c r="AF563" s="110" t="str">
        <f t="shared" si="235"/>
        <v/>
      </c>
      <c r="AG563" s="111" t="str">
        <f t="shared" si="236"/>
        <v/>
      </c>
      <c r="AH563" s="111" t="str">
        <f t="shared" si="232"/>
        <v/>
      </c>
      <c r="AI563" s="111" t="str">
        <f t="shared" si="237"/>
        <v/>
      </c>
      <c r="AJ563" s="111" t="str">
        <f t="shared" si="238"/>
        <v/>
      </c>
      <c r="AK563" s="112" t="str">
        <f t="shared" si="239"/>
        <v/>
      </c>
      <c r="AL563" t="str">
        <f t="shared" si="240"/>
        <v/>
      </c>
      <c r="AM563" t="str">
        <f t="shared" si="241"/>
        <v/>
      </c>
    </row>
    <row r="564" spans="1:39" ht="15" customHeight="1" x14ac:dyDescent="0.25">
      <c r="A564" s="131"/>
      <c r="B564" s="133"/>
      <c r="C564" s="133"/>
      <c r="D564" s="42" t="str">
        <f t="shared" si="216"/>
        <v/>
      </c>
      <c r="E564" s="43"/>
      <c r="F564" s="135"/>
      <c r="G564" s="77" t="str">
        <f t="shared" si="217"/>
        <v/>
      </c>
      <c r="H564" s="32" t="str">
        <f t="shared" si="218"/>
        <v/>
      </c>
      <c r="I564" s="78" t="str">
        <f t="shared" si="219"/>
        <v/>
      </c>
      <c r="J564" s="70" t="str">
        <f t="shared" si="220"/>
        <v/>
      </c>
      <c r="K564" s="135"/>
      <c r="L564" s="72" t="str">
        <f t="shared" si="221"/>
        <v/>
      </c>
      <c r="M564" s="135"/>
      <c r="N564" s="72" t="str">
        <f t="shared" si="222"/>
        <v/>
      </c>
      <c r="O564" s="135"/>
      <c r="P564" s="136"/>
      <c r="Q564" s="123" t="str">
        <f t="shared" si="223"/>
        <v/>
      </c>
      <c r="R564" s="45" t="str">
        <f t="shared" si="224"/>
        <v/>
      </c>
      <c r="S564" s="137"/>
      <c r="T564" s="79" t="str">
        <f t="shared" si="233"/>
        <v/>
      </c>
      <c r="U564" s="79" t="str">
        <f t="shared" si="225"/>
        <v/>
      </c>
      <c r="V564" s="73" t="str">
        <f t="shared" si="226"/>
        <v/>
      </c>
      <c r="W564" s="80" t="str">
        <f t="shared" si="227"/>
        <v/>
      </c>
      <c r="X564" s="73" t="str">
        <f t="shared" si="228"/>
        <v/>
      </c>
      <c r="Y564" s="80" t="str">
        <f t="shared" si="229"/>
        <v/>
      </c>
      <c r="Z564" s="74" t="str">
        <f t="shared" si="230"/>
        <v/>
      </c>
      <c r="AA564" s="75" t="str">
        <f t="shared" si="234"/>
        <v/>
      </c>
      <c r="AB564" s="103" t="str">
        <f t="shared" si="231"/>
        <v/>
      </c>
      <c r="AC564" s="104" t="str">
        <f t="shared" si="242"/>
        <v/>
      </c>
      <c r="AE564" s="139"/>
      <c r="AF564" s="110" t="str">
        <f t="shared" si="235"/>
        <v/>
      </c>
      <c r="AG564" s="111" t="str">
        <f t="shared" si="236"/>
        <v/>
      </c>
      <c r="AH564" s="111" t="str">
        <f t="shared" si="232"/>
        <v/>
      </c>
      <c r="AI564" s="111" t="str">
        <f t="shared" si="237"/>
        <v/>
      </c>
      <c r="AJ564" s="111" t="str">
        <f t="shared" si="238"/>
        <v/>
      </c>
      <c r="AK564" s="112" t="str">
        <f t="shared" si="239"/>
        <v/>
      </c>
      <c r="AL564" t="str">
        <f t="shared" si="240"/>
        <v/>
      </c>
      <c r="AM564" t="str">
        <f t="shared" si="241"/>
        <v/>
      </c>
    </row>
    <row r="565" spans="1:39" ht="15" customHeight="1" x14ac:dyDescent="0.25">
      <c r="A565" s="131"/>
      <c r="B565" s="133"/>
      <c r="C565" s="133"/>
      <c r="D565" s="42" t="str">
        <f t="shared" si="216"/>
        <v/>
      </c>
      <c r="E565" s="43"/>
      <c r="F565" s="135"/>
      <c r="G565" s="77" t="str">
        <f t="shared" si="217"/>
        <v/>
      </c>
      <c r="H565" s="32" t="str">
        <f t="shared" si="218"/>
        <v/>
      </c>
      <c r="I565" s="78" t="str">
        <f t="shared" si="219"/>
        <v/>
      </c>
      <c r="J565" s="70" t="str">
        <f t="shared" si="220"/>
        <v/>
      </c>
      <c r="K565" s="135"/>
      <c r="L565" s="72" t="str">
        <f t="shared" si="221"/>
        <v/>
      </c>
      <c r="M565" s="135"/>
      <c r="N565" s="72" t="str">
        <f t="shared" si="222"/>
        <v/>
      </c>
      <c r="O565" s="135"/>
      <c r="P565" s="136"/>
      <c r="Q565" s="123" t="str">
        <f t="shared" si="223"/>
        <v/>
      </c>
      <c r="R565" s="45" t="str">
        <f t="shared" si="224"/>
        <v/>
      </c>
      <c r="S565" s="137"/>
      <c r="T565" s="79" t="str">
        <f t="shared" si="233"/>
        <v/>
      </c>
      <c r="U565" s="79" t="str">
        <f t="shared" si="225"/>
        <v/>
      </c>
      <c r="V565" s="73" t="str">
        <f t="shared" si="226"/>
        <v/>
      </c>
      <c r="W565" s="80" t="str">
        <f t="shared" si="227"/>
        <v/>
      </c>
      <c r="X565" s="73" t="str">
        <f t="shared" si="228"/>
        <v/>
      </c>
      <c r="Y565" s="80" t="str">
        <f t="shared" si="229"/>
        <v/>
      </c>
      <c r="Z565" s="74" t="str">
        <f t="shared" si="230"/>
        <v/>
      </c>
      <c r="AA565" s="75" t="str">
        <f t="shared" si="234"/>
        <v/>
      </c>
      <c r="AB565" s="103" t="str">
        <f t="shared" si="231"/>
        <v/>
      </c>
      <c r="AC565" s="104" t="str">
        <f t="shared" si="242"/>
        <v/>
      </c>
      <c r="AE565" s="139"/>
      <c r="AF565" s="110" t="str">
        <f t="shared" si="235"/>
        <v/>
      </c>
      <c r="AG565" s="111" t="str">
        <f t="shared" si="236"/>
        <v/>
      </c>
      <c r="AH565" s="111" t="str">
        <f t="shared" si="232"/>
        <v/>
      </c>
      <c r="AI565" s="111" t="str">
        <f t="shared" si="237"/>
        <v/>
      </c>
      <c r="AJ565" s="111" t="str">
        <f t="shared" si="238"/>
        <v/>
      </c>
      <c r="AK565" s="112" t="str">
        <f t="shared" si="239"/>
        <v/>
      </c>
      <c r="AL565" t="str">
        <f t="shared" si="240"/>
        <v/>
      </c>
      <c r="AM565" t="str">
        <f t="shared" si="241"/>
        <v/>
      </c>
    </row>
    <row r="566" spans="1:39" ht="15" customHeight="1" x14ac:dyDescent="0.25">
      <c r="A566" s="131"/>
      <c r="B566" s="133"/>
      <c r="C566" s="133"/>
      <c r="D566" s="42" t="str">
        <f t="shared" si="216"/>
        <v/>
      </c>
      <c r="E566" s="43"/>
      <c r="F566" s="135"/>
      <c r="G566" s="77" t="str">
        <f t="shared" si="217"/>
        <v/>
      </c>
      <c r="H566" s="32" t="str">
        <f t="shared" si="218"/>
        <v/>
      </c>
      <c r="I566" s="78" t="str">
        <f t="shared" si="219"/>
        <v/>
      </c>
      <c r="J566" s="70" t="str">
        <f t="shared" si="220"/>
        <v/>
      </c>
      <c r="K566" s="135"/>
      <c r="L566" s="72" t="str">
        <f t="shared" si="221"/>
        <v/>
      </c>
      <c r="M566" s="135"/>
      <c r="N566" s="72" t="str">
        <f t="shared" si="222"/>
        <v/>
      </c>
      <c r="O566" s="135"/>
      <c r="P566" s="136"/>
      <c r="Q566" s="123" t="str">
        <f t="shared" si="223"/>
        <v/>
      </c>
      <c r="R566" s="45" t="str">
        <f t="shared" si="224"/>
        <v/>
      </c>
      <c r="S566" s="137"/>
      <c r="T566" s="79" t="str">
        <f t="shared" si="233"/>
        <v/>
      </c>
      <c r="U566" s="79" t="str">
        <f t="shared" si="225"/>
        <v/>
      </c>
      <c r="V566" s="73" t="str">
        <f t="shared" si="226"/>
        <v/>
      </c>
      <c r="W566" s="80" t="str">
        <f t="shared" si="227"/>
        <v/>
      </c>
      <c r="X566" s="73" t="str">
        <f t="shared" si="228"/>
        <v/>
      </c>
      <c r="Y566" s="80" t="str">
        <f t="shared" si="229"/>
        <v/>
      </c>
      <c r="Z566" s="74" t="str">
        <f t="shared" si="230"/>
        <v/>
      </c>
      <c r="AA566" s="75" t="str">
        <f t="shared" si="234"/>
        <v/>
      </c>
      <c r="AB566" s="103" t="str">
        <f t="shared" si="231"/>
        <v/>
      </c>
      <c r="AC566" s="104" t="str">
        <f t="shared" si="242"/>
        <v/>
      </c>
      <c r="AE566" s="139"/>
      <c r="AF566" s="110" t="str">
        <f t="shared" si="235"/>
        <v/>
      </c>
      <c r="AG566" s="111" t="str">
        <f t="shared" si="236"/>
        <v/>
      </c>
      <c r="AH566" s="111" t="str">
        <f t="shared" si="232"/>
        <v/>
      </c>
      <c r="AI566" s="111" t="str">
        <f t="shared" si="237"/>
        <v/>
      </c>
      <c r="AJ566" s="111" t="str">
        <f t="shared" si="238"/>
        <v/>
      </c>
      <c r="AK566" s="112" t="str">
        <f t="shared" si="239"/>
        <v/>
      </c>
      <c r="AL566" t="str">
        <f t="shared" si="240"/>
        <v/>
      </c>
      <c r="AM566" t="str">
        <f t="shared" si="241"/>
        <v/>
      </c>
    </row>
    <row r="567" spans="1:39" ht="15" customHeight="1" x14ac:dyDescent="0.25">
      <c r="A567" s="131"/>
      <c r="B567" s="133"/>
      <c r="C567" s="133"/>
      <c r="D567" s="42" t="str">
        <f t="shared" si="216"/>
        <v/>
      </c>
      <c r="E567" s="43"/>
      <c r="F567" s="135"/>
      <c r="G567" s="77" t="str">
        <f t="shared" si="217"/>
        <v/>
      </c>
      <c r="H567" s="32" t="str">
        <f t="shared" si="218"/>
        <v/>
      </c>
      <c r="I567" s="78" t="str">
        <f t="shared" si="219"/>
        <v/>
      </c>
      <c r="J567" s="70" t="str">
        <f t="shared" si="220"/>
        <v/>
      </c>
      <c r="K567" s="135"/>
      <c r="L567" s="72" t="str">
        <f t="shared" si="221"/>
        <v/>
      </c>
      <c r="M567" s="135"/>
      <c r="N567" s="72" t="str">
        <f t="shared" si="222"/>
        <v/>
      </c>
      <c r="O567" s="135"/>
      <c r="P567" s="136"/>
      <c r="Q567" s="123" t="str">
        <f t="shared" si="223"/>
        <v/>
      </c>
      <c r="R567" s="45" t="str">
        <f t="shared" si="224"/>
        <v/>
      </c>
      <c r="S567" s="137"/>
      <c r="T567" s="79" t="str">
        <f t="shared" si="233"/>
        <v/>
      </c>
      <c r="U567" s="79" t="str">
        <f t="shared" si="225"/>
        <v/>
      </c>
      <c r="V567" s="73" t="str">
        <f t="shared" si="226"/>
        <v/>
      </c>
      <c r="W567" s="80" t="str">
        <f t="shared" si="227"/>
        <v/>
      </c>
      <c r="X567" s="73" t="str">
        <f t="shared" si="228"/>
        <v/>
      </c>
      <c r="Y567" s="80" t="str">
        <f t="shared" si="229"/>
        <v/>
      </c>
      <c r="Z567" s="74" t="str">
        <f t="shared" si="230"/>
        <v/>
      </c>
      <c r="AA567" s="75" t="str">
        <f t="shared" si="234"/>
        <v/>
      </c>
      <c r="AB567" s="103" t="str">
        <f t="shared" si="231"/>
        <v/>
      </c>
      <c r="AC567" s="104" t="str">
        <f t="shared" si="242"/>
        <v/>
      </c>
      <c r="AE567" s="139"/>
      <c r="AF567" s="110" t="str">
        <f t="shared" si="235"/>
        <v/>
      </c>
      <c r="AG567" s="111" t="str">
        <f t="shared" si="236"/>
        <v/>
      </c>
      <c r="AH567" s="111" t="str">
        <f t="shared" si="232"/>
        <v/>
      </c>
      <c r="AI567" s="111" t="str">
        <f t="shared" si="237"/>
        <v/>
      </c>
      <c r="AJ567" s="111" t="str">
        <f t="shared" si="238"/>
        <v/>
      </c>
      <c r="AK567" s="112" t="str">
        <f t="shared" si="239"/>
        <v/>
      </c>
      <c r="AL567" t="str">
        <f t="shared" si="240"/>
        <v/>
      </c>
      <c r="AM567" t="str">
        <f t="shared" si="241"/>
        <v/>
      </c>
    </row>
    <row r="568" spans="1:39" ht="15" customHeight="1" x14ac:dyDescent="0.25">
      <c r="A568" s="131"/>
      <c r="B568" s="133"/>
      <c r="C568" s="133"/>
      <c r="D568" s="42" t="str">
        <f t="shared" si="216"/>
        <v/>
      </c>
      <c r="E568" s="43"/>
      <c r="F568" s="135"/>
      <c r="G568" s="77" t="str">
        <f t="shared" si="217"/>
        <v/>
      </c>
      <c r="H568" s="32" t="str">
        <f t="shared" si="218"/>
        <v/>
      </c>
      <c r="I568" s="78" t="str">
        <f t="shared" si="219"/>
        <v/>
      </c>
      <c r="J568" s="70" t="str">
        <f t="shared" si="220"/>
        <v/>
      </c>
      <c r="K568" s="135"/>
      <c r="L568" s="72" t="str">
        <f t="shared" si="221"/>
        <v/>
      </c>
      <c r="M568" s="135"/>
      <c r="N568" s="72" t="str">
        <f t="shared" si="222"/>
        <v/>
      </c>
      <c r="O568" s="135"/>
      <c r="P568" s="136"/>
      <c r="Q568" s="123" t="str">
        <f t="shared" si="223"/>
        <v/>
      </c>
      <c r="R568" s="45" t="str">
        <f t="shared" si="224"/>
        <v/>
      </c>
      <c r="S568" s="137"/>
      <c r="T568" s="79" t="str">
        <f t="shared" si="233"/>
        <v/>
      </c>
      <c r="U568" s="79" t="str">
        <f t="shared" si="225"/>
        <v/>
      </c>
      <c r="V568" s="73" t="str">
        <f t="shared" si="226"/>
        <v/>
      </c>
      <c r="W568" s="80" t="str">
        <f t="shared" si="227"/>
        <v/>
      </c>
      <c r="X568" s="73" t="str">
        <f t="shared" si="228"/>
        <v/>
      </c>
      <c r="Y568" s="80" t="str">
        <f t="shared" si="229"/>
        <v/>
      </c>
      <c r="Z568" s="74" t="str">
        <f t="shared" si="230"/>
        <v/>
      </c>
      <c r="AA568" s="75" t="str">
        <f t="shared" si="234"/>
        <v/>
      </c>
      <c r="AB568" s="103" t="str">
        <f t="shared" si="231"/>
        <v/>
      </c>
      <c r="AC568" s="104" t="str">
        <f t="shared" si="242"/>
        <v/>
      </c>
      <c r="AE568" s="139"/>
      <c r="AF568" s="110" t="str">
        <f t="shared" si="235"/>
        <v/>
      </c>
      <c r="AG568" s="111" t="str">
        <f t="shared" si="236"/>
        <v/>
      </c>
      <c r="AH568" s="111" t="str">
        <f t="shared" si="232"/>
        <v/>
      </c>
      <c r="AI568" s="111" t="str">
        <f t="shared" si="237"/>
        <v/>
      </c>
      <c r="AJ568" s="111" t="str">
        <f t="shared" si="238"/>
        <v/>
      </c>
      <c r="AK568" s="112" t="str">
        <f t="shared" si="239"/>
        <v/>
      </c>
      <c r="AL568" t="str">
        <f t="shared" si="240"/>
        <v/>
      </c>
      <c r="AM568" t="str">
        <f t="shared" si="241"/>
        <v/>
      </c>
    </row>
    <row r="569" spans="1:39" ht="15" customHeight="1" x14ac:dyDescent="0.25">
      <c r="A569" s="131"/>
      <c r="B569" s="133"/>
      <c r="C569" s="133"/>
      <c r="D569" s="42" t="str">
        <f t="shared" si="216"/>
        <v/>
      </c>
      <c r="E569" s="43"/>
      <c r="F569" s="135"/>
      <c r="G569" s="77" t="str">
        <f t="shared" si="217"/>
        <v/>
      </c>
      <c r="H569" s="32" t="str">
        <f t="shared" si="218"/>
        <v/>
      </c>
      <c r="I569" s="78" t="str">
        <f t="shared" si="219"/>
        <v/>
      </c>
      <c r="J569" s="70" t="str">
        <f t="shared" si="220"/>
        <v/>
      </c>
      <c r="K569" s="135"/>
      <c r="L569" s="72" t="str">
        <f t="shared" si="221"/>
        <v/>
      </c>
      <c r="M569" s="135"/>
      <c r="N569" s="72" t="str">
        <f t="shared" si="222"/>
        <v/>
      </c>
      <c r="O569" s="135"/>
      <c r="P569" s="136"/>
      <c r="Q569" s="123" t="str">
        <f t="shared" si="223"/>
        <v/>
      </c>
      <c r="R569" s="45" t="str">
        <f t="shared" si="224"/>
        <v/>
      </c>
      <c r="S569" s="137"/>
      <c r="T569" s="79" t="str">
        <f t="shared" si="233"/>
        <v/>
      </c>
      <c r="U569" s="79" t="str">
        <f t="shared" si="225"/>
        <v/>
      </c>
      <c r="V569" s="73" t="str">
        <f t="shared" si="226"/>
        <v/>
      </c>
      <c r="W569" s="80" t="str">
        <f t="shared" si="227"/>
        <v/>
      </c>
      <c r="X569" s="73" t="str">
        <f t="shared" si="228"/>
        <v/>
      </c>
      <c r="Y569" s="80" t="str">
        <f t="shared" si="229"/>
        <v/>
      </c>
      <c r="Z569" s="74" t="str">
        <f t="shared" si="230"/>
        <v/>
      </c>
      <c r="AA569" s="75" t="str">
        <f t="shared" si="234"/>
        <v/>
      </c>
      <c r="AB569" s="103" t="str">
        <f t="shared" si="231"/>
        <v/>
      </c>
      <c r="AC569" s="104" t="str">
        <f t="shared" si="242"/>
        <v/>
      </c>
      <c r="AE569" s="139"/>
      <c r="AF569" s="110" t="str">
        <f t="shared" si="235"/>
        <v/>
      </c>
      <c r="AG569" s="111" t="str">
        <f t="shared" si="236"/>
        <v/>
      </c>
      <c r="AH569" s="111" t="str">
        <f t="shared" si="232"/>
        <v/>
      </c>
      <c r="AI569" s="111" t="str">
        <f t="shared" si="237"/>
        <v/>
      </c>
      <c r="AJ569" s="111" t="str">
        <f t="shared" si="238"/>
        <v/>
      </c>
      <c r="AK569" s="112" t="str">
        <f t="shared" si="239"/>
        <v/>
      </c>
      <c r="AL569" t="str">
        <f t="shared" si="240"/>
        <v/>
      </c>
      <c r="AM569" t="str">
        <f t="shared" si="241"/>
        <v/>
      </c>
    </row>
    <row r="570" spans="1:39" ht="15" customHeight="1" x14ac:dyDescent="0.25">
      <c r="A570" s="131"/>
      <c r="B570" s="133"/>
      <c r="C570" s="133"/>
      <c r="D570" s="42" t="str">
        <f t="shared" si="216"/>
        <v/>
      </c>
      <c r="E570" s="43"/>
      <c r="F570" s="135"/>
      <c r="G570" s="77" t="str">
        <f t="shared" si="217"/>
        <v/>
      </c>
      <c r="H570" s="32" t="str">
        <f t="shared" si="218"/>
        <v/>
      </c>
      <c r="I570" s="78" t="str">
        <f t="shared" si="219"/>
        <v/>
      </c>
      <c r="J570" s="70" t="str">
        <f t="shared" si="220"/>
        <v/>
      </c>
      <c r="K570" s="135"/>
      <c r="L570" s="72" t="str">
        <f t="shared" si="221"/>
        <v/>
      </c>
      <c r="M570" s="135"/>
      <c r="N570" s="72" t="str">
        <f t="shared" si="222"/>
        <v/>
      </c>
      <c r="O570" s="135"/>
      <c r="P570" s="136"/>
      <c r="Q570" s="123" t="str">
        <f t="shared" si="223"/>
        <v/>
      </c>
      <c r="R570" s="45" t="str">
        <f t="shared" si="224"/>
        <v/>
      </c>
      <c r="S570" s="137"/>
      <c r="T570" s="79" t="str">
        <f t="shared" si="233"/>
        <v/>
      </c>
      <c r="U570" s="79" t="str">
        <f t="shared" si="225"/>
        <v/>
      </c>
      <c r="V570" s="73" t="str">
        <f t="shared" si="226"/>
        <v/>
      </c>
      <c r="W570" s="80" t="str">
        <f t="shared" si="227"/>
        <v/>
      </c>
      <c r="X570" s="73" t="str">
        <f t="shared" si="228"/>
        <v/>
      </c>
      <c r="Y570" s="80" t="str">
        <f t="shared" si="229"/>
        <v/>
      </c>
      <c r="Z570" s="74" t="str">
        <f t="shared" si="230"/>
        <v/>
      </c>
      <c r="AA570" s="75" t="str">
        <f t="shared" si="234"/>
        <v/>
      </c>
      <c r="AB570" s="103" t="str">
        <f t="shared" si="231"/>
        <v/>
      </c>
      <c r="AC570" s="104" t="str">
        <f t="shared" si="242"/>
        <v/>
      </c>
      <c r="AE570" s="139"/>
      <c r="AF570" s="110" t="str">
        <f t="shared" si="235"/>
        <v/>
      </c>
      <c r="AG570" s="111" t="str">
        <f t="shared" si="236"/>
        <v/>
      </c>
      <c r="AH570" s="111" t="str">
        <f t="shared" si="232"/>
        <v/>
      </c>
      <c r="AI570" s="111" t="str">
        <f t="shared" si="237"/>
        <v/>
      </c>
      <c r="AJ570" s="111" t="str">
        <f t="shared" si="238"/>
        <v/>
      </c>
      <c r="AK570" s="112" t="str">
        <f t="shared" si="239"/>
        <v/>
      </c>
      <c r="AL570" t="str">
        <f t="shared" si="240"/>
        <v/>
      </c>
      <c r="AM570" t="str">
        <f t="shared" si="241"/>
        <v/>
      </c>
    </row>
    <row r="571" spans="1:39" ht="15" customHeight="1" x14ac:dyDescent="0.25">
      <c r="A571" s="131"/>
      <c r="B571" s="133"/>
      <c r="C571" s="133"/>
      <c r="D571" s="42" t="str">
        <f t="shared" si="216"/>
        <v/>
      </c>
      <c r="E571" s="43"/>
      <c r="F571" s="135"/>
      <c r="G571" s="77" t="str">
        <f t="shared" si="217"/>
        <v/>
      </c>
      <c r="H571" s="32" t="str">
        <f t="shared" si="218"/>
        <v/>
      </c>
      <c r="I571" s="78" t="str">
        <f t="shared" si="219"/>
        <v/>
      </c>
      <c r="J571" s="70" t="str">
        <f t="shared" si="220"/>
        <v/>
      </c>
      <c r="K571" s="135"/>
      <c r="L571" s="72" t="str">
        <f t="shared" si="221"/>
        <v/>
      </c>
      <c r="M571" s="135"/>
      <c r="N571" s="72" t="str">
        <f t="shared" si="222"/>
        <v/>
      </c>
      <c r="O571" s="135"/>
      <c r="P571" s="136"/>
      <c r="Q571" s="123" t="str">
        <f t="shared" si="223"/>
        <v/>
      </c>
      <c r="R571" s="45" t="str">
        <f t="shared" si="224"/>
        <v/>
      </c>
      <c r="S571" s="137"/>
      <c r="T571" s="79" t="str">
        <f t="shared" si="233"/>
        <v/>
      </c>
      <c r="U571" s="79" t="str">
        <f t="shared" si="225"/>
        <v/>
      </c>
      <c r="V571" s="73" t="str">
        <f t="shared" si="226"/>
        <v/>
      </c>
      <c r="W571" s="80" t="str">
        <f t="shared" si="227"/>
        <v/>
      </c>
      <c r="X571" s="73" t="str">
        <f t="shared" si="228"/>
        <v/>
      </c>
      <c r="Y571" s="80" t="str">
        <f t="shared" si="229"/>
        <v/>
      </c>
      <c r="Z571" s="74" t="str">
        <f t="shared" si="230"/>
        <v/>
      </c>
      <c r="AA571" s="75" t="str">
        <f t="shared" si="234"/>
        <v/>
      </c>
      <c r="AB571" s="103" t="str">
        <f t="shared" si="231"/>
        <v/>
      </c>
      <c r="AC571" s="104" t="str">
        <f t="shared" si="242"/>
        <v/>
      </c>
      <c r="AE571" s="139"/>
      <c r="AF571" s="110" t="str">
        <f t="shared" si="235"/>
        <v/>
      </c>
      <c r="AG571" s="111" t="str">
        <f t="shared" si="236"/>
        <v/>
      </c>
      <c r="AH571" s="111" t="str">
        <f t="shared" si="232"/>
        <v/>
      </c>
      <c r="AI571" s="111" t="str">
        <f t="shared" si="237"/>
        <v/>
      </c>
      <c r="AJ571" s="111" t="str">
        <f t="shared" si="238"/>
        <v/>
      </c>
      <c r="AK571" s="112" t="str">
        <f t="shared" si="239"/>
        <v/>
      </c>
      <c r="AL571" t="str">
        <f t="shared" si="240"/>
        <v/>
      </c>
      <c r="AM571" t="str">
        <f t="shared" si="241"/>
        <v/>
      </c>
    </row>
    <row r="572" spans="1:39" ht="15" customHeight="1" x14ac:dyDescent="0.25">
      <c r="A572" s="131"/>
      <c r="B572" s="133"/>
      <c r="C572" s="133"/>
      <c r="D572" s="42" t="str">
        <f t="shared" si="216"/>
        <v/>
      </c>
      <c r="E572" s="43"/>
      <c r="F572" s="135"/>
      <c r="G572" s="77" t="str">
        <f t="shared" si="217"/>
        <v/>
      </c>
      <c r="H572" s="32" t="str">
        <f t="shared" si="218"/>
        <v/>
      </c>
      <c r="I572" s="78" t="str">
        <f t="shared" si="219"/>
        <v/>
      </c>
      <c r="J572" s="70" t="str">
        <f t="shared" si="220"/>
        <v/>
      </c>
      <c r="K572" s="135"/>
      <c r="L572" s="72" t="str">
        <f t="shared" si="221"/>
        <v/>
      </c>
      <c r="M572" s="135"/>
      <c r="N572" s="72" t="str">
        <f t="shared" si="222"/>
        <v/>
      </c>
      <c r="O572" s="135"/>
      <c r="P572" s="136"/>
      <c r="Q572" s="123" t="str">
        <f t="shared" si="223"/>
        <v/>
      </c>
      <c r="R572" s="45" t="str">
        <f t="shared" si="224"/>
        <v/>
      </c>
      <c r="S572" s="137"/>
      <c r="T572" s="79" t="str">
        <f t="shared" si="233"/>
        <v/>
      </c>
      <c r="U572" s="79" t="str">
        <f t="shared" si="225"/>
        <v/>
      </c>
      <c r="V572" s="73" t="str">
        <f t="shared" si="226"/>
        <v/>
      </c>
      <c r="W572" s="80" t="str">
        <f t="shared" si="227"/>
        <v/>
      </c>
      <c r="X572" s="73" t="str">
        <f t="shared" si="228"/>
        <v/>
      </c>
      <c r="Y572" s="80" t="str">
        <f t="shared" si="229"/>
        <v/>
      </c>
      <c r="Z572" s="74" t="str">
        <f t="shared" si="230"/>
        <v/>
      </c>
      <c r="AA572" s="75" t="str">
        <f t="shared" si="234"/>
        <v/>
      </c>
      <c r="AB572" s="103" t="str">
        <f t="shared" si="231"/>
        <v/>
      </c>
      <c r="AC572" s="104" t="str">
        <f t="shared" si="242"/>
        <v/>
      </c>
      <c r="AE572" s="139"/>
      <c r="AF572" s="110" t="str">
        <f t="shared" si="235"/>
        <v/>
      </c>
      <c r="AG572" s="111" t="str">
        <f t="shared" si="236"/>
        <v/>
      </c>
      <c r="AH572" s="111" t="str">
        <f t="shared" si="232"/>
        <v/>
      </c>
      <c r="AI572" s="111" t="str">
        <f t="shared" si="237"/>
        <v/>
      </c>
      <c r="AJ572" s="111" t="str">
        <f t="shared" si="238"/>
        <v/>
      </c>
      <c r="AK572" s="112" t="str">
        <f t="shared" si="239"/>
        <v/>
      </c>
      <c r="AL572" t="str">
        <f t="shared" si="240"/>
        <v/>
      </c>
      <c r="AM572" t="str">
        <f t="shared" si="241"/>
        <v/>
      </c>
    </row>
    <row r="573" spans="1:39" ht="15" customHeight="1" x14ac:dyDescent="0.25">
      <c r="A573" s="131"/>
      <c r="B573" s="133"/>
      <c r="C573" s="133"/>
      <c r="D573" s="42" t="str">
        <f t="shared" si="216"/>
        <v/>
      </c>
      <c r="E573" s="43"/>
      <c r="F573" s="135"/>
      <c r="G573" s="77" t="str">
        <f t="shared" si="217"/>
        <v/>
      </c>
      <c r="H573" s="32" t="str">
        <f t="shared" si="218"/>
        <v/>
      </c>
      <c r="I573" s="78" t="str">
        <f t="shared" si="219"/>
        <v/>
      </c>
      <c r="J573" s="70" t="str">
        <f t="shared" si="220"/>
        <v/>
      </c>
      <c r="K573" s="135"/>
      <c r="L573" s="72" t="str">
        <f t="shared" si="221"/>
        <v/>
      </c>
      <c r="M573" s="135"/>
      <c r="N573" s="72" t="str">
        <f t="shared" si="222"/>
        <v/>
      </c>
      <c r="O573" s="135"/>
      <c r="P573" s="136"/>
      <c r="Q573" s="123" t="str">
        <f t="shared" si="223"/>
        <v/>
      </c>
      <c r="R573" s="45" t="str">
        <f t="shared" si="224"/>
        <v/>
      </c>
      <c r="S573" s="137"/>
      <c r="T573" s="79" t="str">
        <f t="shared" si="233"/>
        <v/>
      </c>
      <c r="U573" s="79" t="str">
        <f t="shared" si="225"/>
        <v/>
      </c>
      <c r="V573" s="73" t="str">
        <f t="shared" si="226"/>
        <v/>
      </c>
      <c r="W573" s="80" t="str">
        <f t="shared" si="227"/>
        <v/>
      </c>
      <c r="X573" s="73" t="str">
        <f t="shared" si="228"/>
        <v/>
      </c>
      <c r="Y573" s="80" t="str">
        <f t="shared" si="229"/>
        <v/>
      </c>
      <c r="Z573" s="74" t="str">
        <f t="shared" si="230"/>
        <v/>
      </c>
      <c r="AA573" s="75" t="str">
        <f t="shared" si="234"/>
        <v/>
      </c>
      <c r="AB573" s="103" t="str">
        <f t="shared" si="231"/>
        <v/>
      </c>
      <c r="AC573" s="104" t="str">
        <f t="shared" si="242"/>
        <v/>
      </c>
      <c r="AE573" s="139"/>
      <c r="AF573" s="110" t="str">
        <f t="shared" si="235"/>
        <v/>
      </c>
      <c r="AG573" s="111" t="str">
        <f t="shared" si="236"/>
        <v/>
      </c>
      <c r="AH573" s="111" t="str">
        <f t="shared" si="232"/>
        <v/>
      </c>
      <c r="AI573" s="111" t="str">
        <f t="shared" si="237"/>
        <v/>
      </c>
      <c r="AJ573" s="111" t="str">
        <f t="shared" si="238"/>
        <v/>
      </c>
      <c r="AK573" s="112" t="str">
        <f t="shared" si="239"/>
        <v/>
      </c>
      <c r="AL573" t="str">
        <f t="shared" si="240"/>
        <v/>
      </c>
      <c r="AM573" t="str">
        <f t="shared" si="241"/>
        <v/>
      </c>
    </row>
    <row r="574" spans="1:39" ht="15" customHeight="1" x14ac:dyDescent="0.25">
      <c r="A574" s="131"/>
      <c r="B574" s="133"/>
      <c r="C574" s="133"/>
      <c r="D574" s="42" t="str">
        <f t="shared" si="216"/>
        <v/>
      </c>
      <c r="E574" s="43"/>
      <c r="F574" s="135"/>
      <c r="G574" s="77" t="str">
        <f t="shared" si="217"/>
        <v/>
      </c>
      <c r="H574" s="32" t="str">
        <f t="shared" si="218"/>
        <v/>
      </c>
      <c r="I574" s="78" t="str">
        <f t="shared" si="219"/>
        <v/>
      </c>
      <c r="J574" s="70" t="str">
        <f t="shared" si="220"/>
        <v/>
      </c>
      <c r="K574" s="135"/>
      <c r="L574" s="72" t="str">
        <f t="shared" si="221"/>
        <v/>
      </c>
      <c r="M574" s="135"/>
      <c r="N574" s="72" t="str">
        <f t="shared" si="222"/>
        <v/>
      </c>
      <c r="O574" s="135"/>
      <c r="P574" s="136"/>
      <c r="Q574" s="123" t="str">
        <f t="shared" si="223"/>
        <v/>
      </c>
      <c r="R574" s="45" t="str">
        <f t="shared" si="224"/>
        <v/>
      </c>
      <c r="S574" s="137"/>
      <c r="T574" s="79" t="str">
        <f t="shared" si="233"/>
        <v/>
      </c>
      <c r="U574" s="79" t="str">
        <f t="shared" si="225"/>
        <v/>
      </c>
      <c r="V574" s="73" t="str">
        <f t="shared" si="226"/>
        <v/>
      </c>
      <c r="W574" s="80" t="str">
        <f t="shared" si="227"/>
        <v/>
      </c>
      <c r="X574" s="73" t="str">
        <f t="shared" si="228"/>
        <v/>
      </c>
      <c r="Y574" s="80" t="str">
        <f t="shared" si="229"/>
        <v/>
      </c>
      <c r="Z574" s="74" t="str">
        <f t="shared" si="230"/>
        <v/>
      </c>
      <c r="AA574" s="75" t="str">
        <f t="shared" si="234"/>
        <v/>
      </c>
      <c r="AB574" s="103" t="str">
        <f t="shared" si="231"/>
        <v/>
      </c>
      <c r="AC574" s="104" t="str">
        <f t="shared" si="242"/>
        <v/>
      </c>
      <c r="AE574" s="139"/>
      <c r="AF574" s="110" t="str">
        <f t="shared" si="235"/>
        <v/>
      </c>
      <c r="AG574" s="111" t="str">
        <f t="shared" si="236"/>
        <v/>
      </c>
      <c r="AH574" s="111" t="str">
        <f t="shared" si="232"/>
        <v/>
      </c>
      <c r="AI574" s="111" t="str">
        <f t="shared" si="237"/>
        <v/>
      </c>
      <c r="AJ574" s="111" t="str">
        <f t="shared" si="238"/>
        <v/>
      </c>
      <c r="AK574" s="112" t="str">
        <f t="shared" si="239"/>
        <v/>
      </c>
      <c r="AL574" t="str">
        <f t="shared" si="240"/>
        <v/>
      </c>
      <c r="AM574" t="str">
        <f t="shared" si="241"/>
        <v/>
      </c>
    </row>
    <row r="575" spans="1:39" ht="15" customHeight="1" x14ac:dyDescent="0.25">
      <c r="A575" s="131"/>
      <c r="B575" s="133"/>
      <c r="C575" s="133"/>
      <c r="D575" s="42" t="str">
        <f t="shared" si="216"/>
        <v/>
      </c>
      <c r="E575" s="43"/>
      <c r="F575" s="135"/>
      <c r="G575" s="77" t="str">
        <f t="shared" si="217"/>
        <v/>
      </c>
      <c r="H575" s="32" t="str">
        <f t="shared" si="218"/>
        <v/>
      </c>
      <c r="I575" s="78" t="str">
        <f t="shared" si="219"/>
        <v/>
      </c>
      <c r="J575" s="70" t="str">
        <f t="shared" si="220"/>
        <v/>
      </c>
      <c r="K575" s="135"/>
      <c r="L575" s="72" t="str">
        <f t="shared" si="221"/>
        <v/>
      </c>
      <c r="M575" s="135"/>
      <c r="N575" s="72" t="str">
        <f t="shared" si="222"/>
        <v/>
      </c>
      <c r="O575" s="135"/>
      <c r="P575" s="136"/>
      <c r="Q575" s="123" t="str">
        <f t="shared" si="223"/>
        <v/>
      </c>
      <c r="R575" s="45" t="str">
        <f t="shared" si="224"/>
        <v/>
      </c>
      <c r="S575" s="137"/>
      <c r="T575" s="79" t="str">
        <f t="shared" si="233"/>
        <v/>
      </c>
      <c r="U575" s="79" t="str">
        <f t="shared" si="225"/>
        <v/>
      </c>
      <c r="V575" s="73" t="str">
        <f t="shared" si="226"/>
        <v/>
      </c>
      <c r="W575" s="80" t="str">
        <f t="shared" si="227"/>
        <v/>
      </c>
      <c r="X575" s="73" t="str">
        <f t="shared" si="228"/>
        <v/>
      </c>
      <c r="Y575" s="80" t="str">
        <f t="shared" si="229"/>
        <v/>
      </c>
      <c r="Z575" s="74" t="str">
        <f t="shared" si="230"/>
        <v/>
      </c>
      <c r="AA575" s="75" t="str">
        <f t="shared" si="234"/>
        <v/>
      </c>
      <c r="AB575" s="103" t="str">
        <f t="shared" si="231"/>
        <v/>
      </c>
      <c r="AC575" s="104" t="str">
        <f t="shared" si="242"/>
        <v/>
      </c>
      <c r="AE575" s="139"/>
      <c r="AF575" s="110" t="str">
        <f t="shared" si="235"/>
        <v/>
      </c>
      <c r="AG575" s="111" t="str">
        <f t="shared" si="236"/>
        <v/>
      </c>
      <c r="AH575" s="111" t="str">
        <f t="shared" si="232"/>
        <v/>
      </c>
      <c r="AI575" s="111" t="str">
        <f t="shared" si="237"/>
        <v/>
      </c>
      <c r="AJ575" s="111" t="str">
        <f t="shared" si="238"/>
        <v/>
      </c>
      <c r="AK575" s="112" t="str">
        <f t="shared" si="239"/>
        <v/>
      </c>
      <c r="AL575" t="str">
        <f t="shared" si="240"/>
        <v/>
      </c>
      <c r="AM575" t="str">
        <f t="shared" si="241"/>
        <v/>
      </c>
    </row>
    <row r="576" spans="1:39" ht="15" customHeight="1" x14ac:dyDescent="0.25">
      <c r="A576" s="131"/>
      <c r="B576" s="133"/>
      <c r="C576" s="133"/>
      <c r="D576" s="42" t="str">
        <f t="shared" si="216"/>
        <v/>
      </c>
      <c r="E576" s="43"/>
      <c r="F576" s="135"/>
      <c r="G576" s="77" t="str">
        <f t="shared" si="217"/>
        <v/>
      </c>
      <c r="H576" s="32" t="str">
        <f t="shared" si="218"/>
        <v/>
      </c>
      <c r="I576" s="78" t="str">
        <f t="shared" si="219"/>
        <v/>
      </c>
      <c r="J576" s="70" t="str">
        <f t="shared" si="220"/>
        <v/>
      </c>
      <c r="K576" s="135"/>
      <c r="L576" s="72" t="str">
        <f t="shared" si="221"/>
        <v/>
      </c>
      <c r="M576" s="135"/>
      <c r="N576" s="72" t="str">
        <f t="shared" si="222"/>
        <v/>
      </c>
      <c r="O576" s="135"/>
      <c r="P576" s="136"/>
      <c r="Q576" s="123" t="str">
        <f t="shared" si="223"/>
        <v/>
      </c>
      <c r="R576" s="45" t="str">
        <f t="shared" si="224"/>
        <v/>
      </c>
      <c r="S576" s="137"/>
      <c r="T576" s="79" t="str">
        <f t="shared" si="233"/>
        <v/>
      </c>
      <c r="U576" s="79" t="str">
        <f t="shared" si="225"/>
        <v/>
      </c>
      <c r="V576" s="73" t="str">
        <f t="shared" si="226"/>
        <v/>
      </c>
      <c r="W576" s="80" t="str">
        <f t="shared" si="227"/>
        <v/>
      </c>
      <c r="X576" s="73" t="str">
        <f t="shared" si="228"/>
        <v/>
      </c>
      <c r="Y576" s="80" t="str">
        <f t="shared" si="229"/>
        <v/>
      </c>
      <c r="Z576" s="74" t="str">
        <f t="shared" si="230"/>
        <v/>
      </c>
      <c r="AA576" s="75" t="str">
        <f t="shared" si="234"/>
        <v/>
      </c>
      <c r="AB576" s="103" t="str">
        <f t="shared" si="231"/>
        <v/>
      </c>
      <c r="AC576" s="104" t="str">
        <f t="shared" si="242"/>
        <v/>
      </c>
      <c r="AE576" s="139"/>
      <c r="AF576" s="110" t="str">
        <f t="shared" si="235"/>
        <v/>
      </c>
      <c r="AG576" s="111" t="str">
        <f t="shared" si="236"/>
        <v/>
      </c>
      <c r="AH576" s="111" t="str">
        <f t="shared" si="232"/>
        <v/>
      </c>
      <c r="AI576" s="111" t="str">
        <f t="shared" si="237"/>
        <v/>
      </c>
      <c r="AJ576" s="111" t="str">
        <f t="shared" si="238"/>
        <v/>
      </c>
      <c r="AK576" s="112" t="str">
        <f t="shared" si="239"/>
        <v/>
      </c>
      <c r="AL576" t="str">
        <f t="shared" si="240"/>
        <v/>
      </c>
      <c r="AM576" t="str">
        <f t="shared" si="241"/>
        <v/>
      </c>
    </row>
    <row r="577" spans="1:39" ht="15" customHeight="1" x14ac:dyDescent="0.25">
      <c r="A577" s="131"/>
      <c r="B577" s="133"/>
      <c r="C577" s="133"/>
      <c r="D577" s="42" t="str">
        <f t="shared" si="216"/>
        <v/>
      </c>
      <c r="E577" s="43"/>
      <c r="F577" s="135"/>
      <c r="G577" s="77" t="str">
        <f t="shared" si="217"/>
        <v/>
      </c>
      <c r="H577" s="32" t="str">
        <f t="shared" si="218"/>
        <v/>
      </c>
      <c r="I577" s="78" t="str">
        <f t="shared" si="219"/>
        <v/>
      </c>
      <c r="J577" s="70" t="str">
        <f t="shared" si="220"/>
        <v/>
      </c>
      <c r="K577" s="135"/>
      <c r="L577" s="72" t="str">
        <f t="shared" si="221"/>
        <v/>
      </c>
      <c r="M577" s="135"/>
      <c r="N577" s="72" t="str">
        <f t="shared" si="222"/>
        <v/>
      </c>
      <c r="O577" s="135"/>
      <c r="P577" s="136"/>
      <c r="Q577" s="123" t="str">
        <f t="shared" si="223"/>
        <v/>
      </c>
      <c r="R577" s="45" t="str">
        <f t="shared" si="224"/>
        <v/>
      </c>
      <c r="S577" s="137"/>
      <c r="T577" s="79" t="str">
        <f t="shared" si="233"/>
        <v/>
      </c>
      <c r="U577" s="79" t="str">
        <f t="shared" si="225"/>
        <v/>
      </c>
      <c r="V577" s="73" t="str">
        <f t="shared" si="226"/>
        <v/>
      </c>
      <c r="W577" s="80" t="str">
        <f t="shared" si="227"/>
        <v/>
      </c>
      <c r="X577" s="73" t="str">
        <f t="shared" si="228"/>
        <v/>
      </c>
      <c r="Y577" s="80" t="str">
        <f t="shared" si="229"/>
        <v/>
      </c>
      <c r="Z577" s="74" t="str">
        <f t="shared" si="230"/>
        <v/>
      </c>
      <c r="AA577" s="75" t="str">
        <f t="shared" si="234"/>
        <v/>
      </c>
      <c r="AB577" s="103" t="str">
        <f t="shared" si="231"/>
        <v/>
      </c>
      <c r="AC577" s="104" t="str">
        <f t="shared" si="242"/>
        <v/>
      </c>
      <c r="AE577" s="139"/>
      <c r="AF577" s="110" t="str">
        <f t="shared" si="235"/>
        <v/>
      </c>
      <c r="AG577" s="111" t="str">
        <f t="shared" si="236"/>
        <v/>
      </c>
      <c r="AH577" s="111" t="str">
        <f t="shared" si="232"/>
        <v/>
      </c>
      <c r="AI577" s="111" t="str">
        <f t="shared" si="237"/>
        <v/>
      </c>
      <c r="AJ577" s="111" t="str">
        <f t="shared" si="238"/>
        <v/>
      </c>
      <c r="AK577" s="112" t="str">
        <f t="shared" si="239"/>
        <v/>
      </c>
      <c r="AL577" t="str">
        <f t="shared" si="240"/>
        <v/>
      </c>
      <c r="AM577" t="str">
        <f t="shared" si="241"/>
        <v/>
      </c>
    </row>
    <row r="578" spans="1:39" ht="15" customHeight="1" x14ac:dyDescent="0.25">
      <c r="A578" s="131"/>
      <c r="B578" s="133"/>
      <c r="C578" s="133"/>
      <c r="D578" s="42" t="str">
        <f t="shared" si="216"/>
        <v/>
      </c>
      <c r="E578" s="43"/>
      <c r="F578" s="135"/>
      <c r="G578" s="77" t="str">
        <f t="shared" si="217"/>
        <v/>
      </c>
      <c r="H578" s="32" t="str">
        <f t="shared" si="218"/>
        <v/>
      </c>
      <c r="I578" s="78" t="str">
        <f t="shared" si="219"/>
        <v/>
      </c>
      <c r="J578" s="70" t="str">
        <f t="shared" si="220"/>
        <v/>
      </c>
      <c r="K578" s="135"/>
      <c r="L578" s="72" t="str">
        <f t="shared" si="221"/>
        <v/>
      </c>
      <c r="M578" s="135"/>
      <c r="N578" s="72" t="str">
        <f t="shared" si="222"/>
        <v/>
      </c>
      <c r="O578" s="135"/>
      <c r="P578" s="136"/>
      <c r="Q578" s="123" t="str">
        <f t="shared" si="223"/>
        <v/>
      </c>
      <c r="R578" s="45" t="str">
        <f t="shared" si="224"/>
        <v/>
      </c>
      <c r="S578" s="137"/>
      <c r="T578" s="79" t="str">
        <f t="shared" si="233"/>
        <v/>
      </c>
      <c r="U578" s="79" t="str">
        <f t="shared" si="225"/>
        <v/>
      </c>
      <c r="V578" s="73" t="str">
        <f t="shared" si="226"/>
        <v/>
      </c>
      <c r="W578" s="80" t="str">
        <f t="shared" si="227"/>
        <v/>
      </c>
      <c r="X578" s="73" t="str">
        <f t="shared" si="228"/>
        <v/>
      </c>
      <c r="Y578" s="80" t="str">
        <f t="shared" si="229"/>
        <v/>
      </c>
      <c r="Z578" s="74" t="str">
        <f t="shared" si="230"/>
        <v/>
      </c>
      <c r="AA578" s="75" t="str">
        <f t="shared" si="234"/>
        <v/>
      </c>
      <c r="AB578" s="103" t="str">
        <f t="shared" si="231"/>
        <v/>
      </c>
      <c r="AC578" s="104" t="str">
        <f t="shared" si="242"/>
        <v/>
      </c>
      <c r="AE578" s="139"/>
      <c r="AF578" s="110" t="str">
        <f t="shared" si="235"/>
        <v/>
      </c>
      <c r="AG578" s="111" t="str">
        <f t="shared" si="236"/>
        <v/>
      </c>
      <c r="AH578" s="111" t="str">
        <f t="shared" si="232"/>
        <v/>
      </c>
      <c r="AI578" s="111" t="str">
        <f t="shared" si="237"/>
        <v/>
      </c>
      <c r="AJ578" s="111" t="str">
        <f t="shared" si="238"/>
        <v/>
      </c>
      <c r="AK578" s="112" t="str">
        <f t="shared" si="239"/>
        <v/>
      </c>
      <c r="AL578" t="str">
        <f t="shared" si="240"/>
        <v/>
      </c>
      <c r="AM578" t="str">
        <f t="shared" si="241"/>
        <v/>
      </c>
    </row>
    <row r="579" spans="1:39" ht="15" customHeight="1" x14ac:dyDescent="0.25">
      <c r="A579" s="131"/>
      <c r="B579" s="133"/>
      <c r="C579" s="133"/>
      <c r="D579" s="42" t="str">
        <f t="shared" si="216"/>
        <v/>
      </c>
      <c r="E579" s="43"/>
      <c r="F579" s="135"/>
      <c r="G579" s="77" t="str">
        <f t="shared" si="217"/>
        <v/>
      </c>
      <c r="H579" s="32" t="str">
        <f t="shared" si="218"/>
        <v/>
      </c>
      <c r="I579" s="78" t="str">
        <f t="shared" si="219"/>
        <v/>
      </c>
      <c r="J579" s="70" t="str">
        <f t="shared" si="220"/>
        <v/>
      </c>
      <c r="K579" s="135"/>
      <c r="L579" s="72" t="str">
        <f t="shared" si="221"/>
        <v/>
      </c>
      <c r="M579" s="135"/>
      <c r="N579" s="72" t="str">
        <f t="shared" si="222"/>
        <v/>
      </c>
      <c r="O579" s="135"/>
      <c r="P579" s="136"/>
      <c r="Q579" s="123" t="str">
        <f t="shared" si="223"/>
        <v/>
      </c>
      <c r="R579" s="45" t="str">
        <f t="shared" si="224"/>
        <v/>
      </c>
      <c r="S579" s="137"/>
      <c r="T579" s="79" t="str">
        <f t="shared" si="233"/>
        <v/>
      </c>
      <c r="U579" s="79" t="str">
        <f t="shared" si="225"/>
        <v/>
      </c>
      <c r="V579" s="73" t="str">
        <f t="shared" si="226"/>
        <v/>
      </c>
      <c r="W579" s="80" t="str">
        <f t="shared" si="227"/>
        <v/>
      </c>
      <c r="X579" s="73" t="str">
        <f t="shared" si="228"/>
        <v/>
      </c>
      <c r="Y579" s="80" t="str">
        <f t="shared" si="229"/>
        <v/>
      </c>
      <c r="Z579" s="74" t="str">
        <f t="shared" si="230"/>
        <v/>
      </c>
      <c r="AA579" s="75" t="str">
        <f t="shared" si="234"/>
        <v/>
      </c>
      <c r="AB579" s="103" t="str">
        <f t="shared" si="231"/>
        <v/>
      </c>
      <c r="AC579" s="104" t="str">
        <f t="shared" si="242"/>
        <v/>
      </c>
      <c r="AE579" s="139"/>
      <c r="AF579" s="110" t="str">
        <f t="shared" si="235"/>
        <v/>
      </c>
      <c r="AG579" s="111" t="str">
        <f t="shared" si="236"/>
        <v/>
      </c>
      <c r="AH579" s="111" t="str">
        <f t="shared" si="232"/>
        <v/>
      </c>
      <c r="AI579" s="111" t="str">
        <f t="shared" si="237"/>
        <v/>
      </c>
      <c r="AJ579" s="111" t="str">
        <f t="shared" si="238"/>
        <v/>
      </c>
      <c r="AK579" s="112" t="str">
        <f t="shared" si="239"/>
        <v/>
      </c>
      <c r="AL579" t="str">
        <f t="shared" si="240"/>
        <v/>
      </c>
      <c r="AM579" t="str">
        <f t="shared" si="241"/>
        <v/>
      </c>
    </row>
    <row r="580" spans="1:39" ht="15" customHeight="1" x14ac:dyDescent="0.25">
      <c r="A580" s="131"/>
      <c r="B580" s="133"/>
      <c r="C580" s="133"/>
      <c r="D580" s="42" t="str">
        <f t="shared" si="216"/>
        <v/>
      </c>
      <c r="E580" s="43"/>
      <c r="F580" s="135"/>
      <c r="G580" s="77" t="str">
        <f t="shared" si="217"/>
        <v/>
      </c>
      <c r="H580" s="32" t="str">
        <f t="shared" si="218"/>
        <v/>
      </c>
      <c r="I580" s="78" t="str">
        <f t="shared" si="219"/>
        <v/>
      </c>
      <c r="J580" s="70" t="str">
        <f t="shared" si="220"/>
        <v/>
      </c>
      <c r="K580" s="135"/>
      <c r="L580" s="72" t="str">
        <f t="shared" si="221"/>
        <v/>
      </c>
      <c r="M580" s="135"/>
      <c r="N580" s="72" t="str">
        <f t="shared" si="222"/>
        <v/>
      </c>
      <c r="O580" s="135"/>
      <c r="P580" s="136"/>
      <c r="Q580" s="123" t="str">
        <f t="shared" si="223"/>
        <v/>
      </c>
      <c r="R580" s="45" t="str">
        <f t="shared" si="224"/>
        <v/>
      </c>
      <c r="S580" s="137"/>
      <c r="T580" s="79" t="str">
        <f t="shared" si="233"/>
        <v/>
      </c>
      <c r="U580" s="79" t="str">
        <f t="shared" si="225"/>
        <v/>
      </c>
      <c r="V580" s="73" t="str">
        <f t="shared" si="226"/>
        <v/>
      </c>
      <c r="W580" s="80" t="str">
        <f t="shared" si="227"/>
        <v/>
      </c>
      <c r="X580" s="73" t="str">
        <f t="shared" si="228"/>
        <v/>
      </c>
      <c r="Y580" s="80" t="str">
        <f t="shared" si="229"/>
        <v/>
      </c>
      <c r="Z580" s="74" t="str">
        <f t="shared" si="230"/>
        <v/>
      </c>
      <c r="AA580" s="75" t="str">
        <f t="shared" si="234"/>
        <v/>
      </c>
      <c r="AB580" s="103" t="str">
        <f t="shared" si="231"/>
        <v/>
      </c>
      <c r="AC580" s="104" t="str">
        <f t="shared" si="242"/>
        <v/>
      </c>
      <c r="AE580" s="139"/>
      <c r="AF580" s="110" t="str">
        <f t="shared" si="235"/>
        <v/>
      </c>
      <c r="AG580" s="111" t="str">
        <f t="shared" si="236"/>
        <v/>
      </c>
      <c r="AH580" s="111" t="str">
        <f t="shared" si="232"/>
        <v/>
      </c>
      <c r="AI580" s="111" t="str">
        <f t="shared" si="237"/>
        <v/>
      </c>
      <c r="AJ580" s="111" t="str">
        <f t="shared" si="238"/>
        <v/>
      </c>
      <c r="AK580" s="112" t="str">
        <f t="shared" si="239"/>
        <v/>
      </c>
      <c r="AL580" t="str">
        <f t="shared" si="240"/>
        <v/>
      </c>
      <c r="AM580" t="str">
        <f t="shared" si="241"/>
        <v/>
      </c>
    </row>
    <row r="581" spans="1:39" ht="15" customHeight="1" x14ac:dyDescent="0.25">
      <c r="A581" s="131"/>
      <c r="B581" s="133"/>
      <c r="C581" s="133"/>
      <c r="D581" s="42" t="str">
        <f t="shared" si="216"/>
        <v/>
      </c>
      <c r="E581" s="43"/>
      <c r="F581" s="135"/>
      <c r="G581" s="77" t="str">
        <f t="shared" si="217"/>
        <v/>
      </c>
      <c r="H581" s="32" t="str">
        <f t="shared" si="218"/>
        <v/>
      </c>
      <c r="I581" s="78" t="str">
        <f t="shared" si="219"/>
        <v/>
      </c>
      <c r="J581" s="70" t="str">
        <f t="shared" si="220"/>
        <v/>
      </c>
      <c r="K581" s="135"/>
      <c r="L581" s="72" t="str">
        <f t="shared" si="221"/>
        <v/>
      </c>
      <c r="M581" s="135"/>
      <c r="N581" s="72" t="str">
        <f t="shared" si="222"/>
        <v/>
      </c>
      <c r="O581" s="135"/>
      <c r="P581" s="136"/>
      <c r="Q581" s="123" t="str">
        <f t="shared" si="223"/>
        <v/>
      </c>
      <c r="R581" s="45" t="str">
        <f t="shared" si="224"/>
        <v/>
      </c>
      <c r="S581" s="137"/>
      <c r="T581" s="79" t="str">
        <f t="shared" si="233"/>
        <v/>
      </c>
      <c r="U581" s="79" t="str">
        <f t="shared" si="225"/>
        <v/>
      </c>
      <c r="V581" s="73" t="str">
        <f t="shared" si="226"/>
        <v/>
      </c>
      <c r="W581" s="80" t="str">
        <f t="shared" si="227"/>
        <v/>
      </c>
      <c r="X581" s="73" t="str">
        <f t="shared" si="228"/>
        <v/>
      </c>
      <c r="Y581" s="80" t="str">
        <f t="shared" si="229"/>
        <v/>
      </c>
      <c r="Z581" s="74" t="str">
        <f t="shared" si="230"/>
        <v/>
      </c>
      <c r="AA581" s="75" t="str">
        <f t="shared" si="234"/>
        <v/>
      </c>
      <c r="AB581" s="103" t="str">
        <f t="shared" si="231"/>
        <v/>
      </c>
      <c r="AC581" s="104" t="str">
        <f t="shared" si="242"/>
        <v/>
      </c>
      <c r="AE581" s="139"/>
      <c r="AF581" s="110" t="str">
        <f t="shared" si="235"/>
        <v/>
      </c>
      <c r="AG581" s="111" t="str">
        <f t="shared" si="236"/>
        <v/>
      </c>
      <c r="AH581" s="111" t="str">
        <f t="shared" si="232"/>
        <v/>
      </c>
      <c r="AI581" s="111" t="str">
        <f t="shared" si="237"/>
        <v/>
      </c>
      <c r="AJ581" s="111" t="str">
        <f t="shared" si="238"/>
        <v/>
      </c>
      <c r="AK581" s="112" t="str">
        <f t="shared" si="239"/>
        <v/>
      </c>
      <c r="AL581" t="str">
        <f t="shared" si="240"/>
        <v/>
      </c>
      <c r="AM581" t="str">
        <f t="shared" si="241"/>
        <v/>
      </c>
    </row>
    <row r="582" spans="1:39" ht="15" customHeight="1" x14ac:dyDescent="0.25">
      <c r="A582" s="131"/>
      <c r="B582" s="133"/>
      <c r="C582" s="133"/>
      <c r="D582" s="42" t="str">
        <f t="shared" si="216"/>
        <v/>
      </c>
      <c r="E582" s="43"/>
      <c r="F582" s="135"/>
      <c r="G582" s="77" t="str">
        <f t="shared" si="217"/>
        <v/>
      </c>
      <c r="H582" s="32" t="str">
        <f t="shared" si="218"/>
        <v/>
      </c>
      <c r="I582" s="78" t="str">
        <f t="shared" si="219"/>
        <v/>
      </c>
      <c r="J582" s="70" t="str">
        <f t="shared" si="220"/>
        <v/>
      </c>
      <c r="K582" s="135"/>
      <c r="L582" s="72" t="str">
        <f t="shared" si="221"/>
        <v/>
      </c>
      <c r="M582" s="135"/>
      <c r="N582" s="72" t="str">
        <f t="shared" si="222"/>
        <v/>
      </c>
      <c r="O582" s="135"/>
      <c r="P582" s="136"/>
      <c r="Q582" s="123" t="str">
        <f t="shared" si="223"/>
        <v/>
      </c>
      <c r="R582" s="45" t="str">
        <f t="shared" si="224"/>
        <v/>
      </c>
      <c r="S582" s="137"/>
      <c r="T582" s="79" t="str">
        <f t="shared" si="233"/>
        <v/>
      </c>
      <c r="U582" s="79" t="str">
        <f t="shared" si="225"/>
        <v/>
      </c>
      <c r="V582" s="73" t="str">
        <f t="shared" si="226"/>
        <v/>
      </c>
      <c r="W582" s="80" t="str">
        <f t="shared" si="227"/>
        <v/>
      </c>
      <c r="X582" s="73" t="str">
        <f t="shared" si="228"/>
        <v/>
      </c>
      <c r="Y582" s="80" t="str">
        <f t="shared" si="229"/>
        <v/>
      </c>
      <c r="Z582" s="74" t="str">
        <f t="shared" si="230"/>
        <v/>
      </c>
      <c r="AA582" s="75" t="str">
        <f t="shared" si="234"/>
        <v/>
      </c>
      <c r="AB582" s="103" t="str">
        <f t="shared" si="231"/>
        <v/>
      </c>
      <c r="AC582" s="104" t="str">
        <f t="shared" si="242"/>
        <v/>
      </c>
      <c r="AE582" s="139"/>
      <c r="AF582" s="110" t="str">
        <f t="shared" si="235"/>
        <v/>
      </c>
      <c r="AG582" s="111" t="str">
        <f t="shared" si="236"/>
        <v/>
      </c>
      <c r="AH582" s="111" t="str">
        <f t="shared" si="232"/>
        <v/>
      </c>
      <c r="AI582" s="111" t="str">
        <f t="shared" si="237"/>
        <v/>
      </c>
      <c r="AJ582" s="111" t="str">
        <f t="shared" si="238"/>
        <v/>
      </c>
      <c r="AK582" s="112" t="str">
        <f t="shared" si="239"/>
        <v/>
      </c>
      <c r="AL582" t="str">
        <f t="shared" si="240"/>
        <v/>
      </c>
      <c r="AM582" t="str">
        <f t="shared" si="241"/>
        <v/>
      </c>
    </row>
    <row r="583" spans="1:39" ht="15" customHeight="1" x14ac:dyDescent="0.25">
      <c r="A583" s="131"/>
      <c r="B583" s="133"/>
      <c r="C583" s="133"/>
      <c r="D583" s="42" t="str">
        <f t="shared" si="216"/>
        <v/>
      </c>
      <c r="E583" s="43"/>
      <c r="F583" s="135"/>
      <c r="G583" s="77" t="str">
        <f t="shared" si="217"/>
        <v/>
      </c>
      <c r="H583" s="32" t="str">
        <f t="shared" si="218"/>
        <v/>
      </c>
      <c r="I583" s="78" t="str">
        <f t="shared" si="219"/>
        <v/>
      </c>
      <c r="J583" s="70" t="str">
        <f t="shared" si="220"/>
        <v/>
      </c>
      <c r="K583" s="135"/>
      <c r="L583" s="72" t="str">
        <f t="shared" si="221"/>
        <v/>
      </c>
      <c r="M583" s="135"/>
      <c r="N583" s="72" t="str">
        <f t="shared" si="222"/>
        <v/>
      </c>
      <c r="O583" s="135"/>
      <c r="P583" s="136"/>
      <c r="Q583" s="123" t="str">
        <f t="shared" si="223"/>
        <v/>
      </c>
      <c r="R583" s="45" t="str">
        <f t="shared" si="224"/>
        <v/>
      </c>
      <c r="S583" s="137"/>
      <c r="T583" s="79" t="str">
        <f t="shared" si="233"/>
        <v/>
      </c>
      <c r="U583" s="79" t="str">
        <f t="shared" si="225"/>
        <v/>
      </c>
      <c r="V583" s="73" t="str">
        <f t="shared" si="226"/>
        <v/>
      </c>
      <c r="W583" s="80" t="str">
        <f t="shared" si="227"/>
        <v/>
      </c>
      <c r="X583" s="73" t="str">
        <f t="shared" si="228"/>
        <v/>
      </c>
      <c r="Y583" s="80" t="str">
        <f t="shared" si="229"/>
        <v/>
      </c>
      <c r="Z583" s="74" t="str">
        <f t="shared" si="230"/>
        <v/>
      </c>
      <c r="AA583" s="75" t="str">
        <f t="shared" si="234"/>
        <v/>
      </c>
      <c r="AB583" s="103" t="str">
        <f t="shared" si="231"/>
        <v/>
      </c>
      <c r="AC583" s="104" t="str">
        <f t="shared" si="242"/>
        <v/>
      </c>
      <c r="AE583" s="139"/>
      <c r="AF583" s="110" t="str">
        <f t="shared" si="235"/>
        <v/>
      </c>
      <c r="AG583" s="111" t="str">
        <f t="shared" si="236"/>
        <v/>
      </c>
      <c r="AH583" s="111" t="str">
        <f t="shared" si="232"/>
        <v/>
      </c>
      <c r="AI583" s="111" t="str">
        <f t="shared" si="237"/>
        <v/>
      </c>
      <c r="AJ583" s="111" t="str">
        <f t="shared" si="238"/>
        <v/>
      </c>
      <c r="AK583" s="112" t="str">
        <f t="shared" si="239"/>
        <v/>
      </c>
      <c r="AL583" t="str">
        <f t="shared" si="240"/>
        <v/>
      </c>
      <c r="AM583" t="str">
        <f t="shared" si="241"/>
        <v/>
      </c>
    </row>
    <row r="584" spans="1:39" ht="15" customHeight="1" x14ac:dyDescent="0.25">
      <c r="A584" s="131"/>
      <c r="B584" s="133"/>
      <c r="C584" s="133"/>
      <c r="D584" s="42" t="str">
        <f t="shared" ref="D584:D647" si="243">IF(A584="","",B584*C584)</f>
        <v/>
      </c>
      <c r="E584" s="43"/>
      <c r="F584" s="135"/>
      <c r="G584" s="77" t="str">
        <f t="shared" ref="G584:G647" si="244">IF(OR(F584="",C584=0,C584=""),"",F584/C584)</f>
        <v/>
      </c>
      <c r="H584" s="32" t="str">
        <f t="shared" ref="H584:H647" si="245">IF(F584="","",ROUND(F584*$G$1,2))</f>
        <v/>
      </c>
      <c r="I584" s="78" t="str">
        <f t="shared" ref="I584:I647" si="246">IF(OR(H584="",C584=0,C584=""),"",H584/C584)</f>
        <v/>
      </c>
      <c r="J584" s="70" t="str">
        <f t="shared" ref="J584:J647" si="247">IF(A584="","",F584*B584)</f>
        <v/>
      </c>
      <c r="K584" s="135"/>
      <c r="L584" s="72" t="str">
        <f t="shared" ref="L584:L647" si="248">IF(OR(K584=0,C584=0,K584="",C584=""),"",K584/C584)</f>
        <v/>
      </c>
      <c r="M584" s="135"/>
      <c r="N584" s="72" t="str">
        <f t="shared" ref="N584:N647" si="249">IF(OR(M584=0,C584=0,M584="",C584=""),"",M584/C584)</f>
        <v/>
      </c>
      <c r="O584" s="135"/>
      <c r="P584" s="136"/>
      <c r="Q584" s="123" t="str">
        <f t="shared" ref="Q584:Q647" si="250">IF(A584="","",IF(S584&gt;0,IF(J584&gt;0,S584/J584,0),IF(E584&gt;0,0,IF($I$2&gt;0,IF($I$3&gt;0,MAX($I$2-SUM($S$8:$S$1007),0)/$I$3,0),$I$1))))</f>
        <v/>
      </c>
      <c r="R584" s="45" t="str">
        <f t="shared" ref="R584:R647" si="251">IF(A584="","",IF(S584&gt;0,S584,IF(E584&gt;0,0,J584*IF($I$2&gt;0,IF($I$3&gt;0,MAX($I$2-SUM($S$8:$S$1007),0)/$I$3,0),$I$1))))</f>
        <v/>
      </c>
      <c r="S584" s="137"/>
      <c r="T584" s="79" t="str">
        <f t="shared" si="233"/>
        <v/>
      </c>
      <c r="U584" s="79" t="str">
        <f t="shared" ref="U584:U647" si="252">IF(OR(A584="",T584=""),"",T584*C584)</f>
        <v/>
      </c>
      <c r="V584" s="73" t="str">
        <f t="shared" ref="V584:V647" si="253">IF(OR(A584="",K584&lt;=0,U584=""),"",(K584-U584)/K584)</f>
        <v/>
      </c>
      <c r="W584" s="80" t="str">
        <f t="shared" ref="W584:W647" si="254">IF(OR(K584=0,U584=0,K584="",U584=""),"",K584-U584)</f>
        <v/>
      </c>
      <c r="X584" s="73" t="str">
        <f t="shared" ref="X584:X647" si="255">IF(OR(A584="",M584&lt;=0,U584=""),"",(M584-U584)/M584)</f>
        <v/>
      </c>
      <c r="Y584" s="80" t="str">
        <f t="shared" ref="Y584:Y647" si="256">IF(OR(M584=0,U584=0,M584="",U584=""),"",M584-U584)</f>
        <v/>
      </c>
      <c r="Z584" s="74" t="str">
        <f t="shared" ref="Z584:Z647" si="257">IF(OR(J584="",J584=0,$M$5="",$K$1=0),"",($M$5/$K$1)*J584)</f>
        <v/>
      </c>
      <c r="AA584" s="75" t="str">
        <f t="shared" si="234"/>
        <v/>
      </c>
      <c r="AB584" s="103" t="str">
        <f t="shared" ref="AB584:AB647" si="258">IF(OR(T584=0,T584="",D584=0,D584=""),"",T584*(D584+E584))</f>
        <v/>
      </c>
      <c r="AC584" s="104" t="str">
        <f t="shared" si="242"/>
        <v/>
      </c>
      <c r="AE584" s="139"/>
      <c r="AF584" s="110" t="str">
        <f t="shared" si="235"/>
        <v/>
      </c>
      <c r="AG584" s="111" t="str">
        <f t="shared" si="236"/>
        <v/>
      </c>
      <c r="AH584" s="111" t="str">
        <f t="shared" ref="AH584:AH647" si="259">IF(AG584="","",AG584*$AF$1+IF(SUM($AG$8:$AG$1007)=0,0,$AF$2*AG584/SUM($AG$8:$AG$1007)))</f>
        <v/>
      </c>
      <c r="AI584" s="111" t="str">
        <f t="shared" si="237"/>
        <v/>
      </c>
      <c r="AJ584" s="111" t="str">
        <f t="shared" si="238"/>
        <v/>
      </c>
      <c r="AK584" s="112" t="str">
        <f t="shared" si="239"/>
        <v/>
      </c>
      <c r="AL584" t="str">
        <f t="shared" si="240"/>
        <v/>
      </c>
      <c r="AM584" t="str">
        <f t="shared" si="241"/>
        <v/>
      </c>
    </row>
    <row r="585" spans="1:39" ht="15" customHeight="1" x14ac:dyDescent="0.25">
      <c r="A585" s="131"/>
      <c r="B585" s="133"/>
      <c r="C585" s="133"/>
      <c r="D585" s="42" t="str">
        <f t="shared" si="243"/>
        <v/>
      </c>
      <c r="E585" s="43"/>
      <c r="F585" s="135"/>
      <c r="G585" s="77" t="str">
        <f t="shared" si="244"/>
        <v/>
      </c>
      <c r="H585" s="32" t="str">
        <f t="shared" si="245"/>
        <v/>
      </c>
      <c r="I585" s="78" t="str">
        <f t="shared" si="246"/>
        <v/>
      </c>
      <c r="J585" s="70" t="str">
        <f t="shared" si="247"/>
        <v/>
      </c>
      <c r="K585" s="135"/>
      <c r="L585" s="72" t="str">
        <f t="shared" si="248"/>
        <v/>
      </c>
      <c r="M585" s="135"/>
      <c r="N585" s="72" t="str">
        <f t="shared" si="249"/>
        <v/>
      </c>
      <c r="O585" s="135"/>
      <c r="P585" s="136"/>
      <c r="Q585" s="123" t="str">
        <f t="shared" si="250"/>
        <v/>
      </c>
      <c r="R585" s="45" t="str">
        <f t="shared" si="251"/>
        <v/>
      </c>
      <c r="S585" s="137"/>
      <c r="T585" s="79" t="str">
        <f t="shared" ref="T585:T648" si="260">IF(A585="","",IF(OR(B585=0,B585="",C585&lt;=0,D585+E585&lt;=0),"",((F585+H585)*B585+(H585/C585)*E585-R585)/(D585+E585)-IF(Z585&gt;=0,Z585/D585,0)+IF(ISNUMBER(AA585),AA585/(D585+E585),0)))</f>
        <v/>
      </c>
      <c r="U585" s="79" t="str">
        <f t="shared" si="252"/>
        <v/>
      </c>
      <c r="V585" s="73" t="str">
        <f t="shared" si="253"/>
        <v/>
      </c>
      <c r="W585" s="80" t="str">
        <f t="shared" si="254"/>
        <v/>
      </c>
      <c r="X585" s="73" t="str">
        <f t="shared" si="255"/>
        <v/>
      </c>
      <c r="Y585" s="80" t="str">
        <f t="shared" si="256"/>
        <v/>
      </c>
      <c r="Z585" s="74" t="str">
        <f t="shared" si="257"/>
        <v/>
      </c>
      <c r="AA585" s="75" t="str">
        <f t="shared" ref="AA585:AA648" si="261">IF(OR(J585="",J585=0,($G$3-$I$4)=0),"",($K$3/($G$3-$I$4))*(J585-R585))</f>
        <v/>
      </c>
      <c r="AB585" s="103" t="str">
        <f t="shared" si="258"/>
        <v/>
      </c>
      <c r="AC585" s="104" t="str">
        <f t="shared" si="242"/>
        <v/>
      </c>
      <c r="AE585" s="139"/>
      <c r="AF585" s="110" t="str">
        <f t="shared" ref="AF585:AF648" si="262">IF(AE585="","",T585)</f>
        <v/>
      </c>
      <c r="AG585" s="111" t="str">
        <f t="shared" ref="AG585:AG648" si="263">IF(OR(AE585="",AF585=""),"",AE585*AF585)</f>
        <v/>
      </c>
      <c r="AH585" s="111" t="str">
        <f t="shared" si="259"/>
        <v/>
      </c>
      <c r="AI585" s="111" t="str">
        <f t="shared" ref="AI585:AI648" si="264">IF(AG585="","",AG585-AH585)</f>
        <v/>
      </c>
      <c r="AJ585" s="111" t="str">
        <f t="shared" ref="AJ585:AJ648" si="265">IF(AI585="","",AK585-AI585)</f>
        <v/>
      </c>
      <c r="AK585" s="112" t="str">
        <f t="shared" ref="AK585:AK648" si="266">IF(AI585="","",ROUND(AI585,0))</f>
        <v/>
      </c>
      <c r="AL585" t="str">
        <f t="shared" ref="AL585:AL648" si="267">IF(OR(AE585=0,AE585=""),"",AH585/AE585)</f>
        <v/>
      </c>
      <c r="AM585" t="str">
        <f t="shared" ref="AM585:AM648" si="268">IF(OR(AE585=0,AE585=""),"",AF585*C585)</f>
        <v/>
      </c>
    </row>
    <row r="586" spans="1:39" ht="15" customHeight="1" x14ac:dyDescent="0.25">
      <c r="A586" s="131"/>
      <c r="B586" s="133"/>
      <c r="C586" s="133"/>
      <c r="D586" s="42" t="str">
        <f t="shared" si="243"/>
        <v/>
      </c>
      <c r="E586" s="43"/>
      <c r="F586" s="135"/>
      <c r="G586" s="77" t="str">
        <f t="shared" si="244"/>
        <v/>
      </c>
      <c r="H586" s="32" t="str">
        <f t="shared" si="245"/>
        <v/>
      </c>
      <c r="I586" s="78" t="str">
        <f t="shared" si="246"/>
        <v/>
      </c>
      <c r="J586" s="70" t="str">
        <f t="shared" si="247"/>
        <v/>
      </c>
      <c r="K586" s="135"/>
      <c r="L586" s="72" t="str">
        <f t="shared" si="248"/>
        <v/>
      </c>
      <c r="M586" s="135"/>
      <c r="N586" s="72" t="str">
        <f t="shared" si="249"/>
        <v/>
      </c>
      <c r="O586" s="135"/>
      <c r="P586" s="136"/>
      <c r="Q586" s="123" t="str">
        <f t="shared" si="250"/>
        <v/>
      </c>
      <c r="R586" s="45" t="str">
        <f t="shared" si="251"/>
        <v/>
      </c>
      <c r="S586" s="137"/>
      <c r="T586" s="79" t="str">
        <f t="shared" si="260"/>
        <v/>
      </c>
      <c r="U586" s="79" t="str">
        <f t="shared" si="252"/>
        <v/>
      </c>
      <c r="V586" s="73" t="str">
        <f t="shared" si="253"/>
        <v/>
      </c>
      <c r="W586" s="80" t="str">
        <f t="shared" si="254"/>
        <v/>
      </c>
      <c r="X586" s="73" t="str">
        <f t="shared" si="255"/>
        <v/>
      </c>
      <c r="Y586" s="80" t="str">
        <f t="shared" si="256"/>
        <v/>
      </c>
      <c r="Z586" s="74" t="str">
        <f t="shared" si="257"/>
        <v/>
      </c>
      <c r="AA586" s="75" t="str">
        <f t="shared" si="261"/>
        <v/>
      </c>
      <c r="AB586" s="103" t="str">
        <f t="shared" si="258"/>
        <v/>
      </c>
      <c r="AC586" s="104" t="str">
        <f t="shared" ref="AC586:AC649" si="269">IF(OR(A586="",J586="",C586&lt;=0, B586=0),"",J586+H586*B586+(H586/C586)*E586)</f>
        <v/>
      </c>
      <c r="AE586" s="139"/>
      <c r="AF586" s="110" t="str">
        <f t="shared" si="262"/>
        <v/>
      </c>
      <c r="AG586" s="111" t="str">
        <f t="shared" si="263"/>
        <v/>
      </c>
      <c r="AH586" s="111" t="str">
        <f t="shared" si="259"/>
        <v/>
      </c>
      <c r="AI586" s="111" t="str">
        <f t="shared" si="264"/>
        <v/>
      </c>
      <c r="AJ586" s="111" t="str">
        <f t="shared" si="265"/>
        <v/>
      </c>
      <c r="AK586" s="112" t="str">
        <f t="shared" si="266"/>
        <v/>
      </c>
      <c r="AL586" t="str">
        <f t="shared" si="267"/>
        <v/>
      </c>
      <c r="AM586" t="str">
        <f t="shared" si="268"/>
        <v/>
      </c>
    </row>
    <row r="587" spans="1:39" ht="15" customHeight="1" x14ac:dyDescent="0.25">
      <c r="A587" s="131"/>
      <c r="B587" s="133"/>
      <c r="C587" s="133"/>
      <c r="D587" s="42" t="str">
        <f t="shared" si="243"/>
        <v/>
      </c>
      <c r="E587" s="43"/>
      <c r="F587" s="135"/>
      <c r="G587" s="77" t="str">
        <f t="shared" si="244"/>
        <v/>
      </c>
      <c r="H587" s="32" t="str">
        <f t="shared" si="245"/>
        <v/>
      </c>
      <c r="I587" s="78" t="str">
        <f t="shared" si="246"/>
        <v/>
      </c>
      <c r="J587" s="70" t="str">
        <f t="shared" si="247"/>
        <v/>
      </c>
      <c r="K587" s="135"/>
      <c r="L587" s="72" t="str">
        <f t="shared" si="248"/>
        <v/>
      </c>
      <c r="M587" s="135"/>
      <c r="N587" s="72" t="str">
        <f t="shared" si="249"/>
        <v/>
      </c>
      <c r="O587" s="135"/>
      <c r="P587" s="136"/>
      <c r="Q587" s="123" t="str">
        <f t="shared" si="250"/>
        <v/>
      </c>
      <c r="R587" s="45" t="str">
        <f t="shared" si="251"/>
        <v/>
      </c>
      <c r="S587" s="137"/>
      <c r="T587" s="79" t="str">
        <f t="shared" si="260"/>
        <v/>
      </c>
      <c r="U587" s="79" t="str">
        <f t="shared" si="252"/>
        <v/>
      </c>
      <c r="V587" s="73" t="str">
        <f t="shared" si="253"/>
        <v/>
      </c>
      <c r="W587" s="80" t="str">
        <f t="shared" si="254"/>
        <v/>
      </c>
      <c r="X587" s="73" t="str">
        <f t="shared" si="255"/>
        <v/>
      </c>
      <c r="Y587" s="80" t="str">
        <f t="shared" si="256"/>
        <v/>
      </c>
      <c r="Z587" s="74" t="str">
        <f t="shared" si="257"/>
        <v/>
      </c>
      <c r="AA587" s="75" t="str">
        <f t="shared" si="261"/>
        <v/>
      </c>
      <c r="AB587" s="103" t="str">
        <f t="shared" si="258"/>
        <v/>
      </c>
      <c r="AC587" s="104" t="str">
        <f t="shared" si="269"/>
        <v/>
      </c>
      <c r="AE587" s="139"/>
      <c r="AF587" s="110" t="str">
        <f t="shared" si="262"/>
        <v/>
      </c>
      <c r="AG587" s="111" t="str">
        <f t="shared" si="263"/>
        <v/>
      </c>
      <c r="AH587" s="111" t="str">
        <f t="shared" si="259"/>
        <v/>
      </c>
      <c r="AI587" s="111" t="str">
        <f t="shared" si="264"/>
        <v/>
      </c>
      <c r="AJ587" s="111" t="str">
        <f t="shared" si="265"/>
        <v/>
      </c>
      <c r="AK587" s="112" t="str">
        <f t="shared" si="266"/>
        <v/>
      </c>
      <c r="AL587" t="str">
        <f t="shared" si="267"/>
        <v/>
      </c>
      <c r="AM587" t="str">
        <f t="shared" si="268"/>
        <v/>
      </c>
    </row>
    <row r="588" spans="1:39" ht="15" customHeight="1" x14ac:dyDescent="0.25">
      <c r="A588" s="131"/>
      <c r="B588" s="133"/>
      <c r="C588" s="133"/>
      <c r="D588" s="42" t="str">
        <f t="shared" si="243"/>
        <v/>
      </c>
      <c r="E588" s="43"/>
      <c r="F588" s="135"/>
      <c r="G588" s="77" t="str">
        <f t="shared" si="244"/>
        <v/>
      </c>
      <c r="H588" s="32" t="str">
        <f t="shared" si="245"/>
        <v/>
      </c>
      <c r="I588" s="78" t="str">
        <f t="shared" si="246"/>
        <v/>
      </c>
      <c r="J588" s="70" t="str">
        <f t="shared" si="247"/>
        <v/>
      </c>
      <c r="K588" s="135"/>
      <c r="L588" s="72" t="str">
        <f t="shared" si="248"/>
        <v/>
      </c>
      <c r="M588" s="135"/>
      <c r="N588" s="72" t="str">
        <f t="shared" si="249"/>
        <v/>
      </c>
      <c r="O588" s="135"/>
      <c r="P588" s="136"/>
      <c r="Q588" s="123" t="str">
        <f t="shared" si="250"/>
        <v/>
      </c>
      <c r="R588" s="45" t="str">
        <f t="shared" si="251"/>
        <v/>
      </c>
      <c r="S588" s="137"/>
      <c r="T588" s="79" t="str">
        <f t="shared" si="260"/>
        <v/>
      </c>
      <c r="U588" s="79" t="str">
        <f t="shared" si="252"/>
        <v/>
      </c>
      <c r="V588" s="73" t="str">
        <f t="shared" si="253"/>
        <v/>
      </c>
      <c r="W588" s="80" t="str">
        <f t="shared" si="254"/>
        <v/>
      </c>
      <c r="X588" s="73" t="str">
        <f t="shared" si="255"/>
        <v/>
      </c>
      <c r="Y588" s="80" t="str">
        <f t="shared" si="256"/>
        <v/>
      </c>
      <c r="Z588" s="74" t="str">
        <f t="shared" si="257"/>
        <v/>
      </c>
      <c r="AA588" s="75" t="str">
        <f t="shared" si="261"/>
        <v/>
      </c>
      <c r="AB588" s="103" t="str">
        <f t="shared" si="258"/>
        <v/>
      </c>
      <c r="AC588" s="104" t="str">
        <f t="shared" si="269"/>
        <v/>
      </c>
      <c r="AE588" s="139"/>
      <c r="AF588" s="110" t="str">
        <f t="shared" si="262"/>
        <v/>
      </c>
      <c r="AG588" s="111" t="str">
        <f t="shared" si="263"/>
        <v/>
      </c>
      <c r="AH588" s="111" t="str">
        <f t="shared" si="259"/>
        <v/>
      </c>
      <c r="AI588" s="111" t="str">
        <f t="shared" si="264"/>
        <v/>
      </c>
      <c r="AJ588" s="111" t="str">
        <f t="shared" si="265"/>
        <v/>
      </c>
      <c r="AK588" s="112" t="str">
        <f t="shared" si="266"/>
        <v/>
      </c>
      <c r="AL588" t="str">
        <f t="shared" si="267"/>
        <v/>
      </c>
      <c r="AM588" t="str">
        <f t="shared" si="268"/>
        <v/>
      </c>
    </row>
    <row r="589" spans="1:39" ht="15" customHeight="1" x14ac:dyDescent="0.25">
      <c r="A589" s="131"/>
      <c r="B589" s="133"/>
      <c r="C589" s="133"/>
      <c r="D589" s="42" t="str">
        <f t="shared" si="243"/>
        <v/>
      </c>
      <c r="E589" s="43"/>
      <c r="F589" s="135"/>
      <c r="G589" s="77" t="str">
        <f t="shared" si="244"/>
        <v/>
      </c>
      <c r="H589" s="32" t="str">
        <f t="shared" si="245"/>
        <v/>
      </c>
      <c r="I589" s="78" t="str">
        <f t="shared" si="246"/>
        <v/>
      </c>
      <c r="J589" s="70" t="str">
        <f t="shared" si="247"/>
        <v/>
      </c>
      <c r="K589" s="135"/>
      <c r="L589" s="72" t="str">
        <f t="shared" si="248"/>
        <v/>
      </c>
      <c r="M589" s="135"/>
      <c r="N589" s="72" t="str">
        <f t="shared" si="249"/>
        <v/>
      </c>
      <c r="O589" s="135"/>
      <c r="P589" s="136"/>
      <c r="Q589" s="123" t="str">
        <f t="shared" si="250"/>
        <v/>
      </c>
      <c r="R589" s="45" t="str">
        <f t="shared" si="251"/>
        <v/>
      </c>
      <c r="S589" s="137"/>
      <c r="T589" s="79" t="str">
        <f t="shared" si="260"/>
        <v/>
      </c>
      <c r="U589" s="79" t="str">
        <f t="shared" si="252"/>
        <v/>
      </c>
      <c r="V589" s="73" t="str">
        <f t="shared" si="253"/>
        <v/>
      </c>
      <c r="W589" s="80" t="str">
        <f t="shared" si="254"/>
        <v/>
      </c>
      <c r="X589" s="73" t="str">
        <f t="shared" si="255"/>
        <v/>
      </c>
      <c r="Y589" s="80" t="str">
        <f t="shared" si="256"/>
        <v/>
      </c>
      <c r="Z589" s="74" t="str">
        <f t="shared" si="257"/>
        <v/>
      </c>
      <c r="AA589" s="75" t="str">
        <f t="shared" si="261"/>
        <v/>
      </c>
      <c r="AB589" s="103" t="str">
        <f t="shared" si="258"/>
        <v/>
      </c>
      <c r="AC589" s="104" t="str">
        <f t="shared" si="269"/>
        <v/>
      </c>
      <c r="AE589" s="139"/>
      <c r="AF589" s="110" t="str">
        <f t="shared" si="262"/>
        <v/>
      </c>
      <c r="AG589" s="111" t="str">
        <f t="shared" si="263"/>
        <v/>
      </c>
      <c r="AH589" s="111" t="str">
        <f t="shared" si="259"/>
        <v/>
      </c>
      <c r="AI589" s="111" t="str">
        <f t="shared" si="264"/>
        <v/>
      </c>
      <c r="AJ589" s="111" t="str">
        <f t="shared" si="265"/>
        <v/>
      </c>
      <c r="AK589" s="112" t="str">
        <f t="shared" si="266"/>
        <v/>
      </c>
      <c r="AL589" t="str">
        <f t="shared" si="267"/>
        <v/>
      </c>
      <c r="AM589" t="str">
        <f t="shared" si="268"/>
        <v/>
      </c>
    </row>
    <row r="590" spans="1:39" ht="15" customHeight="1" x14ac:dyDescent="0.25">
      <c r="A590" s="131"/>
      <c r="B590" s="133"/>
      <c r="C590" s="133"/>
      <c r="D590" s="42" t="str">
        <f t="shared" si="243"/>
        <v/>
      </c>
      <c r="E590" s="43"/>
      <c r="F590" s="135"/>
      <c r="G590" s="77" t="str">
        <f t="shared" si="244"/>
        <v/>
      </c>
      <c r="H590" s="32" t="str">
        <f t="shared" si="245"/>
        <v/>
      </c>
      <c r="I590" s="78" t="str">
        <f t="shared" si="246"/>
        <v/>
      </c>
      <c r="J590" s="70" t="str">
        <f t="shared" si="247"/>
        <v/>
      </c>
      <c r="K590" s="135"/>
      <c r="L590" s="72" t="str">
        <f t="shared" si="248"/>
        <v/>
      </c>
      <c r="M590" s="135"/>
      <c r="N590" s="72" t="str">
        <f t="shared" si="249"/>
        <v/>
      </c>
      <c r="O590" s="135"/>
      <c r="P590" s="136"/>
      <c r="Q590" s="123" t="str">
        <f t="shared" si="250"/>
        <v/>
      </c>
      <c r="R590" s="45" t="str">
        <f t="shared" si="251"/>
        <v/>
      </c>
      <c r="S590" s="137"/>
      <c r="T590" s="79" t="str">
        <f t="shared" si="260"/>
        <v/>
      </c>
      <c r="U590" s="79" t="str">
        <f t="shared" si="252"/>
        <v/>
      </c>
      <c r="V590" s="73" t="str">
        <f t="shared" si="253"/>
        <v/>
      </c>
      <c r="W590" s="80" t="str">
        <f t="shared" si="254"/>
        <v/>
      </c>
      <c r="X590" s="73" t="str">
        <f t="shared" si="255"/>
        <v/>
      </c>
      <c r="Y590" s="80" t="str">
        <f t="shared" si="256"/>
        <v/>
      </c>
      <c r="Z590" s="74" t="str">
        <f t="shared" si="257"/>
        <v/>
      </c>
      <c r="AA590" s="75" t="str">
        <f t="shared" si="261"/>
        <v/>
      </c>
      <c r="AB590" s="103" t="str">
        <f t="shared" si="258"/>
        <v/>
      </c>
      <c r="AC590" s="104" t="str">
        <f t="shared" si="269"/>
        <v/>
      </c>
      <c r="AE590" s="139"/>
      <c r="AF590" s="110" t="str">
        <f t="shared" si="262"/>
        <v/>
      </c>
      <c r="AG590" s="111" t="str">
        <f t="shared" si="263"/>
        <v/>
      </c>
      <c r="AH590" s="111" t="str">
        <f t="shared" si="259"/>
        <v/>
      </c>
      <c r="AI590" s="111" t="str">
        <f t="shared" si="264"/>
        <v/>
      </c>
      <c r="AJ590" s="111" t="str">
        <f t="shared" si="265"/>
        <v/>
      </c>
      <c r="AK590" s="112" t="str">
        <f t="shared" si="266"/>
        <v/>
      </c>
      <c r="AL590" t="str">
        <f t="shared" si="267"/>
        <v/>
      </c>
      <c r="AM590" t="str">
        <f t="shared" si="268"/>
        <v/>
      </c>
    </row>
    <row r="591" spans="1:39" ht="15" customHeight="1" x14ac:dyDescent="0.25">
      <c r="A591" s="131"/>
      <c r="B591" s="133"/>
      <c r="C591" s="133"/>
      <c r="D591" s="42" t="str">
        <f t="shared" si="243"/>
        <v/>
      </c>
      <c r="E591" s="43"/>
      <c r="F591" s="135"/>
      <c r="G591" s="77" t="str">
        <f t="shared" si="244"/>
        <v/>
      </c>
      <c r="H591" s="32" t="str">
        <f t="shared" si="245"/>
        <v/>
      </c>
      <c r="I591" s="78" t="str">
        <f t="shared" si="246"/>
        <v/>
      </c>
      <c r="J591" s="70" t="str">
        <f t="shared" si="247"/>
        <v/>
      </c>
      <c r="K591" s="135"/>
      <c r="L591" s="72" t="str">
        <f t="shared" si="248"/>
        <v/>
      </c>
      <c r="M591" s="135"/>
      <c r="N591" s="72" t="str">
        <f t="shared" si="249"/>
        <v/>
      </c>
      <c r="O591" s="135"/>
      <c r="P591" s="136"/>
      <c r="Q591" s="123" t="str">
        <f t="shared" si="250"/>
        <v/>
      </c>
      <c r="R591" s="45" t="str">
        <f t="shared" si="251"/>
        <v/>
      </c>
      <c r="S591" s="137"/>
      <c r="T591" s="79" t="str">
        <f t="shared" si="260"/>
        <v/>
      </c>
      <c r="U591" s="79" t="str">
        <f t="shared" si="252"/>
        <v/>
      </c>
      <c r="V591" s="73" t="str">
        <f t="shared" si="253"/>
        <v/>
      </c>
      <c r="W591" s="80" t="str">
        <f t="shared" si="254"/>
        <v/>
      </c>
      <c r="X591" s="73" t="str">
        <f t="shared" si="255"/>
        <v/>
      </c>
      <c r="Y591" s="80" t="str">
        <f t="shared" si="256"/>
        <v/>
      </c>
      <c r="Z591" s="74" t="str">
        <f t="shared" si="257"/>
        <v/>
      </c>
      <c r="AA591" s="75" t="str">
        <f t="shared" si="261"/>
        <v/>
      </c>
      <c r="AB591" s="103" t="str">
        <f t="shared" si="258"/>
        <v/>
      </c>
      <c r="AC591" s="104" t="str">
        <f t="shared" si="269"/>
        <v/>
      </c>
      <c r="AE591" s="139"/>
      <c r="AF591" s="110" t="str">
        <f t="shared" si="262"/>
        <v/>
      </c>
      <c r="AG591" s="111" t="str">
        <f t="shared" si="263"/>
        <v/>
      </c>
      <c r="AH591" s="111" t="str">
        <f t="shared" si="259"/>
        <v/>
      </c>
      <c r="AI591" s="111" t="str">
        <f t="shared" si="264"/>
        <v/>
      </c>
      <c r="AJ591" s="111" t="str">
        <f t="shared" si="265"/>
        <v/>
      </c>
      <c r="AK591" s="112" t="str">
        <f t="shared" si="266"/>
        <v/>
      </c>
      <c r="AL591" t="str">
        <f t="shared" si="267"/>
        <v/>
      </c>
      <c r="AM591" t="str">
        <f t="shared" si="268"/>
        <v/>
      </c>
    </row>
    <row r="592" spans="1:39" ht="15" customHeight="1" x14ac:dyDescent="0.25">
      <c r="A592" s="131"/>
      <c r="B592" s="133"/>
      <c r="C592" s="133"/>
      <c r="D592" s="42" t="str">
        <f t="shared" si="243"/>
        <v/>
      </c>
      <c r="E592" s="43"/>
      <c r="F592" s="135"/>
      <c r="G592" s="77" t="str">
        <f t="shared" si="244"/>
        <v/>
      </c>
      <c r="H592" s="32" t="str">
        <f t="shared" si="245"/>
        <v/>
      </c>
      <c r="I592" s="78" t="str">
        <f t="shared" si="246"/>
        <v/>
      </c>
      <c r="J592" s="70" t="str">
        <f t="shared" si="247"/>
        <v/>
      </c>
      <c r="K592" s="135"/>
      <c r="L592" s="72" t="str">
        <f t="shared" si="248"/>
        <v/>
      </c>
      <c r="M592" s="135"/>
      <c r="N592" s="72" t="str">
        <f t="shared" si="249"/>
        <v/>
      </c>
      <c r="O592" s="135"/>
      <c r="P592" s="136"/>
      <c r="Q592" s="123" t="str">
        <f t="shared" si="250"/>
        <v/>
      </c>
      <c r="R592" s="45" t="str">
        <f t="shared" si="251"/>
        <v/>
      </c>
      <c r="S592" s="137"/>
      <c r="T592" s="79" t="str">
        <f t="shared" si="260"/>
        <v/>
      </c>
      <c r="U592" s="79" t="str">
        <f t="shared" si="252"/>
        <v/>
      </c>
      <c r="V592" s="73" t="str">
        <f t="shared" si="253"/>
        <v/>
      </c>
      <c r="W592" s="80" t="str">
        <f t="shared" si="254"/>
        <v/>
      </c>
      <c r="X592" s="73" t="str">
        <f t="shared" si="255"/>
        <v/>
      </c>
      <c r="Y592" s="80" t="str">
        <f t="shared" si="256"/>
        <v/>
      </c>
      <c r="Z592" s="74" t="str">
        <f t="shared" si="257"/>
        <v/>
      </c>
      <c r="AA592" s="75" t="str">
        <f t="shared" si="261"/>
        <v/>
      </c>
      <c r="AB592" s="103" t="str">
        <f t="shared" si="258"/>
        <v/>
      </c>
      <c r="AC592" s="104" t="str">
        <f t="shared" si="269"/>
        <v/>
      </c>
      <c r="AE592" s="139"/>
      <c r="AF592" s="110" t="str">
        <f t="shared" si="262"/>
        <v/>
      </c>
      <c r="AG592" s="111" t="str">
        <f t="shared" si="263"/>
        <v/>
      </c>
      <c r="AH592" s="111" t="str">
        <f t="shared" si="259"/>
        <v/>
      </c>
      <c r="AI592" s="111" t="str">
        <f t="shared" si="264"/>
        <v/>
      </c>
      <c r="AJ592" s="111" t="str">
        <f t="shared" si="265"/>
        <v/>
      </c>
      <c r="AK592" s="112" t="str">
        <f t="shared" si="266"/>
        <v/>
      </c>
      <c r="AL592" t="str">
        <f t="shared" si="267"/>
        <v/>
      </c>
      <c r="AM592" t="str">
        <f t="shared" si="268"/>
        <v/>
      </c>
    </row>
    <row r="593" spans="1:39" ht="15" customHeight="1" x14ac:dyDescent="0.25">
      <c r="A593" s="131"/>
      <c r="B593" s="133"/>
      <c r="C593" s="133"/>
      <c r="D593" s="42" t="str">
        <f t="shared" si="243"/>
        <v/>
      </c>
      <c r="E593" s="43"/>
      <c r="F593" s="135"/>
      <c r="G593" s="77" t="str">
        <f t="shared" si="244"/>
        <v/>
      </c>
      <c r="H593" s="32" t="str">
        <f t="shared" si="245"/>
        <v/>
      </c>
      <c r="I593" s="78" t="str">
        <f t="shared" si="246"/>
        <v/>
      </c>
      <c r="J593" s="70" t="str">
        <f t="shared" si="247"/>
        <v/>
      </c>
      <c r="K593" s="135"/>
      <c r="L593" s="72" t="str">
        <f t="shared" si="248"/>
        <v/>
      </c>
      <c r="M593" s="135"/>
      <c r="N593" s="72" t="str">
        <f t="shared" si="249"/>
        <v/>
      </c>
      <c r="O593" s="135"/>
      <c r="P593" s="136"/>
      <c r="Q593" s="123" t="str">
        <f t="shared" si="250"/>
        <v/>
      </c>
      <c r="R593" s="45" t="str">
        <f t="shared" si="251"/>
        <v/>
      </c>
      <c r="S593" s="137"/>
      <c r="T593" s="79" t="str">
        <f t="shared" si="260"/>
        <v/>
      </c>
      <c r="U593" s="79" t="str">
        <f t="shared" si="252"/>
        <v/>
      </c>
      <c r="V593" s="73" t="str">
        <f t="shared" si="253"/>
        <v/>
      </c>
      <c r="W593" s="80" t="str">
        <f t="shared" si="254"/>
        <v/>
      </c>
      <c r="X593" s="73" t="str">
        <f t="shared" si="255"/>
        <v/>
      </c>
      <c r="Y593" s="80" t="str">
        <f t="shared" si="256"/>
        <v/>
      </c>
      <c r="Z593" s="74" t="str">
        <f t="shared" si="257"/>
        <v/>
      </c>
      <c r="AA593" s="75" t="str">
        <f t="shared" si="261"/>
        <v/>
      </c>
      <c r="AB593" s="103" t="str">
        <f t="shared" si="258"/>
        <v/>
      </c>
      <c r="AC593" s="104" t="str">
        <f t="shared" si="269"/>
        <v/>
      </c>
      <c r="AE593" s="139"/>
      <c r="AF593" s="110" t="str">
        <f t="shared" si="262"/>
        <v/>
      </c>
      <c r="AG593" s="111" t="str">
        <f t="shared" si="263"/>
        <v/>
      </c>
      <c r="AH593" s="111" t="str">
        <f t="shared" si="259"/>
        <v/>
      </c>
      <c r="AI593" s="111" t="str">
        <f t="shared" si="264"/>
        <v/>
      </c>
      <c r="AJ593" s="111" t="str">
        <f t="shared" si="265"/>
        <v/>
      </c>
      <c r="AK593" s="112" t="str">
        <f t="shared" si="266"/>
        <v/>
      </c>
      <c r="AL593" t="str">
        <f t="shared" si="267"/>
        <v/>
      </c>
      <c r="AM593" t="str">
        <f t="shared" si="268"/>
        <v/>
      </c>
    </row>
    <row r="594" spans="1:39" ht="15" customHeight="1" x14ac:dyDescent="0.25">
      <c r="A594" s="131"/>
      <c r="B594" s="133"/>
      <c r="C594" s="133"/>
      <c r="D594" s="42" t="str">
        <f t="shared" si="243"/>
        <v/>
      </c>
      <c r="E594" s="43"/>
      <c r="F594" s="135"/>
      <c r="G594" s="77" t="str">
        <f t="shared" si="244"/>
        <v/>
      </c>
      <c r="H594" s="32" t="str">
        <f t="shared" si="245"/>
        <v/>
      </c>
      <c r="I594" s="78" t="str">
        <f t="shared" si="246"/>
        <v/>
      </c>
      <c r="J594" s="70" t="str">
        <f t="shared" si="247"/>
        <v/>
      </c>
      <c r="K594" s="135"/>
      <c r="L594" s="72" t="str">
        <f t="shared" si="248"/>
        <v/>
      </c>
      <c r="M594" s="135"/>
      <c r="N594" s="72" t="str">
        <f t="shared" si="249"/>
        <v/>
      </c>
      <c r="O594" s="135"/>
      <c r="P594" s="136"/>
      <c r="Q594" s="123" t="str">
        <f t="shared" si="250"/>
        <v/>
      </c>
      <c r="R594" s="45" t="str">
        <f t="shared" si="251"/>
        <v/>
      </c>
      <c r="S594" s="137"/>
      <c r="T594" s="79" t="str">
        <f t="shared" si="260"/>
        <v/>
      </c>
      <c r="U594" s="79" t="str">
        <f t="shared" si="252"/>
        <v/>
      </c>
      <c r="V594" s="73" t="str">
        <f t="shared" si="253"/>
        <v/>
      </c>
      <c r="W594" s="80" t="str">
        <f t="shared" si="254"/>
        <v/>
      </c>
      <c r="X594" s="73" t="str">
        <f t="shared" si="255"/>
        <v/>
      </c>
      <c r="Y594" s="80" t="str">
        <f t="shared" si="256"/>
        <v/>
      </c>
      <c r="Z594" s="74" t="str">
        <f t="shared" si="257"/>
        <v/>
      </c>
      <c r="AA594" s="75" t="str">
        <f t="shared" si="261"/>
        <v/>
      </c>
      <c r="AB594" s="103" t="str">
        <f t="shared" si="258"/>
        <v/>
      </c>
      <c r="AC594" s="104" t="str">
        <f t="shared" si="269"/>
        <v/>
      </c>
      <c r="AE594" s="139"/>
      <c r="AF594" s="110" t="str">
        <f t="shared" si="262"/>
        <v/>
      </c>
      <c r="AG594" s="111" t="str">
        <f t="shared" si="263"/>
        <v/>
      </c>
      <c r="AH594" s="111" t="str">
        <f t="shared" si="259"/>
        <v/>
      </c>
      <c r="AI594" s="111" t="str">
        <f t="shared" si="264"/>
        <v/>
      </c>
      <c r="AJ594" s="111" t="str">
        <f t="shared" si="265"/>
        <v/>
      </c>
      <c r="AK594" s="112" t="str">
        <f t="shared" si="266"/>
        <v/>
      </c>
      <c r="AL594" t="str">
        <f t="shared" si="267"/>
        <v/>
      </c>
      <c r="AM594" t="str">
        <f t="shared" si="268"/>
        <v/>
      </c>
    </row>
    <row r="595" spans="1:39" ht="15" customHeight="1" x14ac:dyDescent="0.25">
      <c r="A595" s="131"/>
      <c r="B595" s="133"/>
      <c r="C595" s="133"/>
      <c r="D595" s="42" t="str">
        <f t="shared" si="243"/>
        <v/>
      </c>
      <c r="E595" s="43"/>
      <c r="F595" s="135"/>
      <c r="G595" s="77" t="str">
        <f t="shared" si="244"/>
        <v/>
      </c>
      <c r="H595" s="32" t="str">
        <f t="shared" si="245"/>
        <v/>
      </c>
      <c r="I595" s="78" t="str">
        <f t="shared" si="246"/>
        <v/>
      </c>
      <c r="J595" s="70" t="str">
        <f t="shared" si="247"/>
        <v/>
      </c>
      <c r="K595" s="135"/>
      <c r="L595" s="72" t="str">
        <f t="shared" si="248"/>
        <v/>
      </c>
      <c r="M595" s="135"/>
      <c r="N595" s="72" t="str">
        <f t="shared" si="249"/>
        <v/>
      </c>
      <c r="O595" s="135"/>
      <c r="P595" s="136"/>
      <c r="Q595" s="123" t="str">
        <f t="shared" si="250"/>
        <v/>
      </c>
      <c r="R595" s="45" t="str">
        <f t="shared" si="251"/>
        <v/>
      </c>
      <c r="S595" s="137"/>
      <c r="T595" s="79" t="str">
        <f t="shared" si="260"/>
        <v/>
      </c>
      <c r="U595" s="79" t="str">
        <f t="shared" si="252"/>
        <v/>
      </c>
      <c r="V595" s="73" t="str">
        <f t="shared" si="253"/>
        <v/>
      </c>
      <c r="W595" s="80" t="str">
        <f t="shared" si="254"/>
        <v/>
      </c>
      <c r="X595" s="73" t="str">
        <f t="shared" si="255"/>
        <v/>
      </c>
      <c r="Y595" s="80" t="str">
        <f t="shared" si="256"/>
        <v/>
      </c>
      <c r="Z595" s="74" t="str">
        <f t="shared" si="257"/>
        <v/>
      </c>
      <c r="AA595" s="75" t="str">
        <f t="shared" si="261"/>
        <v/>
      </c>
      <c r="AB595" s="103" t="str">
        <f t="shared" si="258"/>
        <v/>
      </c>
      <c r="AC595" s="104" t="str">
        <f t="shared" si="269"/>
        <v/>
      </c>
      <c r="AE595" s="139"/>
      <c r="AF595" s="110" t="str">
        <f t="shared" si="262"/>
        <v/>
      </c>
      <c r="AG595" s="111" t="str">
        <f t="shared" si="263"/>
        <v/>
      </c>
      <c r="AH595" s="111" t="str">
        <f t="shared" si="259"/>
        <v/>
      </c>
      <c r="AI595" s="111" t="str">
        <f t="shared" si="264"/>
        <v/>
      </c>
      <c r="AJ595" s="111" t="str">
        <f t="shared" si="265"/>
        <v/>
      </c>
      <c r="AK595" s="112" t="str">
        <f t="shared" si="266"/>
        <v/>
      </c>
      <c r="AL595" t="str">
        <f t="shared" si="267"/>
        <v/>
      </c>
      <c r="AM595" t="str">
        <f t="shared" si="268"/>
        <v/>
      </c>
    </row>
    <row r="596" spans="1:39" ht="15" customHeight="1" x14ac:dyDescent="0.25">
      <c r="A596" s="131"/>
      <c r="B596" s="133"/>
      <c r="C596" s="133"/>
      <c r="D596" s="42" t="str">
        <f t="shared" si="243"/>
        <v/>
      </c>
      <c r="E596" s="43"/>
      <c r="F596" s="135"/>
      <c r="G596" s="77" t="str">
        <f t="shared" si="244"/>
        <v/>
      </c>
      <c r="H596" s="32" t="str">
        <f t="shared" si="245"/>
        <v/>
      </c>
      <c r="I596" s="78" t="str">
        <f t="shared" si="246"/>
        <v/>
      </c>
      <c r="J596" s="70" t="str">
        <f t="shared" si="247"/>
        <v/>
      </c>
      <c r="K596" s="135"/>
      <c r="L596" s="72" t="str">
        <f t="shared" si="248"/>
        <v/>
      </c>
      <c r="M596" s="135"/>
      <c r="N596" s="72" t="str">
        <f t="shared" si="249"/>
        <v/>
      </c>
      <c r="O596" s="135"/>
      <c r="P596" s="136"/>
      <c r="Q596" s="123" t="str">
        <f t="shared" si="250"/>
        <v/>
      </c>
      <c r="R596" s="45" t="str">
        <f t="shared" si="251"/>
        <v/>
      </c>
      <c r="S596" s="137"/>
      <c r="T596" s="79" t="str">
        <f t="shared" si="260"/>
        <v/>
      </c>
      <c r="U596" s="79" t="str">
        <f t="shared" si="252"/>
        <v/>
      </c>
      <c r="V596" s="73" t="str">
        <f t="shared" si="253"/>
        <v/>
      </c>
      <c r="W596" s="80" t="str">
        <f t="shared" si="254"/>
        <v/>
      </c>
      <c r="X596" s="73" t="str">
        <f t="shared" si="255"/>
        <v/>
      </c>
      <c r="Y596" s="80" t="str">
        <f t="shared" si="256"/>
        <v/>
      </c>
      <c r="Z596" s="74" t="str">
        <f t="shared" si="257"/>
        <v/>
      </c>
      <c r="AA596" s="75" t="str">
        <f t="shared" si="261"/>
        <v/>
      </c>
      <c r="AB596" s="103" t="str">
        <f t="shared" si="258"/>
        <v/>
      </c>
      <c r="AC596" s="104" t="str">
        <f t="shared" si="269"/>
        <v/>
      </c>
      <c r="AE596" s="139"/>
      <c r="AF596" s="110" t="str">
        <f t="shared" si="262"/>
        <v/>
      </c>
      <c r="AG596" s="111" t="str">
        <f t="shared" si="263"/>
        <v/>
      </c>
      <c r="AH596" s="111" t="str">
        <f t="shared" si="259"/>
        <v/>
      </c>
      <c r="AI596" s="111" t="str">
        <f t="shared" si="264"/>
        <v/>
      </c>
      <c r="AJ596" s="111" t="str">
        <f t="shared" si="265"/>
        <v/>
      </c>
      <c r="AK596" s="112" t="str">
        <f t="shared" si="266"/>
        <v/>
      </c>
      <c r="AL596" t="str">
        <f t="shared" si="267"/>
        <v/>
      </c>
      <c r="AM596" t="str">
        <f t="shared" si="268"/>
        <v/>
      </c>
    </row>
    <row r="597" spans="1:39" ht="15" customHeight="1" x14ac:dyDescent="0.25">
      <c r="A597" s="131"/>
      <c r="B597" s="133"/>
      <c r="C597" s="133"/>
      <c r="D597" s="42" t="str">
        <f t="shared" si="243"/>
        <v/>
      </c>
      <c r="E597" s="43"/>
      <c r="F597" s="135"/>
      <c r="G597" s="77" t="str">
        <f t="shared" si="244"/>
        <v/>
      </c>
      <c r="H597" s="32" t="str">
        <f t="shared" si="245"/>
        <v/>
      </c>
      <c r="I597" s="78" t="str">
        <f t="shared" si="246"/>
        <v/>
      </c>
      <c r="J597" s="70" t="str">
        <f t="shared" si="247"/>
        <v/>
      </c>
      <c r="K597" s="135"/>
      <c r="L597" s="72" t="str">
        <f t="shared" si="248"/>
        <v/>
      </c>
      <c r="M597" s="135"/>
      <c r="N597" s="72" t="str">
        <f t="shared" si="249"/>
        <v/>
      </c>
      <c r="O597" s="135"/>
      <c r="P597" s="136"/>
      <c r="Q597" s="123" t="str">
        <f t="shared" si="250"/>
        <v/>
      </c>
      <c r="R597" s="45" t="str">
        <f t="shared" si="251"/>
        <v/>
      </c>
      <c r="S597" s="137"/>
      <c r="T597" s="79" t="str">
        <f t="shared" si="260"/>
        <v/>
      </c>
      <c r="U597" s="79" t="str">
        <f t="shared" si="252"/>
        <v/>
      </c>
      <c r="V597" s="73" t="str">
        <f t="shared" si="253"/>
        <v/>
      </c>
      <c r="W597" s="80" t="str">
        <f t="shared" si="254"/>
        <v/>
      </c>
      <c r="X597" s="73" t="str">
        <f t="shared" si="255"/>
        <v/>
      </c>
      <c r="Y597" s="80" t="str">
        <f t="shared" si="256"/>
        <v/>
      </c>
      <c r="Z597" s="74" t="str">
        <f t="shared" si="257"/>
        <v/>
      </c>
      <c r="AA597" s="75" t="str">
        <f t="shared" si="261"/>
        <v/>
      </c>
      <c r="AB597" s="103" t="str">
        <f t="shared" si="258"/>
        <v/>
      </c>
      <c r="AC597" s="104" t="str">
        <f t="shared" si="269"/>
        <v/>
      </c>
      <c r="AE597" s="139"/>
      <c r="AF597" s="110" t="str">
        <f t="shared" si="262"/>
        <v/>
      </c>
      <c r="AG597" s="111" t="str">
        <f t="shared" si="263"/>
        <v/>
      </c>
      <c r="AH597" s="111" t="str">
        <f t="shared" si="259"/>
        <v/>
      </c>
      <c r="AI597" s="111" t="str">
        <f t="shared" si="264"/>
        <v/>
      </c>
      <c r="AJ597" s="111" t="str">
        <f t="shared" si="265"/>
        <v/>
      </c>
      <c r="AK597" s="112" t="str">
        <f t="shared" si="266"/>
        <v/>
      </c>
      <c r="AL597" t="str">
        <f t="shared" si="267"/>
        <v/>
      </c>
      <c r="AM597" t="str">
        <f t="shared" si="268"/>
        <v/>
      </c>
    </row>
    <row r="598" spans="1:39" ht="15" customHeight="1" x14ac:dyDescent="0.25">
      <c r="A598" s="131"/>
      <c r="B598" s="133"/>
      <c r="C598" s="133"/>
      <c r="D598" s="42" t="str">
        <f t="shared" si="243"/>
        <v/>
      </c>
      <c r="E598" s="43"/>
      <c r="F598" s="135"/>
      <c r="G598" s="77" t="str">
        <f t="shared" si="244"/>
        <v/>
      </c>
      <c r="H598" s="32" t="str">
        <f t="shared" si="245"/>
        <v/>
      </c>
      <c r="I598" s="78" t="str">
        <f t="shared" si="246"/>
        <v/>
      </c>
      <c r="J598" s="70" t="str">
        <f t="shared" si="247"/>
        <v/>
      </c>
      <c r="K598" s="135"/>
      <c r="L598" s="72" t="str">
        <f t="shared" si="248"/>
        <v/>
      </c>
      <c r="M598" s="135"/>
      <c r="N598" s="72" t="str">
        <f t="shared" si="249"/>
        <v/>
      </c>
      <c r="O598" s="135"/>
      <c r="P598" s="136"/>
      <c r="Q598" s="123" t="str">
        <f t="shared" si="250"/>
        <v/>
      </c>
      <c r="R598" s="45" t="str">
        <f t="shared" si="251"/>
        <v/>
      </c>
      <c r="S598" s="137"/>
      <c r="T598" s="79" t="str">
        <f t="shared" si="260"/>
        <v/>
      </c>
      <c r="U598" s="79" t="str">
        <f t="shared" si="252"/>
        <v/>
      </c>
      <c r="V598" s="73" t="str">
        <f t="shared" si="253"/>
        <v/>
      </c>
      <c r="W598" s="80" t="str">
        <f t="shared" si="254"/>
        <v/>
      </c>
      <c r="X598" s="73" t="str">
        <f t="shared" si="255"/>
        <v/>
      </c>
      <c r="Y598" s="80" t="str">
        <f t="shared" si="256"/>
        <v/>
      </c>
      <c r="Z598" s="74" t="str">
        <f t="shared" si="257"/>
        <v/>
      </c>
      <c r="AA598" s="75" t="str">
        <f t="shared" si="261"/>
        <v/>
      </c>
      <c r="AB598" s="103" t="str">
        <f t="shared" si="258"/>
        <v/>
      </c>
      <c r="AC598" s="104" t="str">
        <f t="shared" si="269"/>
        <v/>
      </c>
      <c r="AE598" s="139"/>
      <c r="AF598" s="110" t="str">
        <f t="shared" si="262"/>
        <v/>
      </c>
      <c r="AG598" s="111" t="str">
        <f t="shared" si="263"/>
        <v/>
      </c>
      <c r="AH598" s="111" t="str">
        <f t="shared" si="259"/>
        <v/>
      </c>
      <c r="AI598" s="111" t="str">
        <f t="shared" si="264"/>
        <v/>
      </c>
      <c r="AJ598" s="111" t="str">
        <f t="shared" si="265"/>
        <v/>
      </c>
      <c r="AK598" s="112" t="str">
        <f t="shared" si="266"/>
        <v/>
      </c>
      <c r="AL598" t="str">
        <f t="shared" si="267"/>
        <v/>
      </c>
      <c r="AM598" t="str">
        <f t="shared" si="268"/>
        <v/>
      </c>
    </row>
    <row r="599" spans="1:39" ht="15" customHeight="1" x14ac:dyDescent="0.25">
      <c r="A599" s="131"/>
      <c r="B599" s="133"/>
      <c r="C599" s="133"/>
      <c r="D599" s="42" t="str">
        <f t="shared" si="243"/>
        <v/>
      </c>
      <c r="E599" s="43"/>
      <c r="F599" s="135"/>
      <c r="G599" s="77" t="str">
        <f t="shared" si="244"/>
        <v/>
      </c>
      <c r="H599" s="32" t="str">
        <f t="shared" si="245"/>
        <v/>
      </c>
      <c r="I599" s="78" t="str">
        <f t="shared" si="246"/>
        <v/>
      </c>
      <c r="J599" s="70" t="str">
        <f t="shared" si="247"/>
        <v/>
      </c>
      <c r="K599" s="135"/>
      <c r="L599" s="72" t="str">
        <f t="shared" si="248"/>
        <v/>
      </c>
      <c r="M599" s="135"/>
      <c r="N599" s="72" t="str">
        <f t="shared" si="249"/>
        <v/>
      </c>
      <c r="O599" s="135"/>
      <c r="P599" s="136"/>
      <c r="Q599" s="123" t="str">
        <f t="shared" si="250"/>
        <v/>
      </c>
      <c r="R599" s="45" t="str">
        <f t="shared" si="251"/>
        <v/>
      </c>
      <c r="S599" s="137"/>
      <c r="T599" s="79" t="str">
        <f t="shared" si="260"/>
        <v/>
      </c>
      <c r="U599" s="79" t="str">
        <f t="shared" si="252"/>
        <v/>
      </c>
      <c r="V599" s="73" t="str">
        <f t="shared" si="253"/>
        <v/>
      </c>
      <c r="W599" s="80" t="str">
        <f t="shared" si="254"/>
        <v/>
      </c>
      <c r="X599" s="73" t="str">
        <f t="shared" si="255"/>
        <v/>
      </c>
      <c r="Y599" s="80" t="str">
        <f t="shared" si="256"/>
        <v/>
      </c>
      <c r="Z599" s="74" t="str">
        <f t="shared" si="257"/>
        <v/>
      </c>
      <c r="AA599" s="75" t="str">
        <f t="shared" si="261"/>
        <v/>
      </c>
      <c r="AB599" s="103" t="str">
        <f t="shared" si="258"/>
        <v/>
      </c>
      <c r="AC599" s="104" t="str">
        <f t="shared" si="269"/>
        <v/>
      </c>
      <c r="AE599" s="139"/>
      <c r="AF599" s="110" t="str">
        <f t="shared" si="262"/>
        <v/>
      </c>
      <c r="AG599" s="111" t="str">
        <f t="shared" si="263"/>
        <v/>
      </c>
      <c r="AH599" s="111" t="str">
        <f t="shared" si="259"/>
        <v/>
      </c>
      <c r="AI599" s="111" t="str">
        <f t="shared" si="264"/>
        <v/>
      </c>
      <c r="AJ599" s="111" t="str">
        <f t="shared" si="265"/>
        <v/>
      </c>
      <c r="AK599" s="112" t="str">
        <f t="shared" si="266"/>
        <v/>
      </c>
      <c r="AL599" t="str">
        <f t="shared" si="267"/>
        <v/>
      </c>
      <c r="AM599" t="str">
        <f t="shared" si="268"/>
        <v/>
      </c>
    </row>
    <row r="600" spans="1:39" ht="15" customHeight="1" x14ac:dyDescent="0.25">
      <c r="A600" s="131"/>
      <c r="B600" s="133"/>
      <c r="C600" s="133"/>
      <c r="D600" s="42" t="str">
        <f t="shared" si="243"/>
        <v/>
      </c>
      <c r="E600" s="43"/>
      <c r="F600" s="135"/>
      <c r="G600" s="77" t="str">
        <f t="shared" si="244"/>
        <v/>
      </c>
      <c r="H600" s="32" t="str">
        <f t="shared" si="245"/>
        <v/>
      </c>
      <c r="I600" s="78" t="str">
        <f t="shared" si="246"/>
        <v/>
      </c>
      <c r="J600" s="70" t="str">
        <f t="shared" si="247"/>
        <v/>
      </c>
      <c r="K600" s="135"/>
      <c r="L600" s="72" t="str">
        <f t="shared" si="248"/>
        <v/>
      </c>
      <c r="M600" s="135"/>
      <c r="N600" s="72" t="str">
        <f t="shared" si="249"/>
        <v/>
      </c>
      <c r="O600" s="135"/>
      <c r="P600" s="136"/>
      <c r="Q600" s="123" t="str">
        <f t="shared" si="250"/>
        <v/>
      </c>
      <c r="R600" s="45" t="str">
        <f t="shared" si="251"/>
        <v/>
      </c>
      <c r="S600" s="137"/>
      <c r="T600" s="79" t="str">
        <f t="shared" si="260"/>
        <v/>
      </c>
      <c r="U600" s="79" t="str">
        <f t="shared" si="252"/>
        <v/>
      </c>
      <c r="V600" s="73" t="str">
        <f t="shared" si="253"/>
        <v/>
      </c>
      <c r="W600" s="80" t="str">
        <f t="shared" si="254"/>
        <v/>
      </c>
      <c r="X600" s="73" t="str">
        <f t="shared" si="255"/>
        <v/>
      </c>
      <c r="Y600" s="80" t="str">
        <f t="shared" si="256"/>
        <v/>
      </c>
      <c r="Z600" s="74" t="str">
        <f t="shared" si="257"/>
        <v/>
      </c>
      <c r="AA600" s="75" t="str">
        <f t="shared" si="261"/>
        <v/>
      </c>
      <c r="AB600" s="103" t="str">
        <f t="shared" si="258"/>
        <v/>
      </c>
      <c r="AC600" s="104" t="str">
        <f t="shared" si="269"/>
        <v/>
      </c>
      <c r="AE600" s="139"/>
      <c r="AF600" s="110" t="str">
        <f t="shared" si="262"/>
        <v/>
      </c>
      <c r="AG600" s="111" t="str">
        <f t="shared" si="263"/>
        <v/>
      </c>
      <c r="AH600" s="111" t="str">
        <f t="shared" si="259"/>
        <v/>
      </c>
      <c r="AI600" s="111" t="str">
        <f t="shared" si="264"/>
        <v/>
      </c>
      <c r="AJ600" s="111" t="str">
        <f t="shared" si="265"/>
        <v/>
      </c>
      <c r="AK600" s="112" t="str">
        <f t="shared" si="266"/>
        <v/>
      </c>
      <c r="AL600" t="str">
        <f t="shared" si="267"/>
        <v/>
      </c>
      <c r="AM600" t="str">
        <f t="shared" si="268"/>
        <v/>
      </c>
    </row>
    <row r="601" spans="1:39" ht="15" customHeight="1" x14ac:dyDescent="0.25">
      <c r="A601" s="131"/>
      <c r="B601" s="133"/>
      <c r="C601" s="133"/>
      <c r="D601" s="42" t="str">
        <f t="shared" si="243"/>
        <v/>
      </c>
      <c r="E601" s="43"/>
      <c r="F601" s="135"/>
      <c r="G601" s="77" t="str">
        <f t="shared" si="244"/>
        <v/>
      </c>
      <c r="H601" s="32" t="str">
        <f t="shared" si="245"/>
        <v/>
      </c>
      <c r="I601" s="78" t="str">
        <f t="shared" si="246"/>
        <v/>
      </c>
      <c r="J601" s="70" t="str">
        <f t="shared" si="247"/>
        <v/>
      </c>
      <c r="K601" s="135"/>
      <c r="L601" s="72" t="str">
        <f t="shared" si="248"/>
        <v/>
      </c>
      <c r="M601" s="135"/>
      <c r="N601" s="72" t="str">
        <f t="shared" si="249"/>
        <v/>
      </c>
      <c r="O601" s="135"/>
      <c r="P601" s="136"/>
      <c r="Q601" s="123" t="str">
        <f t="shared" si="250"/>
        <v/>
      </c>
      <c r="R601" s="45" t="str">
        <f t="shared" si="251"/>
        <v/>
      </c>
      <c r="S601" s="137"/>
      <c r="T601" s="79" t="str">
        <f t="shared" si="260"/>
        <v/>
      </c>
      <c r="U601" s="79" t="str">
        <f t="shared" si="252"/>
        <v/>
      </c>
      <c r="V601" s="73" t="str">
        <f t="shared" si="253"/>
        <v/>
      </c>
      <c r="W601" s="80" t="str">
        <f t="shared" si="254"/>
        <v/>
      </c>
      <c r="X601" s="73" t="str">
        <f t="shared" si="255"/>
        <v/>
      </c>
      <c r="Y601" s="80" t="str">
        <f t="shared" si="256"/>
        <v/>
      </c>
      <c r="Z601" s="74" t="str">
        <f t="shared" si="257"/>
        <v/>
      </c>
      <c r="AA601" s="75" t="str">
        <f t="shared" si="261"/>
        <v/>
      </c>
      <c r="AB601" s="103" t="str">
        <f t="shared" si="258"/>
        <v/>
      </c>
      <c r="AC601" s="104" t="str">
        <f t="shared" si="269"/>
        <v/>
      </c>
      <c r="AE601" s="139"/>
      <c r="AF601" s="110" t="str">
        <f t="shared" si="262"/>
        <v/>
      </c>
      <c r="AG601" s="111" t="str">
        <f t="shared" si="263"/>
        <v/>
      </c>
      <c r="AH601" s="111" t="str">
        <f t="shared" si="259"/>
        <v/>
      </c>
      <c r="AI601" s="111" t="str">
        <f t="shared" si="264"/>
        <v/>
      </c>
      <c r="AJ601" s="111" t="str">
        <f t="shared" si="265"/>
        <v/>
      </c>
      <c r="AK601" s="112" t="str">
        <f t="shared" si="266"/>
        <v/>
      </c>
      <c r="AL601" t="str">
        <f t="shared" si="267"/>
        <v/>
      </c>
      <c r="AM601" t="str">
        <f t="shared" si="268"/>
        <v/>
      </c>
    </row>
    <row r="602" spans="1:39" ht="15" customHeight="1" x14ac:dyDescent="0.25">
      <c r="A602" s="131"/>
      <c r="B602" s="133"/>
      <c r="C602" s="133"/>
      <c r="D602" s="42" t="str">
        <f t="shared" si="243"/>
        <v/>
      </c>
      <c r="E602" s="43"/>
      <c r="F602" s="135"/>
      <c r="G602" s="77" t="str">
        <f t="shared" si="244"/>
        <v/>
      </c>
      <c r="H602" s="32" t="str">
        <f t="shared" si="245"/>
        <v/>
      </c>
      <c r="I602" s="78" t="str">
        <f t="shared" si="246"/>
        <v/>
      </c>
      <c r="J602" s="70" t="str">
        <f t="shared" si="247"/>
        <v/>
      </c>
      <c r="K602" s="135"/>
      <c r="L602" s="72" t="str">
        <f t="shared" si="248"/>
        <v/>
      </c>
      <c r="M602" s="135"/>
      <c r="N602" s="72" t="str">
        <f t="shared" si="249"/>
        <v/>
      </c>
      <c r="O602" s="135"/>
      <c r="P602" s="136"/>
      <c r="Q602" s="123" t="str">
        <f t="shared" si="250"/>
        <v/>
      </c>
      <c r="R602" s="45" t="str">
        <f t="shared" si="251"/>
        <v/>
      </c>
      <c r="S602" s="137"/>
      <c r="T602" s="79" t="str">
        <f t="shared" si="260"/>
        <v/>
      </c>
      <c r="U602" s="79" t="str">
        <f t="shared" si="252"/>
        <v/>
      </c>
      <c r="V602" s="73" t="str">
        <f t="shared" si="253"/>
        <v/>
      </c>
      <c r="W602" s="80" t="str">
        <f t="shared" si="254"/>
        <v/>
      </c>
      <c r="X602" s="73" t="str">
        <f t="shared" si="255"/>
        <v/>
      </c>
      <c r="Y602" s="80" t="str">
        <f t="shared" si="256"/>
        <v/>
      </c>
      <c r="Z602" s="74" t="str">
        <f t="shared" si="257"/>
        <v/>
      </c>
      <c r="AA602" s="75" t="str">
        <f t="shared" si="261"/>
        <v/>
      </c>
      <c r="AB602" s="103" t="str">
        <f t="shared" si="258"/>
        <v/>
      </c>
      <c r="AC602" s="104" t="str">
        <f t="shared" si="269"/>
        <v/>
      </c>
      <c r="AE602" s="139"/>
      <c r="AF602" s="110" t="str">
        <f t="shared" si="262"/>
        <v/>
      </c>
      <c r="AG602" s="111" t="str">
        <f t="shared" si="263"/>
        <v/>
      </c>
      <c r="AH602" s="111" t="str">
        <f t="shared" si="259"/>
        <v/>
      </c>
      <c r="AI602" s="111" t="str">
        <f t="shared" si="264"/>
        <v/>
      </c>
      <c r="AJ602" s="111" t="str">
        <f t="shared" si="265"/>
        <v/>
      </c>
      <c r="AK602" s="112" t="str">
        <f t="shared" si="266"/>
        <v/>
      </c>
      <c r="AL602" t="str">
        <f t="shared" si="267"/>
        <v/>
      </c>
      <c r="AM602" t="str">
        <f t="shared" si="268"/>
        <v/>
      </c>
    </row>
    <row r="603" spans="1:39" ht="15" customHeight="1" x14ac:dyDescent="0.25">
      <c r="A603" s="131"/>
      <c r="B603" s="133"/>
      <c r="C603" s="133"/>
      <c r="D603" s="42" t="str">
        <f t="shared" si="243"/>
        <v/>
      </c>
      <c r="E603" s="43"/>
      <c r="F603" s="135"/>
      <c r="G603" s="77" t="str">
        <f t="shared" si="244"/>
        <v/>
      </c>
      <c r="H603" s="32" t="str">
        <f t="shared" si="245"/>
        <v/>
      </c>
      <c r="I603" s="78" t="str">
        <f t="shared" si="246"/>
        <v/>
      </c>
      <c r="J603" s="70" t="str">
        <f t="shared" si="247"/>
        <v/>
      </c>
      <c r="K603" s="135"/>
      <c r="L603" s="72" t="str">
        <f t="shared" si="248"/>
        <v/>
      </c>
      <c r="M603" s="135"/>
      <c r="N603" s="72" t="str">
        <f t="shared" si="249"/>
        <v/>
      </c>
      <c r="O603" s="135"/>
      <c r="P603" s="136"/>
      <c r="Q603" s="123" t="str">
        <f t="shared" si="250"/>
        <v/>
      </c>
      <c r="R603" s="45" t="str">
        <f t="shared" si="251"/>
        <v/>
      </c>
      <c r="S603" s="137"/>
      <c r="T603" s="79" t="str">
        <f t="shared" si="260"/>
        <v/>
      </c>
      <c r="U603" s="79" t="str">
        <f t="shared" si="252"/>
        <v/>
      </c>
      <c r="V603" s="73" t="str">
        <f t="shared" si="253"/>
        <v/>
      </c>
      <c r="W603" s="80" t="str">
        <f t="shared" si="254"/>
        <v/>
      </c>
      <c r="X603" s="73" t="str">
        <f t="shared" si="255"/>
        <v/>
      </c>
      <c r="Y603" s="80" t="str">
        <f t="shared" si="256"/>
        <v/>
      </c>
      <c r="Z603" s="74" t="str">
        <f t="shared" si="257"/>
        <v/>
      </c>
      <c r="AA603" s="75" t="str">
        <f t="shared" si="261"/>
        <v/>
      </c>
      <c r="AB603" s="103" t="str">
        <f t="shared" si="258"/>
        <v/>
      </c>
      <c r="AC603" s="104" t="str">
        <f t="shared" si="269"/>
        <v/>
      </c>
      <c r="AE603" s="139"/>
      <c r="AF603" s="110" t="str">
        <f t="shared" si="262"/>
        <v/>
      </c>
      <c r="AG603" s="111" t="str">
        <f t="shared" si="263"/>
        <v/>
      </c>
      <c r="AH603" s="111" t="str">
        <f t="shared" si="259"/>
        <v/>
      </c>
      <c r="AI603" s="111" t="str">
        <f t="shared" si="264"/>
        <v/>
      </c>
      <c r="AJ603" s="111" t="str">
        <f t="shared" si="265"/>
        <v/>
      </c>
      <c r="AK603" s="112" t="str">
        <f t="shared" si="266"/>
        <v/>
      </c>
      <c r="AL603" t="str">
        <f t="shared" si="267"/>
        <v/>
      </c>
      <c r="AM603" t="str">
        <f t="shared" si="268"/>
        <v/>
      </c>
    </row>
    <row r="604" spans="1:39" ht="15" customHeight="1" x14ac:dyDescent="0.25">
      <c r="A604" s="131"/>
      <c r="B604" s="133"/>
      <c r="C604" s="133"/>
      <c r="D604" s="42" t="str">
        <f t="shared" si="243"/>
        <v/>
      </c>
      <c r="E604" s="43"/>
      <c r="F604" s="135"/>
      <c r="G604" s="77" t="str">
        <f t="shared" si="244"/>
        <v/>
      </c>
      <c r="H604" s="32" t="str">
        <f t="shared" si="245"/>
        <v/>
      </c>
      <c r="I604" s="78" t="str">
        <f t="shared" si="246"/>
        <v/>
      </c>
      <c r="J604" s="70" t="str">
        <f t="shared" si="247"/>
        <v/>
      </c>
      <c r="K604" s="135"/>
      <c r="L604" s="72" t="str">
        <f t="shared" si="248"/>
        <v/>
      </c>
      <c r="M604" s="135"/>
      <c r="N604" s="72" t="str">
        <f t="shared" si="249"/>
        <v/>
      </c>
      <c r="O604" s="135"/>
      <c r="P604" s="136"/>
      <c r="Q604" s="123" t="str">
        <f t="shared" si="250"/>
        <v/>
      </c>
      <c r="R604" s="45" t="str">
        <f t="shared" si="251"/>
        <v/>
      </c>
      <c r="S604" s="137"/>
      <c r="T604" s="79" t="str">
        <f t="shared" si="260"/>
        <v/>
      </c>
      <c r="U604" s="79" t="str">
        <f t="shared" si="252"/>
        <v/>
      </c>
      <c r="V604" s="73" t="str">
        <f t="shared" si="253"/>
        <v/>
      </c>
      <c r="W604" s="80" t="str">
        <f t="shared" si="254"/>
        <v/>
      </c>
      <c r="X604" s="73" t="str">
        <f t="shared" si="255"/>
        <v/>
      </c>
      <c r="Y604" s="80" t="str">
        <f t="shared" si="256"/>
        <v/>
      </c>
      <c r="Z604" s="74" t="str">
        <f t="shared" si="257"/>
        <v/>
      </c>
      <c r="AA604" s="75" t="str">
        <f t="shared" si="261"/>
        <v/>
      </c>
      <c r="AB604" s="103" t="str">
        <f t="shared" si="258"/>
        <v/>
      </c>
      <c r="AC604" s="104" t="str">
        <f t="shared" si="269"/>
        <v/>
      </c>
      <c r="AE604" s="139"/>
      <c r="AF604" s="110" t="str">
        <f t="shared" si="262"/>
        <v/>
      </c>
      <c r="AG604" s="111" t="str">
        <f t="shared" si="263"/>
        <v/>
      </c>
      <c r="AH604" s="111" t="str">
        <f t="shared" si="259"/>
        <v/>
      </c>
      <c r="AI604" s="111" t="str">
        <f t="shared" si="264"/>
        <v/>
      </c>
      <c r="AJ604" s="111" t="str">
        <f t="shared" si="265"/>
        <v/>
      </c>
      <c r="AK604" s="112" t="str">
        <f t="shared" si="266"/>
        <v/>
      </c>
      <c r="AL604" t="str">
        <f t="shared" si="267"/>
        <v/>
      </c>
      <c r="AM604" t="str">
        <f t="shared" si="268"/>
        <v/>
      </c>
    </row>
    <row r="605" spans="1:39" ht="15" customHeight="1" x14ac:dyDescent="0.25">
      <c r="A605" s="131"/>
      <c r="B605" s="133"/>
      <c r="C605" s="133"/>
      <c r="D605" s="42" t="str">
        <f t="shared" si="243"/>
        <v/>
      </c>
      <c r="E605" s="43"/>
      <c r="F605" s="135"/>
      <c r="G605" s="77" t="str">
        <f t="shared" si="244"/>
        <v/>
      </c>
      <c r="H605" s="32" t="str">
        <f t="shared" si="245"/>
        <v/>
      </c>
      <c r="I605" s="78" t="str">
        <f t="shared" si="246"/>
        <v/>
      </c>
      <c r="J605" s="70" t="str">
        <f t="shared" si="247"/>
        <v/>
      </c>
      <c r="K605" s="135"/>
      <c r="L605" s="72" t="str">
        <f t="shared" si="248"/>
        <v/>
      </c>
      <c r="M605" s="135"/>
      <c r="N605" s="72" t="str">
        <f t="shared" si="249"/>
        <v/>
      </c>
      <c r="O605" s="135"/>
      <c r="P605" s="136"/>
      <c r="Q605" s="123" t="str">
        <f t="shared" si="250"/>
        <v/>
      </c>
      <c r="R605" s="45" t="str">
        <f t="shared" si="251"/>
        <v/>
      </c>
      <c r="S605" s="137"/>
      <c r="T605" s="79" t="str">
        <f t="shared" si="260"/>
        <v/>
      </c>
      <c r="U605" s="79" t="str">
        <f t="shared" si="252"/>
        <v/>
      </c>
      <c r="V605" s="73" t="str">
        <f t="shared" si="253"/>
        <v/>
      </c>
      <c r="W605" s="80" t="str">
        <f t="shared" si="254"/>
        <v/>
      </c>
      <c r="X605" s="73" t="str">
        <f t="shared" si="255"/>
        <v/>
      </c>
      <c r="Y605" s="80" t="str">
        <f t="shared" si="256"/>
        <v/>
      </c>
      <c r="Z605" s="74" t="str">
        <f t="shared" si="257"/>
        <v/>
      </c>
      <c r="AA605" s="75" t="str">
        <f t="shared" si="261"/>
        <v/>
      </c>
      <c r="AB605" s="103" t="str">
        <f t="shared" si="258"/>
        <v/>
      </c>
      <c r="AC605" s="104" t="str">
        <f t="shared" si="269"/>
        <v/>
      </c>
      <c r="AE605" s="139"/>
      <c r="AF605" s="110" t="str">
        <f t="shared" si="262"/>
        <v/>
      </c>
      <c r="AG605" s="111" t="str">
        <f t="shared" si="263"/>
        <v/>
      </c>
      <c r="AH605" s="111" t="str">
        <f t="shared" si="259"/>
        <v/>
      </c>
      <c r="AI605" s="111" t="str">
        <f t="shared" si="264"/>
        <v/>
      </c>
      <c r="AJ605" s="111" t="str">
        <f t="shared" si="265"/>
        <v/>
      </c>
      <c r="AK605" s="112" t="str">
        <f t="shared" si="266"/>
        <v/>
      </c>
      <c r="AL605" t="str">
        <f t="shared" si="267"/>
        <v/>
      </c>
      <c r="AM605" t="str">
        <f t="shared" si="268"/>
        <v/>
      </c>
    </row>
    <row r="606" spans="1:39" ht="15" customHeight="1" x14ac:dyDescent="0.25">
      <c r="A606" s="131"/>
      <c r="B606" s="133"/>
      <c r="C606" s="133"/>
      <c r="D606" s="42" t="str">
        <f t="shared" si="243"/>
        <v/>
      </c>
      <c r="E606" s="43"/>
      <c r="F606" s="135"/>
      <c r="G606" s="77" t="str">
        <f t="shared" si="244"/>
        <v/>
      </c>
      <c r="H606" s="32" t="str">
        <f t="shared" si="245"/>
        <v/>
      </c>
      <c r="I606" s="78" t="str">
        <f t="shared" si="246"/>
        <v/>
      </c>
      <c r="J606" s="70" t="str">
        <f t="shared" si="247"/>
        <v/>
      </c>
      <c r="K606" s="135"/>
      <c r="L606" s="72" t="str">
        <f t="shared" si="248"/>
        <v/>
      </c>
      <c r="M606" s="135"/>
      <c r="N606" s="72" t="str">
        <f t="shared" si="249"/>
        <v/>
      </c>
      <c r="O606" s="135"/>
      <c r="P606" s="136"/>
      <c r="Q606" s="123" t="str">
        <f t="shared" si="250"/>
        <v/>
      </c>
      <c r="R606" s="45" t="str">
        <f t="shared" si="251"/>
        <v/>
      </c>
      <c r="S606" s="137"/>
      <c r="T606" s="79" t="str">
        <f t="shared" si="260"/>
        <v/>
      </c>
      <c r="U606" s="79" t="str">
        <f t="shared" si="252"/>
        <v/>
      </c>
      <c r="V606" s="73" t="str">
        <f t="shared" si="253"/>
        <v/>
      </c>
      <c r="W606" s="80" t="str">
        <f t="shared" si="254"/>
        <v/>
      </c>
      <c r="X606" s="73" t="str">
        <f t="shared" si="255"/>
        <v/>
      </c>
      <c r="Y606" s="80" t="str">
        <f t="shared" si="256"/>
        <v/>
      </c>
      <c r="Z606" s="74" t="str">
        <f t="shared" si="257"/>
        <v/>
      </c>
      <c r="AA606" s="75" t="str">
        <f t="shared" si="261"/>
        <v/>
      </c>
      <c r="AB606" s="103" t="str">
        <f t="shared" si="258"/>
        <v/>
      </c>
      <c r="AC606" s="104" t="str">
        <f t="shared" si="269"/>
        <v/>
      </c>
      <c r="AE606" s="139"/>
      <c r="AF606" s="110" t="str">
        <f t="shared" si="262"/>
        <v/>
      </c>
      <c r="AG606" s="111" t="str">
        <f t="shared" si="263"/>
        <v/>
      </c>
      <c r="AH606" s="111" t="str">
        <f t="shared" si="259"/>
        <v/>
      </c>
      <c r="AI606" s="111" t="str">
        <f t="shared" si="264"/>
        <v/>
      </c>
      <c r="AJ606" s="111" t="str">
        <f t="shared" si="265"/>
        <v/>
      </c>
      <c r="AK606" s="112" t="str">
        <f t="shared" si="266"/>
        <v/>
      </c>
      <c r="AL606" t="str">
        <f t="shared" si="267"/>
        <v/>
      </c>
      <c r="AM606" t="str">
        <f t="shared" si="268"/>
        <v/>
      </c>
    </row>
    <row r="607" spans="1:39" ht="15" customHeight="1" x14ac:dyDescent="0.25">
      <c r="A607" s="131"/>
      <c r="B607" s="133"/>
      <c r="C607" s="133"/>
      <c r="D607" s="42" t="str">
        <f t="shared" si="243"/>
        <v/>
      </c>
      <c r="E607" s="43"/>
      <c r="F607" s="135"/>
      <c r="G607" s="77" t="str">
        <f t="shared" si="244"/>
        <v/>
      </c>
      <c r="H607" s="32" t="str">
        <f t="shared" si="245"/>
        <v/>
      </c>
      <c r="I607" s="78" t="str">
        <f t="shared" si="246"/>
        <v/>
      </c>
      <c r="J607" s="70" t="str">
        <f t="shared" si="247"/>
        <v/>
      </c>
      <c r="K607" s="135"/>
      <c r="L607" s="72" t="str">
        <f t="shared" si="248"/>
        <v/>
      </c>
      <c r="M607" s="135"/>
      <c r="N607" s="72" t="str">
        <f t="shared" si="249"/>
        <v/>
      </c>
      <c r="O607" s="135"/>
      <c r="P607" s="136"/>
      <c r="Q607" s="123" t="str">
        <f t="shared" si="250"/>
        <v/>
      </c>
      <c r="R607" s="45" t="str">
        <f t="shared" si="251"/>
        <v/>
      </c>
      <c r="S607" s="137"/>
      <c r="T607" s="79" t="str">
        <f t="shared" si="260"/>
        <v/>
      </c>
      <c r="U607" s="79" t="str">
        <f t="shared" si="252"/>
        <v/>
      </c>
      <c r="V607" s="73" t="str">
        <f t="shared" si="253"/>
        <v/>
      </c>
      <c r="W607" s="80" t="str">
        <f t="shared" si="254"/>
        <v/>
      </c>
      <c r="X607" s="73" t="str">
        <f t="shared" si="255"/>
        <v/>
      </c>
      <c r="Y607" s="80" t="str">
        <f t="shared" si="256"/>
        <v/>
      </c>
      <c r="Z607" s="74" t="str">
        <f t="shared" si="257"/>
        <v/>
      </c>
      <c r="AA607" s="75" t="str">
        <f t="shared" si="261"/>
        <v/>
      </c>
      <c r="AB607" s="103" t="str">
        <f t="shared" si="258"/>
        <v/>
      </c>
      <c r="AC607" s="104" t="str">
        <f t="shared" si="269"/>
        <v/>
      </c>
      <c r="AE607" s="139"/>
      <c r="AF607" s="110" t="str">
        <f t="shared" si="262"/>
        <v/>
      </c>
      <c r="AG607" s="111" t="str">
        <f t="shared" si="263"/>
        <v/>
      </c>
      <c r="AH607" s="111" t="str">
        <f t="shared" si="259"/>
        <v/>
      </c>
      <c r="AI607" s="111" t="str">
        <f t="shared" si="264"/>
        <v/>
      </c>
      <c r="AJ607" s="111" t="str">
        <f t="shared" si="265"/>
        <v/>
      </c>
      <c r="AK607" s="112" t="str">
        <f t="shared" si="266"/>
        <v/>
      </c>
      <c r="AL607" t="str">
        <f t="shared" si="267"/>
        <v/>
      </c>
      <c r="AM607" t="str">
        <f t="shared" si="268"/>
        <v/>
      </c>
    </row>
    <row r="608" spans="1:39" ht="15" customHeight="1" x14ac:dyDescent="0.25">
      <c r="A608" s="131"/>
      <c r="B608" s="133"/>
      <c r="C608" s="133"/>
      <c r="D608" s="42" t="str">
        <f t="shared" si="243"/>
        <v/>
      </c>
      <c r="E608" s="43"/>
      <c r="F608" s="135"/>
      <c r="G608" s="77" t="str">
        <f t="shared" si="244"/>
        <v/>
      </c>
      <c r="H608" s="32" t="str">
        <f t="shared" si="245"/>
        <v/>
      </c>
      <c r="I608" s="78" t="str">
        <f t="shared" si="246"/>
        <v/>
      </c>
      <c r="J608" s="70" t="str">
        <f t="shared" si="247"/>
        <v/>
      </c>
      <c r="K608" s="135"/>
      <c r="L608" s="72" t="str">
        <f t="shared" si="248"/>
        <v/>
      </c>
      <c r="M608" s="135"/>
      <c r="N608" s="72" t="str">
        <f t="shared" si="249"/>
        <v/>
      </c>
      <c r="O608" s="135"/>
      <c r="P608" s="136"/>
      <c r="Q608" s="123" t="str">
        <f t="shared" si="250"/>
        <v/>
      </c>
      <c r="R608" s="45" t="str">
        <f t="shared" si="251"/>
        <v/>
      </c>
      <c r="S608" s="137"/>
      <c r="T608" s="79" t="str">
        <f t="shared" si="260"/>
        <v/>
      </c>
      <c r="U608" s="79" t="str">
        <f t="shared" si="252"/>
        <v/>
      </c>
      <c r="V608" s="73" t="str">
        <f t="shared" si="253"/>
        <v/>
      </c>
      <c r="W608" s="80" t="str">
        <f t="shared" si="254"/>
        <v/>
      </c>
      <c r="X608" s="73" t="str">
        <f t="shared" si="255"/>
        <v/>
      </c>
      <c r="Y608" s="80" t="str">
        <f t="shared" si="256"/>
        <v/>
      </c>
      <c r="Z608" s="74" t="str">
        <f t="shared" si="257"/>
        <v/>
      </c>
      <c r="AA608" s="75" t="str">
        <f t="shared" si="261"/>
        <v/>
      </c>
      <c r="AB608" s="103" t="str">
        <f t="shared" si="258"/>
        <v/>
      </c>
      <c r="AC608" s="104" t="str">
        <f t="shared" si="269"/>
        <v/>
      </c>
      <c r="AE608" s="139"/>
      <c r="AF608" s="110" t="str">
        <f t="shared" si="262"/>
        <v/>
      </c>
      <c r="AG608" s="111" t="str">
        <f t="shared" si="263"/>
        <v/>
      </c>
      <c r="AH608" s="111" t="str">
        <f t="shared" si="259"/>
        <v/>
      </c>
      <c r="AI608" s="111" t="str">
        <f t="shared" si="264"/>
        <v/>
      </c>
      <c r="AJ608" s="111" t="str">
        <f t="shared" si="265"/>
        <v/>
      </c>
      <c r="AK608" s="112" t="str">
        <f t="shared" si="266"/>
        <v/>
      </c>
      <c r="AL608" t="str">
        <f t="shared" si="267"/>
        <v/>
      </c>
      <c r="AM608" t="str">
        <f t="shared" si="268"/>
        <v/>
      </c>
    </row>
    <row r="609" spans="1:39" ht="15" customHeight="1" x14ac:dyDescent="0.25">
      <c r="A609" s="131"/>
      <c r="B609" s="133"/>
      <c r="C609" s="133"/>
      <c r="D609" s="42" t="str">
        <f t="shared" si="243"/>
        <v/>
      </c>
      <c r="E609" s="43"/>
      <c r="F609" s="135"/>
      <c r="G609" s="77" t="str">
        <f t="shared" si="244"/>
        <v/>
      </c>
      <c r="H609" s="32" t="str">
        <f t="shared" si="245"/>
        <v/>
      </c>
      <c r="I609" s="78" t="str">
        <f t="shared" si="246"/>
        <v/>
      </c>
      <c r="J609" s="70" t="str">
        <f t="shared" si="247"/>
        <v/>
      </c>
      <c r="K609" s="135"/>
      <c r="L609" s="72" t="str">
        <f t="shared" si="248"/>
        <v/>
      </c>
      <c r="M609" s="135"/>
      <c r="N609" s="72" t="str">
        <f t="shared" si="249"/>
        <v/>
      </c>
      <c r="O609" s="135"/>
      <c r="P609" s="136"/>
      <c r="Q609" s="123" t="str">
        <f t="shared" si="250"/>
        <v/>
      </c>
      <c r="R609" s="45" t="str">
        <f t="shared" si="251"/>
        <v/>
      </c>
      <c r="S609" s="137"/>
      <c r="T609" s="79" t="str">
        <f t="shared" si="260"/>
        <v/>
      </c>
      <c r="U609" s="79" t="str">
        <f t="shared" si="252"/>
        <v/>
      </c>
      <c r="V609" s="73" t="str">
        <f t="shared" si="253"/>
        <v/>
      </c>
      <c r="W609" s="80" t="str">
        <f t="shared" si="254"/>
        <v/>
      </c>
      <c r="X609" s="73" t="str">
        <f t="shared" si="255"/>
        <v/>
      </c>
      <c r="Y609" s="80" t="str">
        <f t="shared" si="256"/>
        <v/>
      </c>
      <c r="Z609" s="74" t="str">
        <f t="shared" si="257"/>
        <v/>
      </c>
      <c r="AA609" s="75" t="str">
        <f t="shared" si="261"/>
        <v/>
      </c>
      <c r="AB609" s="103" t="str">
        <f t="shared" si="258"/>
        <v/>
      </c>
      <c r="AC609" s="104" t="str">
        <f t="shared" si="269"/>
        <v/>
      </c>
      <c r="AE609" s="139"/>
      <c r="AF609" s="110" t="str">
        <f t="shared" si="262"/>
        <v/>
      </c>
      <c r="AG609" s="111" t="str">
        <f t="shared" si="263"/>
        <v/>
      </c>
      <c r="AH609" s="111" t="str">
        <f t="shared" si="259"/>
        <v/>
      </c>
      <c r="AI609" s="111" t="str">
        <f t="shared" si="264"/>
        <v/>
      </c>
      <c r="AJ609" s="111" t="str">
        <f t="shared" si="265"/>
        <v/>
      </c>
      <c r="AK609" s="112" t="str">
        <f t="shared" si="266"/>
        <v/>
      </c>
      <c r="AL609" t="str">
        <f t="shared" si="267"/>
        <v/>
      </c>
      <c r="AM609" t="str">
        <f t="shared" si="268"/>
        <v/>
      </c>
    </row>
    <row r="610" spans="1:39" ht="15" customHeight="1" x14ac:dyDescent="0.25">
      <c r="A610" s="131"/>
      <c r="B610" s="133"/>
      <c r="C610" s="133"/>
      <c r="D610" s="42" t="str">
        <f t="shared" si="243"/>
        <v/>
      </c>
      <c r="E610" s="43"/>
      <c r="F610" s="135"/>
      <c r="G610" s="77" t="str">
        <f t="shared" si="244"/>
        <v/>
      </c>
      <c r="H610" s="32" t="str">
        <f t="shared" si="245"/>
        <v/>
      </c>
      <c r="I610" s="78" t="str">
        <f t="shared" si="246"/>
        <v/>
      </c>
      <c r="J610" s="70" t="str">
        <f t="shared" si="247"/>
        <v/>
      </c>
      <c r="K610" s="135"/>
      <c r="L610" s="72" t="str">
        <f t="shared" si="248"/>
        <v/>
      </c>
      <c r="M610" s="135"/>
      <c r="N610" s="72" t="str">
        <f t="shared" si="249"/>
        <v/>
      </c>
      <c r="O610" s="135"/>
      <c r="P610" s="136"/>
      <c r="Q610" s="123" t="str">
        <f t="shared" si="250"/>
        <v/>
      </c>
      <c r="R610" s="45" t="str">
        <f t="shared" si="251"/>
        <v/>
      </c>
      <c r="S610" s="137"/>
      <c r="T610" s="79" t="str">
        <f t="shared" si="260"/>
        <v/>
      </c>
      <c r="U610" s="79" t="str">
        <f t="shared" si="252"/>
        <v/>
      </c>
      <c r="V610" s="73" t="str">
        <f t="shared" si="253"/>
        <v/>
      </c>
      <c r="W610" s="80" t="str">
        <f t="shared" si="254"/>
        <v/>
      </c>
      <c r="X610" s="73" t="str">
        <f t="shared" si="255"/>
        <v/>
      </c>
      <c r="Y610" s="80" t="str">
        <f t="shared" si="256"/>
        <v/>
      </c>
      <c r="Z610" s="74" t="str">
        <f t="shared" si="257"/>
        <v/>
      </c>
      <c r="AA610" s="75" t="str">
        <f t="shared" si="261"/>
        <v/>
      </c>
      <c r="AB610" s="103" t="str">
        <f t="shared" si="258"/>
        <v/>
      </c>
      <c r="AC610" s="104" t="str">
        <f t="shared" si="269"/>
        <v/>
      </c>
      <c r="AE610" s="139"/>
      <c r="AF610" s="110" t="str">
        <f t="shared" si="262"/>
        <v/>
      </c>
      <c r="AG610" s="111" t="str">
        <f t="shared" si="263"/>
        <v/>
      </c>
      <c r="AH610" s="111" t="str">
        <f t="shared" si="259"/>
        <v/>
      </c>
      <c r="AI610" s="111" t="str">
        <f t="shared" si="264"/>
        <v/>
      </c>
      <c r="AJ610" s="111" t="str">
        <f t="shared" si="265"/>
        <v/>
      </c>
      <c r="AK610" s="112" t="str">
        <f t="shared" si="266"/>
        <v/>
      </c>
      <c r="AL610" t="str">
        <f t="shared" si="267"/>
        <v/>
      </c>
      <c r="AM610" t="str">
        <f t="shared" si="268"/>
        <v/>
      </c>
    </row>
    <row r="611" spans="1:39" ht="15" customHeight="1" x14ac:dyDescent="0.25">
      <c r="A611" s="131"/>
      <c r="B611" s="133"/>
      <c r="C611" s="133"/>
      <c r="D611" s="42" t="str">
        <f t="shared" si="243"/>
        <v/>
      </c>
      <c r="E611" s="43"/>
      <c r="F611" s="135"/>
      <c r="G611" s="77" t="str">
        <f t="shared" si="244"/>
        <v/>
      </c>
      <c r="H611" s="32" t="str">
        <f t="shared" si="245"/>
        <v/>
      </c>
      <c r="I611" s="78" t="str">
        <f t="shared" si="246"/>
        <v/>
      </c>
      <c r="J611" s="70" t="str">
        <f t="shared" si="247"/>
        <v/>
      </c>
      <c r="K611" s="135"/>
      <c r="L611" s="72" t="str">
        <f t="shared" si="248"/>
        <v/>
      </c>
      <c r="M611" s="135"/>
      <c r="N611" s="72" t="str">
        <f t="shared" si="249"/>
        <v/>
      </c>
      <c r="O611" s="135"/>
      <c r="P611" s="136"/>
      <c r="Q611" s="123" t="str">
        <f t="shared" si="250"/>
        <v/>
      </c>
      <c r="R611" s="45" t="str">
        <f t="shared" si="251"/>
        <v/>
      </c>
      <c r="S611" s="137"/>
      <c r="T611" s="79" t="str">
        <f t="shared" si="260"/>
        <v/>
      </c>
      <c r="U611" s="79" t="str">
        <f t="shared" si="252"/>
        <v/>
      </c>
      <c r="V611" s="73" t="str">
        <f t="shared" si="253"/>
        <v/>
      </c>
      <c r="W611" s="80" t="str">
        <f t="shared" si="254"/>
        <v/>
      </c>
      <c r="X611" s="73" t="str">
        <f t="shared" si="255"/>
        <v/>
      </c>
      <c r="Y611" s="80" t="str">
        <f t="shared" si="256"/>
        <v/>
      </c>
      <c r="Z611" s="74" t="str">
        <f t="shared" si="257"/>
        <v/>
      </c>
      <c r="AA611" s="75" t="str">
        <f t="shared" si="261"/>
        <v/>
      </c>
      <c r="AB611" s="103" t="str">
        <f t="shared" si="258"/>
        <v/>
      </c>
      <c r="AC611" s="104" t="str">
        <f t="shared" si="269"/>
        <v/>
      </c>
      <c r="AE611" s="139"/>
      <c r="AF611" s="110" t="str">
        <f t="shared" si="262"/>
        <v/>
      </c>
      <c r="AG611" s="111" t="str">
        <f t="shared" si="263"/>
        <v/>
      </c>
      <c r="AH611" s="111" t="str">
        <f t="shared" si="259"/>
        <v/>
      </c>
      <c r="AI611" s="111" t="str">
        <f t="shared" si="264"/>
        <v/>
      </c>
      <c r="AJ611" s="111" t="str">
        <f t="shared" si="265"/>
        <v/>
      </c>
      <c r="AK611" s="112" t="str">
        <f t="shared" si="266"/>
        <v/>
      </c>
      <c r="AL611" t="str">
        <f t="shared" si="267"/>
        <v/>
      </c>
      <c r="AM611" t="str">
        <f t="shared" si="268"/>
        <v/>
      </c>
    </row>
    <row r="612" spans="1:39" ht="15" customHeight="1" x14ac:dyDescent="0.25">
      <c r="A612" s="131"/>
      <c r="B612" s="133"/>
      <c r="C612" s="133"/>
      <c r="D612" s="42" t="str">
        <f t="shared" si="243"/>
        <v/>
      </c>
      <c r="E612" s="43"/>
      <c r="F612" s="135"/>
      <c r="G612" s="77" t="str">
        <f t="shared" si="244"/>
        <v/>
      </c>
      <c r="H612" s="32" t="str">
        <f t="shared" si="245"/>
        <v/>
      </c>
      <c r="I612" s="78" t="str">
        <f t="shared" si="246"/>
        <v/>
      </c>
      <c r="J612" s="70" t="str">
        <f t="shared" si="247"/>
        <v/>
      </c>
      <c r="K612" s="135"/>
      <c r="L612" s="72" t="str">
        <f t="shared" si="248"/>
        <v/>
      </c>
      <c r="M612" s="135"/>
      <c r="N612" s="72" t="str">
        <f t="shared" si="249"/>
        <v/>
      </c>
      <c r="O612" s="135"/>
      <c r="P612" s="136"/>
      <c r="Q612" s="123" t="str">
        <f t="shared" si="250"/>
        <v/>
      </c>
      <c r="R612" s="45" t="str">
        <f t="shared" si="251"/>
        <v/>
      </c>
      <c r="S612" s="137"/>
      <c r="T612" s="79" t="str">
        <f t="shared" si="260"/>
        <v/>
      </c>
      <c r="U612" s="79" t="str">
        <f t="shared" si="252"/>
        <v/>
      </c>
      <c r="V612" s="73" t="str">
        <f t="shared" si="253"/>
        <v/>
      </c>
      <c r="W612" s="80" t="str">
        <f t="shared" si="254"/>
        <v/>
      </c>
      <c r="X612" s="73" t="str">
        <f t="shared" si="255"/>
        <v/>
      </c>
      <c r="Y612" s="80" t="str">
        <f t="shared" si="256"/>
        <v/>
      </c>
      <c r="Z612" s="74" t="str">
        <f t="shared" si="257"/>
        <v/>
      </c>
      <c r="AA612" s="75" t="str">
        <f t="shared" si="261"/>
        <v/>
      </c>
      <c r="AB612" s="103" t="str">
        <f t="shared" si="258"/>
        <v/>
      </c>
      <c r="AC612" s="104" t="str">
        <f t="shared" si="269"/>
        <v/>
      </c>
      <c r="AE612" s="139"/>
      <c r="AF612" s="110" t="str">
        <f t="shared" si="262"/>
        <v/>
      </c>
      <c r="AG612" s="111" t="str">
        <f t="shared" si="263"/>
        <v/>
      </c>
      <c r="AH612" s="111" t="str">
        <f t="shared" si="259"/>
        <v/>
      </c>
      <c r="AI612" s="111" t="str">
        <f t="shared" si="264"/>
        <v/>
      </c>
      <c r="AJ612" s="111" t="str">
        <f t="shared" si="265"/>
        <v/>
      </c>
      <c r="AK612" s="112" t="str">
        <f t="shared" si="266"/>
        <v/>
      </c>
      <c r="AL612" t="str">
        <f t="shared" si="267"/>
        <v/>
      </c>
      <c r="AM612" t="str">
        <f t="shared" si="268"/>
        <v/>
      </c>
    </row>
    <row r="613" spans="1:39" ht="15" customHeight="1" x14ac:dyDescent="0.25">
      <c r="A613" s="131"/>
      <c r="B613" s="133"/>
      <c r="C613" s="133"/>
      <c r="D613" s="42" t="str">
        <f t="shared" si="243"/>
        <v/>
      </c>
      <c r="E613" s="43"/>
      <c r="F613" s="135"/>
      <c r="G613" s="77" t="str">
        <f t="shared" si="244"/>
        <v/>
      </c>
      <c r="H613" s="32" t="str">
        <f t="shared" si="245"/>
        <v/>
      </c>
      <c r="I613" s="78" t="str">
        <f t="shared" si="246"/>
        <v/>
      </c>
      <c r="J613" s="70" t="str">
        <f t="shared" si="247"/>
        <v/>
      </c>
      <c r="K613" s="135"/>
      <c r="L613" s="72" t="str">
        <f t="shared" si="248"/>
        <v/>
      </c>
      <c r="M613" s="135"/>
      <c r="N613" s="72" t="str">
        <f t="shared" si="249"/>
        <v/>
      </c>
      <c r="O613" s="135"/>
      <c r="P613" s="136"/>
      <c r="Q613" s="123" t="str">
        <f t="shared" si="250"/>
        <v/>
      </c>
      <c r="R613" s="45" t="str">
        <f t="shared" si="251"/>
        <v/>
      </c>
      <c r="S613" s="137"/>
      <c r="T613" s="79" t="str">
        <f t="shared" si="260"/>
        <v/>
      </c>
      <c r="U613" s="79" t="str">
        <f t="shared" si="252"/>
        <v/>
      </c>
      <c r="V613" s="73" t="str">
        <f t="shared" si="253"/>
        <v/>
      </c>
      <c r="W613" s="80" t="str">
        <f t="shared" si="254"/>
        <v/>
      </c>
      <c r="X613" s="73" t="str">
        <f t="shared" si="255"/>
        <v/>
      </c>
      <c r="Y613" s="80" t="str">
        <f t="shared" si="256"/>
        <v/>
      </c>
      <c r="Z613" s="74" t="str">
        <f t="shared" si="257"/>
        <v/>
      </c>
      <c r="AA613" s="75" t="str">
        <f t="shared" si="261"/>
        <v/>
      </c>
      <c r="AB613" s="103" t="str">
        <f t="shared" si="258"/>
        <v/>
      </c>
      <c r="AC613" s="104" t="str">
        <f t="shared" si="269"/>
        <v/>
      </c>
      <c r="AE613" s="139"/>
      <c r="AF613" s="110" t="str">
        <f t="shared" si="262"/>
        <v/>
      </c>
      <c r="AG613" s="111" t="str">
        <f t="shared" si="263"/>
        <v/>
      </c>
      <c r="AH613" s="111" t="str">
        <f t="shared" si="259"/>
        <v/>
      </c>
      <c r="AI613" s="111" t="str">
        <f t="shared" si="264"/>
        <v/>
      </c>
      <c r="AJ613" s="111" t="str">
        <f t="shared" si="265"/>
        <v/>
      </c>
      <c r="AK613" s="112" t="str">
        <f t="shared" si="266"/>
        <v/>
      </c>
      <c r="AL613" t="str">
        <f t="shared" si="267"/>
        <v/>
      </c>
      <c r="AM613" t="str">
        <f t="shared" si="268"/>
        <v/>
      </c>
    </row>
    <row r="614" spans="1:39" ht="15" customHeight="1" x14ac:dyDescent="0.25">
      <c r="A614" s="131"/>
      <c r="B614" s="133"/>
      <c r="C614" s="133"/>
      <c r="D614" s="42" t="str">
        <f t="shared" si="243"/>
        <v/>
      </c>
      <c r="E614" s="43"/>
      <c r="F614" s="135"/>
      <c r="G614" s="77" t="str">
        <f t="shared" si="244"/>
        <v/>
      </c>
      <c r="H614" s="32" t="str">
        <f t="shared" si="245"/>
        <v/>
      </c>
      <c r="I614" s="78" t="str">
        <f t="shared" si="246"/>
        <v/>
      </c>
      <c r="J614" s="70" t="str">
        <f t="shared" si="247"/>
        <v/>
      </c>
      <c r="K614" s="135"/>
      <c r="L614" s="72" t="str">
        <f t="shared" si="248"/>
        <v/>
      </c>
      <c r="M614" s="135"/>
      <c r="N614" s="72" t="str">
        <f t="shared" si="249"/>
        <v/>
      </c>
      <c r="O614" s="135"/>
      <c r="P614" s="136"/>
      <c r="Q614" s="123" t="str">
        <f t="shared" si="250"/>
        <v/>
      </c>
      <c r="R614" s="45" t="str">
        <f t="shared" si="251"/>
        <v/>
      </c>
      <c r="S614" s="137"/>
      <c r="T614" s="79" t="str">
        <f t="shared" si="260"/>
        <v/>
      </c>
      <c r="U614" s="79" t="str">
        <f t="shared" si="252"/>
        <v/>
      </c>
      <c r="V614" s="73" t="str">
        <f t="shared" si="253"/>
        <v/>
      </c>
      <c r="W614" s="80" t="str">
        <f t="shared" si="254"/>
        <v/>
      </c>
      <c r="X614" s="73" t="str">
        <f t="shared" si="255"/>
        <v/>
      </c>
      <c r="Y614" s="80" t="str">
        <f t="shared" si="256"/>
        <v/>
      </c>
      <c r="Z614" s="74" t="str">
        <f t="shared" si="257"/>
        <v/>
      </c>
      <c r="AA614" s="75" t="str">
        <f t="shared" si="261"/>
        <v/>
      </c>
      <c r="AB614" s="103" t="str">
        <f t="shared" si="258"/>
        <v/>
      </c>
      <c r="AC614" s="104" t="str">
        <f t="shared" si="269"/>
        <v/>
      </c>
      <c r="AE614" s="139"/>
      <c r="AF614" s="110" t="str">
        <f t="shared" si="262"/>
        <v/>
      </c>
      <c r="AG614" s="111" t="str">
        <f t="shared" si="263"/>
        <v/>
      </c>
      <c r="AH614" s="111" t="str">
        <f t="shared" si="259"/>
        <v/>
      </c>
      <c r="AI614" s="111" t="str">
        <f t="shared" si="264"/>
        <v/>
      </c>
      <c r="AJ614" s="111" t="str">
        <f t="shared" si="265"/>
        <v/>
      </c>
      <c r="AK614" s="112" t="str">
        <f t="shared" si="266"/>
        <v/>
      </c>
      <c r="AL614" t="str">
        <f t="shared" si="267"/>
        <v/>
      </c>
      <c r="AM614" t="str">
        <f t="shared" si="268"/>
        <v/>
      </c>
    </row>
    <row r="615" spans="1:39" ht="15" customHeight="1" x14ac:dyDescent="0.25">
      <c r="A615" s="131"/>
      <c r="B615" s="133"/>
      <c r="C615" s="133"/>
      <c r="D615" s="42" t="str">
        <f t="shared" si="243"/>
        <v/>
      </c>
      <c r="E615" s="43"/>
      <c r="F615" s="135"/>
      <c r="G615" s="77" t="str">
        <f t="shared" si="244"/>
        <v/>
      </c>
      <c r="H615" s="32" t="str">
        <f t="shared" si="245"/>
        <v/>
      </c>
      <c r="I615" s="78" t="str">
        <f t="shared" si="246"/>
        <v/>
      </c>
      <c r="J615" s="70" t="str">
        <f t="shared" si="247"/>
        <v/>
      </c>
      <c r="K615" s="135"/>
      <c r="L615" s="72" t="str">
        <f t="shared" si="248"/>
        <v/>
      </c>
      <c r="M615" s="135"/>
      <c r="N615" s="72" t="str">
        <f t="shared" si="249"/>
        <v/>
      </c>
      <c r="O615" s="135"/>
      <c r="P615" s="136"/>
      <c r="Q615" s="123" t="str">
        <f t="shared" si="250"/>
        <v/>
      </c>
      <c r="R615" s="45" t="str">
        <f t="shared" si="251"/>
        <v/>
      </c>
      <c r="S615" s="137"/>
      <c r="T615" s="79" t="str">
        <f t="shared" si="260"/>
        <v/>
      </c>
      <c r="U615" s="79" t="str">
        <f t="shared" si="252"/>
        <v/>
      </c>
      <c r="V615" s="73" t="str">
        <f t="shared" si="253"/>
        <v/>
      </c>
      <c r="W615" s="80" t="str">
        <f t="shared" si="254"/>
        <v/>
      </c>
      <c r="X615" s="73" t="str">
        <f t="shared" si="255"/>
        <v/>
      </c>
      <c r="Y615" s="80" t="str">
        <f t="shared" si="256"/>
        <v/>
      </c>
      <c r="Z615" s="74" t="str">
        <f t="shared" si="257"/>
        <v/>
      </c>
      <c r="AA615" s="75" t="str">
        <f t="shared" si="261"/>
        <v/>
      </c>
      <c r="AB615" s="103" t="str">
        <f t="shared" si="258"/>
        <v/>
      </c>
      <c r="AC615" s="104" t="str">
        <f t="shared" si="269"/>
        <v/>
      </c>
      <c r="AE615" s="139"/>
      <c r="AF615" s="110" t="str">
        <f t="shared" si="262"/>
        <v/>
      </c>
      <c r="AG615" s="111" t="str">
        <f t="shared" si="263"/>
        <v/>
      </c>
      <c r="AH615" s="111" t="str">
        <f t="shared" si="259"/>
        <v/>
      </c>
      <c r="AI615" s="111" t="str">
        <f t="shared" si="264"/>
        <v/>
      </c>
      <c r="AJ615" s="111" t="str">
        <f t="shared" si="265"/>
        <v/>
      </c>
      <c r="AK615" s="112" t="str">
        <f t="shared" si="266"/>
        <v/>
      </c>
      <c r="AL615" t="str">
        <f t="shared" si="267"/>
        <v/>
      </c>
      <c r="AM615" t="str">
        <f t="shared" si="268"/>
        <v/>
      </c>
    </row>
    <row r="616" spans="1:39" ht="15" customHeight="1" x14ac:dyDescent="0.25">
      <c r="A616" s="131"/>
      <c r="B616" s="133"/>
      <c r="C616" s="133"/>
      <c r="D616" s="42" t="str">
        <f t="shared" si="243"/>
        <v/>
      </c>
      <c r="E616" s="43"/>
      <c r="F616" s="135"/>
      <c r="G616" s="77" t="str">
        <f t="shared" si="244"/>
        <v/>
      </c>
      <c r="H616" s="32" t="str">
        <f t="shared" si="245"/>
        <v/>
      </c>
      <c r="I616" s="78" t="str">
        <f t="shared" si="246"/>
        <v/>
      </c>
      <c r="J616" s="70" t="str">
        <f t="shared" si="247"/>
        <v/>
      </c>
      <c r="K616" s="135"/>
      <c r="L616" s="72" t="str">
        <f t="shared" si="248"/>
        <v/>
      </c>
      <c r="M616" s="135"/>
      <c r="N616" s="72" t="str">
        <f t="shared" si="249"/>
        <v/>
      </c>
      <c r="O616" s="135"/>
      <c r="P616" s="136"/>
      <c r="Q616" s="123" t="str">
        <f t="shared" si="250"/>
        <v/>
      </c>
      <c r="R616" s="45" t="str">
        <f t="shared" si="251"/>
        <v/>
      </c>
      <c r="S616" s="137"/>
      <c r="T616" s="79" t="str">
        <f t="shared" si="260"/>
        <v/>
      </c>
      <c r="U616" s="79" t="str">
        <f t="shared" si="252"/>
        <v/>
      </c>
      <c r="V616" s="73" t="str">
        <f t="shared" si="253"/>
        <v/>
      </c>
      <c r="W616" s="80" t="str">
        <f t="shared" si="254"/>
        <v/>
      </c>
      <c r="X616" s="73" t="str">
        <f t="shared" si="255"/>
        <v/>
      </c>
      <c r="Y616" s="80" t="str">
        <f t="shared" si="256"/>
        <v/>
      </c>
      <c r="Z616" s="74" t="str">
        <f t="shared" si="257"/>
        <v/>
      </c>
      <c r="AA616" s="75" t="str">
        <f t="shared" si="261"/>
        <v/>
      </c>
      <c r="AB616" s="103" t="str">
        <f t="shared" si="258"/>
        <v/>
      </c>
      <c r="AC616" s="104" t="str">
        <f t="shared" si="269"/>
        <v/>
      </c>
      <c r="AE616" s="139"/>
      <c r="AF616" s="110" t="str">
        <f t="shared" si="262"/>
        <v/>
      </c>
      <c r="AG616" s="111" t="str">
        <f t="shared" si="263"/>
        <v/>
      </c>
      <c r="AH616" s="111" t="str">
        <f t="shared" si="259"/>
        <v/>
      </c>
      <c r="AI616" s="111" t="str">
        <f t="shared" si="264"/>
        <v/>
      </c>
      <c r="AJ616" s="111" t="str">
        <f t="shared" si="265"/>
        <v/>
      </c>
      <c r="AK616" s="112" t="str">
        <f t="shared" si="266"/>
        <v/>
      </c>
      <c r="AL616" t="str">
        <f t="shared" si="267"/>
        <v/>
      </c>
      <c r="AM616" t="str">
        <f t="shared" si="268"/>
        <v/>
      </c>
    </row>
    <row r="617" spans="1:39" ht="15" customHeight="1" x14ac:dyDescent="0.25">
      <c r="A617" s="131"/>
      <c r="B617" s="133"/>
      <c r="C617" s="133"/>
      <c r="D617" s="42" t="str">
        <f t="shared" si="243"/>
        <v/>
      </c>
      <c r="E617" s="43"/>
      <c r="F617" s="135"/>
      <c r="G617" s="77" t="str">
        <f t="shared" si="244"/>
        <v/>
      </c>
      <c r="H617" s="32" t="str">
        <f t="shared" si="245"/>
        <v/>
      </c>
      <c r="I617" s="78" t="str">
        <f t="shared" si="246"/>
        <v/>
      </c>
      <c r="J617" s="70" t="str">
        <f t="shared" si="247"/>
        <v/>
      </c>
      <c r="K617" s="135"/>
      <c r="L617" s="72" t="str">
        <f t="shared" si="248"/>
        <v/>
      </c>
      <c r="M617" s="135"/>
      <c r="N617" s="72" t="str">
        <f t="shared" si="249"/>
        <v/>
      </c>
      <c r="O617" s="135"/>
      <c r="P617" s="136"/>
      <c r="Q617" s="123" t="str">
        <f t="shared" si="250"/>
        <v/>
      </c>
      <c r="R617" s="45" t="str">
        <f t="shared" si="251"/>
        <v/>
      </c>
      <c r="S617" s="137"/>
      <c r="T617" s="79" t="str">
        <f t="shared" si="260"/>
        <v/>
      </c>
      <c r="U617" s="79" t="str">
        <f t="shared" si="252"/>
        <v/>
      </c>
      <c r="V617" s="73" t="str">
        <f t="shared" si="253"/>
        <v/>
      </c>
      <c r="W617" s="80" t="str">
        <f t="shared" si="254"/>
        <v/>
      </c>
      <c r="X617" s="73" t="str">
        <f t="shared" si="255"/>
        <v/>
      </c>
      <c r="Y617" s="80" t="str">
        <f t="shared" si="256"/>
        <v/>
      </c>
      <c r="Z617" s="74" t="str">
        <f t="shared" si="257"/>
        <v/>
      </c>
      <c r="AA617" s="75" t="str">
        <f t="shared" si="261"/>
        <v/>
      </c>
      <c r="AB617" s="103" t="str">
        <f t="shared" si="258"/>
        <v/>
      </c>
      <c r="AC617" s="104" t="str">
        <f t="shared" si="269"/>
        <v/>
      </c>
      <c r="AE617" s="139"/>
      <c r="AF617" s="110" t="str">
        <f t="shared" si="262"/>
        <v/>
      </c>
      <c r="AG617" s="111" t="str">
        <f t="shared" si="263"/>
        <v/>
      </c>
      <c r="AH617" s="111" t="str">
        <f t="shared" si="259"/>
        <v/>
      </c>
      <c r="AI617" s="111" t="str">
        <f t="shared" si="264"/>
        <v/>
      </c>
      <c r="AJ617" s="111" t="str">
        <f t="shared" si="265"/>
        <v/>
      </c>
      <c r="AK617" s="112" t="str">
        <f t="shared" si="266"/>
        <v/>
      </c>
      <c r="AL617" t="str">
        <f t="shared" si="267"/>
        <v/>
      </c>
      <c r="AM617" t="str">
        <f t="shared" si="268"/>
        <v/>
      </c>
    </row>
    <row r="618" spans="1:39" ht="15" customHeight="1" x14ac:dyDescent="0.25">
      <c r="A618" s="131"/>
      <c r="B618" s="133"/>
      <c r="C618" s="133"/>
      <c r="D618" s="42" t="str">
        <f t="shared" si="243"/>
        <v/>
      </c>
      <c r="E618" s="43"/>
      <c r="F618" s="135"/>
      <c r="G618" s="77" t="str">
        <f t="shared" si="244"/>
        <v/>
      </c>
      <c r="H618" s="32" t="str">
        <f t="shared" si="245"/>
        <v/>
      </c>
      <c r="I618" s="78" t="str">
        <f t="shared" si="246"/>
        <v/>
      </c>
      <c r="J618" s="70" t="str">
        <f t="shared" si="247"/>
        <v/>
      </c>
      <c r="K618" s="135"/>
      <c r="L618" s="72" t="str">
        <f t="shared" si="248"/>
        <v/>
      </c>
      <c r="M618" s="135"/>
      <c r="N618" s="72" t="str">
        <f t="shared" si="249"/>
        <v/>
      </c>
      <c r="O618" s="135"/>
      <c r="P618" s="136"/>
      <c r="Q618" s="123" t="str">
        <f t="shared" si="250"/>
        <v/>
      </c>
      <c r="R618" s="45" t="str">
        <f t="shared" si="251"/>
        <v/>
      </c>
      <c r="S618" s="137"/>
      <c r="T618" s="79" t="str">
        <f t="shared" si="260"/>
        <v/>
      </c>
      <c r="U618" s="79" t="str">
        <f t="shared" si="252"/>
        <v/>
      </c>
      <c r="V618" s="73" t="str">
        <f t="shared" si="253"/>
        <v/>
      </c>
      <c r="W618" s="80" t="str">
        <f t="shared" si="254"/>
        <v/>
      </c>
      <c r="X618" s="73" t="str">
        <f t="shared" si="255"/>
        <v/>
      </c>
      <c r="Y618" s="80" t="str">
        <f t="shared" si="256"/>
        <v/>
      </c>
      <c r="Z618" s="74" t="str">
        <f t="shared" si="257"/>
        <v/>
      </c>
      <c r="AA618" s="75" t="str">
        <f t="shared" si="261"/>
        <v/>
      </c>
      <c r="AB618" s="103" t="str">
        <f t="shared" si="258"/>
        <v/>
      </c>
      <c r="AC618" s="104" t="str">
        <f t="shared" si="269"/>
        <v/>
      </c>
      <c r="AE618" s="139"/>
      <c r="AF618" s="110" t="str">
        <f t="shared" si="262"/>
        <v/>
      </c>
      <c r="AG618" s="111" t="str">
        <f t="shared" si="263"/>
        <v/>
      </c>
      <c r="AH618" s="111" t="str">
        <f t="shared" si="259"/>
        <v/>
      </c>
      <c r="AI618" s="111" t="str">
        <f t="shared" si="264"/>
        <v/>
      </c>
      <c r="AJ618" s="111" t="str">
        <f t="shared" si="265"/>
        <v/>
      </c>
      <c r="AK618" s="112" t="str">
        <f t="shared" si="266"/>
        <v/>
      </c>
      <c r="AL618" t="str">
        <f t="shared" si="267"/>
        <v/>
      </c>
      <c r="AM618" t="str">
        <f t="shared" si="268"/>
        <v/>
      </c>
    </row>
    <row r="619" spans="1:39" ht="15" customHeight="1" x14ac:dyDescent="0.25">
      <c r="A619" s="131"/>
      <c r="B619" s="133"/>
      <c r="C619" s="133"/>
      <c r="D619" s="42" t="str">
        <f t="shared" si="243"/>
        <v/>
      </c>
      <c r="E619" s="43"/>
      <c r="F619" s="135"/>
      <c r="G619" s="77" t="str">
        <f t="shared" si="244"/>
        <v/>
      </c>
      <c r="H619" s="32" t="str">
        <f t="shared" si="245"/>
        <v/>
      </c>
      <c r="I619" s="78" t="str">
        <f t="shared" si="246"/>
        <v/>
      </c>
      <c r="J619" s="70" t="str">
        <f t="shared" si="247"/>
        <v/>
      </c>
      <c r="K619" s="135"/>
      <c r="L619" s="72" t="str">
        <f t="shared" si="248"/>
        <v/>
      </c>
      <c r="M619" s="135"/>
      <c r="N619" s="72" t="str">
        <f t="shared" si="249"/>
        <v/>
      </c>
      <c r="O619" s="135"/>
      <c r="P619" s="136"/>
      <c r="Q619" s="123" t="str">
        <f t="shared" si="250"/>
        <v/>
      </c>
      <c r="R619" s="45" t="str">
        <f t="shared" si="251"/>
        <v/>
      </c>
      <c r="S619" s="137"/>
      <c r="T619" s="79" t="str">
        <f t="shared" si="260"/>
        <v/>
      </c>
      <c r="U619" s="79" t="str">
        <f t="shared" si="252"/>
        <v/>
      </c>
      <c r="V619" s="73" t="str">
        <f t="shared" si="253"/>
        <v/>
      </c>
      <c r="W619" s="80" t="str">
        <f t="shared" si="254"/>
        <v/>
      </c>
      <c r="X619" s="73" t="str">
        <f t="shared" si="255"/>
        <v/>
      </c>
      <c r="Y619" s="80" t="str">
        <f t="shared" si="256"/>
        <v/>
      </c>
      <c r="Z619" s="74" t="str">
        <f t="shared" si="257"/>
        <v/>
      </c>
      <c r="AA619" s="75" t="str">
        <f t="shared" si="261"/>
        <v/>
      </c>
      <c r="AB619" s="103" t="str">
        <f t="shared" si="258"/>
        <v/>
      </c>
      <c r="AC619" s="104" t="str">
        <f t="shared" si="269"/>
        <v/>
      </c>
      <c r="AE619" s="139"/>
      <c r="AF619" s="110" t="str">
        <f t="shared" si="262"/>
        <v/>
      </c>
      <c r="AG619" s="111" t="str">
        <f t="shared" si="263"/>
        <v/>
      </c>
      <c r="AH619" s="111" t="str">
        <f t="shared" si="259"/>
        <v/>
      </c>
      <c r="AI619" s="111" t="str">
        <f t="shared" si="264"/>
        <v/>
      </c>
      <c r="AJ619" s="111" t="str">
        <f t="shared" si="265"/>
        <v/>
      </c>
      <c r="AK619" s="112" t="str">
        <f t="shared" si="266"/>
        <v/>
      </c>
      <c r="AL619" t="str">
        <f t="shared" si="267"/>
        <v/>
      </c>
      <c r="AM619" t="str">
        <f t="shared" si="268"/>
        <v/>
      </c>
    </row>
    <row r="620" spans="1:39" ht="15" customHeight="1" x14ac:dyDescent="0.25">
      <c r="A620" s="131"/>
      <c r="B620" s="133"/>
      <c r="C620" s="133"/>
      <c r="D620" s="42" t="str">
        <f t="shared" si="243"/>
        <v/>
      </c>
      <c r="E620" s="43"/>
      <c r="F620" s="135"/>
      <c r="G620" s="77" t="str">
        <f t="shared" si="244"/>
        <v/>
      </c>
      <c r="H620" s="32" t="str">
        <f t="shared" si="245"/>
        <v/>
      </c>
      <c r="I620" s="78" t="str">
        <f t="shared" si="246"/>
        <v/>
      </c>
      <c r="J620" s="70" t="str">
        <f t="shared" si="247"/>
        <v/>
      </c>
      <c r="K620" s="135"/>
      <c r="L620" s="72" t="str">
        <f t="shared" si="248"/>
        <v/>
      </c>
      <c r="M620" s="135"/>
      <c r="N620" s="72" t="str">
        <f t="shared" si="249"/>
        <v/>
      </c>
      <c r="O620" s="135"/>
      <c r="P620" s="136"/>
      <c r="Q620" s="123" t="str">
        <f t="shared" si="250"/>
        <v/>
      </c>
      <c r="R620" s="45" t="str">
        <f t="shared" si="251"/>
        <v/>
      </c>
      <c r="S620" s="137"/>
      <c r="T620" s="79" t="str">
        <f t="shared" si="260"/>
        <v/>
      </c>
      <c r="U620" s="79" t="str">
        <f t="shared" si="252"/>
        <v/>
      </c>
      <c r="V620" s="73" t="str">
        <f t="shared" si="253"/>
        <v/>
      </c>
      <c r="W620" s="80" t="str">
        <f t="shared" si="254"/>
        <v/>
      </c>
      <c r="X620" s="73" t="str">
        <f t="shared" si="255"/>
        <v/>
      </c>
      <c r="Y620" s="80" t="str">
        <f t="shared" si="256"/>
        <v/>
      </c>
      <c r="Z620" s="74" t="str">
        <f t="shared" si="257"/>
        <v/>
      </c>
      <c r="AA620" s="75" t="str">
        <f t="shared" si="261"/>
        <v/>
      </c>
      <c r="AB620" s="103" t="str">
        <f t="shared" si="258"/>
        <v/>
      </c>
      <c r="AC620" s="104" t="str">
        <f t="shared" si="269"/>
        <v/>
      </c>
      <c r="AE620" s="139"/>
      <c r="AF620" s="110" t="str">
        <f t="shared" si="262"/>
        <v/>
      </c>
      <c r="AG620" s="111" t="str">
        <f t="shared" si="263"/>
        <v/>
      </c>
      <c r="AH620" s="111" t="str">
        <f t="shared" si="259"/>
        <v/>
      </c>
      <c r="AI620" s="111" t="str">
        <f t="shared" si="264"/>
        <v/>
      </c>
      <c r="AJ620" s="111" t="str">
        <f t="shared" si="265"/>
        <v/>
      </c>
      <c r="AK620" s="112" t="str">
        <f t="shared" si="266"/>
        <v/>
      </c>
      <c r="AL620" t="str">
        <f t="shared" si="267"/>
        <v/>
      </c>
      <c r="AM620" t="str">
        <f t="shared" si="268"/>
        <v/>
      </c>
    </row>
    <row r="621" spans="1:39" ht="15" customHeight="1" x14ac:dyDescent="0.25">
      <c r="A621" s="131"/>
      <c r="B621" s="133"/>
      <c r="C621" s="133"/>
      <c r="D621" s="42" t="str">
        <f t="shared" si="243"/>
        <v/>
      </c>
      <c r="E621" s="43"/>
      <c r="F621" s="135"/>
      <c r="G621" s="77" t="str">
        <f t="shared" si="244"/>
        <v/>
      </c>
      <c r="H621" s="32" t="str">
        <f t="shared" si="245"/>
        <v/>
      </c>
      <c r="I621" s="78" t="str">
        <f t="shared" si="246"/>
        <v/>
      </c>
      <c r="J621" s="70" t="str">
        <f t="shared" si="247"/>
        <v/>
      </c>
      <c r="K621" s="135"/>
      <c r="L621" s="72" t="str">
        <f t="shared" si="248"/>
        <v/>
      </c>
      <c r="M621" s="135"/>
      <c r="N621" s="72" t="str">
        <f t="shared" si="249"/>
        <v/>
      </c>
      <c r="O621" s="135"/>
      <c r="P621" s="136"/>
      <c r="Q621" s="123" t="str">
        <f t="shared" si="250"/>
        <v/>
      </c>
      <c r="R621" s="45" t="str">
        <f t="shared" si="251"/>
        <v/>
      </c>
      <c r="S621" s="137"/>
      <c r="T621" s="79" t="str">
        <f t="shared" si="260"/>
        <v/>
      </c>
      <c r="U621" s="79" t="str">
        <f t="shared" si="252"/>
        <v/>
      </c>
      <c r="V621" s="73" t="str">
        <f t="shared" si="253"/>
        <v/>
      </c>
      <c r="W621" s="80" t="str">
        <f t="shared" si="254"/>
        <v/>
      </c>
      <c r="X621" s="73" t="str">
        <f t="shared" si="255"/>
        <v/>
      </c>
      <c r="Y621" s="80" t="str">
        <f t="shared" si="256"/>
        <v/>
      </c>
      <c r="Z621" s="74" t="str">
        <f t="shared" si="257"/>
        <v/>
      </c>
      <c r="AA621" s="75" t="str">
        <f t="shared" si="261"/>
        <v/>
      </c>
      <c r="AB621" s="103" t="str">
        <f t="shared" si="258"/>
        <v/>
      </c>
      <c r="AC621" s="104" t="str">
        <f t="shared" si="269"/>
        <v/>
      </c>
      <c r="AE621" s="139"/>
      <c r="AF621" s="110" t="str">
        <f t="shared" si="262"/>
        <v/>
      </c>
      <c r="AG621" s="111" t="str">
        <f t="shared" si="263"/>
        <v/>
      </c>
      <c r="AH621" s="111" t="str">
        <f t="shared" si="259"/>
        <v/>
      </c>
      <c r="AI621" s="111" t="str">
        <f t="shared" si="264"/>
        <v/>
      </c>
      <c r="AJ621" s="111" t="str">
        <f t="shared" si="265"/>
        <v/>
      </c>
      <c r="AK621" s="112" t="str">
        <f t="shared" si="266"/>
        <v/>
      </c>
      <c r="AL621" t="str">
        <f t="shared" si="267"/>
        <v/>
      </c>
      <c r="AM621" t="str">
        <f t="shared" si="268"/>
        <v/>
      </c>
    </row>
    <row r="622" spans="1:39" ht="15" customHeight="1" x14ac:dyDescent="0.25">
      <c r="A622" s="131"/>
      <c r="B622" s="133"/>
      <c r="C622" s="133"/>
      <c r="D622" s="42" t="str">
        <f t="shared" si="243"/>
        <v/>
      </c>
      <c r="E622" s="43"/>
      <c r="F622" s="135"/>
      <c r="G622" s="77" t="str">
        <f t="shared" si="244"/>
        <v/>
      </c>
      <c r="H622" s="32" t="str">
        <f t="shared" si="245"/>
        <v/>
      </c>
      <c r="I622" s="78" t="str">
        <f t="shared" si="246"/>
        <v/>
      </c>
      <c r="J622" s="70" t="str">
        <f t="shared" si="247"/>
        <v/>
      </c>
      <c r="K622" s="135"/>
      <c r="L622" s="72" t="str">
        <f t="shared" si="248"/>
        <v/>
      </c>
      <c r="M622" s="135"/>
      <c r="N622" s="72" t="str">
        <f t="shared" si="249"/>
        <v/>
      </c>
      <c r="O622" s="135"/>
      <c r="P622" s="136"/>
      <c r="Q622" s="123" t="str">
        <f t="shared" si="250"/>
        <v/>
      </c>
      <c r="R622" s="45" t="str">
        <f t="shared" si="251"/>
        <v/>
      </c>
      <c r="S622" s="137"/>
      <c r="T622" s="79" t="str">
        <f t="shared" si="260"/>
        <v/>
      </c>
      <c r="U622" s="79" t="str">
        <f t="shared" si="252"/>
        <v/>
      </c>
      <c r="V622" s="73" t="str">
        <f t="shared" si="253"/>
        <v/>
      </c>
      <c r="W622" s="80" t="str">
        <f t="shared" si="254"/>
        <v/>
      </c>
      <c r="X622" s="73" t="str">
        <f t="shared" si="255"/>
        <v/>
      </c>
      <c r="Y622" s="80" t="str">
        <f t="shared" si="256"/>
        <v/>
      </c>
      <c r="Z622" s="74" t="str">
        <f t="shared" si="257"/>
        <v/>
      </c>
      <c r="AA622" s="75" t="str">
        <f t="shared" si="261"/>
        <v/>
      </c>
      <c r="AB622" s="103" t="str">
        <f t="shared" si="258"/>
        <v/>
      </c>
      <c r="AC622" s="104" t="str">
        <f t="shared" si="269"/>
        <v/>
      </c>
      <c r="AE622" s="139"/>
      <c r="AF622" s="110" t="str">
        <f t="shared" si="262"/>
        <v/>
      </c>
      <c r="AG622" s="111" t="str">
        <f t="shared" si="263"/>
        <v/>
      </c>
      <c r="AH622" s="111" t="str">
        <f t="shared" si="259"/>
        <v/>
      </c>
      <c r="AI622" s="111" t="str">
        <f t="shared" si="264"/>
        <v/>
      </c>
      <c r="AJ622" s="111" t="str">
        <f t="shared" si="265"/>
        <v/>
      </c>
      <c r="AK622" s="112" t="str">
        <f t="shared" si="266"/>
        <v/>
      </c>
      <c r="AL622" t="str">
        <f t="shared" si="267"/>
        <v/>
      </c>
      <c r="AM622" t="str">
        <f t="shared" si="268"/>
        <v/>
      </c>
    </row>
    <row r="623" spans="1:39" ht="15" customHeight="1" x14ac:dyDescent="0.25">
      <c r="A623" s="131"/>
      <c r="B623" s="133"/>
      <c r="C623" s="133"/>
      <c r="D623" s="42" t="str">
        <f t="shared" si="243"/>
        <v/>
      </c>
      <c r="E623" s="43"/>
      <c r="F623" s="135"/>
      <c r="G623" s="77" t="str">
        <f t="shared" si="244"/>
        <v/>
      </c>
      <c r="H623" s="32" t="str">
        <f t="shared" si="245"/>
        <v/>
      </c>
      <c r="I623" s="78" t="str">
        <f t="shared" si="246"/>
        <v/>
      </c>
      <c r="J623" s="70" t="str">
        <f t="shared" si="247"/>
        <v/>
      </c>
      <c r="K623" s="135"/>
      <c r="L623" s="72" t="str">
        <f t="shared" si="248"/>
        <v/>
      </c>
      <c r="M623" s="135"/>
      <c r="N623" s="72" t="str">
        <f t="shared" si="249"/>
        <v/>
      </c>
      <c r="O623" s="135"/>
      <c r="P623" s="136"/>
      <c r="Q623" s="123" t="str">
        <f t="shared" si="250"/>
        <v/>
      </c>
      <c r="R623" s="45" t="str">
        <f t="shared" si="251"/>
        <v/>
      </c>
      <c r="S623" s="137"/>
      <c r="T623" s="79" t="str">
        <f t="shared" si="260"/>
        <v/>
      </c>
      <c r="U623" s="79" t="str">
        <f t="shared" si="252"/>
        <v/>
      </c>
      <c r="V623" s="73" t="str">
        <f t="shared" si="253"/>
        <v/>
      </c>
      <c r="W623" s="80" t="str">
        <f t="shared" si="254"/>
        <v/>
      </c>
      <c r="X623" s="73" t="str">
        <f t="shared" si="255"/>
        <v/>
      </c>
      <c r="Y623" s="80" t="str">
        <f t="shared" si="256"/>
        <v/>
      </c>
      <c r="Z623" s="74" t="str">
        <f t="shared" si="257"/>
        <v/>
      </c>
      <c r="AA623" s="75" t="str">
        <f t="shared" si="261"/>
        <v/>
      </c>
      <c r="AB623" s="103" t="str">
        <f t="shared" si="258"/>
        <v/>
      </c>
      <c r="AC623" s="104" t="str">
        <f t="shared" si="269"/>
        <v/>
      </c>
      <c r="AE623" s="139"/>
      <c r="AF623" s="110" t="str">
        <f t="shared" si="262"/>
        <v/>
      </c>
      <c r="AG623" s="111" t="str">
        <f t="shared" si="263"/>
        <v/>
      </c>
      <c r="AH623" s="111" t="str">
        <f t="shared" si="259"/>
        <v/>
      </c>
      <c r="AI623" s="111" t="str">
        <f t="shared" si="264"/>
        <v/>
      </c>
      <c r="AJ623" s="111" t="str">
        <f t="shared" si="265"/>
        <v/>
      </c>
      <c r="AK623" s="112" t="str">
        <f t="shared" si="266"/>
        <v/>
      </c>
      <c r="AL623" t="str">
        <f t="shared" si="267"/>
        <v/>
      </c>
      <c r="AM623" t="str">
        <f t="shared" si="268"/>
        <v/>
      </c>
    </row>
    <row r="624" spans="1:39" ht="15" customHeight="1" x14ac:dyDescent="0.25">
      <c r="A624" s="131"/>
      <c r="B624" s="133"/>
      <c r="C624" s="133"/>
      <c r="D624" s="42" t="str">
        <f t="shared" si="243"/>
        <v/>
      </c>
      <c r="E624" s="43"/>
      <c r="F624" s="135"/>
      <c r="G624" s="77" t="str">
        <f t="shared" si="244"/>
        <v/>
      </c>
      <c r="H624" s="32" t="str">
        <f t="shared" si="245"/>
        <v/>
      </c>
      <c r="I624" s="78" t="str">
        <f t="shared" si="246"/>
        <v/>
      </c>
      <c r="J624" s="70" t="str">
        <f t="shared" si="247"/>
        <v/>
      </c>
      <c r="K624" s="135"/>
      <c r="L624" s="72" t="str">
        <f t="shared" si="248"/>
        <v/>
      </c>
      <c r="M624" s="135"/>
      <c r="N624" s="72" t="str">
        <f t="shared" si="249"/>
        <v/>
      </c>
      <c r="O624" s="135"/>
      <c r="P624" s="136"/>
      <c r="Q624" s="123" t="str">
        <f t="shared" si="250"/>
        <v/>
      </c>
      <c r="R624" s="45" t="str">
        <f t="shared" si="251"/>
        <v/>
      </c>
      <c r="S624" s="137"/>
      <c r="T624" s="79" t="str">
        <f t="shared" si="260"/>
        <v/>
      </c>
      <c r="U624" s="79" t="str">
        <f t="shared" si="252"/>
        <v/>
      </c>
      <c r="V624" s="73" t="str">
        <f t="shared" si="253"/>
        <v/>
      </c>
      <c r="W624" s="80" t="str">
        <f t="shared" si="254"/>
        <v/>
      </c>
      <c r="X624" s="73" t="str">
        <f t="shared" si="255"/>
        <v/>
      </c>
      <c r="Y624" s="80" t="str">
        <f t="shared" si="256"/>
        <v/>
      </c>
      <c r="Z624" s="74" t="str">
        <f t="shared" si="257"/>
        <v/>
      </c>
      <c r="AA624" s="75" t="str">
        <f t="shared" si="261"/>
        <v/>
      </c>
      <c r="AB624" s="103" t="str">
        <f t="shared" si="258"/>
        <v/>
      </c>
      <c r="AC624" s="104" t="str">
        <f t="shared" si="269"/>
        <v/>
      </c>
      <c r="AE624" s="139"/>
      <c r="AF624" s="110" t="str">
        <f t="shared" si="262"/>
        <v/>
      </c>
      <c r="AG624" s="111" t="str">
        <f t="shared" si="263"/>
        <v/>
      </c>
      <c r="AH624" s="111" t="str">
        <f t="shared" si="259"/>
        <v/>
      </c>
      <c r="AI624" s="111" t="str">
        <f t="shared" si="264"/>
        <v/>
      </c>
      <c r="AJ624" s="111" t="str">
        <f t="shared" si="265"/>
        <v/>
      </c>
      <c r="AK624" s="112" t="str">
        <f t="shared" si="266"/>
        <v/>
      </c>
      <c r="AL624" t="str">
        <f t="shared" si="267"/>
        <v/>
      </c>
      <c r="AM624" t="str">
        <f t="shared" si="268"/>
        <v/>
      </c>
    </row>
    <row r="625" spans="1:39" ht="15" customHeight="1" x14ac:dyDescent="0.25">
      <c r="A625" s="131"/>
      <c r="B625" s="133"/>
      <c r="C625" s="133"/>
      <c r="D625" s="42" t="str">
        <f t="shared" si="243"/>
        <v/>
      </c>
      <c r="E625" s="43"/>
      <c r="F625" s="135"/>
      <c r="G625" s="77" t="str">
        <f t="shared" si="244"/>
        <v/>
      </c>
      <c r="H625" s="32" t="str">
        <f t="shared" si="245"/>
        <v/>
      </c>
      <c r="I625" s="78" t="str">
        <f t="shared" si="246"/>
        <v/>
      </c>
      <c r="J625" s="70" t="str">
        <f t="shared" si="247"/>
        <v/>
      </c>
      <c r="K625" s="135"/>
      <c r="L625" s="72" t="str">
        <f t="shared" si="248"/>
        <v/>
      </c>
      <c r="M625" s="135"/>
      <c r="N625" s="72" t="str">
        <f t="shared" si="249"/>
        <v/>
      </c>
      <c r="O625" s="135"/>
      <c r="P625" s="136"/>
      <c r="Q625" s="123" t="str">
        <f t="shared" si="250"/>
        <v/>
      </c>
      <c r="R625" s="45" t="str">
        <f t="shared" si="251"/>
        <v/>
      </c>
      <c r="S625" s="137"/>
      <c r="T625" s="79" t="str">
        <f t="shared" si="260"/>
        <v/>
      </c>
      <c r="U625" s="79" t="str">
        <f t="shared" si="252"/>
        <v/>
      </c>
      <c r="V625" s="73" t="str">
        <f t="shared" si="253"/>
        <v/>
      </c>
      <c r="W625" s="80" t="str">
        <f t="shared" si="254"/>
        <v/>
      </c>
      <c r="X625" s="73" t="str">
        <f t="shared" si="255"/>
        <v/>
      </c>
      <c r="Y625" s="80" t="str">
        <f t="shared" si="256"/>
        <v/>
      </c>
      <c r="Z625" s="74" t="str">
        <f t="shared" si="257"/>
        <v/>
      </c>
      <c r="AA625" s="75" t="str">
        <f t="shared" si="261"/>
        <v/>
      </c>
      <c r="AB625" s="103" t="str">
        <f t="shared" si="258"/>
        <v/>
      </c>
      <c r="AC625" s="104" t="str">
        <f t="shared" si="269"/>
        <v/>
      </c>
      <c r="AE625" s="139"/>
      <c r="AF625" s="110" t="str">
        <f t="shared" si="262"/>
        <v/>
      </c>
      <c r="AG625" s="111" t="str">
        <f t="shared" si="263"/>
        <v/>
      </c>
      <c r="AH625" s="111" t="str">
        <f t="shared" si="259"/>
        <v/>
      </c>
      <c r="AI625" s="111" t="str">
        <f t="shared" si="264"/>
        <v/>
      </c>
      <c r="AJ625" s="111" t="str">
        <f t="shared" si="265"/>
        <v/>
      </c>
      <c r="AK625" s="112" t="str">
        <f t="shared" si="266"/>
        <v/>
      </c>
      <c r="AL625" t="str">
        <f t="shared" si="267"/>
        <v/>
      </c>
      <c r="AM625" t="str">
        <f t="shared" si="268"/>
        <v/>
      </c>
    </row>
    <row r="626" spans="1:39" ht="15" customHeight="1" x14ac:dyDescent="0.25">
      <c r="A626" s="131"/>
      <c r="B626" s="133"/>
      <c r="C626" s="133"/>
      <c r="D626" s="42" t="str">
        <f t="shared" si="243"/>
        <v/>
      </c>
      <c r="E626" s="43"/>
      <c r="F626" s="135"/>
      <c r="G626" s="77" t="str">
        <f t="shared" si="244"/>
        <v/>
      </c>
      <c r="H626" s="32" t="str">
        <f t="shared" si="245"/>
        <v/>
      </c>
      <c r="I626" s="78" t="str">
        <f t="shared" si="246"/>
        <v/>
      </c>
      <c r="J626" s="70" t="str">
        <f t="shared" si="247"/>
        <v/>
      </c>
      <c r="K626" s="135"/>
      <c r="L626" s="72" t="str">
        <f t="shared" si="248"/>
        <v/>
      </c>
      <c r="M626" s="135"/>
      <c r="N626" s="72" t="str">
        <f t="shared" si="249"/>
        <v/>
      </c>
      <c r="O626" s="135"/>
      <c r="P626" s="136"/>
      <c r="Q626" s="123" t="str">
        <f t="shared" si="250"/>
        <v/>
      </c>
      <c r="R626" s="45" t="str">
        <f t="shared" si="251"/>
        <v/>
      </c>
      <c r="S626" s="137"/>
      <c r="T626" s="79" t="str">
        <f t="shared" si="260"/>
        <v/>
      </c>
      <c r="U626" s="79" t="str">
        <f t="shared" si="252"/>
        <v/>
      </c>
      <c r="V626" s="73" t="str">
        <f t="shared" si="253"/>
        <v/>
      </c>
      <c r="W626" s="80" t="str">
        <f t="shared" si="254"/>
        <v/>
      </c>
      <c r="X626" s="73" t="str">
        <f t="shared" si="255"/>
        <v/>
      </c>
      <c r="Y626" s="80" t="str">
        <f t="shared" si="256"/>
        <v/>
      </c>
      <c r="Z626" s="74" t="str">
        <f t="shared" si="257"/>
        <v/>
      </c>
      <c r="AA626" s="75" t="str">
        <f t="shared" si="261"/>
        <v/>
      </c>
      <c r="AB626" s="103" t="str">
        <f t="shared" si="258"/>
        <v/>
      </c>
      <c r="AC626" s="104" t="str">
        <f t="shared" si="269"/>
        <v/>
      </c>
      <c r="AE626" s="139"/>
      <c r="AF626" s="110" t="str">
        <f t="shared" si="262"/>
        <v/>
      </c>
      <c r="AG626" s="111" t="str">
        <f t="shared" si="263"/>
        <v/>
      </c>
      <c r="AH626" s="111" t="str">
        <f t="shared" si="259"/>
        <v/>
      </c>
      <c r="AI626" s="111" t="str">
        <f t="shared" si="264"/>
        <v/>
      </c>
      <c r="AJ626" s="111" t="str">
        <f t="shared" si="265"/>
        <v/>
      </c>
      <c r="AK626" s="112" t="str">
        <f t="shared" si="266"/>
        <v/>
      </c>
      <c r="AL626" t="str">
        <f t="shared" si="267"/>
        <v/>
      </c>
      <c r="AM626" t="str">
        <f t="shared" si="268"/>
        <v/>
      </c>
    </row>
    <row r="627" spans="1:39" ht="15" customHeight="1" x14ac:dyDescent="0.25">
      <c r="A627" s="131"/>
      <c r="B627" s="133"/>
      <c r="C627" s="133"/>
      <c r="D627" s="42" t="str">
        <f t="shared" si="243"/>
        <v/>
      </c>
      <c r="E627" s="43"/>
      <c r="F627" s="135"/>
      <c r="G627" s="77" t="str">
        <f t="shared" si="244"/>
        <v/>
      </c>
      <c r="H627" s="32" t="str">
        <f t="shared" si="245"/>
        <v/>
      </c>
      <c r="I627" s="78" t="str">
        <f t="shared" si="246"/>
        <v/>
      </c>
      <c r="J627" s="70" t="str">
        <f t="shared" si="247"/>
        <v/>
      </c>
      <c r="K627" s="135"/>
      <c r="L627" s="72" t="str">
        <f t="shared" si="248"/>
        <v/>
      </c>
      <c r="M627" s="135"/>
      <c r="N627" s="72" t="str">
        <f t="shared" si="249"/>
        <v/>
      </c>
      <c r="O627" s="135"/>
      <c r="P627" s="136"/>
      <c r="Q627" s="123" t="str">
        <f t="shared" si="250"/>
        <v/>
      </c>
      <c r="R627" s="45" t="str">
        <f t="shared" si="251"/>
        <v/>
      </c>
      <c r="S627" s="137"/>
      <c r="T627" s="79" t="str">
        <f t="shared" si="260"/>
        <v/>
      </c>
      <c r="U627" s="79" t="str">
        <f t="shared" si="252"/>
        <v/>
      </c>
      <c r="V627" s="73" t="str">
        <f t="shared" si="253"/>
        <v/>
      </c>
      <c r="W627" s="80" t="str">
        <f t="shared" si="254"/>
        <v/>
      </c>
      <c r="X627" s="73" t="str">
        <f t="shared" si="255"/>
        <v/>
      </c>
      <c r="Y627" s="80" t="str">
        <f t="shared" si="256"/>
        <v/>
      </c>
      <c r="Z627" s="74" t="str">
        <f t="shared" si="257"/>
        <v/>
      </c>
      <c r="AA627" s="75" t="str">
        <f t="shared" si="261"/>
        <v/>
      </c>
      <c r="AB627" s="103" t="str">
        <f t="shared" si="258"/>
        <v/>
      </c>
      <c r="AC627" s="104" t="str">
        <f t="shared" si="269"/>
        <v/>
      </c>
      <c r="AE627" s="139"/>
      <c r="AF627" s="110" t="str">
        <f t="shared" si="262"/>
        <v/>
      </c>
      <c r="AG627" s="111" t="str">
        <f t="shared" si="263"/>
        <v/>
      </c>
      <c r="AH627" s="111" t="str">
        <f t="shared" si="259"/>
        <v/>
      </c>
      <c r="AI627" s="111" t="str">
        <f t="shared" si="264"/>
        <v/>
      </c>
      <c r="AJ627" s="111" t="str">
        <f t="shared" si="265"/>
        <v/>
      </c>
      <c r="AK627" s="112" t="str">
        <f t="shared" si="266"/>
        <v/>
      </c>
      <c r="AL627" t="str">
        <f t="shared" si="267"/>
        <v/>
      </c>
      <c r="AM627" t="str">
        <f t="shared" si="268"/>
        <v/>
      </c>
    </row>
    <row r="628" spans="1:39" ht="15" customHeight="1" x14ac:dyDescent="0.25">
      <c r="A628" s="131"/>
      <c r="B628" s="133"/>
      <c r="C628" s="133"/>
      <c r="D628" s="42" t="str">
        <f t="shared" si="243"/>
        <v/>
      </c>
      <c r="E628" s="43"/>
      <c r="F628" s="135"/>
      <c r="G628" s="77" t="str">
        <f t="shared" si="244"/>
        <v/>
      </c>
      <c r="H628" s="32" t="str">
        <f t="shared" si="245"/>
        <v/>
      </c>
      <c r="I628" s="78" t="str">
        <f t="shared" si="246"/>
        <v/>
      </c>
      <c r="J628" s="70" t="str">
        <f t="shared" si="247"/>
        <v/>
      </c>
      <c r="K628" s="135"/>
      <c r="L628" s="72" t="str">
        <f t="shared" si="248"/>
        <v/>
      </c>
      <c r="M628" s="135"/>
      <c r="N628" s="72" t="str">
        <f t="shared" si="249"/>
        <v/>
      </c>
      <c r="O628" s="135"/>
      <c r="P628" s="136"/>
      <c r="Q628" s="123" t="str">
        <f t="shared" si="250"/>
        <v/>
      </c>
      <c r="R628" s="45" t="str">
        <f t="shared" si="251"/>
        <v/>
      </c>
      <c r="S628" s="137"/>
      <c r="T628" s="79" t="str">
        <f t="shared" si="260"/>
        <v/>
      </c>
      <c r="U628" s="79" t="str">
        <f t="shared" si="252"/>
        <v/>
      </c>
      <c r="V628" s="73" t="str">
        <f t="shared" si="253"/>
        <v/>
      </c>
      <c r="W628" s="80" t="str">
        <f t="shared" si="254"/>
        <v/>
      </c>
      <c r="X628" s="73" t="str">
        <f t="shared" si="255"/>
        <v/>
      </c>
      <c r="Y628" s="80" t="str">
        <f t="shared" si="256"/>
        <v/>
      </c>
      <c r="Z628" s="74" t="str">
        <f t="shared" si="257"/>
        <v/>
      </c>
      <c r="AA628" s="75" t="str">
        <f t="shared" si="261"/>
        <v/>
      </c>
      <c r="AB628" s="103" t="str">
        <f t="shared" si="258"/>
        <v/>
      </c>
      <c r="AC628" s="104" t="str">
        <f t="shared" si="269"/>
        <v/>
      </c>
      <c r="AE628" s="139"/>
      <c r="AF628" s="110" t="str">
        <f t="shared" si="262"/>
        <v/>
      </c>
      <c r="AG628" s="111" t="str">
        <f t="shared" si="263"/>
        <v/>
      </c>
      <c r="AH628" s="111" t="str">
        <f t="shared" si="259"/>
        <v/>
      </c>
      <c r="AI628" s="111" t="str">
        <f t="shared" si="264"/>
        <v/>
      </c>
      <c r="AJ628" s="111" t="str">
        <f t="shared" si="265"/>
        <v/>
      </c>
      <c r="AK628" s="112" t="str">
        <f t="shared" si="266"/>
        <v/>
      </c>
      <c r="AL628" t="str">
        <f t="shared" si="267"/>
        <v/>
      </c>
      <c r="AM628" t="str">
        <f t="shared" si="268"/>
        <v/>
      </c>
    </row>
    <row r="629" spans="1:39" ht="15" customHeight="1" x14ac:dyDescent="0.25">
      <c r="A629" s="131"/>
      <c r="B629" s="133"/>
      <c r="C629" s="133"/>
      <c r="D629" s="42" t="str">
        <f t="shared" si="243"/>
        <v/>
      </c>
      <c r="E629" s="43"/>
      <c r="F629" s="135"/>
      <c r="G629" s="77" t="str">
        <f t="shared" si="244"/>
        <v/>
      </c>
      <c r="H629" s="32" t="str">
        <f t="shared" si="245"/>
        <v/>
      </c>
      <c r="I629" s="78" t="str">
        <f t="shared" si="246"/>
        <v/>
      </c>
      <c r="J629" s="70" t="str">
        <f t="shared" si="247"/>
        <v/>
      </c>
      <c r="K629" s="135"/>
      <c r="L629" s="72" t="str">
        <f t="shared" si="248"/>
        <v/>
      </c>
      <c r="M629" s="135"/>
      <c r="N629" s="72" t="str">
        <f t="shared" si="249"/>
        <v/>
      </c>
      <c r="O629" s="135"/>
      <c r="P629" s="136"/>
      <c r="Q629" s="123" t="str">
        <f t="shared" si="250"/>
        <v/>
      </c>
      <c r="R629" s="45" t="str">
        <f t="shared" si="251"/>
        <v/>
      </c>
      <c r="S629" s="137"/>
      <c r="T629" s="79" t="str">
        <f t="shared" si="260"/>
        <v/>
      </c>
      <c r="U629" s="79" t="str">
        <f t="shared" si="252"/>
        <v/>
      </c>
      <c r="V629" s="73" t="str">
        <f t="shared" si="253"/>
        <v/>
      </c>
      <c r="W629" s="80" t="str">
        <f t="shared" si="254"/>
        <v/>
      </c>
      <c r="X629" s="73" t="str">
        <f t="shared" si="255"/>
        <v/>
      </c>
      <c r="Y629" s="80" t="str">
        <f t="shared" si="256"/>
        <v/>
      </c>
      <c r="Z629" s="74" t="str">
        <f t="shared" si="257"/>
        <v/>
      </c>
      <c r="AA629" s="75" t="str">
        <f t="shared" si="261"/>
        <v/>
      </c>
      <c r="AB629" s="103" t="str">
        <f t="shared" si="258"/>
        <v/>
      </c>
      <c r="AC629" s="104" t="str">
        <f t="shared" si="269"/>
        <v/>
      </c>
      <c r="AE629" s="139"/>
      <c r="AF629" s="110" t="str">
        <f t="shared" si="262"/>
        <v/>
      </c>
      <c r="AG629" s="111" t="str">
        <f t="shared" si="263"/>
        <v/>
      </c>
      <c r="AH629" s="111" t="str">
        <f t="shared" si="259"/>
        <v/>
      </c>
      <c r="AI629" s="111" t="str">
        <f t="shared" si="264"/>
        <v/>
      </c>
      <c r="AJ629" s="111" t="str">
        <f t="shared" si="265"/>
        <v/>
      </c>
      <c r="AK629" s="112" t="str">
        <f t="shared" si="266"/>
        <v/>
      </c>
      <c r="AL629" t="str">
        <f t="shared" si="267"/>
        <v/>
      </c>
      <c r="AM629" t="str">
        <f t="shared" si="268"/>
        <v/>
      </c>
    </row>
    <row r="630" spans="1:39" ht="15" customHeight="1" x14ac:dyDescent="0.25">
      <c r="A630" s="131"/>
      <c r="B630" s="133"/>
      <c r="C630" s="133"/>
      <c r="D630" s="42" t="str">
        <f t="shared" si="243"/>
        <v/>
      </c>
      <c r="E630" s="43"/>
      <c r="F630" s="135"/>
      <c r="G630" s="77" t="str">
        <f t="shared" si="244"/>
        <v/>
      </c>
      <c r="H630" s="32" t="str">
        <f t="shared" si="245"/>
        <v/>
      </c>
      <c r="I630" s="78" t="str">
        <f t="shared" si="246"/>
        <v/>
      </c>
      <c r="J630" s="70" t="str">
        <f t="shared" si="247"/>
        <v/>
      </c>
      <c r="K630" s="135"/>
      <c r="L630" s="72" t="str">
        <f t="shared" si="248"/>
        <v/>
      </c>
      <c r="M630" s="135"/>
      <c r="N630" s="72" t="str">
        <f t="shared" si="249"/>
        <v/>
      </c>
      <c r="O630" s="135"/>
      <c r="P630" s="136"/>
      <c r="Q630" s="123" t="str">
        <f t="shared" si="250"/>
        <v/>
      </c>
      <c r="R630" s="45" t="str">
        <f t="shared" si="251"/>
        <v/>
      </c>
      <c r="S630" s="137"/>
      <c r="T630" s="79" t="str">
        <f t="shared" si="260"/>
        <v/>
      </c>
      <c r="U630" s="79" t="str">
        <f t="shared" si="252"/>
        <v/>
      </c>
      <c r="V630" s="73" t="str">
        <f t="shared" si="253"/>
        <v/>
      </c>
      <c r="W630" s="80" t="str">
        <f t="shared" si="254"/>
        <v/>
      </c>
      <c r="X630" s="73" t="str">
        <f t="shared" si="255"/>
        <v/>
      </c>
      <c r="Y630" s="80" t="str">
        <f t="shared" si="256"/>
        <v/>
      </c>
      <c r="Z630" s="74" t="str">
        <f t="shared" si="257"/>
        <v/>
      </c>
      <c r="AA630" s="75" t="str">
        <f t="shared" si="261"/>
        <v/>
      </c>
      <c r="AB630" s="103" t="str">
        <f t="shared" si="258"/>
        <v/>
      </c>
      <c r="AC630" s="104" t="str">
        <f t="shared" si="269"/>
        <v/>
      </c>
      <c r="AE630" s="139"/>
      <c r="AF630" s="110" t="str">
        <f t="shared" si="262"/>
        <v/>
      </c>
      <c r="AG630" s="111" t="str">
        <f t="shared" si="263"/>
        <v/>
      </c>
      <c r="AH630" s="111" t="str">
        <f t="shared" si="259"/>
        <v/>
      </c>
      <c r="AI630" s="111" t="str">
        <f t="shared" si="264"/>
        <v/>
      </c>
      <c r="AJ630" s="111" t="str">
        <f t="shared" si="265"/>
        <v/>
      </c>
      <c r="AK630" s="112" t="str">
        <f t="shared" si="266"/>
        <v/>
      </c>
      <c r="AL630" t="str">
        <f t="shared" si="267"/>
        <v/>
      </c>
      <c r="AM630" t="str">
        <f t="shared" si="268"/>
        <v/>
      </c>
    </row>
    <row r="631" spans="1:39" ht="15" customHeight="1" x14ac:dyDescent="0.25">
      <c r="A631" s="131"/>
      <c r="B631" s="133"/>
      <c r="C631" s="133"/>
      <c r="D631" s="42" t="str">
        <f t="shared" si="243"/>
        <v/>
      </c>
      <c r="E631" s="43"/>
      <c r="F631" s="135"/>
      <c r="G631" s="77" t="str">
        <f t="shared" si="244"/>
        <v/>
      </c>
      <c r="H631" s="32" t="str">
        <f t="shared" si="245"/>
        <v/>
      </c>
      <c r="I631" s="78" t="str">
        <f t="shared" si="246"/>
        <v/>
      </c>
      <c r="J631" s="70" t="str">
        <f t="shared" si="247"/>
        <v/>
      </c>
      <c r="K631" s="135"/>
      <c r="L631" s="72" t="str">
        <f t="shared" si="248"/>
        <v/>
      </c>
      <c r="M631" s="135"/>
      <c r="N631" s="72" t="str">
        <f t="shared" si="249"/>
        <v/>
      </c>
      <c r="O631" s="135"/>
      <c r="P631" s="136"/>
      <c r="Q631" s="123" t="str">
        <f t="shared" si="250"/>
        <v/>
      </c>
      <c r="R631" s="45" t="str">
        <f t="shared" si="251"/>
        <v/>
      </c>
      <c r="S631" s="137"/>
      <c r="T631" s="79" t="str">
        <f t="shared" si="260"/>
        <v/>
      </c>
      <c r="U631" s="79" t="str">
        <f t="shared" si="252"/>
        <v/>
      </c>
      <c r="V631" s="73" t="str">
        <f t="shared" si="253"/>
        <v/>
      </c>
      <c r="W631" s="80" t="str">
        <f t="shared" si="254"/>
        <v/>
      </c>
      <c r="X631" s="73" t="str">
        <f t="shared" si="255"/>
        <v/>
      </c>
      <c r="Y631" s="80" t="str">
        <f t="shared" si="256"/>
        <v/>
      </c>
      <c r="Z631" s="74" t="str">
        <f t="shared" si="257"/>
        <v/>
      </c>
      <c r="AA631" s="75" t="str">
        <f t="shared" si="261"/>
        <v/>
      </c>
      <c r="AB631" s="103" t="str">
        <f t="shared" si="258"/>
        <v/>
      </c>
      <c r="AC631" s="104" t="str">
        <f t="shared" si="269"/>
        <v/>
      </c>
      <c r="AE631" s="139"/>
      <c r="AF631" s="110" t="str">
        <f t="shared" si="262"/>
        <v/>
      </c>
      <c r="AG631" s="111" t="str">
        <f t="shared" si="263"/>
        <v/>
      </c>
      <c r="AH631" s="111" t="str">
        <f t="shared" si="259"/>
        <v/>
      </c>
      <c r="AI631" s="111" t="str">
        <f t="shared" si="264"/>
        <v/>
      </c>
      <c r="AJ631" s="111" t="str">
        <f t="shared" si="265"/>
        <v/>
      </c>
      <c r="AK631" s="112" t="str">
        <f t="shared" si="266"/>
        <v/>
      </c>
      <c r="AL631" t="str">
        <f t="shared" si="267"/>
        <v/>
      </c>
      <c r="AM631" t="str">
        <f t="shared" si="268"/>
        <v/>
      </c>
    </row>
    <row r="632" spans="1:39" ht="15" customHeight="1" x14ac:dyDescent="0.25">
      <c r="A632" s="131"/>
      <c r="B632" s="133"/>
      <c r="C632" s="133"/>
      <c r="D632" s="42" t="str">
        <f t="shared" si="243"/>
        <v/>
      </c>
      <c r="E632" s="43"/>
      <c r="F632" s="135"/>
      <c r="G632" s="77" t="str">
        <f t="shared" si="244"/>
        <v/>
      </c>
      <c r="H632" s="32" t="str">
        <f t="shared" si="245"/>
        <v/>
      </c>
      <c r="I632" s="78" t="str">
        <f t="shared" si="246"/>
        <v/>
      </c>
      <c r="J632" s="70" t="str">
        <f t="shared" si="247"/>
        <v/>
      </c>
      <c r="K632" s="135"/>
      <c r="L632" s="72" t="str">
        <f t="shared" si="248"/>
        <v/>
      </c>
      <c r="M632" s="135"/>
      <c r="N632" s="72" t="str">
        <f t="shared" si="249"/>
        <v/>
      </c>
      <c r="O632" s="135"/>
      <c r="P632" s="136"/>
      <c r="Q632" s="123" t="str">
        <f t="shared" si="250"/>
        <v/>
      </c>
      <c r="R632" s="45" t="str">
        <f t="shared" si="251"/>
        <v/>
      </c>
      <c r="S632" s="137"/>
      <c r="T632" s="79" t="str">
        <f t="shared" si="260"/>
        <v/>
      </c>
      <c r="U632" s="79" t="str">
        <f t="shared" si="252"/>
        <v/>
      </c>
      <c r="V632" s="73" t="str">
        <f t="shared" si="253"/>
        <v/>
      </c>
      <c r="W632" s="80" t="str">
        <f t="shared" si="254"/>
        <v/>
      </c>
      <c r="X632" s="73" t="str">
        <f t="shared" si="255"/>
        <v/>
      </c>
      <c r="Y632" s="80" t="str">
        <f t="shared" si="256"/>
        <v/>
      </c>
      <c r="Z632" s="74" t="str">
        <f t="shared" si="257"/>
        <v/>
      </c>
      <c r="AA632" s="75" t="str">
        <f t="shared" si="261"/>
        <v/>
      </c>
      <c r="AB632" s="103" t="str">
        <f t="shared" si="258"/>
        <v/>
      </c>
      <c r="AC632" s="104" t="str">
        <f t="shared" si="269"/>
        <v/>
      </c>
      <c r="AE632" s="139"/>
      <c r="AF632" s="110" t="str">
        <f t="shared" si="262"/>
        <v/>
      </c>
      <c r="AG632" s="111" t="str">
        <f t="shared" si="263"/>
        <v/>
      </c>
      <c r="AH632" s="111" t="str">
        <f t="shared" si="259"/>
        <v/>
      </c>
      <c r="AI632" s="111" t="str">
        <f t="shared" si="264"/>
        <v/>
      </c>
      <c r="AJ632" s="111" t="str">
        <f t="shared" si="265"/>
        <v/>
      </c>
      <c r="AK632" s="112" t="str">
        <f t="shared" si="266"/>
        <v/>
      </c>
      <c r="AL632" t="str">
        <f t="shared" si="267"/>
        <v/>
      </c>
      <c r="AM632" t="str">
        <f t="shared" si="268"/>
        <v/>
      </c>
    </row>
    <row r="633" spans="1:39" ht="15" customHeight="1" x14ac:dyDescent="0.25">
      <c r="A633" s="131"/>
      <c r="B633" s="133"/>
      <c r="C633" s="133"/>
      <c r="D633" s="42" t="str">
        <f t="shared" si="243"/>
        <v/>
      </c>
      <c r="E633" s="43"/>
      <c r="F633" s="135"/>
      <c r="G633" s="77" t="str">
        <f t="shared" si="244"/>
        <v/>
      </c>
      <c r="H633" s="32" t="str">
        <f t="shared" si="245"/>
        <v/>
      </c>
      <c r="I633" s="78" t="str">
        <f t="shared" si="246"/>
        <v/>
      </c>
      <c r="J633" s="70" t="str">
        <f t="shared" si="247"/>
        <v/>
      </c>
      <c r="K633" s="135"/>
      <c r="L633" s="72" t="str">
        <f t="shared" si="248"/>
        <v/>
      </c>
      <c r="M633" s="135"/>
      <c r="N633" s="72" t="str">
        <f t="shared" si="249"/>
        <v/>
      </c>
      <c r="O633" s="135"/>
      <c r="P633" s="136"/>
      <c r="Q633" s="123" t="str">
        <f t="shared" si="250"/>
        <v/>
      </c>
      <c r="R633" s="45" t="str">
        <f t="shared" si="251"/>
        <v/>
      </c>
      <c r="S633" s="137"/>
      <c r="T633" s="79" t="str">
        <f t="shared" si="260"/>
        <v/>
      </c>
      <c r="U633" s="79" t="str">
        <f t="shared" si="252"/>
        <v/>
      </c>
      <c r="V633" s="73" t="str">
        <f t="shared" si="253"/>
        <v/>
      </c>
      <c r="W633" s="80" t="str">
        <f t="shared" si="254"/>
        <v/>
      </c>
      <c r="X633" s="73" t="str">
        <f t="shared" si="255"/>
        <v/>
      </c>
      <c r="Y633" s="80" t="str">
        <f t="shared" si="256"/>
        <v/>
      </c>
      <c r="Z633" s="74" t="str">
        <f t="shared" si="257"/>
        <v/>
      </c>
      <c r="AA633" s="75" t="str">
        <f t="shared" si="261"/>
        <v/>
      </c>
      <c r="AB633" s="103" t="str">
        <f t="shared" si="258"/>
        <v/>
      </c>
      <c r="AC633" s="104" t="str">
        <f t="shared" si="269"/>
        <v/>
      </c>
      <c r="AE633" s="139"/>
      <c r="AF633" s="110" t="str">
        <f t="shared" si="262"/>
        <v/>
      </c>
      <c r="AG633" s="111" t="str">
        <f t="shared" si="263"/>
        <v/>
      </c>
      <c r="AH633" s="111" t="str">
        <f t="shared" si="259"/>
        <v/>
      </c>
      <c r="AI633" s="111" t="str">
        <f t="shared" si="264"/>
        <v/>
      </c>
      <c r="AJ633" s="111" t="str">
        <f t="shared" si="265"/>
        <v/>
      </c>
      <c r="AK633" s="112" t="str">
        <f t="shared" si="266"/>
        <v/>
      </c>
      <c r="AL633" t="str">
        <f t="shared" si="267"/>
        <v/>
      </c>
      <c r="AM633" t="str">
        <f t="shared" si="268"/>
        <v/>
      </c>
    </row>
    <row r="634" spans="1:39" ht="15" customHeight="1" x14ac:dyDescent="0.25">
      <c r="A634" s="131"/>
      <c r="B634" s="133"/>
      <c r="C634" s="133"/>
      <c r="D634" s="42" t="str">
        <f t="shared" si="243"/>
        <v/>
      </c>
      <c r="E634" s="43"/>
      <c r="F634" s="135"/>
      <c r="G634" s="77" t="str">
        <f t="shared" si="244"/>
        <v/>
      </c>
      <c r="H634" s="32" t="str">
        <f t="shared" si="245"/>
        <v/>
      </c>
      <c r="I634" s="78" t="str">
        <f t="shared" si="246"/>
        <v/>
      </c>
      <c r="J634" s="70" t="str">
        <f t="shared" si="247"/>
        <v/>
      </c>
      <c r="K634" s="135"/>
      <c r="L634" s="72" t="str">
        <f t="shared" si="248"/>
        <v/>
      </c>
      <c r="M634" s="135"/>
      <c r="N634" s="72" t="str">
        <f t="shared" si="249"/>
        <v/>
      </c>
      <c r="O634" s="135"/>
      <c r="P634" s="136"/>
      <c r="Q634" s="123" t="str">
        <f t="shared" si="250"/>
        <v/>
      </c>
      <c r="R634" s="45" t="str">
        <f t="shared" si="251"/>
        <v/>
      </c>
      <c r="S634" s="137"/>
      <c r="T634" s="79" t="str">
        <f t="shared" si="260"/>
        <v/>
      </c>
      <c r="U634" s="79" t="str">
        <f t="shared" si="252"/>
        <v/>
      </c>
      <c r="V634" s="73" t="str">
        <f t="shared" si="253"/>
        <v/>
      </c>
      <c r="W634" s="80" t="str">
        <f t="shared" si="254"/>
        <v/>
      </c>
      <c r="X634" s="73" t="str">
        <f t="shared" si="255"/>
        <v/>
      </c>
      <c r="Y634" s="80" t="str">
        <f t="shared" si="256"/>
        <v/>
      </c>
      <c r="Z634" s="74" t="str">
        <f t="shared" si="257"/>
        <v/>
      </c>
      <c r="AA634" s="75" t="str">
        <f t="shared" si="261"/>
        <v/>
      </c>
      <c r="AB634" s="103" t="str">
        <f t="shared" si="258"/>
        <v/>
      </c>
      <c r="AC634" s="104" t="str">
        <f t="shared" si="269"/>
        <v/>
      </c>
      <c r="AE634" s="139"/>
      <c r="AF634" s="110" t="str">
        <f t="shared" si="262"/>
        <v/>
      </c>
      <c r="AG634" s="111" t="str">
        <f t="shared" si="263"/>
        <v/>
      </c>
      <c r="AH634" s="111" t="str">
        <f t="shared" si="259"/>
        <v/>
      </c>
      <c r="AI634" s="111" t="str">
        <f t="shared" si="264"/>
        <v/>
      </c>
      <c r="AJ634" s="111" t="str">
        <f t="shared" si="265"/>
        <v/>
      </c>
      <c r="AK634" s="112" t="str">
        <f t="shared" si="266"/>
        <v/>
      </c>
      <c r="AL634" t="str">
        <f t="shared" si="267"/>
        <v/>
      </c>
      <c r="AM634" t="str">
        <f t="shared" si="268"/>
        <v/>
      </c>
    </row>
    <row r="635" spans="1:39" ht="15" customHeight="1" x14ac:dyDescent="0.25">
      <c r="A635" s="131"/>
      <c r="B635" s="133"/>
      <c r="C635" s="133"/>
      <c r="D635" s="42" t="str">
        <f t="shared" si="243"/>
        <v/>
      </c>
      <c r="E635" s="43"/>
      <c r="F635" s="135"/>
      <c r="G635" s="77" t="str">
        <f t="shared" si="244"/>
        <v/>
      </c>
      <c r="H635" s="32" t="str">
        <f t="shared" si="245"/>
        <v/>
      </c>
      <c r="I635" s="78" t="str">
        <f t="shared" si="246"/>
        <v/>
      </c>
      <c r="J635" s="70" t="str">
        <f t="shared" si="247"/>
        <v/>
      </c>
      <c r="K635" s="135"/>
      <c r="L635" s="72" t="str">
        <f t="shared" si="248"/>
        <v/>
      </c>
      <c r="M635" s="135"/>
      <c r="N635" s="72" t="str">
        <f t="shared" si="249"/>
        <v/>
      </c>
      <c r="O635" s="135"/>
      <c r="P635" s="136"/>
      <c r="Q635" s="123" t="str">
        <f t="shared" si="250"/>
        <v/>
      </c>
      <c r="R635" s="45" t="str">
        <f t="shared" si="251"/>
        <v/>
      </c>
      <c r="S635" s="137"/>
      <c r="T635" s="79" t="str">
        <f t="shared" si="260"/>
        <v/>
      </c>
      <c r="U635" s="79" t="str">
        <f t="shared" si="252"/>
        <v/>
      </c>
      <c r="V635" s="73" t="str">
        <f t="shared" si="253"/>
        <v/>
      </c>
      <c r="W635" s="80" t="str">
        <f t="shared" si="254"/>
        <v/>
      </c>
      <c r="X635" s="73" t="str">
        <f t="shared" si="255"/>
        <v/>
      </c>
      <c r="Y635" s="80" t="str">
        <f t="shared" si="256"/>
        <v/>
      </c>
      <c r="Z635" s="74" t="str">
        <f t="shared" si="257"/>
        <v/>
      </c>
      <c r="AA635" s="75" t="str">
        <f t="shared" si="261"/>
        <v/>
      </c>
      <c r="AB635" s="103" t="str">
        <f t="shared" si="258"/>
        <v/>
      </c>
      <c r="AC635" s="104" t="str">
        <f t="shared" si="269"/>
        <v/>
      </c>
      <c r="AE635" s="139"/>
      <c r="AF635" s="110" t="str">
        <f t="shared" si="262"/>
        <v/>
      </c>
      <c r="AG635" s="111" t="str">
        <f t="shared" si="263"/>
        <v/>
      </c>
      <c r="AH635" s="111" t="str">
        <f t="shared" si="259"/>
        <v/>
      </c>
      <c r="AI635" s="111" t="str">
        <f t="shared" si="264"/>
        <v/>
      </c>
      <c r="AJ635" s="111" t="str">
        <f t="shared" si="265"/>
        <v/>
      </c>
      <c r="AK635" s="112" t="str">
        <f t="shared" si="266"/>
        <v/>
      </c>
      <c r="AL635" t="str">
        <f t="shared" si="267"/>
        <v/>
      </c>
      <c r="AM635" t="str">
        <f t="shared" si="268"/>
        <v/>
      </c>
    </row>
    <row r="636" spans="1:39" ht="15" customHeight="1" x14ac:dyDescent="0.25">
      <c r="A636" s="131"/>
      <c r="B636" s="133"/>
      <c r="C636" s="133"/>
      <c r="D636" s="42" t="str">
        <f t="shared" si="243"/>
        <v/>
      </c>
      <c r="E636" s="43"/>
      <c r="F636" s="135"/>
      <c r="G636" s="77" t="str">
        <f t="shared" si="244"/>
        <v/>
      </c>
      <c r="H636" s="32" t="str">
        <f t="shared" si="245"/>
        <v/>
      </c>
      <c r="I636" s="78" t="str">
        <f t="shared" si="246"/>
        <v/>
      </c>
      <c r="J636" s="70" t="str">
        <f t="shared" si="247"/>
        <v/>
      </c>
      <c r="K636" s="135"/>
      <c r="L636" s="72" t="str">
        <f t="shared" si="248"/>
        <v/>
      </c>
      <c r="M636" s="135"/>
      <c r="N636" s="72" t="str">
        <f t="shared" si="249"/>
        <v/>
      </c>
      <c r="O636" s="135"/>
      <c r="P636" s="136"/>
      <c r="Q636" s="123" t="str">
        <f t="shared" si="250"/>
        <v/>
      </c>
      <c r="R636" s="45" t="str">
        <f t="shared" si="251"/>
        <v/>
      </c>
      <c r="S636" s="137"/>
      <c r="T636" s="79" t="str">
        <f t="shared" si="260"/>
        <v/>
      </c>
      <c r="U636" s="79" t="str">
        <f t="shared" si="252"/>
        <v/>
      </c>
      <c r="V636" s="73" t="str">
        <f t="shared" si="253"/>
        <v/>
      </c>
      <c r="W636" s="80" t="str">
        <f t="shared" si="254"/>
        <v/>
      </c>
      <c r="X636" s="73" t="str">
        <f t="shared" si="255"/>
        <v/>
      </c>
      <c r="Y636" s="80" t="str">
        <f t="shared" si="256"/>
        <v/>
      </c>
      <c r="Z636" s="74" t="str">
        <f t="shared" si="257"/>
        <v/>
      </c>
      <c r="AA636" s="75" t="str">
        <f t="shared" si="261"/>
        <v/>
      </c>
      <c r="AB636" s="103" t="str">
        <f t="shared" si="258"/>
        <v/>
      </c>
      <c r="AC636" s="104" t="str">
        <f t="shared" si="269"/>
        <v/>
      </c>
      <c r="AE636" s="139"/>
      <c r="AF636" s="110" t="str">
        <f t="shared" si="262"/>
        <v/>
      </c>
      <c r="AG636" s="111" t="str">
        <f t="shared" si="263"/>
        <v/>
      </c>
      <c r="AH636" s="111" t="str">
        <f t="shared" si="259"/>
        <v/>
      </c>
      <c r="AI636" s="111" t="str">
        <f t="shared" si="264"/>
        <v/>
      </c>
      <c r="AJ636" s="111" t="str">
        <f t="shared" si="265"/>
        <v/>
      </c>
      <c r="AK636" s="112" t="str">
        <f t="shared" si="266"/>
        <v/>
      </c>
      <c r="AL636" t="str">
        <f t="shared" si="267"/>
        <v/>
      </c>
      <c r="AM636" t="str">
        <f t="shared" si="268"/>
        <v/>
      </c>
    </row>
    <row r="637" spans="1:39" ht="15" customHeight="1" x14ac:dyDescent="0.25">
      <c r="A637" s="131"/>
      <c r="B637" s="133"/>
      <c r="C637" s="133"/>
      <c r="D637" s="42" t="str">
        <f t="shared" si="243"/>
        <v/>
      </c>
      <c r="E637" s="43"/>
      <c r="F637" s="135"/>
      <c r="G637" s="77" t="str">
        <f t="shared" si="244"/>
        <v/>
      </c>
      <c r="H637" s="32" t="str">
        <f t="shared" si="245"/>
        <v/>
      </c>
      <c r="I637" s="78" t="str">
        <f t="shared" si="246"/>
        <v/>
      </c>
      <c r="J637" s="70" t="str">
        <f t="shared" si="247"/>
        <v/>
      </c>
      <c r="K637" s="135"/>
      <c r="L637" s="72" t="str">
        <f t="shared" si="248"/>
        <v/>
      </c>
      <c r="M637" s="135"/>
      <c r="N637" s="72" t="str">
        <f t="shared" si="249"/>
        <v/>
      </c>
      <c r="O637" s="135"/>
      <c r="P637" s="136"/>
      <c r="Q637" s="123" t="str">
        <f t="shared" si="250"/>
        <v/>
      </c>
      <c r="R637" s="45" t="str">
        <f t="shared" si="251"/>
        <v/>
      </c>
      <c r="S637" s="137"/>
      <c r="T637" s="79" t="str">
        <f t="shared" si="260"/>
        <v/>
      </c>
      <c r="U637" s="79" t="str">
        <f t="shared" si="252"/>
        <v/>
      </c>
      <c r="V637" s="73" t="str">
        <f t="shared" si="253"/>
        <v/>
      </c>
      <c r="W637" s="80" t="str">
        <f t="shared" si="254"/>
        <v/>
      </c>
      <c r="X637" s="73" t="str">
        <f t="shared" si="255"/>
        <v/>
      </c>
      <c r="Y637" s="80" t="str">
        <f t="shared" si="256"/>
        <v/>
      </c>
      <c r="Z637" s="74" t="str">
        <f t="shared" si="257"/>
        <v/>
      </c>
      <c r="AA637" s="75" t="str">
        <f t="shared" si="261"/>
        <v/>
      </c>
      <c r="AB637" s="103" t="str">
        <f t="shared" si="258"/>
        <v/>
      </c>
      <c r="AC637" s="104" t="str">
        <f t="shared" si="269"/>
        <v/>
      </c>
      <c r="AE637" s="139"/>
      <c r="AF637" s="110" t="str">
        <f t="shared" si="262"/>
        <v/>
      </c>
      <c r="AG637" s="111" t="str">
        <f t="shared" si="263"/>
        <v/>
      </c>
      <c r="AH637" s="111" t="str">
        <f t="shared" si="259"/>
        <v/>
      </c>
      <c r="AI637" s="111" t="str">
        <f t="shared" si="264"/>
        <v/>
      </c>
      <c r="AJ637" s="111" t="str">
        <f t="shared" si="265"/>
        <v/>
      </c>
      <c r="AK637" s="112" t="str">
        <f t="shared" si="266"/>
        <v/>
      </c>
      <c r="AL637" t="str">
        <f t="shared" si="267"/>
        <v/>
      </c>
      <c r="AM637" t="str">
        <f t="shared" si="268"/>
        <v/>
      </c>
    </row>
    <row r="638" spans="1:39" ht="15" customHeight="1" x14ac:dyDescent="0.25">
      <c r="A638" s="131"/>
      <c r="B638" s="133"/>
      <c r="C638" s="133"/>
      <c r="D638" s="42" t="str">
        <f t="shared" si="243"/>
        <v/>
      </c>
      <c r="E638" s="43"/>
      <c r="F638" s="135"/>
      <c r="G638" s="77" t="str">
        <f t="shared" si="244"/>
        <v/>
      </c>
      <c r="H638" s="32" t="str">
        <f t="shared" si="245"/>
        <v/>
      </c>
      <c r="I638" s="78" t="str">
        <f t="shared" si="246"/>
        <v/>
      </c>
      <c r="J638" s="70" t="str">
        <f t="shared" si="247"/>
        <v/>
      </c>
      <c r="K638" s="135"/>
      <c r="L638" s="72" t="str">
        <f t="shared" si="248"/>
        <v/>
      </c>
      <c r="M638" s="135"/>
      <c r="N638" s="72" t="str">
        <f t="shared" si="249"/>
        <v/>
      </c>
      <c r="O638" s="135"/>
      <c r="P638" s="136"/>
      <c r="Q638" s="123" t="str">
        <f t="shared" si="250"/>
        <v/>
      </c>
      <c r="R638" s="45" t="str">
        <f t="shared" si="251"/>
        <v/>
      </c>
      <c r="S638" s="137"/>
      <c r="T638" s="79" t="str">
        <f t="shared" si="260"/>
        <v/>
      </c>
      <c r="U638" s="79" t="str">
        <f t="shared" si="252"/>
        <v/>
      </c>
      <c r="V638" s="73" t="str">
        <f t="shared" si="253"/>
        <v/>
      </c>
      <c r="W638" s="80" t="str">
        <f t="shared" si="254"/>
        <v/>
      </c>
      <c r="X638" s="73" t="str">
        <f t="shared" si="255"/>
        <v/>
      </c>
      <c r="Y638" s="80" t="str">
        <f t="shared" si="256"/>
        <v/>
      </c>
      <c r="Z638" s="74" t="str">
        <f t="shared" si="257"/>
        <v/>
      </c>
      <c r="AA638" s="75" t="str">
        <f t="shared" si="261"/>
        <v/>
      </c>
      <c r="AB638" s="103" t="str">
        <f t="shared" si="258"/>
        <v/>
      </c>
      <c r="AC638" s="104" t="str">
        <f t="shared" si="269"/>
        <v/>
      </c>
      <c r="AE638" s="139"/>
      <c r="AF638" s="110" t="str">
        <f t="shared" si="262"/>
        <v/>
      </c>
      <c r="AG638" s="111" t="str">
        <f t="shared" si="263"/>
        <v/>
      </c>
      <c r="AH638" s="111" t="str">
        <f t="shared" si="259"/>
        <v/>
      </c>
      <c r="AI638" s="111" t="str">
        <f t="shared" si="264"/>
        <v/>
      </c>
      <c r="AJ638" s="111" t="str">
        <f t="shared" si="265"/>
        <v/>
      </c>
      <c r="AK638" s="112" t="str">
        <f t="shared" si="266"/>
        <v/>
      </c>
      <c r="AL638" t="str">
        <f t="shared" si="267"/>
        <v/>
      </c>
      <c r="AM638" t="str">
        <f t="shared" si="268"/>
        <v/>
      </c>
    </row>
    <row r="639" spans="1:39" ht="15" customHeight="1" x14ac:dyDescent="0.25">
      <c r="A639" s="131"/>
      <c r="B639" s="133"/>
      <c r="C639" s="133"/>
      <c r="D639" s="42" t="str">
        <f t="shared" si="243"/>
        <v/>
      </c>
      <c r="E639" s="43"/>
      <c r="F639" s="135"/>
      <c r="G639" s="77" t="str">
        <f t="shared" si="244"/>
        <v/>
      </c>
      <c r="H639" s="32" t="str">
        <f t="shared" si="245"/>
        <v/>
      </c>
      <c r="I639" s="78" t="str">
        <f t="shared" si="246"/>
        <v/>
      </c>
      <c r="J639" s="70" t="str">
        <f t="shared" si="247"/>
        <v/>
      </c>
      <c r="K639" s="135"/>
      <c r="L639" s="72" t="str">
        <f t="shared" si="248"/>
        <v/>
      </c>
      <c r="M639" s="135"/>
      <c r="N639" s="72" t="str">
        <f t="shared" si="249"/>
        <v/>
      </c>
      <c r="O639" s="135"/>
      <c r="P639" s="136"/>
      <c r="Q639" s="123" t="str">
        <f t="shared" si="250"/>
        <v/>
      </c>
      <c r="R639" s="45" t="str">
        <f t="shared" si="251"/>
        <v/>
      </c>
      <c r="S639" s="137"/>
      <c r="T639" s="79" t="str">
        <f t="shared" si="260"/>
        <v/>
      </c>
      <c r="U639" s="79" t="str">
        <f t="shared" si="252"/>
        <v/>
      </c>
      <c r="V639" s="73" t="str">
        <f t="shared" si="253"/>
        <v/>
      </c>
      <c r="W639" s="80" t="str">
        <f t="shared" si="254"/>
        <v/>
      </c>
      <c r="X639" s="73" t="str">
        <f t="shared" si="255"/>
        <v/>
      </c>
      <c r="Y639" s="80" t="str">
        <f t="shared" si="256"/>
        <v/>
      </c>
      <c r="Z639" s="74" t="str">
        <f t="shared" si="257"/>
        <v/>
      </c>
      <c r="AA639" s="75" t="str">
        <f t="shared" si="261"/>
        <v/>
      </c>
      <c r="AB639" s="103" t="str">
        <f t="shared" si="258"/>
        <v/>
      </c>
      <c r="AC639" s="104" t="str">
        <f t="shared" si="269"/>
        <v/>
      </c>
      <c r="AE639" s="139"/>
      <c r="AF639" s="110" t="str">
        <f t="shared" si="262"/>
        <v/>
      </c>
      <c r="AG639" s="111" t="str">
        <f t="shared" si="263"/>
        <v/>
      </c>
      <c r="AH639" s="111" t="str">
        <f t="shared" si="259"/>
        <v/>
      </c>
      <c r="AI639" s="111" t="str">
        <f t="shared" si="264"/>
        <v/>
      </c>
      <c r="AJ639" s="111" t="str">
        <f t="shared" si="265"/>
        <v/>
      </c>
      <c r="AK639" s="112" t="str">
        <f t="shared" si="266"/>
        <v/>
      </c>
      <c r="AL639" t="str">
        <f t="shared" si="267"/>
        <v/>
      </c>
      <c r="AM639" t="str">
        <f t="shared" si="268"/>
        <v/>
      </c>
    </row>
    <row r="640" spans="1:39" ht="15" customHeight="1" x14ac:dyDescent="0.25">
      <c r="A640" s="131"/>
      <c r="B640" s="133"/>
      <c r="C640" s="133"/>
      <c r="D640" s="42" t="str">
        <f t="shared" si="243"/>
        <v/>
      </c>
      <c r="E640" s="43"/>
      <c r="F640" s="135"/>
      <c r="G640" s="77" t="str">
        <f t="shared" si="244"/>
        <v/>
      </c>
      <c r="H640" s="32" t="str">
        <f t="shared" si="245"/>
        <v/>
      </c>
      <c r="I640" s="78" t="str">
        <f t="shared" si="246"/>
        <v/>
      </c>
      <c r="J640" s="70" t="str">
        <f t="shared" si="247"/>
        <v/>
      </c>
      <c r="K640" s="135"/>
      <c r="L640" s="72" t="str">
        <f t="shared" si="248"/>
        <v/>
      </c>
      <c r="M640" s="135"/>
      <c r="N640" s="72" t="str">
        <f t="shared" si="249"/>
        <v/>
      </c>
      <c r="O640" s="135"/>
      <c r="P640" s="136"/>
      <c r="Q640" s="123" t="str">
        <f t="shared" si="250"/>
        <v/>
      </c>
      <c r="R640" s="45" t="str">
        <f t="shared" si="251"/>
        <v/>
      </c>
      <c r="S640" s="137"/>
      <c r="T640" s="79" t="str">
        <f t="shared" si="260"/>
        <v/>
      </c>
      <c r="U640" s="79" t="str">
        <f t="shared" si="252"/>
        <v/>
      </c>
      <c r="V640" s="73" t="str">
        <f t="shared" si="253"/>
        <v/>
      </c>
      <c r="W640" s="80" t="str">
        <f t="shared" si="254"/>
        <v/>
      </c>
      <c r="X640" s="73" t="str">
        <f t="shared" si="255"/>
        <v/>
      </c>
      <c r="Y640" s="80" t="str">
        <f t="shared" si="256"/>
        <v/>
      </c>
      <c r="Z640" s="74" t="str">
        <f t="shared" si="257"/>
        <v/>
      </c>
      <c r="AA640" s="75" t="str">
        <f t="shared" si="261"/>
        <v/>
      </c>
      <c r="AB640" s="103" t="str">
        <f t="shared" si="258"/>
        <v/>
      </c>
      <c r="AC640" s="104" t="str">
        <f t="shared" si="269"/>
        <v/>
      </c>
      <c r="AE640" s="139"/>
      <c r="AF640" s="110" t="str">
        <f t="shared" si="262"/>
        <v/>
      </c>
      <c r="AG640" s="111" t="str">
        <f t="shared" si="263"/>
        <v/>
      </c>
      <c r="AH640" s="111" t="str">
        <f t="shared" si="259"/>
        <v/>
      </c>
      <c r="AI640" s="111" t="str">
        <f t="shared" si="264"/>
        <v/>
      </c>
      <c r="AJ640" s="111" t="str">
        <f t="shared" si="265"/>
        <v/>
      </c>
      <c r="AK640" s="112" t="str">
        <f t="shared" si="266"/>
        <v/>
      </c>
      <c r="AL640" t="str">
        <f t="shared" si="267"/>
        <v/>
      </c>
      <c r="AM640" t="str">
        <f t="shared" si="268"/>
        <v/>
      </c>
    </row>
    <row r="641" spans="1:39" ht="15" customHeight="1" x14ac:dyDescent="0.25">
      <c r="A641" s="131"/>
      <c r="B641" s="133"/>
      <c r="C641" s="133"/>
      <c r="D641" s="42" t="str">
        <f t="shared" si="243"/>
        <v/>
      </c>
      <c r="E641" s="43"/>
      <c r="F641" s="135"/>
      <c r="G641" s="77" t="str">
        <f t="shared" si="244"/>
        <v/>
      </c>
      <c r="H641" s="32" t="str">
        <f t="shared" si="245"/>
        <v/>
      </c>
      <c r="I641" s="78" t="str">
        <f t="shared" si="246"/>
        <v/>
      </c>
      <c r="J641" s="70" t="str">
        <f t="shared" si="247"/>
        <v/>
      </c>
      <c r="K641" s="135"/>
      <c r="L641" s="72" t="str">
        <f t="shared" si="248"/>
        <v/>
      </c>
      <c r="M641" s="135"/>
      <c r="N641" s="72" t="str">
        <f t="shared" si="249"/>
        <v/>
      </c>
      <c r="O641" s="135"/>
      <c r="P641" s="136"/>
      <c r="Q641" s="123" t="str">
        <f t="shared" si="250"/>
        <v/>
      </c>
      <c r="R641" s="45" t="str">
        <f t="shared" si="251"/>
        <v/>
      </c>
      <c r="S641" s="137"/>
      <c r="T641" s="79" t="str">
        <f t="shared" si="260"/>
        <v/>
      </c>
      <c r="U641" s="79" t="str">
        <f t="shared" si="252"/>
        <v/>
      </c>
      <c r="V641" s="73" t="str">
        <f t="shared" si="253"/>
        <v/>
      </c>
      <c r="W641" s="80" t="str">
        <f t="shared" si="254"/>
        <v/>
      </c>
      <c r="X641" s="73" t="str">
        <f t="shared" si="255"/>
        <v/>
      </c>
      <c r="Y641" s="80" t="str">
        <f t="shared" si="256"/>
        <v/>
      </c>
      <c r="Z641" s="74" t="str">
        <f t="shared" si="257"/>
        <v/>
      </c>
      <c r="AA641" s="75" t="str">
        <f t="shared" si="261"/>
        <v/>
      </c>
      <c r="AB641" s="103" t="str">
        <f t="shared" si="258"/>
        <v/>
      </c>
      <c r="AC641" s="104" t="str">
        <f t="shared" si="269"/>
        <v/>
      </c>
      <c r="AE641" s="139"/>
      <c r="AF641" s="110" t="str">
        <f t="shared" si="262"/>
        <v/>
      </c>
      <c r="AG641" s="111" t="str">
        <f t="shared" si="263"/>
        <v/>
      </c>
      <c r="AH641" s="111" t="str">
        <f t="shared" si="259"/>
        <v/>
      </c>
      <c r="AI641" s="111" t="str">
        <f t="shared" si="264"/>
        <v/>
      </c>
      <c r="AJ641" s="111" t="str">
        <f t="shared" si="265"/>
        <v/>
      </c>
      <c r="AK641" s="112" t="str">
        <f t="shared" si="266"/>
        <v/>
      </c>
      <c r="AL641" t="str">
        <f t="shared" si="267"/>
        <v/>
      </c>
      <c r="AM641" t="str">
        <f t="shared" si="268"/>
        <v/>
      </c>
    </row>
    <row r="642" spans="1:39" ht="15" customHeight="1" x14ac:dyDescent="0.25">
      <c r="A642" s="131"/>
      <c r="B642" s="133"/>
      <c r="C642" s="133"/>
      <c r="D642" s="42" t="str">
        <f t="shared" si="243"/>
        <v/>
      </c>
      <c r="E642" s="43"/>
      <c r="F642" s="135"/>
      <c r="G642" s="77" t="str">
        <f t="shared" si="244"/>
        <v/>
      </c>
      <c r="H642" s="32" t="str">
        <f t="shared" si="245"/>
        <v/>
      </c>
      <c r="I642" s="78" t="str">
        <f t="shared" si="246"/>
        <v/>
      </c>
      <c r="J642" s="70" t="str">
        <f t="shared" si="247"/>
        <v/>
      </c>
      <c r="K642" s="135"/>
      <c r="L642" s="72" t="str">
        <f t="shared" si="248"/>
        <v/>
      </c>
      <c r="M642" s="135"/>
      <c r="N642" s="72" t="str">
        <f t="shared" si="249"/>
        <v/>
      </c>
      <c r="O642" s="135"/>
      <c r="P642" s="136"/>
      <c r="Q642" s="123" t="str">
        <f t="shared" si="250"/>
        <v/>
      </c>
      <c r="R642" s="45" t="str">
        <f t="shared" si="251"/>
        <v/>
      </c>
      <c r="S642" s="137"/>
      <c r="T642" s="79" t="str">
        <f t="shared" si="260"/>
        <v/>
      </c>
      <c r="U642" s="79" t="str">
        <f t="shared" si="252"/>
        <v/>
      </c>
      <c r="V642" s="73" t="str">
        <f t="shared" si="253"/>
        <v/>
      </c>
      <c r="W642" s="80" t="str">
        <f t="shared" si="254"/>
        <v/>
      </c>
      <c r="X642" s="73" t="str">
        <f t="shared" si="255"/>
        <v/>
      </c>
      <c r="Y642" s="80" t="str">
        <f t="shared" si="256"/>
        <v/>
      </c>
      <c r="Z642" s="74" t="str">
        <f t="shared" si="257"/>
        <v/>
      </c>
      <c r="AA642" s="75" t="str">
        <f t="shared" si="261"/>
        <v/>
      </c>
      <c r="AB642" s="103" t="str">
        <f t="shared" si="258"/>
        <v/>
      </c>
      <c r="AC642" s="104" t="str">
        <f t="shared" si="269"/>
        <v/>
      </c>
      <c r="AE642" s="139"/>
      <c r="AF642" s="110" t="str">
        <f t="shared" si="262"/>
        <v/>
      </c>
      <c r="AG642" s="111" t="str">
        <f t="shared" si="263"/>
        <v/>
      </c>
      <c r="AH642" s="111" t="str">
        <f t="shared" si="259"/>
        <v/>
      </c>
      <c r="AI642" s="111" t="str">
        <f t="shared" si="264"/>
        <v/>
      </c>
      <c r="AJ642" s="111" t="str">
        <f t="shared" si="265"/>
        <v/>
      </c>
      <c r="AK642" s="112" t="str">
        <f t="shared" si="266"/>
        <v/>
      </c>
      <c r="AL642" t="str">
        <f t="shared" si="267"/>
        <v/>
      </c>
      <c r="AM642" t="str">
        <f t="shared" si="268"/>
        <v/>
      </c>
    </row>
    <row r="643" spans="1:39" ht="15" customHeight="1" x14ac:dyDescent="0.25">
      <c r="A643" s="131"/>
      <c r="B643" s="133"/>
      <c r="C643" s="133"/>
      <c r="D643" s="42" t="str">
        <f t="shared" si="243"/>
        <v/>
      </c>
      <c r="E643" s="43"/>
      <c r="F643" s="135"/>
      <c r="G643" s="77" t="str">
        <f t="shared" si="244"/>
        <v/>
      </c>
      <c r="H643" s="32" t="str">
        <f t="shared" si="245"/>
        <v/>
      </c>
      <c r="I643" s="78" t="str">
        <f t="shared" si="246"/>
        <v/>
      </c>
      <c r="J643" s="70" t="str">
        <f t="shared" si="247"/>
        <v/>
      </c>
      <c r="K643" s="135"/>
      <c r="L643" s="72" t="str">
        <f t="shared" si="248"/>
        <v/>
      </c>
      <c r="M643" s="135"/>
      <c r="N643" s="72" t="str">
        <f t="shared" si="249"/>
        <v/>
      </c>
      <c r="O643" s="135"/>
      <c r="P643" s="136"/>
      <c r="Q643" s="123" t="str">
        <f t="shared" si="250"/>
        <v/>
      </c>
      <c r="R643" s="45" t="str">
        <f t="shared" si="251"/>
        <v/>
      </c>
      <c r="S643" s="137"/>
      <c r="T643" s="79" t="str">
        <f t="shared" si="260"/>
        <v/>
      </c>
      <c r="U643" s="79" t="str">
        <f t="shared" si="252"/>
        <v/>
      </c>
      <c r="V643" s="73" t="str">
        <f t="shared" si="253"/>
        <v/>
      </c>
      <c r="W643" s="80" t="str">
        <f t="shared" si="254"/>
        <v/>
      </c>
      <c r="X643" s="73" t="str">
        <f t="shared" si="255"/>
        <v/>
      </c>
      <c r="Y643" s="80" t="str">
        <f t="shared" si="256"/>
        <v/>
      </c>
      <c r="Z643" s="74" t="str">
        <f t="shared" si="257"/>
        <v/>
      </c>
      <c r="AA643" s="75" t="str">
        <f t="shared" si="261"/>
        <v/>
      </c>
      <c r="AB643" s="103" t="str">
        <f t="shared" si="258"/>
        <v/>
      </c>
      <c r="AC643" s="104" t="str">
        <f t="shared" si="269"/>
        <v/>
      </c>
      <c r="AE643" s="139"/>
      <c r="AF643" s="110" t="str">
        <f t="shared" si="262"/>
        <v/>
      </c>
      <c r="AG643" s="111" t="str">
        <f t="shared" si="263"/>
        <v/>
      </c>
      <c r="AH643" s="111" t="str">
        <f t="shared" si="259"/>
        <v/>
      </c>
      <c r="AI643" s="111" t="str">
        <f t="shared" si="264"/>
        <v/>
      </c>
      <c r="AJ643" s="111" t="str">
        <f t="shared" si="265"/>
        <v/>
      </c>
      <c r="AK643" s="112" t="str">
        <f t="shared" si="266"/>
        <v/>
      </c>
      <c r="AL643" t="str">
        <f t="shared" si="267"/>
        <v/>
      </c>
      <c r="AM643" t="str">
        <f t="shared" si="268"/>
        <v/>
      </c>
    </row>
    <row r="644" spans="1:39" ht="15" customHeight="1" x14ac:dyDescent="0.25">
      <c r="A644" s="131"/>
      <c r="B644" s="133"/>
      <c r="C644" s="133"/>
      <c r="D644" s="42" t="str">
        <f t="shared" si="243"/>
        <v/>
      </c>
      <c r="E644" s="43"/>
      <c r="F644" s="135"/>
      <c r="G644" s="77" t="str">
        <f t="shared" si="244"/>
        <v/>
      </c>
      <c r="H644" s="32" t="str">
        <f t="shared" si="245"/>
        <v/>
      </c>
      <c r="I644" s="78" t="str">
        <f t="shared" si="246"/>
        <v/>
      </c>
      <c r="J644" s="70" t="str">
        <f t="shared" si="247"/>
        <v/>
      </c>
      <c r="K644" s="135"/>
      <c r="L644" s="72" t="str">
        <f t="shared" si="248"/>
        <v/>
      </c>
      <c r="M644" s="135"/>
      <c r="N644" s="72" t="str">
        <f t="shared" si="249"/>
        <v/>
      </c>
      <c r="O644" s="135"/>
      <c r="P644" s="136"/>
      <c r="Q644" s="123" t="str">
        <f t="shared" si="250"/>
        <v/>
      </c>
      <c r="R644" s="45" t="str">
        <f t="shared" si="251"/>
        <v/>
      </c>
      <c r="S644" s="137"/>
      <c r="T644" s="79" t="str">
        <f t="shared" si="260"/>
        <v/>
      </c>
      <c r="U644" s="79" t="str">
        <f t="shared" si="252"/>
        <v/>
      </c>
      <c r="V644" s="73" t="str">
        <f t="shared" si="253"/>
        <v/>
      </c>
      <c r="W644" s="80" t="str">
        <f t="shared" si="254"/>
        <v/>
      </c>
      <c r="X644" s="73" t="str">
        <f t="shared" si="255"/>
        <v/>
      </c>
      <c r="Y644" s="80" t="str">
        <f t="shared" si="256"/>
        <v/>
      </c>
      <c r="Z644" s="74" t="str">
        <f t="shared" si="257"/>
        <v/>
      </c>
      <c r="AA644" s="75" t="str">
        <f t="shared" si="261"/>
        <v/>
      </c>
      <c r="AB644" s="103" t="str">
        <f t="shared" si="258"/>
        <v/>
      </c>
      <c r="AC644" s="104" t="str">
        <f t="shared" si="269"/>
        <v/>
      </c>
      <c r="AE644" s="139"/>
      <c r="AF644" s="110" t="str">
        <f t="shared" si="262"/>
        <v/>
      </c>
      <c r="AG644" s="111" t="str">
        <f t="shared" si="263"/>
        <v/>
      </c>
      <c r="AH644" s="111" t="str">
        <f t="shared" si="259"/>
        <v/>
      </c>
      <c r="AI644" s="111" t="str">
        <f t="shared" si="264"/>
        <v/>
      </c>
      <c r="AJ644" s="111" t="str">
        <f t="shared" si="265"/>
        <v/>
      </c>
      <c r="AK644" s="112" t="str">
        <f t="shared" si="266"/>
        <v/>
      </c>
      <c r="AL644" t="str">
        <f t="shared" si="267"/>
        <v/>
      </c>
      <c r="AM644" t="str">
        <f t="shared" si="268"/>
        <v/>
      </c>
    </row>
    <row r="645" spans="1:39" ht="15" customHeight="1" x14ac:dyDescent="0.25">
      <c r="A645" s="131"/>
      <c r="B645" s="133"/>
      <c r="C645" s="133"/>
      <c r="D645" s="42" t="str">
        <f t="shared" si="243"/>
        <v/>
      </c>
      <c r="E645" s="43"/>
      <c r="F645" s="135"/>
      <c r="G645" s="77" t="str">
        <f t="shared" si="244"/>
        <v/>
      </c>
      <c r="H645" s="32" t="str">
        <f t="shared" si="245"/>
        <v/>
      </c>
      <c r="I645" s="78" t="str">
        <f t="shared" si="246"/>
        <v/>
      </c>
      <c r="J645" s="70" t="str">
        <f t="shared" si="247"/>
        <v/>
      </c>
      <c r="K645" s="135"/>
      <c r="L645" s="72" t="str">
        <f t="shared" si="248"/>
        <v/>
      </c>
      <c r="M645" s="135"/>
      <c r="N645" s="72" t="str">
        <f t="shared" si="249"/>
        <v/>
      </c>
      <c r="O645" s="135"/>
      <c r="P645" s="136"/>
      <c r="Q645" s="123" t="str">
        <f t="shared" si="250"/>
        <v/>
      </c>
      <c r="R645" s="45" t="str">
        <f t="shared" si="251"/>
        <v/>
      </c>
      <c r="S645" s="137"/>
      <c r="T645" s="79" t="str">
        <f t="shared" si="260"/>
        <v/>
      </c>
      <c r="U645" s="79" t="str">
        <f t="shared" si="252"/>
        <v/>
      </c>
      <c r="V645" s="73" t="str">
        <f t="shared" si="253"/>
        <v/>
      </c>
      <c r="W645" s="80" t="str">
        <f t="shared" si="254"/>
        <v/>
      </c>
      <c r="X645" s="73" t="str">
        <f t="shared" si="255"/>
        <v/>
      </c>
      <c r="Y645" s="80" t="str">
        <f t="shared" si="256"/>
        <v/>
      </c>
      <c r="Z645" s="74" t="str">
        <f t="shared" si="257"/>
        <v/>
      </c>
      <c r="AA645" s="75" t="str">
        <f t="shared" si="261"/>
        <v/>
      </c>
      <c r="AB645" s="103" t="str">
        <f t="shared" si="258"/>
        <v/>
      </c>
      <c r="AC645" s="104" t="str">
        <f t="shared" si="269"/>
        <v/>
      </c>
      <c r="AE645" s="139"/>
      <c r="AF645" s="110" t="str">
        <f t="shared" si="262"/>
        <v/>
      </c>
      <c r="AG645" s="111" t="str">
        <f t="shared" si="263"/>
        <v/>
      </c>
      <c r="AH645" s="111" t="str">
        <f t="shared" si="259"/>
        <v/>
      </c>
      <c r="AI645" s="111" t="str">
        <f t="shared" si="264"/>
        <v/>
      </c>
      <c r="AJ645" s="111" t="str">
        <f t="shared" si="265"/>
        <v/>
      </c>
      <c r="AK645" s="112" t="str">
        <f t="shared" si="266"/>
        <v/>
      </c>
      <c r="AL645" t="str">
        <f t="shared" si="267"/>
        <v/>
      </c>
      <c r="AM645" t="str">
        <f t="shared" si="268"/>
        <v/>
      </c>
    </row>
    <row r="646" spans="1:39" ht="15" customHeight="1" x14ac:dyDescent="0.25">
      <c r="A646" s="131"/>
      <c r="B646" s="133"/>
      <c r="C646" s="133"/>
      <c r="D646" s="42" t="str">
        <f t="shared" si="243"/>
        <v/>
      </c>
      <c r="E646" s="43"/>
      <c r="F646" s="135"/>
      <c r="G646" s="77" t="str">
        <f t="shared" si="244"/>
        <v/>
      </c>
      <c r="H646" s="32" t="str">
        <f t="shared" si="245"/>
        <v/>
      </c>
      <c r="I646" s="78" t="str">
        <f t="shared" si="246"/>
        <v/>
      </c>
      <c r="J646" s="70" t="str">
        <f t="shared" si="247"/>
        <v/>
      </c>
      <c r="K646" s="135"/>
      <c r="L646" s="72" t="str">
        <f t="shared" si="248"/>
        <v/>
      </c>
      <c r="M646" s="135"/>
      <c r="N646" s="72" t="str">
        <f t="shared" si="249"/>
        <v/>
      </c>
      <c r="O646" s="135"/>
      <c r="P646" s="136"/>
      <c r="Q646" s="123" t="str">
        <f t="shared" si="250"/>
        <v/>
      </c>
      <c r="R646" s="45" t="str">
        <f t="shared" si="251"/>
        <v/>
      </c>
      <c r="S646" s="137"/>
      <c r="T646" s="79" t="str">
        <f t="shared" si="260"/>
        <v/>
      </c>
      <c r="U646" s="79" t="str">
        <f t="shared" si="252"/>
        <v/>
      </c>
      <c r="V646" s="73" t="str">
        <f t="shared" si="253"/>
        <v/>
      </c>
      <c r="W646" s="80" t="str">
        <f t="shared" si="254"/>
        <v/>
      </c>
      <c r="X646" s="73" t="str">
        <f t="shared" si="255"/>
        <v/>
      </c>
      <c r="Y646" s="80" t="str">
        <f t="shared" si="256"/>
        <v/>
      </c>
      <c r="Z646" s="74" t="str">
        <f t="shared" si="257"/>
        <v/>
      </c>
      <c r="AA646" s="75" t="str">
        <f t="shared" si="261"/>
        <v/>
      </c>
      <c r="AB646" s="103" t="str">
        <f t="shared" si="258"/>
        <v/>
      </c>
      <c r="AC646" s="104" t="str">
        <f t="shared" si="269"/>
        <v/>
      </c>
      <c r="AE646" s="139"/>
      <c r="AF646" s="110" t="str">
        <f t="shared" si="262"/>
        <v/>
      </c>
      <c r="AG646" s="111" t="str">
        <f t="shared" si="263"/>
        <v/>
      </c>
      <c r="AH646" s="111" t="str">
        <f t="shared" si="259"/>
        <v/>
      </c>
      <c r="AI646" s="111" t="str">
        <f t="shared" si="264"/>
        <v/>
      </c>
      <c r="AJ646" s="111" t="str">
        <f t="shared" si="265"/>
        <v/>
      </c>
      <c r="AK646" s="112" t="str">
        <f t="shared" si="266"/>
        <v/>
      </c>
      <c r="AL646" t="str">
        <f t="shared" si="267"/>
        <v/>
      </c>
      <c r="AM646" t="str">
        <f t="shared" si="268"/>
        <v/>
      </c>
    </row>
    <row r="647" spans="1:39" ht="15" customHeight="1" x14ac:dyDescent="0.25">
      <c r="A647" s="131"/>
      <c r="B647" s="133"/>
      <c r="C647" s="133"/>
      <c r="D647" s="42" t="str">
        <f t="shared" si="243"/>
        <v/>
      </c>
      <c r="E647" s="43"/>
      <c r="F647" s="135"/>
      <c r="G647" s="77" t="str">
        <f t="shared" si="244"/>
        <v/>
      </c>
      <c r="H647" s="32" t="str">
        <f t="shared" si="245"/>
        <v/>
      </c>
      <c r="I647" s="78" t="str">
        <f t="shared" si="246"/>
        <v/>
      </c>
      <c r="J647" s="70" t="str">
        <f t="shared" si="247"/>
        <v/>
      </c>
      <c r="K647" s="135"/>
      <c r="L647" s="72" t="str">
        <f t="shared" si="248"/>
        <v/>
      </c>
      <c r="M647" s="135"/>
      <c r="N647" s="72" t="str">
        <f t="shared" si="249"/>
        <v/>
      </c>
      <c r="O647" s="135"/>
      <c r="P647" s="136"/>
      <c r="Q647" s="123" t="str">
        <f t="shared" si="250"/>
        <v/>
      </c>
      <c r="R647" s="45" t="str">
        <f t="shared" si="251"/>
        <v/>
      </c>
      <c r="S647" s="137"/>
      <c r="T647" s="79" t="str">
        <f t="shared" si="260"/>
        <v/>
      </c>
      <c r="U647" s="79" t="str">
        <f t="shared" si="252"/>
        <v/>
      </c>
      <c r="V647" s="73" t="str">
        <f t="shared" si="253"/>
        <v/>
      </c>
      <c r="W647" s="80" t="str">
        <f t="shared" si="254"/>
        <v/>
      </c>
      <c r="X647" s="73" t="str">
        <f t="shared" si="255"/>
        <v/>
      </c>
      <c r="Y647" s="80" t="str">
        <f t="shared" si="256"/>
        <v/>
      </c>
      <c r="Z647" s="74" t="str">
        <f t="shared" si="257"/>
        <v/>
      </c>
      <c r="AA647" s="75" t="str">
        <f t="shared" si="261"/>
        <v/>
      </c>
      <c r="AB647" s="103" t="str">
        <f t="shared" si="258"/>
        <v/>
      </c>
      <c r="AC647" s="104" t="str">
        <f t="shared" si="269"/>
        <v/>
      </c>
      <c r="AE647" s="139"/>
      <c r="AF647" s="110" t="str">
        <f t="shared" si="262"/>
        <v/>
      </c>
      <c r="AG647" s="111" t="str">
        <f t="shared" si="263"/>
        <v/>
      </c>
      <c r="AH647" s="111" t="str">
        <f t="shared" si="259"/>
        <v/>
      </c>
      <c r="AI647" s="111" t="str">
        <f t="shared" si="264"/>
        <v/>
      </c>
      <c r="AJ647" s="111" t="str">
        <f t="shared" si="265"/>
        <v/>
      </c>
      <c r="AK647" s="112" t="str">
        <f t="shared" si="266"/>
        <v/>
      </c>
      <c r="AL647" t="str">
        <f t="shared" si="267"/>
        <v/>
      </c>
      <c r="AM647" t="str">
        <f t="shared" si="268"/>
        <v/>
      </c>
    </row>
    <row r="648" spans="1:39" ht="15" customHeight="1" x14ac:dyDescent="0.25">
      <c r="A648" s="131"/>
      <c r="B648" s="133"/>
      <c r="C648" s="133"/>
      <c r="D648" s="42" t="str">
        <f t="shared" ref="D648:D711" si="270">IF(A648="","",B648*C648)</f>
        <v/>
      </c>
      <c r="E648" s="43"/>
      <c r="F648" s="135"/>
      <c r="G648" s="77" t="str">
        <f t="shared" ref="G648:G711" si="271">IF(OR(F648="",C648=0,C648=""),"",F648/C648)</f>
        <v/>
      </c>
      <c r="H648" s="32" t="str">
        <f t="shared" ref="H648:H711" si="272">IF(F648="","",ROUND(F648*$G$1,2))</f>
        <v/>
      </c>
      <c r="I648" s="78" t="str">
        <f t="shared" ref="I648:I711" si="273">IF(OR(H648="",C648=0,C648=""),"",H648/C648)</f>
        <v/>
      </c>
      <c r="J648" s="70" t="str">
        <f t="shared" ref="J648:J711" si="274">IF(A648="","",F648*B648)</f>
        <v/>
      </c>
      <c r="K648" s="135"/>
      <c r="L648" s="72" t="str">
        <f t="shared" ref="L648:L711" si="275">IF(OR(K648=0,C648=0,K648="",C648=""),"",K648/C648)</f>
        <v/>
      </c>
      <c r="M648" s="135"/>
      <c r="N648" s="72" t="str">
        <f t="shared" ref="N648:N711" si="276">IF(OR(M648=0,C648=0,M648="",C648=""),"",M648/C648)</f>
        <v/>
      </c>
      <c r="O648" s="135"/>
      <c r="P648" s="136"/>
      <c r="Q648" s="123" t="str">
        <f t="shared" ref="Q648:Q711" si="277">IF(A648="","",IF(S648&gt;0,IF(J648&gt;0,S648/J648,0),IF(E648&gt;0,0,IF($I$2&gt;0,IF($I$3&gt;0,MAX($I$2-SUM($S$8:$S$1007),0)/$I$3,0),$I$1))))</f>
        <v/>
      </c>
      <c r="R648" s="45" t="str">
        <f t="shared" ref="R648:R711" si="278">IF(A648="","",IF(S648&gt;0,S648,IF(E648&gt;0,0,J648*IF($I$2&gt;0,IF($I$3&gt;0,MAX($I$2-SUM($S$8:$S$1007),0)/$I$3,0),$I$1))))</f>
        <v/>
      </c>
      <c r="S648" s="137"/>
      <c r="T648" s="79" t="str">
        <f t="shared" si="260"/>
        <v/>
      </c>
      <c r="U648" s="79" t="str">
        <f t="shared" ref="U648:U711" si="279">IF(OR(A648="",T648=""),"",T648*C648)</f>
        <v/>
      </c>
      <c r="V648" s="73" t="str">
        <f t="shared" ref="V648:V711" si="280">IF(OR(A648="",K648&lt;=0,U648=""),"",(K648-U648)/K648)</f>
        <v/>
      </c>
      <c r="W648" s="80" t="str">
        <f t="shared" ref="W648:W711" si="281">IF(OR(K648=0,U648=0,K648="",U648=""),"",K648-U648)</f>
        <v/>
      </c>
      <c r="X648" s="73" t="str">
        <f t="shared" ref="X648:X711" si="282">IF(OR(A648="",M648&lt;=0,U648=""),"",(M648-U648)/M648)</f>
        <v/>
      </c>
      <c r="Y648" s="80" t="str">
        <f t="shared" ref="Y648:Y711" si="283">IF(OR(M648=0,U648=0,M648="",U648=""),"",M648-U648)</f>
        <v/>
      </c>
      <c r="Z648" s="74" t="str">
        <f t="shared" ref="Z648:Z711" si="284">IF(OR(J648="",J648=0,$M$5="",$K$1=0),"",($M$5/$K$1)*J648)</f>
        <v/>
      </c>
      <c r="AA648" s="75" t="str">
        <f t="shared" si="261"/>
        <v/>
      </c>
      <c r="AB648" s="103" t="str">
        <f t="shared" ref="AB648:AB711" si="285">IF(OR(T648=0,T648="",D648=0,D648=""),"",T648*(D648+E648))</f>
        <v/>
      </c>
      <c r="AC648" s="104" t="str">
        <f t="shared" si="269"/>
        <v/>
      </c>
      <c r="AE648" s="139"/>
      <c r="AF648" s="110" t="str">
        <f t="shared" si="262"/>
        <v/>
      </c>
      <c r="AG648" s="111" t="str">
        <f t="shared" si="263"/>
        <v/>
      </c>
      <c r="AH648" s="111" t="str">
        <f t="shared" ref="AH648:AH711" si="286">IF(AG648="","",AG648*$AF$1+IF(SUM($AG$8:$AG$1007)=0,0,$AF$2*AG648/SUM($AG$8:$AG$1007)))</f>
        <v/>
      </c>
      <c r="AI648" s="111" t="str">
        <f t="shared" si="264"/>
        <v/>
      </c>
      <c r="AJ648" s="111" t="str">
        <f t="shared" si="265"/>
        <v/>
      </c>
      <c r="AK648" s="112" t="str">
        <f t="shared" si="266"/>
        <v/>
      </c>
      <c r="AL648" t="str">
        <f t="shared" si="267"/>
        <v/>
      </c>
      <c r="AM648" t="str">
        <f t="shared" si="268"/>
        <v/>
      </c>
    </row>
    <row r="649" spans="1:39" ht="15" customHeight="1" x14ac:dyDescent="0.25">
      <c r="A649" s="131"/>
      <c r="B649" s="133"/>
      <c r="C649" s="133"/>
      <c r="D649" s="42" t="str">
        <f t="shared" si="270"/>
        <v/>
      </c>
      <c r="E649" s="43"/>
      <c r="F649" s="135"/>
      <c r="G649" s="77" t="str">
        <f t="shared" si="271"/>
        <v/>
      </c>
      <c r="H649" s="32" t="str">
        <f t="shared" si="272"/>
        <v/>
      </c>
      <c r="I649" s="78" t="str">
        <f t="shared" si="273"/>
        <v/>
      </c>
      <c r="J649" s="70" t="str">
        <f t="shared" si="274"/>
        <v/>
      </c>
      <c r="K649" s="135"/>
      <c r="L649" s="72" t="str">
        <f t="shared" si="275"/>
        <v/>
      </c>
      <c r="M649" s="135"/>
      <c r="N649" s="72" t="str">
        <f t="shared" si="276"/>
        <v/>
      </c>
      <c r="O649" s="135"/>
      <c r="P649" s="136"/>
      <c r="Q649" s="123" t="str">
        <f t="shared" si="277"/>
        <v/>
      </c>
      <c r="R649" s="45" t="str">
        <f t="shared" si="278"/>
        <v/>
      </c>
      <c r="S649" s="137"/>
      <c r="T649" s="79" t="str">
        <f t="shared" ref="T649:T712" si="287">IF(A649="","",IF(OR(B649=0,B649="",C649&lt;=0,D649+E649&lt;=0),"",((F649+H649)*B649+(H649/C649)*E649-R649)/(D649+E649)-IF(Z649&gt;=0,Z649/D649,0)+IF(ISNUMBER(AA649),AA649/(D649+E649),0)))</f>
        <v/>
      </c>
      <c r="U649" s="79" t="str">
        <f t="shared" si="279"/>
        <v/>
      </c>
      <c r="V649" s="73" t="str">
        <f t="shared" si="280"/>
        <v/>
      </c>
      <c r="W649" s="80" t="str">
        <f t="shared" si="281"/>
        <v/>
      </c>
      <c r="X649" s="73" t="str">
        <f t="shared" si="282"/>
        <v/>
      </c>
      <c r="Y649" s="80" t="str">
        <f t="shared" si="283"/>
        <v/>
      </c>
      <c r="Z649" s="74" t="str">
        <f t="shared" si="284"/>
        <v/>
      </c>
      <c r="AA649" s="75" t="str">
        <f t="shared" ref="AA649:AA712" si="288">IF(OR(J649="",J649=0,($G$3-$I$4)=0),"",($K$3/($G$3-$I$4))*(J649-R649))</f>
        <v/>
      </c>
      <c r="AB649" s="103" t="str">
        <f t="shared" si="285"/>
        <v/>
      </c>
      <c r="AC649" s="104" t="str">
        <f t="shared" si="269"/>
        <v/>
      </c>
      <c r="AE649" s="139"/>
      <c r="AF649" s="110" t="str">
        <f t="shared" ref="AF649:AF712" si="289">IF(AE649="","",T649)</f>
        <v/>
      </c>
      <c r="AG649" s="111" t="str">
        <f t="shared" ref="AG649:AG712" si="290">IF(OR(AE649="",AF649=""),"",AE649*AF649)</f>
        <v/>
      </c>
      <c r="AH649" s="111" t="str">
        <f t="shared" si="286"/>
        <v/>
      </c>
      <c r="AI649" s="111" t="str">
        <f t="shared" ref="AI649:AI712" si="291">IF(AG649="","",AG649-AH649)</f>
        <v/>
      </c>
      <c r="AJ649" s="111" t="str">
        <f t="shared" ref="AJ649:AJ712" si="292">IF(AI649="","",AK649-AI649)</f>
        <v/>
      </c>
      <c r="AK649" s="112" t="str">
        <f t="shared" ref="AK649:AK712" si="293">IF(AI649="","",ROUND(AI649,0))</f>
        <v/>
      </c>
      <c r="AL649" t="str">
        <f t="shared" ref="AL649:AL712" si="294">IF(OR(AE649=0,AE649=""),"",AH649/AE649)</f>
        <v/>
      </c>
      <c r="AM649" t="str">
        <f t="shared" ref="AM649:AM712" si="295">IF(OR(AE649=0,AE649=""),"",AF649*C649)</f>
        <v/>
      </c>
    </row>
    <row r="650" spans="1:39" ht="15" customHeight="1" x14ac:dyDescent="0.25">
      <c r="A650" s="131"/>
      <c r="B650" s="133"/>
      <c r="C650" s="133"/>
      <c r="D650" s="42" t="str">
        <f t="shared" si="270"/>
        <v/>
      </c>
      <c r="E650" s="43"/>
      <c r="F650" s="135"/>
      <c r="G650" s="77" t="str">
        <f t="shared" si="271"/>
        <v/>
      </c>
      <c r="H650" s="32" t="str">
        <f t="shared" si="272"/>
        <v/>
      </c>
      <c r="I650" s="78" t="str">
        <f t="shared" si="273"/>
        <v/>
      </c>
      <c r="J650" s="70" t="str">
        <f t="shared" si="274"/>
        <v/>
      </c>
      <c r="K650" s="135"/>
      <c r="L650" s="72" t="str">
        <f t="shared" si="275"/>
        <v/>
      </c>
      <c r="M650" s="135"/>
      <c r="N650" s="72" t="str">
        <f t="shared" si="276"/>
        <v/>
      </c>
      <c r="O650" s="135"/>
      <c r="P650" s="136"/>
      <c r="Q650" s="123" t="str">
        <f t="shared" si="277"/>
        <v/>
      </c>
      <c r="R650" s="45" t="str">
        <f t="shared" si="278"/>
        <v/>
      </c>
      <c r="S650" s="137"/>
      <c r="T650" s="79" t="str">
        <f t="shared" si="287"/>
        <v/>
      </c>
      <c r="U650" s="79" t="str">
        <f t="shared" si="279"/>
        <v/>
      </c>
      <c r="V650" s="73" t="str">
        <f t="shared" si="280"/>
        <v/>
      </c>
      <c r="W650" s="80" t="str">
        <f t="shared" si="281"/>
        <v/>
      </c>
      <c r="X650" s="73" t="str">
        <f t="shared" si="282"/>
        <v/>
      </c>
      <c r="Y650" s="80" t="str">
        <f t="shared" si="283"/>
        <v/>
      </c>
      <c r="Z650" s="74" t="str">
        <f t="shared" si="284"/>
        <v/>
      </c>
      <c r="AA650" s="75" t="str">
        <f t="shared" si="288"/>
        <v/>
      </c>
      <c r="AB650" s="103" t="str">
        <f t="shared" si="285"/>
        <v/>
      </c>
      <c r="AC650" s="104" t="str">
        <f t="shared" ref="AC650:AC713" si="296">IF(OR(A650="",J650="",C650&lt;=0, B650=0),"",J650+H650*B650+(H650/C650)*E650)</f>
        <v/>
      </c>
      <c r="AE650" s="139"/>
      <c r="AF650" s="110" t="str">
        <f t="shared" si="289"/>
        <v/>
      </c>
      <c r="AG650" s="111" t="str">
        <f t="shared" si="290"/>
        <v/>
      </c>
      <c r="AH650" s="111" t="str">
        <f t="shared" si="286"/>
        <v/>
      </c>
      <c r="AI650" s="111" t="str">
        <f t="shared" si="291"/>
        <v/>
      </c>
      <c r="AJ650" s="111" t="str">
        <f t="shared" si="292"/>
        <v/>
      </c>
      <c r="AK650" s="112" t="str">
        <f t="shared" si="293"/>
        <v/>
      </c>
      <c r="AL650" t="str">
        <f t="shared" si="294"/>
        <v/>
      </c>
      <c r="AM650" t="str">
        <f t="shared" si="295"/>
        <v/>
      </c>
    </row>
    <row r="651" spans="1:39" ht="15" customHeight="1" x14ac:dyDescent="0.25">
      <c r="A651" s="131"/>
      <c r="B651" s="133"/>
      <c r="C651" s="133"/>
      <c r="D651" s="42" t="str">
        <f t="shared" si="270"/>
        <v/>
      </c>
      <c r="E651" s="43"/>
      <c r="F651" s="135"/>
      <c r="G651" s="77" t="str">
        <f t="shared" si="271"/>
        <v/>
      </c>
      <c r="H651" s="32" t="str">
        <f t="shared" si="272"/>
        <v/>
      </c>
      <c r="I651" s="78" t="str">
        <f t="shared" si="273"/>
        <v/>
      </c>
      <c r="J651" s="70" t="str">
        <f t="shared" si="274"/>
        <v/>
      </c>
      <c r="K651" s="135"/>
      <c r="L651" s="72" t="str">
        <f t="shared" si="275"/>
        <v/>
      </c>
      <c r="M651" s="135"/>
      <c r="N651" s="72" t="str">
        <f t="shared" si="276"/>
        <v/>
      </c>
      <c r="O651" s="135"/>
      <c r="P651" s="136"/>
      <c r="Q651" s="123" t="str">
        <f t="shared" si="277"/>
        <v/>
      </c>
      <c r="R651" s="45" t="str">
        <f t="shared" si="278"/>
        <v/>
      </c>
      <c r="S651" s="137"/>
      <c r="T651" s="79" t="str">
        <f t="shared" si="287"/>
        <v/>
      </c>
      <c r="U651" s="79" t="str">
        <f t="shared" si="279"/>
        <v/>
      </c>
      <c r="V651" s="73" t="str">
        <f t="shared" si="280"/>
        <v/>
      </c>
      <c r="W651" s="80" t="str">
        <f t="shared" si="281"/>
        <v/>
      </c>
      <c r="X651" s="73" t="str">
        <f t="shared" si="282"/>
        <v/>
      </c>
      <c r="Y651" s="80" t="str">
        <f t="shared" si="283"/>
        <v/>
      </c>
      <c r="Z651" s="74" t="str">
        <f t="shared" si="284"/>
        <v/>
      </c>
      <c r="AA651" s="75" t="str">
        <f t="shared" si="288"/>
        <v/>
      </c>
      <c r="AB651" s="103" t="str">
        <f t="shared" si="285"/>
        <v/>
      </c>
      <c r="AC651" s="104" t="str">
        <f t="shared" si="296"/>
        <v/>
      </c>
      <c r="AE651" s="139"/>
      <c r="AF651" s="110" t="str">
        <f t="shared" si="289"/>
        <v/>
      </c>
      <c r="AG651" s="111" t="str">
        <f t="shared" si="290"/>
        <v/>
      </c>
      <c r="AH651" s="111" t="str">
        <f t="shared" si="286"/>
        <v/>
      </c>
      <c r="AI651" s="111" t="str">
        <f t="shared" si="291"/>
        <v/>
      </c>
      <c r="AJ651" s="111" t="str">
        <f t="shared" si="292"/>
        <v/>
      </c>
      <c r="AK651" s="112" t="str">
        <f t="shared" si="293"/>
        <v/>
      </c>
      <c r="AL651" t="str">
        <f t="shared" si="294"/>
        <v/>
      </c>
      <c r="AM651" t="str">
        <f t="shared" si="295"/>
        <v/>
      </c>
    </row>
    <row r="652" spans="1:39" ht="15" customHeight="1" x14ac:dyDescent="0.25">
      <c r="A652" s="131"/>
      <c r="B652" s="133"/>
      <c r="C652" s="133"/>
      <c r="D652" s="42" t="str">
        <f t="shared" si="270"/>
        <v/>
      </c>
      <c r="E652" s="43"/>
      <c r="F652" s="135"/>
      <c r="G652" s="77" t="str">
        <f t="shared" si="271"/>
        <v/>
      </c>
      <c r="H652" s="32" t="str">
        <f t="shared" si="272"/>
        <v/>
      </c>
      <c r="I652" s="78" t="str">
        <f t="shared" si="273"/>
        <v/>
      </c>
      <c r="J652" s="70" t="str">
        <f t="shared" si="274"/>
        <v/>
      </c>
      <c r="K652" s="135"/>
      <c r="L652" s="72" t="str">
        <f t="shared" si="275"/>
        <v/>
      </c>
      <c r="M652" s="135"/>
      <c r="N652" s="72" t="str">
        <f t="shared" si="276"/>
        <v/>
      </c>
      <c r="O652" s="135"/>
      <c r="P652" s="136"/>
      <c r="Q652" s="123" t="str">
        <f t="shared" si="277"/>
        <v/>
      </c>
      <c r="R652" s="45" t="str">
        <f t="shared" si="278"/>
        <v/>
      </c>
      <c r="S652" s="137"/>
      <c r="T652" s="79" t="str">
        <f t="shared" si="287"/>
        <v/>
      </c>
      <c r="U652" s="79" t="str">
        <f t="shared" si="279"/>
        <v/>
      </c>
      <c r="V652" s="73" t="str">
        <f t="shared" si="280"/>
        <v/>
      </c>
      <c r="W652" s="80" t="str">
        <f t="shared" si="281"/>
        <v/>
      </c>
      <c r="X652" s="73" t="str">
        <f t="shared" si="282"/>
        <v/>
      </c>
      <c r="Y652" s="80" t="str">
        <f t="shared" si="283"/>
        <v/>
      </c>
      <c r="Z652" s="74" t="str">
        <f t="shared" si="284"/>
        <v/>
      </c>
      <c r="AA652" s="75" t="str">
        <f t="shared" si="288"/>
        <v/>
      </c>
      <c r="AB652" s="103" t="str">
        <f t="shared" si="285"/>
        <v/>
      </c>
      <c r="AC652" s="104" t="str">
        <f t="shared" si="296"/>
        <v/>
      </c>
      <c r="AE652" s="139"/>
      <c r="AF652" s="110" t="str">
        <f t="shared" si="289"/>
        <v/>
      </c>
      <c r="AG652" s="111" t="str">
        <f t="shared" si="290"/>
        <v/>
      </c>
      <c r="AH652" s="111" t="str">
        <f t="shared" si="286"/>
        <v/>
      </c>
      <c r="AI652" s="111" t="str">
        <f t="shared" si="291"/>
        <v/>
      </c>
      <c r="AJ652" s="111" t="str">
        <f t="shared" si="292"/>
        <v/>
      </c>
      <c r="AK652" s="112" t="str">
        <f t="shared" si="293"/>
        <v/>
      </c>
      <c r="AL652" t="str">
        <f t="shared" si="294"/>
        <v/>
      </c>
      <c r="AM652" t="str">
        <f t="shared" si="295"/>
        <v/>
      </c>
    </row>
    <row r="653" spans="1:39" ht="15" customHeight="1" x14ac:dyDescent="0.25">
      <c r="A653" s="131"/>
      <c r="B653" s="133"/>
      <c r="C653" s="133"/>
      <c r="D653" s="42" t="str">
        <f t="shared" si="270"/>
        <v/>
      </c>
      <c r="E653" s="43"/>
      <c r="F653" s="135"/>
      <c r="G653" s="77" t="str">
        <f t="shared" si="271"/>
        <v/>
      </c>
      <c r="H653" s="32" t="str">
        <f t="shared" si="272"/>
        <v/>
      </c>
      <c r="I653" s="78" t="str">
        <f t="shared" si="273"/>
        <v/>
      </c>
      <c r="J653" s="70" t="str">
        <f t="shared" si="274"/>
        <v/>
      </c>
      <c r="K653" s="135"/>
      <c r="L653" s="72" t="str">
        <f t="shared" si="275"/>
        <v/>
      </c>
      <c r="M653" s="135"/>
      <c r="N653" s="72" t="str">
        <f t="shared" si="276"/>
        <v/>
      </c>
      <c r="O653" s="135"/>
      <c r="P653" s="136"/>
      <c r="Q653" s="123" t="str">
        <f t="shared" si="277"/>
        <v/>
      </c>
      <c r="R653" s="45" t="str">
        <f t="shared" si="278"/>
        <v/>
      </c>
      <c r="S653" s="137"/>
      <c r="T653" s="79" t="str">
        <f t="shared" si="287"/>
        <v/>
      </c>
      <c r="U653" s="79" t="str">
        <f t="shared" si="279"/>
        <v/>
      </c>
      <c r="V653" s="73" t="str">
        <f t="shared" si="280"/>
        <v/>
      </c>
      <c r="W653" s="80" t="str">
        <f t="shared" si="281"/>
        <v/>
      </c>
      <c r="X653" s="73" t="str">
        <f t="shared" si="282"/>
        <v/>
      </c>
      <c r="Y653" s="80" t="str">
        <f t="shared" si="283"/>
        <v/>
      </c>
      <c r="Z653" s="74" t="str">
        <f t="shared" si="284"/>
        <v/>
      </c>
      <c r="AA653" s="75" t="str">
        <f t="shared" si="288"/>
        <v/>
      </c>
      <c r="AB653" s="103" t="str">
        <f t="shared" si="285"/>
        <v/>
      </c>
      <c r="AC653" s="104" t="str">
        <f t="shared" si="296"/>
        <v/>
      </c>
      <c r="AE653" s="139"/>
      <c r="AF653" s="110" t="str">
        <f t="shared" si="289"/>
        <v/>
      </c>
      <c r="AG653" s="111" t="str">
        <f t="shared" si="290"/>
        <v/>
      </c>
      <c r="AH653" s="111" t="str">
        <f t="shared" si="286"/>
        <v/>
      </c>
      <c r="AI653" s="111" t="str">
        <f t="shared" si="291"/>
        <v/>
      </c>
      <c r="AJ653" s="111" t="str">
        <f t="shared" si="292"/>
        <v/>
      </c>
      <c r="AK653" s="112" t="str">
        <f t="shared" si="293"/>
        <v/>
      </c>
      <c r="AL653" t="str">
        <f t="shared" si="294"/>
        <v/>
      </c>
      <c r="AM653" t="str">
        <f t="shared" si="295"/>
        <v/>
      </c>
    </row>
    <row r="654" spans="1:39" ht="15" customHeight="1" x14ac:dyDescent="0.25">
      <c r="A654" s="131"/>
      <c r="B654" s="133"/>
      <c r="C654" s="133"/>
      <c r="D654" s="42" t="str">
        <f t="shared" si="270"/>
        <v/>
      </c>
      <c r="E654" s="43"/>
      <c r="F654" s="135"/>
      <c r="G654" s="77" t="str">
        <f t="shared" si="271"/>
        <v/>
      </c>
      <c r="H654" s="32" t="str">
        <f t="shared" si="272"/>
        <v/>
      </c>
      <c r="I654" s="78" t="str">
        <f t="shared" si="273"/>
        <v/>
      </c>
      <c r="J654" s="70" t="str">
        <f t="shared" si="274"/>
        <v/>
      </c>
      <c r="K654" s="135"/>
      <c r="L654" s="72" t="str">
        <f t="shared" si="275"/>
        <v/>
      </c>
      <c r="M654" s="135"/>
      <c r="N654" s="72" t="str">
        <f t="shared" si="276"/>
        <v/>
      </c>
      <c r="O654" s="135"/>
      <c r="P654" s="136"/>
      <c r="Q654" s="123" t="str">
        <f t="shared" si="277"/>
        <v/>
      </c>
      <c r="R654" s="45" t="str">
        <f t="shared" si="278"/>
        <v/>
      </c>
      <c r="S654" s="137"/>
      <c r="T654" s="79" t="str">
        <f t="shared" si="287"/>
        <v/>
      </c>
      <c r="U654" s="79" t="str">
        <f t="shared" si="279"/>
        <v/>
      </c>
      <c r="V654" s="73" t="str">
        <f t="shared" si="280"/>
        <v/>
      </c>
      <c r="W654" s="80" t="str">
        <f t="shared" si="281"/>
        <v/>
      </c>
      <c r="X654" s="73" t="str">
        <f t="shared" si="282"/>
        <v/>
      </c>
      <c r="Y654" s="80" t="str">
        <f t="shared" si="283"/>
        <v/>
      </c>
      <c r="Z654" s="74" t="str">
        <f t="shared" si="284"/>
        <v/>
      </c>
      <c r="AA654" s="75" t="str">
        <f t="shared" si="288"/>
        <v/>
      </c>
      <c r="AB654" s="103" t="str">
        <f t="shared" si="285"/>
        <v/>
      </c>
      <c r="AC654" s="104" t="str">
        <f t="shared" si="296"/>
        <v/>
      </c>
      <c r="AE654" s="139"/>
      <c r="AF654" s="110" t="str">
        <f t="shared" si="289"/>
        <v/>
      </c>
      <c r="AG654" s="111" t="str">
        <f t="shared" si="290"/>
        <v/>
      </c>
      <c r="AH654" s="111" t="str">
        <f t="shared" si="286"/>
        <v/>
      </c>
      <c r="AI654" s="111" t="str">
        <f t="shared" si="291"/>
        <v/>
      </c>
      <c r="AJ654" s="111" t="str">
        <f t="shared" si="292"/>
        <v/>
      </c>
      <c r="AK654" s="112" t="str">
        <f t="shared" si="293"/>
        <v/>
      </c>
      <c r="AL654" t="str">
        <f t="shared" si="294"/>
        <v/>
      </c>
      <c r="AM654" t="str">
        <f t="shared" si="295"/>
        <v/>
      </c>
    </row>
    <row r="655" spans="1:39" ht="15" customHeight="1" x14ac:dyDescent="0.25">
      <c r="A655" s="131"/>
      <c r="B655" s="133"/>
      <c r="C655" s="133"/>
      <c r="D655" s="42" t="str">
        <f t="shared" si="270"/>
        <v/>
      </c>
      <c r="E655" s="43"/>
      <c r="F655" s="135"/>
      <c r="G655" s="77" t="str">
        <f t="shared" si="271"/>
        <v/>
      </c>
      <c r="H655" s="32" t="str">
        <f t="shared" si="272"/>
        <v/>
      </c>
      <c r="I655" s="78" t="str">
        <f t="shared" si="273"/>
        <v/>
      </c>
      <c r="J655" s="70" t="str">
        <f t="shared" si="274"/>
        <v/>
      </c>
      <c r="K655" s="135"/>
      <c r="L655" s="72" t="str">
        <f t="shared" si="275"/>
        <v/>
      </c>
      <c r="M655" s="135"/>
      <c r="N655" s="72" t="str">
        <f t="shared" si="276"/>
        <v/>
      </c>
      <c r="O655" s="135"/>
      <c r="P655" s="136"/>
      <c r="Q655" s="123" t="str">
        <f t="shared" si="277"/>
        <v/>
      </c>
      <c r="R655" s="45" t="str">
        <f t="shared" si="278"/>
        <v/>
      </c>
      <c r="S655" s="137"/>
      <c r="T655" s="79" t="str">
        <f t="shared" si="287"/>
        <v/>
      </c>
      <c r="U655" s="79" t="str">
        <f t="shared" si="279"/>
        <v/>
      </c>
      <c r="V655" s="73" t="str">
        <f t="shared" si="280"/>
        <v/>
      </c>
      <c r="W655" s="80" t="str">
        <f t="shared" si="281"/>
        <v/>
      </c>
      <c r="X655" s="73" t="str">
        <f t="shared" si="282"/>
        <v/>
      </c>
      <c r="Y655" s="80" t="str">
        <f t="shared" si="283"/>
        <v/>
      </c>
      <c r="Z655" s="74" t="str">
        <f t="shared" si="284"/>
        <v/>
      </c>
      <c r="AA655" s="75" t="str">
        <f t="shared" si="288"/>
        <v/>
      </c>
      <c r="AB655" s="103" t="str">
        <f t="shared" si="285"/>
        <v/>
      </c>
      <c r="AC655" s="104" t="str">
        <f t="shared" si="296"/>
        <v/>
      </c>
      <c r="AE655" s="139"/>
      <c r="AF655" s="110" t="str">
        <f t="shared" si="289"/>
        <v/>
      </c>
      <c r="AG655" s="111" t="str">
        <f t="shared" si="290"/>
        <v/>
      </c>
      <c r="AH655" s="111" t="str">
        <f t="shared" si="286"/>
        <v/>
      </c>
      <c r="AI655" s="111" t="str">
        <f t="shared" si="291"/>
        <v/>
      </c>
      <c r="AJ655" s="111" t="str">
        <f t="shared" si="292"/>
        <v/>
      </c>
      <c r="AK655" s="112" t="str">
        <f t="shared" si="293"/>
        <v/>
      </c>
      <c r="AL655" t="str">
        <f t="shared" si="294"/>
        <v/>
      </c>
      <c r="AM655" t="str">
        <f t="shared" si="295"/>
        <v/>
      </c>
    </row>
    <row r="656" spans="1:39" ht="15" customHeight="1" x14ac:dyDescent="0.25">
      <c r="A656" s="131"/>
      <c r="B656" s="133"/>
      <c r="C656" s="133"/>
      <c r="D656" s="42" t="str">
        <f t="shared" si="270"/>
        <v/>
      </c>
      <c r="E656" s="43"/>
      <c r="F656" s="135"/>
      <c r="G656" s="77" t="str">
        <f t="shared" si="271"/>
        <v/>
      </c>
      <c r="H656" s="32" t="str">
        <f t="shared" si="272"/>
        <v/>
      </c>
      <c r="I656" s="78" t="str">
        <f t="shared" si="273"/>
        <v/>
      </c>
      <c r="J656" s="70" t="str">
        <f t="shared" si="274"/>
        <v/>
      </c>
      <c r="K656" s="135"/>
      <c r="L656" s="72" t="str">
        <f t="shared" si="275"/>
        <v/>
      </c>
      <c r="M656" s="135"/>
      <c r="N656" s="72" t="str">
        <f t="shared" si="276"/>
        <v/>
      </c>
      <c r="O656" s="135"/>
      <c r="P656" s="136"/>
      <c r="Q656" s="123" t="str">
        <f t="shared" si="277"/>
        <v/>
      </c>
      <c r="R656" s="45" t="str">
        <f t="shared" si="278"/>
        <v/>
      </c>
      <c r="S656" s="137"/>
      <c r="T656" s="79" t="str">
        <f t="shared" si="287"/>
        <v/>
      </c>
      <c r="U656" s="79" t="str">
        <f t="shared" si="279"/>
        <v/>
      </c>
      <c r="V656" s="73" t="str">
        <f t="shared" si="280"/>
        <v/>
      </c>
      <c r="W656" s="80" t="str">
        <f t="shared" si="281"/>
        <v/>
      </c>
      <c r="X656" s="73" t="str">
        <f t="shared" si="282"/>
        <v/>
      </c>
      <c r="Y656" s="80" t="str">
        <f t="shared" si="283"/>
        <v/>
      </c>
      <c r="Z656" s="74" t="str">
        <f t="shared" si="284"/>
        <v/>
      </c>
      <c r="AA656" s="75" t="str">
        <f t="shared" si="288"/>
        <v/>
      </c>
      <c r="AB656" s="103" t="str">
        <f t="shared" si="285"/>
        <v/>
      </c>
      <c r="AC656" s="104" t="str">
        <f t="shared" si="296"/>
        <v/>
      </c>
      <c r="AE656" s="139"/>
      <c r="AF656" s="110" t="str">
        <f t="shared" si="289"/>
        <v/>
      </c>
      <c r="AG656" s="111" t="str">
        <f t="shared" si="290"/>
        <v/>
      </c>
      <c r="AH656" s="111" t="str">
        <f t="shared" si="286"/>
        <v/>
      </c>
      <c r="AI656" s="111" t="str">
        <f t="shared" si="291"/>
        <v/>
      </c>
      <c r="AJ656" s="111" t="str">
        <f t="shared" si="292"/>
        <v/>
      </c>
      <c r="AK656" s="112" t="str">
        <f t="shared" si="293"/>
        <v/>
      </c>
      <c r="AL656" t="str">
        <f t="shared" si="294"/>
        <v/>
      </c>
      <c r="AM656" t="str">
        <f t="shared" si="295"/>
        <v/>
      </c>
    </row>
    <row r="657" spans="1:39" ht="15" customHeight="1" x14ac:dyDescent="0.25">
      <c r="A657" s="131"/>
      <c r="B657" s="133"/>
      <c r="C657" s="133"/>
      <c r="D657" s="42" t="str">
        <f t="shared" si="270"/>
        <v/>
      </c>
      <c r="E657" s="43"/>
      <c r="F657" s="135"/>
      <c r="G657" s="77" t="str">
        <f t="shared" si="271"/>
        <v/>
      </c>
      <c r="H657" s="32" t="str">
        <f t="shared" si="272"/>
        <v/>
      </c>
      <c r="I657" s="78" t="str">
        <f t="shared" si="273"/>
        <v/>
      </c>
      <c r="J657" s="70" t="str">
        <f t="shared" si="274"/>
        <v/>
      </c>
      <c r="K657" s="135"/>
      <c r="L657" s="72" t="str">
        <f t="shared" si="275"/>
        <v/>
      </c>
      <c r="M657" s="135"/>
      <c r="N657" s="72" t="str">
        <f t="shared" si="276"/>
        <v/>
      </c>
      <c r="O657" s="135"/>
      <c r="P657" s="136"/>
      <c r="Q657" s="123" t="str">
        <f t="shared" si="277"/>
        <v/>
      </c>
      <c r="R657" s="45" t="str">
        <f t="shared" si="278"/>
        <v/>
      </c>
      <c r="S657" s="137"/>
      <c r="T657" s="79" t="str">
        <f t="shared" si="287"/>
        <v/>
      </c>
      <c r="U657" s="79" t="str">
        <f t="shared" si="279"/>
        <v/>
      </c>
      <c r="V657" s="73" t="str">
        <f t="shared" si="280"/>
        <v/>
      </c>
      <c r="W657" s="80" t="str">
        <f t="shared" si="281"/>
        <v/>
      </c>
      <c r="X657" s="73" t="str">
        <f t="shared" si="282"/>
        <v/>
      </c>
      <c r="Y657" s="80" t="str">
        <f t="shared" si="283"/>
        <v/>
      </c>
      <c r="Z657" s="74" t="str">
        <f t="shared" si="284"/>
        <v/>
      </c>
      <c r="AA657" s="75" t="str">
        <f t="shared" si="288"/>
        <v/>
      </c>
      <c r="AB657" s="103" t="str">
        <f t="shared" si="285"/>
        <v/>
      </c>
      <c r="AC657" s="104" t="str">
        <f t="shared" si="296"/>
        <v/>
      </c>
      <c r="AE657" s="139"/>
      <c r="AF657" s="110" t="str">
        <f t="shared" si="289"/>
        <v/>
      </c>
      <c r="AG657" s="111" t="str">
        <f t="shared" si="290"/>
        <v/>
      </c>
      <c r="AH657" s="111" t="str">
        <f t="shared" si="286"/>
        <v/>
      </c>
      <c r="AI657" s="111" t="str">
        <f t="shared" si="291"/>
        <v/>
      </c>
      <c r="AJ657" s="111" t="str">
        <f t="shared" si="292"/>
        <v/>
      </c>
      <c r="AK657" s="112" t="str">
        <f t="shared" si="293"/>
        <v/>
      </c>
      <c r="AL657" t="str">
        <f t="shared" si="294"/>
        <v/>
      </c>
      <c r="AM657" t="str">
        <f t="shared" si="295"/>
        <v/>
      </c>
    </row>
    <row r="658" spans="1:39" ht="15" customHeight="1" x14ac:dyDescent="0.25">
      <c r="A658" s="131"/>
      <c r="B658" s="133"/>
      <c r="C658" s="133"/>
      <c r="D658" s="42" t="str">
        <f t="shared" si="270"/>
        <v/>
      </c>
      <c r="E658" s="43"/>
      <c r="F658" s="135"/>
      <c r="G658" s="77" t="str">
        <f t="shared" si="271"/>
        <v/>
      </c>
      <c r="H658" s="32" t="str">
        <f t="shared" si="272"/>
        <v/>
      </c>
      <c r="I658" s="78" t="str">
        <f t="shared" si="273"/>
        <v/>
      </c>
      <c r="J658" s="70" t="str">
        <f t="shared" si="274"/>
        <v/>
      </c>
      <c r="K658" s="135"/>
      <c r="L658" s="72" t="str">
        <f t="shared" si="275"/>
        <v/>
      </c>
      <c r="M658" s="135"/>
      <c r="N658" s="72" t="str">
        <f t="shared" si="276"/>
        <v/>
      </c>
      <c r="O658" s="135"/>
      <c r="P658" s="136"/>
      <c r="Q658" s="123" t="str">
        <f t="shared" si="277"/>
        <v/>
      </c>
      <c r="R658" s="45" t="str">
        <f t="shared" si="278"/>
        <v/>
      </c>
      <c r="S658" s="137"/>
      <c r="T658" s="79" t="str">
        <f t="shared" si="287"/>
        <v/>
      </c>
      <c r="U658" s="79" t="str">
        <f t="shared" si="279"/>
        <v/>
      </c>
      <c r="V658" s="73" t="str">
        <f t="shared" si="280"/>
        <v/>
      </c>
      <c r="W658" s="80" t="str">
        <f t="shared" si="281"/>
        <v/>
      </c>
      <c r="X658" s="73" t="str">
        <f t="shared" si="282"/>
        <v/>
      </c>
      <c r="Y658" s="80" t="str">
        <f t="shared" si="283"/>
        <v/>
      </c>
      <c r="Z658" s="74" t="str">
        <f t="shared" si="284"/>
        <v/>
      </c>
      <c r="AA658" s="75" t="str">
        <f t="shared" si="288"/>
        <v/>
      </c>
      <c r="AB658" s="103" t="str">
        <f t="shared" si="285"/>
        <v/>
      </c>
      <c r="AC658" s="104" t="str">
        <f t="shared" si="296"/>
        <v/>
      </c>
      <c r="AE658" s="139"/>
      <c r="AF658" s="110" t="str">
        <f t="shared" si="289"/>
        <v/>
      </c>
      <c r="AG658" s="111" t="str">
        <f t="shared" si="290"/>
        <v/>
      </c>
      <c r="AH658" s="111" t="str">
        <f t="shared" si="286"/>
        <v/>
      </c>
      <c r="AI658" s="111" t="str">
        <f t="shared" si="291"/>
        <v/>
      </c>
      <c r="AJ658" s="111" t="str">
        <f t="shared" si="292"/>
        <v/>
      </c>
      <c r="AK658" s="112" t="str">
        <f t="shared" si="293"/>
        <v/>
      </c>
      <c r="AL658" t="str">
        <f t="shared" si="294"/>
        <v/>
      </c>
      <c r="AM658" t="str">
        <f t="shared" si="295"/>
        <v/>
      </c>
    </row>
    <row r="659" spans="1:39" ht="15" customHeight="1" x14ac:dyDescent="0.25">
      <c r="A659" s="131"/>
      <c r="B659" s="133"/>
      <c r="C659" s="133"/>
      <c r="D659" s="42" t="str">
        <f t="shared" si="270"/>
        <v/>
      </c>
      <c r="E659" s="43"/>
      <c r="F659" s="135"/>
      <c r="G659" s="77" t="str">
        <f t="shared" si="271"/>
        <v/>
      </c>
      <c r="H659" s="32" t="str">
        <f t="shared" si="272"/>
        <v/>
      </c>
      <c r="I659" s="78" t="str">
        <f t="shared" si="273"/>
        <v/>
      </c>
      <c r="J659" s="70" t="str">
        <f t="shared" si="274"/>
        <v/>
      </c>
      <c r="K659" s="135"/>
      <c r="L659" s="72" t="str">
        <f t="shared" si="275"/>
        <v/>
      </c>
      <c r="M659" s="135"/>
      <c r="N659" s="72" t="str">
        <f t="shared" si="276"/>
        <v/>
      </c>
      <c r="O659" s="135"/>
      <c r="P659" s="136"/>
      <c r="Q659" s="123" t="str">
        <f t="shared" si="277"/>
        <v/>
      </c>
      <c r="R659" s="45" t="str">
        <f t="shared" si="278"/>
        <v/>
      </c>
      <c r="S659" s="137"/>
      <c r="T659" s="79" t="str">
        <f t="shared" si="287"/>
        <v/>
      </c>
      <c r="U659" s="79" t="str">
        <f t="shared" si="279"/>
        <v/>
      </c>
      <c r="V659" s="73" t="str">
        <f t="shared" si="280"/>
        <v/>
      </c>
      <c r="W659" s="80" t="str">
        <f t="shared" si="281"/>
        <v/>
      </c>
      <c r="X659" s="73" t="str">
        <f t="shared" si="282"/>
        <v/>
      </c>
      <c r="Y659" s="80" t="str">
        <f t="shared" si="283"/>
        <v/>
      </c>
      <c r="Z659" s="74" t="str">
        <f t="shared" si="284"/>
        <v/>
      </c>
      <c r="AA659" s="75" t="str">
        <f t="shared" si="288"/>
        <v/>
      </c>
      <c r="AB659" s="103" t="str">
        <f t="shared" si="285"/>
        <v/>
      </c>
      <c r="AC659" s="104" t="str">
        <f t="shared" si="296"/>
        <v/>
      </c>
      <c r="AE659" s="139"/>
      <c r="AF659" s="110" t="str">
        <f t="shared" si="289"/>
        <v/>
      </c>
      <c r="AG659" s="111" t="str">
        <f t="shared" si="290"/>
        <v/>
      </c>
      <c r="AH659" s="111" t="str">
        <f t="shared" si="286"/>
        <v/>
      </c>
      <c r="AI659" s="111" t="str">
        <f t="shared" si="291"/>
        <v/>
      </c>
      <c r="AJ659" s="111" t="str">
        <f t="shared" si="292"/>
        <v/>
      </c>
      <c r="AK659" s="112" t="str">
        <f t="shared" si="293"/>
        <v/>
      </c>
      <c r="AL659" t="str">
        <f t="shared" si="294"/>
        <v/>
      </c>
      <c r="AM659" t="str">
        <f t="shared" si="295"/>
        <v/>
      </c>
    </row>
    <row r="660" spans="1:39" ht="15" customHeight="1" x14ac:dyDescent="0.25">
      <c r="A660" s="131"/>
      <c r="B660" s="133"/>
      <c r="C660" s="133"/>
      <c r="D660" s="42" t="str">
        <f t="shared" si="270"/>
        <v/>
      </c>
      <c r="E660" s="43"/>
      <c r="F660" s="135"/>
      <c r="G660" s="77" t="str">
        <f t="shared" si="271"/>
        <v/>
      </c>
      <c r="H660" s="32" t="str">
        <f t="shared" si="272"/>
        <v/>
      </c>
      <c r="I660" s="78" t="str">
        <f t="shared" si="273"/>
        <v/>
      </c>
      <c r="J660" s="70" t="str">
        <f t="shared" si="274"/>
        <v/>
      </c>
      <c r="K660" s="135"/>
      <c r="L660" s="72" t="str">
        <f t="shared" si="275"/>
        <v/>
      </c>
      <c r="M660" s="135"/>
      <c r="N660" s="72" t="str">
        <f t="shared" si="276"/>
        <v/>
      </c>
      <c r="O660" s="135"/>
      <c r="P660" s="136"/>
      <c r="Q660" s="123" t="str">
        <f t="shared" si="277"/>
        <v/>
      </c>
      <c r="R660" s="45" t="str">
        <f t="shared" si="278"/>
        <v/>
      </c>
      <c r="S660" s="137"/>
      <c r="T660" s="79" t="str">
        <f t="shared" si="287"/>
        <v/>
      </c>
      <c r="U660" s="79" t="str">
        <f t="shared" si="279"/>
        <v/>
      </c>
      <c r="V660" s="73" t="str">
        <f t="shared" si="280"/>
        <v/>
      </c>
      <c r="W660" s="80" t="str">
        <f t="shared" si="281"/>
        <v/>
      </c>
      <c r="X660" s="73" t="str">
        <f t="shared" si="282"/>
        <v/>
      </c>
      <c r="Y660" s="80" t="str">
        <f t="shared" si="283"/>
        <v/>
      </c>
      <c r="Z660" s="74" t="str">
        <f t="shared" si="284"/>
        <v/>
      </c>
      <c r="AA660" s="75" t="str">
        <f t="shared" si="288"/>
        <v/>
      </c>
      <c r="AB660" s="103" t="str">
        <f t="shared" si="285"/>
        <v/>
      </c>
      <c r="AC660" s="104" t="str">
        <f t="shared" si="296"/>
        <v/>
      </c>
      <c r="AE660" s="139"/>
      <c r="AF660" s="110" t="str">
        <f t="shared" si="289"/>
        <v/>
      </c>
      <c r="AG660" s="111" t="str">
        <f t="shared" si="290"/>
        <v/>
      </c>
      <c r="AH660" s="111" t="str">
        <f t="shared" si="286"/>
        <v/>
      </c>
      <c r="AI660" s="111" t="str">
        <f t="shared" si="291"/>
        <v/>
      </c>
      <c r="AJ660" s="111" t="str">
        <f t="shared" si="292"/>
        <v/>
      </c>
      <c r="AK660" s="112" t="str">
        <f t="shared" si="293"/>
        <v/>
      </c>
      <c r="AL660" t="str">
        <f t="shared" si="294"/>
        <v/>
      </c>
      <c r="AM660" t="str">
        <f t="shared" si="295"/>
        <v/>
      </c>
    </row>
    <row r="661" spans="1:39" ht="15" customHeight="1" x14ac:dyDescent="0.25">
      <c r="A661" s="131"/>
      <c r="B661" s="133"/>
      <c r="C661" s="133"/>
      <c r="D661" s="42" t="str">
        <f t="shared" si="270"/>
        <v/>
      </c>
      <c r="E661" s="43"/>
      <c r="F661" s="135"/>
      <c r="G661" s="77" t="str">
        <f t="shared" si="271"/>
        <v/>
      </c>
      <c r="H661" s="32" t="str">
        <f t="shared" si="272"/>
        <v/>
      </c>
      <c r="I661" s="78" t="str">
        <f t="shared" si="273"/>
        <v/>
      </c>
      <c r="J661" s="70" t="str">
        <f t="shared" si="274"/>
        <v/>
      </c>
      <c r="K661" s="135"/>
      <c r="L661" s="72" t="str">
        <f t="shared" si="275"/>
        <v/>
      </c>
      <c r="M661" s="135"/>
      <c r="N661" s="72" t="str">
        <f t="shared" si="276"/>
        <v/>
      </c>
      <c r="O661" s="135"/>
      <c r="P661" s="136"/>
      <c r="Q661" s="123" t="str">
        <f t="shared" si="277"/>
        <v/>
      </c>
      <c r="R661" s="45" t="str">
        <f t="shared" si="278"/>
        <v/>
      </c>
      <c r="S661" s="137"/>
      <c r="T661" s="79" t="str">
        <f t="shared" si="287"/>
        <v/>
      </c>
      <c r="U661" s="79" t="str">
        <f t="shared" si="279"/>
        <v/>
      </c>
      <c r="V661" s="73" t="str">
        <f t="shared" si="280"/>
        <v/>
      </c>
      <c r="W661" s="80" t="str">
        <f t="shared" si="281"/>
        <v/>
      </c>
      <c r="X661" s="73" t="str">
        <f t="shared" si="282"/>
        <v/>
      </c>
      <c r="Y661" s="80" t="str">
        <f t="shared" si="283"/>
        <v/>
      </c>
      <c r="Z661" s="74" t="str">
        <f t="shared" si="284"/>
        <v/>
      </c>
      <c r="AA661" s="75" t="str">
        <f t="shared" si="288"/>
        <v/>
      </c>
      <c r="AB661" s="103" t="str">
        <f t="shared" si="285"/>
        <v/>
      </c>
      <c r="AC661" s="104" t="str">
        <f t="shared" si="296"/>
        <v/>
      </c>
      <c r="AE661" s="139"/>
      <c r="AF661" s="110" t="str">
        <f t="shared" si="289"/>
        <v/>
      </c>
      <c r="AG661" s="111" t="str">
        <f t="shared" si="290"/>
        <v/>
      </c>
      <c r="AH661" s="111" t="str">
        <f t="shared" si="286"/>
        <v/>
      </c>
      <c r="AI661" s="111" t="str">
        <f t="shared" si="291"/>
        <v/>
      </c>
      <c r="AJ661" s="111" t="str">
        <f t="shared" si="292"/>
        <v/>
      </c>
      <c r="AK661" s="112" t="str">
        <f t="shared" si="293"/>
        <v/>
      </c>
      <c r="AL661" t="str">
        <f t="shared" si="294"/>
        <v/>
      </c>
      <c r="AM661" t="str">
        <f t="shared" si="295"/>
        <v/>
      </c>
    </row>
    <row r="662" spans="1:39" ht="15" customHeight="1" x14ac:dyDescent="0.25">
      <c r="A662" s="131"/>
      <c r="B662" s="133"/>
      <c r="C662" s="133"/>
      <c r="D662" s="42" t="str">
        <f t="shared" si="270"/>
        <v/>
      </c>
      <c r="E662" s="43"/>
      <c r="F662" s="135"/>
      <c r="G662" s="77" t="str">
        <f t="shared" si="271"/>
        <v/>
      </c>
      <c r="H662" s="32" t="str">
        <f t="shared" si="272"/>
        <v/>
      </c>
      <c r="I662" s="78" t="str">
        <f t="shared" si="273"/>
        <v/>
      </c>
      <c r="J662" s="70" t="str">
        <f t="shared" si="274"/>
        <v/>
      </c>
      <c r="K662" s="135"/>
      <c r="L662" s="72" t="str">
        <f t="shared" si="275"/>
        <v/>
      </c>
      <c r="M662" s="135"/>
      <c r="N662" s="72" t="str">
        <f t="shared" si="276"/>
        <v/>
      </c>
      <c r="O662" s="135"/>
      <c r="P662" s="136"/>
      <c r="Q662" s="123" t="str">
        <f t="shared" si="277"/>
        <v/>
      </c>
      <c r="R662" s="45" t="str">
        <f t="shared" si="278"/>
        <v/>
      </c>
      <c r="S662" s="137"/>
      <c r="T662" s="79" t="str">
        <f t="shared" si="287"/>
        <v/>
      </c>
      <c r="U662" s="79" t="str">
        <f t="shared" si="279"/>
        <v/>
      </c>
      <c r="V662" s="73" t="str">
        <f t="shared" si="280"/>
        <v/>
      </c>
      <c r="W662" s="80" t="str">
        <f t="shared" si="281"/>
        <v/>
      </c>
      <c r="X662" s="73" t="str">
        <f t="shared" si="282"/>
        <v/>
      </c>
      <c r="Y662" s="80" t="str">
        <f t="shared" si="283"/>
        <v/>
      </c>
      <c r="Z662" s="74" t="str">
        <f t="shared" si="284"/>
        <v/>
      </c>
      <c r="AA662" s="75" t="str">
        <f t="shared" si="288"/>
        <v/>
      </c>
      <c r="AB662" s="103" t="str">
        <f t="shared" si="285"/>
        <v/>
      </c>
      <c r="AC662" s="104" t="str">
        <f t="shared" si="296"/>
        <v/>
      </c>
      <c r="AE662" s="139"/>
      <c r="AF662" s="110" t="str">
        <f t="shared" si="289"/>
        <v/>
      </c>
      <c r="AG662" s="111" t="str">
        <f t="shared" si="290"/>
        <v/>
      </c>
      <c r="AH662" s="111" t="str">
        <f t="shared" si="286"/>
        <v/>
      </c>
      <c r="AI662" s="111" t="str">
        <f t="shared" si="291"/>
        <v/>
      </c>
      <c r="AJ662" s="111" t="str">
        <f t="shared" si="292"/>
        <v/>
      </c>
      <c r="AK662" s="112" t="str">
        <f t="shared" si="293"/>
        <v/>
      </c>
      <c r="AL662" t="str">
        <f t="shared" si="294"/>
        <v/>
      </c>
      <c r="AM662" t="str">
        <f t="shared" si="295"/>
        <v/>
      </c>
    </row>
    <row r="663" spans="1:39" ht="15" customHeight="1" x14ac:dyDescent="0.25">
      <c r="A663" s="131"/>
      <c r="B663" s="133"/>
      <c r="C663" s="133"/>
      <c r="D663" s="42" t="str">
        <f t="shared" si="270"/>
        <v/>
      </c>
      <c r="E663" s="43"/>
      <c r="F663" s="135"/>
      <c r="G663" s="77" t="str">
        <f t="shared" si="271"/>
        <v/>
      </c>
      <c r="H663" s="32" t="str">
        <f t="shared" si="272"/>
        <v/>
      </c>
      <c r="I663" s="78" t="str">
        <f t="shared" si="273"/>
        <v/>
      </c>
      <c r="J663" s="70" t="str">
        <f t="shared" si="274"/>
        <v/>
      </c>
      <c r="K663" s="135"/>
      <c r="L663" s="72" t="str">
        <f t="shared" si="275"/>
        <v/>
      </c>
      <c r="M663" s="135"/>
      <c r="N663" s="72" t="str">
        <f t="shared" si="276"/>
        <v/>
      </c>
      <c r="O663" s="135"/>
      <c r="P663" s="136"/>
      <c r="Q663" s="123" t="str">
        <f t="shared" si="277"/>
        <v/>
      </c>
      <c r="R663" s="45" t="str">
        <f t="shared" si="278"/>
        <v/>
      </c>
      <c r="S663" s="137"/>
      <c r="T663" s="79" t="str">
        <f t="shared" si="287"/>
        <v/>
      </c>
      <c r="U663" s="79" t="str">
        <f t="shared" si="279"/>
        <v/>
      </c>
      <c r="V663" s="73" t="str">
        <f t="shared" si="280"/>
        <v/>
      </c>
      <c r="W663" s="80" t="str">
        <f t="shared" si="281"/>
        <v/>
      </c>
      <c r="X663" s="73" t="str">
        <f t="shared" si="282"/>
        <v/>
      </c>
      <c r="Y663" s="80" t="str">
        <f t="shared" si="283"/>
        <v/>
      </c>
      <c r="Z663" s="74" t="str">
        <f t="shared" si="284"/>
        <v/>
      </c>
      <c r="AA663" s="75" t="str">
        <f t="shared" si="288"/>
        <v/>
      </c>
      <c r="AB663" s="103" t="str">
        <f t="shared" si="285"/>
        <v/>
      </c>
      <c r="AC663" s="104" t="str">
        <f t="shared" si="296"/>
        <v/>
      </c>
      <c r="AE663" s="139"/>
      <c r="AF663" s="110" t="str">
        <f t="shared" si="289"/>
        <v/>
      </c>
      <c r="AG663" s="111" t="str">
        <f t="shared" si="290"/>
        <v/>
      </c>
      <c r="AH663" s="111" t="str">
        <f t="shared" si="286"/>
        <v/>
      </c>
      <c r="AI663" s="111" t="str">
        <f t="shared" si="291"/>
        <v/>
      </c>
      <c r="AJ663" s="111" t="str">
        <f t="shared" si="292"/>
        <v/>
      </c>
      <c r="AK663" s="112" t="str">
        <f t="shared" si="293"/>
        <v/>
      </c>
      <c r="AL663" t="str">
        <f t="shared" si="294"/>
        <v/>
      </c>
      <c r="AM663" t="str">
        <f t="shared" si="295"/>
        <v/>
      </c>
    </row>
    <row r="664" spans="1:39" ht="15" customHeight="1" x14ac:dyDescent="0.25">
      <c r="A664" s="131"/>
      <c r="B664" s="133"/>
      <c r="C664" s="133"/>
      <c r="D664" s="42" t="str">
        <f t="shared" si="270"/>
        <v/>
      </c>
      <c r="E664" s="43"/>
      <c r="F664" s="135"/>
      <c r="G664" s="77" t="str">
        <f t="shared" si="271"/>
        <v/>
      </c>
      <c r="H664" s="32" t="str">
        <f t="shared" si="272"/>
        <v/>
      </c>
      <c r="I664" s="78" t="str">
        <f t="shared" si="273"/>
        <v/>
      </c>
      <c r="J664" s="70" t="str">
        <f t="shared" si="274"/>
        <v/>
      </c>
      <c r="K664" s="135"/>
      <c r="L664" s="72" t="str">
        <f t="shared" si="275"/>
        <v/>
      </c>
      <c r="M664" s="135"/>
      <c r="N664" s="72" t="str">
        <f t="shared" si="276"/>
        <v/>
      </c>
      <c r="O664" s="135"/>
      <c r="P664" s="136"/>
      <c r="Q664" s="123" t="str">
        <f t="shared" si="277"/>
        <v/>
      </c>
      <c r="R664" s="45" t="str">
        <f t="shared" si="278"/>
        <v/>
      </c>
      <c r="S664" s="137"/>
      <c r="T664" s="79" t="str">
        <f t="shared" si="287"/>
        <v/>
      </c>
      <c r="U664" s="79" t="str">
        <f t="shared" si="279"/>
        <v/>
      </c>
      <c r="V664" s="73" t="str">
        <f t="shared" si="280"/>
        <v/>
      </c>
      <c r="W664" s="80" t="str">
        <f t="shared" si="281"/>
        <v/>
      </c>
      <c r="X664" s="73" t="str">
        <f t="shared" si="282"/>
        <v/>
      </c>
      <c r="Y664" s="80" t="str">
        <f t="shared" si="283"/>
        <v/>
      </c>
      <c r="Z664" s="74" t="str">
        <f t="shared" si="284"/>
        <v/>
      </c>
      <c r="AA664" s="75" t="str">
        <f t="shared" si="288"/>
        <v/>
      </c>
      <c r="AB664" s="103" t="str">
        <f t="shared" si="285"/>
        <v/>
      </c>
      <c r="AC664" s="104" t="str">
        <f t="shared" si="296"/>
        <v/>
      </c>
      <c r="AE664" s="139"/>
      <c r="AF664" s="110" t="str">
        <f t="shared" si="289"/>
        <v/>
      </c>
      <c r="AG664" s="111" t="str">
        <f t="shared" si="290"/>
        <v/>
      </c>
      <c r="AH664" s="111" t="str">
        <f t="shared" si="286"/>
        <v/>
      </c>
      <c r="AI664" s="111" t="str">
        <f t="shared" si="291"/>
        <v/>
      </c>
      <c r="AJ664" s="111" t="str">
        <f t="shared" si="292"/>
        <v/>
      </c>
      <c r="AK664" s="112" t="str">
        <f t="shared" si="293"/>
        <v/>
      </c>
      <c r="AL664" t="str">
        <f t="shared" si="294"/>
        <v/>
      </c>
      <c r="AM664" t="str">
        <f t="shared" si="295"/>
        <v/>
      </c>
    </row>
    <row r="665" spans="1:39" ht="15" customHeight="1" x14ac:dyDescent="0.25">
      <c r="A665" s="131"/>
      <c r="B665" s="133"/>
      <c r="C665" s="133"/>
      <c r="D665" s="42" t="str">
        <f t="shared" si="270"/>
        <v/>
      </c>
      <c r="E665" s="43"/>
      <c r="F665" s="135"/>
      <c r="G665" s="77" t="str">
        <f t="shared" si="271"/>
        <v/>
      </c>
      <c r="H665" s="32" t="str">
        <f t="shared" si="272"/>
        <v/>
      </c>
      <c r="I665" s="78" t="str">
        <f t="shared" si="273"/>
        <v/>
      </c>
      <c r="J665" s="70" t="str">
        <f t="shared" si="274"/>
        <v/>
      </c>
      <c r="K665" s="135"/>
      <c r="L665" s="72" t="str">
        <f t="shared" si="275"/>
        <v/>
      </c>
      <c r="M665" s="135"/>
      <c r="N665" s="72" t="str">
        <f t="shared" si="276"/>
        <v/>
      </c>
      <c r="O665" s="135"/>
      <c r="P665" s="136"/>
      <c r="Q665" s="123" t="str">
        <f t="shared" si="277"/>
        <v/>
      </c>
      <c r="R665" s="45" t="str">
        <f t="shared" si="278"/>
        <v/>
      </c>
      <c r="S665" s="137"/>
      <c r="T665" s="79" t="str">
        <f t="shared" si="287"/>
        <v/>
      </c>
      <c r="U665" s="79" t="str">
        <f t="shared" si="279"/>
        <v/>
      </c>
      <c r="V665" s="73" t="str">
        <f t="shared" si="280"/>
        <v/>
      </c>
      <c r="W665" s="80" t="str">
        <f t="shared" si="281"/>
        <v/>
      </c>
      <c r="X665" s="73" t="str">
        <f t="shared" si="282"/>
        <v/>
      </c>
      <c r="Y665" s="80" t="str">
        <f t="shared" si="283"/>
        <v/>
      </c>
      <c r="Z665" s="74" t="str">
        <f t="shared" si="284"/>
        <v/>
      </c>
      <c r="AA665" s="75" t="str">
        <f t="shared" si="288"/>
        <v/>
      </c>
      <c r="AB665" s="103" t="str">
        <f t="shared" si="285"/>
        <v/>
      </c>
      <c r="AC665" s="104" t="str">
        <f t="shared" si="296"/>
        <v/>
      </c>
      <c r="AE665" s="139"/>
      <c r="AF665" s="110" t="str">
        <f t="shared" si="289"/>
        <v/>
      </c>
      <c r="AG665" s="111" t="str">
        <f t="shared" si="290"/>
        <v/>
      </c>
      <c r="AH665" s="111" t="str">
        <f t="shared" si="286"/>
        <v/>
      </c>
      <c r="AI665" s="111" t="str">
        <f t="shared" si="291"/>
        <v/>
      </c>
      <c r="AJ665" s="111" t="str">
        <f t="shared" si="292"/>
        <v/>
      </c>
      <c r="AK665" s="112" t="str">
        <f t="shared" si="293"/>
        <v/>
      </c>
      <c r="AL665" t="str">
        <f t="shared" si="294"/>
        <v/>
      </c>
      <c r="AM665" t="str">
        <f t="shared" si="295"/>
        <v/>
      </c>
    </row>
    <row r="666" spans="1:39" ht="15" customHeight="1" x14ac:dyDescent="0.25">
      <c r="A666" s="131"/>
      <c r="B666" s="133"/>
      <c r="C666" s="133"/>
      <c r="D666" s="42" t="str">
        <f t="shared" si="270"/>
        <v/>
      </c>
      <c r="E666" s="43"/>
      <c r="F666" s="135"/>
      <c r="G666" s="77" t="str">
        <f t="shared" si="271"/>
        <v/>
      </c>
      <c r="H666" s="32" t="str">
        <f t="shared" si="272"/>
        <v/>
      </c>
      <c r="I666" s="78" t="str">
        <f t="shared" si="273"/>
        <v/>
      </c>
      <c r="J666" s="70" t="str">
        <f t="shared" si="274"/>
        <v/>
      </c>
      <c r="K666" s="135"/>
      <c r="L666" s="72" t="str">
        <f t="shared" si="275"/>
        <v/>
      </c>
      <c r="M666" s="135"/>
      <c r="N666" s="72" t="str">
        <f t="shared" si="276"/>
        <v/>
      </c>
      <c r="O666" s="135"/>
      <c r="P666" s="136"/>
      <c r="Q666" s="123" t="str">
        <f t="shared" si="277"/>
        <v/>
      </c>
      <c r="R666" s="45" t="str">
        <f t="shared" si="278"/>
        <v/>
      </c>
      <c r="S666" s="137"/>
      <c r="T666" s="79" t="str">
        <f t="shared" si="287"/>
        <v/>
      </c>
      <c r="U666" s="79" t="str">
        <f t="shared" si="279"/>
        <v/>
      </c>
      <c r="V666" s="73" t="str">
        <f t="shared" si="280"/>
        <v/>
      </c>
      <c r="W666" s="80" t="str">
        <f t="shared" si="281"/>
        <v/>
      </c>
      <c r="X666" s="73" t="str">
        <f t="shared" si="282"/>
        <v/>
      </c>
      <c r="Y666" s="80" t="str">
        <f t="shared" si="283"/>
        <v/>
      </c>
      <c r="Z666" s="74" t="str">
        <f t="shared" si="284"/>
        <v/>
      </c>
      <c r="AA666" s="75" t="str">
        <f t="shared" si="288"/>
        <v/>
      </c>
      <c r="AB666" s="103" t="str">
        <f t="shared" si="285"/>
        <v/>
      </c>
      <c r="AC666" s="104" t="str">
        <f t="shared" si="296"/>
        <v/>
      </c>
      <c r="AE666" s="139"/>
      <c r="AF666" s="110" t="str">
        <f t="shared" si="289"/>
        <v/>
      </c>
      <c r="AG666" s="111" t="str">
        <f t="shared" si="290"/>
        <v/>
      </c>
      <c r="AH666" s="111" t="str">
        <f t="shared" si="286"/>
        <v/>
      </c>
      <c r="AI666" s="111" t="str">
        <f t="shared" si="291"/>
        <v/>
      </c>
      <c r="AJ666" s="111" t="str">
        <f t="shared" si="292"/>
        <v/>
      </c>
      <c r="AK666" s="112" t="str">
        <f t="shared" si="293"/>
        <v/>
      </c>
      <c r="AL666" t="str">
        <f t="shared" si="294"/>
        <v/>
      </c>
      <c r="AM666" t="str">
        <f t="shared" si="295"/>
        <v/>
      </c>
    </row>
    <row r="667" spans="1:39" ht="15" customHeight="1" x14ac:dyDescent="0.25">
      <c r="A667" s="131"/>
      <c r="B667" s="133"/>
      <c r="C667" s="133"/>
      <c r="D667" s="42" t="str">
        <f t="shared" si="270"/>
        <v/>
      </c>
      <c r="E667" s="43"/>
      <c r="F667" s="135"/>
      <c r="G667" s="77" t="str">
        <f t="shared" si="271"/>
        <v/>
      </c>
      <c r="H667" s="32" t="str">
        <f t="shared" si="272"/>
        <v/>
      </c>
      <c r="I667" s="78" t="str">
        <f t="shared" si="273"/>
        <v/>
      </c>
      <c r="J667" s="70" t="str">
        <f t="shared" si="274"/>
        <v/>
      </c>
      <c r="K667" s="135"/>
      <c r="L667" s="72" t="str">
        <f t="shared" si="275"/>
        <v/>
      </c>
      <c r="M667" s="135"/>
      <c r="N667" s="72" t="str">
        <f t="shared" si="276"/>
        <v/>
      </c>
      <c r="O667" s="135"/>
      <c r="P667" s="136"/>
      <c r="Q667" s="123" t="str">
        <f t="shared" si="277"/>
        <v/>
      </c>
      <c r="R667" s="45" t="str">
        <f t="shared" si="278"/>
        <v/>
      </c>
      <c r="S667" s="137"/>
      <c r="T667" s="79" t="str">
        <f t="shared" si="287"/>
        <v/>
      </c>
      <c r="U667" s="79" t="str">
        <f t="shared" si="279"/>
        <v/>
      </c>
      <c r="V667" s="73" t="str">
        <f t="shared" si="280"/>
        <v/>
      </c>
      <c r="W667" s="80" t="str">
        <f t="shared" si="281"/>
        <v/>
      </c>
      <c r="X667" s="73" t="str">
        <f t="shared" si="282"/>
        <v/>
      </c>
      <c r="Y667" s="80" t="str">
        <f t="shared" si="283"/>
        <v/>
      </c>
      <c r="Z667" s="74" t="str">
        <f t="shared" si="284"/>
        <v/>
      </c>
      <c r="AA667" s="75" t="str">
        <f t="shared" si="288"/>
        <v/>
      </c>
      <c r="AB667" s="103" t="str">
        <f t="shared" si="285"/>
        <v/>
      </c>
      <c r="AC667" s="104" t="str">
        <f t="shared" si="296"/>
        <v/>
      </c>
      <c r="AE667" s="139"/>
      <c r="AF667" s="110" t="str">
        <f t="shared" si="289"/>
        <v/>
      </c>
      <c r="AG667" s="111" t="str">
        <f t="shared" si="290"/>
        <v/>
      </c>
      <c r="AH667" s="111" t="str">
        <f t="shared" si="286"/>
        <v/>
      </c>
      <c r="AI667" s="111" t="str">
        <f t="shared" si="291"/>
        <v/>
      </c>
      <c r="AJ667" s="111" t="str">
        <f t="shared" si="292"/>
        <v/>
      </c>
      <c r="AK667" s="112" t="str">
        <f t="shared" si="293"/>
        <v/>
      </c>
      <c r="AL667" t="str">
        <f t="shared" si="294"/>
        <v/>
      </c>
      <c r="AM667" t="str">
        <f t="shared" si="295"/>
        <v/>
      </c>
    </row>
    <row r="668" spans="1:39" ht="15" customHeight="1" x14ac:dyDescent="0.25">
      <c r="A668" s="131"/>
      <c r="B668" s="133"/>
      <c r="C668" s="133"/>
      <c r="D668" s="42" t="str">
        <f t="shared" si="270"/>
        <v/>
      </c>
      <c r="E668" s="43"/>
      <c r="F668" s="135"/>
      <c r="G668" s="77" t="str">
        <f t="shared" si="271"/>
        <v/>
      </c>
      <c r="H668" s="32" t="str">
        <f t="shared" si="272"/>
        <v/>
      </c>
      <c r="I668" s="78" t="str">
        <f t="shared" si="273"/>
        <v/>
      </c>
      <c r="J668" s="70" t="str">
        <f t="shared" si="274"/>
        <v/>
      </c>
      <c r="K668" s="135"/>
      <c r="L668" s="72" t="str">
        <f t="shared" si="275"/>
        <v/>
      </c>
      <c r="M668" s="135"/>
      <c r="N668" s="72" t="str">
        <f t="shared" si="276"/>
        <v/>
      </c>
      <c r="O668" s="135"/>
      <c r="P668" s="136"/>
      <c r="Q668" s="123" t="str">
        <f t="shared" si="277"/>
        <v/>
      </c>
      <c r="R668" s="45" t="str">
        <f t="shared" si="278"/>
        <v/>
      </c>
      <c r="S668" s="137"/>
      <c r="T668" s="79" t="str">
        <f t="shared" si="287"/>
        <v/>
      </c>
      <c r="U668" s="79" t="str">
        <f t="shared" si="279"/>
        <v/>
      </c>
      <c r="V668" s="73" t="str">
        <f t="shared" si="280"/>
        <v/>
      </c>
      <c r="W668" s="80" t="str">
        <f t="shared" si="281"/>
        <v/>
      </c>
      <c r="X668" s="73" t="str">
        <f t="shared" si="282"/>
        <v/>
      </c>
      <c r="Y668" s="80" t="str">
        <f t="shared" si="283"/>
        <v/>
      </c>
      <c r="Z668" s="74" t="str">
        <f t="shared" si="284"/>
        <v/>
      </c>
      <c r="AA668" s="75" t="str">
        <f t="shared" si="288"/>
        <v/>
      </c>
      <c r="AB668" s="103" t="str">
        <f t="shared" si="285"/>
        <v/>
      </c>
      <c r="AC668" s="104" t="str">
        <f t="shared" si="296"/>
        <v/>
      </c>
      <c r="AE668" s="139"/>
      <c r="AF668" s="110" t="str">
        <f t="shared" si="289"/>
        <v/>
      </c>
      <c r="AG668" s="111" t="str">
        <f t="shared" si="290"/>
        <v/>
      </c>
      <c r="AH668" s="111" t="str">
        <f t="shared" si="286"/>
        <v/>
      </c>
      <c r="AI668" s="111" t="str">
        <f t="shared" si="291"/>
        <v/>
      </c>
      <c r="AJ668" s="111" t="str">
        <f t="shared" si="292"/>
        <v/>
      </c>
      <c r="AK668" s="112" t="str">
        <f t="shared" si="293"/>
        <v/>
      </c>
      <c r="AL668" t="str">
        <f t="shared" si="294"/>
        <v/>
      </c>
      <c r="AM668" t="str">
        <f t="shared" si="295"/>
        <v/>
      </c>
    </row>
    <row r="669" spans="1:39" ht="15" customHeight="1" x14ac:dyDescent="0.25">
      <c r="A669" s="131"/>
      <c r="B669" s="133"/>
      <c r="C669" s="133"/>
      <c r="D669" s="42" t="str">
        <f t="shared" si="270"/>
        <v/>
      </c>
      <c r="E669" s="43"/>
      <c r="F669" s="135"/>
      <c r="G669" s="77" t="str">
        <f t="shared" si="271"/>
        <v/>
      </c>
      <c r="H669" s="32" t="str">
        <f t="shared" si="272"/>
        <v/>
      </c>
      <c r="I669" s="78" t="str">
        <f t="shared" si="273"/>
        <v/>
      </c>
      <c r="J669" s="70" t="str">
        <f t="shared" si="274"/>
        <v/>
      </c>
      <c r="K669" s="135"/>
      <c r="L669" s="72" t="str">
        <f t="shared" si="275"/>
        <v/>
      </c>
      <c r="M669" s="135"/>
      <c r="N669" s="72" t="str">
        <f t="shared" si="276"/>
        <v/>
      </c>
      <c r="O669" s="135"/>
      <c r="P669" s="136"/>
      <c r="Q669" s="123" t="str">
        <f t="shared" si="277"/>
        <v/>
      </c>
      <c r="R669" s="45" t="str">
        <f t="shared" si="278"/>
        <v/>
      </c>
      <c r="S669" s="137"/>
      <c r="T669" s="79" t="str">
        <f t="shared" si="287"/>
        <v/>
      </c>
      <c r="U669" s="79" t="str">
        <f t="shared" si="279"/>
        <v/>
      </c>
      <c r="V669" s="73" t="str">
        <f t="shared" si="280"/>
        <v/>
      </c>
      <c r="W669" s="80" t="str">
        <f t="shared" si="281"/>
        <v/>
      </c>
      <c r="X669" s="73" t="str">
        <f t="shared" si="282"/>
        <v/>
      </c>
      <c r="Y669" s="80" t="str">
        <f t="shared" si="283"/>
        <v/>
      </c>
      <c r="Z669" s="74" t="str">
        <f t="shared" si="284"/>
        <v/>
      </c>
      <c r="AA669" s="75" t="str">
        <f t="shared" si="288"/>
        <v/>
      </c>
      <c r="AB669" s="103" t="str">
        <f t="shared" si="285"/>
        <v/>
      </c>
      <c r="AC669" s="104" t="str">
        <f t="shared" si="296"/>
        <v/>
      </c>
      <c r="AE669" s="139"/>
      <c r="AF669" s="110" t="str">
        <f t="shared" si="289"/>
        <v/>
      </c>
      <c r="AG669" s="111" t="str">
        <f t="shared" si="290"/>
        <v/>
      </c>
      <c r="AH669" s="111" t="str">
        <f t="shared" si="286"/>
        <v/>
      </c>
      <c r="AI669" s="111" t="str">
        <f t="shared" si="291"/>
        <v/>
      </c>
      <c r="AJ669" s="111" t="str">
        <f t="shared" si="292"/>
        <v/>
      </c>
      <c r="AK669" s="112" t="str">
        <f t="shared" si="293"/>
        <v/>
      </c>
      <c r="AL669" t="str">
        <f t="shared" si="294"/>
        <v/>
      </c>
      <c r="AM669" t="str">
        <f t="shared" si="295"/>
        <v/>
      </c>
    </row>
    <row r="670" spans="1:39" ht="15" customHeight="1" x14ac:dyDescent="0.25">
      <c r="A670" s="131"/>
      <c r="B670" s="133"/>
      <c r="C670" s="133"/>
      <c r="D670" s="42" t="str">
        <f t="shared" si="270"/>
        <v/>
      </c>
      <c r="E670" s="43"/>
      <c r="F670" s="135"/>
      <c r="G670" s="77" t="str">
        <f t="shared" si="271"/>
        <v/>
      </c>
      <c r="H670" s="32" t="str">
        <f t="shared" si="272"/>
        <v/>
      </c>
      <c r="I670" s="78" t="str">
        <f t="shared" si="273"/>
        <v/>
      </c>
      <c r="J670" s="70" t="str">
        <f t="shared" si="274"/>
        <v/>
      </c>
      <c r="K670" s="135"/>
      <c r="L670" s="72" t="str">
        <f t="shared" si="275"/>
        <v/>
      </c>
      <c r="M670" s="135"/>
      <c r="N670" s="72" t="str">
        <f t="shared" si="276"/>
        <v/>
      </c>
      <c r="O670" s="135"/>
      <c r="P670" s="136"/>
      <c r="Q670" s="123" t="str">
        <f t="shared" si="277"/>
        <v/>
      </c>
      <c r="R670" s="45" t="str">
        <f t="shared" si="278"/>
        <v/>
      </c>
      <c r="S670" s="137"/>
      <c r="T670" s="79" t="str">
        <f t="shared" si="287"/>
        <v/>
      </c>
      <c r="U670" s="79" t="str">
        <f t="shared" si="279"/>
        <v/>
      </c>
      <c r="V670" s="73" t="str">
        <f t="shared" si="280"/>
        <v/>
      </c>
      <c r="W670" s="80" t="str">
        <f t="shared" si="281"/>
        <v/>
      </c>
      <c r="X670" s="73" t="str">
        <f t="shared" si="282"/>
        <v/>
      </c>
      <c r="Y670" s="80" t="str">
        <f t="shared" si="283"/>
        <v/>
      </c>
      <c r="Z670" s="74" t="str">
        <f t="shared" si="284"/>
        <v/>
      </c>
      <c r="AA670" s="75" t="str">
        <f t="shared" si="288"/>
        <v/>
      </c>
      <c r="AB670" s="103" t="str">
        <f t="shared" si="285"/>
        <v/>
      </c>
      <c r="AC670" s="104" t="str">
        <f t="shared" si="296"/>
        <v/>
      </c>
      <c r="AE670" s="139"/>
      <c r="AF670" s="110" t="str">
        <f t="shared" si="289"/>
        <v/>
      </c>
      <c r="AG670" s="111" t="str">
        <f t="shared" si="290"/>
        <v/>
      </c>
      <c r="AH670" s="111" t="str">
        <f t="shared" si="286"/>
        <v/>
      </c>
      <c r="AI670" s="111" t="str">
        <f t="shared" si="291"/>
        <v/>
      </c>
      <c r="AJ670" s="111" t="str">
        <f t="shared" si="292"/>
        <v/>
      </c>
      <c r="AK670" s="112" t="str">
        <f t="shared" si="293"/>
        <v/>
      </c>
      <c r="AL670" t="str">
        <f t="shared" si="294"/>
        <v/>
      </c>
      <c r="AM670" t="str">
        <f t="shared" si="295"/>
        <v/>
      </c>
    </row>
    <row r="671" spans="1:39" ht="15" customHeight="1" x14ac:dyDescent="0.25">
      <c r="A671" s="131"/>
      <c r="B671" s="133"/>
      <c r="C671" s="133"/>
      <c r="D671" s="42" t="str">
        <f t="shared" si="270"/>
        <v/>
      </c>
      <c r="E671" s="43"/>
      <c r="F671" s="135"/>
      <c r="G671" s="77" t="str">
        <f t="shared" si="271"/>
        <v/>
      </c>
      <c r="H671" s="32" t="str">
        <f t="shared" si="272"/>
        <v/>
      </c>
      <c r="I671" s="78" t="str">
        <f t="shared" si="273"/>
        <v/>
      </c>
      <c r="J671" s="70" t="str">
        <f t="shared" si="274"/>
        <v/>
      </c>
      <c r="K671" s="135"/>
      <c r="L671" s="72" t="str">
        <f t="shared" si="275"/>
        <v/>
      </c>
      <c r="M671" s="135"/>
      <c r="N671" s="72" t="str">
        <f t="shared" si="276"/>
        <v/>
      </c>
      <c r="O671" s="135"/>
      <c r="P671" s="136"/>
      <c r="Q671" s="123" t="str">
        <f t="shared" si="277"/>
        <v/>
      </c>
      <c r="R671" s="45" t="str">
        <f t="shared" si="278"/>
        <v/>
      </c>
      <c r="S671" s="137"/>
      <c r="T671" s="79" t="str">
        <f t="shared" si="287"/>
        <v/>
      </c>
      <c r="U671" s="79" t="str">
        <f t="shared" si="279"/>
        <v/>
      </c>
      <c r="V671" s="73" t="str">
        <f t="shared" si="280"/>
        <v/>
      </c>
      <c r="W671" s="80" t="str">
        <f t="shared" si="281"/>
        <v/>
      </c>
      <c r="X671" s="73" t="str">
        <f t="shared" si="282"/>
        <v/>
      </c>
      <c r="Y671" s="80" t="str">
        <f t="shared" si="283"/>
        <v/>
      </c>
      <c r="Z671" s="74" t="str">
        <f t="shared" si="284"/>
        <v/>
      </c>
      <c r="AA671" s="75" t="str">
        <f t="shared" si="288"/>
        <v/>
      </c>
      <c r="AB671" s="103" t="str">
        <f t="shared" si="285"/>
        <v/>
      </c>
      <c r="AC671" s="104" t="str">
        <f t="shared" si="296"/>
        <v/>
      </c>
      <c r="AE671" s="139"/>
      <c r="AF671" s="110" t="str">
        <f t="shared" si="289"/>
        <v/>
      </c>
      <c r="AG671" s="111" t="str">
        <f t="shared" si="290"/>
        <v/>
      </c>
      <c r="AH671" s="111" t="str">
        <f t="shared" si="286"/>
        <v/>
      </c>
      <c r="AI671" s="111" t="str">
        <f t="shared" si="291"/>
        <v/>
      </c>
      <c r="AJ671" s="111" t="str">
        <f t="shared" si="292"/>
        <v/>
      </c>
      <c r="AK671" s="112" t="str">
        <f t="shared" si="293"/>
        <v/>
      </c>
      <c r="AL671" t="str">
        <f t="shared" si="294"/>
        <v/>
      </c>
      <c r="AM671" t="str">
        <f t="shared" si="295"/>
        <v/>
      </c>
    </row>
    <row r="672" spans="1:39" ht="15" customHeight="1" x14ac:dyDescent="0.25">
      <c r="A672" s="131"/>
      <c r="B672" s="133"/>
      <c r="C672" s="133"/>
      <c r="D672" s="42" t="str">
        <f t="shared" si="270"/>
        <v/>
      </c>
      <c r="E672" s="43"/>
      <c r="F672" s="135"/>
      <c r="G672" s="77" t="str">
        <f t="shared" si="271"/>
        <v/>
      </c>
      <c r="H672" s="32" t="str">
        <f t="shared" si="272"/>
        <v/>
      </c>
      <c r="I672" s="78" t="str">
        <f t="shared" si="273"/>
        <v/>
      </c>
      <c r="J672" s="70" t="str">
        <f t="shared" si="274"/>
        <v/>
      </c>
      <c r="K672" s="135"/>
      <c r="L672" s="72" t="str">
        <f t="shared" si="275"/>
        <v/>
      </c>
      <c r="M672" s="135"/>
      <c r="N672" s="72" t="str">
        <f t="shared" si="276"/>
        <v/>
      </c>
      <c r="O672" s="135"/>
      <c r="P672" s="136"/>
      <c r="Q672" s="123" t="str">
        <f t="shared" si="277"/>
        <v/>
      </c>
      <c r="R672" s="45" t="str">
        <f t="shared" si="278"/>
        <v/>
      </c>
      <c r="S672" s="137"/>
      <c r="T672" s="79" t="str">
        <f t="shared" si="287"/>
        <v/>
      </c>
      <c r="U672" s="79" t="str">
        <f t="shared" si="279"/>
        <v/>
      </c>
      <c r="V672" s="73" t="str">
        <f t="shared" si="280"/>
        <v/>
      </c>
      <c r="W672" s="80" t="str">
        <f t="shared" si="281"/>
        <v/>
      </c>
      <c r="X672" s="73" t="str">
        <f t="shared" si="282"/>
        <v/>
      </c>
      <c r="Y672" s="80" t="str">
        <f t="shared" si="283"/>
        <v/>
      </c>
      <c r="Z672" s="74" t="str">
        <f t="shared" si="284"/>
        <v/>
      </c>
      <c r="AA672" s="75" t="str">
        <f t="shared" si="288"/>
        <v/>
      </c>
      <c r="AB672" s="103" t="str">
        <f t="shared" si="285"/>
        <v/>
      </c>
      <c r="AC672" s="104" t="str">
        <f t="shared" si="296"/>
        <v/>
      </c>
      <c r="AE672" s="139"/>
      <c r="AF672" s="110" t="str">
        <f t="shared" si="289"/>
        <v/>
      </c>
      <c r="AG672" s="111" t="str">
        <f t="shared" si="290"/>
        <v/>
      </c>
      <c r="AH672" s="111" t="str">
        <f t="shared" si="286"/>
        <v/>
      </c>
      <c r="AI672" s="111" t="str">
        <f t="shared" si="291"/>
        <v/>
      </c>
      <c r="AJ672" s="111" t="str">
        <f t="shared" si="292"/>
        <v/>
      </c>
      <c r="AK672" s="112" t="str">
        <f t="shared" si="293"/>
        <v/>
      </c>
      <c r="AL672" t="str">
        <f t="shared" si="294"/>
        <v/>
      </c>
      <c r="AM672" t="str">
        <f t="shared" si="295"/>
        <v/>
      </c>
    </row>
    <row r="673" spans="1:39" ht="15" customHeight="1" x14ac:dyDescent="0.25">
      <c r="A673" s="131"/>
      <c r="B673" s="133"/>
      <c r="C673" s="133"/>
      <c r="D673" s="42" t="str">
        <f t="shared" si="270"/>
        <v/>
      </c>
      <c r="E673" s="43"/>
      <c r="F673" s="135"/>
      <c r="G673" s="77" t="str">
        <f t="shared" si="271"/>
        <v/>
      </c>
      <c r="H673" s="32" t="str">
        <f t="shared" si="272"/>
        <v/>
      </c>
      <c r="I673" s="78" t="str">
        <f t="shared" si="273"/>
        <v/>
      </c>
      <c r="J673" s="70" t="str">
        <f t="shared" si="274"/>
        <v/>
      </c>
      <c r="K673" s="135"/>
      <c r="L673" s="72" t="str">
        <f t="shared" si="275"/>
        <v/>
      </c>
      <c r="M673" s="135"/>
      <c r="N673" s="72" t="str">
        <f t="shared" si="276"/>
        <v/>
      </c>
      <c r="O673" s="135"/>
      <c r="P673" s="136"/>
      <c r="Q673" s="123" t="str">
        <f t="shared" si="277"/>
        <v/>
      </c>
      <c r="R673" s="45" t="str">
        <f t="shared" si="278"/>
        <v/>
      </c>
      <c r="S673" s="137"/>
      <c r="T673" s="79" t="str">
        <f t="shared" si="287"/>
        <v/>
      </c>
      <c r="U673" s="79" t="str">
        <f t="shared" si="279"/>
        <v/>
      </c>
      <c r="V673" s="73" t="str">
        <f t="shared" si="280"/>
        <v/>
      </c>
      <c r="W673" s="80" t="str">
        <f t="shared" si="281"/>
        <v/>
      </c>
      <c r="X673" s="73" t="str">
        <f t="shared" si="282"/>
        <v/>
      </c>
      <c r="Y673" s="80" t="str">
        <f t="shared" si="283"/>
        <v/>
      </c>
      <c r="Z673" s="74" t="str">
        <f t="shared" si="284"/>
        <v/>
      </c>
      <c r="AA673" s="75" t="str">
        <f t="shared" si="288"/>
        <v/>
      </c>
      <c r="AB673" s="103" t="str">
        <f t="shared" si="285"/>
        <v/>
      </c>
      <c r="AC673" s="104" t="str">
        <f t="shared" si="296"/>
        <v/>
      </c>
      <c r="AE673" s="139"/>
      <c r="AF673" s="110" t="str">
        <f t="shared" si="289"/>
        <v/>
      </c>
      <c r="AG673" s="111" t="str">
        <f t="shared" si="290"/>
        <v/>
      </c>
      <c r="AH673" s="111" t="str">
        <f t="shared" si="286"/>
        <v/>
      </c>
      <c r="AI673" s="111" t="str">
        <f t="shared" si="291"/>
        <v/>
      </c>
      <c r="AJ673" s="111" t="str">
        <f t="shared" si="292"/>
        <v/>
      </c>
      <c r="AK673" s="112" t="str">
        <f t="shared" si="293"/>
        <v/>
      </c>
      <c r="AL673" t="str">
        <f t="shared" si="294"/>
        <v/>
      </c>
      <c r="AM673" t="str">
        <f t="shared" si="295"/>
        <v/>
      </c>
    </row>
    <row r="674" spans="1:39" ht="15" customHeight="1" x14ac:dyDescent="0.25">
      <c r="A674" s="131"/>
      <c r="B674" s="133"/>
      <c r="C674" s="133"/>
      <c r="D674" s="42" t="str">
        <f t="shared" si="270"/>
        <v/>
      </c>
      <c r="E674" s="43"/>
      <c r="F674" s="135"/>
      <c r="G674" s="77" t="str">
        <f t="shared" si="271"/>
        <v/>
      </c>
      <c r="H674" s="32" t="str">
        <f t="shared" si="272"/>
        <v/>
      </c>
      <c r="I674" s="78" t="str">
        <f t="shared" si="273"/>
        <v/>
      </c>
      <c r="J674" s="70" t="str">
        <f t="shared" si="274"/>
        <v/>
      </c>
      <c r="K674" s="135"/>
      <c r="L674" s="72" t="str">
        <f t="shared" si="275"/>
        <v/>
      </c>
      <c r="M674" s="135"/>
      <c r="N674" s="72" t="str">
        <f t="shared" si="276"/>
        <v/>
      </c>
      <c r="O674" s="135"/>
      <c r="P674" s="136"/>
      <c r="Q674" s="123" t="str">
        <f t="shared" si="277"/>
        <v/>
      </c>
      <c r="R674" s="45" t="str">
        <f t="shared" si="278"/>
        <v/>
      </c>
      <c r="S674" s="137"/>
      <c r="T674" s="79" t="str">
        <f t="shared" si="287"/>
        <v/>
      </c>
      <c r="U674" s="79" t="str">
        <f t="shared" si="279"/>
        <v/>
      </c>
      <c r="V674" s="73" t="str">
        <f t="shared" si="280"/>
        <v/>
      </c>
      <c r="W674" s="80" t="str">
        <f t="shared" si="281"/>
        <v/>
      </c>
      <c r="X674" s="73" t="str">
        <f t="shared" si="282"/>
        <v/>
      </c>
      <c r="Y674" s="80" t="str">
        <f t="shared" si="283"/>
        <v/>
      </c>
      <c r="Z674" s="74" t="str">
        <f t="shared" si="284"/>
        <v/>
      </c>
      <c r="AA674" s="75" t="str">
        <f t="shared" si="288"/>
        <v/>
      </c>
      <c r="AB674" s="103" t="str">
        <f t="shared" si="285"/>
        <v/>
      </c>
      <c r="AC674" s="104" t="str">
        <f t="shared" si="296"/>
        <v/>
      </c>
      <c r="AE674" s="139"/>
      <c r="AF674" s="110" t="str">
        <f t="shared" si="289"/>
        <v/>
      </c>
      <c r="AG674" s="111" t="str">
        <f t="shared" si="290"/>
        <v/>
      </c>
      <c r="AH674" s="111" t="str">
        <f t="shared" si="286"/>
        <v/>
      </c>
      <c r="AI674" s="111" t="str">
        <f t="shared" si="291"/>
        <v/>
      </c>
      <c r="AJ674" s="111" t="str">
        <f t="shared" si="292"/>
        <v/>
      </c>
      <c r="AK674" s="112" t="str">
        <f t="shared" si="293"/>
        <v/>
      </c>
      <c r="AL674" t="str">
        <f t="shared" si="294"/>
        <v/>
      </c>
      <c r="AM674" t="str">
        <f t="shared" si="295"/>
        <v/>
      </c>
    </row>
    <row r="675" spans="1:39" ht="15" customHeight="1" x14ac:dyDescent="0.25">
      <c r="A675" s="131"/>
      <c r="B675" s="133"/>
      <c r="C675" s="133"/>
      <c r="D675" s="42" t="str">
        <f t="shared" si="270"/>
        <v/>
      </c>
      <c r="E675" s="43"/>
      <c r="F675" s="135"/>
      <c r="G675" s="77" t="str">
        <f t="shared" si="271"/>
        <v/>
      </c>
      <c r="H675" s="32" t="str">
        <f t="shared" si="272"/>
        <v/>
      </c>
      <c r="I675" s="78" t="str">
        <f t="shared" si="273"/>
        <v/>
      </c>
      <c r="J675" s="70" t="str">
        <f t="shared" si="274"/>
        <v/>
      </c>
      <c r="K675" s="135"/>
      <c r="L675" s="72" t="str">
        <f t="shared" si="275"/>
        <v/>
      </c>
      <c r="M675" s="135"/>
      <c r="N675" s="72" t="str">
        <f t="shared" si="276"/>
        <v/>
      </c>
      <c r="O675" s="135"/>
      <c r="P675" s="136"/>
      <c r="Q675" s="123" t="str">
        <f t="shared" si="277"/>
        <v/>
      </c>
      <c r="R675" s="45" t="str">
        <f t="shared" si="278"/>
        <v/>
      </c>
      <c r="S675" s="137"/>
      <c r="T675" s="79" t="str">
        <f t="shared" si="287"/>
        <v/>
      </c>
      <c r="U675" s="79" t="str">
        <f t="shared" si="279"/>
        <v/>
      </c>
      <c r="V675" s="73" t="str">
        <f t="shared" si="280"/>
        <v/>
      </c>
      <c r="W675" s="80" t="str">
        <f t="shared" si="281"/>
        <v/>
      </c>
      <c r="X675" s="73" t="str">
        <f t="shared" si="282"/>
        <v/>
      </c>
      <c r="Y675" s="80" t="str">
        <f t="shared" si="283"/>
        <v/>
      </c>
      <c r="Z675" s="74" t="str">
        <f t="shared" si="284"/>
        <v/>
      </c>
      <c r="AA675" s="75" t="str">
        <f t="shared" si="288"/>
        <v/>
      </c>
      <c r="AB675" s="103" t="str">
        <f t="shared" si="285"/>
        <v/>
      </c>
      <c r="AC675" s="104" t="str">
        <f t="shared" si="296"/>
        <v/>
      </c>
      <c r="AE675" s="139"/>
      <c r="AF675" s="110" t="str">
        <f t="shared" si="289"/>
        <v/>
      </c>
      <c r="AG675" s="111" t="str">
        <f t="shared" si="290"/>
        <v/>
      </c>
      <c r="AH675" s="111" t="str">
        <f t="shared" si="286"/>
        <v/>
      </c>
      <c r="AI675" s="111" t="str">
        <f t="shared" si="291"/>
        <v/>
      </c>
      <c r="AJ675" s="111" t="str">
        <f t="shared" si="292"/>
        <v/>
      </c>
      <c r="AK675" s="112" t="str">
        <f t="shared" si="293"/>
        <v/>
      </c>
      <c r="AL675" t="str">
        <f t="shared" si="294"/>
        <v/>
      </c>
      <c r="AM675" t="str">
        <f t="shared" si="295"/>
        <v/>
      </c>
    </row>
    <row r="676" spans="1:39" ht="15" customHeight="1" x14ac:dyDescent="0.25">
      <c r="A676" s="131"/>
      <c r="B676" s="133"/>
      <c r="C676" s="133"/>
      <c r="D676" s="42" t="str">
        <f t="shared" si="270"/>
        <v/>
      </c>
      <c r="E676" s="43"/>
      <c r="F676" s="135"/>
      <c r="G676" s="77" t="str">
        <f t="shared" si="271"/>
        <v/>
      </c>
      <c r="H676" s="32" t="str">
        <f t="shared" si="272"/>
        <v/>
      </c>
      <c r="I676" s="78" t="str">
        <f t="shared" si="273"/>
        <v/>
      </c>
      <c r="J676" s="70" t="str">
        <f t="shared" si="274"/>
        <v/>
      </c>
      <c r="K676" s="135"/>
      <c r="L676" s="72" t="str">
        <f t="shared" si="275"/>
        <v/>
      </c>
      <c r="M676" s="135"/>
      <c r="N676" s="72" t="str">
        <f t="shared" si="276"/>
        <v/>
      </c>
      <c r="O676" s="135"/>
      <c r="P676" s="136"/>
      <c r="Q676" s="123" t="str">
        <f t="shared" si="277"/>
        <v/>
      </c>
      <c r="R676" s="45" t="str">
        <f t="shared" si="278"/>
        <v/>
      </c>
      <c r="S676" s="137"/>
      <c r="T676" s="79" t="str">
        <f t="shared" si="287"/>
        <v/>
      </c>
      <c r="U676" s="79" t="str">
        <f t="shared" si="279"/>
        <v/>
      </c>
      <c r="V676" s="73" t="str">
        <f t="shared" si="280"/>
        <v/>
      </c>
      <c r="W676" s="80" t="str">
        <f t="shared" si="281"/>
        <v/>
      </c>
      <c r="X676" s="73" t="str">
        <f t="shared" si="282"/>
        <v/>
      </c>
      <c r="Y676" s="80" t="str">
        <f t="shared" si="283"/>
        <v/>
      </c>
      <c r="Z676" s="74" t="str">
        <f t="shared" si="284"/>
        <v/>
      </c>
      <c r="AA676" s="75" t="str">
        <f t="shared" si="288"/>
        <v/>
      </c>
      <c r="AB676" s="103" t="str">
        <f t="shared" si="285"/>
        <v/>
      </c>
      <c r="AC676" s="104" t="str">
        <f t="shared" si="296"/>
        <v/>
      </c>
      <c r="AE676" s="139"/>
      <c r="AF676" s="110" t="str">
        <f t="shared" si="289"/>
        <v/>
      </c>
      <c r="AG676" s="111" t="str">
        <f t="shared" si="290"/>
        <v/>
      </c>
      <c r="AH676" s="111" t="str">
        <f t="shared" si="286"/>
        <v/>
      </c>
      <c r="AI676" s="111" t="str">
        <f t="shared" si="291"/>
        <v/>
      </c>
      <c r="AJ676" s="111" t="str">
        <f t="shared" si="292"/>
        <v/>
      </c>
      <c r="AK676" s="112" t="str">
        <f t="shared" si="293"/>
        <v/>
      </c>
      <c r="AL676" t="str">
        <f t="shared" si="294"/>
        <v/>
      </c>
      <c r="AM676" t="str">
        <f t="shared" si="295"/>
        <v/>
      </c>
    </row>
    <row r="677" spans="1:39" ht="15" customHeight="1" x14ac:dyDescent="0.25">
      <c r="A677" s="131"/>
      <c r="B677" s="133"/>
      <c r="C677" s="133"/>
      <c r="D677" s="42" t="str">
        <f t="shared" si="270"/>
        <v/>
      </c>
      <c r="E677" s="43"/>
      <c r="F677" s="135"/>
      <c r="G677" s="77" t="str">
        <f t="shared" si="271"/>
        <v/>
      </c>
      <c r="H677" s="32" t="str">
        <f t="shared" si="272"/>
        <v/>
      </c>
      <c r="I677" s="78" t="str">
        <f t="shared" si="273"/>
        <v/>
      </c>
      <c r="J677" s="70" t="str">
        <f t="shared" si="274"/>
        <v/>
      </c>
      <c r="K677" s="135"/>
      <c r="L677" s="72" t="str">
        <f t="shared" si="275"/>
        <v/>
      </c>
      <c r="M677" s="135"/>
      <c r="N677" s="72" t="str">
        <f t="shared" si="276"/>
        <v/>
      </c>
      <c r="O677" s="135"/>
      <c r="P677" s="136"/>
      <c r="Q677" s="123" t="str">
        <f t="shared" si="277"/>
        <v/>
      </c>
      <c r="R677" s="45" t="str">
        <f t="shared" si="278"/>
        <v/>
      </c>
      <c r="S677" s="137"/>
      <c r="T677" s="79" t="str">
        <f t="shared" si="287"/>
        <v/>
      </c>
      <c r="U677" s="79" t="str">
        <f t="shared" si="279"/>
        <v/>
      </c>
      <c r="V677" s="73" t="str">
        <f t="shared" si="280"/>
        <v/>
      </c>
      <c r="W677" s="80" t="str">
        <f t="shared" si="281"/>
        <v/>
      </c>
      <c r="X677" s="73" t="str">
        <f t="shared" si="282"/>
        <v/>
      </c>
      <c r="Y677" s="80" t="str">
        <f t="shared" si="283"/>
        <v/>
      </c>
      <c r="Z677" s="74" t="str">
        <f t="shared" si="284"/>
        <v/>
      </c>
      <c r="AA677" s="75" t="str">
        <f t="shared" si="288"/>
        <v/>
      </c>
      <c r="AB677" s="103" t="str">
        <f t="shared" si="285"/>
        <v/>
      </c>
      <c r="AC677" s="104" t="str">
        <f t="shared" si="296"/>
        <v/>
      </c>
      <c r="AE677" s="139"/>
      <c r="AF677" s="110" t="str">
        <f t="shared" si="289"/>
        <v/>
      </c>
      <c r="AG677" s="111" t="str">
        <f t="shared" si="290"/>
        <v/>
      </c>
      <c r="AH677" s="111" t="str">
        <f t="shared" si="286"/>
        <v/>
      </c>
      <c r="AI677" s="111" t="str">
        <f t="shared" si="291"/>
        <v/>
      </c>
      <c r="AJ677" s="111" t="str">
        <f t="shared" si="292"/>
        <v/>
      </c>
      <c r="AK677" s="112" t="str">
        <f t="shared" si="293"/>
        <v/>
      </c>
      <c r="AL677" t="str">
        <f t="shared" si="294"/>
        <v/>
      </c>
      <c r="AM677" t="str">
        <f t="shared" si="295"/>
        <v/>
      </c>
    </row>
    <row r="678" spans="1:39" ht="15" customHeight="1" x14ac:dyDescent="0.25">
      <c r="A678" s="131"/>
      <c r="B678" s="133"/>
      <c r="C678" s="133"/>
      <c r="D678" s="42" t="str">
        <f t="shared" si="270"/>
        <v/>
      </c>
      <c r="E678" s="43"/>
      <c r="F678" s="135"/>
      <c r="G678" s="77" t="str">
        <f t="shared" si="271"/>
        <v/>
      </c>
      <c r="H678" s="32" t="str">
        <f t="shared" si="272"/>
        <v/>
      </c>
      <c r="I678" s="78" t="str">
        <f t="shared" si="273"/>
        <v/>
      </c>
      <c r="J678" s="70" t="str">
        <f t="shared" si="274"/>
        <v/>
      </c>
      <c r="K678" s="135"/>
      <c r="L678" s="72" t="str">
        <f t="shared" si="275"/>
        <v/>
      </c>
      <c r="M678" s="135"/>
      <c r="N678" s="72" t="str">
        <f t="shared" si="276"/>
        <v/>
      </c>
      <c r="O678" s="135"/>
      <c r="P678" s="136"/>
      <c r="Q678" s="123" t="str">
        <f t="shared" si="277"/>
        <v/>
      </c>
      <c r="R678" s="45" t="str">
        <f t="shared" si="278"/>
        <v/>
      </c>
      <c r="S678" s="137"/>
      <c r="T678" s="79" t="str">
        <f t="shared" si="287"/>
        <v/>
      </c>
      <c r="U678" s="79" t="str">
        <f t="shared" si="279"/>
        <v/>
      </c>
      <c r="V678" s="73" t="str">
        <f t="shared" si="280"/>
        <v/>
      </c>
      <c r="W678" s="80" t="str">
        <f t="shared" si="281"/>
        <v/>
      </c>
      <c r="X678" s="73" t="str">
        <f t="shared" si="282"/>
        <v/>
      </c>
      <c r="Y678" s="80" t="str">
        <f t="shared" si="283"/>
        <v/>
      </c>
      <c r="Z678" s="74" t="str">
        <f t="shared" si="284"/>
        <v/>
      </c>
      <c r="AA678" s="75" t="str">
        <f t="shared" si="288"/>
        <v/>
      </c>
      <c r="AB678" s="103" t="str">
        <f t="shared" si="285"/>
        <v/>
      </c>
      <c r="AC678" s="104" t="str">
        <f t="shared" si="296"/>
        <v/>
      </c>
      <c r="AE678" s="139"/>
      <c r="AF678" s="110" t="str">
        <f t="shared" si="289"/>
        <v/>
      </c>
      <c r="AG678" s="111" t="str">
        <f t="shared" si="290"/>
        <v/>
      </c>
      <c r="AH678" s="111" t="str">
        <f t="shared" si="286"/>
        <v/>
      </c>
      <c r="AI678" s="111" t="str">
        <f t="shared" si="291"/>
        <v/>
      </c>
      <c r="AJ678" s="111" t="str">
        <f t="shared" si="292"/>
        <v/>
      </c>
      <c r="AK678" s="112" t="str">
        <f t="shared" si="293"/>
        <v/>
      </c>
      <c r="AL678" t="str">
        <f t="shared" si="294"/>
        <v/>
      </c>
      <c r="AM678" t="str">
        <f t="shared" si="295"/>
        <v/>
      </c>
    </row>
    <row r="679" spans="1:39" ht="15" customHeight="1" x14ac:dyDescent="0.25">
      <c r="A679" s="131"/>
      <c r="B679" s="133"/>
      <c r="C679" s="133"/>
      <c r="D679" s="42" t="str">
        <f t="shared" si="270"/>
        <v/>
      </c>
      <c r="E679" s="43"/>
      <c r="F679" s="135"/>
      <c r="G679" s="77" t="str">
        <f t="shared" si="271"/>
        <v/>
      </c>
      <c r="H679" s="32" t="str">
        <f t="shared" si="272"/>
        <v/>
      </c>
      <c r="I679" s="78" t="str">
        <f t="shared" si="273"/>
        <v/>
      </c>
      <c r="J679" s="70" t="str">
        <f t="shared" si="274"/>
        <v/>
      </c>
      <c r="K679" s="135"/>
      <c r="L679" s="72" t="str">
        <f t="shared" si="275"/>
        <v/>
      </c>
      <c r="M679" s="135"/>
      <c r="N679" s="72" t="str">
        <f t="shared" si="276"/>
        <v/>
      </c>
      <c r="O679" s="135"/>
      <c r="P679" s="136"/>
      <c r="Q679" s="123" t="str">
        <f t="shared" si="277"/>
        <v/>
      </c>
      <c r="R679" s="45" t="str">
        <f t="shared" si="278"/>
        <v/>
      </c>
      <c r="S679" s="137"/>
      <c r="T679" s="79" t="str">
        <f t="shared" si="287"/>
        <v/>
      </c>
      <c r="U679" s="79" t="str">
        <f t="shared" si="279"/>
        <v/>
      </c>
      <c r="V679" s="73" t="str">
        <f t="shared" si="280"/>
        <v/>
      </c>
      <c r="W679" s="80" t="str">
        <f t="shared" si="281"/>
        <v/>
      </c>
      <c r="X679" s="73" t="str">
        <f t="shared" si="282"/>
        <v/>
      </c>
      <c r="Y679" s="80" t="str">
        <f t="shared" si="283"/>
        <v/>
      </c>
      <c r="Z679" s="74" t="str">
        <f t="shared" si="284"/>
        <v/>
      </c>
      <c r="AA679" s="75" t="str">
        <f t="shared" si="288"/>
        <v/>
      </c>
      <c r="AB679" s="103" t="str">
        <f t="shared" si="285"/>
        <v/>
      </c>
      <c r="AC679" s="104" t="str">
        <f t="shared" si="296"/>
        <v/>
      </c>
      <c r="AE679" s="139"/>
      <c r="AF679" s="110" t="str">
        <f t="shared" si="289"/>
        <v/>
      </c>
      <c r="AG679" s="111" t="str">
        <f t="shared" si="290"/>
        <v/>
      </c>
      <c r="AH679" s="111" t="str">
        <f t="shared" si="286"/>
        <v/>
      </c>
      <c r="AI679" s="111" t="str">
        <f t="shared" si="291"/>
        <v/>
      </c>
      <c r="AJ679" s="111" t="str">
        <f t="shared" si="292"/>
        <v/>
      </c>
      <c r="AK679" s="112" t="str">
        <f t="shared" si="293"/>
        <v/>
      </c>
      <c r="AL679" t="str">
        <f t="shared" si="294"/>
        <v/>
      </c>
      <c r="AM679" t="str">
        <f t="shared" si="295"/>
        <v/>
      </c>
    </row>
    <row r="680" spans="1:39" ht="15" customHeight="1" x14ac:dyDescent="0.25">
      <c r="A680" s="131"/>
      <c r="B680" s="133"/>
      <c r="C680" s="133"/>
      <c r="D680" s="42" t="str">
        <f t="shared" si="270"/>
        <v/>
      </c>
      <c r="E680" s="43"/>
      <c r="F680" s="135"/>
      <c r="G680" s="77" t="str">
        <f t="shared" si="271"/>
        <v/>
      </c>
      <c r="H680" s="32" t="str">
        <f t="shared" si="272"/>
        <v/>
      </c>
      <c r="I680" s="78" t="str">
        <f t="shared" si="273"/>
        <v/>
      </c>
      <c r="J680" s="70" t="str">
        <f t="shared" si="274"/>
        <v/>
      </c>
      <c r="K680" s="135"/>
      <c r="L680" s="72" t="str">
        <f t="shared" si="275"/>
        <v/>
      </c>
      <c r="M680" s="135"/>
      <c r="N680" s="72" t="str">
        <f t="shared" si="276"/>
        <v/>
      </c>
      <c r="O680" s="135"/>
      <c r="P680" s="136"/>
      <c r="Q680" s="123" t="str">
        <f t="shared" si="277"/>
        <v/>
      </c>
      <c r="R680" s="45" t="str">
        <f t="shared" si="278"/>
        <v/>
      </c>
      <c r="S680" s="137"/>
      <c r="T680" s="79" t="str">
        <f t="shared" si="287"/>
        <v/>
      </c>
      <c r="U680" s="79" t="str">
        <f t="shared" si="279"/>
        <v/>
      </c>
      <c r="V680" s="73" t="str">
        <f t="shared" si="280"/>
        <v/>
      </c>
      <c r="W680" s="80" t="str">
        <f t="shared" si="281"/>
        <v/>
      </c>
      <c r="X680" s="73" t="str">
        <f t="shared" si="282"/>
        <v/>
      </c>
      <c r="Y680" s="80" t="str">
        <f t="shared" si="283"/>
        <v/>
      </c>
      <c r="Z680" s="74" t="str">
        <f t="shared" si="284"/>
        <v/>
      </c>
      <c r="AA680" s="75" t="str">
        <f t="shared" si="288"/>
        <v/>
      </c>
      <c r="AB680" s="103" t="str">
        <f t="shared" si="285"/>
        <v/>
      </c>
      <c r="AC680" s="104" t="str">
        <f t="shared" si="296"/>
        <v/>
      </c>
      <c r="AE680" s="139"/>
      <c r="AF680" s="110" t="str">
        <f t="shared" si="289"/>
        <v/>
      </c>
      <c r="AG680" s="111" t="str">
        <f t="shared" si="290"/>
        <v/>
      </c>
      <c r="AH680" s="111" t="str">
        <f t="shared" si="286"/>
        <v/>
      </c>
      <c r="AI680" s="111" t="str">
        <f t="shared" si="291"/>
        <v/>
      </c>
      <c r="AJ680" s="111" t="str">
        <f t="shared" si="292"/>
        <v/>
      </c>
      <c r="AK680" s="112" t="str">
        <f t="shared" si="293"/>
        <v/>
      </c>
      <c r="AL680" t="str">
        <f t="shared" si="294"/>
        <v/>
      </c>
      <c r="AM680" t="str">
        <f t="shared" si="295"/>
        <v/>
      </c>
    </row>
    <row r="681" spans="1:39" ht="15" customHeight="1" x14ac:dyDescent="0.25">
      <c r="A681" s="131"/>
      <c r="B681" s="133"/>
      <c r="C681" s="133"/>
      <c r="D681" s="42" t="str">
        <f t="shared" si="270"/>
        <v/>
      </c>
      <c r="E681" s="43"/>
      <c r="F681" s="135"/>
      <c r="G681" s="77" t="str">
        <f t="shared" si="271"/>
        <v/>
      </c>
      <c r="H681" s="32" t="str">
        <f t="shared" si="272"/>
        <v/>
      </c>
      <c r="I681" s="78" t="str">
        <f t="shared" si="273"/>
        <v/>
      </c>
      <c r="J681" s="70" t="str">
        <f t="shared" si="274"/>
        <v/>
      </c>
      <c r="K681" s="135"/>
      <c r="L681" s="72" t="str">
        <f t="shared" si="275"/>
        <v/>
      </c>
      <c r="M681" s="135"/>
      <c r="N681" s="72" t="str">
        <f t="shared" si="276"/>
        <v/>
      </c>
      <c r="O681" s="135"/>
      <c r="P681" s="136"/>
      <c r="Q681" s="123" t="str">
        <f t="shared" si="277"/>
        <v/>
      </c>
      <c r="R681" s="45" t="str">
        <f t="shared" si="278"/>
        <v/>
      </c>
      <c r="S681" s="137"/>
      <c r="T681" s="79" t="str">
        <f t="shared" si="287"/>
        <v/>
      </c>
      <c r="U681" s="79" t="str">
        <f t="shared" si="279"/>
        <v/>
      </c>
      <c r="V681" s="73" t="str">
        <f t="shared" si="280"/>
        <v/>
      </c>
      <c r="W681" s="80" t="str">
        <f t="shared" si="281"/>
        <v/>
      </c>
      <c r="X681" s="73" t="str">
        <f t="shared" si="282"/>
        <v/>
      </c>
      <c r="Y681" s="80" t="str">
        <f t="shared" si="283"/>
        <v/>
      </c>
      <c r="Z681" s="74" t="str">
        <f t="shared" si="284"/>
        <v/>
      </c>
      <c r="AA681" s="75" t="str">
        <f t="shared" si="288"/>
        <v/>
      </c>
      <c r="AB681" s="103" t="str">
        <f t="shared" si="285"/>
        <v/>
      </c>
      <c r="AC681" s="104" t="str">
        <f t="shared" si="296"/>
        <v/>
      </c>
      <c r="AE681" s="139"/>
      <c r="AF681" s="110" t="str">
        <f t="shared" si="289"/>
        <v/>
      </c>
      <c r="AG681" s="111" t="str">
        <f t="shared" si="290"/>
        <v/>
      </c>
      <c r="AH681" s="111" t="str">
        <f t="shared" si="286"/>
        <v/>
      </c>
      <c r="AI681" s="111" t="str">
        <f t="shared" si="291"/>
        <v/>
      </c>
      <c r="AJ681" s="111" t="str">
        <f t="shared" si="292"/>
        <v/>
      </c>
      <c r="AK681" s="112" t="str">
        <f t="shared" si="293"/>
        <v/>
      </c>
      <c r="AL681" t="str">
        <f t="shared" si="294"/>
        <v/>
      </c>
      <c r="AM681" t="str">
        <f t="shared" si="295"/>
        <v/>
      </c>
    </row>
    <row r="682" spans="1:39" ht="15" customHeight="1" x14ac:dyDescent="0.25">
      <c r="A682" s="131"/>
      <c r="B682" s="133"/>
      <c r="C682" s="133"/>
      <c r="D682" s="42" t="str">
        <f t="shared" si="270"/>
        <v/>
      </c>
      <c r="E682" s="43"/>
      <c r="F682" s="135"/>
      <c r="G682" s="77" t="str">
        <f t="shared" si="271"/>
        <v/>
      </c>
      <c r="H682" s="32" t="str">
        <f t="shared" si="272"/>
        <v/>
      </c>
      <c r="I682" s="78" t="str">
        <f t="shared" si="273"/>
        <v/>
      </c>
      <c r="J682" s="70" t="str">
        <f t="shared" si="274"/>
        <v/>
      </c>
      <c r="K682" s="135"/>
      <c r="L682" s="72" t="str">
        <f t="shared" si="275"/>
        <v/>
      </c>
      <c r="M682" s="135"/>
      <c r="N682" s="72" t="str">
        <f t="shared" si="276"/>
        <v/>
      </c>
      <c r="O682" s="135"/>
      <c r="P682" s="136"/>
      <c r="Q682" s="123" t="str">
        <f t="shared" si="277"/>
        <v/>
      </c>
      <c r="R682" s="45" t="str">
        <f t="shared" si="278"/>
        <v/>
      </c>
      <c r="S682" s="137"/>
      <c r="T682" s="79" t="str">
        <f t="shared" si="287"/>
        <v/>
      </c>
      <c r="U682" s="79" t="str">
        <f t="shared" si="279"/>
        <v/>
      </c>
      <c r="V682" s="73" t="str">
        <f t="shared" si="280"/>
        <v/>
      </c>
      <c r="W682" s="80" t="str">
        <f t="shared" si="281"/>
        <v/>
      </c>
      <c r="X682" s="73" t="str">
        <f t="shared" si="282"/>
        <v/>
      </c>
      <c r="Y682" s="80" t="str">
        <f t="shared" si="283"/>
        <v/>
      </c>
      <c r="Z682" s="74" t="str">
        <f t="shared" si="284"/>
        <v/>
      </c>
      <c r="AA682" s="75" t="str">
        <f t="shared" si="288"/>
        <v/>
      </c>
      <c r="AB682" s="103" t="str">
        <f t="shared" si="285"/>
        <v/>
      </c>
      <c r="AC682" s="104" t="str">
        <f t="shared" si="296"/>
        <v/>
      </c>
      <c r="AE682" s="139"/>
      <c r="AF682" s="110" t="str">
        <f t="shared" si="289"/>
        <v/>
      </c>
      <c r="AG682" s="111" t="str">
        <f t="shared" si="290"/>
        <v/>
      </c>
      <c r="AH682" s="111" t="str">
        <f t="shared" si="286"/>
        <v/>
      </c>
      <c r="AI682" s="111" t="str">
        <f t="shared" si="291"/>
        <v/>
      </c>
      <c r="AJ682" s="111" t="str">
        <f t="shared" si="292"/>
        <v/>
      </c>
      <c r="AK682" s="112" t="str">
        <f t="shared" si="293"/>
        <v/>
      </c>
      <c r="AL682" t="str">
        <f t="shared" si="294"/>
        <v/>
      </c>
      <c r="AM682" t="str">
        <f t="shared" si="295"/>
        <v/>
      </c>
    </row>
    <row r="683" spans="1:39" ht="15" customHeight="1" x14ac:dyDescent="0.25">
      <c r="A683" s="131"/>
      <c r="B683" s="133"/>
      <c r="C683" s="133"/>
      <c r="D683" s="42" t="str">
        <f t="shared" si="270"/>
        <v/>
      </c>
      <c r="E683" s="43"/>
      <c r="F683" s="135"/>
      <c r="G683" s="77" t="str">
        <f t="shared" si="271"/>
        <v/>
      </c>
      <c r="H683" s="32" t="str">
        <f t="shared" si="272"/>
        <v/>
      </c>
      <c r="I683" s="78" t="str">
        <f t="shared" si="273"/>
        <v/>
      </c>
      <c r="J683" s="70" t="str">
        <f t="shared" si="274"/>
        <v/>
      </c>
      <c r="K683" s="135"/>
      <c r="L683" s="72" t="str">
        <f t="shared" si="275"/>
        <v/>
      </c>
      <c r="M683" s="135"/>
      <c r="N683" s="72" t="str">
        <f t="shared" si="276"/>
        <v/>
      </c>
      <c r="O683" s="135"/>
      <c r="P683" s="136"/>
      <c r="Q683" s="123" t="str">
        <f t="shared" si="277"/>
        <v/>
      </c>
      <c r="R683" s="45" t="str">
        <f t="shared" si="278"/>
        <v/>
      </c>
      <c r="S683" s="137"/>
      <c r="T683" s="79" t="str">
        <f t="shared" si="287"/>
        <v/>
      </c>
      <c r="U683" s="79" t="str">
        <f t="shared" si="279"/>
        <v/>
      </c>
      <c r="V683" s="73" t="str">
        <f t="shared" si="280"/>
        <v/>
      </c>
      <c r="W683" s="80" t="str">
        <f t="shared" si="281"/>
        <v/>
      </c>
      <c r="X683" s="73" t="str">
        <f t="shared" si="282"/>
        <v/>
      </c>
      <c r="Y683" s="80" t="str">
        <f t="shared" si="283"/>
        <v/>
      </c>
      <c r="Z683" s="74" t="str">
        <f t="shared" si="284"/>
        <v/>
      </c>
      <c r="AA683" s="75" t="str">
        <f t="shared" si="288"/>
        <v/>
      </c>
      <c r="AB683" s="103" t="str">
        <f t="shared" si="285"/>
        <v/>
      </c>
      <c r="AC683" s="104" t="str">
        <f t="shared" si="296"/>
        <v/>
      </c>
      <c r="AE683" s="139"/>
      <c r="AF683" s="110" t="str">
        <f t="shared" si="289"/>
        <v/>
      </c>
      <c r="AG683" s="111" t="str">
        <f t="shared" si="290"/>
        <v/>
      </c>
      <c r="AH683" s="111" t="str">
        <f t="shared" si="286"/>
        <v/>
      </c>
      <c r="AI683" s="111" t="str">
        <f t="shared" si="291"/>
        <v/>
      </c>
      <c r="AJ683" s="111" t="str">
        <f t="shared" si="292"/>
        <v/>
      </c>
      <c r="AK683" s="112" t="str">
        <f t="shared" si="293"/>
        <v/>
      </c>
      <c r="AL683" t="str">
        <f t="shared" si="294"/>
        <v/>
      </c>
      <c r="AM683" t="str">
        <f t="shared" si="295"/>
        <v/>
      </c>
    </row>
    <row r="684" spans="1:39" ht="15" customHeight="1" x14ac:dyDescent="0.25">
      <c r="A684" s="131"/>
      <c r="B684" s="133"/>
      <c r="C684" s="133"/>
      <c r="D684" s="42" t="str">
        <f t="shared" si="270"/>
        <v/>
      </c>
      <c r="E684" s="43"/>
      <c r="F684" s="135"/>
      <c r="G684" s="77" t="str">
        <f t="shared" si="271"/>
        <v/>
      </c>
      <c r="H684" s="32" t="str">
        <f t="shared" si="272"/>
        <v/>
      </c>
      <c r="I684" s="78" t="str">
        <f t="shared" si="273"/>
        <v/>
      </c>
      <c r="J684" s="70" t="str">
        <f t="shared" si="274"/>
        <v/>
      </c>
      <c r="K684" s="135"/>
      <c r="L684" s="72" t="str">
        <f t="shared" si="275"/>
        <v/>
      </c>
      <c r="M684" s="135"/>
      <c r="N684" s="72" t="str">
        <f t="shared" si="276"/>
        <v/>
      </c>
      <c r="O684" s="135"/>
      <c r="P684" s="136"/>
      <c r="Q684" s="123" t="str">
        <f t="shared" si="277"/>
        <v/>
      </c>
      <c r="R684" s="45" t="str">
        <f t="shared" si="278"/>
        <v/>
      </c>
      <c r="S684" s="137"/>
      <c r="T684" s="79" t="str">
        <f t="shared" si="287"/>
        <v/>
      </c>
      <c r="U684" s="79" t="str">
        <f t="shared" si="279"/>
        <v/>
      </c>
      <c r="V684" s="73" t="str">
        <f t="shared" si="280"/>
        <v/>
      </c>
      <c r="W684" s="80" t="str">
        <f t="shared" si="281"/>
        <v/>
      </c>
      <c r="X684" s="73" t="str">
        <f t="shared" si="282"/>
        <v/>
      </c>
      <c r="Y684" s="80" t="str">
        <f t="shared" si="283"/>
        <v/>
      </c>
      <c r="Z684" s="74" t="str">
        <f t="shared" si="284"/>
        <v/>
      </c>
      <c r="AA684" s="75" t="str">
        <f t="shared" si="288"/>
        <v/>
      </c>
      <c r="AB684" s="103" t="str">
        <f t="shared" si="285"/>
        <v/>
      </c>
      <c r="AC684" s="104" t="str">
        <f t="shared" si="296"/>
        <v/>
      </c>
      <c r="AE684" s="139"/>
      <c r="AF684" s="110" t="str">
        <f t="shared" si="289"/>
        <v/>
      </c>
      <c r="AG684" s="111" t="str">
        <f t="shared" si="290"/>
        <v/>
      </c>
      <c r="AH684" s="111" t="str">
        <f t="shared" si="286"/>
        <v/>
      </c>
      <c r="AI684" s="111" t="str">
        <f t="shared" si="291"/>
        <v/>
      </c>
      <c r="AJ684" s="111" t="str">
        <f t="shared" si="292"/>
        <v/>
      </c>
      <c r="AK684" s="112" t="str">
        <f t="shared" si="293"/>
        <v/>
      </c>
      <c r="AL684" t="str">
        <f t="shared" si="294"/>
        <v/>
      </c>
      <c r="AM684" t="str">
        <f t="shared" si="295"/>
        <v/>
      </c>
    </row>
    <row r="685" spans="1:39" ht="15" customHeight="1" x14ac:dyDescent="0.25">
      <c r="A685" s="131"/>
      <c r="B685" s="133"/>
      <c r="C685" s="133"/>
      <c r="D685" s="42" t="str">
        <f t="shared" si="270"/>
        <v/>
      </c>
      <c r="E685" s="43"/>
      <c r="F685" s="135"/>
      <c r="G685" s="77" t="str">
        <f t="shared" si="271"/>
        <v/>
      </c>
      <c r="H685" s="32" t="str">
        <f t="shared" si="272"/>
        <v/>
      </c>
      <c r="I685" s="78" t="str">
        <f t="shared" si="273"/>
        <v/>
      </c>
      <c r="J685" s="70" t="str">
        <f t="shared" si="274"/>
        <v/>
      </c>
      <c r="K685" s="135"/>
      <c r="L685" s="72" t="str">
        <f t="shared" si="275"/>
        <v/>
      </c>
      <c r="M685" s="135"/>
      <c r="N685" s="72" t="str">
        <f t="shared" si="276"/>
        <v/>
      </c>
      <c r="O685" s="135"/>
      <c r="P685" s="136"/>
      <c r="Q685" s="123" t="str">
        <f t="shared" si="277"/>
        <v/>
      </c>
      <c r="R685" s="45" t="str">
        <f t="shared" si="278"/>
        <v/>
      </c>
      <c r="S685" s="137"/>
      <c r="T685" s="79" t="str">
        <f t="shared" si="287"/>
        <v/>
      </c>
      <c r="U685" s="79" t="str">
        <f t="shared" si="279"/>
        <v/>
      </c>
      <c r="V685" s="73" t="str">
        <f t="shared" si="280"/>
        <v/>
      </c>
      <c r="W685" s="80" t="str">
        <f t="shared" si="281"/>
        <v/>
      </c>
      <c r="X685" s="73" t="str">
        <f t="shared" si="282"/>
        <v/>
      </c>
      <c r="Y685" s="80" t="str">
        <f t="shared" si="283"/>
        <v/>
      </c>
      <c r="Z685" s="74" t="str">
        <f t="shared" si="284"/>
        <v/>
      </c>
      <c r="AA685" s="75" t="str">
        <f t="shared" si="288"/>
        <v/>
      </c>
      <c r="AB685" s="103" t="str">
        <f t="shared" si="285"/>
        <v/>
      </c>
      <c r="AC685" s="104" t="str">
        <f t="shared" si="296"/>
        <v/>
      </c>
      <c r="AE685" s="139"/>
      <c r="AF685" s="110" t="str">
        <f t="shared" si="289"/>
        <v/>
      </c>
      <c r="AG685" s="111" t="str">
        <f t="shared" si="290"/>
        <v/>
      </c>
      <c r="AH685" s="111" t="str">
        <f t="shared" si="286"/>
        <v/>
      </c>
      <c r="AI685" s="111" t="str">
        <f t="shared" si="291"/>
        <v/>
      </c>
      <c r="AJ685" s="111" t="str">
        <f t="shared" si="292"/>
        <v/>
      </c>
      <c r="AK685" s="112" t="str">
        <f t="shared" si="293"/>
        <v/>
      </c>
      <c r="AL685" t="str">
        <f t="shared" si="294"/>
        <v/>
      </c>
      <c r="AM685" t="str">
        <f t="shared" si="295"/>
        <v/>
      </c>
    </row>
    <row r="686" spans="1:39" ht="15" customHeight="1" x14ac:dyDescent="0.25">
      <c r="A686" s="131"/>
      <c r="B686" s="133"/>
      <c r="C686" s="133"/>
      <c r="D686" s="42" t="str">
        <f t="shared" si="270"/>
        <v/>
      </c>
      <c r="E686" s="43"/>
      <c r="F686" s="135"/>
      <c r="G686" s="77" t="str">
        <f t="shared" si="271"/>
        <v/>
      </c>
      <c r="H686" s="32" t="str">
        <f t="shared" si="272"/>
        <v/>
      </c>
      <c r="I686" s="78" t="str">
        <f t="shared" si="273"/>
        <v/>
      </c>
      <c r="J686" s="70" t="str">
        <f t="shared" si="274"/>
        <v/>
      </c>
      <c r="K686" s="135"/>
      <c r="L686" s="72" t="str">
        <f t="shared" si="275"/>
        <v/>
      </c>
      <c r="M686" s="135"/>
      <c r="N686" s="72" t="str">
        <f t="shared" si="276"/>
        <v/>
      </c>
      <c r="O686" s="135"/>
      <c r="P686" s="136"/>
      <c r="Q686" s="123" t="str">
        <f t="shared" si="277"/>
        <v/>
      </c>
      <c r="R686" s="45" t="str">
        <f t="shared" si="278"/>
        <v/>
      </c>
      <c r="S686" s="137"/>
      <c r="T686" s="79" t="str">
        <f t="shared" si="287"/>
        <v/>
      </c>
      <c r="U686" s="79" t="str">
        <f t="shared" si="279"/>
        <v/>
      </c>
      <c r="V686" s="73" t="str">
        <f t="shared" si="280"/>
        <v/>
      </c>
      <c r="W686" s="80" t="str">
        <f t="shared" si="281"/>
        <v/>
      </c>
      <c r="X686" s="73" t="str">
        <f t="shared" si="282"/>
        <v/>
      </c>
      <c r="Y686" s="80" t="str">
        <f t="shared" si="283"/>
        <v/>
      </c>
      <c r="Z686" s="74" t="str">
        <f t="shared" si="284"/>
        <v/>
      </c>
      <c r="AA686" s="75" t="str">
        <f t="shared" si="288"/>
        <v/>
      </c>
      <c r="AB686" s="103" t="str">
        <f t="shared" si="285"/>
        <v/>
      </c>
      <c r="AC686" s="104" t="str">
        <f t="shared" si="296"/>
        <v/>
      </c>
      <c r="AE686" s="139"/>
      <c r="AF686" s="110" t="str">
        <f t="shared" si="289"/>
        <v/>
      </c>
      <c r="AG686" s="111" t="str">
        <f t="shared" si="290"/>
        <v/>
      </c>
      <c r="AH686" s="111" t="str">
        <f t="shared" si="286"/>
        <v/>
      </c>
      <c r="AI686" s="111" t="str">
        <f t="shared" si="291"/>
        <v/>
      </c>
      <c r="AJ686" s="111" t="str">
        <f t="shared" si="292"/>
        <v/>
      </c>
      <c r="AK686" s="112" t="str">
        <f t="shared" si="293"/>
        <v/>
      </c>
      <c r="AL686" t="str">
        <f t="shared" si="294"/>
        <v/>
      </c>
      <c r="AM686" t="str">
        <f t="shared" si="295"/>
        <v/>
      </c>
    </row>
    <row r="687" spans="1:39" ht="15" customHeight="1" x14ac:dyDescent="0.25">
      <c r="A687" s="131"/>
      <c r="B687" s="133"/>
      <c r="C687" s="133"/>
      <c r="D687" s="42" t="str">
        <f t="shared" si="270"/>
        <v/>
      </c>
      <c r="E687" s="43"/>
      <c r="F687" s="135"/>
      <c r="G687" s="77" t="str">
        <f t="shared" si="271"/>
        <v/>
      </c>
      <c r="H687" s="32" t="str">
        <f t="shared" si="272"/>
        <v/>
      </c>
      <c r="I687" s="78" t="str">
        <f t="shared" si="273"/>
        <v/>
      </c>
      <c r="J687" s="70" t="str">
        <f t="shared" si="274"/>
        <v/>
      </c>
      <c r="K687" s="135"/>
      <c r="L687" s="72" t="str">
        <f t="shared" si="275"/>
        <v/>
      </c>
      <c r="M687" s="135"/>
      <c r="N687" s="72" t="str">
        <f t="shared" si="276"/>
        <v/>
      </c>
      <c r="O687" s="135"/>
      <c r="P687" s="136"/>
      <c r="Q687" s="123" t="str">
        <f t="shared" si="277"/>
        <v/>
      </c>
      <c r="R687" s="45" t="str">
        <f t="shared" si="278"/>
        <v/>
      </c>
      <c r="S687" s="137"/>
      <c r="T687" s="79" t="str">
        <f t="shared" si="287"/>
        <v/>
      </c>
      <c r="U687" s="79" t="str">
        <f t="shared" si="279"/>
        <v/>
      </c>
      <c r="V687" s="73" t="str">
        <f t="shared" si="280"/>
        <v/>
      </c>
      <c r="W687" s="80" t="str">
        <f t="shared" si="281"/>
        <v/>
      </c>
      <c r="X687" s="73" t="str">
        <f t="shared" si="282"/>
        <v/>
      </c>
      <c r="Y687" s="80" t="str">
        <f t="shared" si="283"/>
        <v/>
      </c>
      <c r="Z687" s="74" t="str">
        <f t="shared" si="284"/>
        <v/>
      </c>
      <c r="AA687" s="75" t="str">
        <f t="shared" si="288"/>
        <v/>
      </c>
      <c r="AB687" s="103" t="str">
        <f t="shared" si="285"/>
        <v/>
      </c>
      <c r="AC687" s="104" t="str">
        <f t="shared" si="296"/>
        <v/>
      </c>
      <c r="AE687" s="139"/>
      <c r="AF687" s="110" t="str">
        <f t="shared" si="289"/>
        <v/>
      </c>
      <c r="AG687" s="111" t="str">
        <f t="shared" si="290"/>
        <v/>
      </c>
      <c r="AH687" s="111" t="str">
        <f t="shared" si="286"/>
        <v/>
      </c>
      <c r="AI687" s="111" t="str">
        <f t="shared" si="291"/>
        <v/>
      </c>
      <c r="AJ687" s="111" t="str">
        <f t="shared" si="292"/>
        <v/>
      </c>
      <c r="AK687" s="112" t="str">
        <f t="shared" si="293"/>
        <v/>
      </c>
      <c r="AL687" t="str">
        <f t="shared" si="294"/>
        <v/>
      </c>
      <c r="AM687" t="str">
        <f t="shared" si="295"/>
        <v/>
      </c>
    </row>
    <row r="688" spans="1:39" ht="15" customHeight="1" x14ac:dyDescent="0.25">
      <c r="A688" s="131"/>
      <c r="B688" s="133"/>
      <c r="C688" s="133"/>
      <c r="D688" s="42" t="str">
        <f t="shared" si="270"/>
        <v/>
      </c>
      <c r="E688" s="43"/>
      <c r="F688" s="135"/>
      <c r="G688" s="77" t="str">
        <f t="shared" si="271"/>
        <v/>
      </c>
      <c r="H688" s="32" t="str">
        <f t="shared" si="272"/>
        <v/>
      </c>
      <c r="I688" s="78" t="str">
        <f t="shared" si="273"/>
        <v/>
      </c>
      <c r="J688" s="70" t="str">
        <f t="shared" si="274"/>
        <v/>
      </c>
      <c r="K688" s="135"/>
      <c r="L688" s="72" t="str">
        <f t="shared" si="275"/>
        <v/>
      </c>
      <c r="M688" s="135"/>
      <c r="N688" s="72" t="str">
        <f t="shared" si="276"/>
        <v/>
      </c>
      <c r="O688" s="135"/>
      <c r="P688" s="136"/>
      <c r="Q688" s="123" t="str">
        <f t="shared" si="277"/>
        <v/>
      </c>
      <c r="R688" s="45" t="str">
        <f t="shared" si="278"/>
        <v/>
      </c>
      <c r="S688" s="137"/>
      <c r="T688" s="79" t="str">
        <f t="shared" si="287"/>
        <v/>
      </c>
      <c r="U688" s="79" t="str">
        <f t="shared" si="279"/>
        <v/>
      </c>
      <c r="V688" s="73" t="str">
        <f t="shared" si="280"/>
        <v/>
      </c>
      <c r="W688" s="80" t="str">
        <f t="shared" si="281"/>
        <v/>
      </c>
      <c r="X688" s="73" t="str">
        <f t="shared" si="282"/>
        <v/>
      </c>
      <c r="Y688" s="80" t="str">
        <f t="shared" si="283"/>
        <v/>
      </c>
      <c r="Z688" s="74" t="str">
        <f t="shared" si="284"/>
        <v/>
      </c>
      <c r="AA688" s="75" t="str">
        <f t="shared" si="288"/>
        <v/>
      </c>
      <c r="AB688" s="103" t="str">
        <f t="shared" si="285"/>
        <v/>
      </c>
      <c r="AC688" s="104" t="str">
        <f t="shared" si="296"/>
        <v/>
      </c>
      <c r="AE688" s="139"/>
      <c r="AF688" s="110" t="str">
        <f t="shared" si="289"/>
        <v/>
      </c>
      <c r="AG688" s="111" t="str">
        <f t="shared" si="290"/>
        <v/>
      </c>
      <c r="AH688" s="111" t="str">
        <f t="shared" si="286"/>
        <v/>
      </c>
      <c r="AI688" s="111" t="str">
        <f t="shared" si="291"/>
        <v/>
      </c>
      <c r="AJ688" s="111" t="str">
        <f t="shared" si="292"/>
        <v/>
      </c>
      <c r="AK688" s="112" t="str">
        <f t="shared" si="293"/>
        <v/>
      </c>
      <c r="AL688" t="str">
        <f t="shared" si="294"/>
        <v/>
      </c>
      <c r="AM688" t="str">
        <f t="shared" si="295"/>
        <v/>
      </c>
    </row>
    <row r="689" spans="1:39" ht="15" customHeight="1" x14ac:dyDescent="0.25">
      <c r="A689" s="131"/>
      <c r="B689" s="133"/>
      <c r="C689" s="133"/>
      <c r="D689" s="42" t="str">
        <f t="shared" si="270"/>
        <v/>
      </c>
      <c r="E689" s="43"/>
      <c r="F689" s="135"/>
      <c r="G689" s="77" t="str">
        <f t="shared" si="271"/>
        <v/>
      </c>
      <c r="H689" s="32" t="str">
        <f t="shared" si="272"/>
        <v/>
      </c>
      <c r="I689" s="78" t="str">
        <f t="shared" si="273"/>
        <v/>
      </c>
      <c r="J689" s="70" t="str">
        <f t="shared" si="274"/>
        <v/>
      </c>
      <c r="K689" s="135"/>
      <c r="L689" s="72" t="str">
        <f t="shared" si="275"/>
        <v/>
      </c>
      <c r="M689" s="135"/>
      <c r="N689" s="72" t="str">
        <f t="shared" si="276"/>
        <v/>
      </c>
      <c r="O689" s="135"/>
      <c r="P689" s="136"/>
      <c r="Q689" s="123" t="str">
        <f t="shared" si="277"/>
        <v/>
      </c>
      <c r="R689" s="45" t="str">
        <f t="shared" si="278"/>
        <v/>
      </c>
      <c r="S689" s="137"/>
      <c r="T689" s="79" t="str">
        <f t="shared" si="287"/>
        <v/>
      </c>
      <c r="U689" s="79" t="str">
        <f t="shared" si="279"/>
        <v/>
      </c>
      <c r="V689" s="73" t="str">
        <f t="shared" si="280"/>
        <v/>
      </c>
      <c r="W689" s="80" t="str">
        <f t="shared" si="281"/>
        <v/>
      </c>
      <c r="X689" s="73" t="str">
        <f t="shared" si="282"/>
        <v/>
      </c>
      <c r="Y689" s="80" t="str">
        <f t="shared" si="283"/>
        <v/>
      </c>
      <c r="Z689" s="74" t="str">
        <f t="shared" si="284"/>
        <v/>
      </c>
      <c r="AA689" s="75" t="str">
        <f t="shared" si="288"/>
        <v/>
      </c>
      <c r="AB689" s="103" t="str">
        <f t="shared" si="285"/>
        <v/>
      </c>
      <c r="AC689" s="104" t="str">
        <f t="shared" si="296"/>
        <v/>
      </c>
      <c r="AE689" s="139"/>
      <c r="AF689" s="110" t="str">
        <f t="shared" si="289"/>
        <v/>
      </c>
      <c r="AG689" s="111" t="str">
        <f t="shared" si="290"/>
        <v/>
      </c>
      <c r="AH689" s="111" t="str">
        <f t="shared" si="286"/>
        <v/>
      </c>
      <c r="AI689" s="111" t="str">
        <f t="shared" si="291"/>
        <v/>
      </c>
      <c r="AJ689" s="111" t="str">
        <f t="shared" si="292"/>
        <v/>
      </c>
      <c r="AK689" s="112" t="str">
        <f t="shared" si="293"/>
        <v/>
      </c>
      <c r="AL689" t="str">
        <f t="shared" si="294"/>
        <v/>
      </c>
      <c r="AM689" t="str">
        <f t="shared" si="295"/>
        <v/>
      </c>
    </row>
    <row r="690" spans="1:39" ht="15" customHeight="1" x14ac:dyDescent="0.25">
      <c r="A690" s="131"/>
      <c r="B690" s="133"/>
      <c r="C690" s="133"/>
      <c r="D690" s="42" t="str">
        <f t="shared" si="270"/>
        <v/>
      </c>
      <c r="E690" s="43"/>
      <c r="F690" s="135"/>
      <c r="G690" s="77" t="str">
        <f t="shared" si="271"/>
        <v/>
      </c>
      <c r="H690" s="32" t="str">
        <f t="shared" si="272"/>
        <v/>
      </c>
      <c r="I690" s="78" t="str">
        <f t="shared" si="273"/>
        <v/>
      </c>
      <c r="J690" s="70" t="str">
        <f t="shared" si="274"/>
        <v/>
      </c>
      <c r="K690" s="135"/>
      <c r="L690" s="72" t="str">
        <f t="shared" si="275"/>
        <v/>
      </c>
      <c r="M690" s="135"/>
      <c r="N690" s="72" t="str">
        <f t="shared" si="276"/>
        <v/>
      </c>
      <c r="O690" s="135"/>
      <c r="P690" s="136"/>
      <c r="Q690" s="123" t="str">
        <f t="shared" si="277"/>
        <v/>
      </c>
      <c r="R690" s="45" t="str">
        <f t="shared" si="278"/>
        <v/>
      </c>
      <c r="S690" s="137"/>
      <c r="T690" s="79" t="str">
        <f t="shared" si="287"/>
        <v/>
      </c>
      <c r="U690" s="79" t="str">
        <f t="shared" si="279"/>
        <v/>
      </c>
      <c r="V690" s="73" t="str">
        <f t="shared" si="280"/>
        <v/>
      </c>
      <c r="W690" s="80" t="str">
        <f t="shared" si="281"/>
        <v/>
      </c>
      <c r="X690" s="73" t="str">
        <f t="shared" si="282"/>
        <v/>
      </c>
      <c r="Y690" s="80" t="str">
        <f t="shared" si="283"/>
        <v/>
      </c>
      <c r="Z690" s="74" t="str">
        <f t="shared" si="284"/>
        <v/>
      </c>
      <c r="AA690" s="75" t="str">
        <f t="shared" si="288"/>
        <v/>
      </c>
      <c r="AB690" s="103" t="str">
        <f t="shared" si="285"/>
        <v/>
      </c>
      <c r="AC690" s="104" t="str">
        <f t="shared" si="296"/>
        <v/>
      </c>
      <c r="AE690" s="139"/>
      <c r="AF690" s="110" t="str">
        <f t="shared" si="289"/>
        <v/>
      </c>
      <c r="AG690" s="111" t="str">
        <f t="shared" si="290"/>
        <v/>
      </c>
      <c r="AH690" s="111" t="str">
        <f t="shared" si="286"/>
        <v/>
      </c>
      <c r="AI690" s="111" t="str">
        <f t="shared" si="291"/>
        <v/>
      </c>
      <c r="AJ690" s="111" t="str">
        <f t="shared" si="292"/>
        <v/>
      </c>
      <c r="AK690" s="112" t="str">
        <f t="shared" si="293"/>
        <v/>
      </c>
      <c r="AL690" t="str">
        <f t="shared" si="294"/>
        <v/>
      </c>
      <c r="AM690" t="str">
        <f t="shared" si="295"/>
        <v/>
      </c>
    </row>
    <row r="691" spans="1:39" ht="15" customHeight="1" x14ac:dyDescent="0.25">
      <c r="A691" s="131"/>
      <c r="B691" s="133"/>
      <c r="C691" s="133"/>
      <c r="D691" s="42" t="str">
        <f t="shared" si="270"/>
        <v/>
      </c>
      <c r="E691" s="43"/>
      <c r="F691" s="135"/>
      <c r="G691" s="77" t="str">
        <f t="shared" si="271"/>
        <v/>
      </c>
      <c r="H691" s="32" t="str">
        <f t="shared" si="272"/>
        <v/>
      </c>
      <c r="I691" s="78" t="str">
        <f t="shared" si="273"/>
        <v/>
      </c>
      <c r="J691" s="70" t="str">
        <f t="shared" si="274"/>
        <v/>
      </c>
      <c r="K691" s="135"/>
      <c r="L691" s="72" t="str">
        <f t="shared" si="275"/>
        <v/>
      </c>
      <c r="M691" s="135"/>
      <c r="N691" s="72" t="str">
        <f t="shared" si="276"/>
        <v/>
      </c>
      <c r="O691" s="135"/>
      <c r="P691" s="136"/>
      <c r="Q691" s="123" t="str">
        <f t="shared" si="277"/>
        <v/>
      </c>
      <c r="R691" s="45" t="str">
        <f t="shared" si="278"/>
        <v/>
      </c>
      <c r="S691" s="137"/>
      <c r="T691" s="79" t="str">
        <f t="shared" si="287"/>
        <v/>
      </c>
      <c r="U691" s="79" t="str">
        <f t="shared" si="279"/>
        <v/>
      </c>
      <c r="V691" s="73" t="str">
        <f t="shared" si="280"/>
        <v/>
      </c>
      <c r="W691" s="80" t="str">
        <f t="shared" si="281"/>
        <v/>
      </c>
      <c r="X691" s="73" t="str">
        <f t="shared" si="282"/>
        <v/>
      </c>
      <c r="Y691" s="80" t="str">
        <f t="shared" si="283"/>
        <v/>
      </c>
      <c r="Z691" s="74" t="str">
        <f t="shared" si="284"/>
        <v/>
      </c>
      <c r="AA691" s="75" t="str">
        <f t="shared" si="288"/>
        <v/>
      </c>
      <c r="AB691" s="103" t="str">
        <f t="shared" si="285"/>
        <v/>
      </c>
      <c r="AC691" s="104" t="str">
        <f t="shared" si="296"/>
        <v/>
      </c>
      <c r="AE691" s="139"/>
      <c r="AF691" s="110" t="str">
        <f t="shared" si="289"/>
        <v/>
      </c>
      <c r="AG691" s="111" t="str">
        <f t="shared" si="290"/>
        <v/>
      </c>
      <c r="AH691" s="111" t="str">
        <f t="shared" si="286"/>
        <v/>
      </c>
      <c r="AI691" s="111" t="str">
        <f t="shared" si="291"/>
        <v/>
      </c>
      <c r="AJ691" s="111" t="str">
        <f t="shared" si="292"/>
        <v/>
      </c>
      <c r="AK691" s="112" t="str">
        <f t="shared" si="293"/>
        <v/>
      </c>
      <c r="AL691" t="str">
        <f t="shared" si="294"/>
        <v/>
      </c>
      <c r="AM691" t="str">
        <f t="shared" si="295"/>
        <v/>
      </c>
    </row>
    <row r="692" spans="1:39" ht="15" customHeight="1" x14ac:dyDescent="0.25">
      <c r="A692" s="131"/>
      <c r="B692" s="133"/>
      <c r="C692" s="133"/>
      <c r="D692" s="42" t="str">
        <f t="shared" si="270"/>
        <v/>
      </c>
      <c r="E692" s="43"/>
      <c r="F692" s="135"/>
      <c r="G692" s="77" t="str">
        <f t="shared" si="271"/>
        <v/>
      </c>
      <c r="H692" s="32" t="str">
        <f t="shared" si="272"/>
        <v/>
      </c>
      <c r="I692" s="78" t="str">
        <f t="shared" si="273"/>
        <v/>
      </c>
      <c r="J692" s="70" t="str">
        <f t="shared" si="274"/>
        <v/>
      </c>
      <c r="K692" s="135"/>
      <c r="L692" s="72" t="str">
        <f t="shared" si="275"/>
        <v/>
      </c>
      <c r="M692" s="135"/>
      <c r="N692" s="72" t="str">
        <f t="shared" si="276"/>
        <v/>
      </c>
      <c r="O692" s="135"/>
      <c r="P692" s="136"/>
      <c r="Q692" s="123" t="str">
        <f t="shared" si="277"/>
        <v/>
      </c>
      <c r="R692" s="45" t="str">
        <f t="shared" si="278"/>
        <v/>
      </c>
      <c r="S692" s="137"/>
      <c r="T692" s="79" t="str">
        <f t="shared" si="287"/>
        <v/>
      </c>
      <c r="U692" s="79" t="str">
        <f t="shared" si="279"/>
        <v/>
      </c>
      <c r="V692" s="73" t="str">
        <f t="shared" si="280"/>
        <v/>
      </c>
      <c r="W692" s="80" t="str">
        <f t="shared" si="281"/>
        <v/>
      </c>
      <c r="X692" s="73" t="str">
        <f t="shared" si="282"/>
        <v/>
      </c>
      <c r="Y692" s="80" t="str">
        <f t="shared" si="283"/>
        <v/>
      </c>
      <c r="Z692" s="74" t="str">
        <f t="shared" si="284"/>
        <v/>
      </c>
      <c r="AA692" s="75" t="str">
        <f t="shared" si="288"/>
        <v/>
      </c>
      <c r="AB692" s="103" t="str">
        <f t="shared" si="285"/>
        <v/>
      </c>
      <c r="AC692" s="104" t="str">
        <f t="shared" si="296"/>
        <v/>
      </c>
      <c r="AE692" s="139"/>
      <c r="AF692" s="110" t="str">
        <f t="shared" si="289"/>
        <v/>
      </c>
      <c r="AG692" s="111" t="str">
        <f t="shared" si="290"/>
        <v/>
      </c>
      <c r="AH692" s="111" t="str">
        <f t="shared" si="286"/>
        <v/>
      </c>
      <c r="AI692" s="111" t="str">
        <f t="shared" si="291"/>
        <v/>
      </c>
      <c r="AJ692" s="111" t="str">
        <f t="shared" si="292"/>
        <v/>
      </c>
      <c r="AK692" s="112" t="str">
        <f t="shared" si="293"/>
        <v/>
      </c>
      <c r="AL692" t="str">
        <f t="shared" si="294"/>
        <v/>
      </c>
      <c r="AM692" t="str">
        <f t="shared" si="295"/>
        <v/>
      </c>
    </row>
    <row r="693" spans="1:39" ht="15" customHeight="1" x14ac:dyDescent="0.25">
      <c r="A693" s="131"/>
      <c r="B693" s="133"/>
      <c r="C693" s="133"/>
      <c r="D693" s="42" t="str">
        <f t="shared" si="270"/>
        <v/>
      </c>
      <c r="E693" s="43"/>
      <c r="F693" s="135"/>
      <c r="G693" s="77" t="str">
        <f t="shared" si="271"/>
        <v/>
      </c>
      <c r="H693" s="32" t="str">
        <f t="shared" si="272"/>
        <v/>
      </c>
      <c r="I693" s="78" t="str">
        <f t="shared" si="273"/>
        <v/>
      </c>
      <c r="J693" s="70" t="str">
        <f t="shared" si="274"/>
        <v/>
      </c>
      <c r="K693" s="135"/>
      <c r="L693" s="72" t="str">
        <f t="shared" si="275"/>
        <v/>
      </c>
      <c r="M693" s="135"/>
      <c r="N693" s="72" t="str">
        <f t="shared" si="276"/>
        <v/>
      </c>
      <c r="O693" s="135"/>
      <c r="P693" s="136"/>
      <c r="Q693" s="123" t="str">
        <f t="shared" si="277"/>
        <v/>
      </c>
      <c r="R693" s="45" t="str">
        <f t="shared" si="278"/>
        <v/>
      </c>
      <c r="S693" s="137"/>
      <c r="T693" s="79" t="str">
        <f t="shared" si="287"/>
        <v/>
      </c>
      <c r="U693" s="79" t="str">
        <f t="shared" si="279"/>
        <v/>
      </c>
      <c r="V693" s="73" t="str">
        <f t="shared" si="280"/>
        <v/>
      </c>
      <c r="W693" s="80" t="str">
        <f t="shared" si="281"/>
        <v/>
      </c>
      <c r="X693" s="73" t="str">
        <f t="shared" si="282"/>
        <v/>
      </c>
      <c r="Y693" s="80" t="str">
        <f t="shared" si="283"/>
        <v/>
      </c>
      <c r="Z693" s="74" t="str">
        <f t="shared" si="284"/>
        <v/>
      </c>
      <c r="AA693" s="75" t="str">
        <f t="shared" si="288"/>
        <v/>
      </c>
      <c r="AB693" s="103" t="str">
        <f t="shared" si="285"/>
        <v/>
      </c>
      <c r="AC693" s="104" t="str">
        <f t="shared" si="296"/>
        <v/>
      </c>
      <c r="AE693" s="139"/>
      <c r="AF693" s="110" t="str">
        <f t="shared" si="289"/>
        <v/>
      </c>
      <c r="AG693" s="111" t="str">
        <f t="shared" si="290"/>
        <v/>
      </c>
      <c r="AH693" s="111" t="str">
        <f t="shared" si="286"/>
        <v/>
      </c>
      <c r="AI693" s="111" t="str">
        <f t="shared" si="291"/>
        <v/>
      </c>
      <c r="AJ693" s="111" t="str">
        <f t="shared" si="292"/>
        <v/>
      </c>
      <c r="AK693" s="112" t="str">
        <f t="shared" si="293"/>
        <v/>
      </c>
      <c r="AL693" t="str">
        <f t="shared" si="294"/>
        <v/>
      </c>
      <c r="AM693" t="str">
        <f t="shared" si="295"/>
        <v/>
      </c>
    </row>
    <row r="694" spans="1:39" ht="15" customHeight="1" x14ac:dyDescent="0.25">
      <c r="A694" s="131"/>
      <c r="B694" s="133"/>
      <c r="C694" s="133"/>
      <c r="D694" s="42" t="str">
        <f t="shared" si="270"/>
        <v/>
      </c>
      <c r="E694" s="43"/>
      <c r="F694" s="135"/>
      <c r="G694" s="77" t="str">
        <f t="shared" si="271"/>
        <v/>
      </c>
      <c r="H694" s="32" t="str">
        <f t="shared" si="272"/>
        <v/>
      </c>
      <c r="I694" s="78" t="str">
        <f t="shared" si="273"/>
        <v/>
      </c>
      <c r="J694" s="70" t="str">
        <f t="shared" si="274"/>
        <v/>
      </c>
      <c r="K694" s="135"/>
      <c r="L694" s="72" t="str">
        <f t="shared" si="275"/>
        <v/>
      </c>
      <c r="M694" s="135"/>
      <c r="N694" s="72" t="str">
        <f t="shared" si="276"/>
        <v/>
      </c>
      <c r="O694" s="135"/>
      <c r="P694" s="136"/>
      <c r="Q694" s="123" t="str">
        <f t="shared" si="277"/>
        <v/>
      </c>
      <c r="R694" s="45" t="str">
        <f t="shared" si="278"/>
        <v/>
      </c>
      <c r="S694" s="137"/>
      <c r="T694" s="79" t="str">
        <f t="shared" si="287"/>
        <v/>
      </c>
      <c r="U694" s="79" t="str">
        <f t="shared" si="279"/>
        <v/>
      </c>
      <c r="V694" s="73" t="str">
        <f t="shared" si="280"/>
        <v/>
      </c>
      <c r="W694" s="80" t="str">
        <f t="shared" si="281"/>
        <v/>
      </c>
      <c r="X694" s="73" t="str">
        <f t="shared" si="282"/>
        <v/>
      </c>
      <c r="Y694" s="80" t="str">
        <f t="shared" si="283"/>
        <v/>
      </c>
      <c r="Z694" s="74" t="str">
        <f t="shared" si="284"/>
        <v/>
      </c>
      <c r="AA694" s="75" t="str">
        <f t="shared" si="288"/>
        <v/>
      </c>
      <c r="AB694" s="103" t="str">
        <f t="shared" si="285"/>
        <v/>
      </c>
      <c r="AC694" s="104" t="str">
        <f t="shared" si="296"/>
        <v/>
      </c>
      <c r="AE694" s="139"/>
      <c r="AF694" s="110" t="str">
        <f t="shared" si="289"/>
        <v/>
      </c>
      <c r="AG694" s="111" t="str">
        <f t="shared" si="290"/>
        <v/>
      </c>
      <c r="AH694" s="111" t="str">
        <f t="shared" si="286"/>
        <v/>
      </c>
      <c r="AI694" s="111" t="str">
        <f t="shared" si="291"/>
        <v/>
      </c>
      <c r="AJ694" s="111" t="str">
        <f t="shared" si="292"/>
        <v/>
      </c>
      <c r="AK694" s="112" t="str">
        <f t="shared" si="293"/>
        <v/>
      </c>
      <c r="AL694" t="str">
        <f t="shared" si="294"/>
        <v/>
      </c>
      <c r="AM694" t="str">
        <f t="shared" si="295"/>
        <v/>
      </c>
    </row>
    <row r="695" spans="1:39" ht="15" customHeight="1" x14ac:dyDescent="0.25">
      <c r="A695" s="131"/>
      <c r="B695" s="133"/>
      <c r="C695" s="133"/>
      <c r="D695" s="42" t="str">
        <f t="shared" si="270"/>
        <v/>
      </c>
      <c r="E695" s="43"/>
      <c r="F695" s="135"/>
      <c r="G695" s="77" t="str">
        <f t="shared" si="271"/>
        <v/>
      </c>
      <c r="H695" s="32" t="str">
        <f t="shared" si="272"/>
        <v/>
      </c>
      <c r="I695" s="78" t="str">
        <f t="shared" si="273"/>
        <v/>
      </c>
      <c r="J695" s="70" t="str">
        <f t="shared" si="274"/>
        <v/>
      </c>
      <c r="K695" s="135"/>
      <c r="L695" s="72" t="str">
        <f t="shared" si="275"/>
        <v/>
      </c>
      <c r="M695" s="135"/>
      <c r="N695" s="72" t="str">
        <f t="shared" si="276"/>
        <v/>
      </c>
      <c r="O695" s="135"/>
      <c r="P695" s="136"/>
      <c r="Q695" s="123" t="str">
        <f t="shared" si="277"/>
        <v/>
      </c>
      <c r="R695" s="45" t="str">
        <f t="shared" si="278"/>
        <v/>
      </c>
      <c r="S695" s="137"/>
      <c r="T695" s="79" t="str">
        <f t="shared" si="287"/>
        <v/>
      </c>
      <c r="U695" s="79" t="str">
        <f t="shared" si="279"/>
        <v/>
      </c>
      <c r="V695" s="73" t="str">
        <f t="shared" si="280"/>
        <v/>
      </c>
      <c r="W695" s="80" t="str">
        <f t="shared" si="281"/>
        <v/>
      </c>
      <c r="X695" s="73" t="str">
        <f t="shared" si="282"/>
        <v/>
      </c>
      <c r="Y695" s="80" t="str">
        <f t="shared" si="283"/>
        <v/>
      </c>
      <c r="Z695" s="74" t="str">
        <f t="shared" si="284"/>
        <v/>
      </c>
      <c r="AA695" s="75" t="str">
        <f t="shared" si="288"/>
        <v/>
      </c>
      <c r="AB695" s="103" t="str">
        <f t="shared" si="285"/>
        <v/>
      </c>
      <c r="AC695" s="104" t="str">
        <f t="shared" si="296"/>
        <v/>
      </c>
      <c r="AE695" s="139"/>
      <c r="AF695" s="110" t="str">
        <f t="shared" si="289"/>
        <v/>
      </c>
      <c r="AG695" s="111" t="str">
        <f t="shared" si="290"/>
        <v/>
      </c>
      <c r="AH695" s="111" t="str">
        <f t="shared" si="286"/>
        <v/>
      </c>
      <c r="AI695" s="111" t="str">
        <f t="shared" si="291"/>
        <v/>
      </c>
      <c r="AJ695" s="111" t="str">
        <f t="shared" si="292"/>
        <v/>
      </c>
      <c r="AK695" s="112" t="str">
        <f t="shared" si="293"/>
        <v/>
      </c>
      <c r="AL695" t="str">
        <f t="shared" si="294"/>
        <v/>
      </c>
      <c r="AM695" t="str">
        <f t="shared" si="295"/>
        <v/>
      </c>
    </row>
    <row r="696" spans="1:39" ht="15" customHeight="1" x14ac:dyDescent="0.25">
      <c r="A696" s="131"/>
      <c r="B696" s="133"/>
      <c r="C696" s="133"/>
      <c r="D696" s="42" t="str">
        <f t="shared" si="270"/>
        <v/>
      </c>
      <c r="E696" s="43"/>
      <c r="F696" s="135"/>
      <c r="G696" s="77" t="str">
        <f t="shared" si="271"/>
        <v/>
      </c>
      <c r="H696" s="32" t="str">
        <f t="shared" si="272"/>
        <v/>
      </c>
      <c r="I696" s="78" t="str">
        <f t="shared" si="273"/>
        <v/>
      </c>
      <c r="J696" s="70" t="str">
        <f t="shared" si="274"/>
        <v/>
      </c>
      <c r="K696" s="135"/>
      <c r="L696" s="72" t="str">
        <f t="shared" si="275"/>
        <v/>
      </c>
      <c r="M696" s="135"/>
      <c r="N696" s="72" t="str">
        <f t="shared" si="276"/>
        <v/>
      </c>
      <c r="O696" s="135"/>
      <c r="P696" s="136"/>
      <c r="Q696" s="123" t="str">
        <f t="shared" si="277"/>
        <v/>
      </c>
      <c r="R696" s="45" t="str">
        <f t="shared" si="278"/>
        <v/>
      </c>
      <c r="S696" s="137"/>
      <c r="T696" s="79" t="str">
        <f t="shared" si="287"/>
        <v/>
      </c>
      <c r="U696" s="79" t="str">
        <f t="shared" si="279"/>
        <v/>
      </c>
      <c r="V696" s="73" t="str">
        <f t="shared" si="280"/>
        <v/>
      </c>
      <c r="W696" s="80" t="str">
        <f t="shared" si="281"/>
        <v/>
      </c>
      <c r="X696" s="73" t="str">
        <f t="shared" si="282"/>
        <v/>
      </c>
      <c r="Y696" s="80" t="str">
        <f t="shared" si="283"/>
        <v/>
      </c>
      <c r="Z696" s="74" t="str">
        <f t="shared" si="284"/>
        <v/>
      </c>
      <c r="AA696" s="75" t="str">
        <f t="shared" si="288"/>
        <v/>
      </c>
      <c r="AB696" s="103" t="str">
        <f t="shared" si="285"/>
        <v/>
      </c>
      <c r="AC696" s="104" t="str">
        <f t="shared" si="296"/>
        <v/>
      </c>
      <c r="AE696" s="139"/>
      <c r="AF696" s="110" t="str">
        <f t="shared" si="289"/>
        <v/>
      </c>
      <c r="AG696" s="111" t="str">
        <f t="shared" si="290"/>
        <v/>
      </c>
      <c r="AH696" s="111" t="str">
        <f t="shared" si="286"/>
        <v/>
      </c>
      <c r="AI696" s="111" t="str">
        <f t="shared" si="291"/>
        <v/>
      </c>
      <c r="AJ696" s="111" t="str">
        <f t="shared" si="292"/>
        <v/>
      </c>
      <c r="AK696" s="112" t="str">
        <f t="shared" si="293"/>
        <v/>
      </c>
      <c r="AL696" t="str">
        <f t="shared" si="294"/>
        <v/>
      </c>
      <c r="AM696" t="str">
        <f t="shared" si="295"/>
        <v/>
      </c>
    </row>
    <row r="697" spans="1:39" ht="15" customHeight="1" x14ac:dyDescent="0.25">
      <c r="A697" s="131"/>
      <c r="B697" s="133"/>
      <c r="C697" s="133"/>
      <c r="D697" s="42" t="str">
        <f t="shared" si="270"/>
        <v/>
      </c>
      <c r="E697" s="43"/>
      <c r="F697" s="135"/>
      <c r="G697" s="77" t="str">
        <f t="shared" si="271"/>
        <v/>
      </c>
      <c r="H697" s="32" t="str">
        <f t="shared" si="272"/>
        <v/>
      </c>
      <c r="I697" s="78" t="str">
        <f t="shared" si="273"/>
        <v/>
      </c>
      <c r="J697" s="70" t="str">
        <f t="shared" si="274"/>
        <v/>
      </c>
      <c r="K697" s="135"/>
      <c r="L697" s="72" t="str">
        <f t="shared" si="275"/>
        <v/>
      </c>
      <c r="M697" s="135"/>
      <c r="N697" s="72" t="str">
        <f t="shared" si="276"/>
        <v/>
      </c>
      <c r="O697" s="135"/>
      <c r="P697" s="136"/>
      <c r="Q697" s="123" t="str">
        <f t="shared" si="277"/>
        <v/>
      </c>
      <c r="R697" s="45" t="str">
        <f t="shared" si="278"/>
        <v/>
      </c>
      <c r="S697" s="137"/>
      <c r="T697" s="79" t="str">
        <f t="shared" si="287"/>
        <v/>
      </c>
      <c r="U697" s="79" t="str">
        <f t="shared" si="279"/>
        <v/>
      </c>
      <c r="V697" s="73" t="str">
        <f t="shared" si="280"/>
        <v/>
      </c>
      <c r="W697" s="80" t="str">
        <f t="shared" si="281"/>
        <v/>
      </c>
      <c r="X697" s="73" t="str">
        <f t="shared" si="282"/>
        <v/>
      </c>
      <c r="Y697" s="80" t="str">
        <f t="shared" si="283"/>
        <v/>
      </c>
      <c r="Z697" s="74" t="str">
        <f t="shared" si="284"/>
        <v/>
      </c>
      <c r="AA697" s="75" t="str">
        <f t="shared" si="288"/>
        <v/>
      </c>
      <c r="AB697" s="103" t="str">
        <f t="shared" si="285"/>
        <v/>
      </c>
      <c r="AC697" s="104" t="str">
        <f t="shared" si="296"/>
        <v/>
      </c>
      <c r="AE697" s="139"/>
      <c r="AF697" s="110" t="str">
        <f t="shared" si="289"/>
        <v/>
      </c>
      <c r="AG697" s="111" t="str">
        <f t="shared" si="290"/>
        <v/>
      </c>
      <c r="AH697" s="111" t="str">
        <f t="shared" si="286"/>
        <v/>
      </c>
      <c r="AI697" s="111" t="str">
        <f t="shared" si="291"/>
        <v/>
      </c>
      <c r="AJ697" s="111" t="str">
        <f t="shared" si="292"/>
        <v/>
      </c>
      <c r="AK697" s="112" t="str">
        <f t="shared" si="293"/>
        <v/>
      </c>
      <c r="AL697" t="str">
        <f t="shared" si="294"/>
        <v/>
      </c>
      <c r="AM697" t="str">
        <f t="shared" si="295"/>
        <v/>
      </c>
    </row>
    <row r="698" spans="1:39" ht="15" customHeight="1" x14ac:dyDescent="0.25">
      <c r="A698" s="131"/>
      <c r="B698" s="133"/>
      <c r="C698" s="133"/>
      <c r="D698" s="42" t="str">
        <f t="shared" si="270"/>
        <v/>
      </c>
      <c r="E698" s="43"/>
      <c r="F698" s="135"/>
      <c r="G698" s="77" t="str">
        <f t="shared" si="271"/>
        <v/>
      </c>
      <c r="H698" s="32" t="str">
        <f t="shared" si="272"/>
        <v/>
      </c>
      <c r="I698" s="78" t="str">
        <f t="shared" si="273"/>
        <v/>
      </c>
      <c r="J698" s="70" t="str">
        <f t="shared" si="274"/>
        <v/>
      </c>
      <c r="K698" s="135"/>
      <c r="L698" s="72" t="str">
        <f t="shared" si="275"/>
        <v/>
      </c>
      <c r="M698" s="135"/>
      <c r="N698" s="72" t="str">
        <f t="shared" si="276"/>
        <v/>
      </c>
      <c r="O698" s="135"/>
      <c r="P698" s="136"/>
      <c r="Q698" s="123" t="str">
        <f t="shared" si="277"/>
        <v/>
      </c>
      <c r="R698" s="45" t="str">
        <f t="shared" si="278"/>
        <v/>
      </c>
      <c r="S698" s="137"/>
      <c r="T698" s="79" t="str">
        <f t="shared" si="287"/>
        <v/>
      </c>
      <c r="U698" s="79" t="str">
        <f t="shared" si="279"/>
        <v/>
      </c>
      <c r="V698" s="73" t="str">
        <f t="shared" si="280"/>
        <v/>
      </c>
      <c r="W698" s="80" t="str">
        <f t="shared" si="281"/>
        <v/>
      </c>
      <c r="X698" s="73" t="str">
        <f t="shared" si="282"/>
        <v/>
      </c>
      <c r="Y698" s="80" t="str">
        <f t="shared" si="283"/>
        <v/>
      </c>
      <c r="Z698" s="74" t="str">
        <f t="shared" si="284"/>
        <v/>
      </c>
      <c r="AA698" s="75" t="str">
        <f t="shared" si="288"/>
        <v/>
      </c>
      <c r="AB698" s="103" t="str">
        <f t="shared" si="285"/>
        <v/>
      </c>
      <c r="AC698" s="104" t="str">
        <f t="shared" si="296"/>
        <v/>
      </c>
      <c r="AE698" s="139"/>
      <c r="AF698" s="110" t="str">
        <f t="shared" si="289"/>
        <v/>
      </c>
      <c r="AG698" s="111" t="str">
        <f t="shared" si="290"/>
        <v/>
      </c>
      <c r="AH698" s="111" t="str">
        <f t="shared" si="286"/>
        <v/>
      </c>
      <c r="AI698" s="111" t="str">
        <f t="shared" si="291"/>
        <v/>
      </c>
      <c r="AJ698" s="111" t="str">
        <f t="shared" si="292"/>
        <v/>
      </c>
      <c r="AK698" s="112" t="str">
        <f t="shared" si="293"/>
        <v/>
      </c>
      <c r="AL698" t="str">
        <f t="shared" si="294"/>
        <v/>
      </c>
      <c r="AM698" t="str">
        <f t="shared" si="295"/>
        <v/>
      </c>
    </row>
    <row r="699" spans="1:39" ht="15" customHeight="1" x14ac:dyDescent="0.25">
      <c r="A699" s="131"/>
      <c r="B699" s="133"/>
      <c r="C699" s="133"/>
      <c r="D699" s="42" t="str">
        <f t="shared" si="270"/>
        <v/>
      </c>
      <c r="E699" s="43"/>
      <c r="F699" s="135"/>
      <c r="G699" s="77" t="str">
        <f t="shared" si="271"/>
        <v/>
      </c>
      <c r="H699" s="32" t="str">
        <f t="shared" si="272"/>
        <v/>
      </c>
      <c r="I699" s="78" t="str">
        <f t="shared" si="273"/>
        <v/>
      </c>
      <c r="J699" s="70" t="str">
        <f t="shared" si="274"/>
        <v/>
      </c>
      <c r="K699" s="135"/>
      <c r="L699" s="72" t="str">
        <f t="shared" si="275"/>
        <v/>
      </c>
      <c r="M699" s="135"/>
      <c r="N699" s="72" t="str">
        <f t="shared" si="276"/>
        <v/>
      </c>
      <c r="O699" s="135"/>
      <c r="P699" s="136"/>
      <c r="Q699" s="123" t="str">
        <f t="shared" si="277"/>
        <v/>
      </c>
      <c r="R699" s="45" t="str">
        <f t="shared" si="278"/>
        <v/>
      </c>
      <c r="S699" s="137"/>
      <c r="T699" s="79" t="str">
        <f t="shared" si="287"/>
        <v/>
      </c>
      <c r="U699" s="79" t="str">
        <f t="shared" si="279"/>
        <v/>
      </c>
      <c r="V699" s="73" t="str">
        <f t="shared" si="280"/>
        <v/>
      </c>
      <c r="W699" s="80" t="str">
        <f t="shared" si="281"/>
        <v/>
      </c>
      <c r="X699" s="73" t="str">
        <f t="shared" si="282"/>
        <v/>
      </c>
      <c r="Y699" s="80" t="str">
        <f t="shared" si="283"/>
        <v/>
      </c>
      <c r="Z699" s="74" t="str">
        <f t="shared" si="284"/>
        <v/>
      </c>
      <c r="AA699" s="75" t="str">
        <f t="shared" si="288"/>
        <v/>
      </c>
      <c r="AB699" s="103" t="str">
        <f t="shared" si="285"/>
        <v/>
      </c>
      <c r="AC699" s="104" t="str">
        <f t="shared" si="296"/>
        <v/>
      </c>
      <c r="AE699" s="139"/>
      <c r="AF699" s="110" t="str">
        <f t="shared" si="289"/>
        <v/>
      </c>
      <c r="AG699" s="111" t="str">
        <f t="shared" si="290"/>
        <v/>
      </c>
      <c r="AH699" s="111" t="str">
        <f t="shared" si="286"/>
        <v/>
      </c>
      <c r="AI699" s="111" t="str">
        <f t="shared" si="291"/>
        <v/>
      </c>
      <c r="AJ699" s="111" t="str">
        <f t="shared" si="292"/>
        <v/>
      </c>
      <c r="AK699" s="112" t="str">
        <f t="shared" si="293"/>
        <v/>
      </c>
      <c r="AL699" t="str">
        <f t="shared" si="294"/>
        <v/>
      </c>
      <c r="AM699" t="str">
        <f t="shared" si="295"/>
        <v/>
      </c>
    </row>
    <row r="700" spans="1:39" ht="15" customHeight="1" x14ac:dyDescent="0.25">
      <c r="A700" s="131"/>
      <c r="B700" s="133"/>
      <c r="C700" s="133"/>
      <c r="D700" s="42" t="str">
        <f t="shared" si="270"/>
        <v/>
      </c>
      <c r="E700" s="43"/>
      <c r="F700" s="135"/>
      <c r="G700" s="77" t="str">
        <f t="shared" si="271"/>
        <v/>
      </c>
      <c r="H700" s="32" t="str">
        <f t="shared" si="272"/>
        <v/>
      </c>
      <c r="I700" s="78" t="str">
        <f t="shared" si="273"/>
        <v/>
      </c>
      <c r="J700" s="70" t="str">
        <f t="shared" si="274"/>
        <v/>
      </c>
      <c r="K700" s="135"/>
      <c r="L700" s="72" t="str">
        <f t="shared" si="275"/>
        <v/>
      </c>
      <c r="M700" s="135"/>
      <c r="N700" s="72" t="str">
        <f t="shared" si="276"/>
        <v/>
      </c>
      <c r="O700" s="135"/>
      <c r="P700" s="136"/>
      <c r="Q700" s="123" t="str">
        <f t="shared" si="277"/>
        <v/>
      </c>
      <c r="R700" s="45" t="str">
        <f t="shared" si="278"/>
        <v/>
      </c>
      <c r="S700" s="137"/>
      <c r="T700" s="79" t="str">
        <f t="shared" si="287"/>
        <v/>
      </c>
      <c r="U700" s="79" t="str">
        <f t="shared" si="279"/>
        <v/>
      </c>
      <c r="V700" s="73" t="str">
        <f t="shared" si="280"/>
        <v/>
      </c>
      <c r="W700" s="80" t="str">
        <f t="shared" si="281"/>
        <v/>
      </c>
      <c r="X700" s="73" t="str">
        <f t="shared" si="282"/>
        <v/>
      </c>
      <c r="Y700" s="80" t="str">
        <f t="shared" si="283"/>
        <v/>
      </c>
      <c r="Z700" s="74" t="str">
        <f t="shared" si="284"/>
        <v/>
      </c>
      <c r="AA700" s="75" t="str">
        <f t="shared" si="288"/>
        <v/>
      </c>
      <c r="AB700" s="103" t="str">
        <f t="shared" si="285"/>
        <v/>
      </c>
      <c r="AC700" s="104" t="str">
        <f t="shared" si="296"/>
        <v/>
      </c>
      <c r="AE700" s="139"/>
      <c r="AF700" s="110" t="str">
        <f t="shared" si="289"/>
        <v/>
      </c>
      <c r="AG700" s="111" t="str">
        <f t="shared" si="290"/>
        <v/>
      </c>
      <c r="AH700" s="111" t="str">
        <f t="shared" si="286"/>
        <v/>
      </c>
      <c r="AI700" s="111" t="str">
        <f t="shared" si="291"/>
        <v/>
      </c>
      <c r="AJ700" s="111" t="str">
        <f t="shared" si="292"/>
        <v/>
      </c>
      <c r="AK700" s="112" t="str">
        <f t="shared" si="293"/>
        <v/>
      </c>
      <c r="AL700" t="str">
        <f t="shared" si="294"/>
        <v/>
      </c>
      <c r="AM700" t="str">
        <f t="shared" si="295"/>
        <v/>
      </c>
    </row>
    <row r="701" spans="1:39" ht="15" customHeight="1" x14ac:dyDescent="0.25">
      <c r="A701" s="131"/>
      <c r="B701" s="133"/>
      <c r="C701" s="133"/>
      <c r="D701" s="42" t="str">
        <f t="shared" si="270"/>
        <v/>
      </c>
      <c r="E701" s="43"/>
      <c r="F701" s="135"/>
      <c r="G701" s="77" t="str">
        <f t="shared" si="271"/>
        <v/>
      </c>
      <c r="H701" s="32" t="str">
        <f t="shared" si="272"/>
        <v/>
      </c>
      <c r="I701" s="78" t="str">
        <f t="shared" si="273"/>
        <v/>
      </c>
      <c r="J701" s="70" t="str">
        <f t="shared" si="274"/>
        <v/>
      </c>
      <c r="K701" s="135"/>
      <c r="L701" s="72" t="str">
        <f t="shared" si="275"/>
        <v/>
      </c>
      <c r="M701" s="135"/>
      <c r="N701" s="72" t="str">
        <f t="shared" si="276"/>
        <v/>
      </c>
      <c r="O701" s="135"/>
      <c r="P701" s="136"/>
      <c r="Q701" s="123" t="str">
        <f t="shared" si="277"/>
        <v/>
      </c>
      <c r="R701" s="45" t="str">
        <f t="shared" si="278"/>
        <v/>
      </c>
      <c r="S701" s="137"/>
      <c r="T701" s="79" t="str">
        <f t="shared" si="287"/>
        <v/>
      </c>
      <c r="U701" s="79" t="str">
        <f t="shared" si="279"/>
        <v/>
      </c>
      <c r="V701" s="73" t="str">
        <f t="shared" si="280"/>
        <v/>
      </c>
      <c r="W701" s="80" t="str">
        <f t="shared" si="281"/>
        <v/>
      </c>
      <c r="X701" s="73" t="str">
        <f t="shared" si="282"/>
        <v/>
      </c>
      <c r="Y701" s="80" t="str">
        <f t="shared" si="283"/>
        <v/>
      </c>
      <c r="Z701" s="74" t="str">
        <f t="shared" si="284"/>
        <v/>
      </c>
      <c r="AA701" s="75" t="str">
        <f t="shared" si="288"/>
        <v/>
      </c>
      <c r="AB701" s="103" t="str">
        <f t="shared" si="285"/>
        <v/>
      </c>
      <c r="AC701" s="104" t="str">
        <f t="shared" si="296"/>
        <v/>
      </c>
      <c r="AE701" s="139"/>
      <c r="AF701" s="110" t="str">
        <f t="shared" si="289"/>
        <v/>
      </c>
      <c r="AG701" s="111" t="str">
        <f t="shared" si="290"/>
        <v/>
      </c>
      <c r="AH701" s="111" t="str">
        <f t="shared" si="286"/>
        <v/>
      </c>
      <c r="AI701" s="111" t="str">
        <f t="shared" si="291"/>
        <v/>
      </c>
      <c r="AJ701" s="111" t="str">
        <f t="shared" si="292"/>
        <v/>
      </c>
      <c r="AK701" s="112" t="str">
        <f t="shared" si="293"/>
        <v/>
      </c>
      <c r="AL701" t="str">
        <f t="shared" si="294"/>
        <v/>
      </c>
      <c r="AM701" t="str">
        <f t="shared" si="295"/>
        <v/>
      </c>
    </row>
    <row r="702" spans="1:39" ht="15" customHeight="1" x14ac:dyDescent="0.25">
      <c r="A702" s="131"/>
      <c r="B702" s="133"/>
      <c r="C702" s="133"/>
      <c r="D702" s="42" t="str">
        <f t="shared" si="270"/>
        <v/>
      </c>
      <c r="E702" s="43"/>
      <c r="F702" s="135"/>
      <c r="G702" s="77" t="str">
        <f t="shared" si="271"/>
        <v/>
      </c>
      <c r="H702" s="32" t="str">
        <f t="shared" si="272"/>
        <v/>
      </c>
      <c r="I702" s="78" t="str">
        <f t="shared" si="273"/>
        <v/>
      </c>
      <c r="J702" s="70" t="str">
        <f t="shared" si="274"/>
        <v/>
      </c>
      <c r="K702" s="135"/>
      <c r="L702" s="72" t="str">
        <f t="shared" si="275"/>
        <v/>
      </c>
      <c r="M702" s="135"/>
      <c r="N702" s="72" t="str">
        <f t="shared" si="276"/>
        <v/>
      </c>
      <c r="O702" s="135"/>
      <c r="P702" s="136"/>
      <c r="Q702" s="123" t="str">
        <f t="shared" si="277"/>
        <v/>
      </c>
      <c r="R702" s="45" t="str">
        <f t="shared" si="278"/>
        <v/>
      </c>
      <c r="S702" s="137"/>
      <c r="T702" s="79" t="str">
        <f t="shared" si="287"/>
        <v/>
      </c>
      <c r="U702" s="79" t="str">
        <f t="shared" si="279"/>
        <v/>
      </c>
      <c r="V702" s="73" t="str">
        <f t="shared" si="280"/>
        <v/>
      </c>
      <c r="W702" s="80" t="str">
        <f t="shared" si="281"/>
        <v/>
      </c>
      <c r="X702" s="73" t="str">
        <f t="shared" si="282"/>
        <v/>
      </c>
      <c r="Y702" s="80" t="str">
        <f t="shared" si="283"/>
        <v/>
      </c>
      <c r="Z702" s="74" t="str">
        <f t="shared" si="284"/>
        <v/>
      </c>
      <c r="AA702" s="75" t="str">
        <f t="shared" si="288"/>
        <v/>
      </c>
      <c r="AB702" s="103" t="str">
        <f t="shared" si="285"/>
        <v/>
      </c>
      <c r="AC702" s="104" t="str">
        <f t="shared" si="296"/>
        <v/>
      </c>
      <c r="AE702" s="139"/>
      <c r="AF702" s="110" t="str">
        <f t="shared" si="289"/>
        <v/>
      </c>
      <c r="AG702" s="111" t="str">
        <f t="shared" si="290"/>
        <v/>
      </c>
      <c r="AH702" s="111" t="str">
        <f t="shared" si="286"/>
        <v/>
      </c>
      <c r="AI702" s="111" t="str">
        <f t="shared" si="291"/>
        <v/>
      </c>
      <c r="AJ702" s="111" t="str">
        <f t="shared" si="292"/>
        <v/>
      </c>
      <c r="AK702" s="112" t="str">
        <f t="shared" si="293"/>
        <v/>
      </c>
      <c r="AL702" t="str">
        <f t="shared" si="294"/>
        <v/>
      </c>
      <c r="AM702" t="str">
        <f t="shared" si="295"/>
        <v/>
      </c>
    </row>
    <row r="703" spans="1:39" ht="15" customHeight="1" x14ac:dyDescent="0.25">
      <c r="A703" s="131"/>
      <c r="B703" s="133"/>
      <c r="C703" s="133"/>
      <c r="D703" s="42" t="str">
        <f t="shared" si="270"/>
        <v/>
      </c>
      <c r="E703" s="43"/>
      <c r="F703" s="135"/>
      <c r="G703" s="77" t="str">
        <f t="shared" si="271"/>
        <v/>
      </c>
      <c r="H703" s="32" t="str">
        <f t="shared" si="272"/>
        <v/>
      </c>
      <c r="I703" s="78" t="str">
        <f t="shared" si="273"/>
        <v/>
      </c>
      <c r="J703" s="70" t="str">
        <f t="shared" si="274"/>
        <v/>
      </c>
      <c r="K703" s="135"/>
      <c r="L703" s="72" t="str">
        <f t="shared" si="275"/>
        <v/>
      </c>
      <c r="M703" s="135"/>
      <c r="N703" s="72" t="str">
        <f t="shared" si="276"/>
        <v/>
      </c>
      <c r="O703" s="135"/>
      <c r="P703" s="136"/>
      <c r="Q703" s="123" t="str">
        <f t="shared" si="277"/>
        <v/>
      </c>
      <c r="R703" s="45" t="str">
        <f t="shared" si="278"/>
        <v/>
      </c>
      <c r="S703" s="137"/>
      <c r="T703" s="79" t="str">
        <f t="shared" si="287"/>
        <v/>
      </c>
      <c r="U703" s="79" t="str">
        <f t="shared" si="279"/>
        <v/>
      </c>
      <c r="V703" s="73" t="str">
        <f t="shared" si="280"/>
        <v/>
      </c>
      <c r="W703" s="80" t="str">
        <f t="shared" si="281"/>
        <v/>
      </c>
      <c r="X703" s="73" t="str">
        <f t="shared" si="282"/>
        <v/>
      </c>
      <c r="Y703" s="80" t="str">
        <f t="shared" si="283"/>
        <v/>
      </c>
      <c r="Z703" s="74" t="str">
        <f t="shared" si="284"/>
        <v/>
      </c>
      <c r="AA703" s="75" t="str">
        <f t="shared" si="288"/>
        <v/>
      </c>
      <c r="AB703" s="103" t="str">
        <f t="shared" si="285"/>
        <v/>
      </c>
      <c r="AC703" s="104" t="str">
        <f t="shared" si="296"/>
        <v/>
      </c>
      <c r="AE703" s="139"/>
      <c r="AF703" s="110" t="str">
        <f t="shared" si="289"/>
        <v/>
      </c>
      <c r="AG703" s="111" t="str">
        <f t="shared" si="290"/>
        <v/>
      </c>
      <c r="AH703" s="111" t="str">
        <f t="shared" si="286"/>
        <v/>
      </c>
      <c r="AI703" s="111" t="str">
        <f t="shared" si="291"/>
        <v/>
      </c>
      <c r="AJ703" s="111" t="str">
        <f t="shared" si="292"/>
        <v/>
      </c>
      <c r="AK703" s="112" t="str">
        <f t="shared" si="293"/>
        <v/>
      </c>
      <c r="AL703" t="str">
        <f t="shared" si="294"/>
        <v/>
      </c>
      <c r="AM703" t="str">
        <f t="shared" si="295"/>
        <v/>
      </c>
    </row>
    <row r="704" spans="1:39" ht="15" customHeight="1" x14ac:dyDescent="0.25">
      <c r="A704" s="131"/>
      <c r="B704" s="133"/>
      <c r="C704" s="133"/>
      <c r="D704" s="42" t="str">
        <f t="shared" si="270"/>
        <v/>
      </c>
      <c r="E704" s="43"/>
      <c r="F704" s="135"/>
      <c r="G704" s="77" t="str">
        <f t="shared" si="271"/>
        <v/>
      </c>
      <c r="H704" s="32" t="str">
        <f t="shared" si="272"/>
        <v/>
      </c>
      <c r="I704" s="78" t="str">
        <f t="shared" si="273"/>
        <v/>
      </c>
      <c r="J704" s="70" t="str">
        <f t="shared" si="274"/>
        <v/>
      </c>
      <c r="K704" s="135"/>
      <c r="L704" s="72" t="str">
        <f t="shared" si="275"/>
        <v/>
      </c>
      <c r="M704" s="135"/>
      <c r="N704" s="72" t="str">
        <f t="shared" si="276"/>
        <v/>
      </c>
      <c r="O704" s="135"/>
      <c r="P704" s="136"/>
      <c r="Q704" s="123" t="str">
        <f t="shared" si="277"/>
        <v/>
      </c>
      <c r="R704" s="45" t="str">
        <f t="shared" si="278"/>
        <v/>
      </c>
      <c r="S704" s="137"/>
      <c r="T704" s="79" t="str">
        <f t="shared" si="287"/>
        <v/>
      </c>
      <c r="U704" s="79" t="str">
        <f t="shared" si="279"/>
        <v/>
      </c>
      <c r="V704" s="73" t="str">
        <f t="shared" si="280"/>
        <v/>
      </c>
      <c r="W704" s="80" t="str">
        <f t="shared" si="281"/>
        <v/>
      </c>
      <c r="X704" s="73" t="str">
        <f t="shared" si="282"/>
        <v/>
      </c>
      <c r="Y704" s="80" t="str">
        <f t="shared" si="283"/>
        <v/>
      </c>
      <c r="Z704" s="74" t="str">
        <f t="shared" si="284"/>
        <v/>
      </c>
      <c r="AA704" s="75" t="str">
        <f t="shared" si="288"/>
        <v/>
      </c>
      <c r="AB704" s="103" t="str">
        <f t="shared" si="285"/>
        <v/>
      </c>
      <c r="AC704" s="104" t="str">
        <f t="shared" si="296"/>
        <v/>
      </c>
      <c r="AE704" s="139"/>
      <c r="AF704" s="110" t="str">
        <f t="shared" si="289"/>
        <v/>
      </c>
      <c r="AG704" s="111" t="str">
        <f t="shared" si="290"/>
        <v/>
      </c>
      <c r="AH704" s="111" t="str">
        <f t="shared" si="286"/>
        <v/>
      </c>
      <c r="AI704" s="111" t="str">
        <f t="shared" si="291"/>
        <v/>
      </c>
      <c r="AJ704" s="111" t="str">
        <f t="shared" si="292"/>
        <v/>
      </c>
      <c r="AK704" s="112" t="str">
        <f t="shared" si="293"/>
        <v/>
      </c>
      <c r="AL704" t="str">
        <f t="shared" si="294"/>
        <v/>
      </c>
      <c r="AM704" t="str">
        <f t="shared" si="295"/>
        <v/>
      </c>
    </row>
    <row r="705" spans="1:39" ht="15" customHeight="1" x14ac:dyDescent="0.25">
      <c r="A705" s="131"/>
      <c r="B705" s="133"/>
      <c r="C705" s="133"/>
      <c r="D705" s="42" t="str">
        <f t="shared" si="270"/>
        <v/>
      </c>
      <c r="E705" s="43"/>
      <c r="F705" s="135"/>
      <c r="G705" s="77" t="str">
        <f t="shared" si="271"/>
        <v/>
      </c>
      <c r="H705" s="32" t="str">
        <f t="shared" si="272"/>
        <v/>
      </c>
      <c r="I705" s="78" t="str">
        <f t="shared" si="273"/>
        <v/>
      </c>
      <c r="J705" s="70" t="str">
        <f t="shared" si="274"/>
        <v/>
      </c>
      <c r="K705" s="135"/>
      <c r="L705" s="72" t="str">
        <f t="shared" si="275"/>
        <v/>
      </c>
      <c r="M705" s="135"/>
      <c r="N705" s="72" t="str">
        <f t="shared" si="276"/>
        <v/>
      </c>
      <c r="O705" s="135"/>
      <c r="P705" s="136"/>
      <c r="Q705" s="123" t="str">
        <f t="shared" si="277"/>
        <v/>
      </c>
      <c r="R705" s="45" t="str">
        <f t="shared" si="278"/>
        <v/>
      </c>
      <c r="S705" s="137"/>
      <c r="T705" s="79" t="str">
        <f t="shared" si="287"/>
        <v/>
      </c>
      <c r="U705" s="79" t="str">
        <f t="shared" si="279"/>
        <v/>
      </c>
      <c r="V705" s="73" t="str">
        <f t="shared" si="280"/>
        <v/>
      </c>
      <c r="W705" s="80" t="str">
        <f t="shared" si="281"/>
        <v/>
      </c>
      <c r="X705" s="73" t="str">
        <f t="shared" si="282"/>
        <v/>
      </c>
      <c r="Y705" s="80" t="str">
        <f t="shared" si="283"/>
        <v/>
      </c>
      <c r="Z705" s="74" t="str">
        <f t="shared" si="284"/>
        <v/>
      </c>
      <c r="AA705" s="75" t="str">
        <f t="shared" si="288"/>
        <v/>
      </c>
      <c r="AB705" s="103" t="str">
        <f t="shared" si="285"/>
        <v/>
      </c>
      <c r="AC705" s="104" t="str">
        <f t="shared" si="296"/>
        <v/>
      </c>
      <c r="AE705" s="139"/>
      <c r="AF705" s="110" t="str">
        <f t="shared" si="289"/>
        <v/>
      </c>
      <c r="AG705" s="111" t="str">
        <f t="shared" si="290"/>
        <v/>
      </c>
      <c r="AH705" s="111" t="str">
        <f t="shared" si="286"/>
        <v/>
      </c>
      <c r="AI705" s="111" t="str">
        <f t="shared" si="291"/>
        <v/>
      </c>
      <c r="AJ705" s="111" t="str">
        <f t="shared" si="292"/>
        <v/>
      </c>
      <c r="AK705" s="112" t="str">
        <f t="shared" si="293"/>
        <v/>
      </c>
      <c r="AL705" t="str">
        <f t="shared" si="294"/>
        <v/>
      </c>
      <c r="AM705" t="str">
        <f t="shared" si="295"/>
        <v/>
      </c>
    </row>
    <row r="706" spans="1:39" ht="15" customHeight="1" x14ac:dyDescent="0.25">
      <c r="A706" s="131"/>
      <c r="B706" s="133"/>
      <c r="C706" s="133"/>
      <c r="D706" s="42" t="str">
        <f t="shared" si="270"/>
        <v/>
      </c>
      <c r="E706" s="43"/>
      <c r="F706" s="135"/>
      <c r="G706" s="77" t="str">
        <f t="shared" si="271"/>
        <v/>
      </c>
      <c r="H706" s="32" t="str">
        <f t="shared" si="272"/>
        <v/>
      </c>
      <c r="I706" s="78" t="str">
        <f t="shared" si="273"/>
        <v/>
      </c>
      <c r="J706" s="70" t="str">
        <f t="shared" si="274"/>
        <v/>
      </c>
      <c r="K706" s="135"/>
      <c r="L706" s="72" t="str">
        <f t="shared" si="275"/>
        <v/>
      </c>
      <c r="M706" s="135"/>
      <c r="N706" s="72" t="str">
        <f t="shared" si="276"/>
        <v/>
      </c>
      <c r="O706" s="135"/>
      <c r="P706" s="136"/>
      <c r="Q706" s="123" t="str">
        <f t="shared" si="277"/>
        <v/>
      </c>
      <c r="R706" s="45" t="str">
        <f t="shared" si="278"/>
        <v/>
      </c>
      <c r="S706" s="137"/>
      <c r="T706" s="79" t="str">
        <f t="shared" si="287"/>
        <v/>
      </c>
      <c r="U706" s="79" t="str">
        <f t="shared" si="279"/>
        <v/>
      </c>
      <c r="V706" s="73" t="str">
        <f t="shared" si="280"/>
        <v/>
      </c>
      <c r="W706" s="80" t="str">
        <f t="shared" si="281"/>
        <v/>
      </c>
      <c r="X706" s="73" t="str">
        <f t="shared" si="282"/>
        <v/>
      </c>
      <c r="Y706" s="80" t="str">
        <f t="shared" si="283"/>
        <v/>
      </c>
      <c r="Z706" s="74" t="str">
        <f t="shared" si="284"/>
        <v/>
      </c>
      <c r="AA706" s="75" t="str">
        <f t="shared" si="288"/>
        <v/>
      </c>
      <c r="AB706" s="103" t="str">
        <f t="shared" si="285"/>
        <v/>
      </c>
      <c r="AC706" s="104" t="str">
        <f t="shared" si="296"/>
        <v/>
      </c>
      <c r="AE706" s="139"/>
      <c r="AF706" s="110" t="str">
        <f t="shared" si="289"/>
        <v/>
      </c>
      <c r="AG706" s="111" t="str">
        <f t="shared" si="290"/>
        <v/>
      </c>
      <c r="AH706" s="111" t="str">
        <f t="shared" si="286"/>
        <v/>
      </c>
      <c r="AI706" s="111" t="str">
        <f t="shared" si="291"/>
        <v/>
      </c>
      <c r="AJ706" s="111" t="str">
        <f t="shared" si="292"/>
        <v/>
      </c>
      <c r="AK706" s="112" t="str">
        <f t="shared" si="293"/>
        <v/>
      </c>
      <c r="AL706" t="str">
        <f t="shared" si="294"/>
        <v/>
      </c>
      <c r="AM706" t="str">
        <f t="shared" si="295"/>
        <v/>
      </c>
    </row>
    <row r="707" spans="1:39" ht="15" customHeight="1" x14ac:dyDescent="0.25">
      <c r="A707" s="131"/>
      <c r="B707" s="133"/>
      <c r="C707" s="133"/>
      <c r="D707" s="42" t="str">
        <f t="shared" si="270"/>
        <v/>
      </c>
      <c r="E707" s="43"/>
      <c r="F707" s="135"/>
      <c r="G707" s="77" t="str">
        <f t="shared" si="271"/>
        <v/>
      </c>
      <c r="H707" s="32" t="str">
        <f t="shared" si="272"/>
        <v/>
      </c>
      <c r="I707" s="78" t="str">
        <f t="shared" si="273"/>
        <v/>
      </c>
      <c r="J707" s="70" t="str">
        <f t="shared" si="274"/>
        <v/>
      </c>
      <c r="K707" s="135"/>
      <c r="L707" s="72" t="str">
        <f t="shared" si="275"/>
        <v/>
      </c>
      <c r="M707" s="135"/>
      <c r="N707" s="72" t="str">
        <f t="shared" si="276"/>
        <v/>
      </c>
      <c r="O707" s="135"/>
      <c r="P707" s="136"/>
      <c r="Q707" s="123" t="str">
        <f t="shared" si="277"/>
        <v/>
      </c>
      <c r="R707" s="45" t="str">
        <f t="shared" si="278"/>
        <v/>
      </c>
      <c r="S707" s="137"/>
      <c r="T707" s="79" t="str">
        <f t="shared" si="287"/>
        <v/>
      </c>
      <c r="U707" s="79" t="str">
        <f t="shared" si="279"/>
        <v/>
      </c>
      <c r="V707" s="73" t="str">
        <f t="shared" si="280"/>
        <v/>
      </c>
      <c r="W707" s="80" t="str">
        <f t="shared" si="281"/>
        <v/>
      </c>
      <c r="X707" s="73" t="str">
        <f t="shared" si="282"/>
        <v/>
      </c>
      <c r="Y707" s="80" t="str">
        <f t="shared" si="283"/>
        <v/>
      </c>
      <c r="Z707" s="74" t="str">
        <f t="shared" si="284"/>
        <v/>
      </c>
      <c r="AA707" s="75" t="str">
        <f t="shared" si="288"/>
        <v/>
      </c>
      <c r="AB707" s="103" t="str">
        <f t="shared" si="285"/>
        <v/>
      </c>
      <c r="AC707" s="104" t="str">
        <f t="shared" si="296"/>
        <v/>
      </c>
      <c r="AE707" s="139"/>
      <c r="AF707" s="110" t="str">
        <f t="shared" si="289"/>
        <v/>
      </c>
      <c r="AG707" s="111" t="str">
        <f t="shared" si="290"/>
        <v/>
      </c>
      <c r="AH707" s="111" t="str">
        <f t="shared" si="286"/>
        <v/>
      </c>
      <c r="AI707" s="111" t="str">
        <f t="shared" si="291"/>
        <v/>
      </c>
      <c r="AJ707" s="111" t="str">
        <f t="shared" si="292"/>
        <v/>
      </c>
      <c r="AK707" s="112" t="str">
        <f t="shared" si="293"/>
        <v/>
      </c>
      <c r="AL707" t="str">
        <f t="shared" si="294"/>
        <v/>
      </c>
      <c r="AM707" t="str">
        <f t="shared" si="295"/>
        <v/>
      </c>
    </row>
    <row r="708" spans="1:39" ht="15" customHeight="1" x14ac:dyDescent="0.25">
      <c r="A708" s="131"/>
      <c r="B708" s="133"/>
      <c r="C708" s="133"/>
      <c r="D708" s="42" t="str">
        <f t="shared" si="270"/>
        <v/>
      </c>
      <c r="E708" s="43"/>
      <c r="F708" s="135"/>
      <c r="G708" s="77" t="str">
        <f t="shared" si="271"/>
        <v/>
      </c>
      <c r="H708" s="32" t="str">
        <f t="shared" si="272"/>
        <v/>
      </c>
      <c r="I708" s="78" t="str">
        <f t="shared" si="273"/>
        <v/>
      </c>
      <c r="J708" s="70" t="str">
        <f t="shared" si="274"/>
        <v/>
      </c>
      <c r="K708" s="135"/>
      <c r="L708" s="72" t="str">
        <f t="shared" si="275"/>
        <v/>
      </c>
      <c r="M708" s="135"/>
      <c r="N708" s="72" t="str">
        <f t="shared" si="276"/>
        <v/>
      </c>
      <c r="O708" s="135"/>
      <c r="P708" s="136"/>
      <c r="Q708" s="123" t="str">
        <f t="shared" si="277"/>
        <v/>
      </c>
      <c r="R708" s="45" t="str">
        <f t="shared" si="278"/>
        <v/>
      </c>
      <c r="S708" s="137"/>
      <c r="T708" s="79" t="str">
        <f t="shared" si="287"/>
        <v/>
      </c>
      <c r="U708" s="79" t="str">
        <f t="shared" si="279"/>
        <v/>
      </c>
      <c r="V708" s="73" t="str">
        <f t="shared" si="280"/>
        <v/>
      </c>
      <c r="W708" s="80" t="str">
        <f t="shared" si="281"/>
        <v/>
      </c>
      <c r="X708" s="73" t="str">
        <f t="shared" si="282"/>
        <v/>
      </c>
      <c r="Y708" s="80" t="str">
        <f t="shared" si="283"/>
        <v/>
      </c>
      <c r="Z708" s="74" t="str">
        <f t="shared" si="284"/>
        <v/>
      </c>
      <c r="AA708" s="75" t="str">
        <f t="shared" si="288"/>
        <v/>
      </c>
      <c r="AB708" s="103" t="str">
        <f t="shared" si="285"/>
        <v/>
      </c>
      <c r="AC708" s="104" t="str">
        <f t="shared" si="296"/>
        <v/>
      </c>
      <c r="AE708" s="139"/>
      <c r="AF708" s="110" t="str">
        <f t="shared" si="289"/>
        <v/>
      </c>
      <c r="AG708" s="111" t="str">
        <f t="shared" si="290"/>
        <v/>
      </c>
      <c r="AH708" s="111" t="str">
        <f t="shared" si="286"/>
        <v/>
      </c>
      <c r="AI708" s="111" t="str">
        <f t="shared" si="291"/>
        <v/>
      </c>
      <c r="AJ708" s="111" t="str">
        <f t="shared" si="292"/>
        <v/>
      </c>
      <c r="AK708" s="112" t="str">
        <f t="shared" si="293"/>
        <v/>
      </c>
      <c r="AL708" t="str">
        <f t="shared" si="294"/>
        <v/>
      </c>
      <c r="AM708" t="str">
        <f t="shared" si="295"/>
        <v/>
      </c>
    </row>
    <row r="709" spans="1:39" ht="15" customHeight="1" x14ac:dyDescent="0.25">
      <c r="A709" s="131"/>
      <c r="B709" s="133"/>
      <c r="C709" s="133"/>
      <c r="D709" s="42" t="str">
        <f t="shared" si="270"/>
        <v/>
      </c>
      <c r="E709" s="43"/>
      <c r="F709" s="135"/>
      <c r="G709" s="77" t="str">
        <f t="shared" si="271"/>
        <v/>
      </c>
      <c r="H709" s="32" t="str">
        <f t="shared" si="272"/>
        <v/>
      </c>
      <c r="I709" s="78" t="str">
        <f t="shared" si="273"/>
        <v/>
      </c>
      <c r="J709" s="70" t="str">
        <f t="shared" si="274"/>
        <v/>
      </c>
      <c r="K709" s="135"/>
      <c r="L709" s="72" t="str">
        <f t="shared" si="275"/>
        <v/>
      </c>
      <c r="M709" s="135"/>
      <c r="N709" s="72" t="str">
        <f t="shared" si="276"/>
        <v/>
      </c>
      <c r="O709" s="135"/>
      <c r="P709" s="136"/>
      <c r="Q709" s="123" t="str">
        <f t="shared" si="277"/>
        <v/>
      </c>
      <c r="R709" s="45" t="str">
        <f t="shared" si="278"/>
        <v/>
      </c>
      <c r="S709" s="137"/>
      <c r="T709" s="79" t="str">
        <f t="shared" si="287"/>
        <v/>
      </c>
      <c r="U709" s="79" t="str">
        <f t="shared" si="279"/>
        <v/>
      </c>
      <c r="V709" s="73" t="str">
        <f t="shared" si="280"/>
        <v/>
      </c>
      <c r="W709" s="80" t="str">
        <f t="shared" si="281"/>
        <v/>
      </c>
      <c r="X709" s="73" t="str">
        <f t="shared" si="282"/>
        <v/>
      </c>
      <c r="Y709" s="80" t="str">
        <f t="shared" si="283"/>
        <v/>
      </c>
      <c r="Z709" s="74" t="str">
        <f t="shared" si="284"/>
        <v/>
      </c>
      <c r="AA709" s="75" t="str">
        <f t="shared" si="288"/>
        <v/>
      </c>
      <c r="AB709" s="103" t="str">
        <f t="shared" si="285"/>
        <v/>
      </c>
      <c r="AC709" s="104" t="str">
        <f t="shared" si="296"/>
        <v/>
      </c>
      <c r="AE709" s="139"/>
      <c r="AF709" s="110" t="str">
        <f t="shared" si="289"/>
        <v/>
      </c>
      <c r="AG709" s="111" t="str">
        <f t="shared" si="290"/>
        <v/>
      </c>
      <c r="AH709" s="111" t="str">
        <f t="shared" si="286"/>
        <v/>
      </c>
      <c r="AI709" s="111" t="str">
        <f t="shared" si="291"/>
        <v/>
      </c>
      <c r="AJ709" s="111" t="str">
        <f t="shared" si="292"/>
        <v/>
      </c>
      <c r="AK709" s="112" t="str">
        <f t="shared" si="293"/>
        <v/>
      </c>
      <c r="AL709" t="str">
        <f t="shared" si="294"/>
        <v/>
      </c>
      <c r="AM709" t="str">
        <f t="shared" si="295"/>
        <v/>
      </c>
    </row>
    <row r="710" spans="1:39" ht="15" customHeight="1" x14ac:dyDescent="0.25">
      <c r="A710" s="131"/>
      <c r="B710" s="133"/>
      <c r="C710" s="133"/>
      <c r="D710" s="42" t="str">
        <f t="shared" si="270"/>
        <v/>
      </c>
      <c r="E710" s="43"/>
      <c r="F710" s="135"/>
      <c r="G710" s="77" t="str">
        <f t="shared" si="271"/>
        <v/>
      </c>
      <c r="H710" s="32" t="str">
        <f t="shared" si="272"/>
        <v/>
      </c>
      <c r="I710" s="78" t="str">
        <f t="shared" si="273"/>
        <v/>
      </c>
      <c r="J710" s="70" t="str">
        <f t="shared" si="274"/>
        <v/>
      </c>
      <c r="K710" s="135"/>
      <c r="L710" s="72" t="str">
        <f t="shared" si="275"/>
        <v/>
      </c>
      <c r="M710" s="135"/>
      <c r="N710" s="72" t="str">
        <f t="shared" si="276"/>
        <v/>
      </c>
      <c r="O710" s="135"/>
      <c r="P710" s="136"/>
      <c r="Q710" s="123" t="str">
        <f t="shared" si="277"/>
        <v/>
      </c>
      <c r="R710" s="45" t="str">
        <f t="shared" si="278"/>
        <v/>
      </c>
      <c r="S710" s="137"/>
      <c r="T710" s="79" t="str">
        <f t="shared" si="287"/>
        <v/>
      </c>
      <c r="U710" s="79" t="str">
        <f t="shared" si="279"/>
        <v/>
      </c>
      <c r="V710" s="73" t="str">
        <f t="shared" si="280"/>
        <v/>
      </c>
      <c r="W710" s="80" t="str">
        <f t="shared" si="281"/>
        <v/>
      </c>
      <c r="X710" s="73" t="str">
        <f t="shared" si="282"/>
        <v/>
      </c>
      <c r="Y710" s="80" t="str">
        <f t="shared" si="283"/>
        <v/>
      </c>
      <c r="Z710" s="74" t="str">
        <f t="shared" si="284"/>
        <v/>
      </c>
      <c r="AA710" s="75" t="str">
        <f t="shared" si="288"/>
        <v/>
      </c>
      <c r="AB710" s="103" t="str">
        <f t="shared" si="285"/>
        <v/>
      </c>
      <c r="AC710" s="104" t="str">
        <f t="shared" si="296"/>
        <v/>
      </c>
      <c r="AE710" s="139"/>
      <c r="AF710" s="110" t="str">
        <f t="shared" si="289"/>
        <v/>
      </c>
      <c r="AG710" s="111" t="str">
        <f t="shared" si="290"/>
        <v/>
      </c>
      <c r="AH710" s="111" t="str">
        <f t="shared" si="286"/>
        <v/>
      </c>
      <c r="AI710" s="111" t="str">
        <f t="shared" si="291"/>
        <v/>
      </c>
      <c r="AJ710" s="111" t="str">
        <f t="shared" si="292"/>
        <v/>
      </c>
      <c r="AK710" s="112" t="str">
        <f t="shared" si="293"/>
        <v/>
      </c>
      <c r="AL710" t="str">
        <f t="shared" si="294"/>
        <v/>
      </c>
      <c r="AM710" t="str">
        <f t="shared" si="295"/>
        <v/>
      </c>
    </row>
    <row r="711" spans="1:39" ht="15" customHeight="1" x14ac:dyDescent="0.25">
      <c r="A711" s="131"/>
      <c r="B711" s="133"/>
      <c r="C711" s="133"/>
      <c r="D711" s="42" t="str">
        <f t="shared" si="270"/>
        <v/>
      </c>
      <c r="E711" s="43"/>
      <c r="F711" s="135"/>
      <c r="G711" s="77" t="str">
        <f t="shared" si="271"/>
        <v/>
      </c>
      <c r="H711" s="32" t="str">
        <f t="shared" si="272"/>
        <v/>
      </c>
      <c r="I711" s="78" t="str">
        <f t="shared" si="273"/>
        <v/>
      </c>
      <c r="J711" s="70" t="str">
        <f t="shared" si="274"/>
        <v/>
      </c>
      <c r="K711" s="135"/>
      <c r="L711" s="72" t="str">
        <f t="shared" si="275"/>
        <v/>
      </c>
      <c r="M711" s="135"/>
      <c r="N711" s="72" t="str">
        <f t="shared" si="276"/>
        <v/>
      </c>
      <c r="O711" s="135"/>
      <c r="P711" s="136"/>
      <c r="Q711" s="123" t="str">
        <f t="shared" si="277"/>
        <v/>
      </c>
      <c r="R711" s="45" t="str">
        <f t="shared" si="278"/>
        <v/>
      </c>
      <c r="S711" s="137"/>
      <c r="T711" s="79" t="str">
        <f t="shared" si="287"/>
        <v/>
      </c>
      <c r="U711" s="79" t="str">
        <f t="shared" si="279"/>
        <v/>
      </c>
      <c r="V711" s="73" t="str">
        <f t="shared" si="280"/>
        <v/>
      </c>
      <c r="W711" s="80" t="str">
        <f t="shared" si="281"/>
        <v/>
      </c>
      <c r="X711" s="73" t="str">
        <f t="shared" si="282"/>
        <v/>
      </c>
      <c r="Y711" s="80" t="str">
        <f t="shared" si="283"/>
        <v/>
      </c>
      <c r="Z711" s="74" t="str">
        <f t="shared" si="284"/>
        <v/>
      </c>
      <c r="AA711" s="75" t="str">
        <f t="shared" si="288"/>
        <v/>
      </c>
      <c r="AB711" s="103" t="str">
        <f t="shared" si="285"/>
        <v/>
      </c>
      <c r="AC711" s="104" t="str">
        <f t="shared" si="296"/>
        <v/>
      </c>
      <c r="AE711" s="139"/>
      <c r="AF711" s="110" t="str">
        <f t="shared" si="289"/>
        <v/>
      </c>
      <c r="AG711" s="111" t="str">
        <f t="shared" si="290"/>
        <v/>
      </c>
      <c r="AH711" s="111" t="str">
        <f t="shared" si="286"/>
        <v/>
      </c>
      <c r="AI711" s="111" t="str">
        <f t="shared" si="291"/>
        <v/>
      </c>
      <c r="AJ711" s="111" t="str">
        <f t="shared" si="292"/>
        <v/>
      </c>
      <c r="AK711" s="112" t="str">
        <f t="shared" si="293"/>
        <v/>
      </c>
      <c r="AL711" t="str">
        <f t="shared" si="294"/>
        <v/>
      </c>
      <c r="AM711" t="str">
        <f t="shared" si="295"/>
        <v/>
      </c>
    </row>
    <row r="712" spans="1:39" ht="15" customHeight="1" x14ac:dyDescent="0.25">
      <c r="A712" s="131"/>
      <c r="B712" s="133"/>
      <c r="C712" s="133"/>
      <c r="D712" s="42" t="str">
        <f t="shared" ref="D712:D775" si="297">IF(A712="","",B712*C712)</f>
        <v/>
      </c>
      <c r="E712" s="43"/>
      <c r="F712" s="135"/>
      <c r="G712" s="77" t="str">
        <f t="shared" ref="G712:G775" si="298">IF(OR(F712="",C712=0,C712=""),"",F712/C712)</f>
        <v/>
      </c>
      <c r="H712" s="32" t="str">
        <f t="shared" ref="H712:H775" si="299">IF(F712="","",ROUND(F712*$G$1,2))</f>
        <v/>
      </c>
      <c r="I712" s="78" t="str">
        <f t="shared" ref="I712:I775" si="300">IF(OR(H712="",C712=0,C712=""),"",H712/C712)</f>
        <v/>
      </c>
      <c r="J712" s="70" t="str">
        <f t="shared" ref="J712:J775" si="301">IF(A712="","",F712*B712)</f>
        <v/>
      </c>
      <c r="K712" s="135"/>
      <c r="L712" s="72" t="str">
        <f t="shared" ref="L712:L775" si="302">IF(OR(K712=0,C712=0,K712="",C712=""),"",K712/C712)</f>
        <v/>
      </c>
      <c r="M712" s="135"/>
      <c r="N712" s="72" t="str">
        <f t="shared" ref="N712:N775" si="303">IF(OR(M712=0,C712=0,M712="",C712=""),"",M712/C712)</f>
        <v/>
      </c>
      <c r="O712" s="135"/>
      <c r="P712" s="136"/>
      <c r="Q712" s="123" t="str">
        <f t="shared" ref="Q712:Q775" si="304">IF(A712="","",IF(S712&gt;0,IF(J712&gt;0,S712/J712,0),IF(E712&gt;0,0,IF($I$2&gt;0,IF($I$3&gt;0,MAX($I$2-SUM($S$8:$S$1007),0)/$I$3,0),$I$1))))</f>
        <v/>
      </c>
      <c r="R712" s="45" t="str">
        <f t="shared" ref="R712:R775" si="305">IF(A712="","",IF(S712&gt;0,S712,IF(E712&gt;0,0,J712*IF($I$2&gt;0,IF($I$3&gt;0,MAX($I$2-SUM($S$8:$S$1007),0)/$I$3,0),$I$1))))</f>
        <v/>
      </c>
      <c r="S712" s="137"/>
      <c r="T712" s="79" t="str">
        <f t="shared" si="287"/>
        <v/>
      </c>
      <c r="U712" s="79" t="str">
        <f t="shared" ref="U712:U775" si="306">IF(OR(A712="",T712=""),"",T712*C712)</f>
        <v/>
      </c>
      <c r="V712" s="73" t="str">
        <f t="shared" ref="V712:V775" si="307">IF(OR(A712="",K712&lt;=0,U712=""),"",(K712-U712)/K712)</f>
        <v/>
      </c>
      <c r="W712" s="80" t="str">
        <f t="shared" ref="W712:W775" si="308">IF(OR(K712=0,U712=0,K712="",U712=""),"",K712-U712)</f>
        <v/>
      </c>
      <c r="X712" s="73" t="str">
        <f t="shared" ref="X712:X775" si="309">IF(OR(A712="",M712&lt;=0,U712=""),"",(M712-U712)/M712)</f>
        <v/>
      </c>
      <c r="Y712" s="80" t="str">
        <f t="shared" ref="Y712:Y775" si="310">IF(OR(M712=0,U712=0,M712="",U712=""),"",M712-U712)</f>
        <v/>
      </c>
      <c r="Z712" s="74" t="str">
        <f t="shared" ref="Z712:Z775" si="311">IF(OR(J712="",J712=0,$M$5="",$K$1=0),"",($M$5/$K$1)*J712)</f>
        <v/>
      </c>
      <c r="AA712" s="75" t="str">
        <f t="shared" si="288"/>
        <v/>
      </c>
      <c r="AB712" s="103" t="str">
        <f t="shared" ref="AB712:AB775" si="312">IF(OR(T712=0,T712="",D712=0,D712=""),"",T712*(D712+E712))</f>
        <v/>
      </c>
      <c r="AC712" s="104" t="str">
        <f t="shared" si="296"/>
        <v/>
      </c>
      <c r="AE712" s="139"/>
      <c r="AF712" s="110" t="str">
        <f t="shared" si="289"/>
        <v/>
      </c>
      <c r="AG712" s="111" t="str">
        <f t="shared" si="290"/>
        <v/>
      </c>
      <c r="AH712" s="111" t="str">
        <f t="shared" ref="AH712:AH775" si="313">IF(AG712="","",AG712*$AF$1+IF(SUM($AG$8:$AG$1007)=0,0,$AF$2*AG712/SUM($AG$8:$AG$1007)))</f>
        <v/>
      </c>
      <c r="AI712" s="111" t="str">
        <f t="shared" si="291"/>
        <v/>
      </c>
      <c r="AJ712" s="111" t="str">
        <f t="shared" si="292"/>
        <v/>
      </c>
      <c r="AK712" s="112" t="str">
        <f t="shared" si="293"/>
        <v/>
      </c>
      <c r="AL712" t="str">
        <f t="shared" si="294"/>
        <v/>
      </c>
      <c r="AM712" t="str">
        <f t="shared" si="295"/>
        <v/>
      </c>
    </row>
    <row r="713" spans="1:39" ht="15" customHeight="1" x14ac:dyDescent="0.25">
      <c r="A713" s="131"/>
      <c r="B713" s="133"/>
      <c r="C713" s="133"/>
      <c r="D713" s="42" t="str">
        <f t="shared" si="297"/>
        <v/>
      </c>
      <c r="E713" s="43"/>
      <c r="F713" s="135"/>
      <c r="G713" s="77" t="str">
        <f t="shared" si="298"/>
        <v/>
      </c>
      <c r="H713" s="32" t="str">
        <f t="shared" si="299"/>
        <v/>
      </c>
      <c r="I713" s="78" t="str">
        <f t="shared" si="300"/>
        <v/>
      </c>
      <c r="J713" s="70" t="str">
        <f t="shared" si="301"/>
        <v/>
      </c>
      <c r="K713" s="135"/>
      <c r="L713" s="72" t="str">
        <f t="shared" si="302"/>
        <v/>
      </c>
      <c r="M713" s="135"/>
      <c r="N713" s="72" t="str">
        <f t="shared" si="303"/>
        <v/>
      </c>
      <c r="O713" s="135"/>
      <c r="P713" s="136"/>
      <c r="Q713" s="123" t="str">
        <f t="shared" si="304"/>
        <v/>
      </c>
      <c r="R713" s="45" t="str">
        <f t="shared" si="305"/>
        <v/>
      </c>
      <c r="S713" s="137"/>
      <c r="T713" s="79" t="str">
        <f t="shared" ref="T713:T776" si="314">IF(A713="","",IF(OR(B713=0,B713="",C713&lt;=0,D713+E713&lt;=0),"",((F713+H713)*B713+(H713/C713)*E713-R713)/(D713+E713)-IF(Z713&gt;=0,Z713/D713,0)+IF(ISNUMBER(AA713),AA713/(D713+E713),0)))</f>
        <v/>
      </c>
      <c r="U713" s="79" t="str">
        <f t="shared" si="306"/>
        <v/>
      </c>
      <c r="V713" s="73" t="str">
        <f t="shared" si="307"/>
        <v/>
      </c>
      <c r="W713" s="80" t="str">
        <f t="shared" si="308"/>
        <v/>
      </c>
      <c r="X713" s="73" t="str">
        <f t="shared" si="309"/>
        <v/>
      </c>
      <c r="Y713" s="80" t="str">
        <f t="shared" si="310"/>
        <v/>
      </c>
      <c r="Z713" s="74" t="str">
        <f t="shared" si="311"/>
        <v/>
      </c>
      <c r="AA713" s="75" t="str">
        <f t="shared" ref="AA713:AA776" si="315">IF(OR(J713="",J713=0,($G$3-$I$4)=0),"",($K$3/($G$3-$I$4))*(J713-R713))</f>
        <v/>
      </c>
      <c r="AB713" s="103" t="str">
        <f t="shared" si="312"/>
        <v/>
      </c>
      <c r="AC713" s="104" t="str">
        <f t="shared" si="296"/>
        <v/>
      </c>
      <c r="AE713" s="139"/>
      <c r="AF713" s="110" t="str">
        <f t="shared" ref="AF713:AF776" si="316">IF(AE713="","",T713)</f>
        <v/>
      </c>
      <c r="AG713" s="111" t="str">
        <f t="shared" ref="AG713:AG776" si="317">IF(OR(AE713="",AF713=""),"",AE713*AF713)</f>
        <v/>
      </c>
      <c r="AH713" s="111" t="str">
        <f t="shared" si="313"/>
        <v/>
      </c>
      <c r="AI713" s="111" t="str">
        <f t="shared" ref="AI713:AI776" si="318">IF(AG713="","",AG713-AH713)</f>
        <v/>
      </c>
      <c r="AJ713" s="111" t="str">
        <f t="shared" ref="AJ713:AJ776" si="319">IF(AI713="","",AK713-AI713)</f>
        <v/>
      </c>
      <c r="AK713" s="112" t="str">
        <f t="shared" ref="AK713:AK776" si="320">IF(AI713="","",ROUND(AI713,0))</f>
        <v/>
      </c>
      <c r="AL713" t="str">
        <f t="shared" ref="AL713:AL776" si="321">IF(OR(AE713=0,AE713=""),"",AH713/AE713)</f>
        <v/>
      </c>
      <c r="AM713" t="str">
        <f t="shared" ref="AM713:AM776" si="322">IF(OR(AE713=0,AE713=""),"",AF713*C713)</f>
        <v/>
      </c>
    </row>
    <row r="714" spans="1:39" ht="15" customHeight="1" x14ac:dyDescent="0.25">
      <c r="A714" s="131"/>
      <c r="B714" s="133"/>
      <c r="C714" s="133"/>
      <c r="D714" s="42" t="str">
        <f t="shared" si="297"/>
        <v/>
      </c>
      <c r="E714" s="43"/>
      <c r="F714" s="135"/>
      <c r="G714" s="77" t="str">
        <f t="shared" si="298"/>
        <v/>
      </c>
      <c r="H714" s="32" t="str">
        <f t="shared" si="299"/>
        <v/>
      </c>
      <c r="I714" s="78" t="str">
        <f t="shared" si="300"/>
        <v/>
      </c>
      <c r="J714" s="70" t="str">
        <f t="shared" si="301"/>
        <v/>
      </c>
      <c r="K714" s="135"/>
      <c r="L714" s="72" t="str">
        <f t="shared" si="302"/>
        <v/>
      </c>
      <c r="M714" s="135"/>
      <c r="N714" s="72" t="str">
        <f t="shared" si="303"/>
        <v/>
      </c>
      <c r="O714" s="135"/>
      <c r="P714" s="136"/>
      <c r="Q714" s="123" t="str">
        <f t="shared" si="304"/>
        <v/>
      </c>
      <c r="R714" s="45" t="str">
        <f t="shared" si="305"/>
        <v/>
      </c>
      <c r="S714" s="137"/>
      <c r="T714" s="79" t="str">
        <f t="shared" si="314"/>
        <v/>
      </c>
      <c r="U714" s="79" t="str">
        <f t="shared" si="306"/>
        <v/>
      </c>
      <c r="V714" s="73" t="str">
        <f t="shared" si="307"/>
        <v/>
      </c>
      <c r="W714" s="80" t="str">
        <f t="shared" si="308"/>
        <v/>
      </c>
      <c r="X714" s="73" t="str">
        <f t="shared" si="309"/>
        <v/>
      </c>
      <c r="Y714" s="80" t="str">
        <f t="shared" si="310"/>
        <v/>
      </c>
      <c r="Z714" s="74" t="str">
        <f t="shared" si="311"/>
        <v/>
      </c>
      <c r="AA714" s="75" t="str">
        <f t="shared" si="315"/>
        <v/>
      </c>
      <c r="AB714" s="103" t="str">
        <f t="shared" si="312"/>
        <v/>
      </c>
      <c r="AC714" s="104" t="str">
        <f t="shared" ref="AC714:AC777" si="323">IF(OR(A714="",J714="",C714&lt;=0, B714=0),"",J714+H714*B714+(H714/C714)*E714)</f>
        <v/>
      </c>
      <c r="AE714" s="139"/>
      <c r="AF714" s="110" t="str">
        <f t="shared" si="316"/>
        <v/>
      </c>
      <c r="AG714" s="111" t="str">
        <f t="shared" si="317"/>
        <v/>
      </c>
      <c r="AH714" s="111" t="str">
        <f t="shared" si="313"/>
        <v/>
      </c>
      <c r="AI714" s="111" t="str">
        <f t="shared" si="318"/>
        <v/>
      </c>
      <c r="AJ714" s="111" t="str">
        <f t="shared" si="319"/>
        <v/>
      </c>
      <c r="AK714" s="112" t="str">
        <f t="shared" si="320"/>
        <v/>
      </c>
      <c r="AL714" t="str">
        <f t="shared" si="321"/>
        <v/>
      </c>
      <c r="AM714" t="str">
        <f t="shared" si="322"/>
        <v/>
      </c>
    </row>
    <row r="715" spans="1:39" ht="15" customHeight="1" x14ac:dyDescent="0.25">
      <c r="A715" s="131"/>
      <c r="B715" s="133"/>
      <c r="C715" s="133"/>
      <c r="D715" s="42" t="str">
        <f t="shared" si="297"/>
        <v/>
      </c>
      <c r="E715" s="43"/>
      <c r="F715" s="135"/>
      <c r="G715" s="77" t="str">
        <f t="shared" si="298"/>
        <v/>
      </c>
      <c r="H715" s="32" t="str">
        <f t="shared" si="299"/>
        <v/>
      </c>
      <c r="I715" s="78" t="str">
        <f t="shared" si="300"/>
        <v/>
      </c>
      <c r="J715" s="70" t="str">
        <f t="shared" si="301"/>
        <v/>
      </c>
      <c r="K715" s="135"/>
      <c r="L715" s="72" t="str">
        <f t="shared" si="302"/>
        <v/>
      </c>
      <c r="M715" s="135"/>
      <c r="N715" s="72" t="str">
        <f t="shared" si="303"/>
        <v/>
      </c>
      <c r="O715" s="135"/>
      <c r="P715" s="136"/>
      <c r="Q715" s="123" t="str">
        <f t="shared" si="304"/>
        <v/>
      </c>
      <c r="R715" s="45" t="str">
        <f t="shared" si="305"/>
        <v/>
      </c>
      <c r="S715" s="137"/>
      <c r="T715" s="79" t="str">
        <f t="shared" si="314"/>
        <v/>
      </c>
      <c r="U715" s="79" t="str">
        <f t="shared" si="306"/>
        <v/>
      </c>
      <c r="V715" s="73" t="str">
        <f t="shared" si="307"/>
        <v/>
      </c>
      <c r="W715" s="80" t="str">
        <f t="shared" si="308"/>
        <v/>
      </c>
      <c r="X715" s="73" t="str">
        <f t="shared" si="309"/>
        <v/>
      </c>
      <c r="Y715" s="80" t="str">
        <f t="shared" si="310"/>
        <v/>
      </c>
      <c r="Z715" s="74" t="str">
        <f t="shared" si="311"/>
        <v/>
      </c>
      <c r="AA715" s="75" t="str">
        <f t="shared" si="315"/>
        <v/>
      </c>
      <c r="AB715" s="103" t="str">
        <f t="shared" si="312"/>
        <v/>
      </c>
      <c r="AC715" s="104" t="str">
        <f t="shared" si="323"/>
        <v/>
      </c>
      <c r="AE715" s="139"/>
      <c r="AF715" s="110" t="str">
        <f t="shared" si="316"/>
        <v/>
      </c>
      <c r="AG715" s="111" t="str">
        <f t="shared" si="317"/>
        <v/>
      </c>
      <c r="AH715" s="111" t="str">
        <f t="shared" si="313"/>
        <v/>
      </c>
      <c r="AI715" s="111" t="str">
        <f t="shared" si="318"/>
        <v/>
      </c>
      <c r="AJ715" s="111" t="str">
        <f t="shared" si="319"/>
        <v/>
      </c>
      <c r="AK715" s="112" t="str">
        <f t="shared" si="320"/>
        <v/>
      </c>
      <c r="AL715" t="str">
        <f t="shared" si="321"/>
        <v/>
      </c>
      <c r="AM715" t="str">
        <f t="shared" si="322"/>
        <v/>
      </c>
    </row>
    <row r="716" spans="1:39" ht="15" customHeight="1" x14ac:dyDescent="0.25">
      <c r="A716" s="131"/>
      <c r="B716" s="133"/>
      <c r="C716" s="133"/>
      <c r="D716" s="42" t="str">
        <f t="shared" si="297"/>
        <v/>
      </c>
      <c r="E716" s="43"/>
      <c r="F716" s="135"/>
      <c r="G716" s="77" t="str">
        <f t="shared" si="298"/>
        <v/>
      </c>
      <c r="H716" s="32" t="str">
        <f t="shared" si="299"/>
        <v/>
      </c>
      <c r="I716" s="78" t="str">
        <f t="shared" si="300"/>
        <v/>
      </c>
      <c r="J716" s="70" t="str">
        <f t="shared" si="301"/>
        <v/>
      </c>
      <c r="K716" s="135"/>
      <c r="L716" s="72" t="str">
        <f t="shared" si="302"/>
        <v/>
      </c>
      <c r="M716" s="135"/>
      <c r="N716" s="72" t="str">
        <f t="shared" si="303"/>
        <v/>
      </c>
      <c r="O716" s="135"/>
      <c r="P716" s="136"/>
      <c r="Q716" s="123" t="str">
        <f t="shared" si="304"/>
        <v/>
      </c>
      <c r="R716" s="45" t="str">
        <f t="shared" si="305"/>
        <v/>
      </c>
      <c r="S716" s="137"/>
      <c r="T716" s="79" t="str">
        <f t="shared" si="314"/>
        <v/>
      </c>
      <c r="U716" s="79" t="str">
        <f t="shared" si="306"/>
        <v/>
      </c>
      <c r="V716" s="73" t="str">
        <f t="shared" si="307"/>
        <v/>
      </c>
      <c r="W716" s="80" t="str">
        <f t="shared" si="308"/>
        <v/>
      </c>
      <c r="X716" s="73" t="str">
        <f t="shared" si="309"/>
        <v/>
      </c>
      <c r="Y716" s="80" t="str">
        <f t="shared" si="310"/>
        <v/>
      </c>
      <c r="Z716" s="74" t="str">
        <f t="shared" si="311"/>
        <v/>
      </c>
      <c r="AA716" s="75" t="str">
        <f t="shared" si="315"/>
        <v/>
      </c>
      <c r="AB716" s="103" t="str">
        <f t="shared" si="312"/>
        <v/>
      </c>
      <c r="AC716" s="104" t="str">
        <f t="shared" si="323"/>
        <v/>
      </c>
      <c r="AE716" s="139"/>
      <c r="AF716" s="110" t="str">
        <f t="shared" si="316"/>
        <v/>
      </c>
      <c r="AG716" s="111" t="str">
        <f t="shared" si="317"/>
        <v/>
      </c>
      <c r="AH716" s="111" t="str">
        <f t="shared" si="313"/>
        <v/>
      </c>
      <c r="AI716" s="111" t="str">
        <f t="shared" si="318"/>
        <v/>
      </c>
      <c r="AJ716" s="111" t="str">
        <f t="shared" si="319"/>
        <v/>
      </c>
      <c r="AK716" s="112" t="str">
        <f t="shared" si="320"/>
        <v/>
      </c>
      <c r="AL716" t="str">
        <f t="shared" si="321"/>
        <v/>
      </c>
      <c r="AM716" t="str">
        <f t="shared" si="322"/>
        <v/>
      </c>
    </row>
    <row r="717" spans="1:39" ht="15" customHeight="1" x14ac:dyDescent="0.25">
      <c r="A717" s="131"/>
      <c r="B717" s="133"/>
      <c r="C717" s="133"/>
      <c r="D717" s="42" t="str">
        <f t="shared" si="297"/>
        <v/>
      </c>
      <c r="E717" s="43"/>
      <c r="F717" s="135"/>
      <c r="G717" s="77" t="str">
        <f t="shared" si="298"/>
        <v/>
      </c>
      <c r="H717" s="32" t="str">
        <f t="shared" si="299"/>
        <v/>
      </c>
      <c r="I717" s="78" t="str">
        <f t="shared" si="300"/>
        <v/>
      </c>
      <c r="J717" s="70" t="str">
        <f t="shared" si="301"/>
        <v/>
      </c>
      <c r="K717" s="135"/>
      <c r="L717" s="72" t="str">
        <f t="shared" si="302"/>
        <v/>
      </c>
      <c r="M717" s="135"/>
      <c r="N717" s="72" t="str">
        <f t="shared" si="303"/>
        <v/>
      </c>
      <c r="O717" s="135"/>
      <c r="P717" s="136"/>
      <c r="Q717" s="123" t="str">
        <f t="shared" si="304"/>
        <v/>
      </c>
      <c r="R717" s="45" t="str">
        <f t="shared" si="305"/>
        <v/>
      </c>
      <c r="S717" s="137"/>
      <c r="T717" s="79" t="str">
        <f t="shared" si="314"/>
        <v/>
      </c>
      <c r="U717" s="79" t="str">
        <f t="shared" si="306"/>
        <v/>
      </c>
      <c r="V717" s="73" t="str">
        <f t="shared" si="307"/>
        <v/>
      </c>
      <c r="W717" s="80" t="str">
        <f t="shared" si="308"/>
        <v/>
      </c>
      <c r="X717" s="73" t="str">
        <f t="shared" si="309"/>
        <v/>
      </c>
      <c r="Y717" s="80" t="str">
        <f t="shared" si="310"/>
        <v/>
      </c>
      <c r="Z717" s="74" t="str">
        <f t="shared" si="311"/>
        <v/>
      </c>
      <c r="AA717" s="75" t="str">
        <f t="shared" si="315"/>
        <v/>
      </c>
      <c r="AB717" s="103" t="str">
        <f t="shared" si="312"/>
        <v/>
      </c>
      <c r="AC717" s="104" t="str">
        <f t="shared" si="323"/>
        <v/>
      </c>
      <c r="AE717" s="139"/>
      <c r="AF717" s="110" t="str">
        <f t="shared" si="316"/>
        <v/>
      </c>
      <c r="AG717" s="111" t="str">
        <f t="shared" si="317"/>
        <v/>
      </c>
      <c r="AH717" s="111" t="str">
        <f t="shared" si="313"/>
        <v/>
      </c>
      <c r="AI717" s="111" t="str">
        <f t="shared" si="318"/>
        <v/>
      </c>
      <c r="AJ717" s="111" t="str">
        <f t="shared" si="319"/>
        <v/>
      </c>
      <c r="AK717" s="112" t="str">
        <f t="shared" si="320"/>
        <v/>
      </c>
      <c r="AL717" t="str">
        <f t="shared" si="321"/>
        <v/>
      </c>
      <c r="AM717" t="str">
        <f t="shared" si="322"/>
        <v/>
      </c>
    </row>
    <row r="718" spans="1:39" ht="15" customHeight="1" x14ac:dyDescent="0.25">
      <c r="A718" s="131"/>
      <c r="B718" s="133"/>
      <c r="C718" s="133"/>
      <c r="D718" s="42" t="str">
        <f t="shared" si="297"/>
        <v/>
      </c>
      <c r="E718" s="43"/>
      <c r="F718" s="135"/>
      <c r="G718" s="77" t="str">
        <f t="shared" si="298"/>
        <v/>
      </c>
      <c r="H718" s="32" t="str">
        <f t="shared" si="299"/>
        <v/>
      </c>
      <c r="I718" s="78" t="str">
        <f t="shared" si="300"/>
        <v/>
      </c>
      <c r="J718" s="70" t="str">
        <f t="shared" si="301"/>
        <v/>
      </c>
      <c r="K718" s="135"/>
      <c r="L718" s="72" t="str">
        <f t="shared" si="302"/>
        <v/>
      </c>
      <c r="M718" s="135"/>
      <c r="N718" s="72" t="str">
        <f t="shared" si="303"/>
        <v/>
      </c>
      <c r="O718" s="135"/>
      <c r="P718" s="136"/>
      <c r="Q718" s="123" t="str">
        <f t="shared" si="304"/>
        <v/>
      </c>
      <c r="R718" s="45" t="str">
        <f t="shared" si="305"/>
        <v/>
      </c>
      <c r="S718" s="137"/>
      <c r="T718" s="79" t="str">
        <f t="shared" si="314"/>
        <v/>
      </c>
      <c r="U718" s="79" t="str">
        <f t="shared" si="306"/>
        <v/>
      </c>
      <c r="V718" s="73" t="str">
        <f t="shared" si="307"/>
        <v/>
      </c>
      <c r="W718" s="80" t="str">
        <f t="shared" si="308"/>
        <v/>
      </c>
      <c r="X718" s="73" t="str">
        <f t="shared" si="309"/>
        <v/>
      </c>
      <c r="Y718" s="80" t="str">
        <f t="shared" si="310"/>
        <v/>
      </c>
      <c r="Z718" s="74" t="str">
        <f t="shared" si="311"/>
        <v/>
      </c>
      <c r="AA718" s="75" t="str">
        <f t="shared" si="315"/>
        <v/>
      </c>
      <c r="AB718" s="103" t="str">
        <f t="shared" si="312"/>
        <v/>
      </c>
      <c r="AC718" s="104" t="str">
        <f t="shared" si="323"/>
        <v/>
      </c>
      <c r="AE718" s="139"/>
      <c r="AF718" s="110" t="str">
        <f t="shared" si="316"/>
        <v/>
      </c>
      <c r="AG718" s="111" t="str">
        <f t="shared" si="317"/>
        <v/>
      </c>
      <c r="AH718" s="111" t="str">
        <f t="shared" si="313"/>
        <v/>
      </c>
      <c r="AI718" s="111" t="str">
        <f t="shared" si="318"/>
        <v/>
      </c>
      <c r="AJ718" s="111" t="str">
        <f t="shared" si="319"/>
        <v/>
      </c>
      <c r="AK718" s="112" t="str">
        <f t="shared" si="320"/>
        <v/>
      </c>
      <c r="AL718" t="str">
        <f t="shared" si="321"/>
        <v/>
      </c>
      <c r="AM718" t="str">
        <f t="shared" si="322"/>
        <v/>
      </c>
    </row>
    <row r="719" spans="1:39" ht="15" customHeight="1" x14ac:dyDescent="0.25">
      <c r="A719" s="131"/>
      <c r="B719" s="133"/>
      <c r="C719" s="133"/>
      <c r="D719" s="42" t="str">
        <f t="shared" si="297"/>
        <v/>
      </c>
      <c r="E719" s="43"/>
      <c r="F719" s="135"/>
      <c r="G719" s="77" t="str">
        <f t="shared" si="298"/>
        <v/>
      </c>
      <c r="H719" s="32" t="str">
        <f t="shared" si="299"/>
        <v/>
      </c>
      <c r="I719" s="78" t="str">
        <f t="shared" si="300"/>
        <v/>
      </c>
      <c r="J719" s="70" t="str">
        <f t="shared" si="301"/>
        <v/>
      </c>
      <c r="K719" s="135"/>
      <c r="L719" s="72" t="str">
        <f t="shared" si="302"/>
        <v/>
      </c>
      <c r="M719" s="135"/>
      <c r="N719" s="72" t="str">
        <f t="shared" si="303"/>
        <v/>
      </c>
      <c r="O719" s="135"/>
      <c r="P719" s="136"/>
      <c r="Q719" s="123" t="str">
        <f t="shared" si="304"/>
        <v/>
      </c>
      <c r="R719" s="45" t="str">
        <f t="shared" si="305"/>
        <v/>
      </c>
      <c r="S719" s="137"/>
      <c r="T719" s="79" t="str">
        <f t="shared" si="314"/>
        <v/>
      </c>
      <c r="U719" s="79" t="str">
        <f t="shared" si="306"/>
        <v/>
      </c>
      <c r="V719" s="73" t="str">
        <f t="shared" si="307"/>
        <v/>
      </c>
      <c r="W719" s="80" t="str">
        <f t="shared" si="308"/>
        <v/>
      </c>
      <c r="X719" s="73" t="str">
        <f t="shared" si="309"/>
        <v/>
      </c>
      <c r="Y719" s="80" t="str">
        <f t="shared" si="310"/>
        <v/>
      </c>
      <c r="Z719" s="74" t="str">
        <f t="shared" si="311"/>
        <v/>
      </c>
      <c r="AA719" s="75" t="str">
        <f t="shared" si="315"/>
        <v/>
      </c>
      <c r="AB719" s="103" t="str">
        <f t="shared" si="312"/>
        <v/>
      </c>
      <c r="AC719" s="104" t="str">
        <f t="shared" si="323"/>
        <v/>
      </c>
      <c r="AE719" s="139"/>
      <c r="AF719" s="110" t="str">
        <f t="shared" si="316"/>
        <v/>
      </c>
      <c r="AG719" s="111" t="str">
        <f t="shared" si="317"/>
        <v/>
      </c>
      <c r="AH719" s="111" t="str">
        <f t="shared" si="313"/>
        <v/>
      </c>
      <c r="AI719" s="111" t="str">
        <f t="shared" si="318"/>
        <v/>
      </c>
      <c r="AJ719" s="111" t="str">
        <f t="shared" si="319"/>
        <v/>
      </c>
      <c r="AK719" s="112" t="str">
        <f t="shared" si="320"/>
        <v/>
      </c>
      <c r="AL719" t="str">
        <f t="shared" si="321"/>
        <v/>
      </c>
      <c r="AM719" t="str">
        <f t="shared" si="322"/>
        <v/>
      </c>
    </row>
    <row r="720" spans="1:39" ht="15" customHeight="1" x14ac:dyDescent="0.25">
      <c r="A720" s="131"/>
      <c r="B720" s="133"/>
      <c r="C720" s="133"/>
      <c r="D720" s="42" t="str">
        <f t="shared" si="297"/>
        <v/>
      </c>
      <c r="E720" s="43"/>
      <c r="F720" s="135"/>
      <c r="G720" s="77" t="str">
        <f t="shared" si="298"/>
        <v/>
      </c>
      <c r="H720" s="32" t="str">
        <f t="shared" si="299"/>
        <v/>
      </c>
      <c r="I720" s="78" t="str">
        <f t="shared" si="300"/>
        <v/>
      </c>
      <c r="J720" s="70" t="str">
        <f t="shared" si="301"/>
        <v/>
      </c>
      <c r="K720" s="135"/>
      <c r="L720" s="72" t="str">
        <f t="shared" si="302"/>
        <v/>
      </c>
      <c r="M720" s="135"/>
      <c r="N720" s="72" t="str">
        <f t="shared" si="303"/>
        <v/>
      </c>
      <c r="O720" s="135"/>
      <c r="P720" s="136"/>
      <c r="Q720" s="123" t="str">
        <f t="shared" si="304"/>
        <v/>
      </c>
      <c r="R720" s="45" t="str">
        <f t="shared" si="305"/>
        <v/>
      </c>
      <c r="S720" s="137"/>
      <c r="T720" s="79" t="str">
        <f t="shared" si="314"/>
        <v/>
      </c>
      <c r="U720" s="79" t="str">
        <f t="shared" si="306"/>
        <v/>
      </c>
      <c r="V720" s="73" t="str">
        <f t="shared" si="307"/>
        <v/>
      </c>
      <c r="W720" s="80" t="str">
        <f t="shared" si="308"/>
        <v/>
      </c>
      <c r="X720" s="73" t="str">
        <f t="shared" si="309"/>
        <v/>
      </c>
      <c r="Y720" s="80" t="str">
        <f t="shared" si="310"/>
        <v/>
      </c>
      <c r="Z720" s="74" t="str">
        <f t="shared" si="311"/>
        <v/>
      </c>
      <c r="AA720" s="75" t="str">
        <f t="shared" si="315"/>
        <v/>
      </c>
      <c r="AB720" s="103" t="str">
        <f t="shared" si="312"/>
        <v/>
      </c>
      <c r="AC720" s="104" t="str">
        <f t="shared" si="323"/>
        <v/>
      </c>
      <c r="AE720" s="139"/>
      <c r="AF720" s="110" t="str">
        <f t="shared" si="316"/>
        <v/>
      </c>
      <c r="AG720" s="111" t="str">
        <f t="shared" si="317"/>
        <v/>
      </c>
      <c r="AH720" s="111" t="str">
        <f t="shared" si="313"/>
        <v/>
      </c>
      <c r="AI720" s="111" t="str">
        <f t="shared" si="318"/>
        <v/>
      </c>
      <c r="AJ720" s="111" t="str">
        <f t="shared" si="319"/>
        <v/>
      </c>
      <c r="AK720" s="112" t="str">
        <f t="shared" si="320"/>
        <v/>
      </c>
      <c r="AL720" t="str">
        <f t="shared" si="321"/>
        <v/>
      </c>
      <c r="AM720" t="str">
        <f t="shared" si="322"/>
        <v/>
      </c>
    </row>
    <row r="721" spans="1:39" ht="15" customHeight="1" x14ac:dyDescent="0.25">
      <c r="A721" s="131"/>
      <c r="B721" s="133"/>
      <c r="C721" s="133"/>
      <c r="D721" s="42" t="str">
        <f t="shared" si="297"/>
        <v/>
      </c>
      <c r="E721" s="43"/>
      <c r="F721" s="135"/>
      <c r="G721" s="77" t="str">
        <f t="shared" si="298"/>
        <v/>
      </c>
      <c r="H721" s="32" t="str">
        <f t="shared" si="299"/>
        <v/>
      </c>
      <c r="I721" s="78" t="str">
        <f t="shared" si="300"/>
        <v/>
      </c>
      <c r="J721" s="70" t="str">
        <f t="shared" si="301"/>
        <v/>
      </c>
      <c r="K721" s="135"/>
      <c r="L721" s="72" t="str">
        <f t="shared" si="302"/>
        <v/>
      </c>
      <c r="M721" s="135"/>
      <c r="N721" s="72" t="str">
        <f t="shared" si="303"/>
        <v/>
      </c>
      <c r="O721" s="135"/>
      <c r="P721" s="136"/>
      <c r="Q721" s="123" t="str">
        <f t="shared" si="304"/>
        <v/>
      </c>
      <c r="R721" s="45" t="str">
        <f t="shared" si="305"/>
        <v/>
      </c>
      <c r="S721" s="137"/>
      <c r="T721" s="79" t="str">
        <f t="shared" si="314"/>
        <v/>
      </c>
      <c r="U721" s="79" t="str">
        <f t="shared" si="306"/>
        <v/>
      </c>
      <c r="V721" s="73" t="str">
        <f t="shared" si="307"/>
        <v/>
      </c>
      <c r="W721" s="80" t="str">
        <f t="shared" si="308"/>
        <v/>
      </c>
      <c r="X721" s="73" t="str">
        <f t="shared" si="309"/>
        <v/>
      </c>
      <c r="Y721" s="80" t="str">
        <f t="shared" si="310"/>
        <v/>
      </c>
      <c r="Z721" s="74" t="str">
        <f t="shared" si="311"/>
        <v/>
      </c>
      <c r="AA721" s="75" t="str">
        <f t="shared" si="315"/>
        <v/>
      </c>
      <c r="AB721" s="103" t="str">
        <f t="shared" si="312"/>
        <v/>
      </c>
      <c r="AC721" s="104" t="str">
        <f t="shared" si="323"/>
        <v/>
      </c>
      <c r="AE721" s="139"/>
      <c r="AF721" s="110" t="str">
        <f t="shared" si="316"/>
        <v/>
      </c>
      <c r="AG721" s="111" t="str">
        <f t="shared" si="317"/>
        <v/>
      </c>
      <c r="AH721" s="111" t="str">
        <f t="shared" si="313"/>
        <v/>
      </c>
      <c r="AI721" s="111" t="str">
        <f t="shared" si="318"/>
        <v/>
      </c>
      <c r="AJ721" s="111" t="str">
        <f t="shared" si="319"/>
        <v/>
      </c>
      <c r="AK721" s="112" t="str">
        <f t="shared" si="320"/>
        <v/>
      </c>
      <c r="AL721" t="str">
        <f t="shared" si="321"/>
        <v/>
      </c>
      <c r="AM721" t="str">
        <f t="shared" si="322"/>
        <v/>
      </c>
    </row>
    <row r="722" spans="1:39" ht="15" customHeight="1" x14ac:dyDescent="0.25">
      <c r="A722" s="131"/>
      <c r="B722" s="133"/>
      <c r="C722" s="133"/>
      <c r="D722" s="42" t="str">
        <f t="shared" si="297"/>
        <v/>
      </c>
      <c r="E722" s="43"/>
      <c r="F722" s="135"/>
      <c r="G722" s="77" t="str">
        <f t="shared" si="298"/>
        <v/>
      </c>
      <c r="H722" s="32" t="str">
        <f t="shared" si="299"/>
        <v/>
      </c>
      <c r="I722" s="78" t="str">
        <f t="shared" si="300"/>
        <v/>
      </c>
      <c r="J722" s="70" t="str">
        <f t="shared" si="301"/>
        <v/>
      </c>
      <c r="K722" s="135"/>
      <c r="L722" s="72" t="str">
        <f t="shared" si="302"/>
        <v/>
      </c>
      <c r="M722" s="135"/>
      <c r="N722" s="72" t="str">
        <f t="shared" si="303"/>
        <v/>
      </c>
      <c r="O722" s="135"/>
      <c r="P722" s="136"/>
      <c r="Q722" s="123" t="str">
        <f t="shared" si="304"/>
        <v/>
      </c>
      <c r="R722" s="45" t="str">
        <f t="shared" si="305"/>
        <v/>
      </c>
      <c r="S722" s="137"/>
      <c r="T722" s="79" t="str">
        <f t="shared" si="314"/>
        <v/>
      </c>
      <c r="U722" s="79" t="str">
        <f t="shared" si="306"/>
        <v/>
      </c>
      <c r="V722" s="73" t="str">
        <f t="shared" si="307"/>
        <v/>
      </c>
      <c r="W722" s="80" t="str">
        <f t="shared" si="308"/>
        <v/>
      </c>
      <c r="X722" s="73" t="str">
        <f t="shared" si="309"/>
        <v/>
      </c>
      <c r="Y722" s="80" t="str">
        <f t="shared" si="310"/>
        <v/>
      </c>
      <c r="Z722" s="74" t="str">
        <f t="shared" si="311"/>
        <v/>
      </c>
      <c r="AA722" s="75" t="str">
        <f t="shared" si="315"/>
        <v/>
      </c>
      <c r="AB722" s="103" t="str">
        <f t="shared" si="312"/>
        <v/>
      </c>
      <c r="AC722" s="104" t="str">
        <f t="shared" si="323"/>
        <v/>
      </c>
      <c r="AE722" s="139"/>
      <c r="AF722" s="110" t="str">
        <f t="shared" si="316"/>
        <v/>
      </c>
      <c r="AG722" s="111" t="str">
        <f t="shared" si="317"/>
        <v/>
      </c>
      <c r="AH722" s="111" t="str">
        <f t="shared" si="313"/>
        <v/>
      </c>
      <c r="AI722" s="111" t="str">
        <f t="shared" si="318"/>
        <v/>
      </c>
      <c r="AJ722" s="111" t="str">
        <f t="shared" si="319"/>
        <v/>
      </c>
      <c r="AK722" s="112" t="str">
        <f t="shared" si="320"/>
        <v/>
      </c>
      <c r="AL722" t="str">
        <f t="shared" si="321"/>
        <v/>
      </c>
      <c r="AM722" t="str">
        <f t="shared" si="322"/>
        <v/>
      </c>
    </row>
    <row r="723" spans="1:39" ht="15" customHeight="1" x14ac:dyDescent="0.25">
      <c r="A723" s="131"/>
      <c r="B723" s="133"/>
      <c r="C723" s="133"/>
      <c r="D723" s="42" t="str">
        <f t="shared" si="297"/>
        <v/>
      </c>
      <c r="E723" s="43"/>
      <c r="F723" s="135"/>
      <c r="G723" s="77" t="str">
        <f t="shared" si="298"/>
        <v/>
      </c>
      <c r="H723" s="32" t="str">
        <f t="shared" si="299"/>
        <v/>
      </c>
      <c r="I723" s="78" t="str">
        <f t="shared" si="300"/>
        <v/>
      </c>
      <c r="J723" s="70" t="str">
        <f t="shared" si="301"/>
        <v/>
      </c>
      <c r="K723" s="135"/>
      <c r="L723" s="72" t="str">
        <f t="shared" si="302"/>
        <v/>
      </c>
      <c r="M723" s="135"/>
      <c r="N723" s="72" t="str">
        <f t="shared" si="303"/>
        <v/>
      </c>
      <c r="O723" s="135"/>
      <c r="P723" s="136"/>
      <c r="Q723" s="123" t="str">
        <f t="shared" si="304"/>
        <v/>
      </c>
      <c r="R723" s="45" t="str">
        <f t="shared" si="305"/>
        <v/>
      </c>
      <c r="S723" s="137"/>
      <c r="T723" s="79" t="str">
        <f t="shared" si="314"/>
        <v/>
      </c>
      <c r="U723" s="79" t="str">
        <f t="shared" si="306"/>
        <v/>
      </c>
      <c r="V723" s="73" t="str">
        <f t="shared" si="307"/>
        <v/>
      </c>
      <c r="W723" s="80" t="str">
        <f t="shared" si="308"/>
        <v/>
      </c>
      <c r="X723" s="73" t="str">
        <f t="shared" si="309"/>
        <v/>
      </c>
      <c r="Y723" s="80" t="str">
        <f t="shared" si="310"/>
        <v/>
      </c>
      <c r="Z723" s="74" t="str">
        <f t="shared" si="311"/>
        <v/>
      </c>
      <c r="AA723" s="75" t="str">
        <f t="shared" si="315"/>
        <v/>
      </c>
      <c r="AB723" s="103" t="str">
        <f t="shared" si="312"/>
        <v/>
      </c>
      <c r="AC723" s="104" t="str">
        <f t="shared" si="323"/>
        <v/>
      </c>
      <c r="AE723" s="139"/>
      <c r="AF723" s="110" t="str">
        <f t="shared" si="316"/>
        <v/>
      </c>
      <c r="AG723" s="111" t="str">
        <f t="shared" si="317"/>
        <v/>
      </c>
      <c r="AH723" s="111" t="str">
        <f t="shared" si="313"/>
        <v/>
      </c>
      <c r="AI723" s="111" t="str">
        <f t="shared" si="318"/>
        <v/>
      </c>
      <c r="AJ723" s="111" t="str">
        <f t="shared" si="319"/>
        <v/>
      </c>
      <c r="AK723" s="112" t="str">
        <f t="shared" si="320"/>
        <v/>
      </c>
      <c r="AL723" t="str">
        <f t="shared" si="321"/>
        <v/>
      </c>
      <c r="AM723" t="str">
        <f t="shared" si="322"/>
        <v/>
      </c>
    </row>
    <row r="724" spans="1:39" ht="15" customHeight="1" x14ac:dyDescent="0.25">
      <c r="A724" s="131"/>
      <c r="B724" s="133"/>
      <c r="C724" s="133"/>
      <c r="D724" s="42" t="str">
        <f t="shared" si="297"/>
        <v/>
      </c>
      <c r="E724" s="43"/>
      <c r="F724" s="135"/>
      <c r="G724" s="77" t="str">
        <f t="shared" si="298"/>
        <v/>
      </c>
      <c r="H724" s="32" t="str">
        <f t="shared" si="299"/>
        <v/>
      </c>
      <c r="I724" s="78" t="str">
        <f t="shared" si="300"/>
        <v/>
      </c>
      <c r="J724" s="70" t="str">
        <f t="shared" si="301"/>
        <v/>
      </c>
      <c r="K724" s="135"/>
      <c r="L724" s="72" t="str">
        <f t="shared" si="302"/>
        <v/>
      </c>
      <c r="M724" s="135"/>
      <c r="N724" s="72" t="str">
        <f t="shared" si="303"/>
        <v/>
      </c>
      <c r="O724" s="135"/>
      <c r="P724" s="136"/>
      <c r="Q724" s="123" t="str">
        <f t="shared" si="304"/>
        <v/>
      </c>
      <c r="R724" s="45" t="str">
        <f t="shared" si="305"/>
        <v/>
      </c>
      <c r="S724" s="137"/>
      <c r="T724" s="79" t="str">
        <f t="shared" si="314"/>
        <v/>
      </c>
      <c r="U724" s="79" t="str">
        <f t="shared" si="306"/>
        <v/>
      </c>
      <c r="V724" s="73" t="str">
        <f t="shared" si="307"/>
        <v/>
      </c>
      <c r="W724" s="80" t="str">
        <f t="shared" si="308"/>
        <v/>
      </c>
      <c r="X724" s="73" t="str">
        <f t="shared" si="309"/>
        <v/>
      </c>
      <c r="Y724" s="80" t="str">
        <f t="shared" si="310"/>
        <v/>
      </c>
      <c r="Z724" s="74" t="str">
        <f t="shared" si="311"/>
        <v/>
      </c>
      <c r="AA724" s="75" t="str">
        <f t="shared" si="315"/>
        <v/>
      </c>
      <c r="AB724" s="103" t="str">
        <f t="shared" si="312"/>
        <v/>
      </c>
      <c r="AC724" s="104" t="str">
        <f t="shared" si="323"/>
        <v/>
      </c>
      <c r="AE724" s="139"/>
      <c r="AF724" s="110" t="str">
        <f t="shared" si="316"/>
        <v/>
      </c>
      <c r="AG724" s="111" t="str">
        <f t="shared" si="317"/>
        <v/>
      </c>
      <c r="AH724" s="111" t="str">
        <f t="shared" si="313"/>
        <v/>
      </c>
      <c r="AI724" s="111" t="str">
        <f t="shared" si="318"/>
        <v/>
      </c>
      <c r="AJ724" s="111" t="str">
        <f t="shared" si="319"/>
        <v/>
      </c>
      <c r="AK724" s="112" t="str">
        <f t="shared" si="320"/>
        <v/>
      </c>
      <c r="AL724" t="str">
        <f t="shared" si="321"/>
        <v/>
      </c>
      <c r="AM724" t="str">
        <f t="shared" si="322"/>
        <v/>
      </c>
    </row>
    <row r="725" spans="1:39" ht="15" customHeight="1" x14ac:dyDescent="0.25">
      <c r="A725" s="131"/>
      <c r="B725" s="133"/>
      <c r="C725" s="133"/>
      <c r="D725" s="42" t="str">
        <f t="shared" si="297"/>
        <v/>
      </c>
      <c r="E725" s="43"/>
      <c r="F725" s="135"/>
      <c r="G725" s="77" t="str">
        <f t="shared" si="298"/>
        <v/>
      </c>
      <c r="H725" s="32" t="str">
        <f t="shared" si="299"/>
        <v/>
      </c>
      <c r="I725" s="78" t="str">
        <f t="shared" si="300"/>
        <v/>
      </c>
      <c r="J725" s="70" t="str">
        <f t="shared" si="301"/>
        <v/>
      </c>
      <c r="K725" s="135"/>
      <c r="L725" s="72" t="str">
        <f t="shared" si="302"/>
        <v/>
      </c>
      <c r="M725" s="135"/>
      <c r="N725" s="72" t="str">
        <f t="shared" si="303"/>
        <v/>
      </c>
      <c r="O725" s="135"/>
      <c r="P725" s="136"/>
      <c r="Q725" s="123" t="str">
        <f t="shared" si="304"/>
        <v/>
      </c>
      <c r="R725" s="45" t="str">
        <f t="shared" si="305"/>
        <v/>
      </c>
      <c r="S725" s="137"/>
      <c r="T725" s="79" t="str">
        <f t="shared" si="314"/>
        <v/>
      </c>
      <c r="U725" s="79" t="str">
        <f t="shared" si="306"/>
        <v/>
      </c>
      <c r="V725" s="73" t="str">
        <f t="shared" si="307"/>
        <v/>
      </c>
      <c r="W725" s="80" t="str">
        <f t="shared" si="308"/>
        <v/>
      </c>
      <c r="X725" s="73" t="str">
        <f t="shared" si="309"/>
        <v/>
      </c>
      <c r="Y725" s="80" t="str">
        <f t="shared" si="310"/>
        <v/>
      </c>
      <c r="Z725" s="74" t="str">
        <f t="shared" si="311"/>
        <v/>
      </c>
      <c r="AA725" s="75" t="str">
        <f t="shared" si="315"/>
        <v/>
      </c>
      <c r="AB725" s="103" t="str">
        <f t="shared" si="312"/>
        <v/>
      </c>
      <c r="AC725" s="104" t="str">
        <f t="shared" si="323"/>
        <v/>
      </c>
      <c r="AE725" s="139"/>
      <c r="AF725" s="110" t="str">
        <f t="shared" si="316"/>
        <v/>
      </c>
      <c r="AG725" s="111" t="str">
        <f t="shared" si="317"/>
        <v/>
      </c>
      <c r="AH725" s="111" t="str">
        <f t="shared" si="313"/>
        <v/>
      </c>
      <c r="AI725" s="111" t="str">
        <f t="shared" si="318"/>
        <v/>
      </c>
      <c r="AJ725" s="111" t="str">
        <f t="shared" si="319"/>
        <v/>
      </c>
      <c r="AK725" s="112" t="str">
        <f t="shared" si="320"/>
        <v/>
      </c>
      <c r="AL725" t="str">
        <f t="shared" si="321"/>
        <v/>
      </c>
      <c r="AM725" t="str">
        <f t="shared" si="322"/>
        <v/>
      </c>
    </row>
    <row r="726" spans="1:39" ht="15" customHeight="1" x14ac:dyDescent="0.25">
      <c r="A726" s="131"/>
      <c r="B726" s="133"/>
      <c r="C726" s="133"/>
      <c r="D726" s="42" t="str">
        <f t="shared" si="297"/>
        <v/>
      </c>
      <c r="E726" s="43"/>
      <c r="F726" s="135"/>
      <c r="G726" s="77" t="str">
        <f t="shared" si="298"/>
        <v/>
      </c>
      <c r="H726" s="32" t="str">
        <f t="shared" si="299"/>
        <v/>
      </c>
      <c r="I726" s="78" t="str">
        <f t="shared" si="300"/>
        <v/>
      </c>
      <c r="J726" s="70" t="str">
        <f t="shared" si="301"/>
        <v/>
      </c>
      <c r="K726" s="135"/>
      <c r="L726" s="72" t="str">
        <f t="shared" si="302"/>
        <v/>
      </c>
      <c r="M726" s="135"/>
      <c r="N726" s="72" t="str">
        <f t="shared" si="303"/>
        <v/>
      </c>
      <c r="O726" s="135"/>
      <c r="P726" s="136"/>
      <c r="Q726" s="123" t="str">
        <f t="shared" si="304"/>
        <v/>
      </c>
      <c r="R726" s="45" t="str">
        <f t="shared" si="305"/>
        <v/>
      </c>
      <c r="S726" s="137"/>
      <c r="T726" s="79" t="str">
        <f t="shared" si="314"/>
        <v/>
      </c>
      <c r="U726" s="79" t="str">
        <f t="shared" si="306"/>
        <v/>
      </c>
      <c r="V726" s="73" t="str">
        <f t="shared" si="307"/>
        <v/>
      </c>
      <c r="W726" s="80" t="str">
        <f t="shared" si="308"/>
        <v/>
      </c>
      <c r="X726" s="73" t="str">
        <f t="shared" si="309"/>
        <v/>
      </c>
      <c r="Y726" s="80" t="str">
        <f t="shared" si="310"/>
        <v/>
      </c>
      <c r="Z726" s="74" t="str">
        <f t="shared" si="311"/>
        <v/>
      </c>
      <c r="AA726" s="75" t="str">
        <f t="shared" si="315"/>
        <v/>
      </c>
      <c r="AB726" s="103" t="str">
        <f t="shared" si="312"/>
        <v/>
      </c>
      <c r="AC726" s="104" t="str">
        <f t="shared" si="323"/>
        <v/>
      </c>
      <c r="AE726" s="139"/>
      <c r="AF726" s="110" t="str">
        <f t="shared" si="316"/>
        <v/>
      </c>
      <c r="AG726" s="111" t="str">
        <f t="shared" si="317"/>
        <v/>
      </c>
      <c r="AH726" s="111" t="str">
        <f t="shared" si="313"/>
        <v/>
      </c>
      <c r="AI726" s="111" t="str">
        <f t="shared" si="318"/>
        <v/>
      </c>
      <c r="AJ726" s="111" t="str">
        <f t="shared" si="319"/>
        <v/>
      </c>
      <c r="AK726" s="112" t="str">
        <f t="shared" si="320"/>
        <v/>
      </c>
      <c r="AL726" t="str">
        <f t="shared" si="321"/>
        <v/>
      </c>
      <c r="AM726" t="str">
        <f t="shared" si="322"/>
        <v/>
      </c>
    </row>
    <row r="727" spans="1:39" ht="15" customHeight="1" x14ac:dyDescent="0.25">
      <c r="A727" s="131"/>
      <c r="B727" s="133"/>
      <c r="C727" s="133"/>
      <c r="D727" s="42" t="str">
        <f t="shared" si="297"/>
        <v/>
      </c>
      <c r="E727" s="43"/>
      <c r="F727" s="135"/>
      <c r="G727" s="77" t="str">
        <f t="shared" si="298"/>
        <v/>
      </c>
      <c r="H727" s="32" t="str">
        <f t="shared" si="299"/>
        <v/>
      </c>
      <c r="I727" s="78" t="str">
        <f t="shared" si="300"/>
        <v/>
      </c>
      <c r="J727" s="70" t="str">
        <f t="shared" si="301"/>
        <v/>
      </c>
      <c r="K727" s="135"/>
      <c r="L727" s="72" t="str">
        <f t="shared" si="302"/>
        <v/>
      </c>
      <c r="M727" s="135"/>
      <c r="N727" s="72" t="str">
        <f t="shared" si="303"/>
        <v/>
      </c>
      <c r="O727" s="135"/>
      <c r="P727" s="136"/>
      <c r="Q727" s="123" t="str">
        <f t="shared" si="304"/>
        <v/>
      </c>
      <c r="R727" s="45" t="str">
        <f t="shared" si="305"/>
        <v/>
      </c>
      <c r="S727" s="137"/>
      <c r="T727" s="79" t="str">
        <f t="shared" si="314"/>
        <v/>
      </c>
      <c r="U727" s="79" t="str">
        <f t="shared" si="306"/>
        <v/>
      </c>
      <c r="V727" s="73" t="str">
        <f t="shared" si="307"/>
        <v/>
      </c>
      <c r="W727" s="80" t="str">
        <f t="shared" si="308"/>
        <v/>
      </c>
      <c r="X727" s="73" t="str">
        <f t="shared" si="309"/>
        <v/>
      </c>
      <c r="Y727" s="80" t="str">
        <f t="shared" si="310"/>
        <v/>
      </c>
      <c r="Z727" s="74" t="str">
        <f t="shared" si="311"/>
        <v/>
      </c>
      <c r="AA727" s="75" t="str">
        <f t="shared" si="315"/>
        <v/>
      </c>
      <c r="AB727" s="103" t="str">
        <f t="shared" si="312"/>
        <v/>
      </c>
      <c r="AC727" s="104" t="str">
        <f t="shared" si="323"/>
        <v/>
      </c>
      <c r="AE727" s="139"/>
      <c r="AF727" s="110" t="str">
        <f t="shared" si="316"/>
        <v/>
      </c>
      <c r="AG727" s="111" t="str">
        <f t="shared" si="317"/>
        <v/>
      </c>
      <c r="AH727" s="111" t="str">
        <f t="shared" si="313"/>
        <v/>
      </c>
      <c r="AI727" s="111" t="str">
        <f t="shared" si="318"/>
        <v/>
      </c>
      <c r="AJ727" s="111" t="str">
        <f t="shared" si="319"/>
        <v/>
      </c>
      <c r="AK727" s="112" t="str">
        <f t="shared" si="320"/>
        <v/>
      </c>
      <c r="AL727" t="str">
        <f t="shared" si="321"/>
        <v/>
      </c>
      <c r="AM727" t="str">
        <f t="shared" si="322"/>
        <v/>
      </c>
    </row>
    <row r="728" spans="1:39" ht="15" customHeight="1" x14ac:dyDescent="0.25">
      <c r="A728" s="131"/>
      <c r="B728" s="133"/>
      <c r="C728" s="133"/>
      <c r="D728" s="42" t="str">
        <f t="shared" si="297"/>
        <v/>
      </c>
      <c r="E728" s="43"/>
      <c r="F728" s="135"/>
      <c r="G728" s="77" t="str">
        <f t="shared" si="298"/>
        <v/>
      </c>
      <c r="H728" s="32" t="str">
        <f t="shared" si="299"/>
        <v/>
      </c>
      <c r="I728" s="78" t="str">
        <f t="shared" si="300"/>
        <v/>
      </c>
      <c r="J728" s="70" t="str">
        <f t="shared" si="301"/>
        <v/>
      </c>
      <c r="K728" s="135"/>
      <c r="L728" s="72" t="str">
        <f t="shared" si="302"/>
        <v/>
      </c>
      <c r="M728" s="135"/>
      <c r="N728" s="72" t="str">
        <f t="shared" si="303"/>
        <v/>
      </c>
      <c r="O728" s="135"/>
      <c r="P728" s="136"/>
      <c r="Q728" s="123" t="str">
        <f t="shared" si="304"/>
        <v/>
      </c>
      <c r="R728" s="45" t="str">
        <f t="shared" si="305"/>
        <v/>
      </c>
      <c r="S728" s="137"/>
      <c r="T728" s="79" t="str">
        <f t="shared" si="314"/>
        <v/>
      </c>
      <c r="U728" s="79" t="str">
        <f t="shared" si="306"/>
        <v/>
      </c>
      <c r="V728" s="73" t="str">
        <f t="shared" si="307"/>
        <v/>
      </c>
      <c r="W728" s="80" t="str">
        <f t="shared" si="308"/>
        <v/>
      </c>
      <c r="X728" s="73" t="str">
        <f t="shared" si="309"/>
        <v/>
      </c>
      <c r="Y728" s="80" t="str">
        <f t="shared" si="310"/>
        <v/>
      </c>
      <c r="Z728" s="74" t="str">
        <f t="shared" si="311"/>
        <v/>
      </c>
      <c r="AA728" s="75" t="str">
        <f t="shared" si="315"/>
        <v/>
      </c>
      <c r="AB728" s="103" t="str">
        <f t="shared" si="312"/>
        <v/>
      </c>
      <c r="AC728" s="104" t="str">
        <f t="shared" si="323"/>
        <v/>
      </c>
      <c r="AE728" s="139"/>
      <c r="AF728" s="110" t="str">
        <f t="shared" si="316"/>
        <v/>
      </c>
      <c r="AG728" s="111" t="str">
        <f t="shared" si="317"/>
        <v/>
      </c>
      <c r="AH728" s="111" t="str">
        <f t="shared" si="313"/>
        <v/>
      </c>
      <c r="AI728" s="111" t="str">
        <f t="shared" si="318"/>
        <v/>
      </c>
      <c r="AJ728" s="111" t="str">
        <f t="shared" si="319"/>
        <v/>
      </c>
      <c r="AK728" s="112" t="str">
        <f t="shared" si="320"/>
        <v/>
      </c>
      <c r="AL728" t="str">
        <f t="shared" si="321"/>
        <v/>
      </c>
      <c r="AM728" t="str">
        <f t="shared" si="322"/>
        <v/>
      </c>
    </row>
    <row r="729" spans="1:39" ht="15" customHeight="1" x14ac:dyDescent="0.25">
      <c r="A729" s="131"/>
      <c r="B729" s="133"/>
      <c r="C729" s="133"/>
      <c r="D729" s="42" t="str">
        <f t="shared" si="297"/>
        <v/>
      </c>
      <c r="E729" s="43"/>
      <c r="F729" s="135"/>
      <c r="G729" s="77" t="str">
        <f t="shared" si="298"/>
        <v/>
      </c>
      <c r="H729" s="32" t="str">
        <f t="shared" si="299"/>
        <v/>
      </c>
      <c r="I729" s="78" t="str">
        <f t="shared" si="300"/>
        <v/>
      </c>
      <c r="J729" s="70" t="str">
        <f t="shared" si="301"/>
        <v/>
      </c>
      <c r="K729" s="135"/>
      <c r="L729" s="72" t="str">
        <f t="shared" si="302"/>
        <v/>
      </c>
      <c r="M729" s="135"/>
      <c r="N729" s="72" t="str">
        <f t="shared" si="303"/>
        <v/>
      </c>
      <c r="O729" s="135"/>
      <c r="P729" s="136"/>
      <c r="Q729" s="123" t="str">
        <f t="shared" si="304"/>
        <v/>
      </c>
      <c r="R729" s="45" t="str">
        <f t="shared" si="305"/>
        <v/>
      </c>
      <c r="S729" s="137"/>
      <c r="T729" s="79" t="str">
        <f t="shared" si="314"/>
        <v/>
      </c>
      <c r="U729" s="79" t="str">
        <f t="shared" si="306"/>
        <v/>
      </c>
      <c r="V729" s="73" t="str">
        <f t="shared" si="307"/>
        <v/>
      </c>
      <c r="W729" s="80" t="str">
        <f t="shared" si="308"/>
        <v/>
      </c>
      <c r="X729" s="73" t="str">
        <f t="shared" si="309"/>
        <v/>
      </c>
      <c r="Y729" s="80" t="str">
        <f t="shared" si="310"/>
        <v/>
      </c>
      <c r="Z729" s="74" t="str">
        <f t="shared" si="311"/>
        <v/>
      </c>
      <c r="AA729" s="75" t="str">
        <f t="shared" si="315"/>
        <v/>
      </c>
      <c r="AB729" s="103" t="str">
        <f t="shared" si="312"/>
        <v/>
      </c>
      <c r="AC729" s="104" t="str">
        <f t="shared" si="323"/>
        <v/>
      </c>
      <c r="AE729" s="139"/>
      <c r="AF729" s="110" t="str">
        <f t="shared" si="316"/>
        <v/>
      </c>
      <c r="AG729" s="111" t="str">
        <f t="shared" si="317"/>
        <v/>
      </c>
      <c r="AH729" s="111" t="str">
        <f t="shared" si="313"/>
        <v/>
      </c>
      <c r="AI729" s="111" t="str">
        <f t="shared" si="318"/>
        <v/>
      </c>
      <c r="AJ729" s="111" t="str">
        <f t="shared" si="319"/>
        <v/>
      </c>
      <c r="AK729" s="112" t="str">
        <f t="shared" si="320"/>
        <v/>
      </c>
      <c r="AL729" t="str">
        <f t="shared" si="321"/>
        <v/>
      </c>
      <c r="AM729" t="str">
        <f t="shared" si="322"/>
        <v/>
      </c>
    </row>
    <row r="730" spans="1:39" ht="15" customHeight="1" x14ac:dyDescent="0.25">
      <c r="A730" s="131"/>
      <c r="B730" s="133"/>
      <c r="C730" s="133"/>
      <c r="D730" s="42" t="str">
        <f t="shared" si="297"/>
        <v/>
      </c>
      <c r="E730" s="43"/>
      <c r="F730" s="135"/>
      <c r="G730" s="77" t="str">
        <f t="shared" si="298"/>
        <v/>
      </c>
      <c r="H730" s="32" t="str">
        <f t="shared" si="299"/>
        <v/>
      </c>
      <c r="I730" s="78" t="str">
        <f t="shared" si="300"/>
        <v/>
      </c>
      <c r="J730" s="70" t="str">
        <f t="shared" si="301"/>
        <v/>
      </c>
      <c r="K730" s="135"/>
      <c r="L730" s="72" t="str">
        <f t="shared" si="302"/>
        <v/>
      </c>
      <c r="M730" s="135"/>
      <c r="N730" s="72" t="str">
        <f t="shared" si="303"/>
        <v/>
      </c>
      <c r="O730" s="135"/>
      <c r="P730" s="136"/>
      <c r="Q730" s="123" t="str">
        <f t="shared" si="304"/>
        <v/>
      </c>
      <c r="R730" s="45" t="str">
        <f t="shared" si="305"/>
        <v/>
      </c>
      <c r="S730" s="137"/>
      <c r="T730" s="79" t="str">
        <f t="shared" si="314"/>
        <v/>
      </c>
      <c r="U730" s="79" t="str">
        <f t="shared" si="306"/>
        <v/>
      </c>
      <c r="V730" s="73" t="str">
        <f t="shared" si="307"/>
        <v/>
      </c>
      <c r="W730" s="80" t="str">
        <f t="shared" si="308"/>
        <v/>
      </c>
      <c r="X730" s="73" t="str">
        <f t="shared" si="309"/>
        <v/>
      </c>
      <c r="Y730" s="80" t="str">
        <f t="shared" si="310"/>
        <v/>
      </c>
      <c r="Z730" s="74" t="str">
        <f t="shared" si="311"/>
        <v/>
      </c>
      <c r="AA730" s="75" t="str">
        <f t="shared" si="315"/>
        <v/>
      </c>
      <c r="AB730" s="103" t="str">
        <f t="shared" si="312"/>
        <v/>
      </c>
      <c r="AC730" s="104" t="str">
        <f t="shared" si="323"/>
        <v/>
      </c>
      <c r="AE730" s="139"/>
      <c r="AF730" s="110" t="str">
        <f t="shared" si="316"/>
        <v/>
      </c>
      <c r="AG730" s="111" t="str">
        <f t="shared" si="317"/>
        <v/>
      </c>
      <c r="AH730" s="111" t="str">
        <f t="shared" si="313"/>
        <v/>
      </c>
      <c r="AI730" s="111" t="str">
        <f t="shared" si="318"/>
        <v/>
      </c>
      <c r="AJ730" s="111" t="str">
        <f t="shared" si="319"/>
        <v/>
      </c>
      <c r="AK730" s="112" t="str">
        <f t="shared" si="320"/>
        <v/>
      </c>
      <c r="AL730" t="str">
        <f t="shared" si="321"/>
        <v/>
      </c>
      <c r="AM730" t="str">
        <f t="shared" si="322"/>
        <v/>
      </c>
    </row>
    <row r="731" spans="1:39" ht="15" customHeight="1" x14ac:dyDescent="0.25">
      <c r="A731" s="131"/>
      <c r="B731" s="133"/>
      <c r="C731" s="133"/>
      <c r="D731" s="42" t="str">
        <f t="shared" si="297"/>
        <v/>
      </c>
      <c r="E731" s="43"/>
      <c r="F731" s="135"/>
      <c r="G731" s="77" t="str">
        <f t="shared" si="298"/>
        <v/>
      </c>
      <c r="H731" s="32" t="str">
        <f t="shared" si="299"/>
        <v/>
      </c>
      <c r="I731" s="78" t="str">
        <f t="shared" si="300"/>
        <v/>
      </c>
      <c r="J731" s="70" t="str">
        <f t="shared" si="301"/>
        <v/>
      </c>
      <c r="K731" s="135"/>
      <c r="L731" s="72" t="str">
        <f t="shared" si="302"/>
        <v/>
      </c>
      <c r="M731" s="135"/>
      <c r="N731" s="72" t="str">
        <f t="shared" si="303"/>
        <v/>
      </c>
      <c r="O731" s="135"/>
      <c r="P731" s="136"/>
      <c r="Q731" s="123" t="str">
        <f t="shared" si="304"/>
        <v/>
      </c>
      <c r="R731" s="45" t="str">
        <f t="shared" si="305"/>
        <v/>
      </c>
      <c r="S731" s="137"/>
      <c r="T731" s="79" t="str">
        <f t="shared" si="314"/>
        <v/>
      </c>
      <c r="U731" s="79" t="str">
        <f t="shared" si="306"/>
        <v/>
      </c>
      <c r="V731" s="73" t="str">
        <f t="shared" si="307"/>
        <v/>
      </c>
      <c r="W731" s="80" t="str">
        <f t="shared" si="308"/>
        <v/>
      </c>
      <c r="X731" s="73" t="str">
        <f t="shared" si="309"/>
        <v/>
      </c>
      <c r="Y731" s="80" t="str">
        <f t="shared" si="310"/>
        <v/>
      </c>
      <c r="Z731" s="74" t="str">
        <f t="shared" si="311"/>
        <v/>
      </c>
      <c r="AA731" s="75" t="str">
        <f t="shared" si="315"/>
        <v/>
      </c>
      <c r="AB731" s="103" t="str">
        <f t="shared" si="312"/>
        <v/>
      </c>
      <c r="AC731" s="104" t="str">
        <f t="shared" si="323"/>
        <v/>
      </c>
      <c r="AE731" s="139"/>
      <c r="AF731" s="110" t="str">
        <f t="shared" si="316"/>
        <v/>
      </c>
      <c r="AG731" s="111" t="str">
        <f t="shared" si="317"/>
        <v/>
      </c>
      <c r="AH731" s="111" t="str">
        <f t="shared" si="313"/>
        <v/>
      </c>
      <c r="AI731" s="111" t="str">
        <f t="shared" si="318"/>
        <v/>
      </c>
      <c r="AJ731" s="111" t="str">
        <f t="shared" si="319"/>
        <v/>
      </c>
      <c r="AK731" s="112" t="str">
        <f t="shared" si="320"/>
        <v/>
      </c>
      <c r="AL731" t="str">
        <f t="shared" si="321"/>
        <v/>
      </c>
      <c r="AM731" t="str">
        <f t="shared" si="322"/>
        <v/>
      </c>
    </row>
    <row r="732" spans="1:39" ht="15" customHeight="1" x14ac:dyDescent="0.25">
      <c r="A732" s="131"/>
      <c r="B732" s="133"/>
      <c r="C732" s="133"/>
      <c r="D732" s="42" t="str">
        <f t="shared" si="297"/>
        <v/>
      </c>
      <c r="E732" s="43"/>
      <c r="F732" s="135"/>
      <c r="G732" s="77" t="str">
        <f t="shared" si="298"/>
        <v/>
      </c>
      <c r="H732" s="32" t="str">
        <f t="shared" si="299"/>
        <v/>
      </c>
      <c r="I732" s="78" t="str">
        <f t="shared" si="300"/>
        <v/>
      </c>
      <c r="J732" s="70" t="str">
        <f t="shared" si="301"/>
        <v/>
      </c>
      <c r="K732" s="135"/>
      <c r="L732" s="72" t="str">
        <f t="shared" si="302"/>
        <v/>
      </c>
      <c r="M732" s="135"/>
      <c r="N732" s="72" t="str">
        <f t="shared" si="303"/>
        <v/>
      </c>
      <c r="O732" s="135"/>
      <c r="P732" s="136"/>
      <c r="Q732" s="123" t="str">
        <f t="shared" si="304"/>
        <v/>
      </c>
      <c r="R732" s="45" t="str">
        <f t="shared" si="305"/>
        <v/>
      </c>
      <c r="S732" s="137"/>
      <c r="T732" s="79" t="str">
        <f t="shared" si="314"/>
        <v/>
      </c>
      <c r="U732" s="79" t="str">
        <f t="shared" si="306"/>
        <v/>
      </c>
      <c r="V732" s="73" t="str">
        <f t="shared" si="307"/>
        <v/>
      </c>
      <c r="W732" s="80" t="str">
        <f t="shared" si="308"/>
        <v/>
      </c>
      <c r="X732" s="73" t="str">
        <f t="shared" si="309"/>
        <v/>
      </c>
      <c r="Y732" s="80" t="str">
        <f t="shared" si="310"/>
        <v/>
      </c>
      <c r="Z732" s="74" t="str">
        <f t="shared" si="311"/>
        <v/>
      </c>
      <c r="AA732" s="75" t="str">
        <f t="shared" si="315"/>
        <v/>
      </c>
      <c r="AB732" s="103" t="str">
        <f t="shared" si="312"/>
        <v/>
      </c>
      <c r="AC732" s="104" t="str">
        <f t="shared" si="323"/>
        <v/>
      </c>
      <c r="AE732" s="139"/>
      <c r="AF732" s="110" t="str">
        <f t="shared" si="316"/>
        <v/>
      </c>
      <c r="AG732" s="111" t="str">
        <f t="shared" si="317"/>
        <v/>
      </c>
      <c r="AH732" s="111" t="str">
        <f t="shared" si="313"/>
        <v/>
      </c>
      <c r="AI732" s="111" t="str">
        <f t="shared" si="318"/>
        <v/>
      </c>
      <c r="AJ732" s="111" t="str">
        <f t="shared" si="319"/>
        <v/>
      </c>
      <c r="AK732" s="112" t="str">
        <f t="shared" si="320"/>
        <v/>
      </c>
      <c r="AL732" t="str">
        <f t="shared" si="321"/>
        <v/>
      </c>
      <c r="AM732" t="str">
        <f t="shared" si="322"/>
        <v/>
      </c>
    </row>
    <row r="733" spans="1:39" ht="15" customHeight="1" x14ac:dyDescent="0.25">
      <c r="A733" s="131"/>
      <c r="B733" s="133"/>
      <c r="C733" s="133"/>
      <c r="D733" s="42" t="str">
        <f t="shared" si="297"/>
        <v/>
      </c>
      <c r="E733" s="43"/>
      <c r="F733" s="135"/>
      <c r="G733" s="77" t="str">
        <f t="shared" si="298"/>
        <v/>
      </c>
      <c r="H733" s="32" t="str">
        <f t="shared" si="299"/>
        <v/>
      </c>
      <c r="I733" s="78" t="str">
        <f t="shared" si="300"/>
        <v/>
      </c>
      <c r="J733" s="70" t="str">
        <f t="shared" si="301"/>
        <v/>
      </c>
      <c r="K733" s="135"/>
      <c r="L733" s="72" t="str">
        <f t="shared" si="302"/>
        <v/>
      </c>
      <c r="M733" s="135"/>
      <c r="N733" s="72" t="str">
        <f t="shared" si="303"/>
        <v/>
      </c>
      <c r="O733" s="135"/>
      <c r="P733" s="136"/>
      <c r="Q733" s="123" t="str">
        <f t="shared" si="304"/>
        <v/>
      </c>
      <c r="R733" s="45" t="str">
        <f t="shared" si="305"/>
        <v/>
      </c>
      <c r="S733" s="137"/>
      <c r="T733" s="79" t="str">
        <f t="shared" si="314"/>
        <v/>
      </c>
      <c r="U733" s="79" t="str">
        <f t="shared" si="306"/>
        <v/>
      </c>
      <c r="V733" s="73" t="str">
        <f t="shared" si="307"/>
        <v/>
      </c>
      <c r="W733" s="80" t="str">
        <f t="shared" si="308"/>
        <v/>
      </c>
      <c r="X733" s="73" t="str">
        <f t="shared" si="309"/>
        <v/>
      </c>
      <c r="Y733" s="80" t="str">
        <f t="shared" si="310"/>
        <v/>
      </c>
      <c r="Z733" s="74" t="str">
        <f t="shared" si="311"/>
        <v/>
      </c>
      <c r="AA733" s="75" t="str">
        <f t="shared" si="315"/>
        <v/>
      </c>
      <c r="AB733" s="103" t="str">
        <f t="shared" si="312"/>
        <v/>
      </c>
      <c r="AC733" s="104" t="str">
        <f t="shared" si="323"/>
        <v/>
      </c>
      <c r="AE733" s="139"/>
      <c r="AF733" s="110" t="str">
        <f t="shared" si="316"/>
        <v/>
      </c>
      <c r="AG733" s="111" t="str">
        <f t="shared" si="317"/>
        <v/>
      </c>
      <c r="AH733" s="111" t="str">
        <f t="shared" si="313"/>
        <v/>
      </c>
      <c r="AI733" s="111" t="str">
        <f t="shared" si="318"/>
        <v/>
      </c>
      <c r="AJ733" s="111" t="str">
        <f t="shared" si="319"/>
        <v/>
      </c>
      <c r="AK733" s="112" t="str">
        <f t="shared" si="320"/>
        <v/>
      </c>
      <c r="AL733" t="str">
        <f t="shared" si="321"/>
        <v/>
      </c>
      <c r="AM733" t="str">
        <f t="shared" si="322"/>
        <v/>
      </c>
    </row>
    <row r="734" spans="1:39" ht="15" customHeight="1" x14ac:dyDescent="0.25">
      <c r="A734" s="131"/>
      <c r="B734" s="133"/>
      <c r="C734" s="133"/>
      <c r="D734" s="42" t="str">
        <f t="shared" si="297"/>
        <v/>
      </c>
      <c r="E734" s="43"/>
      <c r="F734" s="135"/>
      <c r="G734" s="77" t="str">
        <f t="shared" si="298"/>
        <v/>
      </c>
      <c r="H734" s="32" t="str">
        <f t="shared" si="299"/>
        <v/>
      </c>
      <c r="I734" s="78" t="str">
        <f t="shared" si="300"/>
        <v/>
      </c>
      <c r="J734" s="70" t="str">
        <f t="shared" si="301"/>
        <v/>
      </c>
      <c r="K734" s="135"/>
      <c r="L734" s="72" t="str">
        <f t="shared" si="302"/>
        <v/>
      </c>
      <c r="M734" s="135"/>
      <c r="N734" s="72" t="str">
        <f t="shared" si="303"/>
        <v/>
      </c>
      <c r="O734" s="135"/>
      <c r="P734" s="136"/>
      <c r="Q734" s="123" t="str">
        <f t="shared" si="304"/>
        <v/>
      </c>
      <c r="R734" s="45" t="str">
        <f t="shared" si="305"/>
        <v/>
      </c>
      <c r="S734" s="137"/>
      <c r="T734" s="79" t="str">
        <f t="shared" si="314"/>
        <v/>
      </c>
      <c r="U734" s="79" t="str">
        <f t="shared" si="306"/>
        <v/>
      </c>
      <c r="V734" s="73" t="str">
        <f t="shared" si="307"/>
        <v/>
      </c>
      <c r="W734" s="80" t="str">
        <f t="shared" si="308"/>
        <v/>
      </c>
      <c r="X734" s="73" t="str">
        <f t="shared" si="309"/>
        <v/>
      </c>
      <c r="Y734" s="80" t="str">
        <f t="shared" si="310"/>
        <v/>
      </c>
      <c r="Z734" s="74" t="str">
        <f t="shared" si="311"/>
        <v/>
      </c>
      <c r="AA734" s="75" t="str">
        <f t="shared" si="315"/>
        <v/>
      </c>
      <c r="AB734" s="103" t="str">
        <f t="shared" si="312"/>
        <v/>
      </c>
      <c r="AC734" s="104" t="str">
        <f t="shared" si="323"/>
        <v/>
      </c>
      <c r="AE734" s="139"/>
      <c r="AF734" s="110" t="str">
        <f t="shared" si="316"/>
        <v/>
      </c>
      <c r="AG734" s="111" t="str">
        <f t="shared" si="317"/>
        <v/>
      </c>
      <c r="AH734" s="111" t="str">
        <f t="shared" si="313"/>
        <v/>
      </c>
      <c r="AI734" s="111" t="str">
        <f t="shared" si="318"/>
        <v/>
      </c>
      <c r="AJ734" s="111" t="str">
        <f t="shared" si="319"/>
        <v/>
      </c>
      <c r="AK734" s="112" t="str">
        <f t="shared" si="320"/>
        <v/>
      </c>
      <c r="AL734" t="str">
        <f t="shared" si="321"/>
        <v/>
      </c>
      <c r="AM734" t="str">
        <f t="shared" si="322"/>
        <v/>
      </c>
    </row>
    <row r="735" spans="1:39" ht="15" customHeight="1" x14ac:dyDescent="0.25">
      <c r="A735" s="131"/>
      <c r="B735" s="133"/>
      <c r="C735" s="133"/>
      <c r="D735" s="42" t="str">
        <f t="shared" si="297"/>
        <v/>
      </c>
      <c r="E735" s="43"/>
      <c r="F735" s="135"/>
      <c r="G735" s="77" t="str">
        <f t="shared" si="298"/>
        <v/>
      </c>
      <c r="H735" s="32" t="str">
        <f t="shared" si="299"/>
        <v/>
      </c>
      <c r="I735" s="78" t="str">
        <f t="shared" si="300"/>
        <v/>
      </c>
      <c r="J735" s="70" t="str">
        <f t="shared" si="301"/>
        <v/>
      </c>
      <c r="K735" s="135"/>
      <c r="L735" s="72" t="str">
        <f t="shared" si="302"/>
        <v/>
      </c>
      <c r="M735" s="135"/>
      <c r="N735" s="72" t="str">
        <f t="shared" si="303"/>
        <v/>
      </c>
      <c r="O735" s="135"/>
      <c r="P735" s="136"/>
      <c r="Q735" s="123" t="str">
        <f t="shared" si="304"/>
        <v/>
      </c>
      <c r="R735" s="45" t="str">
        <f t="shared" si="305"/>
        <v/>
      </c>
      <c r="S735" s="137"/>
      <c r="T735" s="79" t="str">
        <f t="shared" si="314"/>
        <v/>
      </c>
      <c r="U735" s="79" t="str">
        <f t="shared" si="306"/>
        <v/>
      </c>
      <c r="V735" s="73" t="str">
        <f t="shared" si="307"/>
        <v/>
      </c>
      <c r="W735" s="80" t="str">
        <f t="shared" si="308"/>
        <v/>
      </c>
      <c r="X735" s="73" t="str">
        <f t="shared" si="309"/>
        <v/>
      </c>
      <c r="Y735" s="80" t="str">
        <f t="shared" si="310"/>
        <v/>
      </c>
      <c r="Z735" s="74" t="str">
        <f t="shared" si="311"/>
        <v/>
      </c>
      <c r="AA735" s="75" t="str">
        <f t="shared" si="315"/>
        <v/>
      </c>
      <c r="AB735" s="103" t="str">
        <f t="shared" si="312"/>
        <v/>
      </c>
      <c r="AC735" s="104" t="str">
        <f t="shared" si="323"/>
        <v/>
      </c>
      <c r="AE735" s="139"/>
      <c r="AF735" s="110" t="str">
        <f t="shared" si="316"/>
        <v/>
      </c>
      <c r="AG735" s="111" t="str">
        <f t="shared" si="317"/>
        <v/>
      </c>
      <c r="AH735" s="111" t="str">
        <f t="shared" si="313"/>
        <v/>
      </c>
      <c r="AI735" s="111" t="str">
        <f t="shared" si="318"/>
        <v/>
      </c>
      <c r="AJ735" s="111" t="str">
        <f t="shared" si="319"/>
        <v/>
      </c>
      <c r="AK735" s="112" t="str">
        <f t="shared" si="320"/>
        <v/>
      </c>
      <c r="AL735" t="str">
        <f t="shared" si="321"/>
        <v/>
      </c>
      <c r="AM735" t="str">
        <f t="shared" si="322"/>
        <v/>
      </c>
    </row>
    <row r="736" spans="1:39" ht="15" customHeight="1" x14ac:dyDescent="0.25">
      <c r="A736" s="131"/>
      <c r="B736" s="133"/>
      <c r="C736" s="133"/>
      <c r="D736" s="42" t="str">
        <f t="shared" si="297"/>
        <v/>
      </c>
      <c r="E736" s="43"/>
      <c r="F736" s="135"/>
      <c r="G736" s="77" t="str">
        <f t="shared" si="298"/>
        <v/>
      </c>
      <c r="H736" s="32" t="str">
        <f t="shared" si="299"/>
        <v/>
      </c>
      <c r="I736" s="78" t="str">
        <f t="shared" si="300"/>
        <v/>
      </c>
      <c r="J736" s="70" t="str">
        <f t="shared" si="301"/>
        <v/>
      </c>
      <c r="K736" s="135"/>
      <c r="L736" s="72" t="str">
        <f t="shared" si="302"/>
        <v/>
      </c>
      <c r="M736" s="135"/>
      <c r="N736" s="72" t="str">
        <f t="shared" si="303"/>
        <v/>
      </c>
      <c r="O736" s="135"/>
      <c r="P736" s="136"/>
      <c r="Q736" s="123" t="str">
        <f t="shared" si="304"/>
        <v/>
      </c>
      <c r="R736" s="45" t="str">
        <f t="shared" si="305"/>
        <v/>
      </c>
      <c r="S736" s="137"/>
      <c r="T736" s="79" t="str">
        <f t="shared" si="314"/>
        <v/>
      </c>
      <c r="U736" s="79" t="str">
        <f t="shared" si="306"/>
        <v/>
      </c>
      <c r="V736" s="73" t="str">
        <f t="shared" si="307"/>
        <v/>
      </c>
      <c r="W736" s="80" t="str">
        <f t="shared" si="308"/>
        <v/>
      </c>
      <c r="X736" s="73" t="str">
        <f t="shared" si="309"/>
        <v/>
      </c>
      <c r="Y736" s="80" t="str">
        <f t="shared" si="310"/>
        <v/>
      </c>
      <c r="Z736" s="74" t="str">
        <f t="shared" si="311"/>
        <v/>
      </c>
      <c r="AA736" s="75" t="str">
        <f t="shared" si="315"/>
        <v/>
      </c>
      <c r="AB736" s="103" t="str">
        <f t="shared" si="312"/>
        <v/>
      </c>
      <c r="AC736" s="104" t="str">
        <f t="shared" si="323"/>
        <v/>
      </c>
      <c r="AE736" s="139"/>
      <c r="AF736" s="110" t="str">
        <f t="shared" si="316"/>
        <v/>
      </c>
      <c r="AG736" s="111" t="str">
        <f t="shared" si="317"/>
        <v/>
      </c>
      <c r="AH736" s="111" t="str">
        <f t="shared" si="313"/>
        <v/>
      </c>
      <c r="AI736" s="111" t="str">
        <f t="shared" si="318"/>
        <v/>
      </c>
      <c r="AJ736" s="111" t="str">
        <f t="shared" si="319"/>
        <v/>
      </c>
      <c r="AK736" s="112" t="str">
        <f t="shared" si="320"/>
        <v/>
      </c>
      <c r="AL736" t="str">
        <f t="shared" si="321"/>
        <v/>
      </c>
      <c r="AM736" t="str">
        <f t="shared" si="322"/>
        <v/>
      </c>
    </row>
    <row r="737" spans="1:39" ht="15" customHeight="1" x14ac:dyDescent="0.25">
      <c r="A737" s="131"/>
      <c r="B737" s="133"/>
      <c r="C737" s="133"/>
      <c r="D737" s="42" t="str">
        <f t="shared" si="297"/>
        <v/>
      </c>
      <c r="E737" s="43"/>
      <c r="F737" s="135"/>
      <c r="G737" s="77" t="str">
        <f t="shared" si="298"/>
        <v/>
      </c>
      <c r="H737" s="32" t="str">
        <f t="shared" si="299"/>
        <v/>
      </c>
      <c r="I737" s="78" t="str">
        <f t="shared" si="300"/>
        <v/>
      </c>
      <c r="J737" s="70" t="str">
        <f t="shared" si="301"/>
        <v/>
      </c>
      <c r="K737" s="135"/>
      <c r="L737" s="72" t="str">
        <f t="shared" si="302"/>
        <v/>
      </c>
      <c r="M737" s="135"/>
      <c r="N737" s="72" t="str">
        <f t="shared" si="303"/>
        <v/>
      </c>
      <c r="O737" s="135"/>
      <c r="P737" s="136"/>
      <c r="Q737" s="123" t="str">
        <f t="shared" si="304"/>
        <v/>
      </c>
      <c r="R737" s="45" t="str">
        <f t="shared" si="305"/>
        <v/>
      </c>
      <c r="S737" s="137"/>
      <c r="T737" s="79" t="str">
        <f t="shared" si="314"/>
        <v/>
      </c>
      <c r="U737" s="79" t="str">
        <f t="shared" si="306"/>
        <v/>
      </c>
      <c r="V737" s="73" t="str">
        <f t="shared" si="307"/>
        <v/>
      </c>
      <c r="W737" s="80" t="str">
        <f t="shared" si="308"/>
        <v/>
      </c>
      <c r="X737" s="73" t="str">
        <f t="shared" si="309"/>
        <v/>
      </c>
      <c r="Y737" s="80" t="str">
        <f t="shared" si="310"/>
        <v/>
      </c>
      <c r="Z737" s="74" t="str">
        <f t="shared" si="311"/>
        <v/>
      </c>
      <c r="AA737" s="75" t="str">
        <f t="shared" si="315"/>
        <v/>
      </c>
      <c r="AB737" s="103" t="str">
        <f t="shared" si="312"/>
        <v/>
      </c>
      <c r="AC737" s="104" t="str">
        <f t="shared" si="323"/>
        <v/>
      </c>
      <c r="AE737" s="139"/>
      <c r="AF737" s="110" t="str">
        <f t="shared" si="316"/>
        <v/>
      </c>
      <c r="AG737" s="111" t="str">
        <f t="shared" si="317"/>
        <v/>
      </c>
      <c r="AH737" s="111" t="str">
        <f t="shared" si="313"/>
        <v/>
      </c>
      <c r="AI737" s="111" t="str">
        <f t="shared" si="318"/>
        <v/>
      </c>
      <c r="AJ737" s="111" t="str">
        <f t="shared" si="319"/>
        <v/>
      </c>
      <c r="AK737" s="112" t="str">
        <f t="shared" si="320"/>
        <v/>
      </c>
      <c r="AL737" t="str">
        <f t="shared" si="321"/>
        <v/>
      </c>
      <c r="AM737" t="str">
        <f t="shared" si="322"/>
        <v/>
      </c>
    </row>
    <row r="738" spans="1:39" ht="15" customHeight="1" x14ac:dyDescent="0.25">
      <c r="A738" s="131"/>
      <c r="B738" s="133"/>
      <c r="C738" s="133"/>
      <c r="D738" s="42" t="str">
        <f t="shared" si="297"/>
        <v/>
      </c>
      <c r="E738" s="43"/>
      <c r="F738" s="135"/>
      <c r="G738" s="77" t="str">
        <f t="shared" si="298"/>
        <v/>
      </c>
      <c r="H738" s="32" t="str">
        <f t="shared" si="299"/>
        <v/>
      </c>
      <c r="I738" s="78" t="str">
        <f t="shared" si="300"/>
        <v/>
      </c>
      <c r="J738" s="70" t="str">
        <f t="shared" si="301"/>
        <v/>
      </c>
      <c r="K738" s="135"/>
      <c r="L738" s="72" t="str">
        <f t="shared" si="302"/>
        <v/>
      </c>
      <c r="M738" s="135"/>
      <c r="N738" s="72" t="str">
        <f t="shared" si="303"/>
        <v/>
      </c>
      <c r="O738" s="135"/>
      <c r="P738" s="136"/>
      <c r="Q738" s="123" t="str">
        <f t="shared" si="304"/>
        <v/>
      </c>
      <c r="R738" s="45" t="str">
        <f t="shared" si="305"/>
        <v/>
      </c>
      <c r="S738" s="137"/>
      <c r="T738" s="79" t="str">
        <f t="shared" si="314"/>
        <v/>
      </c>
      <c r="U738" s="79" t="str">
        <f t="shared" si="306"/>
        <v/>
      </c>
      <c r="V738" s="73" t="str">
        <f t="shared" si="307"/>
        <v/>
      </c>
      <c r="W738" s="80" t="str">
        <f t="shared" si="308"/>
        <v/>
      </c>
      <c r="X738" s="73" t="str">
        <f t="shared" si="309"/>
        <v/>
      </c>
      <c r="Y738" s="80" t="str">
        <f t="shared" si="310"/>
        <v/>
      </c>
      <c r="Z738" s="74" t="str">
        <f t="shared" si="311"/>
        <v/>
      </c>
      <c r="AA738" s="75" t="str">
        <f t="shared" si="315"/>
        <v/>
      </c>
      <c r="AB738" s="103" t="str">
        <f t="shared" si="312"/>
        <v/>
      </c>
      <c r="AC738" s="104" t="str">
        <f t="shared" si="323"/>
        <v/>
      </c>
      <c r="AE738" s="139"/>
      <c r="AF738" s="110" t="str">
        <f t="shared" si="316"/>
        <v/>
      </c>
      <c r="AG738" s="111" t="str">
        <f t="shared" si="317"/>
        <v/>
      </c>
      <c r="AH738" s="111" t="str">
        <f t="shared" si="313"/>
        <v/>
      </c>
      <c r="AI738" s="111" t="str">
        <f t="shared" si="318"/>
        <v/>
      </c>
      <c r="AJ738" s="111" t="str">
        <f t="shared" si="319"/>
        <v/>
      </c>
      <c r="AK738" s="112" t="str">
        <f t="shared" si="320"/>
        <v/>
      </c>
      <c r="AL738" t="str">
        <f t="shared" si="321"/>
        <v/>
      </c>
      <c r="AM738" t="str">
        <f t="shared" si="322"/>
        <v/>
      </c>
    </row>
    <row r="739" spans="1:39" ht="15" customHeight="1" x14ac:dyDescent="0.25">
      <c r="A739" s="131"/>
      <c r="B739" s="133"/>
      <c r="C739" s="133"/>
      <c r="D739" s="42" t="str">
        <f t="shared" si="297"/>
        <v/>
      </c>
      <c r="E739" s="43"/>
      <c r="F739" s="135"/>
      <c r="G739" s="77" t="str">
        <f t="shared" si="298"/>
        <v/>
      </c>
      <c r="H739" s="32" t="str">
        <f t="shared" si="299"/>
        <v/>
      </c>
      <c r="I739" s="78" t="str">
        <f t="shared" si="300"/>
        <v/>
      </c>
      <c r="J739" s="70" t="str">
        <f t="shared" si="301"/>
        <v/>
      </c>
      <c r="K739" s="135"/>
      <c r="L739" s="72" t="str">
        <f t="shared" si="302"/>
        <v/>
      </c>
      <c r="M739" s="135"/>
      <c r="N739" s="72" t="str">
        <f t="shared" si="303"/>
        <v/>
      </c>
      <c r="O739" s="135"/>
      <c r="P739" s="136"/>
      <c r="Q739" s="123" t="str">
        <f t="shared" si="304"/>
        <v/>
      </c>
      <c r="R739" s="45" t="str">
        <f t="shared" si="305"/>
        <v/>
      </c>
      <c r="S739" s="137"/>
      <c r="T739" s="79" t="str">
        <f t="shared" si="314"/>
        <v/>
      </c>
      <c r="U739" s="79" t="str">
        <f t="shared" si="306"/>
        <v/>
      </c>
      <c r="V739" s="73" t="str">
        <f t="shared" si="307"/>
        <v/>
      </c>
      <c r="W739" s="80" t="str">
        <f t="shared" si="308"/>
        <v/>
      </c>
      <c r="X739" s="73" t="str">
        <f t="shared" si="309"/>
        <v/>
      </c>
      <c r="Y739" s="80" t="str">
        <f t="shared" si="310"/>
        <v/>
      </c>
      <c r="Z739" s="74" t="str">
        <f t="shared" si="311"/>
        <v/>
      </c>
      <c r="AA739" s="75" t="str">
        <f t="shared" si="315"/>
        <v/>
      </c>
      <c r="AB739" s="103" t="str">
        <f t="shared" si="312"/>
        <v/>
      </c>
      <c r="AC739" s="104" t="str">
        <f t="shared" si="323"/>
        <v/>
      </c>
      <c r="AE739" s="139"/>
      <c r="AF739" s="110" t="str">
        <f t="shared" si="316"/>
        <v/>
      </c>
      <c r="AG739" s="111" t="str">
        <f t="shared" si="317"/>
        <v/>
      </c>
      <c r="AH739" s="111" t="str">
        <f t="shared" si="313"/>
        <v/>
      </c>
      <c r="AI739" s="111" t="str">
        <f t="shared" si="318"/>
        <v/>
      </c>
      <c r="AJ739" s="111" t="str">
        <f t="shared" si="319"/>
        <v/>
      </c>
      <c r="AK739" s="112" t="str">
        <f t="shared" si="320"/>
        <v/>
      </c>
      <c r="AL739" t="str">
        <f t="shared" si="321"/>
        <v/>
      </c>
      <c r="AM739" t="str">
        <f t="shared" si="322"/>
        <v/>
      </c>
    </row>
    <row r="740" spans="1:39" ht="15" customHeight="1" x14ac:dyDescent="0.25">
      <c r="A740" s="131"/>
      <c r="B740" s="133"/>
      <c r="C740" s="133"/>
      <c r="D740" s="42" t="str">
        <f t="shared" si="297"/>
        <v/>
      </c>
      <c r="E740" s="43"/>
      <c r="F740" s="135"/>
      <c r="G740" s="77" t="str">
        <f t="shared" si="298"/>
        <v/>
      </c>
      <c r="H740" s="32" t="str">
        <f t="shared" si="299"/>
        <v/>
      </c>
      <c r="I740" s="78" t="str">
        <f t="shared" si="300"/>
        <v/>
      </c>
      <c r="J740" s="70" t="str">
        <f t="shared" si="301"/>
        <v/>
      </c>
      <c r="K740" s="135"/>
      <c r="L740" s="72" t="str">
        <f t="shared" si="302"/>
        <v/>
      </c>
      <c r="M740" s="135"/>
      <c r="N740" s="72" t="str">
        <f t="shared" si="303"/>
        <v/>
      </c>
      <c r="O740" s="135"/>
      <c r="P740" s="136"/>
      <c r="Q740" s="123" t="str">
        <f t="shared" si="304"/>
        <v/>
      </c>
      <c r="R740" s="45" t="str">
        <f t="shared" si="305"/>
        <v/>
      </c>
      <c r="S740" s="137"/>
      <c r="T740" s="79" t="str">
        <f t="shared" si="314"/>
        <v/>
      </c>
      <c r="U740" s="79" t="str">
        <f t="shared" si="306"/>
        <v/>
      </c>
      <c r="V740" s="73" t="str">
        <f t="shared" si="307"/>
        <v/>
      </c>
      <c r="W740" s="80" t="str">
        <f t="shared" si="308"/>
        <v/>
      </c>
      <c r="X740" s="73" t="str">
        <f t="shared" si="309"/>
        <v/>
      </c>
      <c r="Y740" s="80" t="str">
        <f t="shared" si="310"/>
        <v/>
      </c>
      <c r="Z740" s="74" t="str">
        <f t="shared" si="311"/>
        <v/>
      </c>
      <c r="AA740" s="75" t="str">
        <f t="shared" si="315"/>
        <v/>
      </c>
      <c r="AB740" s="103" t="str">
        <f t="shared" si="312"/>
        <v/>
      </c>
      <c r="AC740" s="104" t="str">
        <f t="shared" si="323"/>
        <v/>
      </c>
      <c r="AE740" s="139"/>
      <c r="AF740" s="110" t="str">
        <f t="shared" si="316"/>
        <v/>
      </c>
      <c r="AG740" s="111" t="str">
        <f t="shared" si="317"/>
        <v/>
      </c>
      <c r="AH740" s="111" t="str">
        <f t="shared" si="313"/>
        <v/>
      </c>
      <c r="AI740" s="111" t="str">
        <f t="shared" si="318"/>
        <v/>
      </c>
      <c r="AJ740" s="111" t="str">
        <f t="shared" si="319"/>
        <v/>
      </c>
      <c r="AK740" s="112" t="str">
        <f t="shared" si="320"/>
        <v/>
      </c>
      <c r="AL740" t="str">
        <f t="shared" si="321"/>
        <v/>
      </c>
      <c r="AM740" t="str">
        <f t="shared" si="322"/>
        <v/>
      </c>
    </row>
    <row r="741" spans="1:39" ht="15" customHeight="1" x14ac:dyDescent="0.25">
      <c r="A741" s="131"/>
      <c r="B741" s="133"/>
      <c r="C741" s="133"/>
      <c r="D741" s="42" t="str">
        <f t="shared" si="297"/>
        <v/>
      </c>
      <c r="E741" s="43"/>
      <c r="F741" s="135"/>
      <c r="G741" s="77" t="str">
        <f t="shared" si="298"/>
        <v/>
      </c>
      <c r="H741" s="32" t="str">
        <f t="shared" si="299"/>
        <v/>
      </c>
      <c r="I741" s="78" t="str">
        <f t="shared" si="300"/>
        <v/>
      </c>
      <c r="J741" s="70" t="str">
        <f t="shared" si="301"/>
        <v/>
      </c>
      <c r="K741" s="135"/>
      <c r="L741" s="72" t="str">
        <f t="shared" si="302"/>
        <v/>
      </c>
      <c r="M741" s="135"/>
      <c r="N741" s="72" t="str">
        <f t="shared" si="303"/>
        <v/>
      </c>
      <c r="O741" s="135"/>
      <c r="P741" s="136"/>
      <c r="Q741" s="123" t="str">
        <f t="shared" si="304"/>
        <v/>
      </c>
      <c r="R741" s="45" t="str">
        <f t="shared" si="305"/>
        <v/>
      </c>
      <c r="S741" s="137"/>
      <c r="T741" s="79" t="str">
        <f t="shared" si="314"/>
        <v/>
      </c>
      <c r="U741" s="79" t="str">
        <f t="shared" si="306"/>
        <v/>
      </c>
      <c r="V741" s="73" t="str">
        <f t="shared" si="307"/>
        <v/>
      </c>
      <c r="W741" s="80" t="str">
        <f t="shared" si="308"/>
        <v/>
      </c>
      <c r="X741" s="73" t="str">
        <f t="shared" si="309"/>
        <v/>
      </c>
      <c r="Y741" s="80" t="str">
        <f t="shared" si="310"/>
        <v/>
      </c>
      <c r="Z741" s="74" t="str">
        <f t="shared" si="311"/>
        <v/>
      </c>
      <c r="AA741" s="75" t="str">
        <f t="shared" si="315"/>
        <v/>
      </c>
      <c r="AB741" s="103" t="str">
        <f t="shared" si="312"/>
        <v/>
      </c>
      <c r="AC741" s="104" t="str">
        <f t="shared" si="323"/>
        <v/>
      </c>
      <c r="AE741" s="139"/>
      <c r="AF741" s="110" t="str">
        <f t="shared" si="316"/>
        <v/>
      </c>
      <c r="AG741" s="111" t="str">
        <f t="shared" si="317"/>
        <v/>
      </c>
      <c r="AH741" s="111" t="str">
        <f t="shared" si="313"/>
        <v/>
      </c>
      <c r="AI741" s="111" t="str">
        <f t="shared" si="318"/>
        <v/>
      </c>
      <c r="AJ741" s="111" t="str">
        <f t="shared" si="319"/>
        <v/>
      </c>
      <c r="AK741" s="112" t="str">
        <f t="shared" si="320"/>
        <v/>
      </c>
      <c r="AL741" t="str">
        <f t="shared" si="321"/>
        <v/>
      </c>
      <c r="AM741" t="str">
        <f t="shared" si="322"/>
        <v/>
      </c>
    </row>
    <row r="742" spans="1:39" ht="15" customHeight="1" x14ac:dyDescent="0.25">
      <c r="A742" s="131"/>
      <c r="B742" s="133"/>
      <c r="C742" s="133"/>
      <c r="D742" s="42" t="str">
        <f t="shared" si="297"/>
        <v/>
      </c>
      <c r="E742" s="43"/>
      <c r="F742" s="135"/>
      <c r="G742" s="77" t="str">
        <f t="shared" si="298"/>
        <v/>
      </c>
      <c r="H742" s="32" t="str">
        <f t="shared" si="299"/>
        <v/>
      </c>
      <c r="I742" s="78" t="str">
        <f t="shared" si="300"/>
        <v/>
      </c>
      <c r="J742" s="70" t="str">
        <f t="shared" si="301"/>
        <v/>
      </c>
      <c r="K742" s="135"/>
      <c r="L742" s="72" t="str">
        <f t="shared" si="302"/>
        <v/>
      </c>
      <c r="M742" s="135"/>
      <c r="N742" s="72" t="str">
        <f t="shared" si="303"/>
        <v/>
      </c>
      <c r="O742" s="135"/>
      <c r="P742" s="136"/>
      <c r="Q742" s="123" t="str">
        <f t="shared" si="304"/>
        <v/>
      </c>
      <c r="R742" s="45" t="str">
        <f t="shared" si="305"/>
        <v/>
      </c>
      <c r="S742" s="137"/>
      <c r="T742" s="79" t="str">
        <f t="shared" si="314"/>
        <v/>
      </c>
      <c r="U742" s="79" t="str">
        <f t="shared" si="306"/>
        <v/>
      </c>
      <c r="V742" s="73" t="str">
        <f t="shared" si="307"/>
        <v/>
      </c>
      <c r="W742" s="80" t="str">
        <f t="shared" si="308"/>
        <v/>
      </c>
      <c r="X742" s="73" t="str">
        <f t="shared" si="309"/>
        <v/>
      </c>
      <c r="Y742" s="80" t="str">
        <f t="shared" si="310"/>
        <v/>
      </c>
      <c r="Z742" s="74" t="str">
        <f t="shared" si="311"/>
        <v/>
      </c>
      <c r="AA742" s="75" t="str">
        <f t="shared" si="315"/>
        <v/>
      </c>
      <c r="AB742" s="103" t="str">
        <f t="shared" si="312"/>
        <v/>
      </c>
      <c r="AC742" s="104" t="str">
        <f t="shared" si="323"/>
        <v/>
      </c>
      <c r="AE742" s="139"/>
      <c r="AF742" s="110" t="str">
        <f t="shared" si="316"/>
        <v/>
      </c>
      <c r="AG742" s="111" t="str">
        <f t="shared" si="317"/>
        <v/>
      </c>
      <c r="AH742" s="111" t="str">
        <f t="shared" si="313"/>
        <v/>
      </c>
      <c r="AI742" s="111" t="str">
        <f t="shared" si="318"/>
        <v/>
      </c>
      <c r="AJ742" s="111" t="str">
        <f t="shared" si="319"/>
        <v/>
      </c>
      <c r="AK742" s="112" t="str">
        <f t="shared" si="320"/>
        <v/>
      </c>
      <c r="AL742" t="str">
        <f t="shared" si="321"/>
        <v/>
      </c>
      <c r="AM742" t="str">
        <f t="shared" si="322"/>
        <v/>
      </c>
    </row>
    <row r="743" spans="1:39" ht="15" customHeight="1" x14ac:dyDescent="0.25">
      <c r="A743" s="131"/>
      <c r="B743" s="133"/>
      <c r="C743" s="133"/>
      <c r="D743" s="42" t="str">
        <f t="shared" si="297"/>
        <v/>
      </c>
      <c r="E743" s="43"/>
      <c r="F743" s="135"/>
      <c r="G743" s="77" t="str">
        <f t="shared" si="298"/>
        <v/>
      </c>
      <c r="H743" s="32" t="str">
        <f t="shared" si="299"/>
        <v/>
      </c>
      <c r="I743" s="78" t="str">
        <f t="shared" si="300"/>
        <v/>
      </c>
      <c r="J743" s="70" t="str">
        <f t="shared" si="301"/>
        <v/>
      </c>
      <c r="K743" s="135"/>
      <c r="L743" s="72" t="str">
        <f t="shared" si="302"/>
        <v/>
      </c>
      <c r="M743" s="135"/>
      <c r="N743" s="72" t="str">
        <f t="shared" si="303"/>
        <v/>
      </c>
      <c r="O743" s="135"/>
      <c r="P743" s="136"/>
      <c r="Q743" s="123" t="str">
        <f t="shared" si="304"/>
        <v/>
      </c>
      <c r="R743" s="45" t="str">
        <f t="shared" si="305"/>
        <v/>
      </c>
      <c r="S743" s="137"/>
      <c r="T743" s="79" t="str">
        <f t="shared" si="314"/>
        <v/>
      </c>
      <c r="U743" s="79" t="str">
        <f t="shared" si="306"/>
        <v/>
      </c>
      <c r="V743" s="73" t="str">
        <f t="shared" si="307"/>
        <v/>
      </c>
      <c r="W743" s="80" t="str">
        <f t="shared" si="308"/>
        <v/>
      </c>
      <c r="X743" s="73" t="str">
        <f t="shared" si="309"/>
        <v/>
      </c>
      <c r="Y743" s="80" t="str">
        <f t="shared" si="310"/>
        <v/>
      </c>
      <c r="Z743" s="74" t="str">
        <f t="shared" si="311"/>
        <v/>
      </c>
      <c r="AA743" s="75" t="str">
        <f t="shared" si="315"/>
        <v/>
      </c>
      <c r="AB743" s="103" t="str">
        <f t="shared" si="312"/>
        <v/>
      </c>
      <c r="AC743" s="104" t="str">
        <f t="shared" si="323"/>
        <v/>
      </c>
      <c r="AE743" s="139"/>
      <c r="AF743" s="110" t="str">
        <f t="shared" si="316"/>
        <v/>
      </c>
      <c r="AG743" s="111" t="str">
        <f t="shared" si="317"/>
        <v/>
      </c>
      <c r="AH743" s="111" t="str">
        <f t="shared" si="313"/>
        <v/>
      </c>
      <c r="AI743" s="111" t="str">
        <f t="shared" si="318"/>
        <v/>
      </c>
      <c r="AJ743" s="111" t="str">
        <f t="shared" si="319"/>
        <v/>
      </c>
      <c r="AK743" s="112" t="str">
        <f t="shared" si="320"/>
        <v/>
      </c>
      <c r="AL743" t="str">
        <f t="shared" si="321"/>
        <v/>
      </c>
      <c r="AM743" t="str">
        <f t="shared" si="322"/>
        <v/>
      </c>
    </row>
    <row r="744" spans="1:39" ht="15" customHeight="1" x14ac:dyDescent="0.25">
      <c r="A744" s="131"/>
      <c r="B744" s="133"/>
      <c r="C744" s="133"/>
      <c r="D744" s="42" t="str">
        <f t="shared" si="297"/>
        <v/>
      </c>
      <c r="E744" s="43"/>
      <c r="F744" s="135"/>
      <c r="G744" s="77" t="str">
        <f t="shared" si="298"/>
        <v/>
      </c>
      <c r="H744" s="32" t="str">
        <f t="shared" si="299"/>
        <v/>
      </c>
      <c r="I744" s="78" t="str">
        <f t="shared" si="300"/>
        <v/>
      </c>
      <c r="J744" s="70" t="str">
        <f t="shared" si="301"/>
        <v/>
      </c>
      <c r="K744" s="135"/>
      <c r="L744" s="72" t="str">
        <f t="shared" si="302"/>
        <v/>
      </c>
      <c r="M744" s="135"/>
      <c r="N744" s="72" t="str">
        <f t="shared" si="303"/>
        <v/>
      </c>
      <c r="O744" s="135"/>
      <c r="P744" s="136"/>
      <c r="Q744" s="123" t="str">
        <f t="shared" si="304"/>
        <v/>
      </c>
      <c r="R744" s="45" t="str">
        <f t="shared" si="305"/>
        <v/>
      </c>
      <c r="S744" s="137"/>
      <c r="T744" s="79" t="str">
        <f t="shared" si="314"/>
        <v/>
      </c>
      <c r="U744" s="79" t="str">
        <f t="shared" si="306"/>
        <v/>
      </c>
      <c r="V744" s="73" t="str">
        <f t="shared" si="307"/>
        <v/>
      </c>
      <c r="W744" s="80" t="str">
        <f t="shared" si="308"/>
        <v/>
      </c>
      <c r="X744" s="73" t="str">
        <f t="shared" si="309"/>
        <v/>
      </c>
      <c r="Y744" s="80" t="str">
        <f t="shared" si="310"/>
        <v/>
      </c>
      <c r="Z744" s="74" t="str">
        <f t="shared" si="311"/>
        <v/>
      </c>
      <c r="AA744" s="75" t="str">
        <f t="shared" si="315"/>
        <v/>
      </c>
      <c r="AB744" s="103" t="str">
        <f t="shared" si="312"/>
        <v/>
      </c>
      <c r="AC744" s="104" t="str">
        <f t="shared" si="323"/>
        <v/>
      </c>
      <c r="AE744" s="139"/>
      <c r="AF744" s="110" t="str">
        <f t="shared" si="316"/>
        <v/>
      </c>
      <c r="AG744" s="111" t="str">
        <f t="shared" si="317"/>
        <v/>
      </c>
      <c r="AH744" s="111" t="str">
        <f t="shared" si="313"/>
        <v/>
      </c>
      <c r="AI744" s="111" t="str">
        <f t="shared" si="318"/>
        <v/>
      </c>
      <c r="AJ744" s="111" t="str">
        <f t="shared" si="319"/>
        <v/>
      </c>
      <c r="AK744" s="112" t="str">
        <f t="shared" si="320"/>
        <v/>
      </c>
      <c r="AL744" t="str">
        <f t="shared" si="321"/>
        <v/>
      </c>
      <c r="AM744" t="str">
        <f t="shared" si="322"/>
        <v/>
      </c>
    </row>
    <row r="745" spans="1:39" ht="15" customHeight="1" x14ac:dyDescent="0.25">
      <c r="A745" s="131"/>
      <c r="B745" s="133"/>
      <c r="C745" s="133"/>
      <c r="D745" s="42" t="str">
        <f t="shared" si="297"/>
        <v/>
      </c>
      <c r="E745" s="43"/>
      <c r="F745" s="135"/>
      <c r="G745" s="77" t="str">
        <f t="shared" si="298"/>
        <v/>
      </c>
      <c r="H745" s="32" t="str">
        <f t="shared" si="299"/>
        <v/>
      </c>
      <c r="I745" s="78" t="str">
        <f t="shared" si="300"/>
        <v/>
      </c>
      <c r="J745" s="70" t="str">
        <f t="shared" si="301"/>
        <v/>
      </c>
      <c r="K745" s="135"/>
      <c r="L745" s="72" t="str">
        <f t="shared" si="302"/>
        <v/>
      </c>
      <c r="M745" s="135"/>
      <c r="N745" s="72" t="str">
        <f t="shared" si="303"/>
        <v/>
      </c>
      <c r="O745" s="135"/>
      <c r="P745" s="136"/>
      <c r="Q745" s="123" t="str">
        <f t="shared" si="304"/>
        <v/>
      </c>
      <c r="R745" s="45" t="str">
        <f t="shared" si="305"/>
        <v/>
      </c>
      <c r="S745" s="137"/>
      <c r="T745" s="79" t="str">
        <f t="shared" si="314"/>
        <v/>
      </c>
      <c r="U745" s="79" t="str">
        <f t="shared" si="306"/>
        <v/>
      </c>
      <c r="V745" s="73" t="str">
        <f t="shared" si="307"/>
        <v/>
      </c>
      <c r="W745" s="80" t="str">
        <f t="shared" si="308"/>
        <v/>
      </c>
      <c r="X745" s="73" t="str">
        <f t="shared" si="309"/>
        <v/>
      </c>
      <c r="Y745" s="80" t="str">
        <f t="shared" si="310"/>
        <v/>
      </c>
      <c r="Z745" s="74" t="str">
        <f t="shared" si="311"/>
        <v/>
      </c>
      <c r="AA745" s="75" t="str">
        <f t="shared" si="315"/>
        <v/>
      </c>
      <c r="AB745" s="103" t="str">
        <f t="shared" si="312"/>
        <v/>
      </c>
      <c r="AC745" s="104" t="str">
        <f t="shared" si="323"/>
        <v/>
      </c>
      <c r="AE745" s="139"/>
      <c r="AF745" s="110" t="str">
        <f t="shared" si="316"/>
        <v/>
      </c>
      <c r="AG745" s="111" t="str">
        <f t="shared" si="317"/>
        <v/>
      </c>
      <c r="AH745" s="111" t="str">
        <f t="shared" si="313"/>
        <v/>
      </c>
      <c r="AI745" s="111" t="str">
        <f t="shared" si="318"/>
        <v/>
      </c>
      <c r="AJ745" s="111" t="str">
        <f t="shared" si="319"/>
        <v/>
      </c>
      <c r="AK745" s="112" t="str">
        <f t="shared" si="320"/>
        <v/>
      </c>
      <c r="AL745" t="str">
        <f t="shared" si="321"/>
        <v/>
      </c>
      <c r="AM745" t="str">
        <f t="shared" si="322"/>
        <v/>
      </c>
    </row>
    <row r="746" spans="1:39" ht="15" customHeight="1" x14ac:dyDescent="0.25">
      <c r="A746" s="131"/>
      <c r="B746" s="133"/>
      <c r="C746" s="133"/>
      <c r="D746" s="42" t="str">
        <f t="shared" si="297"/>
        <v/>
      </c>
      <c r="E746" s="43"/>
      <c r="F746" s="135"/>
      <c r="G746" s="77" t="str">
        <f t="shared" si="298"/>
        <v/>
      </c>
      <c r="H746" s="32" t="str">
        <f t="shared" si="299"/>
        <v/>
      </c>
      <c r="I746" s="78" t="str">
        <f t="shared" si="300"/>
        <v/>
      </c>
      <c r="J746" s="70" t="str">
        <f t="shared" si="301"/>
        <v/>
      </c>
      <c r="K746" s="135"/>
      <c r="L746" s="72" t="str">
        <f t="shared" si="302"/>
        <v/>
      </c>
      <c r="M746" s="135"/>
      <c r="N746" s="72" t="str">
        <f t="shared" si="303"/>
        <v/>
      </c>
      <c r="O746" s="135"/>
      <c r="P746" s="136"/>
      <c r="Q746" s="123" t="str">
        <f t="shared" si="304"/>
        <v/>
      </c>
      <c r="R746" s="45" t="str">
        <f t="shared" si="305"/>
        <v/>
      </c>
      <c r="S746" s="137"/>
      <c r="T746" s="79" t="str">
        <f t="shared" si="314"/>
        <v/>
      </c>
      <c r="U746" s="79" t="str">
        <f t="shared" si="306"/>
        <v/>
      </c>
      <c r="V746" s="73" t="str">
        <f t="shared" si="307"/>
        <v/>
      </c>
      <c r="W746" s="80" t="str">
        <f t="shared" si="308"/>
        <v/>
      </c>
      <c r="X746" s="73" t="str">
        <f t="shared" si="309"/>
        <v/>
      </c>
      <c r="Y746" s="80" t="str">
        <f t="shared" si="310"/>
        <v/>
      </c>
      <c r="Z746" s="74" t="str">
        <f t="shared" si="311"/>
        <v/>
      </c>
      <c r="AA746" s="75" t="str">
        <f t="shared" si="315"/>
        <v/>
      </c>
      <c r="AB746" s="103" t="str">
        <f t="shared" si="312"/>
        <v/>
      </c>
      <c r="AC746" s="104" t="str">
        <f t="shared" si="323"/>
        <v/>
      </c>
      <c r="AE746" s="139"/>
      <c r="AF746" s="110" t="str">
        <f t="shared" si="316"/>
        <v/>
      </c>
      <c r="AG746" s="111" t="str">
        <f t="shared" si="317"/>
        <v/>
      </c>
      <c r="AH746" s="111" t="str">
        <f t="shared" si="313"/>
        <v/>
      </c>
      <c r="AI746" s="111" t="str">
        <f t="shared" si="318"/>
        <v/>
      </c>
      <c r="AJ746" s="111" t="str">
        <f t="shared" si="319"/>
        <v/>
      </c>
      <c r="AK746" s="112" t="str">
        <f t="shared" si="320"/>
        <v/>
      </c>
      <c r="AL746" t="str">
        <f t="shared" si="321"/>
        <v/>
      </c>
      <c r="AM746" t="str">
        <f t="shared" si="322"/>
        <v/>
      </c>
    </row>
    <row r="747" spans="1:39" ht="15" customHeight="1" x14ac:dyDescent="0.25">
      <c r="A747" s="131"/>
      <c r="B747" s="133"/>
      <c r="C747" s="133"/>
      <c r="D747" s="42" t="str">
        <f t="shared" si="297"/>
        <v/>
      </c>
      <c r="E747" s="43"/>
      <c r="F747" s="135"/>
      <c r="G747" s="77" t="str">
        <f t="shared" si="298"/>
        <v/>
      </c>
      <c r="H747" s="32" t="str">
        <f t="shared" si="299"/>
        <v/>
      </c>
      <c r="I747" s="78" t="str">
        <f t="shared" si="300"/>
        <v/>
      </c>
      <c r="J747" s="70" t="str">
        <f t="shared" si="301"/>
        <v/>
      </c>
      <c r="K747" s="135"/>
      <c r="L747" s="72" t="str">
        <f t="shared" si="302"/>
        <v/>
      </c>
      <c r="M747" s="135"/>
      <c r="N747" s="72" t="str">
        <f t="shared" si="303"/>
        <v/>
      </c>
      <c r="O747" s="135"/>
      <c r="P747" s="136"/>
      <c r="Q747" s="123" t="str">
        <f t="shared" si="304"/>
        <v/>
      </c>
      <c r="R747" s="45" t="str">
        <f t="shared" si="305"/>
        <v/>
      </c>
      <c r="S747" s="137"/>
      <c r="T747" s="79" t="str">
        <f t="shared" si="314"/>
        <v/>
      </c>
      <c r="U747" s="79" t="str">
        <f t="shared" si="306"/>
        <v/>
      </c>
      <c r="V747" s="73" t="str">
        <f t="shared" si="307"/>
        <v/>
      </c>
      <c r="W747" s="80" t="str">
        <f t="shared" si="308"/>
        <v/>
      </c>
      <c r="X747" s="73" t="str">
        <f t="shared" si="309"/>
        <v/>
      </c>
      <c r="Y747" s="80" t="str">
        <f t="shared" si="310"/>
        <v/>
      </c>
      <c r="Z747" s="74" t="str">
        <f t="shared" si="311"/>
        <v/>
      </c>
      <c r="AA747" s="75" t="str">
        <f t="shared" si="315"/>
        <v/>
      </c>
      <c r="AB747" s="103" t="str">
        <f t="shared" si="312"/>
        <v/>
      </c>
      <c r="AC747" s="104" t="str">
        <f t="shared" si="323"/>
        <v/>
      </c>
      <c r="AE747" s="139"/>
      <c r="AF747" s="110" t="str">
        <f t="shared" si="316"/>
        <v/>
      </c>
      <c r="AG747" s="111" t="str">
        <f t="shared" si="317"/>
        <v/>
      </c>
      <c r="AH747" s="111" t="str">
        <f t="shared" si="313"/>
        <v/>
      </c>
      <c r="AI747" s="111" t="str">
        <f t="shared" si="318"/>
        <v/>
      </c>
      <c r="AJ747" s="111" t="str">
        <f t="shared" si="319"/>
        <v/>
      </c>
      <c r="AK747" s="112" t="str">
        <f t="shared" si="320"/>
        <v/>
      </c>
      <c r="AL747" t="str">
        <f t="shared" si="321"/>
        <v/>
      </c>
      <c r="AM747" t="str">
        <f t="shared" si="322"/>
        <v/>
      </c>
    </row>
    <row r="748" spans="1:39" ht="15" customHeight="1" x14ac:dyDescent="0.25">
      <c r="A748" s="131"/>
      <c r="B748" s="133"/>
      <c r="C748" s="133"/>
      <c r="D748" s="42" t="str">
        <f t="shared" si="297"/>
        <v/>
      </c>
      <c r="E748" s="43"/>
      <c r="F748" s="135"/>
      <c r="G748" s="77" t="str">
        <f t="shared" si="298"/>
        <v/>
      </c>
      <c r="H748" s="32" t="str">
        <f t="shared" si="299"/>
        <v/>
      </c>
      <c r="I748" s="78" t="str">
        <f t="shared" si="300"/>
        <v/>
      </c>
      <c r="J748" s="70" t="str">
        <f t="shared" si="301"/>
        <v/>
      </c>
      <c r="K748" s="135"/>
      <c r="L748" s="72" t="str">
        <f t="shared" si="302"/>
        <v/>
      </c>
      <c r="M748" s="135"/>
      <c r="N748" s="72" t="str">
        <f t="shared" si="303"/>
        <v/>
      </c>
      <c r="O748" s="135"/>
      <c r="P748" s="136"/>
      <c r="Q748" s="123" t="str">
        <f t="shared" si="304"/>
        <v/>
      </c>
      <c r="R748" s="45" t="str">
        <f t="shared" si="305"/>
        <v/>
      </c>
      <c r="S748" s="137"/>
      <c r="T748" s="79" t="str">
        <f t="shared" si="314"/>
        <v/>
      </c>
      <c r="U748" s="79" t="str">
        <f t="shared" si="306"/>
        <v/>
      </c>
      <c r="V748" s="73" t="str">
        <f t="shared" si="307"/>
        <v/>
      </c>
      <c r="W748" s="80" t="str">
        <f t="shared" si="308"/>
        <v/>
      </c>
      <c r="X748" s="73" t="str">
        <f t="shared" si="309"/>
        <v/>
      </c>
      <c r="Y748" s="80" t="str">
        <f t="shared" si="310"/>
        <v/>
      </c>
      <c r="Z748" s="74" t="str">
        <f t="shared" si="311"/>
        <v/>
      </c>
      <c r="AA748" s="75" t="str">
        <f t="shared" si="315"/>
        <v/>
      </c>
      <c r="AB748" s="103" t="str">
        <f t="shared" si="312"/>
        <v/>
      </c>
      <c r="AC748" s="104" t="str">
        <f t="shared" si="323"/>
        <v/>
      </c>
      <c r="AE748" s="139"/>
      <c r="AF748" s="110" t="str">
        <f t="shared" si="316"/>
        <v/>
      </c>
      <c r="AG748" s="111" t="str">
        <f t="shared" si="317"/>
        <v/>
      </c>
      <c r="AH748" s="111" t="str">
        <f t="shared" si="313"/>
        <v/>
      </c>
      <c r="AI748" s="111" t="str">
        <f t="shared" si="318"/>
        <v/>
      </c>
      <c r="AJ748" s="111" t="str">
        <f t="shared" si="319"/>
        <v/>
      </c>
      <c r="AK748" s="112" t="str">
        <f t="shared" si="320"/>
        <v/>
      </c>
      <c r="AL748" t="str">
        <f t="shared" si="321"/>
        <v/>
      </c>
      <c r="AM748" t="str">
        <f t="shared" si="322"/>
        <v/>
      </c>
    </row>
    <row r="749" spans="1:39" ht="15" customHeight="1" x14ac:dyDescent="0.25">
      <c r="A749" s="131"/>
      <c r="B749" s="133"/>
      <c r="C749" s="133"/>
      <c r="D749" s="42" t="str">
        <f t="shared" si="297"/>
        <v/>
      </c>
      <c r="E749" s="43"/>
      <c r="F749" s="135"/>
      <c r="G749" s="77" t="str">
        <f t="shared" si="298"/>
        <v/>
      </c>
      <c r="H749" s="32" t="str">
        <f t="shared" si="299"/>
        <v/>
      </c>
      <c r="I749" s="78" t="str">
        <f t="shared" si="300"/>
        <v/>
      </c>
      <c r="J749" s="70" t="str">
        <f t="shared" si="301"/>
        <v/>
      </c>
      <c r="K749" s="135"/>
      <c r="L749" s="72" t="str">
        <f t="shared" si="302"/>
        <v/>
      </c>
      <c r="M749" s="135"/>
      <c r="N749" s="72" t="str">
        <f t="shared" si="303"/>
        <v/>
      </c>
      <c r="O749" s="135"/>
      <c r="P749" s="136"/>
      <c r="Q749" s="123" t="str">
        <f t="shared" si="304"/>
        <v/>
      </c>
      <c r="R749" s="45" t="str">
        <f t="shared" si="305"/>
        <v/>
      </c>
      <c r="S749" s="137"/>
      <c r="T749" s="79" t="str">
        <f t="shared" si="314"/>
        <v/>
      </c>
      <c r="U749" s="79" t="str">
        <f t="shared" si="306"/>
        <v/>
      </c>
      <c r="V749" s="73" t="str">
        <f t="shared" si="307"/>
        <v/>
      </c>
      <c r="W749" s="80" t="str">
        <f t="shared" si="308"/>
        <v/>
      </c>
      <c r="X749" s="73" t="str">
        <f t="shared" si="309"/>
        <v/>
      </c>
      <c r="Y749" s="80" t="str">
        <f t="shared" si="310"/>
        <v/>
      </c>
      <c r="Z749" s="74" t="str">
        <f t="shared" si="311"/>
        <v/>
      </c>
      <c r="AA749" s="75" t="str">
        <f t="shared" si="315"/>
        <v/>
      </c>
      <c r="AB749" s="103" t="str">
        <f t="shared" si="312"/>
        <v/>
      </c>
      <c r="AC749" s="104" t="str">
        <f t="shared" si="323"/>
        <v/>
      </c>
      <c r="AE749" s="139"/>
      <c r="AF749" s="110" t="str">
        <f t="shared" si="316"/>
        <v/>
      </c>
      <c r="AG749" s="111" t="str">
        <f t="shared" si="317"/>
        <v/>
      </c>
      <c r="AH749" s="111" t="str">
        <f t="shared" si="313"/>
        <v/>
      </c>
      <c r="AI749" s="111" t="str">
        <f t="shared" si="318"/>
        <v/>
      </c>
      <c r="AJ749" s="111" t="str">
        <f t="shared" si="319"/>
        <v/>
      </c>
      <c r="AK749" s="112" t="str">
        <f t="shared" si="320"/>
        <v/>
      </c>
      <c r="AL749" t="str">
        <f t="shared" si="321"/>
        <v/>
      </c>
      <c r="AM749" t="str">
        <f t="shared" si="322"/>
        <v/>
      </c>
    </row>
    <row r="750" spans="1:39" ht="15" customHeight="1" x14ac:dyDescent="0.25">
      <c r="A750" s="131"/>
      <c r="B750" s="133"/>
      <c r="C750" s="133"/>
      <c r="D750" s="42" t="str">
        <f t="shared" si="297"/>
        <v/>
      </c>
      <c r="E750" s="43"/>
      <c r="F750" s="135"/>
      <c r="G750" s="77" t="str">
        <f t="shared" si="298"/>
        <v/>
      </c>
      <c r="H750" s="32" t="str">
        <f t="shared" si="299"/>
        <v/>
      </c>
      <c r="I750" s="78" t="str">
        <f t="shared" si="300"/>
        <v/>
      </c>
      <c r="J750" s="70" t="str">
        <f t="shared" si="301"/>
        <v/>
      </c>
      <c r="K750" s="135"/>
      <c r="L750" s="72" t="str">
        <f t="shared" si="302"/>
        <v/>
      </c>
      <c r="M750" s="135"/>
      <c r="N750" s="72" t="str">
        <f t="shared" si="303"/>
        <v/>
      </c>
      <c r="O750" s="135"/>
      <c r="P750" s="136"/>
      <c r="Q750" s="123" t="str">
        <f t="shared" si="304"/>
        <v/>
      </c>
      <c r="R750" s="45" t="str">
        <f t="shared" si="305"/>
        <v/>
      </c>
      <c r="S750" s="137"/>
      <c r="T750" s="79" t="str">
        <f t="shared" si="314"/>
        <v/>
      </c>
      <c r="U750" s="79" t="str">
        <f t="shared" si="306"/>
        <v/>
      </c>
      <c r="V750" s="73" t="str">
        <f t="shared" si="307"/>
        <v/>
      </c>
      <c r="W750" s="80" t="str">
        <f t="shared" si="308"/>
        <v/>
      </c>
      <c r="X750" s="73" t="str">
        <f t="shared" si="309"/>
        <v/>
      </c>
      <c r="Y750" s="80" t="str">
        <f t="shared" si="310"/>
        <v/>
      </c>
      <c r="Z750" s="74" t="str">
        <f t="shared" si="311"/>
        <v/>
      </c>
      <c r="AA750" s="75" t="str">
        <f t="shared" si="315"/>
        <v/>
      </c>
      <c r="AB750" s="103" t="str">
        <f t="shared" si="312"/>
        <v/>
      </c>
      <c r="AC750" s="104" t="str">
        <f t="shared" si="323"/>
        <v/>
      </c>
      <c r="AE750" s="139"/>
      <c r="AF750" s="110" t="str">
        <f t="shared" si="316"/>
        <v/>
      </c>
      <c r="AG750" s="111" t="str">
        <f t="shared" si="317"/>
        <v/>
      </c>
      <c r="AH750" s="111" t="str">
        <f t="shared" si="313"/>
        <v/>
      </c>
      <c r="AI750" s="111" t="str">
        <f t="shared" si="318"/>
        <v/>
      </c>
      <c r="AJ750" s="111" t="str">
        <f t="shared" si="319"/>
        <v/>
      </c>
      <c r="AK750" s="112" t="str">
        <f t="shared" si="320"/>
        <v/>
      </c>
      <c r="AL750" t="str">
        <f t="shared" si="321"/>
        <v/>
      </c>
      <c r="AM750" t="str">
        <f t="shared" si="322"/>
        <v/>
      </c>
    </row>
    <row r="751" spans="1:39" ht="15" customHeight="1" x14ac:dyDescent="0.25">
      <c r="A751" s="131"/>
      <c r="B751" s="133"/>
      <c r="C751" s="133"/>
      <c r="D751" s="42" t="str">
        <f t="shared" si="297"/>
        <v/>
      </c>
      <c r="E751" s="43"/>
      <c r="F751" s="135"/>
      <c r="G751" s="77" t="str">
        <f t="shared" si="298"/>
        <v/>
      </c>
      <c r="H751" s="32" t="str">
        <f t="shared" si="299"/>
        <v/>
      </c>
      <c r="I751" s="78" t="str">
        <f t="shared" si="300"/>
        <v/>
      </c>
      <c r="J751" s="70" t="str">
        <f t="shared" si="301"/>
        <v/>
      </c>
      <c r="K751" s="135"/>
      <c r="L751" s="72" t="str">
        <f t="shared" si="302"/>
        <v/>
      </c>
      <c r="M751" s="135"/>
      <c r="N751" s="72" t="str">
        <f t="shared" si="303"/>
        <v/>
      </c>
      <c r="O751" s="135"/>
      <c r="P751" s="136"/>
      <c r="Q751" s="123" t="str">
        <f t="shared" si="304"/>
        <v/>
      </c>
      <c r="R751" s="45" t="str">
        <f t="shared" si="305"/>
        <v/>
      </c>
      <c r="S751" s="137"/>
      <c r="T751" s="79" t="str">
        <f t="shared" si="314"/>
        <v/>
      </c>
      <c r="U751" s="79" t="str">
        <f t="shared" si="306"/>
        <v/>
      </c>
      <c r="V751" s="73" t="str">
        <f t="shared" si="307"/>
        <v/>
      </c>
      <c r="W751" s="80" t="str">
        <f t="shared" si="308"/>
        <v/>
      </c>
      <c r="X751" s="73" t="str">
        <f t="shared" si="309"/>
        <v/>
      </c>
      <c r="Y751" s="80" t="str">
        <f t="shared" si="310"/>
        <v/>
      </c>
      <c r="Z751" s="74" t="str">
        <f t="shared" si="311"/>
        <v/>
      </c>
      <c r="AA751" s="75" t="str">
        <f t="shared" si="315"/>
        <v/>
      </c>
      <c r="AB751" s="103" t="str">
        <f t="shared" si="312"/>
        <v/>
      </c>
      <c r="AC751" s="104" t="str">
        <f t="shared" si="323"/>
        <v/>
      </c>
      <c r="AE751" s="139"/>
      <c r="AF751" s="110" t="str">
        <f t="shared" si="316"/>
        <v/>
      </c>
      <c r="AG751" s="111" t="str">
        <f t="shared" si="317"/>
        <v/>
      </c>
      <c r="AH751" s="111" t="str">
        <f t="shared" si="313"/>
        <v/>
      </c>
      <c r="AI751" s="111" t="str">
        <f t="shared" si="318"/>
        <v/>
      </c>
      <c r="AJ751" s="111" t="str">
        <f t="shared" si="319"/>
        <v/>
      </c>
      <c r="AK751" s="112" t="str">
        <f t="shared" si="320"/>
        <v/>
      </c>
      <c r="AL751" t="str">
        <f t="shared" si="321"/>
        <v/>
      </c>
      <c r="AM751" t="str">
        <f t="shared" si="322"/>
        <v/>
      </c>
    </row>
    <row r="752" spans="1:39" ht="15" customHeight="1" x14ac:dyDescent="0.25">
      <c r="A752" s="131"/>
      <c r="B752" s="133"/>
      <c r="C752" s="133"/>
      <c r="D752" s="42" t="str">
        <f t="shared" si="297"/>
        <v/>
      </c>
      <c r="E752" s="43"/>
      <c r="F752" s="135"/>
      <c r="G752" s="77" t="str">
        <f t="shared" si="298"/>
        <v/>
      </c>
      <c r="H752" s="32" t="str">
        <f t="shared" si="299"/>
        <v/>
      </c>
      <c r="I752" s="78" t="str">
        <f t="shared" si="300"/>
        <v/>
      </c>
      <c r="J752" s="70" t="str">
        <f t="shared" si="301"/>
        <v/>
      </c>
      <c r="K752" s="135"/>
      <c r="L752" s="72" t="str">
        <f t="shared" si="302"/>
        <v/>
      </c>
      <c r="M752" s="135"/>
      <c r="N752" s="72" t="str">
        <f t="shared" si="303"/>
        <v/>
      </c>
      <c r="O752" s="135"/>
      <c r="P752" s="136"/>
      <c r="Q752" s="123" t="str">
        <f t="shared" si="304"/>
        <v/>
      </c>
      <c r="R752" s="45" t="str">
        <f t="shared" si="305"/>
        <v/>
      </c>
      <c r="S752" s="137"/>
      <c r="T752" s="79" t="str">
        <f t="shared" si="314"/>
        <v/>
      </c>
      <c r="U752" s="79" t="str">
        <f t="shared" si="306"/>
        <v/>
      </c>
      <c r="V752" s="73" t="str">
        <f t="shared" si="307"/>
        <v/>
      </c>
      <c r="W752" s="80" t="str">
        <f t="shared" si="308"/>
        <v/>
      </c>
      <c r="X752" s="73" t="str">
        <f t="shared" si="309"/>
        <v/>
      </c>
      <c r="Y752" s="80" t="str">
        <f t="shared" si="310"/>
        <v/>
      </c>
      <c r="Z752" s="74" t="str">
        <f t="shared" si="311"/>
        <v/>
      </c>
      <c r="AA752" s="75" t="str">
        <f t="shared" si="315"/>
        <v/>
      </c>
      <c r="AB752" s="103" t="str">
        <f t="shared" si="312"/>
        <v/>
      </c>
      <c r="AC752" s="104" t="str">
        <f t="shared" si="323"/>
        <v/>
      </c>
      <c r="AE752" s="139"/>
      <c r="AF752" s="110" t="str">
        <f t="shared" si="316"/>
        <v/>
      </c>
      <c r="AG752" s="111" t="str">
        <f t="shared" si="317"/>
        <v/>
      </c>
      <c r="AH752" s="111" t="str">
        <f t="shared" si="313"/>
        <v/>
      </c>
      <c r="AI752" s="111" t="str">
        <f t="shared" si="318"/>
        <v/>
      </c>
      <c r="AJ752" s="111" t="str">
        <f t="shared" si="319"/>
        <v/>
      </c>
      <c r="AK752" s="112" t="str">
        <f t="shared" si="320"/>
        <v/>
      </c>
      <c r="AL752" t="str">
        <f t="shared" si="321"/>
        <v/>
      </c>
      <c r="AM752" t="str">
        <f t="shared" si="322"/>
        <v/>
      </c>
    </row>
    <row r="753" spans="1:39" ht="15" customHeight="1" x14ac:dyDescent="0.25">
      <c r="A753" s="131"/>
      <c r="B753" s="133"/>
      <c r="C753" s="133"/>
      <c r="D753" s="42" t="str">
        <f t="shared" si="297"/>
        <v/>
      </c>
      <c r="E753" s="43"/>
      <c r="F753" s="135"/>
      <c r="G753" s="77" t="str">
        <f t="shared" si="298"/>
        <v/>
      </c>
      <c r="H753" s="32" t="str">
        <f t="shared" si="299"/>
        <v/>
      </c>
      <c r="I753" s="78" t="str">
        <f t="shared" si="300"/>
        <v/>
      </c>
      <c r="J753" s="70" t="str">
        <f t="shared" si="301"/>
        <v/>
      </c>
      <c r="K753" s="135"/>
      <c r="L753" s="72" t="str">
        <f t="shared" si="302"/>
        <v/>
      </c>
      <c r="M753" s="135"/>
      <c r="N753" s="72" t="str">
        <f t="shared" si="303"/>
        <v/>
      </c>
      <c r="O753" s="135"/>
      <c r="P753" s="136"/>
      <c r="Q753" s="123" t="str">
        <f t="shared" si="304"/>
        <v/>
      </c>
      <c r="R753" s="45" t="str">
        <f t="shared" si="305"/>
        <v/>
      </c>
      <c r="S753" s="137"/>
      <c r="T753" s="79" t="str">
        <f t="shared" si="314"/>
        <v/>
      </c>
      <c r="U753" s="79" t="str">
        <f t="shared" si="306"/>
        <v/>
      </c>
      <c r="V753" s="73" t="str">
        <f t="shared" si="307"/>
        <v/>
      </c>
      <c r="W753" s="80" t="str">
        <f t="shared" si="308"/>
        <v/>
      </c>
      <c r="X753" s="73" t="str">
        <f t="shared" si="309"/>
        <v/>
      </c>
      <c r="Y753" s="80" t="str">
        <f t="shared" si="310"/>
        <v/>
      </c>
      <c r="Z753" s="74" t="str">
        <f t="shared" si="311"/>
        <v/>
      </c>
      <c r="AA753" s="75" t="str">
        <f t="shared" si="315"/>
        <v/>
      </c>
      <c r="AB753" s="103" t="str">
        <f t="shared" si="312"/>
        <v/>
      </c>
      <c r="AC753" s="104" t="str">
        <f t="shared" si="323"/>
        <v/>
      </c>
      <c r="AE753" s="139"/>
      <c r="AF753" s="110" t="str">
        <f t="shared" si="316"/>
        <v/>
      </c>
      <c r="AG753" s="111" t="str">
        <f t="shared" si="317"/>
        <v/>
      </c>
      <c r="AH753" s="111" t="str">
        <f t="shared" si="313"/>
        <v/>
      </c>
      <c r="AI753" s="111" t="str">
        <f t="shared" si="318"/>
        <v/>
      </c>
      <c r="AJ753" s="111" t="str">
        <f t="shared" si="319"/>
        <v/>
      </c>
      <c r="AK753" s="112" t="str">
        <f t="shared" si="320"/>
        <v/>
      </c>
      <c r="AL753" t="str">
        <f t="shared" si="321"/>
        <v/>
      </c>
      <c r="AM753" t="str">
        <f t="shared" si="322"/>
        <v/>
      </c>
    </row>
    <row r="754" spans="1:39" ht="15" customHeight="1" x14ac:dyDescent="0.25">
      <c r="A754" s="131"/>
      <c r="B754" s="133"/>
      <c r="C754" s="133"/>
      <c r="D754" s="42" t="str">
        <f t="shared" si="297"/>
        <v/>
      </c>
      <c r="E754" s="43"/>
      <c r="F754" s="135"/>
      <c r="G754" s="77" t="str">
        <f t="shared" si="298"/>
        <v/>
      </c>
      <c r="H754" s="32" t="str">
        <f t="shared" si="299"/>
        <v/>
      </c>
      <c r="I754" s="78" t="str">
        <f t="shared" si="300"/>
        <v/>
      </c>
      <c r="J754" s="70" t="str">
        <f t="shared" si="301"/>
        <v/>
      </c>
      <c r="K754" s="135"/>
      <c r="L754" s="72" t="str">
        <f t="shared" si="302"/>
        <v/>
      </c>
      <c r="M754" s="135"/>
      <c r="N754" s="72" t="str">
        <f t="shared" si="303"/>
        <v/>
      </c>
      <c r="O754" s="135"/>
      <c r="P754" s="136"/>
      <c r="Q754" s="123" t="str">
        <f t="shared" si="304"/>
        <v/>
      </c>
      <c r="R754" s="45" t="str">
        <f t="shared" si="305"/>
        <v/>
      </c>
      <c r="S754" s="137"/>
      <c r="T754" s="79" t="str">
        <f t="shared" si="314"/>
        <v/>
      </c>
      <c r="U754" s="79" t="str">
        <f t="shared" si="306"/>
        <v/>
      </c>
      <c r="V754" s="73" t="str">
        <f t="shared" si="307"/>
        <v/>
      </c>
      <c r="W754" s="80" t="str">
        <f t="shared" si="308"/>
        <v/>
      </c>
      <c r="X754" s="73" t="str">
        <f t="shared" si="309"/>
        <v/>
      </c>
      <c r="Y754" s="80" t="str">
        <f t="shared" si="310"/>
        <v/>
      </c>
      <c r="Z754" s="74" t="str">
        <f t="shared" si="311"/>
        <v/>
      </c>
      <c r="AA754" s="75" t="str">
        <f t="shared" si="315"/>
        <v/>
      </c>
      <c r="AB754" s="103" t="str">
        <f t="shared" si="312"/>
        <v/>
      </c>
      <c r="AC754" s="104" t="str">
        <f t="shared" si="323"/>
        <v/>
      </c>
      <c r="AE754" s="139"/>
      <c r="AF754" s="110" t="str">
        <f t="shared" si="316"/>
        <v/>
      </c>
      <c r="AG754" s="111" t="str">
        <f t="shared" si="317"/>
        <v/>
      </c>
      <c r="AH754" s="111" t="str">
        <f t="shared" si="313"/>
        <v/>
      </c>
      <c r="AI754" s="111" t="str">
        <f t="shared" si="318"/>
        <v/>
      </c>
      <c r="AJ754" s="111" t="str">
        <f t="shared" si="319"/>
        <v/>
      </c>
      <c r="AK754" s="112" t="str">
        <f t="shared" si="320"/>
        <v/>
      </c>
      <c r="AL754" t="str">
        <f t="shared" si="321"/>
        <v/>
      </c>
      <c r="AM754" t="str">
        <f t="shared" si="322"/>
        <v/>
      </c>
    </row>
    <row r="755" spans="1:39" ht="15" customHeight="1" x14ac:dyDescent="0.25">
      <c r="A755" s="131"/>
      <c r="B755" s="133"/>
      <c r="C755" s="133"/>
      <c r="D755" s="42" t="str">
        <f t="shared" si="297"/>
        <v/>
      </c>
      <c r="E755" s="43"/>
      <c r="F755" s="135"/>
      <c r="G755" s="77" t="str">
        <f t="shared" si="298"/>
        <v/>
      </c>
      <c r="H755" s="32" t="str">
        <f t="shared" si="299"/>
        <v/>
      </c>
      <c r="I755" s="78" t="str">
        <f t="shared" si="300"/>
        <v/>
      </c>
      <c r="J755" s="70" t="str">
        <f t="shared" si="301"/>
        <v/>
      </c>
      <c r="K755" s="135"/>
      <c r="L755" s="72" t="str">
        <f t="shared" si="302"/>
        <v/>
      </c>
      <c r="M755" s="135"/>
      <c r="N755" s="72" t="str">
        <f t="shared" si="303"/>
        <v/>
      </c>
      <c r="O755" s="135"/>
      <c r="P755" s="136"/>
      <c r="Q755" s="123" t="str">
        <f t="shared" si="304"/>
        <v/>
      </c>
      <c r="R755" s="45" t="str">
        <f t="shared" si="305"/>
        <v/>
      </c>
      <c r="S755" s="137"/>
      <c r="T755" s="79" t="str">
        <f t="shared" si="314"/>
        <v/>
      </c>
      <c r="U755" s="79" t="str">
        <f t="shared" si="306"/>
        <v/>
      </c>
      <c r="V755" s="73" t="str">
        <f t="shared" si="307"/>
        <v/>
      </c>
      <c r="W755" s="80" t="str">
        <f t="shared" si="308"/>
        <v/>
      </c>
      <c r="X755" s="73" t="str">
        <f t="shared" si="309"/>
        <v/>
      </c>
      <c r="Y755" s="80" t="str">
        <f t="shared" si="310"/>
        <v/>
      </c>
      <c r="Z755" s="74" t="str">
        <f t="shared" si="311"/>
        <v/>
      </c>
      <c r="AA755" s="75" t="str">
        <f t="shared" si="315"/>
        <v/>
      </c>
      <c r="AB755" s="103" t="str">
        <f t="shared" si="312"/>
        <v/>
      </c>
      <c r="AC755" s="104" t="str">
        <f t="shared" si="323"/>
        <v/>
      </c>
      <c r="AE755" s="139"/>
      <c r="AF755" s="110" t="str">
        <f t="shared" si="316"/>
        <v/>
      </c>
      <c r="AG755" s="111" t="str">
        <f t="shared" si="317"/>
        <v/>
      </c>
      <c r="AH755" s="111" t="str">
        <f t="shared" si="313"/>
        <v/>
      </c>
      <c r="AI755" s="111" t="str">
        <f t="shared" si="318"/>
        <v/>
      </c>
      <c r="AJ755" s="111" t="str">
        <f t="shared" si="319"/>
        <v/>
      </c>
      <c r="AK755" s="112" t="str">
        <f t="shared" si="320"/>
        <v/>
      </c>
      <c r="AL755" t="str">
        <f t="shared" si="321"/>
        <v/>
      </c>
      <c r="AM755" t="str">
        <f t="shared" si="322"/>
        <v/>
      </c>
    </row>
    <row r="756" spans="1:39" ht="15" customHeight="1" x14ac:dyDescent="0.25">
      <c r="A756" s="131"/>
      <c r="B756" s="133"/>
      <c r="C756" s="133"/>
      <c r="D756" s="42" t="str">
        <f t="shared" si="297"/>
        <v/>
      </c>
      <c r="E756" s="43"/>
      <c r="F756" s="135"/>
      <c r="G756" s="77" t="str">
        <f t="shared" si="298"/>
        <v/>
      </c>
      <c r="H756" s="32" t="str">
        <f t="shared" si="299"/>
        <v/>
      </c>
      <c r="I756" s="78" t="str">
        <f t="shared" si="300"/>
        <v/>
      </c>
      <c r="J756" s="70" t="str">
        <f t="shared" si="301"/>
        <v/>
      </c>
      <c r="K756" s="135"/>
      <c r="L756" s="72" t="str">
        <f t="shared" si="302"/>
        <v/>
      </c>
      <c r="M756" s="135"/>
      <c r="N756" s="72" t="str">
        <f t="shared" si="303"/>
        <v/>
      </c>
      <c r="O756" s="135"/>
      <c r="P756" s="136"/>
      <c r="Q756" s="123" t="str">
        <f t="shared" si="304"/>
        <v/>
      </c>
      <c r="R756" s="45" t="str">
        <f t="shared" si="305"/>
        <v/>
      </c>
      <c r="S756" s="137"/>
      <c r="T756" s="79" t="str">
        <f t="shared" si="314"/>
        <v/>
      </c>
      <c r="U756" s="79" t="str">
        <f t="shared" si="306"/>
        <v/>
      </c>
      <c r="V756" s="73" t="str">
        <f t="shared" si="307"/>
        <v/>
      </c>
      <c r="W756" s="80" t="str">
        <f t="shared" si="308"/>
        <v/>
      </c>
      <c r="X756" s="73" t="str">
        <f t="shared" si="309"/>
        <v/>
      </c>
      <c r="Y756" s="80" t="str">
        <f t="shared" si="310"/>
        <v/>
      </c>
      <c r="Z756" s="74" t="str">
        <f t="shared" si="311"/>
        <v/>
      </c>
      <c r="AA756" s="75" t="str">
        <f t="shared" si="315"/>
        <v/>
      </c>
      <c r="AB756" s="103" t="str">
        <f t="shared" si="312"/>
        <v/>
      </c>
      <c r="AC756" s="104" t="str">
        <f t="shared" si="323"/>
        <v/>
      </c>
      <c r="AE756" s="139"/>
      <c r="AF756" s="110" t="str">
        <f t="shared" si="316"/>
        <v/>
      </c>
      <c r="AG756" s="111" t="str">
        <f t="shared" si="317"/>
        <v/>
      </c>
      <c r="AH756" s="111" t="str">
        <f t="shared" si="313"/>
        <v/>
      </c>
      <c r="AI756" s="111" t="str">
        <f t="shared" si="318"/>
        <v/>
      </c>
      <c r="AJ756" s="111" t="str">
        <f t="shared" si="319"/>
        <v/>
      </c>
      <c r="AK756" s="112" t="str">
        <f t="shared" si="320"/>
        <v/>
      </c>
      <c r="AL756" t="str">
        <f t="shared" si="321"/>
        <v/>
      </c>
      <c r="AM756" t="str">
        <f t="shared" si="322"/>
        <v/>
      </c>
    </row>
    <row r="757" spans="1:39" ht="15" customHeight="1" x14ac:dyDescent="0.25">
      <c r="A757" s="131"/>
      <c r="B757" s="133"/>
      <c r="C757" s="133"/>
      <c r="D757" s="42" t="str">
        <f t="shared" si="297"/>
        <v/>
      </c>
      <c r="E757" s="43"/>
      <c r="F757" s="135"/>
      <c r="G757" s="77" t="str">
        <f t="shared" si="298"/>
        <v/>
      </c>
      <c r="H757" s="32" t="str">
        <f t="shared" si="299"/>
        <v/>
      </c>
      <c r="I757" s="78" t="str">
        <f t="shared" si="300"/>
        <v/>
      </c>
      <c r="J757" s="70" t="str">
        <f t="shared" si="301"/>
        <v/>
      </c>
      <c r="K757" s="135"/>
      <c r="L757" s="72" t="str">
        <f t="shared" si="302"/>
        <v/>
      </c>
      <c r="M757" s="135"/>
      <c r="N757" s="72" t="str">
        <f t="shared" si="303"/>
        <v/>
      </c>
      <c r="O757" s="135"/>
      <c r="P757" s="136"/>
      <c r="Q757" s="123" t="str">
        <f t="shared" si="304"/>
        <v/>
      </c>
      <c r="R757" s="45" t="str">
        <f t="shared" si="305"/>
        <v/>
      </c>
      <c r="S757" s="137"/>
      <c r="T757" s="79" t="str">
        <f t="shared" si="314"/>
        <v/>
      </c>
      <c r="U757" s="79" t="str">
        <f t="shared" si="306"/>
        <v/>
      </c>
      <c r="V757" s="73" t="str">
        <f t="shared" si="307"/>
        <v/>
      </c>
      <c r="W757" s="80" t="str">
        <f t="shared" si="308"/>
        <v/>
      </c>
      <c r="X757" s="73" t="str">
        <f t="shared" si="309"/>
        <v/>
      </c>
      <c r="Y757" s="80" t="str">
        <f t="shared" si="310"/>
        <v/>
      </c>
      <c r="Z757" s="74" t="str">
        <f t="shared" si="311"/>
        <v/>
      </c>
      <c r="AA757" s="75" t="str">
        <f t="shared" si="315"/>
        <v/>
      </c>
      <c r="AB757" s="103" t="str">
        <f t="shared" si="312"/>
        <v/>
      </c>
      <c r="AC757" s="104" t="str">
        <f t="shared" si="323"/>
        <v/>
      </c>
      <c r="AE757" s="139"/>
      <c r="AF757" s="110" t="str">
        <f t="shared" si="316"/>
        <v/>
      </c>
      <c r="AG757" s="111" t="str">
        <f t="shared" si="317"/>
        <v/>
      </c>
      <c r="AH757" s="111" t="str">
        <f t="shared" si="313"/>
        <v/>
      </c>
      <c r="AI757" s="111" t="str">
        <f t="shared" si="318"/>
        <v/>
      </c>
      <c r="AJ757" s="111" t="str">
        <f t="shared" si="319"/>
        <v/>
      </c>
      <c r="AK757" s="112" t="str">
        <f t="shared" si="320"/>
        <v/>
      </c>
      <c r="AL757" t="str">
        <f t="shared" si="321"/>
        <v/>
      </c>
      <c r="AM757" t="str">
        <f t="shared" si="322"/>
        <v/>
      </c>
    </row>
    <row r="758" spans="1:39" ht="15" customHeight="1" x14ac:dyDescent="0.25">
      <c r="A758" s="131"/>
      <c r="B758" s="133"/>
      <c r="C758" s="133"/>
      <c r="D758" s="42" t="str">
        <f t="shared" si="297"/>
        <v/>
      </c>
      <c r="E758" s="43"/>
      <c r="F758" s="135"/>
      <c r="G758" s="77" t="str">
        <f t="shared" si="298"/>
        <v/>
      </c>
      <c r="H758" s="32" t="str">
        <f t="shared" si="299"/>
        <v/>
      </c>
      <c r="I758" s="78" t="str">
        <f t="shared" si="300"/>
        <v/>
      </c>
      <c r="J758" s="70" t="str">
        <f t="shared" si="301"/>
        <v/>
      </c>
      <c r="K758" s="135"/>
      <c r="L758" s="72" t="str">
        <f t="shared" si="302"/>
        <v/>
      </c>
      <c r="M758" s="135"/>
      <c r="N758" s="72" t="str">
        <f t="shared" si="303"/>
        <v/>
      </c>
      <c r="O758" s="135"/>
      <c r="P758" s="136"/>
      <c r="Q758" s="123" t="str">
        <f t="shared" si="304"/>
        <v/>
      </c>
      <c r="R758" s="45" t="str">
        <f t="shared" si="305"/>
        <v/>
      </c>
      <c r="S758" s="137"/>
      <c r="T758" s="79" t="str">
        <f t="shared" si="314"/>
        <v/>
      </c>
      <c r="U758" s="79" t="str">
        <f t="shared" si="306"/>
        <v/>
      </c>
      <c r="V758" s="73" t="str">
        <f t="shared" si="307"/>
        <v/>
      </c>
      <c r="W758" s="80" t="str">
        <f t="shared" si="308"/>
        <v/>
      </c>
      <c r="X758" s="73" t="str">
        <f t="shared" si="309"/>
        <v/>
      </c>
      <c r="Y758" s="80" t="str">
        <f t="shared" si="310"/>
        <v/>
      </c>
      <c r="Z758" s="74" t="str">
        <f t="shared" si="311"/>
        <v/>
      </c>
      <c r="AA758" s="75" t="str">
        <f t="shared" si="315"/>
        <v/>
      </c>
      <c r="AB758" s="103" t="str">
        <f t="shared" si="312"/>
        <v/>
      </c>
      <c r="AC758" s="104" t="str">
        <f t="shared" si="323"/>
        <v/>
      </c>
      <c r="AE758" s="139"/>
      <c r="AF758" s="110" t="str">
        <f t="shared" si="316"/>
        <v/>
      </c>
      <c r="AG758" s="111" t="str">
        <f t="shared" si="317"/>
        <v/>
      </c>
      <c r="AH758" s="111" t="str">
        <f t="shared" si="313"/>
        <v/>
      </c>
      <c r="AI758" s="111" t="str">
        <f t="shared" si="318"/>
        <v/>
      </c>
      <c r="AJ758" s="111" t="str">
        <f t="shared" si="319"/>
        <v/>
      </c>
      <c r="AK758" s="112" t="str">
        <f t="shared" si="320"/>
        <v/>
      </c>
      <c r="AL758" t="str">
        <f t="shared" si="321"/>
        <v/>
      </c>
      <c r="AM758" t="str">
        <f t="shared" si="322"/>
        <v/>
      </c>
    </row>
    <row r="759" spans="1:39" ht="15" customHeight="1" x14ac:dyDescent="0.25">
      <c r="A759" s="131"/>
      <c r="B759" s="133"/>
      <c r="C759" s="133"/>
      <c r="D759" s="42" t="str">
        <f t="shared" si="297"/>
        <v/>
      </c>
      <c r="E759" s="43"/>
      <c r="F759" s="135"/>
      <c r="G759" s="77" t="str">
        <f t="shared" si="298"/>
        <v/>
      </c>
      <c r="H759" s="32" t="str">
        <f t="shared" si="299"/>
        <v/>
      </c>
      <c r="I759" s="78" t="str">
        <f t="shared" si="300"/>
        <v/>
      </c>
      <c r="J759" s="70" t="str">
        <f t="shared" si="301"/>
        <v/>
      </c>
      <c r="K759" s="135"/>
      <c r="L759" s="72" t="str">
        <f t="shared" si="302"/>
        <v/>
      </c>
      <c r="M759" s="135"/>
      <c r="N759" s="72" t="str">
        <f t="shared" si="303"/>
        <v/>
      </c>
      <c r="O759" s="135"/>
      <c r="P759" s="136"/>
      <c r="Q759" s="123" t="str">
        <f t="shared" si="304"/>
        <v/>
      </c>
      <c r="R759" s="45" t="str">
        <f t="shared" si="305"/>
        <v/>
      </c>
      <c r="S759" s="137"/>
      <c r="T759" s="79" t="str">
        <f t="shared" si="314"/>
        <v/>
      </c>
      <c r="U759" s="79" t="str">
        <f t="shared" si="306"/>
        <v/>
      </c>
      <c r="V759" s="73" t="str">
        <f t="shared" si="307"/>
        <v/>
      </c>
      <c r="W759" s="80" t="str">
        <f t="shared" si="308"/>
        <v/>
      </c>
      <c r="X759" s="73" t="str">
        <f t="shared" si="309"/>
        <v/>
      </c>
      <c r="Y759" s="80" t="str">
        <f t="shared" si="310"/>
        <v/>
      </c>
      <c r="Z759" s="74" t="str">
        <f t="shared" si="311"/>
        <v/>
      </c>
      <c r="AA759" s="75" t="str">
        <f t="shared" si="315"/>
        <v/>
      </c>
      <c r="AB759" s="103" t="str">
        <f t="shared" si="312"/>
        <v/>
      </c>
      <c r="AC759" s="104" t="str">
        <f t="shared" si="323"/>
        <v/>
      </c>
      <c r="AE759" s="139"/>
      <c r="AF759" s="110" t="str">
        <f t="shared" si="316"/>
        <v/>
      </c>
      <c r="AG759" s="111" t="str">
        <f t="shared" si="317"/>
        <v/>
      </c>
      <c r="AH759" s="111" t="str">
        <f t="shared" si="313"/>
        <v/>
      </c>
      <c r="AI759" s="111" t="str">
        <f t="shared" si="318"/>
        <v/>
      </c>
      <c r="AJ759" s="111" t="str">
        <f t="shared" si="319"/>
        <v/>
      </c>
      <c r="AK759" s="112" t="str">
        <f t="shared" si="320"/>
        <v/>
      </c>
      <c r="AL759" t="str">
        <f t="shared" si="321"/>
        <v/>
      </c>
      <c r="AM759" t="str">
        <f t="shared" si="322"/>
        <v/>
      </c>
    </row>
    <row r="760" spans="1:39" ht="15" customHeight="1" x14ac:dyDescent="0.25">
      <c r="A760" s="131"/>
      <c r="B760" s="133"/>
      <c r="C760" s="133"/>
      <c r="D760" s="42" t="str">
        <f t="shared" si="297"/>
        <v/>
      </c>
      <c r="E760" s="43"/>
      <c r="F760" s="135"/>
      <c r="G760" s="77" t="str">
        <f t="shared" si="298"/>
        <v/>
      </c>
      <c r="H760" s="32" t="str">
        <f t="shared" si="299"/>
        <v/>
      </c>
      <c r="I760" s="78" t="str">
        <f t="shared" si="300"/>
        <v/>
      </c>
      <c r="J760" s="70" t="str">
        <f t="shared" si="301"/>
        <v/>
      </c>
      <c r="K760" s="135"/>
      <c r="L760" s="72" t="str">
        <f t="shared" si="302"/>
        <v/>
      </c>
      <c r="M760" s="135"/>
      <c r="N760" s="72" t="str">
        <f t="shared" si="303"/>
        <v/>
      </c>
      <c r="O760" s="135"/>
      <c r="P760" s="136"/>
      <c r="Q760" s="123" t="str">
        <f t="shared" si="304"/>
        <v/>
      </c>
      <c r="R760" s="45" t="str">
        <f t="shared" si="305"/>
        <v/>
      </c>
      <c r="S760" s="137"/>
      <c r="T760" s="79" t="str">
        <f t="shared" si="314"/>
        <v/>
      </c>
      <c r="U760" s="79" t="str">
        <f t="shared" si="306"/>
        <v/>
      </c>
      <c r="V760" s="73" t="str">
        <f t="shared" si="307"/>
        <v/>
      </c>
      <c r="W760" s="80" t="str">
        <f t="shared" si="308"/>
        <v/>
      </c>
      <c r="X760" s="73" t="str">
        <f t="shared" si="309"/>
        <v/>
      </c>
      <c r="Y760" s="80" t="str">
        <f t="shared" si="310"/>
        <v/>
      </c>
      <c r="Z760" s="74" t="str">
        <f t="shared" si="311"/>
        <v/>
      </c>
      <c r="AA760" s="75" t="str">
        <f t="shared" si="315"/>
        <v/>
      </c>
      <c r="AB760" s="103" t="str">
        <f t="shared" si="312"/>
        <v/>
      </c>
      <c r="AC760" s="104" t="str">
        <f t="shared" si="323"/>
        <v/>
      </c>
      <c r="AE760" s="139"/>
      <c r="AF760" s="110" t="str">
        <f t="shared" si="316"/>
        <v/>
      </c>
      <c r="AG760" s="111" t="str">
        <f t="shared" si="317"/>
        <v/>
      </c>
      <c r="AH760" s="111" t="str">
        <f t="shared" si="313"/>
        <v/>
      </c>
      <c r="AI760" s="111" t="str">
        <f t="shared" si="318"/>
        <v/>
      </c>
      <c r="AJ760" s="111" t="str">
        <f t="shared" si="319"/>
        <v/>
      </c>
      <c r="AK760" s="112" t="str">
        <f t="shared" si="320"/>
        <v/>
      </c>
      <c r="AL760" t="str">
        <f t="shared" si="321"/>
        <v/>
      </c>
      <c r="AM760" t="str">
        <f t="shared" si="322"/>
        <v/>
      </c>
    </row>
    <row r="761" spans="1:39" ht="15" customHeight="1" x14ac:dyDescent="0.25">
      <c r="A761" s="131"/>
      <c r="B761" s="133"/>
      <c r="C761" s="133"/>
      <c r="D761" s="42" t="str">
        <f t="shared" si="297"/>
        <v/>
      </c>
      <c r="E761" s="43"/>
      <c r="F761" s="135"/>
      <c r="G761" s="77" t="str">
        <f t="shared" si="298"/>
        <v/>
      </c>
      <c r="H761" s="32" t="str">
        <f t="shared" si="299"/>
        <v/>
      </c>
      <c r="I761" s="78" t="str">
        <f t="shared" si="300"/>
        <v/>
      </c>
      <c r="J761" s="70" t="str">
        <f t="shared" si="301"/>
        <v/>
      </c>
      <c r="K761" s="135"/>
      <c r="L761" s="72" t="str">
        <f t="shared" si="302"/>
        <v/>
      </c>
      <c r="M761" s="135"/>
      <c r="N761" s="72" t="str">
        <f t="shared" si="303"/>
        <v/>
      </c>
      <c r="O761" s="135"/>
      <c r="P761" s="136"/>
      <c r="Q761" s="123" t="str">
        <f t="shared" si="304"/>
        <v/>
      </c>
      <c r="R761" s="45" t="str">
        <f t="shared" si="305"/>
        <v/>
      </c>
      <c r="S761" s="137"/>
      <c r="T761" s="79" t="str">
        <f t="shared" si="314"/>
        <v/>
      </c>
      <c r="U761" s="79" t="str">
        <f t="shared" si="306"/>
        <v/>
      </c>
      <c r="V761" s="73" t="str">
        <f t="shared" si="307"/>
        <v/>
      </c>
      <c r="W761" s="80" t="str">
        <f t="shared" si="308"/>
        <v/>
      </c>
      <c r="X761" s="73" t="str">
        <f t="shared" si="309"/>
        <v/>
      </c>
      <c r="Y761" s="80" t="str">
        <f t="shared" si="310"/>
        <v/>
      </c>
      <c r="Z761" s="74" t="str">
        <f t="shared" si="311"/>
        <v/>
      </c>
      <c r="AA761" s="75" t="str">
        <f t="shared" si="315"/>
        <v/>
      </c>
      <c r="AB761" s="103" t="str">
        <f t="shared" si="312"/>
        <v/>
      </c>
      <c r="AC761" s="104" t="str">
        <f t="shared" si="323"/>
        <v/>
      </c>
      <c r="AE761" s="139"/>
      <c r="AF761" s="110" t="str">
        <f t="shared" si="316"/>
        <v/>
      </c>
      <c r="AG761" s="111" t="str">
        <f t="shared" si="317"/>
        <v/>
      </c>
      <c r="AH761" s="111" t="str">
        <f t="shared" si="313"/>
        <v/>
      </c>
      <c r="AI761" s="111" t="str">
        <f t="shared" si="318"/>
        <v/>
      </c>
      <c r="AJ761" s="111" t="str">
        <f t="shared" si="319"/>
        <v/>
      </c>
      <c r="AK761" s="112" t="str">
        <f t="shared" si="320"/>
        <v/>
      </c>
      <c r="AL761" t="str">
        <f t="shared" si="321"/>
        <v/>
      </c>
      <c r="AM761" t="str">
        <f t="shared" si="322"/>
        <v/>
      </c>
    </row>
    <row r="762" spans="1:39" ht="15" customHeight="1" x14ac:dyDescent="0.25">
      <c r="A762" s="131"/>
      <c r="B762" s="133"/>
      <c r="C762" s="133"/>
      <c r="D762" s="42" t="str">
        <f t="shared" si="297"/>
        <v/>
      </c>
      <c r="E762" s="43"/>
      <c r="F762" s="135"/>
      <c r="G762" s="77" t="str">
        <f t="shared" si="298"/>
        <v/>
      </c>
      <c r="H762" s="32" t="str">
        <f t="shared" si="299"/>
        <v/>
      </c>
      <c r="I762" s="78" t="str">
        <f t="shared" si="300"/>
        <v/>
      </c>
      <c r="J762" s="70" t="str">
        <f t="shared" si="301"/>
        <v/>
      </c>
      <c r="K762" s="135"/>
      <c r="L762" s="72" t="str">
        <f t="shared" si="302"/>
        <v/>
      </c>
      <c r="M762" s="135"/>
      <c r="N762" s="72" t="str">
        <f t="shared" si="303"/>
        <v/>
      </c>
      <c r="O762" s="135"/>
      <c r="P762" s="136"/>
      <c r="Q762" s="123" t="str">
        <f t="shared" si="304"/>
        <v/>
      </c>
      <c r="R762" s="45" t="str">
        <f t="shared" si="305"/>
        <v/>
      </c>
      <c r="S762" s="137"/>
      <c r="T762" s="79" t="str">
        <f t="shared" si="314"/>
        <v/>
      </c>
      <c r="U762" s="79" t="str">
        <f t="shared" si="306"/>
        <v/>
      </c>
      <c r="V762" s="73" t="str">
        <f t="shared" si="307"/>
        <v/>
      </c>
      <c r="W762" s="80" t="str">
        <f t="shared" si="308"/>
        <v/>
      </c>
      <c r="X762" s="73" t="str">
        <f t="shared" si="309"/>
        <v/>
      </c>
      <c r="Y762" s="80" t="str">
        <f t="shared" si="310"/>
        <v/>
      </c>
      <c r="Z762" s="74" t="str">
        <f t="shared" si="311"/>
        <v/>
      </c>
      <c r="AA762" s="75" t="str">
        <f t="shared" si="315"/>
        <v/>
      </c>
      <c r="AB762" s="103" t="str">
        <f t="shared" si="312"/>
        <v/>
      </c>
      <c r="AC762" s="104" t="str">
        <f t="shared" si="323"/>
        <v/>
      </c>
      <c r="AE762" s="139"/>
      <c r="AF762" s="110" t="str">
        <f t="shared" si="316"/>
        <v/>
      </c>
      <c r="AG762" s="111" t="str">
        <f t="shared" si="317"/>
        <v/>
      </c>
      <c r="AH762" s="111" t="str">
        <f t="shared" si="313"/>
        <v/>
      </c>
      <c r="AI762" s="111" t="str">
        <f t="shared" si="318"/>
        <v/>
      </c>
      <c r="AJ762" s="111" t="str">
        <f t="shared" si="319"/>
        <v/>
      </c>
      <c r="AK762" s="112" t="str">
        <f t="shared" si="320"/>
        <v/>
      </c>
      <c r="AL762" t="str">
        <f t="shared" si="321"/>
        <v/>
      </c>
      <c r="AM762" t="str">
        <f t="shared" si="322"/>
        <v/>
      </c>
    </row>
    <row r="763" spans="1:39" ht="15" customHeight="1" x14ac:dyDescent="0.25">
      <c r="A763" s="131"/>
      <c r="B763" s="133"/>
      <c r="C763" s="133"/>
      <c r="D763" s="42" t="str">
        <f t="shared" si="297"/>
        <v/>
      </c>
      <c r="E763" s="43"/>
      <c r="F763" s="135"/>
      <c r="G763" s="77" t="str">
        <f t="shared" si="298"/>
        <v/>
      </c>
      <c r="H763" s="32" t="str">
        <f t="shared" si="299"/>
        <v/>
      </c>
      <c r="I763" s="78" t="str">
        <f t="shared" si="300"/>
        <v/>
      </c>
      <c r="J763" s="70" t="str">
        <f t="shared" si="301"/>
        <v/>
      </c>
      <c r="K763" s="135"/>
      <c r="L763" s="72" t="str">
        <f t="shared" si="302"/>
        <v/>
      </c>
      <c r="M763" s="135"/>
      <c r="N763" s="72" t="str">
        <f t="shared" si="303"/>
        <v/>
      </c>
      <c r="O763" s="135"/>
      <c r="P763" s="136"/>
      <c r="Q763" s="123" t="str">
        <f t="shared" si="304"/>
        <v/>
      </c>
      <c r="R763" s="45" t="str">
        <f t="shared" si="305"/>
        <v/>
      </c>
      <c r="S763" s="137"/>
      <c r="T763" s="79" t="str">
        <f t="shared" si="314"/>
        <v/>
      </c>
      <c r="U763" s="79" t="str">
        <f t="shared" si="306"/>
        <v/>
      </c>
      <c r="V763" s="73" t="str">
        <f t="shared" si="307"/>
        <v/>
      </c>
      <c r="W763" s="80" t="str">
        <f t="shared" si="308"/>
        <v/>
      </c>
      <c r="X763" s="73" t="str">
        <f t="shared" si="309"/>
        <v/>
      </c>
      <c r="Y763" s="80" t="str">
        <f t="shared" si="310"/>
        <v/>
      </c>
      <c r="Z763" s="74" t="str">
        <f t="shared" si="311"/>
        <v/>
      </c>
      <c r="AA763" s="75" t="str">
        <f t="shared" si="315"/>
        <v/>
      </c>
      <c r="AB763" s="103" t="str">
        <f t="shared" si="312"/>
        <v/>
      </c>
      <c r="AC763" s="104" t="str">
        <f t="shared" si="323"/>
        <v/>
      </c>
      <c r="AE763" s="139"/>
      <c r="AF763" s="110" t="str">
        <f t="shared" si="316"/>
        <v/>
      </c>
      <c r="AG763" s="111" t="str">
        <f t="shared" si="317"/>
        <v/>
      </c>
      <c r="AH763" s="111" t="str">
        <f t="shared" si="313"/>
        <v/>
      </c>
      <c r="AI763" s="111" t="str">
        <f t="shared" si="318"/>
        <v/>
      </c>
      <c r="AJ763" s="111" t="str">
        <f t="shared" si="319"/>
        <v/>
      </c>
      <c r="AK763" s="112" t="str">
        <f t="shared" si="320"/>
        <v/>
      </c>
      <c r="AL763" t="str">
        <f t="shared" si="321"/>
        <v/>
      </c>
      <c r="AM763" t="str">
        <f t="shared" si="322"/>
        <v/>
      </c>
    </row>
    <row r="764" spans="1:39" ht="15" customHeight="1" x14ac:dyDescent="0.25">
      <c r="A764" s="131"/>
      <c r="B764" s="133"/>
      <c r="C764" s="133"/>
      <c r="D764" s="42" t="str">
        <f t="shared" si="297"/>
        <v/>
      </c>
      <c r="E764" s="43"/>
      <c r="F764" s="135"/>
      <c r="G764" s="77" t="str">
        <f t="shared" si="298"/>
        <v/>
      </c>
      <c r="H764" s="32" t="str">
        <f t="shared" si="299"/>
        <v/>
      </c>
      <c r="I764" s="78" t="str">
        <f t="shared" si="300"/>
        <v/>
      </c>
      <c r="J764" s="70" t="str">
        <f t="shared" si="301"/>
        <v/>
      </c>
      <c r="K764" s="135"/>
      <c r="L764" s="72" t="str">
        <f t="shared" si="302"/>
        <v/>
      </c>
      <c r="M764" s="135"/>
      <c r="N764" s="72" t="str">
        <f t="shared" si="303"/>
        <v/>
      </c>
      <c r="O764" s="135"/>
      <c r="P764" s="136"/>
      <c r="Q764" s="123" t="str">
        <f t="shared" si="304"/>
        <v/>
      </c>
      <c r="R764" s="45" t="str">
        <f t="shared" si="305"/>
        <v/>
      </c>
      <c r="S764" s="137"/>
      <c r="T764" s="79" t="str">
        <f t="shared" si="314"/>
        <v/>
      </c>
      <c r="U764" s="79" t="str">
        <f t="shared" si="306"/>
        <v/>
      </c>
      <c r="V764" s="73" t="str">
        <f t="shared" si="307"/>
        <v/>
      </c>
      <c r="W764" s="80" t="str">
        <f t="shared" si="308"/>
        <v/>
      </c>
      <c r="X764" s="73" t="str">
        <f t="shared" si="309"/>
        <v/>
      </c>
      <c r="Y764" s="80" t="str">
        <f t="shared" si="310"/>
        <v/>
      </c>
      <c r="Z764" s="74" t="str">
        <f t="shared" si="311"/>
        <v/>
      </c>
      <c r="AA764" s="75" t="str">
        <f t="shared" si="315"/>
        <v/>
      </c>
      <c r="AB764" s="103" t="str">
        <f t="shared" si="312"/>
        <v/>
      </c>
      <c r="AC764" s="104" t="str">
        <f t="shared" si="323"/>
        <v/>
      </c>
      <c r="AE764" s="139"/>
      <c r="AF764" s="110" t="str">
        <f t="shared" si="316"/>
        <v/>
      </c>
      <c r="AG764" s="111" t="str">
        <f t="shared" si="317"/>
        <v/>
      </c>
      <c r="AH764" s="111" t="str">
        <f t="shared" si="313"/>
        <v/>
      </c>
      <c r="AI764" s="111" t="str">
        <f t="shared" si="318"/>
        <v/>
      </c>
      <c r="AJ764" s="111" t="str">
        <f t="shared" si="319"/>
        <v/>
      </c>
      <c r="AK764" s="112" t="str">
        <f t="shared" si="320"/>
        <v/>
      </c>
      <c r="AL764" t="str">
        <f t="shared" si="321"/>
        <v/>
      </c>
      <c r="AM764" t="str">
        <f t="shared" si="322"/>
        <v/>
      </c>
    </row>
    <row r="765" spans="1:39" ht="15" customHeight="1" x14ac:dyDescent="0.25">
      <c r="A765" s="131"/>
      <c r="B765" s="133"/>
      <c r="C765" s="133"/>
      <c r="D765" s="42" t="str">
        <f t="shared" si="297"/>
        <v/>
      </c>
      <c r="E765" s="43"/>
      <c r="F765" s="135"/>
      <c r="G765" s="77" t="str">
        <f t="shared" si="298"/>
        <v/>
      </c>
      <c r="H765" s="32" t="str">
        <f t="shared" si="299"/>
        <v/>
      </c>
      <c r="I765" s="78" t="str">
        <f t="shared" si="300"/>
        <v/>
      </c>
      <c r="J765" s="70" t="str">
        <f t="shared" si="301"/>
        <v/>
      </c>
      <c r="K765" s="135"/>
      <c r="L765" s="72" t="str">
        <f t="shared" si="302"/>
        <v/>
      </c>
      <c r="M765" s="135"/>
      <c r="N765" s="72" t="str">
        <f t="shared" si="303"/>
        <v/>
      </c>
      <c r="O765" s="135"/>
      <c r="P765" s="136"/>
      <c r="Q765" s="123" t="str">
        <f t="shared" si="304"/>
        <v/>
      </c>
      <c r="R765" s="45" t="str">
        <f t="shared" si="305"/>
        <v/>
      </c>
      <c r="S765" s="137"/>
      <c r="T765" s="79" t="str">
        <f t="shared" si="314"/>
        <v/>
      </c>
      <c r="U765" s="79" t="str">
        <f t="shared" si="306"/>
        <v/>
      </c>
      <c r="V765" s="73" t="str">
        <f t="shared" si="307"/>
        <v/>
      </c>
      <c r="W765" s="80" t="str">
        <f t="shared" si="308"/>
        <v/>
      </c>
      <c r="X765" s="73" t="str">
        <f t="shared" si="309"/>
        <v/>
      </c>
      <c r="Y765" s="80" t="str">
        <f t="shared" si="310"/>
        <v/>
      </c>
      <c r="Z765" s="74" t="str">
        <f t="shared" si="311"/>
        <v/>
      </c>
      <c r="AA765" s="75" t="str">
        <f t="shared" si="315"/>
        <v/>
      </c>
      <c r="AB765" s="103" t="str">
        <f t="shared" si="312"/>
        <v/>
      </c>
      <c r="AC765" s="104" t="str">
        <f t="shared" si="323"/>
        <v/>
      </c>
      <c r="AE765" s="139"/>
      <c r="AF765" s="110" t="str">
        <f t="shared" si="316"/>
        <v/>
      </c>
      <c r="AG765" s="111" t="str">
        <f t="shared" si="317"/>
        <v/>
      </c>
      <c r="AH765" s="111" t="str">
        <f t="shared" si="313"/>
        <v/>
      </c>
      <c r="AI765" s="111" t="str">
        <f t="shared" si="318"/>
        <v/>
      </c>
      <c r="AJ765" s="111" t="str">
        <f t="shared" si="319"/>
        <v/>
      </c>
      <c r="AK765" s="112" t="str">
        <f t="shared" si="320"/>
        <v/>
      </c>
      <c r="AL765" t="str">
        <f t="shared" si="321"/>
        <v/>
      </c>
      <c r="AM765" t="str">
        <f t="shared" si="322"/>
        <v/>
      </c>
    </row>
    <row r="766" spans="1:39" ht="15" customHeight="1" x14ac:dyDescent="0.25">
      <c r="A766" s="131"/>
      <c r="B766" s="133"/>
      <c r="C766" s="133"/>
      <c r="D766" s="42" t="str">
        <f t="shared" si="297"/>
        <v/>
      </c>
      <c r="E766" s="43"/>
      <c r="F766" s="135"/>
      <c r="G766" s="77" t="str">
        <f t="shared" si="298"/>
        <v/>
      </c>
      <c r="H766" s="32" t="str">
        <f t="shared" si="299"/>
        <v/>
      </c>
      <c r="I766" s="78" t="str">
        <f t="shared" si="300"/>
        <v/>
      </c>
      <c r="J766" s="70" t="str">
        <f t="shared" si="301"/>
        <v/>
      </c>
      <c r="K766" s="135"/>
      <c r="L766" s="72" t="str">
        <f t="shared" si="302"/>
        <v/>
      </c>
      <c r="M766" s="135"/>
      <c r="N766" s="72" t="str">
        <f t="shared" si="303"/>
        <v/>
      </c>
      <c r="O766" s="135"/>
      <c r="P766" s="136"/>
      <c r="Q766" s="123" t="str">
        <f t="shared" si="304"/>
        <v/>
      </c>
      <c r="R766" s="45" t="str">
        <f t="shared" si="305"/>
        <v/>
      </c>
      <c r="S766" s="137"/>
      <c r="T766" s="79" t="str">
        <f t="shared" si="314"/>
        <v/>
      </c>
      <c r="U766" s="79" t="str">
        <f t="shared" si="306"/>
        <v/>
      </c>
      <c r="V766" s="73" t="str">
        <f t="shared" si="307"/>
        <v/>
      </c>
      <c r="W766" s="80" t="str">
        <f t="shared" si="308"/>
        <v/>
      </c>
      <c r="X766" s="73" t="str">
        <f t="shared" si="309"/>
        <v/>
      </c>
      <c r="Y766" s="80" t="str">
        <f t="shared" si="310"/>
        <v/>
      </c>
      <c r="Z766" s="74" t="str">
        <f t="shared" si="311"/>
        <v/>
      </c>
      <c r="AA766" s="75" t="str">
        <f t="shared" si="315"/>
        <v/>
      </c>
      <c r="AB766" s="103" t="str">
        <f t="shared" si="312"/>
        <v/>
      </c>
      <c r="AC766" s="104" t="str">
        <f t="shared" si="323"/>
        <v/>
      </c>
      <c r="AE766" s="139"/>
      <c r="AF766" s="110" t="str">
        <f t="shared" si="316"/>
        <v/>
      </c>
      <c r="AG766" s="111" t="str">
        <f t="shared" si="317"/>
        <v/>
      </c>
      <c r="AH766" s="111" t="str">
        <f t="shared" si="313"/>
        <v/>
      </c>
      <c r="AI766" s="111" t="str">
        <f t="shared" si="318"/>
        <v/>
      </c>
      <c r="AJ766" s="111" t="str">
        <f t="shared" si="319"/>
        <v/>
      </c>
      <c r="AK766" s="112" t="str">
        <f t="shared" si="320"/>
        <v/>
      </c>
      <c r="AL766" t="str">
        <f t="shared" si="321"/>
        <v/>
      </c>
      <c r="AM766" t="str">
        <f t="shared" si="322"/>
        <v/>
      </c>
    </row>
    <row r="767" spans="1:39" ht="15" customHeight="1" x14ac:dyDescent="0.25">
      <c r="A767" s="131"/>
      <c r="B767" s="133"/>
      <c r="C767" s="133"/>
      <c r="D767" s="42" t="str">
        <f t="shared" si="297"/>
        <v/>
      </c>
      <c r="E767" s="43"/>
      <c r="F767" s="135"/>
      <c r="G767" s="77" t="str">
        <f t="shared" si="298"/>
        <v/>
      </c>
      <c r="H767" s="32" t="str">
        <f t="shared" si="299"/>
        <v/>
      </c>
      <c r="I767" s="78" t="str">
        <f t="shared" si="300"/>
        <v/>
      </c>
      <c r="J767" s="70" t="str">
        <f t="shared" si="301"/>
        <v/>
      </c>
      <c r="K767" s="135"/>
      <c r="L767" s="72" t="str">
        <f t="shared" si="302"/>
        <v/>
      </c>
      <c r="M767" s="135"/>
      <c r="N767" s="72" t="str">
        <f t="shared" si="303"/>
        <v/>
      </c>
      <c r="O767" s="135"/>
      <c r="P767" s="136"/>
      <c r="Q767" s="123" t="str">
        <f t="shared" si="304"/>
        <v/>
      </c>
      <c r="R767" s="45" t="str">
        <f t="shared" si="305"/>
        <v/>
      </c>
      <c r="S767" s="137"/>
      <c r="T767" s="79" t="str">
        <f t="shared" si="314"/>
        <v/>
      </c>
      <c r="U767" s="79" t="str">
        <f t="shared" si="306"/>
        <v/>
      </c>
      <c r="V767" s="73" t="str">
        <f t="shared" si="307"/>
        <v/>
      </c>
      <c r="W767" s="80" t="str">
        <f t="shared" si="308"/>
        <v/>
      </c>
      <c r="X767" s="73" t="str">
        <f t="shared" si="309"/>
        <v/>
      </c>
      <c r="Y767" s="80" t="str">
        <f t="shared" si="310"/>
        <v/>
      </c>
      <c r="Z767" s="74" t="str">
        <f t="shared" si="311"/>
        <v/>
      </c>
      <c r="AA767" s="75" t="str">
        <f t="shared" si="315"/>
        <v/>
      </c>
      <c r="AB767" s="103" t="str">
        <f t="shared" si="312"/>
        <v/>
      </c>
      <c r="AC767" s="104" t="str">
        <f t="shared" si="323"/>
        <v/>
      </c>
      <c r="AE767" s="139"/>
      <c r="AF767" s="110" t="str">
        <f t="shared" si="316"/>
        <v/>
      </c>
      <c r="AG767" s="111" t="str">
        <f t="shared" si="317"/>
        <v/>
      </c>
      <c r="AH767" s="111" t="str">
        <f t="shared" si="313"/>
        <v/>
      </c>
      <c r="AI767" s="111" t="str">
        <f t="shared" si="318"/>
        <v/>
      </c>
      <c r="AJ767" s="111" t="str">
        <f t="shared" si="319"/>
        <v/>
      </c>
      <c r="AK767" s="112" t="str">
        <f t="shared" si="320"/>
        <v/>
      </c>
      <c r="AL767" t="str">
        <f t="shared" si="321"/>
        <v/>
      </c>
      <c r="AM767" t="str">
        <f t="shared" si="322"/>
        <v/>
      </c>
    </row>
    <row r="768" spans="1:39" ht="15" customHeight="1" x14ac:dyDescent="0.25">
      <c r="A768" s="131"/>
      <c r="B768" s="133"/>
      <c r="C768" s="133"/>
      <c r="D768" s="42" t="str">
        <f t="shared" si="297"/>
        <v/>
      </c>
      <c r="E768" s="43"/>
      <c r="F768" s="135"/>
      <c r="G768" s="77" t="str">
        <f t="shared" si="298"/>
        <v/>
      </c>
      <c r="H768" s="32" t="str">
        <f t="shared" si="299"/>
        <v/>
      </c>
      <c r="I768" s="78" t="str">
        <f t="shared" si="300"/>
        <v/>
      </c>
      <c r="J768" s="70" t="str">
        <f t="shared" si="301"/>
        <v/>
      </c>
      <c r="K768" s="135"/>
      <c r="L768" s="72" t="str">
        <f t="shared" si="302"/>
        <v/>
      </c>
      <c r="M768" s="135"/>
      <c r="N768" s="72" t="str">
        <f t="shared" si="303"/>
        <v/>
      </c>
      <c r="O768" s="135"/>
      <c r="P768" s="136"/>
      <c r="Q768" s="123" t="str">
        <f t="shared" si="304"/>
        <v/>
      </c>
      <c r="R768" s="45" t="str">
        <f t="shared" si="305"/>
        <v/>
      </c>
      <c r="S768" s="137"/>
      <c r="T768" s="79" t="str">
        <f t="shared" si="314"/>
        <v/>
      </c>
      <c r="U768" s="79" t="str">
        <f t="shared" si="306"/>
        <v/>
      </c>
      <c r="V768" s="73" t="str">
        <f t="shared" si="307"/>
        <v/>
      </c>
      <c r="W768" s="80" t="str">
        <f t="shared" si="308"/>
        <v/>
      </c>
      <c r="X768" s="73" t="str">
        <f t="shared" si="309"/>
        <v/>
      </c>
      <c r="Y768" s="80" t="str">
        <f t="shared" si="310"/>
        <v/>
      </c>
      <c r="Z768" s="74" t="str">
        <f t="shared" si="311"/>
        <v/>
      </c>
      <c r="AA768" s="75" t="str">
        <f t="shared" si="315"/>
        <v/>
      </c>
      <c r="AB768" s="103" t="str">
        <f t="shared" si="312"/>
        <v/>
      </c>
      <c r="AC768" s="104" t="str">
        <f t="shared" si="323"/>
        <v/>
      </c>
      <c r="AE768" s="139"/>
      <c r="AF768" s="110" t="str">
        <f t="shared" si="316"/>
        <v/>
      </c>
      <c r="AG768" s="111" t="str">
        <f t="shared" si="317"/>
        <v/>
      </c>
      <c r="AH768" s="111" t="str">
        <f t="shared" si="313"/>
        <v/>
      </c>
      <c r="AI768" s="111" t="str">
        <f t="shared" si="318"/>
        <v/>
      </c>
      <c r="AJ768" s="111" t="str">
        <f t="shared" si="319"/>
        <v/>
      </c>
      <c r="AK768" s="112" t="str">
        <f t="shared" si="320"/>
        <v/>
      </c>
      <c r="AL768" t="str">
        <f t="shared" si="321"/>
        <v/>
      </c>
      <c r="AM768" t="str">
        <f t="shared" si="322"/>
        <v/>
      </c>
    </row>
    <row r="769" spans="1:39" ht="15" customHeight="1" x14ac:dyDescent="0.25">
      <c r="A769" s="131"/>
      <c r="B769" s="133"/>
      <c r="C769" s="133"/>
      <c r="D769" s="42" t="str">
        <f t="shared" si="297"/>
        <v/>
      </c>
      <c r="E769" s="43"/>
      <c r="F769" s="135"/>
      <c r="G769" s="77" t="str">
        <f t="shared" si="298"/>
        <v/>
      </c>
      <c r="H769" s="32" t="str">
        <f t="shared" si="299"/>
        <v/>
      </c>
      <c r="I769" s="78" t="str">
        <f t="shared" si="300"/>
        <v/>
      </c>
      <c r="J769" s="70" t="str">
        <f t="shared" si="301"/>
        <v/>
      </c>
      <c r="K769" s="135"/>
      <c r="L769" s="72" t="str">
        <f t="shared" si="302"/>
        <v/>
      </c>
      <c r="M769" s="135"/>
      <c r="N769" s="72" t="str">
        <f t="shared" si="303"/>
        <v/>
      </c>
      <c r="O769" s="135"/>
      <c r="P769" s="136"/>
      <c r="Q769" s="123" t="str">
        <f t="shared" si="304"/>
        <v/>
      </c>
      <c r="R769" s="45" t="str">
        <f t="shared" si="305"/>
        <v/>
      </c>
      <c r="S769" s="137"/>
      <c r="T769" s="79" t="str">
        <f t="shared" si="314"/>
        <v/>
      </c>
      <c r="U769" s="79" t="str">
        <f t="shared" si="306"/>
        <v/>
      </c>
      <c r="V769" s="73" t="str">
        <f t="shared" si="307"/>
        <v/>
      </c>
      <c r="W769" s="80" t="str">
        <f t="shared" si="308"/>
        <v/>
      </c>
      <c r="X769" s="73" t="str">
        <f t="shared" si="309"/>
        <v/>
      </c>
      <c r="Y769" s="80" t="str">
        <f t="shared" si="310"/>
        <v/>
      </c>
      <c r="Z769" s="74" t="str">
        <f t="shared" si="311"/>
        <v/>
      </c>
      <c r="AA769" s="75" t="str">
        <f t="shared" si="315"/>
        <v/>
      </c>
      <c r="AB769" s="103" t="str">
        <f t="shared" si="312"/>
        <v/>
      </c>
      <c r="AC769" s="104" t="str">
        <f t="shared" si="323"/>
        <v/>
      </c>
      <c r="AE769" s="139"/>
      <c r="AF769" s="110" t="str">
        <f t="shared" si="316"/>
        <v/>
      </c>
      <c r="AG769" s="111" t="str">
        <f t="shared" si="317"/>
        <v/>
      </c>
      <c r="AH769" s="111" t="str">
        <f t="shared" si="313"/>
        <v/>
      </c>
      <c r="AI769" s="111" t="str">
        <f t="shared" si="318"/>
        <v/>
      </c>
      <c r="AJ769" s="111" t="str">
        <f t="shared" si="319"/>
        <v/>
      </c>
      <c r="AK769" s="112" t="str">
        <f t="shared" si="320"/>
        <v/>
      </c>
      <c r="AL769" t="str">
        <f t="shared" si="321"/>
        <v/>
      </c>
      <c r="AM769" t="str">
        <f t="shared" si="322"/>
        <v/>
      </c>
    </row>
    <row r="770" spans="1:39" ht="15" customHeight="1" x14ac:dyDescent="0.25">
      <c r="A770" s="131"/>
      <c r="B770" s="133"/>
      <c r="C770" s="133"/>
      <c r="D770" s="42" t="str">
        <f t="shared" si="297"/>
        <v/>
      </c>
      <c r="E770" s="43"/>
      <c r="F770" s="135"/>
      <c r="G770" s="77" t="str">
        <f t="shared" si="298"/>
        <v/>
      </c>
      <c r="H770" s="32" t="str">
        <f t="shared" si="299"/>
        <v/>
      </c>
      <c r="I770" s="78" t="str">
        <f t="shared" si="300"/>
        <v/>
      </c>
      <c r="J770" s="70" t="str">
        <f t="shared" si="301"/>
        <v/>
      </c>
      <c r="K770" s="135"/>
      <c r="L770" s="72" t="str">
        <f t="shared" si="302"/>
        <v/>
      </c>
      <c r="M770" s="135"/>
      <c r="N770" s="72" t="str">
        <f t="shared" si="303"/>
        <v/>
      </c>
      <c r="O770" s="135"/>
      <c r="P770" s="136"/>
      <c r="Q770" s="123" t="str">
        <f t="shared" si="304"/>
        <v/>
      </c>
      <c r="R770" s="45" t="str">
        <f t="shared" si="305"/>
        <v/>
      </c>
      <c r="S770" s="137"/>
      <c r="T770" s="79" t="str">
        <f t="shared" si="314"/>
        <v/>
      </c>
      <c r="U770" s="79" t="str">
        <f t="shared" si="306"/>
        <v/>
      </c>
      <c r="V770" s="73" t="str">
        <f t="shared" si="307"/>
        <v/>
      </c>
      <c r="W770" s="80" t="str">
        <f t="shared" si="308"/>
        <v/>
      </c>
      <c r="X770" s="73" t="str">
        <f t="shared" si="309"/>
        <v/>
      </c>
      <c r="Y770" s="80" t="str">
        <f t="shared" si="310"/>
        <v/>
      </c>
      <c r="Z770" s="74" t="str">
        <f t="shared" si="311"/>
        <v/>
      </c>
      <c r="AA770" s="75" t="str">
        <f t="shared" si="315"/>
        <v/>
      </c>
      <c r="AB770" s="103" t="str">
        <f t="shared" si="312"/>
        <v/>
      </c>
      <c r="AC770" s="104" t="str">
        <f t="shared" si="323"/>
        <v/>
      </c>
      <c r="AE770" s="139"/>
      <c r="AF770" s="110" t="str">
        <f t="shared" si="316"/>
        <v/>
      </c>
      <c r="AG770" s="111" t="str">
        <f t="shared" si="317"/>
        <v/>
      </c>
      <c r="AH770" s="111" t="str">
        <f t="shared" si="313"/>
        <v/>
      </c>
      <c r="AI770" s="111" t="str">
        <f t="shared" si="318"/>
        <v/>
      </c>
      <c r="AJ770" s="111" t="str">
        <f t="shared" si="319"/>
        <v/>
      </c>
      <c r="AK770" s="112" t="str">
        <f t="shared" si="320"/>
        <v/>
      </c>
      <c r="AL770" t="str">
        <f t="shared" si="321"/>
        <v/>
      </c>
      <c r="AM770" t="str">
        <f t="shared" si="322"/>
        <v/>
      </c>
    </row>
    <row r="771" spans="1:39" ht="15" customHeight="1" x14ac:dyDescent="0.25">
      <c r="A771" s="131"/>
      <c r="B771" s="133"/>
      <c r="C771" s="133"/>
      <c r="D771" s="42" t="str">
        <f t="shared" si="297"/>
        <v/>
      </c>
      <c r="E771" s="43"/>
      <c r="F771" s="135"/>
      <c r="G771" s="77" t="str">
        <f t="shared" si="298"/>
        <v/>
      </c>
      <c r="H771" s="32" t="str">
        <f t="shared" si="299"/>
        <v/>
      </c>
      <c r="I771" s="78" t="str">
        <f t="shared" si="300"/>
        <v/>
      </c>
      <c r="J771" s="70" t="str">
        <f t="shared" si="301"/>
        <v/>
      </c>
      <c r="K771" s="135"/>
      <c r="L771" s="72" t="str">
        <f t="shared" si="302"/>
        <v/>
      </c>
      <c r="M771" s="135"/>
      <c r="N771" s="72" t="str">
        <f t="shared" si="303"/>
        <v/>
      </c>
      <c r="O771" s="135"/>
      <c r="P771" s="136"/>
      <c r="Q771" s="123" t="str">
        <f t="shared" si="304"/>
        <v/>
      </c>
      <c r="R771" s="45" t="str">
        <f t="shared" si="305"/>
        <v/>
      </c>
      <c r="S771" s="137"/>
      <c r="T771" s="79" t="str">
        <f t="shared" si="314"/>
        <v/>
      </c>
      <c r="U771" s="79" t="str">
        <f t="shared" si="306"/>
        <v/>
      </c>
      <c r="V771" s="73" t="str">
        <f t="shared" si="307"/>
        <v/>
      </c>
      <c r="W771" s="80" t="str">
        <f t="shared" si="308"/>
        <v/>
      </c>
      <c r="X771" s="73" t="str">
        <f t="shared" si="309"/>
        <v/>
      </c>
      <c r="Y771" s="80" t="str">
        <f t="shared" si="310"/>
        <v/>
      </c>
      <c r="Z771" s="74" t="str">
        <f t="shared" si="311"/>
        <v/>
      </c>
      <c r="AA771" s="75" t="str">
        <f t="shared" si="315"/>
        <v/>
      </c>
      <c r="AB771" s="103" t="str">
        <f t="shared" si="312"/>
        <v/>
      </c>
      <c r="AC771" s="104" t="str">
        <f t="shared" si="323"/>
        <v/>
      </c>
      <c r="AE771" s="139"/>
      <c r="AF771" s="110" t="str">
        <f t="shared" si="316"/>
        <v/>
      </c>
      <c r="AG771" s="111" t="str">
        <f t="shared" si="317"/>
        <v/>
      </c>
      <c r="AH771" s="111" t="str">
        <f t="shared" si="313"/>
        <v/>
      </c>
      <c r="AI771" s="111" t="str">
        <f t="shared" si="318"/>
        <v/>
      </c>
      <c r="AJ771" s="111" t="str">
        <f t="shared" si="319"/>
        <v/>
      </c>
      <c r="AK771" s="112" t="str">
        <f t="shared" si="320"/>
        <v/>
      </c>
      <c r="AL771" t="str">
        <f t="shared" si="321"/>
        <v/>
      </c>
      <c r="AM771" t="str">
        <f t="shared" si="322"/>
        <v/>
      </c>
    </row>
    <row r="772" spans="1:39" ht="15" customHeight="1" x14ac:dyDescent="0.25">
      <c r="A772" s="131"/>
      <c r="B772" s="133"/>
      <c r="C772" s="133"/>
      <c r="D772" s="42" t="str">
        <f t="shared" si="297"/>
        <v/>
      </c>
      <c r="E772" s="43"/>
      <c r="F772" s="135"/>
      <c r="G772" s="77" t="str">
        <f t="shared" si="298"/>
        <v/>
      </c>
      <c r="H772" s="32" t="str">
        <f t="shared" si="299"/>
        <v/>
      </c>
      <c r="I772" s="78" t="str">
        <f t="shared" si="300"/>
        <v/>
      </c>
      <c r="J772" s="70" t="str">
        <f t="shared" si="301"/>
        <v/>
      </c>
      <c r="K772" s="135"/>
      <c r="L772" s="72" t="str">
        <f t="shared" si="302"/>
        <v/>
      </c>
      <c r="M772" s="135"/>
      <c r="N772" s="72" t="str">
        <f t="shared" si="303"/>
        <v/>
      </c>
      <c r="O772" s="135"/>
      <c r="P772" s="136"/>
      <c r="Q772" s="123" t="str">
        <f t="shared" si="304"/>
        <v/>
      </c>
      <c r="R772" s="45" t="str">
        <f t="shared" si="305"/>
        <v/>
      </c>
      <c r="S772" s="137"/>
      <c r="T772" s="79" t="str">
        <f t="shared" si="314"/>
        <v/>
      </c>
      <c r="U772" s="79" t="str">
        <f t="shared" si="306"/>
        <v/>
      </c>
      <c r="V772" s="73" t="str">
        <f t="shared" si="307"/>
        <v/>
      </c>
      <c r="W772" s="80" t="str">
        <f t="shared" si="308"/>
        <v/>
      </c>
      <c r="X772" s="73" t="str">
        <f t="shared" si="309"/>
        <v/>
      </c>
      <c r="Y772" s="80" t="str">
        <f t="shared" si="310"/>
        <v/>
      </c>
      <c r="Z772" s="74" t="str">
        <f t="shared" si="311"/>
        <v/>
      </c>
      <c r="AA772" s="75" t="str">
        <f t="shared" si="315"/>
        <v/>
      </c>
      <c r="AB772" s="103" t="str">
        <f t="shared" si="312"/>
        <v/>
      </c>
      <c r="AC772" s="104" t="str">
        <f t="shared" si="323"/>
        <v/>
      </c>
      <c r="AE772" s="139"/>
      <c r="AF772" s="110" t="str">
        <f t="shared" si="316"/>
        <v/>
      </c>
      <c r="AG772" s="111" t="str">
        <f t="shared" si="317"/>
        <v/>
      </c>
      <c r="AH772" s="111" t="str">
        <f t="shared" si="313"/>
        <v/>
      </c>
      <c r="AI772" s="111" t="str">
        <f t="shared" si="318"/>
        <v/>
      </c>
      <c r="AJ772" s="111" t="str">
        <f t="shared" si="319"/>
        <v/>
      </c>
      <c r="AK772" s="112" t="str">
        <f t="shared" si="320"/>
        <v/>
      </c>
      <c r="AL772" t="str">
        <f t="shared" si="321"/>
        <v/>
      </c>
      <c r="AM772" t="str">
        <f t="shared" si="322"/>
        <v/>
      </c>
    </row>
    <row r="773" spans="1:39" ht="15" customHeight="1" x14ac:dyDescent="0.25">
      <c r="A773" s="131"/>
      <c r="B773" s="133"/>
      <c r="C773" s="133"/>
      <c r="D773" s="42" t="str">
        <f t="shared" si="297"/>
        <v/>
      </c>
      <c r="E773" s="43"/>
      <c r="F773" s="135"/>
      <c r="G773" s="77" t="str">
        <f t="shared" si="298"/>
        <v/>
      </c>
      <c r="H773" s="32" t="str">
        <f t="shared" si="299"/>
        <v/>
      </c>
      <c r="I773" s="78" t="str">
        <f t="shared" si="300"/>
        <v/>
      </c>
      <c r="J773" s="70" t="str">
        <f t="shared" si="301"/>
        <v/>
      </c>
      <c r="K773" s="135"/>
      <c r="L773" s="72" t="str">
        <f t="shared" si="302"/>
        <v/>
      </c>
      <c r="M773" s="135"/>
      <c r="N773" s="72" t="str">
        <f t="shared" si="303"/>
        <v/>
      </c>
      <c r="O773" s="135"/>
      <c r="P773" s="136"/>
      <c r="Q773" s="123" t="str">
        <f t="shared" si="304"/>
        <v/>
      </c>
      <c r="R773" s="45" t="str">
        <f t="shared" si="305"/>
        <v/>
      </c>
      <c r="S773" s="137"/>
      <c r="T773" s="79" t="str">
        <f t="shared" si="314"/>
        <v/>
      </c>
      <c r="U773" s="79" t="str">
        <f t="shared" si="306"/>
        <v/>
      </c>
      <c r="V773" s="73" t="str">
        <f t="shared" si="307"/>
        <v/>
      </c>
      <c r="W773" s="80" t="str">
        <f t="shared" si="308"/>
        <v/>
      </c>
      <c r="X773" s="73" t="str">
        <f t="shared" si="309"/>
        <v/>
      </c>
      <c r="Y773" s="80" t="str">
        <f t="shared" si="310"/>
        <v/>
      </c>
      <c r="Z773" s="74" t="str">
        <f t="shared" si="311"/>
        <v/>
      </c>
      <c r="AA773" s="75" t="str">
        <f t="shared" si="315"/>
        <v/>
      </c>
      <c r="AB773" s="103" t="str">
        <f t="shared" si="312"/>
        <v/>
      </c>
      <c r="AC773" s="104" t="str">
        <f t="shared" si="323"/>
        <v/>
      </c>
      <c r="AE773" s="139"/>
      <c r="AF773" s="110" t="str">
        <f t="shared" si="316"/>
        <v/>
      </c>
      <c r="AG773" s="111" t="str">
        <f t="shared" si="317"/>
        <v/>
      </c>
      <c r="AH773" s="111" t="str">
        <f t="shared" si="313"/>
        <v/>
      </c>
      <c r="AI773" s="111" t="str">
        <f t="shared" si="318"/>
        <v/>
      </c>
      <c r="AJ773" s="111" t="str">
        <f t="shared" si="319"/>
        <v/>
      </c>
      <c r="AK773" s="112" t="str">
        <f t="shared" si="320"/>
        <v/>
      </c>
      <c r="AL773" t="str">
        <f t="shared" si="321"/>
        <v/>
      </c>
      <c r="AM773" t="str">
        <f t="shared" si="322"/>
        <v/>
      </c>
    </row>
    <row r="774" spans="1:39" ht="15" customHeight="1" x14ac:dyDescent="0.25">
      <c r="A774" s="131"/>
      <c r="B774" s="133"/>
      <c r="C774" s="133"/>
      <c r="D774" s="42" t="str">
        <f t="shared" si="297"/>
        <v/>
      </c>
      <c r="E774" s="43"/>
      <c r="F774" s="135"/>
      <c r="G774" s="77" t="str">
        <f t="shared" si="298"/>
        <v/>
      </c>
      <c r="H774" s="32" t="str">
        <f t="shared" si="299"/>
        <v/>
      </c>
      <c r="I774" s="78" t="str">
        <f t="shared" si="300"/>
        <v/>
      </c>
      <c r="J774" s="70" t="str">
        <f t="shared" si="301"/>
        <v/>
      </c>
      <c r="K774" s="135"/>
      <c r="L774" s="72" t="str">
        <f t="shared" si="302"/>
        <v/>
      </c>
      <c r="M774" s="135"/>
      <c r="N774" s="72" t="str">
        <f t="shared" si="303"/>
        <v/>
      </c>
      <c r="O774" s="135"/>
      <c r="P774" s="136"/>
      <c r="Q774" s="123" t="str">
        <f t="shared" si="304"/>
        <v/>
      </c>
      <c r="R774" s="45" t="str">
        <f t="shared" si="305"/>
        <v/>
      </c>
      <c r="S774" s="137"/>
      <c r="T774" s="79" t="str">
        <f t="shared" si="314"/>
        <v/>
      </c>
      <c r="U774" s="79" t="str">
        <f t="shared" si="306"/>
        <v/>
      </c>
      <c r="V774" s="73" t="str">
        <f t="shared" si="307"/>
        <v/>
      </c>
      <c r="W774" s="80" t="str">
        <f t="shared" si="308"/>
        <v/>
      </c>
      <c r="X774" s="73" t="str">
        <f t="shared" si="309"/>
        <v/>
      </c>
      <c r="Y774" s="80" t="str">
        <f t="shared" si="310"/>
        <v/>
      </c>
      <c r="Z774" s="74" t="str">
        <f t="shared" si="311"/>
        <v/>
      </c>
      <c r="AA774" s="75" t="str">
        <f t="shared" si="315"/>
        <v/>
      </c>
      <c r="AB774" s="103" t="str">
        <f t="shared" si="312"/>
        <v/>
      </c>
      <c r="AC774" s="104" t="str">
        <f t="shared" si="323"/>
        <v/>
      </c>
      <c r="AE774" s="139"/>
      <c r="AF774" s="110" t="str">
        <f t="shared" si="316"/>
        <v/>
      </c>
      <c r="AG774" s="111" t="str">
        <f t="shared" si="317"/>
        <v/>
      </c>
      <c r="AH774" s="111" t="str">
        <f t="shared" si="313"/>
        <v/>
      </c>
      <c r="AI774" s="111" t="str">
        <f t="shared" si="318"/>
        <v/>
      </c>
      <c r="AJ774" s="111" t="str">
        <f t="shared" si="319"/>
        <v/>
      </c>
      <c r="AK774" s="112" t="str">
        <f t="shared" si="320"/>
        <v/>
      </c>
      <c r="AL774" t="str">
        <f t="shared" si="321"/>
        <v/>
      </c>
      <c r="AM774" t="str">
        <f t="shared" si="322"/>
        <v/>
      </c>
    </row>
    <row r="775" spans="1:39" ht="15" customHeight="1" x14ac:dyDescent="0.25">
      <c r="A775" s="131"/>
      <c r="B775" s="133"/>
      <c r="C775" s="133"/>
      <c r="D775" s="42" t="str">
        <f t="shared" si="297"/>
        <v/>
      </c>
      <c r="E775" s="43"/>
      <c r="F775" s="135"/>
      <c r="G775" s="77" t="str">
        <f t="shared" si="298"/>
        <v/>
      </c>
      <c r="H775" s="32" t="str">
        <f t="shared" si="299"/>
        <v/>
      </c>
      <c r="I775" s="78" t="str">
        <f t="shared" si="300"/>
        <v/>
      </c>
      <c r="J775" s="70" t="str">
        <f t="shared" si="301"/>
        <v/>
      </c>
      <c r="K775" s="135"/>
      <c r="L775" s="72" t="str">
        <f t="shared" si="302"/>
        <v/>
      </c>
      <c r="M775" s="135"/>
      <c r="N775" s="72" t="str">
        <f t="shared" si="303"/>
        <v/>
      </c>
      <c r="O775" s="135"/>
      <c r="P775" s="136"/>
      <c r="Q775" s="123" t="str">
        <f t="shared" si="304"/>
        <v/>
      </c>
      <c r="R775" s="45" t="str">
        <f t="shared" si="305"/>
        <v/>
      </c>
      <c r="S775" s="137"/>
      <c r="T775" s="79" t="str">
        <f t="shared" si="314"/>
        <v/>
      </c>
      <c r="U775" s="79" t="str">
        <f t="shared" si="306"/>
        <v/>
      </c>
      <c r="V775" s="73" t="str">
        <f t="shared" si="307"/>
        <v/>
      </c>
      <c r="W775" s="80" t="str">
        <f t="shared" si="308"/>
        <v/>
      </c>
      <c r="X775" s="73" t="str">
        <f t="shared" si="309"/>
        <v/>
      </c>
      <c r="Y775" s="80" t="str">
        <f t="shared" si="310"/>
        <v/>
      </c>
      <c r="Z775" s="74" t="str">
        <f t="shared" si="311"/>
        <v/>
      </c>
      <c r="AA775" s="75" t="str">
        <f t="shared" si="315"/>
        <v/>
      </c>
      <c r="AB775" s="103" t="str">
        <f t="shared" si="312"/>
        <v/>
      </c>
      <c r="AC775" s="104" t="str">
        <f t="shared" si="323"/>
        <v/>
      </c>
      <c r="AE775" s="139"/>
      <c r="AF775" s="110" t="str">
        <f t="shared" si="316"/>
        <v/>
      </c>
      <c r="AG775" s="111" t="str">
        <f t="shared" si="317"/>
        <v/>
      </c>
      <c r="AH775" s="111" t="str">
        <f t="shared" si="313"/>
        <v/>
      </c>
      <c r="AI775" s="111" t="str">
        <f t="shared" si="318"/>
        <v/>
      </c>
      <c r="AJ775" s="111" t="str">
        <f t="shared" si="319"/>
        <v/>
      </c>
      <c r="AK775" s="112" t="str">
        <f t="shared" si="320"/>
        <v/>
      </c>
      <c r="AL775" t="str">
        <f t="shared" si="321"/>
        <v/>
      </c>
      <c r="AM775" t="str">
        <f t="shared" si="322"/>
        <v/>
      </c>
    </row>
    <row r="776" spans="1:39" ht="15" customHeight="1" x14ac:dyDescent="0.25">
      <c r="A776" s="131"/>
      <c r="B776" s="133"/>
      <c r="C776" s="133"/>
      <c r="D776" s="42" t="str">
        <f t="shared" ref="D776:D839" si="324">IF(A776="","",B776*C776)</f>
        <v/>
      </c>
      <c r="E776" s="43"/>
      <c r="F776" s="135"/>
      <c r="G776" s="77" t="str">
        <f t="shared" ref="G776:G839" si="325">IF(OR(F776="",C776=0,C776=""),"",F776/C776)</f>
        <v/>
      </c>
      <c r="H776" s="32" t="str">
        <f t="shared" ref="H776:H839" si="326">IF(F776="","",ROUND(F776*$G$1,2))</f>
        <v/>
      </c>
      <c r="I776" s="78" t="str">
        <f t="shared" ref="I776:I839" si="327">IF(OR(H776="",C776=0,C776=""),"",H776/C776)</f>
        <v/>
      </c>
      <c r="J776" s="70" t="str">
        <f t="shared" ref="J776:J839" si="328">IF(A776="","",F776*B776)</f>
        <v/>
      </c>
      <c r="K776" s="135"/>
      <c r="L776" s="72" t="str">
        <f t="shared" ref="L776:L839" si="329">IF(OR(K776=0,C776=0,K776="",C776=""),"",K776/C776)</f>
        <v/>
      </c>
      <c r="M776" s="135"/>
      <c r="N776" s="72" t="str">
        <f t="shared" ref="N776:N839" si="330">IF(OR(M776=0,C776=0,M776="",C776=""),"",M776/C776)</f>
        <v/>
      </c>
      <c r="O776" s="135"/>
      <c r="P776" s="136"/>
      <c r="Q776" s="123" t="str">
        <f t="shared" ref="Q776:Q839" si="331">IF(A776="","",IF(S776&gt;0,IF(J776&gt;0,S776/J776,0),IF(E776&gt;0,0,IF($I$2&gt;0,IF($I$3&gt;0,MAX($I$2-SUM($S$8:$S$1007),0)/$I$3,0),$I$1))))</f>
        <v/>
      </c>
      <c r="R776" s="45" t="str">
        <f t="shared" ref="R776:R839" si="332">IF(A776="","",IF(S776&gt;0,S776,IF(E776&gt;0,0,J776*IF($I$2&gt;0,IF($I$3&gt;0,MAX($I$2-SUM($S$8:$S$1007),0)/$I$3,0),$I$1))))</f>
        <v/>
      </c>
      <c r="S776" s="137"/>
      <c r="T776" s="79" t="str">
        <f t="shared" si="314"/>
        <v/>
      </c>
      <c r="U776" s="79" t="str">
        <f t="shared" ref="U776:U839" si="333">IF(OR(A776="",T776=""),"",T776*C776)</f>
        <v/>
      </c>
      <c r="V776" s="73" t="str">
        <f t="shared" ref="V776:V839" si="334">IF(OR(A776="",K776&lt;=0,U776=""),"",(K776-U776)/K776)</f>
        <v/>
      </c>
      <c r="W776" s="80" t="str">
        <f t="shared" ref="W776:W839" si="335">IF(OR(K776=0,U776=0,K776="",U776=""),"",K776-U776)</f>
        <v/>
      </c>
      <c r="X776" s="73" t="str">
        <f t="shared" ref="X776:X839" si="336">IF(OR(A776="",M776&lt;=0,U776=""),"",(M776-U776)/M776)</f>
        <v/>
      </c>
      <c r="Y776" s="80" t="str">
        <f t="shared" ref="Y776:Y839" si="337">IF(OR(M776=0,U776=0,M776="",U776=""),"",M776-U776)</f>
        <v/>
      </c>
      <c r="Z776" s="74" t="str">
        <f t="shared" ref="Z776:Z839" si="338">IF(OR(J776="",J776=0,$M$5="",$K$1=0),"",($M$5/$K$1)*J776)</f>
        <v/>
      </c>
      <c r="AA776" s="75" t="str">
        <f t="shared" si="315"/>
        <v/>
      </c>
      <c r="AB776" s="103" t="str">
        <f t="shared" ref="AB776:AB839" si="339">IF(OR(T776=0,T776="",D776=0,D776=""),"",T776*(D776+E776))</f>
        <v/>
      </c>
      <c r="AC776" s="104" t="str">
        <f t="shared" si="323"/>
        <v/>
      </c>
      <c r="AE776" s="139"/>
      <c r="AF776" s="110" t="str">
        <f t="shared" si="316"/>
        <v/>
      </c>
      <c r="AG776" s="111" t="str">
        <f t="shared" si="317"/>
        <v/>
      </c>
      <c r="AH776" s="111" t="str">
        <f t="shared" ref="AH776:AH839" si="340">IF(AG776="","",AG776*$AF$1+IF(SUM($AG$8:$AG$1007)=0,0,$AF$2*AG776/SUM($AG$8:$AG$1007)))</f>
        <v/>
      </c>
      <c r="AI776" s="111" t="str">
        <f t="shared" si="318"/>
        <v/>
      </c>
      <c r="AJ776" s="111" t="str">
        <f t="shared" si="319"/>
        <v/>
      </c>
      <c r="AK776" s="112" t="str">
        <f t="shared" si="320"/>
        <v/>
      </c>
      <c r="AL776" t="str">
        <f t="shared" si="321"/>
        <v/>
      </c>
      <c r="AM776" t="str">
        <f t="shared" si="322"/>
        <v/>
      </c>
    </row>
    <row r="777" spans="1:39" ht="15" customHeight="1" x14ac:dyDescent="0.25">
      <c r="A777" s="131"/>
      <c r="B777" s="133"/>
      <c r="C777" s="133"/>
      <c r="D777" s="42" t="str">
        <f t="shared" si="324"/>
        <v/>
      </c>
      <c r="E777" s="43"/>
      <c r="F777" s="135"/>
      <c r="G777" s="77" t="str">
        <f t="shared" si="325"/>
        <v/>
      </c>
      <c r="H777" s="32" t="str">
        <f t="shared" si="326"/>
        <v/>
      </c>
      <c r="I777" s="78" t="str">
        <f t="shared" si="327"/>
        <v/>
      </c>
      <c r="J777" s="70" t="str">
        <f t="shared" si="328"/>
        <v/>
      </c>
      <c r="K777" s="135"/>
      <c r="L777" s="72" t="str">
        <f t="shared" si="329"/>
        <v/>
      </c>
      <c r="M777" s="135"/>
      <c r="N777" s="72" t="str">
        <f t="shared" si="330"/>
        <v/>
      </c>
      <c r="O777" s="135"/>
      <c r="P777" s="136"/>
      <c r="Q777" s="123" t="str">
        <f t="shared" si="331"/>
        <v/>
      </c>
      <c r="R777" s="45" t="str">
        <f t="shared" si="332"/>
        <v/>
      </c>
      <c r="S777" s="137"/>
      <c r="T777" s="79" t="str">
        <f t="shared" ref="T777:T840" si="341">IF(A777="","",IF(OR(B777=0,B777="",C777&lt;=0,D777+E777&lt;=0),"",((F777+H777)*B777+(H777/C777)*E777-R777)/(D777+E777)-IF(Z777&gt;=0,Z777/D777,0)+IF(ISNUMBER(AA777),AA777/(D777+E777),0)))</f>
        <v/>
      </c>
      <c r="U777" s="79" t="str">
        <f t="shared" si="333"/>
        <v/>
      </c>
      <c r="V777" s="73" t="str">
        <f t="shared" si="334"/>
        <v/>
      </c>
      <c r="W777" s="80" t="str">
        <f t="shared" si="335"/>
        <v/>
      </c>
      <c r="X777" s="73" t="str">
        <f t="shared" si="336"/>
        <v/>
      </c>
      <c r="Y777" s="80" t="str">
        <f t="shared" si="337"/>
        <v/>
      </c>
      <c r="Z777" s="74" t="str">
        <f t="shared" si="338"/>
        <v/>
      </c>
      <c r="AA777" s="75" t="str">
        <f t="shared" ref="AA777:AA840" si="342">IF(OR(J777="",J777=0,($G$3-$I$4)=0),"",($K$3/($G$3-$I$4))*(J777-R777))</f>
        <v/>
      </c>
      <c r="AB777" s="103" t="str">
        <f t="shared" si="339"/>
        <v/>
      </c>
      <c r="AC777" s="104" t="str">
        <f t="shared" si="323"/>
        <v/>
      </c>
      <c r="AE777" s="139"/>
      <c r="AF777" s="110" t="str">
        <f t="shared" ref="AF777:AF840" si="343">IF(AE777="","",T777)</f>
        <v/>
      </c>
      <c r="AG777" s="111" t="str">
        <f t="shared" ref="AG777:AG840" si="344">IF(OR(AE777="",AF777=""),"",AE777*AF777)</f>
        <v/>
      </c>
      <c r="AH777" s="111" t="str">
        <f t="shared" si="340"/>
        <v/>
      </c>
      <c r="AI777" s="111" t="str">
        <f t="shared" ref="AI777:AI840" si="345">IF(AG777="","",AG777-AH777)</f>
        <v/>
      </c>
      <c r="AJ777" s="111" t="str">
        <f t="shared" ref="AJ777:AJ840" si="346">IF(AI777="","",AK777-AI777)</f>
        <v/>
      </c>
      <c r="AK777" s="112" t="str">
        <f t="shared" ref="AK777:AK840" si="347">IF(AI777="","",ROUND(AI777,0))</f>
        <v/>
      </c>
      <c r="AL777" t="str">
        <f t="shared" ref="AL777:AL840" si="348">IF(OR(AE777=0,AE777=""),"",AH777/AE777)</f>
        <v/>
      </c>
      <c r="AM777" t="str">
        <f t="shared" ref="AM777:AM840" si="349">IF(OR(AE777=0,AE777=""),"",AF777*C777)</f>
        <v/>
      </c>
    </row>
    <row r="778" spans="1:39" ht="15" customHeight="1" x14ac:dyDescent="0.25">
      <c r="A778" s="131"/>
      <c r="B778" s="133"/>
      <c r="C778" s="133"/>
      <c r="D778" s="42" t="str">
        <f t="shared" si="324"/>
        <v/>
      </c>
      <c r="E778" s="43"/>
      <c r="F778" s="135"/>
      <c r="G778" s="77" t="str">
        <f t="shared" si="325"/>
        <v/>
      </c>
      <c r="H778" s="32" t="str">
        <f t="shared" si="326"/>
        <v/>
      </c>
      <c r="I778" s="78" t="str">
        <f t="shared" si="327"/>
        <v/>
      </c>
      <c r="J778" s="70" t="str">
        <f t="shared" si="328"/>
        <v/>
      </c>
      <c r="K778" s="135"/>
      <c r="L778" s="72" t="str">
        <f t="shared" si="329"/>
        <v/>
      </c>
      <c r="M778" s="135"/>
      <c r="N778" s="72" t="str">
        <f t="shared" si="330"/>
        <v/>
      </c>
      <c r="O778" s="135"/>
      <c r="P778" s="136"/>
      <c r="Q778" s="123" t="str">
        <f t="shared" si="331"/>
        <v/>
      </c>
      <c r="R778" s="45" t="str">
        <f t="shared" si="332"/>
        <v/>
      </c>
      <c r="S778" s="137"/>
      <c r="T778" s="79" t="str">
        <f t="shared" si="341"/>
        <v/>
      </c>
      <c r="U778" s="79" t="str">
        <f t="shared" si="333"/>
        <v/>
      </c>
      <c r="V778" s="73" t="str">
        <f t="shared" si="334"/>
        <v/>
      </c>
      <c r="W778" s="80" t="str">
        <f t="shared" si="335"/>
        <v/>
      </c>
      <c r="X778" s="73" t="str">
        <f t="shared" si="336"/>
        <v/>
      </c>
      <c r="Y778" s="80" t="str">
        <f t="shared" si="337"/>
        <v/>
      </c>
      <c r="Z778" s="74" t="str">
        <f t="shared" si="338"/>
        <v/>
      </c>
      <c r="AA778" s="75" t="str">
        <f t="shared" si="342"/>
        <v/>
      </c>
      <c r="AB778" s="103" t="str">
        <f t="shared" si="339"/>
        <v/>
      </c>
      <c r="AC778" s="104" t="str">
        <f t="shared" ref="AC778:AC841" si="350">IF(OR(A778="",J778="",C778&lt;=0, B778=0),"",J778+H778*B778+(H778/C778)*E778)</f>
        <v/>
      </c>
      <c r="AE778" s="139"/>
      <c r="AF778" s="110" t="str">
        <f t="shared" si="343"/>
        <v/>
      </c>
      <c r="AG778" s="111" t="str">
        <f t="shared" si="344"/>
        <v/>
      </c>
      <c r="AH778" s="111" t="str">
        <f t="shared" si="340"/>
        <v/>
      </c>
      <c r="AI778" s="111" t="str">
        <f t="shared" si="345"/>
        <v/>
      </c>
      <c r="AJ778" s="111" t="str">
        <f t="shared" si="346"/>
        <v/>
      </c>
      <c r="AK778" s="112" t="str">
        <f t="shared" si="347"/>
        <v/>
      </c>
      <c r="AL778" t="str">
        <f t="shared" si="348"/>
        <v/>
      </c>
      <c r="AM778" t="str">
        <f t="shared" si="349"/>
        <v/>
      </c>
    </row>
    <row r="779" spans="1:39" ht="15" customHeight="1" x14ac:dyDescent="0.25">
      <c r="A779" s="131"/>
      <c r="B779" s="133"/>
      <c r="C779" s="133"/>
      <c r="D779" s="42" t="str">
        <f t="shared" si="324"/>
        <v/>
      </c>
      <c r="E779" s="43"/>
      <c r="F779" s="135"/>
      <c r="G779" s="77" t="str">
        <f t="shared" si="325"/>
        <v/>
      </c>
      <c r="H779" s="32" t="str">
        <f t="shared" si="326"/>
        <v/>
      </c>
      <c r="I779" s="78" t="str">
        <f t="shared" si="327"/>
        <v/>
      </c>
      <c r="J779" s="70" t="str">
        <f t="shared" si="328"/>
        <v/>
      </c>
      <c r="K779" s="135"/>
      <c r="L779" s="72" t="str">
        <f t="shared" si="329"/>
        <v/>
      </c>
      <c r="M779" s="135"/>
      <c r="N779" s="72" t="str">
        <f t="shared" si="330"/>
        <v/>
      </c>
      <c r="O779" s="135"/>
      <c r="P779" s="136"/>
      <c r="Q779" s="123" t="str">
        <f t="shared" si="331"/>
        <v/>
      </c>
      <c r="R779" s="45" t="str">
        <f t="shared" si="332"/>
        <v/>
      </c>
      <c r="S779" s="137"/>
      <c r="T779" s="79" t="str">
        <f t="shared" si="341"/>
        <v/>
      </c>
      <c r="U779" s="79" t="str">
        <f t="shared" si="333"/>
        <v/>
      </c>
      <c r="V779" s="73" t="str">
        <f t="shared" si="334"/>
        <v/>
      </c>
      <c r="W779" s="80" t="str">
        <f t="shared" si="335"/>
        <v/>
      </c>
      <c r="X779" s="73" t="str">
        <f t="shared" si="336"/>
        <v/>
      </c>
      <c r="Y779" s="80" t="str">
        <f t="shared" si="337"/>
        <v/>
      </c>
      <c r="Z779" s="74" t="str">
        <f t="shared" si="338"/>
        <v/>
      </c>
      <c r="AA779" s="75" t="str">
        <f t="shared" si="342"/>
        <v/>
      </c>
      <c r="AB779" s="103" t="str">
        <f t="shared" si="339"/>
        <v/>
      </c>
      <c r="AC779" s="104" t="str">
        <f t="shared" si="350"/>
        <v/>
      </c>
      <c r="AE779" s="139"/>
      <c r="AF779" s="110" t="str">
        <f t="shared" si="343"/>
        <v/>
      </c>
      <c r="AG779" s="111" t="str">
        <f t="shared" si="344"/>
        <v/>
      </c>
      <c r="AH779" s="111" t="str">
        <f t="shared" si="340"/>
        <v/>
      </c>
      <c r="AI779" s="111" t="str">
        <f t="shared" si="345"/>
        <v/>
      </c>
      <c r="AJ779" s="111" t="str">
        <f t="shared" si="346"/>
        <v/>
      </c>
      <c r="AK779" s="112" t="str">
        <f t="shared" si="347"/>
        <v/>
      </c>
      <c r="AL779" t="str">
        <f t="shared" si="348"/>
        <v/>
      </c>
      <c r="AM779" t="str">
        <f t="shared" si="349"/>
        <v/>
      </c>
    </row>
    <row r="780" spans="1:39" ht="15" customHeight="1" x14ac:dyDescent="0.25">
      <c r="A780" s="131"/>
      <c r="B780" s="133"/>
      <c r="C780" s="133"/>
      <c r="D780" s="42" t="str">
        <f t="shared" si="324"/>
        <v/>
      </c>
      <c r="E780" s="43"/>
      <c r="F780" s="135"/>
      <c r="G780" s="77" t="str">
        <f t="shared" si="325"/>
        <v/>
      </c>
      <c r="H780" s="32" t="str">
        <f t="shared" si="326"/>
        <v/>
      </c>
      <c r="I780" s="78" t="str">
        <f t="shared" si="327"/>
        <v/>
      </c>
      <c r="J780" s="70" t="str">
        <f t="shared" si="328"/>
        <v/>
      </c>
      <c r="K780" s="135"/>
      <c r="L780" s="72" t="str">
        <f t="shared" si="329"/>
        <v/>
      </c>
      <c r="M780" s="135"/>
      <c r="N780" s="72" t="str">
        <f t="shared" si="330"/>
        <v/>
      </c>
      <c r="O780" s="135"/>
      <c r="P780" s="136"/>
      <c r="Q780" s="123" t="str">
        <f t="shared" si="331"/>
        <v/>
      </c>
      <c r="R780" s="45" t="str">
        <f t="shared" si="332"/>
        <v/>
      </c>
      <c r="S780" s="137"/>
      <c r="T780" s="79" t="str">
        <f t="shared" si="341"/>
        <v/>
      </c>
      <c r="U780" s="79" t="str">
        <f t="shared" si="333"/>
        <v/>
      </c>
      <c r="V780" s="73" t="str">
        <f t="shared" si="334"/>
        <v/>
      </c>
      <c r="W780" s="80" t="str">
        <f t="shared" si="335"/>
        <v/>
      </c>
      <c r="X780" s="73" t="str">
        <f t="shared" si="336"/>
        <v/>
      </c>
      <c r="Y780" s="80" t="str">
        <f t="shared" si="337"/>
        <v/>
      </c>
      <c r="Z780" s="74" t="str">
        <f t="shared" si="338"/>
        <v/>
      </c>
      <c r="AA780" s="75" t="str">
        <f t="shared" si="342"/>
        <v/>
      </c>
      <c r="AB780" s="103" t="str">
        <f t="shared" si="339"/>
        <v/>
      </c>
      <c r="AC780" s="104" t="str">
        <f t="shared" si="350"/>
        <v/>
      </c>
      <c r="AE780" s="139"/>
      <c r="AF780" s="110" t="str">
        <f t="shared" si="343"/>
        <v/>
      </c>
      <c r="AG780" s="111" t="str">
        <f t="shared" si="344"/>
        <v/>
      </c>
      <c r="AH780" s="111" t="str">
        <f t="shared" si="340"/>
        <v/>
      </c>
      <c r="AI780" s="111" t="str">
        <f t="shared" si="345"/>
        <v/>
      </c>
      <c r="AJ780" s="111" t="str">
        <f t="shared" si="346"/>
        <v/>
      </c>
      <c r="AK780" s="112" t="str">
        <f t="shared" si="347"/>
        <v/>
      </c>
      <c r="AL780" t="str">
        <f t="shared" si="348"/>
        <v/>
      </c>
      <c r="AM780" t="str">
        <f t="shared" si="349"/>
        <v/>
      </c>
    </row>
    <row r="781" spans="1:39" ht="15" customHeight="1" x14ac:dyDescent="0.25">
      <c r="A781" s="131"/>
      <c r="B781" s="133"/>
      <c r="C781" s="133"/>
      <c r="D781" s="42" t="str">
        <f t="shared" si="324"/>
        <v/>
      </c>
      <c r="E781" s="43"/>
      <c r="F781" s="135"/>
      <c r="G781" s="77" t="str">
        <f t="shared" si="325"/>
        <v/>
      </c>
      <c r="H781" s="32" t="str">
        <f t="shared" si="326"/>
        <v/>
      </c>
      <c r="I781" s="78" t="str">
        <f t="shared" si="327"/>
        <v/>
      </c>
      <c r="J781" s="70" t="str">
        <f t="shared" si="328"/>
        <v/>
      </c>
      <c r="K781" s="135"/>
      <c r="L781" s="72" t="str">
        <f t="shared" si="329"/>
        <v/>
      </c>
      <c r="M781" s="135"/>
      <c r="N781" s="72" t="str">
        <f t="shared" si="330"/>
        <v/>
      </c>
      <c r="O781" s="135"/>
      <c r="P781" s="136"/>
      <c r="Q781" s="123" t="str">
        <f t="shared" si="331"/>
        <v/>
      </c>
      <c r="R781" s="45" t="str">
        <f t="shared" si="332"/>
        <v/>
      </c>
      <c r="S781" s="137"/>
      <c r="T781" s="79" t="str">
        <f t="shared" si="341"/>
        <v/>
      </c>
      <c r="U781" s="79" t="str">
        <f t="shared" si="333"/>
        <v/>
      </c>
      <c r="V781" s="73" t="str">
        <f t="shared" si="334"/>
        <v/>
      </c>
      <c r="W781" s="80" t="str">
        <f t="shared" si="335"/>
        <v/>
      </c>
      <c r="X781" s="73" t="str">
        <f t="shared" si="336"/>
        <v/>
      </c>
      <c r="Y781" s="80" t="str">
        <f t="shared" si="337"/>
        <v/>
      </c>
      <c r="Z781" s="74" t="str">
        <f t="shared" si="338"/>
        <v/>
      </c>
      <c r="AA781" s="75" t="str">
        <f t="shared" si="342"/>
        <v/>
      </c>
      <c r="AB781" s="103" t="str">
        <f t="shared" si="339"/>
        <v/>
      </c>
      <c r="AC781" s="104" t="str">
        <f t="shared" si="350"/>
        <v/>
      </c>
      <c r="AE781" s="139"/>
      <c r="AF781" s="110" t="str">
        <f t="shared" si="343"/>
        <v/>
      </c>
      <c r="AG781" s="111" t="str">
        <f t="shared" si="344"/>
        <v/>
      </c>
      <c r="AH781" s="111" t="str">
        <f t="shared" si="340"/>
        <v/>
      </c>
      <c r="AI781" s="111" t="str">
        <f t="shared" si="345"/>
        <v/>
      </c>
      <c r="AJ781" s="111" t="str">
        <f t="shared" si="346"/>
        <v/>
      </c>
      <c r="AK781" s="112" t="str">
        <f t="shared" si="347"/>
        <v/>
      </c>
      <c r="AL781" t="str">
        <f t="shared" si="348"/>
        <v/>
      </c>
      <c r="AM781" t="str">
        <f t="shared" si="349"/>
        <v/>
      </c>
    </row>
    <row r="782" spans="1:39" ht="15" customHeight="1" x14ac:dyDescent="0.25">
      <c r="A782" s="131"/>
      <c r="B782" s="133"/>
      <c r="C782" s="133"/>
      <c r="D782" s="42" t="str">
        <f t="shared" si="324"/>
        <v/>
      </c>
      <c r="E782" s="43"/>
      <c r="F782" s="135"/>
      <c r="G782" s="77" t="str">
        <f t="shared" si="325"/>
        <v/>
      </c>
      <c r="H782" s="32" t="str">
        <f t="shared" si="326"/>
        <v/>
      </c>
      <c r="I782" s="78" t="str">
        <f t="shared" si="327"/>
        <v/>
      </c>
      <c r="J782" s="70" t="str">
        <f t="shared" si="328"/>
        <v/>
      </c>
      <c r="K782" s="135"/>
      <c r="L782" s="72" t="str">
        <f t="shared" si="329"/>
        <v/>
      </c>
      <c r="M782" s="135"/>
      <c r="N782" s="72" t="str">
        <f t="shared" si="330"/>
        <v/>
      </c>
      <c r="O782" s="135"/>
      <c r="P782" s="136"/>
      <c r="Q782" s="123" t="str">
        <f t="shared" si="331"/>
        <v/>
      </c>
      <c r="R782" s="45" t="str">
        <f t="shared" si="332"/>
        <v/>
      </c>
      <c r="S782" s="137"/>
      <c r="T782" s="79" t="str">
        <f t="shared" si="341"/>
        <v/>
      </c>
      <c r="U782" s="79" t="str">
        <f t="shared" si="333"/>
        <v/>
      </c>
      <c r="V782" s="73" t="str">
        <f t="shared" si="334"/>
        <v/>
      </c>
      <c r="W782" s="80" t="str">
        <f t="shared" si="335"/>
        <v/>
      </c>
      <c r="X782" s="73" t="str">
        <f t="shared" si="336"/>
        <v/>
      </c>
      <c r="Y782" s="80" t="str">
        <f t="shared" si="337"/>
        <v/>
      </c>
      <c r="Z782" s="74" t="str">
        <f t="shared" si="338"/>
        <v/>
      </c>
      <c r="AA782" s="75" t="str">
        <f t="shared" si="342"/>
        <v/>
      </c>
      <c r="AB782" s="103" t="str">
        <f t="shared" si="339"/>
        <v/>
      </c>
      <c r="AC782" s="104" t="str">
        <f t="shared" si="350"/>
        <v/>
      </c>
      <c r="AE782" s="139"/>
      <c r="AF782" s="110" t="str">
        <f t="shared" si="343"/>
        <v/>
      </c>
      <c r="AG782" s="111" t="str">
        <f t="shared" si="344"/>
        <v/>
      </c>
      <c r="AH782" s="111" t="str">
        <f t="shared" si="340"/>
        <v/>
      </c>
      <c r="AI782" s="111" t="str">
        <f t="shared" si="345"/>
        <v/>
      </c>
      <c r="AJ782" s="111" t="str">
        <f t="shared" si="346"/>
        <v/>
      </c>
      <c r="AK782" s="112" t="str">
        <f t="shared" si="347"/>
        <v/>
      </c>
      <c r="AL782" t="str">
        <f t="shared" si="348"/>
        <v/>
      </c>
      <c r="AM782" t="str">
        <f t="shared" si="349"/>
        <v/>
      </c>
    </row>
    <row r="783" spans="1:39" ht="15" customHeight="1" x14ac:dyDescent="0.25">
      <c r="A783" s="131"/>
      <c r="B783" s="133"/>
      <c r="C783" s="133"/>
      <c r="D783" s="42" t="str">
        <f t="shared" si="324"/>
        <v/>
      </c>
      <c r="E783" s="43"/>
      <c r="F783" s="135"/>
      <c r="G783" s="77" t="str">
        <f t="shared" si="325"/>
        <v/>
      </c>
      <c r="H783" s="32" t="str">
        <f t="shared" si="326"/>
        <v/>
      </c>
      <c r="I783" s="78" t="str">
        <f t="shared" si="327"/>
        <v/>
      </c>
      <c r="J783" s="70" t="str">
        <f t="shared" si="328"/>
        <v/>
      </c>
      <c r="K783" s="135"/>
      <c r="L783" s="72" t="str">
        <f t="shared" si="329"/>
        <v/>
      </c>
      <c r="M783" s="135"/>
      <c r="N783" s="72" t="str">
        <f t="shared" si="330"/>
        <v/>
      </c>
      <c r="O783" s="135"/>
      <c r="P783" s="136"/>
      <c r="Q783" s="123" t="str">
        <f t="shared" si="331"/>
        <v/>
      </c>
      <c r="R783" s="45" t="str">
        <f t="shared" si="332"/>
        <v/>
      </c>
      <c r="S783" s="137"/>
      <c r="T783" s="79" t="str">
        <f t="shared" si="341"/>
        <v/>
      </c>
      <c r="U783" s="79" t="str">
        <f t="shared" si="333"/>
        <v/>
      </c>
      <c r="V783" s="73" t="str">
        <f t="shared" si="334"/>
        <v/>
      </c>
      <c r="W783" s="80" t="str">
        <f t="shared" si="335"/>
        <v/>
      </c>
      <c r="X783" s="73" t="str">
        <f t="shared" si="336"/>
        <v/>
      </c>
      <c r="Y783" s="80" t="str">
        <f t="shared" si="337"/>
        <v/>
      </c>
      <c r="Z783" s="74" t="str">
        <f t="shared" si="338"/>
        <v/>
      </c>
      <c r="AA783" s="75" t="str">
        <f t="shared" si="342"/>
        <v/>
      </c>
      <c r="AB783" s="103" t="str">
        <f t="shared" si="339"/>
        <v/>
      </c>
      <c r="AC783" s="104" t="str">
        <f t="shared" si="350"/>
        <v/>
      </c>
      <c r="AE783" s="139"/>
      <c r="AF783" s="110" t="str">
        <f t="shared" si="343"/>
        <v/>
      </c>
      <c r="AG783" s="111" t="str">
        <f t="shared" si="344"/>
        <v/>
      </c>
      <c r="AH783" s="111" t="str">
        <f t="shared" si="340"/>
        <v/>
      </c>
      <c r="AI783" s="111" t="str">
        <f t="shared" si="345"/>
        <v/>
      </c>
      <c r="AJ783" s="111" t="str">
        <f t="shared" si="346"/>
        <v/>
      </c>
      <c r="AK783" s="112" t="str">
        <f t="shared" si="347"/>
        <v/>
      </c>
      <c r="AL783" t="str">
        <f t="shared" si="348"/>
        <v/>
      </c>
      <c r="AM783" t="str">
        <f t="shared" si="349"/>
        <v/>
      </c>
    </row>
    <row r="784" spans="1:39" ht="15" customHeight="1" x14ac:dyDescent="0.25">
      <c r="A784" s="131"/>
      <c r="B784" s="133"/>
      <c r="C784" s="133"/>
      <c r="D784" s="42" t="str">
        <f t="shared" si="324"/>
        <v/>
      </c>
      <c r="E784" s="43"/>
      <c r="F784" s="135"/>
      <c r="G784" s="77" t="str">
        <f t="shared" si="325"/>
        <v/>
      </c>
      <c r="H784" s="32" t="str">
        <f t="shared" si="326"/>
        <v/>
      </c>
      <c r="I784" s="78" t="str">
        <f t="shared" si="327"/>
        <v/>
      </c>
      <c r="J784" s="70" t="str">
        <f t="shared" si="328"/>
        <v/>
      </c>
      <c r="K784" s="135"/>
      <c r="L784" s="72" t="str">
        <f t="shared" si="329"/>
        <v/>
      </c>
      <c r="M784" s="135"/>
      <c r="N784" s="72" t="str">
        <f t="shared" si="330"/>
        <v/>
      </c>
      <c r="O784" s="135"/>
      <c r="P784" s="136"/>
      <c r="Q784" s="123" t="str">
        <f t="shared" si="331"/>
        <v/>
      </c>
      <c r="R784" s="45" t="str">
        <f t="shared" si="332"/>
        <v/>
      </c>
      <c r="S784" s="137"/>
      <c r="T784" s="79" t="str">
        <f t="shared" si="341"/>
        <v/>
      </c>
      <c r="U784" s="79" t="str">
        <f t="shared" si="333"/>
        <v/>
      </c>
      <c r="V784" s="73" t="str">
        <f t="shared" si="334"/>
        <v/>
      </c>
      <c r="W784" s="80" t="str">
        <f t="shared" si="335"/>
        <v/>
      </c>
      <c r="X784" s="73" t="str">
        <f t="shared" si="336"/>
        <v/>
      </c>
      <c r="Y784" s="80" t="str">
        <f t="shared" si="337"/>
        <v/>
      </c>
      <c r="Z784" s="74" t="str">
        <f t="shared" si="338"/>
        <v/>
      </c>
      <c r="AA784" s="75" t="str">
        <f t="shared" si="342"/>
        <v/>
      </c>
      <c r="AB784" s="103" t="str">
        <f t="shared" si="339"/>
        <v/>
      </c>
      <c r="AC784" s="104" t="str">
        <f t="shared" si="350"/>
        <v/>
      </c>
      <c r="AE784" s="139"/>
      <c r="AF784" s="110" t="str">
        <f t="shared" si="343"/>
        <v/>
      </c>
      <c r="AG784" s="111" t="str">
        <f t="shared" si="344"/>
        <v/>
      </c>
      <c r="AH784" s="111" t="str">
        <f t="shared" si="340"/>
        <v/>
      </c>
      <c r="AI784" s="111" t="str">
        <f t="shared" si="345"/>
        <v/>
      </c>
      <c r="AJ784" s="111" t="str">
        <f t="shared" si="346"/>
        <v/>
      </c>
      <c r="AK784" s="112" t="str">
        <f t="shared" si="347"/>
        <v/>
      </c>
      <c r="AL784" t="str">
        <f t="shared" si="348"/>
        <v/>
      </c>
      <c r="AM784" t="str">
        <f t="shared" si="349"/>
        <v/>
      </c>
    </row>
    <row r="785" spans="1:39" ht="15" customHeight="1" x14ac:dyDescent="0.25">
      <c r="A785" s="131"/>
      <c r="B785" s="133"/>
      <c r="C785" s="133"/>
      <c r="D785" s="42" t="str">
        <f t="shared" si="324"/>
        <v/>
      </c>
      <c r="E785" s="43"/>
      <c r="F785" s="135"/>
      <c r="G785" s="77" t="str">
        <f t="shared" si="325"/>
        <v/>
      </c>
      <c r="H785" s="32" t="str">
        <f t="shared" si="326"/>
        <v/>
      </c>
      <c r="I785" s="78" t="str">
        <f t="shared" si="327"/>
        <v/>
      </c>
      <c r="J785" s="70" t="str">
        <f t="shared" si="328"/>
        <v/>
      </c>
      <c r="K785" s="135"/>
      <c r="L785" s="72" t="str">
        <f t="shared" si="329"/>
        <v/>
      </c>
      <c r="M785" s="135"/>
      <c r="N785" s="72" t="str">
        <f t="shared" si="330"/>
        <v/>
      </c>
      <c r="O785" s="135"/>
      <c r="P785" s="136"/>
      <c r="Q785" s="123" t="str">
        <f t="shared" si="331"/>
        <v/>
      </c>
      <c r="R785" s="45" t="str">
        <f t="shared" si="332"/>
        <v/>
      </c>
      <c r="S785" s="137"/>
      <c r="T785" s="79" t="str">
        <f t="shared" si="341"/>
        <v/>
      </c>
      <c r="U785" s="79" t="str">
        <f t="shared" si="333"/>
        <v/>
      </c>
      <c r="V785" s="73" t="str">
        <f t="shared" si="334"/>
        <v/>
      </c>
      <c r="W785" s="80" t="str">
        <f t="shared" si="335"/>
        <v/>
      </c>
      <c r="X785" s="73" t="str">
        <f t="shared" si="336"/>
        <v/>
      </c>
      <c r="Y785" s="80" t="str">
        <f t="shared" si="337"/>
        <v/>
      </c>
      <c r="Z785" s="74" t="str">
        <f t="shared" si="338"/>
        <v/>
      </c>
      <c r="AA785" s="75" t="str">
        <f t="shared" si="342"/>
        <v/>
      </c>
      <c r="AB785" s="103" t="str">
        <f t="shared" si="339"/>
        <v/>
      </c>
      <c r="AC785" s="104" t="str">
        <f t="shared" si="350"/>
        <v/>
      </c>
      <c r="AE785" s="139"/>
      <c r="AF785" s="110" t="str">
        <f t="shared" si="343"/>
        <v/>
      </c>
      <c r="AG785" s="111" t="str">
        <f t="shared" si="344"/>
        <v/>
      </c>
      <c r="AH785" s="111" t="str">
        <f t="shared" si="340"/>
        <v/>
      </c>
      <c r="AI785" s="111" t="str">
        <f t="shared" si="345"/>
        <v/>
      </c>
      <c r="AJ785" s="111" t="str">
        <f t="shared" si="346"/>
        <v/>
      </c>
      <c r="AK785" s="112" t="str">
        <f t="shared" si="347"/>
        <v/>
      </c>
      <c r="AL785" t="str">
        <f t="shared" si="348"/>
        <v/>
      </c>
      <c r="AM785" t="str">
        <f t="shared" si="349"/>
        <v/>
      </c>
    </row>
    <row r="786" spans="1:39" ht="15" customHeight="1" x14ac:dyDescent="0.25">
      <c r="A786" s="131"/>
      <c r="B786" s="133"/>
      <c r="C786" s="133"/>
      <c r="D786" s="42" t="str">
        <f t="shared" si="324"/>
        <v/>
      </c>
      <c r="E786" s="43"/>
      <c r="F786" s="135"/>
      <c r="G786" s="77" t="str">
        <f t="shared" si="325"/>
        <v/>
      </c>
      <c r="H786" s="32" t="str">
        <f t="shared" si="326"/>
        <v/>
      </c>
      <c r="I786" s="78" t="str">
        <f t="shared" si="327"/>
        <v/>
      </c>
      <c r="J786" s="70" t="str">
        <f t="shared" si="328"/>
        <v/>
      </c>
      <c r="K786" s="135"/>
      <c r="L786" s="72" t="str">
        <f t="shared" si="329"/>
        <v/>
      </c>
      <c r="M786" s="135"/>
      <c r="N786" s="72" t="str">
        <f t="shared" si="330"/>
        <v/>
      </c>
      <c r="O786" s="135"/>
      <c r="P786" s="136"/>
      <c r="Q786" s="123" t="str">
        <f t="shared" si="331"/>
        <v/>
      </c>
      <c r="R786" s="45" t="str">
        <f t="shared" si="332"/>
        <v/>
      </c>
      <c r="S786" s="137"/>
      <c r="T786" s="79" t="str">
        <f t="shared" si="341"/>
        <v/>
      </c>
      <c r="U786" s="79" t="str">
        <f t="shared" si="333"/>
        <v/>
      </c>
      <c r="V786" s="73" t="str">
        <f t="shared" si="334"/>
        <v/>
      </c>
      <c r="W786" s="80" t="str">
        <f t="shared" si="335"/>
        <v/>
      </c>
      <c r="X786" s="73" t="str">
        <f t="shared" si="336"/>
        <v/>
      </c>
      <c r="Y786" s="80" t="str">
        <f t="shared" si="337"/>
        <v/>
      </c>
      <c r="Z786" s="74" t="str">
        <f t="shared" si="338"/>
        <v/>
      </c>
      <c r="AA786" s="75" t="str">
        <f t="shared" si="342"/>
        <v/>
      </c>
      <c r="AB786" s="103" t="str">
        <f t="shared" si="339"/>
        <v/>
      </c>
      <c r="AC786" s="104" t="str">
        <f t="shared" si="350"/>
        <v/>
      </c>
      <c r="AE786" s="139"/>
      <c r="AF786" s="110" t="str">
        <f t="shared" si="343"/>
        <v/>
      </c>
      <c r="AG786" s="111" t="str">
        <f t="shared" si="344"/>
        <v/>
      </c>
      <c r="AH786" s="111" t="str">
        <f t="shared" si="340"/>
        <v/>
      </c>
      <c r="AI786" s="111" t="str">
        <f t="shared" si="345"/>
        <v/>
      </c>
      <c r="AJ786" s="111" t="str">
        <f t="shared" si="346"/>
        <v/>
      </c>
      <c r="AK786" s="112" t="str">
        <f t="shared" si="347"/>
        <v/>
      </c>
      <c r="AL786" t="str">
        <f t="shared" si="348"/>
        <v/>
      </c>
      <c r="AM786" t="str">
        <f t="shared" si="349"/>
        <v/>
      </c>
    </row>
    <row r="787" spans="1:39" ht="15" customHeight="1" x14ac:dyDescent="0.25">
      <c r="A787" s="131"/>
      <c r="B787" s="133"/>
      <c r="C787" s="133"/>
      <c r="D787" s="42" t="str">
        <f t="shared" si="324"/>
        <v/>
      </c>
      <c r="E787" s="43"/>
      <c r="F787" s="135"/>
      <c r="G787" s="77" t="str">
        <f t="shared" si="325"/>
        <v/>
      </c>
      <c r="H787" s="32" t="str">
        <f t="shared" si="326"/>
        <v/>
      </c>
      <c r="I787" s="78" t="str">
        <f t="shared" si="327"/>
        <v/>
      </c>
      <c r="J787" s="70" t="str">
        <f t="shared" si="328"/>
        <v/>
      </c>
      <c r="K787" s="135"/>
      <c r="L787" s="72" t="str">
        <f t="shared" si="329"/>
        <v/>
      </c>
      <c r="M787" s="135"/>
      <c r="N787" s="72" t="str">
        <f t="shared" si="330"/>
        <v/>
      </c>
      <c r="O787" s="135"/>
      <c r="P787" s="136"/>
      <c r="Q787" s="123" t="str">
        <f t="shared" si="331"/>
        <v/>
      </c>
      <c r="R787" s="45" t="str">
        <f t="shared" si="332"/>
        <v/>
      </c>
      <c r="S787" s="137"/>
      <c r="T787" s="79" t="str">
        <f t="shared" si="341"/>
        <v/>
      </c>
      <c r="U787" s="79" t="str">
        <f t="shared" si="333"/>
        <v/>
      </c>
      <c r="V787" s="73" t="str">
        <f t="shared" si="334"/>
        <v/>
      </c>
      <c r="W787" s="80" t="str">
        <f t="shared" si="335"/>
        <v/>
      </c>
      <c r="X787" s="73" t="str">
        <f t="shared" si="336"/>
        <v/>
      </c>
      <c r="Y787" s="80" t="str">
        <f t="shared" si="337"/>
        <v/>
      </c>
      <c r="Z787" s="74" t="str">
        <f t="shared" si="338"/>
        <v/>
      </c>
      <c r="AA787" s="75" t="str">
        <f t="shared" si="342"/>
        <v/>
      </c>
      <c r="AB787" s="103" t="str">
        <f t="shared" si="339"/>
        <v/>
      </c>
      <c r="AC787" s="104" t="str">
        <f t="shared" si="350"/>
        <v/>
      </c>
      <c r="AE787" s="139"/>
      <c r="AF787" s="110" t="str">
        <f t="shared" si="343"/>
        <v/>
      </c>
      <c r="AG787" s="111" t="str">
        <f t="shared" si="344"/>
        <v/>
      </c>
      <c r="AH787" s="111" t="str">
        <f t="shared" si="340"/>
        <v/>
      </c>
      <c r="AI787" s="111" t="str">
        <f t="shared" si="345"/>
        <v/>
      </c>
      <c r="AJ787" s="111" t="str">
        <f t="shared" si="346"/>
        <v/>
      </c>
      <c r="AK787" s="112" t="str">
        <f t="shared" si="347"/>
        <v/>
      </c>
      <c r="AL787" t="str">
        <f t="shared" si="348"/>
        <v/>
      </c>
      <c r="AM787" t="str">
        <f t="shared" si="349"/>
        <v/>
      </c>
    </row>
    <row r="788" spans="1:39" ht="15" customHeight="1" x14ac:dyDescent="0.25">
      <c r="A788" s="131"/>
      <c r="B788" s="133"/>
      <c r="C788" s="133"/>
      <c r="D788" s="42" t="str">
        <f t="shared" si="324"/>
        <v/>
      </c>
      <c r="E788" s="43"/>
      <c r="F788" s="135"/>
      <c r="G788" s="77" t="str">
        <f t="shared" si="325"/>
        <v/>
      </c>
      <c r="H788" s="32" t="str">
        <f t="shared" si="326"/>
        <v/>
      </c>
      <c r="I788" s="78" t="str">
        <f t="shared" si="327"/>
        <v/>
      </c>
      <c r="J788" s="70" t="str">
        <f t="shared" si="328"/>
        <v/>
      </c>
      <c r="K788" s="135"/>
      <c r="L788" s="72" t="str">
        <f t="shared" si="329"/>
        <v/>
      </c>
      <c r="M788" s="135"/>
      <c r="N788" s="72" t="str">
        <f t="shared" si="330"/>
        <v/>
      </c>
      <c r="O788" s="135"/>
      <c r="P788" s="136"/>
      <c r="Q788" s="123" t="str">
        <f t="shared" si="331"/>
        <v/>
      </c>
      <c r="R788" s="45" t="str">
        <f t="shared" si="332"/>
        <v/>
      </c>
      <c r="S788" s="137"/>
      <c r="T788" s="79" t="str">
        <f t="shared" si="341"/>
        <v/>
      </c>
      <c r="U788" s="79" t="str">
        <f t="shared" si="333"/>
        <v/>
      </c>
      <c r="V788" s="73" t="str">
        <f t="shared" si="334"/>
        <v/>
      </c>
      <c r="W788" s="80" t="str">
        <f t="shared" si="335"/>
        <v/>
      </c>
      <c r="X788" s="73" t="str">
        <f t="shared" si="336"/>
        <v/>
      </c>
      <c r="Y788" s="80" t="str">
        <f t="shared" si="337"/>
        <v/>
      </c>
      <c r="Z788" s="74" t="str">
        <f t="shared" si="338"/>
        <v/>
      </c>
      <c r="AA788" s="75" t="str">
        <f t="shared" si="342"/>
        <v/>
      </c>
      <c r="AB788" s="103" t="str">
        <f t="shared" si="339"/>
        <v/>
      </c>
      <c r="AC788" s="104" t="str">
        <f t="shared" si="350"/>
        <v/>
      </c>
      <c r="AE788" s="139"/>
      <c r="AF788" s="110" t="str">
        <f t="shared" si="343"/>
        <v/>
      </c>
      <c r="AG788" s="111" t="str">
        <f t="shared" si="344"/>
        <v/>
      </c>
      <c r="AH788" s="111" t="str">
        <f t="shared" si="340"/>
        <v/>
      </c>
      <c r="AI788" s="111" t="str">
        <f t="shared" si="345"/>
        <v/>
      </c>
      <c r="AJ788" s="111" t="str">
        <f t="shared" si="346"/>
        <v/>
      </c>
      <c r="AK788" s="112" t="str">
        <f t="shared" si="347"/>
        <v/>
      </c>
      <c r="AL788" t="str">
        <f t="shared" si="348"/>
        <v/>
      </c>
      <c r="AM788" t="str">
        <f t="shared" si="349"/>
        <v/>
      </c>
    </row>
    <row r="789" spans="1:39" ht="15" customHeight="1" x14ac:dyDescent="0.25">
      <c r="A789" s="131"/>
      <c r="B789" s="133"/>
      <c r="C789" s="133"/>
      <c r="D789" s="42" t="str">
        <f t="shared" si="324"/>
        <v/>
      </c>
      <c r="E789" s="43"/>
      <c r="F789" s="135"/>
      <c r="G789" s="77" t="str">
        <f t="shared" si="325"/>
        <v/>
      </c>
      <c r="H789" s="32" t="str">
        <f t="shared" si="326"/>
        <v/>
      </c>
      <c r="I789" s="78" t="str">
        <f t="shared" si="327"/>
        <v/>
      </c>
      <c r="J789" s="70" t="str">
        <f t="shared" si="328"/>
        <v/>
      </c>
      <c r="K789" s="135"/>
      <c r="L789" s="72" t="str">
        <f t="shared" si="329"/>
        <v/>
      </c>
      <c r="M789" s="135"/>
      <c r="N789" s="72" t="str">
        <f t="shared" si="330"/>
        <v/>
      </c>
      <c r="O789" s="135"/>
      <c r="P789" s="136"/>
      <c r="Q789" s="123" t="str">
        <f t="shared" si="331"/>
        <v/>
      </c>
      <c r="R789" s="45" t="str">
        <f t="shared" si="332"/>
        <v/>
      </c>
      <c r="S789" s="137"/>
      <c r="T789" s="79" t="str">
        <f t="shared" si="341"/>
        <v/>
      </c>
      <c r="U789" s="79" t="str">
        <f t="shared" si="333"/>
        <v/>
      </c>
      <c r="V789" s="73" t="str">
        <f t="shared" si="334"/>
        <v/>
      </c>
      <c r="W789" s="80" t="str">
        <f t="shared" si="335"/>
        <v/>
      </c>
      <c r="X789" s="73" t="str">
        <f t="shared" si="336"/>
        <v/>
      </c>
      <c r="Y789" s="80" t="str">
        <f t="shared" si="337"/>
        <v/>
      </c>
      <c r="Z789" s="74" t="str">
        <f t="shared" si="338"/>
        <v/>
      </c>
      <c r="AA789" s="75" t="str">
        <f t="shared" si="342"/>
        <v/>
      </c>
      <c r="AB789" s="103" t="str">
        <f t="shared" si="339"/>
        <v/>
      </c>
      <c r="AC789" s="104" t="str">
        <f t="shared" si="350"/>
        <v/>
      </c>
      <c r="AE789" s="139"/>
      <c r="AF789" s="110" t="str">
        <f t="shared" si="343"/>
        <v/>
      </c>
      <c r="AG789" s="111" t="str">
        <f t="shared" si="344"/>
        <v/>
      </c>
      <c r="AH789" s="111" t="str">
        <f t="shared" si="340"/>
        <v/>
      </c>
      <c r="AI789" s="111" t="str">
        <f t="shared" si="345"/>
        <v/>
      </c>
      <c r="AJ789" s="111" t="str">
        <f t="shared" si="346"/>
        <v/>
      </c>
      <c r="AK789" s="112" t="str">
        <f t="shared" si="347"/>
        <v/>
      </c>
      <c r="AL789" t="str">
        <f t="shared" si="348"/>
        <v/>
      </c>
      <c r="AM789" t="str">
        <f t="shared" si="349"/>
        <v/>
      </c>
    </row>
    <row r="790" spans="1:39" ht="15" customHeight="1" x14ac:dyDescent="0.25">
      <c r="A790" s="131"/>
      <c r="B790" s="133"/>
      <c r="C790" s="133"/>
      <c r="D790" s="42" t="str">
        <f t="shared" si="324"/>
        <v/>
      </c>
      <c r="E790" s="43"/>
      <c r="F790" s="135"/>
      <c r="G790" s="77" t="str">
        <f t="shared" si="325"/>
        <v/>
      </c>
      <c r="H790" s="32" t="str">
        <f t="shared" si="326"/>
        <v/>
      </c>
      <c r="I790" s="78" t="str">
        <f t="shared" si="327"/>
        <v/>
      </c>
      <c r="J790" s="70" t="str">
        <f t="shared" si="328"/>
        <v/>
      </c>
      <c r="K790" s="135"/>
      <c r="L790" s="72" t="str">
        <f t="shared" si="329"/>
        <v/>
      </c>
      <c r="M790" s="135"/>
      <c r="N790" s="72" t="str">
        <f t="shared" si="330"/>
        <v/>
      </c>
      <c r="O790" s="135"/>
      <c r="P790" s="136"/>
      <c r="Q790" s="123" t="str">
        <f t="shared" si="331"/>
        <v/>
      </c>
      <c r="R790" s="45" t="str">
        <f t="shared" si="332"/>
        <v/>
      </c>
      <c r="S790" s="137"/>
      <c r="T790" s="79" t="str">
        <f t="shared" si="341"/>
        <v/>
      </c>
      <c r="U790" s="79" t="str">
        <f t="shared" si="333"/>
        <v/>
      </c>
      <c r="V790" s="73" t="str">
        <f t="shared" si="334"/>
        <v/>
      </c>
      <c r="W790" s="80" t="str">
        <f t="shared" si="335"/>
        <v/>
      </c>
      <c r="X790" s="73" t="str">
        <f t="shared" si="336"/>
        <v/>
      </c>
      <c r="Y790" s="80" t="str">
        <f t="shared" si="337"/>
        <v/>
      </c>
      <c r="Z790" s="74" t="str">
        <f t="shared" si="338"/>
        <v/>
      </c>
      <c r="AA790" s="75" t="str">
        <f t="shared" si="342"/>
        <v/>
      </c>
      <c r="AB790" s="103" t="str">
        <f t="shared" si="339"/>
        <v/>
      </c>
      <c r="AC790" s="104" t="str">
        <f t="shared" si="350"/>
        <v/>
      </c>
      <c r="AE790" s="139"/>
      <c r="AF790" s="110" t="str">
        <f t="shared" si="343"/>
        <v/>
      </c>
      <c r="AG790" s="111" t="str">
        <f t="shared" si="344"/>
        <v/>
      </c>
      <c r="AH790" s="111" t="str">
        <f t="shared" si="340"/>
        <v/>
      </c>
      <c r="AI790" s="111" t="str">
        <f t="shared" si="345"/>
        <v/>
      </c>
      <c r="AJ790" s="111" t="str">
        <f t="shared" si="346"/>
        <v/>
      </c>
      <c r="AK790" s="112" t="str">
        <f t="shared" si="347"/>
        <v/>
      </c>
      <c r="AL790" t="str">
        <f t="shared" si="348"/>
        <v/>
      </c>
      <c r="AM790" t="str">
        <f t="shared" si="349"/>
        <v/>
      </c>
    </row>
    <row r="791" spans="1:39" ht="15" customHeight="1" x14ac:dyDescent="0.25">
      <c r="A791" s="131"/>
      <c r="B791" s="133"/>
      <c r="C791" s="133"/>
      <c r="D791" s="42" t="str">
        <f t="shared" si="324"/>
        <v/>
      </c>
      <c r="E791" s="43"/>
      <c r="F791" s="135"/>
      <c r="G791" s="77" t="str">
        <f t="shared" si="325"/>
        <v/>
      </c>
      <c r="H791" s="32" t="str">
        <f t="shared" si="326"/>
        <v/>
      </c>
      <c r="I791" s="78" t="str">
        <f t="shared" si="327"/>
        <v/>
      </c>
      <c r="J791" s="70" t="str">
        <f t="shared" si="328"/>
        <v/>
      </c>
      <c r="K791" s="135"/>
      <c r="L791" s="72" t="str">
        <f t="shared" si="329"/>
        <v/>
      </c>
      <c r="M791" s="135"/>
      <c r="N791" s="72" t="str">
        <f t="shared" si="330"/>
        <v/>
      </c>
      <c r="O791" s="135"/>
      <c r="P791" s="136"/>
      <c r="Q791" s="123" t="str">
        <f t="shared" si="331"/>
        <v/>
      </c>
      <c r="R791" s="45" t="str">
        <f t="shared" si="332"/>
        <v/>
      </c>
      <c r="S791" s="137"/>
      <c r="T791" s="79" t="str">
        <f t="shared" si="341"/>
        <v/>
      </c>
      <c r="U791" s="79" t="str">
        <f t="shared" si="333"/>
        <v/>
      </c>
      <c r="V791" s="73" t="str">
        <f t="shared" si="334"/>
        <v/>
      </c>
      <c r="W791" s="80" t="str">
        <f t="shared" si="335"/>
        <v/>
      </c>
      <c r="X791" s="73" t="str">
        <f t="shared" si="336"/>
        <v/>
      </c>
      <c r="Y791" s="80" t="str">
        <f t="shared" si="337"/>
        <v/>
      </c>
      <c r="Z791" s="74" t="str">
        <f t="shared" si="338"/>
        <v/>
      </c>
      <c r="AA791" s="75" t="str">
        <f t="shared" si="342"/>
        <v/>
      </c>
      <c r="AB791" s="103" t="str">
        <f t="shared" si="339"/>
        <v/>
      </c>
      <c r="AC791" s="104" t="str">
        <f t="shared" si="350"/>
        <v/>
      </c>
      <c r="AE791" s="139"/>
      <c r="AF791" s="110" t="str">
        <f t="shared" si="343"/>
        <v/>
      </c>
      <c r="AG791" s="111" t="str">
        <f t="shared" si="344"/>
        <v/>
      </c>
      <c r="AH791" s="111" t="str">
        <f t="shared" si="340"/>
        <v/>
      </c>
      <c r="AI791" s="111" t="str">
        <f t="shared" si="345"/>
        <v/>
      </c>
      <c r="AJ791" s="111" t="str">
        <f t="shared" si="346"/>
        <v/>
      </c>
      <c r="AK791" s="112" t="str">
        <f t="shared" si="347"/>
        <v/>
      </c>
      <c r="AL791" t="str">
        <f t="shared" si="348"/>
        <v/>
      </c>
      <c r="AM791" t="str">
        <f t="shared" si="349"/>
        <v/>
      </c>
    </row>
    <row r="792" spans="1:39" ht="15" customHeight="1" x14ac:dyDescent="0.25">
      <c r="A792" s="131"/>
      <c r="B792" s="133"/>
      <c r="C792" s="133"/>
      <c r="D792" s="42" t="str">
        <f t="shared" si="324"/>
        <v/>
      </c>
      <c r="E792" s="43"/>
      <c r="F792" s="135"/>
      <c r="G792" s="77" t="str">
        <f t="shared" si="325"/>
        <v/>
      </c>
      <c r="H792" s="32" t="str">
        <f t="shared" si="326"/>
        <v/>
      </c>
      <c r="I792" s="78" t="str">
        <f t="shared" si="327"/>
        <v/>
      </c>
      <c r="J792" s="70" t="str">
        <f t="shared" si="328"/>
        <v/>
      </c>
      <c r="K792" s="135"/>
      <c r="L792" s="72" t="str">
        <f t="shared" si="329"/>
        <v/>
      </c>
      <c r="M792" s="135"/>
      <c r="N792" s="72" t="str">
        <f t="shared" si="330"/>
        <v/>
      </c>
      <c r="O792" s="135"/>
      <c r="P792" s="136"/>
      <c r="Q792" s="123" t="str">
        <f t="shared" si="331"/>
        <v/>
      </c>
      <c r="R792" s="45" t="str">
        <f t="shared" si="332"/>
        <v/>
      </c>
      <c r="S792" s="137"/>
      <c r="T792" s="79" t="str">
        <f t="shared" si="341"/>
        <v/>
      </c>
      <c r="U792" s="79" t="str">
        <f t="shared" si="333"/>
        <v/>
      </c>
      <c r="V792" s="73" t="str">
        <f t="shared" si="334"/>
        <v/>
      </c>
      <c r="W792" s="80" t="str">
        <f t="shared" si="335"/>
        <v/>
      </c>
      <c r="X792" s="73" t="str">
        <f t="shared" si="336"/>
        <v/>
      </c>
      <c r="Y792" s="80" t="str">
        <f t="shared" si="337"/>
        <v/>
      </c>
      <c r="Z792" s="74" t="str">
        <f t="shared" si="338"/>
        <v/>
      </c>
      <c r="AA792" s="75" t="str">
        <f t="shared" si="342"/>
        <v/>
      </c>
      <c r="AB792" s="103" t="str">
        <f t="shared" si="339"/>
        <v/>
      </c>
      <c r="AC792" s="104" t="str">
        <f t="shared" si="350"/>
        <v/>
      </c>
      <c r="AE792" s="139"/>
      <c r="AF792" s="110" t="str">
        <f t="shared" si="343"/>
        <v/>
      </c>
      <c r="AG792" s="111" t="str">
        <f t="shared" si="344"/>
        <v/>
      </c>
      <c r="AH792" s="111" t="str">
        <f t="shared" si="340"/>
        <v/>
      </c>
      <c r="AI792" s="111" t="str">
        <f t="shared" si="345"/>
        <v/>
      </c>
      <c r="AJ792" s="111" t="str">
        <f t="shared" si="346"/>
        <v/>
      </c>
      <c r="AK792" s="112" t="str">
        <f t="shared" si="347"/>
        <v/>
      </c>
      <c r="AL792" t="str">
        <f t="shared" si="348"/>
        <v/>
      </c>
      <c r="AM792" t="str">
        <f t="shared" si="349"/>
        <v/>
      </c>
    </row>
    <row r="793" spans="1:39" ht="15" customHeight="1" x14ac:dyDescent="0.25">
      <c r="A793" s="131"/>
      <c r="B793" s="133"/>
      <c r="C793" s="133"/>
      <c r="D793" s="42" t="str">
        <f t="shared" si="324"/>
        <v/>
      </c>
      <c r="E793" s="43"/>
      <c r="F793" s="135"/>
      <c r="G793" s="77" t="str">
        <f t="shared" si="325"/>
        <v/>
      </c>
      <c r="H793" s="32" t="str">
        <f t="shared" si="326"/>
        <v/>
      </c>
      <c r="I793" s="78" t="str">
        <f t="shared" si="327"/>
        <v/>
      </c>
      <c r="J793" s="70" t="str">
        <f t="shared" si="328"/>
        <v/>
      </c>
      <c r="K793" s="135"/>
      <c r="L793" s="72" t="str">
        <f t="shared" si="329"/>
        <v/>
      </c>
      <c r="M793" s="135"/>
      <c r="N793" s="72" t="str">
        <f t="shared" si="330"/>
        <v/>
      </c>
      <c r="O793" s="135"/>
      <c r="P793" s="136"/>
      <c r="Q793" s="123" t="str">
        <f t="shared" si="331"/>
        <v/>
      </c>
      <c r="R793" s="45" t="str">
        <f t="shared" si="332"/>
        <v/>
      </c>
      <c r="S793" s="137"/>
      <c r="T793" s="79" t="str">
        <f t="shared" si="341"/>
        <v/>
      </c>
      <c r="U793" s="79" t="str">
        <f t="shared" si="333"/>
        <v/>
      </c>
      <c r="V793" s="73" t="str">
        <f t="shared" si="334"/>
        <v/>
      </c>
      <c r="W793" s="80" t="str">
        <f t="shared" si="335"/>
        <v/>
      </c>
      <c r="X793" s="73" t="str">
        <f t="shared" si="336"/>
        <v/>
      </c>
      <c r="Y793" s="80" t="str">
        <f t="shared" si="337"/>
        <v/>
      </c>
      <c r="Z793" s="74" t="str">
        <f t="shared" si="338"/>
        <v/>
      </c>
      <c r="AA793" s="75" t="str">
        <f t="shared" si="342"/>
        <v/>
      </c>
      <c r="AB793" s="103" t="str">
        <f t="shared" si="339"/>
        <v/>
      </c>
      <c r="AC793" s="104" t="str">
        <f t="shared" si="350"/>
        <v/>
      </c>
      <c r="AE793" s="139"/>
      <c r="AF793" s="110" t="str">
        <f t="shared" si="343"/>
        <v/>
      </c>
      <c r="AG793" s="111" t="str">
        <f t="shared" si="344"/>
        <v/>
      </c>
      <c r="AH793" s="111" t="str">
        <f t="shared" si="340"/>
        <v/>
      </c>
      <c r="AI793" s="111" t="str">
        <f t="shared" si="345"/>
        <v/>
      </c>
      <c r="AJ793" s="111" t="str">
        <f t="shared" si="346"/>
        <v/>
      </c>
      <c r="AK793" s="112" t="str">
        <f t="shared" si="347"/>
        <v/>
      </c>
      <c r="AL793" t="str">
        <f t="shared" si="348"/>
        <v/>
      </c>
      <c r="AM793" t="str">
        <f t="shared" si="349"/>
        <v/>
      </c>
    </row>
    <row r="794" spans="1:39" ht="15" customHeight="1" x14ac:dyDescent="0.25">
      <c r="A794" s="131"/>
      <c r="B794" s="133"/>
      <c r="C794" s="133"/>
      <c r="D794" s="42" t="str">
        <f t="shared" si="324"/>
        <v/>
      </c>
      <c r="E794" s="43"/>
      <c r="F794" s="135"/>
      <c r="G794" s="77" t="str">
        <f t="shared" si="325"/>
        <v/>
      </c>
      <c r="H794" s="32" t="str">
        <f t="shared" si="326"/>
        <v/>
      </c>
      <c r="I794" s="78" t="str">
        <f t="shared" si="327"/>
        <v/>
      </c>
      <c r="J794" s="70" t="str">
        <f t="shared" si="328"/>
        <v/>
      </c>
      <c r="K794" s="135"/>
      <c r="L794" s="72" t="str">
        <f t="shared" si="329"/>
        <v/>
      </c>
      <c r="M794" s="135"/>
      <c r="N794" s="72" t="str">
        <f t="shared" si="330"/>
        <v/>
      </c>
      <c r="O794" s="135"/>
      <c r="P794" s="136"/>
      <c r="Q794" s="123" t="str">
        <f t="shared" si="331"/>
        <v/>
      </c>
      <c r="R794" s="45" t="str">
        <f t="shared" si="332"/>
        <v/>
      </c>
      <c r="S794" s="137"/>
      <c r="T794" s="79" t="str">
        <f t="shared" si="341"/>
        <v/>
      </c>
      <c r="U794" s="79" t="str">
        <f t="shared" si="333"/>
        <v/>
      </c>
      <c r="V794" s="73" t="str">
        <f t="shared" si="334"/>
        <v/>
      </c>
      <c r="W794" s="80" t="str">
        <f t="shared" si="335"/>
        <v/>
      </c>
      <c r="X794" s="73" t="str">
        <f t="shared" si="336"/>
        <v/>
      </c>
      <c r="Y794" s="80" t="str">
        <f t="shared" si="337"/>
        <v/>
      </c>
      <c r="Z794" s="74" t="str">
        <f t="shared" si="338"/>
        <v/>
      </c>
      <c r="AA794" s="75" t="str">
        <f t="shared" si="342"/>
        <v/>
      </c>
      <c r="AB794" s="103" t="str">
        <f t="shared" si="339"/>
        <v/>
      </c>
      <c r="AC794" s="104" t="str">
        <f t="shared" si="350"/>
        <v/>
      </c>
      <c r="AE794" s="139"/>
      <c r="AF794" s="110" t="str">
        <f t="shared" si="343"/>
        <v/>
      </c>
      <c r="AG794" s="111" t="str">
        <f t="shared" si="344"/>
        <v/>
      </c>
      <c r="AH794" s="111" t="str">
        <f t="shared" si="340"/>
        <v/>
      </c>
      <c r="AI794" s="111" t="str">
        <f t="shared" si="345"/>
        <v/>
      </c>
      <c r="AJ794" s="111" t="str">
        <f t="shared" si="346"/>
        <v/>
      </c>
      <c r="AK794" s="112" t="str">
        <f t="shared" si="347"/>
        <v/>
      </c>
      <c r="AL794" t="str">
        <f t="shared" si="348"/>
        <v/>
      </c>
      <c r="AM794" t="str">
        <f t="shared" si="349"/>
        <v/>
      </c>
    </row>
    <row r="795" spans="1:39" ht="15" customHeight="1" x14ac:dyDescent="0.25">
      <c r="A795" s="131"/>
      <c r="B795" s="133"/>
      <c r="C795" s="133"/>
      <c r="D795" s="42" t="str">
        <f t="shared" si="324"/>
        <v/>
      </c>
      <c r="E795" s="43"/>
      <c r="F795" s="135"/>
      <c r="G795" s="77" t="str">
        <f t="shared" si="325"/>
        <v/>
      </c>
      <c r="H795" s="32" t="str">
        <f t="shared" si="326"/>
        <v/>
      </c>
      <c r="I795" s="78" t="str">
        <f t="shared" si="327"/>
        <v/>
      </c>
      <c r="J795" s="70" t="str">
        <f t="shared" si="328"/>
        <v/>
      </c>
      <c r="K795" s="135"/>
      <c r="L795" s="72" t="str">
        <f t="shared" si="329"/>
        <v/>
      </c>
      <c r="M795" s="135"/>
      <c r="N795" s="72" t="str">
        <f t="shared" si="330"/>
        <v/>
      </c>
      <c r="O795" s="135"/>
      <c r="P795" s="136"/>
      <c r="Q795" s="123" t="str">
        <f t="shared" si="331"/>
        <v/>
      </c>
      <c r="R795" s="45" t="str">
        <f t="shared" si="332"/>
        <v/>
      </c>
      <c r="S795" s="137"/>
      <c r="T795" s="79" t="str">
        <f t="shared" si="341"/>
        <v/>
      </c>
      <c r="U795" s="79" t="str">
        <f t="shared" si="333"/>
        <v/>
      </c>
      <c r="V795" s="73" t="str">
        <f t="shared" si="334"/>
        <v/>
      </c>
      <c r="W795" s="80" t="str">
        <f t="shared" si="335"/>
        <v/>
      </c>
      <c r="X795" s="73" t="str">
        <f t="shared" si="336"/>
        <v/>
      </c>
      <c r="Y795" s="80" t="str">
        <f t="shared" si="337"/>
        <v/>
      </c>
      <c r="Z795" s="74" t="str">
        <f t="shared" si="338"/>
        <v/>
      </c>
      <c r="AA795" s="75" t="str">
        <f t="shared" si="342"/>
        <v/>
      </c>
      <c r="AB795" s="103" t="str">
        <f t="shared" si="339"/>
        <v/>
      </c>
      <c r="AC795" s="104" t="str">
        <f t="shared" si="350"/>
        <v/>
      </c>
      <c r="AE795" s="139"/>
      <c r="AF795" s="110" t="str">
        <f t="shared" si="343"/>
        <v/>
      </c>
      <c r="AG795" s="111" t="str">
        <f t="shared" si="344"/>
        <v/>
      </c>
      <c r="AH795" s="111" t="str">
        <f t="shared" si="340"/>
        <v/>
      </c>
      <c r="AI795" s="111" t="str">
        <f t="shared" si="345"/>
        <v/>
      </c>
      <c r="AJ795" s="111" t="str">
        <f t="shared" si="346"/>
        <v/>
      </c>
      <c r="AK795" s="112" t="str">
        <f t="shared" si="347"/>
        <v/>
      </c>
      <c r="AL795" t="str">
        <f t="shared" si="348"/>
        <v/>
      </c>
      <c r="AM795" t="str">
        <f t="shared" si="349"/>
        <v/>
      </c>
    </row>
    <row r="796" spans="1:39" ht="15" customHeight="1" x14ac:dyDescent="0.25">
      <c r="A796" s="131"/>
      <c r="B796" s="133"/>
      <c r="C796" s="133"/>
      <c r="D796" s="42" t="str">
        <f t="shared" si="324"/>
        <v/>
      </c>
      <c r="E796" s="43"/>
      <c r="F796" s="135"/>
      <c r="G796" s="77" t="str">
        <f t="shared" si="325"/>
        <v/>
      </c>
      <c r="H796" s="32" t="str">
        <f t="shared" si="326"/>
        <v/>
      </c>
      <c r="I796" s="78" t="str">
        <f t="shared" si="327"/>
        <v/>
      </c>
      <c r="J796" s="70" t="str">
        <f t="shared" si="328"/>
        <v/>
      </c>
      <c r="K796" s="135"/>
      <c r="L796" s="72" t="str">
        <f t="shared" si="329"/>
        <v/>
      </c>
      <c r="M796" s="135"/>
      <c r="N796" s="72" t="str">
        <f t="shared" si="330"/>
        <v/>
      </c>
      <c r="O796" s="135"/>
      <c r="P796" s="136"/>
      <c r="Q796" s="123" t="str">
        <f t="shared" si="331"/>
        <v/>
      </c>
      <c r="R796" s="45" t="str">
        <f t="shared" si="332"/>
        <v/>
      </c>
      <c r="S796" s="137"/>
      <c r="T796" s="79" t="str">
        <f t="shared" si="341"/>
        <v/>
      </c>
      <c r="U796" s="79" t="str">
        <f t="shared" si="333"/>
        <v/>
      </c>
      <c r="V796" s="73" t="str">
        <f t="shared" si="334"/>
        <v/>
      </c>
      <c r="W796" s="80" t="str">
        <f t="shared" si="335"/>
        <v/>
      </c>
      <c r="X796" s="73" t="str">
        <f t="shared" si="336"/>
        <v/>
      </c>
      <c r="Y796" s="80" t="str">
        <f t="shared" si="337"/>
        <v/>
      </c>
      <c r="Z796" s="74" t="str">
        <f t="shared" si="338"/>
        <v/>
      </c>
      <c r="AA796" s="75" t="str">
        <f t="shared" si="342"/>
        <v/>
      </c>
      <c r="AB796" s="103" t="str">
        <f t="shared" si="339"/>
        <v/>
      </c>
      <c r="AC796" s="104" t="str">
        <f t="shared" si="350"/>
        <v/>
      </c>
      <c r="AE796" s="139"/>
      <c r="AF796" s="110" t="str">
        <f t="shared" si="343"/>
        <v/>
      </c>
      <c r="AG796" s="111" t="str">
        <f t="shared" si="344"/>
        <v/>
      </c>
      <c r="AH796" s="111" t="str">
        <f t="shared" si="340"/>
        <v/>
      </c>
      <c r="AI796" s="111" t="str">
        <f t="shared" si="345"/>
        <v/>
      </c>
      <c r="AJ796" s="111" t="str">
        <f t="shared" si="346"/>
        <v/>
      </c>
      <c r="AK796" s="112" t="str">
        <f t="shared" si="347"/>
        <v/>
      </c>
      <c r="AL796" t="str">
        <f t="shared" si="348"/>
        <v/>
      </c>
      <c r="AM796" t="str">
        <f t="shared" si="349"/>
        <v/>
      </c>
    </row>
    <row r="797" spans="1:39" ht="15" customHeight="1" x14ac:dyDescent="0.25">
      <c r="A797" s="131"/>
      <c r="B797" s="133"/>
      <c r="C797" s="133"/>
      <c r="D797" s="42" t="str">
        <f t="shared" si="324"/>
        <v/>
      </c>
      <c r="E797" s="43"/>
      <c r="F797" s="135"/>
      <c r="G797" s="77" t="str">
        <f t="shared" si="325"/>
        <v/>
      </c>
      <c r="H797" s="32" t="str">
        <f t="shared" si="326"/>
        <v/>
      </c>
      <c r="I797" s="78" t="str">
        <f t="shared" si="327"/>
        <v/>
      </c>
      <c r="J797" s="70" t="str">
        <f t="shared" si="328"/>
        <v/>
      </c>
      <c r="K797" s="135"/>
      <c r="L797" s="72" t="str">
        <f t="shared" si="329"/>
        <v/>
      </c>
      <c r="M797" s="135"/>
      <c r="N797" s="72" t="str">
        <f t="shared" si="330"/>
        <v/>
      </c>
      <c r="O797" s="135"/>
      <c r="P797" s="136"/>
      <c r="Q797" s="123" t="str">
        <f t="shared" si="331"/>
        <v/>
      </c>
      <c r="R797" s="45" t="str">
        <f t="shared" si="332"/>
        <v/>
      </c>
      <c r="S797" s="137"/>
      <c r="T797" s="79" t="str">
        <f t="shared" si="341"/>
        <v/>
      </c>
      <c r="U797" s="79" t="str">
        <f t="shared" si="333"/>
        <v/>
      </c>
      <c r="V797" s="73" t="str">
        <f t="shared" si="334"/>
        <v/>
      </c>
      <c r="W797" s="80" t="str">
        <f t="shared" si="335"/>
        <v/>
      </c>
      <c r="X797" s="73" t="str">
        <f t="shared" si="336"/>
        <v/>
      </c>
      <c r="Y797" s="80" t="str">
        <f t="shared" si="337"/>
        <v/>
      </c>
      <c r="Z797" s="74" t="str">
        <f t="shared" si="338"/>
        <v/>
      </c>
      <c r="AA797" s="75" t="str">
        <f t="shared" si="342"/>
        <v/>
      </c>
      <c r="AB797" s="103" t="str">
        <f t="shared" si="339"/>
        <v/>
      </c>
      <c r="AC797" s="104" t="str">
        <f t="shared" si="350"/>
        <v/>
      </c>
      <c r="AE797" s="139"/>
      <c r="AF797" s="110" t="str">
        <f t="shared" si="343"/>
        <v/>
      </c>
      <c r="AG797" s="111" t="str">
        <f t="shared" si="344"/>
        <v/>
      </c>
      <c r="AH797" s="111" t="str">
        <f t="shared" si="340"/>
        <v/>
      </c>
      <c r="AI797" s="111" t="str">
        <f t="shared" si="345"/>
        <v/>
      </c>
      <c r="AJ797" s="111" t="str">
        <f t="shared" si="346"/>
        <v/>
      </c>
      <c r="AK797" s="112" t="str">
        <f t="shared" si="347"/>
        <v/>
      </c>
      <c r="AL797" t="str">
        <f t="shared" si="348"/>
        <v/>
      </c>
      <c r="AM797" t="str">
        <f t="shared" si="349"/>
        <v/>
      </c>
    </row>
    <row r="798" spans="1:39" ht="15" customHeight="1" x14ac:dyDescent="0.25">
      <c r="A798" s="131"/>
      <c r="B798" s="133"/>
      <c r="C798" s="133"/>
      <c r="D798" s="42" t="str">
        <f t="shared" si="324"/>
        <v/>
      </c>
      <c r="E798" s="43"/>
      <c r="F798" s="135"/>
      <c r="G798" s="77" t="str">
        <f t="shared" si="325"/>
        <v/>
      </c>
      <c r="H798" s="32" t="str">
        <f t="shared" si="326"/>
        <v/>
      </c>
      <c r="I798" s="78" t="str">
        <f t="shared" si="327"/>
        <v/>
      </c>
      <c r="J798" s="70" t="str">
        <f t="shared" si="328"/>
        <v/>
      </c>
      <c r="K798" s="135"/>
      <c r="L798" s="72" t="str">
        <f t="shared" si="329"/>
        <v/>
      </c>
      <c r="M798" s="135"/>
      <c r="N798" s="72" t="str">
        <f t="shared" si="330"/>
        <v/>
      </c>
      <c r="O798" s="135"/>
      <c r="P798" s="136"/>
      <c r="Q798" s="123" t="str">
        <f t="shared" si="331"/>
        <v/>
      </c>
      <c r="R798" s="45" t="str">
        <f t="shared" si="332"/>
        <v/>
      </c>
      <c r="S798" s="137"/>
      <c r="T798" s="79" t="str">
        <f t="shared" si="341"/>
        <v/>
      </c>
      <c r="U798" s="79" t="str">
        <f t="shared" si="333"/>
        <v/>
      </c>
      <c r="V798" s="73" t="str">
        <f t="shared" si="334"/>
        <v/>
      </c>
      <c r="W798" s="80" t="str">
        <f t="shared" si="335"/>
        <v/>
      </c>
      <c r="X798" s="73" t="str">
        <f t="shared" si="336"/>
        <v/>
      </c>
      <c r="Y798" s="80" t="str">
        <f t="shared" si="337"/>
        <v/>
      </c>
      <c r="Z798" s="74" t="str">
        <f t="shared" si="338"/>
        <v/>
      </c>
      <c r="AA798" s="75" t="str">
        <f t="shared" si="342"/>
        <v/>
      </c>
      <c r="AB798" s="103" t="str">
        <f t="shared" si="339"/>
        <v/>
      </c>
      <c r="AC798" s="104" t="str">
        <f t="shared" si="350"/>
        <v/>
      </c>
      <c r="AE798" s="139"/>
      <c r="AF798" s="110" t="str">
        <f t="shared" si="343"/>
        <v/>
      </c>
      <c r="AG798" s="111" t="str">
        <f t="shared" si="344"/>
        <v/>
      </c>
      <c r="AH798" s="111" t="str">
        <f t="shared" si="340"/>
        <v/>
      </c>
      <c r="AI798" s="111" t="str">
        <f t="shared" si="345"/>
        <v/>
      </c>
      <c r="AJ798" s="111" t="str">
        <f t="shared" si="346"/>
        <v/>
      </c>
      <c r="AK798" s="112" t="str">
        <f t="shared" si="347"/>
        <v/>
      </c>
      <c r="AL798" t="str">
        <f t="shared" si="348"/>
        <v/>
      </c>
      <c r="AM798" t="str">
        <f t="shared" si="349"/>
        <v/>
      </c>
    </row>
    <row r="799" spans="1:39" ht="15" customHeight="1" x14ac:dyDescent="0.25">
      <c r="A799" s="131"/>
      <c r="B799" s="133"/>
      <c r="C799" s="133"/>
      <c r="D799" s="42" t="str">
        <f t="shared" si="324"/>
        <v/>
      </c>
      <c r="E799" s="43"/>
      <c r="F799" s="135"/>
      <c r="G799" s="77" t="str">
        <f t="shared" si="325"/>
        <v/>
      </c>
      <c r="H799" s="32" t="str">
        <f t="shared" si="326"/>
        <v/>
      </c>
      <c r="I799" s="78" t="str">
        <f t="shared" si="327"/>
        <v/>
      </c>
      <c r="J799" s="70" t="str">
        <f t="shared" si="328"/>
        <v/>
      </c>
      <c r="K799" s="135"/>
      <c r="L799" s="72" t="str">
        <f t="shared" si="329"/>
        <v/>
      </c>
      <c r="M799" s="135"/>
      <c r="N799" s="72" t="str">
        <f t="shared" si="330"/>
        <v/>
      </c>
      <c r="O799" s="135"/>
      <c r="P799" s="136"/>
      <c r="Q799" s="123" t="str">
        <f t="shared" si="331"/>
        <v/>
      </c>
      <c r="R799" s="45" t="str">
        <f t="shared" si="332"/>
        <v/>
      </c>
      <c r="S799" s="137"/>
      <c r="T799" s="79" t="str">
        <f t="shared" si="341"/>
        <v/>
      </c>
      <c r="U799" s="79" t="str">
        <f t="shared" si="333"/>
        <v/>
      </c>
      <c r="V799" s="73" t="str">
        <f t="shared" si="334"/>
        <v/>
      </c>
      <c r="W799" s="80" t="str">
        <f t="shared" si="335"/>
        <v/>
      </c>
      <c r="X799" s="73" t="str">
        <f t="shared" si="336"/>
        <v/>
      </c>
      <c r="Y799" s="80" t="str">
        <f t="shared" si="337"/>
        <v/>
      </c>
      <c r="Z799" s="74" t="str">
        <f t="shared" si="338"/>
        <v/>
      </c>
      <c r="AA799" s="75" t="str">
        <f t="shared" si="342"/>
        <v/>
      </c>
      <c r="AB799" s="103" t="str">
        <f t="shared" si="339"/>
        <v/>
      </c>
      <c r="AC799" s="104" t="str">
        <f t="shared" si="350"/>
        <v/>
      </c>
      <c r="AE799" s="139"/>
      <c r="AF799" s="110" t="str">
        <f t="shared" si="343"/>
        <v/>
      </c>
      <c r="AG799" s="111" t="str">
        <f t="shared" si="344"/>
        <v/>
      </c>
      <c r="AH799" s="111" t="str">
        <f t="shared" si="340"/>
        <v/>
      </c>
      <c r="AI799" s="111" t="str">
        <f t="shared" si="345"/>
        <v/>
      </c>
      <c r="AJ799" s="111" t="str">
        <f t="shared" si="346"/>
        <v/>
      </c>
      <c r="AK799" s="112" t="str">
        <f t="shared" si="347"/>
        <v/>
      </c>
      <c r="AL799" t="str">
        <f t="shared" si="348"/>
        <v/>
      </c>
      <c r="AM799" t="str">
        <f t="shared" si="349"/>
        <v/>
      </c>
    </row>
    <row r="800" spans="1:39" ht="15" customHeight="1" x14ac:dyDescent="0.25">
      <c r="A800" s="131"/>
      <c r="B800" s="133"/>
      <c r="C800" s="133"/>
      <c r="D800" s="42" t="str">
        <f t="shared" si="324"/>
        <v/>
      </c>
      <c r="E800" s="43"/>
      <c r="F800" s="135"/>
      <c r="G800" s="77" t="str">
        <f t="shared" si="325"/>
        <v/>
      </c>
      <c r="H800" s="32" t="str">
        <f t="shared" si="326"/>
        <v/>
      </c>
      <c r="I800" s="78" t="str">
        <f t="shared" si="327"/>
        <v/>
      </c>
      <c r="J800" s="70" t="str">
        <f t="shared" si="328"/>
        <v/>
      </c>
      <c r="K800" s="135"/>
      <c r="L800" s="72" t="str">
        <f t="shared" si="329"/>
        <v/>
      </c>
      <c r="M800" s="135"/>
      <c r="N800" s="72" t="str">
        <f t="shared" si="330"/>
        <v/>
      </c>
      <c r="O800" s="135"/>
      <c r="P800" s="136"/>
      <c r="Q800" s="123" t="str">
        <f t="shared" si="331"/>
        <v/>
      </c>
      <c r="R800" s="45" t="str">
        <f t="shared" si="332"/>
        <v/>
      </c>
      <c r="S800" s="137"/>
      <c r="T800" s="79" t="str">
        <f t="shared" si="341"/>
        <v/>
      </c>
      <c r="U800" s="79" t="str">
        <f t="shared" si="333"/>
        <v/>
      </c>
      <c r="V800" s="73" t="str">
        <f t="shared" si="334"/>
        <v/>
      </c>
      <c r="W800" s="80" t="str">
        <f t="shared" si="335"/>
        <v/>
      </c>
      <c r="X800" s="73" t="str">
        <f t="shared" si="336"/>
        <v/>
      </c>
      <c r="Y800" s="80" t="str">
        <f t="shared" si="337"/>
        <v/>
      </c>
      <c r="Z800" s="74" t="str">
        <f t="shared" si="338"/>
        <v/>
      </c>
      <c r="AA800" s="75" t="str">
        <f t="shared" si="342"/>
        <v/>
      </c>
      <c r="AB800" s="103" t="str">
        <f t="shared" si="339"/>
        <v/>
      </c>
      <c r="AC800" s="104" t="str">
        <f t="shared" si="350"/>
        <v/>
      </c>
      <c r="AE800" s="139"/>
      <c r="AF800" s="110" t="str">
        <f t="shared" si="343"/>
        <v/>
      </c>
      <c r="AG800" s="111" t="str">
        <f t="shared" si="344"/>
        <v/>
      </c>
      <c r="AH800" s="111" t="str">
        <f t="shared" si="340"/>
        <v/>
      </c>
      <c r="AI800" s="111" t="str">
        <f t="shared" si="345"/>
        <v/>
      </c>
      <c r="AJ800" s="111" t="str">
        <f t="shared" si="346"/>
        <v/>
      </c>
      <c r="AK800" s="112" t="str">
        <f t="shared" si="347"/>
        <v/>
      </c>
      <c r="AL800" t="str">
        <f t="shared" si="348"/>
        <v/>
      </c>
      <c r="AM800" t="str">
        <f t="shared" si="349"/>
        <v/>
      </c>
    </row>
    <row r="801" spans="1:39" ht="15" customHeight="1" x14ac:dyDescent="0.25">
      <c r="A801" s="131"/>
      <c r="B801" s="133"/>
      <c r="C801" s="133"/>
      <c r="D801" s="42" t="str">
        <f t="shared" si="324"/>
        <v/>
      </c>
      <c r="E801" s="43"/>
      <c r="F801" s="135"/>
      <c r="G801" s="77" t="str">
        <f t="shared" si="325"/>
        <v/>
      </c>
      <c r="H801" s="32" t="str">
        <f t="shared" si="326"/>
        <v/>
      </c>
      <c r="I801" s="78" t="str">
        <f t="shared" si="327"/>
        <v/>
      </c>
      <c r="J801" s="70" t="str">
        <f t="shared" si="328"/>
        <v/>
      </c>
      <c r="K801" s="135"/>
      <c r="L801" s="72" t="str">
        <f t="shared" si="329"/>
        <v/>
      </c>
      <c r="M801" s="135"/>
      <c r="N801" s="72" t="str">
        <f t="shared" si="330"/>
        <v/>
      </c>
      <c r="O801" s="135"/>
      <c r="P801" s="136"/>
      <c r="Q801" s="123" t="str">
        <f t="shared" si="331"/>
        <v/>
      </c>
      <c r="R801" s="45" t="str">
        <f t="shared" si="332"/>
        <v/>
      </c>
      <c r="S801" s="137"/>
      <c r="T801" s="79" t="str">
        <f t="shared" si="341"/>
        <v/>
      </c>
      <c r="U801" s="79" t="str">
        <f t="shared" si="333"/>
        <v/>
      </c>
      <c r="V801" s="73" t="str">
        <f t="shared" si="334"/>
        <v/>
      </c>
      <c r="W801" s="80" t="str">
        <f t="shared" si="335"/>
        <v/>
      </c>
      <c r="X801" s="73" t="str">
        <f t="shared" si="336"/>
        <v/>
      </c>
      <c r="Y801" s="80" t="str">
        <f t="shared" si="337"/>
        <v/>
      </c>
      <c r="Z801" s="74" t="str">
        <f t="shared" si="338"/>
        <v/>
      </c>
      <c r="AA801" s="75" t="str">
        <f t="shared" si="342"/>
        <v/>
      </c>
      <c r="AB801" s="103" t="str">
        <f t="shared" si="339"/>
        <v/>
      </c>
      <c r="AC801" s="104" t="str">
        <f t="shared" si="350"/>
        <v/>
      </c>
      <c r="AE801" s="139"/>
      <c r="AF801" s="110" t="str">
        <f t="shared" si="343"/>
        <v/>
      </c>
      <c r="AG801" s="111" t="str">
        <f t="shared" si="344"/>
        <v/>
      </c>
      <c r="AH801" s="111" t="str">
        <f t="shared" si="340"/>
        <v/>
      </c>
      <c r="AI801" s="111" t="str">
        <f t="shared" si="345"/>
        <v/>
      </c>
      <c r="AJ801" s="111" t="str">
        <f t="shared" si="346"/>
        <v/>
      </c>
      <c r="AK801" s="112" t="str">
        <f t="shared" si="347"/>
        <v/>
      </c>
      <c r="AL801" t="str">
        <f t="shared" si="348"/>
        <v/>
      </c>
      <c r="AM801" t="str">
        <f t="shared" si="349"/>
        <v/>
      </c>
    </row>
    <row r="802" spans="1:39" ht="15" customHeight="1" x14ac:dyDescent="0.25">
      <c r="A802" s="131"/>
      <c r="B802" s="133"/>
      <c r="C802" s="133"/>
      <c r="D802" s="42" t="str">
        <f t="shared" si="324"/>
        <v/>
      </c>
      <c r="E802" s="43"/>
      <c r="F802" s="135"/>
      <c r="G802" s="77" t="str">
        <f t="shared" si="325"/>
        <v/>
      </c>
      <c r="H802" s="32" t="str">
        <f t="shared" si="326"/>
        <v/>
      </c>
      <c r="I802" s="78" t="str">
        <f t="shared" si="327"/>
        <v/>
      </c>
      <c r="J802" s="70" t="str">
        <f t="shared" si="328"/>
        <v/>
      </c>
      <c r="K802" s="135"/>
      <c r="L802" s="72" t="str">
        <f t="shared" si="329"/>
        <v/>
      </c>
      <c r="M802" s="135"/>
      <c r="N802" s="72" t="str">
        <f t="shared" si="330"/>
        <v/>
      </c>
      <c r="O802" s="135"/>
      <c r="P802" s="136"/>
      <c r="Q802" s="123" t="str">
        <f t="shared" si="331"/>
        <v/>
      </c>
      <c r="R802" s="45" t="str">
        <f t="shared" si="332"/>
        <v/>
      </c>
      <c r="S802" s="137"/>
      <c r="T802" s="79" t="str">
        <f t="shared" si="341"/>
        <v/>
      </c>
      <c r="U802" s="79" t="str">
        <f t="shared" si="333"/>
        <v/>
      </c>
      <c r="V802" s="73" t="str">
        <f t="shared" si="334"/>
        <v/>
      </c>
      <c r="W802" s="80" t="str">
        <f t="shared" si="335"/>
        <v/>
      </c>
      <c r="X802" s="73" t="str">
        <f t="shared" si="336"/>
        <v/>
      </c>
      <c r="Y802" s="80" t="str">
        <f t="shared" si="337"/>
        <v/>
      </c>
      <c r="Z802" s="74" t="str">
        <f t="shared" si="338"/>
        <v/>
      </c>
      <c r="AA802" s="75" t="str">
        <f t="shared" si="342"/>
        <v/>
      </c>
      <c r="AB802" s="103" t="str">
        <f t="shared" si="339"/>
        <v/>
      </c>
      <c r="AC802" s="104" t="str">
        <f t="shared" si="350"/>
        <v/>
      </c>
      <c r="AE802" s="139"/>
      <c r="AF802" s="110" t="str">
        <f t="shared" si="343"/>
        <v/>
      </c>
      <c r="AG802" s="111" t="str">
        <f t="shared" si="344"/>
        <v/>
      </c>
      <c r="AH802" s="111" t="str">
        <f t="shared" si="340"/>
        <v/>
      </c>
      <c r="AI802" s="111" t="str">
        <f t="shared" si="345"/>
        <v/>
      </c>
      <c r="AJ802" s="111" t="str">
        <f t="shared" si="346"/>
        <v/>
      </c>
      <c r="AK802" s="112" t="str">
        <f t="shared" si="347"/>
        <v/>
      </c>
      <c r="AL802" t="str">
        <f t="shared" si="348"/>
        <v/>
      </c>
      <c r="AM802" t="str">
        <f t="shared" si="349"/>
        <v/>
      </c>
    </row>
    <row r="803" spans="1:39" ht="15" customHeight="1" x14ac:dyDescent="0.25">
      <c r="A803" s="131"/>
      <c r="B803" s="133"/>
      <c r="C803" s="133"/>
      <c r="D803" s="42" t="str">
        <f t="shared" si="324"/>
        <v/>
      </c>
      <c r="E803" s="43"/>
      <c r="F803" s="135"/>
      <c r="G803" s="77" t="str">
        <f t="shared" si="325"/>
        <v/>
      </c>
      <c r="H803" s="32" t="str">
        <f t="shared" si="326"/>
        <v/>
      </c>
      <c r="I803" s="78" t="str">
        <f t="shared" si="327"/>
        <v/>
      </c>
      <c r="J803" s="70" t="str">
        <f t="shared" si="328"/>
        <v/>
      </c>
      <c r="K803" s="135"/>
      <c r="L803" s="72" t="str">
        <f t="shared" si="329"/>
        <v/>
      </c>
      <c r="M803" s="135"/>
      <c r="N803" s="72" t="str">
        <f t="shared" si="330"/>
        <v/>
      </c>
      <c r="O803" s="135"/>
      <c r="P803" s="136"/>
      <c r="Q803" s="123" t="str">
        <f t="shared" si="331"/>
        <v/>
      </c>
      <c r="R803" s="45" t="str">
        <f t="shared" si="332"/>
        <v/>
      </c>
      <c r="S803" s="137"/>
      <c r="T803" s="79" t="str">
        <f t="shared" si="341"/>
        <v/>
      </c>
      <c r="U803" s="79" t="str">
        <f t="shared" si="333"/>
        <v/>
      </c>
      <c r="V803" s="73" t="str">
        <f t="shared" si="334"/>
        <v/>
      </c>
      <c r="W803" s="80" t="str">
        <f t="shared" si="335"/>
        <v/>
      </c>
      <c r="X803" s="73" t="str">
        <f t="shared" si="336"/>
        <v/>
      </c>
      <c r="Y803" s="80" t="str">
        <f t="shared" si="337"/>
        <v/>
      </c>
      <c r="Z803" s="74" t="str">
        <f t="shared" si="338"/>
        <v/>
      </c>
      <c r="AA803" s="75" t="str">
        <f t="shared" si="342"/>
        <v/>
      </c>
      <c r="AB803" s="103" t="str">
        <f t="shared" si="339"/>
        <v/>
      </c>
      <c r="AC803" s="104" t="str">
        <f t="shared" si="350"/>
        <v/>
      </c>
      <c r="AE803" s="139"/>
      <c r="AF803" s="110" t="str">
        <f t="shared" si="343"/>
        <v/>
      </c>
      <c r="AG803" s="111" t="str">
        <f t="shared" si="344"/>
        <v/>
      </c>
      <c r="AH803" s="111" t="str">
        <f t="shared" si="340"/>
        <v/>
      </c>
      <c r="AI803" s="111" t="str">
        <f t="shared" si="345"/>
        <v/>
      </c>
      <c r="AJ803" s="111" t="str">
        <f t="shared" si="346"/>
        <v/>
      </c>
      <c r="AK803" s="112" t="str">
        <f t="shared" si="347"/>
        <v/>
      </c>
      <c r="AL803" t="str">
        <f t="shared" si="348"/>
        <v/>
      </c>
      <c r="AM803" t="str">
        <f t="shared" si="349"/>
        <v/>
      </c>
    </row>
    <row r="804" spans="1:39" ht="15" customHeight="1" x14ac:dyDescent="0.25">
      <c r="A804" s="131"/>
      <c r="B804" s="133"/>
      <c r="C804" s="133"/>
      <c r="D804" s="42" t="str">
        <f t="shared" si="324"/>
        <v/>
      </c>
      <c r="E804" s="43"/>
      <c r="F804" s="135"/>
      <c r="G804" s="77" t="str">
        <f t="shared" si="325"/>
        <v/>
      </c>
      <c r="H804" s="32" t="str">
        <f t="shared" si="326"/>
        <v/>
      </c>
      <c r="I804" s="78" t="str">
        <f t="shared" si="327"/>
        <v/>
      </c>
      <c r="J804" s="70" t="str">
        <f t="shared" si="328"/>
        <v/>
      </c>
      <c r="K804" s="135"/>
      <c r="L804" s="72" t="str">
        <f t="shared" si="329"/>
        <v/>
      </c>
      <c r="M804" s="135"/>
      <c r="N804" s="72" t="str">
        <f t="shared" si="330"/>
        <v/>
      </c>
      <c r="O804" s="135"/>
      <c r="P804" s="136"/>
      <c r="Q804" s="123" t="str">
        <f t="shared" si="331"/>
        <v/>
      </c>
      <c r="R804" s="45" t="str">
        <f t="shared" si="332"/>
        <v/>
      </c>
      <c r="S804" s="137"/>
      <c r="T804" s="79" t="str">
        <f t="shared" si="341"/>
        <v/>
      </c>
      <c r="U804" s="79" t="str">
        <f t="shared" si="333"/>
        <v/>
      </c>
      <c r="V804" s="73" t="str">
        <f t="shared" si="334"/>
        <v/>
      </c>
      <c r="W804" s="80" t="str">
        <f t="shared" si="335"/>
        <v/>
      </c>
      <c r="X804" s="73" t="str">
        <f t="shared" si="336"/>
        <v/>
      </c>
      <c r="Y804" s="80" t="str">
        <f t="shared" si="337"/>
        <v/>
      </c>
      <c r="Z804" s="74" t="str">
        <f t="shared" si="338"/>
        <v/>
      </c>
      <c r="AA804" s="75" t="str">
        <f t="shared" si="342"/>
        <v/>
      </c>
      <c r="AB804" s="103" t="str">
        <f t="shared" si="339"/>
        <v/>
      </c>
      <c r="AC804" s="104" t="str">
        <f t="shared" si="350"/>
        <v/>
      </c>
      <c r="AE804" s="139"/>
      <c r="AF804" s="110" t="str">
        <f t="shared" si="343"/>
        <v/>
      </c>
      <c r="AG804" s="111" t="str">
        <f t="shared" si="344"/>
        <v/>
      </c>
      <c r="AH804" s="111" t="str">
        <f t="shared" si="340"/>
        <v/>
      </c>
      <c r="AI804" s="111" t="str">
        <f t="shared" si="345"/>
        <v/>
      </c>
      <c r="AJ804" s="111" t="str">
        <f t="shared" si="346"/>
        <v/>
      </c>
      <c r="AK804" s="112" t="str">
        <f t="shared" si="347"/>
        <v/>
      </c>
      <c r="AL804" t="str">
        <f t="shared" si="348"/>
        <v/>
      </c>
      <c r="AM804" t="str">
        <f t="shared" si="349"/>
        <v/>
      </c>
    </row>
    <row r="805" spans="1:39" ht="15" customHeight="1" x14ac:dyDescent="0.25">
      <c r="A805" s="131"/>
      <c r="B805" s="133"/>
      <c r="C805" s="133"/>
      <c r="D805" s="42" t="str">
        <f t="shared" si="324"/>
        <v/>
      </c>
      <c r="E805" s="43"/>
      <c r="F805" s="135"/>
      <c r="G805" s="77" t="str">
        <f t="shared" si="325"/>
        <v/>
      </c>
      <c r="H805" s="32" t="str">
        <f t="shared" si="326"/>
        <v/>
      </c>
      <c r="I805" s="78" t="str">
        <f t="shared" si="327"/>
        <v/>
      </c>
      <c r="J805" s="70" t="str">
        <f t="shared" si="328"/>
        <v/>
      </c>
      <c r="K805" s="135"/>
      <c r="L805" s="72" t="str">
        <f t="shared" si="329"/>
        <v/>
      </c>
      <c r="M805" s="135"/>
      <c r="N805" s="72" t="str">
        <f t="shared" si="330"/>
        <v/>
      </c>
      <c r="O805" s="135"/>
      <c r="P805" s="136"/>
      <c r="Q805" s="123" t="str">
        <f t="shared" si="331"/>
        <v/>
      </c>
      <c r="R805" s="45" t="str">
        <f t="shared" si="332"/>
        <v/>
      </c>
      <c r="S805" s="137"/>
      <c r="T805" s="79" t="str">
        <f t="shared" si="341"/>
        <v/>
      </c>
      <c r="U805" s="79" t="str">
        <f t="shared" si="333"/>
        <v/>
      </c>
      <c r="V805" s="73" t="str">
        <f t="shared" si="334"/>
        <v/>
      </c>
      <c r="W805" s="80" t="str">
        <f t="shared" si="335"/>
        <v/>
      </c>
      <c r="X805" s="73" t="str">
        <f t="shared" si="336"/>
        <v/>
      </c>
      <c r="Y805" s="80" t="str">
        <f t="shared" si="337"/>
        <v/>
      </c>
      <c r="Z805" s="74" t="str">
        <f t="shared" si="338"/>
        <v/>
      </c>
      <c r="AA805" s="75" t="str">
        <f t="shared" si="342"/>
        <v/>
      </c>
      <c r="AB805" s="103" t="str">
        <f t="shared" si="339"/>
        <v/>
      </c>
      <c r="AC805" s="104" t="str">
        <f t="shared" si="350"/>
        <v/>
      </c>
      <c r="AE805" s="139"/>
      <c r="AF805" s="110" t="str">
        <f t="shared" si="343"/>
        <v/>
      </c>
      <c r="AG805" s="111" t="str">
        <f t="shared" si="344"/>
        <v/>
      </c>
      <c r="AH805" s="111" t="str">
        <f t="shared" si="340"/>
        <v/>
      </c>
      <c r="AI805" s="111" t="str">
        <f t="shared" si="345"/>
        <v/>
      </c>
      <c r="AJ805" s="111" t="str">
        <f t="shared" si="346"/>
        <v/>
      </c>
      <c r="AK805" s="112" t="str">
        <f t="shared" si="347"/>
        <v/>
      </c>
      <c r="AL805" t="str">
        <f t="shared" si="348"/>
        <v/>
      </c>
      <c r="AM805" t="str">
        <f t="shared" si="349"/>
        <v/>
      </c>
    </row>
    <row r="806" spans="1:39" ht="15" customHeight="1" x14ac:dyDescent="0.25">
      <c r="A806" s="131"/>
      <c r="B806" s="133"/>
      <c r="C806" s="133"/>
      <c r="D806" s="42" t="str">
        <f t="shared" si="324"/>
        <v/>
      </c>
      <c r="E806" s="43"/>
      <c r="F806" s="135"/>
      <c r="G806" s="77" t="str">
        <f t="shared" si="325"/>
        <v/>
      </c>
      <c r="H806" s="32" t="str">
        <f t="shared" si="326"/>
        <v/>
      </c>
      <c r="I806" s="78" t="str">
        <f t="shared" si="327"/>
        <v/>
      </c>
      <c r="J806" s="70" t="str">
        <f t="shared" si="328"/>
        <v/>
      </c>
      <c r="K806" s="135"/>
      <c r="L806" s="72" t="str">
        <f t="shared" si="329"/>
        <v/>
      </c>
      <c r="M806" s="135"/>
      <c r="N806" s="72" t="str">
        <f t="shared" si="330"/>
        <v/>
      </c>
      <c r="O806" s="135"/>
      <c r="P806" s="136"/>
      <c r="Q806" s="123" t="str">
        <f t="shared" si="331"/>
        <v/>
      </c>
      <c r="R806" s="45" t="str">
        <f t="shared" si="332"/>
        <v/>
      </c>
      <c r="S806" s="137"/>
      <c r="T806" s="79" t="str">
        <f t="shared" si="341"/>
        <v/>
      </c>
      <c r="U806" s="79" t="str">
        <f t="shared" si="333"/>
        <v/>
      </c>
      <c r="V806" s="73" t="str">
        <f t="shared" si="334"/>
        <v/>
      </c>
      <c r="W806" s="80" t="str">
        <f t="shared" si="335"/>
        <v/>
      </c>
      <c r="X806" s="73" t="str">
        <f t="shared" si="336"/>
        <v/>
      </c>
      <c r="Y806" s="80" t="str">
        <f t="shared" si="337"/>
        <v/>
      </c>
      <c r="Z806" s="74" t="str">
        <f t="shared" si="338"/>
        <v/>
      </c>
      <c r="AA806" s="75" t="str">
        <f t="shared" si="342"/>
        <v/>
      </c>
      <c r="AB806" s="103" t="str">
        <f t="shared" si="339"/>
        <v/>
      </c>
      <c r="AC806" s="104" t="str">
        <f t="shared" si="350"/>
        <v/>
      </c>
      <c r="AE806" s="139"/>
      <c r="AF806" s="110" t="str">
        <f t="shared" si="343"/>
        <v/>
      </c>
      <c r="AG806" s="111" t="str">
        <f t="shared" si="344"/>
        <v/>
      </c>
      <c r="AH806" s="111" t="str">
        <f t="shared" si="340"/>
        <v/>
      </c>
      <c r="AI806" s="111" t="str">
        <f t="shared" si="345"/>
        <v/>
      </c>
      <c r="AJ806" s="111" t="str">
        <f t="shared" si="346"/>
        <v/>
      </c>
      <c r="AK806" s="112" t="str">
        <f t="shared" si="347"/>
        <v/>
      </c>
      <c r="AL806" t="str">
        <f t="shared" si="348"/>
        <v/>
      </c>
      <c r="AM806" t="str">
        <f t="shared" si="349"/>
        <v/>
      </c>
    </row>
    <row r="807" spans="1:39" ht="15" customHeight="1" x14ac:dyDescent="0.25">
      <c r="A807" s="131"/>
      <c r="B807" s="133"/>
      <c r="C807" s="133"/>
      <c r="D807" s="42" t="str">
        <f t="shared" si="324"/>
        <v/>
      </c>
      <c r="E807" s="43"/>
      <c r="F807" s="135"/>
      <c r="G807" s="77" t="str">
        <f t="shared" si="325"/>
        <v/>
      </c>
      <c r="H807" s="32" t="str">
        <f t="shared" si="326"/>
        <v/>
      </c>
      <c r="I807" s="78" t="str">
        <f t="shared" si="327"/>
        <v/>
      </c>
      <c r="J807" s="70" t="str">
        <f t="shared" si="328"/>
        <v/>
      </c>
      <c r="K807" s="135"/>
      <c r="L807" s="72" t="str">
        <f t="shared" si="329"/>
        <v/>
      </c>
      <c r="M807" s="135"/>
      <c r="N807" s="72" t="str">
        <f t="shared" si="330"/>
        <v/>
      </c>
      <c r="O807" s="135"/>
      <c r="P807" s="136"/>
      <c r="Q807" s="123" t="str">
        <f t="shared" si="331"/>
        <v/>
      </c>
      <c r="R807" s="45" t="str">
        <f t="shared" si="332"/>
        <v/>
      </c>
      <c r="S807" s="137"/>
      <c r="T807" s="79" t="str">
        <f t="shared" si="341"/>
        <v/>
      </c>
      <c r="U807" s="79" t="str">
        <f t="shared" si="333"/>
        <v/>
      </c>
      <c r="V807" s="73" t="str">
        <f t="shared" si="334"/>
        <v/>
      </c>
      <c r="W807" s="80" t="str">
        <f t="shared" si="335"/>
        <v/>
      </c>
      <c r="X807" s="73" t="str">
        <f t="shared" si="336"/>
        <v/>
      </c>
      <c r="Y807" s="80" t="str">
        <f t="shared" si="337"/>
        <v/>
      </c>
      <c r="Z807" s="74" t="str">
        <f t="shared" si="338"/>
        <v/>
      </c>
      <c r="AA807" s="75" t="str">
        <f t="shared" si="342"/>
        <v/>
      </c>
      <c r="AB807" s="103" t="str">
        <f t="shared" si="339"/>
        <v/>
      </c>
      <c r="AC807" s="104" t="str">
        <f t="shared" si="350"/>
        <v/>
      </c>
      <c r="AE807" s="139"/>
      <c r="AF807" s="110" t="str">
        <f t="shared" si="343"/>
        <v/>
      </c>
      <c r="AG807" s="111" t="str">
        <f t="shared" si="344"/>
        <v/>
      </c>
      <c r="AH807" s="111" t="str">
        <f t="shared" si="340"/>
        <v/>
      </c>
      <c r="AI807" s="111" t="str">
        <f t="shared" si="345"/>
        <v/>
      </c>
      <c r="AJ807" s="111" t="str">
        <f t="shared" si="346"/>
        <v/>
      </c>
      <c r="AK807" s="112" t="str">
        <f t="shared" si="347"/>
        <v/>
      </c>
      <c r="AL807" t="str">
        <f t="shared" si="348"/>
        <v/>
      </c>
      <c r="AM807" t="str">
        <f t="shared" si="349"/>
        <v/>
      </c>
    </row>
    <row r="808" spans="1:39" ht="15" customHeight="1" x14ac:dyDescent="0.25">
      <c r="A808" s="131"/>
      <c r="B808" s="133"/>
      <c r="C808" s="133"/>
      <c r="D808" s="42" t="str">
        <f t="shared" si="324"/>
        <v/>
      </c>
      <c r="E808" s="43"/>
      <c r="F808" s="135"/>
      <c r="G808" s="77" t="str">
        <f t="shared" si="325"/>
        <v/>
      </c>
      <c r="H808" s="32" t="str">
        <f t="shared" si="326"/>
        <v/>
      </c>
      <c r="I808" s="78" t="str">
        <f t="shared" si="327"/>
        <v/>
      </c>
      <c r="J808" s="70" t="str">
        <f t="shared" si="328"/>
        <v/>
      </c>
      <c r="K808" s="135"/>
      <c r="L808" s="72" t="str">
        <f t="shared" si="329"/>
        <v/>
      </c>
      <c r="M808" s="135"/>
      <c r="N808" s="72" t="str">
        <f t="shared" si="330"/>
        <v/>
      </c>
      <c r="O808" s="135"/>
      <c r="P808" s="136"/>
      <c r="Q808" s="123" t="str">
        <f t="shared" si="331"/>
        <v/>
      </c>
      <c r="R808" s="45" t="str">
        <f t="shared" si="332"/>
        <v/>
      </c>
      <c r="S808" s="137"/>
      <c r="T808" s="79" t="str">
        <f t="shared" si="341"/>
        <v/>
      </c>
      <c r="U808" s="79" t="str">
        <f t="shared" si="333"/>
        <v/>
      </c>
      <c r="V808" s="73" t="str">
        <f t="shared" si="334"/>
        <v/>
      </c>
      <c r="W808" s="80" t="str">
        <f t="shared" si="335"/>
        <v/>
      </c>
      <c r="X808" s="73" t="str">
        <f t="shared" si="336"/>
        <v/>
      </c>
      <c r="Y808" s="80" t="str">
        <f t="shared" si="337"/>
        <v/>
      </c>
      <c r="Z808" s="74" t="str">
        <f t="shared" si="338"/>
        <v/>
      </c>
      <c r="AA808" s="75" t="str">
        <f t="shared" si="342"/>
        <v/>
      </c>
      <c r="AB808" s="103" t="str">
        <f t="shared" si="339"/>
        <v/>
      </c>
      <c r="AC808" s="104" t="str">
        <f t="shared" si="350"/>
        <v/>
      </c>
      <c r="AE808" s="139"/>
      <c r="AF808" s="110" t="str">
        <f t="shared" si="343"/>
        <v/>
      </c>
      <c r="AG808" s="111" t="str">
        <f t="shared" si="344"/>
        <v/>
      </c>
      <c r="AH808" s="111" t="str">
        <f t="shared" si="340"/>
        <v/>
      </c>
      <c r="AI808" s="111" t="str">
        <f t="shared" si="345"/>
        <v/>
      </c>
      <c r="AJ808" s="111" t="str">
        <f t="shared" si="346"/>
        <v/>
      </c>
      <c r="AK808" s="112" t="str">
        <f t="shared" si="347"/>
        <v/>
      </c>
      <c r="AL808" t="str">
        <f t="shared" si="348"/>
        <v/>
      </c>
      <c r="AM808" t="str">
        <f t="shared" si="349"/>
        <v/>
      </c>
    </row>
    <row r="809" spans="1:39" ht="15" customHeight="1" x14ac:dyDescent="0.25">
      <c r="A809" s="131"/>
      <c r="B809" s="133"/>
      <c r="C809" s="133"/>
      <c r="D809" s="42" t="str">
        <f t="shared" si="324"/>
        <v/>
      </c>
      <c r="E809" s="43"/>
      <c r="F809" s="135"/>
      <c r="G809" s="77" t="str">
        <f t="shared" si="325"/>
        <v/>
      </c>
      <c r="H809" s="32" t="str">
        <f t="shared" si="326"/>
        <v/>
      </c>
      <c r="I809" s="78" t="str">
        <f t="shared" si="327"/>
        <v/>
      </c>
      <c r="J809" s="70" t="str">
        <f t="shared" si="328"/>
        <v/>
      </c>
      <c r="K809" s="135"/>
      <c r="L809" s="72" t="str">
        <f t="shared" si="329"/>
        <v/>
      </c>
      <c r="M809" s="135"/>
      <c r="N809" s="72" t="str">
        <f t="shared" si="330"/>
        <v/>
      </c>
      <c r="O809" s="135"/>
      <c r="P809" s="136"/>
      <c r="Q809" s="123" t="str">
        <f t="shared" si="331"/>
        <v/>
      </c>
      <c r="R809" s="45" t="str">
        <f t="shared" si="332"/>
        <v/>
      </c>
      <c r="S809" s="137"/>
      <c r="T809" s="79" t="str">
        <f t="shared" si="341"/>
        <v/>
      </c>
      <c r="U809" s="79" t="str">
        <f t="shared" si="333"/>
        <v/>
      </c>
      <c r="V809" s="73" t="str">
        <f t="shared" si="334"/>
        <v/>
      </c>
      <c r="W809" s="80" t="str">
        <f t="shared" si="335"/>
        <v/>
      </c>
      <c r="X809" s="73" t="str">
        <f t="shared" si="336"/>
        <v/>
      </c>
      <c r="Y809" s="80" t="str">
        <f t="shared" si="337"/>
        <v/>
      </c>
      <c r="Z809" s="74" t="str">
        <f t="shared" si="338"/>
        <v/>
      </c>
      <c r="AA809" s="75" t="str">
        <f t="shared" si="342"/>
        <v/>
      </c>
      <c r="AB809" s="103" t="str">
        <f t="shared" si="339"/>
        <v/>
      </c>
      <c r="AC809" s="104" t="str">
        <f t="shared" si="350"/>
        <v/>
      </c>
      <c r="AE809" s="139"/>
      <c r="AF809" s="110" t="str">
        <f t="shared" si="343"/>
        <v/>
      </c>
      <c r="AG809" s="111" t="str">
        <f t="shared" si="344"/>
        <v/>
      </c>
      <c r="AH809" s="111" t="str">
        <f t="shared" si="340"/>
        <v/>
      </c>
      <c r="AI809" s="111" t="str">
        <f t="shared" si="345"/>
        <v/>
      </c>
      <c r="AJ809" s="111" t="str">
        <f t="shared" si="346"/>
        <v/>
      </c>
      <c r="AK809" s="112" t="str">
        <f t="shared" si="347"/>
        <v/>
      </c>
      <c r="AL809" t="str">
        <f t="shared" si="348"/>
        <v/>
      </c>
      <c r="AM809" t="str">
        <f t="shared" si="349"/>
        <v/>
      </c>
    </row>
    <row r="810" spans="1:39" ht="15" customHeight="1" x14ac:dyDescent="0.25">
      <c r="A810" s="131"/>
      <c r="B810" s="133"/>
      <c r="C810" s="133"/>
      <c r="D810" s="42" t="str">
        <f t="shared" si="324"/>
        <v/>
      </c>
      <c r="E810" s="43"/>
      <c r="F810" s="135"/>
      <c r="G810" s="77" t="str">
        <f t="shared" si="325"/>
        <v/>
      </c>
      <c r="H810" s="32" t="str">
        <f t="shared" si="326"/>
        <v/>
      </c>
      <c r="I810" s="78" t="str">
        <f t="shared" si="327"/>
        <v/>
      </c>
      <c r="J810" s="70" t="str">
        <f t="shared" si="328"/>
        <v/>
      </c>
      <c r="K810" s="135"/>
      <c r="L810" s="72" t="str">
        <f t="shared" si="329"/>
        <v/>
      </c>
      <c r="M810" s="135"/>
      <c r="N810" s="72" t="str">
        <f t="shared" si="330"/>
        <v/>
      </c>
      <c r="O810" s="135"/>
      <c r="P810" s="136"/>
      <c r="Q810" s="123" t="str">
        <f t="shared" si="331"/>
        <v/>
      </c>
      <c r="R810" s="45" t="str">
        <f t="shared" si="332"/>
        <v/>
      </c>
      <c r="S810" s="137"/>
      <c r="T810" s="79" t="str">
        <f t="shared" si="341"/>
        <v/>
      </c>
      <c r="U810" s="79" t="str">
        <f t="shared" si="333"/>
        <v/>
      </c>
      <c r="V810" s="73" t="str">
        <f t="shared" si="334"/>
        <v/>
      </c>
      <c r="W810" s="80" t="str">
        <f t="shared" si="335"/>
        <v/>
      </c>
      <c r="X810" s="73" t="str">
        <f t="shared" si="336"/>
        <v/>
      </c>
      <c r="Y810" s="80" t="str">
        <f t="shared" si="337"/>
        <v/>
      </c>
      <c r="Z810" s="74" t="str">
        <f t="shared" si="338"/>
        <v/>
      </c>
      <c r="AA810" s="75" t="str">
        <f t="shared" si="342"/>
        <v/>
      </c>
      <c r="AB810" s="103" t="str">
        <f t="shared" si="339"/>
        <v/>
      </c>
      <c r="AC810" s="104" t="str">
        <f t="shared" si="350"/>
        <v/>
      </c>
      <c r="AE810" s="139"/>
      <c r="AF810" s="110" t="str">
        <f t="shared" si="343"/>
        <v/>
      </c>
      <c r="AG810" s="111" t="str">
        <f t="shared" si="344"/>
        <v/>
      </c>
      <c r="AH810" s="111" t="str">
        <f t="shared" si="340"/>
        <v/>
      </c>
      <c r="AI810" s="111" t="str">
        <f t="shared" si="345"/>
        <v/>
      </c>
      <c r="AJ810" s="111" t="str">
        <f t="shared" si="346"/>
        <v/>
      </c>
      <c r="AK810" s="112" t="str">
        <f t="shared" si="347"/>
        <v/>
      </c>
      <c r="AL810" t="str">
        <f t="shared" si="348"/>
        <v/>
      </c>
      <c r="AM810" t="str">
        <f t="shared" si="349"/>
        <v/>
      </c>
    </row>
    <row r="811" spans="1:39" ht="15" customHeight="1" x14ac:dyDescent="0.25">
      <c r="A811" s="131"/>
      <c r="B811" s="133"/>
      <c r="C811" s="133"/>
      <c r="D811" s="42" t="str">
        <f t="shared" si="324"/>
        <v/>
      </c>
      <c r="E811" s="43"/>
      <c r="F811" s="135"/>
      <c r="G811" s="77" t="str">
        <f t="shared" si="325"/>
        <v/>
      </c>
      <c r="H811" s="32" t="str">
        <f t="shared" si="326"/>
        <v/>
      </c>
      <c r="I811" s="78" t="str">
        <f t="shared" si="327"/>
        <v/>
      </c>
      <c r="J811" s="70" t="str">
        <f t="shared" si="328"/>
        <v/>
      </c>
      <c r="K811" s="135"/>
      <c r="L811" s="72" t="str">
        <f t="shared" si="329"/>
        <v/>
      </c>
      <c r="M811" s="135"/>
      <c r="N811" s="72" t="str">
        <f t="shared" si="330"/>
        <v/>
      </c>
      <c r="O811" s="135"/>
      <c r="P811" s="136"/>
      <c r="Q811" s="123" t="str">
        <f t="shared" si="331"/>
        <v/>
      </c>
      <c r="R811" s="45" t="str">
        <f t="shared" si="332"/>
        <v/>
      </c>
      <c r="S811" s="137"/>
      <c r="T811" s="79" t="str">
        <f t="shared" si="341"/>
        <v/>
      </c>
      <c r="U811" s="79" t="str">
        <f t="shared" si="333"/>
        <v/>
      </c>
      <c r="V811" s="73" t="str">
        <f t="shared" si="334"/>
        <v/>
      </c>
      <c r="W811" s="80" t="str">
        <f t="shared" si="335"/>
        <v/>
      </c>
      <c r="X811" s="73" t="str">
        <f t="shared" si="336"/>
        <v/>
      </c>
      <c r="Y811" s="80" t="str">
        <f t="shared" si="337"/>
        <v/>
      </c>
      <c r="Z811" s="74" t="str">
        <f t="shared" si="338"/>
        <v/>
      </c>
      <c r="AA811" s="75" t="str">
        <f t="shared" si="342"/>
        <v/>
      </c>
      <c r="AB811" s="103" t="str">
        <f t="shared" si="339"/>
        <v/>
      </c>
      <c r="AC811" s="104" t="str">
        <f t="shared" si="350"/>
        <v/>
      </c>
      <c r="AE811" s="139"/>
      <c r="AF811" s="110" t="str">
        <f t="shared" si="343"/>
        <v/>
      </c>
      <c r="AG811" s="111" t="str">
        <f t="shared" si="344"/>
        <v/>
      </c>
      <c r="AH811" s="111" t="str">
        <f t="shared" si="340"/>
        <v/>
      </c>
      <c r="AI811" s="111" t="str">
        <f t="shared" si="345"/>
        <v/>
      </c>
      <c r="AJ811" s="111" t="str">
        <f t="shared" si="346"/>
        <v/>
      </c>
      <c r="AK811" s="112" t="str">
        <f t="shared" si="347"/>
        <v/>
      </c>
      <c r="AL811" t="str">
        <f t="shared" si="348"/>
        <v/>
      </c>
      <c r="AM811" t="str">
        <f t="shared" si="349"/>
        <v/>
      </c>
    </row>
    <row r="812" spans="1:39" ht="15" customHeight="1" x14ac:dyDescent="0.25">
      <c r="A812" s="131"/>
      <c r="B812" s="133"/>
      <c r="C812" s="133"/>
      <c r="D812" s="42" t="str">
        <f t="shared" si="324"/>
        <v/>
      </c>
      <c r="E812" s="43"/>
      <c r="F812" s="135"/>
      <c r="G812" s="77" t="str">
        <f t="shared" si="325"/>
        <v/>
      </c>
      <c r="H812" s="32" t="str">
        <f t="shared" si="326"/>
        <v/>
      </c>
      <c r="I812" s="78" t="str">
        <f t="shared" si="327"/>
        <v/>
      </c>
      <c r="J812" s="70" t="str">
        <f t="shared" si="328"/>
        <v/>
      </c>
      <c r="K812" s="135"/>
      <c r="L812" s="72" t="str">
        <f t="shared" si="329"/>
        <v/>
      </c>
      <c r="M812" s="135"/>
      <c r="N812" s="72" t="str">
        <f t="shared" si="330"/>
        <v/>
      </c>
      <c r="O812" s="135"/>
      <c r="P812" s="136"/>
      <c r="Q812" s="123" t="str">
        <f t="shared" si="331"/>
        <v/>
      </c>
      <c r="R812" s="45" t="str">
        <f t="shared" si="332"/>
        <v/>
      </c>
      <c r="S812" s="137"/>
      <c r="T812" s="79" t="str">
        <f t="shared" si="341"/>
        <v/>
      </c>
      <c r="U812" s="79" t="str">
        <f t="shared" si="333"/>
        <v/>
      </c>
      <c r="V812" s="73" t="str">
        <f t="shared" si="334"/>
        <v/>
      </c>
      <c r="W812" s="80" t="str">
        <f t="shared" si="335"/>
        <v/>
      </c>
      <c r="X812" s="73" t="str">
        <f t="shared" si="336"/>
        <v/>
      </c>
      <c r="Y812" s="80" t="str">
        <f t="shared" si="337"/>
        <v/>
      </c>
      <c r="Z812" s="74" t="str">
        <f t="shared" si="338"/>
        <v/>
      </c>
      <c r="AA812" s="75" t="str">
        <f t="shared" si="342"/>
        <v/>
      </c>
      <c r="AB812" s="103" t="str">
        <f t="shared" si="339"/>
        <v/>
      </c>
      <c r="AC812" s="104" t="str">
        <f t="shared" si="350"/>
        <v/>
      </c>
      <c r="AE812" s="139"/>
      <c r="AF812" s="110" t="str">
        <f t="shared" si="343"/>
        <v/>
      </c>
      <c r="AG812" s="111" t="str">
        <f t="shared" si="344"/>
        <v/>
      </c>
      <c r="AH812" s="111" t="str">
        <f t="shared" si="340"/>
        <v/>
      </c>
      <c r="AI812" s="111" t="str">
        <f t="shared" si="345"/>
        <v/>
      </c>
      <c r="AJ812" s="111" t="str">
        <f t="shared" si="346"/>
        <v/>
      </c>
      <c r="AK812" s="112" t="str">
        <f t="shared" si="347"/>
        <v/>
      </c>
      <c r="AL812" t="str">
        <f t="shared" si="348"/>
        <v/>
      </c>
      <c r="AM812" t="str">
        <f t="shared" si="349"/>
        <v/>
      </c>
    </row>
    <row r="813" spans="1:39" ht="15" customHeight="1" x14ac:dyDescent="0.25">
      <c r="A813" s="131"/>
      <c r="B813" s="133"/>
      <c r="C813" s="133"/>
      <c r="D813" s="42" t="str">
        <f t="shared" si="324"/>
        <v/>
      </c>
      <c r="E813" s="43"/>
      <c r="F813" s="135"/>
      <c r="G813" s="77" t="str">
        <f t="shared" si="325"/>
        <v/>
      </c>
      <c r="H813" s="32" t="str">
        <f t="shared" si="326"/>
        <v/>
      </c>
      <c r="I813" s="78" t="str">
        <f t="shared" si="327"/>
        <v/>
      </c>
      <c r="J813" s="70" t="str">
        <f t="shared" si="328"/>
        <v/>
      </c>
      <c r="K813" s="135"/>
      <c r="L813" s="72" t="str">
        <f t="shared" si="329"/>
        <v/>
      </c>
      <c r="M813" s="135"/>
      <c r="N813" s="72" t="str">
        <f t="shared" si="330"/>
        <v/>
      </c>
      <c r="O813" s="135"/>
      <c r="P813" s="136"/>
      <c r="Q813" s="123" t="str">
        <f t="shared" si="331"/>
        <v/>
      </c>
      <c r="R813" s="45" t="str">
        <f t="shared" si="332"/>
        <v/>
      </c>
      <c r="S813" s="137"/>
      <c r="T813" s="79" t="str">
        <f t="shared" si="341"/>
        <v/>
      </c>
      <c r="U813" s="79" t="str">
        <f t="shared" si="333"/>
        <v/>
      </c>
      <c r="V813" s="73" t="str">
        <f t="shared" si="334"/>
        <v/>
      </c>
      <c r="W813" s="80" t="str">
        <f t="shared" si="335"/>
        <v/>
      </c>
      <c r="X813" s="73" t="str">
        <f t="shared" si="336"/>
        <v/>
      </c>
      <c r="Y813" s="80" t="str">
        <f t="shared" si="337"/>
        <v/>
      </c>
      <c r="Z813" s="74" t="str">
        <f t="shared" si="338"/>
        <v/>
      </c>
      <c r="AA813" s="75" t="str">
        <f t="shared" si="342"/>
        <v/>
      </c>
      <c r="AB813" s="103" t="str">
        <f t="shared" si="339"/>
        <v/>
      </c>
      <c r="AC813" s="104" t="str">
        <f t="shared" si="350"/>
        <v/>
      </c>
      <c r="AE813" s="139"/>
      <c r="AF813" s="110" t="str">
        <f t="shared" si="343"/>
        <v/>
      </c>
      <c r="AG813" s="111" t="str">
        <f t="shared" si="344"/>
        <v/>
      </c>
      <c r="AH813" s="111" t="str">
        <f t="shared" si="340"/>
        <v/>
      </c>
      <c r="AI813" s="111" t="str">
        <f t="shared" si="345"/>
        <v/>
      </c>
      <c r="AJ813" s="111" t="str">
        <f t="shared" si="346"/>
        <v/>
      </c>
      <c r="AK813" s="112" t="str">
        <f t="shared" si="347"/>
        <v/>
      </c>
      <c r="AL813" t="str">
        <f t="shared" si="348"/>
        <v/>
      </c>
      <c r="AM813" t="str">
        <f t="shared" si="349"/>
        <v/>
      </c>
    </row>
    <row r="814" spans="1:39" ht="15" customHeight="1" x14ac:dyDescent="0.25">
      <c r="A814" s="131"/>
      <c r="B814" s="133"/>
      <c r="C814" s="133"/>
      <c r="D814" s="42" t="str">
        <f t="shared" si="324"/>
        <v/>
      </c>
      <c r="E814" s="43"/>
      <c r="F814" s="135"/>
      <c r="G814" s="77" t="str">
        <f t="shared" si="325"/>
        <v/>
      </c>
      <c r="H814" s="32" t="str">
        <f t="shared" si="326"/>
        <v/>
      </c>
      <c r="I814" s="78" t="str">
        <f t="shared" si="327"/>
        <v/>
      </c>
      <c r="J814" s="70" t="str">
        <f t="shared" si="328"/>
        <v/>
      </c>
      <c r="K814" s="135"/>
      <c r="L814" s="72" t="str">
        <f t="shared" si="329"/>
        <v/>
      </c>
      <c r="M814" s="135"/>
      <c r="N814" s="72" t="str">
        <f t="shared" si="330"/>
        <v/>
      </c>
      <c r="O814" s="135"/>
      <c r="P814" s="136"/>
      <c r="Q814" s="123" t="str">
        <f t="shared" si="331"/>
        <v/>
      </c>
      <c r="R814" s="45" t="str">
        <f t="shared" si="332"/>
        <v/>
      </c>
      <c r="S814" s="137"/>
      <c r="T814" s="79" t="str">
        <f t="shared" si="341"/>
        <v/>
      </c>
      <c r="U814" s="79" t="str">
        <f t="shared" si="333"/>
        <v/>
      </c>
      <c r="V814" s="73" t="str">
        <f t="shared" si="334"/>
        <v/>
      </c>
      <c r="W814" s="80" t="str">
        <f t="shared" si="335"/>
        <v/>
      </c>
      <c r="X814" s="73" t="str">
        <f t="shared" si="336"/>
        <v/>
      </c>
      <c r="Y814" s="80" t="str">
        <f t="shared" si="337"/>
        <v/>
      </c>
      <c r="Z814" s="74" t="str">
        <f t="shared" si="338"/>
        <v/>
      </c>
      <c r="AA814" s="75" t="str">
        <f t="shared" si="342"/>
        <v/>
      </c>
      <c r="AB814" s="103" t="str">
        <f t="shared" si="339"/>
        <v/>
      </c>
      <c r="AC814" s="104" t="str">
        <f t="shared" si="350"/>
        <v/>
      </c>
      <c r="AE814" s="139"/>
      <c r="AF814" s="110" t="str">
        <f t="shared" si="343"/>
        <v/>
      </c>
      <c r="AG814" s="111" t="str">
        <f t="shared" si="344"/>
        <v/>
      </c>
      <c r="AH814" s="111" t="str">
        <f t="shared" si="340"/>
        <v/>
      </c>
      <c r="AI814" s="111" t="str">
        <f t="shared" si="345"/>
        <v/>
      </c>
      <c r="AJ814" s="111" t="str">
        <f t="shared" si="346"/>
        <v/>
      </c>
      <c r="AK814" s="112" t="str">
        <f t="shared" si="347"/>
        <v/>
      </c>
      <c r="AL814" t="str">
        <f t="shared" si="348"/>
        <v/>
      </c>
      <c r="AM814" t="str">
        <f t="shared" si="349"/>
        <v/>
      </c>
    </row>
    <row r="815" spans="1:39" ht="15" customHeight="1" x14ac:dyDescent="0.25">
      <c r="A815" s="131"/>
      <c r="B815" s="133"/>
      <c r="C815" s="133"/>
      <c r="D815" s="42" t="str">
        <f t="shared" si="324"/>
        <v/>
      </c>
      <c r="E815" s="43"/>
      <c r="F815" s="135"/>
      <c r="G815" s="77" t="str">
        <f t="shared" si="325"/>
        <v/>
      </c>
      <c r="H815" s="32" t="str">
        <f t="shared" si="326"/>
        <v/>
      </c>
      <c r="I815" s="78" t="str">
        <f t="shared" si="327"/>
        <v/>
      </c>
      <c r="J815" s="70" t="str">
        <f t="shared" si="328"/>
        <v/>
      </c>
      <c r="K815" s="135"/>
      <c r="L815" s="72" t="str">
        <f t="shared" si="329"/>
        <v/>
      </c>
      <c r="M815" s="135"/>
      <c r="N815" s="72" t="str">
        <f t="shared" si="330"/>
        <v/>
      </c>
      <c r="O815" s="135"/>
      <c r="P815" s="136"/>
      <c r="Q815" s="123" t="str">
        <f t="shared" si="331"/>
        <v/>
      </c>
      <c r="R815" s="45" t="str">
        <f t="shared" si="332"/>
        <v/>
      </c>
      <c r="S815" s="137"/>
      <c r="T815" s="79" t="str">
        <f t="shared" si="341"/>
        <v/>
      </c>
      <c r="U815" s="79" t="str">
        <f t="shared" si="333"/>
        <v/>
      </c>
      <c r="V815" s="73" t="str">
        <f t="shared" si="334"/>
        <v/>
      </c>
      <c r="W815" s="80" t="str">
        <f t="shared" si="335"/>
        <v/>
      </c>
      <c r="X815" s="73" t="str">
        <f t="shared" si="336"/>
        <v/>
      </c>
      <c r="Y815" s="80" t="str">
        <f t="shared" si="337"/>
        <v/>
      </c>
      <c r="Z815" s="74" t="str">
        <f t="shared" si="338"/>
        <v/>
      </c>
      <c r="AA815" s="75" t="str">
        <f t="shared" si="342"/>
        <v/>
      </c>
      <c r="AB815" s="103" t="str">
        <f t="shared" si="339"/>
        <v/>
      </c>
      <c r="AC815" s="104" t="str">
        <f t="shared" si="350"/>
        <v/>
      </c>
      <c r="AE815" s="139"/>
      <c r="AF815" s="110" t="str">
        <f t="shared" si="343"/>
        <v/>
      </c>
      <c r="AG815" s="111" t="str">
        <f t="shared" si="344"/>
        <v/>
      </c>
      <c r="AH815" s="111" t="str">
        <f t="shared" si="340"/>
        <v/>
      </c>
      <c r="AI815" s="111" t="str">
        <f t="shared" si="345"/>
        <v/>
      </c>
      <c r="AJ815" s="111" t="str">
        <f t="shared" si="346"/>
        <v/>
      </c>
      <c r="AK815" s="112" t="str">
        <f t="shared" si="347"/>
        <v/>
      </c>
      <c r="AL815" t="str">
        <f t="shared" si="348"/>
        <v/>
      </c>
      <c r="AM815" t="str">
        <f t="shared" si="349"/>
        <v/>
      </c>
    </row>
    <row r="816" spans="1:39" ht="15" customHeight="1" x14ac:dyDescent="0.25">
      <c r="A816" s="131"/>
      <c r="B816" s="133"/>
      <c r="C816" s="133"/>
      <c r="D816" s="42" t="str">
        <f t="shared" si="324"/>
        <v/>
      </c>
      <c r="E816" s="43"/>
      <c r="F816" s="135"/>
      <c r="G816" s="77" t="str">
        <f t="shared" si="325"/>
        <v/>
      </c>
      <c r="H816" s="32" t="str">
        <f t="shared" si="326"/>
        <v/>
      </c>
      <c r="I816" s="78" t="str">
        <f t="shared" si="327"/>
        <v/>
      </c>
      <c r="J816" s="70" t="str">
        <f t="shared" si="328"/>
        <v/>
      </c>
      <c r="K816" s="135"/>
      <c r="L816" s="72" t="str">
        <f t="shared" si="329"/>
        <v/>
      </c>
      <c r="M816" s="135"/>
      <c r="N816" s="72" t="str">
        <f t="shared" si="330"/>
        <v/>
      </c>
      <c r="O816" s="135"/>
      <c r="P816" s="136"/>
      <c r="Q816" s="123" t="str">
        <f t="shared" si="331"/>
        <v/>
      </c>
      <c r="R816" s="45" t="str">
        <f t="shared" si="332"/>
        <v/>
      </c>
      <c r="S816" s="137"/>
      <c r="T816" s="79" t="str">
        <f t="shared" si="341"/>
        <v/>
      </c>
      <c r="U816" s="79" t="str">
        <f t="shared" si="333"/>
        <v/>
      </c>
      <c r="V816" s="73" t="str">
        <f t="shared" si="334"/>
        <v/>
      </c>
      <c r="W816" s="80" t="str">
        <f t="shared" si="335"/>
        <v/>
      </c>
      <c r="X816" s="73" t="str">
        <f t="shared" si="336"/>
        <v/>
      </c>
      <c r="Y816" s="80" t="str">
        <f t="shared" si="337"/>
        <v/>
      </c>
      <c r="Z816" s="74" t="str">
        <f t="shared" si="338"/>
        <v/>
      </c>
      <c r="AA816" s="75" t="str">
        <f t="shared" si="342"/>
        <v/>
      </c>
      <c r="AB816" s="103" t="str">
        <f t="shared" si="339"/>
        <v/>
      </c>
      <c r="AC816" s="104" t="str">
        <f t="shared" si="350"/>
        <v/>
      </c>
      <c r="AE816" s="139"/>
      <c r="AF816" s="110" t="str">
        <f t="shared" si="343"/>
        <v/>
      </c>
      <c r="AG816" s="111" t="str">
        <f t="shared" si="344"/>
        <v/>
      </c>
      <c r="AH816" s="111" t="str">
        <f t="shared" si="340"/>
        <v/>
      </c>
      <c r="AI816" s="111" t="str">
        <f t="shared" si="345"/>
        <v/>
      </c>
      <c r="AJ816" s="111" t="str">
        <f t="shared" si="346"/>
        <v/>
      </c>
      <c r="AK816" s="112" t="str">
        <f t="shared" si="347"/>
        <v/>
      </c>
      <c r="AL816" t="str">
        <f t="shared" si="348"/>
        <v/>
      </c>
      <c r="AM816" t="str">
        <f t="shared" si="349"/>
        <v/>
      </c>
    </row>
    <row r="817" spans="1:39" ht="15" customHeight="1" x14ac:dyDescent="0.25">
      <c r="A817" s="131"/>
      <c r="B817" s="133"/>
      <c r="C817" s="133"/>
      <c r="D817" s="42" t="str">
        <f t="shared" si="324"/>
        <v/>
      </c>
      <c r="E817" s="43"/>
      <c r="F817" s="135"/>
      <c r="G817" s="77" t="str">
        <f t="shared" si="325"/>
        <v/>
      </c>
      <c r="H817" s="32" t="str">
        <f t="shared" si="326"/>
        <v/>
      </c>
      <c r="I817" s="78" t="str">
        <f t="shared" si="327"/>
        <v/>
      </c>
      <c r="J817" s="70" t="str">
        <f t="shared" si="328"/>
        <v/>
      </c>
      <c r="K817" s="135"/>
      <c r="L817" s="72" t="str">
        <f t="shared" si="329"/>
        <v/>
      </c>
      <c r="M817" s="135"/>
      <c r="N817" s="72" t="str">
        <f t="shared" si="330"/>
        <v/>
      </c>
      <c r="O817" s="135"/>
      <c r="P817" s="136"/>
      <c r="Q817" s="123" t="str">
        <f t="shared" si="331"/>
        <v/>
      </c>
      <c r="R817" s="45" t="str">
        <f t="shared" si="332"/>
        <v/>
      </c>
      <c r="S817" s="137"/>
      <c r="T817" s="79" t="str">
        <f t="shared" si="341"/>
        <v/>
      </c>
      <c r="U817" s="79" t="str">
        <f t="shared" si="333"/>
        <v/>
      </c>
      <c r="V817" s="73" t="str">
        <f t="shared" si="334"/>
        <v/>
      </c>
      <c r="W817" s="80" t="str">
        <f t="shared" si="335"/>
        <v/>
      </c>
      <c r="X817" s="73" t="str">
        <f t="shared" si="336"/>
        <v/>
      </c>
      <c r="Y817" s="80" t="str">
        <f t="shared" si="337"/>
        <v/>
      </c>
      <c r="Z817" s="74" t="str">
        <f t="shared" si="338"/>
        <v/>
      </c>
      <c r="AA817" s="75" t="str">
        <f t="shared" si="342"/>
        <v/>
      </c>
      <c r="AB817" s="103" t="str">
        <f t="shared" si="339"/>
        <v/>
      </c>
      <c r="AC817" s="104" t="str">
        <f t="shared" si="350"/>
        <v/>
      </c>
      <c r="AE817" s="139"/>
      <c r="AF817" s="110" t="str">
        <f t="shared" si="343"/>
        <v/>
      </c>
      <c r="AG817" s="111" t="str">
        <f t="shared" si="344"/>
        <v/>
      </c>
      <c r="AH817" s="111" t="str">
        <f t="shared" si="340"/>
        <v/>
      </c>
      <c r="AI817" s="111" t="str">
        <f t="shared" si="345"/>
        <v/>
      </c>
      <c r="AJ817" s="111" t="str">
        <f t="shared" si="346"/>
        <v/>
      </c>
      <c r="AK817" s="112" t="str">
        <f t="shared" si="347"/>
        <v/>
      </c>
      <c r="AL817" t="str">
        <f t="shared" si="348"/>
        <v/>
      </c>
      <c r="AM817" t="str">
        <f t="shared" si="349"/>
        <v/>
      </c>
    </row>
    <row r="818" spans="1:39" ht="15" customHeight="1" x14ac:dyDescent="0.25">
      <c r="A818" s="131"/>
      <c r="B818" s="133"/>
      <c r="C818" s="133"/>
      <c r="D818" s="42" t="str">
        <f t="shared" si="324"/>
        <v/>
      </c>
      <c r="E818" s="43"/>
      <c r="F818" s="135"/>
      <c r="G818" s="77" t="str">
        <f t="shared" si="325"/>
        <v/>
      </c>
      <c r="H818" s="32" t="str">
        <f t="shared" si="326"/>
        <v/>
      </c>
      <c r="I818" s="78" t="str">
        <f t="shared" si="327"/>
        <v/>
      </c>
      <c r="J818" s="70" t="str">
        <f t="shared" si="328"/>
        <v/>
      </c>
      <c r="K818" s="135"/>
      <c r="L818" s="72" t="str">
        <f t="shared" si="329"/>
        <v/>
      </c>
      <c r="M818" s="135"/>
      <c r="N818" s="72" t="str">
        <f t="shared" si="330"/>
        <v/>
      </c>
      <c r="O818" s="135"/>
      <c r="P818" s="136"/>
      <c r="Q818" s="123" t="str">
        <f t="shared" si="331"/>
        <v/>
      </c>
      <c r="R818" s="45" t="str">
        <f t="shared" si="332"/>
        <v/>
      </c>
      <c r="S818" s="137"/>
      <c r="T818" s="79" t="str">
        <f t="shared" si="341"/>
        <v/>
      </c>
      <c r="U818" s="79" t="str">
        <f t="shared" si="333"/>
        <v/>
      </c>
      <c r="V818" s="73" t="str">
        <f t="shared" si="334"/>
        <v/>
      </c>
      <c r="W818" s="80" t="str">
        <f t="shared" si="335"/>
        <v/>
      </c>
      <c r="X818" s="73" t="str">
        <f t="shared" si="336"/>
        <v/>
      </c>
      <c r="Y818" s="80" t="str">
        <f t="shared" si="337"/>
        <v/>
      </c>
      <c r="Z818" s="74" t="str">
        <f t="shared" si="338"/>
        <v/>
      </c>
      <c r="AA818" s="75" t="str">
        <f t="shared" si="342"/>
        <v/>
      </c>
      <c r="AB818" s="103" t="str">
        <f t="shared" si="339"/>
        <v/>
      </c>
      <c r="AC818" s="104" t="str">
        <f t="shared" si="350"/>
        <v/>
      </c>
      <c r="AE818" s="139"/>
      <c r="AF818" s="110" t="str">
        <f t="shared" si="343"/>
        <v/>
      </c>
      <c r="AG818" s="111" t="str">
        <f t="shared" si="344"/>
        <v/>
      </c>
      <c r="AH818" s="111" t="str">
        <f t="shared" si="340"/>
        <v/>
      </c>
      <c r="AI818" s="111" t="str">
        <f t="shared" si="345"/>
        <v/>
      </c>
      <c r="AJ818" s="111" t="str">
        <f t="shared" si="346"/>
        <v/>
      </c>
      <c r="AK818" s="112" t="str">
        <f t="shared" si="347"/>
        <v/>
      </c>
      <c r="AL818" t="str">
        <f t="shared" si="348"/>
        <v/>
      </c>
      <c r="AM818" t="str">
        <f t="shared" si="349"/>
        <v/>
      </c>
    </row>
    <row r="819" spans="1:39" ht="15" customHeight="1" x14ac:dyDescent="0.25">
      <c r="A819" s="131"/>
      <c r="B819" s="133"/>
      <c r="C819" s="133"/>
      <c r="D819" s="42" t="str">
        <f t="shared" si="324"/>
        <v/>
      </c>
      <c r="E819" s="43"/>
      <c r="F819" s="135"/>
      <c r="G819" s="77" t="str">
        <f t="shared" si="325"/>
        <v/>
      </c>
      <c r="H819" s="32" t="str">
        <f t="shared" si="326"/>
        <v/>
      </c>
      <c r="I819" s="78" t="str">
        <f t="shared" si="327"/>
        <v/>
      </c>
      <c r="J819" s="70" t="str">
        <f t="shared" si="328"/>
        <v/>
      </c>
      <c r="K819" s="135"/>
      <c r="L819" s="72" t="str">
        <f t="shared" si="329"/>
        <v/>
      </c>
      <c r="M819" s="135"/>
      <c r="N819" s="72" t="str">
        <f t="shared" si="330"/>
        <v/>
      </c>
      <c r="O819" s="135"/>
      <c r="P819" s="136"/>
      <c r="Q819" s="123" t="str">
        <f t="shared" si="331"/>
        <v/>
      </c>
      <c r="R819" s="45" t="str">
        <f t="shared" si="332"/>
        <v/>
      </c>
      <c r="S819" s="137"/>
      <c r="T819" s="79" t="str">
        <f t="shared" si="341"/>
        <v/>
      </c>
      <c r="U819" s="79" t="str">
        <f t="shared" si="333"/>
        <v/>
      </c>
      <c r="V819" s="73" t="str">
        <f t="shared" si="334"/>
        <v/>
      </c>
      <c r="W819" s="80" t="str">
        <f t="shared" si="335"/>
        <v/>
      </c>
      <c r="X819" s="73" t="str">
        <f t="shared" si="336"/>
        <v/>
      </c>
      <c r="Y819" s="80" t="str">
        <f t="shared" si="337"/>
        <v/>
      </c>
      <c r="Z819" s="74" t="str">
        <f t="shared" si="338"/>
        <v/>
      </c>
      <c r="AA819" s="75" t="str">
        <f t="shared" si="342"/>
        <v/>
      </c>
      <c r="AB819" s="103" t="str">
        <f t="shared" si="339"/>
        <v/>
      </c>
      <c r="AC819" s="104" t="str">
        <f t="shared" si="350"/>
        <v/>
      </c>
      <c r="AE819" s="139"/>
      <c r="AF819" s="110" t="str">
        <f t="shared" si="343"/>
        <v/>
      </c>
      <c r="AG819" s="111" t="str">
        <f t="shared" si="344"/>
        <v/>
      </c>
      <c r="AH819" s="111" t="str">
        <f t="shared" si="340"/>
        <v/>
      </c>
      <c r="AI819" s="111" t="str">
        <f t="shared" si="345"/>
        <v/>
      </c>
      <c r="AJ819" s="111" t="str">
        <f t="shared" si="346"/>
        <v/>
      </c>
      <c r="AK819" s="112" t="str">
        <f t="shared" si="347"/>
        <v/>
      </c>
      <c r="AL819" t="str">
        <f t="shared" si="348"/>
        <v/>
      </c>
      <c r="AM819" t="str">
        <f t="shared" si="349"/>
        <v/>
      </c>
    </row>
    <row r="820" spans="1:39" ht="15" customHeight="1" x14ac:dyDescent="0.25">
      <c r="A820" s="131"/>
      <c r="B820" s="133"/>
      <c r="C820" s="133"/>
      <c r="D820" s="42" t="str">
        <f t="shared" si="324"/>
        <v/>
      </c>
      <c r="E820" s="43"/>
      <c r="F820" s="135"/>
      <c r="G820" s="77" t="str">
        <f t="shared" si="325"/>
        <v/>
      </c>
      <c r="H820" s="32" t="str">
        <f t="shared" si="326"/>
        <v/>
      </c>
      <c r="I820" s="78" t="str">
        <f t="shared" si="327"/>
        <v/>
      </c>
      <c r="J820" s="70" t="str">
        <f t="shared" si="328"/>
        <v/>
      </c>
      <c r="K820" s="135"/>
      <c r="L820" s="72" t="str">
        <f t="shared" si="329"/>
        <v/>
      </c>
      <c r="M820" s="135"/>
      <c r="N820" s="72" t="str">
        <f t="shared" si="330"/>
        <v/>
      </c>
      <c r="O820" s="135"/>
      <c r="P820" s="136"/>
      <c r="Q820" s="123" t="str">
        <f t="shared" si="331"/>
        <v/>
      </c>
      <c r="R820" s="45" t="str">
        <f t="shared" si="332"/>
        <v/>
      </c>
      <c r="S820" s="137"/>
      <c r="T820" s="79" t="str">
        <f t="shared" si="341"/>
        <v/>
      </c>
      <c r="U820" s="79" t="str">
        <f t="shared" si="333"/>
        <v/>
      </c>
      <c r="V820" s="73" t="str">
        <f t="shared" si="334"/>
        <v/>
      </c>
      <c r="W820" s="80" t="str">
        <f t="shared" si="335"/>
        <v/>
      </c>
      <c r="X820" s="73" t="str">
        <f t="shared" si="336"/>
        <v/>
      </c>
      <c r="Y820" s="80" t="str">
        <f t="shared" si="337"/>
        <v/>
      </c>
      <c r="Z820" s="74" t="str">
        <f t="shared" si="338"/>
        <v/>
      </c>
      <c r="AA820" s="75" t="str">
        <f t="shared" si="342"/>
        <v/>
      </c>
      <c r="AB820" s="103" t="str">
        <f t="shared" si="339"/>
        <v/>
      </c>
      <c r="AC820" s="104" t="str">
        <f t="shared" si="350"/>
        <v/>
      </c>
      <c r="AE820" s="139"/>
      <c r="AF820" s="110" t="str">
        <f t="shared" si="343"/>
        <v/>
      </c>
      <c r="AG820" s="111" t="str">
        <f t="shared" si="344"/>
        <v/>
      </c>
      <c r="AH820" s="111" t="str">
        <f t="shared" si="340"/>
        <v/>
      </c>
      <c r="AI820" s="111" t="str">
        <f t="shared" si="345"/>
        <v/>
      </c>
      <c r="AJ820" s="111" t="str">
        <f t="shared" si="346"/>
        <v/>
      </c>
      <c r="AK820" s="112" t="str">
        <f t="shared" si="347"/>
        <v/>
      </c>
      <c r="AL820" t="str">
        <f t="shared" si="348"/>
        <v/>
      </c>
      <c r="AM820" t="str">
        <f t="shared" si="349"/>
        <v/>
      </c>
    </row>
    <row r="821" spans="1:39" ht="15" customHeight="1" x14ac:dyDescent="0.25">
      <c r="A821" s="131"/>
      <c r="B821" s="133"/>
      <c r="C821" s="133"/>
      <c r="D821" s="42" t="str">
        <f t="shared" si="324"/>
        <v/>
      </c>
      <c r="E821" s="43"/>
      <c r="F821" s="135"/>
      <c r="G821" s="77" t="str">
        <f t="shared" si="325"/>
        <v/>
      </c>
      <c r="H821" s="32" t="str">
        <f t="shared" si="326"/>
        <v/>
      </c>
      <c r="I821" s="78" t="str">
        <f t="shared" si="327"/>
        <v/>
      </c>
      <c r="J821" s="70" t="str">
        <f t="shared" si="328"/>
        <v/>
      </c>
      <c r="K821" s="135"/>
      <c r="L821" s="72" t="str">
        <f t="shared" si="329"/>
        <v/>
      </c>
      <c r="M821" s="135"/>
      <c r="N821" s="72" t="str">
        <f t="shared" si="330"/>
        <v/>
      </c>
      <c r="O821" s="135"/>
      <c r="P821" s="136"/>
      <c r="Q821" s="123" t="str">
        <f t="shared" si="331"/>
        <v/>
      </c>
      <c r="R821" s="45" t="str">
        <f t="shared" si="332"/>
        <v/>
      </c>
      <c r="S821" s="137"/>
      <c r="T821" s="79" t="str">
        <f t="shared" si="341"/>
        <v/>
      </c>
      <c r="U821" s="79" t="str">
        <f t="shared" si="333"/>
        <v/>
      </c>
      <c r="V821" s="73" t="str">
        <f t="shared" si="334"/>
        <v/>
      </c>
      <c r="W821" s="80" t="str">
        <f t="shared" si="335"/>
        <v/>
      </c>
      <c r="X821" s="73" t="str">
        <f t="shared" si="336"/>
        <v/>
      </c>
      <c r="Y821" s="80" t="str">
        <f t="shared" si="337"/>
        <v/>
      </c>
      <c r="Z821" s="74" t="str">
        <f t="shared" si="338"/>
        <v/>
      </c>
      <c r="AA821" s="75" t="str">
        <f t="shared" si="342"/>
        <v/>
      </c>
      <c r="AB821" s="103" t="str">
        <f t="shared" si="339"/>
        <v/>
      </c>
      <c r="AC821" s="104" t="str">
        <f t="shared" si="350"/>
        <v/>
      </c>
      <c r="AE821" s="139"/>
      <c r="AF821" s="110" t="str">
        <f t="shared" si="343"/>
        <v/>
      </c>
      <c r="AG821" s="111" t="str">
        <f t="shared" si="344"/>
        <v/>
      </c>
      <c r="AH821" s="111" t="str">
        <f t="shared" si="340"/>
        <v/>
      </c>
      <c r="AI821" s="111" t="str">
        <f t="shared" si="345"/>
        <v/>
      </c>
      <c r="AJ821" s="111" t="str">
        <f t="shared" si="346"/>
        <v/>
      </c>
      <c r="AK821" s="112" t="str">
        <f t="shared" si="347"/>
        <v/>
      </c>
      <c r="AL821" t="str">
        <f t="shared" si="348"/>
        <v/>
      </c>
      <c r="AM821" t="str">
        <f t="shared" si="349"/>
        <v/>
      </c>
    </row>
    <row r="822" spans="1:39" ht="15" customHeight="1" x14ac:dyDescent="0.25">
      <c r="A822" s="131"/>
      <c r="B822" s="133"/>
      <c r="C822" s="133"/>
      <c r="D822" s="42" t="str">
        <f t="shared" si="324"/>
        <v/>
      </c>
      <c r="E822" s="43"/>
      <c r="F822" s="135"/>
      <c r="G822" s="77" t="str">
        <f t="shared" si="325"/>
        <v/>
      </c>
      <c r="H822" s="32" t="str">
        <f t="shared" si="326"/>
        <v/>
      </c>
      <c r="I822" s="78" t="str">
        <f t="shared" si="327"/>
        <v/>
      </c>
      <c r="J822" s="70" t="str">
        <f t="shared" si="328"/>
        <v/>
      </c>
      <c r="K822" s="135"/>
      <c r="L822" s="72" t="str">
        <f t="shared" si="329"/>
        <v/>
      </c>
      <c r="M822" s="135"/>
      <c r="N822" s="72" t="str">
        <f t="shared" si="330"/>
        <v/>
      </c>
      <c r="O822" s="135"/>
      <c r="P822" s="136"/>
      <c r="Q822" s="123" t="str">
        <f t="shared" si="331"/>
        <v/>
      </c>
      <c r="R822" s="45" t="str">
        <f t="shared" si="332"/>
        <v/>
      </c>
      <c r="S822" s="137"/>
      <c r="T822" s="79" t="str">
        <f t="shared" si="341"/>
        <v/>
      </c>
      <c r="U822" s="79" t="str">
        <f t="shared" si="333"/>
        <v/>
      </c>
      <c r="V822" s="73" t="str">
        <f t="shared" si="334"/>
        <v/>
      </c>
      <c r="W822" s="80" t="str">
        <f t="shared" si="335"/>
        <v/>
      </c>
      <c r="X822" s="73" t="str">
        <f t="shared" si="336"/>
        <v/>
      </c>
      <c r="Y822" s="80" t="str">
        <f t="shared" si="337"/>
        <v/>
      </c>
      <c r="Z822" s="74" t="str">
        <f t="shared" si="338"/>
        <v/>
      </c>
      <c r="AA822" s="75" t="str">
        <f t="shared" si="342"/>
        <v/>
      </c>
      <c r="AB822" s="103" t="str">
        <f t="shared" si="339"/>
        <v/>
      </c>
      <c r="AC822" s="104" t="str">
        <f t="shared" si="350"/>
        <v/>
      </c>
      <c r="AE822" s="139"/>
      <c r="AF822" s="110" t="str">
        <f t="shared" si="343"/>
        <v/>
      </c>
      <c r="AG822" s="111" t="str">
        <f t="shared" si="344"/>
        <v/>
      </c>
      <c r="AH822" s="111" t="str">
        <f t="shared" si="340"/>
        <v/>
      </c>
      <c r="AI822" s="111" t="str">
        <f t="shared" si="345"/>
        <v/>
      </c>
      <c r="AJ822" s="111" t="str">
        <f t="shared" si="346"/>
        <v/>
      </c>
      <c r="AK822" s="112" t="str">
        <f t="shared" si="347"/>
        <v/>
      </c>
      <c r="AL822" t="str">
        <f t="shared" si="348"/>
        <v/>
      </c>
      <c r="AM822" t="str">
        <f t="shared" si="349"/>
        <v/>
      </c>
    </row>
    <row r="823" spans="1:39" ht="15" customHeight="1" x14ac:dyDescent="0.25">
      <c r="A823" s="131"/>
      <c r="B823" s="133"/>
      <c r="C823" s="133"/>
      <c r="D823" s="42" t="str">
        <f t="shared" si="324"/>
        <v/>
      </c>
      <c r="E823" s="43"/>
      <c r="F823" s="135"/>
      <c r="G823" s="77" t="str">
        <f t="shared" si="325"/>
        <v/>
      </c>
      <c r="H823" s="32" t="str">
        <f t="shared" si="326"/>
        <v/>
      </c>
      <c r="I823" s="78" t="str">
        <f t="shared" si="327"/>
        <v/>
      </c>
      <c r="J823" s="70" t="str">
        <f t="shared" si="328"/>
        <v/>
      </c>
      <c r="K823" s="135"/>
      <c r="L823" s="72" t="str">
        <f t="shared" si="329"/>
        <v/>
      </c>
      <c r="M823" s="135"/>
      <c r="N823" s="72" t="str">
        <f t="shared" si="330"/>
        <v/>
      </c>
      <c r="O823" s="135"/>
      <c r="P823" s="136"/>
      <c r="Q823" s="123" t="str">
        <f t="shared" si="331"/>
        <v/>
      </c>
      <c r="R823" s="45" t="str">
        <f t="shared" si="332"/>
        <v/>
      </c>
      <c r="S823" s="137"/>
      <c r="T823" s="79" t="str">
        <f t="shared" si="341"/>
        <v/>
      </c>
      <c r="U823" s="79" t="str">
        <f t="shared" si="333"/>
        <v/>
      </c>
      <c r="V823" s="73" t="str">
        <f t="shared" si="334"/>
        <v/>
      </c>
      <c r="W823" s="80" t="str">
        <f t="shared" si="335"/>
        <v/>
      </c>
      <c r="X823" s="73" t="str">
        <f t="shared" si="336"/>
        <v/>
      </c>
      <c r="Y823" s="80" t="str">
        <f t="shared" si="337"/>
        <v/>
      </c>
      <c r="Z823" s="74" t="str">
        <f t="shared" si="338"/>
        <v/>
      </c>
      <c r="AA823" s="75" t="str">
        <f t="shared" si="342"/>
        <v/>
      </c>
      <c r="AB823" s="103" t="str">
        <f t="shared" si="339"/>
        <v/>
      </c>
      <c r="AC823" s="104" t="str">
        <f t="shared" si="350"/>
        <v/>
      </c>
      <c r="AE823" s="139"/>
      <c r="AF823" s="110" t="str">
        <f t="shared" si="343"/>
        <v/>
      </c>
      <c r="AG823" s="111" t="str">
        <f t="shared" si="344"/>
        <v/>
      </c>
      <c r="AH823" s="111" t="str">
        <f t="shared" si="340"/>
        <v/>
      </c>
      <c r="AI823" s="111" t="str">
        <f t="shared" si="345"/>
        <v/>
      </c>
      <c r="AJ823" s="111" t="str">
        <f t="shared" si="346"/>
        <v/>
      </c>
      <c r="AK823" s="112" t="str">
        <f t="shared" si="347"/>
        <v/>
      </c>
      <c r="AL823" t="str">
        <f t="shared" si="348"/>
        <v/>
      </c>
      <c r="AM823" t="str">
        <f t="shared" si="349"/>
        <v/>
      </c>
    </row>
    <row r="824" spans="1:39" ht="15" customHeight="1" x14ac:dyDescent="0.25">
      <c r="A824" s="131"/>
      <c r="B824" s="133"/>
      <c r="C824" s="133"/>
      <c r="D824" s="42" t="str">
        <f t="shared" si="324"/>
        <v/>
      </c>
      <c r="E824" s="43"/>
      <c r="F824" s="135"/>
      <c r="G824" s="77" t="str">
        <f t="shared" si="325"/>
        <v/>
      </c>
      <c r="H824" s="32" t="str">
        <f t="shared" si="326"/>
        <v/>
      </c>
      <c r="I824" s="78" t="str">
        <f t="shared" si="327"/>
        <v/>
      </c>
      <c r="J824" s="70" t="str">
        <f t="shared" si="328"/>
        <v/>
      </c>
      <c r="K824" s="135"/>
      <c r="L824" s="72" t="str">
        <f t="shared" si="329"/>
        <v/>
      </c>
      <c r="M824" s="135"/>
      <c r="N824" s="72" t="str">
        <f t="shared" si="330"/>
        <v/>
      </c>
      <c r="O824" s="135"/>
      <c r="P824" s="136"/>
      <c r="Q824" s="123" t="str">
        <f t="shared" si="331"/>
        <v/>
      </c>
      <c r="R824" s="45" t="str">
        <f t="shared" si="332"/>
        <v/>
      </c>
      <c r="S824" s="137"/>
      <c r="T824" s="79" t="str">
        <f t="shared" si="341"/>
        <v/>
      </c>
      <c r="U824" s="79" t="str">
        <f t="shared" si="333"/>
        <v/>
      </c>
      <c r="V824" s="73" t="str">
        <f t="shared" si="334"/>
        <v/>
      </c>
      <c r="W824" s="80" t="str">
        <f t="shared" si="335"/>
        <v/>
      </c>
      <c r="X824" s="73" t="str">
        <f t="shared" si="336"/>
        <v/>
      </c>
      <c r="Y824" s="80" t="str">
        <f t="shared" si="337"/>
        <v/>
      </c>
      <c r="Z824" s="74" t="str">
        <f t="shared" si="338"/>
        <v/>
      </c>
      <c r="AA824" s="75" t="str">
        <f t="shared" si="342"/>
        <v/>
      </c>
      <c r="AB824" s="103" t="str">
        <f t="shared" si="339"/>
        <v/>
      </c>
      <c r="AC824" s="104" t="str">
        <f t="shared" si="350"/>
        <v/>
      </c>
      <c r="AE824" s="139"/>
      <c r="AF824" s="110" t="str">
        <f t="shared" si="343"/>
        <v/>
      </c>
      <c r="AG824" s="111" t="str">
        <f t="shared" si="344"/>
        <v/>
      </c>
      <c r="AH824" s="111" t="str">
        <f t="shared" si="340"/>
        <v/>
      </c>
      <c r="AI824" s="111" t="str">
        <f t="shared" si="345"/>
        <v/>
      </c>
      <c r="AJ824" s="111" t="str">
        <f t="shared" si="346"/>
        <v/>
      </c>
      <c r="AK824" s="112" t="str">
        <f t="shared" si="347"/>
        <v/>
      </c>
      <c r="AL824" t="str">
        <f t="shared" si="348"/>
        <v/>
      </c>
      <c r="AM824" t="str">
        <f t="shared" si="349"/>
        <v/>
      </c>
    </row>
    <row r="825" spans="1:39" ht="15" customHeight="1" x14ac:dyDescent="0.25">
      <c r="A825" s="131"/>
      <c r="B825" s="133"/>
      <c r="C825" s="133"/>
      <c r="D825" s="42" t="str">
        <f t="shared" si="324"/>
        <v/>
      </c>
      <c r="E825" s="43"/>
      <c r="F825" s="135"/>
      <c r="G825" s="77" t="str">
        <f t="shared" si="325"/>
        <v/>
      </c>
      <c r="H825" s="32" t="str">
        <f t="shared" si="326"/>
        <v/>
      </c>
      <c r="I825" s="78" t="str">
        <f t="shared" si="327"/>
        <v/>
      </c>
      <c r="J825" s="70" t="str">
        <f t="shared" si="328"/>
        <v/>
      </c>
      <c r="K825" s="135"/>
      <c r="L825" s="72" t="str">
        <f t="shared" si="329"/>
        <v/>
      </c>
      <c r="M825" s="135"/>
      <c r="N825" s="72" t="str">
        <f t="shared" si="330"/>
        <v/>
      </c>
      <c r="O825" s="135"/>
      <c r="P825" s="136"/>
      <c r="Q825" s="123" t="str">
        <f t="shared" si="331"/>
        <v/>
      </c>
      <c r="R825" s="45" t="str">
        <f t="shared" si="332"/>
        <v/>
      </c>
      <c r="S825" s="137"/>
      <c r="T825" s="79" t="str">
        <f t="shared" si="341"/>
        <v/>
      </c>
      <c r="U825" s="79" t="str">
        <f t="shared" si="333"/>
        <v/>
      </c>
      <c r="V825" s="73" t="str">
        <f t="shared" si="334"/>
        <v/>
      </c>
      <c r="W825" s="80" t="str">
        <f t="shared" si="335"/>
        <v/>
      </c>
      <c r="X825" s="73" t="str">
        <f t="shared" si="336"/>
        <v/>
      </c>
      <c r="Y825" s="80" t="str">
        <f t="shared" si="337"/>
        <v/>
      </c>
      <c r="Z825" s="74" t="str">
        <f t="shared" si="338"/>
        <v/>
      </c>
      <c r="AA825" s="75" t="str">
        <f t="shared" si="342"/>
        <v/>
      </c>
      <c r="AB825" s="103" t="str">
        <f t="shared" si="339"/>
        <v/>
      </c>
      <c r="AC825" s="104" t="str">
        <f t="shared" si="350"/>
        <v/>
      </c>
      <c r="AE825" s="139"/>
      <c r="AF825" s="110" t="str">
        <f t="shared" si="343"/>
        <v/>
      </c>
      <c r="AG825" s="111" t="str">
        <f t="shared" si="344"/>
        <v/>
      </c>
      <c r="AH825" s="111" t="str">
        <f t="shared" si="340"/>
        <v/>
      </c>
      <c r="AI825" s="111" t="str">
        <f t="shared" si="345"/>
        <v/>
      </c>
      <c r="AJ825" s="111" t="str">
        <f t="shared" si="346"/>
        <v/>
      </c>
      <c r="AK825" s="112" t="str">
        <f t="shared" si="347"/>
        <v/>
      </c>
      <c r="AL825" t="str">
        <f t="shared" si="348"/>
        <v/>
      </c>
      <c r="AM825" t="str">
        <f t="shared" si="349"/>
        <v/>
      </c>
    </row>
    <row r="826" spans="1:39" ht="15" customHeight="1" x14ac:dyDescent="0.25">
      <c r="A826" s="131"/>
      <c r="B826" s="133"/>
      <c r="C826" s="133"/>
      <c r="D826" s="42" t="str">
        <f t="shared" si="324"/>
        <v/>
      </c>
      <c r="E826" s="43"/>
      <c r="F826" s="135"/>
      <c r="G826" s="77" t="str">
        <f t="shared" si="325"/>
        <v/>
      </c>
      <c r="H826" s="32" t="str">
        <f t="shared" si="326"/>
        <v/>
      </c>
      <c r="I826" s="78" t="str">
        <f t="shared" si="327"/>
        <v/>
      </c>
      <c r="J826" s="70" t="str">
        <f t="shared" si="328"/>
        <v/>
      </c>
      <c r="K826" s="135"/>
      <c r="L826" s="72" t="str">
        <f t="shared" si="329"/>
        <v/>
      </c>
      <c r="M826" s="135"/>
      <c r="N826" s="72" t="str">
        <f t="shared" si="330"/>
        <v/>
      </c>
      <c r="O826" s="135"/>
      <c r="P826" s="136"/>
      <c r="Q826" s="123" t="str">
        <f t="shared" si="331"/>
        <v/>
      </c>
      <c r="R826" s="45" t="str">
        <f t="shared" si="332"/>
        <v/>
      </c>
      <c r="S826" s="137"/>
      <c r="T826" s="79" t="str">
        <f t="shared" si="341"/>
        <v/>
      </c>
      <c r="U826" s="79" t="str">
        <f t="shared" si="333"/>
        <v/>
      </c>
      <c r="V826" s="73" t="str">
        <f t="shared" si="334"/>
        <v/>
      </c>
      <c r="W826" s="80" t="str">
        <f t="shared" si="335"/>
        <v/>
      </c>
      <c r="X826" s="73" t="str">
        <f t="shared" si="336"/>
        <v/>
      </c>
      <c r="Y826" s="80" t="str">
        <f t="shared" si="337"/>
        <v/>
      </c>
      <c r="Z826" s="74" t="str">
        <f t="shared" si="338"/>
        <v/>
      </c>
      <c r="AA826" s="75" t="str">
        <f t="shared" si="342"/>
        <v/>
      </c>
      <c r="AB826" s="103" t="str">
        <f t="shared" si="339"/>
        <v/>
      </c>
      <c r="AC826" s="104" t="str">
        <f t="shared" si="350"/>
        <v/>
      </c>
      <c r="AE826" s="139"/>
      <c r="AF826" s="110" t="str">
        <f t="shared" si="343"/>
        <v/>
      </c>
      <c r="AG826" s="111" t="str">
        <f t="shared" si="344"/>
        <v/>
      </c>
      <c r="AH826" s="111" t="str">
        <f t="shared" si="340"/>
        <v/>
      </c>
      <c r="AI826" s="111" t="str">
        <f t="shared" si="345"/>
        <v/>
      </c>
      <c r="AJ826" s="111" t="str">
        <f t="shared" si="346"/>
        <v/>
      </c>
      <c r="AK826" s="112" t="str">
        <f t="shared" si="347"/>
        <v/>
      </c>
      <c r="AL826" t="str">
        <f t="shared" si="348"/>
        <v/>
      </c>
      <c r="AM826" t="str">
        <f t="shared" si="349"/>
        <v/>
      </c>
    </row>
    <row r="827" spans="1:39" ht="15" customHeight="1" x14ac:dyDescent="0.25">
      <c r="A827" s="131"/>
      <c r="B827" s="133"/>
      <c r="C827" s="133"/>
      <c r="D827" s="42" t="str">
        <f t="shared" si="324"/>
        <v/>
      </c>
      <c r="E827" s="43"/>
      <c r="F827" s="135"/>
      <c r="G827" s="77" t="str">
        <f t="shared" si="325"/>
        <v/>
      </c>
      <c r="H827" s="32" t="str">
        <f t="shared" si="326"/>
        <v/>
      </c>
      <c r="I827" s="78" t="str">
        <f t="shared" si="327"/>
        <v/>
      </c>
      <c r="J827" s="70" t="str">
        <f t="shared" si="328"/>
        <v/>
      </c>
      <c r="K827" s="135"/>
      <c r="L827" s="72" t="str">
        <f t="shared" si="329"/>
        <v/>
      </c>
      <c r="M827" s="135"/>
      <c r="N827" s="72" t="str">
        <f t="shared" si="330"/>
        <v/>
      </c>
      <c r="O827" s="135"/>
      <c r="P827" s="136"/>
      <c r="Q827" s="123" t="str">
        <f t="shared" si="331"/>
        <v/>
      </c>
      <c r="R827" s="45" t="str">
        <f t="shared" si="332"/>
        <v/>
      </c>
      <c r="S827" s="137"/>
      <c r="T827" s="79" t="str">
        <f t="shared" si="341"/>
        <v/>
      </c>
      <c r="U827" s="79" t="str">
        <f t="shared" si="333"/>
        <v/>
      </c>
      <c r="V827" s="73" t="str">
        <f t="shared" si="334"/>
        <v/>
      </c>
      <c r="W827" s="80" t="str">
        <f t="shared" si="335"/>
        <v/>
      </c>
      <c r="X827" s="73" t="str">
        <f t="shared" si="336"/>
        <v/>
      </c>
      <c r="Y827" s="80" t="str">
        <f t="shared" si="337"/>
        <v/>
      </c>
      <c r="Z827" s="74" t="str">
        <f t="shared" si="338"/>
        <v/>
      </c>
      <c r="AA827" s="75" t="str">
        <f t="shared" si="342"/>
        <v/>
      </c>
      <c r="AB827" s="103" t="str">
        <f t="shared" si="339"/>
        <v/>
      </c>
      <c r="AC827" s="104" t="str">
        <f t="shared" si="350"/>
        <v/>
      </c>
      <c r="AE827" s="139"/>
      <c r="AF827" s="110" t="str">
        <f t="shared" si="343"/>
        <v/>
      </c>
      <c r="AG827" s="111" t="str">
        <f t="shared" si="344"/>
        <v/>
      </c>
      <c r="AH827" s="111" t="str">
        <f t="shared" si="340"/>
        <v/>
      </c>
      <c r="AI827" s="111" t="str">
        <f t="shared" si="345"/>
        <v/>
      </c>
      <c r="AJ827" s="111" t="str">
        <f t="shared" si="346"/>
        <v/>
      </c>
      <c r="AK827" s="112" t="str">
        <f t="shared" si="347"/>
        <v/>
      </c>
      <c r="AL827" t="str">
        <f t="shared" si="348"/>
        <v/>
      </c>
      <c r="AM827" t="str">
        <f t="shared" si="349"/>
        <v/>
      </c>
    </row>
    <row r="828" spans="1:39" ht="15" customHeight="1" x14ac:dyDescent="0.25">
      <c r="A828" s="131"/>
      <c r="B828" s="133"/>
      <c r="C828" s="133"/>
      <c r="D828" s="42" t="str">
        <f t="shared" si="324"/>
        <v/>
      </c>
      <c r="E828" s="43"/>
      <c r="F828" s="135"/>
      <c r="G828" s="77" t="str">
        <f t="shared" si="325"/>
        <v/>
      </c>
      <c r="H828" s="32" t="str">
        <f t="shared" si="326"/>
        <v/>
      </c>
      <c r="I828" s="78" t="str">
        <f t="shared" si="327"/>
        <v/>
      </c>
      <c r="J828" s="70" t="str">
        <f t="shared" si="328"/>
        <v/>
      </c>
      <c r="K828" s="135"/>
      <c r="L828" s="72" t="str">
        <f t="shared" si="329"/>
        <v/>
      </c>
      <c r="M828" s="135"/>
      <c r="N828" s="72" t="str">
        <f t="shared" si="330"/>
        <v/>
      </c>
      <c r="O828" s="135"/>
      <c r="P828" s="136"/>
      <c r="Q828" s="123" t="str">
        <f t="shared" si="331"/>
        <v/>
      </c>
      <c r="R828" s="45" t="str">
        <f t="shared" si="332"/>
        <v/>
      </c>
      <c r="S828" s="137"/>
      <c r="T828" s="79" t="str">
        <f t="shared" si="341"/>
        <v/>
      </c>
      <c r="U828" s="79" t="str">
        <f t="shared" si="333"/>
        <v/>
      </c>
      <c r="V828" s="73" t="str">
        <f t="shared" si="334"/>
        <v/>
      </c>
      <c r="W828" s="80" t="str">
        <f t="shared" si="335"/>
        <v/>
      </c>
      <c r="X828" s="73" t="str">
        <f t="shared" si="336"/>
        <v/>
      </c>
      <c r="Y828" s="80" t="str">
        <f t="shared" si="337"/>
        <v/>
      </c>
      <c r="Z828" s="74" t="str">
        <f t="shared" si="338"/>
        <v/>
      </c>
      <c r="AA828" s="75" t="str">
        <f t="shared" si="342"/>
        <v/>
      </c>
      <c r="AB828" s="103" t="str">
        <f t="shared" si="339"/>
        <v/>
      </c>
      <c r="AC828" s="104" t="str">
        <f t="shared" si="350"/>
        <v/>
      </c>
      <c r="AE828" s="139"/>
      <c r="AF828" s="110" t="str">
        <f t="shared" si="343"/>
        <v/>
      </c>
      <c r="AG828" s="111" t="str">
        <f t="shared" si="344"/>
        <v/>
      </c>
      <c r="AH828" s="111" t="str">
        <f t="shared" si="340"/>
        <v/>
      </c>
      <c r="AI828" s="111" t="str">
        <f t="shared" si="345"/>
        <v/>
      </c>
      <c r="AJ828" s="111" t="str">
        <f t="shared" si="346"/>
        <v/>
      </c>
      <c r="AK828" s="112" t="str">
        <f t="shared" si="347"/>
        <v/>
      </c>
      <c r="AL828" t="str">
        <f t="shared" si="348"/>
        <v/>
      </c>
      <c r="AM828" t="str">
        <f t="shared" si="349"/>
        <v/>
      </c>
    </row>
    <row r="829" spans="1:39" ht="15" customHeight="1" x14ac:dyDescent="0.25">
      <c r="A829" s="131"/>
      <c r="B829" s="133"/>
      <c r="C829" s="133"/>
      <c r="D829" s="42" t="str">
        <f t="shared" si="324"/>
        <v/>
      </c>
      <c r="E829" s="43"/>
      <c r="F829" s="135"/>
      <c r="G829" s="77" t="str">
        <f t="shared" si="325"/>
        <v/>
      </c>
      <c r="H829" s="32" t="str">
        <f t="shared" si="326"/>
        <v/>
      </c>
      <c r="I829" s="78" t="str">
        <f t="shared" si="327"/>
        <v/>
      </c>
      <c r="J829" s="70" t="str">
        <f t="shared" si="328"/>
        <v/>
      </c>
      <c r="K829" s="135"/>
      <c r="L829" s="72" t="str">
        <f t="shared" si="329"/>
        <v/>
      </c>
      <c r="M829" s="135"/>
      <c r="N829" s="72" t="str">
        <f t="shared" si="330"/>
        <v/>
      </c>
      <c r="O829" s="135"/>
      <c r="P829" s="136"/>
      <c r="Q829" s="123" t="str">
        <f t="shared" si="331"/>
        <v/>
      </c>
      <c r="R829" s="45" t="str">
        <f t="shared" si="332"/>
        <v/>
      </c>
      <c r="S829" s="137"/>
      <c r="T829" s="79" t="str">
        <f t="shared" si="341"/>
        <v/>
      </c>
      <c r="U829" s="79" t="str">
        <f t="shared" si="333"/>
        <v/>
      </c>
      <c r="V829" s="73" t="str">
        <f t="shared" si="334"/>
        <v/>
      </c>
      <c r="W829" s="80" t="str">
        <f t="shared" si="335"/>
        <v/>
      </c>
      <c r="X829" s="73" t="str">
        <f t="shared" si="336"/>
        <v/>
      </c>
      <c r="Y829" s="80" t="str">
        <f t="shared" si="337"/>
        <v/>
      </c>
      <c r="Z829" s="74" t="str">
        <f t="shared" si="338"/>
        <v/>
      </c>
      <c r="AA829" s="75" t="str">
        <f t="shared" si="342"/>
        <v/>
      </c>
      <c r="AB829" s="103" t="str">
        <f t="shared" si="339"/>
        <v/>
      </c>
      <c r="AC829" s="104" t="str">
        <f t="shared" si="350"/>
        <v/>
      </c>
      <c r="AE829" s="139"/>
      <c r="AF829" s="110" t="str">
        <f t="shared" si="343"/>
        <v/>
      </c>
      <c r="AG829" s="111" t="str">
        <f t="shared" si="344"/>
        <v/>
      </c>
      <c r="AH829" s="111" t="str">
        <f t="shared" si="340"/>
        <v/>
      </c>
      <c r="AI829" s="111" t="str">
        <f t="shared" si="345"/>
        <v/>
      </c>
      <c r="AJ829" s="111" t="str">
        <f t="shared" si="346"/>
        <v/>
      </c>
      <c r="AK829" s="112" t="str">
        <f t="shared" si="347"/>
        <v/>
      </c>
      <c r="AL829" t="str">
        <f t="shared" si="348"/>
        <v/>
      </c>
      <c r="AM829" t="str">
        <f t="shared" si="349"/>
        <v/>
      </c>
    </row>
    <row r="830" spans="1:39" ht="15" customHeight="1" x14ac:dyDescent="0.25">
      <c r="A830" s="131"/>
      <c r="B830" s="133"/>
      <c r="C830" s="133"/>
      <c r="D830" s="42" t="str">
        <f t="shared" si="324"/>
        <v/>
      </c>
      <c r="E830" s="43"/>
      <c r="F830" s="135"/>
      <c r="G830" s="77" t="str">
        <f t="shared" si="325"/>
        <v/>
      </c>
      <c r="H830" s="32" t="str">
        <f t="shared" si="326"/>
        <v/>
      </c>
      <c r="I830" s="78" t="str">
        <f t="shared" si="327"/>
        <v/>
      </c>
      <c r="J830" s="70" t="str">
        <f t="shared" si="328"/>
        <v/>
      </c>
      <c r="K830" s="135"/>
      <c r="L830" s="72" t="str">
        <f t="shared" si="329"/>
        <v/>
      </c>
      <c r="M830" s="135"/>
      <c r="N830" s="72" t="str">
        <f t="shared" si="330"/>
        <v/>
      </c>
      <c r="O830" s="135"/>
      <c r="P830" s="136"/>
      <c r="Q830" s="123" t="str">
        <f t="shared" si="331"/>
        <v/>
      </c>
      <c r="R830" s="45" t="str">
        <f t="shared" si="332"/>
        <v/>
      </c>
      <c r="S830" s="137"/>
      <c r="T830" s="79" t="str">
        <f t="shared" si="341"/>
        <v/>
      </c>
      <c r="U830" s="79" t="str">
        <f t="shared" si="333"/>
        <v/>
      </c>
      <c r="V830" s="73" t="str">
        <f t="shared" si="334"/>
        <v/>
      </c>
      <c r="W830" s="80" t="str">
        <f t="shared" si="335"/>
        <v/>
      </c>
      <c r="X830" s="73" t="str">
        <f t="shared" si="336"/>
        <v/>
      </c>
      <c r="Y830" s="80" t="str">
        <f t="shared" si="337"/>
        <v/>
      </c>
      <c r="Z830" s="74" t="str">
        <f t="shared" si="338"/>
        <v/>
      </c>
      <c r="AA830" s="75" t="str">
        <f t="shared" si="342"/>
        <v/>
      </c>
      <c r="AB830" s="103" t="str">
        <f t="shared" si="339"/>
        <v/>
      </c>
      <c r="AC830" s="104" t="str">
        <f t="shared" si="350"/>
        <v/>
      </c>
      <c r="AE830" s="139"/>
      <c r="AF830" s="110" t="str">
        <f t="shared" si="343"/>
        <v/>
      </c>
      <c r="AG830" s="111" t="str">
        <f t="shared" si="344"/>
        <v/>
      </c>
      <c r="AH830" s="111" t="str">
        <f t="shared" si="340"/>
        <v/>
      </c>
      <c r="AI830" s="111" t="str">
        <f t="shared" si="345"/>
        <v/>
      </c>
      <c r="AJ830" s="111" t="str">
        <f t="shared" si="346"/>
        <v/>
      </c>
      <c r="AK830" s="112" t="str">
        <f t="shared" si="347"/>
        <v/>
      </c>
      <c r="AL830" t="str">
        <f t="shared" si="348"/>
        <v/>
      </c>
      <c r="AM830" t="str">
        <f t="shared" si="349"/>
        <v/>
      </c>
    </row>
    <row r="831" spans="1:39" ht="15" customHeight="1" x14ac:dyDescent="0.25">
      <c r="A831" s="131"/>
      <c r="B831" s="133"/>
      <c r="C831" s="133"/>
      <c r="D831" s="42" t="str">
        <f t="shared" si="324"/>
        <v/>
      </c>
      <c r="E831" s="43"/>
      <c r="F831" s="135"/>
      <c r="G831" s="77" t="str">
        <f t="shared" si="325"/>
        <v/>
      </c>
      <c r="H831" s="32" t="str">
        <f t="shared" si="326"/>
        <v/>
      </c>
      <c r="I831" s="78" t="str">
        <f t="shared" si="327"/>
        <v/>
      </c>
      <c r="J831" s="70" t="str">
        <f t="shared" si="328"/>
        <v/>
      </c>
      <c r="K831" s="135"/>
      <c r="L831" s="72" t="str">
        <f t="shared" si="329"/>
        <v/>
      </c>
      <c r="M831" s="135"/>
      <c r="N831" s="72" t="str">
        <f t="shared" si="330"/>
        <v/>
      </c>
      <c r="O831" s="135"/>
      <c r="P831" s="136"/>
      <c r="Q831" s="123" t="str">
        <f t="shared" si="331"/>
        <v/>
      </c>
      <c r="R831" s="45" t="str">
        <f t="shared" si="332"/>
        <v/>
      </c>
      <c r="S831" s="137"/>
      <c r="T831" s="79" t="str">
        <f t="shared" si="341"/>
        <v/>
      </c>
      <c r="U831" s="79" t="str">
        <f t="shared" si="333"/>
        <v/>
      </c>
      <c r="V831" s="73" t="str">
        <f t="shared" si="334"/>
        <v/>
      </c>
      <c r="W831" s="80" t="str">
        <f t="shared" si="335"/>
        <v/>
      </c>
      <c r="X831" s="73" t="str">
        <f t="shared" si="336"/>
        <v/>
      </c>
      <c r="Y831" s="80" t="str">
        <f t="shared" si="337"/>
        <v/>
      </c>
      <c r="Z831" s="74" t="str">
        <f t="shared" si="338"/>
        <v/>
      </c>
      <c r="AA831" s="75" t="str">
        <f t="shared" si="342"/>
        <v/>
      </c>
      <c r="AB831" s="103" t="str">
        <f t="shared" si="339"/>
        <v/>
      </c>
      <c r="AC831" s="104" t="str">
        <f t="shared" si="350"/>
        <v/>
      </c>
      <c r="AE831" s="139"/>
      <c r="AF831" s="110" t="str">
        <f t="shared" si="343"/>
        <v/>
      </c>
      <c r="AG831" s="111" t="str">
        <f t="shared" si="344"/>
        <v/>
      </c>
      <c r="AH831" s="111" t="str">
        <f t="shared" si="340"/>
        <v/>
      </c>
      <c r="AI831" s="111" t="str">
        <f t="shared" si="345"/>
        <v/>
      </c>
      <c r="AJ831" s="111" t="str">
        <f t="shared" si="346"/>
        <v/>
      </c>
      <c r="AK831" s="112" t="str">
        <f t="shared" si="347"/>
        <v/>
      </c>
      <c r="AL831" t="str">
        <f t="shared" si="348"/>
        <v/>
      </c>
      <c r="AM831" t="str">
        <f t="shared" si="349"/>
        <v/>
      </c>
    </row>
    <row r="832" spans="1:39" ht="15" customHeight="1" x14ac:dyDescent="0.25">
      <c r="A832" s="131"/>
      <c r="B832" s="133"/>
      <c r="C832" s="133"/>
      <c r="D832" s="42" t="str">
        <f t="shared" si="324"/>
        <v/>
      </c>
      <c r="E832" s="43"/>
      <c r="F832" s="135"/>
      <c r="G832" s="77" t="str">
        <f t="shared" si="325"/>
        <v/>
      </c>
      <c r="H832" s="32" t="str">
        <f t="shared" si="326"/>
        <v/>
      </c>
      <c r="I832" s="78" t="str">
        <f t="shared" si="327"/>
        <v/>
      </c>
      <c r="J832" s="70" t="str">
        <f t="shared" si="328"/>
        <v/>
      </c>
      <c r="K832" s="135"/>
      <c r="L832" s="72" t="str">
        <f t="shared" si="329"/>
        <v/>
      </c>
      <c r="M832" s="135"/>
      <c r="N832" s="72" t="str">
        <f t="shared" si="330"/>
        <v/>
      </c>
      <c r="O832" s="135"/>
      <c r="P832" s="136"/>
      <c r="Q832" s="123" t="str">
        <f t="shared" si="331"/>
        <v/>
      </c>
      <c r="R832" s="45" t="str">
        <f t="shared" si="332"/>
        <v/>
      </c>
      <c r="S832" s="137"/>
      <c r="T832" s="79" t="str">
        <f t="shared" si="341"/>
        <v/>
      </c>
      <c r="U832" s="79" t="str">
        <f t="shared" si="333"/>
        <v/>
      </c>
      <c r="V832" s="73" t="str">
        <f t="shared" si="334"/>
        <v/>
      </c>
      <c r="W832" s="80" t="str">
        <f t="shared" si="335"/>
        <v/>
      </c>
      <c r="X832" s="73" t="str">
        <f t="shared" si="336"/>
        <v/>
      </c>
      <c r="Y832" s="80" t="str">
        <f t="shared" si="337"/>
        <v/>
      </c>
      <c r="Z832" s="74" t="str">
        <f t="shared" si="338"/>
        <v/>
      </c>
      <c r="AA832" s="75" t="str">
        <f t="shared" si="342"/>
        <v/>
      </c>
      <c r="AB832" s="103" t="str">
        <f t="shared" si="339"/>
        <v/>
      </c>
      <c r="AC832" s="104" t="str">
        <f t="shared" si="350"/>
        <v/>
      </c>
      <c r="AE832" s="139"/>
      <c r="AF832" s="110" t="str">
        <f t="shared" si="343"/>
        <v/>
      </c>
      <c r="AG832" s="111" t="str">
        <f t="shared" si="344"/>
        <v/>
      </c>
      <c r="AH832" s="111" t="str">
        <f t="shared" si="340"/>
        <v/>
      </c>
      <c r="AI832" s="111" t="str">
        <f t="shared" si="345"/>
        <v/>
      </c>
      <c r="AJ832" s="111" t="str">
        <f t="shared" si="346"/>
        <v/>
      </c>
      <c r="AK832" s="112" t="str">
        <f t="shared" si="347"/>
        <v/>
      </c>
      <c r="AL832" t="str">
        <f t="shared" si="348"/>
        <v/>
      </c>
      <c r="AM832" t="str">
        <f t="shared" si="349"/>
        <v/>
      </c>
    </row>
    <row r="833" spans="1:39" ht="15" customHeight="1" x14ac:dyDescent="0.25">
      <c r="A833" s="131"/>
      <c r="B833" s="133"/>
      <c r="C833" s="133"/>
      <c r="D833" s="42" t="str">
        <f t="shared" si="324"/>
        <v/>
      </c>
      <c r="E833" s="43"/>
      <c r="F833" s="135"/>
      <c r="G833" s="77" t="str">
        <f t="shared" si="325"/>
        <v/>
      </c>
      <c r="H833" s="32" t="str">
        <f t="shared" si="326"/>
        <v/>
      </c>
      <c r="I833" s="78" t="str">
        <f t="shared" si="327"/>
        <v/>
      </c>
      <c r="J833" s="70" t="str">
        <f t="shared" si="328"/>
        <v/>
      </c>
      <c r="K833" s="135"/>
      <c r="L833" s="72" t="str">
        <f t="shared" si="329"/>
        <v/>
      </c>
      <c r="M833" s="135"/>
      <c r="N833" s="72" t="str">
        <f t="shared" si="330"/>
        <v/>
      </c>
      <c r="O833" s="135"/>
      <c r="P833" s="136"/>
      <c r="Q833" s="123" t="str">
        <f t="shared" si="331"/>
        <v/>
      </c>
      <c r="R833" s="45" t="str">
        <f t="shared" si="332"/>
        <v/>
      </c>
      <c r="S833" s="137"/>
      <c r="T833" s="79" t="str">
        <f t="shared" si="341"/>
        <v/>
      </c>
      <c r="U833" s="79" t="str">
        <f t="shared" si="333"/>
        <v/>
      </c>
      <c r="V833" s="73" t="str">
        <f t="shared" si="334"/>
        <v/>
      </c>
      <c r="W833" s="80" t="str">
        <f t="shared" si="335"/>
        <v/>
      </c>
      <c r="X833" s="73" t="str">
        <f t="shared" si="336"/>
        <v/>
      </c>
      <c r="Y833" s="80" t="str">
        <f t="shared" si="337"/>
        <v/>
      </c>
      <c r="Z833" s="74" t="str">
        <f t="shared" si="338"/>
        <v/>
      </c>
      <c r="AA833" s="75" t="str">
        <f t="shared" si="342"/>
        <v/>
      </c>
      <c r="AB833" s="103" t="str">
        <f t="shared" si="339"/>
        <v/>
      </c>
      <c r="AC833" s="104" t="str">
        <f t="shared" si="350"/>
        <v/>
      </c>
      <c r="AE833" s="139"/>
      <c r="AF833" s="110" t="str">
        <f t="shared" si="343"/>
        <v/>
      </c>
      <c r="AG833" s="111" t="str">
        <f t="shared" si="344"/>
        <v/>
      </c>
      <c r="AH833" s="111" t="str">
        <f t="shared" si="340"/>
        <v/>
      </c>
      <c r="AI833" s="111" t="str">
        <f t="shared" si="345"/>
        <v/>
      </c>
      <c r="AJ833" s="111" t="str">
        <f t="shared" si="346"/>
        <v/>
      </c>
      <c r="AK833" s="112" t="str">
        <f t="shared" si="347"/>
        <v/>
      </c>
      <c r="AL833" t="str">
        <f t="shared" si="348"/>
        <v/>
      </c>
      <c r="AM833" t="str">
        <f t="shared" si="349"/>
        <v/>
      </c>
    </row>
    <row r="834" spans="1:39" ht="15" customHeight="1" x14ac:dyDescent="0.25">
      <c r="A834" s="131"/>
      <c r="B834" s="133"/>
      <c r="C834" s="133"/>
      <c r="D834" s="42" t="str">
        <f t="shared" si="324"/>
        <v/>
      </c>
      <c r="E834" s="43"/>
      <c r="F834" s="135"/>
      <c r="G834" s="77" t="str">
        <f t="shared" si="325"/>
        <v/>
      </c>
      <c r="H834" s="32" t="str">
        <f t="shared" si="326"/>
        <v/>
      </c>
      <c r="I834" s="78" t="str">
        <f t="shared" si="327"/>
        <v/>
      </c>
      <c r="J834" s="70" t="str">
        <f t="shared" si="328"/>
        <v/>
      </c>
      <c r="K834" s="135"/>
      <c r="L834" s="72" t="str">
        <f t="shared" si="329"/>
        <v/>
      </c>
      <c r="M834" s="135"/>
      <c r="N834" s="72" t="str">
        <f t="shared" si="330"/>
        <v/>
      </c>
      <c r="O834" s="135"/>
      <c r="P834" s="136"/>
      <c r="Q834" s="123" t="str">
        <f t="shared" si="331"/>
        <v/>
      </c>
      <c r="R834" s="45" t="str">
        <f t="shared" si="332"/>
        <v/>
      </c>
      <c r="S834" s="137"/>
      <c r="T834" s="79" t="str">
        <f t="shared" si="341"/>
        <v/>
      </c>
      <c r="U834" s="79" t="str">
        <f t="shared" si="333"/>
        <v/>
      </c>
      <c r="V834" s="73" t="str">
        <f t="shared" si="334"/>
        <v/>
      </c>
      <c r="W834" s="80" t="str">
        <f t="shared" si="335"/>
        <v/>
      </c>
      <c r="X834" s="73" t="str">
        <f t="shared" si="336"/>
        <v/>
      </c>
      <c r="Y834" s="80" t="str">
        <f t="shared" si="337"/>
        <v/>
      </c>
      <c r="Z834" s="74" t="str">
        <f t="shared" si="338"/>
        <v/>
      </c>
      <c r="AA834" s="75" t="str">
        <f t="shared" si="342"/>
        <v/>
      </c>
      <c r="AB834" s="103" t="str">
        <f t="shared" si="339"/>
        <v/>
      </c>
      <c r="AC834" s="104" t="str">
        <f t="shared" si="350"/>
        <v/>
      </c>
      <c r="AE834" s="139"/>
      <c r="AF834" s="110" t="str">
        <f t="shared" si="343"/>
        <v/>
      </c>
      <c r="AG834" s="111" t="str">
        <f t="shared" si="344"/>
        <v/>
      </c>
      <c r="AH834" s="111" t="str">
        <f t="shared" si="340"/>
        <v/>
      </c>
      <c r="AI834" s="111" t="str">
        <f t="shared" si="345"/>
        <v/>
      </c>
      <c r="AJ834" s="111" t="str">
        <f t="shared" si="346"/>
        <v/>
      </c>
      <c r="AK834" s="112" t="str">
        <f t="shared" si="347"/>
        <v/>
      </c>
      <c r="AL834" t="str">
        <f t="shared" si="348"/>
        <v/>
      </c>
      <c r="AM834" t="str">
        <f t="shared" si="349"/>
        <v/>
      </c>
    </row>
    <row r="835" spans="1:39" ht="15" customHeight="1" x14ac:dyDescent="0.25">
      <c r="A835" s="131"/>
      <c r="B835" s="133"/>
      <c r="C835" s="133"/>
      <c r="D835" s="42" t="str">
        <f t="shared" si="324"/>
        <v/>
      </c>
      <c r="E835" s="43"/>
      <c r="F835" s="135"/>
      <c r="G835" s="77" t="str">
        <f t="shared" si="325"/>
        <v/>
      </c>
      <c r="H835" s="32" t="str">
        <f t="shared" si="326"/>
        <v/>
      </c>
      <c r="I835" s="78" t="str">
        <f t="shared" si="327"/>
        <v/>
      </c>
      <c r="J835" s="70" t="str">
        <f t="shared" si="328"/>
        <v/>
      </c>
      <c r="K835" s="135"/>
      <c r="L835" s="72" t="str">
        <f t="shared" si="329"/>
        <v/>
      </c>
      <c r="M835" s="135"/>
      <c r="N835" s="72" t="str">
        <f t="shared" si="330"/>
        <v/>
      </c>
      <c r="O835" s="135"/>
      <c r="P835" s="136"/>
      <c r="Q835" s="123" t="str">
        <f t="shared" si="331"/>
        <v/>
      </c>
      <c r="R835" s="45" t="str">
        <f t="shared" si="332"/>
        <v/>
      </c>
      <c r="S835" s="137"/>
      <c r="T835" s="79" t="str">
        <f t="shared" si="341"/>
        <v/>
      </c>
      <c r="U835" s="79" t="str">
        <f t="shared" si="333"/>
        <v/>
      </c>
      <c r="V835" s="73" t="str">
        <f t="shared" si="334"/>
        <v/>
      </c>
      <c r="W835" s="80" t="str">
        <f t="shared" si="335"/>
        <v/>
      </c>
      <c r="X835" s="73" t="str">
        <f t="shared" si="336"/>
        <v/>
      </c>
      <c r="Y835" s="80" t="str">
        <f t="shared" si="337"/>
        <v/>
      </c>
      <c r="Z835" s="74" t="str">
        <f t="shared" si="338"/>
        <v/>
      </c>
      <c r="AA835" s="75" t="str">
        <f t="shared" si="342"/>
        <v/>
      </c>
      <c r="AB835" s="103" t="str">
        <f t="shared" si="339"/>
        <v/>
      </c>
      <c r="AC835" s="104" t="str">
        <f t="shared" si="350"/>
        <v/>
      </c>
      <c r="AE835" s="139"/>
      <c r="AF835" s="110" t="str">
        <f t="shared" si="343"/>
        <v/>
      </c>
      <c r="AG835" s="111" t="str">
        <f t="shared" si="344"/>
        <v/>
      </c>
      <c r="AH835" s="111" t="str">
        <f t="shared" si="340"/>
        <v/>
      </c>
      <c r="AI835" s="111" t="str">
        <f t="shared" si="345"/>
        <v/>
      </c>
      <c r="AJ835" s="111" t="str">
        <f t="shared" si="346"/>
        <v/>
      </c>
      <c r="AK835" s="112" t="str">
        <f t="shared" si="347"/>
        <v/>
      </c>
      <c r="AL835" t="str">
        <f t="shared" si="348"/>
        <v/>
      </c>
      <c r="AM835" t="str">
        <f t="shared" si="349"/>
        <v/>
      </c>
    </row>
    <row r="836" spans="1:39" ht="15" customHeight="1" x14ac:dyDescent="0.25">
      <c r="A836" s="131"/>
      <c r="B836" s="133"/>
      <c r="C836" s="133"/>
      <c r="D836" s="42" t="str">
        <f t="shared" si="324"/>
        <v/>
      </c>
      <c r="E836" s="43"/>
      <c r="F836" s="135"/>
      <c r="G836" s="77" t="str">
        <f t="shared" si="325"/>
        <v/>
      </c>
      <c r="H836" s="32" t="str">
        <f t="shared" si="326"/>
        <v/>
      </c>
      <c r="I836" s="78" t="str">
        <f t="shared" si="327"/>
        <v/>
      </c>
      <c r="J836" s="70" t="str">
        <f t="shared" si="328"/>
        <v/>
      </c>
      <c r="K836" s="135"/>
      <c r="L836" s="72" t="str">
        <f t="shared" si="329"/>
        <v/>
      </c>
      <c r="M836" s="135"/>
      <c r="N836" s="72" t="str">
        <f t="shared" si="330"/>
        <v/>
      </c>
      <c r="O836" s="135"/>
      <c r="P836" s="136"/>
      <c r="Q836" s="123" t="str">
        <f t="shared" si="331"/>
        <v/>
      </c>
      <c r="R836" s="45" t="str">
        <f t="shared" si="332"/>
        <v/>
      </c>
      <c r="S836" s="137"/>
      <c r="T836" s="79" t="str">
        <f t="shared" si="341"/>
        <v/>
      </c>
      <c r="U836" s="79" t="str">
        <f t="shared" si="333"/>
        <v/>
      </c>
      <c r="V836" s="73" t="str">
        <f t="shared" si="334"/>
        <v/>
      </c>
      <c r="W836" s="80" t="str">
        <f t="shared" si="335"/>
        <v/>
      </c>
      <c r="X836" s="73" t="str">
        <f t="shared" si="336"/>
        <v/>
      </c>
      <c r="Y836" s="80" t="str">
        <f t="shared" si="337"/>
        <v/>
      </c>
      <c r="Z836" s="74" t="str">
        <f t="shared" si="338"/>
        <v/>
      </c>
      <c r="AA836" s="75" t="str">
        <f t="shared" si="342"/>
        <v/>
      </c>
      <c r="AB836" s="103" t="str">
        <f t="shared" si="339"/>
        <v/>
      </c>
      <c r="AC836" s="104" t="str">
        <f t="shared" si="350"/>
        <v/>
      </c>
      <c r="AE836" s="139"/>
      <c r="AF836" s="110" t="str">
        <f t="shared" si="343"/>
        <v/>
      </c>
      <c r="AG836" s="111" t="str">
        <f t="shared" si="344"/>
        <v/>
      </c>
      <c r="AH836" s="111" t="str">
        <f t="shared" si="340"/>
        <v/>
      </c>
      <c r="AI836" s="111" t="str">
        <f t="shared" si="345"/>
        <v/>
      </c>
      <c r="AJ836" s="111" t="str">
        <f t="shared" si="346"/>
        <v/>
      </c>
      <c r="AK836" s="112" t="str">
        <f t="shared" si="347"/>
        <v/>
      </c>
      <c r="AL836" t="str">
        <f t="shared" si="348"/>
        <v/>
      </c>
      <c r="AM836" t="str">
        <f t="shared" si="349"/>
        <v/>
      </c>
    </row>
    <row r="837" spans="1:39" ht="15" customHeight="1" x14ac:dyDescent="0.25">
      <c r="A837" s="131"/>
      <c r="B837" s="133"/>
      <c r="C837" s="133"/>
      <c r="D837" s="42" t="str">
        <f t="shared" si="324"/>
        <v/>
      </c>
      <c r="E837" s="43"/>
      <c r="F837" s="135"/>
      <c r="G837" s="77" t="str">
        <f t="shared" si="325"/>
        <v/>
      </c>
      <c r="H837" s="32" t="str">
        <f t="shared" si="326"/>
        <v/>
      </c>
      <c r="I837" s="78" t="str">
        <f t="shared" si="327"/>
        <v/>
      </c>
      <c r="J837" s="70" t="str">
        <f t="shared" si="328"/>
        <v/>
      </c>
      <c r="K837" s="135"/>
      <c r="L837" s="72" t="str">
        <f t="shared" si="329"/>
        <v/>
      </c>
      <c r="M837" s="135"/>
      <c r="N837" s="72" t="str">
        <f t="shared" si="330"/>
        <v/>
      </c>
      <c r="O837" s="135"/>
      <c r="P837" s="136"/>
      <c r="Q837" s="123" t="str">
        <f t="shared" si="331"/>
        <v/>
      </c>
      <c r="R837" s="45" t="str">
        <f t="shared" si="332"/>
        <v/>
      </c>
      <c r="S837" s="137"/>
      <c r="T837" s="79" t="str">
        <f t="shared" si="341"/>
        <v/>
      </c>
      <c r="U837" s="79" t="str">
        <f t="shared" si="333"/>
        <v/>
      </c>
      <c r="V837" s="73" t="str">
        <f t="shared" si="334"/>
        <v/>
      </c>
      <c r="W837" s="80" t="str">
        <f t="shared" si="335"/>
        <v/>
      </c>
      <c r="X837" s="73" t="str">
        <f t="shared" si="336"/>
        <v/>
      </c>
      <c r="Y837" s="80" t="str">
        <f t="shared" si="337"/>
        <v/>
      </c>
      <c r="Z837" s="74" t="str">
        <f t="shared" si="338"/>
        <v/>
      </c>
      <c r="AA837" s="75" t="str">
        <f t="shared" si="342"/>
        <v/>
      </c>
      <c r="AB837" s="103" t="str">
        <f t="shared" si="339"/>
        <v/>
      </c>
      <c r="AC837" s="104" t="str">
        <f t="shared" si="350"/>
        <v/>
      </c>
      <c r="AE837" s="139"/>
      <c r="AF837" s="110" t="str">
        <f t="shared" si="343"/>
        <v/>
      </c>
      <c r="AG837" s="111" t="str">
        <f t="shared" si="344"/>
        <v/>
      </c>
      <c r="AH837" s="111" t="str">
        <f t="shared" si="340"/>
        <v/>
      </c>
      <c r="AI837" s="111" t="str">
        <f t="shared" si="345"/>
        <v/>
      </c>
      <c r="AJ837" s="111" t="str">
        <f t="shared" si="346"/>
        <v/>
      </c>
      <c r="AK837" s="112" t="str">
        <f t="shared" si="347"/>
        <v/>
      </c>
      <c r="AL837" t="str">
        <f t="shared" si="348"/>
        <v/>
      </c>
      <c r="AM837" t="str">
        <f t="shared" si="349"/>
        <v/>
      </c>
    </row>
    <row r="838" spans="1:39" ht="15" customHeight="1" x14ac:dyDescent="0.25">
      <c r="A838" s="131"/>
      <c r="B838" s="133"/>
      <c r="C838" s="133"/>
      <c r="D838" s="42" t="str">
        <f t="shared" si="324"/>
        <v/>
      </c>
      <c r="E838" s="43"/>
      <c r="F838" s="135"/>
      <c r="G838" s="77" t="str">
        <f t="shared" si="325"/>
        <v/>
      </c>
      <c r="H838" s="32" t="str">
        <f t="shared" si="326"/>
        <v/>
      </c>
      <c r="I838" s="78" t="str">
        <f t="shared" si="327"/>
        <v/>
      </c>
      <c r="J838" s="70" t="str">
        <f t="shared" si="328"/>
        <v/>
      </c>
      <c r="K838" s="135"/>
      <c r="L838" s="72" t="str">
        <f t="shared" si="329"/>
        <v/>
      </c>
      <c r="M838" s="135"/>
      <c r="N838" s="72" t="str">
        <f t="shared" si="330"/>
        <v/>
      </c>
      <c r="O838" s="135"/>
      <c r="P838" s="136"/>
      <c r="Q838" s="123" t="str">
        <f t="shared" si="331"/>
        <v/>
      </c>
      <c r="R838" s="45" t="str">
        <f t="shared" si="332"/>
        <v/>
      </c>
      <c r="S838" s="137"/>
      <c r="T838" s="79" t="str">
        <f t="shared" si="341"/>
        <v/>
      </c>
      <c r="U838" s="79" t="str">
        <f t="shared" si="333"/>
        <v/>
      </c>
      <c r="V838" s="73" t="str">
        <f t="shared" si="334"/>
        <v/>
      </c>
      <c r="W838" s="80" t="str">
        <f t="shared" si="335"/>
        <v/>
      </c>
      <c r="X838" s="73" t="str">
        <f t="shared" si="336"/>
        <v/>
      </c>
      <c r="Y838" s="80" t="str">
        <f t="shared" si="337"/>
        <v/>
      </c>
      <c r="Z838" s="74" t="str">
        <f t="shared" si="338"/>
        <v/>
      </c>
      <c r="AA838" s="75" t="str">
        <f t="shared" si="342"/>
        <v/>
      </c>
      <c r="AB838" s="103" t="str">
        <f t="shared" si="339"/>
        <v/>
      </c>
      <c r="AC838" s="104" t="str">
        <f t="shared" si="350"/>
        <v/>
      </c>
      <c r="AE838" s="139"/>
      <c r="AF838" s="110" t="str">
        <f t="shared" si="343"/>
        <v/>
      </c>
      <c r="AG838" s="111" t="str">
        <f t="shared" si="344"/>
        <v/>
      </c>
      <c r="AH838" s="111" t="str">
        <f t="shared" si="340"/>
        <v/>
      </c>
      <c r="AI838" s="111" t="str">
        <f t="shared" si="345"/>
        <v/>
      </c>
      <c r="AJ838" s="111" t="str">
        <f t="shared" si="346"/>
        <v/>
      </c>
      <c r="AK838" s="112" t="str">
        <f t="shared" si="347"/>
        <v/>
      </c>
      <c r="AL838" t="str">
        <f t="shared" si="348"/>
        <v/>
      </c>
      <c r="AM838" t="str">
        <f t="shared" si="349"/>
        <v/>
      </c>
    </row>
    <row r="839" spans="1:39" ht="15" customHeight="1" x14ac:dyDescent="0.25">
      <c r="A839" s="131"/>
      <c r="B839" s="133"/>
      <c r="C839" s="133"/>
      <c r="D839" s="42" t="str">
        <f t="shared" si="324"/>
        <v/>
      </c>
      <c r="E839" s="43"/>
      <c r="F839" s="135"/>
      <c r="G839" s="77" t="str">
        <f t="shared" si="325"/>
        <v/>
      </c>
      <c r="H839" s="32" t="str">
        <f t="shared" si="326"/>
        <v/>
      </c>
      <c r="I839" s="78" t="str">
        <f t="shared" si="327"/>
        <v/>
      </c>
      <c r="J839" s="70" t="str">
        <f t="shared" si="328"/>
        <v/>
      </c>
      <c r="K839" s="135"/>
      <c r="L839" s="72" t="str">
        <f t="shared" si="329"/>
        <v/>
      </c>
      <c r="M839" s="135"/>
      <c r="N839" s="72" t="str">
        <f t="shared" si="330"/>
        <v/>
      </c>
      <c r="O839" s="135"/>
      <c r="P839" s="136"/>
      <c r="Q839" s="123" t="str">
        <f t="shared" si="331"/>
        <v/>
      </c>
      <c r="R839" s="45" t="str">
        <f t="shared" si="332"/>
        <v/>
      </c>
      <c r="S839" s="137"/>
      <c r="T839" s="79" t="str">
        <f t="shared" si="341"/>
        <v/>
      </c>
      <c r="U839" s="79" t="str">
        <f t="shared" si="333"/>
        <v/>
      </c>
      <c r="V839" s="73" t="str">
        <f t="shared" si="334"/>
        <v/>
      </c>
      <c r="W839" s="80" t="str">
        <f t="shared" si="335"/>
        <v/>
      </c>
      <c r="X839" s="73" t="str">
        <f t="shared" si="336"/>
        <v/>
      </c>
      <c r="Y839" s="80" t="str">
        <f t="shared" si="337"/>
        <v/>
      </c>
      <c r="Z839" s="74" t="str">
        <f t="shared" si="338"/>
        <v/>
      </c>
      <c r="AA839" s="75" t="str">
        <f t="shared" si="342"/>
        <v/>
      </c>
      <c r="AB839" s="103" t="str">
        <f t="shared" si="339"/>
        <v/>
      </c>
      <c r="AC839" s="104" t="str">
        <f t="shared" si="350"/>
        <v/>
      </c>
      <c r="AE839" s="139"/>
      <c r="AF839" s="110" t="str">
        <f t="shared" si="343"/>
        <v/>
      </c>
      <c r="AG839" s="111" t="str">
        <f t="shared" si="344"/>
        <v/>
      </c>
      <c r="AH839" s="111" t="str">
        <f t="shared" si="340"/>
        <v/>
      </c>
      <c r="AI839" s="111" t="str">
        <f t="shared" si="345"/>
        <v/>
      </c>
      <c r="AJ839" s="111" t="str">
        <f t="shared" si="346"/>
        <v/>
      </c>
      <c r="AK839" s="112" t="str">
        <f t="shared" si="347"/>
        <v/>
      </c>
      <c r="AL839" t="str">
        <f t="shared" si="348"/>
        <v/>
      </c>
      <c r="AM839" t="str">
        <f t="shared" si="349"/>
        <v/>
      </c>
    </row>
    <row r="840" spans="1:39" ht="15" customHeight="1" x14ac:dyDescent="0.25">
      <c r="A840" s="131"/>
      <c r="B840" s="133"/>
      <c r="C840" s="133"/>
      <c r="D840" s="42" t="str">
        <f t="shared" ref="D840:D903" si="351">IF(A840="","",B840*C840)</f>
        <v/>
      </c>
      <c r="E840" s="43"/>
      <c r="F840" s="135"/>
      <c r="G840" s="77" t="str">
        <f t="shared" ref="G840:G903" si="352">IF(OR(F840="",C840=0,C840=""),"",F840/C840)</f>
        <v/>
      </c>
      <c r="H840" s="32" t="str">
        <f t="shared" ref="H840:H903" si="353">IF(F840="","",ROUND(F840*$G$1,2))</f>
        <v/>
      </c>
      <c r="I840" s="78" t="str">
        <f t="shared" ref="I840:I903" si="354">IF(OR(H840="",C840=0,C840=""),"",H840/C840)</f>
        <v/>
      </c>
      <c r="J840" s="70" t="str">
        <f t="shared" ref="J840:J903" si="355">IF(A840="","",F840*B840)</f>
        <v/>
      </c>
      <c r="K840" s="135"/>
      <c r="L840" s="72" t="str">
        <f t="shared" ref="L840:L903" si="356">IF(OR(K840=0,C840=0,K840="",C840=""),"",K840/C840)</f>
        <v/>
      </c>
      <c r="M840" s="135"/>
      <c r="N840" s="72" t="str">
        <f t="shared" ref="N840:N903" si="357">IF(OR(M840=0,C840=0,M840="",C840=""),"",M840/C840)</f>
        <v/>
      </c>
      <c r="O840" s="135"/>
      <c r="P840" s="136"/>
      <c r="Q840" s="123" t="str">
        <f t="shared" ref="Q840:Q903" si="358">IF(A840="","",IF(S840&gt;0,IF(J840&gt;0,S840/J840,0),IF(E840&gt;0,0,IF($I$2&gt;0,IF($I$3&gt;0,MAX($I$2-SUM($S$8:$S$1007),0)/$I$3,0),$I$1))))</f>
        <v/>
      </c>
      <c r="R840" s="45" t="str">
        <f t="shared" ref="R840:R903" si="359">IF(A840="","",IF(S840&gt;0,S840,IF(E840&gt;0,0,J840*IF($I$2&gt;0,IF($I$3&gt;0,MAX($I$2-SUM($S$8:$S$1007),0)/$I$3,0),$I$1))))</f>
        <v/>
      </c>
      <c r="S840" s="137"/>
      <c r="T840" s="79" t="str">
        <f t="shared" si="341"/>
        <v/>
      </c>
      <c r="U840" s="79" t="str">
        <f t="shared" ref="U840:U903" si="360">IF(OR(A840="",T840=""),"",T840*C840)</f>
        <v/>
      </c>
      <c r="V840" s="73" t="str">
        <f t="shared" ref="V840:V903" si="361">IF(OR(A840="",K840&lt;=0,U840=""),"",(K840-U840)/K840)</f>
        <v/>
      </c>
      <c r="W840" s="80" t="str">
        <f t="shared" ref="W840:W903" si="362">IF(OR(K840=0,U840=0,K840="",U840=""),"",K840-U840)</f>
        <v/>
      </c>
      <c r="X840" s="73" t="str">
        <f t="shared" ref="X840:X903" si="363">IF(OR(A840="",M840&lt;=0,U840=""),"",(M840-U840)/M840)</f>
        <v/>
      </c>
      <c r="Y840" s="80" t="str">
        <f t="shared" ref="Y840:Y903" si="364">IF(OR(M840=0,U840=0,M840="",U840=""),"",M840-U840)</f>
        <v/>
      </c>
      <c r="Z840" s="74" t="str">
        <f t="shared" ref="Z840:Z903" si="365">IF(OR(J840="",J840=0,$M$5="",$K$1=0),"",($M$5/$K$1)*J840)</f>
        <v/>
      </c>
      <c r="AA840" s="75" t="str">
        <f t="shared" si="342"/>
        <v/>
      </c>
      <c r="AB840" s="103" t="str">
        <f t="shared" ref="AB840:AB903" si="366">IF(OR(T840=0,T840="",D840=0,D840=""),"",T840*(D840+E840))</f>
        <v/>
      </c>
      <c r="AC840" s="104" t="str">
        <f t="shared" si="350"/>
        <v/>
      </c>
      <c r="AE840" s="139"/>
      <c r="AF840" s="110" t="str">
        <f t="shared" si="343"/>
        <v/>
      </c>
      <c r="AG840" s="111" t="str">
        <f t="shared" si="344"/>
        <v/>
      </c>
      <c r="AH840" s="111" t="str">
        <f t="shared" ref="AH840:AH903" si="367">IF(AG840="","",AG840*$AF$1+IF(SUM($AG$8:$AG$1007)=0,0,$AF$2*AG840/SUM($AG$8:$AG$1007)))</f>
        <v/>
      </c>
      <c r="AI840" s="111" t="str">
        <f t="shared" si="345"/>
        <v/>
      </c>
      <c r="AJ840" s="111" t="str">
        <f t="shared" si="346"/>
        <v/>
      </c>
      <c r="AK840" s="112" t="str">
        <f t="shared" si="347"/>
        <v/>
      </c>
      <c r="AL840" t="str">
        <f t="shared" si="348"/>
        <v/>
      </c>
      <c r="AM840" t="str">
        <f t="shared" si="349"/>
        <v/>
      </c>
    </row>
    <row r="841" spans="1:39" ht="15" customHeight="1" x14ac:dyDescent="0.25">
      <c r="A841" s="131"/>
      <c r="B841" s="133"/>
      <c r="C841" s="133"/>
      <c r="D841" s="42" t="str">
        <f t="shared" si="351"/>
        <v/>
      </c>
      <c r="E841" s="43"/>
      <c r="F841" s="135"/>
      <c r="G841" s="77" t="str">
        <f t="shared" si="352"/>
        <v/>
      </c>
      <c r="H841" s="32" t="str">
        <f t="shared" si="353"/>
        <v/>
      </c>
      <c r="I841" s="78" t="str">
        <f t="shared" si="354"/>
        <v/>
      </c>
      <c r="J841" s="70" t="str">
        <f t="shared" si="355"/>
        <v/>
      </c>
      <c r="K841" s="135"/>
      <c r="L841" s="72" t="str">
        <f t="shared" si="356"/>
        <v/>
      </c>
      <c r="M841" s="135"/>
      <c r="N841" s="72" t="str">
        <f t="shared" si="357"/>
        <v/>
      </c>
      <c r="O841" s="135"/>
      <c r="P841" s="136"/>
      <c r="Q841" s="123" t="str">
        <f t="shared" si="358"/>
        <v/>
      </c>
      <c r="R841" s="45" t="str">
        <f t="shared" si="359"/>
        <v/>
      </c>
      <c r="S841" s="137"/>
      <c r="T841" s="79" t="str">
        <f t="shared" ref="T841:T904" si="368">IF(A841="","",IF(OR(B841=0,B841="",C841&lt;=0,D841+E841&lt;=0),"",((F841+H841)*B841+(H841/C841)*E841-R841)/(D841+E841)-IF(Z841&gt;=0,Z841/D841,0)+IF(ISNUMBER(AA841),AA841/(D841+E841),0)))</f>
        <v/>
      </c>
      <c r="U841" s="79" t="str">
        <f t="shared" si="360"/>
        <v/>
      </c>
      <c r="V841" s="73" t="str">
        <f t="shared" si="361"/>
        <v/>
      </c>
      <c r="W841" s="80" t="str">
        <f t="shared" si="362"/>
        <v/>
      </c>
      <c r="X841" s="73" t="str">
        <f t="shared" si="363"/>
        <v/>
      </c>
      <c r="Y841" s="80" t="str">
        <f t="shared" si="364"/>
        <v/>
      </c>
      <c r="Z841" s="74" t="str">
        <f t="shared" si="365"/>
        <v/>
      </c>
      <c r="AA841" s="75" t="str">
        <f t="shared" ref="AA841:AA904" si="369">IF(OR(J841="",J841=0,($G$3-$I$4)=0),"",($K$3/($G$3-$I$4))*(J841-R841))</f>
        <v/>
      </c>
      <c r="AB841" s="103" t="str">
        <f t="shared" si="366"/>
        <v/>
      </c>
      <c r="AC841" s="104" t="str">
        <f t="shared" si="350"/>
        <v/>
      </c>
      <c r="AE841" s="139"/>
      <c r="AF841" s="110" t="str">
        <f t="shared" ref="AF841:AF904" si="370">IF(AE841="","",T841)</f>
        <v/>
      </c>
      <c r="AG841" s="111" t="str">
        <f t="shared" ref="AG841:AG904" si="371">IF(OR(AE841="",AF841=""),"",AE841*AF841)</f>
        <v/>
      </c>
      <c r="AH841" s="111" t="str">
        <f t="shared" si="367"/>
        <v/>
      </c>
      <c r="AI841" s="111" t="str">
        <f t="shared" ref="AI841:AI904" si="372">IF(AG841="","",AG841-AH841)</f>
        <v/>
      </c>
      <c r="AJ841" s="111" t="str">
        <f t="shared" ref="AJ841:AJ904" si="373">IF(AI841="","",AK841-AI841)</f>
        <v/>
      </c>
      <c r="AK841" s="112" t="str">
        <f t="shared" ref="AK841:AK904" si="374">IF(AI841="","",ROUND(AI841,0))</f>
        <v/>
      </c>
      <c r="AL841" t="str">
        <f t="shared" ref="AL841:AL904" si="375">IF(OR(AE841=0,AE841=""),"",AH841/AE841)</f>
        <v/>
      </c>
      <c r="AM841" t="str">
        <f t="shared" ref="AM841:AM904" si="376">IF(OR(AE841=0,AE841=""),"",AF841*C841)</f>
        <v/>
      </c>
    </row>
    <row r="842" spans="1:39" ht="15" customHeight="1" x14ac:dyDescent="0.25">
      <c r="A842" s="131"/>
      <c r="B842" s="133"/>
      <c r="C842" s="133"/>
      <c r="D842" s="42" t="str">
        <f t="shared" si="351"/>
        <v/>
      </c>
      <c r="E842" s="43"/>
      <c r="F842" s="135"/>
      <c r="G842" s="77" t="str">
        <f t="shared" si="352"/>
        <v/>
      </c>
      <c r="H842" s="32" t="str">
        <f t="shared" si="353"/>
        <v/>
      </c>
      <c r="I842" s="78" t="str">
        <f t="shared" si="354"/>
        <v/>
      </c>
      <c r="J842" s="70" t="str">
        <f t="shared" si="355"/>
        <v/>
      </c>
      <c r="K842" s="135"/>
      <c r="L842" s="72" t="str">
        <f t="shared" si="356"/>
        <v/>
      </c>
      <c r="M842" s="135"/>
      <c r="N842" s="72" t="str">
        <f t="shared" si="357"/>
        <v/>
      </c>
      <c r="O842" s="135"/>
      <c r="P842" s="136"/>
      <c r="Q842" s="123" t="str">
        <f t="shared" si="358"/>
        <v/>
      </c>
      <c r="R842" s="45" t="str">
        <f t="shared" si="359"/>
        <v/>
      </c>
      <c r="S842" s="137"/>
      <c r="T842" s="79" t="str">
        <f t="shared" si="368"/>
        <v/>
      </c>
      <c r="U842" s="79" t="str">
        <f t="shared" si="360"/>
        <v/>
      </c>
      <c r="V842" s="73" t="str">
        <f t="shared" si="361"/>
        <v/>
      </c>
      <c r="W842" s="80" t="str">
        <f t="shared" si="362"/>
        <v/>
      </c>
      <c r="X842" s="73" t="str">
        <f t="shared" si="363"/>
        <v/>
      </c>
      <c r="Y842" s="80" t="str">
        <f t="shared" si="364"/>
        <v/>
      </c>
      <c r="Z842" s="74" t="str">
        <f t="shared" si="365"/>
        <v/>
      </c>
      <c r="AA842" s="75" t="str">
        <f t="shared" si="369"/>
        <v/>
      </c>
      <c r="AB842" s="103" t="str">
        <f t="shared" si="366"/>
        <v/>
      </c>
      <c r="AC842" s="104" t="str">
        <f t="shared" ref="AC842:AC905" si="377">IF(OR(A842="",J842="",C842&lt;=0, B842=0),"",J842+H842*B842+(H842/C842)*E842)</f>
        <v/>
      </c>
      <c r="AE842" s="139"/>
      <c r="AF842" s="110" t="str">
        <f t="shared" si="370"/>
        <v/>
      </c>
      <c r="AG842" s="111" t="str">
        <f t="shared" si="371"/>
        <v/>
      </c>
      <c r="AH842" s="111" t="str">
        <f t="shared" si="367"/>
        <v/>
      </c>
      <c r="AI842" s="111" t="str">
        <f t="shared" si="372"/>
        <v/>
      </c>
      <c r="AJ842" s="111" t="str">
        <f t="shared" si="373"/>
        <v/>
      </c>
      <c r="AK842" s="112" t="str">
        <f t="shared" si="374"/>
        <v/>
      </c>
      <c r="AL842" t="str">
        <f t="shared" si="375"/>
        <v/>
      </c>
      <c r="AM842" t="str">
        <f t="shared" si="376"/>
        <v/>
      </c>
    </row>
    <row r="843" spans="1:39" ht="15" customHeight="1" x14ac:dyDescent="0.25">
      <c r="A843" s="131"/>
      <c r="B843" s="133"/>
      <c r="C843" s="133"/>
      <c r="D843" s="42" t="str">
        <f t="shared" si="351"/>
        <v/>
      </c>
      <c r="E843" s="43"/>
      <c r="F843" s="135"/>
      <c r="G843" s="77" t="str">
        <f t="shared" si="352"/>
        <v/>
      </c>
      <c r="H843" s="32" t="str">
        <f t="shared" si="353"/>
        <v/>
      </c>
      <c r="I843" s="78" t="str">
        <f t="shared" si="354"/>
        <v/>
      </c>
      <c r="J843" s="70" t="str">
        <f t="shared" si="355"/>
        <v/>
      </c>
      <c r="K843" s="135"/>
      <c r="L843" s="72" t="str">
        <f t="shared" si="356"/>
        <v/>
      </c>
      <c r="M843" s="135"/>
      <c r="N843" s="72" t="str">
        <f t="shared" si="357"/>
        <v/>
      </c>
      <c r="O843" s="135"/>
      <c r="P843" s="136"/>
      <c r="Q843" s="123" t="str">
        <f t="shared" si="358"/>
        <v/>
      </c>
      <c r="R843" s="45" t="str">
        <f t="shared" si="359"/>
        <v/>
      </c>
      <c r="S843" s="137"/>
      <c r="T843" s="79" t="str">
        <f t="shared" si="368"/>
        <v/>
      </c>
      <c r="U843" s="79" t="str">
        <f t="shared" si="360"/>
        <v/>
      </c>
      <c r="V843" s="73" t="str">
        <f t="shared" si="361"/>
        <v/>
      </c>
      <c r="W843" s="80" t="str">
        <f t="shared" si="362"/>
        <v/>
      </c>
      <c r="X843" s="73" t="str">
        <f t="shared" si="363"/>
        <v/>
      </c>
      <c r="Y843" s="80" t="str">
        <f t="shared" si="364"/>
        <v/>
      </c>
      <c r="Z843" s="74" t="str">
        <f t="shared" si="365"/>
        <v/>
      </c>
      <c r="AA843" s="75" t="str">
        <f t="shared" si="369"/>
        <v/>
      </c>
      <c r="AB843" s="103" t="str">
        <f t="shared" si="366"/>
        <v/>
      </c>
      <c r="AC843" s="104" t="str">
        <f t="shared" si="377"/>
        <v/>
      </c>
      <c r="AE843" s="139"/>
      <c r="AF843" s="110" t="str">
        <f t="shared" si="370"/>
        <v/>
      </c>
      <c r="AG843" s="111" t="str">
        <f t="shared" si="371"/>
        <v/>
      </c>
      <c r="AH843" s="111" t="str">
        <f t="shared" si="367"/>
        <v/>
      </c>
      <c r="AI843" s="111" t="str">
        <f t="shared" si="372"/>
        <v/>
      </c>
      <c r="AJ843" s="111" t="str">
        <f t="shared" si="373"/>
        <v/>
      </c>
      <c r="AK843" s="112" t="str">
        <f t="shared" si="374"/>
        <v/>
      </c>
      <c r="AL843" t="str">
        <f t="shared" si="375"/>
        <v/>
      </c>
      <c r="AM843" t="str">
        <f t="shared" si="376"/>
        <v/>
      </c>
    </row>
    <row r="844" spans="1:39" ht="15" customHeight="1" x14ac:dyDescent="0.25">
      <c r="A844" s="131"/>
      <c r="B844" s="133"/>
      <c r="C844" s="133"/>
      <c r="D844" s="42" t="str">
        <f t="shared" si="351"/>
        <v/>
      </c>
      <c r="E844" s="43"/>
      <c r="F844" s="135"/>
      <c r="G844" s="77" t="str">
        <f t="shared" si="352"/>
        <v/>
      </c>
      <c r="H844" s="32" t="str">
        <f t="shared" si="353"/>
        <v/>
      </c>
      <c r="I844" s="78" t="str">
        <f t="shared" si="354"/>
        <v/>
      </c>
      <c r="J844" s="70" t="str">
        <f t="shared" si="355"/>
        <v/>
      </c>
      <c r="K844" s="135"/>
      <c r="L844" s="72" t="str">
        <f t="shared" si="356"/>
        <v/>
      </c>
      <c r="M844" s="135"/>
      <c r="N844" s="72" t="str">
        <f t="shared" si="357"/>
        <v/>
      </c>
      <c r="O844" s="135"/>
      <c r="P844" s="136"/>
      <c r="Q844" s="123" t="str">
        <f t="shared" si="358"/>
        <v/>
      </c>
      <c r="R844" s="45" t="str">
        <f t="shared" si="359"/>
        <v/>
      </c>
      <c r="S844" s="137"/>
      <c r="T844" s="79" t="str">
        <f t="shared" si="368"/>
        <v/>
      </c>
      <c r="U844" s="79" t="str">
        <f t="shared" si="360"/>
        <v/>
      </c>
      <c r="V844" s="73" t="str">
        <f t="shared" si="361"/>
        <v/>
      </c>
      <c r="W844" s="80" t="str">
        <f t="shared" si="362"/>
        <v/>
      </c>
      <c r="X844" s="73" t="str">
        <f t="shared" si="363"/>
        <v/>
      </c>
      <c r="Y844" s="80" t="str">
        <f t="shared" si="364"/>
        <v/>
      </c>
      <c r="Z844" s="74" t="str">
        <f t="shared" si="365"/>
        <v/>
      </c>
      <c r="AA844" s="75" t="str">
        <f t="shared" si="369"/>
        <v/>
      </c>
      <c r="AB844" s="103" t="str">
        <f t="shared" si="366"/>
        <v/>
      </c>
      <c r="AC844" s="104" t="str">
        <f t="shared" si="377"/>
        <v/>
      </c>
      <c r="AE844" s="139"/>
      <c r="AF844" s="110" t="str">
        <f t="shared" si="370"/>
        <v/>
      </c>
      <c r="AG844" s="111" t="str">
        <f t="shared" si="371"/>
        <v/>
      </c>
      <c r="AH844" s="111" t="str">
        <f t="shared" si="367"/>
        <v/>
      </c>
      <c r="AI844" s="111" t="str">
        <f t="shared" si="372"/>
        <v/>
      </c>
      <c r="AJ844" s="111" t="str">
        <f t="shared" si="373"/>
        <v/>
      </c>
      <c r="AK844" s="112" t="str">
        <f t="shared" si="374"/>
        <v/>
      </c>
      <c r="AL844" t="str">
        <f t="shared" si="375"/>
        <v/>
      </c>
      <c r="AM844" t="str">
        <f t="shared" si="376"/>
        <v/>
      </c>
    </row>
    <row r="845" spans="1:39" ht="15" customHeight="1" x14ac:dyDescent="0.25">
      <c r="A845" s="131"/>
      <c r="B845" s="133"/>
      <c r="C845" s="133"/>
      <c r="D845" s="42" t="str">
        <f t="shared" si="351"/>
        <v/>
      </c>
      <c r="E845" s="43"/>
      <c r="F845" s="135"/>
      <c r="G845" s="77" t="str">
        <f t="shared" si="352"/>
        <v/>
      </c>
      <c r="H845" s="32" t="str">
        <f t="shared" si="353"/>
        <v/>
      </c>
      <c r="I845" s="78" t="str">
        <f t="shared" si="354"/>
        <v/>
      </c>
      <c r="J845" s="70" t="str">
        <f t="shared" si="355"/>
        <v/>
      </c>
      <c r="K845" s="135"/>
      <c r="L845" s="72" t="str">
        <f t="shared" si="356"/>
        <v/>
      </c>
      <c r="M845" s="135"/>
      <c r="N845" s="72" t="str">
        <f t="shared" si="357"/>
        <v/>
      </c>
      <c r="O845" s="135"/>
      <c r="P845" s="136"/>
      <c r="Q845" s="123" t="str">
        <f t="shared" si="358"/>
        <v/>
      </c>
      <c r="R845" s="45" t="str">
        <f t="shared" si="359"/>
        <v/>
      </c>
      <c r="S845" s="137"/>
      <c r="T845" s="79" t="str">
        <f t="shared" si="368"/>
        <v/>
      </c>
      <c r="U845" s="79" t="str">
        <f t="shared" si="360"/>
        <v/>
      </c>
      <c r="V845" s="73" t="str">
        <f t="shared" si="361"/>
        <v/>
      </c>
      <c r="W845" s="80" t="str">
        <f t="shared" si="362"/>
        <v/>
      </c>
      <c r="X845" s="73" t="str">
        <f t="shared" si="363"/>
        <v/>
      </c>
      <c r="Y845" s="80" t="str">
        <f t="shared" si="364"/>
        <v/>
      </c>
      <c r="Z845" s="74" t="str">
        <f t="shared" si="365"/>
        <v/>
      </c>
      <c r="AA845" s="75" t="str">
        <f t="shared" si="369"/>
        <v/>
      </c>
      <c r="AB845" s="103" t="str">
        <f t="shared" si="366"/>
        <v/>
      </c>
      <c r="AC845" s="104" t="str">
        <f t="shared" si="377"/>
        <v/>
      </c>
      <c r="AE845" s="139"/>
      <c r="AF845" s="110" t="str">
        <f t="shared" si="370"/>
        <v/>
      </c>
      <c r="AG845" s="111" t="str">
        <f t="shared" si="371"/>
        <v/>
      </c>
      <c r="AH845" s="111" t="str">
        <f t="shared" si="367"/>
        <v/>
      </c>
      <c r="AI845" s="111" t="str">
        <f t="shared" si="372"/>
        <v/>
      </c>
      <c r="AJ845" s="111" t="str">
        <f t="shared" si="373"/>
        <v/>
      </c>
      <c r="AK845" s="112" t="str">
        <f t="shared" si="374"/>
        <v/>
      </c>
      <c r="AL845" t="str">
        <f t="shared" si="375"/>
        <v/>
      </c>
      <c r="AM845" t="str">
        <f t="shared" si="376"/>
        <v/>
      </c>
    </row>
    <row r="846" spans="1:39" ht="15" customHeight="1" x14ac:dyDescent="0.25">
      <c r="A846" s="131"/>
      <c r="B846" s="133"/>
      <c r="C846" s="133"/>
      <c r="D846" s="42" t="str">
        <f t="shared" si="351"/>
        <v/>
      </c>
      <c r="E846" s="43"/>
      <c r="F846" s="135"/>
      <c r="G846" s="77" t="str">
        <f t="shared" si="352"/>
        <v/>
      </c>
      <c r="H846" s="32" t="str">
        <f t="shared" si="353"/>
        <v/>
      </c>
      <c r="I846" s="78" t="str">
        <f t="shared" si="354"/>
        <v/>
      </c>
      <c r="J846" s="70" t="str">
        <f t="shared" si="355"/>
        <v/>
      </c>
      <c r="K846" s="135"/>
      <c r="L846" s="72" t="str">
        <f t="shared" si="356"/>
        <v/>
      </c>
      <c r="M846" s="135"/>
      <c r="N846" s="72" t="str">
        <f t="shared" si="357"/>
        <v/>
      </c>
      <c r="O846" s="135"/>
      <c r="P846" s="136"/>
      <c r="Q846" s="123" t="str">
        <f t="shared" si="358"/>
        <v/>
      </c>
      <c r="R846" s="45" t="str">
        <f t="shared" si="359"/>
        <v/>
      </c>
      <c r="S846" s="137"/>
      <c r="T846" s="79" t="str">
        <f t="shared" si="368"/>
        <v/>
      </c>
      <c r="U846" s="79" t="str">
        <f t="shared" si="360"/>
        <v/>
      </c>
      <c r="V846" s="73" t="str">
        <f t="shared" si="361"/>
        <v/>
      </c>
      <c r="W846" s="80" t="str">
        <f t="shared" si="362"/>
        <v/>
      </c>
      <c r="X846" s="73" t="str">
        <f t="shared" si="363"/>
        <v/>
      </c>
      <c r="Y846" s="80" t="str">
        <f t="shared" si="364"/>
        <v/>
      </c>
      <c r="Z846" s="74" t="str">
        <f t="shared" si="365"/>
        <v/>
      </c>
      <c r="AA846" s="75" t="str">
        <f t="shared" si="369"/>
        <v/>
      </c>
      <c r="AB846" s="103" t="str">
        <f t="shared" si="366"/>
        <v/>
      </c>
      <c r="AC846" s="104" t="str">
        <f t="shared" si="377"/>
        <v/>
      </c>
      <c r="AE846" s="139"/>
      <c r="AF846" s="110" t="str">
        <f t="shared" si="370"/>
        <v/>
      </c>
      <c r="AG846" s="111" t="str">
        <f t="shared" si="371"/>
        <v/>
      </c>
      <c r="AH846" s="111" t="str">
        <f t="shared" si="367"/>
        <v/>
      </c>
      <c r="AI846" s="111" t="str">
        <f t="shared" si="372"/>
        <v/>
      </c>
      <c r="AJ846" s="111" t="str">
        <f t="shared" si="373"/>
        <v/>
      </c>
      <c r="AK846" s="112" t="str">
        <f t="shared" si="374"/>
        <v/>
      </c>
      <c r="AL846" t="str">
        <f t="shared" si="375"/>
        <v/>
      </c>
      <c r="AM846" t="str">
        <f t="shared" si="376"/>
        <v/>
      </c>
    </row>
    <row r="847" spans="1:39" ht="15" customHeight="1" x14ac:dyDescent="0.25">
      <c r="A847" s="131"/>
      <c r="B847" s="133"/>
      <c r="C847" s="133"/>
      <c r="D847" s="42" t="str">
        <f t="shared" si="351"/>
        <v/>
      </c>
      <c r="E847" s="43"/>
      <c r="F847" s="135"/>
      <c r="G847" s="77" t="str">
        <f t="shared" si="352"/>
        <v/>
      </c>
      <c r="H847" s="32" t="str">
        <f t="shared" si="353"/>
        <v/>
      </c>
      <c r="I847" s="78" t="str">
        <f t="shared" si="354"/>
        <v/>
      </c>
      <c r="J847" s="70" t="str">
        <f t="shared" si="355"/>
        <v/>
      </c>
      <c r="K847" s="135"/>
      <c r="L847" s="72" t="str">
        <f t="shared" si="356"/>
        <v/>
      </c>
      <c r="M847" s="135"/>
      <c r="N847" s="72" t="str">
        <f t="shared" si="357"/>
        <v/>
      </c>
      <c r="O847" s="135"/>
      <c r="P847" s="136"/>
      <c r="Q847" s="123" t="str">
        <f t="shared" si="358"/>
        <v/>
      </c>
      <c r="R847" s="45" t="str">
        <f t="shared" si="359"/>
        <v/>
      </c>
      <c r="S847" s="137"/>
      <c r="T847" s="79" t="str">
        <f t="shared" si="368"/>
        <v/>
      </c>
      <c r="U847" s="79" t="str">
        <f t="shared" si="360"/>
        <v/>
      </c>
      <c r="V847" s="73" t="str">
        <f t="shared" si="361"/>
        <v/>
      </c>
      <c r="W847" s="80" t="str">
        <f t="shared" si="362"/>
        <v/>
      </c>
      <c r="X847" s="73" t="str">
        <f t="shared" si="363"/>
        <v/>
      </c>
      <c r="Y847" s="80" t="str">
        <f t="shared" si="364"/>
        <v/>
      </c>
      <c r="Z847" s="74" t="str">
        <f t="shared" si="365"/>
        <v/>
      </c>
      <c r="AA847" s="75" t="str">
        <f t="shared" si="369"/>
        <v/>
      </c>
      <c r="AB847" s="103" t="str">
        <f t="shared" si="366"/>
        <v/>
      </c>
      <c r="AC847" s="104" t="str">
        <f t="shared" si="377"/>
        <v/>
      </c>
      <c r="AE847" s="139"/>
      <c r="AF847" s="110" t="str">
        <f t="shared" si="370"/>
        <v/>
      </c>
      <c r="AG847" s="111" t="str">
        <f t="shared" si="371"/>
        <v/>
      </c>
      <c r="AH847" s="111" t="str">
        <f t="shared" si="367"/>
        <v/>
      </c>
      <c r="AI847" s="111" t="str">
        <f t="shared" si="372"/>
        <v/>
      </c>
      <c r="AJ847" s="111" t="str">
        <f t="shared" si="373"/>
        <v/>
      </c>
      <c r="AK847" s="112" t="str">
        <f t="shared" si="374"/>
        <v/>
      </c>
      <c r="AL847" t="str">
        <f t="shared" si="375"/>
        <v/>
      </c>
      <c r="AM847" t="str">
        <f t="shared" si="376"/>
        <v/>
      </c>
    </row>
    <row r="848" spans="1:39" ht="15" customHeight="1" x14ac:dyDescent="0.25">
      <c r="A848" s="131"/>
      <c r="B848" s="133"/>
      <c r="C848" s="133"/>
      <c r="D848" s="42" t="str">
        <f t="shared" si="351"/>
        <v/>
      </c>
      <c r="E848" s="43"/>
      <c r="F848" s="135"/>
      <c r="G848" s="77" t="str">
        <f t="shared" si="352"/>
        <v/>
      </c>
      <c r="H848" s="32" t="str">
        <f t="shared" si="353"/>
        <v/>
      </c>
      <c r="I848" s="78" t="str">
        <f t="shared" si="354"/>
        <v/>
      </c>
      <c r="J848" s="70" t="str">
        <f t="shared" si="355"/>
        <v/>
      </c>
      <c r="K848" s="135"/>
      <c r="L848" s="72" t="str">
        <f t="shared" si="356"/>
        <v/>
      </c>
      <c r="M848" s="135"/>
      <c r="N848" s="72" t="str">
        <f t="shared" si="357"/>
        <v/>
      </c>
      <c r="O848" s="135"/>
      <c r="P848" s="136"/>
      <c r="Q848" s="123" t="str">
        <f t="shared" si="358"/>
        <v/>
      </c>
      <c r="R848" s="45" t="str">
        <f t="shared" si="359"/>
        <v/>
      </c>
      <c r="S848" s="137"/>
      <c r="T848" s="79" t="str">
        <f t="shared" si="368"/>
        <v/>
      </c>
      <c r="U848" s="79" t="str">
        <f t="shared" si="360"/>
        <v/>
      </c>
      <c r="V848" s="73" t="str">
        <f t="shared" si="361"/>
        <v/>
      </c>
      <c r="W848" s="80" t="str">
        <f t="shared" si="362"/>
        <v/>
      </c>
      <c r="X848" s="73" t="str">
        <f t="shared" si="363"/>
        <v/>
      </c>
      <c r="Y848" s="80" t="str">
        <f t="shared" si="364"/>
        <v/>
      </c>
      <c r="Z848" s="74" t="str">
        <f t="shared" si="365"/>
        <v/>
      </c>
      <c r="AA848" s="75" t="str">
        <f t="shared" si="369"/>
        <v/>
      </c>
      <c r="AB848" s="103" t="str">
        <f t="shared" si="366"/>
        <v/>
      </c>
      <c r="AC848" s="104" t="str">
        <f t="shared" si="377"/>
        <v/>
      </c>
      <c r="AE848" s="139"/>
      <c r="AF848" s="110" t="str">
        <f t="shared" si="370"/>
        <v/>
      </c>
      <c r="AG848" s="111" t="str">
        <f t="shared" si="371"/>
        <v/>
      </c>
      <c r="AH848" s="111" t="str">
        <f t="shared" si="367"/>
        <v/>
      </c>
      <c r="AI848" s="111" t="str">
        <f t="shared" si="372"/>
        <v/>
      </c>
      <c r="AJ848" s="111" t="str">
        <f t="shared" si="373"/>
        <v/>
      </c>
      <c r="AK848" s="112" t="str">
        <f t="shared" si="374"/>
        <v/>
      </c>
      <c r="AL848" t="str">
        <f t="shared" si="375"/>
        <v/>
      </c>
      <c r="AM848" t="str">
        <f t="shared" si="376"/>
        <v/>
      </c>
    </row>
    <row r="849" spans="1:39" ht="15" customHeight="1" x14ac:dyDescent="0.25">
      <c r="A849" s="131"/>
      <c r="B849" s="133"/>
      <c r="C849" s="133"/>
      <c r="D849" s="42" t="str">
        <f t="shared" si="351"/>
        <v/>
      </c>
      <c r="E849" s="43"/>
      <c r="F849" s="135"/>
      <c r="G849" s="77" t="str">
        <f t="shared" si="352"/>
        <v/>
      </c>
      <c r="H849" s="32" t="str">
        <f t="shared" si="353"/>
        <v/>
      </c>
      <c r="I849" s="78" t="str">
        <f t="shared" si="354"/>
        <v/>
      </c>
      <c r="J849" s="70" t="str">
        <f t="shared" si="355"/>
        <v/>
      </c>
      <c r="K849" s="135"/>
      <c r="L849" s="72" t="str">
        <f t="shared" si="356"/>
        <v/>
      </c>
      <c r="M849" s="135"/>
      <c r="N849" s="72" t="str">
        <f t="shared" si="357"/>
        <v/>
      </c>
      <c r="O849" s="135"/>
      <c r="P849" s="136"/>
      <c r="Q849" s="123" t="str">
        <f t="shared" si="358"/>
        <v/>
      </c>
      <c r="R849" s="45" t="str">
        <f t="shared" si="359"/>
        <v/>
      </c>
      <c r="S849" s="137"/>
      <c r="T849" s="79" t="str">
        <f t="shared" si="368"/>
        <v/>
      </c>
      <c r="U849" s="79" t="str">
        <f t="shared" si="360"/>
        <v/>
      </c>
      <c r="V849" s="73" t="str">
        <f t="shared" si="361"/>
        <v/>
      </c>
      <c r="W849" s="80" t="str">
        <f t="shared" si="362"/>
        <v/>
      </c>
      <c r="X849" s="73" t="str">
        <f t="shared" si="363"/>
        <v/>
      </c>
      <c r="Y849" s="80" t="str">
        <f t="shared" si="364"/>
        <v/>
      </c>
      <c r="Z849" s="74" t="str">
        <f t="shared" si="365"/>
        <v/>
      </c>
      <c r="AA849" s="75" t="str">
        <f t="shared" si="369"/>
        <v/>
      </c>
      <c r="AB849" s="103" t="str">
        <f t="shared" si="366"/>
        <v/>
      </c>
      <c r="AC849" s="104" t="str">
        <f t="shared" si="377"/>
        <v/>
      </c>
      <c r="AE849" s="139"/>
      <c r="AF849" s="110" t="str">
        <f t="shared" si="370"/>
        <v/>
      </c>
      <c r="AG849" s="111" t="str">
        <f t="shared" si="371"/>
        <v/>
      </c>
      <c r="AH849" s="111" t="str">
        <f t="shared" si="367"/>
        <v/>
      </c>
      <c r="AI849" s="111" t="str">
        <f t="shared" si="372"/>
        <v/>
      </c>
      <c r="AJ849" s="111" t="str">
        <f t="shared" si="373"/>
        <v/>
      </c>
      <c r="AK849" s="112" t="str">
        <f t="shared" si="374"/>
        <v/>
      </c>
      <c r="AL849" t="str">
        <f t="shared" si="375"/>
        <v/>
      </c>
      <c r="AM849" t="str">
        <f t="shared" si="376"/>
        <v/>
      </c>
    </row>
    <row r="850" spans="1:39" ht="15" customHeight="1" x14ac:dyDescent="0.25">
      <c r="A850" s="131"/>
      <c r="B850" s="133"/>
      <c r="C850" s="133"/>
      <c r="D850" s="42" t="str">
        <f t="shared" si="351"/>
        <v/>
      </c>
      <c r="E850" s="43"/>
      <c r="F850" s="135"/>
      <c r="G850" s="77" t="str">
        <f t="shared" si="352"/>
        <v/>
      </c>
      <c r="H850" s="32" t="str">
        <f t="shared" si="353"/>
        <v/>
      </c>
      <c r="I850" s="78" t="str">
        <f t="shared" si="354"/>
        <v/>
      </c>
      <c r="J850" s="70" t="str">
        <f t="shared" si="355"/>
        <v/>
      </c>
      <c r="K850" s="135"/>
      <c r="L850" s="72" t="str">
        <f t="shared" si="356"/>
        <v/>
      </c>
      <c r="M850" s="135"/>
      <c r="N850" s="72" t="str">
        <f t="shared" si="357"/>
        <v/>
      </c>
      <c r="O850" s="135"/>
      <c r="P850" s="136"/>
      <c r="Q850" s="123" t="str">
        <f t="shared" si="358"/>
        <v/>
      </c>
      <c r="R850" s="45" t="str">
        <f t="shared" si="359"/>
        <v/>
      </c>
      <c r="S850" s="137"/>
      <c r="T850" s="79" t="str">
        <f t="shared" si="368"/>
        <v/>
      </c>
      <c r="U850" s="79" t="str">
        <f t="shared" si="360"/>
        <v/>
      </c>
      <c r="V850" s="73" t="str">
        <f t="shared" si="361"/>
        <v/>
      </c>
      <c r="W850" s="80" t="str">
        <f t="shared" si="362"/>
        <v/>
      </c>
      <c r="X850" s="73" t="str">
        <f t="shared" si="363"/>
        <v/>
      </c>
      <c r="Y850" s="80" t="str">
        <f t="shared" si="364"/>
        <v/>
      </c>
      <c r="Z850" s="74" t="str">
        <f t="shared" si="365"/>
        <v/>
      </c>
      <c r="AA850" s="75" t="str">
        <f t="shared" si="369"/>
        <v/>
      </c>
      <c r="AB850" s="103" t="str">
        <f t="shared" si="366"/>
        <v/>
      </c>
      <c r="AC850" s="104" t="str">
        <f t="shared" si="377"/>
        <v/>
      </c>
      <c r="AE850" s="139"/>
      <c r="AF850" s="110" t="str">
        <f t="shared" si="370"/>
        <v/>
      </c>
      <c r="AG850" s="111" t="str">
        <f t="shared" si="371"/>
        <v/>
      </c>
      <c r="AH850" s="111" t="str">
        <f t="shared" si="367"/>
        <v/>
      </c>
      <c r="AI850" s="111" t="str">
        <f t="shared" si="372"/>
        <v/>
      </c>
      <c r="AJ850" s="111" t="str">
        <f t="shared" si="373"/>
        <v/>
      </c>
      <c r="AK850" s="112" t="str">
        <f t="shared" si="374"/>
        <v/>
      </c>
      <c r="AL850" t="str">
        <f t="shared" si="375"/>
        <v/>
      </c>
      <c r="AM850" t="str">
        <f t="shared" si="376"/>
        <v/>
      </c>
    </row>
    <row r="851" spans="1:39" ht="15" customHeight="1" x14ac:dyDescent="0.25">
      <c r="A851" s="131"/>
      <c r="B851" s="133"/>
      <c r="C851" s="133"/>
      <c r="D851" s="42" t="str">
        <f t="shared" si="351"/>
        <v/>
      </c>
      <c r="E851" s="43"/>
      <c r="F851" s="135"/>
      <c r="G851" s="77" t="str">
        <f t="shared" si="352"/>
        <v/>
      </c>
      <c r="H851" s="32" t="str">
        <f t="shared" si="353"/>
        <v/>
      </c>
      <c r="I851" s="78" t="str">
        <f t="shared" si="354"/>
        <v/>
      </c>
      <c r="J851" s="70" t="str">
        <f t="shared" si="355"/>
        <v/>
      </c>
      <c r="K851" s="135"/>
      <c r="L851" s="72" t="str">
        <f t="shared" si="356"/>
        <v/>
      </c>
      <c r="M851" s="135"/>
      <c r="N851" s="72" t="str">
        <f t="shared" si="357"/>
        <v/>
      </c>
      <c r="O851" s="135"/>
      <c r="P851" s="136"/>
      <c r="Q851" s="123" t="str">
        <f t="shared" si="358"/>
        <v/>
      </c>
      <c r="R851" s="45" t="str">
        <f t="shared" si="359"/>
        <v/>
      </c>
      <c r="S851" s="137"/>
      <c r="T851" s="79" t="str">
        <f t="shared" si="368"/>
        <v/>
      </c>
      <c r="U851" s="79" t="str">
        <f t="shared" si="360"/>
        <v/>
      </c>
      <c r="V851" s="73" t="str">
        <f t="shared" si="361"/>
        <v/>
      </c>
      <c r="W851" s="80" t="str">
        <f t="shared" si="362"/>
        <v/>
      </c>
      <c r="X851" s="73" t="str">
        <f t="shared" si="363"/>
        <v/>
      </c>
      <c r="Y851" s="80" t="str">
        <f t="shared" si="364"/>
        <v/>
      </c>
      <c r="Z851" s="74" t="str">
        <f t="shared" si="365"/>
        <v/>
      </c>
      <c r="AA851" s="75" t="str">
        <f t="shared" si="369"/>
        <v/>
      </c>
      <c r="AB851" s="103" t="str">
        <f t="shared" si="366"/>
        <v/>
      </c>
      <c r="AC851" s="104" t="str">
        <f t="shared" si="377"/>
        <v/>
      </c>
      <c r="AE851" s="139"/>
      <c r="AF851" s="110" t="str">
        <f t="shared" si="370"/>
        <v/>
      </c>
      <c r="AG851" s="111" t="str">
        <f t="shared" si="371"/>
        <v/>
      </c>
      <c r="AH851" s="111" t="str">
        <f t="shared" si="367"/>
        <v/>
      </c>
      <c r="AI851" s="111" t="str">
        <f t="shared" si="372"/>
        <v/>
      </c>
      <c r="AJ851" s="111" t="str">
        <f t="shared" si="373"/>
        <v/>
      </c>
      <c r="AK851" s="112" t="str">
        <f t="shared" si="374"/>
        <v/>
      </c>
      <c r="AL851" t="str">
        <f t="shared" si="375"/>
        <v/>
      </c>
      <c r="AM851" t="str">
        <f t="shared" si="376"/>
        <v/>
      </c>
    </row>
    <row r="852" spans="1:39" ht="15" customHeight="1" x14ac:dyDescent="0.25">
      <c r="A852" s="131"/>
      <c r="B852" s="133"/>
      <c r="C852" s="133"/>
      <c r="D852" s="42" t="str">
        <f t="shared" si="351"/>
        <v/>
      </c>
      <c r="E852" s="43"/>
      <c r="F852" s="135"/>
      <c r="G852" s="77" t="str">
        <f t="shared" si="352"/>
        <v/>
      </c>
      <c r="H852" s="32" t="str">
        <f t="shared" si="353"/>
        <v/>
      </c>
      <c r="I852" s="78" t="str">
        <f t="shared" si="354"/>
        <v/>
      </c>
      <c r="J852" s="70" t="str">
        <f t="shared" si="355"/>
        <v/>
      </c>
      <c r="K852" s="135"/>
      <c r="L852" s="72" t="str">
        <f t="shared" si="356"/>
        <v/>
      </c>
      <c r="M852" s="135"/>
      <c r="N852" s="72" t="str">
        <f t="shared" si="357"/>
        <v/>
      </c>
      <c r="O852" s="135"/>
      <c r="P852" s="136"/>
      <c r="Q852" s="123" t="str">
        <f t="shared" si="358"/>
        <v/>
      </c>
      <c r="R852" s="45" t="str">
        <f t="shared" si="359"/>
        <v/>
      </c>
      <c r="S852" s="137"/>
      <c r="T852" s="79" t="str">
        <f t="shared" si="368"/>
        <v/>
      </c>
      <c r="U852" s="79" t="str">
        <f t="shared" si="360"/>
        <v/>
      </c>
      <c r="V852" s="73" t="str">
        <f t="shared" si="361"/>
        <v/>
      </c>
      <c r="W852" s="80" t="str">
        <f t="shared" si="362"/>
        <v/>
      </c>
      <c r="X852" s="73" t="str">
        <f t="shared" si="363"/>
        <v/>
      </c>
      <c r="Y852" s="80" t="str">
        <f t="shared" si="364"/>
        <v/>
      </c>
      <c r="Z852" s="74" t="str">
        <f t="shared" si="365"/>
        <v/>
      </c>
      <c r="AA852" s="75" t="str">
        <f t="shared" si="369"/>
        <v/>
      </c>
      <c r="AB852" s="103" t="str">
        <f t="shared" si="366"/>
        <v/>
      </c>
      <c r="AC852" s="104" t="str">
        <f t="shared" si="377"/>
        <v/>
      </c>
      <c r="AE852" s="139"/>
      <c r="AF852" s="110" t="str">
        <f t="shared" si="370"/>
        <v/>
      </c>
      <c r="AG852" s="111" t="str">
        <f t="shared" si="371"/>
        <v/>
      </c>
      <c r="AH852" s="111" t="str">
        <f t="shared" si="367"/>
        <v/>
      </c>
      <c r="AI852" s="111" t="str">
        <f t="shared" si="372"/>
        <v/>
      </c>
      <c r="AJ852" s="111" t="str">
        <f t="shared" si="373"/>
        <v/>
      </c>
      <c r="AK852" s="112" t="str">
        <f t="shared" si="374"/>
        <v/>
      </c>
      <c r="AL852" t="str">
        <f t="shared" si="375"/>
        <v/>
      </c>
      <c r="AM852" t="str">
        <f t="shared" si="376"/>
        <v/>
      </c>
    </row>
    <row r="853" spans="1:39" ht="15" customHeight="1" x14ac:dyDescent="0.25">
      <c r="A853" s="131"/>
      <c r="B853" s="133"/>
      <c r="C853" s="133"/>
      <c r="D853" s="42" t="str">
        <f t="shared" si="351"/>
        <v/>
      </c>
      <c r="E853" s="43"/>
      <c r="F853" s="135"/>
      <c r="G853" s="77" t="str">
        <f t="shared" si="352"/>
        <v/>
      </c>
      <c r="H853" s="32" t="str">
        <f t="shared" si="353"/>
        <v/>
      </c>
      <c r="I853" s="78" t="str">
        <f t="shared" si="354"/>
        <v/>
      </c>
      <c r="J853" s="70" t="str">
        <f t="shared" si="355"/>
        <v/>
      </c>
      <c r="K853" s="135"/>
      <c r="L853" s="72" t="str">
        <f t="shared" si="356"/>
        <v/>
      </c>
      <c r="M853" s="135"/>
      <c r="N853" s="72" t="str">
        <f t="shared" si="357"/>
        <v/>
      </c>
      <c r="O853" s="135"/>
      <c r="P853" s="136"/>
      <c r="Q853" s="123" t="str">
        <f t="shared" si="358"/>
        <v/>
      </c>
      <c r="R853" s="45" t="str">
        <f t="shared" si="359"/>
        <v/>
      </c>
      <c r="S853" s="137"/>
      <c r="T853" s="79" t="str">
        <f t="shared" si="368"/>
        <v/>
      </c>
      <c r="U853" s="79" t="str">
        <f t="shared" si="360"/>
        <v/>
      </c>
      <c r="V853" s="73" t="str">
        <f t="shared" si="361"/>
        <v/>
      </c>
      <c r="W853" s="80" t="str">
        <f t="shared" si="362"/>
        <v/>
      </c>
      <c r="X853" s="73" t="str">
        <f t="shared" si="363"/>
        <v/>
      </c>
      <c r="Y853" s="80" t="str">
        <f t="shared" si="364"/>
        <v/>
      </c>
      <c r="Z853" s="74" t="str">
        <f t="shared" si="365"/>
        <v/>
      </c>
      <c r="AA853" s="75" t="str">
        <f t="shared" si="369"/>
        <v/>
      </c>
      <c r="AB853" s="103" t="str">
        <f t="shared" si="366"/>
        <v/>
      </c>
      <c r="AC853" s="104" t="str">
        <f t="shared" si="377"/>
        <v/>
      </c>
      <c r="AE853" s="139"/>
      <c r="AF853" s="110" t="str">
        <f t="shared" si="370"/>
        <v/>
      </c>
      <c r="AG853" s="111" t="str">
        <f t="shared" si="371"/>
        <v/>
      </c>
      <c r="AH853" s="111" t="str">
        <f t="shared" si="367"/>
        <v/>
      </c>
      <c r="AI853" s="111" t="str">
        <f t="shared" si="372"/>
        <v/>
      </c>
      <c r="AJ853" s="111" t="str">
        <f t="shared" si="373"/>
        <v/>
      </c>
      <c r="AK853" s="112" t="str">
        <f t="shared" si="374"/>
        <v/>
      </c>
      <c r="AL853" t="str">
        <f t="shared" si="375"/>
        <v/>
      </c>
      <c r="AM853" t="str">
        <f t="shared" si="376"/>
        <v/>
      </c>
    </row>
    <row r="854" spans="1:39" ht="15" customHeight="1" x14ac:dyDescent="0.25">
      <c r="A854" s="131"/>
      <c r="B854" s="133"/>
      <c r="C854" s="133"/>
      <c r="D854" s="42" t="str">
        <f t="shared" si="351"/>
        <v/>
      </c>
      <c r="E854" s="43"/>
      <c r="F854" s="135"/>
      <c r="G854" s="77" t="str">
        <f t="shared" si="352"/>
        <v/>
      </c>
      <c r="H854" s="32" t="str">
        <f t="shared" si="353"/>
        <v/>
      </c>
      <c r="I854" s="78" t="str">
        <f t="shared" si="354"/>
        <v/>
      </c>
      <c r="J854" s="70" t="str">
        <f t="shared" si="355"/>
        <v/>
      </c>
      <c r="K854" s="135"/>
      <c r="L854" s="72" t="str">
        <f t="shared" si="356"/>
        <v/>
      </c>
      <c r="M854" s="135"/>
      <c r="N854" s="72" t="str">
        <f t="shared" si="357"/>
        <v/>
      </c>
      <c r="O854" s="135"/>
      <c r="P854" s="136"/>
      <c r="Q854" s="123" t="str">
        <f t="shared" si="358"/>
        <v/>
      </c>
      <c r="R854" s="45" t="str">
        <f t="shared" si="359"/>
        <v/>
      </c>
      <c r="S854" s="137"/>
      <c r="T854" s="79" t="str">
        <f t="shared" si="368"/>
        <v/>
      </c>
      <c r="U854" s="79" t="str">
        <f t="shared" si="360"/>
        <v/>
      </c>
      <c r="V854" s="73" t="str">
        <f t="shared" si="361"/>
        <v/>
      </c>
      <c r="W854" s="80" t="str">
        <f t="shared" si="362"/>
        <v/>
      </c>
      <c r="X854" s="73" t="str">
        <f t="shared" si="363"/>
        <v/>
      </c>
      <c r="Y854" s="80" t="str">
        <f t="shared" si="364"/>
        <v/>
      </c>
      <c r="Z854" s="74" t="str">
        <f t="shared" si="365"/>
        <v/>
      </c>
      <c r="AA854" s="75" t="str">
        <f t="shared" si="369"/>
        <v/>
      </c>
      <c r="AB854" s="103" t="str">
        <f t="shared" si="366"/>
        <v/>
      </c>
      <c r="AC854" s="104" t="str">
        <f t="shared" si="377"/>
        <v/>
      </c>
      <c r="AE854" s="139"/>
      <c r="AF854" s="110" t="str">
        <f t="shared" si="370"/>
        <v/>
      </c>
      <c r="AG854" s="111" t="str">
        <f t="shared" si="371"/>
        <v/>
      </c>
      <c r="AH854" s="111" t="str">
        <f t="shared" si="367"/>
        <v/>
      </c>
      <c r="AI854" s="111" t="str">
        <f t="shared" si="372"/>
        <v/>
      </c>
      <c r="AJ854" s="111" t="str">
        <f t="shared" si="373"/>
        <v/>
      </c>
      <c r="AK854" s="112" t="str">
        <f t="shared" si="374"/>
        <v/>
      </c>
      <c r="AL854" t="str">
        <f t="shared" si="375"/>
        <v/>
      </c>
      <c r="AM854" t="str">
        <f t="shared" si="376"/>
        <v/>
      </c>
    </row>
    <row r="855" spans="1:39" ht="15" customHeight="1" x14ac:dyDescent="0.25">
      <c r="A855" s="131"/>
      <c r="B855" s="133"/>
      <c r="C855" s="133"/>
      <c r="D855" s="42" t="str">
        <f t="shared" si="351"/>
        <v/>
      </c>
      <c r="E855" s="43"/>
      <c r="F855" s="135"/>
      <c r="G855" s="77" t="str">
        <f t="shared" si="352"/>
        <v/>
      </c>
      <c r="H855" s="32" t="str">
        <f t="shared" si="353"/>
        <v/>
      </c>
      <c r="I855" s="78" t="str">
        <f t="shared" si="354"/>
        <v/>
      </c>
      <c r="J855" s="70" t="str">
        <f t="shared" si="355"/>
        <v/>
      </c>
      <c r="K855" s="135"/>
      <c r="L855" s="72" t="str">
        <f t="shared" si="356"/>
        <v/>
      </c>
      <c r="M855" s="135"/>
      <c r="N855" s="72" t="str">
        <f t="shared" si="357"/>
        <v/>
      </c>
      <c r="O855" s="135"/>
      <c r="P855" s="136"/>
      <c r="Q855" s="123" t="str">
        <f t="shared" si="358"/>
        <v/>
      </c>
      <c r="R855" s="45" t="str">
        <f t="shared" si="359"/>
        <v/>
      </c>
      <c r="S855" s="137"/>
      <c r="T855" s="79" t="str">
        <f t="shared" si="368"/>
        <v/>
      </c>
      <c r="U855" s="79" t="str">
        <f t="shared" si="360"/>
        <v/>
      </c>
      <c r="V855" s="73" t="str">
        <f t="shared" si="361"/>
        <v/>
      </c>
      <c r="W855" s="80" t="str">
        <f t="shared" si="362"/>
        <v/>
      </c>
      <c r="X855" s="73" t="str">
        <f t="shared" si="363"/>
        <v/>
      </c>
      <c r="Y855" s="80" t="str">
        <f t="shared" si="364"/>
        <v/>
      </c>
      <c r="Z855" s="74" t="str">
        <f t="shared" si="365"/>
        <v/>
      </c>
      <c r="AA855" s="75" t="str">
        <f t="shared" si="369"/>
        <v/>
      </c>
      <c r="AB855" s="103" t="str">
        <f t="shared" si="366"/>
        <v/>
      </c>
      <c r="AC855" s="104" t="str">
        <f t="shared" si="377"/>
        <v/>
      </c>
      <c r="AE855" s="139"/>
      <c r="AF855" s="110" t="str">
        <f t="shared" si="370"/>
        <v/>
      </c>
      <c r="AG855" s="111" t="str">
        <f t="shared" si="371"/>
        <v/>
      </c>
      <c r="AH855" s="111" t="str">
        <f t="shared" si="367"/>
        <v/>
      </c>
      <c r="AI855" s="111" t="str">
        <f t="shared" si="372"/>
        <v/>
      </c>
      <c r="AJ855" s="111" t="str">
        <f t="shared" si="373"/>
        <v/>
      </c>
      <c r="AK855" s="112" t="str">
        <f t="shared" si="374"/>
        <v/>
      </c>
      <c r="AL855" t="str">
        <f t="shared" si="375"/>
        <v/>
      </c>
      <c r="AM855" t="str">
        <f t="shared" si="376"/>
        <v/>
      </c>
    </row>
    <row r="856" spans="1:39" ht="15" customHeight="1" x14ac:dyDescent="0.25">
      <c r="A856" s="131"/>
      <c r="B856" s="133"/>
      <c r="C856" s="133"/>
      <c r="D856" s="42" t="str">
        <f t="shared" si="351"/>
        <v/>
      </c>
      <c r="E856" s="43"/>
      <c r="F856" s="135"/>
      <c r="G856" s="77" t="str">
        <f t="shared" si="352"/>
        <v/>
      </c>
      <c r="H856" s="32" t="str">
        <f t="shared" si="353"/>
        <v/>
      </c>
      <c r="I856" s="78" t="str">
        <f t="shared" si="354"/>
        <v/>
      </c>
      <c r="J856" s="70" t="str">
        <f t="shared" si="355"/>
        <v/>
      </c>
      <c r="K856" s="135"/>
      <c r="L856" s="72" t="str">
        <f t="shared" si="356"/>
        <v/>
      </c>
      <c r="M856" s="135"/>
      <c r="N856" s="72" t="str">
        <f t="shared" si="357"/>
        <v/>
      </c>
      <c r="O856" s="135"/>
      <c r="P856" s="136"/>
      <c r="Q856" s="123" t="str">
        <f t="shared" si="358"/>
        <v/>
      </c>
      <c r="R856" s="45" t="str">
        <f t="shared" si="359"/>
        <v/>
      </c>
      <c r="S856" s="137"/>
      <c r="T856" s="79" t="str">
        <f t="shared" si="368"/>
        <v/>
      </c>
      <c r="U856" s="79" t="str">
        <f t="shared" si="360"/>
        <v/>
      </c>
      <c r="V856" s="73" t="str">
        <f t="shared" si="361"/>
        <v/>
      </c>
      <c r="W856" s="80" t="str">
        <f t="shared" si="362"/>
        <v/>
      </c>
      <c r="X856" s="73" t="str">
        <f t="shared" si="363"/>
        <v/>
      </c>
      <c r="Y856" s="80" t="str">
        <f t="shared" si="364"/>
        <v/>
      </c>
      <c r="Z856" s="74" t="str">
        <f t="shared" si="365"/>
        <v/>
      </c>
      <c r="AA856" s="75" t="str">
        <f t="shared" si="369"/>
        <v/>
      </c>
      <c r="AB856" s="103" t="str">
        <f t="shared" si="366"/>
        <v/>
      </c>
      <c r="AC856" s="104" t="str">
        <f t="shared" si="377"/>
        <v/>
      </c>
      <c r="AE856" s="139"/>
      <c r="AF856" s="110" t="str">
        <f t="shared" si="370"/>
        <v/>
      </c>
      <c r="AG856" s="111" t="str">
        <f t="shared" si="371"/>
        <v/>
      </c>
      <c r="AH856" s="111" t="str">
        <f t="shared" si="367"/>
        <v/>
      </c>
      <c r="AI856" s="111" t="str">
        <f t="shared" si="372"/>
        <v/>
      </c>
      <c r="AJ856" s="111" t="str">
        <f t="shared" si="373"/>
        <v/>
      </c>
      <c r="AK856" s="112" t="str">
        <f t="shared" si="374"/>
        <v/>
      </c>
      <c r="AL856" t="str">
        <f t="shared" si="375"/>
        <v/>
      </c>
      <c r="AM856" t="str">
        <f t="shared" si="376"/>
        <v/>
      </c>
    </row>
    <row r="857" spans="1:39" ht="15" customHeight="1" x14ac:dyDescent="0.25">
      <c r="A857" s="131"/>
      <c r="B857" s="133"/>
      <c r="C857" s="133"/>
      <c r="D857" s="42" t="str">
        <f t="shared" si="351"/>
        <v/>
      </c>
      <c r="E857" s="43"/>
      <c r="F857" s="135"/>
      <c r="G857" s="77" t="str">
        <f t="shared" si="352"/>
        <v/>
      </c>
      <c r="H857" s="32" t="str">
        <f t="shared" si="353"/>
        <v/>
      </c>
      <c r="I857" s="78" t="str">
        <f t="shared" si="354"/>
        <v/>
      </c>
      <c r="J857" s="70" t="str">
        <f t="shared" si="355"/>
        <v/>
      </c>
      <c r="K857" s="135"/>
      <c r="L857" s="72" t="str">
        <f t="shared" si="356"/>
        <v/>
      </c>
      <c r="M857" s="135"/>
      <c r="N857" s="72" t="str">
        <f t="shared" si="357"/>
        <v/>
      </c>
      <c r="O857" s="135"/>
      <c r="P857" s="136"/>
      <c r="Q857" s="123" t="str">
        <f t="shared" si="358"/>
        <v/>
      </c>
      <c r="R857" s="45" t="str">
        <f t="shared" si="359"/>
        <v/>
      </c>
      <c r="S857" s="137"/>
      <c r="T857" s="79" t="str">
        <f t="shared" si="368"/>
        <v/>
      </c>
      <c r="U857" s="79" t="str">
        <f t="shared" si="360"/>
        <v/>
      </c>
      <c r="V857" s="73" t="str">
        <f t="shared" si="361"/>
        <v/>
      </c>
      <c r="W857" s="80" t="str">
        <f t="shared" si="362"/>
        <v/>
      </c>
      <c r="X857" s="73" t="str">
        <f t="shared" si="363"/>
        <v/>
      </c>
      <c r="Y857" s="80" t="str">
        <f t="shared" si="364"/>
        <v/>
      </c>
      <c r="Z857" s="74" t="str">
        <f t="shared" si="365"/>
        <v/>
      </c>
      <c r="AA857" s="75" t="str">
        <f t="shared" si="369"/>
        <v/>
      </c>
      <c r="AB857" s="103" t="str">
        <f t="shared" si="366"/>
        <v/>
      </c>
      <c r="AC857" s="104" t="str">
        <f t="shared" si="377"/>
        <v/>
      </c>
      <c r="AE857" s="139"/>
      <c r="AF857" s="110" t="str">
        <f t="shared" si="370"/>
        <v/>
      </c>
      <c r="AG857" s="111" t="str">
        <f t="shared" si="371"/>
        <v/>
      </c>
      <c r="AH857" s="111" t="str">
        <f t="shared" si="367"/>
        <v/>
      </c>
      <c r="AI857" s="111" t="str">
        <f t="shared" si="372"/>
        <v/>
      </c>
      <c r="AJ857" s="111" t="str">
        <f t="shared" si="373"/>
        <v/>
      </c>
      <c r="AK857" s="112" t="str">
        <f t="shared" si="374"/>
        <v/>
      </c>
      <c r="AL857" t="str">
        <f t="shared" si="375"/>
        <v/>
      </c>
      <c r="AM857" t="str">
        <f t="shared" si="376"/>
        <v/>
      </c>
    </row>
    <row r="858" spans="1:39" ht="15" customHeight="1" x14ac:dyDescent="0.25">
      <c r="A858" s="131"/>
      <c r="B858" s="133"/>
      <c r="C858" s="133"/>
      <c r="D858" s="42" t="str">
        <f t="shared" si="351"/>
        <v/>
      </c>
      <c r="E858" s="43"/>
      <c r="F858" s="135"/>
      <c r="G858" s="77" t="str">
        <f t="shared" si="352"/>
        <v/>
      </c>
      <c r="H858" s="32" t="str">
        <f t="shared" si="353"/>
        <v/>
      </c>
      <c r="I858" s="78" t="str">
        <f t="shared" si="354"/>
        <v/>
      </c>
      <c r="J858" s="70" t="str">
        <f t="shared" si="355"/>
        <v/>
      </c>
      <c r="K858" s="135"/>
      <c r="L858" s="72" t="str">
        <f t="shared" si="356"/>
        <v/>
      </c>
      <c r="M858" s="135"/>
      <c r="N858" s="72" t="str">
        <f t="shared" si="357"/>
        <v/>
      </c>
      <c r="O858" s="135"/>
      <c r="P858" s="136"/>
      <c r="Q858" s="123" t="str">
        <f t="shared" si="358"/>
        <v/>
      </c>
      <c r="R858" s="45" t="str">
        <f t="shared" si="359"/>
        <v/>
      </c>
      <c r="S858" s="137"/>
      <c r="T858" s="79" t="str">
        <f t="shared" si="368"/>
        <v/>
      </c>
      <c r="U858" s="79" t="str">
        <f t="shared" si="360"/>
        <v/>
      </c>
      <c r="V858" s="73" t="str">
        <f t="shared" si="361"/>
        <v/>
      </c>
      <c r="W858" s="80" t="str">
        <f t="shared" si="362"/>
        <v/>
      </c>
      <c r="X858" s="73" t="str">
        <f t="shared" si="363"/>
        <v/>
      </c>
      <c r="Y858" s="80" t="str">
        <f t="shared" si="364"/>
        <v/>
      </c>
      <c r="Z858" s="74" t="str">
        <f t="shared" si="365"/>
        <v/>
      </c>
      <c r="AA858" s="75" t="str">
        <f t="shared" si="369"/>
        <v/>
      </c>
      <c r="AB858" s="103" t="str">
        <f t="shared" si="366"/>
        <v/>
      </c>
      <c r="AC858" s="104" t="str">
        <f t="shared" si="377"/>
        <v/>
      </c>
      <c r="AE858" s="139"/>
      <c r="AF858" s="110" t="str">
        <f t="shared" si="370"/>
        <v/>
      </c>
      <c r="AG858" s="111" t="str">
        <f t="shared" si="371"/>
        <v/>
      </c>
      <c r="AH858" s="111" t="str">
        <f t="shared" si="367"/>
        <v/>
      </c>
      <c r="AI858" s="111" t="str">
        <f t="shared" si="372"/>
        <v/>
      </c>
      <c r="AJ858" s="111" t="str">
        <f t="shared" si="373"/>
        <v/>
      </c>
      <c r="AK858" s="112" t="str">
        <f t="shared" si="374"/>
        <v/>
      </c>
      <c r="AL858" t="str">
        <f t="shared" si="375"/>
        <v/>
      </c>
      <c r="AM858" t="str">
        <f t="shared" si="376"/>
        <v/>
      </c>
    </row>
    <row r="859" spans="1:39" ht="15" customHeight="1" x14ac:dyDescent="0.25">
      <c r="A859" s="131"/>
      <c r="B859" s="133"/>
      <c r="C859" s="133"/>
      <c r="D859" s="42" t="str">
        <f t="shared" si="351"/>
        <v/>
      </c>
      <c r="E859" s="43"/>
      <c r="F859" s="135"/>
      <c r="G859" s="77" t="str">
        <f t="shared" si="352"/>
        <v/>
      </c>
      <c r="H859" s="32" t="str">
        <f t="shared" si="353"/>
        <v/>
      </c>
      <c r="I859" s="78" t="str">
        <f t="shared" si="354"/>
        <v/>
      </c>
      <c r="J859" s="70" t="str">
        <f t="shared" si="355"/>
        <v/>
      </c>
      <c r="K859" s="135"/>
      <c r="L859" s="72" t="str">
        <f t="shared" si="356"/>
        <v/>
      </c>
      <c r="M859" s="135"/>
      <c r="N859" s="72" t="str">
        <f t="shared" si="357"/>
        <v/>
      </c>
      <c r="O859" s="135"/>
      <c r="P859" s="136"/>
      <c r="Q859" s="123" t="str">
        <f t="shared" si="358"/>
        <v/>
      </c>
      <c r="R859" s="45" t="str">
        <f t="shared" si="359"/>
        <v/>
      </c>
      <c r="S859" s="137"/>
      <c r="T859" s="79" t="str">
        <f t="shared" si="368"/>
        <v/>
      </c>
      <c r="U859" s="79" t="str">
        <f t="shared" si="360"/>
        <v/>
      </c>
      <c r="V859" s="73" t="str">
        <f t="shared" si="361"/>
        <v/>
      </c>
      <c r="W859" s="80" t="str">
        <f t="shared" si="362"/>
        <v/>
      </c>
      <c r="X859" s="73" t="str">
        <f t="shared" si="363"/>
        <v/>
      </c>
      <c r="Y859" s="80" t="str">
        <f t="shared" si="364"/>
        <v/>
      </c>
      <c r="Z859" s="74" t="str">
        <f t="shared" si="365"/>
        <v/>
      </c>
      <c r="AA859" s="75" t="str">
        <f t="shared" si="369"/>
        <v/>
      </c>
      <c r="AB859" s="103" t="str">
        <f t="shared" si="366"/>
        <v/>
      </c>
      <c r="AC859" s="104" t="str">
        <f t="shared" si="377"/>
        <v/>
      </c>
      <c r="AE859" s="139"/>
      <c r="AF859" s="110" t="str">
        <f t="shared" si="370"/>
        <v/>
      </c>
      <c r="AG859" s="111" t="str">
        <f t="shared" si="371"/>
        <v/>
      </c>
      <c r="AH859" s="111" t="str">
        <f t="shared" si="367"/>
        <v/>
      </c>
      <c r="AI859" s="111" t="str">
        <f t="shared" si="372"/>
        <v/>
      </c>
      <c r="AJ859" s="111" t="str">
        <f t="shared" si="373"/>
        <v/>
      </c>
      <c r="AK859" s="112" t="str">
        <f t="shared" si="374"/>
        <v/>
      </c>
      <c r="AL859" t="str">
        <f t="shared" si="375"/>
        <v/>
      </c>
      <c r="AM859" t="str">
        <f t="shared" si="376"/>
        <v/>
      </c>
    </row>
    <row r="860" spans="1:39" ht="15" customHeight="1" x14ac:dyDescent="0.25">
      <c r="A860" s="131"/>
      <c r="B860" s="133"/>
      <c r="C860" s="133"/>
      <c r="D860" s="42" t="str">
        <f t="shared" si="351"/>
        <v/>
      </c>
      <c r="E860" s="43"/>
      <c r="F860" s="135"/>
      <c r="G860" s="77" t="str">
        <f t="shared" si="352"/>
        <v/>
      </c>
      <c r="H860" s="32" t="str">
        <f t="shared" si="353"/>
        <v/>
      </c>
      <c r="I860" s="78" t="str">
        <f t="shared" si="354"/>
        <v/>
      </c>
      <c r="J860" s="70" t="str">
        <f t="shared" si="355"/>
        <v/>
      </c>
      <c r="K860" s="135"/>
      <c r="L860" s="72" t="str">
        <f t="shared" si="356"/>
        <v/>
      </c>
      <c r="M860" s="135"/>
      <c r="N860" s="72" t="str">
        <f t="shared" si="357"/>
        <v/>
      </c>
      <c r="O860" s="135"/>
      <c r="P860" s="136"/>
      <c r="Q860" s="123" t="str">
        <f t="shared" si="358"/>
        <v/>
      </c>
      <c r="R860" s="45" t="str">
        <f t="shared" si="359"/>
        <v/>
      </c>
      <c r="S860" s="137"/>
      <c r="T860" s="79" t="str">
        <f t="shared" si="368"/>
        <v/>
      </c>
      <c r="U860" s="79" t="str">
        <f t="shared" si="360"/>
        <v/>
      </c>
      <c r="V860" s="73" t="str">
        <f t="shared" si="361"/>
        <v/>
      </c>
      <c r="W860" s="80" t="str">
        <f t="shared" si="362"/>
        <v/>
      </c>
      <c r="X860" s="73" t="str">
        <f t="shared" si="363"/>
        <v/>
      </c>
      <c r="Y860" s="80" t="str">
        <f t="shared" si="364"/>
        <v/>
      </c>
      <c r="Z860" s="74" t="str">
        <f t="shared" si="365"/>
        <v/>
      </c>
      <c r="AA860" s="75" t="str">
        <f t="shared" si="369"/>
        <v/>
      </c>
      <c r="AB860" s="103" t="str">
        <f t="shared" si="366"/>
        <v/>
      </c>
      <c r="AC860" s="104" t="str">
        <f t="shared" si="377"/>
        <v/>
      </c>
      <c r="AE860" s="139"/>
      <c r="AF860" s="110" t="str">
        <f t="shared" si="370"/>
        <v/>
      </c>
      <c r="AG860" s="111" t="str">
        <f t="shared" si="371"/>
        <v/>
      </c>
      <c r="AH860" s="111" t="str">
        <f t="shared" si="367"/>
        <v/>
      </c>
      <c r="AI860" s="111" t="str">
        <f t="shared" si="372"/>
        <v/>
      </c>
      <c r="AJ860" s="111" t="str">
        <f t="shared" si="373"/>
        <v/>
      </c>
      <c r="AK860" s="112" t="str">
        <f t="shared" si="374"/>
        <v/>
      </c>
      <c r="AL860" t="str">
        <f t="shared" si="375"/>
        <v/>
      </c>
      <c r="AM860" t="str">
        <f t="shared" si="376"/>
        <v/>
      </c>
    </row>
    <row r="861" spans="1:39" ht="15" customHeight="1" x14ac:dyDescent="0.25">
      <c r="A861" s="131"/>
      <c r="B861" s="133"/>
      <c r="C861" s="133"/>
      <c r="D861" s="42" t="str">
        <f t="shared" si="351"/>
        <v/>
      </c>
      <c r="E861" s="43"/>
      <c r="F861" s="135"/>
      <c r="G861" s="77" t="str">
        <f t="shared" si="352"/>
        <v/>
      </c>
      <c r="H861" s="32" t="str">
        <f t="shared" si="353"/>
        <v/>
      </c>
      <c r="I861" s="78" t="str">
        <f t="shared" si="354"/>
        <v/>
      </c>
      <c r="J861" s="70" t="str">
        <f t="shared" si="355"/>
        <v/>
      </c>
      <c r="K861" s="135"/>
      <c r="L861" s="72" t="str">
        <f t="shared" si="356"/>
        <v/>
      </c>
      <c r="M861" s="135"/>
      <c r="N861" s="72" t="str">
        <f t="shared" si="357"/>
        <v/>
      </c>
      <c r="O861" s="135"/>
      <c r="P861" s="136"/>
      <c r="Q861" s="123" t="str">
        <f t="shared" si="358"/>
        <v/>
      </c>
      <c r="R861" s="45" t="str">
        <f t="shared" si="359"/>
        <v/>
      </c>
      <c r="S861" s="137"/>
      <c r="T861" s="79" t="str">
        <f t="shared" si="368"/>
        <v/>
      </c>
      <c r="U861" s="79" t="str">
        <f t="shared" si="360"/>
        <v/>
      </c>
      <c r="V861" s="73" t="str">
        <f t="shared" si="361"/>
        <v/>
      </c>
      <c r="W861" s="80" t="str">
        <f t="shared" si="362"/>
        <v/>
      </c>
      <c r="X861" s="73" t="str">
        <f t="shared" si="363"/>
        <v/>
      </c>
      <c r="Y861" s="80" t="str">
        <f t="shared" si="364"/>
        <v/>
      </c>
      <c r="Z861" s="74" t="str">
        <f t="shared" si="365"/>
        <v/>
      </c>
      <c r="AA861" s="75" t="str">
        <f t="shared" si="369"/>
        <v/>
      </c>
      <c r="AB861" s="103" t="str">
        <f t="shared" si="366"/>
        <v/>
      </c>
      <c r="AC861" s="104" t="str">
        <f t="shared" si="377"/>
        <v/>
      </c>
      <c r="AE861" s="139"/>
      <c r="AF861" s="110" t="str">
        <f t="shared" si="370"/>
        <v/>
      </c>
      <c r="AG861" s="111" t="str">
        <f t="shared" si="371"/>
        <v/>
      </c>
      <c r="AH861" s="111" t="str">
        <f t="shared" si="367"/>
        <v/>
      </c>
      <c r="AI861" s="111" t="str">
        <f t="shared" si="372"/>
        <v/>
      </c>
      <c r="AJ861" s="111" t="str">
        <f t="shared" si="373"/>
        <v/>
      </c>
      <c r="AK861" s="112" t="str">
        <f t="shared" si="374"/>
        <v/>
      </c>
      <c r="AL861" t="str">
        <f t="shared" si="375"/>
        <v/>
      </c>
      <c r="AM861" t="str">
        <f t="shared" si="376"/>
        <v/>
      </c>
    </row>
    <row r="862" spans="1:39" ht="15" customHeight="1" x14ac:dyDescent="0.25">
      <c r="A862" s="131"/>
      <c r="B862" s="133"/>
      <c r="C862" s="133"/>
      <c r="D862" s="42" t="str">
        <f t="shared" si="351"/>
        <v/>
      </c>
      <c r="E862" s="43"/>
      <c r="F862" s="135"/>
      <c r="G862" s="77" t="str">
        <f t="shared" si="352"/>
        <v/>
      </c>
      <c r="H862" s="32" t="str">
        <f t="shared" si="353"/>
        <v/>
      </c>
      <c r="I862" s="78" t="str">
        <f t="shared" si="354"/>
        <v/>
      </c>
      <c r="J862" s="70" t="str">
        <f t="shared" si="355"/>
        <v/>
      </c>
      <c r="K862" s="135"/>
      <c r="L862" s="72" t="str">
        <f t="shared" si="356"/>
        <v/>
      </c>
      <c r="M862" s="135"/>
      <c r="N862" s="72" t="str">
        <f t="shared" si="357"/>
        <v/>
      </c>
      <c r="O862" s="135"/>
      <c r="P862" s="136"/>
      <c r="Q862" s="123" t="str">
        <f t="shared" si="358"/>
        <v/>
      </c>
      <c r="R862" s="45" t="str">
        <f t="shared" si="359"/>
        <v/>
      </c>
      <c r="S862" s="137"/>
      <c r="T862" s="79" t="str">
        <f t="shared" si="368"/>
        <v/>
      </c>
      <c r="U862" s="79" t="str">
        <f t="shared" si="360"/>
        <v/>
      </c>
      <c r="V862" s="73" t="str">
        <f t="shared" si="361"/>
        <v/>
      </c>
      <c r="W862" s="80" t="str">
        <f t="shared" si="362"/>
        <v/>
      </c>
      <c r="X862" s="73" t="str">
        <f t="shared" si="363"/>
        <v/>
      </c>
      <c r="Y862" s="80" t="str">
        <f t="shared" si="364"/>
        <v/>
      </c>
      <c r="Z862" s="74" t="str">
        <f t="shared" si="365"/>
        <v/>
      </c>
      <c r="AA862" s="75" t="str">
        <f t="shared" si="369"/>
        <v/>
      </c>
      <c r="AB862" s="103" t="str">
        <f t="shared" si="366"/>
        <v/>
      </c>
      <c r="AC862" s="104" t="str">
        <f t="shared" si="377"/>
        <v/>
      </c>
      <c r="AE862" s="139"/>
      <c r="AF862" s="110" t="str">
        <f t="shared" si="370"/>
        <v/>
      </c>
      <c r="AG862" s="111" t="str">
        <f t="shared" si="371"/>
        <v/>
      </c>
      <c r="AH862" s="111" t="str">
        <f t="shared" si="367"/>
        <v/>
      </c>
      <c r="AI862" s="111" t="str">
        <f t="shared" si="372"/>
        <v/>
      </c>
      <c r="AJ862" s="111" t="str">
        <f t="shared" si="373"/>
        <v/>
      </c>
      <c r="AK862" s="112" t="str">
        <f t="shared" si="374"/>
        <v/>
      </c>
      <c r="AL862" t="str">
        <f t="shared" si="375"/>
        <v/>
      </c>
      <c r="AM862" t="str">
        <f t="shared" si="376"/>
        <v/>
      </c>
    </row>
    <row r="863" spans="1:39" ht="15" customHeight="1" x14ac:dyDescent="0.25">
      <c r="A863" s="131"/>
      <c r="B863" s="133"/>
      <c r="C863" s="133"/>
      <c r="D863" s="42" t="str">
        <f t="shared" si="351"/>
        <v/>
      </c>
      <c r="E863" s="43"/>
      <c r="F863" s="135"/>
      <c r="G863" s="77" t="str">
        <f t="shared" si="352"/>
        <v/>
      </c>
      <c r="H863" s="32" t="str">
        <f t="shared" si="353"/>
        <v/>
      </c>
      <c r="I863" s="78" t="str">
        <f t="shared" si="354"/>
        <v/>
      </c>
      <c r="J863" s="70" t="str">
        <f t="shared" si="355"/>
        <v/>
      </c>
      <c r="K863" s="135"/>
      <c r="L863" s="72" t="str">
        <f t="shared" si="356"/>
        <v/>
      </c>
      <c r="M863" s="135"/>
      <c r="N863" s="72" t="str">
        <f t="shared" si="357"/>
        <v/>
      </c>
      <c r="O863" s="135"/>
      <c r="P863" s="136"/>
      <c r="Q863" s="123" t="str">
        <f t="shared" si="358"/>
        <v/>
      </c>
      <c r="R863" s="45" t="str">
        <f t="shared" si="359"/>
        <v/>
      </c>
      <c r="S863" s="137"/>
      <c r="T863" s="79" t="str">
        <f t="shared" si="368"/>
        <v/>
      </c>
      <c r="U863" s="79" t="str">
        <f t="shared" si="360"/>
        <v/>
      </c>
      <c r="V863" s="73" t="str">
        <f t="shared" si="361"/>
        <v/>
      </c>
      <c r="W863" s="80" t="str">
        <f t="shared" si="362"/>
        <v/>
      </c>
      <c r="X863" s="73" t="str">
        <f t="shared" si="363"/>
        <v/>
      </c>
      <c r="Y863" s="80" t="str">
        <f t="shared" si="364"/>
        <v/>
      </c>
      <c r="Z863" s="74" t="str">
        <f t="shared" si="365"/>
        <v/>
      </c>
      <c r="AA863" s="75" t="str">
        <f t="shared" si="369"/>
        <v/>
      </c>
      <c r="AB863" s="103" t="str">
        <f t="shared" si="366"/>
        <v/>
      </c>
      <c r="AC863" s="104" t="str">
        <f t="shared" si="377"/>
        <v/>
      </c>
      <c r="AE863" s="139"/>
      <c r="AF863" s="110" t="str">
        <f t="shared" si="370"/>
        <v/>
      </c>
      <c r="AG863" s="111" t="str">
        <f t="shared" si="371"/>
        <v/>
      </c>
      <c r="AH863" s="111" t="str">
        <f t="shared" si="367"/>
        <v/>
      </c>
      <c r="AI863" s="111" t="str">
        <f t="shared" si="372"/>
        <v/>
      </c>
      <c r="AJ863" s="111" t="str">
        <f t="shared" si="373"/>
        <v/>
      </c>
      <c r="AK863" s="112" t="str">
        <f t="shared" si="374"/>
        <v/>
      </c>
      <c r="AL863" t="str">
        <f t="shared" si="375"/>
        <v/>
      </c>
      <c r="AM863" t="str">
        <f t="shared" si="376"/>
        <v/>
      </c>
    </row>
    <row r="864" spans="1:39" ht="15" customHeight="1" x14ac:dyDescent="0.25">
      <c r="A864" s="131"/>
      <c r="B864" s="133"/>
      <c r="C864" s="133"/>
      <c r="D864" s="42" t="str">
        <f t="shared" si="351"/>
        <v/>
      </c>
      <c r="E864" s="43"/>
      <c r="F864" s="135"/>
      <c r="G864" s="77" t="str">
        <f t="shared" si="352"/>
        <v/>
      </c>
      <c r="H864" s="32" t="str">
        <f t="shared" si="353"/>
        <v/>
      </c>
      <c r="I864" s="78" t="str">
        <f t="shared" si="354"/>
        <v/>
      </c>
      <c r="J864" s="70" t="str">
        <f t="shared" si="355"/>
        <v/>
      </c>
      <c r="K864" s="135"/>
      <c r="L864" s="72" t="str">
        <f t="shared" si="356"/>
        <v/>
      </c>
      <c r="M864" s="135"/>
      <c r="N864" s="72" t="str">
        <f t="shared" si="357"/>
        <v/>
      </c>
      <c r="O864" s="135"/>
      <c r="P864" s="136"/>
      <c r="Q864" s="123" t="str">
        <f t="shared" si="358"/>
        <v/>
      </c>
      <c r="R864" s="45" t="str">
        <f t="shared" si="359"/>
        <v/>
      </c>
      <c r="S864" s="137"/>
      <c r="T864" s="79" t="str">
        <f t="shared" si="368"/>
        <v/>
      </c>
      <c r="U864" s="79" t="str">
        <f t="shared" si="360"/>
        <v/>
      </c>
      <c r="V864" s="73" t="str">
        <f t="shared" si="361"/>
        <v/>
      </c>
      <c r="W864" s="80" t="str">
        <f t="shared" si="362"/>
        <v/>
      </c>
      <c r="X864" s="73" t="str">
        <f t="shared" si="363"/>
        <v/>
      </c>
      <c r="Y864" s="80" t="str">
        <f t="shared" si="364"/>
        <v/>
      </c>
      <c r="Z864" s="74" t="str">
        <f t="shared" si="365"/>
        <v/>
      </c>
      <c r="AA864" s="75" t="str">
        <f t="shared" si="369"/>
        <v/>
      </c>
      <c r="AB864" s="103" t="str">
        <f t="shared" si="366"/>
        <v/>
      </c>
      <c r="AC864" s="104" t="str">
        <f t="shared" si="377"/>
        <v/>
      </c>
      <c r="AE864" s="139"/>
      <c r="AF864" s="110" t="str">
        <f t="shared" si="370"/>
        <v/>
      </c>
      <c r="AG864" s="111" t="str">
        <f t="shared" si="371"/>
        <v/>
      </c>
      <c r="AH864" s="111" t="str">
        <f t="shared" si="367"/>
        <v/>
      </c>
      <c r="AI864" s="111" t="str">
        <f t="shared" si="372"/>
        <v/>
      </c>
      <c r="AJ864" s="111" t="str">
        <f t="shared" si="373"/>
        <v/>
      </c>
      <c r="AK864" s="112" t="str">
        <f t="shared" si="374"/>
        <v/>
      </c>
      <c r="AL864" t="str">
        <f t="shared" si="375"/>
        <v/>
      </c>
      <c r="AM864" t="str">
        <f t="shared" si="376"/>
        <v/>
      </c>
    </row>
    <row r="865" spans="1:39" ht="15" customHeight="1" x14ac:dyDescent="0.25">
      <c r="A865" s="131"/>
      <c r="B865" s="133"/>
      <c r="C865" s="133"/>
      <c r="D865" s="42" t="str">
        <f t="shared" si="351"/>
        <v/>
      </c>
      <c r="E865" s="43"/>
      <c r="F865" s="135"/>
      <c r="G865" s="77" t="str">
        <f t="shared" si="352"/>
        <v/>
      </c>
      <c r="H865" s="32" t="str">
        <f t="shared" si="353"/>
        <v/>
      </c>
      <c r="I865" s="78" t="str">
        <f t="shared" si="354"/>
        <v/>
      </c>
      <c r="J865" s="70" t="str">
        <f t="shared" si="355"/>
        <v/>
      </c>
      <c r="K865" s="135"/>
      <c r="L865" s="72" t="str">
        <f t="shared" si="356"/>
        <v/>
      </c>
      <c r="M865" s="135"/>
      <c r="N865" s="72" t="str">
        <f t="shared" si="357"/>
        <v/>
      </c>
      <c r="O865" s="135"/>
      <c r="P865" s="136"/>
      <c r="Q865" s="123" t="str">
        <f t="shared" si="358"/>
        <v/>
      </c>
      <c r="R865" s="45" t="str">
        <f t="shared" si="359"/>
        <v/>
      </c>
      <c r="S865" s="137"/>
      <c r="T865" s="79" t="str">
        <f t="shared" si="368"/>
        <v/>
      </c>
      <c r="U865" s="79" t="str">
        <f t="shared" si="360"/>
        <v/>
      </c>
      <c r="V865" s="73" t="str">
        <f t="shared" si="361"/>
        <v/>
      </c>
      <c r="W865" s="80" t="str">
        <f t="shared" si="362"/>
        <v/>
      </c>
      <c r="X865" s="73" t="str">
        <f t="shared" si="363"/>
        <v/>
      </c>
      <c r="Y865" s="80" t="str">
        <f t="shared" si="364"/>
        <v/>
      </c>
      <c r="Z865" s="74" t="str">
        <f t="shared" si="365"/>
        <v/>
      </c>
      <c r="AA865" s="75" t="str">
        <f t="shared" si="369"/>
        <v/>
      </c>
      <c r="AB865" s="103" t="str">
        <f t="shared" si="366"/>
        <v/>
      </c>
      <c r="AC865" s="104" t="str">
        <f t="shared" si="377"/>
        <v/>
      </c>
      <c r="AE865" s="139"/>
      <c r="AF865" s="110" t="str">
        <f t="shared" si="370"/>
        <v/>
      </c>
      <c r="AG865" s="111" t="str">
        <f t="shared" si="371"/>
        <v/>
      </c>
      <c r="AH865" s="111" t="str">
        <f t="shared" si="367"/>
        <v/>
      </c>
      <c r="AI865" s="111" t="str">
        <f t="shared" si="372"/>
        <v/>
      </c>
      <c r="AJ865" s="111" t="str">
        <f t="shared" si="373"/>
        <v/>
      </c>
      <c r="AK865" s="112" t="str">
        <f t="shared" si="374"/>
        <v/>
      </c>
      <c r="AL865" t="str">
        <f t="shared" si="375"/>
        <v/>
      </c>
      <c r="AM865" t="str">
        <f t="shared" si="376"/>
        <v/>
      </c>
    </row>
    <row r="866" spans="1:39" ht="15" customHeight="1" x14ac:dyDescent="0.25">
      <c r="A866" s="131"/>
      <c r="B866" s="133"/>
      <c r="C866" s="133"/>
      <c r="D866" s="42" t="str">
        <f t="shared" si="351"/>
        <v/>
      </c>
      <c r="E866" s="43"/>
      <c r="F866" s="135"/>
      <c r="G866" s="77" t="str">
        <f t="shared" si="352"/>
        <v/>
      </c>
      <c r="H866" s="32" t="str">
        <f t="shared" si="353"/>
        <v/>
      </c>
      <c r="I866" s="78" t="str">
        <f t="shared" si="354"/>
        <v/>
      </c>
      <c r="J866" s="70" t="str">
        <f t="shared" si="355"/>
        <v/>
      </c>
      <c r="K866" s="135"/>
      <c r="L866" s="72" t="str">
        <f t="shared" si="356"/>
        <v/>
      </c>
      <c r="M866" s="135"/>
      <c r="N866" s="72" t="str">
        <f t="shared" si="357"/>
        <v/>
      </c>
      <c r="O866" s="135"/>
      <c r="P866" s="136"/>
      <c r="Q866" s="123" t="str">
        <f t="shared" si="358"/>
        <v/>
      </c>
      <c r="R866" s="45" t="str">
        <f t="shared" si="359"/>
        <v/>
      </c>
      <c r="S866" s="137"/>
      <c r="T866" s="79" t="str">
        <f t="shared" si="368"/>
        <v/>
      </c>
      <c r="U866" s="79" t="str">
        <f t="shared" si="360"/>
        <v/>
      </c>
      <c r="V866" s="73" t="str">
        <f t="shared" si="361"/>
        <v/>
      </c>
      <c r="W866" s="80" t="str">
        <f t="shared" si="362"/>
        <v/>
      </c>
      <c r="X866" s="73" t="str">
        <f t="shared" si="363"/>
        <v/>
      </c>
      <c r="Y866" s="80" t="str">
        <f t="shared" si="364"/>
        <v/>
      </c>
      <c r="Z866" s="74" t="str">
        <f t="shared" si="365"/>
        <v/>
      </c>
      <c r="AA866" s="75" t="str">
        <f t="shared" si="369"/>
        <v/>
      </c>
      <c r="AB866" s="103" t="str">
        <f t="shared" si="366"/>
        <v/>
      </c>
      <c r="AC866" s="104" t="str">
        <f t="shared" si="377"/>
        <v/>
      </c>
      <c r="AE866" s="139"/>
      <c r="AF866" s="110" t="str">
        <f t="shared" si="370"/>
        <v/>
      </c>
      <c r="AG866" s="111" t="str">
        <f t="shared" si="371"/>
        <v/>
      </c>
      <c r="AH866" s="111" t="str">
        <f t="shared" si="367"/>
        <v/>
      </c>
      <c r="AI866" s="111" t="str">
        <f t="shared" si="372"/>
        <v/>
      </c>
      <c r="AJ866" s="111" t="str">
        <f t="shared" si="373"/>
        <v/>
      </c>
      <c r="AK866" s="112" t="str">
        <f t="shared" si="374"/>
        <v/>
      </c>
      <c r="AL866" t="str">
        <f t="shared" si="375"/>
        <v/>
      </c>
      <c r="AM866" t="str">
        <f t="shared" si="376"/>
        <v/>
      </c>
    </row>
    <row r="867" spans="1:39" ht="15" customHeight="1" x14ac:dyDescent="0.25">
      <c r="A867" s="131"/>
      <c r="B867" s="133"/>
      <c r="C867" s="133"/>
      <c r="D867" s="42" t="str">
        <f t="shared" si="351"/>
        <v/>
      </c>
      <c r="E867" s="43"/>
      <c r="F867" s="135"/>
      <c r="G867" s="77" t="str">
        <f t="shared" si="352"/>
        <v/>
      </c>
      <c r="H867" s="32" t="str">
        <f t="shared" si="353"/>
        <v/>
      </c>
      <c r="I867" s="78" t="str">
        <f t="shared" si="354"/>
        <v/>
      </c>
      <c r="J867" s="70" t="str">
        <f t="shared" si="355"/>
        <v/>
      </c>
      <c r="K867" s="135"/>
      <c r="L867" s="72" t="str">
        <f t="shared" si="356"/>
        <v/>
      </c>
      <c r="M867" s="135"/>
      <c r="N867" s="72" t="str">
        <f t="shared" si="357"/>
        <v/>
      </c>
      <c r="O867" s="135"/>
      <c r="P867" s="136"/>
      <c r="Q867" s="123" t="str">
        <f t="shared" si="358"/>
        <v/>
      </c>
      <c r="R867" s="45" t="str">
        <f t="shared" si="359"/>
        <v/>
      </c>
      <c r="S867" s="137"/>
      <c r="T867" s="79" t="str">
        <f t="shared" si="368"/>
        <v/>
      </c>
      <c r="U867" s="79" t="str">
        <f t="shared" si="360"/>
        <v/>
      </c>
      <c r="V867" s="73" t="str">
        <f t="shared" si="361"/>
        <v/>
      </c>
      <c r="W867" s="80" t="str">
        <f t="shared" si="362"/>
        <v/>
      </c>
      <c r="X867" s="73" t="str">
        <f t="shared" si="363"/>
        <v/>
      </c>
      <c r="Y867" s="80" t="str">
        <f t="shared" si="364"/>
        <v/>
      </c>
      <c r="Z867" s="74" t="str">
        <f t="shared" si="365"/>
        <v/>
      </c>
      <c r="AA867" s="75" t="str">
        <f t="shared" si="369"/>
        <v/>
      </c>
      <c r="AB867" s="103" t="str">
        <f t="shared" si="366"/>
        <v/>
      </c>
      <c r="AC867" s="104" t="str">
        <f t="shared" si="377"/>
        <v/>
      </c>
      <c r="AE867" s="139"/>
      <c r="AF867" s="110" t="str">
        <f t="shared" si="370"/>
        <v/>
      </c>
      <c r="AG867" s="111" t="str">
        <f t="shared" si="371"/>
        <v/>
      </c>
      <c r="AH867" s="111" t="str">
        <f t="shared" si="367"/>
        <v/>
      </c>
      <c r="AI867" s="111" t="str">
        <f t="shared" si="372"/>
        <v/>
      </c>
      <c r="AJ867" s="111" t="str">
        <f t="shared" si="373"/>
        <v/>
      </c>
      <c r="AK867" s="112" t="str">
        <f t="shared" si="374"/>
        <v/>
      </c>
      <c r="AL867" t="str">
        <f t="shared" si="375"/>
        <v/>
      </c>
      <c r="AM867" t="str">
        <f t="shared" si="376"/>
        <v/>
      </c>
    </row>
    <row r="868" spans="1:39" ht="15" customHeight="1" x14ac:dyDescent="0.25">
      <c r="A868" s="131"/>
      <c r="B868" s="133"/>
      <c r="C868" s="133"/>
      <c r="D868" s="42" t="str">
        <f t="shared" si="351"/>
        <v/>
      </c>
      <c r="E868" s="43"/>
      <c r="F868" s="135"/>
      <c r="G868" s="77" t="str">
        <f t="shared" si="352"/>
        <v/>
      </c>
      <c r="H868" s="32" t="str">
        <f t="shared" si="353"/>
        <v/>
      </c>
      <c r="I868" s="78" t="str">
        <f t="shared" si="354"/>
        <v/>
      </c>
      <c r="J868" s="70" t="str">
        <f t="shared" si="355"/>
        <v/>
      </c>
      <c r="K868" s="135"/>
      <c r="L868" s="72" t="str">
        <f t="shared" si="356"/>
        <v/>
      </c>
      <c r="M868" s="135"/>
      <c r="N868" s="72" t="str">
        <f t="shared" si="357"/>
        <v/>
      </c>
      <c r="O868" s="135"/>
      <c r="P868" s="136"/>
      <c r="Q868" s="123" t="str">
        <f t="shared" si="358"/>
        <v/>
      </c>
      <c r="R868" s="45" t="str">
        <f t="shared" si="359"/>
        <v/>
      </c>
      <c r="S868" s="137"/>
      <c r="T868" s="79" t="str">
        <f t="shared" si="368"/>
        <v/>
      </c>
      <c r="U868" s="79" t="str">
        <f t="shared" si="360"/>
        <v/>
      </c>
      <c r="V868" s="73" t="str">
        <f t="shared" si="361"/>
        <v/>
      </c>
      <c r="W868" s="80" t="str">
        <f t="shared" si="362"/>
        <v/>
      </c>
      <c r="X868" s="73" t="str">
        <f t="shared" si="363"/>
        <v/>
      </c>
      <c r="Y868" s="80" t="str">
        <f t="shared" si="364"/>
        <v/>
      </c>
      <c r="Z868" s="74" t="str">
        <f t="shared" si="365"/>
        <v/>
      </c>
      <c r="AA868" s="75" t="str">
        <f t="shared" si="369"/>
        <v/>
      </c>
      <c r="AB868" s="103" t="str">
        <f t="shared" si="366"/>
        <v/>
      </c>
      <c r="AC868" s="104" t="str">
        <f t="shared" si="377"/>
        <v/>
      </c>
      <c r="AE868" s="139"/>
      <c r="AF868" s="110" t="str">
        <f t="shared" si="370"/>
        <v/>
      </c>
      <c r="AG868" s="111" t="str">
        <f t="shared" si="371"/>
        <v/>
      </c>
      <c r="AH868" s="111" t="str">
        <f t="shared" si="367"/>
        <v/>
      </c>
      <c r="AI868" s="111" t="str">
        <f t="shared" si="372"/>
        <v/>
      </c>
      <c r="AJ868" s="111" t="str">
        <f t="shared" si="373"/>
        <v/>
      </c>
      <c r="AK868" s="112" t="str">
        <f t="shared" si="374"/>
        <v/>
      </c>
      <c r="AL868" t="str">
        <f t="shared" si="375"/>
        <v/>
      </c>
      <c r="AM868" t="str">
        <f t="shared" si="376"/>
        <v/>
      </c>
    </row>
    <row r="869" spans="1:39" ht="15" customHeight="1" x14ac:dyDescent="0.25">
      <c r="A869" s="131"/>
      <c r="B869" s="133"/>
      <c r="C869" s="133"/>
      <c r="D869" s="42" t="str">
        <f t="shared" si="351"/>
        <v/>
      </c>
      <c r="E869" s="43"/>
      <c r="F869" s="135"/>
      <c r="G869" s="77" t="str">
        <f t="shared" si="352"/>
        <v/>
      </c>
      <c r="H869" s="32" t="str">
        <f t="shared" si="353"/>
        <v/>
      </c>
      <c r="I869" s="78" t="str">
        <f t="shared" si="354"/>
        <v/>
      </c>
      <c r="J869" s="70" t="str">
        <f t="shared" si="355"/>
        <v/>
      </c>
      <c r="K869" s="135"/>
      <c r="L869" s="72" t="str">
        <f t="shared" si="356"/>
        <v/>
      </c>
      <c r="M869" s="135"/>
      <c r="N869" s="72" t="str">
        <f t="shared" si="357"/>
        <v/>
      </c>
      <c r="O869" s="135"/>
      <c r="P869" s="136"/>
      <c r="Q869" s="123" t="str">
        <f t="shared" si="358"/>
        <v/>
      </c>
      <c r="R869" s="45" t="str">
        <f t="shared" si="359"/>
        <v/>
      </c>
      <c r="S869" s="137"/>
      <c r="T869" s="79" t="str">
        <f t="shared" si="368"/>
        <v/>
      </c>
      <c r="U869" s="79" t="str">
        <f t="shared" si="360"/>
        <v/>
      </c>
      <c r="V869" s="73" t="str">
        <f t="shared" si="361"/>
        <v/>
      </c>
      <c r="W869" s="80" t="str">
        <f t="shared" si="362"/>
        <v/>
      </c>
      <c r="X869" s="73" t="str">
        <f t="shared" si="363"/>
        <v/>
      </c>
      <c r="Y869" s="80" t="str">
        <f t="shared" si="364"/>
        <v/>
      </c>
      <c r="Z869" s="74" t="str">
        <f t="shared" si="365"/>
        <v/>
      </c>
      <c r="AA869" s="75" t="str">
        <f t="shared" si="369"/>
        <v/>
      </c>
      <c r="AB869" s="103" t="str">
        <f t="shared" si="366"/>
        <v/>
      </c>
      <c r="AC869" s="104" t="str">
        <f t="shared" si="377"/>
        <v/>
      </c>
      <c r="AE869" s="139"/>
      <c r="AF869" s="110" t="str">
        <f t="shared" si="370"/>
        <v/>
      </c>
      <c r="AG869" s="111" t="str">
        <f t="shared" si="371"/>
        <v/>
      </c>
      <c r="AH869" s="111" t="str">
        <f t="shared" si="367"/>
        <v/>
      </c>
      <c r="AI869" s="111" t="str">
        <f t="shared" si="372"/>
        <v/>
      </c>
      <c r="AJ869" s="111" t="str">
        <f t="shared" si="373"/>
        <v/>
      </c>
      <c r="AK869" s="112" t="str">
        <f t="shared" si="374"/>
        <v/>
      </c>
      <c r="AL869" t="str">
        <f t="shared" si="375"/>
        <v/>
      </c>
      <c r="AM869" t="str">
        <f t="shared" si="376"/>
        <v/>
      </c>
    </row>
    <row r="870" spans="1:39" ht="15" customHeight="1" x14ac:dyDescent="0.25">
      <c r="A870" s="131"/>
      <c r="B870" s="133"/>
      <c r="C870" s="133"/>
      <c r="D870" s="42" t="str">
        <f t="shared" si="351"/>
        <v/>
      </c>
      <c r="E870" s="43"/>
      <c r="F870" s="135"/>
      <c r="G870" s="77" t="str">
        <f t="shared" si="352"/>
        <v/>
      </c>
      <c r="H870" s="32" t="str">
        <f t="shared" si="353"/>
        <v/>
      </c>
      <c r="I870" s="78" t="str">
        <f t="shared" si="354"/>
        <v/>
      </c>
      <c r="J870" s="70" t="str">
        <f t="shared" si="355"/>
        <v/>
      </c>
      <c r="K870" s="135"/>
      <c r="L870" s="72" t="str">
        <f t="shared" si="356"/>
        <v/>
      </c>
      <c r="M870" s="135"/>
      <c r="N870" s="72" t="str">
        <f t="shared" si="357"/>
        <v/>
      </c>
      <c r="O870" s="135"/>
      <c r="P870" s="136"/>
      <c r="Q870" s="123" t="str">
        <f t="shared" si="358"/>
        <v/>
      </c>
      <c r="R870" s="45" t="str">
        <f t="shared" si="359"/>
        <v/>
      </c>
      <c r="S870" s="137"/>
      <c r="T870" s="79" t="str">
        <f t="shared" si="368"/>
        <v/>
      </c>
      <c r="U870" s="79" t="str">
        <f t="shared" si="360"/>
        <v/>
      </c>
      <c r="V870" s="73" t="str">
        <f t="shared" si="361"/>
        <v/>
      </c>
      <c r="W870" s="80" t="str">
        <f t="shared" si="362"/>
        <v/>
      </c>
      <c r="X870" s="73" t="str">
        <f t="shared" si="363"/>
        <v/>
      </c>
      <c r="Y870" s="80" t="str">
        <f t="shared" si="364"/>
        <v/>
      </c>
      <c r="Z870" s="74" t="str">
        <f t="shared" si="365"/>
        <v/>
      </c>
      <c r="AA870" s="75" t="str">
        <f t="shared" si="369"/>
        <v/>
      </c>
      <c r="AB870" s="103" t="str">
        <f t="shared" si="366"/>
        <v/>
      </c>
      <c r="AC870" s="104" t="str">
        <f t="shared" si="377"/>
        <v/>
      </c>
      <c r="AE870" s="139"/>
      <c r="AF870" s="110" t="str">
        <f t="shared" si="370"/>
        <v/>
      </c>
      <c r="AG870" s="111" t="str">
        <f t="shared" si="371"/>
        <v/>
      </c>
      <c r="AH870" s="111" t="str">
        <f t="shared" si="367"/>
        <v/>
      </c>
      <c r="AI870" s="111" t="str">
        <f t="shared" si="372"/>
        <v/>
      </c>
      <c r="AJ870" s="111" t="str">
        <f t="shared" si="373"/>
        <v/>
      </c>
      <c r="AK870" s="112" t="str">
        <f t="shared" si="374"/>
        <v/>
      </c>
      <c r="AL870" t="str">
        <f t="shared" si="375"/>
        <v/>
      </c>
      <c r="AM870" t="str">
        <f t="shared" si="376"/>
        <v/>
      </c>
    </row>
    <row r="871" spans="1:39" ht="15" customHeight="1" x14ac:dyDescent="0.25">
      <c r="A871" s="131"/>
      <c r="B871" s="133"/>
      <c r="C871" s="133"/>
      <c r="D871" s="42" t="str">
        <f t="shared" si="351"/>
        <v/>
      </c>
      <c r="E871" s="43"/>
      <c r="F871" s="135"/>
      <c r="G871" s="77" t="str">
        <f t="shared" si="352"/>
        <v/>
      </c>
      <c r="H871" s="32" t="str">
        <f t="shared" si="353"/>
        <v/>
      </c>
      <c r="I871" s="78" t="str">
        <f t="shared" si="354"/>
        <v/>
      </c>
      <c r="J871" s="70" t="str">
        <f t="shared" si="355"/>
        <v/>
      </c>
      <c r="K871" s="135"/>
      <c r="L871" s="72" t="str">
        <f t="shared" si="356"/>
        <v/>
      </c>
      <c r="M871" s="135"/>
      <c r="N871" s="72" t="str">
        <f t="shared" si="357"/>
        <v/>
      </c>
      <c r="O871" s="135"/>
      <c r="P871" s="136"/>
      <c r="Q871" s="123" t="str">
        <f t="shared" si="358"/>
        <v/>
      </c>
      <c r="R871" s="45" t="str">
        <f t="shared" si="359"/>
        <v/>
      </c>
      <c r="S871" s="137"/>
      <c r="T871" s="79" t="str">
        <f t="shared" si="368"/>
        <v/>
      </c>
      <c r="U871" s="79" t="str">
        <f t="shared" si="360"/>
        <v/>
      </c>
      <c r="V871" s="73" t="str">
        <f t="shared" si="361"/>
        <v/>
      </c>
      <c r="W871" s="80" t="str">
        <f t="shared" si="362"/>
        <v/>
      </c>
      <c r="X871" s="73" t="str">
        <f t="shared" si="363"/>
        <v/>
      </c>
      <c r="Y871" s="80" t="str">
        <f t="shared" si="364"/>
        <v/>
      </c>
      <c r="Z871" s="74" t="str">
        <f t="shared" si="365"/>
        <v/>
      </c>
      <c r="AA871" s="75" t="str">
        <f t="shared" si="369"/>
        <v/>
      </c>
      <c r="AB871" s="103" t="str">
        <f t="shared" si="366"/>
        <v/>
      </c>
      <c r="AC871" s="104" t="str">
        <f t="shared" si="377"/>
        <v/>
      </c>
      <c r="AE871" s="139"/>
      <c r="AF871" s="110" t="str">
        <f t="shared" si="370"/>
        <v/>
      </c>
      <c r="AG871" s="111" t="str">
        <f t="shared" si="371"/>
        <v/>
      </c>
      <c r="AH871" s="111" t="str">
        <f t="shared" si="367"/>
        <v/>
      </c>
      <c r="AI871" s="111" t="str">
        <f t="shared" si="372"/>
        <v/>
      </c>
      <c r="AJ871" s="111" t="str">
        <f t="shared" si="373"/>
        <v/>
      </c>
      <c r="AK871" s="112" t="str">
        <f t="shared" si="374"/>
        <v/>
      </c>
      <c r="AL871" t="str">
        <f t="shared" si="375"/>
        <v/>
      </c>
      <c r="AM871" t="str">
        <f t="shared" si="376"/>
        <v/>
      </c>
    </row>
    <row r="872" spans="1:39" ht="15" customHeight="1" x14ac:dyDescent="0.25">
      <c r="A872" s="131"/>
      <c r="B872" s="133"/>
      <c r="C872" s="133"/>
      <c r="D872" s="42" t="str">
        <f t="shared" si="351"/>
        <v/>
      </c>
      <c r="E872" s="43"/>
      <c r="F872" s="135"/>
      <c r="G872" s="77" t="str">
        <f t="shared" si="352"/>
        <v/>
      </c>
      <c r="H872" s="32" t="str">
        <f t="shared" si="353"/>
        <v/>
      </c>
      <c r="I872" s="78" t="str">
        <f t="shared" si="354"/>
        <v/>
      </c>
      <c r="J872" s="70" t="str">
        <f t="shared" si="355"/>
        <v/>
      </c>
      <c r="K872" s="135"/>
      <c r="L872" s="72" t="str">
        <f t="shared" si="356"/>
        <v/>
      </c>
      <c r="M872" s="135"/>
      <c r="N872" s="72" t="str">
        <f t="shared" si="357"/>
        <v/>
      </c>
      <c r="O872" s="135"/>
      <c r="P872" s="136"/>
      <c r="Q872" s="123" t="str">
        <f t="shared" si="358"/>
        <v/>
      </c>
      <c r="R872" s="45" t="str">
        <f t="shared" si="359"/>
        <v/>
      </c>
      <c r="S872" s="137"/>
      <c r="T872" s="79" t="str">
        <f t="shared" si="368"/>
        <v/>
      </c>
      <c r="U872" s="79" t="str">
        <f t="shared" si="360"/>
        <v/>
      </c>
      <c r="V872" s="73" t="str">
        <f t="shared" si="361"/>
        <v/>
      </c>
      <c r="W872" s="80" t="str">
        <f t="shared" si="362"/>
        <v/>
      </c>
      <c r="X872" s="73" t="str">
        <f t="shared" si="363"/>
        <v/>
      </c>
      <c r="Y872" s="80" t="str">
        <f t="shared" si="364"/>
        <v/>
      </c>
      <c r="Z872" s="74" t="str">
        <f t="shared" si="365"/>
        <v/>
      </c>
      <c r="AA872" s="75" t="str">
        <f t="shared" si="369"/>
        <v/>
      </c>
      <c r="AB872" s="103" t="str">
        <f t="shared" si="366"/>
        <v/>
      </c>
      <c r="AC872" s="104" t="str">
        <f t="shared" si="377"/>
        <v/>
      </c>
      <c r="AE872" s="139"/>
      <c r="AF872" s="110" t="str">
        <f t="shared" si="370"/>
        <v/>
      </c>
      <c r="AG872" s="111" t="str">
        <f t="shared" si="371"/>
        <v/>
      </c>
      <c r="AH872" s="111" t="str">
        <f t="shared" si="367"/>
        <v/>
      </c>
      <c r="AI872" s="111" t="str">
        <f t="shared" si="372"/>
        <v/>
      </c>
      <c r="AJ872" s="111" t="str">
        <f t="shared" si="373"/>
        <v/>
      </c>
      <c r="AK872" s="112" t="str">
        <f t="shared" si="374"/>
        <v/>
      </c>
      <c r="AL872" t="str">
        <f t="shared" si="375"/>
        <v/>
      </c>
      <c r="AM872" t="str">
        <f t="shared" si="376"/>
        <v/>
      </c>
    </row>
    <row r="873" spans="1:39" ht="15" customHeight="1" x14ac:dyDescent="0.25">
      <c r="A873" s="131"/>
      <c r="B873" s="133"/>
      <c r="C873" s="133"/>
      <c r="D873" s="42" t="str">
        <f t="shared" si="351"/>
        <v/>
      </c>
      <c r="E873" s="43"/>
      <c r="F873" s="135"/>
      <c r="G873" s="77" t="str">
        <f t="shared" si="352"/>
        <v/>
      </c>
      <c r="H873" s="32" t="str">
        <f t="shared" si="353"/>
        <v/>
      </c>
      <c r="I873" s="78" t="str">
        <f t="shared" si="354"/>
        <v/>
      </c>
      <c r="J873" s="70" t="str">
        <f t="shared" si="355"/>
        <v/>
      </c>
      <c r="K873" s="135"/>
      <c r="L873" s="72" t="str">
        <f t="shared" si="356"/>
        <v/>
      </c>
      <c r="M873" s="135"/>
      <c r="N873" s="72" t="str">
        <f t="shared" si="357"/>
        <v/>
      </c>
      <c r="O873" s="135"/>
      <c r="P873" s="136"/>
      <c r="Q873" s="123" t="str">
        <f t="shared" si="358"/>
        <v/>
      </c>
      <c r="R873" s="45" t="str">
        <f t="shared" si="359"/>
        <v/>
      </c>
      <c r="S873" s="137"/>
      <c r="T873" s="79" t="str">
        <f t="shared" si="368"/>
        <v/>
      </c>
      <c r="U873" s="79" t="str">
        <f t="shared" si="360"/>
        <v/>
      </c>
      <c r="V873" s="73" t="str">
        <f t="shared" si="361"/>
        <v/>
      </c>
      <c r="W873" s="80" t="str">
        <f t="shared" si="362"/>
        <v/>
      </c>
      <c r="X873" s="73" t="str">
        <f t="shared" si="363"/>
        <v/>
      </c>
      <c r="Y873" s="80" t="str">
        <f t="shared" si="364"/>
        <v/>
      </c>
      <c r="Z873" s="74" t="str">
        <f t="shared" si="365"/>
        <v/>
      </c>
      <c r="AA873" s="75" t="str">
        <f t="shared" si="369"/>
        <v/>
      </c>
      <c r="AB873" s="103" t="str">
        <f t="shared" si="366"/>
        <v/>
      </c>
      <c r="AC873" s="104" t="str">
        <f t="shared" si="377"/>
        <v/>
      </c>
      <c r="AE873" s="139"/>
      <c r="AF873" s="110" t="str">
        <f t="shared" si="370"/>
        <v/>
      </c>
      <c r="AG873" s="111" t="str">
        <f t="shared" si="371"/>
        <v/>
      </c>
      <c r="AH873" s="111" t="str">
        <f t="shared" si="367"/>
        <v/>
      </c>
      <c r="AI873" s="111" t="str">
        <f t="shared" si="372"/>
        <v/>
      </c>
      <c r="AJ873" s="111" t="str">
        <f t="shared" si="373"/>
        <v/>
      </c>
      <c r="AK873" s="112" t="str">
        <f t="shared" si="374"/>
        <v/>
      </c>
      <c r="AL873" t="str">
        <f t="shared" si="375"/>
        <v/>
      </c>
      <c r="AM873" t="str">
        <f t="shared" si="376"/>
        <v/>
      </c>
    </row>
    <row r="874" spans="1:39" ht="15" customHeight="1" x14ac:dyDescent="0.25">
      <c r="A874" s="131"/>
      <c r="B874" s="133"/>
      <c r="C874" s="133"/>
      <c r="D874" s="42" t="str">
        <f t="shared" si="351"/>
        <v/>
      </c>
      <c r="E874" s="43"/>
      <c r="F874" s="135"/>
      <c r="G874" s="77" t="str">
        <f t="shared" si="352"/>
        <v/>
      </c>
      <c r="H874" s="32" t="str">
        <f t="shared" si="353"/>
        <v/>
      </c>
      <c r="I874" s="78" t="str">
        <f t="shared" si="354"/>
        <v/>
      </c>
      <c r="J874" s="70" t="str">
        <f t="shared" si="355"/>
        <v/>
      </c>
      <c r="K874" s="135"/>
      <c r="L874" s="72" t="str">
        <f t="shared" si="356"/>
        <v/>
      </c>
      <c r="M874" s="135"/>
      <c r="N874" s="72" t="str">
        <f t="shared" si="357"/>
        <v/>
      </c>
      <c r="O874" s="135"/>
      <c r="P874" s="136"/>
      <c r="Q874" s="123" t="str">
        <f t="shared" si="358"/>
        <v/>
      </c>
      <c r="R874" s="45" t="str">
        <f t="shared" si="359"/>
        <v/>
      </c>
      <c r="S874" s="137"/>
      <c r="T874" s="79" t="str">
        <f t="shared" si="368"/>
        <v/>
      </c>
      <c r="U874" s="79" t="str">
        <f t="shared" si="360"/>
        <v/>
      </c>
      <c r="V874" s="73" t="str">
        <f t="shared" si="361"/>
        <v/>
      </c>
      <c r="W874" s="80" t="str">
        <f t="shared" si="362"/>
        <v/>
      </c>
      <c r="X874" s="73" t="str">
        <f t="shared" si="363"/>
        <v/>
      </c>
      <c r="Y874" s="80" t="str">
        <f t="shared" si="364"/>
        <v/>
      </c>
      <c r="Z874" s="74" t="str">
        <f t="shared" si="365"/>
        <v/>
      </c>
      <c r="AA874" s="75" t="str">
        <f t="shared" si="369"/>
        <v/>
      </c>
      <c r="AB874" s="103" t="str">
        <f t="shared" si="366"/>
        <v/>
      </c>
      <c r="AC874" s="104" t="str">
        <f t="shared" si="377"/>
        <v/>
      </c>
      <c r="AE874" s="139"/>
      <c r="AF874" s="110" t="str">
        <f t="shared" si="370"/>
        <v/>
      </c>
      <c r="AG874" s="111" t="str">
        <f t="shared" si="371"/>
        <v/>
      </c>
      <c r="AH874" s="111" t="str">
        <f t="shared" si="367"/>
        <v/>
      </c>
      <c r="AI874" s="111" t="str">
        <f t="shared" si="372"/>
        <v/>
      </c>
      <c r="AJ874" s="111" t="str">
        <f t="shared" si="373"/>
        <v/>
      </c>
      <c r="AK874" s="112" t="str">
        <f t="shared" si="374"/>
        <v/>
      </c>
      <c r="AL874" t="str">
        <f t="shared" si="375"/>
        <v/>
      </c>
      <c r="AM874" t="str">
        <f t="shared" si="376"/>
        <v/>
      </c>
    </row>
    <row r="875" spans="1:39" ht="15" customHeight="1" x14ac:dyDescent="0.25">
      <c r="A875" s="131"/>
      <c r="B875" s="133"/>
      <c r="C875" s="133"/>
      <c r="D875" s="42" t="str">
        <f t="shared" si="351"/>
        <v/>
      </c>
      <c r="E875" s="43"/>
      <c r="F875" s="135"/>
      <c r="G875" s="77" t="str">
        <f t="shared" si="352"/>
        <v/>
      </c>
      <c r="H875" s="32" t="str">
        <f t="shared" si="353"/>
        <v/>
      </c>
      <c r="I875" s="78" t="str">
        <f t="shared" si="354"/>
        <v/>
      </c>
      <c r="J875" s="70" t="str">
        <f t="shared" si="355"/>
        <v/>
      </c>
      <c r="K875" s="135"/>
      <c r="L875" s="72" t="str">
        <f t="shared" si="356"/>
        <v/>
      </c>
      <c r="M875" s="135"/>
      <c r="N875" s="72" t="str">
        <f t="shared" si="357"/>
        <v/>
      </c>
      <c r="O875" s="135"/>
      <c r="P875" s="136"/>
      <c r="Q875" s="123" t="str">
        <f t="shared" si="358"/>
        <v/>
      </c>
      <c r="R875" s="45" t="str">
        <f t="shared" si="359"/>
        <v/>
      </c>
      <c r="S875" s="137"/>
      <c r="T875" s="79" t="str">
        <f t="shared" si="368"/>
        <v/>
      </c>
      <c r="U875" s="79" t="str">
        <f t="shared" si="360"/>
        <v/>
      </c>
      <c r="V875" s="73" t="str">
        <f t="shared" si="361"/>
        <v/>
      </c>
      <c r="W875" s="80" t="str">
        <f t="shared" si="362"/>
        <v/>
      </c>
      <c r="X875" s="73" t="str">
        <f t="shared" si="363"/>
        <v/>
      </c>
      <c r="Y875" s="80" t="str">
        <f t="shared" si="364"/>
        <v/>
      </c>
      <c r="Z875" s="74" t="str">
        <f t="shared" si="365"/>
        <v/>
      </c>
      <c r="AA875" s="75" t="str">
        <f t="shared" si="369"/>
        <v/>
      </c>
      <c r="AB875" s="103" t="str">
        <f t="shared" si="366"/>
        <v/>
      </c>
      <c r="AC875" s="104" t="str">
        <f t="shared" si="377"/>
        <v/>
      </c>
      <c r="AE875" s="139"/>
      <c r="AF875" s="110" t="str">
        <f t="shared" si="370"/>
        <v/>
      </c>
      <c r="AG875" s="111" t="str">
        <f t="shared" si="371"/>
        <v/>
      </c>
      <c r="AH875" s="111" t="str">
        <f t="shared" si="367"/>
        <v/>
      </c>
      <c r="AI875" s="111" t="str">
        <f t="shared" si="372"/>
        <v/>
      </c>
      <c r="AJ875" s="111" t="str">
        <f t="shared" si="373"/>
        <v/>
      </c>
      <c r="AK875" s="112" t="str">
        <f t="shared" si="374"/>
        <v/>
      </c>
      <c r="AL875" t="str">
        <f t="shared" si="375"/>
        <v/>
      </c>
      <c r="AM875" t="str">
        <f t="shared" si="376"/>
        <v/>
      </c>
    </row>
    <row r="876" spans="1:39" ht="15" customHeight="1" x14ac:dyDescent="0.25">
      <c r="A876" s="131"/>
      <c r="B876" s="133"/>
      <c r="C876" s="133"/>
      <c r="D876" s="42" t="str">
        <f t="shared" si="351"/>
        <v/>
      </c>
      <c r="E876" s="43"/>
      <c r="F876" s="135"/>
      <c r="G876" s="77" t="str">
        <f t="shared" si="352"/>
        <v/>
      </c>
      <c r="H876" s="32" t="str">
        <f t="shared" si="353"/>
        <v/>
      </c>
      <c r="I876" s="78" t="str">
        <f t="shared" si="354"/>
        <v/>
      </c>
      <c r="J876" s="70" t="str">
        <f t="shared" si="355"/>
        <v/>
      </c>
      <c r="K876" s="135"/>
      <c r="L876" s="72" t="str">
        <f t="shared" si="356"/>
        <v/>
      </c>
      <c r="M876" s="135"/>
      <c r="N876" s="72" t="str">
        <f t="shared" si="357"/>
        <v/>
      </c>
      <c r="O876" s="135"/>
      <c r="P876" s="136"/>
      <c r="Q876" s="123" t="str">
        <f t="shared" si="358"/>
        <v/>
      </c>
      <c r="R876" s="45" t="str">
        <f t="shared" si="359"/>
        <v/>
      </c>
      <c r="S876" s="137"/>
      <c r="T876" s="79" t="str">
        <f t="shared" si="368"/>
        <v/>
      </c>
      <c r="U876" s="79" t="str">
        <f t="shared" si="360"/>
        <v/>
      </c>
      <c r="V876" s="73" t="str">
        <f t="shared" si="361"/>
        <v/>
      </c>
      <c r="W876" s="80" t="str">
        <f t="shared" si="362"/>
        <v/>
      </c>
      <c r="X876" s="73" t="str">
        <f t="shared" si="363"/>
        <v/>
      </c>
      <c r="Y876" s="80" t="str">
        <f t="shared" si="364"/>
        <v/>
      </c>
      <c r="Z876" s="74" t="str">
        <f t="shared" si="365"/>
        <v/>
      </c>
      <c r="AA876" s="75" t="str">
        <f t="shared" si="369"/>
        <v/>
      </c>
      <c r="AB876" s="103" t="str">
        <f t="shared" si="366"/>
        <v/>
      </c>
      <c r="AC876" s="104" t="str">
        <f t="shared" si="377"/>
        <v/>
      </c>
      <c r="AE876" s="139"/>
      <c r="AF876" s="110" t="str">
        <f t="shared" si="370"/>
        <v/>
      </c>
      <c r="AG876" s="111" t="str">
        <f t="shared" si="371"/>
        <v/>
      </c>
      <c r="AH876" s="111" t="str">
        <f t="shared" si="367"/>
        <v/>
      </c>
      <c r="AI876" s="111" t="str">
        <f t="shared" si="372"/>
        <v/>
      </c>
      <c r="AJ876" s="111" t="str">
        <f t="shared" si="373"/>
        <v/>
      </c>
      <c r="AK876" s="112" t="str">
        <f t="shared" si="374"/>
        <v/>
      </c>
      <c r="AL876" t="str">
        <f t="shared" si="375"/>
        <v/>
      </c>
      <c r="AM876" t="str">
        <f t="shared" si="376"/>
        <v/>
      </c>
    </row>
    <row r="877" spans="1:39" ht="15" customHeight="1" x14ac:dyDescent="0.25">
      <c r="A877" s="131"/>
      <c r="B877" s="133"/>
      <c r="C877" s="133"/>
      <c r="D877" s="42" t="str">
        <f t="shared" si="351"/>
        <v/>
      </c>
      <c r="E877" s="43"/>
      <c r="F877" s="135"/>
      <c r="G877" s="77" t="str">
        <f t="shared" si="352"/>
        <v/>
      </c>
      <c r="H877" s="32" t="str">
        <f t="shared" si="353"/>
        <v/>
      </c>
      <c r="I877" s="78" t="str">
        <f t="shared" si="354"/>
        <v/>
      </c>
      <c r="J877" s="70" t="str">
        <f t="shared" si="355"/>
        <v/>
      </c>
      <c r="K877" s="135"/>
      <c r="L877" s="72" t="str">
        <f t="shared" si="356"/>
        <v/>
      </c>
      <c r="M877" s="135"/>
      <c r="N877" s="72" t="str">
        <f t="shared" si="357"/>
        <v/>
      </c>
      <c r="O877" s="135"/>
      <c r="P877" s="136"/>
      <c r="Q877" s="123" t="str">
        <f t="shared" si="358"/>
        <v/>
      </c>
      <c r="R877" s="45" t="str">
        <f t="shared" si="359"/>
        <v/>
      </c>
      <c r="S877" s="137"/>
      <c r="T877" s="79" t="str">
        <f t="shared" si="368"/>
        <v/>
      </c>
      <c r="U877" s="79" t="str">
        <f t="shared" si="360"/>
        <v/>
      </c>
      <c r="V877" s="73" t="str">
        <f t="shared" si="361"/>
        <v/>
      </c>
      <c r="W877" s="80" t="str">
        <f t="shared" si="362"/>
        <v/>
      </c>
      <c r="X877" s="73" t="str">
        <f t="shared" si="363"/>
        <v/>
      </c>
      <c r="Y877" s="80" t="str">
        <f t="shared" si="364"/>
        <v/>
      </c>
      <c r="Z877" s="74" t="str">
        <f t="shared" si="365"/>
        <v/>
      </c>
      <c r="AA877" s="75" t="str">
        <f t="shared" si="369"/>
        <v/>
      </c>
      <c r="AB877" s="103" t="str">
        <f t="shared" si="366"/>
        <v/>
      </c>
      <c r="AC877" s="104" t="str">
        <f t="shared" si="377"/>
        <v/>
      </c>
      <c r="AE877" s="139"/>
      <c r="AF877" s="110" t="str">
        <f t="shared" si="370"/>
        <v/>
      </c>
      <c r="AG877" s="111" t="str">
        <f t="shared" si="371"/>
        <v/>
      </c>
      <c r="AH877" s="111" t="str">
        <f t="shared" si="367"/>
        <v/>
      </c>
      <c r="AI877" s="111" t="str">
        <f t="shared" si="372"/>
        <v/>
      </c>
      <c r="AJ877" s="111" t="str">
        <f t="shared" si="373"/>
        <v/>
      </c>
      <c r="AK877" s="112" t="str">
        <f t="shared" si="374"/>
        <v/>
      </c>
      <c r="AL877" t="str">
        <f t="shared" si="375"/>
        <v/>
      </c>
      <c r="AM877" t="str">
        <f t="shared" si="376"/>
        <v/>
      </c>
    </row>
    <row r="878" spans="1:39" ht="15" customHeight="1" x14ac:dyDescent="0.25">
      <c r="A878" s="131"/>
      <c r="B878" s="133"/>
      <c r="C878" s="133"/>
      <c r="D878" s="42" t="str">
        <f t="shared" si="351"/>
        <v/>
      </c>
      <c r="E878" s="43"/>
      <c r="F878" s="135"/>
      <c r="G878" s="77" t="str">
        <f t="shared" si="352"/>
        <v/>
      </c>
      <c r="H878" s="32" t="str">
        <f t="shared" si="353"/>
        <v/>
      </c>
      <c r="I878" s="78" t="str">
        <f t="shared" si="354"/>
        <v/>
      </c>
      <c r="J878" s="70" t="str">
        <f t="shared" si="355"/>
        <v/>
      </c>
      <c r="K878" s="135"/>
      <c r="L878" s="72" t="str">
        <f t="shared" si="356"/>
        <v/>
      </c>
      <c r="M878" s="135"/>
      <c r="N878" s="72" t="str">
        <f t="shared" si="357"/>
        <v/>
      </c>
      <c r="O878" s="135"/>
      <c r="P878" s="136"/>
      <c r="Q878" s="123" t="str">
        <f t="shared" si="358"/>
        <v/>
      </c>
      <c r="R878" s="45" t="str">
        <f t="shared" si="359"/>
        <v/>
      </c>
      <c r="S878" s="137"/>
      <c r="T878" s="79" t="str">
        <f t="shared" si="368"/>
        <v/>
      </c>
      <c r="U878" s="79" t="str">
        <f t="shared" si="360"/>
        <v/>
      </c>
      <c r="V878" s="73" t="str">
        <f t="shared" si="361"/>
        <v/>
      </c>
      <c r="W878" s="80" t="str">
        <f t="shared" si="362"/>
        <v/>
      </c>
      <c r="X878" s="73" t="str">
        <f t="shared" si="363"/>
        <v/>
      </c>
      <c r="Y878" s="80" t="str">
        <f t="shared" si="364"/>
        <v/>
      </c>
      <c r="Z878" s="74" t="str">
        <f t="shared" si="365"/>
        <v/>
      </c>
      <c r="AA878" s="75" t="str">
        <f t="shared" si="369"/>
        <v/>
      </c>
      <c r="AB878" s="103" t="str">
        <f t="shared" si="366"/>
        <v/>
      </c>
      <c r="AC878" s="104" t="str">
        <f t="shared" si="377"/>
        <v/>
      </c>
      <c r="AE878" s="139"/>
      <c r="AF878" s="110" t="str">
        <f t="shared" si="370"/>
        <v/>
      </c>
      <c r="AG878" s="111" t="str">
        <f t="shared" si="371"/>
        <v/>
      </c>
      <c r="AH878" s="111" t="str">
        <f t="shared" si="367"/>
        <v/>
      </c>
      <c r="AI878" s="111" t="str">
        <f t="shared" si="372"/>
        <v/>
      </c>
      <c r="AJ878" s="111" t="str">
        <f t="shared" si="373"/>
        <v/>
      </c>
      <c r="AK878" s="112" t="str">
        <f t="shared" si="374"/>
        <v/>
      </c>
      <c r="AL878" t="str">
        <f t="shared" si="375"/>
        <v/>
      </c>
      <c r="AM878" t="str">
        <f t="shared" si="376"/>
        <v/>
      </c>
    </row>
    <row r="879" spans="1:39" ht="15" customHeight="1" x14ac:dyDescent="0.25">
      <c r="A879" s="131"/>
      <c r="B879" s="133"/>
      <c r="C879" s="133"/>
      <c r="D879" s="42" t="str">
        <f t="shared" si="351"/>
        <v/>
      </c>
      <c r="E879" s="43"/>
      <c r="F879" s="135"/>
      <c r="G879" s="77" t="str">
        <f t="shared" si="352"/>
        <v/>
      </c>
      <c r="H879" s="32" t="str">
        <f t="shared" si="353"/>
        <v/>
      </c>
      <c r="I879" s="78" t="str">
        <f t="shared" si="354"/>
        <v/>
      </c>
      <c r="J879" s="70" t="str">
        <f t="shared" si="355"/>
        <v/>
      </c>
      <c r="K879" s="135"/>
      <c r="L879" s="72" t="str">
        <f t="shared" si="356"/>
        <v/>
      </c>
      <c r="M879" s="135"/>
      <c r="N879" s="72" t="str">
        <f t="shared" si="357"/>
        <v/>
      </c>
      <c r="O879" s="135"/>
      <c r="P879" s="136"/>
      <c r="Q879" s="123" t="str">
        <f t="shared" si="358"/>
        <v/>
      </c>
      <c r="R879" s="45" t="str">
        <f t="shared" si="359"/>
        <v/>
      </c>
      <c r="S879" s="137"/>
      <c r="T879" s="79" t="str">
        <f t="shared" si="368"/>
        <v/>
      </c>
      <c r="U879" s="79" t="str">
        <f t="shared" si="360"/>
        <v/>
      </c>
      <c r="V879" s="73" t="str">
        <f t="shared" si="361"/>
        <v/>
      </c>
      <c r="W879" s="80" t="str">
        <f t="shared" si="362"/>
        <v/>
      </c>
      <c r="X879" s="73" t="str">
        <f t="shared" si="363"/>
        <v/>
      </c>
      <c r="Y879" s="80" t="str">
        <f t="shared" si="364"/>
        <v/>
      </c>
      <c r="Z879" s="74" t="str">
        <f t="shared" si="365"/>
        <v/>
      </c>
      <c r="AA879" s="75" t="str">
        <f t="shared" si="369"/>
        <v/>
      </c>
      <c r="AB879" s="103" t="str">
        <f t="shared" si="366"/>
        <v/>
      </c>
      <c r="AC879" s="104" t="str">
        <f t="shared" si="377"/>
        <v/>
      </c>
      <c r="AE879" s="139"/>
      <c r="AF879" s="110" t="str">
        <f t="shared" si="370"/>
        <v/>
      </c>
      <c r="AG879" s="111" t="str">
        <f t="shared" si="371"/>
        <v/>
      </c>
      <c r="AH879" s="111" t="str">
        <f t="shared" si="367"/>
        <v/>
      </c>
      <c r="AI879" s="111" t="str">
        <f t="shared" si="372"/>
        <v/>
      </c>
      <c r="AJ879" s="111" t="str">
        <f t="shared" si="373"/>
        <v/>
      </c>
      <c r="AK879" s="112" t="str">
        <f t="shared" si="374"/>
        <v/>
      </c>
      <c r="AL879" t="str">
        <f t="shared" si="375"/>
        <v/>
      </c>
      <c r="AM879" t="str">
        <f t="shared" si="376"/>
        <v/>
      </c>
    </row>
    <row r="880" spans="1:39" ht="15" customHeight="1" x14ac:dyDescent="0.25">
      <c r="A880" s="131"/>
      <c r="B880" s="133"/>
      <c r="C880" s="133"/>
      <c r="D880" s="42" t="str">
        <f t="shared" si="351"/>
        <v/>
      </c>
      <c r="E880" s="43"/>
      <c r="F880" s="135"/>
      <c r="G880" s="77" t="str">
        <f t="shared" si="352"/>
        <v/>
      </c>
      <c r="H880" s="32" t="str">
        <f t="shared" si="353"/>
        <v/>
      </c>
      <c r="I880" s="78" t="str">
        <f t="shared" si="354"/>
        <v/>
      </c>
      <c r="J880" s="70" t="str">
        <f t="shared" si="355"/>
        <v/>
      </c>
      <c r="K880" s="135"/>
      <c r="L880" s="72" t="str">
        <f t="shared" si="356"/>
        <v/>
      </c>
      <c r="M880" s="135"/>
      <c r="N880" s="72" t="str">
        <f t="shared" si="357"/>
        <v/>
      </c>
      <c r="O880" s="135"/>
      <c r="P880" s="136"/>
      <c r="Q880" s="123" t="str">
        <f t="shared" si="358"/>
        <v/>
      </c>
      <c r="R880" s="45" t="str">
        <f t="shared" si="359"/>
        <v/>
      </c>
      <c r="S880" s="137"/>
      <c r="T880" s="79" t="str">
        <f t="shared" si="368"/>
        <v/>
      </c>
      <c r="U880" s="79" t="str">
        <f t="shared" si="360"/>
        <v/>
      </c>
      <c r="V880" s="73" t="str">
        <f t="shared" si="361"/>
        <v/>
      </c>
      <c r="W880" s="80" t="str">
        <f t="shared" si="362"/>
        <v/>
      </c>
      <c r="X880" s="73" t="str">
        <f t="shared" si="363"/>
        <v/>
      </c>
      <c r="Y880" s="80" t="str">
        <f t="shared" si="364"/>
        <v/>
      </c>
      <c r="Z880" s="74" t="str">
        <f t="shared" si="365"/>
        <v/>
      </c>
      <c r="AA880" s="75" t="str">
        <f t="shared" si="369"/>
        <v/>
      </c>
      <c r="AB880" s="103" t="str">
        <f t="shared" si="366"/>
        <v/>
      </c>
      <c r="AC880" s="104" t="str">
        <f t="shared" si="377"/>
        <v/>
      </c>
      <c r="AE880" s="139"/>
      <c r="AF880" s="110" t="str">
        <f t="shared" si="370"/>
        <v/>
      </c>
      <c r="AG880" s="111" t="str">
        <f t="shared" si="371"/>
        <v/>
      </c>
      <c r="AH880" s="111" t="str">
        <f t="shared" si="367"/>
        <v/>
      </c>
      <c r="AI880" s="111" t="str">
        <f t="shared" si="372"/>
        <v/>
      </c>
      <c r="AJ880" s="111" t="str">
        <f t="shared" si="373"/>
        <v/>
      </c>
      <c r="AK880" s="112" t="str">
        <f t="shared" si="374"/>
        <v/>
      </c>
      <c r="AL880" t="str">
        <f t="shared" si="375"/>
        <v/>
      </c>
      <c r="AM880" t="str">
        <f t="shared" si="376"/>
        <v/>
      </c>
    </row>
    <row r="881" spans="1:39" ht="15" customHeight="1" x14ac:dyDescent="0.25">
      <c r="A881" s="131"/>
      <c r="B881" s="133"/>
      <c r="C881" s="133"/>
      <c r="D881" s="42" t="str">
        <f t="shared" si="351"/>
        <v/>
      </c>
      <c r="E881" s="43"/>
      <c r="F881" s="135"/>
      <c r="G881" s="77" t="str">
        <f t="shared" si="352"/>
        <v/>
      </c>
      <c r="H881" s="32" t="str">
        <f t="shared" si="353"/>
        <v/>
      </c>
      <c r="I881" s="78" t="str">
        <f t="shared" si="354"/>
        <v/>
      </c>
      <c r="J881" s="70" t="str">
        <f t="shared" si="355"/>
        <v/>
      </c>
      <c r="K881" s="135"/>
      <c r="L881" s="72" t="str">
        <f t="shared" si="356"/>
        <v/>
      </c>
      <c r="M881" s="135"/>
      <c r="N881" s="72" t="str">
        <f t="shared" si="357"/>
        <v/>
      </c>
      <c r="O881" s="135"/>
      <c r="P881" s="136"/>
      <c r="Q881" s="123" t="str">
        <f t="shared" si="358"/>
        <v/>
      </c>
      <c r="R881" s="45" t="str">
        <f t="shared" si="359"/>
        <v/>
      </c>
      <c r="S881" s="137"/>
      <c r="T881" s="79" t="str">
        <f t="shared" si="368"/>
        <v/>
      </c>
      <c r="U881" s="79" t="str">
        <f t="shared" si="360"/>
        <v/>
      </c>
      <c r="V881" s="73" t="str">
        <f t="shared" si="361"/>
        <v/>
      </c>
      <c r="W881" s="80" t="str">
        <f t="shared" si="362"/>
        <v/>
      </c>
      <c r="X881" s="73" t="str">
        <f t="shared" si="363"/>
        <v/>
      </c>
      <c r="Y881" s="80" t="str">
        <f t="shared" si="364"/>
        <v/>
      </c>
      <c r="Z881" s="74" t="str">
        <f t="shared" si="365"/>
        <v/>
      </c>
      <c r="AA881" s="75" t="str">
        <f t="shared" si="369"/>
        <v/>
      </c>
      <c r="AB881" s="103" t="str">
        <f t="shared" si="366"/>
        <v/>
      </c>
      <c r="AC881" s="104" t="str">
        <f t="shared" si="377"/>
        <v/>
      </c>
      <c r="AE881" s="139"/>
      <c r="AF881" s="110" t="str">
        <f t="shared" si="370"/>
        <v/>
      </c>
      <c r="AG881" s="111" t="str">
        <f t="shared" si="371"/>
        <v/>
      </c>
      <c r="AH881" s="111" t="str">
        <f t="shared" si="367"/>
        <v/>
      </c>
      <c r="AI881" s="111" t="str">
        <f t="shared" si="372"/>
        <v/>
      </c>
      <c r="AJ881" s="111" t="str">
        <f t="shared" si="373"/>
        <v/>
      </c>
      <c r="AK881" s="112" t="str">
        <f t="shared" si="374"/>
        <v/>
      </c>
      <c r="AL881" t="str">
        <f t="shared" si="375"/>
        <v/>
      </c>
      <c r="AM881" t="str">
        <f t="shared" si="376"/>
        <v/>
      </c>
    </row>
    <row r="882" spans="1:39" ht="15" customHeight="1" x14ac:dyDescent="0.25">
      <c r="A882" s="131"/>
      <c r="B882" s="133"/>
      <c r="C882" s="133"/>
      <c r="D882" s="42" t="str">
        <f t="shared" si="351"/>
        <v/>
      </c>
      <c r="E882" s="43"/>
      <c r="F882" s="135"/>
      <c r="G882" s="77" t="str">
        <f t="shared" si="352"/>
        <v/>
      </c>
      <c r="H882" s="32" t="str">
        <f t="shared" si="353"/>
        <v/>
      </c>
      <c r="I882" s="78" t="str">
        <f t="shared" si="354"/>
        <v/>
      </c>
      <c r="J882" s="70" t="str">
        <f t="shared" si="355"/>
        <v/>
      </c>
      <c r="K882" s="135"/>
      <c r="L882" s="72" t="str">
        <f t="shared" si="356"/>
        <v/>
      </c>
      <c r="M882" s="135"/>
      <c r="N882" s="72" t="str">
        <f t="shared" si="357"/>
        <v/>
      </c>
      <c r="O882" s="135"/>
      <c r="P882" s="136"/>
      <c r="Q882" s="123" t="str">
        <f t="shared" si="358"/>
        <v/>
      </c>
      <c r="R882" s="45" t="str">
        <f t="shared" si="359"/>
        <v/>
      </c>
      <c r="S882" s="137"/>
      <c r="T882" s="79" t="str">
        <f t="shared" si="368"/>
        <v/>
      </c>
      <c r="U882" s="79" t="str">
        <f t="shared" si="360"/>
        <v/>
      </c>
      <c r="V882" s="73" t="str">
        <f t="shared" si="361"/>
        <v/>
      </c>
      <c r="W882" s="80" t="str">
        <f t="shared" si="362"/>
        <v/>
      </c>
      <c r="X882" s="73" t="str">
        <f t="shared" si="363"/>
        <v/>
      </c>
      <c r="Y882" s="80" t="str">
        <f t="shared" si="364"/>
        <v/>
      </c>
      <c r="Z882" s="74" t="str">
        <f t="shared" si="365"/>
        <v/>
      </c>
      <c r="AA882" s="75" t="str">
        <f t="shared" si="369"/>
        <v/>
      </c>
      <c r="AB882" s="103" t="str">
        <f t="shared" si="366"/>
        <v/>
      </c>
      <c r="AC882" s="104" t="str">
        <f t="shared" si="377"/>
        <v/>
      </c>
      <c r="AE882" s="139"/>
      <c r="AF882" s="110" t="str">
        <f t="shared" si="370"/>
        <v/>
      </c>
      <c r="AG882" s="111" t="str">
        <f t="shared" si="371"/>
        <v/>
      </c>
      <c r="AH882" s="111" t="str">
        <f t="shared" si="367"/>
        <v/>
      </c>
      <c r="AI882" s="111" t="str">
        <f t="shared" si="372"/>
        <v/>
      </c>
      <c r="AJ882" s="111" t="str">
        <f t="shared" si="373"/>
        <v/>
      </c>
      <c r="AK882" s="112" t="str">
        <f t="shared" si="374"/>
        <v/>
      </c>
      <c r="AL882" t="str">
        <f t="shared" si="375"/>
        <v/>
      </c>
      <c r="AM882" t="str">
        <f t="shared" si="376"/>
        <v/>
      </c>
    </row>
    <row r="883" spans="1:39" ht="15" customHeight="1" x14ac:dyDescent="0.25">
      <c r="A883" s="131"/>
      <c r="B883" s="133"/>
      <c r="C883" s="133"/>
      <c r="D883" s="42" t="str">
        <f t="shared" si="351"/>
        <v/>
      </c>
      <c r="E883" s="43"/>
      <c r="F883" s="135"/>
      <c r="G883" s="77" t="str">
        <f t="shared" si="352"/>
        <v/>
      </c>
      <c r="H883" s="32" t="str">
        <f t="shared" si="353"/>
        <v/>
      </c>
      <c r="I883" s="78" t="str">
        <f t="shared" si="354"/>
        <v/>
      </c>
      <c r="J883" s="70" t="str">
        <f t="shared" si="355"/>
        <v/>
      </c>
      <c r="K883" s="135"/>
      <c r="L883" s="72" t="str">
        <f t="shared" si="356"/>
        <v/>
      </c>
      <c r="M883" s="135"/>
      <c r="N883" s="72" t="str">
        <f t="shared" si="357"/>
        <v/>
      </c>
      <c r="O883" s="135"/>
      <c r="P883" s="136"/>
      <c r="Q883" s="123" t="str">
        <f t="shared" si="358"/>
        <v/>
      </c>
      <c r="R883" s="45" t="str">
        <f t="shared" si="359"/>
        <v/>
      </c>
      <c r="S883" s="137"/>
      <c r="T883" s="79" t="str">
        <f t="shared" si="368"/>
        <v/>
      </c>
      <c r="U883" s="79" t="str">
        <f t="shared" si="360"/>
        <v/>
      </c>
      <c r="V883" s="73" t="str">
        <f t="shared" si="361"/>
        <v/>
      </c>
      <c r="W883" s="80" t="str">
        <f t="shared" si="362"/>
        <v/>
      </c>
      <c r="X883" s="73" t="str">
        <f t="shared" si="363"/>
        <v/>
      </c>
      <c r="Y883" s="80" t="str">
        <f t="shared" si="364"/>
        <v/>
      </c>
      <c r="Z883" s="74" t="str">
        <f t="shared" si="365"/>
        <v/>
      </c>
      <c r="AA883" s="75" t="str">
        <f t="shared" si="369"/>
        <v/>
      </c>
      <c r="AB883" s="103" t="str">
        <f t="shared" si="366"/>
        <v/>
      </c>
      <c r="AC883" s="104" t="str">
        <f t="shared" si="377"/>
        <v/>
      </c>
      <c r="AE883" s="139"/>
      <c r="AF883" s="110" t="str">
        <f t="shared" si="370"/>
        <v/>
      </c>
      <c r="AG883" s="111" t="str">
        <f t="shared" si="371"/>
        <v/>
      </c>
      <c r="AH883" s="111" t="str">
        <f t="shared" si="367"/>
        <v/>
      </c>
      <c r="AI883" s="111" t="str">
        <f t="shared" si="372"/>
        <v/>
      </c>
      <c r="AJ883" s="111" t="str">
        <f t="shared" si="373"/>
        <v/>
      </c>
      <c r="AK883" s="112" t="str">
        <f t="shared" si="374"/>
        <v/>
      </c>
      <c r="AL883" t="str">
        <f t="shared" si="375"/>
        <v/>
      </c>
      <c r="AM883" t="str">
        <f t="shared" si="376"/>
        <v/>
      </c>
    </row>
    <row r="884" spans="1:39" ht="15" customHeight="1" x14ac:dyDescent="0.25">
      <c r="A884" s="131"/>
      <c r="B884" s="133"/>
      <c r="C884" s="133"/>
      <c r="D884" s="42" t="str">
        <f t="shared" si="351"/>
        <v/>
      </c>
      <c r="E884" s="43"/>
      <c r="F884" s="135"/>
      <c r="G884" s="77" t="str">
        <f t="shared" si="352"/>
        <v/>
      </c>
      <c r="H884" s="32" t="str">
        <f t="shared" si="353"/>
        <v/>
      </c>
      <c r="I884" s="78" t="str">
        <f t="shared" si="354"/>
        <v/>
      </c>
      <c r="J884" s="70" t="str">
        <f t="shared" si="355"/>
        <v/>
      </c>
      <c r="K884" s="135"/>
      <c r="L884" s="72" t="str">
        <f t="shared" si="356"/>
        <v/>
      </c>
      <c r="M884" s="135"/>
      <c r="N884" s="72" t="str">
        <f t="shared" si="357"/>
        <v/>
      </c>
      <c r="O884" s="135"/>
      <c r="P884" s="136"/>
      <c r="Q884" s="123" t="str">
        <f t="shared" si="358"/>
        <v/>
      </c>
      <c r="R884" s="45" t="str">
        <f t="shared" si="359"/>
        <v/>
      </c>
      <c r="S884" s="137"/>
      <c r="T884" s="79" t="str">
        <f t="shared" si="368"/>
        <v/>
      </c>
      <c r="U884" s="79" t="str">
        <f t="shared" si="360"/>
        <v/>
      </c>
      <c r="V884" s="73" t="str">
        <f t="shared" si="361"/>
        <v/>
      </c>
      <c r="W884" s="80" t="str">
        <f t="shared" si="362"/>
        <v/>
      </c>
      <c r="X884" s="73" t="str">
        <f t="shared" si="363"/>
        <v/>
      </c>
      <c r="Y884" s="80" t="str">
        <f t="shared" si="364"/>
        <v/>
      </c>
      <c r="Z884" s="74" t="str">
        <f t="shared" si="365"/>
        <v/>
      </c>
      <c r="AA884" s="75" t="str">
        <f t="shared" si="369"/>
        <v/>
      </c>
      <c r="AB884" s="103" t="str">
        <f t="shared" si="366"/>
        <v/>
      </c>
      <c r="AC884" s="104" t="str">
        <f t="shared" si="377"/>
        <v/>
      </c>
      <c r="AE884" s="139"/>
      <c r="AF884" s="110" t="str">
        <f t="shared" si="370"/>
        <v/>
      </c>
      <c r="AG884" s="111" t="str">
        <f t="shared" si="371"/>
        <v/>
      </c>
      <c r="AH884" s="111" t="str">
        <f t="shared" si="367"/>
        <v/>
      </c>
      <c r="AI884" s="111" t="str">
        <f t="shared" si="372"/>
        <v/>
      </c>
      <c r="AJ884" s="111" t="str">
        <f t="shared" si="373"/>
        <v/>
      </c>
      <c r="AK884" s="112" t="str">
        <f t="shared" si="374"/>
        <v/>
      </c>
      <c r="AL884" t="str">
        <f t="shared" si="375"/>
        <v/>
      </c>
      <c r="AM884" t="str">
        <f t="shared" si="376"/>
        <v/>
      </c>
    </row>
    <row r="885" spans="1:39" ht="15" customHeight="1" x14ac:dyDescent="0.25">
      <c r="A885" s="131"/>
      <c r="B885" s="133"/>
      <c r="C885" s="133"/>
      <c r="D885" s="42" t="str">
        <f t="shared" si="351"/>
        <v/>
      </c>
      <c r="E885" s="43"/>
      <c r="F885" s="135"/>
      <c r="G885" s="77" t="str">
        <f t="shared" si="352"/>
        <v/>
      </c>
      <c r="H885" s="32" t="str">
        <f t="shared" si="353"/>
        <v/>
      </c>
      <c r="I885" s="78" t="str">
        <f t="shared" si="354"/>
        <v/>
      </c>
      <c r="J885" s="70" t="str">
        <f t="shared" si="355"/>
        <v/>
      </c>
      <c r="K885" s="135"/>
      <c r="L885" s="72" t="str">
        <f t="shared" si="356"/>
        <v/>
      </c>
      <c r="M885" s="135"/>
      <c r="N885" s="72" t="str">
        <f t="shared" si="357"/>
        <v/>
      </c>
      <c r="O885" s="135"/>
      <c r="P885" s="136"/>
      <c r="Q885" s="123" t="str">
        <f t="shared" si="358"/>
        <v/>
      </c>
      <c r="R885" s="45" t="str">
        <f t="shared" si="359"/>
        <v/>
      </c>
      <c r="S885" s="137"/>
      <c r="T885" s="79" t="str">
        <f t="shared" si="368"/>
        <v/>
      </c>
      <c r="U885" s="79" t="str">
        <f t="shared" si="360"/>
        <v/>
      </c>
      <c r="V885" s="73" t="str">
        <f t="shared" si="361"/>
        <v/>
      </c>
      <c r="W885" s="80" t="str">
        <f t="shared" si="362"/>
        <v/>
      </c>
      <c r="X885" s="73" t="str">
        <f t="shared" si="363"/>
        <v/>
      </c>
      <c r="Y885" s="80" t="str">
        <f t="shared" si="364"/>
        <v/>
      </c>
      <c r="Z885" s="74" t="str">
        <f t="shared" si="365"/>
        <v/>
      </c>
      <c r="AA885" s="75" t="str">
        <f t="shared" si="369"/>
        <v/>
      </c>
      <c r="AB885" s="103" t="str">
        <f t="shared" si="366"/>
        <v/>
      </c>
      <c r="AC885" s="104" t="str">
        <f t="shared" si="377"/>
        <v/>
      </c>
      <c r="AE885" s="139"/>
      <c r="AF885" s="110" t="str">
        <f t="shared" si="370"/>
        <v/>
      </c>
      <c r="AG885" s="111" t="str">
        <f t="shared" si="371"/>
        <v/>
      </c>
      <c r="AH885" s="111" t="str">
        <f t="shared" si="367"/>
        <v/>
      </c>
      <c r="AI885" s="111" t="str">
        <f t="shared" si="372"/>
        <v/>
      </c>
      <c r="AJ885" s="111" t="str">
        <f t="shared" si="373"/>
        <v/>
      </c>
      <c r="AK885" s="112" t="str">
        <f t="shared" si="374"/>
        <v/>
      </c>
      <c r="AL885" t="str">
        <f t="shared" si="375"/>
        <v/>
      </c>
      <c r="AM885" t="str">
        <f t="shared" si="376"/>
        <v/>
      </c>
    </row>
    <row r="886" spans="1:39" ht="15" customHeight="1" x14ac:dyDescent="0.25">
      <c r="A886" s="131"/>
      <c r="B886" s="133"/>
      <c r="C886" s="133"/>
      <c r="D886" s="42" t="str">
        <f t="shared" si="351"/>
        <v/>
      </c>
      <c r="E886" s="43"/>
      <c r="F886" s="135"/>
      <c r="G886" s="77" t="str">
        <f t="shared" si="352"/>
        <v/>
      </c>
      <c r="H886" s="32" t="str">
        <f t="shared" si="353"/>
        <v/>
      </c>
      <c r="I886" s="78" t="str">
        <f t="shared" si="354"/>
        <v/>
      </c>
      <c r="J886" s="70" t="str">
        <f t="shared" si="355"/>
        <v/>
      </c>
      <c r="K886" s="135"/>
      <c r="L886" s="72" t="str">
        <f t="shared" si="356"/>
        <v/>
      </c>
      <c r="M886" s="135"/>
      <c r="N886" s="72" t="str">
        <f t="shared" si="357"/>
        <v/>
      </c>
      <c r="O886" s="135"/>
      <c r="P886" s="136"/>
      <c r="Q886" s="123" t="str">
        <f t="shared" si="358"/>
        <v/>
      </c>
      <c r="R886" s="45" t="str">
        <f t="shared" si="359"/>
        <v/>
      </c>
      <c r="S886" s="137"/>
      <c r="T886" s="79" t="str">
        <f t="shared" si="368"/>
        <v/>
      </c>
      <c r="U886" s="79" t="str">
        <f t="shared" si="360"/>
        <v/>
      </c>
      <c r="V886" s="73" t="str">
        <f t="shared" si="361"/>
        <v/>
      </c>
      <c r="W886" s="80" t="str">
        <f t="shared" si="362"/>
        <v/>
      </c>
      <c r="X886" s="73" t="str">
        <f t="shared" si="363"/>
        <v/>
      </c>
      <c r="Y886" s="80" t="str">
        <f t="shared" si="364"/>
        <v/>
      </c>
      <c r="Z886" s="74" t="str">
        <f t="shared" si="365"/>
        <v/>
      </c>
      <c r="AA886" s="75" t="str">
        <f t="shared" si="369"/>
        <v/>
      </c>
      <c r="AB886" s="103" t="str">
        <f t="shared" si="366"/>
        <v/>
      </c>
      <c r="AC886" s="104" t="str">
        <f t="shared" si="377"/>
        <v/>
      </c>
      <c r="AE886" s="139"/>
      <c r="AF886" s="110" t="str">
        <f t="shared" si="370"/>
        <v/>
      </c>
      <c r="AG886" s="111" t="str">
        <f t="shared" si="371"/>
        <v/>
      </c>
      <c r="AH886" s="111" t="str">
        <f t="shared" si="367"/>
        <v/>
      </c>
      <c r="AI886" s="111" t="str">
        <f t="shared" si="372"/>
        <v/>
      </c>
      <c r="AJ886" s="111" t="str">
        <f t="shared" si="373"/>
        <v/>
      </c>
      <c r="AK886" s="112" t="str">
        <f t="shared" si="374"/>
        <v/>
      </c>
      <c r="AL886" t="str">
        <f t="shared" si="375"/>
        <v/>
      </c>
      <c r="AM886" t="str">
        <f t="shared" si="376"/>
        <v/>
      </c>
    </row>
    <row r="887" spans="1:39" ht="15" customHeight="1" x14ac:dyDescent="0.25">
      <c r="A887" s="131"/>
      <c r="B887" s="133"/>
      <c r="C887" s="133"/>
      <c r="D887" s="42" t="str">
        <f t="shared" si="351"/>
        <v/>
      </c>
      <c r="E887" s="43"/>
      <c r="F887" s="135"/>
      <c r="G887" s="77" t="str">
        <f t="shared" si="352"/>
        <v/>
      </c>
      <c r="H887" s="32" t="str">
        <f t="shared" si="353"/>
        <v/>
      </c>
      <c r="I887" s="78" t="str">
        <f t="shared" si="354"/>
        <v/>
      </c>
      <c r="J887" s="70" t="str">
        <f t="shared" si="355"/>
        <v/>
      </c>
      <c r="K887" s="135"/>
      <c r="L887" s="72" t="str">
        <f t="shared" si="356"/>
        <v/>
      </c>
      <c r="M887" s="135"/>
      <c r="N887" s="72" t="str">
        <f t="shared" si="357"/>
        <v/>
      </c>
      <c r="O887" s="135"/>
      <c r="P887" s="136"/>
      <c r="Q887" s="123" t="str">
        <f t="shared" si="358"/>
        <v/>
      </c>
      <c r="R887" s="45" t="str">
        <f t="shared" si="359"/>
        <v/>
      </c>
      <c r="S887" s="137"/>
      <c r="T887" s="79" t="str">
        <f t="shared" si="368"/>
        <v/>
      </c>
      <c r="U887" s="79" t="str">
        <f t="shared" si="360"/>
        <v/>
      </c>
      <c r="V887" s="73" t="str">
        <f t="shared" si="361"/>
        <v/>
      </c>
      <c r="W887" s="80" t="str">
        <f t="shared" si="362"/>
        <v/>
      </c>
      <c r="X887" s="73" t="str">
        <f t="shared" si="363"/>
        <v/>
      </c>
      <c r="Y887" s="80" t="str">
        <f t="shared" si="364"/>
        <v/>
      </c>
      <c r="Z887" s="74" t="str">
        <f t="shared" si="365"/>
        <v/>
      </c>
      <c r="AA887" s="75" t="str">
        <f t="shared" si="369"/>
        <v/>
      </c>
      <c r="AB887" s="103" t="str">
        <f t="shared" si="366"/>
        <v/>
      </c>
      <c r="AC887" s="104" t="str">
        <f t="shared" si="377"/>
        <v/>
      </c>
      <c r="AE887" s="139"/>
      <c r="AF887" s="110" t="str">
        <f t="shared" si="370"/>
        <v/>
      </c>
      <c r="AG887" s="111" t="str">
        <f t="shared" si="371"/>
        <v/>
      </c>
      <c r="AH887" s="111" t="str">
        <f t="shared" si="367"/>
        <v/>
      </c>
      <c r="AI887" s="111" t="str">
        <f t="shared" si="372"/>
        <v/>
      </c>
      <c r="AJ887" s="111" t="str">
        <f t="shared" si="373"/>
        <v/>
      </c>
      <c r="AK887" s="112" t="str">
        <f t="shared" si="374"/>
        <v/>
      </c>
      <c r="AL887" t="str">
        <f t="shared" si="375"/>
        <v/>
      </c>
      <c r="AM887" t="str">
        <f t="shared" si="376"/>
        <v/>
      </c>
    </row>
    <row r="888" spans="1:39" ht="15" customHeight="1" x14ac:dyDescent="0.25">
      <c r="A888" s="131"/>
      <c r="B888" s="133"/>
      <c r="C888" s="133"/>
      <c r="D888" s="42" t="str">
        <f t="shared" si="351"/>
        <v/>
      </c>
      <c r="E888" s="43"/>
      <c r="F888" s="135"/>
      <c r="G888" s="77" t="str">
        <f t="shared" si="352"/>
        <v/>
      </c>
      <c r="H888" s="32" t="str">
        <f t="shared" si="353"/>
        <v/>
      </c>
      <c r="I888" s="78" t="str">
        <f t="shared" si="354"/>
        <v/>
      </c>
      <c r="J888" s="70" t="str">
        <f t="shared" si="355"/>
        <v/>
      </c>
      <c r="K888" s="135"/>
      <c r="L888" s="72" t="str">
        <f t="shared" si="356"/>
        <v/>
      </c>
      <c r="M888" s="135"/>
      <c r="N888" s="72" t="str">
        <f t="shared" si="357"/>
        <v/>
      </c>
      <c r="O888" s="135"/>
      <c r="P888" s="136"/>
      <c r="Q888" s="123" t="str">
        <f t="shared" si="358"/>
        <v/>
      </c>
      <c r="R888" s="45" t="str">
        <f t="shared" si="359"/>
        <v/>
      </c>
      <c r="S888" s="137"/>
      <c r="T888" s="79" t="str">
        <f t="shared" si="368"/>
        <v/>
      </c>
      <c r="U888" s="79" t="str">
        <f t="shared" si="360"/>
        <v/>
      </c>
      <c r="V888" s="73" t="str">
        <f t="shared" si="361"/>
        <v/>
      </c>
      <c r="W888" s="80" t="str">
        <f t="shared" si="362"/>
        <v/>
      </c>
      <c r="X888" s="73" t="str">
        <f t="shared" si="363"/>
        <v/>
      </c>
      <c r="Y888" s="80" t="str">
        <f t="shared" si="364"/>
        <v/>
      </c>
      <c r="Z888" s="74" t="str">
        <f t="shared" si="365"/>
        <v/>
      </c>
      <c r="AA888" s="75" t="str">
        <f t="shared" si="369"/>
        <v/>
      </c>
      <c r="AB888" s="103" t="str">
        <f t="shared" si="366"/>
        <v/>
      </c>
      <c r="AC888" s="104" t="str">
        <f t="shared" si="377"/>
        <v/>
      </c>
      <c r="AE888" s="139"/>
      <c r="AF888" s="110" t="str">
        <f t="shared" si="370"/>
        <v/>
      </c>
      <c r="AG888" s="111" t="str">
        <f t="shared" si="371"/>
        <v/>
      </c>
      <c r="AH888" s="111" t="str">
        <f t="shared" si="367"/>
        <v/>
      </c>
      <c r="AI888" s="111" t="str">
        <f t="shared" si="372"/>
        <v/>
      </c>
      <c r="AJ888" s="111" t="str">
        <f t="shared" si="373"/>
        <v/>
      </c>
      <c r="AK888" s="112" t="str">
        <f t="shared" si="374"/>
        <v/>
      </c>
      <c r="AL888" t="str">
        <f t="shared" si="375"/>
        <v/>
      </c>
      <c r="AM888" t="str">
        <f t="shared" si="376"/>
        <v/>
      </c>
    </row>
    <row r="889" spans="1:39" ht="15" customHeight="1" x14ac:dyDescent="0.25">
      <c r="A889" s="131"/>
      <c r="B889" s="133"/>
      <c r="C889" s="133"/>
      <c r="D889" s="42" t="str">
        <f t="shared" si="351"/>
        <v/>
      </c>
      <c r="E889" s="43"/>
      <c r="F889" s="135"/>
      <c r="G889" s="77" t="str">
        <f t="shared" si="352"/>
        <v/>
      </c>
      <c r="H889" s="32" t="str">
        <f t="shared" si="353"/>
        <v/>
      </c>
      <c r="I889" s="78" t="str">
        <f t="shared" si="354"/>
        <v/>
      </c>
      <c r="J889" s="70" t="str">
        <f t="shared" si="355"/>
        <v/>
      </c>
      <c r="K889" s="135"/>
      <c r="L889" s="72" t="str">
        <f t="shared" si="356"/>
        <v/>
      </c>
      <c r="M889" s="135"/>
      <c r="N889" s="72" t="str">
        <f t="shared" si="357"/>
        <v/>
      </c>
      <c r="O889" s="135"/>
      <c r="P889" s="136"/>
      <c r="Q889" s="123" t="str">
        <f t="shared" si="358"/>
        <v/>
      </c>
      <c r="R889" s="45" t="str">
        <f t="shared" si="359"/>
        <v/>
      </c>
      <c r="S889" s="137"/>
      <c r="T889" s="79" t="str">
        <f t="shared" si="368"/>
        <v/>
      </c>
      <c r="U889" s="79" t="str">
        <f t="shared" si="360"/>
        <v/>
      </c>
      <c r="V889" s="73" t="str">
        <f t="shared" si="361"/>
        <v/>
      </c>
      <c r="W889" s="80" t="str">
        <f t="shared" si="362"/>
        <v/>
      </c>
      <c r="X889" s="73" t="str">
        <f t="shared" si="363"/>
        <v/>
      </c>
      <c r="Y889" s="80" t="str">
        <f t="shared" si="364"/>
        <v/>
      </c>
      <c r="Z889" s="74" t="str">
        <f t="shared" si="365"/>
        <v/>
      </c>
      <c r="AA889" s="75" t="str">
        <f t="shared" si="369"/>
        <v/>
      </c>
      <c r="AB889" s="103" t="str">
        <f t="shared" si="366"/>
        <v/>
      </c>
      <c r="AC889" s="104" t="str">
        <f t="shared" si="377"/>
        <v/>
      </c>
      <c r="AE889" s="139"/>
      <c r="AF889" s="110" t="str">
        <f t="shared" si="370"/>
        <v/>
      </c>
      <c r="AG889" s="111" t="str">
        <f t="shared" si="371"/>
        <v/>
      </c>
      <c r="AH889" s="111" t="str">
        <f t="shared" si="367"/>
        <v/>
      </c>
      <c r="AI889" s="111" t="str">
        <f t="shared" si="372"/>
        <v/>
      </c>
      <c r="AJ889" s="111" t="str">
        <f t="shared" si="373"/>
        <v/>
      </c>
      <c r="AK889" s="112" t="str">
        <f t="shared" si="374"/>
        <v/>
      </c>
      <c r="AL889" t="str">
        <f t="shared" si="375"/>
        <v/>
      </c>
      <c r="AM889" t="str">
        <f t="shared" si="376"/>
        <v/>
      </c>
    </row>
    <row r="890" spans="1:39" ht="15" customHeight="1" x14ac:dyDescent="0.25">
      <c r="A890" s="131"/>
      <c r="B890" s="133"/>
      <c r="C890" s="133"/>
      <c r="D890" s="42" t="str">
        <f t="shared" si="351"/>
        <v/>
      </c>
      <c r="E890" s="43"/>
      <c r="F890" s="135"/>
      <c r="G890" s="77" t="str">
        <f t="shared" si="352"/>
        <v/>
      </c>
      <c r="H890" s="32" t="str">
        <f t="shared" si="353"/>
        <v/>
      </c>
      <c r="I890" s="78" t="str">
        <f t="shared" si="354"/>
        <v/>
      </c>
      <c r="J890" s="70" t="str">
        <f t="shared" si="355"/>
        <v/>
      </c>
      <c r="K890" s="135"/>
      <c r="L890" s="72" t="str">
        <f t="shared" si="356"/>
        <v/>
      </c>
      <c r="M890" s="135"/>
      <c r="N890" s="72" t="str">
        <f t="shared" si="357"/>
        <v/>
      </c>
      <c r="O890" s="135"/>
      <c r="P890" s="136"/>
      <c r="Q890" s="123" t="str">
        <f t="shared" si="358"/>
        <v/>
      </c>
      <c r="R890" s="45" t="str">
        <f t="shared" si="359"/>
        <v/>
      </c>
      <c r="S890" s="137"/>
      <c r="T890" s="79" t="str">
        <f t="shared" si="368"/>
        <v/>
      </c>
      <c r="U890" s="79" t="str">
        <f t="shared" si="360"/>
        <v/>
      </c>
      <c r="V890" s="73" t="str">
        <f t="shared" si="361"/>
        <v/>
      </c>
      <c r="W890" s="80" t="str">
        <f t="shared" si="362"/>
        <v/>
      </c>
      <c r="X890" s="73" t="str">
        <f t="shared" si="363"/>
        <v/>
      </c>
      <c r="Y890" s="80" t="str">
        <f t="shared" si="364"/>
        <v/>
      </c>
      <c r="Z890" s="74" t="str">
        <f t="shared" si="365"/>
        <v/>
      </c>
      <c r="AA890" s="75" t="str">
        <f t="shared" si="369"/>
        <v/>
      </c>
      <c r="AB890" s="103" t="str">
        <f t="shared" si="366"/>
        <v/>
      </c>
      <c r="AC890" s="104" t="str">
        <f t="shared" si="377"/>
        <v/>
      </c>
      <c r="AE890" s="139"/>
      <c r="AF890" s="110" t="str">
        <f t="shared" si="370"/>
        <v/>
      </c>
      <c r="AG890" s="111" t="str">
        <f t="shared" si="371"/>
        <v/>
      </c>
      <c r="AH890" s="111" t="str">
        <f t="shared" si="367"/>
        <v/>
      </c>
      <c r="AI890" s="111" t="str">
        <f t="shared" si="372"/>
        <v/>
      </c>
      <c r="AJ890" s="111" t="str">
        <f t="shared" si="373"/>
        <v/>
      </c>
      <c r="AK890" s="112" t="str">
        <f t="shared" si="374"/>
        <v/>
      </c>
      <c r="AL890" t="str">
        <f t="shared" si="375"/>
        <v/>
      </c>
      <c r="AM890" t="str">
        <f t="shared" si="376"/>
        <v/>
      </c>
    </row>
    <row r="891" spans="1:39" ht="15" customHeight="1" x14ac:dyDescent="0.25">
      <c r="A891" s="131"/>
      <c r="B891" s="133"/>
      <c r="C891" s="133"/>
      <c r="D891" s="42" t="str">
        <f t="shared" si="351"/>
        <v/>
      </c>
      <c r="E891" s="43"/>
      <c r="F891" s="135"/>
      <c r="G891" s="77" t="str">
        <f t="shared" si="352"/>
        <v/>
      </c>
      <c r="H891" s="32" t="str">
        <f t="shared" si="353"/>
        <v/>
      </c>
      <c r="I891" s="78" t="str">
        <f t="shared" si="354"/>
        <v/>
      </c>
      <c r="J891" s="70" t="str">
        <f t="shared" si="355"/>
        <v/>
      </c>
      <c r="K891" s="135"/>
      <c r="L891" s="72" t="str">
        <f t="shared" si="356"/>
        <v/>
      </c>
      <c r="M891" s="135"/>
      <c r="N891" s="72" t="str">
        <f t="shared" si="357"/>
        <v/>
      </c>
      <c r="O891" s="135"/>
      <c r="P891" s="136"/>
      <c r="Q891" s="123" t="str">
        <f t="shared" si="358"/>
        <v/>
      </c>
      <c r="R891" s="45" t="str">
        <f t="shared" si="359"/>
        <v/>
      </c>
      <c r="S891" s="137"/>
      <c r="T891" s="79" t="str">
        <f t="shared" si="368"/>
        <v/>
      </c>
      <c r="U891" s="79" t="str">
        <f t="shared" si="360"/>
        <v/>
      </c>
      <c r="V891" s="73" t="str">
        <f t="shared" si="361"/>
        <v/>
      </c>
      <c r="W891" s="80" t="str">
        <f t="shared" si="362"/>
        <v/>
      </c>
      <c r="X891" s="73" t="str">
        <f t="shared" si="363"/>
        <v/>
      </c>
      <c r="Y891" s="80" t="str">
        <f t="shared" si="364"/>
        <v/>
      </c>
      <c r="Z891" s="74" t="str">
        <f t="shared" si="365"/>
        <v/>
      </c>
      <c r="AA891" s="75" t="str">
        <f t="shared" si="369"/>
        <v/>
      </c>
      <c r="AB891" s="103" t="str">
        <f t="shared" si="366"/>
        <v/>
      </c>
      <c r="AC891" s="104" t="str">
        <f t="shared" si="377"/>
        <v/>
      </c>
      <c r="AE891" s="139"/>
      <c r="AF891" s="110" t="str">
        <f t="shared" si="370"/>
        <v/>
      </c>
      <c r="AG891" s="111" t="str">
        <f t="shared" si="371"/>
        <v/>
      </c>
      <c r="AH891" s="111" t="str">
        <f t="shared" si="367"/>
        <v/>
      </c>
      <c r="AI891" s="111" t="str">
        <f t="shared" si="372"/>
        <v/>
      </c>
      <c r="AJ891" s="111" t="str">
        <f t="shared" si="373"/>
        <v/>
      </c>
      <c r="AK891" s="112" t="str">
        <f t="shared" si="374"/>
        <v/>
      </c>
      <c r="AL891" t="str">
        <f t="shared" si="375"/>
        <v/>
      </c>
      <c r="AM891" t="str">
        <f t="shared" si="376"/>
        <v/>
      </c>
    </row>
    <row r="892" spans="1:39" ht="15" customHeight="1" x14ac:dyDescent="0.25">
      <c r="A892" s="131"/>
      <c r="B892" s="133"/>
      <c r="C892" s="133"/>
      <c r="D892" s="42" t="str">
        <f t="shared" si="351"/>
        <v/>
      </c>
      <c r="E892" s="43"/>
      <c r="F892" s="135"/>
      <c r="G892" s="77" t="str">
        <f t="shared" si="352"/>
        <v/>
      </c>
      <c r="H892" s="32" t="str">
        <f t="shared" si="353"/>
        <v/>
      </c>
      <c r="I892" s="78" t="str">
        <f t="shared" si="354"/>
        <v/>
      </c>
      <c r="J892" s="70" t="str">
        <f t="shared" si="355"/>
        <v/>
      </c>
      <c r="K892" s="135"/>
      <c r="L892" s="72" t="str">
        <f t="shared" si="356"/>
        <v/>
      </c>
      <c r="M892" s="135"/>
      <c r="N892" s="72" t="str">
        <f t="shared" si="357"/>
        <v/>
      </c>
      <c r="O892" s="135"/>
      <c r="P892" s="136"/>
      <c r="Q892" s="123" t="str">
        <f t="shared" si="358"/>
        <v/>
      </c>
      <c r="R892" s="45" t="str">
        <f t="shared" si="359"/>
        <v/>
      </c>
      <c r="S892" s="137"/>
      <c r="T892" s="79" t="str">
        <f t="shared" si="368"/>
        <v/>
      </c>
      <c r="U892" s="79" t="str">
        <f t="shared" si="360"/>
        <v/>
      </c>
      <c r="V892" s="73" t="str">
        <f t="shared" si="361"/>
        <v/>
      </c>
      <c r="W892" s="80" t="str">
        <f t="shared" si="362"/>
        <v/>
      </c>
      <c r="X892" s="73" t="str">
        <f t="shared" si="363"/>
        <v/>
      </c>
      <c r="Y892" s="80" t="str">
        <f t="shared" si="364"/>
        <v/>
      </c>
      <c r="Z892" s="74" t="str">
        <f t="shared" si="365"/>
        <v/>
      </c>
      <c r="AA892" s="75" t="str">
        <f t="shared" si="369"/>
        <v/>
      </c>
      <c r="AB892" s="103" t="str">
        <f t="shared" si="366"/>
        <v/>
      </c>
      <c r="AC892" s="104" t="str">
        <f t="shared" si="377"/>
        <v/>
      </c>
      <c r="AE892" s="139"/>
      <c r="AF892" s="110" t="str">
        <f t="shared" si="370"/>
        <v/>
      </c>
      <c r="AG892" s="111" t="str">
        <f t="shared" si="371"/>
        <v/>
      </c>
      <c r="AH892" s="111" t="str">
        <f t="shared" si="367"/>
        <v/>
      </c>
      <c r="AI892" s="111" t="str">
        <f t="shared" si="372"/>
        <v/>
      </c>
      <c r="AJ892" s="111" t="str">
        <f t="shared" si="373"/>
        <v/>
      </c>
      <c r="AK892" s="112" t="str">
        <f t="shared" si="374"/>
        <v/>
      </c>
      <c r="AL892" t="str">
        <f t="shared" si="375"/>
        <v/>
      </c>
      <c r="AM892" t="str">
        <f t="shared" si="376"/>
        <v/>
      </c>
    </row>
    <row r="893" spans="1:39" ht="15" customHeight="1" x14ac:dyDescent="0.25">
      <c r="A893" s="131"/>
      <c r="B893" s="133"/>
      <c r="C893" s="133"/>
      <c r="D893" s="42" t="str">
        <f t="shared" si="351"/>
        <v/>
      </c>
      <c r="E893" s="43"/>
      <c r="F893" s="135"/>
      <c r="G893" s="77" t="str">
        <f t="shared" si="352"/>
        <v/>
      </c>
      <c r="H893" s="32" t="str">
        <f t="shared" si="353"/>
        <v/>
      </c>
      <c r="I893" s="78" t="str">
        <f t="shared" si="354"/>
        <v/>
      </c>
      <c r="J893" s="70" t="str">
        <f t="shared" si="355"/>
        <v/>
      </c>
      <c r="K893" s="135"/>
      <c r="L893" s="72" t="str">
        <f t="shared" si="356"/>
        <v/>
      </c>
      <c r="M893" s="135"/>
      <c r="N893" s="72" t="str">
        <f t="shared" si="357"/>
        <v/>
      </c>
      <c r="O893" s="135"/>
      <c r="P893" s="136"/>
      <c r="Q893" s="123" t="str">
        <f t="shared" si="358"/>
        <v/>
      </c>
      <c r="R893" s="45" t="str">
        <f t="shared" si="359"/>
        <v/>
      </c>
      <c r="S893" s="137"/>
      <c r="T893" s="79" t="str">
        <f t="shared" si="368"/>
        <v/>
      </c>
      <c r="U893" s="79" t="str">
        <f t="shared" si="360"/>
        <v/>
      </c>
      <c r="V893" s="73" t="str">
        <f t="shared" si="361"/>
        <v/>
      </c>
      <c r="W893" s="80" t="str">
        <f t="shared" si="362"/>
        <v/>
      </c>
      <c r="X893" s="73" t="str">
        <f t="shared" si="363"/>
        <v/>
      </c>
      <c r="Y893" s="80" t="str">
        <f t="shared" si="364"/>
        <v/>
      </c>
      <c r="Z893" s="74" t="str">
        <f t="shared" si="365"/>
        <v/>
      </c>
      <c r="AA893" s="75" t="str">
        <f t="shared" si="369"/>
        <v/>
      </c>
      <c r="AB893" s="103" t="str">
        <f t="shared" si="366"/>
        <v/>
      </c>
      <c r="AC893" s="104" t="str">
        <f t="shared" si="377"/>
        <v/>
      </c>
      <c r="AE893" s="139"/>
      <c r="AF893" s="110" t="str">
        <f t="shared" si="370"/>
        <v/>
      </c>
      <c r="AG893" s="111" t="str">
        <f t="shared" si="371"/>
        <v/>
      </c>
      <c r="AH893" s="111" t="str">
        <f t="shared" si="367"/>
        <v/>
      </c>
      <c r="AI893" s="111" t="str">
        <f t="shared" si="372"/>
        <v/>
      </c>
      <c r="AJ893" s="111" t="str">
        <f t="shared" si="373"/>
        <v/>
      </c>
      <c r="AK893" s="112" t="str">
        <f t="shared" si="374"/>
        <v/>
      </c>
      <c r="AL893" t="str">
        <f t="shared" si="375"/>
        <v/>
      </c>
      <c r="AM893" t="str">
        <f t="shared" si="376"/>
        <v/>
      </c>
    </row>
    <row r="894" spans="1:39" ht="15" customHeight="1" x14ac:dyDescent="0.25">
      <c r="A894" s="131"/>
      <c r="B894" s="133"/>
      <c r="C894" s="133"/>
      <c r="D894" s="42" t="str">
        <f t="shared" si="351"/>
        <v/>
      </c>
      <c r="E894" s="43"/>
      <c r="F894" s="135"/>
      <c r="G894" s="77" t="str">
        <f t="shared" si="352"/>
        <v/>
      </c>
      <c r="H894" s="32" t="str">
        <f t="shared" si="353"/>
        <v/>
      </c>
      <c r="I894" s="78" t="str">
        <f t="shared" si="354"/>
        <v/>
      </c>
      <c r="J894" s="70" t="str">
        <f t="shared" si="355"/>
        <v/>
      </c>
      <c r="K894" s="135"/>
      <c r="L894" s="72" t="str">
        <f t="shared" si="356"/>
        <v/>
      </c>
      <c r="M894" s="135"/>
      <c r="N894" s="72" t="str">
        <f t="shared" si="357"/>
        <v/>
      </c>
      <c r="O894" s="135"/>
      <c r="P894" s="136"/>
      <c r="Q894" s="123" t="str">
        <f t="shared" si="358"/>
        <v/>
      </c>
      <c r="R894" s="45" t="str">
        <f t="shared" si="359"/>
        <v/>
      </c>
      <c r="S894" s="137"/>
      <c r="T894" s="79" t="str">
        <f t="shared" si="368"/>
        <v/>
      </c>
      <c r="U894" s="79" t="str">
        <f t="shared" si="360"/>
        <v/>
      </c>
      <c r="V894" s="73" t="str">
        <f t="shared" si="361"/>
        <v/>
      </c>
      <c r="W894" s="80" t="str">
        <f t="shared" si="362"/>
        <v/>
      </c>
      <c r="X894" s="73" t="str">
        <f t="shared" si="363"/>
        <v/>
      </c>
      <c r="Y894" s="80" t="str">
        <f t="shared" si="364"/>
        <v/>
      </c>
      <c r="Z894" s="74" t="str">
        <f t="shared" si="365"/>
        <v/>
      </c>
      <c r="AA894" s="75" t="str">
        <f t="shared" si="369"/>
        <v/>
      </c>
      <c r="AB894" s="103" t="str">
        <f t="shared" si="366"/>
        <v/>
      </c>
      <c r="AC894" s="104" t="str">
        <f t="shared" si="377"/>
        <v/>
      </c>
      <c r="AE894" s="139"/>
      <c r="AF894" s="110" t="str">
        <f t="shared" si="370"/>
        <v/>
      </c>
      <c r="AG894" s="111" t="str">
        <f t="shared" si="371"/>
        <v/>
      </c>
      <c r="AH894" s="111" t="str">
        <f t="shared" si="367"/>
        <v/>
      </c>
      <c r="AI894" s="111" t="str">
        <f t="shared" si="372"/>
        <v/>
      </c>
      <c r="AJ894" s="111" t="str">
        <f t="shared" si="373"/>
        <v/>
      </c>
      <c r="AK894" s="112" t="str">
        <f t="shared" si="374"/>
        <v/>
      </c>
      <c r="AL894" t="str">
        <f t="shared" si="375"/>
        <v/>
      </c>
      <c r="AM894" t="str">
        <f t="shared" si="376"/>
        <v/>
      </c>
    </row>
    <row r="895" spans="1:39" ht="15" customHeight="1" x14ac:dyDescent="0.25">
      <c r="A895" s="131"/>
      <c r="B895" s="133"/>
      <c r="C895" s="133"/>
      <c r="D895" s="42" t="str">
        <f t="shared" si="351"/>
        <v/>
      </c>
      <c r="E895" s="43"/>
      <c r="F895" s="135"/>
      <c r="G895" s="77" t="str">
        <f t="shared" si="352"/>
        <v/>
      </c>
      <c r="H895" s="32" t="str">
        <f t="shared" si="353"/>
        <v/>
      </c>
      <c r="I895" s="78" t="str">
        <f t="shared" si="354"/>
        <v/>
      </c>
      <c r="J895" s="70" t="str">
        <f t="shared" si="355"/>
        <v/>
      </c>
      <c r="K895" s="135"/>
      <c r="L895" s="72" t="str">
        <f t="shared" si="356"/>
        <v/>
      </c>
      <c r="M895" s="135"/>
      <c r="N895" s="72" t="str">
        <f t="shared" si="357"/>
        <v/>
      </c>
      <c r="O895" s="135"/>
      <c r="P895" s="136"/>
      <c r="Q895" s="123" t="str">
        <f t="shared" si="358"/>
        <v/>
      </c>
      <c r="R895" s="45" t="str">
        <f t="shared" si="359"/>
        <v/>
      </c>
      <c r="S895" s="137"/>
      <c r="T895" s="79" t="str">
        <f t="shared" si="368"/>
        <v/>
      </c>
      <c r="U895" s="79" t="str">
        <f t="shared" si="360"/>
        <v/>
      </c>
      <c r="V895" s="73" t="str">
        <f t="shared" si="361"/>
        <v/>
      </c>
      <c r="W895" s="80" t="str">
        <f t="shared" si="362"/>
        <v/>
      </c>
      <c r="X895" s="73" t="str">
        <f t="shared" si="363"/>
        <v/>
      </c>
      <c r="Y895" s="80" t="str">
        <f t="shared" si="364"/>
        <v/>
      </c>
      <c r="Z895" s="74" t="str">
        <f t="shared" si="365"/>
        <v/>
      </c>
      <c r="AA895" s="75" t="str">
        <f t="shared" si="369"/>
        <v/>
      </c>
      <c r="AB895" s="103" t="str">
        <f t="shared" si="366"/>
        <v/>
      </c>
      <c r="AC895" s="104" t="str">
        <f t="shared" si="377"/>
        <v/>
      </c>
      <c r="AE895" s="139"/>
      <c r="AF895" s="110" t="str">
        <f t="shared" si="370"/>
        <v/>
      </c>
      <c r="AG895" s="111" t="str">
        <f t="shared" si="371"/>
        <v/>
      </c>
      <c r="AH895" s="111" t="str">
        <f t="shared" si="367"/>
        <v/>
      </c>
      <c r="AI895" s="111" t="str">
        <f t="shared" si="372"/>
        <v/>
      </c>
      <c r="AJ895" s="111" t="str">
        <f t="shared" si="373"/>
        <v/>
      </c>
      <c r="AK895" s="112" t="str">
        <f t="shared" si="374"/>
        <v/>
      </c>
      <c r="AL895" t="str">
        <f t="shared" si="375"/>
        <v/>
      </c>
      <c r="AM895" t="str">
        <f t="shared" si="376"/>
        <v/>
      </c>
    </row>
    <row r="896" spans="1:39" ht="15" customHeight="1" x14ac:dyDescent="0.25">
      <c r="A896" s="131"/>
      <c r="B896" s="133"/>
      <c r="C896" s="133"/>
      <c r="D896" s="42" t="str">
        <f t="shared" si="351"/>
        <v/>
      </c>
      <c r="E896" s="43"/>
      <c r="F896" s="135"/>
      <c r="G896" s="77" t="str">
        <f t="shared" si="352"/>
        <v/>
      </c>
      <c r="H896" s="32" t="str">
        <f t="shared" si="353"/>
        <v/>
      </c>
      <c r="I896" s="78" t="str">
        <f t="shared" si="354"/>
        <v/>
      </c>
      <c r="J896" s="70" t="str">
        <f t="shared" si="355"/>
        <v/>
      </c>
      <c r="K896" s="135"/>
      <c r="L896" s="72" t="str">
        <f t="shared" si="356"/>
        <v/>
      </c>
      <c r="M896" s="135"/>
      <c r="N896" s="72" t="str">
        <f t="shared" si="357"/>
        <v/>
      </c>
      <c r="O896" s="135"/>
      <c r="P896" s="136"/>
      <c r="Q896" s="123" t="str">
        <f t="shared" si="358"/>
        <v/>
      </c>
      <c r="R896" s="45" t="str">
        <f t="shared" si="359"/>
        <v/>
      </c>
      <c r="S896" s="137"/>
      <c r="T896" s="79" t="str">
        <f t="shared" si="368"/>
        <v/>
      </c>
      <c r="U896" s="79" t="str">
        <f t="shared" si="360"/>
        <v/>
      </c>
      <c r="V896" s="73" t="str">
        <f t="shared" si="361"/>
        <v/>
      </c>
      <c r="W896" s="80" t="str">
        <f t="shared" si="362"/>
        <v/>
      </c>
      <c r="X896" s="73" t="str">
        <f t="shared" si="363"/>
        <v/>
      </c>
      <c r="Y896" s="80" t="str">
        <f t="shared" si="364"/>
        <v/>
      </c>
      <c r="Z896" s="74" t="str">
        <f t="shared" si="365"/>
        <v/>
      </c>
      <c r="AA896" s="75" t="str">
        <f t="shared" si="369"/>
        <v/>
      </c>
      <c r="AB896" s="103" t="str">
        <f t="shared" si="366"/>
        <v/>
      </c>
      <c r="AC896" s="104" t="str">
        <f t="shared" si="377"/>
        <v/>
      </c>
      <c r="AE896" s="139"/>
      <c r="AF896" s="110" t="str">
        <f t="shared" si="370"/>
        <v/>
      </c>
      <c r="AG896" s="111" t="str">
        <f t="shared" si="371"/>
        <v/>
      </c>
      <c r="AH896" s="111" t="str">
        <f t="shared" si="367"/>
        <v/>
      </c>
      <c r="AI896" s="111" t="str">
        <f t="shared" si="372"/>
        <v/>
      </c>
      <c r="AJ896" s="111" t="str">
        <f t="shared" si="373"/>
        <v/>
      </c>
      <c r="AK896" s="112" t="str">
        <f t="shared" si="374"/>
        <v/>
      </c>
      <c r="AL896" t="str">
        <f t="shared" si="375"/>
        <v/>
      </c>
      <c r="AM896" t="str">
        <f t="shared" si="376"/>
        <v/>
      </c>
    </row>
    <row r="897" spans="1:39" ht="15" customHeight="1" x14ac:dyDescent="0.25">
      <c r="A897" s="131"/>
      <c r="B897" s="133"/>
      <c r="C897" s="133"/>
      <c r="D897" s="42" t="str">
        <f t="shared" si="351"/>
        <v/>
      </c>
      <c r="E897" s="43"/>
      <c r="F897" s="135"/>
      <c r="G897" s="77" t="str">
        <f t="shared" si="352"/>
        <v/>
      </c>
      <c r="H897" s="32" t="str">
        <f t="shared" si="353"/>
        <v/>
      </c>
      <c r="I897" s="78" t="str">
        <f t="shared" si="354"/>
        <v/>
      </c>
      <c r="J897" s="70" t="str">
        <f t="shared" si="355"/>
        <v/>
      </c>
      <c r="K897" s="135"/>
      <c r="L897" s="72" t="str">
        <f t="shared" si="356"/>
        <v/>
      </c>
      <c r="M897" s="135"/>
      <c r="N897" s="72" t="str">
        <f t="shared" si="357"/>
        <v/>
      </c>
      <c r="O897" s="135"/>
      <c r="P897" s="136"/>
      <c r="Q897" s="123" t="str">
        <f t="shared" si="358"/>
        <v/>
      </c>
      <c r="R897" s="45" t="str">
        <f t="shared" si="359"/>
        <v/>
      </c>
      <c r="S897" s="137"/>
      <c r="T897" s="79" t="str">
        <f t="shared" si="368"/>
        <v/>
      </c>
      <c r="U897" s="79" t="str">
        <f t="shared" si="360"/>
        <v/>
      </c>
      <c r="V897" s="73" t="str">
        <f t="shared" si="361"/>
        <v/>
      </c>
      <c r="W897" s="80" t="str">
        <f t="shared" si="362"/>
        <v/>
      </c>
      <c r="X897" s="73" t="str">
        <f t="shared" si="363"/>
        <v/>
      </c>
      <c r="Y897" s="80" t="str">
        <f t="shared" si="364"/>
        <v/>
      </c>
      <c r="Z897" s="74" t="str">
        <f t="shared" si="365"/>
        <v/>
      </c>
      <c r="AA897" s="75" t="str">
        <f t="shared" si="369"/>
        <v/>
      </c>
      <c r="AB897" s="103" t="str">
        <f t="shared" si="366"/>
        <v/>
      </c>
      <c r="AC897" s="104" t="str">
        <f t="shared" si="377"/>
        <v/>
      </c>
      <c r="AE897" s="139"/>
      <c r="AF897" s="110" t="str">
        <f t="shared" si="370"/>
        <v/>
      </c>
      <c r="AG897" s="111" t="str">
        <f t="shared" si="371"/>
        <v/>
      </c>
      <c r="AH897" s="111" t="str">
        <f t="shared" si="367"/>
        <v/>
      </c>
      <c r="AI897" s="111" t="str">
        <f t="shared" si="372"/>
        <v/>
      </c>
      <c r="AJ897" s="111" t="str">
        <f t="shared" si="373"/>
        <v/>
      </c>
      <c r="AK897" s="112" t="str">
        <f t="shared" si="374"/>
        <v/>
      </c>
      <c r="AL897" t="str">
        <f t="shared" si="375"/>
        <v/>
      </c>
      <c r="AM897" t="str">
        <f t="shared" si="376"/>
        <v/>
      </c>
    </row>
    <row r="898" spans="1:39" ht="15" customHeight="1" x14ac:dyDescent="0.25">
      <c r="A898" s="131"/>
      <c r="B898" s="133"/>
      <c r="C898" s="133"/>
      <c r="D898" s="42" t="str">
        <f t="shared" si="351"/>
        <v/>
      </c>
      <c r="E898" s="43"/>
      <c r="F898" s="135"/>
      <c r="G898" s="77" t="str">
        <f t="shared" si="352"/>
        <v/>
      </c>
      <c r="H898" s="32" t="str">
        <f t="shared" si="353"/>
        <v/>
      </c>
      <c r="I898" s="78" t="str">
        <f t="shared" si="354"/>
        <v/>
      </c>
      <c r="J898" s="70" t="str">
        <f t="shared" si="355"/>
        <v/>
      </c>
      <c r="K898" s="135"/>
      <c r="L898" s="72" t="str">
        <f t="shared" si="356"/>
        <v/>
      </c>
      <c r="M898" s="135"/>
      <c r="N898" s="72" t="str">
        <f t="shared" si="357"/>
        <v/>
      </c>
      <c r="O898" s="135"/>
      <c r="P898" s="136"/>
      <c r="Q898" s="123" t="str">
        <f t="shared" si="358"/>
        <v/>
      </c>
      <c r="R898" s="45" t="str">
        <f t="shared" si="359"/>
        <v/>
      </c>
      <c r="S898" s="137"/>
      <c r="T898" s="79" t="str">
        <f t="shared" si="368"/>
        <v/>
      </c>
      <c r="U898" s="79" t="str">
        <f t="shared" si="360"/>
        <v/>
      </c>
      <c r="V898" s="73" t="str">
        <f t="shared" si="361"/>
        <v/>
      </c>
      <c r="W898" s="80" t="str">
        <f t="shared" si="362"/>
        <v/>
      </c>
      <c r="X898" s="73" t="str">
        <f t="shared" si="363"/>
        <v/>
      </c>
      <c r="Y898" s="80" t="str">
        <f t="shared" si="364"/>
        <v/>
      </c>
      <c r="Z898" s="74" t="str">
        <f t="shared" si="365"/>
        <v/>
      </c>
      <c r="AA898" s="75" t="str">
        <f t="shared" si="369"/>
        <v/>
      </c>
      <c r="AB898" s="103" t="str">
        <f t="shared" si="366"/>
        <v/>
      </c>
      <c r="AC898" s="104" t="str">
        <f t="shared" si="377"/>
        <v/>
      </c>
      <c r="AE898" s="139"/>
      <c r="AF898" s="110" t="str">
        <f t="shared" si="370"/>
        <v/>
      </c>
      <c r="AG898" s="111" t="str">
        <f t="shared" si="371"/>
        <v/>
      </c>
      <c r="AH898" s="111" t="str">
        <f t="shared" si="367"/>
        <v/>
      </c>
      <c r="AI898" s="111" t="str">
        <f t="shared" si="372"/>
        <v/>
      </c>
      <c r="AJ898" s="111" t="str">
        <f t="shared" si="373"/>
        <v/>
      </c>
      <c r="AK898" s="112" t="str">
        <f t="shared" si="374"/>
        <v/>
      </c>
      <c r="AL898" t="str">
        <f t="shared" si="375"/>
        <v/>
      </c>
      <c r="AM898" t="str">
        <f t="shared" si="376"/>
        <v/>
      </c>
    </row>
    <row r="899" spans="1:39" ht="15" customHeight="1" x14ac:dyDescent="0.25">
      <c r="A899" s="131"/>
      <c r="B899" s="133"/>
      <c r="C899" s="133"/>
      <c r="D899" s="42" t="str">
        <f t="shared" si="351"/>
        <v/>
      </c>
      <c r="E899" s="43"/>
      <c r="F899" s="135"/>
      <c r="G899" s="77" t="str">
        <f t="shared" si="352"/>
        <v/>
      </c>
      <c r="H899" s="32" t="str">
        <f t="shared" si="353"/>
        <v/>
      </c>
      <c r="I899" s="78" t="str">
        <f t="shared" si="354"/>
        <v/>
      </c>
      <c r="J899" s="70" t="str">
        <f t="shared" si="355"/>
        <v/>
      </c>
      <c r="K899" s="135"/>
      <c r="L899" s="72" t="str">
        <f t="shared" si="356"/>
        <v/>
      </c>
      <c r="M899" s="135"/>
      <c r="N899" s="72" t="str">
        <f t="shared" si="357"/>
        <v/>
      </c>
      <c r="O899" s="135"/>
      <c r="P899" s="136"/>
      <c r="Q899" s="123" t="str">
        <f t="shared" si="358"/>
        <v/>
      </c>
      <c r="R899" s="45" t="str">
        <f t="shared" si="359"/>
        <v/>
      </c>
      <c r="S899" s="137"/>
      <c r="T899" s="79" t="str">
        <f t="shared" si="368"/>
        <v/>
      </c>
      <c r="U899" s="79" t="str">
        <f t="shared" si="360"/>
        <v/>
      </c>
      <c r="V899" s="73" t="str">
        <f t="shared" si="361"/>
        <v/>
      </c>
      <c r="W899" s="80" t="str">
        <f t="shared" si="362"/>
        <v/>
      </c>
      <c r="X899" s="73" t="str">
        <f t="shared" si="363"/>
        <v/>
      </c>
      <c r="Y899" s="80" t="str">
        <f t="shared" si="364"/>
        <v/>
      </c>
      <c r="Z899" s="74" t="str">
        <f t="shared" si="365"/>
        <v/>
      </c>
      <c r="AA899" s="75" t="str">
        <f t="shared" si="369"/>
        <v/>
      </c>
      <c r="AB899" s="103" t="str">
        <f t="shared" si="366"/>
        <v/>
      </c>
      <c r="AC899" s="104" t="str">
        <f t="shared" si="377"/>
        <v/>
      </c>
      <c r="AE899" s="139"/>
      <c r="AF899" s="110" t="str">
        <f t="shared" si="370"/>
        <v/>
      </c>
      <c r="AG899" s="111" t="str">
        <f t="shared" si="371"/>
        <v/>
      </c>
      <c r="AH899" s="111" t="str">
        <f t="shared" si="367"/>
        <v/>
      </c>
      <c r="AI899" s="111" t="str">
        <f t="shared" si="372"/>
        <v/>
      </c>
      <c r="AJ899" s="111" t="str">
        <f t="shared" si="373"/>
        <v/>
      </c>
      <c r="AK899" s="112" t="str">
        <f t="shared" si="374"/>
        <v/>
      </c>
      <c r="AL899" t="str">
        <f t="shared" si="375"/>
        <v/>
      </c>
      <c r="AM899" t="str">
        <f t="shared" si="376"/>
        <v/>
      </c>
    </row>
    <row r="900" spans="1:39" ht="15" customHeight="1" x14ac:dyDescent="0.25">
      <c r="A900" s="131"/>
      <c r="B900" s="133"/>
      <c r="C900" s="133"/>
      <c r="D900" s="42" t="str">
        <f t="shared" si="351"/>
        <v/>
      </c>
      <c r="E900" s="43"/>
      <c r="F900" s="135"/>
      <c r="G900" s="77" t="str">
        <f t="shared" si="352"/>
        <v/>
      </c>
      <c r="H900" s="32" t="str">
        <f t="shared" si="353"/>
        <v/>
      </c>
      <c r="I900" s="78" t="str">
        <f t="shared" si="354"/>
        <v/>
      </c>
      <c r="J900" s="70" t="str">
        <f t="shared" si="355"/>
        <v/>
      </c>
      <c r="K900" s="135"/>
      <c r="L900" s="72" t="str">
        <f t="shared" si="356"/>
        <v/>
      </c>
      <c r="M900" s="135"/>
      <c r="N900" s="72" t="str">
        <f t="shared" si="357"/>
        <v/>
      </c>
      <c r="O900" s="135"/>
      <c r="P900" s="136"/>
      <c r="Q900" s="123" t="str">
        <f t="shared" si="358"/>
        <v/>
      </c>
      <c r="R900" s="45" t="str">
        <f t="shared" si="359"/>
        <v/>
      </c>
      <c r="S900" s="137"/>
      <c r="T900" s="79" t="str">
        <f t="shared" si="368"/>
        <v/>
      </c>
      <c r="U900" s="79" t="str">
        <f t="shared" si="360"/>
        <v/>
      </c>
      <c r="V900" s="73" t="str">
        <f t="shared" si="361"/>
        <v/>
      </c>
      <c r="W900" s="80" t="str">
        <f t="shared" si="362"/>
        <v/>
      </c>
      <c r="X900" s="73" t="str">
        <f t="shared" si="363"/>
        <v/>
      </c>
      <c r="Y900" s="80" t="str">
        <f t="shared" si="364"/>
        <v/>
      </c>
      <c r="Z900" s="74" t="str">
        <f t="shared" si="365"/>
        <v/>
      </c>
      <c r="AA900" s="75" t="str">
        <f t="shared" si="369"/>
        <v/>
      </c>
      <c r="AB900" s="103" t="str">
        <f t="shared" si="366"/>
        <v/>
      </c>
      <c r="AC900" s="104" t="str">
        <f t="shared" si="377"/>
        <v/>
      </c>
      <c r="AE900" s="139"/>
      <c r="AF900" s="110" t="str">
        <f t="shared" si="370"/>
        <v/>
      </c>
      <c r="AG900" s="111" t="str">
        <f t="shared" si="371"/>
        <v/>
      </c>
      <c r="AH900" s="111" t="str">
        <f t="shared" si="367"/>
        <v/>
      </c>
      <c r="AI900" s="111" t="str">
        <f t="shared" si="372"/>
        <v/>
      </c>
      <c r="AJ900" s="111" t="str">
        <f t="shared" si="373"/>
        <v/>
      </c>
      <c r="AK900" s="112" t="str">
        <f t="shared" si="374"/>
        <v/>
      </c>
      <c r="AL900" t="str">
        <f t="shared" si="375"/>
        <v/>
      </c>
      <c r="AM900" t="str">
        <f t="shared" si="376"/>
        <v/>
      </c>
    </row>
    <row r="901" spans="1:39" ht="15" customHeight="1" x14ac:dyDescent="0.25">
      <c r="A901" s="131"/>
      <c r="B901" s="133"/>
      <c r="C901" s="133"/>
      <c r="D901" s="42" t="str">
        <f t="shared" si="351"/>
        <v/>
      </c>
      <c r="E901" s="43"/>
      <c r="F901" s="135"/>
      <c r="G901" s="77" t="str">
        <f t="shared" si="352"/>
        <v/>
      </c>
      <c r="H901" s="32" t="str">
        <f t="shared" si="353"/>
        <v/>
      </c>
      <c r="I901" s="78" t="str">
        <f t="shared" si="354"/>
        <v/>
      </c>
      <c r="J901" s="70" t="str">
        <f t="shared" si="355"/>
        <v/>
      </c>
      <c r="K901" s="135"/>
      <c r="L901" s="72" t="str">
        <f t="shared" si="356"/>
        <v/>
      </c>
      <c r="M901" s="135"/>
      <c r="N901" s="72" t="str">
        <f t="shared" si="357"/>
        <v/>
      </c>
      <c r="O901" s="135"/>
      <c r="P901" s="136"/>
      <c r="Q901" s="123" t="str">
        <f t="shared" si="358"/>
        <v/>
      </c>
      <c r="R901" s="45" t="str">
        <f t="shared" si="359"/>
        <v/>
      </c>
      <c r="S901" s="137"/>
      <c r="T901" s="79" t="str">
        <f t="shared" si="368"/>
        <v/>
      </c>
      <c r="U901" s="79" t="str">
        <f t="shared" si="360"/>
        <v/>
      </c>
      <c r="V901" s="73" t="str">
        <f t="shared" si="361"/>
        <v/>
      </c>
      <c r="W901" s="80" t="str">
        <f t="shared" si="362"/>
        <v/>
      </c>
      <c r="X901" s="73" t="str">
        <f t="shared" si="363"/>
        <v/>
      </c>
      <c r="Y901" s="80" t="str">
        <f t="shared" si="364"/>
        <v/>
      </c>
      <c r="Z901" s="74" t="str">
        <f t="shared" si="365"/>
        <v/>
      </c>
      <c r="AA901" s="75" t="str">
        <f t="shared" si="369"/>
        <v/>
      </c>
      <c r="AB901" s="103" t="str">
        <f t="shared" si="366"/>
        <v/>
      </c>
      <c r="AC901" s="104" t="str">
        <f t="shared" si="377"/>
        <v/>
      </c>
      <c r="AE901" s="139"/>
      <c r="AF901" s="110" t="str">
        <f t="shared" si="370"/>
        <v/>
      </c>
      <c r="AG901" s="111" t="str">
        <f t="shared" si="371"/>
        <v/>
      </c>
      <c r="AH901" s="111" t="str">
        <f t="shared" si="367"/>
        <v/>
      </c>
      <c r="AI901" s="111" t="str">
        <f t="shared" si="372"/>
        <v/>
      </c>
      <c r="AJ901" s="111" t="str">
        <f t="shared" si="373"/>
        <v/>
      </c>
      <c r="AK901" s="112" t="str">
        <f t="shared" si="374"/>
        <v/>
      </c>
      <c r="AL901" t="str">
        <f t="shared" si="375"/>
        <v/>
      </c>
      <c r="AM901" t="str">
        <f t="shared" si="376"/>
        <v/>
      </c>
    </row>
    <row r="902" spans="1:39" ht="15" customHeight="1" x14ac:dyDescent="0.25">
      <c r="A902" s="131"/>
      <c r="B902" s="133"/>
      <c r="C902" s="133"/>
      <c r="D902" s="42" t="str">
        <f t="shared" si="351"/>
        <v/>
      </c>
      <c r="E902" s="43"/>
      <c r="F902" s="135"/>
      <c r="G902" s="77" t="str">
        <f t="shared" si="352"/>
        <v/>
      </c>
      <c r="H902" s="32" t="str">
        <f t="shared" si="353"/>
        <v/>
      </c>
      <c r="I902" s="78" t="str">
        <f t="shared" si="354"/>
        <v/>
      </c>
      <c r="J902" s="70" t="str">
        <f t="shared" si="355"/>
        <v/>
      </c>
      <c r="K902" s="135"/>
      <c r="L902" s="72" t="str">
        <f t="shared" si="356"/>
        <v/>
      </c>
      <c r="M902" s="135"/>
      <c r="N902" s="72" t="str">
        <f t="shared" si="357"/>
        <v/>
      </c>
      <c r="O902" s="135"/>
      <c r="P902" s="136"/>
      <c r="Q902" s="123" t="str">
        <f t="shared" si="358"/>
        <v/>
      </c>
      <c r="R902" s="45" t="str">
        <f t="shared" si="359"/>
        <v/>
      </c>
      <c r="S902" s="137"/>
      <c r="T902" s="79" t="str">
        <f t="shared" si="368"/>
        <v/>
      </c>
      <c r="U902" s="79" t="str">
        <f t="shared" si="360"/>
        <v/>
      </c>
      <c r="V902" s="73" t="str">
        <f t="shared" si="361"/>
        <v/>
      </c>
      <c r="W902" s="80" t="str">
        <f t="shared" si="362"/>
        <v/>
      </c>
      <c r="X902" s="73" t="str">
        <f t="shared" si="363"/>
        <v/>
      </c>
      <c r="Y902" s="80" t="str">
        <f t="shared" si="364"/>
        <v/>
      </c>
      <c r="Z902" s="74" t="str">
        <f t="shared" si="365"/>
        <v/>
      </c>
      <c r="AA902" s="75" t="str">
        <f t="shared" si="369"/>
        <v/>
      </c>
      <c r="AB902" s="103" t="str">
        <f t="shared" si="366"/>
        <v/>
      </c>
      <c r="AC902" s="104" t="str">
        <f t="shared" si="377"/>
        <v/>
      </c>
      <c r="AE902" s="139"/>
      <c r="AF902" s="110" t="str">
        <f t="shared" si="370"/>
        <v/>
      </c>
      <c r="AG902" s="111" t="str">
        <f t="shared" si="371"/>
        <v/>
      </c>
      <c r="AH902" s="111" t="str">
        <f t="shared" si="367"/>
        <v/>
      </c>
      <c r="AI902" s="111" t="str">
        <f t="shared" si="372"/>
        <v/>
      </c>
      <c r="AJ902" s="111" t="str">
        <f t="shared" si="373"/>
        <v/>
      </c>
      <c r="AK902" s="112" t="str">
        <f t="shared" si="374"/>
        <v/>
      </c>
      <c r="AL902" t="str">
        <f t="shared" si="375"/>
        <v/>
      </c>
      <c r="AM902" t="str">
        <f t="shared" si="376"/>
        <v/>
      </c>
    </row>
    <row r="903" spans="1:39" ht="15" customHeight="1" x14ac:dyDescent="0.25">
      <c r="A903" s="131"/>
      <c r="B903" s="133"/>
      <c r="C903" s="133"/>
      <c r="D903" s="42" t="str">
        <f t="shared" si="351"/>
        <v/>
      </c>
      <c r="E903" s="43"/>
      <c r="F903" s="135"/>
      <c r="G903" s="77" t="str">
        <f t="shared" si="352"/>
        <v/>
      </c>
      <c r="H903" s="32" t="str">
        <f t="shared" si="353"/>
        <v/>
      </c>
      <c r="I903" s="78" t="str">
        <f t="shared" si="354"/>
        <v/>
      </c>
      <c r="J903" s="70" t="str">
        <f t="shared" si="355"/>
        <v/>
      </c>
      <c r="K903" s="135"/>
      <c r="L903" s="72" t="str">
        <f t="shared" si="356"/>
        <v/>
      </c>
      <c r="M903" s="135"/>
      <c r="N903" s="72" t="str">
        <f t="shared" si="357"/>
        <v/>
      </c>
      <c r="O903" s="135"/>
      <c r="P903" s="136"/>
      <c r="Q903" s="123" t="str">
        <f t="shared" si="358"/>
        <v/>
      </c>
      <c r="R903" s="45" t="str">
        <f t="shared" si="359"/>
        <v/>
      </c>
      <c r="S903" s="137"/>
      <c r="T903" s="79" t="str">
        <f t="shared" si="368"/>
        <v/>
      </c>
      <c r="U903" s="79" t="str">
        <f t="shared" si="360"/>
        <v/>
      </c>
      <c r="V903" s="73" t="str">
        <f t="shared" si="361"/>
        <v/>
      </c>
      <c r="W903" s="80" t="str">
        <f t="shared" si="362"/>
        <v/>
      </c>
      <c r="X903" s="73" t="str">
        <f t="shared" si="363"/>
        <v/>
      </c>
      <c r="Y903" s="80" t="str">
        <f t="shared" si="364"/>
        <v/>
      </c>
      <c r="Z903" s="74" t="str">
        <f t="shared" si="365"/>
        <v/>
      </c>
      <c r="AA903" s="75" t="str">
        <f t="shared" si="369"/>
        <v/>
      </c>
      <c r="AB903" s="103" t="str">
        <f t="shared" si="366"/>
        <v/>
      </c>
      <c r="AC903" s="104" t="str">
        <f t="shared" si="377"/>
        <v/>
      </c>
      <c r="AE903" s="139"/>
      <c r="AF903" s="110" t="str">
        <f t="shared" si="370"/>
        <v/>
      </c>
      <c r="AG903" s="111" t="str">
        <f t="shared" si="371"/>
        <v/>
      </c>
      <c r="AH903" s="111" t="str">
        <f t="shared" si="367"/>
        <v/>
      </c>
      <c r="AI903" s="111" t="str">
        <f t="shared" si="372"/>
        <v/>
      </c>
      <c r="AJ903" s="111" t="str">
        <f t="shared" si="373"/>
        <v/>
      </c>
      <c r="AK903" s="112" t="str">
        <f t="shared" si="374"/>
        <v/>
      </c>
      <c r="AL903" t="str">
        <f t="shared" si="375"/>
        <v/>
      </c>
      <c r="AM903" t="str">
        <f t="shared" si="376"/>
        <v/>
      </c>
    </row>
    <row r="904" spans="1:39" ht="15" customHeight="1" x14ac:dyDescent="0.25">
      <c r="A904" s="131"/>
      <c r="B904" s="133"/>
      <c r="C904" s="133"/>
      <c r="D904" s="42" t="str">
        <f t="shared" ref="D904:D967" si="378">IF(A904="","",B904*C904)</f>
        <v/>
      </c>
      <c r="E904" s="43"/>
      <c r="F904" s="135"/>
      <c r="G904" s="77" t="str">
        <f t="shared" ref="G904:G967" si="379">IF(OR(F904="",C904=0,C904=""),"",F904/C904)</f>
        <v/>
      </c>
      <c r="H904" s="32" t="str">
        <f t="shared" ref="H904:H967" si="380">IF(F904="","",ROUND(F904*$G$1,2))</f>
        <v/>
      </c>
      <c r="I904" s="78" t="str">
        <f t="shared" ref="I904:I967" si="381">IF(OR(H904="",C904=0,C904=""),"",H904/C904)</f>
        <v/>
      </c>
      <c r="J904" s="70" t="str">
        <f t="shared" ref="J904:J967" si="382">IF(A904="","",F904*B904)</f>
        <v/>
      </c>
      <c r="K904" s="135"/>
      <c r="L904" s="72" t="str">
        <f t="shared" ref="L904:L967" si="383">IF(OR(K904=0,C904=0,K904="",C904=""),"",K904/C904)</f>
        <v/>
      </c>
      <c r="M904" s="135"/>
      <c r="N904" s="72" t="str">
        <f t="shared" ref="N904:N967" si="384">IF(OR(M904=0,C904=0,M904="",C904=""),"",M904/C904)</f>
        <v/>
      </c>
      <c r="O904" s="135"/>
      <c r="P904" s="136"/>
      <c r="Q904" s="123" t="str">
        <f t="shared" ref="Q904:Q967" si="385">IF(A904="","",IF(S904&gt;0,IF(J904&gt;0,S904/J904,0),IF(E904&gt;0,0,IF($I$2&gt;0,IF($I$3&gt;0,MAX($I$2-SUM($S$8:$S$1007),0)/$I$3,0),$I$1))))</f>
        <v/>
      </c>
      <c r="R904" s="45" t="str">
        <f t="shared" ref="R904:R967" si="386">IF(A904="","",IF(S904&gt;0,S904,IF(E904&gt;0,0,J904*IF($I$2&gt;0,IF($I$3&gt;0,MAX($I$2-SUM($S$8:$S$1007),0)/$I$3,0),$I$1))))</f>
        <v/>
      </c>
      <c r="S904" s="137"/>
      <c r="T904" s="79" t="str">
        <f t="shared" si="368"/>
        <v/>
      </c>
      <c r="U904" s="79" t="str">
        <f t="shared" ref="U904:U967" si="387">IF(OR(A904="",T904=""),"",T904*C904)</f>
        <v/>
      </c>
      <c r="V904" s="73" t="str">
        <f t="shared" ref="V904:V967" si="388">IF(OR(A904="",K904&lt;=0,U904=""),"",(K904-U904)/K904)</f>
        <v/>
      </c>
      <c r="W904" s="80" t="str">
        <f t="shared" ref="W904:W967" si="389">IF(OR(K904=0,U904=0,K904="",U904=""),"",K904-U904)</f>
        <v/>
      </c>
      <c r="X904" s="73" t="str">
        <f t="shared" ref="X904:X967" si="390">IF(OR(A904="",M904&lt;=0,U904=""),"",(M904-U904)/M904)</f>
        <v/>
      </c>
      <c r="Y904" s="80" t="str">
        <f t="shared" ref="Y904:Y967" si="391">IF(OR(M904=0,U904=0,M904="",U904=""),"",M904-U904)</f>
        <v/>
      </c>
      <c r="Z904" s="74" t="str">
        <f t="shared" ref="Z904:Z967" si="392">IF(OR(J904="",J904=0,$M$5="",$K$1=0),"",($M$5/$K$1)*J904)</f>
        <v/>
      </c>
      <c r="AA904" s="75" t="str">
        <f t="shared" si="369"/>
        <v/>
      </c>
      <c r="AB904" s="103" t="str">
        <f t="shared" ref="AB904:AB967" si="393">IF(OR(T904=0,T904="",D904=0,D904=""),"",T904*(D904+E904))</f>
        <v/>
      </c>
      <c r="AC904" s="104" t="str">
        <f t="shared" si="377"/>
        <v/>
      </c>
      <c r="AE904" s="139"/>
      <c r="AF904" s="110" t="str">
        <f t="shared" si="370"/>
        <v/>
      </c>
      <c r="AG904" s="111" t="str">
        <f t="shared" si="371"/>
        <v/>
      </c>
      <c r="AH904" s="111" t="str">
        <f t="shared" ref="AH904:AH967" si="394">IF(AG904="","",AG904*$AF$1+IF(SUM($AG$8:$AG$1007)=0,0,$AF$2*AG904/SUM($AG$8:$AG$1007)))</f>
        <v/>
      </c>
      <c r="AI904" s="111" t="str">
        <f t="shared" si="372"/>
        <v/>
      </c>
      <c r="AJ904" s="111" t="str">
        <f t="shared" si="373"/>
        <v/>
      </c>
      <c r="AK904" s="112" t="str">
        <f t="shared" si="374"/>
        <v/>
      </c>
      <c r="AL904" t="str">
        <f t="shared" si="375"/>
        <v/>
      </c>
      <c r="AM904" t="str">
        <f t="shared" si="376"/>
        <v/>
      </c>
    </row>
    <row r="905" spans="1:39" ht="15" customHeight="1" x14ac:dyDescent="0.25">
      <c r="A905" s="131"/>
      <c r="B905" s="133"/>
      <c r="C905" s="133"/>
      <c r="D905" s="42" t="str">
        <f t="shared" si="378"/>
        <v/>
      </c>
      <c r="E905" s="43"/>
      <c r="F905" s="135"/>
      <c r="G905" s="77" t="str">
        <f t="shared" si="379"/>
        <v/>
      </c>
      <c r="H905" s="32" t="str">
        <f t="shared" si="380"/>
        <v/>
      </c>
      <c r="I905" s="78" t="str">
        <f t="shared" si="381"/>
        <v/>
      </c>
      <c r="J905" s="70" t="str">
        <f t="shared" si="382"/>
        <v/>
      </c>
      <c r="K905" s="135"/>
      <c r="L905" s="72" t="str">
        <f t="shared" si="383"/>
        <v/>
      </c>
      <c r="M905" s="135"/>
      <c r="N905" s="72" t="str">
        <f t="shared" si="384"/>
        <v/>
      </c>
      <c r="O905" s="135"/>
      <c r="P905" s="136"/>
      <c r="Q905" s="123" t="str">
        <f t="shared" si="385"/>
        <v/>
      </c>
      <c r="R905" s="45" t="str">
        <f t="shared" si="386"/>
        <v/>
      </c>
      <c r="S905" s="137"/>
      <c r="T905" s="79" t="str">
        <f t="shared" ref="T905:T968" si="395">IF(A905="","",IF(OR(B905=0,B905="",C905&lt;=0,D905+E905&lt;=0),"",((F905+H905)*B905+(H905/C905)*E905-R905)/(D905+E905)-IF(Z905&gt;=0,Z905/D905,0)+IF(ISNUMBER(AA905),AA905/(D905+E905),0)))</f>
        <v/>
      </c>
      <c r="U905" s="79" t="str">
        <f t="shared" si="387"/>
        <v/>
      </c>
      <c r="V905" s="73" t="str">
        <f t="shared" si="388"/>
        <v/>
      </c>
      <c r="W905" s="80" t="str">
        <f t="shared" si="389"/>
        <v/>
      </c>
      <c r="X905" s="73" t="str">
        <f t="shared" si="390"/>
        <v/>
      </c>
      <c r="Y905" s="80" t="str">
        <f t="shared" si="391"/>
        <v/>
      </c>
      <c r="Z905" s="74" t="str">
        <f t="shared" si="392"/>
        <v/>
      </c>
      <c r="AA905" s="75" t="str">
        <f t="shared" ref="AA905:AA968" si="396">IF(OR(J905="",J905=0,($G$3-$I$4)=0),"",($K$3/($G$3-$I$4))*(J905-R905))</f>
        <v/>
      </c>
      <c r="AB905" s="103" t="str">
        <f t="shared" si="393"/>
        <v/>
      </c>
      <c r="AC905" s="104" t="str">
        <f t="shared" si="377"/>
        <v/>
      </c>
      <c r="AE905" s="139"/>
      <c r="AF905" s="110" t="str">
        <f t="shared" ref="AF905:AF968" si="397">IF(AE905="","",T905)</f>
        <v/>
      </c>
      <c r="AG905" s="111" t="str">
        <f t="shared" ref="AG905:AG968" si="398">IF(OR(AE905="",AF905=""),"",AE905*AF905)</f>
        <v/>
      </c>
      <c r="AH905" s="111" t="str">
        <f t="shared" si="394"/>
        <v/>
      </c>
      <c r="AI905" s="111" t="str">
        <f t="shared" ref="AI905:AI968" si="399">IF(AG905="","",AG905-AH905)</f>
        <v/>
      </c>
      <c r="AJ905" s="111" t="str">
        <f t="shared" ref="AJ905:AJ968" si="400">IF(AI905="","",AK905-AI905)</f>
        <v/>
      </c>
      <c r="AK905" s="112" t="str">
        <f t="shared" ref="AK905:AK968" si="401">IF(AI905="","",ROUND(AI905,0))</f>
        <v/>
      </c>
      <c r="AL905" t="str">
        <f t="shared" ref="AL905:AL968" si="402">IF(OR(AE905=0,AE905=""),"",AH905/AE905)</f>
        <v/>
      </c>
      <c r="AM905" t="str">
        <f t="shared" ref="AM905:AM968" si="403">IF(OR(AE905=0,AE905=""),"",AF905*C905)</f>
        <v/>
      </c>
    </row>
    <row r="906" spans="1:39" ht="15" customHeight="1" x14ac:dyDescent="0.25">
      <c r="A906" s="131"/>
      <c r="B906" s="133"/>
      <c r="C906" s="133"/>
      <c r="D906" s="42" t="str">
        <f t="shared" si="378"/>
        <v/>
      </c>
      <c r="E906" s="43"/>
      <c r="F906" s="135"/>
      <c r="G906" s="77" t="str">
        <f t="shared" si="379"/>
        <v/>
      </c>
      <c r="H906" s="32" t="str">
        <f t="shared" si="380"/>
        <v/>
      </c>
      <c r="I906" s="78" t="str">
        <f t="shared" si="381"/>
        <v/>
      </c>
      <c r="J906" s="70" t="str">
        <f t="shared" si="382"/>
        <v/>
      </c>
      <c r="K906" s="135"/>
      <c r="L906" s="72" t="str">
        <f t="shared" si="383"/>
        <v/>
      </c>
      <c r="M906" s="135"/>
      <c r="N906" s="72" t="str">
        <f t="shared" si="384"/>
        <v/>
      </c>
      <c r="O906" s="135"/>
      <c r="P906" s="136"/>
      <c r="Q906" s="123" t="str">
        <f t="shared" si="385"/>
        <v/>
      </c>
      <c r="R906" s="45" t="str">
        <f t="shared" si="386"/>
        <v/>
      </c>
      <c r="S906" s="137"/>
      <c r="T906" s="79" t="str">
        <f t="shared" si="395"/>
        <v/>
      </c>
      <c r="U906" s="79" t="str">
        <f t="shared" si="387"/>
        <v/>
      </c>
      <c r="V906" s="73" t="str">
        <f t="shared" si="388"/>
        <v/>
      </c>
      <c r="W906" s="80" t="str">
        <f t="shared" si="389"/>
        <v/>
      </c>
      <c r="X906" s="73" t="str">
        <f t="shared" si="390"/>
        <v/>
      </c>
      <c r="Y906" s="80" t="str">
        <f t="shared" si="391"/>
        <v/>
      </c>
      <c r="Z906" s="74" t="str">
        <f t="shared" si="392"/>
        <v/>
      </c>
      <c r="AA906" s="75" t="str">
        <f t="shared" si="396"/>
        <v/>
      </c>
      <c r="AB906" s="103" t="str">
        <f t="shared" si="393"/>
        <v/>
      </c>
      <c r="AC906" s="104" t="str">
        <f t="shared" ref="AC906:AC969" si="404">IF(OR(A906="",J906="",C906&lt;=0, B906=0),"",J906+H906*B906+(H906/C906)*E906)</f>
        <v/>
      </c>
      <c r="AE906" s="139"/>
      <c r="AF906" s="110" t="str">
        <f t="shared" si="397"/>
        <v/>
      </c>
      <c r="AG906" s="111" t="str">
        <f t="shared" si="398"/>
        <v/>
      </c>
      <c r="AH906" s="111" t="str">
        <f t="shared" si="394"/>
        <v/>
      </c>
      <c r="AI906" s="111" t="str">
        <f t="shared" si="399"/>
        <v/>
      </c>
      <c r="AJ906" s="111" t="str">
        <f t="shared" si="400"/>
        <v/>
      </c>
      <c r="AK906" s="112" t="str">
        <f t="shared" si="401"/>
        <v/>
      </c>
      <c r="AL906" t="str">
        <f t="shared" si="402"/>
        <v/>
      </c>
      <c r="AM906" t="str">
        <f t="shared" si="403"/>
        <v/>
      </c>
    </row>
    <row r="907" spans="1:39" ht="15" customHeight="1" x14ac:dyDescent="0.25">
      <c r="A907" s="131"/>
      <c r="B907" s="133"/>
      <c r="C907" s="133"/>
      <c r="D907" s="42" t="str">
        <f t="shared" si="378"/>
        <v/>
      </c>
      <c r="E907" s="43"/>
      <c r="F907" s="135"/>
      <c r="G907" s="77" t="str">
        <f t="shared" si="379"/>
        <v/>
      </c>
      <c r="H907" s="32" t="str">
        <f t="shared" si="380"/>
        <v/>
      </c>
      <c r="I907" s="78" t="str">
        <f t="shared" si="381"/>
        <v/>
      </c>
      <c r="J907" s="70" t="str">
        <f t="shared" si="382"/>
        <v/>
      </c>
      <c r="K907" s="135"/>
      <c r="L907" s="72" t="str">
        <f t="shared" si="383"/>
        <v/>
      </c>
      <c r="M907" s="135"/>
      <c r="N907" s="72" t="str">
        <f t="shared" si="384"/>
        <v/>
      </c>
      <c r="O907" s="135"/>
      <c r="P907" s="136"/>
      <c r="Q907" s="123" t="str">
        <f t="shared" si="385"/>
        <v/>
      </c>
      <c r="R907" s="45" t="str">
        <f t="shared" si="386"/>
        <v/>
      </c>
      <c r="S907" s="137"/>
      <c r="T907" s="79" t="str">
        <f t="shared" si="395"/>
        <v/>
      </c>
      <c r="U907" s="79" t="str">
        <f t="shared" si="387"/>
        <v/>
      </c>
      <c r="V907" s="73" t="str">
        <f t="shared" si="388"/>
        <v/>
      </c>
      <c r="W907" s="80" t="str">
        <f t="shared" si="389"/>
        <v/>
      </c>
      <c r="X907" s="73" t="str">
        <f t="shared" si="390"/>
        <v/>
      </c>
      <c r="Y907" s="80" t="str">
        <f t="shared" si="391"/>
        <v/>
      </c>
      <c r="Z907" s="74" t="str">
        <f t="shared" si="392"/>
        <v/>
      </c>
      <c r="AA907" s="75" t="str">
        <f t="shared" si="396"/>
        <v/>
      </c>
      <c r="AB907" s="103" t="str">
        <f t="shared" si="393"/>
        <v/>
      </c>
      <c r="AC907" s="104" t="str">
        <f t="shared" si="404"/>
        <v/>
      </c>
      <c r="AE907" s="139"/>
      <c r="AF907" s="110" t="str">
        <f t="shared" si="397"/>
        <v/>
      </c>
      <c r="AG907" s="111" t="str">
        <f t="shared" si="398"/>
        <v/>
      </c>
      <c r="AH907" s="111" t="str">
        <f t="shared" si="394"/>
        <v/>
      </c>
      <c r="AI907" s="111" t="str">
        <f t="shared" si="399"/>
        <v/>
      </c>
      <c r="AJ907" s="111" t="str">
        <f t="shared" si="400"/>
        <v/>
      </c>
      <c r="AK907" s="112" t="str">
        <f t="shared" si="401"/>
        <v/>
      </c>
      <c r="AL907" t="str">
        <f t="shared" si="402"/>
        <v/>
      </c>
      <c r="AM907" t="str">
        <f t="shared" si="403"/>
        <v/>
      </c>
    </row>
    <row r="908" spans="1:39" ht="15" customHeight="1" x14ac:dyDescent="0.25">
      <c r="A908" s="131"/>
      <c r="B908" s="133"/>
      <c r="C908" s="133"/>
      <c r="D908" s="42" t="str">
        <f t="shared" si="378"/>
        <v/>
      </c>
      <c r="E908" s="43"/>
      <c r="F908" s="135"/>
      <c r="G908" s="77" t="str">
        <f t="shared" si="379"/>
        <v/>
      </c>
      <c r="H908" s="32" t="str">
        <f t="shared" si="380"/>
        <v/>
      </c>
      <c r="I908" s="78" t="str">
        <f t="shared" si="381"/>
        <v/>
      </c>
      <c r="J908" s="70" t="str">
        <f t="shared" si="382"/>
        <v/>
      </c>
      <c r="K908" s="135"/>
      <c r="L908" s="72" t="str">
        <f t="shared" si="383"/>
        <v/>
      </c>
      <c r="M908" s="135"/>
      <c r="N908" s="72" t="str">
        <f t="shared" si="384"/>
        <v/>
      </c>
      <c r="O908" s="135"/>
      <c r="P908" s="136"/>
      <c r="Q908" s="123" t="str">
        <f t="shared" si="385"/>
        <v/>
      </c>
      <c r="R908" s="45" t="str">
        <f t="shared" si="386"/>
        <v/>
      </c>
      <c r="S908" s="137"/>
      <c r="T908" s="79" t="str">
        <f t="shared" si="395"/>
        <v/>
      </c>
      <c r="U908" s="79" t="str">
        <f t="shared" si="387"/>
        <v/>
      </c>
      <c r="V908" s="73" t="str">
        <f t="shared" si="388"/>
        <v/>
      </c>
      <c r="W908" s="80" t="str">
        <f t="shared" si="389"/>
        <v/>
      </c>
      <c r="X908" s="73" t="str">
        <f t="shared" si="390"/>
        <v/>
      </c>
      <c r="Y908" s="80" t="str">
        <f t="shared" si="391"/>
        <v/>
      </c>
      <c r="Z908" s="74" t="str">
        <f t="shared" si="392"/>
        <v/>
      </c>
      <c r="AA908" s="75" t="str">
        <f t="shared" si="396"/>
        <v/>
      </c>
      <c r="AB908" s="103" t="str">
        <f t="shared" si="393"/>
        <v/>
      </c>
      <c r="AC908" s="104" t="str">
        <f t="shared" si="404"/>
        <v/>
      </c>
      <c r="AE908" s="139"/>
      <c r="AF908" s="110" t="str">
        <f t="shared" si="397"/>
        <v/>
      </c>
      <c r="AG908" s="111" t="str">
        <f t="shared" si="398"/>
        <v/>
      </c>
      <c r="AH908" s="111" t="str">
        <f t="shared" si="394"/>
        <v/>
      </c>
      <c r="AI908" s="111" t="str">
        <f t="shared" si="399"/>
        <v/>
      </c>
      <c r="AJ908" s="111" t="str">
        <f t="shared" si="400"/>
        <v/>
      </c>
      <c r="AK908" s="112" t="str">
        <f t="shared" si="401"/>
        <v/>
      </c>
      <c r="AL908" t="str">
        <f t="shared" si="402"/>
        <v/>
      </c>
      <c r="AM908" t="str">
        <f t="shared" si="403"/>
        <v/>
      </c>
    </row>
    <row r="909" spans="1:39" ht="15" customHeight="1" x14ac:dyDescent="0.25">
      <c r="A909" s="131"/>
      <c r="B909" s="133"/>
      <c r="C909" s="133"/>
      <c r="D909" s="42" t="str">
        <f t="shared" si="378"/>
        <v/>
      </c>
      <c r="E909" s="43"/>
      <c r="F909" s="135"/>
      <c r="G909" s="77" t="str">
        <f t="shared" si="379"/>
        <v/>
      </c>
      <c r="H909" s="32" t="str">
        <f t="shared" si="380"/>
        <v/>
      </c>
      <c r="I909" s="78" t="str">
        <f t="shared" si="381"/>
        <v/>
      </c>
      <c r="J909" s="70" t="str">
        <f t="shared" si="382"/>
        <v/>
      </c>
      <c r="K909" s="135"/>
      <c r="L909" s="72" t="str">
        <f t="shared" si="383"/>
        <v/>
      </c>
      <c r="M909" s="135"/>
      <c r="N909" s="72" t="str">
        <f t="shared" si="384"/>
        <v/>
      </c>
      <c r="O909" s="135"/>
      <c r="P909" s="136"/>
      <c r="Q909" s="123" t="str">
        <f t="shared" si="385"/>
        <v/>
      </c>
      <c r="R909" s="45" t="str">
        <f t="shared" si="386"/>
        <v/>
      </c>
      <c r="S909" s="137"/>
      <c r="T909" s="79" t="str">
        <f t="shared" si="395"/>
        <v/>
      </c>
      <c r="U909" s="79" t="str">
        <f t="shared" si="387"/>
        <v/>
      </c>
      <c r="V909" s="73" t="str">
        <f t="shared" si="388"/>
        <v/>
      </c>
      <c r="W909" s="80" t="str">
        <f t="shared" si="389"/>
        <v/>
      </c>
      <c r="X909" s="73" t="str">
        <f t="shared" si="390"/>
        <v/>
      </c>
      <c r="Y909" s="80" t="str">
        <f t="shared" si="391"/>
        <v/>
      </c>
      <c r="Z909" s="74" t="str">
        <f t="shared" si="392"/>
        <v/>
      </c>
      <c r="AA909" s="75" t="str">
        <f t="shared" si="396"/>
        <v/>
      </c>
      <c r="AB909" s="103" t="str">
        <f t="shared" si="393"/>
        <v/>
      </c>
      <c r="AC909" s="104" t="str">
        <f t="shared" si="404"/>
        <v/>
      </c>
      <c r="AE909" s="139"/>
      <c r="AF909" s="110" t="str">
        <f t="shared" si="397"/>
        <v/>
      </c>
      <c r="AG909" s="111" t="str">
        <f t="shared" si="398"/>
        <v/>
      </c>
      <c r="AH909" s="111" t="str">
        <f t="shared" si="394"/>
        <v/>
      </c>
      <c r="AI909" s="111" t="str">
        <f t="shared" si="399"/>
        <v/>
      </c>
      <c r="AJ909" s="111" t="str">
        <f t="shared" si="400"/>
        <v/>
      </c>
      <c r="AK909" s="112" t="str">
        <f t="shared" si="401"/>
        <v/>
      </c>
      <c r="AL909" t="str">
        <f t="shared" si="402"/>
        <v/>
      </c>
      <c r="AM909" t="str">
        <f t="shared" si="403"/>
        <v/>
      </c>
    </row>
    <row r="910" spans="1:39" ht="15" customHeight="1" x14ac:dyDescent="0.25">
      <c r="A910" s="131"/>
      <c r="B910" s="133"/>
      <c r="C910" s="133"/>
      <c r="D910" s="42" t="str">
        <f t="shared" si="378"/>
        <v/>
      </c>
      <c r="E910" s="43"/>
      <c r="F910" s="135"/>
      <c r="G910" s="77" t="str">
        <f t="shared" si="379"/>
        <v/>
      </c>
      <c r="H910" s="32" t="str">
        <f t="shared" si="380"/>
        <v/>
      </c>
      <c r="I910" s="78" t="str">
        <f t="shared" si="381"/>
        <v/>
      </c>
      <c r="J910" s="70" t="str">
        <f t="shared" si="382"/>
        <v/>
      </c>
      <c r="K910" s="135"/>
      <c r="L910" s="72" t="str">
        <f t="shared" si="383"/>
        <v/>
      </c>
      <c r="M910" s="135"/>
      <c r="N910" s="72" t="str">
        <f t="shared" si="384"/>
        <v/>
      </c>
      <c r="O910" s="135"/>
      <c r="P910" s="136"/>
      <c r="Q910" s="123" t="str">
        <f t="shared" si="385"/>
        <v/>
      </c>
      <c r="R910" s="45" t="str">
        <f t="shared" si="386"/>
        <v/>
      </c>
      <c r="S910" s="137"/>
      <c r="T910" s="79" t="str">
        <f t="shared" si="395"/>
        <v/>
      </c>
      <c r="U910" s="79" t="str">
        <f t="shared" si="387"/>
        <v/>
      </c>
      <c r="V910" s="73" t="str">
        <f t="shared" si="388"/>
        <v/>
      </c>
      <c r="W910" s="80" t="str">
        <f t="shared" si="389"/>
        <v/>
      </c>
      <c r="X910" s="73" t="str">
        <f t="shared" si="390"/>
        <v/>
      </c>
      <c r="Y910" s="80" t="str">
        <f t="shared" si="391"/>
        <v/>
      </c>
      <c r="Z910" s="74" t="str">
        <f t="shared" si="392"/>
        <v/>
      </c>
      <c r="AA910" s="75" t="str">
        <f t="shared" si="396"/>
        <v/>
      </c>
      <c r="AB910" s="103" t="str">
        <f t="shared" si="393"/>
        <v/>
      </c>
      <c r="AC910" s="104" t="str">
        <f t="shared" si="404"/>
        <v/>
      </c>
      <c r="AE910" s="139"/>
      <c r="AF910" s="110" t="str">
        <f t="shared" si="397"/>
        <v/>
      </c>
      <c r="AG910" s="111" t="str">
        <f t="shared" si="398"/>
        <v/>
      </c>
      <c r="AH910" s="111" t="str">
        <f t="shared" si="394"/>
        <v/>
      </c>
      <c r="AI910" s="111" t="str">
        <f t="shared" si="399"/>
        <v/>
      </c>
      <c r="AJ910" s="111" t="str">
        <f t="shared" si="400"/>
        <v/>
      </c>
      <c r="AK910" s="112" t="str">
        <f t="shared" si="401"/>
        <v/>
      </c>
      <c r="AL910" t="str">
        <f t="shared" si="402"/>
        <v/>
      </c>
      <c r="AM910" t="str">
        <f t="shared" si="403"/>
        <v/>
      </c>
    </row>
    <row r="911" spans="1:39" ht="15" customHeight="1" x14ac:dyDescent="0.25">
      <c r="A911" s="131"/>
      <c r="B911" s="133"/>
      <c r="C911" s="133"/>
      <c r="D911" s="42" t="str">
        <f t="shared" si="378"/>
        <v/>
      </c>
      <c r="E911" s="43"/>
      <c r="F911" s="135"/>
      <c r="G911" s="77" t="str">
        <f t="shared" si="379"/>
        <v/>
      </c>
      <c r="H911" s="32" t="str">
        <f t="shared" si="380"/>
        <v/>
      </c>
      <c r="I911" s="78" t="str">
        <f t="shared" si="381"/>
        <v/>
      </c>
      <c r="J911" s="70" t="str">
        <f t="shared" si="382"/>
        <v/>
      </c>
      <c r="K911" s="135"/>
      <c r="L911" s="72" t="str">
        <f t="shared" si="383"/>
        <v/>
      </c>
      <c r="M911" s="135"/>
      <c r="N911" s="72" t="str">
        <f t="shared" si="384"/>
        <v/>
      </c>
      <c r="O911" s="135"/>
      <c r="P911" s="136"/>
      <c r="Q911" s="123" t="str">
        <f t="shared" si="385"/>
        <v/>
      </c>
      <c r="R911" s="45" t="str">
        <f t="shared" si="386"/>
        <v/>
      </c>
      <c r="S911" s="137"/>
      <c r="T911" s="79" t="str">
        <f t="shared" si="395"/>
        <v/>
      </c>
      <c r="U911" s="79" t="str">
        <f t="shared" si="387"/>
        <v/>
      </c>
      <c r="V911" s="73" t="str">
        <f t="shared" si="388"/>
        <v/>
      </c>
      <c r="W911" s="80" t="str">
        <f t="shared" si="389"/>
        <v/>
      </c>
      <c r="X911" s="73" t="str">
        <f t="shared" si="390"/>
        <v/>
      </c>
      <c r="Y911" s="80" t="str">
        <f t="shared" si="391"/>
        <v/>
      </c>
      <c r="Z911" s="74" t="str">
        <f t="shared" si="392"/>
        <v/>
      </c>
      <c r="AA911" s="75" t="str">
        <f t="shared" si="396"/>
        <v/>
      </c>
      <c r="AB911" s="103" t="str">
        <f t="shared" si="393"/>
        <v/>
      </c>
      <c r="AC911" s="104" t="str">
        <f t="shared" si="404"/>
        <v/>
      </c>
      <c r="AE911" s="139"/>
      <c r="AF911" s="110" t="str">
        <f t="shared" si="397"/>
        <v/>
      </c>
      <c r="AG911" s="111" t="str">
        <f t="shared" si="398"/>
        <v/>
      </c>
      <c r="AH911" s="111" t="str">
        <f t="shared" si="394"/>
        <v/>
      </c>
      <c r="AI911" s="111" t="str">
        <f t="shared" si="399"/>
        <v/>
      </c>
      <c r="AJ911" s="111" t="str">
        <f t="shared" si="400"/>
        <v/>
      </c>
      <c r="AK911" s="112" t="str">
        <f t="shared" si="401"/>
        <v/>
      </c>
      <c r="AL911" t="str">
        <f t="shared" si="402"/>
        <v/>
      </c>
      <c r="AM911" t="str">
        <f t="shared" si="403"/>
        <v/>
      </c>
    </row>
    <row r="912" spans="1:39" ht="15" customHeight="1" x14ac:dyDescent="0.25">
      <c r="A912" s="131"/>
      <c r="B912" s="133"/>
      <c r="C912" s="133"/>
      <c r="D912" s="42" t="str">
        <f t="shared" si="378"/>
        <v/>
      </c>
      <c r="E912" s="43"/>
      <c r="F912" s="135"/>
      <c r="G912" s="77" t="str">
        <f t="shared" si="379"/>
        <v/>
      </c>
      <c r="H912" s="32" t="str">
        <f t="shared" si="380"/>
        <v/>
      </c>
      <c r="I912" s="78" t="str">
        <f t="shared" si="381"/>
        <v/>
      </c>
      <c r="J912" s="70" t="str">
        <f t="shared" si="382"/>
        <v/>
      </c>
      <c r="K912" s="135"/>
      <c r="L912" s="72" t="str">
        <f t="shared" si="383"/>
        <v/>
      </c>
      <c r="M912" s="135"/>
      <c r="N912" s="72" t="str">
        <f t="shared" si="384"/>
        <v/>
      </c>
      <c r="O912" s="135"/>
      <c r="P912" s="136"/>
      <c r="Q912" s="123" t="str">
        <f t="shared" si="385"/>
        <v/>
      </c>
      <c r="R912" s="45" t="str">
        <f t="shared" si="386"/>
        <v/>
      </c>
      <c r="S912" s="137"/>
      <c r="T912" s="79" t="str">
        <f t="shared" si="395"/>
        <v/>
      </c>
      <c r="U912" s="79" t="str">
        <f t="shared" si="387"/>
        <v/>
      </c>
      <c r="V912" s="73" t="str">
        <f t="shared" si="388"/>
        <v/>
      </c>
      <c r="W912" s="80" t="str">
        <f t="shared" si="389"/>
        <v/>
      </c>
      <c r="X912" s="73" t="str">
        <f t="shared" si="390"/>
        <v/>
      </c>
      <c r="Y912" s="80" t="str">
        <f t="shared" si="391"/>
        <v/>
      </c>
      <c r="Z912" s="74" t="str">
        <f t="shared" si="392"/>
        <v/>
      </c>
      <c r="AA912" s="75" t="str">
        <f t="shared" si="396"/>
        <v/>
      </c>
      <c r="AB912" s="103" t="str">
        <f t="shared" si="393"/>
        <v/>
      </c>
      <c r="AC912" s="104" t="str">
        <f t="shared" si="404"/>
        <v/>
      </c>
      <c r="AE912" s="139"/>
      <c r="AF912" s="110" t="str">
        <f t="shared" si="397"/>
        <v/>
      </c>
      <c r="AG912" s="111" t="str">
        <f t="shared" si="398"/>
        <v/>
      </c>
      <c r="AH912" s="111" t="str">
        <f t="shared" si="394"/>
        <v/>
      </c>
      <c r="AI912" s="111" t="str">
        <f t="shared" si="399"/>
        <v/>
      </c>
      <c r="AJ912" s="111" t="str">
        <f t="shared" si="400"/>
        <v/>
      </c>
      <c r="AK912" s="112" t="str">
        <f t="shared" si="401"/>
        <v/>
      </c>
      <c r="AL912" t="str">
        <f t="shared" si="402"/>
        <v/>
      </c>
      <c r="AM912" t="str">
        <f t="shared" si="403"/>
        <v/>
      </c>
    </row>
    <row r="913" spans="1:39" ht="15" customHeight="1" x14ac:dyDescent="0.25">
      <c r="A913" s="131"/>
      <c r="B913" s="133"/>
      <c r="C913" s="133"/>
      <c r="D913" s="42" t="str">
        <f t="shared" si="378"/>
        <v/>
      </c>
      <c r="E913" s="43"/>
      <c r="F913" s="135"/>
      <c r="G913" s="77" t="str">
        <f t="shared" si="379"/>
        <v/>
      </c>
      <c r="H913" s="32" t="str">
        <f t="shared" si="380"/>
        <v/>
      </c>
      <c r="I913" s="78" t="str">
        <f t="shared" si="381"/>
        <v/>
      </c>
      <c r="J913" s="70" t="str">
        <f t="shared" si="382"/>
        <v/>
      </c>
      <c r="K913" s="135"/>
      <c r="L913" s="72" t="str">
        <f t="shared" si="383"/>
        <v/>
      </c>
      <c r="M913" s="135"/>
      <c r="N913" s="72" t="str">
        <f t="shared" si="384"/>
        <v/>
      </c>
      <c r="O913" s="135"/>
      <c r="P913" s="136"/>
      <c r="Q913" s="123" t="str">
        <f t="shared" si="385"/>
        <v/>
      </c>
      <c r="R913" s="45" t="str">
        <f t="shared" si="386"/>
        <v/>
      </c>
      <c r="S913" s="137"/>
      <c r="T913" s="79" t="str">
        <f t="shared" si="395"/>
        <v/>
      </c>
      <c r="U913" s="79" t="str">
        <f t="shared" si="387"/>
        <v/>
      </c>
      <c r="V913" s="73" t="str">
        <f t="shared" si="388"/>
        <v/>
      </c>
      <c r="W913" s="80" t="str">
        <f t="shared" si="389"/>
        <v/>
      </c>
      <c r="X913" s="73" t="str">
        <f t="shared" si="390"/>
        <v/>
      </c>
      <c r="Y913" s="80" t="str">
        <f t="shared" si="391"/>
        <v/>
      </c>
      <c r="Z913" s="74" t="str">
        <f t="shared" si="392"/>
        <v/>
      </c>
      <c r="AA913" s="75" t="str">
        <f t="shared" si="396"/>
        <v/>
      </c>
      <c r="AB913" s="103" t="str">
        <f t="shared" si="393"/>
        <v/>
      </c>
      <c r="AC913" s="104" t="str">
        <f t="shared" si="404"/>
        <v/>
      </c>
      <c r="AE913" s="139"/>
      <c r="AF913" s="110" t="str">
        <f t="shared" si="397"/>
        <v/>
      </c>
      <c r="AG913" s="111" t="str">
        <f t="shared" si="398"/>
        <v/>
      </c>
      <c r="AH913" s="111" t="str">
        <f t="shared" si="394"/>
        <v/>
      </c>
      <c r="AI913" s="111" t="str">
        <f t="shared" si="399"/>
        <v/>
      </c>
      <c r="AJ913" s="111" t="str">
        <f t="shared" si="400"/>
        <v/>
      </c>
      <c r="AK913" s="112" t="str">
        <f t="shared" si="401"/>
        <v/>
      </c>
      <c r="AL913" t="str">
        <f t="shared" si="402"/>
        <v/>
      </c>
      <c r="AM913" t="str">
        <f t="shared" si="403"/>
        <v/>
      </c>
    </row>
    <row r="914" spans="1:39" ht="15" customHeight="1" x14ac:dyDescent="0.25">
      <c r="A914" s="131"/>
      <c r="B914" s="133"/>
      <c r="C914" s="133"/>
      <c r="D914" s="42" t="str">
        <f t="shared" si="378"/>
        <v/>
      </c>
      <c r="E914" s="43"/>
      <c r="F914" s="135"/>
      <c r="G914" s="77" t="str">
        <f t="shared" si="379"/>
        <v/>
      </c>
      <c r="H914" s="32" t="str">
        <f t="shared" si="380"/>
        <v/>
      </c>
      <c r="I914" s="78" t="str">
        <f t="shared" si="381"/>
        <v/>
      </c>
      <c r="J914" s="70" t="str">
        <f t="shared" si="382"/>
        <v/>
      </c>
      <c r="K914" s="135"/>
      <c r="L914" s="72" t="str">
        <f t="shared" si="383"/>
        <v/>
      </c>
      <c r="M914" s="135"/>
      <c r="N914" s="72" t="str">
        <f t="shared" si="384"/>
        <v/>
      </c>
      <c r="O914" s="135"/>
      <c r="P914" s="136"/>
      <c r="Q914" s="123" t="str">
        <f t="shared" si="385"/>
        <v/>
      </c>
      <c r="R914" s="45" t="str">
        <f t="shared" si="386"/>
        <v/>
      </c>
      <c r="S914" s="137"/>
      <c r="T914" s="79" t="str">
        <f t="shared" si="395"/>
        <v/>
      </c>
      <c r="U914" s="79" t="str">
        <f t="shared" si="387"/>
        <v/>
      </c>
      <c r="V914" s="73" t="str">
        <f t="shared" si="388"/>
        <v/>
      </c>
      <c r="W914" s="80" t="str">
        <f t="shared" si="389"/>
        <v/>
      </c>
      <c r="X914" s="73" t="str">
        <f t="shared" si="390"/>
        <v/>
      </c>
      <c r="Y914" s="80" t="str">
        <f t="shared" si="391"/>
        <v/>
      </c>
      <c r="Z914" s="74" t="str">
        <f t="shared" si="392"/>
        <v/>
      </c>
      <c r="AA914" s="75" t="str">
        <f t="shared" si="396"/>
        <v/>
      </c>
      <c r="AB914" s="103" t="str">
        <f t="shared" si="393"/>
        <v/>
      </c>
      <c r="AC914" s="104" t="str">
        <f t="shared" si="404"/>
        <v/>
      </c>
      <c r="AE914" s="139"/>
      <c r="AF914" s="110" t="str">
        <f t="shared" si="397"/>
        <v/>
      </c>
      <c r="AG914" s="111" t="str">
        <f t="shared" si="398"/>
        <v/>
      </c>
      <c r="AH914" s="111" t="str">
        <f t="shared" si="394"/>
        <v/>
      </c>
      <c r="AI914" s="111" t="str">
        <f t="shared" si="399"/>
        <v/>
      </c>
      <c r="AJ914" s="111" t="str">
        <f t="shared" si="400"/>
        <v/>
      </c>
      <c r="AK914" s="112" t="str">
        <f t="shared" si="401"/>
        <v/>
      </c>
      <c r="AL914" t="str">
        <f t="shared" si="402"/>
        <v/>
      </c>
      <c r="AM914" t="str">
        <f t="shared" si="403"/>
        <v/>
      </c>
    </row>
    <row r="915" spans="1:39" ht="15" customHeight="1" x14ac:dyDescent="0.25">
      <c r="A915" s="131"/>
      <c r="B915" s="133"/>
      <c r="C915" s="133"/>
      <c r="D915" s="42" t="str">
        <f t="shared" si="378"/>
        <v/>
      </c>
      <c r="E915" s="43"/>
      <c r="F915" s="135"/>
      <c r="G915" s="77" t="str">
        <f t="shared" si="379"/>
        <v/>
      </c>
      <c r="H915" s="32" t="str">
        <f t="shared" si="380"/>
        <v/>
      </c>
      <c r="I915" s="78" t="str">
        <f t="shared" si="381"/>
        <v/>
      </c>
      <c r="J915" s="70" t="str">
        <f t="shared" si="382"/>
        <v/>
      </c>
      <c r="K915" s="135"/>
      <c r="L915" s="72" t="str">
        <f t="shared" si="383"/>
        <v/>
      </c>
      <c r="M915" s="135"/>
      <c r="N915" s="72" t="str">
        <f t="shared" si="384"/>
        <v/>
      </c>
      <c r="O915" s="135"/>
      <c r="P915" s="136"/>
      <c r="Q915" s="123" t="str">
        <f t="shared" si="385"/>
        <v/>
      </c>
      <c r="R915" s="45" t="str">
        <f t="shared" si="386"/>
        <v/>
      </c>
      <c r="S915" s="137"/>
      <c r="T915" s="79" t="str">
        <f t="shared" si="395"/>
        <v/>
      </c>
      <c r="U915" s="79" t="str">
        <f t="shared" si="387"/>
        <v/>
      </c>
      <c r="V915" s="73" t="str">
        <f t="shared" si="388"/>
        <v/>
      </c>
      <c r="W915" s="80" t="str">
        <f t="shared" si="389"/>
        <v/>
      </c>
      <c r="X915" s="73" t="str">
        <f t="shared" si="390"/>
        <v/>
      </c>
      <c r="Y915" s="80" t="str">
        <f t="shared" si="391"/>
        <v/>
      </c>
      <c r="Z915" s="74" t="str">
        <f t="shared" si="392"/>
        <v/>
      </c>
      <c r="AA915" s="75" t="str">
        <f t="shared" si="396"/>
        <v/>
      </c>
      <c r="AB915" s="103" t="str">
        <f t="shared" si="393"/>
        <v/>
      </c>
      <c r="AC915" s="104" t="str">
        <f t="shared" si="404"/>
        <v/>
      </c>
      <c r="AE915" s="139"/>
      <c r="AF915" s="110" t="str">
        <f t="shared" si="397"/>
        <v/>
      </c>
      <c r="AG915" s="111" t="str">
        <f t="shared" si="398"/>
        <v/>
      </c>
      <c r="AH915" s="111" t="str">
        <f t="shared" si="394"/>
        <v/>
      </c>
      <c r="AI915" s="111" t="str">
        <f t="shared" si="399"/>
        <v/>
      </c>
      <c r="AJ915" s="111" t="str">
        <f t="shared" si="400"/>
        <v/>
      </c>
      <c r="AK915" s="112" t="str">
        <f t="shared" si="401"/>
        <v/>
      </c>
      <c r="AL915" t="str">
        <f t="shared" si="402"/>
        <v/>
      </c>
      <c r="AM915" t="str">
        <f t="shared" si="403"/>
        <v/>
      </c>
    </row>
    <row r="916" spans="1:39" ht="15" customHeight="1" x14ac:dyDescent="0.25">
      <c r="A916" s="131"/>
      <c r="B916" s="133"/>
      <c r="C916" s="133"/>
      <c r="D916" s="42" t="str">
        <f t="shared" si="378"/>
        <v/>
      </c>
      <c r="E916" s="43"/>
      <c r="F916" s="135"/>
      <c r="G916" s="77" t="str">
        <f t="shared" si="379"/>
        <v/>
      </c>
      <c r="H916" s="32" t="str">
        <f t="shared" si="380"/>
        <v/>
      </c>
      <c r="I916" s="78" t="str">
        <f t="shared" si="381"/>
        <v/>
      </c>
      <c r="J916" s="70" t="str">
        <f t="shared" si="382"/>
        <v/>
      </c>
      <c r="K916" s="135"/>
      <c r="L916" s="72" t="str">
        <f t="shared" si="383"/>
        <v/>
      </c>
      <c r="M916" s="135"/>
      <c r="N916" s="72" t="str">
        <f t="shared" si="384"/>
        <v/>
      </c>
      <c r="O916" s="135"/>
      <c r="P916" s="136"/>
      <c r="Q916" s="123" t="str">
        <f t="shared" si="385"/>
        <v/>
      </c>
      <c r="R916" s="45" t="str">
        <f t="shared" si="386"/>
        <v/>
      </c>
      <c r="S916" s="137"/>
      <c r="T916" s="79" t="str">
        <f t="shared" si="395"/>
        <v/>
      </c>
      <c r="U916" s="79" t="str">
        <f t="shared" si="387"/>
        <v/>
      </c>
      <c r="V916" s="73" t="str">
        <f t="shared" si="388"/>
        <v/>
      </c>
      <c r="W916" s="80" t="str">
        <f t="shared" si="389"/>
        <v/>
      </c>
      <c r="X916" s="73" t="str">
        <f t="shared" si="390"/>
        <v/>
      </c>
      <c r="Y916" s="80" t="str">
        <f t="shared" si="391"/>
        <v/>
      </c>
      <c r="Z916" s="74" t="str">
        <f t="shared" si="392"/>
        <v/>
      </c>
      <c r="AA916" s="75" t="str">
        <f t="shared" si="396"/>
        <v/>
      </c>
      <c r="AB916" s="103" t="str">
        <f t="shared" si="393"/>
        <v/>
      </c>
      <c r="AC916" s="104" t="str">
        <f t="shared" si="404"/>
        <v/>
      </c>
      <c r="AE916" s="139"/>
      <c r="AF916" s="110" t="str">
        <f t="shared" si="397"/>
        <v/>
      </c>
      <c r="AG916" s="111" t="str">
        <f t="shared" si="398"/>
        <v/>
      </c>
      <c r="AH916" s="111" t="str">
        <f t="shared" si="394"/>
        <v/>
      </c>
      <c r="AI916" s="111" t="str">
        <f t="shared" si="399"/>
        <v/>
      </c>
      <c r="AJ916" s="111" t="str">
        <f t="shared" si="400"/>
        <v/>
      </c>
      <c r="AK916" s="112" t="str">
        <f t="shared" si="401"/>
        <v/>
      </c>
      <c r="AL916" t="str">
        <f t="shared" si="402"/>
        <v/>
      </c>
      <c r="AM916" t="str">
        <f t="shared" si="403"/>
        <v/>
      </c>
    </row>
    <row r="917" spans="1:39" ht="15" customHeight="1" x14ac:dyDescent="0.25">
      <c r="A917" s="131"/>
      <c r="B917" s="133"/>
      <c r="C917" s="133"/>
      <c r="D917" s="42" t="str">
        <f t="shared" si="378"/>
        <v/>
      </c>
      <c r="E917" s="43"/>
      <c r="F917" s="135"/>
      <c r="G917" s="77" t="str">
        <f t="shared" si="379"/>
        <v/>
      </c>
      <c r="H917" s="32" t="str">
        <f t="shared" si="380"/>
        <v/>
      </c>
      <c r="I917" s="78" t="str">
        <f t="shared" si="381"/>
        <v/>
      </c>
      <c r="J917" s="70" t="str">
        <f t="shared" si="382"/>
        <v/>
      </c>
      <c r="K917" s="135"/>
      <c r="L917" s="72" t="str">
        <f t="shared" si="383"/>
        <v/>
      </c>
      <c r="M917" s="135"/>
      <c r="N917" s="72" t="str">
        <f t="shared" si="384"/>
        <v/>
      </c>
      <c r="O917" s="135"/>
      <c r="P917" s="136"/>
      <c r="Q917" s="123" t="str">
        <f t="shared" si="385"/>
        <v/>
      </c>
      <c r="R917" s="45" t="str">
        <f t="shared" si="386"/>
        <v/>
      </c>
      <c r="S917" s="137"/>
      <c r="T917" s="79" t="str">
        <f t="shared" si="395"/>
        <v/>
      </c>
      <c r="U917" s="79" t="str">
        <f t="shared" si="387"/>
        <v/>
      </c>
      <c r="V917" s="73" t="str">
        <f t="shared" si="388"/>
        <v/>
      </c>
      <c r="W917" s="80" t="str">
        <f t="shared" si="389"/>
        <v/>
      </c>
      <c r="X917" s="73" t="str">
        <f t="shared" si="390"/>
        <v/>
      </c>
      <c r="Y917" s="80" t="str">
        <f t="shared" si="391"/>
        <v/>
      </c>
      <c r="Z917" s="74" t="str">
        <f t="shared" si="392"/>
        <v/>
      </c>
      <c r="AA917" s="75" t="str">
        <f t="shared" si="396"/>
        <v/>
      </c>
      <c r="AB917" s="103" t="str">
        <f t="shared" si="393"/>
        <v/>
      </c>
      <c r="AC917" s="104" t="str">
        <f t="shared" si="404"/>
        <v/>
      </c>
      <c r="AE917" s="139"/>
      <c r="AF917" s="110" t="str">
        <f t="shared" si="397"/>
        <v/>
      </c>
      <c r="AG917" s="111" t="str">
        <f t="shared" si="398"/>
        <v/>
      </c>
      <c r="AH917" s="111" t="str">
        <f t="shared" si="394"/>
        <v/>
      </c>
      <c r="AI917" s="111" t="str">
        <f t="shared" si="399"/>
        <v/>
      </c>
      <c r="AJ917" s="111" t="str">
        <f t="shared" si="400"/>
        <v/>
      </c>
      <c r="AK917" s="112" t="str">
        <f t="shared" si="401"/>
        <v/>
      </c>
      <c r="AL917" t="str">
        <f t="shared" si="402"/>
        <v/>
      </c>
      <c r="AM917" t="str">
        <f t="shared" si="403"/>
        <v/>
      </c>
    </row>
    <row r="918" spans="1:39" ht="15" customHeight="1" x14ac:dyDescent="0.25">
      <c r="A918" s="131"/>
      <c r="B918" s="133"/>
      <c r="C918" s="133"/>
      <c r="D918" s="42" t="str">
        <f t="shared" si="378"/>
        <v/>
      </c>
      <c r="E918" s="43"/>
      <c r="F918" s="135"/>
      <c r="G918" s="77" t="str">
        <f t="shared" si="379"/>
        <v/>
      </c>
      <c r="H918" s="32" t="str">
        <f t="shared" si="380"/>
        <v/>
      </c>
      <c r="I918" s="78" t="str">
        <f t="shared" si="381"/>
        <v/>
      </c>
      <c r="J918" s="70" t="str">
        <f t="shared" si="382"/>
        <v/>
      </c>
      <c r="K918" s="135"/>
      <c r="L918" s="72" t="str">
        <f t="shared" si="383"/>
        <v/>
      </c>
      <c r="M918" s="135"/>
      <c r="N918" s="72" t="str">
        <f t="shared" si="384"/>
        <v/>
      </c>
      <c r="O918" s="135"/>
      <c r="P918" s="136"/>
      <c r="Q918" s="123" t="str">
        <f t="shared" si="385"/>
        <v/>
      </c>
      <c r="R918" s="45" t="str">
        <f t="shared" si="386"/>
        <v/>
      </c>
      <c r="S918" s="137"/>
      <c r="T918" s="79" t="str">
        <f t="shared" si="395"/>
        <v/>
      </c>
      <c r="U918" s="79" t="str">
        <f t="shared" si="387"/>
        <v/>
      </c>
      <c r="V918" s="73" t="str">
        <f t="shared" si="388"/>
        <v/>
      </c>
      <c r="W918" s="80" t="str">
        <f t="shared" si="389"/>
        <v/>
      </c>
      <c r="X918" s="73" t="str">
        <f t="shared" si="390"/>
        <v/>
      </c>
      <c r="Y918" s="80" t="str">
        <f t="shared" si="391"/>
        <v/>
      </c>
      <c r="Z918" s="74" t="str">
        <f t="shared" si="392"/>
        <v/>
      </c>
      <c r="AA918" s="75" t="str">
        <f t="shared" si="396"/>
        <v/>
      </c>
      <c r="AB918" s="103" t="str">
        <f t="shared" si="393"/>
        <v/>
      </c>
      <c r="AC918" s="104" t="str">
        <f t="shared" si="404"/>
        <v/>
      </c>
      <c r="AE918" s="139"/>
      <c r="AF918" s="110" t="str">
        <f t="shared" si="397"/>
        <v/>
      </c>
      <c r="AG918" s="111" t="str">
        <f t="shared" si="398"/>
        <v/>
      </c>
      <c r="AH918" s="111" t="str">
        <f t="shared" si="394"/>
        <v/>
      </c>
      <c r="AI918" s="111" t="str">
        <f t="shared" si="399"/>
        <v/>
      </c>
      <c r="AJ918" s="111" t="str">
        <f t="shared" si="400"/>
        <v/>
      </c>
      <c r="AK918" s="112" t="str">
        <f t="shared" si="401"/>
        <v/>
      </c>
      <c r="AL918" t="str">
        <f t="shared" si="402"/>
        <v/>
      </c>
      <c r="AM918" t="str">
        <f t="shared" si="403"/>
        <v/>
      </c>
    </row>
    <row r="919" spans="1:39" ht="15" customHeight="1" x14ac:dyDescent="0.25">
      <c r="A919" s="131"/>
      <c r="B919" s="133"/>
      <c r="C919" s="133"/>
      <c r="D919" s="42" t="str">
        <f t="shared" si="378"/>
        <v/>
      </c>
      <c r="E919" s="43"/>
      <c r="F919" s="135"/>
      <c r="G919" s="77" t="str">
        <f t="shared" si="379"/>
        <v/>
      </c>
      <c r="H919" s="32" t="str">
        <f t="shared" si="380"/>
        <v/>
      </c>
      <c r="I919" s="78" t="str">
        <f t="shared" si="381"/>
        <v/>
      </c>
      <c r="J919" s="70" t="str">
        <f t="shared" si="382"/>
        <v/>
      </c>
      <c r="K919" s="135"/>
      <c r="L919" s="72" t="str">
        <f t="shared" si="383"/>
        <v/>
      </c>
      <c r="M919" s="135"/>
      <c r="N919" s="72" t="str">
        <f t="shared" si="384"/>
        <v/>
      </c>
      <c r="O919" s="135"/>
      <c r="P919" s="136"/>
      <c r="Q919" s="123" t="str">
        <f t="shared" si="385"/>
        <v/>
      </c>
      <c r="R919" s="45" t="str">
        <f t="shared" si="386"/>
        <v/>
      </c>
      <c r="S919" s="137"/>
      <c r="T919" s="79" t="str">
        <f t="shared" si="395"/>
        <v/>
      </c>
      <c r="U919" s="79" t="str">
        <f t="shared" si="387"/>
        <v/>
      </c>
      <c r="V919" s="73" t="str">
        <f t="shared" si="388"/>
        <v/>
      </c>
      <c r="W919" s="80" t="str">
        <f t="shared" si="389"/>
        <v/>
      </c>
      <c r="X919" s="73" t="str">
        <f t="shared" si="390"/>
        <v/>
      </c>
      <c r="Y919" s="80" t="str">
        <f t="shared" si="391"/>
        <v/>
      </c>
      <c r="Z919" s="74" t="str">
        <f t="shared" si="392"/>
        <v/>
      </c>
      <c r="AA919" s="75" t="str">
        <f t="shared" si="396"/>
        <v/>
      </c>
      <c r="AB919" s="103" t="str">
        <f t="shared" si="393"/>
        <v/>
      </c>
      <c r="AC919" s="104" t="str">
        <f t="shared" si="404"/>
        <v/>
      </c>
      <c r="AE919" s="139"/>
      <c r="AF919" s="110" t="str">
        <f t="shared" si="397"/>
        <v/>
      </c>
      <c r="AG919" s="111" t="str">
        <f t="shared" si="398"/>
        <v/>
      </c>
      <c r="AH919" s="111" t="str">
        <f t="shared" si="394"/>
        <v/>
      </c>
      <c r="AI919" s="111" t="str">
        <f t="shared" si="399"/>
        <v/>
      </c>
      <c r="AJ919" s="111" t="str">
        <f t="shared" si="400"/>
        <v/>
      </c>
      <c r="AK919" s="112" t="str">
        <f t="shared" si="401"/>
        <v/>
      </c>
      <c r="AL919" t="str">
        <f t="shared" si="402"/>
        <v/>
      </c>
      <c r="AM919" t="str">
        <f t="shared" si="403"/>
        <v/>
      </c>
    </row>
    <row r="920" spans="1:39" ht="15" customHeight="1" x14ac:dyDescent="0.25">
      <c r="A920" s="131"/>
      <c r="B920" s="133"/>
      <c r="C920" s="133"/>
      <c r="D920" s="42" t="str">
        <f t="shared" si="378"/>
        <v/>
      </c>
      <c r="E920" s="43"/>
      <c r="F920" s="135"/>
      <c r="G920" s="77" t="str">
        <f t="shared" si="379"/>
        <v/>
      </c>
      <c r="H920" s="32" t="str">
        <f t="shared" si="380"/>
        <v/>
      </c>
      <c r="I920" s="78" t="str">
        <f t="shared" si="381"/>
        <v/>
      </c>
      <c r="J920" s="70" t="str">
        <f t="shared" si="382"/>
        <v/>
      </c>
      <c r="K920" s="135"/>
      <c r="L920" s="72" t="str">
        <f t="shared" si="383"/>
        <v/>
      </c>
      <c r="M920" s="135"/>
      <c r="N920" s="72" t="str">
        <f t="shared" si="384"/>
        <v/>
      </c>
      <c r="O920" s="135"/>
      <c r="P920" s="136"/>
      <c r="Q920" s="123" t="str">
        <f t="shared" si="385"/>
        <v/>
      </c>
      <c r="R920" s="45" t="str">
        <f t="shared" si="386"/>
        <v/>
      </c>
      <c r="S920" s="137"/>
      <c r="T920" s="79" t="str">
        <f t="shared" si="395"/>
        <v/>
      </c>
      <c r="U920" s="79" t="str">
        <f t="shared" si="387"/>
        <v/>
      </c>
      <c r="V920" s="73" t="str">
        <f t="shared" si="388"/>
        <v/>
      </c>
      <c r="W920" s="80" t="str">
        <f t="shared" si="389"/>
        <v/>
      </c>
      <c r="X920" s="73" t="str">
        <f t="shared" si="390"/>
        <v/>
      </c>
      <c r="Y920" s="80" t="str">
        <f t="shared" si="391"/>
        <v/>
      </c>
      <c r="Z920" s="74" t="str">
        <f t="shared" si="392"/>
        <v/>
      </c>
      <c r="AA920" s="75" t="str">
        <f t="shared" si="396"/>
        <v/>
      </c>
      <c r="AB920" s="103" t="str">
        <f t="shared" si="393"/>
        <v/>
      </c>
      <c r="AC920" s="104" t="str">
        <f t="shared" si="404"/>
        <v/>
      </c>
      <c r="AE920" s="139"/>
      <c r="AF920" s="110" t="str">
        <f t="shared" si="397"/>
        <v/>
      </c>
      <c r="AG920" s="111" t="str">
        <f t="shared" si="398"/>
        <v/>
      </c>
      <c r="AH920" s="111" t="str">
        <f t="shared" si="394"/>
        <v/>
      </c>
      <c r="AI920" s="111" t="str">
        <f t="shared" si="399"/>
        <v/>
      </c>
      <c r="AJ920" s="111" t="str">
        <f t="shared" si="400"/>
        <v/>
      </c>
      <c r="AK920" s="112" t="str">
        <f t="shared" si="401"/>
        <v/>
      </c>
      <c r="AL920" t="str">
        <f t="shared" si="402"/>
        <v/>
      </c>
      <c r="AM920" t="str">
        <f t="shared" si="403"/>
        <v/>
      </c>
    </row>
    <row r="921" spans="1:39" ht="15" customHeight="1" x14ac:dyDescent="0.25">
      <c r="A921" s="131"/>
      <c r="B921" s="133"/>
      <c r="C921" s="133"/>
      <c r="D921" s="42" t="str">
        <f t="shared" si="378"/>
        <v/>
      </c>
      <c r="E921" s="43"/>
      <c r="F921" s="135"/>
      <c r="G921" s="77" t="str">
        <f t="shared" si="379"/>
        <v/>
      </c>
      <c r="H921" s="32" t="str">
        <f t="shared" si="380"/>
        <v/>
      </c>
      <c r="I921" s="78" t="str">
        <f t="shared" si="381"/>
        <v/>
      </c>
      <c r="J921" s="70" t="str">
        <f t="shared" si="382"/>
        <v/>
      </c>
      <c r="K921" s="135"/>
      <c r="L921" s="72" t="str">
        <f t="shared" si="383"/>
        <v/>
      </c>
      <c r="M921" s="135"/>
      <c r="N921" s="72" t="str">
        <f t="shared" si="384"/>
        <v/>
      </c>
      <c r="O921" s="135"/>
      <c r="P921" s="136"/>
      <c r="Q921" s="123" t="str">
        <f t="shared" si="385"/>
        <v/>
      </c>
      <c r="R921" s="45" t="str">
        <f t="shared" si="386"/>
        <v/>
      </c>
      <c r="S921" s="137"/>
      <c r="T921" s="79" t="str">
        <f t="shared" si="395"/>
        <v/>
      </c>
      <c r="U921" s="79" t="str">
        <f t="shared" si="387"/>
        <v/>
      </c>
      <c r="V921" s="73" t="str">
        <f t="shared" si="388"/>
        <v/>
      </c>
      <c r="W921" s="80" t="str">
        <f t="shared" si="389"/>
        <v/>
      </c>
      <c r="X921" s="73" t="str">
        <f t="shared" si="390"/>
        <v/>
      </c>
      <c r="Y921" s="80" t="str">
        <f t="shared" si="391"/>
        <v/>
      </c>
      <c r="Z921" s="74" t="str">
        <f t="shared" si="392"/>
        <v/>
      </c>
      <c r="AA921" s="75" t="str">
        <f t="shared" si="396"/>
        <v/>
      </c>
      <c r="AB921" s="103" t="str">
        <f t="shared" si="393"/>
        <v/>
      </c>
      <c r="AC921" s="104" t="str">
        <f t="shared" si="404"/>
        <v/>
      </c>
      <c r="AE921" s="139"/>
      <c r="AF921" s="110" t="str">
        <f t="shared" si="397"/>
        <v/>
      </c>
      <c r="AG921" s="111" t="str">
        <f t="shared" si="398"/>
        <v/>
      </c>
      <c r="AH921" s="111" t="str">
        <f t="shared" si="394"/>
        <v/>
      </c>
      <c r="AI921" s="111" t="str">
        <f t="shared" si="399"/>
        <v/>
      </c>
      <c r="AJ921" s="111" t="str">
        <f t="shared" si="400"/>
        <v/>
      </c>
      <c r="AK921" s="112" t="str">
        <f t="shared" si="401"/>
        <v/>
      </c>
      <c r="AL921" t="str">
        <f t="shared" si="402"/>
        <v/>
      </c>
      <c r="AM921" t="str">
        <f t="shared" si="403"/>
        <v/>
      </c>
    </row>
    <row r="922" spans="1:39" ht="15" customHeight="1" x14ac:dyDescent="0.25">
      <c r="A922" s="131"/>
      <c r="B922" s="133"/>
      <c r="C922" s="133"/>
      <c r="D922" s="42" t="str">
        <f t="shared" si="378"/>
        <v/>
      </c>
      <c r="E922" s="43"/>
      <c r="F922" s="135"/>
      <c r="G922" s="77" t="str">
        <f t="shared" si="379"/>
        <v/>
      </c>
      <c r="H922" s="32" t="str">
        <f t="shared" si="380"/>
        <v/>
      </c>
      <c r="I922" s="78" t="str">
        <f t="shared" si="381"/>
        <v/>
      </c>
      <c r="J922" s="70" t="str">
        <f t="shared" si="382"/>
        <v/>
      </c>
      <c r="K922" s="135"/>
      <c r="L922" s="72" t="str">
        <f t="shared" si="383"/>
        <v/>
      </c>
      <c r="M922" s="135"/>
      <c r="N922" s="72" t="str">
        <f t="shared" si="384"/>
        <v/>
      </c>
      <c r="O922" s="135"/>
      <c r="P922" s="136"/>
      <c r="Q922" s="123" t="str">
        <f t="shared" si="385"/>
        <v/>
      </c>
      <c r="R922" s="45" t="str">
        <f t="shared" si="386"/>
        <v/>
      </c>
      <c r="S922" s="137"/>
      <c r="T922" s="79" t="str">
        <f t="shared" si="395"/>
        <v/>
      </c>
      <c r="U922" s="79" t="str">
        <f t="shared" si="387"/>
        <v/>
      </c>
      <c r="V922" s="73" t="str">
        <f t="shared" si="388"/>
        <v/>
      </c>
      <c r="W922" s="80" t="str">
        <f t="shared" si="389"/>
        <v/>
      </c>
      <c r="X922" s="73" t="str">
        <f t="shared" si="390"/>
        <v/>
      </c>
      <c r="Y922" s="80" t="str">
        <f t="shared" si="391"/>
        <v/>
      </c>
      <c r="Z922" s="74" t="str">
        <f t="shared" si="392"/>
        <v/>
      </c>
      <c r="AA922" s="75" t="str">
        <f t="shared" si="396"/>
        <v/>
      </c>
      <c r="AB922" s="103" t="str">
        <f t="shared" si="393"/>
        <v/>
      </c>
      <c r="AC922" s="104" t="str">
        <f t="shared" si="404"/>
        <v/>
      </c>
      <c r="AE922" s="139"/>
      <c r="AF922" s="110" t="str">
        <f t="shared" si="397"/>
        <v/>
      </c>
      <c r="AG922" s="111" t="str">
        <f t="shared" si="398"/>
        <v/>
      </c>
      <c r="AH922" s="111" t="str">
        <f t="shared" si="394"/>
        <v/>
      </c>
      <c r="AI922" s="111" t="str">
        <f t="shared" si="399"/>
        <v/>
      </c>
      <c r="AJ922" s="111" t="str">
        <f t="shared" si="400"/>
        <v/>
      </c>
      <c r="AK922" s="112" t="str">
        <f t="shared" si="401"/>
        <v/>
      </c>
      <c r="AL922" t="str">
        <f t="shared" si="402"/>
        <v/>
      </c>
      <c r="AM922" t="str">
        <f t="shared" si="403"/>
        <v/>
      </c>
    </row>
    <row r="923" spans="1:39" ht="15" customHeight="1" x14ac:dyDescent="0.25">
      <c r="A923" s="131"/>
      <c r="B923" s="133"/>
      <c r="C923" s="133"/>
      <c r="D923" s="42" t="str">
        <f t="shared" si="378"/>
        <v/>
      </c>
      <c r="E923" s="43"/>
      <c r="F923" s="135"/>
      <c r="G923" s="77" t="str">
        <f t="shared" si="379"/>
        <v/>
      </c>
      <c r="H923" s="32" t="str">
        <f t="shared" si="380"/>
        <v/>
      </c>
      <c r="I923" s="78" t="str">
        <f t="shared" si="381"/>
        <v/>
      </c>
      <c r="J923" s="70" t="str">
        <f t="shared" si="382"/>
        <v/>
      </c>
      <c r="K923" s="135"/>
      <c r="L923" s="72" t="str">
        <f t="shared" si="383"/>
        <v/>
      </c>
      <c r="M923" s="135"/>
      <c r="N923" s="72" t="str">
        <f t="shared" si="384"/>
        <v/>
      </c>
      <c r="O923" s="135"/>
      <c r="P923" s="136"/>
      <c r="Q923" s="123" t="str">
        <f t="shared" si="385"/>
        <v/>
      </c>
      <c r="R923" s="45" t="str">
        <f t="shared" si="386"/>
        <v/>
      </c>
      <c r="S923" s="137"/>
      <c r="T923" s="79" t="str">
        <f t="shared" si="395"/>
        <v/>
      </c>
      <c r="U923" s="79" t="str">
        <f t="shared" si="387"/>
        <v/>
      </c>
      <c r="V923" s="73" t="str">
        <f t="shared" si="388"/>
        <v/>
      </c>
      <c r="W923" s="80" t="str">
        <f t="shared" si="389"/>
        <v/>
      </c>
      <c r="X923" s="73" t="str">
        <f t="shared" si="390"/>
        <v/>
      </c>
      <c r="Y923" s="80" t="str">
        <f t="shared" si="391"/>
        <v/>
      </c>
      <c r="Z923" s="74" t="str">
        <f t="shared" si="392"/>
        <v/>
      </c>
      <c r="AA923" s="75" t="str">
        <f t="shared" si="396"/>
        <v/>
      </c>
      <c r="AB923" s="103" t="str">
        <f t="shared" si="393"/>
        <v/>
      </c>
      <c r="AC923" s="104" t="str">
        <f t="shared" si="404"/>
        <v/>
      </c>
      <c r="AE923" s="139"/>
      <c r="AF923" s="110" t="str">
        <f t="shared" si="397"/>
        <v/>
      </c>
      <c r="AG923" s="111" t="str">
        <f t="shared" si="398"/>
        <v/>
      </c>
      <c r="AH923" s="111" t="str">
        <f t="shared" si="394"/>
        <v/>
      </c>
      <c r="AI923" s="111" t="str">
        <f t="shared" si="399"/>
        <v/>
      </c>
      <c r="AJ923" s="111" t="str">
        <f t="shared" si="400"/>
        <v/>
      </c>
      <c r="AK923" s="112" t="str">
        <f t="shared" si="401"/>
        <v/>
      </c>
      <c r="AL923" t="str">
        <f t="shared" si="402"/>
        <v/>
      </c>
      <c r="AM923" t="str">
        <f t="shared" si="403"/>
        <v/>
      </c>
    </row>
    <row r="924" spans="1:39" ht="15" customHeight="1" x14ac:dyDescent="0.25">
      <c r="A924" s="131"/>
      <c r="B924" s="133"/>
      <c r="C924" s="133"/>
      <c r="D924" s="42" t="str">
        <f t="shared" si="378"/>
        <v/>
      </c>
      <c r="E924" s="43"/>
      <c r="F924" s="135"/>
      <c r="G924" s="77" t="str">
        <f t="shared" si="379"/>
        <v/>
      </c>
      <c r="H924" s="32" t="str">
        <f t="shared" si="380"/>
        <v/>
      </c>
      <c r="I924" s="78" t="str">
        <f t="shared" si="381"/>
        <v/>
      </c>
      <c r="J924" s="70" t="str">
        <f t="shared" si="382"/>
        <v/>
      </c>
      <c r="K924" s="135"/>
      <c r="L924" s="72" t="str">
        <f t="shared" si="383"/>
        <v/>
      </c>
      <c r="M924" s="135"/>
      <c r="N924" s="72" t="str">
        <f t="shared" si="384"/>
        <v/>
      </c>
      <c r="O924" s="135"/>
      <c r="P924" s="136"/>
      <c r="Q924" s="123" t="str">
        <f t="shared" si="385"/>
        <v/>
      </c>
      <c r="R924" s="45" t="str">
        <f t="shared" si="386"/>
        <v/>
      </c>
      <c r="S924" s="137"/>
      <c r="T924" s="79" t="str">
        <f t="shared" si="395"/>
        <v/>
      </c>
      <c r="U924" s="79" t="str">
        <f t="shared" si="387"/>
        <v/>
      </c>
      <c r="V924" s="73" t="str">
        <f t="shared" si="388"/>
        <v/>
      </c>
      <c r="W924" s="80" t="str">
        <f t="shared" si="389"/>
        <v/>
      </c>
      <c r="X924" s="73" t="str">
        <f t="shared" si="390"/>
        <v/>
      </c>
      <c r="Y924" s="80" t="str">
        <f t="shared" si="391"/>
        <v/>
      </c>
      <c r="Z924" s="74" t="str">
        <f t="shared" si="392"/>
        <v/>
      </c>
      <c r="AA924" s="75" t="str">
        <f t="shared" si="396"/>
        <v/>
      </c>
      <c r="AB924" s="103" t="str">
        <f t="shared" si="393"/>
        <v/>
      </c>
      <c r="AC924" s="104" t="str">
        <f t="shared" si="404"/>
        <v/>
      </c>
      <c r="AE924" s="139"/>
      <c r="AF924" s="110" t="str">
        <f t="shared" si="397"/>
        <v/>
      </c>
      <c r="AG924" s="111" t="str">
        <f t="shared" si="398"/>
        <v/>
      </c>
      <c r="AH924" s="111" t="str">
        <f t="shared" si="394"/>
        <v/>
      </c>
      <c r="AI924" s="111" t="str">
        <f t="shared" si="399"/>
        <v/>
      </c>
      <c r="AJ924" s="111" t="str">
        <f t="shared" si="400"/>
        <v/>
      </c>
      <c r="AK924" s="112" t="str">
        <f t="shared" si="401"/>
        <v/>
      </c>
      <c r="AL924" t="str">
        <f t="shared" si="402"/>
        <v/>
      </c>
      <c r="AM924" t="str">
        <f t="shared" si="403"/>
        <v/>
      </c>
    </row>
    <row r="925" spans="1:39" ht="15" customHeight="1" x14ac:dyDescent="0.25">
      <c r="A925" s="131"/>
      <c r="B925" s="133"/>
      <c r="C925" s="133"/>
      <c r="D925" s="42" t="str">
        <f t="shared" si="378"/>
        <v/>
      </c>
      <c r="E925" s="43"/>
      <c r="F925" s="135"/>
      <c r="G925" s="77" t="str">
        <f t="shared" si="379"/>
        <v/>
      </c>
      <c r="H925" s="32" t="str">
        <f t="shared" si="380"/>
        <v/>
      </c>
      <c r="I925" s="78" t="str">
        <f t="shared" si="381"/>
        <v/>
      </c>
      <c r="J925" s="70" t="str">
        <f t="shared" si="382"/>
        <v/>
      </c>
      <c r="K925" s="135"/>
      <c r="L925" s="72" t="str">
        <f t="shared" si="383"/>
        <v/>
      </c>
      <c r="M925" s="135"/>
      <c r="N925" s="72" t="str">
        <f t="shared" si="384"/>
        <v/>
      </c>
      <c r="O925" s="135"/>
      <c r="P925" s="136"/>
      <c r="Q925" s="123" t="str">
        <f t="shared" si="385"/>
        <v/>
      </c>
      <c r="R925" s="45" t="str">
        <f t="shared" si="386"/>
        <v/>
      </c>
      <c r="S925" s="137"/>
      <c r="T925" s="79" t="str">
        <f t="shared" si="395"/>
        <v/>
      </c>
      <c r="U925" s="79" t="str">
        <f t="shared" si="387"/>
        <v/>
      </c>
      <c r="V925" s="73" t="str">
        <f t="shared" si="388"/>
        <v/>
      </c>
      <c r="W925" s="80" t="str">
        <f t="shared" si="389"/>
        <v/>
      </c>
      <c r="X925" s="73" t="str">
        <f t="shared" si="390"/>
        <v/>
      </c>
      <c r="Y925" s="80" t="str">
        <f t="shared" si="391"/>
        <v/>
      </c>
      <c r="Z925" s="74" t="str">
        <f t="shared" si="392"/>
        <v/>
      </c>
      <c r="AA925" s="75" t="str">
        <f t="shared" si="396"/>
        <v/>
      </c>
      <c r="AB925" s="103" t="str">
        <f t="shared" si="393"/>
        <v/>
      </c>
      <c r="AC925" s="104" t="str">
        <f t="shared" si="404"/>
        <v/>
      </c>
      <c r="AE925" s="139"/>
      <c r="AF925" s="110" t="str">
        <f t="shared" si="397"/>
        <v/>
      </c>
      <c r="AG925" s="111" t="str">
        <f t="shared" si="398"/>
        <v/>
      </c>
      <c r="AH925" s="111" t="str">
        <f t="shared" si="394"/>
        <v/>
      </c>
      <c r="AI925" s="111" t="str">
        <f t="shared" si="399"/>
        <v/>
      </c>
      <c r="AJ925" s="111" t="str">
        <f t="shared" si="400"/>
        <v/>
      </c>
      <c r="AK925" s="112" t="str">
        <f t="shared" si="401"/>
        <v/>
      </c>
      <c r="AL925" t="str">
        <f t="shared" si="402"/>
        <v/>
      </c>
      <c r="AM925" t="str">
        <f t="shared" si="403"/>
        <v/>
      </c>
    </row>
    <row r="926" spans="1:39" ht="15" customHeight="1" x14ac:dyDescent="0.25">
      <c r="A926" s="131"/>
      <c r="B926" s="133"/>
      <c r="C926" s="133"/>
      <c r="D926" s="42" t="str">
        <f t="shared" si="378"/>
        <v/>
      </c>
      <c r="E926" s="43"/>
      <c r="F926" s="135"/>
      <c r="G926" s="77" t="str">
        <f t="shared" si="379"/>
        <v/>
      </c>
      <c r="H926" s="32" t="str">
        <f t="shared" si="380"/>
        <v/>
      </c>
      <c r="I926" s="78" t="str">
        <f t="shared" si="381"/>
        <v/>
      </c>
      <c r="J926" s="70" t="str">
        <f t="shared" si="382"/>
        <v/>
      </c>
      <c r="K926" s="135"/>
      <c r="L926" s="72" t="str">
        <f t="shared" si="383"/>
        <v/>
      </c>
      <c r="M926" s="135"/>
      <c r="N926" s="72" t="str">
        <f t="shared" si="384"/>
        <v/>
      </c>
      <c r="O926" s="135"/>
      <c r="P926" s="136"/>
      <c r="Q926" s="123" t="str">
        <f t="shared" si="385"/>
        <v/>
      </c>
      <c r="R926" s="45" t="str">
        <f t="shared" si="386"/>
        <v/>
      </c>
      <c r="S926" s="137"/>
      <c r="T926" s="79" t="str">
        <f t="shared" si="395"/>
        <v/>
      </c>
      <c r="U926" s="79" t="str">
        <f t="shared" si="387"/>
        <v/>
      </c>
      <c r="V926" s="73" t="str">
        <f t="shared" si="388"/>
        <v/>
      </c>
      <c r="W926" s="80" t="str">
        <f t="shared" si="389"/>
        <v/>
      </c>
      <c r="X926" s="73" t="str">
        <f t="shared" si="390"/>
        <v/>
      </c>
      <c r="Y926" s="80" t="str">
        <f t="shared" si="391"/>
        <v/>
      </c>
      <c r="Z926" s="74" t="str">
        <f t="shared" si="392"/>
        <v/>
      </c>
      <c r="AA926" s="75" t="str">
        <f t="shared" si="396"/>
        <v/>
      </c>
      <c r="AB926" s="103" t="str">
        <f t="shared" si="393"/>
        <v/>
      </c>
      <c r="AC926" s="104" t="str">
        <f t="shared" si="404"/>
        <v/>
      </c>
      <c r="AE926" s="139"/>
      <c r="AF926" s="110" t="str">
        <f t="shared" si="397"/>
        <v/>
      </c>
      <c r="AG926" s="111" t="str">
        <f t="shared" si="398"/>
        <v/>
      </c>
      <c r="AH926" s="111" t="str">
        <f t="shared" si="394"/>
        <v/>
      </c>
      <c r="AI926" s="111" t="str">
        <f t="shared" si="399"/>
        <v/>
      </c>
      <c r="AJ926" s="111" t="str">
        <f t="shared" si="400"/>
        <v/>
      </c>
      <c r="AK926" s="112" t="str">
        <f t="shared" si="401"/>
        <v/>
      </c>
      <c r="AL926" t="str">
        <f t="shared" si="402"/>
        <v/>
      </c>
      <c r="AM926" t="str">
        <f t="shared" si="403"/>
        <v/>
      </c>
    </row>
    <row r="927" spans="1:39" ht="15" customHeight="1" x14ac:dyDescent="0.25">
      <c r="A927" s="131"/>
      <c r="B927" s="133"/>
      <c r="C927" s="133"/>
      <c r="D927" s="42" t="str">
        <f t="shared" si="378"/>
        <v/>
      </c>
      <c r="E927" s="43"/>
      <c r="F927" s="135"/>
      <c r="G927" s="77" t="str">
        <f t="shared" si="379"/>
        <v/>
      </c>
      <c r="H927" s="32" t="str">
        <f t="shared" si="380"/>
        <v/>
      </c>
      <c r="I927" s="78" t="str">
        <f t="shared" si="381"/>
        <v/>
      </c>
      <c r="J927" s="70" t="str">
        <f t="shared" si="382"/>
        <v/>
      </c>
      <c r="K927" s="135"/>
      <c r="L927" s="72" t="str">
        <f t="shared" si="383"/>
        <v/>
      </c>
      <c r="M927" s="135"/>
      <c r="N927" s="72" t="str">
        <f t="shared" si="384"/>
        <v/>
      </c>
      <c r="O927" s="135"/>
      <c r="P927" s="136"/>
      <c r="Q927" s="123" t="str">
        <f t="shared" si="385"/>
        <v/>
      </c>
      <c r="R927" s="45" t="str">
        <f t="shared" si="386"/>
        <v/>
      </c>
      <c r="S927" s="137"/>
      <c r="T927" s="79" t="str">
        <f t="shared" si="395"/>
        <v/>
      </c>
      <c r="U927" s="79" t="str">
        <f t="shared" si="387"/>
        <v/>
      </c>
      <c r="V927" s="73" t="str">
        <f t="shared" si="388"/>
        <v/>
      </c>
      <c r="W927" s="80" t="str">
        <f t="shared" si="389"/>
        <v/>
      </c>
      <c r="X927" s="73" t="str">
        <f t="shared" si="390"/>
        <v/>
      </c>
      <c r="Y927" s="80" t="str">
        <f t="shared" si="391"/>
        <v/>
      </c>
      <c r="Z927" s="74" t="str">
        <f t="shared" si="392"/>
        <v/>
      </c>
      <c r="AA927" s="75" t="str">
        <f t="shared" si="396"/>
        <v/>
      </c>
      <c r="AB927" s="103" t="str">
        <f t="shared" si="393"/>
        <v/>
      </c>
      <c r="AC927" s="104" t="str">
        <f t="shared" si="404"/>
        <v/>
      </c>
      <c r="AE927" s="139"/>
      <c r="AF927" s="110" t="str">
        <f t="shared" si="397"/>
        <v/>
      </c>
      <c r="AG927" s="111" t="str">
        <f t="shared" si="398"/>
        <v/>
      </c>
      <c r="AH927" s="111" t="str">
        <f t="shared" si="394"/>
        <v/>
      </c>
      <c r="AI927" s="111" t="str">
        <f t="shared" si="399"/>
        <v/>
      </c>
      <c r="AJ927" s="111" t="str">
        <f t="shared" si="400"/>
        <v/>
      </c>
      <c r="AK927" s="112" t="str">
        <f t="shared" si="401"/>
        <v/>
      </c>
      <c r="AL927" t="str">
        <f t="shared" si="402"/>
        <v/>
      </c>
      <c r="AM927" t="str">
        <f t="shared" si="403"/>
        <v/>
      </c>
    </row>
    <row r="928" spans="1:39" ht="15" customHeight="1" x14ac:dyDescent="0.25">
      <c r="A928" s="131"/>
      <c r="B928" s="133"/>
      <c r="C928" s="133"/>
      <c r="D928" s="42" t="str">
        <f t="shared" si="378"/>
        <v/>
      </c>
      <c r="E928" s="43"/>
      <c r="F928" s="135"/>
      <c r="G928" s="77" t="str">
        <f t="shared" si="379"/>
        <v/>
      </c>
      <c r="H928" s="32" t="str">
        <f t="shared" si="380"/>
        <v/>
      </c>
      <c r="I928" s="78" t="str">
        <f t="shared" si="381"/>
        <v/>
      </c>
      <c r="J928" s="70" t="str">
        <f t="shared" si="382"/>
        <v/>
      </c>
      <c r="K928" s="135"/>
      <c r="L928" s="72" t="str">
        <f t="shared" si="383"/>
        <v/>
      </c>
      <c r="M928" s="135"/>
      <c r="N928" s="72" t="str">
        <f t="shared" si="384"/>
        <v/>
      </c>
      <c r="O928" s="135"/>
      <c r="P928" s="136"/>
      <c r="Q928" s="123" t="str">
        <f t="shared" si="385"/>
        <v/>
      </c>
      <c r="R928" s="45" t="str">
        <f t="shared" si="386"/>
        <v/>
      </c>
      <c r="S928" s="137"/>
      <c r="T928" s="79" t="str">
        <f t="shared" si="395"/>
        <v/>
      </c>
      <c r="U928" s="79" t="str">
        <f t="shared" si="387"/>
        <v/>
      </c>
      <c r="V928" s="73" t="str">
        <f t="shared" si="388"/>
        <v/>
      </c>
      <c r="W928" s="80" t="str">
        <f t="shared" si="389"/>
        <v/>
      </c>
      <c r="X928" s="73" t="str">
        <f t="shared" si="390"/>
        <v/>
      </c>
      <c r="Y928" s="80" t="str">
        <f t="shared" si="391"/>
        <v/>
      </c>
      <c r="Z928" s="74" t="str">
        <f t="shared" si="392"/>
        <v/>
      </c>
      <c r="AA928" s="75" t="str">
        <f t="shared" si="396"/>
        <v/>
      </c>
      <c r="AB928" s="103" t="str">
        <f t="shared" si="393"/>
        <v/>
      </c>
      <c r="AC928" s="104" t="str">
        <f t="shared" si="404"/>
        <v/>
      </c>
      <c r="AE928" s="139"/>
      <c r="AF928" s="110" t="str">
        <f t="shared" si="397"/>
        <v/>
      </c>
      <c r="AG928" s="111" t="str">
        <f t="shared" si="398"/>
        <v/>
      </c>
      <c r="AH928" s="111" t="str">
        <f t="shared" si="394"/>
        <v/>
      </c>
      <c r="AI928" s="111" t="str">
        <f t="shared" si="399"/>
        <v/>
      </c>
      <c r="AJ928" s="111" t="str">
        <f t="shared" si="400"/>
        <v/>
      </c>
      <c r="AK928" s="112" t="str">
        <f t="shared" si="401"/>
        <v/>
      </c>
      <c r="AL928" t="str">
        <f t="shared" si="402"/>
        <v/>
      </c>
      <c r="AM928" t="str">
        <f t="shared" si="403"/>
        <v/>
      </c>
    </row>
    <row r="929" spans="1:39" ht="15" customHeight="1" x14ac:dyDescent="0.25">
      <c r="A929" s="131"/>
      <c r="B929" s="133"/>
      <c r="C929" s="133"/>
      <c r="D929" s="42" t="str">
        <f t="shared" si="378"/>
        <v/>
      </c>
      <c r="E929" s="43"/>
      <c r="F929" s="135"/>
      <c r="G929" s="77" t="str">
        <f t="shared" si="379"/>
        <v/>
      </c>
      <c r="H929" s="32" t="str">
        <f t="shared" si="380"/>
        <v/>
      </c>
      <c r="I929" s="78" t="str">
        <f t="shared" si="381"/>
        <v/>
      </c>
      <c r="J929" s="70" t="str">
        <f t="shared" si="382"/>
        <v/>
      </c>
      <c r="K929" s="135"/>
      <c r="L929" s="72" t="str">
        <f t="shared" si="383"/>
        <v/>
      </c>
      <c r="M929" s="135"/>
      <c r="N929" s="72" t="str">
        <f t="shared" si="384"/>
        <v/>
      </c>
      <c r="O929" s="135"/>
      <c r="P929" s="136"/>
      <c r="Q929" s="123" t="str">
        <f t="shared" si="385"/>
        <v/>
      </c>
      <c r="R929" s="45" t="str">
        <f t="shared" si="386"/>
        <v/>
      </c>
      <c r="S929" s="137"/>
      <c r="T929" s="79" t="str">
        <f t="shared" si="395"/>
        <v/>
      </c>
      <c r="U929" s="79" t="str">
        <f t="shared" si="387"/>
        <v/>
      </c>
      <c r="V929" s="73" t="str">
        <f t="shared" si="388"/>
        <v/>
      </c>
      <c r="W929" s="80" t="str">
        <f t="shared" si="389"/>
        <v/>
      </c>
      <c r="X929" s="73" t="str">
        <f t="shared" si="390"/>
        <v/>
      </c>
      <c r="Y929" s="80" t="str">
        <f t="shared" si="391"/>
        <v/>
      </c>
      <c r="Z929" s="74" t="str">
        <f t="shared" si="392"/>
        <v/>
      </c>
      <c r="AA929" s="75" t="str">
        <f t="shared" si="396"/>
        <v/>
      </c>
      <c r="AB929" s="103" t="str">
        <f t="shared" si="393"/>
        <v/>
      </c>
      <c r="AC929" s="104" t="str">
        <f t="shared" si="404"/>
        <v/>
      </c>
      <c r="AE929" s="139"/>
      <c r="AF929" s="110" t="str">
        <f t="shared" si="397"/>
        <v/>
      </c>
      <c r="AG929" s="111" t="str">
        <f t="shared" si="398"/>
        <v/>
      </c>
      <c r="AH929" s="111" t="str">
        <f t="shared" si="394"/>
        <v/>
      </c>
      <c r="AI929" s="111" t="str">
        <f t="shared" si="399"/>
        <v/>
      </c>
      <c r="AJ929" s="111" t="str">
        <f t="shared" si="400"/>
        <v/>
      </c>
      <c r="AK929" s="112" t="str">
        <f t="shared" si="401"/>
        <v/>
      </c>
      <c r="AL929" t="str">
        <f t="shared" si="402"/>
        <v/>
      </c>
      <c r="AM929" t="str">
        <f t="shared" si="403"/>
        <v/>
      </c>
    </row>
    <row r="930" spans="1:39" ht="15" customHeight="1" x14ac:dyDescent="0.25">
      <c r="A930" s="131"/>
      <c r="B930" s="133"/>
      <c r="C930" s="133"/>
      <c r="D930" s="42" t="str">
        <f t="shared" si="378"/>
        <v/>
      </c>
      <c r="E930" s="43"/>
      <c r="F930" s="135"/>
      <c r="G930" s="77" t="str">
        <f t="shared" si="379"/>
        <v/>
      </c>
      <c r="H930" s="32" t="str">
        <f t="shared" si="380"/>
        <v/>
      </c>
      <c r="I930" s="78" t="str">
        <f t="shared" si="381"/>
        <v/>
      </c>
      <c r="J930" s="70" t="str">
        <f t="shared" si="382"/>
        <v/>
      </c>
      <c r="K930" s="135"/>
      <c r="L930" s="72" t="str">
        <f t="shared" si="383"/>
        <v/>
      </c>
      <c r="M930" s="135"/>
      <c r="N930" s="72" t="str">
        <f t="shared" si="384"/>
        <v/>
      </c>
      <c r="O930" s="135"/>
      <c r="P930" s="136"/>
      <c r="Q930" s="123" t="str">
        <f t="shared" si="385"/>
        <v/>
      </c>
      <c r="R930" s="45" t="str">
        <f t="shared" si="386"/>
        <v/>
      </c>
      <c r="S930" s="137"/>
      <c r="T930" s="79" t="str">
        <f t="shared" si="395"/>
        <v/>
      </c>
      <c r="U930" s="79" t="str">
        <f t="shared" si="387"/>
        <v/>
      </c>
      <c r="V930" s="73" t="str">
        <f t="shared" si="388"/>
        <v/>
      </c>
      <c r="W930" s="80" t="str">
        <f t="shared" si="389"/>
        <v/>
      </c>
      <c r="X930" s="73" t="str">
        <f t="shared" si="390"/>
        <v/>
      </c>
      <c r="Y930" s="80" t="str">
        <f t="shared" si="391"/>
        <v/>
      </c>
      <c r="Z930" s="74" t="str">
        <f t="shared" si="392"/>
        <v/>
      </c>
      <c r="AA930" s="75" t="str">
        <f t="shared" si="396"/>
        <v/>
      </c>
      <c r="AB930" s="103" t="str">
        <f t="shared" si="393"/>
        <v/>
      </c>
      <c r="AC930" s="104" t="str">
        <f t="shared" si="404"/>
        <v/>
      </c>
      <c r="AE930" s="139"/>
      <c r="AF930" s="110" t="str">
        <f t="shared" si="397"/>
        <v/>
      </c>
      <c r="AG930" s="111" t="str">
        <f t="shared" si="398"/>
        <v/>
      </c>
      <c r="AH930" s="111" t="str">
        <f t="shared" si="394"/>
        <v/>
      </c>
      <c r="AI930" s="111" t="str">
        <f t="shared" si="399"/>
        <v/>
      </c>
      <c r="AJ930" s="111" t="str">
        <f t="shared" si="400"/>
        <v/>
      </c>
      <c r="AK930" s="112" t="str">
        <f t="shared" si="401"/>
        <v/>
      </c>
      <c r="AL930" t="str">
        <f t="shared" si="402"/>
        <v/>
      </c>
      <c r="AM930" t="str">
        <f t="shared" si="403"/>
        <v/>
      </c>
    </row>
    <row r="931" spans="1:39" ht="15" customHeight="1" x14ac:dyDescent="0.25">
      <c r="A931" s="131"/>
      <c r="B931" s="133"/>
      <c r="C931" s="133"/>
      <c r="D931" s="42" t="str">
        <f t="shared" si="378"/>
        <v/>
      </c>
      <c r="E931" s="43"/>
      <c r="F931" s="135"/>
      <c r="G931" s="77" t="str">
        <f t="shared" si="379"/>
        <v/>
      </c>
      <c r="H931" s="32" t="str">
        <f t="shared" si="380"/>
        <v/>
      </c>
      <c r="I931" s="78" t="str">
        <f t="shared" si="381"/>
        <v/>
      </c>
      <c r="J931" s="70" t="str">
        <f t="shared" si="382"/>
        <v/>
      </c>
      <c r="K931" s="135"/>
      <c r="L931" s="72" t="str">
        <f t="shared" si="383"/>
        <v/>
      </c>
      <c r="M931" s="135"/>
      <c r="N931" s="72" t="str">
        <f t="shared" si="384"/>
        <v/>
      </c>
      <c r="O931" s="135"/>
      <c r="P931" s="136"/>
      <c r="Q931" s="123" t="str">
        <f t="shared" si="385"/>
        <v/>
      </c>
      <c r="R931" s="45" t="str">
        <f t="shared" si="386"/>
        <v/>
      </c>
      <c r="S931" s="137"/>
      <c r="T931" s="79" t="str">
        <f t="shared" si="395"/>
        <v/>
      </c>
      <c r="U931" s="79" t="str">
        <f t="shared" si="387"/>
        <v/>
      </c>
      <c r="V931" s="73" t="str">
        <f t="shared" si="388"/>
        <v/>
      </c>
      <c r="W931" s="80" t="str">
        <f t="shared" si="389"/>
        <v/>
      </c>
      <c r="X931" s="73" t="str">
        <f t="shared" si="390"/>
        <v/>
      </c>
      <c r="Y931" s="80" t="str">
        <f t="shared" si="391"/>
        <v/>
      </c>
      <c r="Z931" s="74" t="str">
        <f t="shared" si="392"/>
        <v/>
      </c>
      <c r="AA931" s="75" t="str">
        <f t="shared" si="396"/>
        <v/>
      </c>
      <c r="AB931" s="103" t="str">
        <f t="shared" si="393"/>
        <v/>
      </c>
      <c r="AC931" s="104" t="str">
        <f t="shared" si="404"/>
        <v/>
      </c>
      <c r="AE931" s="139"/>
      <c r="AF931" s="110" t="str">
        <f t="shared" si="397"/>
        <v/>
      </c>
      <c r="AG931" s="111" t="str">
        <f t="shared" si="398"/>
        <v/>
      </c>
      <c r="AH931" s="111" t="str">
        <f t="shared" si="394"/>
        <v/>
      </c>
      <c r="AI931" s="111" t="str">
        <f t="shared" si="399"/>
        <v/>
      </c>
      <c r="AJ931" s="111" t="str">
        <f t="shared" si="400"/>
        <v/>
      </c>
      <c r="AK931" s="112" t="str">
        <f t="shared" si="401"/>
        <v/>
      </c>
      <c r="AL931" t="str">
        <f t="shared" si="402"/>
        <v/>
      </c>
      <c r="AM931" t="str">
        <f t="shared" si="403"/>
        <v/>
      </c>
    </row>
    <row r="932" spans="1:39" ht="15" customHeight="1" x14ac:dyDescent="0.25">
      <c r="A932" s="131"/>
      <c r="B932" s="133"/>
      <c r="C932" s="133"/>
      <c r="D932" s="42" t="str">
        <f t="shared" si="378"/>
        <v/>
      </c>
      <c r="E932" s="43"/>
      <c r="F932" s="135"/>
      <c r="G932" s="77" t="str">
        <f t="shared" si="379"/>
        <v/>
      </c>
      <c r="H932" s="32" t="str">
        <f t="shared" si="380"/>
        <v/>
      </c>
      <c r="I932" s="78" t="str">
        <f t="shared" si="381"/>
        <v/>
      </c>
      <c r="J932" s="70" t="str">
        <f t="shared" si="382"/>
        <v/>
      </c>
      <c r="K932" s="135"/>
      <c r="L932" s="72" t="str">
        <f t="shared" si="383"/>
        <v/>
      </c>
      <c r="M932" s="135"/>
      <c r="N932" s="72" t="str">
        <f t="shared" si="384"/>
        <v/>
      </c>
      <c r="O932" s="135"/>
      <c r="P932" s="136"/>
      <c r="Q932" s="123" t="str">
        <f t="shared" si="385"/>
        <v/>
      </c>
      <c r="R932" s="45" t="str">
        <f t="shared" si="386"/>
        <v/>
      </c>
      <c r="S932" s="137"/>
      <c r="T932" s="79" t="str">
        <f t="shared" si="395"/>
        <v/>
      </c>
      <c r="U932" s="79" t="str">
        <f t="shared" si="387"/>
        <v/>
      </c>
      <c r="V932" s="73" t="str">
        <f t="shared" si="388"/>
        <v/>
      </c>
      <c r="W932" s="80" t="str">
        <f t="shared" si="389"/>
        <v/>
      </c>
      <c r="X932" s="73" t="str">
        <f t="shared" si="390"/>
        <v/>
      </c>
      <c r="Y932" s="80" t="str">
        <f t="shared" si="391"/>
        <v/>
      </c>
      <c r="Z932" s="74" t="str">
        <f t="shared" si="392"/>
        <v/>
      </c>
      <c r="AA932" s="75" t="str">
        <f t="shared" si="396"/>
        <v/>
      </c>
      <c r="AB932" s="103" t="str">
        <f t="shared" si="393"/>
        <v/>
      </c>
      <c r="AC932" s="104" t="str">
        <f t="shared" si="404"/>
        <v/>
      </c>
      <c r="AE932" s="139"/>
      <c r="AF932" s="110" t="str">
        <f t="shared" si="397"/>
        <v/>
      </c>
      <c r="AG932" s="111" t="str">
        <f t="shared" si="398"/>
        <v/>
      </c>
      <c r="AH932" s="111" t="str">
        <f t="shared" si="394"/>
        <v/>
      </c>
      <c r="AI932" s="111" t="str">
        <f t="shared" si="399"/>
        <v/>
      </c>
      <c r="AJ932" s="111" t="str">
        <f t="shared" si="400"/>
        <v/>
      </c>
      <c r="AK932" s="112" t="str">
        <f t="shared" si="401"/>
        <v/>
      </c>
      <c r="AL932" t="str">
        <f t="shared" si="402"/>
        <v/>
      </c>
      <c r="AM932" t="str">
        <f t="shared" si="403"/>
        <v/>
      </c>
    </row>
    <row r="933" spans="1:39" ht="15" customHeight="1" x14ac:dyDescent="0.25">
      <c r="A933" s="131"/>
      <c r="B933" s="133"/>
      <c r="C933" s="133"/>
      <c r="D933" s="42" t="str">
        <f t="shared" si="378"/>
        <v/>
      </c>
      <c r="E933" s="43"/>
      <c r="F933" s="135"/>
      <c r="G933" s="77" t="str">
        <f t="shared" si="379"/>
        <v/>
      </c>
      <c r="H933" s="32" t="str">
        <f t="shared" si="380"/>
        <v/>
      </c>
      <c r="I933" s="78" t="str">
        <f t="shared" si="381"/>
        <v/>
      </c>
      <c r="J933" s="70" t="str">
        <f t="shared" si="382"/>
        <v/>
      </c>
      <c r="K933" s="135"/>
      <c r="L933" s="72" t="str">
        <f t="shared" si="383"/>
        <v/>
      </c>
      <c r="M933" s="135"/>
      <c r="N933" s="72" t="str">
        <f t="shared" si="384"/>
        <v/>
      </c>
      <c r="O933" s="135"/>
      <c r="P933" s="136"/>
      <c r="Q933" s="123" t="str">
        <f t="shared" si="385"/>
        <v/>
      </c>
      <c r="R933" s="45" t="str">
        <f t="shared" si="386"/>
        <v/>
      </c>
      <c r="S933" s="137"/>
      <c r="T933" s="79" t="str">
        <f t="shared" si="395"/>
        <v/>
      </c>
      <c r="U933" s="79" t="str">
        <f t="shared" si="387"/>
        <v/>
      </c>
      <c r="V933" s="73" t="str">
        <f t="shared" si="388"/>
        <v/>
      </c>
      <c r="W933" s="80" t="str">
        <f t="shared" si="389"/>
        <v/>
      </c>
      <c r="X933" s="73" t="str">
        <f t="shared" si="390"/>
        <v/>
      </c>
      <c r="Y933" s="80" t="str">
        <f t="shared" si="391"/>
        <v/>
      </c>
      <c r="Z933" s="74" t="str">
        <f t="shared" si="392"/>
        <v/>
      </c>
      <c r="AA933" s="75" t="str">
        <f t="shared" si="396"/>
        <v/>
      </c>
      <c r="AB933" s="103" t="str">
        <f t="shared" si="393"/>
        <v/>
      </c>
      <c r="AC933" s="104" t="str">
        <f t="shared" si="404"/>
        <v/>
      </c>
      <c r="AE933" s="139"/>
      <c r="AF933" s="110" t="str">
        <f t="shared" si="397"/>
        <v/>
      </c>
      <c r="AG933" s="111" t="str">
        <f t="shared" si="398"/>
        <v/>
      </c>
      <c r="AH933" s="111" t="str">
        <f t="shared" si="394"/>
        <v/>
      </c>
      <c r="AI933" s="111" t="str">
        <f t="shared" si="399"/>
        <v/>
      </c>
      <c r="AJ933" s="111" t="str">
        <f t="shared" si="400"/>
        <v/>
      </c>
      <c r="AK933" s="112" t="str">
        <f t="shared" si="401"/>
        <v/>
      </c>
      <c r="AL933" t="str">
        <f t="shared" si="402"/>
        <v/>
      </c>
      <c r="AM933" t="str">
        <f t="shared" si="403"/>
        <v/>
      </c>
    </row>
    <row r="934" spans="1:39" ht="15" customHeight="1" x14ac:dyDescent="0.25">
      <c r="A934" s="131"/>
      <c r="B934" s="133"/>
      <c r="C934" s="133"/>
      <c r="D934" s="42" t="str">
        <f t="shared" si="378"/>
        <v/>
      </c>
      <c r="E934" s="43"/>
      <c r="F934" s="135"/>
      <c r="G934" s="77" t="str">
        <f t="shared" si="379"/>
        <v/>
      </c>
      <c r="H934" s="32" t="str">
        <f t="shared" si="380"/>
        <v/>
      </c>
      <c r="I934" s="78" t="str">
        <f t="shared" si="381"/>
        <v/>
      </c>
      <c r="J934" s="70" t="str">
        <f t="shared" si="382"/>
        <v/>
      </c>
      <c r="K934" s="135"/>
      <c r="L934" s="72" t="str">
        <f t="shared" si="383"/>
        <v/>
      </c>
      <c r="M934" s="135"/>
      <c r="N934" s="72" t="str">
        <f t="shared" si="384"/>
        <v/>
      </c>
      <c r="O934" s="135"/>
      <c r="P934" s="136"/>
      <c r="Q934" s="123" t="str">
        <f t="shared" si="385"/>
        <v/>
      </c>
      <c r="R934" s="45" t="str">
        <f t="shared" si="386"/>
        <v/>
      </c>
      <c r="S934" s="137"/>
      <c r="T934" s="79" t="str">
        <f t="shared" si="395"/>
        <v/>
      </c>
      <c r="U934" s="79" t="str">
        <f t="shared" si="387"/>
        <v/>
      </c>
      <c r="V934" s="73" t="str">
        <f t="shared" si="388"/>
        <v/>
      </c>
      <c r="W934" s="80" t="str">
        <f t="shared" si="389"/>
        <v/>
      </c>
      <c r="X934" s="73" t="str">
        <f t="shared" si="390"/>
        <v/>
      </c>
      <c r="Y934" s="80" t="str">
        <f t="shared" si="391"/>
        <v/>
      </c>
      <c r="Z934" s="74" t="str">
        <f t="shared" si="392"/>
        <v/>
      </c>
      <c r="AA934" s="75" t="str">
        <f t="shared" si="396"/>
        <v/>
      </c>
      <c r="AB934" s="103" t="str">
        <f t="shared" si="393"/>
        <v/>
      </c>
      <c r="AC934" s="104" t="str">
        <f t="shared" si="404"/>
        <v/>
      </c>
      <c r="AE934" s="139"/>
      <c r="AF934" s="110" t="str">
        <f t="shared" si="397"/>
        <v/>
      </c>
      <c r="AG934" s="111" t="str">
        <f t="shared" si="398"/>
        <v/>
      </c>
      <c r="AH934" s="111" t="str">
        <f t="shared" si="394"/>
        <v/>
      </c>
      <c r="AI934" s="111" t="str">
        <f t="shared" si="399"/>
        <v/>
      </c>
      <c r="AJ934" s="111" t="str">
        <f t="shared" si="400"/>
        <v/>
      </c>
      <c r="AK934" s="112" t="str">
        <f t="shared" si="401"/>
        <v/>
      </c>
      <c r="AL934" t="str">
        <f t="shared" si="402"/>
        <v/>
      </c>
      <c r="AM934" t="str">
        <f t="shared" si="403"/>
        <v/>
      </c>
    </row>
    <row r="935" spans="1:39" ht="15" customHeight="1" x14ac:dyDescent="0.25">
      <c r="A935" s="131"/>
      <c r="B935" s="133"/>
      <c r="C935" s="133"/>
      <c r="D935" s="42" t="str">
        <f t="shared" si="378"/>
        <v/>
      </c>
      <c r="E935" s="43"/>
      <c r="F935" s="135"/>
      <c r="G935" s="77" t="str">
        <f t="shared" si="379"/>
        <v/>
      </c>
      <c r="H935" s="32" t="str">
        <f t="shared" si="380"/>
        <v/>
      </c>
      <c r="I935" s="78" t="str">
        <f t="shared" si="381"/>
        <v/>
      </c>
      <c r="J935" s="70" t="str">
        <f t="shared" si="382"/>
        <v/>
      </c>
      <c r="K935" s="135"/>
      <c r="L935" s="72" t="str">
        <f t="shared" si="383"/>
        <v/>
      </c>
      <c r="M935" s="135"/>
      <c r="N935" s="72" t="str">
        <f t="shared" si="384"/>
        <v/>
      </c>
      <c r="O935" s="135"/>
      <c r="P935" s="136"/>
      <c r="Q935" s="123" t="str">
        <f t="shared" si="385"/>
        <v/>
      </c>
      <c r="R935" s="45" t="str">
        <f t="shared" si="386"/>
        <v/>
      </c>
      <c r="S935" s="137"/>
      <c r="T935" s="79" t="str">
        <f t="shared" si="395"/>
        <v/>
      </c>
      <c r="U935" s="79" t="str">
        <f t="shared" si="387"/>
        <v/>
      </c>
      <c r="V935" s="73" t="str">
        <f t="shared" si="388"/>
        <v/>
      </c>
      <c r="W935" s="80" t="str">
        <f t="shared" si="389"/>
        <v/>
      </c>
      <c r="X935" s="73" t="str">
        <f t="shared" si="390"/>
        <v/>
      </c>
      <c r="Y935" s="80" t="str">
        <f t="shared" si="391"/>
        <v/>
      </c>
      <c r="Z935" s="74" t="str">
        <f t="shared" si="392"/>
        <v/>
      </c>
      <c r="AA935" s="75" t="str">
        <f t="shared" si="396"/>
        <v/>
      </c>
      <c r="AB935" s="103" t="str">
        <f t="shared" si="393"/>
        <v/>
      </c>
      <c r="AC935" s="104" t="str">
        <f t="shared" si="404"/>
        <v/>
      </c>
      <c r="AE935" s="139"/>
      <c r="AF935" s="110" t="str">
        <f t="shared" si="397"/>
        <v/>
      </c>
      <c r="AG935" s="111" t="str">
        <f t="shared" si="398"/>
        <v/>
      </c>
      <c r="AH935" s="111" t="str">
        <f t="shared" si="394"/>
        <v/>
      </c>
      <c r="AI935" s="111" t="str">
        <f t="shared" si="399"/>
        <v/>
      </c>
      <c r="AJ935" s="111" t="str">
        <f t="shared" si="400"/>
        <v/>
      </c>
      <c r="AK935" s="112" t="str">
        <f t="shared" si="401"/>
        <v/>
      </c>
      <c r="AL935" t="str">
        <f t="shared" si="402"/>
        <v/>
      </c>
      <c r="AM935" t="str">
        <f t="shared" si="403"/>
        <v/>
      </c>
    </row>
    <row r="936" spans="1:39" ht="15" customHeight="1" x14ac:dyDescent="0.25">
      <c r="A936" s="131"/>
      <c r="B936" s="133"/>
      <c r="C936" s="133"/>
      <c r="D936" s="42" t="str">
        <f t="shared" si="378"/>
        <v/>
      </c>
      <c r="E936" s="43"/>
      <c r="F936" s="135"/>
      <c r="G936" s="77" t="str">
        <f t="shared" si="379"/>
        <v/>
      </c>
      <c r="H936" s="32" t="str">
        <f t="shared" si="380"/>
        <v/>
      </c>
      <c r="I936" s="78" t="str">
        <f t="shared" si="381"/>
        <v/>
      </c>
      <c r="J936" s="70" t="str">
        <f t="shared" si="382"/>
        <v/>
      </c>
      <c r="K936" s="135"/>
      <c r="L936" s="72" t="str">
        <f t="shared" si="383"/>
        <v/>
      </c>
      <c r="M936" s="135"/>
      <c r="N936" s="72" t="str">
        <f t="shared" si="384"/>
        <v/>
      </c>
      <c r="O936" s="135"/>
      <c r="P936" s="136"/>
      <c r="Q936" s="123" t="str">
        <f t="shared" si="385"/>
        <v/>
      </c>
      <c r="R936" s="45" t="str">
        <f t="shared" si="386"/>
        <v/>
      </c>
      <c r="S936" s="137"/>
      <c r="T936" s="79" t="str">
        <f t="shared" si="395"/>
        <v/>
      </c>
      <c r="U936" s="79" t="str">
        <f t="shared" si="387"/>
        <v/>
      </c>
      <c r="V936" s="73" t="str">
        <f t="shared" si="388"/>
        <v/>
      </c>
      <c r="W936" s="80" t="str">
        <f t="shared" si="389"/>
        <v/>
      </c>
      <c r="X936" s="73" t="str">
        <f t="shared" si="390"/>
        <v/>
      </c>
      <c r="Y936" s="80" t="str">
        <f t="shared" si="391"/>
        <v/>
      </c>
      <c r="Z936" s="74" t="str">
        <f t="shared" si="392"/>
        <v/>
      </c>
      <c r="AA936" s="75" t="str">
        <f t="shared" si="396"/>
        <v/>
      </c>
      <c r="AB936" s="103" t="str">
        <f t="shared" si="393"/>
        <v/>
      </c>
      <c r="AC936" s="104" t="str">
        <f t="shared" si="404"/>
        <v/>
      </c>
      <c r="AE936" s="139"/>
      <c r="AF936" s="110" t="str">
        <f t="shared" si="397"/>
        <v/>
      </c>
      <c r="AG936" s="111" t="str">
        <f t="shared" si="398"/>
        <v/>
      </c>
      <c r="AH936" s="111" t="str">
        <f t="shared" si="394"/>
        <v/>
      </c>
      <c r="AI936" s="111" t="str">
        <f t="shared" si="399"/>
        <v/>
      </c>
      <c r="AJ936" s="111" t="str">
        <f t="shared" si="400"/>
        <v/>
      </c>
      <c r="AK936" s="112" t="str">
        <f t="shared" si="401"/>
        <v/>
      </c>
      <c r="AL936" t="str">
        <f t="shared" si="402"/>
        <v/>
      </c>
      <c r="AM936" t="str">
        <f t="shared" si="403"/>
        <v/>
      </c>
    </row>
    <row r="937" spans="1:39" ht="15" customHeight="1" x14ac:dyDescent="0.25">
      <c r="A937" s="131"/>
      <c r="B937" s="133"/>
      <c r="C937" s="133"/>
      <c r="D937" s="42" t="str">
        <f t="shared" si="378"/>
        <v/>
      </c>
      <c r="E937" s="43"/>
      <c r="F937" s="135"/>
      <c r="G937" s="77" t="str">
        <f t="shared" si="379"/>
        <v/>
      </c>
      <c r="H937" s="32" t="str">
        <f t="shared" si="380"/>
        <v/>
      </c>
      <c r="I937" s="78" t="str">
        <f t="shared" si="381"/>
        <v/>
      </c>
      <c r="J937" s="70" t="str">
        <f t="shared" si="382"/>
        <v/>
      </c>
      <c r="K937" s="135"/>
      <c r="L937" s="72" t="str">
        <f t="shared" si="383"/>
        <v/>
      </c>
      <c r="M937" s="135"/>
      <c r="N937" s="72" t="str">
        <f t="shared" si="384"/>
        <v/>
      </c>
      <c r="O937" s="135"/>
      <c r="P937" s="136"/>
      <c r="Q937" s="123" t="str">
        <f t="shared" si="385"/>
        <v/>
      </c>
      <c r="R937" s="45" t="str">
        <f t="shared" si="386"/>
        <v/>
      </c>
      <c r="S937" s="137"/>
      <c r="T937" s="79" t="str">
        <f t="shared" si="395"/>
        <v/>
      </c>
      <c r="U937" s="79" t="str">
        <f t="shared" si="387"/>
        <v/>
      </c>
      <c r="V937" s="73" t="str">
        <f t="shared" si="388"/>
        <v/>
      </c>
      <c r="W937" s="80" t="str">
        <f t="shared" si="389"/>
        <v/>
      </c>
      <c r="X937" s="73" t="str">
        <f t="shared" si="390"/>
        <v/>
      </c>
      <c r="Y937" s="80" t="str">
        <f t="shared" si="391"/>
        <v/>
      </c>
      <c r="Z937" s="74" t="str">
        <f t="shared" si="392"/>
        <v/>
      </c>
      <c r="AA937" s="75" t="str">
        <f t="shared" si="396"/>
        <v/>
      </c>
      <c r="AB937" s="103" t="str">
        <f t="shared" si="393"/>
        <v/>
      </c>
      <c r="AC937" s="104" t="str">
        <f t="shared" si="404"/>
        <v/>
      </c>
      <c r="AE937" s="139"/>
      <c r="AF937" s="110" t="str">
        <f t="shared" si="397"/>
        <v/>
      </c>
      <c r="AG937" s="111" t="str">
        <f t="shared" si="398"/>
        <v/>
      </c>
      <c r="AH937" s="111" t="str">
        <f t="shared" si="394"/>
        <v/>
      </c>
      <c r="AI937" s="111" t="str">
        <f t="shared" si="399"/>
        <v/>
      </c>
      <c r="AJ937" s="111" t="str">
        <f t="shared" si="400"/>
        <v/>
      </c>
      <c r="AK937" s="112" t="str">
        <f t="shared" si="401"/>
        <v/>
      </c>
      <c r="AL937" t="str">
        <f t="shared" si="402"/>
        <v/>
      </c>
      <c r="AM937" t="str">
        <f t="shared" si="403"/>
        <v/>
      </c>
    </row>
    <row r="938" spans="1:39" ht="15" customHeight="1" x14ac:dyDescent="0.25">
      <c r="A938" s="131"/>
      <c r="B938" s="133"/>
      <c r="C938" s="133"/>
      <c r="D938" s="42" t="str">
        <f t="shared" si="378"/>
        <v/>
      </c>
      <c r="E938" s="43"/>
      <c r="F938" s="135"/>
      <c r="G938" s="77" t="str">
        <f t="shared" si="379"/>
        <v/>
      </c>
      <c r="H938" s="32" t="str">
        <f t="shared" si="380"/>
        <v/>
      </c>
      <c r="I938" s="78" t="str">
        <f t="shared" si="381"/>
        <v/>
      </c>
      <c r="J938" s="70" t="str">
        <f t="shared" si="382"/>
        <v/>
      </c>
      <c r="K938" s="135"/>
      <c r="L938" s="72" t="str">
        <f t="shared" si="383"/>
        <v/>
      </c>
      <c r="M938" s="135"/>
      <c r="N938" s="72" t="str">
        <f t="shared" si="384"/>
        <v/>
      </c>
      <c r="O938" s="135"/>
      <c r="P938" s="136"/>
      <c r="Q938" s="123" t="str">
        <f t="shared" si="385"/>
        <v/>
      </c>
      <c r="R938" s="45" t="str">
        <f t="shared" si="386"/>
        <v/>
      </c>
      <c r="S938" s="137"/>
      <c r="T938" s="79" t="str">
        <f t="shared" si="395"/>
        <v/>
      </c>
      <c r="U938" s="79" t="str">
        <f t="shared" si="387"/>
        <v/>
      </c>
      <c r="V938" s="73" t="str">
        <f t="shared" si="388"/>
        <v/>
      </c>
      <c r="W938" s="80" t="str">
        <f t="shared" si="389"/>
        <v/>
      </c>
      <c r="X938" s="73" t="str">
        <f t="shared" si="390"/>
        <v/>
      </c>
      <c r="Y938" s="80" t="str">
        <f t="shared" si="391"/>
        <v/>
      </c>
      <c r="Z938" s="74" t="str">
        <f t="shared" si="392"/>
        <v/>
      </c>
      <c r="AA938" s="75" t="str">
        <f t="shared" si="396"/>
        <v/>
      </c>
      <c r="AB938" s="103" t="str">
        <f t="shared" si="393"/>
        <v/>
      </c>
      <c r="AC938" s="104" t="str">
        <f t="shared" si="404"/>
        <v/>
      </c>
      <c r="AE938" s="139"/>
      <c r="AF938" s="110" t="str">
        <f t="shared" si="397"/>
        <v/>
      </c>
      <c r="AG938" s="111" t="str">
        <f t="shared" si="398"/>
        <v/>
      </c>
      <c r="AH938" s="111" t="str">
        <f t="shared" si="394"/>
        <v/>
      </c>
      <c r="AI938" s="111" t="str">
        <f t="shared" si="399"/>
        <v/>
      </c>
      <c r="AJ938" s="111" t="str">
        <f t="shared" si="400"/>
        <v/>
      </c>
      <c r="AK938" s="112" t="str">
        <f t="shared" si="401"/>
        <v/>
      </c>
      <c r="AL938" t="str">
        <f t="shared" si="402"/>
        <v/>
      </c>
      <c r="AM938" t="str">
        <f t="shared" si="403"/>
        <v/>
      </c>
    </row>
    <row r="939" spans="1:39" ht="15" customHeight="1" x14ac:dyDescent="0.25">
      <c r="A939" s="131"/>
      <c r="B939" s="133"/>
      <c r="C939" s="133"/>
      <c r="D939" s="42" t="str">
        <f t="shared" si="378"/>
        <v/>
      </c>
      <c r="E939" s="43"/>
      <c r="F939" s="135"/>
      <c r="G939" s="77" t="str">
        <f t="shared" si="379"/>
        <v/>
      </c>
      <c r="H939" s="32" t="str">
        <f t="shared" si="380"/>
        <v/>
      </c>
      <c r="I939" s="78" t="str">
        <f t="shared" si="381"/>
        <v/>
      </c>
      <c r="J939" s="70" t="str">
        <f t="shared" si="382"/>
        <v/>
      </c>
      <c r="K939" s="135"/>
      <c r="L939" s="72" t="str">
        <f t="shared" si="383"/>
        <v/>
      </c>
      <c r="M939" s="135"/>
      <c r="N939" s="72" t="str">
        <f t="shared" si="384"/>
        <v/>
      </c>
      <c r="O939" s="135"/>
      <c r="P939" s="136"/>
      <c r="Q939" s="123" t="str">
        <f t="shared" si="385"/>
        <v/>
      </c>
      <c r="R939" s="45" t="str">
        <f t="shared" si="386"/>
        <v/>
      </c>
      <c r="S939" s="137"/>
      <c r="T939" s="79" t="str">
        <f t="shared" si="395"/>
        <v/>
      </c>
      <c r="U939" s="79" t="str">
        <f t="shared" si="387"/>
        <v/>
      </c>
      <c r="V939" s="73" t="str">
        <f t="shared" si="388"/>
        <v/>
      </c>
      <c r="W939" s="80" t="str">
        <f t="shared" si="389"/>
        <v/>
      </c>
      <c r="X939" s="73" t="str">
        <f t="shared" si="390"/>
        <v/>
      </c>
      <c r="Y939" s="80" t="str">
        <f t="shared" si="391"/>
        <v/>
      </c>
      <c r="Z939" s="74" t="str">
        <f t="shared" si="392"/>
        <v/>
      </c>
      <c r="AA939" s="75" t="str">
        <f t="shared" si="396"/>
        <v/>
      </c>
      <c r="AB939" s="103" t="str">
        <f t="shared" si="393"/>
        <v/>
      </c>
      <c r="AC939" s="104" t="str">
        <f t="shared" si="404"/>
        <v/>
      </c>
      <c r="AE939" s="139"/>
      <c r="AF939" s="110" t="str">
        <f t="shared" si="397"/>
        <v/>
      </c>
      <c r="AG939" s="111" t="str">
        <f t="shared" si="398"/>
        <v/>
      </c>
      <c r="AH939" s="111" t="str">
        <f t="shared" si="394"/>
        <v/>
      </c>
      <c r="AI939" s="111" t="str">
        <f t="shared" si="399"/>
        <v/>
      </c>
      <c r="AJ939" s="111" t="str">
        <f t="shared" si="400"/>
        <v/>
      </c>
      <c r="AK939" s="112" t="str">
        <f t="shared" si="401"/>
        <v/>
      </c>
      <c r="AL939" t="str">
        <f t="shared" si="402"/>
        <v/>
      </c>
      <c r="AM939" t="str">
        <f t="shared" si="403"/>
        <v/>
      </c>
    </row>
    <row r="940" spans="1:39" ht="15" customHeight="1" x14ac:dyDescent="0.25">
      <c r="A940" s="131"/>
      <c r="B940" s="133"/>
      <c r="C940" s="133"/>
      <c r="D940" s="42" t="str">
        <f t="shared" si="378"/>
        <v/>
      </c>
      <c r="E940" s="43"/>
      <c r="F940" s="135"/>
      <c r="G940" s="77" t="str">
        <f t="shared" si="379"/>
        <v/>
      </c>
      <c r="H940" s="32" t="str">
        <f t="shared" si="380"/>
        <v/>
      </c>
      <c r="I940" s="78" t="str">
        <f t="shared" si="381"/>
        <v/>
      </c>
      <c r="J940" s="70" t="str">
        <f t="shared" si="382"/>
        <v/>
      </c>
      <c r="K940" s="135"/>
      <c r="L940" s="72" t="str">
        <f t="shared" si="383"/>
        <v/>
      </c>
      <c r="M940" s="135"/>
      <c r="N940" s="72" t="str">
        <f t="shared" si="384"/>
        <v/>
      </c>
      <c r="O940" s="135"/>
      <c r="P940" s="136"/>
      <c r="Q940" s="123" t="str">
        <f t="shared" si="385"/>
        <v/>
      </c>
      <c r="R940" s="45" t="str">
        <f t="shared" si="386"/>
        <v/>
      </c>
      <c r="S940" s="137"/>
      <c r="T940" s="79" t="str">
        <f t="shared" si="395"/>
        <v/>
      </c>
      <c r="U940" s="79" t="str">
        <f t="shared" si="387"/>
        <v/>
      </c>
      <c r="V940" s="73" t="str">
        <f t="shared" si="388"/>
        <v/>
      </c>
      <c r="W940" s="80" t="str">
        <f t="shared" si="389"/>
        <v/>
      </c>
      <c r="X940" s="73" t="str">
        <f t="shared" si="390"/>
        <v/>
      </c>
      <c r="Y940" s="80" t="str">
        <f t="shared" si="391"/>
        <v/>
      </c>
      <c r="Z940" s="74" t="str">
        <f t="shared" si="392"/>
        <v/>
      </c>
      <c r="AA940" s="75" t="str">
        <f t="shared" si="396"/>
        <v/>
      </c>
      <c r="AB940" s="103" t="str">
        <f t="shared" si="393"/>
        <v/>
      </c>
      <c r="AC940" s="104" t="str">
        <f t="shared" si="404"/>
        <v/>
      </c>
      <c r="AE940" s="139"/>
      <c r="AF940" s="110" t="str">
        <f t="shared" si="397"/>
        <v/>
      </c>
      <c r="AG940" s="111" t="str">
        <f t="shared" si="398"/>
        <v/>
      </c>
      <c r="AH940" s="111" t="str">
        <f t="shared" si="394"/>
        <v/>
      </c>
      <c r="AI940" s="111" t="str">
        <f t="shared" si="399"/>
        <v/>
      </c>
      <c r="AJ940" s="111" t="str">
        <f t="shared" si="400"/>
        <v/>
      </c>
      <c r="AK940" s="112" t="str">
        <f t="shared" si="401"/>
        <v/>
      </c>
      <c r="AL940" t="str">
        <f t="shared" si="402"/>
        <v/>
      </c>
      <c r="AM940" t="str">
        <f t="shared" si="403"/>
        <v/>
      </c>
    </row>
    <row r="941" spans="1:39" ht="15" customHeight="1" x14ac:dyDescent="0.25">
      <c r="A941" s="131"/>
      <c r="B941" s="133"/>
      <c r="C941" s="133"/>
      <c r="D941" s="42" t="str">
        <f t="shared" si="378"/>
        <v/>
      </c>
      <c r="E941" s="43"/>
      <c r="F941" s="135"/>
      <c r="G941" s="77" t="str">
        <f t="shared" si="379"/>
        <v/>
      </c>
      <c r="H941" s="32" t="str">
        <f t="shared" si="380"/>
        <v/>
      </c>
      <c r="I941" s="78" t="str">
        <f t="shared" si="381"/>
        <v/>
      </c>
      <c r="J941" s="70" t="str">
        <f t="shared" si="382"/>
        <v/>
      </c>
      <c r="K941" s="135"/>
      <c r="L941" s="72" t="str">
        <f t="shared" si="383"/>
        <v/>
      </c>
      <c r="M941" s="135"/>
      <c r="N941" s="72" t="str">
        <f t="shared" si="384"/>
        <v/>
      </c>
      <c r="O941" s="135"/>
      <c r="P941" s="136"/>
      <c r="Q941" s="123" t="str">
        <f t="shared" si="385"/>
        <v/>
      </c>
      <c r="R941" s="45" t="str">
        <f t="shared" si="386"/>
        <v/>
      </c>
      <c r="S941" s="137"/>
      <c r="T941" s="79" t="str">
        <f t="shared" si="395"/>
        <v/>
      </c>
      <c r="U941" s="79" t="str">
        <f t="shared" si="387"/>
        <v/>
      </c>
      <c r="V941" s="73" t="str">
        <f t="shared" si="388"/>
        <v/>
      </c>
      <c r="W941" s="80" t="str">
        <f t="shared" si="389"/>
        <v/>
      </c>
      <c r="X941" s="73" t="str">
        <f t="shared" si="390"/>
        <v/>
      </c>
      <c r="Y941" s="80" t="str">
        <f t="shared" si="391"/>
        <v/>
      </c>
      <c r="Z941" s="74" t="str">
        <f t="shared" si="392"/>
        <v/>
      </c>
      <c r="AA941" s="75" t="str">
        <f t="shared" si="396"/>
        <v/>
      </c>
      <c r="AB941" s="103" t="str">
        <f t="shared" si="393"/>
        <v/>
      </c>
      <c r="AC941" s="104" t="str">
        <f t="shared" si="404"/>
        <v/>
      </c>
      <c r="AE941" s="139"/>
      <c r="AF941" s="110" t="str">
        <f t="shared" si="397"/>
        <v/>
      </c>
      <c r="AG941" s="111" t="str">
        <f t="shared" si="398"/>
        <v/>
      </c>
      <c r="AH941" s="111" t="str">
        <f t="shared" si="394"/>
        <v/>
      </c>
      <c r="AI941" s="111" t="str">
        <f t="shared" si="399"/>
        <v/>
      </c>
      <c r="AJ941" s="111" t="str">
        <f t="shared" si="400"/>
        <v/>
      </c>
      <c r="AK941" s="112" t="str">
        <f t="shared" si="401"/>
        <v/>
      </c>
      <c r="AL941" t="str">
        <f t="shared" si="402"/>
        <v/>
      </c>
      <c r="AM941" t="str">
        <f t="shared" si="403"/>
        <v/>
      </c>
    </row>
    <row r="942" spans="1:39" ht="15" customHeight="1" x14ac:dyDescent="0.25">
      <c r="A942" s="131"/>
      <c r="B942" s="133"/>
      <c r="C942" s="133"/>
      <c r="D942" s="42" t="str">
        <f t="shared" si="378"/>
        <v/>
      </c>
      <c r="E942" s="43"/>
      <c r="F942" s="135"/>
      <c r="G942" s="77" t="str">
        <f t="shared" si="379"/>
        <v/>
      </c>
      <c r="H942" s="32" t="str">
        <f t="shared" si="380"/>
        <v/>
      </c>
      <c r="I942" s="78" t="str">
        <f t="shared" si="381"/>
        <v/>
      </c>
      <c r="J942" s="70" t="str">
        <f t="shared" si="382"/>
        <v/>
      </c>
      <c r="K942" s="135"/>
      <c r="L942" s="72" t="str">
        <f t="shared" si="383"/>
        <v/>
      </c>
      <c r="M942" s="135"/>
      <c r="N942" s="72" t="str">
        <f t="shared" si="384"/>
        <v/>
      </c>
      <c r="O942" s="135"/>
      <c r="P942" s="136"/>
      <c r="Q942" s="123" t="str">
        <f t="shared" si="385"/>
        <v/>
      </c>
      <c r="R942" s="45" t="str">
        <f t="shared" si="386"/>
        <v/>
      </c>
      <c r="S942" s="137"/>
      <c r="T942" s="79" t="str">
        <f t="shared" si="395"/>
        <v/>
      </c>
      <c r="U942" s="79" t="str">
        <f t="shared" si="387"/>
        <v/>
      </c>
      <c r="V942" s="73" t="str">
        <f t="shared" si="388"/>
        <v/>
      </c>
      <c r="W942" s="80" t="str">
        <f t="shared" si="389"/>
        <v/>
      </c>
      <c r="X942" s="73" t="str">
        <f t="shared" si="390"/>
        <v/>
      </c>
      <c r="Y942" s="80" t="str">
        <f t="shared" si="391"/>
        <v/>
      </c>
      <c r="Z942" s="74" t="str">
        <f t="shared" si="392"/>
        <v/>
      </c>
      <c r="AA942" s="75" t="str">
        <f t="shared" si="396"/>
        <v/>
      </c>
      <c r="AB942" s="103" t="str">
        <f t="shared" si="393"/>
        <v/>
      </c>
      <c r="AC942" s="104" t="str">
        <f t="shared" si="404"/>
        <v/>
      </c>
      <c r="AE942" s="139"/>
      <c r="AF942" s="110" t="str">
        <f t="shared" si="397"/>
        <v/>
      </c>
      <c r="AG942" s="111" t="str">
        <f t="shared" si="398"/>
        <v/>
      </c>
      <c r="AH942" s="111" t="str">
        <f t="shared" si="394"/>
        <v/>
      </c>
      <c r="AI942" s="111" t="str">
        <f t="shared" si="399"/>
        <v/>
      </c>
      <c r="AJ942" s="111" t="str">
        <f t="shared" si="400"/>
        <v/>
      </c>
      <c r="AK942" s="112" t="str">
        <f t="shared" si="401"/>
        <v/>
      </c>
      <c r="AL942" t="str">
        <f t="shared" si="402"/>
        <v/>
      </c>
      <c r="AM942" t="str">
        <f t="shared" si="403"/>
        <v/>
      </c>
    </row>
    <row r="943" spans="1:39" ht="15" customHeight="1" x14ac:dyDescent="0.25">
      <c r="A943" s="131"/>
      <c r="B943" s="133"/>
      <c r="C943" s="133"/>
      <c r="D943" s="42" t="str">
        <f t="shared" si="378"/>
        <v/>
      </c>
      <c r="E943" s="43"/>
      <c r="F943" s="135"/>
      <c r="G943" s="77" t="str">
        <f t="shared" si="379"/>
        <v/>
      </c>
      <c r="H943" s="32" t="str">
        <f t="shared" si="380"/>
        <v/>
      </c>
      <c r="I943" s="78" t="str">
        <f t="shared" si="381"/>
        <v/>
      </c>
      <c r="J943" s="70" t="str">
        <f t="shared" si="382"/>
        <v/>
      </c>
      <c r="K943" s="135"/>
      <c r="L943" s="72" t="str">
        <f t="shared" si="383"/>
        <v/>
      </c>
      <c r="M943" s="135"/>
      <c r="N943" s="72" t="str">
        <f t="shared" si="384"/>
        <v/>
      </c>
      <c r="O943" s="135"/>
      <c r="P943" s="136"/>
      <c r="Q943" s="123" t="str">
        <f t="shared" si="385"/>
        <v/>
      </c>
      <c r="R943" s="45" t="str">
        <f t="shared" si="386"/>
        <v/>
      </c>
      <c r="S943" s="137"/>
      <c r="T943" s="79" t="str">
        <f t="shared" si="395"/>
        <v/>
      </c>
      <c r="U943" s="79" t="str">
        <f t="shared" si="387"/>
        <v/>
      </c>
      <c r="V943" s="73" t="str">
        <f t="shared" si="388"/>
        <v/>
      </c>
      <c r="W943" s="80" t="str">
        <f t="shared" si="389"/>
        <v/>
      </c>
      <c r="X943" s="73" t="str">
        <f t="shared" si="390"/>
        <v/>
      </c>
      <c r="Y943" s="80" t="str">
        <f t="shared" si="391"/>
        <v/>
      </c>
      <c r="Z943" s="74" t="str">
        <f t="shared" si="392"/>
        <v/>
      </c>
      <c r="AA943" s="75" t="str">
        <f t="shared" si="396"/>
        <v/>
      </c>
      <c r="AB943" s="103" t="str">
        <f t="shared" si="393"/>
        <v/>
      </c>
      <c r="AC943" s="104" t="str">
        <f t="shared" si="404"/>
        <v/>
      </c>
      <c r="AE943" s="139"/>
      <c r="AF943" s="110" t="str">
        <f t="shared" si="397"/>
        <v/>
      </c>
      <c r="AG943" s="111" t="str">
        <f t="shared" si="398"/>
        <v/>
      </c>
      <c r="AH943" s="111" t="str">
        <f t="shared" si="394"/>
        <v/>
      </c>
      <c r="AI943" s="111" t="str">
        <f t="shared" si="399"/>
        <v/>
      </c>
      <c r="AJ943" s="111" t="str">
        <f t="shared" si="400"/>
        <v/>
      </c>
      <c r="AK943" s="112" t="str">
        <f t="shared" si="401"/>
        <v/>
      </c>
      <c r="AL943" t="str">
        <f t="shared" si="402"/>
        <v/>
      </c>
      <c r="AM943" t="str">
        <f t="shared" si="403"/>
        <v/>
      </c>
    </row>
    <row r="944" spans="1:39" ht="15" customHeight="1" x14ac:dyDescent="0.25">
      <c r="A944" s="131"/>
      <c r="B944" s="133"/>
      <c r="C944" s="133"/>
      <c r="D944" s="42" t="str">
        <f t="shared" si="378"/>
        <v/>
      </c>
      <c r="E944" s="43"/>
      <c r="F944" s="135"/>
      <c r="G944" s="77" t="str">
        <f t="shared" si="379"/>
        <v/>
      </c>
      <c r="H944" s="32" t="str">
        <f t="shared" si="380"/>
        <v/>
      </c>
      <c r="I944" s="78" t="str">
        <f t="shared" si="381"/>
        <v/>
      </c>
      <c r="J944" s="70" t="str">
        <f t="shared" si="382"/>
        <v/>
      </c>
      <c r="K944" s="135"/>
      <c r="L944" s="72" t="str">
        <f t="shared" si="383"/>
        <v/>
      </c>
      <c r="M944" s="135"/>
      <c r="N944" s="72" t="str">
        <f t="shared" si="384"/>
        <v/>
      </c>
      <c r="O944" s="135"/>
      <c r="P944" s="136"/>
      <c r="Q944" s="123" t="str">
        <f t="shared" si="385"/>
        <v/>
      </c>
      <c r="R944" s="45" t="str">
        <f t="shared" si="386"/>
        <v/>
      </c>
      <c r="S944" s="137"/>
      <c r="T944" s="79" t="str">
        <f t="shared" si="395"/>
        <v/>
      </c>
      <c r="U944" s="79" t="str">
        <f t="shared" si="387"/>
        <v/>
      </c>
      <c r="V944" s="73" t="str">
        <f t="shared" si="388"/>
        <v/>
      </c>
      <c r="W944" s="80" t="str">
        <f t="shared" si="389"/>
        <v/>
      </c>
      <c r="X944" s="73" t="str">
        <f t="shared" si="390"/>
        <v/>
      </c>
      <c r="Y944" s="80" t="str">
        <f t="shared" si="391"/>
        <v/>
      </c>
      <c r="Z944" s="74" t="str">
        <f t="shared" si="392"/>
        <v/>
      </c>
      <c r="AA944" s="75" t="str">
        <f t="shared" si="396"/>
        <v/>
      </c>
      <c r="AB944" s="103" t="str">
        <f t="shared" si="393"/>
        <v/>
      </c>
      <c r="AC944" s="104" t="str">
        <f t="shared" si="404"/>
        <v/>
      </c>
      <c r="AE944" s="139"/>
      <c r="AF944" s="110" t="str">
        <f t="shared" si="397"/>
        <v/>
      </c>
      <c r="AG944" s="111" t="str">
        <f t="shared" si="398"/>
        <v/>
      </c>
      <c r="AH944" s="111" t="str">
        <f t="shared" si="394"/>
        <v/>
      </c>
      <c r="AI944" s="111" t="str">
        <f t="shared" si="399"/>
        <v/>
      </c>
      <c r="AJ944" s="111" t="str">
        <f t="shared" si="400"/>
        <v/>
      </c>
      <c r="AK944" s="112" t="str">
        <f t="shared" si="401"/>
        <v/>
      </c>
      <c r="AL944" t="str">
        <f t="shared" si="402"/>
        <v/>
      </c>
      <c r="AM944" t="str">
        <f t="shared" si="403"/>
        <v/>
      </c>
    </row>
    <row r="945" spans="1:39" ht="15" customHeight="1" x14ac:dyDescent="0.25">
      <c r="A945" s="131"/>
      <c r="B945" s="133"/>
      <c r="C945" s="133"/>
      <c r="D945" s="42" t="str">
        <f t="shared" si="378"/>
        <v/>
      </c>
      <c r="E945" s="43"/>
      <c r="F945" s="135"/>
      <c r="G945" s="77" t="str">
        <f t="shared" si="379"/>
        <v/>
      </c>
      <c r="H945" s="32" t="str">
        <f t="shared" si="380"/>
        <v/>
      </c>
      <c r="I945" s="78" t="str">
        <f t="shared" si="381"/>
        <v/>
      </c>
      <c r="J945" s="70" t="str">
        <f t="shared" si="382"/>
        <v/>
      </c>
      <c r="K945" s="135"/>
      <c r="L945" s="72" t="str">
        <f t="shared" si="383"/>
        <v/>
      </c>
      <c r="M945" s="135"/>
      <c r="N945" s="72" t="str">
        <f t="shared" si="384"/>
        <v/>
      </c>
      <c r="O945" s="135"/>
      <c r="P945" s="136"/>
      <c r="Q945" s="123" t="str">
        <f t="shared" si="385"/>
        <v/>
      </c>
      <c r="R945" s="45" t="str">
        <f t="shared" si="386"/>
        <v/>
      </c>
      <c r="S945" s="137"/>
      <c r="T945" s="79" t="str">
        <f t="shared" si="395"/>
        <v/>
      </c>
      <c r="U945" s="79" t="str">
        <f t="shared" si="387"/>
        <v/>
      </c>
      <c r="V945" s="73" t="str">
        <f t="shared" si="388"/>
        <v/>
      </c>
      <c r="W945" s="80" t="str">
        <f t="shared" si="389"/>
        <v/>
      </c>
      <c r="X945" s="73" t="str">
        <f t="shared" si="390"/>
        <v/>
      </c>
      <c r="Y945" s="80" t="str">
        <f t="shared" si="391"/>
        <v/>
      </c>
      <c r="Z945" s="74" t="str">
        <f t="shared" si="392"/>
        <v/>
      </c>
      <c r="AA945" s="75" t="str">
        <f t="shared" si="396"/>
        <v/>
      </c>
      <c r="AB945" s="103" t="str">
        <f t="shared" si="393"/>
        <v/>
      </c>
      <c r="AC945" s="104" t="str">
        <f t="shared" si="404"/>
        <v/>
      </c>
      <c r="AE945" s="139"/>
      <c r="AF945" s="110" t="str">
        <f t="shared" si="397"/>
        <v/>
      </c>
      <c r="AG945" s="111" t="str">
        <f t="shared" si="398"/>
        <v/>
      </c>
      <c r="AH945" s="111" t="str">
        <f t="shared" si="394"/>
        <v/>
      </c>
      <c r="AI945" s="111" t="str">
        <f t="shared" si="399"/>
        <v/>
      </c>
      <c r="AJ945" s="111" t="str">
        <f t="shared" si="400"/>
        <v/>
      </c>
      <c r="AK945" s="112" t="str">
        <f t="shared" si="401"/>
        <v/>
      </c>
      <c r="AL945" t="str">
        <f t="shared" si="402"/>
        <v/>
      </c>
      <c r="AM945" t="str">
        <f t="shared" si="403"/>
        <v/>
      </c>
    </row>
    <row r="946" spans="1:39" ht="15" customHeight="1" x14ac:dyDescent="0.25">
      <c r="A946" s="131"/>
      <c r="B946" s="133"/>
      <c r="C946" s="133"/>
      <c r="D946" s="42" t="str">
        <f t="shared" si="378"/>
        <v/>
      </c>
      <c r="E946" s="43"/>
      <c r="F946" s="135"/>
      <c r="G946" s="77" t="str">
        <f t="shared" si="379"/>
        <v/>
      </c>
      <c r="H946" s="32" t="str">
        <f t="shared" si="380"/>
        <v/>
      </c>
      <c r="I946" s="78" t="str">
        <f t="shared" si="381"/>
        <v/>
      </c>
      <c r="J946" s="70" t="str">
        <f t="shared" si="382"/>
        <v/>
      </c>
      <c r="K946" s="135"/>
      <c r="L946" s="72" t="str">
        <f t="shared" si="383"/>
        <v/>
      </c>
      <c r="M946" s="135"/>
      <c r="N946" s="72" t="str">
        <f t="shared" si="384"/>
        <v/>
      </c>
      <c r="O946" s="135"/>
      <c r="P946" s="136"/>
      <c r="Q946" s="123" t="str">
        <f t="shared" si="385"/>
        <v/>
      </c>
      <c r="R946" s="45" t="str">
        <f t="shared" si="386"/>
        <v/>
      </c>
      <c r="S946" s="137"/>
      <c r="T946" s="79" t="str">
        <f t="shared" si="395"/>
        <v/>
      </c>
      <c r="U946" s="79" t="str">
        <f t="shared" si="387"/>
        <v/>
      </c>
      <c r="V946" s="73" t="str">
        <f t="shared" si="388"/>
        <v/>
      </c>
      <c r="W946" s="80" t="str">
        <f t="shared" si="389"/>
        <v/>
      </c>
      <c r="X946" s="73" t="str">
        <f t="shared" si="390"/>
        <v/>
      </c>
      <c r="Y946" s="80" t="str">
        <f t="shared" si="391"/>
        <v/>
      </c>
      <c r="Z946" s="74" t="str">
        <f t="shared" si="392"/>
        <v/>
      </c>
      <c r="AA946" s="75" t="str">
        <f t="shared" si="396"/>
        <v/>
      </c>
      <c r="AB946" s="103" t="str">
        <f t="shared" si="393"/>
        <v/>
      </c>
      <c r="AC946" s="104" t="str">
        <f t="shared" si="404"/>
        <v/>
      </c>
      <c r="AE946" s="139"/>
      <c r="AF946" s="110" t="str">
        <f t="shared" si="397"/>
        <v/>
      </c>
      <c r="AG946" s="111" t="str">
        <f t="shared" si="398"/>
        <v/>
      </c>
      <c r="AH946" s="111" t="str">
        <f t="shared" si="394"/>
        <v/>
      </c>
      <c r="AI946" s="111" t="str">
        <f t="shared" si="399"/>
        <v/>
      </c>
      <c r="AJ946" s="111" t="str">
        <f t="shared" si="400"/>
        <v/>
      </c>
      <c r="AK946" s="112" t="str">
        <f t="shared" si="401"/>
        <v/>
      </c>
      <c r="AL946" t="str">
        <f t="shared" si="402"/>
        <v/>
      </c>
      <c r="AM946" t="str">
        <f t="shared" si="403"/>
        <v/>
      </c>
    </row>
    <row r="947" spans="1:39" ht="15" customHeight="1" x14ac:dyDescent="0.25">
      <c r="A947" s="131"/>
      <c r="B947" s="133"/>
      <c r="C947" s="133"/>
      <c r="D947" s="42" t="str">
        <f t="shared" si="378"/>
        <v/>
      </c>
      <c r="E947" s="43"/>
      <c r="F947" s="135"/>
      <c r="G947" s="77" t="str">
        <f t="shared" si="379"/>
        <v/>
      </c>
      <c r="H947" s="32" t="str">
        <f t="shared" si="380"/>
        <v/>
      </c>
      <c r="I947" s="78" t="str">
        <f t="shared" si="381"/>
        <v/>
      </c>
      <c r="J947" s="70" t="str">
        <f t="shared" si="382"/>
        <v/>
      </c>
      <c r="K947" s="135"/>
      <c r="L947" s="72" t="str">
        <f t="shared" si="383"/>
        <v/>
      </c>
      <c r="M947" s="135"/>
      <c r="N947" s="72" t="str">
        <f t="shared" si="384"/>
        <v/>
      </c>
      <c r="O947" s="135"/>
      <c r="P947" s="136"/>
      <c r="Q947" s="123" t="str">
        <f t="shared" si="385"/>
        <v/>
      </c>
      <c r="R947" s="45" t="str">
        <f t="shared" si="386"/>
        <v/>
      </c>
      <c r="S947" s="137"/>
      <c r="T947" s="79" t="str">
        <f t="shared" si="395"/>
        <v/>
      </c>
      <c r="U947" s="79" t="str">
        <f t="shared" si="387"/>
        <v/>
      </c>
      <c r="V947" s="73" t="str">
        <f t="shared" si="388"/>
        <v/>
      </c>
      <c r="W947" s="80" t="str">
        <f t="shared" si="389"/>
        <v/>
      </c>
      <c r="X947" s="73" t="str">
        <f t="shared" si="390"/>
        <v/>
      </c>
      <c r="Y947" s="80" t="str">
        <f t="shared" si="391"/>
        <v/>
      </c>
      <c r="Z947" s="74" t="str">
        <f t="shared" si="392"/>
        <v/>
      </c>
      <c r="AA947" s="75" t="str">
        <f t="shared" si="396"/>
        <v/>
      </c>
      <c r="AB947" s="103" t="str">
        <f t="shared" si="393"/>
        <v/>
      </c>
      <c r="AC947" s="104" t="str">
        <f t="shared" si="404"/>
        <v/>
      </c>
      <c r="AE947" s="139"/>
      <c r="AF947" s="110" t="str">
        <f t="shared" si="397"/>
        <v/>
      </c>
      <c r="AG947" s="111" t="str">
        <f t="shared" si="398"/>
        <v/>
      </c>
      <c r="AH947" s="111" t="str">
        <f t="shared" si="394"/>
        <v/>
      </c>
      <c r="AI947" s="111" t="str">
        <f t="shared" si="399"/>
        <v/>
      </c>
      <c r="AJ947" s="111" t="str">
        <f t="shared" si="400"/>
        <v/>
      </c>
      <c r="AK947" s="112" t="str">
        <f t="shared" si="401"/>
        <v/>
      </c>
      <c r="AL947" t="str">
        <f t="shared" si="402"/>
        <v/>
      </c>
      <c r="AM947" t="str">
        <f t="shared" si="403"/>
        <v/>
      </c>
    </row>
    <row r="948" spans="1:39" ht="15" customHeight="1" x14ac:dyDescent="0.25">
      <c r="A948" s="131"/>
      <c r="B948" s="133"/>
      <c r="C948" s="133"/>
      <c r="D948" s="42" t="str">
        <f t="shared" si="378"/>
        <v/>
      </c>
      <c r="E948" s="43"/>
      <c r="F948" s="135"/>
      <c r="G948" s="77" t="str">
        <f t="shared" si="379"/>
        <v/>
      </c>
      <c r="H948" s="32" t="str">
        <f t="shared" si="380"/>
        <v/>
      </c>
      <c r="I948" s="78" t="str">
        <f t="shared" si="381"/>
        <v/>
      </c>
      <c r="J948" s="70" t="str">
        <f t="shared" si="382"/>
        <v/>
      </c>
      <c r="K948" s="135"/>
      <c r="L948" s="72" t="str">
        <f t="shared" si="383"/>
        <v/>
      </c>
      <c r="M948" s="135"/>
      <c r="N948" s="72" t="str">
        <f t="shared" si="384"/>
        <v/>
      </c>
      <c r="O948" s="135"/>
      <c r="P948" s="136"/>
      <c r="Q948" s="123" t="str">
        <f t="shared" si="385"/>
        <v/>
      </c>
      <c r="R948" s="45" t="str">
        <f t="shared" si="386"/>
        <v/>
      </c>
      <c r="S948" s="137"/>
      <c r="T948" s="79" t="str">
        <f t="shared" si="395"/>
        <v/>
      </c>
      <c r="U948" s="79" t="str">
        <f t="shared" si="387"/>
        <v/>
      </c>
      <c r="V948" s="73" t="str">
        <f t="shared" si="388"/>
        <v/>
      </c>
      <c r="W948" s="80" t="str">
        <f t="shared" si="389"/>
        <v/>
      </c>
      <c r="X948" s="73" t="str">
        <f t="shared" si="390"/>
        <v/>
      </c>
      <c r="Y948" s="80" t="str">
        <f t="shared" si="391"/>
        <v/>
      </c>
      <c r="Z948" s="74" t="str">
        <f t="shared" si="392"/>
        <v/>
      </c>
      <c r="AA948" s="75" t="str">
        <f t="shared" si="396"/>
        <v/>
      </c>
      <c r="AB948" s="103" t="str">
        <f t="shared" si="393"/>
        <v/>
      </c>
      <c r="AC948" s="104" t="str">
        <f t="shared" si="404"/>
        <v/>
      </c>
      <c r="AE948" s="139"/>
      <c r="AF948" s="110" t="str">
        <f t="shared" si="397"/>
        <v/>
      </c>
      <c r="AG948" s="111" t="str">
        <f t="shared" si="398"/>
        <v/>
      </c>
      <c r="AH948" s="111" t="str">
        <f t="shared" si="394"/>
        <v/>
      </c>
      <c r="AI948" s="111" t="str">
        <f t="shared" si="399"/>
        <v/>
      </c>
      <c r="AJ948" s="111" t="str">
        <f t="shared" si="400"/>
        <v/>
      </c>
      <c r="AK948" s="112" t="str">
        <f t="shared" si="401"/>
        <v/>
      </c>
      <c r="AL948" t="str">
        <f t="shared" si="402"/>
        <v/>
      </c>
      <c r="AM948" t="str">
        <f t="shared" si="403"/>
        <v/>
      </c>
    </row>
    <row r="949" spans="1:39" ht="15" customHeight="1" x14ac:dyDescent="0.25">
      <c r="A949" s="131"/>
      <c r="B949" s="133"/>
      <c r="C949" s="133"/>
      <c r="D949" s="42" t="str">
        <f t="shared" si="378"/>
        <v/>
      </c>
      <c r="E949" s="43"/>
      <c r="F949" s="135"/>
      <c r="G949" s="77" t="str">
        <f t="shared" si="379"/>
        <v/>
      </c>
      <c r="H949" s="32" t="str">
        <f t="shared" si="380"/>
        <v/>
      </c>
      <c r="I949" s="78" t="str">
        <f t="shared" si="381"/>
        <v/>
      </c>
      <c r="J949" s="70" t="str">
        <f t="shared" si="382"/>
        <v/>
      </c>
      <c r="K949" s="135"/>
      <c r="L949" s="72" t="str">
        <f t="shared" si="383"/>
        <v/>
      </c>
      <c r="M949" s="135"/>
      <c r="N949" s="72" t="str">
        <f t="shared" si="384"/>
        <v/>
      </c>
      <c r="O949" s="135"/>
      <c r="P949" s="136"/>
      <c r="Q949" s="123" t="str">
        <f t="shared" si="385"/>
        <v/>
      </c>
      <c r="R949" s="45" t="str">
        <f t="shared" si="386"/>
        <v/>
      </c>
      <c r="S949" s="137"/>
      <c r="T949" s="79" t="str">
        <f t="shared" si="395"/>
        <v/>
      </c>
      <c r="U949" s="79" t="str">
        <f t="shared" si="387"/>
        <v/>
      </c>
      <c r="V949" s="73" t="str">
        <f t="shared" si="388"/>
        <v/>
      </c>
      <c r="W949" s="80" t="str">
        <f t="shared" si="389"/>
        <v/>
      </c>
      <c r="X949" s="73" t="str">
        <f t="shared" si="390"/>
        <v/>
      </c>
      <c r="Y949" s="80" t="str">
        <f t="shared" si="391"/>
        <v/>
      </c>
      <c r="Z949" s="74" t="str">
        <f t="shared" si="392"/>
        <v/>
      </c>
      <c r="AA949" s="75" t="str">
        <f t="shared" si="396"/>
        <v/>
      </c>
      <c r="AB949" s="103" t="str">
        <f t="shared" si="393"/>
        <v/>
      </c>
      <c r="AC949" s="104" t="str">
        <f t="shared" si="404"/>
        <v/>
      </c>
      <c r="AE949" s="139"/>
      <c r="AF949" s="110" t="str">
        <f t="shared" si="397"/>
        <v/>
      </c>
      <c r="AG949" s="111" t="str">
        <f t="shared" si="398"/>
        <v/>
      </c>
      <c r="AH949" s="111" t="str">
        <f t="shared" si="394"/>
        <v/>
      </c>
      <c r="AI949" s="111" t="str">
        <f t="shared" si="399"/>
        <v/>
      </c>
      <c r="AJ949" s="111" t="str">
        <f t="shared" si="400"/>
        <v/>
      </c>
      <c r="AK949" s="112" t="str">
        <f t="shared" si="401"/>
        <v/>
      </c>
      <c r="AL949" t="str">
        <f t="shared" si="402"/>
        <v/>
      </c>
      <c r="AM949" t="str">
        <f t="shared" si="403"/>
        <v/>
      </c>
    </row>
    <row r="950" spans="1:39" ht="15" customHeight="1" x14ac:dyDescent="0.25">
      <c r="A950" s="131"/>
      <c r="B950" s="133"/>
      <c r="C950" s="133"/>
      <c r="D950" s="42" t="str">
        <f t="shared" si="378"/>
        <v/>
      </c>
      <c r="E950" s="43"/>
      <c r="F950" s="135"/>
      <c r="G950" s="77" t="str">
        <f t="shared" si="379"/>
        <v/>
      </c>
      <c r="H950" s="32" t="str">
        <f t="shared" si="380"/>
        <v/>
      </c>
      <c r="I950" s="78" t="str">
        <f t="shared" si="381"/>
        <v/>
      </c>
      <c r="J950" s="70" t="str">
        <f t="shared" si="382"/>
        <v/>
      </c>
      <c r="K950" s="135"/>
      <c r="L950" s="72" t="str">
        <f t="shared" si="383"/>
        <v/>
      </c>
      <c r="M950" s="135"/>
      <c r="N950" s="72" t="str">
        <f t="shared" si="384"/>
        <v/>
      </c>
      <c r="O950" s="135"/>
      <c r="P950" s="136"/>
      <c r="Q950" s="123" t="str">
        <f t="shared" si="385"/>
        <v/>
      </c>
      <c r="R950" s="45" t="str">
        <f t="shared" si="386"/>
        <v/>
      </c>
      <c r="S950" s="137"/>
      <c r="T950" s="79" t="str">
        <f t="shared" si="395"/>
        <v/>
      </c>
      <c r="U950" s="79" t="str">
        <f t="shared" si="387"/>
        <v/>
      </c>
      <c r="V950" s="73" t="str">
        <f t="shared" si="388"/>
        <v/>
      </c>
      <c r="W950" s="80" t="str">
        <f t="shared" si="389"/>
        <v/>
      </c>
      <c r="X950" s="73" t="str">
        <f t="shared" si="390"/>
        <v/>
      </c>
      <c r="Y950" s="80" t="str">
        <f t="shared" si="391"/>
        <v/>
      </c>
      <c r="Z950" s="74" t="str">
        <f t="shared" si="392"/>
        <v/>
      </c>
      <c r="AA950" s="75" t="str">
        <f t="shared" si="396"/>
        <v/>
      </c>
      <c r="AB950" s="103" t="str">
        <f t="shared" si="393"/>
        <v/>
      </c>
      <c r="AC950" s="104" t="str">
        <f t="shared" si="404"/>
        <v/>
      </c>
      <c r="AE950" s="139"/>
      <c r="AF950" s="110" t="str">
        <f t="shared" si="397"/>
        <v/>
      </c>
      <c r="AG950" s="111" t="str">
        <f t="shared" si="398"/>
        <v/>
      </c>
      <c r="AH950" s="111" t="str">
        <f t="shared" si="394"/>
        <v/>
      </c>
      <c r="AI950" s="111" t="str">
        <f t="shared" si="399"/>
        <v/>
      </c>
      <c r="AJ950" s="111" t="str">
        <f t="shared" si="400"/>
        <v/>
      </c>
      <c r="AK950" s="112" t="str">
        <f t="shared" si="401"/>
        <v/>
      </c>
      <c r="AL950" t="str">
        <f t="shared" si="402"/>
        <v/>
      </c>
      <c r="AM950" t="str">
        <f t="shared" si="403"/>
        <v/>
      </c>
    </row>
    <row r="951" spans="1:39" ht="15" customHeight="1" x14ac:dyDescent="0.25">
      <c r="A951" s="131"/>
      <c r="B951" s="133"/>
      <c r="C951" s="133"/>
      <c r="D951" s="42" t="str">
        <f t="shared" si="378"/>
        <v/>
      </c>
      <c r="E951" s="43"/>
      <c r="F951" s="135"/>
      <c r="G951" s="77" t="str">
        <f t="shared" si="379"/>
        <v/>
      </c>
      <c r="H951" s="32" t="str">
        <f t="shared" si="380"/>
        <v/>
      </c>
      <c r="I951" s="78" t="str">
        <f t="shared" si="381"/>
        <v/>
      </c>
      <c r="J951" s="70" t="str">
        <f t="shared" si="382"/>
        <v/>
      </c>
      <c r="K951" s="135"/>
      <c r="L951" s="72" t="str">
        <f t="shared" si="383"/>
        <v/>
      </c>
      <c r="M951" s="135"/>
      <c r="N951" s="72" t="str">
        <f t="shared" si="384"/>
        <v/>
      </c>
      <c r="O951" s="135"/>
      <c r="P951" s="136"/>
      <c r="Q951" s="123" t="str">
        <f t="shared" si="385"/>
        <v/>
      </c>
      <c r="R951" s="45" t="str">
        <f t="shared" si="386"/>
        <v/>
      </c>
      <c r="S951" s="137"/>
      <c r="T951" s="79" t="str">
        <f t="shared" si="395"/>
        <v/>
      </c>
      <c r="U951" s="79" t="str">
        <f t="shared" si="387"/>
        <v/>
      </c>
      <c r="V951" s="73" t="str">
        <f t="shared" si="388"/>
        <v/>
      </c>
      <c r="W951" s="80" t="str">
        <f t="shared" si="389"/>
        <v/>
      </c>
      <c r="X951" s="73" t="str">
        <f t="shared" si="390"/>
        <v/>
      </c>
      <c r="Y951" s="80" t="str">
        <f t="shared" si="391"/>
        <v/>
      </c>
      <c r="Z951" s="74" t="str">
        <f t="shared" si="392"/>
        <v/>
      </c>
      <c r="AA951" s="75" t="str">
        <f t="shared" si="396"/>
        <v/>
      </c>
      <c r="AB951" s="103" t="str">
        <f t="shared" si="393"/>
        <v/>
      </c>
      <c r="AC951" s="104" t="str">
        <f t="shared" si="404"/>
        <v/>
      </c>
      <c r="AE951" s="139"/>
      <c r="AF951" s="110" t="str">
        <f t="shared" si="397"/>
        <v/>
      </c>
      <c r="AG951" s="111" t="str">
        <f t="shared" si="398"/>
        <v/>
      </c>
      <c r="AH951" s="111" t="str">
        <f t="shared" si="394"/>
        <v/>
      </c>
      <c r="AI951" s="111" t="str">
        <f t="shared" si="399"/>
        <v/>
      </c>
      <c r="AJ951" s="111" t="str">
        <f t="shared" si="400"/>
        <v/>
      </c>
      <c r="AK951" s="112" t="str">
        <f t="shared" si="401"/>
        <v/>
      </c>
      <c r="AL951" t="str">
        <f t="shared" si="402"/>
        <v/>
      </c>
      <c r="AM951" t="str">
        <f t="shared" si="403"/>
        <v/>
      </c>
    </row>
    <row r="952" spans="1:39" ht="15" customHeight="1" x14ac:dyDescent="0.25">
      <c r="A952" s="131"/>
      <c r="B952" s="133"/>
      <c r="C952" s="133"/>
      <c r="D952" s="42" t="str">
        <f t="shared" si="378"/>
        <v/>
      </c>
      <c r="E952" s="43"/>
      <c r="F952" s="135"/>
      <c r="G952" s="77" t="str">
        <f t="shared" si="379"/>
        <v/>
      </c>
      <c r="H952" s="32" t="str">
        <f t="shared" si="380"/>
        <v/>
      </c>
      <c r="I952" s="78" t="str">
        <f t="shared" si="381"/>
        <v/>
      </c>
      <c r="J952" s="70" t="str">
        <f t="shared" si="382"/>
        <v/>
      </c>
      <c r="K952" s="135"/>
      <c r="L952" s="72" t="str">
        <f t="shared" si="383"/>
        <v/>
      </c>
      <c r="M952" s="135"/>
      <c r="N952" s="72" t="str">
        <f t="shared" si="384"/>
        <v/>
      </c>
      <c r="O952" s="135"/>
      <c r="P952" s="136"/>
      <c r="Q952" s="123" t="str">
        <f t="shared" si="385"/>
        <v/>
      </c>
      <c r="R952" s="45" t="str">
        <f t="shared" si="386"/>
        <v/>
      </c>
      <c r="S952" s="137"/>
      <c r="T952" s="79" t="str">
        <f t="shared" si="395"/>
        <v/>
      </c>
      <c r="U952" s="79" t="str">
        <f t="shared" si="387"/>
        <v/>
      </c>
      <c r="V952" s="73" t="str">
        <f t="shared" si="388"/>
        <v/>
      </c>
      <c r="W952" s="80" t="str">
        <f t="shared" si="389"/>
        <v/>
      </c>
      <c r="X952" s="73" t="str">
        <f t="shared" si="390"/>
        <v/>
      </c>
      <c r="Y952" s="80" t="str">
        <f t="shared" si="391"/>
        <v/>
      </c>
      <c r="Z952" s="74" t="str">
        <f t="shared" si="392"/>
        <v/>
      </c>
      <c r="AA952" s="75" t="str">
        <f t="shared" si="396"/>
        <v/>
      </c>
      <c r="AB952" s="103" t="str">
        <f t="shared" si="393"/>
        <v/>
      </c>
      <c r="AC952" s="104" t="str">
        <f t="shared" si="404"/>
        <v/>
      </c>
      <c r="AE952" s="139"/>
      <c r="AF952" s="110" t="str">
        <f t="shared" si="397"/>
        <v/>
      </c>
      <c r="AG952" s="111" t="str">
        <f t="shared" si="398"/>
        <v/>
      </c>
      <c r="AH952" s="111" t="str">
        <f t="shared" si="394"/>
        <v/>
      </c>
      <c r="AI952" s="111" t="str">
        <f t="shared" si="399"/>
        <v/>
      </c>
      <c r="AJ952" s="111" t="str">
        <f t="shared" si="400"/>
        <v/>
      </c>
      <c r="AK952" s="112" t="str">
        <f t="shared" si="401"/>
        <v/>
      </c>
      <c r="AL952" t="str">
        <f t="shared" si="402"/>
        <v/>
      </c>
      <c r="AM952" t="str">
        <f t="shared" si="403"/>
        <v/>
      </c>
    </row>
    <row r="953" spans="1:39" ht="15" customHeight="1" x14ac:dyDescent="0.25">
      <c r="A953" s="131"/>
      <c r="B953" s="133"/>
      <c r="C953" s="133"/>
      <c r="D953" s="42" t="str">
        <f t="shared" si="378"/>
        <v/>
      </c>
      <c r="E953" s="43"/>
      <c r="F953" s="135"/>
      <c r="G953" s="77" t="str">
        <f t="shared" si="379"/>
        <v/>
      </c>
      <c r="H953" s="32" t="str">
        <f t="shared" si="380"/>
        <v/>
      </c>
      <c r="I953" s="78" t="str">
        <f t="shared" si="381"/>
        <v/>
      </c>
      <c r="J953" s="70" t="str">
        <f t="shared" si="382"/>
        <v/>
      </c>
      <c r="K953" s="135"/>
      <c r="L953" s="72" t="str">
        <f t="shared" si="383"/>
        <v/>
      </c>
      <c r="M953" s="135"/>
      <c r="N953" s="72" t="str">
        <f t="shared" si="384"/>
        <v/>
      </c>
      <c r="O953" s="135"/>
      <c r="P953" s="136"/>
      <c r="Q953" s="123" t="str">
        <f t="shared" si="385"/>
        <v/>
      </c>
      <c r="R953" s="45" t="str">
        <f t="shared" si="386"/>
        <v/>
      </c>
      <c r="S953" s="137"/>
      <c r="T953" s="79" t="str">
        <f t="shared" si="395"/>
        <v/>
      </c>
      <c r="U953" s="79" t="str">
        <f t="shared" si="387"/>
        <v/>
      </c>
      <c r="V953" s="73" t="str">
        <f t="shared" si="388"/>
        <v/>
      </c>
      <c r="W953" s="80" t="str">
        <f t="shared" si="389"/>
        <v/>
      </c>
      <c r="X953" s="73" t="str">
        <f t="shared" si="390"/>
        <v/>
      </c>
      <c r="Y953" s="80" t="str">
        <f t="shared" si="391"/>
        <v/>
      </c>
      <c r="Z953" s="74" t="str">
        <f t="shared" si="392"/>
        <v/>
      </c>
      <c r="AA953" s="75" t="str">
        <f t="shared" si="396"/>
        <v/>
      </c>
      <c r="AB953" s="103" t="str">
        <f t="shared" si="393"/>
        <v/>
      </c>
      <c r="AC953" s="104" t="str">
        <f t="shared" si="404"/>
        <v/>
      </c>
      <c r="AE953" s="139"/>
      <c r="AF953" s="110" t="str">
        <f t="shared" si="397"/>
        <v/>
      </c>
      <c r="AG953" s="111" t="str">
        <f t="shared" si="398"/>
        <v/>
      </c>
      <c r="AH953" s="111" t="str">
        <f t="shared" si="394"/>
        <v/>
      </c>
      <c r="AI953" s="111" t="str">
        <f t="shared" si="399"/>
        <v/>
      </c>
      <c r="AJ953" s="111" t="str">
        <f t="shared" si="400"/>
        <v/>
      </c>
      <c r="AK953" s="112" t="str">
        <f t="shared" si="401"/>
        <v/>
      </c>
      <c r="AL953" t="str">
        <f t="shared" si="402"/>
        <v/>
      </c>
      <c r="AM953" t="str">
        <f t="shared" si="403"/>
        <v/>
      </c>
    </row>
    <row r="954" spans="1:39" ht="15" customHeight="1" x14ac:dyDescent="0.25">
      <c r="A954" s="131"/>
      <c r="B954" s="133"/>
      <c r="C954" s="133"/>
      <c r="D954" s="42" t="str">
        <f t="shared" si="378"/>
        <v/>
      </c>
      <c r="E954" s="43"/>
      <c r="F954" s="135"/>
      <c r="G954" s="77" t="str">
        <f t="shared" si="379"/>
        <v/>
      </c>
      <c r="H954" s="32" t="str">
        <f t="shared" si="380"/>
        <v/>
      </c>
      <c r="I954" s="78" t="str">
        <f t="shared" si="381"/>
        <v/>
      </c>
      <c r="J954" s="70" t="str">
        <f t="shared" si="382"/>
        <v/>
      </c>
      <c r="K954" s="135"/>
      <c r="L954" s="72" t="str">
        <f t="shared" si="383"/>
        <v/>
      </c>
      <c r="M954" s="135"/>
      <c r="N954" s="72" t="str">
        <f t="shared" si="384"/>
        <v/>
      </c>
      <c r="O954" s="135"/>
      <c r="P954" s="136"/>
      <c r="Q954" s="123" t="str">
        <f t="shared" si="385"/>
        <v/>
      </c>
      <c r="R954" s="45" t="str">
        <f t="shared" si="386"/>
        <v/>
      </c>
      <c r="S954" s="137"/>
      <c r="T954" s="79" t="str">
        <f t="shared" si="395"/>
        <v/>
      </c>
      <c r="U954" s="79" t="str">
        <f t="shared" si="387"/>
        <v/>
      </c>
      <c r="V954" s="73" t="str">
        <f t="shared" si="388"/>
        <v/>
      </c>
      <c r="W954" s="80" t="str">
        <f t="shared" si="389"/>
        <v/>
      </c>
      <c r="X954" s="73" t="str">
        <f t="shared" si="390"/>
        <v/>
      </c>
      <c r="Y954" s="80" t="str">
        <f t="shared" si="391"/>
        <v/>
      </c>
      <c r="Z954" s="74" t="str">
        <f t="shared" si="392"/>
        <v/>
      </c>
      <c r="AA954" s="75" t="str">
        <f t="shared" si="396"/>
        <v/>
      </c>
      <c r="AB954" s="103" t="str">
        <f t="shared" si="393"/>
        <v/>
      </c>
      <c r="AC954" s="104" t="str">
        <f t="shared" si="404"/>
        <v/>
      </c>
      <c r="AE954" s="139"/>
      <c r="AF954" s="110" t="str">
        <f t="shared" si="397"/>
        <v/>
      </c>
      <c r="AG954" s="111" t="str">
        <f t="shared" si="398"/>
        <v/>
      </c>
      <c r="AH954" s="111" t="str">
        <f t="shared" si="394"/>
        <v/>
      </c>
      <c r="AI954" s="111" t="str">
        <f t="shared" si="399"/>
        <v/>
      </c>
      <c r="AJ954" s="111" t="str">
        <f t="shared" si="400"/>
        <v/>
      </c>
      <c r="AK954" s="112" t="str">
        <f t="shared" si="401"/>
        <v/>
      </c>
      <c r="AL954" t="str">
        <f t="shared" si="402"/>
        <v/>
      </c>
      <c r="AM954" t="str">
        <f t="shared" si="403"/>
        <v/>
      </c>
    </row>
    <row r="955" spans="1:39" ht="15" customHeight="1" x14ac:dyDescent="0.25">
      <c r="A955" s="131"/>
      <c r="B955" s="133"/>
      <c r="C955" s="133"/>
      <c r="D955" s="42" t="str">
        <f t="shared" si="378"/>
        <v/>
      </c>
      <c r="E955" s="43"/>
      <c r="F955" s="135"/>
      <c r="G955" s="77" t="str">
        <f t="shared" si="379"/>
        <v/>
      </c>
      <c r="H955" s="32" t="str">
        <f t="shared" si="380"/>
        <v/>
      </c>
      <c r="I955" s="78" t="str">
        <f t="shared" si="381"/>
        <v/>
      </c>
      <c r="J955" s="70" t="str">
        <f t="shared" si="382"/>
        <v/>
      </c>
      <c r="K955" s="135"/>
      <c r="L955" s="72" t="str">
        <f t="shared" si="383"/>
        <v/>
      </c>
      <c r="M955" s="135"/>
      <c r="N955" s="72" t="str">
        <f t="shared" si="384"/>
        <v/>
      </c>
      <c r="O955" s="135"/>
      <c r="P955" s="136"/>
      <c r="Q955" s="123" t="str">
        <f t="shared" si="385"/>
        <v/>
      </c>
      <c r="R955" s="45" t="str">
        <f t="shared" si="386"/>
        <v/>
      </c>
      <c r="S955" s="137"/>
      <c r="T955" s="79" t="str">
        <f t="shared" si="395"/>
        <v/>
      </c>
      <c r="U955" s="79" t="str">
        <f t="shared" si="387"/>
        <v/>
      </c>
      <c r="V955" s="73" t="str">
        <f t="shared" si="388"/>
        <v/>
      </c>
      <c r="W955" s="80" t="str">
        <f t="shared" si="389"/>
        <v/>
      </c>
      <c r="X955" s="73" t="str">
        <f t="shared" si="390"/>
        <v/>
      </c>
      <c r="Y955" s="80" t="str">
        <f t="shared" si="391"/>
        <v/>
      </c>
      <c r="Z955" s="74" t="str">
        <f t="shared" si="392"/>
        <v/>
      </c>
      <c r="AA955" s="75" t="str">
        <f t="shared" si="396"/>
        <v/>
      </c>
      <c r="AB955" s="103" t="str">
        <f t="shared" si="393"/>
        <v/>
      </c>
      <c r="AC955" s="104" t="str">
        <f t="shared" si="404"/>
        <v/>
      </c>
      <c r="AE955" s="139"/>
      <c r="AF955" s="110" t="str">
        <f t="shared" si="397"/>
        <v/>
      </c>
      <c r="AG955" s="111" t="str">
        <f t="shared" si="398"/>
        <v/>
      </c>
      <c r="AH955" s="111" t="str">
        <f t="shared" si="394"/>
        <v/>
      </c>
      <c r="AI955" s="111" t="str">
        <f t="shared" si="399"/>
        <v/>
      </c>
      <c r="AJ955" s="111" t="str">
        <f t="shared" si="400"/>
        <v/>
      </c>
      <c r="AK955" s="112" t="str">
        <f t="shared" si="401"/>
        <v/>
      </c>
      <c r="AL955" t="str">
        <f t="shared" si="402"/>
        <v/>
      </c>
      <c r="AM955" t="str">
        <f t="shared" si="403"/>
        <v/>
      </c>
    </row>
    <row r="956" spans="1:39" ht="15" customHeight="1" x14ac:dyDescent="0.25">
      <c r="A956" s="131"/>
      <c r="B956" s="133"/>
      <c r="C956" s="133"/>
      <c r="D956" s="42" t="str">
        <f t="shared" si="378"/>
        <v/>
      </c>
      <c r="E956" s="43"/>
      <c r="F956" s="135"/>
      <c r="G956" s="77" t="str">
        <f t="shared" si="379"/>
        <v/>
      </c>
      <c r="H956" s="32" t="str">
        <f t="shared" si="380"/>
        <v/>
      </c>
      <c r="I956" s="78" t="str">
        <f t="shared" si="381"/>
        <v/>
      </c>
      <c r="J956" s="70" t="str">
        <f t="shared" si="382"/>
        <v/>
      </c>
      <c r="K956" s="135"/>
      <c r="L956" s="72" t="str">
        <f t="shared" si="383"/>
        <v/>
      </c>
      <c r="M956" s="135"/>
      <c r="N956" s="72" t="str">
        <f t="shared" si="384"/>
        <v/>
      </c>
      <c r="O956" s="135"/>
      <c r="P956" s="136"/>
      <c r="Q956" s="123" t="str">
        <f t="shared" si="385"/>
        <v/>
      </c>
      <c r="R956" s="45" t="str">
        <f t="shared" si="386"/>
        <v/>
      </c>
      <c r="S956" s="137"/>
      <c r="T956" s="79" t="str">
        <f t="shared" si="395"/>
        <v/>
      </c>
      <c r="U956" s="79" t="str">
        <f t="shared" si="387"/>
        <v/>
      </c>
      <c r="V956" s="73" t="str">
        <f t="shared" si="388"/>
        <v/>
      </c>
      <c r="W956" s="80" t="str">
        <f t="shared" si="389"/>
        <v/>
      </c>
      <c r="X956" s="73" t="str">
        <f t="shared" si="390"/>
        <v/>
      </c>
      <c r="Y956" s="80" t="str">
        <f t="shared" si="391"/>
        <v/>
      </c>
      <c r="Z956" s="74" t="str">
        <f t="shared" si="392"/>
        <v/>
      </c>
      <c r="AA956" s="75" t="str">
        <f t="shared" si="396"/>
        <v/>
      </c>
      <c r="AB956" s="103" t="str">
        <f t="shared" si="393"/>
        <v/>
      </c>
      <c r="AC956" s="104" t="str">
        <f t="shared" si="404"/>
        <v/>
      </c>
      <c r="AE956" s="139"/>
      <c r="AF956" s="110" t="str">
        <f t="shared" si="397"/>
        <v/>
      </c>
      <c r="AG956" s="111" t="str">
        <f t="shared" si="398"/>
        <v/>
      </c>
      <c r="AH956" s="111" t="str">
        <f t="shared" si="394"/>
        <v/>
      </c>
      <c r="AI956" s="111" t="str">
        <f t="shared" si="399"/>
        <v/>
      </c>
      <c r="AJ956" s="111" t="str">
        <f t="shared" si="400"/>
        <v/>
      </c>
      <c r="AK956" s="112" t="str">
        <f t="shared" si="401"/>
        <v/>
      </c>
      <c r="AL956" t="str">
        <f t="shared" si="402"/>
        <v/>
      </c>
      <c r="AM956" t="str">
        <f t="shared" si="403"/>
        <v/>
      </c>
    </row>
    <row r="957" spans="1:39" ht="15" customHeight="1" x14ac:dyDescent="0.25">
      <c r="A957" s="131"/>
      <c r="B957" s="133"/>
      <c r="C957" s="133"/>
      <c r="D957" s="42" t="str">
        <f t="shared" si="378"/>
        <v/>
      </c>
      <c r="E957" s="43"/>
      <c r="F957" s="135"/>
      <c r="G957" s="77" t="str">
        <f t="shared" si="379"/>
        <v/>
      </c>
      <c r="H957" s="32" t="str">
        <f t="shared" si="380"/>
        <v/>
      </c>
      <c r="I957" s="78" t="str">
        <f t="shared" si="381"/>
        <v/>
      </c>
      <c r="J957" s="70" t="str">
        <f t="shared" si="382"/>
        <v/>
      </c>
      <c r="K957" s="135"/>
      <c r="L957" s="72" t="str">
        <f t="shared" si="383"/>
        <v/>
      </c>
      <c r="M957" s="135"/>
      <c r="N957" s="72" t="str">
        <f t="shared" si="384"/>
        <v/>
      </c>
      <c r="O957" s="135"/>
      <c r="P957" s="136"/>
      <c r="Q957" s="123" t="str">
        <f t="shared" si="385"/>
        <v/>
      </c>
      <c r="R957" s="45" t="str">
        <f t="shared" si="386"/>
        <v/>
      </c>
      <c r="S957" s="137"/>
      <c r="T957" s="79" t="str">
        <f t="shared" si="395"/>
        <v/>
      </c>
      <c r="U957" s="79" t="str">
        <f t="shared" si="387"/>
        <v/>
      </c>
      <c r="V957" s="73" t="str">
        <f t="shared" si="388"/>
        <v/>
      </c>
      <c r="W957" s="80" t="str">
        <f t="shared" si="389"/>
        <v/>
      </c>
      <c r="X957" s="73" t="str">
        <f t="shared" si="390"/>
        <v/>
      </c>
      <c r="Y957" s="80" t="str">
        <f t="shared" si="391"/>
        <v/>
      </c>
      <c r="Z957" s="74" t="str">
        <f t="shared" si="392"/>
        <v/>
      </c>
      <c r="AA957" s="75" t="str">
        <f t="shared" si="396"/>
        <v/>
      </c>
      <c r="AB957" s="103" t="str">
        <f t="shared" si="393"/>
        <v/>
      </c>
      <c r="AC957" s="104" t="str">
        <f t="shared" si="404"/>
        <v/>
      </c>
      <c r="AE957" s="139"/>
      <c r="AF957" s="110" t="str">
        <f t="shared" si="397"/>
        <v/>
      </c>
      <c r="AG957" s="111" t="str">
        <f t="shared" si="398"/>
        <v/>
      </c>
      <c r="AH957" s="111" t="str">
        <f t="shared" si="394"/>
        <v/>
      </c>
      <c r="AI957" s="111" t="str">
        <f t="shared" si="399"/>
        <v/>
      </c>
      <c r="AJ957" s="111" t="str">
        <f t="shared" si="400"/>
        <v/>
      </c>
      <c r="AK957" s="112" t="str">
        <f t="shared" si="401"/>
        <v/>
      </c>
      <c r="AL957" t="str">
        <f t="shared" si="402"/>
        <v/>
      </c>
      <c r="AM957" t="str">
        <f t="shared" si="403"/>
        <v/>
      </c>
    </row>
    <row r="958" spans="1:39" ht="15" customHeight="1" x14ac:dyDescent="0.25">
      <c r="A958" s="131"/>
      <c r="B958" s="133"/>
      <c r="C958" s="133"/>
      <c r="D958" s="42" t="str">
        <f t="shared" si="378"/>
        <v/>
      </c>
      <c r="E958" s="43"/>
      <c r="F958" s="135"/>
      <c r="G958" s="77" t="str">
        <f t="shared" si="379"/>
        <v/>
      </c>
      <c r="H958" s="32" t="str">
        <f t="shared" si="380"/>
        <v/>
      </c>
      <c r="I958" s="78" t="str">
        <f t="shared" si="381"/>
        <v/>
      </c>
      <c r="J958" s="70" t="str">
        <f t="shared" si="382"/>
        <v/>
      </c>
      <c r="K958" s="135"/>
      <c r="L958" s="72" t="str">
        <f t="shared" si="383"/>
        <v/>
      </c>
      <c r="M958" s="135"/>
      <c r="N958" s="72" t="str">
        <f t="shared" si="384"/>
        <v/>
      </c>
      <c r="O958" s="135"/>
      <c r="P958" s="136"/>
      <c r="Q958" s="123" t="str">
        <f t="shared" si="385"/>
        <v/>
      </c>
      <c r="R958" s="45" t="str">
        <f t="shared" si="386"/>
        <v/>
      </c>
      <c r="S958" s="137"/>
      <c r="T958" s="79" t="str">
        <f t="shared" si="395"/>
        <v/>
      </c>
      <c r="U958" s="79" t="str">
        <f t="shared" si="387"/>
        <v/>
      </c>
      <c r="V958" s="73" t="str">
        <f t="shared" si="388"/>
        <v/>
      </c>
      <c r="W958" s="80" t="str">
        <f t="shared" si="389"/>
        <v/>
      </c>
      <c r="X958" s="73" t="str">
        <f t="shared" si="390"/>
        <v/>
      </c>
      <c r="Y958" s="80" t="str">
        <f t="shared" si="391"/>
        <v/>
      </c>
      <c r="Z958" s="74" t="str">
        <f t="shared" si="392"/>
        <v/>
      </c>
      <c r="AA958" s="75" t="str">
        <f t="shared" si="396"/>
        <v/>
      </c>
      <c r="AB958" s="103" t="str">
        <f t="shared" si="393"/>
        <v/>
      </c>
      <c r="AC958" s="104" t="str">
        <f t="shared" si="404"/>
        <v/>
      </c>
      <c r="AE958" s="139"/>
      <c r="AF958" s="110" t="str">
        <f t="shared" si="397"/>
        <v/>
      </c>
      <c r="AG958" s="111" t="str">
        <f t="shared" si="398"/>
        <v/>
      </c>
      <c r="AH958" s="111" t="str">
        <f t="shared" si="394"/>
        <v/>
      </c>
      <c r="AI958" s="111" t="str">
        <f t="shared" si="399"/>
        <v/>
      </c>
      <c r="AJ958" s="111" t="str">
        <f t="shared" si="400"/>
        <v/>
      </c>
      <c r="AK958" s="112" t="str">
        <f t="shared" si="401"/>
        <v/>
      </c>
      <c r="AL958" t="str">
        <f t="shared" si="402"/>
        <v/>
      </c>
      <c r="AM958" t="str">
        <f t="shared" si="403"/>
        <v/>
      </c>
    </row>
    <row r="959" spans="1:39" ht="15" customHeight="1" x14ac:dyDescent="0.25">
      <c r="A959" s="131"/>
      <c r="B959" s="133"/>
      <c r="C959" s="133"/>
      <c r="D959" s="42" t="str">
        <f t="shared" si="378"/>
        <v/>
      </c>
      <c r="E959" s="43"/>
      <c r="F959" s="135"/>
      <c r="G959" s="77" t="str">
        <f t="shared" si="379"/>
        <v/>
      </c>
      <c r="H959" s="32" t="str">
        <f t="shared" si="380"/>
        <v/>
      </c>
      <c r="I959" s="78" t="str">
        <f t="shared" si="381"/>
        <v/>
      </c>
      <c r="J959" s="70" t="str">
        <f t="shared" si="382"/>
        <v/>
      </c>
      <c r="K959" s="135"/>
      <c r="L959" s="72" t="str">
        <f t="shared" si="383"/>
        <v/>
      </c>
      <c r="M959" s="135"/>
      <c r="N959" s="72" t="str">
        <f t="shared" si="384"/>
        <v/>
      </c>
      <c r="O959" s="135"/>
      <c r="P959" s="136"/>
      <c r="Q959" s="123" t="str">
        <f t="shared" si="385"/>
        <v/>
      </c>
      <c r="R959" s="45" t="str">
        <f t="shared" si="386"/>
        <v/>
      </c>
      <c r="S959" s="137"/>
      <c r="T959" s="79" t="str">
        <f t="shared" si="395"/>
        <v/>
      </c>
      <c r="U959" s="79" t="str">
        <f t="shared" si="387"/>
        <v/>
      </c>
      <c r="V959" s="73" t="str">
        <f t="shared" si="388"/>
        <v/>
      </c>
      <c r="W959" s="80" t="str">
        <f t="shared" si="389"/>
        <v/>
      </c>
      <c r="X959" s="73" t="str">
        <f t="shared" si="390"/>
        <v/>
      </c>
      <c r="Y959" s="80" t="str">
        <f t="shared" si="391"/>
        <v/>
      </c>
      <c r="Z959" s="74" t="str">
        <f t="shared" si="392"/>
        <v/>
      </c>
      <c r="AA959" s="75" t="str">
        <f t="shared" si="396"/>
        <v/>
      </c>
      <c r="AB959" s="103" t="str">
        <f t="shared" si="393"/>
        <v/>
      </c>
      <c r="AC959" s="104" t="str">
        <f t="shared" si="404"/>
        <v/>
      </c>
      <c r="AE959" s="139"/>
      <c r="AF959" s="110" t="str">
        <f t="shared" si="397"/>
        <v/>
      </c>
      <c r="AG959" s="111" t="str">
        <f t="shared" si="398"/>
        <v/>
      </c>
      <c r="AH959" s="111" t="str">
        <f t="shared" si="394"/>
        <v/>
      </c>
      <c r="AI959" s="111" t="str">
        <f t="shared" si="399"/>
        <v/>
      </c>
      <c r="AJ959" s="111" t="str">
        <f t="shared" si="400"/>
        <v/>
      </c>
      <c r="AK959" s="112" t="str">
        <f t="shared" si="401"/>
        <v/>
      </c>
      <c r="AL959" t="str">
        <f t="shared" si="402"/>
        <v/>
      </c>
      <c r="AM959" t="str">
        <f t="shared" si="403"/>
        <v/>
      </c>
    </row>
    <row r="960" spans="1:39" ht="15" customHeight="1" x14ac:dyDescent="0.25">
      <c r="A960" s="131"/>
      <c r="B960" s="133"/>
      <c r="C960" s="133"/>
      <c r="D960" s="42" t="str">
        <f t="shared" si="378"/>
        <v/>
      </c>
      <c r="E960" s="43"/>
      <c r="F960" s="135"/>
      <c r="G960" s="77" t="str">
        <f t="shared" si="379"/>
        <v/>
      </c>
      <c r="H960" s="32" t="str">
        <f t="shared" si="380"/>
        <v/>
      </c>
      <c r="I960" s="78" t="str">
        <f t="shared" si="381"/>
        <v/>
      </c>
      <c r="J960" s="70" t="str">
        <f t="shared" si="382"/>
        <v/>
      </c>
      <c r="K960" s="135"/>
      <c r="L960" s="72" t="str">
        <f t="shared" si="383"/>
        <v/>
      </c>
      <c r="M960" s="135"/>
      <c r="N960" s="72" t="str">
        <f t="shared" si="384"/>
        <v/>
      </c>
      <c r="O960" s="135"/>
      <c r="P960" s="136"/>
      <c r="Q960" s="123" t="str">
        <f t="shared" si="385"/>
        <v/>
      </c>
      <c r="R960" s="45" t="str">
        <f t="shared" si="386"/>
        <v/>
      </c>
      <c r="S960" s="137"/>
      <c r="T960" s="79" t="str">
        <f t="shared" si="395"/>
        <v/>
      </c>
      <c r="U960" s="79" t="str">
        <f t="shared" si="387"/>
        <v/>
      </c>
      <c r="V960" s="73" t="str">
        <f t="shared" si="388"/>
        <v/>
      </c>
      <c r="W960" s="80" t="str">
        <f t="shared" si="389"/>
        <v/>
      </c>
      <c r="X960" s="73" t="str">
        <f t="shared" si="390"/>
        <v/>
      </c>
      <c r="Y960" s="80" t="str">
        <f t="shared" si="391"/>
        <v/>
      </c>
      <c r="Z960" s="74" t="str">
        <f t="shared" si="392"/>
        <v/>
      </c>
      <c r="AA960" s="75" t="str">
        <f t="shared" si="396"/>
        <v/>
      </c>
      <c r="AB960" s="103" t="str">
        <f t="shared" si="393"/>
        <v/>
      </c>
      <c r="AC960" s="104" t="str">
        <f t="shared" si="404"/>
        <v/>
      </c>
      <c r="AE960" s="139"/>
      <c r="AF960" s="110" t="str">
        <f t="shared" si="397"/>
        <v/>
      </c>
      <c r="AG960" s="111" t="str">
        <f t="shared" si="398"/>
        <v/>
      </c>
      <c r="AH960" s="111" t="str">
        <f t="shared" si="394"/>
        <v/>
      </c>
      <c r="AI960" s="111" t="str">
        <f t="shared" si="399"/>
        <v/>
      </c>
      <c r="AJ960" s="111" t="str">
        <f t="shared" si="400"/>
        <v/>
      </c>
      <c r="AK960" s="112" t="str">
        <f t="shared" si="401"/>
        <v/>
      </c>
      <c r="AL960" t="str">
        <f t="shared" si="402"/>
        <v/>
      </c>
      <c r="AM960" t="str">
        <f t="shared" si="403"/>
        <v/>
      </c>
    </row>
    <row r="961" spans="1:39" ht="15" customHeight="1" x14ac:dyDescent="0.25">
      <c r="A961" s="131"/>
      <c r="B961" s="133"/>
      <c r="C961" s="133"/>
      <c r="D961" s="42" t="str">
        <f t="shared" si="378"/>
        <v/>
      </c>
      <c r="E961" s="43"/>
      <c r="F961" s="135"/>
      <c r="G961" s="77" t="str">
        <f t="shared" si="379"/>
        <v/>
      </c>
      <c r="H961" s="32" t="str">
        <f t="shared" si="380"/>
        <v/>
      </c>
      <c r="I961" s="78" t="str">
        <f t="shared" si="381"/>
        <v/>
      </c>
      <c r="J961" s="70" t="str">
        <f t="shared" si="382"/>
        <v/>
      </c>
      <c r="K961" s="135"/>
      <c r="L961" s="72" t="str">
        <f t="shared" si="383"/>
        <v/>
      </c>
      <c r="M961" s="135"/>
      <c r="N961" s="72" t="str">
        <f t="shared" si="384"/>
        <v/>
      </c>
      <c r="O961" s="135"/>
      <c r="P961" s="136"/>
      <c r="Q961" s="123" t="str">
        <f t="shared" si="385"/>
        <v/>
      </c>
      <c r="R961" s="45" t="str">
        <f t="shared" si="386"/>
        <v/>
      </c>
      <c r="S961" s="137"/>
      <c r="T961" s="79" t="str">
        <f t="shared" si="395"/>
        <v/>
      </c>
      <c r="U961" s="79" t="str">
        <f t="shared" si="387"/>
        <v/>
      </c>
      <c r="V961" s="73" t="str">
        <f t="shared" si="388"/>
        <v/>
      </c>
      <c r="W961" s="80" t="str">
        <f t="shared" si="389"/>
        <v/>
      </c>
      <c r="X961" s="73" t="str">
        <f t="shared" si="390"/>
        <v/>
      </c>
      <c r="Y961" s="80" t="str">
        <f t="shared" si="391"/>
        <v/>
      </c>
      <c r="Z961" s="74" t="str">
        <f t="shared" si="392"/>
        <v/>
      </c>
      <c r="AA961" s="75" t="str">
        <f t="shared" si="396"/>
        <v/>
      </c>
      <c r="AB961" s="103" t="str">
        <f t="shared" si="393"/>
        <v/>
      </c>
      <c r="AC961" s="104" t="str">
        <f t="shared" si="404"/>
        <v/>
      </c>
      <c r="AE961" s="139"/>
      <c r="AF961" s="110" t="str">
        <f t="shared" si="397"/>
        <v/>
      </c>
      <c r="AG961" s="111" t="str">
        <f t="shared" si="398"/>
        <v/>
      </c>
      <c r="AH961" s="111" t="str">
        <f t="shared" si="394"/>
        <v/>
      </c>
      <c r="AI961" s="111" t="str">
        <f t="shared" si="399"/>
        <v/>
      </c>
      <c r="AJ961" s="111" t="str">
        <f t="shared" si="400"/>
        <v/>
      </c>
      <c r="AK961" s="112" t="str">
        <f t="shared" si="401"/>
        <v/>
      </c>
      <c r="AL961" t="str">
        <f t="shared" si="402"/>
        <v/>
      </c>
      <c r="AM961" t="str">
        <f t="shared" si="403"/>
        <v/>
      </c>
    </row>
    <row r="962" spans="1:39" ht="15" customHeight="1" x14ac:dyDescent="0.25">
      <c r="A962" s="131"/>
      <c r="B962" s="133"/>
      <c r="C962" s="133"/>
      <c r="D962" s="42" t="str">
        <f t="shared" si="378"/>
        <v/>
      </c>
      <c r="E962" s="43"/>
      <c r="F962" s="135"/>
      <c r="G962" s="77" t="str">
        <f t="shared" si="379"/>
        <v/>
      </c>
      <c r="H962" s="32" t="str">
        <f t="shared" si="380"/>
        <v/>
      </c>
      <c r="I962" s="78" t="str">
        <f t="shared" si="381"/>
        <v/>
      </c>
      <c r="J962" s="70" t="str">
        <f t="shared" si="382"/>
        <v/>
      </c>
      <c r="K962" s="135"/>
      <c r="L962" s="72" t="str">
        <f t="shared" si="383"/>
        <v/>
      </c>
      <c r="M962" s="135"/>
      <c r="N962" s="72" t="str">
        <f t="shared" si="384"/>
        <v/>
      </c>
      <c r="O962" s="135"/>
      <c r="P962" s="136"/>
      <c r="Q962" s="123" t="str">
        <f t="shared" si="385"/>
        <v/>
      </c>
      <c r="R962" s="45" t="str">
        <f t="shared" si="386"/>
        <v/>
      </c>
      <c r="S962" s="137"/>
      <c r="T962" s="79" t="str">
        <f t="shared" si="395"/>
        <v/>
      </c>
      <c r="U962" s="79" t="str">
        <f t="shared" si="387"/>
        <v/>
      </c>
      <c r="V962" s="73" t="str">
        <f t="shared" si="388"/>
        <v/>
      </c>
      <c r="W962" s="80" t="str">
        <f t="shared" si="389"/>
        <v/>
      </c>
      <c r="X962" s="73" t="str">
        <f t="shared" si="390"/>
        <v/>
      </c>
      <c r="Y962" s="80" t="str">
        <f t="shared" si="391"/>
        <v/>
      </c>
      <c r="Z962" s="74" t="str">
        <f t="shared" si="392"/>
        <v/>
      </c>
      <c r="AA962" s="75" t="str">
        <f t="shared" si="396"/>
        <v/>
      </c>
      <c r="AB962" s="103" t="str">
        <f t="shared" si="393"/>
        <v/>
      </c>
      <c r="AC962" s="104" t="str">
        <f t="shared" si="404"/>
        <v/>
      </c>
      <c r="AE962" s="139"/>
      <c r="AF962" s="110" t="str">
        <f t="shared" si="397"/>
        <v/>
      </c>
      <c r="AG962" s="111" t="str">
        <f t="shared" si="398"/>
        <v/>
      </c>
      <c r="AH962" s="111" t="str">
        <f t="shared" si="394"/>
        <v/>
      </c>
      <c r="AI962" s="111" t="str">
        <f t="shared" si="399"/>
        <v/>
      </c>
      <c r="AJ962" s="111" t="str">
        <f t="shared" si="400"/>
        <v/>
      </c>
      <c r="AK962" s="112" t="str">
        <f t="shared" si="401"/>
        <v/>
      </c>
      <c r="AL962" t="str">
        <f t="shared" si="402"/>
        <v/>
      </c>
      <c r="AM962" t="str">
        <f t="shared" si="403"/>
        <v/>
      </c>
    </row>
    <row r="963" spans="1:39" ht="15" customHeight="1" x14ac:dyDescent="0.25">
      <c r="A963" s="131"/>
      <c r="B963" s="133"/>
      <c r="C963" s="133"/>
      <c r="D963" s="42" t="str">
        <f t="shared" si="378"/>
        <v/>
      </c>
      <c r="E963" s="43"/>
      <c r="F963" s="135"/>
      <c r="G963" s="77" t="str">
        <f t="shared" si="379"/>
        <v/>
      </c>
      <c r="H963" s="32" t="str">
        <f t="shared" si="380"/>
        <v/>
      </c>
      <c r="I963" s="78" t="str">
        <f t="shared" si="381"/>
        <v/>
      </c>
      <c r="J963" s="70" t="str">
        <f t="shared" si="382"/>
        <v/>
      </c>
      <c r="K963" s="135"/>
      <c r="L963" s="72" t="str">
        <f t="shared" si="383"/>
        <v/>
      </c>
      <c r="M963" s="135"/>
      <c r="N963" s="72" t="str">
        <f t="shared" si="384"/>
        <v/>
      </c>
      <c r="O963" s="135"/>
      <c r="P963" s="136"/>
      <c r="Q963" s="123" t="str">
        <f t="shared" si="385"/>
        <v/>
      </c>
      <c r="R963" s="45" t="str">
        <f t="shared" si="386"/>
        <v/>
      </c>
      <c r="S963" s="137"/>
      <c r="T963" s="79" t="str">
        <f t="shared" si="395"/>
        <v/>
      </c>
      <c r="U963" s="79" t="str">
        <f t="shared" si="387"/>
        <v/>
      </c>
      <c r="V963" s="73" t="str">
        <f t="shared" si="388"/>
        <v/>
      </c>
      <c r="W963" s="80" t="str">
        <f t="shared" si="389"/>
        <v/>
      </c>
      <c r="X963" s="73" t="str">
        <f t="shared" si="390"/>
        <v/>
      </c>
      <c r="Y963" s="80" t="str">
        <f t="shared" si="391"/>
        <v/>
      </c>
      <c r="Z963" s="74" t="str">
        <f t="shared" si="392"/>
        <v/>
      </c>
      <c r="AA963" s="75" t="str">
        <f t="shared" si="396"/>
        <v/>
      </c>
      <c r="AB963" s="103" t="str">
        <f t="shared" si="393"/>
        <v/>
      </c>
      <c r="AC963" s="104" t="str">
        <f t="shared" si="404"/>
        <v/>
      </c>
      <c r="AE963" s="139"/>
      <c r="AF963" s="110" t="str">
        <f t="shared" si="397"/>
        <v/>
      </c>
      <c r="AG963" s="111" t="str">
        <f t="shared" si="398"/>
        <v/>
      </c>
      <c r="AH963" s="111" t="str">
        <f t="shared" si="394"/>
        <v/>
      </c>
      <c r="AI963" s="111" t="str">
        <f t="shared" si="399"/>
        <v/>
      </c>
      <c r="AJ963" s="111" t="str">
        <f t="shared" si="400"/>
        <v/>
      </c>
      <c r="AK963" s="112" t="str">
        <f t="shared" si="401"/>
        <v/>
      </c>
      <c r="AL963" t="str">
        <f t="shared" si="402"/>
        <v/>
      </c>
      <c r="AM963" t="str">
        <f t="shared" si="403"/>
        <v/>
      </c>
    </row>
    <row r="964" spans="1:39" ht="15" customHeight="1" x14ac:dyDescent="0.25">
      <c r="A964" s="131"/>
      <c r="B964" s="133"/>
      <c r="C964" s="133"/>
      <c r="D964" s="42" t="str">
        <f t="shared" si="378"/>
        <v/>
      </c>
      <c r="E964" s="43"/>
      <c r="F964" s="135"/>
      <c r="G964" s="77" t="str">
        <f t="shared" si="379"/>
        <v/>
      </c>
      <c r="H964" s="32" t="str">
        <f t="shared" si="380"/>
        <v/>
      </c>
      <c r="I964" s="78" t="str">
        <f t="shared" si="381"/>
        <v/>
      </c>
      <c r="J964" s="70" t="str">
        <f t="shared" si="382"/>
        <v/>
      </c>
      <c r="K964" s="135"/>
      <c r="L964" s="72" t="str">
        <f t="shared" si="383"/>
        <v/>
      </c>
      <c r="M964" s="135"/>
      <c r="N964" s="72" t="str">
        <f t="shared" si="384"/>
        <v/>
      </c>
      <c r="O964" s="135"/>
      <c r="P964" s="136"/>
      <c r="Q964" s="123" t="str">
        <f t="shared" si="385"/>
        <v/>
      </c>
      <c r="R964" s="45" t="str">
        <f t="shared" si="386"/>
        <v/>
      </c>
      <c r="S964" s="137"/>
      <c r="T964" s="79" t="str">
        <f t="shared" si="395"/>
        <v/>
      </c>
      <c r="U964" s="79" t="str">
        <f t="shared" si="387"/>
        <v/>
      </c>
      <c r="V964" s="73" t="str">
        <f t="shared" si="388"/>
        <v/>
      </c>
      <c r="W964" s="80" t="str">
        <f t="shared" si="389"/>
        <v/>
      </c>
      <c r="X964" s="73" t="str">
        <f t="shared" si="390"/>
        <v/>
      </c>
      <c r="Y964" s="80" t="str">
        <f t="shared" si="391"/>
        <v/>
      </c>
      <c r="Z964" s="74" t="str">
        <f t="shared" si="392"/>
        <v/>
      </c>
      <c r="AA964" s="75" t="str">
        <f t="shared" si="396"/>
        <v/>
      </c>
      <c r="AB964" s="103" t="str">
        <f t="shared" si="393"/>
        <v/>
      </c>
      <c r="AC964" s="104" t="str">
        <f t="shared" si="404"/>
        <v/>
      </c>
      <c r="AE964" s="139"/>
      <c r="AF964" s="110" t="str">
        <f t="shared" si="397"/>
        <v/>
      </c>
      <c r="AG964" s="111" t="str">
        <f t="shared" si="398"/>
        <v/>
      </c>
      <c r="AH964" s="111" t="str">
        <f t="shared" si="394"/>
        <v/>
      </c>
      <c r="AI964" s="111" t="str">
        <f t="shared" si="399"/>
        <v/>
      </c>
      <c r="AJ964" s="111" t="str">
        <f t="shared" si="400"/>
        <v/>
      </c>
      <c r="AK964" s="112" t="str">
        <f t="shared" si="401"/>
        <v/>
      </c>
      <c r="AL964" t="str">
        <f t="shared" si="402"/>
        <v/>
      </c>
      <c r="AM964" t="str">
        <f t="shared" si="403"/>
        <v/>
      </c>
    </row>
    <row r="965" spans="1:39" ht="15" customHeight="1" x14ac:dyDescent="0.25">
      <c r="A965" s="131"/>
      <c r="B965" s="133"/>
      <c r="C965" s="133"/>
      <c r="D965" s="42" t="str">
        <f t="shared" si="378"/>
        <v/>
      </c>
      <c r="E965" s="43"/>
      <c r="F965" s="135"/>
      <c r="G965" s="77" t="str">
        <f t="shared" si="379"/>
        <v/>
      </c>
      <c r="H965" s="32" t="str">
        <f t="shared" si="380"/>
        <v/>
      </c>
      <c r="I965" s="78" t="str">
        <f t="shared" si="381"/>
        <v/>
      </c>
      <c r="J965" s="70" t="str">
        <f t="shared" si="382"/>
        <v/>
      </c>
      <c r="K965" s="135"/>
      <c r="L965" s="72" t="str">
        <f t="shared" si="383"/>
        <v/>
      </c>
      <c r="M965" s="135"/>
      <c r="N965" s="72" t="str">
        <f t="shared" si="384"/>
        <v/>
      </c>
      <c r="O965" s="135"/>
      <c r="P965" s="136"/>
      <c r="Q965" s="123" t="str">
        <f t="shared" si="385"/>
        <v/>
      </c>
      <c r="R965" s="45" t="str">
        <f t="shared" si="386"/>
        <v/>
      </c>
      <c r="S965" s="137"/>
      <c r="T965" s="79" t="str">
        <f t="shared" si="395"/>
        <v/>
      </c>
      <c r="U965" s="79" t="str">
        <f t="shared" si="387"/>
        <v/>
      </c>
      <c r="V965" s="73" t="str">
        <f t="shared" si="388"/>
        <v/>
      </c>
      <c r="W965" s="80" t="str">
        <f t="shared" si="389"/>
        <v/>
      </c>
      <c r="X965" s="73" t="str">
        <f t="shared" si="390"/>
        <v/>
      </c>
      <c r="Y965" s="80" t="str">
        <f t="shared" si="391"/>
        <v/>
      </c>
      <c r="Z965" s="74" t="str">
        <f t="shared" si="392"/>
        <v/>
      </c>
      <c r="AA965" s="75" t="str">
        <f t="shared" si="396"/>
        <v/>
      </c>
      <c r="AB965" s="103" t="str">
        <f t="shared" si="393"/>
        <v/>
      </c>
      <c r="AC965" s="104" t="str">
        <f t="shared" si="404"/>
        <v/>
      </c>
      <c r="AE965" s="139"/>
      <c r="AF965" s="110" t="str">
        <f t="shared" si="397"/>
        <v/>
      </c>
      <c r="AG965" s="111" t="str">
        <f t="shared" si="398"/>
        <v/>
      </c>
      <c r="AH965" s="111" t="str">
        <f t="shared" si="394"/>
        <v/>
      </c>
      <c r="AI965" s="111" t="str">
        <f t="shared" si="399"/>
        <v/>
      </c>
      <c r="AJ965" s="111" t="str">
        <f t="shared" si="400"/>
        <v/>
      </c>
      <c r="AK965" s="112" t="str">
        <f t="shared" si="401"/>
        <v/>
      </c>
      <c r="AL965" t="str">
        <f t="shared" si="402"/>
        <v/>
      </c>
      <c r="AM965" t="str">
        <f t="shared" si="403"/>
        <v/>
      </c>
    </row>
    <row r="966" spans="1:39" ht="15" customHeight="1" x14ac:dyDescent="0.25">
      <c r="A966" s="131"/>
      <c r="B966" s="133"/>
      <c r="C966" s="133"/>
      <c r="D966" s="42" t="str">
        <f t="shared" si="378"/>
        <v/>
      </c>
      <c r="E966" s="43"/>
      <c r="F966" s="135"/>
      <c r="G966" s="77" t="str">
        <f t="shared" si="379"/>
        <v/>
      </c>
      <c r="H966" s="32" t="str">
        <f t="shared" si="380"/>
        <v/>
      </c>
      <c r="I966" s="78" t="str">
        <f t="shared" si="381"/>
        <v/>
      </c>
      <c r="J966" s="70" t="str">
        <f t="shared" si="382"/>
        <v/>
      </c>
      <c r="K966" s="135"/>
      <c r="L966" s="72" t="str">
        <f t="shared" si="383"/>
        <v/>
      </c>
      <c r="M966" s="135"/>
      <c r="N966" s="72" t="str">
        <f t="shared" si="384"/>
        <v/>
      </c>
      <c r="O966" s="135"/>
      <c r="P966" s="136"/>
      <c r="Q966" s="123" t="str">
        <f t="shared" si="385"/>
        <v/>
      </c>
      <c r="R966" s="45" t="str">
        <f t="shared" si="386"/>
        <v/>
      </c>
      <c r="S966" s="137"/>
      <c r="T966" s="79" t="str">
        <f t="shared" si="395"/>
        <v/>
      </c>
      <c r="U966" s="79" t="str">
        <f t="shared" si="387"/>
        <v/>
      </c>
      <c r="V966" s="73" t="str">
        <f t="shared" si="388"/>
        <v/>
      </c>
      <c r="W966" s="80" t="str">
        <f t="shared" si="389"/>
        <v/>
      </c>
      <c r="X966" s="73" t="str">
        <f t="shared" si="390"/>
        <v/>
      </c>
      <c r="Y966" s="80" t="str">
        <f t="shared" si="391"/>
        <v/>
      </c>
      <c r="Z966" s="74" t="str">
        <f t="shared" si="392"/>
        <v/>
      </c>
      <c r="AA966" s="75" t="str">
        <f t="shared" si="396"/>
        <v/>
      </c>
      <c r="AB966" s="103" t="str">
        <f t="shared" si="393"/>
        <v/>
      </c>
      <c r="AC966" s="104" t="str">
        <f t="shared" si="404"/>
        <v/>
      </c>
      <c r="AE966" s="139"/>
      <c r="AF966" s="110" t="str">
        <f t="shared" si="397"/>
        <v/>
      </c>
      <c r="AG966" s="111" t="str">
        <f t="shared" si="398"/>
        <v/>
      </c>
      <c r="AH966" s="111" t="str">
        <f t="shared" si="394"/>
        <v/>
      </c>
      <c r="AI966" s="111" t="str">
        <f t="shared" si="399"/>
        <v/>
      </c>
      <c r="AJ966" s="111" t="str">
        <f t="shared" si="400"/>
        <v/>
      </c>
      <c r="AK966" s="112" t="str">
        <f t="shared" si="401"/>
        <v/>
      </c>
      <c r="AL966" t="str">
        <f t="shared" si="402"/>
        <v/>
      </c>
      <c r="AM966" t="str">
        <f t="shared" si="403"/>
        <v/>
      </c>
    </row>
    <row r="967" spans="1:39" ht="15" customHeight="1" x14ac:dyDescent="0.25">
      <c r="A967" s="131"/>
      <c r="B967" s="133"/>
      <c r="C967" s="133"/>
      <c r="D967" s="42" t="str">
        <f t="shared" si="378"/>
        <v/>
      </c>
      <c r="E967" s="43"/>
      <c r="F967" s="135"/>
      <c r="G967" s="77" t="str">
        <f t="shared" si="379"/>
        <v/>
      </c>
      <c r="H967" s="32" t="str">
        <f t="shared" si="380"/>
        <v/>
      </c>
      <c r="I967" s="78" t="str">
        <f t="shared" si="381"/>
        <v/>
      </c>
      <c r="J967" s="70" t="str">
        <f t="shared" si="382"/>
        <v/>
      </c>
      <c r="K967" s="135"/>
      <c r="L967" s="72" t="str">
        <f t="shared" si="383"/>
        <v/>
      </c>
      <c r="M967" s="135"/>
      <c r="N967" s="72" t="str">
        <f t="shared" si="384"/>
        <v/>
      </c>
      <c r="O967" s="135"/>
      <c r="P967" s="136"/>
      <c r="Q967" s="123" t="str">
        <f t="shared" si="385"/>
        <v/>
      </c>
      <c r="R967" s="45" t="str">
        <f t="shared" si="386"/>
        <v/>
      </c>
      <c r="S967" s="137"/>
      <c r="T967" s="79" t="str">
        <f t="shared" si="395"/>
        <v/>
      </c>
      <c r="U967" s="79" t="str">
        <f t="shared" si="387"/>
        <v/>
      </c>
      <c r="V967" s="73" t="str">
        <f t="shared" si="388"/>
        <v/>
      </c>
      <c r="W967" s="80" t="str">
        <f t="shared" si="389"/>
        <v/>
      </c>
      <c r="X967" s="73" t="str">
        <f t="shared" si="390"/>
        <v/>
      </c>
      <c r="Y967" s="80" t="str">
        <f t="shared" si="391"/>
        <v/>
      </c>
      <c r="Z967" s="74" t="str">
        <f t="shared" si="392"/>
        <v/>
      </c>
      <c r="AA967" s="75" t="str">
        <f t="shared" si="396"/>
        <v/>
      </c>
      <c r="AB967" s="103" t="str">
        <f t="shared" si="393"/>
        <v/>
      </c>
      <c r="AC967" s="104" t="str">
        <f t="shared" si="404"/>
        <v/>
      </c>
      <c r="AE967" s="139"/>
      <c r="AF967" s="110" t="str">
        <f t="shared" si="397"/>
        <v/>
      </c>
      <c r="AG967" s="111" t="str">
        <f t="shared" si="398"/>
        <v/>
      </c>
      <c r="AH967" s="111" t="str">
        <f t="shared" si="394"/>
        <v/>
      </c>
      <c r="AI967" s="111" t="str">
        <f t="shared" si="399"/>
        <v/>
      </c>
      <c r="AJ967" s="111" t="str">
        <f t="shared" si="400"/>
        <v/>
      </c>
      <c r="AK967" s="112" t="str">
        <f t="shared" si="401"/>
        <v/>
      </c>
      <c r="AL967" t="str">
        <f t="shared" si="402"/>
        <v/>
      </c>
      <c r="AM967" t="str">
        <f t="shared" si="403"/>
        <v/>
      </c>
    </row>
    <row r="968" spans="1:39" ht="15" customHeight="1" x14ac:dyDescent="0.25">
      <c r="A968" s="131"/>
      <c r="B968" s="133"/>
      <c r="C968" s="133"/>
      <c r="D968" s="42" t="str">
        <f t="shared" ref="D968:D1007" si="405">IF(A968="","",B968*C968)</f>
        <v/>
      </c>
      <c r="E968" s="43"/>
      <c r="F968" s="135"/>
      <c r="G968" s="77" t="str">
        <f t="shared" ref="G968:G1007" si="406">IF(OR(F968="",C968=0,C968=""),"",F968/C968)</f>
        <v/>
      </c>
      <c r="H968" s="32" t="str">
        <f t="shared" ref="H968:H1007" si="407">IF(F968="","",ROUND(F968*$G$1,2))</f>
        <v/>
      </c>
      <c r="I968" s="78" t="str">
        <f t="shared" ref="I968:I1007" si="408">IF(OR(H968="",C968=0,C968=""),"",H968/C968)</f>
        <v/>
      </c>
      <c r="J968" s="70" t="str">
        <f t="shared" ref="J968:J1007" si="409">IF(A968="","",F968*B968)</f>
        <v/>
      </c>
      <c r="K968" s="135"/>
      <c r="L968" s="72" t="str">
        <f t="shared" ref="L968:L1007" si="410">IF(OR(K968=0,C968=0,K968="",C968=""),"",K968/C968)</f>
        <v/>
      </c>
      <c r="M968" s="135"/>
      <c r="N968" s="72" t="str">
        <f t="shared" ref="N968:N1007" si="411">IF(OR(M968=0,C968=0,M968="",C968=""),"",M968/C968)</f>
        <v/>
      </c>
      <c r="O968" s="135"/>
      <c r="P968" s="136"/>
      <c r="Q968" s="123" t="str">
        <f t="shared" ref="Q968:Q1007" si="412">IF(A968="","",IF(S968&gt;0,IF(J968&gt;0,S968/J968,0),IF(E968&gt;0,0,IF($I$2&gt;0,IF($I$3&gt;0,MAX($I$2-SUM($S$8:$S$1007),0)/$I$3,0),$I$1))))</f>
        <v/>
      </c>
      <c r="R968" s="45" t="str">
        <f t="shared" ref="R968:R1007" si="413">IF(A968="","",IF(S968&gt;0,S968,IF(E968&gt;0,0,J968*IF($I$2&gt;0,IF($I$3&gt;0,MAX($I$2-SUM($S$8:$S$1007),0)/$I$3,0),$I$1))))</f>
        <v/>
      </c>
      <c r="S968" s="137"/>
      <c r="T968" s="79" t="str">
        <f t="shared" si="395"/>
        <v/>
      </c>
      <c r="U968" s="79" t="str">
        <f t="shared" ref="U968:U1007" si="414">IF(OR(A968="",T968=""),"",T968*C968)</f>
        <v/>
      </c>
      <c r="V968" s="73" t="str">
        <f t="shared" ref="V968:V1007" si="415">IF(OR(A968="",K968&lt;=0,U968=""),"",(K968-U968)/K968)</f>
        <v/>
      </c>
      <c r="W968" s="80" t="str">
        <f t="shared" ref="W968:W1007" si="416">IF(OR(K968=0,U968=0,K968="",U968=""),"",K968-U968)</f>
        <v/>
      </c>
      <c r="X968" s="73" t="str">
        <f t="shared" ref="X968:X1007" si="417">IF(OR(A968="",M968&lt;=0,U968=""),"",(M968-U968)/M968)</f>
        <v/>
      </c>
      <c r="Y968" s="80" t="str">
        <f t="shared" ref="Y968:Y1007" si="418">IF(OR(M968=0,U968=0,M968="",U968=""),"",M968-U968)</f>
        <v/>
      </c>
      <c r="Z968" s="74" t="str">
        <f t="shared" ref="Z968:Z1007" si="419">IF(OR(J968="",J968=0,$M$5="",$K$1=0),"",($M$5/$K$1)*J968)</f>
        <v/>
      </c>
      <c r="AA968" s="75" t="str">
        <f t="shared" si="396"/>
        <v/>
      </c>
      <c r="AB968" s="103" t="str">
        <f t="shared" ref="AB968:AB1007" si="420">IF(OR(T968=0,T968="",D968=0,D968=""),"",T968*(D968+E968))</f>
        <v/>
      </c>
      <c r="AC968" s="104" t="str">
        <f t="shared" si="404"/>
        <v/>
      </c>
      <c r="AE968" s="139"/>
      <c r="AF968" s="110" t="str">
        <f t="shared" si="397"/>
        <v/>
      </c>
      <c r="AG968" s="111" t="str">
        <f t="shared" si="398"/>
        <v/>
      </c>
      <c r="AH968" s="111" t="str">
        <f t="shared" ref="AH968:AH1007" si="421">IF(AG968="","",AG968*$AF$1+IF(SUM($AG$8:$AG$1007)=0,0,$AF$2*AG968/SUM($AG$8:$AG$1007)))</f>
        <v/>
      </c>
      <c r="AI968" s="111" t="str">
        <f t="shared" si="399"/>
        <v/>
      </c>
      <c r="AJ968" s="111" t="str">
        <f t="shared" si="400"/>
        <v/>
      </c>
      <c r="AK968" s="112" t="str">
        <f t="shared" si="401"/>
        <v/>
      </c>
      <c r="AL968" t="str">
        <f t="shared" si="402"/>
        <v/>
      </c>
      <c r="AM968" t="str">
        <f t="shared" si="403"/>
        <v/>
      </c>
    </row>
    <row r="969" spans="1:39" ht="15" customHeight="1" x14ac:dyDescent="0.25">
      <c r="A969" s="131"/>
      <c r="B969" s="133"/>
      <c r="C969" s="133"/>
      <c r="D969" s="42" t="str">
        <f t="shared" si="405"/>
        <v/>
      </c>
      <c r="E969" s="43"/>
      <c r="F969" s="135"/>
      <c r="G969" s="77" t="str">
        <f t="shared" si="406"/>
        <v/>
      </c>
      <c r="H969" s="32" t="str">
        <f t="shared" si="407"/>
        <v/>
      </c>
      <c r="I969" s="78" t="str">
        <f t="shared" si="408"/>
        <v/>
      </c>
      <c r="J969" s="70" t="str">
        <f t="shared" si="409"/>
        <v/>
      </c>
      <c r="K969" s="135"/>
      <c r="L969" s="72" t="str">
        <f t="shared" si="410"/>
        <v/>
      </c>
      <c r="M969" s="135"/>
      <c r="N969" s="72" t="str">
        <f t="shared" si="411"/>
        <v/>
      </c>
      <c r="O969" s="135"/>
      <c r="P969" s="136"/>
      <c r="Q969" s="123" t="str">
        <f t="shared" si="412"/>
        <v/>
      </c>
      <c r="R969" s="45" t="str">
        <f t="shared" si="413"/>
        <v/>
      </c>
      <c r="S969" s="137"/>
      <c r="T969" s="79" t="str">
        <f t="shared" ref="T969:T1007" si="422">IF(A969="","",IF(OR(B969=0,B969="",C969&lt;=0,D969+E969&lt;=0),"",((F969+H969)*B969+(H969/C969)*E969-R969)/(D969+E969)-IF(Z969&gt;=0,Z969/D969,0)+IF(ISNUMBER(AA969),AA969/(D969+E969),0)))</f>
        <v/>
      </c>
      <c r="U969" s="79" t="str">
        <f t="shared" si="414"/>
        <v/>
      </c>
      <c r="V969" s="73" t="str">
        <f t="shared" si="415"/>
        <v/>
      </c>
      <c r="W969" s="80" t="str">
        <f t="shared" si="416"/>
        <v/>
      </c>
      <c r="X969" s="73" t="str">
        <f t="shared" si="417"/>
        <v/>
      </c>
      <c r="Y969" s="80" t="str">
        <f t="shared" si="418"/>
        <v/>
      </c>
      <c r="Z969" s="74" t="str">
        <f t="shared" si="419"/>
        <v/>
      </c>
      <c r="AA969" s="75" t="str">
        <f t="shared" ref="AA969:AA1007" si="423">IF(OR(J969="",J969=0,($G$3-$I$4)=0),"",($K$3/($G$3-$I$4))*(J969-R969))</f>
        <v/>
      </c>
      <c r="AB969" s="103" t="str">
        <f t="shared" si="420"/>
        <v/>
      </c>
      <c r="AC969" s="104" t="str">
        <f t="shared" si="404"/>
        <v/>
      </c>
      <c r="AE969" s="139"/>
      <c r="AF969" s="110" t="str">
        <f t="shared" ref="AF969:AF1007" si="424">IF(AE969="","",T969)</f>
        <v/>
      </c>
      <c r="AG969" s="111" t="str">
        <f t="shared" ref="AG969:AG1007" si="425">IF(OR(AE969="",AF969=""),"",AE969*AF969)</f>
        <v/>
      </c>
      <c r="AH969" s="111" t="str">
        <f t="shared" si="421"/>
        <v/>
      </c>
      <c r="AI969" s="111" t="str">
        <f t="shared" ref="AI969:AI1007" si="426">IF(AG969="","",AG969-AH969)</f>
        <v/>
      </c>
      <c r="AJ969" s="111" t="str">
        <f t="shared" ref="AJ969:AJ1007" si="427">IF(AI969="","",AK969-AI969)</f>
        <v/>
      </c>
      <c r="AK969" s="112" t="str">
        <f t="shared" ref="AK969:AK1007" si="428">IF(AI969="","",ROUND(AI969,0))</f>
        <v/>
      </c>
      <c r="AL969" t="str">
        <f t="shared" ref="AL969:AL1007" si="429">IF(OR(AE969=0,AE969=""),"",AH969/AE969)</f>
        <v/>
      </c>
      <c r="AM969" t="str">
        <f t="shared" ref="AM969:AM1007" si="430">IF(OR(AE969=0,AE969=""),"",AF969*C969)</f>
        <v/>
      </c>
    </row>
    <row r="970" spans="1:39" ht="15" customHeight="1" x14ac:dyDescent="0.25">
      <c r="A970" s="131"/>
      <c r="B970" s="133"/>
      <c r="C970" s="133"/>
      <c r="D970" s="42" t="str">
        <f t="shared" si="405"/>
        <v/>
      </c>
      <c r="E970" s="43"/>
      <c r="F970" s="135"/>
      <c r="G970" s="77" t="str">
        <f t="shared" si="406"/>
        <v/>
      </c>
      <c r="H970" s="32" t="str">
        <f t="shared" si="407"/>
        <v/>
      </c>
      <c r="I970" s="78" t="str">
        <f t="shared" si="408"/>
        <v/>
      </c>
      <c r="J970" s="70" t="str">
        <f t="shared" si="409"/>
        <v/>
      </c>
      <c r="K970" s="135"/>
      <c r="L970" s="72" t="str">
        <f t="shared" si="410"/>
        <v/>
      </c>
      <c r="M970" s="135"/>
      <c r="N970" s="72" t="str">
        <f t="shared" si="411"/>
        <v/>
      </c>
      <c r="O970" s="135"/>
      <c r="P970" s="136"/>
      <c r="Q970" s="123" t="str">
        <f t="shared" si="412"/>
        <v/>
      </c>
      <c r="R970" s="45" t="str">
        <f t="shared" si="413"/>
        <v/>
      </c>
      <c r="S970" s="137"/>
      <c r="T970" s="79" t="str">
        <f t="shared" si="422"/>
        <v/>
      </c>
      <c r="U970" s="79" t="str">
        <f t="shared" si="414"/>
        <v/>
      </c>
      <c r="V970" s="73" t="str">
        <f t="shared" si="415"/>
        <v/>
      </c>
      <c r="W970" s="80" t="str">
        <f t="shared" si="416"/>
        <v/>
      </c>
      <c r="X970" s="73" t="str">
        <f t="shared" si="417"/>
        <v/>
      </c>
      <c r="Y970" s="80" t="str">
        <f t="shared" si="418"/>
        <v/>
      </c>
      <c r="Z970" s="74" t="str">
        <f t="shared" si="419"/>
        <v/>
      </c>
      <c r="AA970" s="75" t="str">
        <f t="shared" si="423"/>
        <v/>
      </c>
      <c r="AB970" s="103" t="str">
        <f t="shared" si="420"/>
        <v/>
      </c>
      <c r="AC970" s="104" t="str">
        <f t="shared" ref="AC970:AC1007" si="431">IF(OR(A970="",J970="",C970&lt;=0, B970=0),"",J970+H970*B970+(H970/C970)*E970)</f>
        <v/>
      </c>
      <c r="AE970" s="139"/>
      <c r="AF970" s="110" t="str">
        <f t="shared" si="424"/>
        <v/>
      </c>
      <c r="AG970" s="111" t="str">
        <f t="shared" si="425"/>
        <v/>
      </c>
      <c r="AH970" s="111" t="str">
        <f t="shared" si="421"/>
        <v/>
      </c>
      <c r="AI970" s="111" t="str">
        <f t="shared" si="426"/>
        <v/>
      </c>
      <c r="AJ970" s="111" t="str">
        <f t="shared" si="427"/>
        <v/>
      </c>
      <c r="AK970" s="112" t="str">
        <f t="shared" si="428"/>
        <v/>
      </c>
      <c r="AL970" t="str">
        <f t="shared" si="429"/>
        <v/>
      </c>
      <c r="AM970" t="str">
        <f t="shared" si="430"/>
        <v/>
      </c>
    </row>
    <row r="971" spans="1:39" ht="15" customHeight="1" x14ac:dyDescent="0.25">
      <c r="A971" s="131"/>
      <c r="B971" s="133"/>
      <c r="C971" s="133"/>
      <c r="D971" s="42" t="str">
        <f t="shared" si="405"/>
        <v/>
      </c>
      <c r="E971" s="43"/>
      <c r="F971" s="135"/>
      <c r="G971" s="77" t="str">
        <f t="shared" si="406"/>
        <v/>
      </c>
      <c r="H971" s="32" t="str">
        <f t="shared" si="407"/>
        <v/>
      </c>
      <c r="I971" s="78" t="str">
        <f t="shared" si="408"/>
        <v/>
      </c>
      <c r="J971" s="70" t="str">
        <f t="shared" si="409"/>
        <v/>
      </c>
      <c r="K971" s="135"/>
      <c r="L971" s="72" t="str">
        <f t="shared" si="410"/>
        <v/>
      </c>
      <c r="M971" s="135"/>
      <c r="N971" s="72" t="str">
        <f t="shared" si="411"/>
        <v/>
      </c>
      <c r="O971" s="135"/>
      <c r="P971" s="136"/>
      <c r="Q971" s="123" t="str">
        <f t="shared" si="412"/>
        <v/>
      </c>
      <c r="R971" s="45" t="str">
        <f t="shared" si="413"/>
        <v/>
      </c>
      <c r="S971" s="137"/>
      <c r="T971" s="79" t="str">
        <f t="shared" si="422"/>
        <v/>
      </c>
      <c r="U971" s="79" t="str">
        <f t="shared" si="414"/>
        <v/>
      </c>
      <c r="V971" s="73" t="str">
        <f t="shared" si="415"/>
        <v/>
      </c>
      <c r="W971" s="80" t="str">
        <f t="shared" si="416"/>
        <v/>
      </c>
      <c r="X971" s="73" t="str">
        <f t="shared" si="417"/>
        <v/>
      </c>
      <c r="Y971" s="80" t="str">
        <f t="shared" si="418"/>
        <v/>
      </c>
      <c r="Z971" s="74" t="str">
        <f t="shared" si="419"/>
        <v/>
      </c>
      <c r="AA971" s="75" t="str">
        <f t="shared" si="423"/>
        <v/>
      </c>
      <c r="AB971" s="103" t="str">
        <f t="shared" si="420"/>
        <v/>
      </c>
      <c r="AC971" s="104" t="str">
        <f t="shared" si="431"/>
        <v/>
      </c>
      <c r="AE971" s="139"/>
      <c r="AF971" s="110" t="str">
        <f t="shared" si="424"/>
        <v/>
      </c>
      <c r="AG971" s="111" t="str">
        <f t="shared" si="425"/>
        <v/>
      </c>
      <c r="AH971" s="111" t="str">
        <f t="shared" si="421"/>
        <v/>
      </c>
      <c r="AI971" s="111" t="str">
        <f t="shared" si="426"/>
        <v/>
      </c>
      <c r="AJ971" s="111" t="str">
        <f t="shared" si="427"/>
        <v/>
      </c>
      <c r="AK971" s="112" t="str">
        <f t="shared" si="428"/>
        <v/>
      </c>
      <c r="AL971" t="str">
        <f t="shared" si="429"/>
        <v/>
      </c>
      <c r="AM971" t="str">
        <f t="shared" si="430"/>
        <v/>
      </c>
    </row>
    <row r="972" spans="1:39" ht="15" customHeight="1" x14ac:dyDescent="0.25">
      <c r="A972" s="131"/>
      <c r="B972" s="133"/>
      <c r="C972" s="133"/>
      <c r="D972" s="42" t="str">
        <f t="shared" si="405"/>
        <v/>
      </c>
      <c r="E972" s="43"/>
      <c r="F972" s="135"/>
      <c r="G972" s="77" t="str">
        <f t="shared" si="406"/>
        <v/>
      </c>
      <c r="H972" s="32" t="str">
        <f t="shared" si="407"/>
        <v/>
      </c>
      <c r="I972" s="78" t="str">
        <f t="shared" si="408"/>
        <v/>
      </c>
      <c r="J972" s="70" t="str">
        <f t="shared" si="409"/>
        <v/>
      </c>
      <c r="K972" s="135"/>
      <c r="L972" s="72" t="str">
        <f t="shared" si="410"/>
        <v/>
      </c>
      <c r="M972" s="135"/>
      <c r="N972" s="72" t="str">
        <f t="shared" si="411"/>
        <v/>
      </c>
      <c r="O972" s="135"/>
      <c r="P972" s="136"/>
      <c r="Q972" s="123" t="str">
        <f t="shared" si="412"/>
        <v/>
      </c>
      <c r="R972" s="45" t="str">
        <f t="shared" si="413"/>
        <v/>
      </c>
      <c r="S972" s="137"/>
      <c r="T972" s="79" t="str">
        <f t="shared" si="422"/>
        <v/>
      </c>
      <c r="U972" s="79" t="str">
        <f t="shared" si="414"/>
        <v/>
      </c>
      <c r="V972" s="73" t="str">
        <f t="shared" si="415"/>
        <v/>
      </c>
      <c r="W972" s="80" t="str">
        <f t="shared" si="416"/>
        <v/>
      </c>
      <c r="X972" s="73" t="str">
        <f t="shared" si="417"/>
        <v/>
      </c>
      <c r="Y972" s="80" t="str">
        <f t="shared" si="418"/>
        <v/>
      </c>
      <c r="Z972" s="74" t="str">
        <f t="shared" si="419"/>
        <v/>
      </c>
      <c r="AA972" s="75" t="str">
        <f t="shared" si="423"/>
        <v/>
      </c>
      <c r="AB972" s="103" t="str">
        <f t="shared" si="420"/>
        <v/>
      </c>
      <c r="AC972" s="104" t="str">
        <f t="shared" si="431"/>
        <v/>
      </c>
      <c r="AE972" s="139"/>
      <c r="AF972" s="110" t="str">
        <f t="shared" si="424"/>
        <v/>
      </c>
      <c r="AG972" s="111" t="str">
        <f t="shared" si="425"/>
        <v/>
      </c>
      <c r="AH972" s="111" t="str">
        <f t="shared" si="421"/>
        <v/>
      </c>
      <c r="AI972" s="111" t="str">
        <f t="shared" si="426"/>
        <v/>
      </c>
      <c r="AJ972" s="111" t="str">
        <f t="shared" si="427"/>
        <v/>
      </c>
      <c r="AK972" s="112" t="str">
        <f t="shared" si="428"/>
        <v/>
      </c>
      <c r="AL972" t="str">
        <f t="shared" si="429"/>
        <v/>
      </c>
      <c r="AM972" t="str">
        <f t="shared" si="430"/>
        <v/>
      </c>
    </row>
    <row r="973" spans="1:39" ht="15" customHeight="1" x14ac:dyDescent="0.25">
      <c r="A973" s="131"/>
      <c r="B973" s="133"/>
      <c r="C973" s="133"/>
      <c r="D973" s="42" t="str">
        <f t="shared" si="405"/>
        <v/>
      </c>
      <c r="E973" s="43"/>
      <c r="F973" s="135"/>
      <c r="G973" s="77" t="str">
        <f t="shared" si="406"/>
        <v/>
      </c>
      <c r="H973" s="32" t="str">
        <f t="shared" si="407"/>
        <v/>
      </c>
      <c r="I973" s="78" t="str">
        <f t="shared" si="408"/>
        <v/>
      </c>
      <c r="J973" s="70" t="str">
        <f t="shared" si="409"/>
        <v/>
      </c>
      <c r="K973" s="135"/>
      <c r="L973" s="72" t="str">
        <f t="shared" si="410"/>
        <v/>
      </c>
      <c r="M973" s="135"/>
      <c r="N973" s="72" t="str">
        <f t="shared" si="411"/>
        <v/>
      </c>
      <c r="O973" s="135"/>
      <c r="P973" s="136"/>
      <c r="Q973" s="123" t="str">
        <f t="shared" si="412"/>
        <v/>
      </c>
      <c r="R973" s="45" t="str">
        <f t="shared" si="413"/>
        <v/>
      </c>
      <c r="S973" s="137"/>
      <c r="T973" s="79" t="str">
        <f t="shared" si="422"/>
        <v/>
      </c>
      <c r="U973" s="79" t="str">
        <f t="shared" si="414"/>
        <v/>
      </c>
      <c r="V973" s="73" t="str">
        <f t="shared" si="415"/>
        <v/>
      </c>
      <c r="W973" s="80" t="str">
        <f t="shared" si="416"/>
        <v/>
      </c>
      <c r="X973" s="73" t="str">
        <f t="shared" si="417"/>
        <v/>
      </c>
      <c r="Y973" s="80" t="str">
        <f t="shared" si="418"/>
        <v/>
      </c>
      <c r="Z973" s="74" t="str">
        <f t="shared" si="419"/>
        <v/>
      </c>
      <c r="AA973" s="75" t="str">
        <f t="shared" si="423"/>
        <v/>
      </c>
      <c r="AB973" s="103" t="str">
        <f t="shared" si="420"/>
        <v/>
      </c>
      <c r="AC973" s="104" t="str">
        <f t="shared" si="431"/>
        <v/>
      </c>
      <c r="AE973" s="139"/>
      <c r="AF973" s="110" t="str">
        <f t="shared" si="424"/>
        <v/>
      </c>
      <c r="AG973" s="111" t="str">
        <f t="shared" si="425"/>
        <v/>
      </c>
      <c r="AH973" s="111" t="str">
        <f t="shared" si="421"/>
        <v/>
      </c>
      <c r="AI973" s="111" t="str">
        <f t="shared" si="426"/>
        <v/>
      </c>
      <c r="AJ973" s="111" t="str">
        <f t="shared" si="427"/>
        <v/>
      </c>
      <c r="AK973" s="112" t="str">
        <f t="shared" si="428"/>
        <v/>
      </c>
      <c r="AL973" t="str">
        <f t="shared" si="429"/>
        <v/>
      </c>
      <c r="AM973" t="str">
        <f t="shared" si="430"/>
        <v/>
      </c>
    </row>
    <row r="974" spans="1:39" ht="15" customHeight="1" x14ac:dyDescent="0.25">
      <c r="A974" s="131"/>
      <c r="B974" s="133"/>
      <c r="C974" s="133"/>
      <c r="D974" s="42" t="str">
        <f t="shared" si="405"/>
        <v/>
      </c>
      <c r="E974" s="43"/>
      <c r="F974" s="135"/>
      <c r="G974" s="77" t="str">
        <f t="shared" si="406"/>
        <v/>
      </c>
      <c r="H974" s="32" t="str">
        <f t="shared" si="407"/>
        <v/>
      </c>
      <c r="I974" s="78" t="str">
        <f t="shared" si="408"/>
        <v/>
      </c>
      <c r="J974" s="70" t="str">
        <f t="shared" si="409"/>
        <v/>
      </c>
      <c r="K974" s="135"/>
      <c r="L974" s="72" t="str">
        <f t="shared" si="410"/>
        <v/>
      </c>
      <c r="M974" s="135"/>
      <c r="N974" s="72" t="str">
        <f t="shared" si="411"/>
        <v/>
      </c>
      <c r="O974" s="135"/>
      <c r="P974" s="136"/>
      <c r="Q974" s="123" t="str">
        <f t="shared" si="412"/>
        <v/>
      </c>
      <c r="R974" s="45" t="str">
        <f t="shared" si="413"/>
        <v/>
      </c>
      <c r="S974" s="137"/>
      <c r="T974" s="79" t="str">
        <f t="shared" si="422"/>
        <v/>
      </c>
      <c r="U974" s="79" t="str">
        <f t="shared" si="414"/>
        <v/>
      </c>
      <c r="V974" s="73" t="str">
        <f t="shared" si="415"/>
        <v/>
      </c>
      <c r="W974" s="80" t="str">
        <f t="shared" si="416"/>
        <v/>
      </c>
      <c r="X974" s="73" t="str">
        <f t="shared" si="417"/>
        <v/>
      </c>
      <c r="Y974" s="80" t="str">
        <f t="shared" si="418"/>
        <v/>
      </c>
      <c r="Z974" s="74" t="str">
        <f t="shared" si="419"/>
        <v/>
      </c>
      <c r="AA974" s="75" t="str">
        <f t="shared" si="423"/>
        <v/>
      </c>
      <c r="AB974" s="103" t="str">
        <f t="shared" si="420"/>
        <v/>
      </c>
      <c r="AC974" s="104" t="str">
        <f t="shared" si="431"/>
        <v/>
      </c>
      <c r="AE974" s="139"/>
      <c r="AF974" s="110" t="str">
        <f t="shared" si="424"/>
        <v/>
      </c>
      <c r="AG974" s="111" t="str">
        <f t="shared" si="425"/>
        <v/>
      </c>
      <c r="AH974" s="111" t="str">
        <f t="shared" si="421"/>
        <v/>
      </c>
      <c r="AI974" s="111" t="str">
        <f t="shared" si="426"/>
        <v/>
      </c>
      <c r="AJ974" s="111" t="str">
        <f t="shared" si="427"/>
        <v/>
      </c>
      <c r="AK974" s="112" t="str">
        <f t="shared" si="428"/>
        <v/>
      </c>
      <c r="AL974" t="str">
        <f t="shared" si="429"/>
        <v/>
      </c>
      <c r="AM974" t="str">
        <f t="shared" si="430"/>
        <v/>
      </c>
    </row>
    <row r="975" spans="1:39" ht="15" customHeight="1" x14ac:dyDescent="0.25">
      <c r="A975" s="131"/>
      <c r="B975" s="133"/>
      <c r="C975" s="133"/>
      <c r="D975" s="42" t="str">
        <f t="shared" si="405"/>
        <v/>
      </c>
      <c r="E975" s="43"/>
      <c r="F975" s="135"/>
      <c r="G975" s="77" t="str">
        <f t="shared" si="406"/>
        <v/>
      </c>
      <c r="H975" s="32" t="str">
        <f t="shared" si="407"/>
        <v/>
      </c>
      <c r="I975" s="78" t="str">
        <f t="shared" si="408"/>
        <v/>
      </c>
      <c r="J975" s="70" t="str">
        <f t="shared" si="409"/>
        <v/>
      </c>
      <c r="K975" s="135"/>
      <c r="L975" s="72" t="str">
        <f t="shared" si="410"/>
        <v/>
      </c>
      <c r="M975" s="135"/>
      <c r="N975" s="72" t="str">
        <f t="shared" si="411"/>
        <v/>
      </c>
      <c r="O975" s="135"/>
      <c r="P975" s="136"/>
      <c r="Q975" s="123" t="str">
        <f t="shared" si="412"/>
        <v/>
      </c>
      <c r="R975" s="45" t="str">
        <f t="shared" si="413"/>
        <v/>
      </c>
      <c r="S975" s="137"/>
      <c r="T975" s="79" t="str">
        <f t="shared" si="422"/>
        <v/>
      </c>
      <c r="U975" s="79" t="str">
        <f t="shared" si="414"/>
        <v/>
      </c>
      <c r="V975" s="73" t="str">
        <f t="shared" si="415"/>
        <v/>
      </c>
      <c r="W975" s="80" t="str">
        <f t="shared" si="416"/>
        <v/>
      </c>
      <c r="X975" s="73" t="str">
        <f t="shared" si="417"/>
        <v/>
      </c>
      <c r="Y975" s="80" t="str">
        <f t="shared" si="418"/>
        <v/>
      </c>
      <c r="Z975" s="74" t="str">
        <f t="shared" si="419"/>
        <v/>
      </c>
      <c r="AA975" s="75" t="str">
        <f t="shared" si="423"/>
        <v/>
      </c>
      <c r="AB975" s="103" t="str">
        <f t="shared" si="420"/>
        <v/>
      </c>
      <c r="AC975" s="104" t="str">
        <f t="shared" si="431"/>
        <v/>
      </c>
      <c r="AE975" s="139"/>
      <c r="AF975" s="110" t="str">
        <f t="shared" si="424"/>
        <v/>
      </c>
      <c r="AG975" s="111" t="str">
        <f t="shared" si="425"/>
        <v/>
      </c>
      <c r="AH975" s="111" t="str">
        <f t="shared" si="421"/>
        <v/>
      </c>
      <c r="AI975" s="111" t="str">
        <f t="shared" si="426"/>
        <v/>
      </c>
      <c r="AJ975" s="111" t="str">
        <f t="shared" si="427"/>
        <v/>
      </c>
      <c r="AK975" s="112" t="str">
        <f t="shared" si="428"/>
        <v/>
      </c>
      <c r="AL975" t="str">
        <f t="shared" si="429"/>
        <v/>
      </c>
      <c r="AM975" t="str">
        <f t="shared" si="430"/>
        <v/>
      </c>
    </row>
    <row r="976" spans="1:39" ht="15" customHeight="1" x14ac:dyDescent="0.25">
      <c r="A976" s="131"/>
      <c r="B976" s="133"/>
      <c r="C976" s="133"/>
      <c r="D976" s="42" t="str">
        <f t="shared" si="405"/>
        <v/>
      </c>
      <c r="E976" s="43"/>
      <c r="F976" s="135"/>
      <c r="G976" s="77" t="str">
        <f t="shared" si="406"/>
        <v/>
      </c>
      <c r="H976" s="32" t="str">
        <f t="shared" si="407"/>
        <v/>
      </c>
      <c r="I976" s="78" t="str">
        <f t="shared" si="408"/>
        <v/>
      </c>
      <c r="J976" s="70" t="str">
        <f t="shared" si="409"/>
        <v/>
      </c>
      <c r="K976" s="135"/>
      <c r="L976" s="72" t="str">
        <f t="shared" si="410"/>
        <v/>
      </c>
      <c r="M976" s="135"/>
      <c r="N976" s="72" t="str">
        <f t="shared" si="411"/>
        <v/>
      </c>
      <c r="O976" s="135"/>
      <c r="P976" s="136"/>
      <c r="Q976" s="123" t="str">
        <f t="shared" si="412"/>
        <v/>
      </c>
      <c r="R976" s="45" t="str">
        <f t="shared" si="413"/>
        <v/>
      </c>
      <c r="S976" s="137"/>
      <c r="T976" s="79" t="str">
        <f t="shared" si="422"/>
        <v/>
      </c>
      <c r="U976" s="79" t="str">
        <f t="shared" si="414"/>
        <v/>
      </c>
      <c r="V976" s="73" t="str">
        <f t="shared" si="415"/>
        <v/>
      </c>
      <c r="W976" s="80" t="str">
        <f t="shared" si="416"/>
        <v/>
      </c>
      <c r="X976" s="73" t="str">
        <f t="shared" si="417"/>
        <v/>
      </c>
      <c r="Y976" s="80" t="str">
        <f t="shared" si="418"/>
        <v/>
      </c>
      <c r="Z976" s="74" t="str">
        <f t="shared" si="419"/>
        <v/>
      </c>
      <c r="AA976" s="75" t="str">
        <f t="shared" si="423"/>
        <v/>
      </c>
      <c r="AB976" s="103" t="str">
        <f t="shared" si="420"/>
        <v/>
      </c>
      <c r="AC976" s="104" t="str">
        <f t="shared" si="431"/>
        <v/>
      </c>
      <c r="AE976" s="139"/>
      <c r="AF976" s="110" t="str">
        <f t="shared" si="424"/>
        <v/>
      </c>
      <c r="AG976" s="111" t="str">
        <f t="shared" si="425"/>
        <v/>
      </c>
      <c r="AH976" s="111" t="str">
        <f t="shared" si="421"/>
        <v/>
      </c>
      <c r="AI976" s="111" t="str">
        <f t="shared" si="426"/>
        <v/>
      </c>
      <c r="AJ976" s="111" t="str">
        <f t="shared" si="427"/>
        <v/>
      </c>
      <c r="AK976" s="112" t="str">
        <f t="shared" si="428"/>
        <v/>
      </c>
      <c r="AL976" t="str">
        <f t="shared" si="429"/>
        <v/>
      </c>
      <c r="AM976" t="str">
        <f t="shared" si="430"/>
        <v/>
      </c>
    </row>
    <row r="977" spans="1:39" ht="15" customHeight="1" x14ac:dyDescent="0.25">
      <c r="A977" s="131"/>
      <c r="B977" s="133"/>
      <c r="C977" s="133"/>
      <c r="D977" s="42" t="str">
        <f t="shared" si="405"/>
        <v/>
      </c>
      <c r="E977" s="43"/>
      <c r="F977" s="135"/>
      <c r="G977" s="77" t="str">
        <f t="shared" si="406"/>
        <v/>
      </c>
      <c r="H977" s="32" t="str">
        <f t="shared" si="407"/>
        <v/>
      </c>
      <c r="I977" s="78" t="str">
        <f t="shared" si="408"/>
        <v/>
      </c>
      <c r="J977" s="70" t="str">
        <f t="shared" si="409"/>
        <v/>
      </c>
      <c r="K977" s="135"/>
      <c r="L977" s="72" t="str">
        <f t="shared" si="410"/>
        <v/>
      </c>
      <c r="M977" s="135"/>
      <c r="N977" s="72" t="str">
        <f t="shared" si="411"/>
        <v/>
      </c>
      <c r="O977" s="135"/>
      <c r="P977" s="136"/>
      <c r="Q977" s="123" t="str">
        <f t="shared" si="412"/>
        <v/>
      </c>
      <c r="R977" s="45" t="str">
        <f t="shared" si="413"/>
        <v/>
      </c>
      <c r="S977" s="137"/>
      <c r="T977" s="79" t="str">
        <f t="shared" si="422"/>
        <v/>
      </c>
      <c r="U977" s="79" t="str">
        <f t="shared" si="414"/>
        <v/>
      </c>
      <c r="V977" s="73" t="str">
        <f t="shared" si="415"/>
        <v/>
      </c>
      <c r="W977" s="80" t="str">
        <f t="shared" si="416"/>
        <v/>
      </c>
      <c r="X977" s="73" t="str">
        <f t="shared" si="417"/>
        <v/>
      </c>
      <c r="Y977" s="80" t="str">
        <f t="shared" si="418"/>
        <v/>
      </c>
      <c r="Z977" s="74" t="str">
        <f t="shared" si="419"/>
        <v/>
      </c>
      <c r="AA977" s="75" t="str">
        <f t="shared" si="423"/>
        <v/>
      </c>
      <c r="AB977" s="103" t="str">
        <f t="shared" si="420"/>
        <v/>
      </c>
      <c r="AC977" s="104" t="str">
        <f t="shared" si="431"/>
        <v/>
      </c>
      <c r="AE977" s="139"/>
      <c r="AF977" s="110" t="str">
        <f t="shared" si="424"/>
        <v/>
      </c>
      <c r="AG977" s="111" t="str">
        <f t="shared" si="425"/>
        <v/>
      </c>
      <c r="AH977" s="111" t="str">
        <f t="shared" si="421"/>
        <v/>
      </c>
      <c r="AI977" s="111" t="str">
        <f t="shared" si="426"/>
        <v/>
      </c>
      <c r="AJ977" s="111" t="str">
        <f t="shared" si="427"/>
        <v/>
      </c>
      <c r="AK977" s="112" t="str">
        <f t="shared" si="428"/>
        <v/>
      </c>
      <c r="AL977" t="str">
        <f t="shared" si="429"/>
        <v/>
      </c>
      <c r="AM977" t="str">
        <f t="shared" si="430"/>
        <v/>
      </c>
    </row>
    <row r="978" spans="1:39" ht="15" customHeight="1" x14ac:dyDescent="0.25">
      <c r="A978" s="131"/>
      <c r="B978" s="133"/>
      <c r="C978" s="133"/>
      <c r="D978" s="42" t="str">
        <f t="shared" si="405"/>
        <v/>
      </c>
      <c r="E978" s="43"/>
      <c r="F978" s="135"/>
      <c r="G978" s="77" t="str">
        <f t="shared" si="406"/>
        <v/>
      </c>
      <c r="H978" s="32" t="str">
        <f t="shared" si="407"/>
        <v/>
      </c>
      <c r="I978" s="78" t="str">
        <f t="shared" si="408"/>
        <v/>
      </c>
      <c r="J978" s="70" t="str">
        <f t="shared" si="409"/>
        <v/>
      </c>
      <c r="K978" s="135"/>
      <c r="L978" s="72" t="str">
        <f t="shared" si="410"/>
        <v/>
      </c>
      <c r="M978" s="135"/>
      <c r="N978" s="72" t="str">
        <f t="shared" si="411"/>
        <v/>
      </c>
      <c r="O978" s="135"/>
      <c r="P978" s="136"/>
      <c r="Q978" s="123" t="str">
        <f t="shared" si="412"/>
        <v/>
      </c>
      <c r="R978" s="45" t="str">
        <f t="shared" si="413"/>
        <v/>
      </c>
      <c r="S978" s="137"/>
      <c r="T978" s="79" t="str">
        <f t="shared" si="422"/>
        <v/>
      </c>
      <c r="U978" s="79" t="str">
        <f t="shared" si="414"/>
        <v/>
      </c>
      <c r="V978" s="73" t="str">
        <f t="shared" si="415"/>
        <v/>
      </c>
      <c r="W978" s="80" t="str">
        <f t="shared" si="416"/>
        <v/>
      </c>
      <c r="X978" s="73" t="str">
        <f t="shared" si="417"/>
        <v/>
      </c>
      <c r="Y978" s="80" t="str">
        <f t="shared" si="418"/>
        <v/>
      </c>
      <c r="Z978" s="74" t="str">
        <f t="shared" si="419"/>
        <v/>
      </c>
      <c r="AA978" s="75" t="str">
        <f t="shared" si="423"/>
        <v/>
      </c>
      <c r="AB978" s="103" t="str">
        <f t="shared" si="420"/>
        <v/>
      </c>
      <c r="AC978" s="104" t="str">
        <f t="shared" si="431"/>
        <v/>
      </c>
      <c r="AE978" s="139"/>
      <c r="AF978" s="110" t="str">
        <f t="shared" si="424"/>
        <v/>
      </c>
      <c r="AG978" s="111" t="str">
        <f t="shared" si="425"/>
        <v/>
      </c>
      <c r="AH978" s="111" t="str">
        <f t="shared" si="421"/>
        <v/>
      </c>
      <c r="AI978" s="111" t="str">
        <f t="shared" si="426"/>
        <v/>
      </c>
      <c r="AJ978" s="111" t="str">
        <f t="shared" si="427"/>
        <v/>
      </c>
      <c r="AK978" s="112" t="str">
        <f t="shared" si="428"/>
        <v/>
      </c>
      <c r="AL978" t="str">
        <f t="shared" si="429"/>
        <v/>
      </c>
      <c r="AM978" t="str">
        <f t="shared" si="430"/>
        <v/>
      </c>
    </row>
    <row r="979" spans="1:39" ht="15" customHeight="1" x14ac:dyDescent="0.25">
      <c r="A979" s="131"/>
      <c r="B979" s="133"/>
      <c r="C979" s="133"/>
      <c r="D979" s="42" t="str">
        <f t="shared" si="405"/>
        <v/>
      </c>
      <c r="E979" s="43"/>
      <c r="F979" s="135"/>
      <c r="G979" s="77" t="str">
        <f t="shared" si="406"/>
        <v/>
      </c>
      <c r="H979" s="32" t="str">
        <f t="shared" si="407"/>
        <v/>
      </c>
      <c r="I979" s="78" t="str">
        <f t="shared" si="408"/>
        <v/>
      </c>
      <c r="J979" s="70" t="str">
        <f t="shared" si="409"/>
        <v/>
      </c>
      <c r="K979" s="135"/>
      <c r="L979" s="72" t="str">
        <f t="shared" si="410"/>
        <v/>
      </c>
      <c r="M979" s="135"/>
      <c r="N979" s="72" t="str">
        <f t="shared" si="411"/>
        <v/>
      </c>
      <c r="O979" s="135"/>
      <c r="P979" s="136"/>
      <c r="Q979" s="123" t="str">
        <f t="shared" si="412"/>
        <v/>
      </c>
      <c r="R979" s="45" t="str">
        <f t="shared" si="413"/>
        <v/>
      </c>
      <c r="S979" s="137"/>
      <c r="T979" s="79" t="str">
        <f t="shared" si="422"/>
        <v/>
      </c>
      <c r="U979" s="79" t="str">
        <f t="shared" si="414"/>
        <v/>
      </c>
      <c r="V979" s="73" t="str">
        <f t="shared" si="415"/>
        <v/>
      </c>
      <c r="W979" s="80" t="str">
        <f t="shared" si="416"/>
        <v/>
      </c>
      <c r="X979" s="73" t="str">
        <f t="shared" si="417"/>
        <v/>
      </c>
      <c r="Y979" s="80" t="str">
        <f t="shared" si="418"/>
        <v/>
      </c>
      <c r="Z979" s="74" t="str">
        <f t="shared" si="419"/>
        <v/>
      </c>
      <c r="AA979" s="75" t="str">
        <f t="shared" si="423"/>
        <v/>
      </c>
      <c r="AB979" s="103" t="str">
        <f t="shared" si="420"/>
        <v/>
      </c>
      <c r="AC979" s="104" t="str">
        <f t="shared" si="431"/>
        <v/>
      </c>
      <c r="AE979" s="139"/>
      <c r="AF979" s="110" t="str">
        <f t="shared" si="424"/>
        <v/>
      </c>
      <c r="AG979" s="111" t="str">
        <f t="shared" si="425"/>
        <v/>
      </c>
      <c r="AH979" s="111" t="str">
        <f t="shared" si="421"/>
        <v/>
      </c>
      <c r="AI979" s="111" t="str">
        <f t="shared" si="426"/>
        <v/>
      </c>
      <c r="AJ979" s="111" t="str">
        <f t="shared" si="427"/>
        <v/>
      </c>
      <c r="AK979" s="112" t="str">
        <f t="shared" si="428"/>
        <v/>
      </c>
      <c r="AL979" t="str">
        <f t="shared" si="429"/>
        <v/>
      </c>
      <c r="AM979" t="str">
        <f t="shared" si="430"/>
        <v/>
      </c>
    </row>
    <row r="980" spans="1:39" ht="15" customHeight="1" x14ac:dyDescent="0.25">
      <c r="A980" s="131"/>
      <c r="B980" s="133"/>
      <c r="C980" s="133"/>
      <c r="D980" s="42" t="str">
        <f t="shared" si="405"/>
        <v/>
      </c>
      <c r="E980" s="43"/>
      <c r="F980" s="135"/>
      <c r="G980" s="77" t="str">
        <f t="shared" si="406"/>
        <v/>
      </c>
      <c r="H980" s="32" t="str">
        <f t="shared" si="407"/>
        <v/>
      </c>
      <c r="I980" s="78" t="str">
        <f t="shared" si="408"/>
        <v/>
      </c>
      <c r="J980" s="70" t="str">
        <f t="shared" si="409"/>
        <v/>
      </c>
      <c r="K980" s="135"/>
      <c r="L980" s="72" t="str">
        <f t="shared" si="410"/>
        <v/>
      </c>
      <c r="M980" s="135"/>
      <c r="N980" s="72" t="str">
        <f t="shared" si="411"/>
        <v/>
      </c>
      <c r="O980" s="135"/>
      <c r="P980" s="136"/>
      <c r="Q980" s="123" t="str">
        <f t="shared" si="412"/>
        <v/>
      </c>
      <c r="R980" s="45" t="str">
        <f t="shared" si="413"/>
        <v/>
      </c>
      <c r="S980" s="137"/>
      <c r="T980" s="79" t="str">
        <f t="shared" si="422"/>
        <v/>
      </c>
      <c r="U980" s="79" t="str">
        <f t="shared" si="414"/>
        <v/>
      </c>
      <c r="V980" s="73" t="str">
        <f t="shared" si="415"/>
        <v/>
      </c>
      <c r="W980" s="80" t="str">
        <f t="shared" si="416"/>
        <v/>
      </c>
      <c r="X980" s="73" t="str">
        <f t="shared" si="417"/>
        <v/>
      </c>
      <c r="Y980" s="80" t="str">
        <f t="shared" si="418"/>
        <v/>
      </c>
      <c r="Z980" s="74" t="str">
        <f t="shared" si="419"/>
        <v/>
      </c>
      <c r="AA980" s="75" t="str">
        <f t="shared" si="423"/>
        <v/>
      </c>
      <c r="AB980" s="103" t="str">
        <f t="shared" si="420"/>
        <v/>
      </c>
      <c r="AC980" s="104" t="str">
        <f t="shared" si="431"/>
        <v/>
      </c>
      <c r="AE980" s="139"/>
      <c r="AF980" s="110" t="str">
        <f t="shared" si="424"/>
        <v/>
      </c>
      <c r="AG980" s="111" t="str">
        <f t="shared" si="425"/>
        <v/>
      </c>
      <c r="AH980" s="111" t="str">
        <f t="shared" si="421"/>
        <v/>
      </c>
      <c r="AI980" s="111" t="str">
        <f t="shared" si="426"/>
        <v/>
      </c>
      <c r="AJ980" s="111" t="str">
        <f t="shared" si="427"/>
        <v/>
      </c>
      <c r="AK980" s="112" t="str">
        <f t="shared" si="428"/>
        <v/>
      </c>
      <c r="AL980" t="str">
        <f t="shared" si="429"/>
        <v/>
      </c>
      <c r="AM980" t="str">
        <f t="shared" si="430"/>
        <v/>
      </c>
    </row>
    <row r="981" spans="1:39" ht="15" customHeight="1" x14ac:dyDescent="0.25">
      <c r="A981" s="131"/>
      <c r="B981" s="133"/>
      <c r="C981" s="133"/>
      <c r="D981" s="42" t="str">
        <f t="shared" si="405"/>
        <v/>
      </c>
      <c r="E981" s="43"/>
      <c r="F981" s="135"/>
      <c r="G981" s="77" t="str">
        <f t="shared" si="406"/>
        <v/>
      </c>
      <c r="H981" s="32" t="str">
        <f t="shared" si="407"/>
        <v/>
      </c>
      <c r="I981" s="78" t="str">
        <f t="shared" si="408"/>
        <v/>
      </c>
      <c r="J981" s="70" t="str">
        <f t="shared" si="409"/>
        <v/>
      </c>
      <c r="K981" s="135"/>
      <c r="L981" s="72" t="str">
        <f t="shared" si="410"/>
        <v/>
      </c>
      <c r="M981" s="135"/>
      <c r="N981" s="72" t="str">
        <f t="shared" si="411"/>
        <v/>
      </c>
      <c r="O981" s="135"/>
      <c r="P981" s="136"/>
      <c r="Q981" s="123" t="str">
        <f t="shared" si="412"/>
        <v/>
      </c>
      <c r="R981" s="45" t="str">
        <f t="shared" si="413"/>
        <v/>
      </c>
      <c r="S981" s="137"/>
      <c r="T981" s="79" t="str">
        <f t="shared" si="422"/>
        <v/>
      </c>
      <c r="U981" s="79" t="str">
        <f t="shared" si="414"/>
        <v/>
      </c>
      <c r="V981" s="73" t="str">
        <f t="shared" si="415"/>
        <v/>
      </c>
      <c r="W981" s="80" t="str">
        <f t="shared" si="416"/>
        <v/>
      </c>
      <c r="X981" s="73" t="str">
        <f t="shared" si="417"/>
        <v/>
      </c>
      <c r="Y981" s="80" t="str">
        <f t="shared" si="418"/>
        <v/>
      </c>
      <c r="Z981" s="74" t="str">
        <f t="shared" si="419"/>
        <v/>
      </c>
      <c r="AA981" s="75" t="str">
        <f t="shared" si="423"/>
        <v/>
      </c>
      <c r="AB981" s="103" t="str">
        <f t="shared" si="420"/>
        <v/>
      </c>
      <c r="AC981" s="104" t="str">
        <f t="shared" si="431"/>
        <v/>
      </c>
      <c r="AE981" s="139"/>
      <c r="AF981" s="110" t="str">
        <f t="shared" si="424"/>
        <v/>
      </c>
      <c r="AG981" s="111" t="str">
        <f t="shared" si="425"/>
        <v/>
      </c>
      <c r="AH981" s="111" t="str">
        <f t="shared" si="421"/>
        <v/>
      </c>
      <c r="AI981" s="111" t="str">
        <f t="shared" si="426"/>
        <v/>
      </c>
      <c r="AJ981" s="111" t="str">
        <f t="shared" si="427"/>
        <v/>
      </c>
      <c r="AK981" s="112" t="str">
        <f t="shared" si="428"/>
        <v/>
      </c>
      <c r="AL981" t="str">
        <f t="shared" si="429"/>
        <v/>
      </c>
      <c r="AM981" t="str">
        <f t="shared" si="430"/>
        <v/>
      </c>
    </row>
    <row r="982" spans="1:39" ht="15" customHeight="1" x14ac:dyDescent="0.25">
      <c r="A982" s="131"/>
      <c r="B982" s="133"/>
      <c r="C982" s="133"/>
      <c r="D982" s="42" t="str">
        <f t="shared" si="405"/>
        <v/>
      </c>
      <c r="E982" s="43"/>
      <c r="F982" s="135"/>
      <c r="G982" s="77" t="str">
        <f t="shared" si="406"/>
        <v/>
      </c>
      <c r="H982" s="32" t="str">
        <f t="shared" si="407"/>
        <v/>
      </c>
      <c r="I982" s="78" t="str">
        <f t="shared" si="408"/>
        <v/>
      </c>
      <c r="J982" s="70" t="str">
        <f t="shared" si="409"/>
        <v/>
      </c>
      <c r="K982" s="135"/>
      <c r="L982" s="72" t="str">
        <f t="shared" si="410"/>
        <v/>
      </c>
      <c r="M982" s="135"/>
      <c r="N982" s="72" t="str">
        <f t="shared" si="411"/>
        <v/>
      </c>
      <c r="O982" s="135"/>
      <c r="P982" s="136"/>
      <c r="Q982" s="123" t="str">
        <f t="shared" si="412"/>
        <v/>
      </c>
      <c r="R982" s="45" t="str">
        <f t="shared" si="413"/>
        <v/>
      </c>
      <c r="S982" s="137"/>
      <c r="T982" s="79" t="str">
        <f t="shared" si="422"/>
        <v/>
      </c>
      <c r="U982" s="79" t="str">
        <f t="shared" si="414"/>
        <v/>
      </c>
      <c r="V982" s="73" t="str">
        <f t="shared" si="415"/>
        <v/>
      </c>
      <c r="W982" s="80" t="str">
        <f t="shared" si="416"/>
        <v/>
      </c>
      <c r="X982" s="73" t="str">
        <f t="shared" si="417"/>
        <v/>
      </c>
      <c r="Y982" s="80" t="str">
        <f t="shared" si="418"/>
        <v/>
      </c>
      <c r="Z982" s="74" t="str">
        <f t="shared" si="419"/>
        <v/>
      </c>
      <c r="AA982" s="75" t="str">
        <f t="shared" si="423"/>
        <v/>
      </c>
      <c r="AB982" s="103" t="str">
        <f t="shared" si="420"/>
        <v/>
      </c>
      <c r="AC982" s="104" t="str">
        <f t="shared" si="431"/>
        <v/>
      </c>
      <c r="AE982" s="139"/>
      <c r="AF982" s="110" t="str">
        <f t="shared" si="424"/>
        <v/>
      </c>
      <c r="AG982" s="111" t="str">
        <f t="shared" si="425"/>
        <v/>
      </c>
      <c r="AH982" s="111" t="str">
        <f t="shared" si="421"/>
        <v/>
      </c>
      <c r="AI982" s="111" t="str">
        <f t="shared" si="426"/>
        <v/>
      </c>
      <c r="AJ982" s="111" t="str">
        <f t="shared" si="427"/>
        <v/>
      </c>
      <c r="AK982" s="112" t="str">
        <f t="shared" si="428"/>
        <v/>
      </c>
      <c r="AL982" t="str">
        <f t="shared" si="429"/>
        <v/>
      </c>
      <c r="AM982" t="str">
        <f t="shared" si="430"/>
        <v/>
      </c>
    </row>
    <row r="983" spans="1:39" ht="15" customHeight="1" x14ac:dyDescent="0.25">
      <c r="A983" s="131"/>
      <c r="B983" s="133"/>
      <c r="C983" s="133"/>
      <c r="D983" s="42" t="str">
        <f t="shared" si="405"/>
        <v/>
      </c>
      <c r="E983" s="43"/>
      <c r="F983" s="135"/>
      <c r="G983" s="77" t="str">
        <f t="shared" si="406"/>
        <v/>
      </c>
      <c r="H983" s="32" t="str">
        <f t="shared" si="407"/>
        <v/>
      </c>
      <c r="I983" s="78" t="str">
        <f t="shared" si="408"/>
        <v/>
      </c>
      <c r="J983" s="70" t="str">
        <f t="shared" si="409"/>
        <v/>
      </c>
      <c r="K983" s="135"/>
      <c r="L983" s="72" t="str">
        <f t="shared" si="410"/>
        <v/>
      </c>
      <c r="M983" s="135"/>
      <c r="N983" s="72" t="str">
        <f t="shared" si="411"/>
        <v/>
      </c>
      <c r="O983" s="135"/>
      <c r="P983" s="136"/>
      <c r="Q983" s="123" t="str">
        <f t="shared" si="412"/>
        <v/>
      </c>
      <c r="R983" s="45" t="str">
        <f t="shared" si="413"/>
        <v/>
      </c>
      <c r="S983" s="137"/>
      <c r="T983" s="79" t="str">
        <f t="shared" si="422"/>
        <v/>
      </c>
      <c r="U983" s="79" t="str">
        <f t="shared" si="414"/>
        <v/>
      </c>
      <c r="V983" s="73" t="str">
        <f t="shared" si="415"/>
        <v/>
      </c>
      <c r="W983" s="80" t="str">
        <f t="shared" si="416"/>
        <v/>
      </c>
      <c r="X983" s="73" t="str">
        <f t="shared" si="417"/>
        <v/>
      </c>
      <c r="Y983" s="80" t="str">
        <f t="shared" si="418"/>
        <v/>
      </c>
      <c r="Z983" s="74" t="str">
        <f t="shared" si="419"/>
        <v/>
      </c>
      <c r="AA983" s="75" t="str">
        <f t="shared" si="423"/>
        <v/>
      </c>
      <c r="AB983" s="103" t="str">
        <f t="shared" si="420"/>
        <v/>
      </c>
      <c r="AC983" s="104" t="str">
        <f t="shared" si="431"/>
        <v/>
      </c>
      <c r="AE983" s="139"/>
      <c r="AF983" s="110" t="str">
        <f t="shared" si="424"/>
        <v/>
      </c>
      <c r="AG983" s="111" t="str">
        <f t="shared" si="425"/>
        <v/>
      </c>
      <c r="AH983" s="111" t="str">
        <f t="shared" si="421"/>
        <v/>
      </c>
      <c r="AI983" s="111" t="str">
        <f t="shared" si="426"/>
        <v/>
      </c>
      <c r="AJ983" s="111" t="str">
        <f t="shared" si="427"/>
        <v/>
      </c>
      <c r="AK983" s="112" t="str">
        <f t="shared" si="428"/>
        <v/>
      </c>
      <c r="AL983" t="str">
        <f t="shared" si="429"/>
        <v/>
      </c>
      <c r="AM983" t="str">
        <f t="shared" si="430"/>
        <v/>
      </c>
    </row>
    <row r="984" spans="1:39" ht="15" customHeight="1" x14ac:dyDescent="0.25">
      <c r="A984" s="131"/>
      <c r="B984" s="133"/>
      <c r="C984" s="133"/>
      <c r="D984" s="42" t="str">
        <f t="shared" si="405"/>
        <v/>
      </c>
      <c r="E984" s="43"/>
      <c r="F984" s="135"/>
      <c r="G984" s="77" t="str">
        <f t="shared" si="406"/>
        <v/>
      </c>
      <c r="H984" s="32" t="str">
        <f t="shared" si="407"/>
        <v/>
      </c>
      <c r="I984" s="78" t="str">
        <f t="shared" si="408"/>
        <v/>
      </c>
      <c r="J984" s="70" t="str">
        <f t="shared" si="409"/>
        <v/>
      </c>
      <c r="K984" s="135"/>
      <c r="L984" s="72" t="str">
        <f t="shared" si="410"/>
        <v/>
      </c>
      <c r="M984" s="135"/>
      <c r="N984" s="72" t="str">
        <f t="shared" si="411"/>
        <v/>
      </c>
      <c r="O984" s="135"/>
      <c r="P984" s="136"/>
      <c r="Q984" s="123" t="str">
        <f t="shared" si="412"/>
        <v/>
      </c>
      <c r="R984" s="45" t="str">
        <f t="shared" si="413"/>
        <v/>
      </c>
      <c r="S984" s="137"/>
      <c r="T984" s="79" t="str">
        <f t="shared" si="422"/>
        <v/>
      </c>
      <c r="U984" s="79" t="str">
        <f t="shared" si="414"/>
        <v/>
      </c>
      <c r="V984" s="73" t="str">
        <f t="shared" si="415"/>
        <v/>
      </c>
      <c r="W984" s="80" t="str">
        <f t="shared" si="416"/>
        <v/>
      </c>
      <c r="X984" s="73" t="str">
        <f t="shared" si="417"/>
        <v/>
      </c>
      <c r="Y984" s="80" t="str">
        <f t="shared" si="418"/>
        <v/>
      </c>
      <c r="Z984" s="74" t="str">
        <f t="shared" si="419"/>
        <v/>
      </c>
      <c r="AA984" s="75" t="str">
        <f t="shared" si="423"/>
        <v/>
      </c>
      <c r="AB984" s="103" t="str">
        <f t="shared" si="420"/>
        <v/>
      </c>
      <c r="AC984" s="104" t="str">
        <f t="shared" si="431"/>
        <v/>
      </c>
      <c r="AE984" s="139"/>
      <c r="AF984" s="110" t="str">
        <f t="shared" si="424"/>
        <v/>
      </c>
      <c r="AG984" s="111" t="str">
        <f t="shared" si="425"/>
        <v/>
      </c>
      <c r="AH984" s="111" t="str">
        <f t="shared" si="421"/>
        <v/>
      </c>
      <c r="AI984" s="111" t="str">
        <f t="shared" si="426"/>
        <v/>
      </c>
      <c r="AJ984" s="111" t="str">
        <f t="shared" si="427"/>
        <v/>
      </c>
      <c r="AK984" s="112" t="str">
        <f t="shared" si="428"/>
        <v/>
      </c>
      <c r="AL984" t="str">
        <f t="shared" si="429"/>
        <v/>
      </c>
      <c r="AM984" t="str">
        <f t="shared" si="430"/>
        <v/>
      </c>
    </row>
    <row r="985" spans="1:39" ht="15" customHeight="1" x14ac:dyDescent="0.25">
      <c r="A985" s="131"/>
      <c r="B985" s="133"/>
      <c r="C985" s="133"/>
      <c r="D985" s="42" t="str">
        <f t="shared" si="405"/>
        <v/>
      </c>
      <c r="E985" s="43"/>
      <c r="F985" s="135"/>
      <c r="G985" s="77" t="str">
        <f t="shared" si="406"/>
        <v/>
      </c>
      <c r="H985" s="32" t="str">
        <f t="shared" si="407"/>
        <v/>
      </c>
      <c r="I985" s="78" t="str">
        <f t="shared" si="408"/>
        <v/>
      </c>
      <c r="J985" s="70" t="str">
        <f t="shared" si="409"/>
        <v/>
      </c>
      <c r="K985" s="135"/>
      <c r="L985" s="72" t="str">
        <f t="shared" si="410"/>
        <v/>
      </c>
      <c r="M985" s="135"/>
      <c r="N985" s="72" t="str">
        <f t="shared" si="411"/>
        <v/>
      </c>
      <c r="O985" s="135"/>
      <c r="P985" s="136"/>
      <c r="Q985" s="123" t="str">
        <f t="shared" si="412"/>
        <v/>
      </c>
      <c r="R985" s="45" t="str">
        <f t="shared" si="413"/>
        <v/>
      </c>
      <c r="S985" s="137"/>
      <c r="T985" s="79" t="str">
        <f t="shared" si="422"/>
        <v/>
      </c>
      <c r="U985" s="79" t="str">
        <f t="shared" si="414"/>
        <v/>
      </c>
      <c r="V985" s="73" t="str">
        <f t="shared" si="415"/>
        <v/>
      </c>
      <c r="W985" s="80" t="str">
        <f t="shared" si="416"/>
        <v/>
      </c>
      <c r="X985" s="73" t="str">
        <f t="shared" si="417"/>
        <v/>
      </c>
      <c r="Y985" s="80" t="str">
        <f t="shared" si="418"/>
        <v/>
      </c>
      <c r="Z985" s="74" t="str">
        <f t="shared" si="419"/>
        <v/>
      </c>
      <c r="AA985" s="75" t="str">
        <f t="shared" si="423"/>
        <v/>
      </c>
      <c r="AB985" s="103" t="str">
        <f t="shared" si="420"/>
        <v/>
      </c>
      <c r="AC985" s="104" t="str">
        <f t="shared" si="431"/>
        <v/>
      </c>
      <c r="AE985" s="139"/>
      <c r="AF985" s="110" t="str">
        <f t="shared" si="424"/>
        <v/>
      </c>
      <c r="AG985" s="111" t="str">
        <f t="shared" si="425"/>
        <v/>
      </c>
      <c r="AH985" s="111" t="str">
        <f t="shared" si="421"/>
        <v/>
      </c>
      <c r="AI985" s="111" t="str">
        <f t="shared" si="426"/>
        <v/>
      </c>
      <c r="AJ985" s="111" t="str">
        <f t="shared" si="427"/>
        <v/>
      </c>
      <c r="AK985" s="112" t="str">
        <f t="shared" si="428"/>
        <v/>
      </c>
      <c r="AL985" t="str">
        <f t="shared" si="429"/>
        <v/>
      </c>
      <c r="AM985" t="str">
        <f t="shared" si="430"/>
        <v/>
      </c>
    </row>
    <row r="986" spans="1:39" ht="15" customHeight="1" x14ac:dyDescent="0.25">
      <c r="A986" s="131"/>
      <c r="B986" s="133"/>
      <c r="C986" s="133"/>
      <c r="D986" s="42" t="str">
        <f t="shared" si="405"/>
        <v/>
      </c>
      <c r="E986" s="43"/>
      <c r="F986" s="135"/>
      <c r="G986" s="77" t="str">
        <f t="shared" si="406"/>
        <v/>
      </c>
      <c r="H986" s="32" t="str">
        <f t="shared" si="407"/>
        <v/>
      </c>
      <c r="I986" s="78" t="str">
        <f t="shared" si="408"/>
        <v/>
      </c>
      <c r="J986" s="70" t="str">
        <f t="shared" si="409"/>
        <v/>
      </c>
      <c r="K986" s="135"/>
      <c r="L986" s="72" t="str">
        <f t="shared" si="410"/>
        <v/>
      </c>
      <c r="M986" s="135"/>
      <c r="N986" s="72" t="str">
        <f t="shared" si="411"/>
        <v/>
      </c>
      <c r="O986" s="135"/>
      <c r="P986" s="136"/>
      <c r="Q986" s="123" t="str">
        <f t="shared" si="412"/>
        <v/>
      </c>
      <c r="R986" s="45" t="str">
        <f t="shared" si="413"/>
        <v/>
      </c>
      <c r="S986" s="137"/>
      <c r="T986" s="79" t="str">
        <f t="shared" si="422"/>
        <v/>
      </c>
      <c r="U986" s="79" t="str">
        <f t="shared" si="414"/>
        <v/>
      </c>
      <c r="V986" s="73" t="str">
        <f t="shared" si="415"/>
        <v/>
      </c>
      <c r="W986" s="80" t="str">
        <f t="shared" si="416"/>
        <v/>
      </c>
      <c r="X986" s="73" t="str">
        <f t="shared" si="417"/>
        <v/>
      </c>
      <c r="Y986" s="80" t="str">
        <f t="shared" si="418"/>
        <v/>
      </c>
      <c r="Z986" s="74" t="str">
        <f t="shared" si="419"/>
        <v/>
      </c>
      <c r="AA986" s="75" t="str">
        <f t="shared" si="423"/>
        <v/>
      </c>
      <c r="AB986" s="103" t="str">
        <f t="shared" si="420"/>
        <v/>
      </c>
      <c r="AC986" s="104" t="str">
        <f t="shared" si="431"/>
        <v/>
      </c>
      <c r="AE986" s="139"/>
      <c r="AF986" s="110" t="str">
        <f t="shared" si="424"/>
        <v/>
      </c>
      <c r="AG986" s="111" t="str">
        <f t="shared" si="425"/>
        <v/>
      </c>
      <c r="AH986" s="111" t="str">
        <f t="shared" si="421"/>
        <v/>
      </c>
      <c r="AI986" s="111" t="str">
        <f t="shared" si="426"/>
        <v/>
      </c>
      <c r="AJ986" s="111" t="str">
        <f t="shared" si="427"/>
        <v/>
      </c>
      <c r="AK986" s="112" t="str">
        <f t="shared" si="428"/>
        <v/>
      </c>
      <c r="AL986" t="str">
        <f t="shared" si="429"/>
        <v/>
      </c>
      <c r="AM986" t="str">
        <f t="shared" si="430"/>
        <v/>
      </c>
    </row>
    <row r="987" spans="1:39" ht="15" customHeight="1" x14ac:dyDescent="0.25">
      <c r="A987" s="131"/>
      <c r="B987" s="133"/>
      <c r="C987" s="133"/>
      <c r="D987" s="42" t="str">
        <f t="shared" si="405"/>
        <v/>
      </c>
      <c r="E987" s="43"/>
      <c r="F987" s="135"/>
      <c r="G987" s="77" t="str">
        <f t="shared" si="406"/>
        <v/>
      </c>
      <c r="H987" s="32" t="str">
        <f t="shared" si="407"/>
        <v/>
      </c>
      <c r="I987" s="78" t="str">
        <f t="shared" si="408"/>
        <v/>
      </c>
      <c r="J987" s="70" t="str">
        <f t="shared" si="409"/>
        <v/>
      </c>
      <c r="K987" s="135"/>
      <c r="L987" s="72" t="str">
        <f t="shared" si="410"/>
        <v/>
      </c>
      <c r="M987" s="135"/>
      <c r="N987" s="72" t="str">
        <f t="shared" si="411"/>
        <v/>
      </c>
      <c r="O987" s="135"/>
      <c r="P987" s="136"/>
      <c r="Q987" s="123" t="str">
        <f t="shared" si="412"/>
        <v/>
      </c>
      <c r="R987" s="45" t="str">
        <f t="shared" si="413"/>
        <v/>
      </c>
      <c r="S987" s="137"/>
      <c r="T987" s="79" t="str">
        <f t="shared" si="422"/>
        <v/>
      </c>
      <c r="U987" s="79" t="str">
        <f t="shared" si="414"/>
        <v/>
      </c>
      <c r="V987" s="73" t="str">
        <f t="shared" si="415"/>
        <v/>
      </c>
      <c r="W987" s="80" t="str">
        <f t="shared" si="416"/>
        <v/>
      </c>
      <c r="X987" s="73" t="str">
        <f t="shared" si="417"/>
        <v/>
      </c>
      <c r="Y987" s="80" t="str">
        <f t="shared" si="418"/>
        <v/>
      </c>
      <c r="Z987" s="74" t="str">
        <f t="shared" si="419"/>
        <v/>
      </c>
      <c r="AA987" s="75" t="str">
        <f t="shared" si="423"/>
        <v/>
      </c>
      <c r="AB987" s="103" t="str">
        <f t="shared" si="420"/>
        <v/>
      </c>
      <c r="AC987" s="104" t="str">
        <f t="shared" si="431"/>
        <v/>
      </c>
      <c r="AE987" s="139"/>
      <c r="AF987" s="110" t="str">
        <f t="shared" si="424"/>
        <v/>
      </c>
      <c r="AG987" s="111" t="str">
        <f t="shared" si="425"/>
        <v/>
      </c>
      <c r="AH987" s="111" t="str">
        <f t="shared" si="421"/>
        <v/>
      </c>
      <c r="AI987" s="111" t="str">
        <f t="shared" si="426"/>
        <v/>
      </c>
      <c r="AJ987" s="111" t="str">
        <f t="shared" si="427"/>
        <v/>
      </c>
      <c r="AK987" s="112" t="str">
        <f t="shared" si="428"/>
        <v/>
      </c>
      <c r="AL987" t="str">
        <f t="shared" si="429"/>
        <v/>
      </c>
      <c r="AM987" t="str">
        <f t="shared" si="430"/>
        <v/>
      </c>
    </row>
    <row r="988" spans="1:39" ht="15" customHeight="1" x14ac:dyDescent="0.25">
      <c r="A988" s="131"/>
      <c r="B988" s="133"/>
      <c r="C988" s="133"/>
      <c r="D988" s="42" t="str">
        <f t="shared" si="405"/>
        <v/>
      </c>
      <c r="E988" s="43"/>
      <c r="F988" s="135"/>
      <c r="G988" s="77" t="str">
        <f t="shared" si="406"/>
        <v/>
      </c>
      <c r="H988" s="32" t="str">
        <f t="shared" si="407"/>
        <v/>
      </c>
      <c r="I988" s="78" t="str">
        <f t="shared" si="408"/>
        <v/>
      </c>
      <c r="J988" s="70" t="str">
        <f t="shared" si="409"/>
        <v/>
      </c>
      <c r="K988" s="135"/>
      <c r="L988" s="72" t="str">
        <f t="shared" si="410"/>
        <v/>
      </c>
      <c r="M988" s="135"/>
      <c r="N988" s="72" t="str">
        <f t="shared" si="411"/>
        <v/>
      </c>
      <c r="O988" s="135"/>
      <c r="P988" s="136"/>
      <c r="Q988" s="123" t="str">
        <f t="shared" si="412"/>
        <v/>
      </c>
      <c r="R988" s="45" t="str">
        <f t="shared" si="413"/>
        <v/>
      </c>
      <c r="S988" s="137"/>
      <c r="T988" s="79" t="str">
        <f t="shared" si="422"/>
        <v/>
      </c>
      <c r="U988" s="79" t="str">
        <f t="shared" si="414"/>
        <v/>
      </c>
      <c r="V988" s="73" t="str">
        <f t="shared" si="415"/>
        <v/>
      </c>
      <c r="W988" s="80" t="str">
        <f t="shared" si="416"/>
        <v/>
      </c>
      <c r="X988" s="73" t="str">
        <f t="shared" si="417"/>
        <v/>
      </c>
      <c r="Y988" s="80" t="str">
        <f t="shared" si="418"/>
        <v/>
      </c>
      <c r="Z988" s="74" t="str">
        <f t="shared" si="419"/>
        <v/>
      </c>
      <c r="AA988" s="75" t="str">
        <f t="shared" si="423"/>
        <v/>
      </c>
      <c r="AB988" s="103" t="str">
        <f t="shared" si="420"/>
        <v/>
      </c>
      <c r="AC988" s="104" t="str">
        <f t="shared" si="431"/>
        <v/>
      </c>
      <c r="AE988" s="139"/>
      <c r="AF988" s="110" t="str">
        <f t="shared" si="424"/>
        <v/>
      </c>
      <c r="AG988" s="111" t="str">
        <f t="shared" si="425"/>
        <v/>
      </c>
      <c r="AH988" s="111" t="str">
        <f t="shared" si="421"/>
        <v/>
      </c>
      <c r="AI988" s="111" t="str">
        <f t="shared" si="426"/>
        <v/>
      </c>
      <c r="AJ988" s="111" t="str">
        <f t="shared" si="427"/>
        <v/>
      </c>
      <c r="AK988" s="112" t="str">
        <f t="shared" si="428"/>
        <v/>
      </c>
      <c r="AL988" t="str">
        <f t="shared" si="429"/>
        <v/>
      </c>
      <c r="AM988" t="str">
        <f t="shared" si="430"/>
        <v/>
      </c>
    </row>
    <row r="989" spans="1:39" ht="15" customHeight="1" x14ac:dyDescent="0.25">
      <c r="A989" s="131"/>
      <c r="B989" s="133"/>
      <c r="C989" s="133"/>
      <c r="D989" s="42" t="str">
        <f t="shared" si="405"/>
        <v/>
      </c>
      <c r="E989" s="43"/>
      <c r="F989" s="135"/>
      <c r="G989" s="77" t="str">
        <f t="shared" si="406"/>
        <v/>
      </c>
      <c r="H989" s="32" t="str">
        <f t="shared" si="407"/>
        <v/>
      </c>
      <c r="I989" s="78" t="str">
        <f t="shared" si="408"/>
        <v/>
      </c>
      <c r="J989" s="70" t="str">
        <f t="shared" si="409"/>
        <v/>
      </c>
      <c r="K989" s="135"/>
      <c r="L989" s="72" t="str">
        <f t="shared" si="410"/>
        <v/>
      </c>
      <c r="M989" s="135"/>
      <c r="N989" s="72" t="str">
        <f t="shared" si="411"/>
        <v/>
      </c>
      <c r="O989" s="135"/>
      <c r="P989" s="136"/>
      <c r="Q989" s="123" t="str">
        <f t="shared" si="412"/>
        <v/>
      </c>
      <c r="R989" s="45" t="str">
        <f t="shared" si="413"/>
        <v/>
      </c>
      <c r="S989" s="137"/>
      <c r="T989" s="79" t="str">
        <f t="shared" si="422"/>
        <v/>
      </c>
      <c r="U989" s="79" t="str">
        <f t="shared" si="414"/>
        <v/>
      </c>
      <c r="V989" s="73" t="str">
        <f t="shared" si="415"/>
        <v/>
      </c>
      <c r="W989" s="80" t="str">
        <f t="shared" si="416"/>
        <v/>
      </c>
      <c r="X989" s="73" t="str">
        <f t="shared" si="417"/>
        <v/>
      </c>
      <c r="Y989" s="80" t="str">
        <f t="shared" si="418"/>
        <v/>
      </c>
      <c r="Z989" s="74" t="str">
        <f t="shared" si="419"/>
        <v/>
      </c>
      <c r="AA989" s="75" t="str">
        <f t="shared" si="423"/>
        <v/>
      </c>
      <c r="AB989" s="103" t="str">
        <f t="shared" si="420"/>
        <v/>
      </c>
      <c r="AC989" s="104" t="str">
        <f t="shared" si="431"/>
        <v/>
      </c>
      <c r="AE989" s="139"/>
      <c r="AF989" s="110" t="str">
        <f t="shared" si="424"/>
        <v/>
      </c>
      <c r="AG989" s="111" t="str">
        <f t="shared" si="425"/>
        <v/>
      </c>
      <c r="AH989" s="111" t="str">
        <f t="shared" si="421"/>
        <v/>
      </c>
      <c r="AI989" s="111" t="str">
        <f t="shared" si="426"/>
        <v/>
      </c>
      <c r="AJ989" s="111" t="str">
        <f t="shared" si="427"/>
        <v/>
      </c>
      <c r="AK989" s="112" t="str">
        <f t="shared" si="428"/>
        <v/>
      </c>
      <c r="AL989" t="str">
        <f t="shared" si="429"/>
        <v/>
      </c>
      <c r="AM989" t="str">
        <f t="shared" si="430"/>
        <v/>
      </c>
    </row>
    <row r="990" spans="1:39" ht="15" customHeight="1" x14ac:dyDescent="0.25">
      <c r="A990" s="131"/>
      <c r="B990" s="133"/>
      <c r="C990" s="133"/>
      <c r="D990" s="42" t="str">
        <f t="shared" si="405"/>
        <v/>
      </c>
      <c r="E990" s="43"/>
      <c r="F990" s="135"/>
      <c r="G990" s="77" t="str">
        <f t="shared" si="406"/>
        <v/>
      </c>
      <c r="H990" s="32" t="str">
        <f t="shared" si="407"/>
        <v/>
      </c>
      <c r="I990" s="78" t="str">
        <f t="shared" si="408"/>
        <v/>
      </c>
      <c r="J990" s="70" t="str">
        <f t="shared" si="409"/>
        <v/>
      </c>
      <c r="K990" s="135"/>
      <c r="L990" s="72" t="str">
        <f t="shared" si="410"/>
        <v/>
      </c>
      <c r="M990" s="135"/>
      <c r="N990" s="72" t="str">
        <f t="shared" si="411"/>
        <v/>
      </c>
      <c r="O990" s="135"/>
      <c r="P990" s="136"/>
      <c r="Q990" s="123" t="str">
        <f t="shared" si="412"/>
        <v/>
      </c>
      <c r="R990" s="45" t="str">
        <f t="shared" si="413"/>
        <v/>
      </c>
      <c r="S990" s="137"/>
      <c r="T990" s="79" t="str">
        <f t="shared" si="422"/>
        <v/>
      </c>
      <c r="U990" s="79" t="str">
        <f t="shared" si="414"/>
        <v/>
      </c>
      <c r="V990" s="73" t="str">
        <f t="shared" si="415"/>
        <v/>
      </c>
      <c r="W990" s="80" t="str">
        <f t="shared" si="416"/>
        <v/>
      </c>
      <c r="X990" s="73" t="str">
        <f t="shared" si="417"/>
        <v/>
      </c>
      <c r="Y990" s="80" t="str">
        <f t="shared" si="418"/>
        <v/>
      </c>
      <c r="Z990" s="74" t="str">
        <f t="shared" si="419"/>
        <v/>
      </c>
      <c r="AA990" s="75" t="str">
        <f t="shared" si="423"/>
        <v/>
      </c>
      <c r="AB990" s="103" t="str">
        <f t="shared" si="420"/>
        <v/>
      </c>
      <c r="AC990" s="104" t="str">
        <f t="shared" si="431"/>
        <v/>
      </c>
      <c r="AE990" s="139"/>
      <c r="AF990" s="110" t="str">
        <f t="shared" si="424"/>
        <v/>
      </c>
      <c r="AG990" s="111" t="str">
        <f t="shared" si="425"/>
        <v/>
      </c>
      <c r="AH990" s="111" t="str">
        <f t="shared" si="421"/>
        <v/>
      </c>
      <c r="AI990" s="111" t="str">
        <f t="shared" si="426"/>
        <v/>
      </c>
      <c r="AJ990" s="111" t="str">
        <f t="shared" si="427"/>
        <v/>
      </c>
      <c r="AK990" s="112" t="str">
        <f t="shared" si="428"/>
        <v/>
      </c>
      <c r="AL990" t="str">
        <f t="shared" si="429"/>
        <v/>
      </c>
      <c r="AM990" t="str">
        <f t="shared" si="430"/>
        <v/>
      </c>
    </row>
    <row r="991" spans="1:39" ht="15" customHeight="1" x14ac:dyDescent="0.25">
      <c r="A991" s="131"/>
      <c r="B991" s="133"/>
      <c r="C991" s="133"/>
      <c r="D991" s="42" t="str">
        <f t="shared" si="405"/>
        <v/>
      </c>
      <c r="E991" s="43"/>
      <c r="F991" s="135"/>
      <c r="G991" s="77" t="str">
        <f t="shared" si="406"/>
        <v/>
      </c>
      <c r="H991" s="32" t="str">
        <f t="shared" si="407"/>
        <v/>
      </c>
      <c r="I991" s="78" t="str">
        <f t="shared" si="408"/>
        <v/>
      </c>
      <c r="J991" s="70" t="str">
        <f t="shared" si="409"/>
        <v/>
      </c>
      <c r="K991" s="135"/>
      <c r="L991" s="72" t="str">
        <f t="shared" si="410"/>
        <v/>
      </c>
      <c r="M991" s="135"/>
      <c r="N991" s="72" t="str">
        <f t="shared" si="411"/>
        <v/>
      </c>
      <c r="O991" s="135"/>
      <c r="P991" s="136"/>
      <c r="Q991" s="123" t="str">
        <f t="shared" si="412"/>
        <v/>
      </c>
      <c r="R991" s="45" t="str">
        <f t="shared" si="413"/>
        <v/>
      </c>
      <c r="S991" s="137"/>
      <c r="T991" s="79" t="str">
        <f t="shared" si="422"/>
        <v/>
      </c>
      <c r="U991" s="79" t="str">
        <f t="shared" si="414"/>
        <v/>
      </c>
      <c r="V991" s="73" t="str">
        <f t="shared" si="415"/>
        <v/>
      </c>
      <c r="W991" s="80" t="str">
        <f t="shared" si="416"/>
        <v/>
      </c>
      <c r="X991" s="73" t="str">
        <f t="shared" si="417"/>
        <v/>
      </c>
      <c r="Y991" s="80" t="str">
        <f t="shared" si="418"/>
        <v/>
      </c>
      <c r="Z991" s="74" t="str">
        <f t="shared" si="419"/>
        <v/>
      </c>
      <c r="AA991" s="75" t="str">
        <f t="shared" si="423"/>
        <v/>
      </c>
      <c r="AB991" s="103" t="str">
        <f t="shared" si="420"/>
        <v/>
      </c>
      <c r="AC991" s="104" t="str">
        <f t="shared" si="431"/>
        <v/>
      </c>
      <c r="AE991" s="139"/>
      <c r="AF991" s="110" t="str">
        <f t="shared" si="424"/>
        <v/>
      </c>
      <c r="AG991" s="111" t="str">
        <f t="shared" si="425"/>
        <v/>
      </c>
      <c r="AH991" s="111" t="str">
        <f t="shared" si="421"/>
        <v/>
      </c>
      <c r="AI991" s="111" t="str">
        <f t="shared" si="426"/>
        <v/>
      </c>
      <c r="AJ991" s="111" t="str">
        <f t="shared" si="427"/>
        <v/>
      </c>
      <c r="AK991" s="112" t="str">
        <f t="shared" si="428"/>
        <v/>
      </c>
      <c r="AL991" t="str">
        <f t="shared" si="429"/>
        <v/>
      </c>
      <c r="AM991" t="str">
        <f t="shared" si="430"/>
        <v/>
      </c>
    </row>
    <row r="992" spans="1:39" ht="15" customHeight="1" x14ac:dyDescent="0.25">
      <c r="A992" s="131"/>
      <c r="B992" s="133"/>
      <c r="C992" s="133"/>
      <c r="D992" s="42" t="str">
        <f t="shared" si="405"/>
        <v/>
      </c>
      <c r="E992" s="43"/>
      <c r="F992" s="135"/>
      <c r="G992" s="77" t="str">
        <f t="shared" si="406"/>
        <v/>
      </c>
      <c r="H992" s="32" t="str">
        <f t="shared" si="407"/>
        <v/>
      </c>
      <c r="I992" s="78" t="str">
        <f t="shared" si="408"/>
        <v/>
      </c>
      <c r="J992" s="70" t="str">
        <f t="shared" si="409"/>
        <v/>
      </c>
      <c r="K992" s="135"/>
      <c r="L992" s="72" t="str">
        <f t="shared" si="410"/>
        <v/>
      </c>
      <c r="M992" s="135"/>
      <c r="N992" s="72" t="str">
        <f t="shared" si="411"/>
        <v/>
      </c>
      <c r="O992" s="135"/>
      <c r="P992" s="136"/>
      <c r="Q992" s="123" t="str">
        <f t="shared" si="412"/>
        <v/>
      </c>
      <c r="R992" s="45" t="str">
        <f t="shared" si="413"/>
        <v/>
      </c>
      <c r="S992" s="137"/>
      <c r="T992" s="79" t="str">
        <f t="shared" si="422"/>
        <v/>
      </c>
      <c r="U992" s="79" t="str">
        <f t="shared" si="414"/>
        <v/>
      </c>
      <c r="V992" s="73" t="str">
        <f t="shared" si="415"/>
        <v/>
      </c>
      <c r="W992" s="80" t="str">
        <f t="shared" si="416"/>
        <v/>
      </c>
      <c r="X992" s="73" t="str">
        <f t="shared" si="417"/>
        <v/>
      </c>
      <c r="Y992" s="80" t="str">
        <f t="shared" si="418"/>
        <v/>
      </c>
      <c r="Z992" s="74" t="str">
        <f t="shared" si="419"/>
        <v/>
      </c>
      <c r="AA992" s="75" t="str">
        <f t="shared" si="423"/>
        <v/>
      </c>
      <c r="AB992" s="103" t="str">
        <f t="shared" si="420"/>
        <v/>
      </c>
      <c r="AC992" s="104" t="str">
        <f t="shared" si="431"/>
        <v/>
      </c>
      <c r="AE992" s="139"/>
      <c r="AF992" s="110" t="str">
        <f t="shared" si="424"/>
        <v/>
      </c>
      <c r="AG992" s="111" t="str">
        <f t="shared" si="425"/>
        <v/>
      </c>
      <c r="AH992" s="111" t="str">
        <f t="shared" si="421"/>
        <v/>
      </c>
      <c r="AI992" s="111" t="str">
        <f t="shared" si="426"/>
        <v/>
      </c>
      <c r="AJ992" s="111" t="str">
        <f t="shared" si="427"/>
        <v/>
      </c>
      <c r="AK992" s="112" t="str">
        <f t="shared" si="428"/>
        <v/>
      </c>
      <c r="AL992" t="str">
        <f t="shared" si="429"/>
        <v/>
      </c>
      <c r="AM992" t="str">
        <f t="shared" si="430"/>
        <v/>
      </c>
    </row>
    <row r="993" spans="1:39" ht="15" customHeight="1" x14ac:dyDescent="0.25">
      <c r="A993" s="131"/>
      <c r="B993" s="133"/>
      <c r="C993" s="133"/>
      <c r="D993" s="42" t="str">
        <f t="shared" si="405"/>
        <v/>
      </c>
      <c r="E993" s="43"/>
      <c r="F993" s="135"/>
      <c r="G993" s="77" t="str">
        <f t="shared" si="406"/>
        <v/>
      </c>
      <c r="H993" s="32" t="str">
        <f t="shared" si="407"/>
        <v/>
      </c>
      <c r="I993" s="78" t="str">
        <f t="shared" si="408"/>
        <v/>
      </c>
      <c r="J993" s="70" t="str">
        <f t="shared" si="409"/>
        <v/>
      </c>
      <c r="K993" s="135"/>
      <c r="L993" s="72" t="str">
        <f t="shared" si="410"/>
        <v/>
      </c>
      <c r="M993" s="135"/>
      <c r="N993" s="72" t="str">
        <f t="shared" si="411"/>
        <v/>
      </c>
      <c r="O993" s="135"/>
      <c r="P993" s="136"/>
      <c r="Q993" s="123" t="str">
        <f t="shared" si="412"/>
        <v/>
      </c>
      <c r="R993" s="45" t="str">
        <f t="shared" si="413"/>
        <v/>
      </c>
      <c r="S993" s="137"/>
      <c r="T993" s="79" t="str">
        <f t="shared" si="422"/>
        <v/>
      </c>
      <c r="U993" s="79" t="str">
        <f t="shared" si="414"/>
        <v/>
      </c>
      <c r="V993" s="73" t="str">
        <f t="shared" si="415"/>
        <v/>
      </c>
      <c r="W993" s="80" t="str">
        <f t="shared" si="416"/>
        <v/>
      </c>
      <c r="X993" s="73" t="str">
        <f t="shared" si="417"/>
        <v/>
      </c>
      <c r="Y993" s="80" t="str">
        <f t="shared" si="418"/>
        <v/>
      </c>
      <c r="Z993" s="74" t="str">
        <f t="shared" si="419"/>
        <v/>
      </c>
      <c r="AA993" s="75" t="str">
        <f t="shared" si="423"/>
        <v/>
      </c>
      <c r="AB993" s="103" t="str">
        <f t="shared" si="420"/>
        <v/>
      </c>
      <c r="AC993" s="104" t="str">
        <f t="shared" si="431"/>
        <v/>
      </c>
      <c r="AE993" s="139"/>
      <c r="AF993" s="110" t="str">
        <f t="shared" si="424"/>
        <v/>
      </c>
      <c r="AG993" s="111" t="str">
        <f t="shared" si="425"/>
        <v/>
      </c>
      <c r="AH993" s="111" t="str">
        <f t="shared" si="421"/>
        <v/>
      </c>
      <c r="AI993" s="111" t="str">
        <f t="shared" si="426"/>
        <v/>
      </c>
      <c r="AJ993" s="111" t="str">
        <f t="shared" si="427"/>
        <v/>
      </c>
      <c r="AK993" s="112" t="str">
        <f t="shared" si="428"/>
        <v/>
      </c>
      <c r="AL993" t="str">
        <f t="shared" si="429"/>
        <v/>
      </c>
      <c r="AM993" t="str">
        <f t="shared" si="430"/>
        <v/>
      </c>
    </row>
    <row r="994" spans="1:39" ht="15" customHeight="1" x14ac:dyDescent="0.25">
      <c r="A994" s="131"/>
      <c r="B994" s="133"/>
      <c r="C994" s="133"/>
      <c r="D994" s="42" t="str">
        <f t="shared" si="405"/>
        <v/>
      </c>
      <c r="E994" s="43"/>
      <c r="F994" s="135"/>
      <c r="G994" s="77" t="str">
        <f t="shared" si="406"/>
        <v/>
      </c>
      <c r="H994" s="32" t="str">
        <f t="shared" si="407"/>
        <v/>
      </c>
      <c r="I994" s="78" t="str">
        <f t="shared" si="408"/>
        <v/>
      </c>
      <c r="J994" s="70" t="str">
        <f t="shared" si="409"/>
        <v/>
      </c>
      <c r="K994" s="135"/>
      <c r="L994" s="72" t="str">
        <f t="shared" si="410"/>
        <v/>
      </c>
      <c r="M994" s="135"/>
      <c r="N994" s="72" t="str">
        <f t="shared" si="411"/>
        <v/>
      </c>
      <c r="O994" s="135"/>
      <c r="P994" s="136"/>
      <c r="Q994" s="123" t="str">
        <f t="shared" si="412"/>
        <v/>
      </c>
      <c r="R994" s="45" t="str">
        <f t="shared" si="413"/>
        <v/>
      </c>
      <c r="S994" s="137"/>
      <c r="T994" s="79" t="str">
        <f t="shared" si="422"/>
        <v/>
      </c>
      <c r="U994" s="79" t="str">
        <f t="shared" si="414"/>
        <v/>
      </c>
      <c r="V994" s="73" t="str">
        <f t="shared" si="415"/>
        <v/>
      </c>
      <c r="W994" s="80" t="str">
        <f t="shared" si="416"/>
        <v/>
      </c>
      <c r="X994" s="73" t="str">
        <f t="shared" si="417"/>
        <v/>
      </c>
      <c r="Y994" s="80" t="str">
        <f t="shared" si="418"/>
        <v/>
      </c>
      <c r="Z994" s="74" t="str">
        <f t="shared" si="419"/>
        <v/>
      </c>
      <c r="AA994" s="75" t="str">
        <f t="shared" si="423"/>
        <v/>
      </c>
      <c r="AB994" s="103" t="str">
        <f t="shared" si="420"/>
        <v/>
      </c>
      <c r="AC994" s="104" t="str">
        <f t="shared" si="431"/>
        <v/>
      </c>
      <c r="AE994" s="139"/>
      <c r="AF994" s="110" t="str">
        <f t="shared" si="424"/>
        <v/>
      </c>
      <c r="AG994" s="111" t="str">
        <f t="shared" si="425"/>
        <v/>
      </c>
      <c r="AH994" s="111" t="str">
        <f t="shared" si="421"/>
        <v/>
      </c>
      <c r="AI994" s="111" t="str">
        <f t="shared" si="426"/>
        <v/>
      </c>
      <c r="AJ994" s="111" t="str">
        <f t="shared" si="427"/>
        <v/>
      </c>
      <c r="AK994" s="112" t="str">
        <f t="shared" si="428"/>
        <v/>
      </c>
      <c r="AL994" t="str">
        <f t="shared" si="429"/>
        <v/>
      </c>
      <c r="AM994" t="str">
        <f t="shared" si="430"/>
        <v/>
      </c>
    </row>
    <row r="995" spans="1:39" ht="15" customHeight="1" x14ac:dyDescent="0.25">
      <c r="A995" s="131"/>
      <c r="B995" s="133"/>
      <c r="C995" s="133"/>
      <c r="D995" s="42" t="str">
        <f t="shared" si="405"/>
        <v/>
      </c>
      <c r="E995" s="43"/>
      <c r="F995" s="135"/>
      <c r="G995" s="77" t="str">
        <f t="shared" si="406"/>
        <v/>
      </c>
      <c r="H995" s="32" t="str">
        <f t="shared" si="407"/>
        <v/>
      </c>
      <c r="I995" s="78" t="str">
        <f t="shared" si="408"/>
        <v/>
      </c>
      <c r="J995" s="70" t="str">
        <f t="shared" si="409"/>
        <v/>
      </c>
      <c r="K995" s="135"/>
      <c r="L995" s="72" t="str">
        <f t="shared" si="410"/>
        <v/>
      </c>
      <c r="M995" s="135"/>
      <c r="N995" s="72" t="str">
        <f t="shared" si="411"/>
        <v/>
      </c>
      <c r="O995" s="135"/>
      <c r="P995" s="136"/>
      <c r="Q995" s="123" t="str">
        <f t="shared" si="412"/>
        <v/>
      </c>
      <c r="R995" s="45" t="str">
        <f t="shared" si="413"/>
        <v/>
      </c>
      <c r="S995" s="137"/>
      <c r="T995" s="79" t="str">
        <f t="shared" si="422"/>
        <v/>
      </c>
      <c r="U995" s="79" t="str">
        <f t="shared" si="414"/>
        <v/>
      </c>
      <c r="V995" s="73" t="str">
        <f t="shared" si="415"/>
        <v/>
      </c>
      <c r="W995" s="80" t="str">
        <f t="shared" si="416"/>
        <v/>
      </c>
      <c r="X995" s="73" t="str">
        <f t="shared" si="417"/>
        <v/>
      </c>
      <c r="Y995" s="80" t="str">
        <f t="shared" si="418"/>
        <v/>
      </c>
      <c r="Z995" s="74" t="str">
        <f t="shared" si="419"/>
        <v/>
      </c>
      <c r="AA995" s="75" t="str">
        <f t="shared" si="423"/>
        <v/>
      </c>
      <c r="AB995" s="103" t="str">
        <f t="shared" si="420"/>
        <v/>
      </c>
      <c r="AC995" s="104" t="str">
        <f t="shared" si="431"/>
        <v/>
      </c>
      <c r="AE995" s="139"/>
      <c r="AF995" s="110" t="str">
        <f t="shared" si="424"/>
        <v/>
      </c>
      <c r="AG995" s="111" t="str">
        <f t="shared" si="425"/>
        <v/>
      </c>
      <c r="AH995" s="111" t="str">
        <f t="shared" si="421"/>
        <v/>
      </c>
      <c r="AI995" s="111" t="str">
        <f t="shared" si="426"/>
        <v/>
      </c>
      <c r="AJ995" s="111" t="str">
        <f t="shared" si="427"/>
        <v/>
      </c>
      <c r="AK995" s="112" t="str">
        <f t="shared" si="428"/>
        <v/>
      </c>
      <c r="AL995" t="str">
        <f t="shared" si="429"/>
        <v/>
      </c>
      <c r="AM995" t="str">
        <f t="shared" si="430"/>
        <v/>
      </c>
    </row>
    <row r="996" spans="1:39" ht="15" customHeight="1" x14ac:dyDescent="0.25">
      <c r="A996" s="131"/>
      <c r="B996" s="133"/>
      <c r="C996" s="133"/>
      <c r="D996" s="42" t="str">
        <f t="shared" si="405"/>
        <v/>
      </c>
      <c r="E996" s="43"/>
      <c r="F996" s="135"/>
      <c r="G996" s="77" t="str">
        <f t="shared" si="406"/>
        <v/>
      </c>
      <c r="H996" s="32" t="str">
        <f t="shared" si="407"/>
        <v/>
      </c>
      <c r="I996" s="78" t="str">
        <f t="shared" si="408"/>
        <v/>
      </c>
      <c r="J996" s="70" t="str">
        <f t="shared" si="409"/>
        <v/>
      </c>
      <c r="K996" s="135"/>
      <c r="L996" s="72" t="str">
        <f t="shared" si="410"/>
        <v/>
      </c>
      <c r="M996" s="135"/>
      <c r="N996" s="72" t="str">
        <f t="shared" si="411"/>
        <v/>
      </c>
      <c r="O996" s="135"/>
      <c r="P996" s="136"/>
      <c r="Q996" s="123" t="str">
        <f t="shared" si="412"/>
        <v/>
      </c>
      <c r="R996" s="45" t="str">
        <f t="shared" si="413"/>
        <v/>
      </c>
      <c r="S996" s="137"/>
      <c r="T996" s="79" t="str">
        <f t="shared" si="422"/>
        <v/>
      </c>
      <c r="U996" s="79" t="str">
        <f t="shared" si="414"/>
        <v/>
      </c>
      <c r="V996" s="73" t="str">
        <f t="shared" si="415"/>
        <v/>
      </c>
      <c r="W996" s="80" t="str">
        <f t="shared" si="416"/>
        <v/>
      </c>
      <c r="X996" s="73" t="str">
        <f t="shared" si="417"/>
        <v/>
      </c>
      <c r="Y996" s="80" t="str">
        <f t="shared" si="418"/>
        <v/>
      </c>
      <c r="Z996" s="74" t="str">
        <f t="shared" si="419"/>
        <v/>
      </c>
      <c r="AA996" s="75" t="str">
        <f t="shared" si="423"/>
        <v/>
      </c>
      <c r="AB996" s="103" t="str">
        <f t="shared" si="420"/>
        <v/>
      </c>
      <c r="AC996" s="104" t="str">
        <f t="shared" si="431"/>
        <v/>
      </c>
      <c r="AE996" s="139"/>
      <c r="AF996" s="110" t="str">
        <f t="shared" si="424"/>
        <v/>
      </c>
      <c r="AG996" s="111" t="str">
        <f t="shared" si="425"/>
        <v/>
      </c>
      <c r="AH996" s="111" t="str">
        <f t="shared" si="421"/>
        <v/>
      </c>
      <c r="AI996" s="111" t="str">
        <f t="shared" si="426"/>
        <v/>
      </c>
      <c r="AJ996" s="111" t="str">
        <f t="shared" si="427"/>
        <v/>
      </c>
      <c r="AK996" s="112" t="str">
        <f t="shared" si="428"/>
        <v/>
      </c>
      <c r="AL996" t="str">
        <f t="shared" si="429"/>
        <v/>
      </c>
      <c r="AM996" t="str">
        <f t="shared" si="430"/>
        <v/>
      </c>
    </row>
    <row r="997" spans="1:39" ht="15" customHeight="1" x14ac:dyDescent="0.25">
      <c r="A997" s="131"/>
      <c r="B997" s="133"/>
      <c r="C997" s="133"/>
      <c r="D997" s="42" t="str">
        <f t="shared" si="405"/>
        <v/>
      </c>
      <c r="E997" s="43"/>
      <c r="F997" s="135"/>
      <c r="G997" s="77" t="str">
        <f t="shared" si="406"/>
        <v/>
      </c>
      <c r="H997" s="32" t="str">
        <f t="shared" si="407"/>
        <v/>
      </c>
      <c r="I997" s="78" t="str">
        <f t="shared" si="408"/>
        <v/>
      </c>
      <c r="J997" s="70" t="str">
        <f t="shared" si="409"/>
        <v/>
      </c>
      <c r="K997" s="135"/>
      <c r="L997" s="72" t="str">
        <f t="shared" si="410"/>
        <v/>
      </c>
      <c r="M997" s="135"/>
      <c r="N997" s="72" t="str">
        <f t="shared" si="411"/>
        <v/>
      </c>
      <c r="O997" s="135"/>
      <c r="P997" s="136"/>
      <c r="Q997" s="123" t="str">
        <f t="shared" si="412"/>
        <v/>
      </c>
      <c r="R997" s="45" t="str">
        <f t="shared" si="413"/>
        <v/>
      </c>
      <c r="S997" s="137"/>
      <c r="T997" s="79" t="str">
        <f t="shared" si="422"/>
        <v/>
      </c>
      <c r="U997" s="79" t="str">
        <f t="shared" si="414"/>
        <v/>
      </c>
      <c r="V997" s="73" t="str">
        <f t="shared" si="415"/>
        <v/>
      </c>
      <c r="W997" s="80" t="str">
        <f t="shared" si="416"/>
        <v/>
      </c>
      <c r="X997" s="73" t="str">
        <f t="shared" si="417"/>
        <v/>
      </c>
      <c r="Y997" s="80" t="str">
        <f t="shared" si="418"/>
        <v/>
      </c>
      <c r="Z997" s="74" t="str">
        <f t="shared" si="419"/>
        <v/>
      </c>
      <c r="AA997" s="75" t="str">
        <f t="shared" si="423"/>
        <v/>
      </c>
      <c r="AB997" s="103" t="str">
        <f t="shared" si="420"/>
        <v/>
      </c>
      <c r="AC997" s="104" t="str">
        <f t="shared" si="431"/>
        <v/>
      </c>
      <c r="AE997" s="139"/>
      <c r="AF997" s="110" t="str">
        <f t="shared" si="424"/>
        <v/>
      </c>
      <c r="AG997" s="111" t="str">
        <f t="shared" si="425"/>
        <v/>
      </c>
      <c r="AH997" s="111" t="str">
        <f t="shared" si="421"/>
        <v/>
      </c>
      <c r="AI997" s="111" t="str">
        <f t="shared" si="426"/>
        <v/>
      </c>
      <c r="AJ997" s="111" t="str">
        <f t="shared" si="427"/>
        <v/>
      </c>
      <c r="AK997" s="112" t="str">
        <f t="shared" si="428"/>
        <v/>
      </c>
      <c r="AL997" t="str">
        <f t="shared" si="429"/>
        <v/>
      </c>
      <c r="AM997" t="str">
        <f t="shared" si="430"/>
        <v/>
      </c>
    </row>
    <row r="998" spans="1:39" ht="15" customHeight="1" x14ac:dyDescent="0.25">
      <c r="A998" s="131"/>
      <c r="B998" s="133"/>
      <c r="C998" s="133"/>
      <c r="D998" s="42" t="str">
        <f t="shared" si="405"/>
        <v/>
      </c>
      <c r="E998" s="43"/>
      <c r="F998" s="135"/>
      <c r="G998" s="77" t="str">
        <f t="shared" si="406"/>
        <v/>
      </c>
      <c r="H998" s="32" t="str">
        <f t="shared" si="407"/>
        <v/>
      </c>
      <c r="I998" s="78" t="str">
        <f t="shared" si="408"/>
        <v/>
      </c>
      <c r="J998" s="70" t="str">
        <f t="shared" si="409"/>
        <v/>
      </c>
      <c r="K998" s="135"/>
      <c r="L998" s="72" t="str">
        <f t="shared" si="410"/>
        <v/>
      </c>
      <c r="M998" s="135"/>
      <c r="N998" s="72" t="str">
        <f t="shared" si="411"/>
        <v/>
      </c>
      <c r="O998" s="135"/>
      <c r="P998" s="136"/>
      <c r="Q998" s="123" t="str">
        <f t="shared" si="412"/>
        <v/>
      </c>
      <c r="R998" s="45" t="str">
        <f t="shared" si="413"/>
        <v/>
      </c>
      <c r="S998" s="137"/>
      <c r="T998" s="79" t="str">
        <f t="shared" si="422"/>
        <v/>
      </c>
      <c r="U998" s="79" t="str">
        <f t="shared" si="414"/>
        <v/>
      </c>
      <c r="V998" s="73" t="str">
        <f t="shared" si="415"/>
        <v/>
      </c>
      <c r="W998" s="80" t="str">
        <f t="shared" si="416"/>
        <v/>
      </c>
      <c r="X998" s="73" t="str">
        <f t="shared" si="417"/>
        <v/>
      </c>
      <c r="Y998" s="80" t="str">
        <f t="shared" si="418"/>
        <v/>
      </c>
      <c r="Z998" s="74" t="str">
        <f t="shared" si="419"/>
        <v/>
      </c>
      <c r="AA998" s="75" t="str">
        <f t="shared" si="423"/>
        <v/>
      </c>
      <c r="AB998" s="103" t="str">
        <f t="shared" si="420"/>
        <v/>
      </c>
      <c r="AC998" s="104" t="str">
        <f t="shared" si="431"/>
        <v/>
      </c>
      <c r="AE998" s="139"/>
      <c r="AF998" s="110" t="str">
        <f t="shared" si="424"/>
        <v/>
      </c>
      <c r="AG998" s="111" t="str">
        <f t="shared" si="425"/>
        <v/>
      </c>
      <c r="AH998" s="111" t="str">
        <f t="shared" si="421"/>
        <v/>
      </c>
      <c r="AI998" s="111" t="str">
        <f t="shared" si="426"/>
        <v/>
      </c>
      <c r="AJ998" s="111" t="str">
        <f t="shared" si="427"/>
        <v/>
      </c>
      <c r="AK998" s="112" t="str">
        <f t="shared" si="428"/>
        <v/>
      </c>
      <c r="AL998" t="str">
        <f t="shared" si="429"/>
        <v/>
      </c>
      <c r="AM998" t="str">
        <f t="shared" si="430"/>
        <v/>
      </c>
    </row>
    <row r="999" spans="1:39" ht="15" customHeight="1" x14ac:dyDescent="0.25">
      <c r="A999" s="131"/>
      <c r="B999" s="133"/>
      <c r="C999" s="133"/>
      <c r="D999" s="42" t="str">
        <f t="shared" si="405"/>
        <v/>
      </c>
      <c r="E999" s="43"/>
      <c r="F999" s="135"/>
      <c r="G999" s="77" t="str">
        <f t="shared" si="406"/>
        <v/>
      </c>
      <c r="H999" s="32" t="str">
        <f t="shared" si="407"/>
        <v/>
      </c>
      <c r="I999" s="78" t="str">
        <f t="shared" si="408"/>
        <v/>
      </c>
      <c r="J999" s="70" t="str">
        <f t="shared" si="409"/>
        <v/>
      </c>
      <c r="K999" s="135"/>
      <c r="L999" s="72" t="str">
        <f t="shared" si="410"/>
        <v/>
      </c>
      <c r="M999" s="135"/>
      <c r="N999" s="72" t="str">
        <f t="shared" si="411"/>
        <v/>
      </c>
      <c r="O999" s="135"/>
      <c r="P999" s="136"/>
      <c r="Q999" s="123" t="str">
        <f t="shared" si="412"/>
        <v/>
      </c>
      <c r="R999" s="45" t="str">
        <f t="shared" si="413"/>
        <v/>
      </c>
      <c r="S999" s="137"/>
      <c r="T999" s="79" t="str">
        <f t="shared" si="422"/>
        <v/>
      </c>
      <c r="U999" s="79" t="str">
        <f t="shared" si="414"/>
        <v/>
      </c>
      <c r="V999" s="73" t="str">
        <f t="shared" si="415"/>
        <v/>
      </c>
      <c r="W999" s="80" t="str">
        <f t="shared" si="416"/>
        <v/>
      </c>
      <c r="X999" s="73" t="str">
        <f t="shared" si="417"/>
        <v/>
      </c>
      <c r="Y999" s="80" t="str">
        <f t="shared" si="418"/>
        <v/>
      </c>
      <c r="Z999" s="74" t="str">
        <f t="shared" si="419"/>
        <v/>
      </c>
      <c r="AA999" s="75" t="str">
        <f t="shared" si="423"/>
        <v/>
      </c>
      <c r="AB999" s="103" t="str">
        <f t="shared" si="420"/>
        <v/>
      </c>
      <c r="AC999" s="104" t="str">
        <f t="shared" si="431"/>
        <v/>
      </c>
      <c r="AE999" s="139"/>
      <c r="AF999" s="110" t="str">
        <f t="shared" si="424"/>
        <v/>
      </c>
      <c r="AG999" s="111" t="str">
        <f t="shared" si="425"/>
        <v/>
      </c>
      <c r="AH999" s="111" t="str">
        <f t="shared" si="421"/>
        <v/>
      </c>
      <c r="AI999" s="111" t="str">
        <f t="shared" si="426"/>
        <v/>
      </c>
      <c r="AJ999" s="111" t="str">
        <f t="shared" si="427"/>
        <v/>
      </c>
      <c r="AK999" s="112" t="str">
        <f t="shared" si="428"/>
        <v/>
      </c>
      <c r="AL999" t="str">
        <f t="shared" si="429"/>
        <v/>
      </c>
      <c r="AM999" t="str">
        <f t="shared" si="430"/>
        <v/>
      </c>
    </row>
    <row r="1000" spans="1:39" ht="15" customHeight="1" x14ac:dyDescent="0.25">
      <c r="A1000" s="131"/>
      <c r="B1000" s="133"/>
      <c r="C1000" s="133"/>
      <c r="D1000" s="42" t="str">
        <f t="shared" si="405"/>
        <v/>
      </c>
      <c r="E1000" s="43"/>
      <c r="F1000" s="135"/>
      <c r="G1000" s="77" t="str">
        <f t="shared" si="406"/>
        <v/>
      </c>
      <c r="H1000" s="32" t="str">
        <f t="shared" si="407"/>
        <v/>
      </c>
      <c r="I1000" s="78" t="str">
        <f t="shared" si="408"/>
        <v/>
      </c>
      <c r="J1000" s="70" t="str">
        <f t="shared" si="409"/>
        <v/>
      </c>
      <c r="K1000" s="135"/>
      <c r="L1000" s="72" t="str">
        <f t="shared" si="410"/>
        <v/>
      </c>
      <c r="M1000" s="135"/>
      <c r="N1000" s="72" t="str">
        <f t="shared" si="411"/>
        <v/>
      </c>
      <c r="O1000" s="135"/>
      <c r="P1000" s="136"/>
      <c r="Q1000" s="123" t="str">
        <f t="shared" si="412"/>
        <v/>
      </c>
      <c r="R1000" s="45" t="str">
        <f t="shared" si="413"/>
        <v/>
      </c>
      <c r="S1000" s="137"/>
      <c r="T1000" s="79" t="str">
        <f t="shared" si="422"/>
        <v/>
      </c>
      <c r="U1000" s="79" t="str">
        <f t="shared" si="414"/>
        <v/>
      </c>
      <c r="V1000" s="73" t="str">
        <f t="shared" si="415"/>
        <v/>
      </c>
      <c r="W1000" s="80" t="str">
        <f t="shared" si="416"/>
        <v/>
      </c>
      <c r="X1000" s="73" t="str">
        <f t="shared" si="417"/>
        <v/>
      </c>
      <c r="Y1000" s="80" t="str">
        <f t="shared" si="418"/>
        <v/>
      </c>
      <c r="Z1000" s="74" t="str">
        <f t="shared" si="419"/>
        <v/>
      </c>
      <c r="AA1000" s="75" t="str">
        <f t="shared" si="423"/>
        <v/>
      </c>
      <c r="AB1000" s="103" t="str">
        <f t="shared" si="420"/>
        <v/>
      </c>
      <c r="AC1000" s="104" t="str">
        <f t="shared" si="431"/>
        <v/>
      </c>
      <c r="AE1000" s="139"/>
      <c r="AF1000" s="110" t="str">
        <f t="shared" si="424"/>
        <v/>
      </c>
      <c r="AG1000" s="111" t="str">
        <f t="shared" si="425"/>
        <v/>
      </c>
      <c r="AH1000" s="111" t="str">
        <f t="shared" si="421"/>
        <v/>
      </c>
      <c r="AI1000" s="111" t="str">
        <f t="shared" si="426"/>
        <v/>
      </c>
      <c r="AJ1000" s="111" t="str">
        <f t="shared" si="427"/>
        <v/>
      </c>
      <c r="AK1000" s="112" t="str">
        <f t="shared" si="428"/>
        <v/>
      </c>
      <c r="AL1000" t="str">
        <f t="shared" si="429"/>
        <v/>
      </c>
      <c r="AM1000" t="str">
        <f t="shared" si="430"/>
        <v/>
      </c>
    </row>
    <row r="1001" spans="1:39" ht="15" customHeight="1" x14ac:dyDescent="0.25">
      <c r="A1001" s="131"/>
      <c r="B1001" s="133"/>
      <c r="C1001" s="133"/>
      <c r="D1001" s="42" t="str">
        <f t="shared" si="405"/>
        <v/>
      </c>
      <c r="E1001" s="43"/>
      <c r="F1001" s="135"/>
      <c r="G1001" s="77" t="str">
        <f t="shared" si="406"/>
        <v/>
      </c>
      <c r="H1001" s="32" t="str">
        <f t="shared" si="407"/>
        <v/>
      </c>
      <c r="I1001" s="78" t="str">
        <f t="shared" si="408"/>
        <v/>
      </c>
      <c r="J1001" s="70" t="str">
        <f t="shared" si="409"/>
        <v/>
      </c>
      <c r="K1001" s="135"/>
      <c r="L1001" s="72" t="str">
        <f t="shared" si="410"/>
        <v/>
      </c>
      <c r="M1001" s="135"/>
      <c r="N1001" s="72" t="str">
        <f t="shared" si="411"/>
        <v/>
      </c>
      <c r="O1001" s="135"/>
      <c r="P1001" s="136"/>
      <c r="Q1001" s="123" t="str">
        <f t="shared" si="412"/>
        <v/>
      </c>
      <c r="R1001" s="45" t="str">
        <f t="shared" si="413"/>
        <v/>
      </c>
      <c r="S1001" s="137"/>
      <c r="T1001" s="79" t="str">
        <f t="shared" si="422"/>
        <v/>
      </c>
      <c r="U1001" s="79" t="str">
        <f t="shared" si="414"/>
        <v/>
      </c>
      <c r="V1001" s="73" t="str">
        <f t="shared" si="415"/>
        <v/>
      </c>
      <c r="W1001" s="80" t="str">
        <f t="shared" si="416"/>
        <v/>
      </c>
      <c r="X1001" s="73" t="str">
        <f t="shared" si="417"/>
        <v/>
      </c>
      <c r="Y1001" s="80" t="str">
        <f t="shared" si="418"/>
        <v/>
      </c>
      <c r="Z1001" s="74" t="str">
        <f t="shared" si="419"/>
        <v/>
      </c>
      <c r="AA1001" s="75" t="str">
        <f t="shared" si="423"/>
        <v/>
      </c>
      <c r="AB1001" s="103" t="str">
        <f t="shared" si="420"/>
        <v/>
      </c>
      <c r="AC1001" s="104" t="str">
        <f t="shared" si="431"/>
        <v/>
      </c>
      <c r="AE1001" s="139"/>
      <c r="AF1001" s="110" t="str">
        <f t="shared" si="424"/>
        <v/>
      </c>
      <c r="AG1001" s="111" t="str">
        <f t="shared" si="425"/>
        <v/>
      </c>
      <c r="AH1001" s="111" t="str">
        <f t="shared" si="421"/>
        <v/>
      </c>
      <c r="AI1001" s="111" t="str">
        <f t="shared" si="426"/>
        <v/>
      </c>
      <c r="AJ1001" s="111" t="str">
        <f t="shared" si="427"/>
        <v/>
      </c>
      <c r="AK1001" s="112" t="str">
        <f t="shared" si="428"/>
        <v/>
      </c>
      <c r="AL1001" t="str">
        <f t="shared" si="429"/>
        <v/>
      </c>
      <c r="AM1001" t="str">
        <f t="shared" si="430"/>
        <v/>
      </c>
    </row>
    <row r="1002" spans="1:39" ht="15" customHeight="1" x14ac:dyDescent="0.25">
      <c r="A1002" s="131"/>
      <c r="B1002" s="133"/>
      <c r="C1002" s="133"/>
      <c r="D1002" s="42" t="str">
        <f t="shared" si="405"/>
        <v/>
      </c>
      <c r="E1002" s="43"/>
      <c r="F1002" s="135"/>
      <c r="G1002" s="77" t="str">
        <f t="shared" si="406"/>
        <v/>
      </c>
      <c r="H1002" s="32" t="str">
        <f t="shared" si="407"/>
        <v/>
      </c>
      <c r="I1002" s="78" t="str">
        <f t="shared" si="408"/>
        <v/>
      </c>
      <c r="J1002" s="70" t="str">
        <f t="shared" si="409"/>
        <v/>
      </c>
      <c r="K1002" s="135"/>
      <c r="L1002" s="72" t="str">
        <f t="shared" si="410"/>
        <v/>
      </c>
      <c r="M1002" s="135"/>
      <c r="N1002" s="72" t="str">
        <f t="shared" si="411"/>
        <v/>
      </c>
      <c r="O1002" s="135"/>
      <c r="P1002" s="136"/>
      <c r="Q1002" s="123" t="str">
        <f t="shared" si="412"/>
        <v/>
      </c>
      <c r="R1002" s="45" t="str">
        <f t="shared" si="413"/>
        <v/>
      </c>
      <c r="S1002" s="137"/>
      <c r="T1002" s="79" t="str">
        <f t="shared" si="422"/>
        <v/>
      </c>
      <c r="U1002" s="79" t="str">
        <f t="shared" si="414"/>
        <v/>
      </c>
      <c r="V1002" s="73" t="str">
        <f t="shared" si="415"/>
        <v/>
      </c>
      <c r="W1002" s="80" t="str">
        <f t="shared" si="416"/>
        <v/>
      </c>
      <c r="X1002" s="73" t="str">
        <f t="shared" si="417"/>
        <v/>
      </c>
      <c r="Y1002" s="80" t="str">
        <f t="shared" si="418"/>
        <v/>
      </c>
      <c r="Z1002" s="74" t="str">
        <f t="shared" si="419"/>
        <v/>
      </c>
      <c r="AA1002" s="75" t="str">
        <f t="shared" si="423"/>
        <v/>
      </c>
      <c r="AB1002" s="103" t="str">
        <f t="shared" si="420"/>
        <v/>
      </c>
      <c r="AC1002" s="104" t="str">
        <f t="shared" si="431"/>
        <v/>
      </c>
      <c r="AE1002" s="139"/>
      <c r="AF1002" s="110" t="str">
        <f t="shared" si="424"/>
        <v/>
      </c>
      <c r="AG1002" s="111" t="str">
        <f t="shared" si="425"/>
        <v/>
      </c>
      <c r="AH1002" s="111" t="str">
        <f t="shared" si="421"/>
        <v/>
      </c>
      <c r="AI1002" s="111" t="str">
        <f t="shared" si="426"/>
        <v/>
      </c>
      <c r="AJ1002" s="111" t="str">
        <f t="shared" si="427"/>
        <v/>
      </c>
      <c r="AK1002" s="112" t="str">
        <f t="shared" si="428"/>
        <v/>
      </c>
      <c r="AL1002" t="str">
        <f t="shared" si="429"/>
        <v/>
      </c>
      <c r="AM1002" t="str">
        <f t="shared" si="430"/>
        <v/>
      </c>
    </row>
    <row r="1003" spans="1:39" ht="15" customHeight="1" x14ac:dyDescent="0.25">
      <c r="A1003" s="131"/>
      <c r="B1003" s="133"/>
      <c r="C1003" s="133"/>
      <c r="D1003" s="42" t="str">
        <f t="shared" si="405"/>
        <v/>
      </c>
      <c r="E1003" s="43"/>
      <c r="F1003" s="135"/>
      <c r="G1003" s="77" t="str">
        <f t="shared" si="406"/>
        <v/>
      </c>
      <c r="H1003" s="32" t="str">
        <f t="shared" si="407"/>
        <v/>
      </c>
      <c r="I1003" s="78" t="str">
        <f t="shared" si="408"/>
        <v/>
      </c>
      <c r="J1003" s="70" t="str">
        <f t="shared" si="409"/>
        <v/>
      </c>
      <c r="K1003" s="135"/>
      <c r="L1003" s="72" t="str">
        <f t="shared" si="410"/>
        <v/>
      </c>
      <c r="M1003" s="135"/>
      <c r="N1003" s="72" t="str">
        <f t="shared" si="411"/>
        <v/>
      </c>
      <c r="O1003" s="135"/>
      <c r="P1003" s="136"/>
      <c r="Q1003" s="123" t="str">
        <f t="shared" si="412"/>
        <v/>
      </c>
      <c r="R1003" s="45" t="str">
        <f t="shared" si="413"/>
        <v/>
      </c>
      <c r="S1003" s="137"/>
      <c r="T1003" s="79" t="str">
        <f t="shared" si="422"/>
        <v/>
      </c>
      <c r="U1003" s="79" t="str">
        <f t="shared" si="414"/>
        <v/>
      </c>
      <c r="V1003" s="73" t="str">
        <f t="shared" si="415"/>
        <v/>
      </c>
      <c r="W1003" s="80" t="str">
        <f t="shared" si="416"/>
        <v/>
      </c>
      <c r="X1003" s="73" t="str">
        <f t="shared" si="417"/>
        <v/>
      </c>
      <c r="Y1003" s="80" t="str">
        <f t="shared" si="418"/>
        <v/>
      </c>
      <c r="Z1003" s="74" t="str">
        <f t="shared" si="419"/>
        <v/>
      </c>
      <c r="AA1003" s="75" t="str">
        <f t="shared" si="423"/>
        <v/>
      </c>
      <c r="AB1003" s="103" t="str">
        <f t="shared" si="420"/>
        <v/>
      </c>
      <c r="AC1003" s="104" t="str">
        <f t="shared" si="431"/>
        <v/>
      </c>
      <c r="AE1003" s="139"/>
      <c r="AF1003" s="110" t="str">
        <f t="shared" si="424"/>
        <v/>
      </c>
      <c r="AG1003" s="111" t="str">
        <f t="shared" si="425"/>
        <v/>
      </c>
      <c r="AH1003" s="111" t="str">
        <f t="shared" si="421"/>
        <v/>
      </c>
      <c r="AI1003" s="111" t="str">
        <f t="shared" si="426"/>
        <v/>
      </c>
      <c r="AJ1003" s="111" t="str">
        <f t="shared" si="427"/>
        <v/>
      </c>
      <c r="AK1003" s="112" t="str">
        <f t="shared" si="428"/>
        <v/>
      </c>
      <c r="AL1003" t="str">
        <f t="shared" si="429"/>
        <v/>
      </c>
      <c r="AM1003" t="str">
        <f t="shared" si="430"/>
        <v/>
      </c>
    </row>
    <row r="1004" spans="1:39" ht="15" customHeight="1" x14ac:dyDescent="0.25">
      <c r="A1004" s="131"/>
      <c r="B1004" s="133"/>
      <c r="C1004" s="133"/>
      <c r="D1004" s="42" t="str">
        <f t="shared" si="405"/>
        <v/>
      </c>
      <c r="E1004" s="43"/>
      <c r="F1004" s="135"/>
      <c r="G1004" s="77" t="str">
        <f t="shared" si="406"/>
        <v/>
      </c>
      <c r="H1004" s="32" t="str">
        <f t="shared" si="407"/>
        <v/>
      </c>
      <c r="I1004" s="78" t="str">
        <f t="shared" si="408"/>
        <v/>
      </c>
      <c r="J1004" s="70" t="str">
        <f t="shared" si="409"/>
        <v/>
      </c>
      <c r="K1004" s="135"/>
      <c r="L1004" s="72" t="str">
        <f t="shared" si="410"/>
        <v/>
      </c>
      <c r="M1004" s="135"/>
      <c r="N1004" s="72" t="str">
        <f t="shared" si="411"/>
        <v/>
      </c>
      <c r="O1004" s="135"/>
      <c r="P1004" s="136"/>
      <c r="Q1004" s="123" t="str">
        <f t="shared" si="412"/>
        <v/>
      </c>
      <c r="R1004" s="45" t="str">
        <f t="shared" si="413"/>
        <v/>
      </c>
      <c r="S1004" s="137"/>
      <c r="T1004" s="79" t="str">
        <f t="shared" si="422"/>
        <v/>
      </c>
      <c r="U1004" s="79" t="str">
        <f t="shared" si="414"/>
        <v/>
      </c>
      <c r="V1004" s="73" t="str">
        <f t="shared" si="415"/>
        <v/>
      </c>
      <c r="W1004" s="80" t="str">
        <f t="shared" si="416"/>
        <v/>
      </c>
      <c r="X1004" s="73" t="str">
        <f t="shared" si="417"/>
        <v/>
      </c>
      <c r="Y1004" s="80" t="str">
        <f t="shared" si="418"/>
        <v/>
      </c>
      <c r="Z1004" s="74" t="str">
        <f t="shared" si="419"/>
        <v/>
      </c>
      <c r="AA1004" s="75" t="str">
        <f t="shared" si="423"/>
        <v/>
      </c>
      <c r="AB1004" s="103" t="str">
        <f t="shared" si="420"/>
        <v/>
      </c>
      <c r="AC1004" s="104" t="str">
        <f t="shared" si="431"/>
        <v/>
      </c>
      <c r="AE1004" s="139"/>
      <c r="AF1004" s="110" t="str">
        <f t="shared" si="424"/>
        <v/>
      </c>
      <c r="AG1004" s="111" t="str">
        <f t="shared" si="425"/>
        <v/>
      </c>
      <c r="AH1004" s="111" t="str">
        <f t="shared" si="421"/>
        <v/>
      </c>
      <c r="AI1004" s="111" t="str">
        <f t="shared" si="426"/>
        <v/>
      </c>
      <c r="AJ1004" s="111" t="str">
        <f t="shared" si="427"/>
        <v/>
      </c>
      <c r="AK1004" s="112" t="str">
        <f t="shared" si="428"/>
        <v/>
      </c>
      <c r="AL1004" t="str">
        <f t="shared" si="429"/>
        <v/>
      </c>
      <c r="AM1004" t="str">
        <f t="shared" si="430"/>
        <v/>
      </c>
    </row>
    <row r="1005" spans="1:39" ht="15" customHeight="1" x14ac:dyDescent="0.25">
      <c r="A1005" s="131"/>
      <c r="B1005" s="133"/>
      <c r="C1005" s="133"/>
      <c r="D1005" s="42" t="str">
        <f t="shared" si="405"/>
        <v/>
      </c>
      <c r="E1005" s="43"/>
      <c r="F1005" s="135"/>
      <c r="G1005" s="77" t="str">
        <f t="shared" si="406"/>
        <v/>
      </c>
      <c r="H1005" s="32" t="str">
        <f t="shared" si="407"/>
        <v/>
      </c>
      <c r="I1005" s="78" t="str">
        <f t="shared" si="408"/>
        <v/>
      </c>
      <c r="J1005" s="70" t="str">
        <f t="shared" si="409"/>
        <v/>
      </c>
      <c r="K1005" s="135"/>
      <c r="L1005" s="72" t="str">
        <f t="shared" si="410"/>
        <v/>
      </c>
      <c r="M1005" s="135"/>
      <c r="N1005" s="72" t="str">
        <f t="shared" si="411"/>
        <v/>
      </c>
      <c r="O1005" s="135"/>
      <c r="P1005" s="136"/>
      <c r="Q1005" s="123" t="str">
        <f t="shared" si="412"/>
        <v/>
      </c>
      <c r="R1005" s="45" t="str">
        <f t="shared" si="413"/>
        <v/>
      </c>
      <c r="S1005" s="137"/>
      <c r="T1005" s="79" t="str">
        <f t="shared" si="422"/>
        <v/>
      </c>
      <c r="U1005" s="79" t="str">
        <f t="shared" si="414"/>
        <v/>
      </c>
      <c r="V1005" s="73" t="str">
        <f t="shared" si="415"/>
        <v/>
      </c>
      <c r="W1005" s="80" t="str">
        <f t="shared" si="416"/>
        <v/>
      </c>
      <c r="X1005" s="73" t="str">
        <f t="shared" si="417"/>
        <v/>
      </c>
      <c r="Y1005" s="80" t="str">
        <f t="shared" si="418"/>
        <v/>
      </c>
      <c r="Z1005" s="74" t="str">
        <f t="shared" si="419"/>
        <v/>
      </c>
      <c r="AA1005" s="75" t="str">
        <f t="shared" si="423"/>
        <v/>
      </c>
      <c r="AB1005" s="103" t="str">
        <f t="shared" si="420"/>
        <v/>
      </c>
      <c r="AC1005" s="104" t="str">
        <f t="shared" si="431"/>
        <v/>
      </c>
      <c r="AE1005" s="139"/>
      <c r="AF1005" s="110" t="str">
        <f t="shared" si="424"/>
        <v/>
      </c>
      <c r="AG1005" s="111" t="str">
        <f t="shared" si="425"/>
        <v/>
      </c>
      <c r="AH1005" s="111" t="str">
        <f t="shared" si="421"/>
        <v/>
      </c>
      <c r="AI1005" s="111" t="str">
        <f t="shared" si="426"/>
        <v/>
      </c>
      <c r="AJ1005" s="111" t="str">
        <f t="shared" si="427"/>
        <v/>
      </c>
      <c r="AK1005" s="112" t="str">
        <f t="shared" si="428"/>
        <v/>
      </c>
      <c r="AL1005" t="str">
        <f t="shared" si="429"/>
        <v/>
      </c>
      <c r="AM1005" t="str">
        <f t="shared" si="430"/>
        <v/>
      </c>
    </row>
    <row r="1006" spans="1:39" ht="15" customHeight="1" x14ac:dyDescent="0.25">
      <c r="A1006" s="131"/>
      <c r="B1006" s="133"/>
      <c r="C1006" s="133"/>
      <c r="D1006" s="42" t="str">
        <f t="shared" si="405"/>
        <v/>
      </c>
      <c r="E1006" s="43"/>
      <c r="F1006" s="135"/>
      <c r="G1006" s="77" t="str">
        <f t="shared" si="406"/>
        <v/>
      </c>
      <c r="H1006" s="32" t="str">
        <f t="shared" si="407"/>
        <v/>
      </c>
      <c r="I1006" s="78" t="str">
        <f t="shared" si="408"/>
        <v/>
      </c>
      <c r="J1006" s="70" t="str">
        <f t="shared" si="409"/>
        <v/>
      </c>
      <c r="K1006" s="135"/>
      <c r="L1006" s="72" t="str">
        <f t="shared" si="410"/>
        <v/>
      </c>
      <c r="M1006" s="135"/>
      <c r="N1006" s="72" t="str">
        <f t="shared" si="411"/>
        <v/>
      </c>
      <c r="O1006" s="135"/>
      <c r="P1006" s="136"/>
      <c r="Q1006" s="123" t="str">
        <f t="shared" si="412"/>
        <v/>
      </c>
      <c r="R1006" s="45" t="str">
        <f t="shared" si="413"/>
        <v/>
      </c>
      <c r="S1006" s="137"/>
      <c r="T1006" s="79" t="str">
        <f t="shared" si="422"/>
        <v/>
      </c>
      <c r="U1006" s="79" t="str">
        <f t="shared" si="414"/>
        <v/>
      </c>
      <c r="V1006" s="73" t="str">
        <f t="shared" si="415"/>
        <v/>
      </c>
      <c r="W1006" s="80" t="str">
        <f t="shared" si="416"/>
        <v/>
      </c>
      <c r="X1006" s="73" t="str">
        <f t="shared" si="417"/>
        <v/>
      </c>
      <c r="Y1006" s="80" t="str">
        <f t="shared" si="418"/>
        <v/>
      </c>
      <c r="Z1006" s="74" t="str">
        <f t="shared" si="419"/>
        <v/>
      </c>
      <c r="AA1006" s="75" t="str">
        <f t="shared" si="423"/>
        <v/>
      </c>
      <c r="AB1006" s="103" t="str">
        <f t="shared" si="420"/>
        <v/>
      </c>
      <c r="AC1006" s="104" t="str">
        <f t="shared" si="431"/>
        <v/>
      </c>
      <c r="AE1006" s="139"/>
      <c r="AF1006" s="110" t="str">
        <f t="shared" si="424"/>
        <v/>
      </c>
      <c r="AG1006" s="111" t="str">
        <f t="shared" si="425"/>
        <v/>
      </c>
      <c r="AH1006" s="111" t="str">
        <f t="shared" si="421"/>
        <v/>
      </c>
      <c r="AI1006" s="111" t="str">
        <f t="shared" si="426"/>
        <v/>
      </c>
      <c r="AJ1006" s="111" t="str">
        <f t="shared" si="427"/>
        <v/>
      </c>
      <c r="AK1006" s="112" t="str">
        <f t="shared" si="428"/>
        <v/>
      </c>
      <c r="AL1006" t="str">
        <f t="shared" si="429"/>
        <v/>
      </c>
      <c r="AM1006" t="str">
        <f t="shared" si="430"/>
        <v/>
      </c>
    </row>
    <row r="1007" spans="1:39" ht="15" customHeight="1" x14ac:dyDescent="0.25">
      <c r="A1007" s="131"/>
      <c r="B1007" s="133"/>
      <c r="C1007" s="133"/>
      <c r="D1007" s="42" t="str">
        <f t="shared" si="405"/>
        <v/>
      </c>
      <c r="E1007" s="43"/>
      <c r="F1007" s="135"/>
      <c r="G1007" s="77" t="str">
        <f t="shared" si="406"/>
        <v/>
      </c>
      <c r="H1007" s="32" t="str">
        <f t="shared" si="407"/>
        <v/>
      </c>
      <c r="I1007" s="78" t="str">
        <f t="shared" si="408"/>
        <v/>
      </c>
      <c r="J1007" s="70" t="str">
        <f t="shared" si="409"/>
        <v/>
      </c>
      <c r="K1007" s="135"/>
      <c r="L1007" s="72" t="str">
        <f t="shared" si="410"/>
        <v/>
      </c>
      <c r="M1007" s="135"/>
      <c r="N1007" s="72" t="str">
        <f t="shared" si="411"/>
        <v/>
      </c>
      <c r="O1007" s="135"/>
      <c r="P1007" s="136"/>
      <c r="Q1007" s="123" t="str">
        <f t="shared" si="412"/>
        <v/>
      </c>
      <c r="R1007" s="45" t="str">
        <f t="shared" si="413"/>
        <v/>
      </c>
      <c r="S1007" s="137"/>
      <c r="T1007" s="79" t="str">
        <f t="shared" si="422"/>
        <v/>
      </c>
      <c r="U1007" s="79" t="str">
        <f t="shared" si="414"/>
        <v/>
      </c>
      <c r="V1007" s="73" t="str">
        <f t="shared" si="415"/>
        <v/>
      </c>
      <c r="W1007" s="80" t="str">
        <f t="shared" si="416"/>
        <v/>
      </c>
      <c r="X1007" s="73" t="str">
        <f t="shared" si="417"/>
        <v/>
      </c>
      <c r="Y1007" s="80" t="str">
        <f t="shared" si="418"/>
        <v/>
      </c>
      <c r="Z1007" s="74" t="str">
        <f t="shared" si="419"/>
        <v/>
      </c>
      <c r="AA1007" s="75" t="str">
        <f t="shared" si="423"/>
        <v/>
      </c>
      <c r="AB1007" s="103" t="str">
        <f t="shared" si="420"/>
        <v/>
      </c>
      <c r="AC1007" s="104" t="str">
        <f t="shared" si="431"/>
        <v/>
      </c>
      <c r="AE1007" s="139"/>
      <c r="AF1007" s="110" t="str">
        <f t="shared" si="424"/>
        <v/>
      </c>
      <c r="AG1007" s="111" t="str">
        <f t="shared" si="425"/>
        <v/>
      </c>
      <c r="AH1007" s="111" t="str">
        <f t="shared" si="421"/>
        <v/>
      </c>
      <c r="AI1007" s="111" t="str">
        <f t="shared" si="426"/>
        <v/>
      </c>
      <c r="AJ1007" s="111" t="str">
        <f t="shared" si="427"/>
        <v/>
      </c>
      <c r="AK1007" s="112" t="str">
        <f t="shared" si="428"/>
        <v/>
      </c>
      <c r="AL1007" t="str">
        <f t="shared" si="429"/>
        <v/>
      </c>
      <c r="AM1007" t="str">
        <f t="shared" si="430"/>
        <v/>
      </c>
    </row>
  </sheetData>
  <mergeCells count="22">
    <mergeCell ref="AF6:AM6"/>
    <mergeCell ref="AG6:AM6"/>
    <mergeCell ref="AH6:AM6"/>
    <mergeCell ref="AI6:AM6"/>
    <mergeCell ref="AJ6:AM6"/>
    <mergeCell ref="AK6:AM6"/>
    <mergeCell ref="AL6:AM6"/>
    <mergeCell ref="A1:D2"/>
    <mergeCell ref="A6:A7"/>
    <mergeCell ref="B6:E6"/>
    <mergeCell ref="F6:J6"/>
    <mergeCell ref="K6:L6"/>
    <mergeCell ref="Z6:Z7"/>
    <mergeCell ref="AA6:AA7"/>
    <mergeCell ref="AB6:AB7"/>
    <mergeCell ref="AC6:AC7"/>
    <mergeCell ref="M6:N6"/>
    <mergeCell ref="O6:P6"/>
    <mergeCell ref="Q6:S6"/>
    <mergeCell ref="T6:U6"/>
    <mergeCell ref="V6:Y6"/>
    <mergeCell ref="AE6:AM6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Supplier!$A$3:$A$1000</xm:f>
          </x14:formula1>
          <x14:formula2>
            <xm:f>0</xm:f>
          </x14:formula2>
          <xm:sqref>M1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5AB8-85AB-4C52-92C5-504BE4B6FFDA}">
  <sheetPr>
    <tabColor rgb="FF17365D"/>
  </sheetPr>
  <dimension ref="A1:AK1007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D19" sqref="AD19"/>
    </sheetView>
  </sheetViews>
  <sheetFormatPr defaultColWidth="8.5703125" defaultRowHeight="15" zeroHeight="1" outlineLevelCol="1" x14ac:dyDescent="0.25"/>
  <cols>
    <col min="1" max="1" width="24" customWidth="1"/>
    <col min="2" max="3" width="9" customWidth="1"/>
    <col min="4" max="4" width="10" customWidth="1" outlineLevel="1"/>
    <col min="5" max="6" width="11.140625" style="1" customWidth="1" outlineLevel="1"/>
    <col min="7" max="7" width="12.140625" style="1" customWidth="1" outlineLevel="1"/>
    <col min="8" max="8" width="11.140625" style="1" customWidth="1" outlineLevel="1"/>
    <col min="9" max="9" width="13.5703125" customWidth="1"/>
    <col min="10" max="10" width="12" customWidth="1"/>
    <col min="11" max="11" width="22.5703125" customWidth="1" outlineLevel="1"/>
    <col min="12" max="12" width="11" customWidth="1" outlineLevel="1"/>
    <col min="13" max="13" width="17.42578125" customWidth="1" outlineLevel="1"/>
    <col min="14" max="14" width="11" customWidth="1" outlineLevel="1"/>
    <col min="15" max="17" width="10" customWidth="1"/>
    <col min="18" max="18" width="20.85546875" customWidth="1"/>
    <col min="19" max="19" width="19.85546875" customWidth="1"/>
    <col min="20" max="20" width="11" customWidth="1"/>
    <col min="21" max="21" width="15.140625" bestFit="1" customWidth="1"/>
    <col min="22" max="22" width="12" customWidth="1" outlineLevel="1"/>
    <col min="23" max="23" width="15.140625" customWidth="1" outlineLevel="1"/>
    <col min="24" max="24" width="14" customWidth="1"/>
    <col min="25" max="25" width="15" customWidth="1"/>
    <col min="26" max="26" width="14.140625" customWidth="1"/>
    <col min="27" max="27" width="12" bestFit="1" customWidth="1"/>
    <col min="29" max="29" width="12.28515625" customWidth="1"/>
    <col min="30" max="30" width="18.42578125" bestFit="1" customWidth="1"/>
  </cols>
  <sheetData>
    <row r="1" spans="1:37" ht="21.75" customHeight="1" x14ac:dyDescent="0.25">
      <c r="A1" s="158" t="s">
        <v>0</v>
      </c>
      <c r="B1" s="158"/>
      <c r="C1" s="158"/>
      <c r="D1" s="158"/>
      <c r="F1"/>
      <c r="G1"/>
      <c r="H1"/>
      <c r="I1" s="89" t="s">
        <v>1</v>
      </c>
      <c r="J1" s="92">
        <f>L4-(L3-L2)</f>
        <v>0</v>
      </c>
      <c r="K1" s="91" t="s">
        <v>2</v>
      </c>
      <c r="L1" s="6">
        <f>L4-L5</f>
        <v>3964</v>
      </c>
      <c r="M1" s="3" t="s">
        <v>3</v>
      </c>
      <c r="N1" s="127" t="s">
        <v>4</v>
      </c>
      <c r="O1" s="7"/>
      <c r="P1" s="8"/>
      <c r="AC1" s="106" t="s">
        <v>85</v>
      </c>
      <c r="AD1" s="138">
        <v>0</v>
      </c>
    </row>
    <row r="2" spans="1:37" ht="21.75" customHeight="1" x14ac:dyDescent="0.25">
      <c r="A2" s="158"/>
      <c r="B2" s="158"/>
      <c r="C2" s="158"/>
      <c r="D2" s="158"/>
      <c r="F2"/>
      <c r="G2"/>
      <c r="H2"/>
      <c r="I2" s="89" t="s">
        <v>74</v>
      </c>
      <c r="J2" s="143">
        <v>0</v>
      </c>
      <c r="K2" s="93" t="s">
        <v>6</v>
      </c>
      <c r="L2" s="9">
        <f>SUM(P8:P1007)</f>
        <v>20</v>
      </c>
      <c r="M2" s="3" t="s">
        <v>7</v>
      </c>
      <c r="N2" s="10">
        <f>IFERROR(INDEX(Supplier!B:B,MATCH(N1,Supplier!A:A,0)),0)</f>
        <v>2000</v>
      </c>
      <c r="O2" s="7" t="s">
        <v>8</v>
      </c>
      <c r="P2" s="11"/>
      <c r="AC2" s="106" t="s">
        <v>86</v>
      </c>
      <c r="AD2" s="105">
        <v>0</v>
      </c>
    </row>
    <row r="3" spans="1:37" ht="21.75" customHeight="1" x14ac:dyDescent="0.25">
      <c r="A3" s="2"/>
      <c r="B3" s="2"/>
      <c r="C3" s="2"/>
      <c r="D3" s="2"/>
      <c r="F3"/>
      <c r="G3"/>
      <c r="H3"/>
      <c r="I3" s="89" t="s">
        <v>9</v>
      </c>
      <c r="J3" s="144">
        <v>110</v>
      </c>
      <c r="K3" s="94" t="s">
        <v>10</v>
      </c>
      <c r="L3" s="13">
        <f>SUM(J8:J1007)</f>
        <v>4200</v>
      </c>
      <c r="M3" s="3" t="s">
        <v>11</v>
      </c>
      <c r="N3" s="14">
        <f>MAX(N2+L4-L5-N5,0)</f>
        <v>5864</v>
      </c>
      <c r="O3" s="7" t="s">
        <v>12</v>
      </c>
      <c r="P3" s="15"/>
      <c r="R3" s="16"/>
      <c r="AC3" s="106" t="s">
        <v>84</v>
      </c>
      <c r="AD3" s="107">
        <f>N2</f>
        <v>2000</v>
      </c>
    </row>
    <row r="4" spans="1:37" ht="21.75" customHeight="1" x14ac:dyDescent="0.25">
      <c r="A4" s="2"/>
      <c r="B4" s="2"/>
      <c r="C4" s="2"/>
      <c r="D4" s="2"/>
      <c r="E4" s="2"/>
      <c r="F4"/>
      <c r="G4"/>
      <c r="H4"/>
      <c r="I4" s="90" t="s">
        <v>13</v>
      </c>
      <c r="J4" s="96">
        <f>SUMIFS(J8:J1007,E8:E1007,0,Q8:Q1007,"&lt;=0")+SUMIFS(J8:J1007,E8:E1007,"",Q8:Q1007,"&lt;=0")+SUMIFS(J8:J1007,E8:E1007,0,Q8:Q1007,"")+SUMIFS(J8:J1007,E8:E1007,"",Q8:Q1007,"")</f>
        <v>0</v>
      </c>
      <c r="K4" s="95" t="s">
        <v>14</v>
      </c>
      <c r="L4" s="19">
        <f>ROUND(L3-L2,0)</f>
        <v>4180</v>
      </c>
      <c r="M4" s="3" t="s">
        <v>15</v>
      </c>
      <c r="N4" s="10">
        <f>MAX(-(N2+L4-L5-N5),0)</f>
        <v>0</v>
      </c>
      <c r="O4" s="7" t="s">
        <v>16</v>
      </c>
      <c r="P4" s="15"/>
      <c r="U4" s="16"/>
      <c r="AC4" s="106" t="s">
        <v>87</v>
      </c>
      <c r="AD4" s="107">
        <f>N2-SUM($AI$8:$AI$1007)</f>
        <v>2000</v>
      </c>
    </row>
    <row r="5" spans="1:37" ht="21.75" customHeight="1" x14ac:dyDescent="0.25">
      <c r="A5" s="2"/>
      <c r="B5" s="20">
        <f>SUM(B8:B1007)</f>
        <v>6</v>
      </c>
      <c r="C5" s="2"/>
      <c r="D5" s="20">
        <f>SUM(D8:D1007)</f>
        <v>360</v>
      </c>
      <c r="E5" s="2"/>
      <c r="F5"/>
      <c r="G5" s="21"/>
      <c r="H5" s="21"/>
      <c r="I5" s="2"/>
      <c r="J5" s="2"/>
      <c r="K5" s="3" t="s">
        <v>17</v>
      </c>
      <c r="L5" s="129">
        <v>216</v>
      </c>
      <c r="M5" s="3" t="s">
        <v>18</v>
      </c>
      <c r="N5" s="128">
        <v>100</v>
      </c>
      <c r="O5" s="2"/>
      <c r="P5" s="22">
        <f>L2-Q5</f>
        <v>0</v>
      </c>
      <c r="Q5" s="23">
        <f>SUM(Q8:Q1007)</f>
        <v>20</v>
      </c>
      <c r="Z5" s="100">
        <f>SUM(Z8:Z1007)</f>
        <v>4099.4444444444443</v>
      </c>
      <c r="AA5" s="81">
        <f>SUM(AA8:AA1007)</f>
        <v>4200</v>
      </c>
    </row>
    <row r="6" spans="1:37" s="24" customFormat="1" ht="21.75" customHeight="1" x14ac:dyDescent="0.25">
      <c r="A6" s="159" t="s">
        <v>19</v>
      </c>
      <c r="B6" s="159" t="s">
        <v>20</v>
      </c>
      <c r="C6" s="159"/>
      <c r="D6" s="159"/>
      <c r="E6" s="159"/>
      <c r="F6" s="160" t="s">
        <v>76</v>
      </c>
      <c r="G6" s="159" t="s">
        <v>22</v>
      </c>
      <c r="H6" s="159"/>
      <c r="I6" s="159" t="s">
        <v>21</v>
      </c>
      <c r="J6" s="159"/>
      <c r="K6" s="159" t="s">
        <v>23</v>
      </c>
      <c r="L6" s="159"/>
      <c r="M6" s="159" t="s">
        <v>24</v>
      </c>
      <c r="N6" s="159"/>
      <c r="O6" s="159" t="s">
        <v>25</v>
      </c>
      <c r="P6" s="159"/>
      <c r="Q6" s="159"/>
      <c r="R6" s="159" t="s">
        <v>26</v>
      </c>
      <c r="S6" s="159"/>
      <c r="T6" s="159" t="s">
        <v>27</v>
      </c>
      <c r="U6" s="159"/>
      <c r="V6" s="159"/>
      <c r="W6" s="159"/>
      <c r="X6" s="159" t="s">
        <v>28</v>
      </c>
      <c r="Y6" s="159" t="s">
        <v>29</v>
      </c>
      <c r="Z6" s="160" t="s">
        <v>30</v>
      </c>
      <c r="AA6" s="160" t="s">
        <v>77</v>
      </c>
      <c r="AC6" s="161" t="s">
        <v>88</v>
      </c>
      <c r="AD6" s="161"/>
      <c r="AE6" s="161"/>
      <c r="AF6" s="161"/>
      <c r="AG6" s="161"/>
      <c r="AH6" s="161"/>
      <c r="AI6" s="161"/>
      <c r="AJ6" s="161"/>
      <c r="AK6" s="150"/>
    </row>
    <row r="7" spans="1:37" ht="27.75" customHeight="1" x14ac:dyDescent="0.25">
      <c r="A7" s="159"/>
      <c r="B7" s="25" t="s">
        <v>31</v>
      </c>
      <c r="C7" s="25" t="s">
        <v>32</v>
      </c>
      <c r="D7" s="25" t="s">
        <v>33</v>
      </c>
      <c r="E7" s="25" t="s">
        <v>34</v>
      </c>
      <c r="F7" s="159"/>
      <c r="G7" s="26" t="s">
        <v>37</v>
      </c>
      <c r="H7" s="27" t="s">
        <v>38</v>
      </c>
      <c r="I7" s="26" t="s">
        <v>35</v>
      </c>
      <c r="J7" s="26" t="s">
        <v>36</v>
      </c>
      <c r="K7" s="26" t="s">
        <v>37</v>
      </c>
      <c r="L7" s="27" t="s">
        <v>38</v>
      </c>
      <c r="M7" s="26" t="s">
        <v>39</v>
      </c>
      <c r="N7" s="28" t="s">
        <v>40</v>
      </c>
      <c r="O7" s="29" t="s">
        <v>41</v>
      </c>
      <c r="P7" s="26" t="s">
        <v>42</v>
      </c>
      <c r="Q7" s="26" t="s">
        <v>43</v>
      </c>
      <c r="R7" s="26" t="s">
        <v>44</v>
      </c>
      <c r="S7" s="26" t="s">
        <v>35</v>
      </c>
      <c r="T7" s="29" t="s">
        <v>45</v>
      </c>
      <c r="U7" s="26" t="s">
        <v>46</v>
      </c>
      <c r="V7" s="29" t="s">
        <v>47</v>
      </c>
      <c r="W7" s="26" t="s">
        <v>48</v>
      </c>
      <c r="X7" s="159"/>
      <c r="Y7" s="159"/>
      <c r="Z7" s="159"/>
      <c r="AA7" s="159"/>
      <c r="AC7" s="108" t="s">
        <v>78</v>
      </c>
      <c r="AD7" s="108" t="s">
        <v>89</v>
      </c>
      <c r="AE7" s="108" t="s">
        <v>79</v>
      </c>
      <c r="AF7" s="108" t="s">
        <v>80</v>
      </c>
      <c r="AG7" s="108" t="s">
        <v>81</v>
      </c>
      <c r="AH7" s="108" t="s">
        <v>82</v>
      </c>
      <c r="AI7" s="108" t="s">
        <v>83</v>
      </c>
      <c r="AJ7" s="108" t="s">
        <v>92</v>
      </c>
      <c r="AK7" s="108" t="s">
        <v>95</v>
      </c>
    </row>
    <row r="8" spans="1:37" ht="21.75" customHeight="1" x14ac:dyDescent="0.25">
      <c r="A8" s="113" t="s">
        <v>49</v>
      </c>
      <c r="B8" s="115">
        <v>6</v>
      </c>
      <c r="C8" s="115">
        <v>60</v>
      </c>
      <c r="D8" s="30">
        <f t="shared" ref="D8:D71" si="0">IF(A8="","",B8*C8)</f>
        <v>360</v>
      </c>
      <c r="E8" s="31">
        <v>2</v>
      </c>
      <c r="F8" s="83">
        <v>0.15</v>
      </c>
      <c r="G8" s="117">
        <v>720</v>
      </c>
      <c r="H8" s="34">
        <f t="shared" ref="H8:H71" si="1">IF(OR(G8=0,C8=0,G8="",C8=""),"",G8/C8)</f>
        <v>12</v>
      </c>
      <c r="I8" s="97">
        <v>700</v>
      </c>
      <c r="J8" s="33">
        <f t="shared" ref="J8:J71" si="2">IF(A8="","",I8*B8)</f>
        <v>4200</v>
      </c>
      <c r="K8" s="117">
        <v>700</v>
      </c>
      <c r="L8" s="34">
        <f t="shared" ref="L8:L71" si="3">IF(OR(K8=0,C8=0,K8="",C8=""),"",K8/C8)</f>
        <v>11.666666666666666</v>
      </c>
      <c r="M8" s="117">
        <v>2</v>
      </c>
      <c r="N8" s="120" t="s">
        <v>50</v>
      </c>
      <c r="O8" s="122">
        <f>IF(A8="","",IF(Q8&gt;0,IF(J8&gt;0,Q8/J8,0),IF(E8&gt;0,0,IF($J$3&gt;0,IF($J$4&gt;0,MAX($J$3-SUM($Q$8:$Q$1007),0)/$J$4,0),$J$2))))</f>
        <v>0</v>
      </c>
      <c r="P8" s="35">
        <f>IF(A8="","",IF(Q8&gt;0,Q8,IF(E8&gt;0,0,J8*IF($J$3&gt;0,IF($J$4&gt;0,MAX($J$3-SUM($Q$8:$Q$1007),0)/$J$4,0),$J$2))))</f>
        <v>0</v>
      </c>
      <c r="Q8" s="124"/>
      <c r="R8" s="36">
        <f>IF(A8="","",IF(OR(B8=0,B8="",C8&lt;=0,D8+E8&lt;=0),"",(J8-P8)/(D8+E8)-IF(X8&gt;=0,X8/D8,0)+IF(ISNUMBER(Y8),Y8/(D8+E8),0)))</f>
        <v>11.324432166973603</v>
      </c>
      <c r="S8" s="37">
        <f t="shared" ref="S8:S71" si="4">IF(OR(A8="",R8=""),"",R8*C8)</f>
        <v>679.4659300184162</v>
      </c>
      <c r="T8" s="38">
        <f t="shared" ref="T8:T71" si="5">IF(OR(A8="",G8&lt;=0,S8=""),"",(G8-S8)/G8)</f>
        <v>5.6297319418866384E-2</v>
      </c>
      <c r="U8" s="39">
        <f t="shared" ref="U8:U71" si="6">IF(OR(G8=0,S8=0,G8="",S8=""),"",G8-S8)</f>
        <v>40.534069981583798</v>
      </c>
      <c r="V8" s="40">
        <f t="shared" ref="V8:V71" si="7">IF(OR(A8="",K8&lt;=0,S8=""),"",(K8-S8)/K8)</f>
        <v>2.9334385687976854E-2</v>
      </c>
      <c r="W8" s="39">
        <f t="shared" ref="W8:W71" si="8">IF(OR(K8=0,S8=0,K8="",S8=""),"",K8-S8)</f>
        <v>20.534069981583798</v>
      </c>
      <c r="X8" s="34">
        <f>IF(OR(J8="",J8=0,$N$5="",$L$3=0),"",($N$5/$L$3)*J8)</f>
        <v>100</v>
      </c>
      <c r="Y8" s="41">
        <f>IF(OR(J8="",J8=0,($L$3-$L$2)=0),"",($J$1/($L$3-$L$2))*(J8-P8))</f>
        <v>0</v>
      </c>
      <c r="Z8" s="99">
        <f t="shared" ref="Z8:Z71" si="9">IF(OR(R8=0,R8="",D8=0,D8=""),"",R8*(D8+E8))</f>
        <v>4099.4444444444443</v>
      </c>
      <c r="AA8" s="81">
        <f>IF(OR(B8=0,B8=""),"",J8)</f>
        <v>4200</v>
      </c>
      <c r="AC8" s="139"/>
      <c r="AD8" s="110" t="str">
        <f>IF(AC8="","",R8)</f>
        <v/>
      </c>
      <c r="AE8" s="111" t="str">
        <f>IF(OR(AC8="",AD8=""),"",AC8*AD8)</f>
        <v/>
      </c>
      <c r="AF8" s="111" t="str">
        <f t="shared" ref="AF8:AF71" si="10">IF(AE8="","",AE8*$AD$1+IF(SUM($AE$8:$AE$1007)=0,0,$AD$2*AE8/SUM($AE$8:$AE$1007)))</f>
        <v/>
      </c>
      <c r="AG8" s="111" t="str">
        <f>IF(AE8="","",AE8-AF8)</f>
        <v/>
      </c>
      <c r="AH8" s="111" t="str">
        <f>IF(AG8="","",AI8-AG8)</f>
        <v/>
      </c>
      <c r="AI8" s="112" t="str">
        <f>IF(AG8="","",ROUND(AG8,0))</f>
        <v/>
      </c>
      <c r="AJ8" t="str">
        <f>IF(OR(AC8=0,AC8=""),"",AF8/AC8)</f>
        <v/>
      </c>
      <c r="AK8" t="str">
        <f>IF(OR(AC8=0,AC8=""),"",AD8*C8)</f>
        <v/>
      </c>
    </row>
    <row r="9" spans="1:37" ht="21.75" customHeight="1" x14ac:dyDescent="0.25">
      <c r="A9" s="113" t="s">
        <v>51</v>
      </c>
      <c r="B9" s="115">
        <v>0</v>
      </c>
      <c r="C9" s="115">
        <v>1</v>
      </c>
      <c r="D9" s="30">
        <f t="shared" si="0"/>
        <v>0</v>
      </c>
      <c r="E9" s="31">
        <v>0</v>
      </c>
      <c r="F9" s="83">
        <v>0.12</v>
      </c>
      <c r="G9" s="117">
        <v>195</v>
      </c>
      <c r="H9" s="34">
        <f t="shared" si="1"/>
        <v>195</v>
      </c>
      <c r="I9" s="88">
        <f t="shared" ref="I9:I71" si="11">IF(OR(G9="",F9=""),"",G9*(1-F9))</f>
        <v>171.6</v>
      </c>
      <c r="J9" s="33">
        <f>IF(A9="","",I9*B9)</f>
        <v>0</v>
      </c>
      <c r="K9" s="117">
        <v>195</v>
      </c>
      <c r="L9" s="34">
        <f t="shared" si="3"/>
        <v>195</v>
      </c>
      <c r="M9" s="117">
        <v>2</v>
      </c>
      <c r="N9" s="120" t="s">
        <v>52</v>
      </c>
      <c r="O9" s="122">
        <f t="shared" ref="O9:O72" si="12">IF(A9="","",IF(Q9&gt;0,IF(J9&gt;0,Q9/J9,0),IF(E9&gt;0,0,IF($J$3&gt;0,IF($J$4&gt;0,MAX($J$3-SUM($Q$8:$Q$1007),0)/$J$4,0),$J$2))))</f>
        <v>0</v>
      </c>
      <c r="P9" s="35">
        <f t="shared" ref="P9:P72" si="13">IF(A9="","",IF(Q9&gt;0,Q9,IF(E9&gt;0,0,J9*IF($J$3&gt;0,IF($J$4&gt;0,MAX($J$3-SUM($Q$8:$Q$1007),0)/$J$4,0),$J$2))))</f>
        <v>20</v>
      </c>
      <c r="Q9" s="124">
        <v>20</v>
      </c>
      <c r="R9" s="36" t="str">
        <f t="shared" ref="R9:R72" si="14">IF(A9="","",IF(OR(B9=0,B9="",C9&lt;=0,D9+E9&lt;=0),"",(J9-P9)/(D9+E9)-IF(X9&gt;=0,X9/D9,0)+IF(ISNUMBER(Y9),Y9/(D9+E9),0)))</f>
        <v/>
      </c>
      <c r="S9" s="37" t="str">
        <f t="shared" si="4"/>
        <v/>
      </c>
      <c r="T9" s="38" t="str">
        <f t="shared" si="5"/>
        <v/>
      </c>
      <c r="U9" s="39" t="str">
        <f t="shared" si="6"/>
        <v/>
      </c>
      <c r="V9" s="40" t="str">
        <f t="shared" si="7"/>
        <v/>
      </c>
      <c r="W9" s="39" t="str">
        <f t="shared" si="8"/>
        <v/>
      </c>
      <c r="X9" s="34" t="str">
        <f t="shared" ref="X9:X71" si="15">IF(OR(J9="",J9=0,$N$5="",$L$3=0),"",($N$5/$L$3)*J9)</f>
        <v/>
      </c>
      <c r="Y9" s="41" t="str">
        <f t="shared" ref="Y9:Y72" si="16">IF(OR(J9="",J9=0,($L$3-$L$2)=0),"",($J$1/($L$3-$L$2))*(J9-P9))</f>
        <v/>
      </c>
      <c r="Z9" s="99" t="str">
        <f t="shared" si="9"/>
        <v/>
      </c>
      <c r="AA9" s="81" t="str">
        <f t="shared" ref="AA9:AA72" si="17">IF(OR(B9=0,B9=""),"",J9)</f>
        <v/>
      </c>
      <c r="AC9" s="139"/>
      <c r="AD9" s="110" t="str">
        <f t="shared" ref="AD9:AD72" si="18">IF(AC9="","",R9)</f>
        <v/>
      </c>
      <c r="AE9" s="111" t="str">
        <f t="shared" ref="AE9:AE72" si="19">IF(OR(AC9="",AD9=""),"",AC9*AD9)</f>
        <v/>
      </c>
      <c r="AF9" s="111" t="str">
        <f t="shared" si="10"/>
        <v/>
      </c>
      <c r="AG9" s="111" t="str">
        <f t="shared" ref="AG9:AG72" si="20">IF(AE9="","",AE9-AF9)</f>
        <v/>
      </c>
      <c r="AH9" s="111" t="str">
        <f t="shared" ref="AH9:AH72" si="21">IF(AG9="","",AI9-AG9)</f>
        <v/>
      </c>
      <c r="AI9" s="112" t="str">
        <f t="shared" ref="AI9:AI72" si="22">IF(AG9="","",ROUND(AG9,0))</f>
        <v/>
      </c>
      <c r="AJ9" t="str">
        <f t="shared" ref="AJ9:AJ72" si="23">IF(OR(AC9=0,AC9=""),"",AF9/AC9)</f>
        <v/>
      </c>
      <c r="AK9" t="str">
        <f t="shared" ref="AK9:AK72" si="24">IF(OR(AC9=0,AC9=""),"",AD9*C9)</f>
        <v/>
      </c>
    </row>
    <row r="10" spans="1:37" ht="15" customHeight="1" x14ac:dyDescent="0.25">
      <c r="A10" s="113" t="s">
        <v>53</v>
      </c>
      <c r="B10" s="115">
        <v>0</v>
      </c>
      <c r="C10" s="115">
        <v>12</v>
      </c>
      <c r="D10" s="30">
        <f t="shared" si="0"/>
        <v>0</v>
      </c>
      <c r="E10" s="31">
        <v>0</v>
      </c>
      <c r="F10" s="83">
        <v>0.12</v>
      </c>
      <c r="G10" s="117">
        <v>420</v>
      </c>
      <c r="H10" s="34">
        <f t="shared" si="1"/>
        <v>35</v>
      </c>
      <c r="I10" s="88">
        <f t="shared" si="11"/>
        <v>369.6</v>
      </c>
      <c r="J10" s="33">
        <f t="shared" si="2"/>
        <v>0</v>
      </c>
      <c r="K10" s="117">
        <v>420</v>
      </c>
      <c r="L10" s="34">
        <f t="shared" si="3"/>
        <v>35</v>
      </c>
      <c r="M10" s="117">
        <v>3</v>
      </c>
      <c r="N10" s="120" t="s">
        <v>54</v>
      </c>
      <c r="O10" s="122">
        <f t="shared" si="12"/>
        <v>0</v>
      </c>
      <c r="P10" s="35">
        <f t="shared" si="13"/>
        <v>0</v>
      </c>
      <c r="Q10" s="124">
        <v>0</v>
      </c>
      <c r="R10" s="36" t="str">
        <f t="shared" si="14"/>
        <v/>
      </c>
      <c r="S10" s="37" t="str">
        <f t="shared" si="4"/>
        <v/>
      </c>
      <c r="T10" s="38" t="str">
        <f t="shared" si="5"/>
        <v/>
      </c>
      <c r="U10" s="39" t="str">
        <f t="shared" si="6"/>
        <v/>
      </c>
      <c r="V10" s="40" t="str">
        <f t="shared" si="7"/>
        <v/>
      </c>
      <c r="W10" s="39" t="str">
        <f t="shared" si="8"/>
        <v/>
      </c>
      <c r="X10" s="34" t="str">
        <f t="shared" si="15"/>
        <v/>
      </c>
      <c r="Y10" s="41" t="str">
        <f t="shared" si="16"/>
        <v/>
      </c>
      <c r="Z10" s="99" t="str">
        <f t="shared" si="9"/>
        <v/>
      </c>
      <c r="AA10" s="81" t="str">
        <f t="shared" si="17"/>
        <v/>
      </c>
      <c r="AC10" s="139"/>
      <c r="AD10" s="110" t="str">
        <f t="shared" si="18"/>
        <v/>
      </c>
      <c r="AE10" s="111" t="str">
        <f t="shared" si="19"/>
        <v/>
      </c>
      <c r="AF10" s="111" t="str">
        <f t="shared" si="10"/>
        <v/>
      </c>
      <c r="AG10" s="111" t="str">
        <f t="shared" si="20"/>
        <v/>
      </c>
      <c r="AH10" s="111" t="str">
        <f t="shared" si="21"/>
        <v/>
      </c>
      <c r="AI10" s="112" t="str">
        <f t="shared" si="22"/>
        <v/>
      </c>
      <c r="AJ10" t="str">
        <f t="shared" si="23"/>
        <v/>
      </c>
      <c r="AK10" t="str">
        <f t="shared" si="24"/>
        <v/>
      </c>
    </row>
    <row r="11" spans="1:37" ht="15" customHeight="1" x14ac:dyDescent="0.25">
      <c r="A11" s="113"/>
      <c r="B11" s="116"/>
      <c r="C11" s="116"/>
      <c r="D11" s="42" t="str">
        <f t="shared" si="0"/>
        <v/>
      </c>
      <c r="E11" s="43"/>
      <c r="F11" s="83"/>
      <c r="G11" s="118"/>
      <c r="H11" s="34" t="str">
        <f t="shared" si="1"/>
        <v/>
      </c>
      <c r="I11" s="88" t="str">
        <f t="shared" si="11"/>
        <v/>
      </c>
      <c r="J11" s="44" t="str">
        <f t="shared" si="2"/>
        <v/>
      </c>
      <c r="K11" s="118"/>
      <c r="L11" s="34" t="str">
        <f t="shared" si="3"/>
        <v/>
      </c>
      <c r="M11" s="118"/>
      <c r="N11" s="121"/>
      <c r="O11" s="122" t="str">
        <f>IF(A11="","",IF(Q11&gt;0,IF(J11&gt;0,Q11/J11,0),IF(E11&gt;0,0,IF($J$3&gt;0,IF($J$4&gt;0,MAX($J$3-SUM($Q$8:$Q$1007),0)/$J$4,0),$J$2))))</f>
        <v/>
      </c>
      <c r="P11" s="35" t="str">
        <f t="shared" si="13"/>
        <v/>
      </c>
      <c r="Q11" s="124"/>
      <c r="R11" s="36" t="str">
        <f t="shared" si="14"/>
        <v/>
      </c>
      <c r="S11" s="37" t="str">
        <f t="shared" si="4"/>
        <v/>
      </c>
      <c r="T11" s="38" t="str">
        <f t="shared" si="5"/>
        <v/>
      </c>
      <c r="U11" s="39" t="str">
        <f t="shared" si="6"/>
        <v/>
      </c>
      <c r="V11" s="40" t="str">
        <f t="shared" si="7"/>
        <v/>
      </c>
      <c r="W11" s="39" t="str">
        <f t="shared" si="8"/>
        <v/>
      </c>
      <c r="X11" s="34" t="str">
        <f t="shared" si="15"/>
        <v/>
      </c>
      <c r="Y11" s="41" t="str">
        <f t="shared" si="16"/>
        <v/>
      </c>
      <c r="Z11" s="98" t="str">
        <f t="shared" si="9"/>
        <v/>
      </c>
      <c r="AA11" s="81" t="str">
        <f t="shared" si="17"/>
        <v/>
      </c>
      <c r="AC11" s="139"/>
      <c r="AD11" s="110" t="str">
        <f t="shared" si="18"/>
        <v/>
      </c>
      <c r="AE11" s="111" t="str">
        <f t="shared" si="19"/>
        <v/>
      </c>
      <c r="AF11" s="111" t="str">
        <f t="shared" si="10"/>
        <v/>
      </c>
      <c r="AG11" s="111" t="str">
        <f t="shared" si="20"/>
        <v/>
      </c>
      <c r="AH11" s="111" t="str">
        <f t="shared" si="21"/>
        <v/>
      </c>
      <c r="AI11" s="112" t="str">
        <f t="shared" si="22"/>
        <v/>
      </c>
      <c r="AJ11" t="str">
        <f t="shared" si="23"/>
        <v/>
      </c>
      <c r="AK11" t="str">
        <f t="shared" si="24"/>
        <v/>
      </c>
    </row>
    <row r="12" spans="1:37" ht="15" customHeight="1" x14ac:dyDescent="0.25">
      <c r="A12" s="113"/>
      <c r="B12" s="116"/>
      <c r="C12" s="116"/>
      <c r="D12" s="42" t="str">
        <f t="shared" si="0"/>
        <v/>
      </c>
      <c r="E12" s="43"/>
      <c r="F12" s="83"/>
      <c r="G12" s="118"/>
      <c r="H12" s="34" t="str">
        <f t="shared" si="1"/>
        <v/>
      </c>
      <c r="I12" s="88" t="str">
        <f t="shared" si="11"/>
        <v/>
      </c>
      <c r="J12" s="44" t="str">
        <f t="shared" si="2"/>
        <v/>
      </c>
      <c r="K12" s="118"/>
      <c r="L12" s="34" t="str">
        <f t="shared" si="3"/>
        <v/>
      </c>
      <c r="M12" s="118"/>
      <c r="N12" s="121"/>
      <c r="O12" s="122" t="str">
        <f t="shared" si="12"/>
        <v/>
      </c>
      <c r="P12" s="35" t="str">
        <f t="shared" si="13"/>
        <v/>
      </c>
      <c r="Q12" s="124"/>
      <c r="R12" s="36" t="str">
        <f t="shared" si="14"/>
        <v/>
      </c>
      <c r="S12" s="37" t="str">
        <f t="shared" si="4"/>
        <v/>
      </c>
      <c r="T12" s="38" t="str">
        <f t="shared" si="5"/>
        <v/>
      </c>
      <c r="U12" s="39" t="str">
        <f t="shared" si="6"/>
        <v/>
      </c>
      <c r="V12" s="40" t="str">
        <f t="shared" si="7"/>
        <v/>
      </c>
      <c r="W12" s="39" t="str">
        <f t="shared" si="8"/>
        <v/>
      </c>
      <c r="X12" s="34" t="str">
        <f t="shared" si="15"/>
        <v/>
      </c>
      <c r="Y12" s="41" t="str">
        <f t="shared" si="16"/>
        <v/>
      </c>
      <c r="Z12" s="98" t="str">
        <f t="shared" si="9"/>
        <v/>
      </c>
      <c r="AA12" s="81" t="str">
        <f t="shared" si="17"/>
        <v/>
      </c>
      <c r="AC12" s="139"/>
      <c r="AD12" s="110" t="str">
        <f t="shared" si="18"/>
        <v/>
      </c>
      <c r="AE12" s="111" t="str">
        <f t="shared" si="19"/>
        <v/>
      </c>
      <c r="AF12" s="111" t="str">
        <f t="shared" si="10"/>
        <v/>
      </c>
      <c r="AG12" s="111" t="str">
        <f t="shared" si="20"/>
        <v/>
      </c>
      <c r="AH12" s="111" t="str">
        <f t="shared" si="21"/>
        <v/>
      </c>
      <c r="AI12" s="112" t="str">
        <f t="shared" si="22"/>
        <v/>
      </c>
      <c r="AJ12" t="str">
        <f t="shared" si="23"/>
        <v/>
      </c>
      <c r="AK12" t="str">
        <f t="shared" si="24"/>
        <v/>
      </c>
    </row>
    <row r="13" spans="1:37" ht="15" customHeight="1" x14ac:dyDescent="0.25">
      <c r="A13" s="113"/>
      <c r="B13" s="116"/>
      <c r="C13" s="116"/>
      <c r="D13" s="42" t="str">
        <f t="shared" si="0"/>
        <v/>
      </c>
      <c r="E13" s="43"/>
      <c r="F13" s="83"/>
      <c r="G13" s="118"/>
      <c r="H13" s="34" t="str">
        <f t="shared" si="1"/>
        <v/>
      </c>
      <c r="I13" s="88" t="str">
        <f t="shared" si="11"/>
        <v/>
      </c>
      <c r="J13" s="44" t="str">
        <f t="shared" si="2"/>
        <v/>
      </c>
      <c r="K13" s="118"/>
      <c r="L13" s="34" t="str">
        <f t="shared" si="3"/>
        <v/>
      </c>
      <c r="M13" s="118"/>
      <c r="N13" s="121"/>
      <c r="O13" s="122" t="str">
        <f t="shared" si="12"/>
        <v/>
      </c>
      <c r="P13" s="35" t="str">
        <f t="shared" si="13"/>
        <v/>
      </c>
      <c r="Q13" s="124"/>
      <c r="R13" s="36" t="str">
        <f t="shared" si="14"/>
        <v/>
      </c>
      <c r="S13" s="37" t="str">
        <f t="shared" si="4"/>
        <v/>
      </c>
      <c r="T13" s="38" t="str">
        <f t="shared" si="5"/>
        <v/>
      </c>
      <c r="U13" s="39" t="str">
        <f t="shared" si="6"/>
        <v/>
      </c>
      <c r="V13" s="40" t="str">
        <f t="shared" si="7"/>
        <v/>
      </c>
      <c r="W13" s="39" t="str">
        <f t="shared" si="8"/>
        <v/>
      </c>
      <c r="X13" s="34" t="str">
        <f t="shared" si="15"/>
        <v/>
      </c>
      <c r="Y13" s="41" t="str">
        <f t="shared" si="16"/>
        <v/>
      </c>
      <c r="Z13" s="98" t="str">
        <f t="shared" si="9"/>
        <v/>
      </c>
      <c r="AA13" s="81" t="str">
        <f t="shared" si="17"/>
        <v/>
      </c>
      <c r="AC13" s="139"/>
      <c r="AD13" s="110" t="str">
        <f t="shared" si="18"/>
        <v/>
      </c>
      <c r="AE13" s="111" t="str">
        <f t="shared" si="19"/>
        <v/>
      </c>
      <c r="AF13" s="111" t="str">
        <f t="shared" si="10"/>
        <v/>
      </c>
      <c r="AG13" s="111" t="str">
        <f t="shared" si="20"/>
        <v/>
      </c>
      <c r="AH13" s="111" t="str">
        <f t="shared" si="21"/>
        <v/>
      </c>
      <c r="AI13" s="112" t="str">
        <f t="shared" si="22"/>
        <v/>
      </c>
      <c r="AJ13" t="str">
        <f t="shared" si="23"/>
        <v/>
      </c>
      <c r="AK13" t="str">
        <f t="shared" si="24"/>
        <v/>
      </c>
    </row>
    <row r="14" spans="1:37" ht="15" customHeight="1" x14ac:dyDescent="0.25">
      <c r="A14" s="114"/>
      <c r="B14" s="116"/>
      <c r="C14" s="116"/>
      <c r="D14" s="42" t="str">
        <f t="shared" si="0"/>
        <v/>
      </c>
      <c r="E14" s="43"/>
      <c r="F14" s="83"/>
      <c r="G14" s="118"/>
      <c r="H14" s="34" t="str">
        <f t="shared" si="1"/>
        <v/>
      </c>
      <c r="I14" s="88" t="str">
        <f t="shared" si="11"/>
        <v/>
      </c>
      <c r="J14" s="44" t="str">
        <f t="shared" si="2"/>
        <v/>
      </c>
      <c r="K14" s="118"/>
      <c r="L14" s="34" t="str">
        <f t="shared" si="3"/>
        <v/>
      </c>
      <c r="M14" s="118"/>
      <c r="N14" s="121"/>
      <c r="O14" s="122" t="str">
        <f>IF(A14="","",IF(Q14&gt;0,IF(J14&gt;0,Q14/J14,0),IF(E14&gt;0,0,IF($J$3&gt;0,IF($J$4&gt;0,MAX($J$3-SUM($Q$8:$Q$1007),0)/$J$4,0),$J$2))))</f>
        <v/>
      </c>
      <c r="P14" s="35" t="str">
        <f t="shared" si="13"/>
        <v/>
      </c>
      <c r="Q14" s="124"/>
      <c r="R14" s="36" t="str">
        <f t="shared" si="14"/>
        <v/>
      </c>
      <c r="S14" s="37" t="str">
        <f t="shared" si="4"/>
        <v/>
      </c>
      <c r="T14" s="38" t="str">
        <f t="shared" si="5"/>
        <v/>
      </c>
      <c r="U14" s="39" t="str">
        <f t="shared" si="6"/>
        <v/>
      </c>
      <c r="V14" s="40" t="str">
        <f t="shared" si="7"/>
        <v/>
      </c>
      <c r="W14" s="39" t="str">
        <f t="shared" si="8"/>
        <v/>
      </c>
      <c r="X14" s="34" t="str">
        <f t="shared" si="15"/>
        <v/>
      </c>
      <c r="Y14" s="41" t="str">
        <f t="shared" si="16"/>
        <v/>
      </c>
      <c r="Z14" s="98" t="str">
        <f t="shared" si="9"/>
        <v/>
      </c>
      <c r="AA14" s="81" t="str">
        <f t="shared" si="17"/>
        <v/>
      </c>
      <c r="AC14" s="139"/>
      <c r="AD14" s="110" t="str">
        <f t="shared" si="18"/>
        <v/>
      </c>
      <c r="AE14" s="111" t="str">
        <f t="shared" si="19"/>
        <v/>
      </c>
      <c r="AF14" s="111" t="str">
        <f t="shared" si="10"/>
        <v/>
      </c>
      <c r="AG14" s="111" t="str">
        <f t="shared" si="20"/>
        <v/>
      </c>
      <c r="AH14" s="111" t="str">
        <f t="shared" si="21"/>
        <v/>
      </c>
      <c r="AI14" s="112" t="str">
        <f t="shared" si="22"/>
        <v/>
      </c>
      <c r="AJ14" s="149" t="str">
        <f t="shared" si="23"/>
        <v/>
      </c>
      <c r="AK14" t="str">
        <f t="shared" si="24"/>
        <v/>
      </c>
    </row>
    <row r="15" spans="1:37" ht="15" customHeight="1" x14ac:dyDescent="0.25">
      <c r="A15" s="114"/>
      <c r="B15" s="116"/>
      <c r="C15" s="116"/>
      <c r="D15" s="42" t="str">
        <f t="shared" si="0"/>
        <v/>
      </c>
      <c r="E15" s="43"/>
      <c r="F15" s="83"/>
      <c r="G15" s="118"/>
      <c r="H15" s="34" t="str">
        <f t="shared" si="1"/>
        <v/>
      </c>
      <c r="I15" s="88" t="str">
        <f t="shared" si="11"/>
        <v/>
      </c>
      <c r="J15" s="44" t="str">
        <f t="shared" si="2"/>
        <v/>
      </c>
      <c r="K15" s="118"/>
      <c r="L15" s="34" t="str">
        <f t="shared" si="3"/>
        <v/>
      </c>
      <c r="M15" s="118"/>
      <c r="N15" s="121"/>
      <c r="O15" s="122" t="str">
        <f t="shared" si="12"/>
        <v/>
      </c>
      <c r="P15" s="35" t="str">
        <f t="shared" si="13"/>
        <v/>
      </c>
      <c r="Q15" s="124"/>
      <c r="R15" s="36" t="str">
        <f t="shared" si="14"/>
        <v/>
      </c>
      <c r="S15" s="37" t="str">
        <f t="shared" si="4"/>
        <v/>
      </c>
      <c r="T15" s="38" t="str">
        <f t="shared" si="5"/>
        <v/>
      </c>
      <c r="U15" s="39" t="str">
        <f t="shared" si="6"/>
        <v/>
      </c>
      <c r="V15" s="40" t="str">
        <f t="shared" si="7"/>
        <v/>
      </c>
      <c r="W15" s="39" t="str">
        <f t="shared" si="8"/>
        <v/>
      </c>
      <c r="X15" s="34" t="str">
        <f t="shared" si="15"/>
        <v/>
      </c>
      <c r="Y15" s="41" t="str">
        <f t="shared" si="16"/>
        <v/>
      </c>
      <c r="Z15" s="98" t="str">
        <f t="shared" si="9"/>
        <v/>
      </c>
      <c r="AA15" s="81" t="str">
        <f t="shared" si="17"/>
        <v/>
      </c>
      <c r="AC15" s="139"/>
      <c r="AD15" s="110" t="str">
        <f t="shared" si="18"/>
        <v/>
      </c>
      <c r="AE15" s="111" t="str">
        <f t="shared" si="19"/>
        <v/>
      </c>
      <c r="AF15" s="111" t="str">
        <f t="shared" si="10"/>
        <v/>
      </c>
      <c r="AG15" s="111" t="str">
        <f t="shared" si="20"/>
        <v/>
      </c>
      <c r="AH15" s="111" t="str">
        <f t="shared" si="21"/>
        <v/>
      </c>
      <c r="AI15" s="112" t="str">
        <f t="shared" si="22"/>
        <v/>
      </c>
      <c r="AJ15" t="str">
        <f t="shared" si="23"/>
        <v/>
      </c>
      <c r="AK15" t="str">
        <f t="shared" si="24"/>
        <v/>
      </c>
    </row>
    <row r="16" spans="1:37" ht="15" customHeight="1" x14ac:dyDescent="0.25">
      <c r="A16" s="114"/>
      <c r="B16" s="116"/>
      <c r="C16" s="116"/>
      <c r="D16" s="42" t="str">
        <f t="shared" si="0"/>
        <v/>
      </c>
      <c r="E16" s="43"/>
      <c r="F16" s="83"/>
      <c r="G16" s="118"/>
      <c r="H16" s="34" t="str">
        <f t="shared" si="1"/>
        <v/>
      </c>
      <c r="I16" s="88" t="str">
        <f t="shared" si="11"/>
        <v/>
      </c>
      <c r="J16" s="44" t="str">
        <f t="shared" si="2"/>
        <v/>
      </c>
      <c r="K16" s="118"/>
      <c r="L16" s="34" t="str">
        <f t="shared" si="3"/>
        <v/>
      </c>
      <c r="M16" s="118"/>
      <c r="N16" s="121"/>
      <c r="O16" s="122" t="str">
        <f t="shared" si="12"/>
        <v/>
      </c>
      <c r="P16" s="35" t="str">
        <f t="shared" si="13"/>
        <v/>
      </c>
      <c r="Q16" s="124"/>
      <c r="R16" s="36" t="str">
        <f t="shared" si="14"/>
        <v/>
      </c>
      <c r="S16" s="37" t="str">
        <f t="shared" si="4"/>
        <v/>
      </c>
      <c r="T16" s="38" t="str">
        <f t="shared" si="5"/>
        <v/>
      </c>
      <c r="U16" s="39" t="str">
        <f t="shared" si="6"/>
        <v/>
      </c>
      <c r="V16" s="40" t="str">
        <f t="shared" si="7"/>
        <v/>
      </c>
      <c r="W16" s="39" t="str">
        <f t="shared" si="8"/>
        <v/>
      </c>
      <c r="X16" s="34" t="str">
        <f t="shared" si="15"/>
        <v/>
      </c>
      <c r="Y16" s="41" t="str">
        <f t="shared" si="16"/>
        <v/>
      </c>
      <c r="Z16" s="98" t="str">
        <f t="shared" si="9"/>
        <v/>
      </c>
      <c r="AA16" s="81" t="str">
        <f t="shared" si="17"/>
        <v/>
      </c>
      <c r="AC16" s="139"/>
      <c r="AD16" s="110" t="str">
        <f t="shared" si="18"/>
        <v/>
      </c>
      <c r="AE16" s="111" t="str">
        <f t="shared" si="19"/>
        <v/>
      </c>
      <c r="AF16" s="111" t="str">
        <f t="shared" si="10"/>
        <v/>
      </c>
      <c r="AG16" s="111" t="str">
        <f t="shared" si="20"/>
        <v/>
      </c>
      <c r="AH16" s="111" t="str">
        <f t="shared" si="21"/>
        <v/>
      </c>
      <c r="AI16" s="112" t="str">
        <f t="shared" si="22"/>
        <v/>
      </c>
      <c r="AJ16" t="str">
        <f t="shared" si="23"/>
        <v/>
      </c>
      <c r="AK16" t="str">
        <f t="shared" si="24"/>
        <v/>
      </c>
    </row>
    <row r="17" spans="1:37" ht="15" customHeight="1" x14ac:dyDescent="0.25">
      <c r="A17" s="114"/>
      <c r="B17" s="116"/>
      <c r="C17" s="116"/>
      <c r="D17" s="42" t="str">
        <f t="shared" si="0"/>
        <v/>
      </c>
      <c r="E17" s="43"/>
      <c r="F17" s="83"/>
      <c r="G17" s="118"/>
      <c r="H17" s="34" t="str">
        <f t="shared" si="1"/>
        <v/>
      </c>
      <c r="I17" s="88" t="str">
        <f t="shared" si="11"/>
        <v/>
      </c>
      <c r="J17" s="44" t="str">
        <f t="shared" si="2"/>
        <v/>
      </c>
      <c r="K17" s="118"/>
      <c r="L17" s="34" t="str">
        <f t="shared" si="3"/>
        <v/>
      </c>
      <c r="M17" s="118"/>
      <c r="N17" s="121"/>
      <c r="O17" s="122" t="str">
        <f t="shared" si="12"/>
        <v/>
      </c>
      <c r="P17" s="35" t="str">
        <f t="shared" si="13"/>
        <v/>
      </c>
      <c r="Q17" s="124"/>
      <c r="R17" s="36" t="str">
        <f t="shared" si="14"/>
        <v/>
      </c>
      <c r="S17" s="37" t="str">
        <f t="shared" si="4"/>
        <v/>
      </c>
      <c r="T17" s="38" t="str">
        <f t="shared" si="5"/>
        <v/>
      </c>
      <c r="U17" s="39" t="str">
        <f t="shared" si="6"/>
        <v/>
      </c>
      <c r="V17" s="40" t="str">
        <f t="shared" si="7"/>
        <v/>
      </c>
      <c r="W17" s="39" t="str">
        <f t="shared" si="8"/>
        <v/>
      </c>
      <c r="X17" s="34" t="str">
        <f t="shared" si="15"/>
        <v/>
      </c>
      <c r="Y17" s="41" t="str">
        <f t="shared" si="16"/>
        <v/>
      </c>
      <c r="Z17" s="98" t="str">
        <f t="shared" si="9"/>
        <v/>
      </c>
      <c r="AA17" s="81" t="str">
        <f t="shared" si="17"/>
        <v/>
      </c>
      <c r="AC17" s="139"/>
      <c r="AD17" s="110" t="str">
        <f t="shared" si="18"/>
        <v/>
      </c>
      <c r="AE17" s="111" t="str">
        <f t="shared" si="19"/>
        <v/>
      </c>
      <c r="AF17" s="111" t="str">
        <f t="shared" si="10"/>
        <v/>
      </c>
      <c r="AG17" s="111" t="str">
        <f t="shared" si="20"/>
        <v/>
      </c>
      <c r="AH17" s="111" t="str">
        <f t="shared" si="21"/>
        <v/>
      </c>
      <c r="AI17" s="112" t="str">
        <f t="shared" si="22"/>
        <v/>
      </c>
      <c r="AJ17" t="str">
        <f t="shared" si="23"/>
        <v/>
      </c>
      <c r="AK17" t="str">
        <f t="shared" si="24"/>
        <v/>
      </c>
    </row>
    <row r="18" spans="1:37" ht="15" customHeight="1" x14ac:dyDescent="0.25">
      <c r="A18" s="114"/>
      <c r="B18" s="116"/>
      <c r="C18" s="116"/>
      <c r="D18" s="42" t="str">
        <f t="shared" si="0"/>
        <v/>
      </c>
      <c r="E18" s="43"/>
      <c r="F18" s="83"/>
      <c r="G18" s="118"/>
      <c r="H18" s="34" t="str">
        <f t="shared" si="1"/>
        <v/>
      </c>
      <c r="I18" s="88" t="str">
        <f t="shared" si="11"/>
        <v/>
      </c>
      <c r="J18" s="44" t="str">
        <f t="shared" si="2"/>
        <v/>
      </c>
      <c r="K18" s="118"/>
      <c r="L18" s="34" t="str">
        <f t="shared" si="3"/>
        <v/>
      </c>
      <c r="M18" s="118"/>
      <c r="N18" s="121"/>
      <c r="O18" s="122" t="str">
        <f t="shared" si="12"/>
        <v/>
      </c>
      <c r="P18" s="35" t="str">
        <f t="shared" si="13"/>
        <v/>
      </c>
      <c r="Q18" s="124"/>
      <c r="R18" s="36" t="str">
        <f t="shared" si="14"/>
        <v/>
      </c>
      <c r="S18" s="37" t="str">
        <f t="shared" si="4"/>
        <v/>
      </c>
      <c r="T18" s="38" t="str">
        <f t="shared" si="5"/>
        <v/>
      </c>
      <c r="U18" s="39" t="str">
        <f t="shared" si="6"/>
        <v/>
      </c>
      <c r="V18" s="40" t="str">
        <f t="shared" si="7"/>
        <v/>
      </c>
      <c r="W18" s="39" t="str">
        <f t="shared" si="8"/>
        <v/>
      </c>
      <c r="X18" s="34" t="str">
        <f t="shared" si="15"/>
        <v/>
      </c>
      <c r="Y18" s="41" t="str">
        <f t="shared" si="16"/>
        <v/>
      </c>
      <c r="Z18" s="98" t="str">
        <f t="shared" si="9"/>
        <v/>
      </c>
      <c r="AA18" s="81" t="str">
        <f t="shared" si="17"/>
        <v/>
      </c>
      <c r="AC18" s="139"/>
      <c r="AD18" s="110" t="str">
        <f t="shared" si="18"/>
        <v/>
      </c>
      <c r="AE18" s="111" t="str">
        <f t="shared" si="19"/>
        <v/>
      </c>
      <c r="AF18" s="111" t="str">
        <f t="shared" si="10"/>
        <v/>
      </c>
      <c r="AG18" s="111" t="str">
        <f t="shared" si="20"/>
        <v/>
      </c>
      <c r="AH18" s="111" t="str">
        <f t="shared" si="21"/>
        <v/>
      </c>
      <c r="AI18" s="112" t="str">
        <f t="shared" si="22"/>
        <v/>
      </c>
      <c r="AJ18" t="str">
        <f t="shared" si="23"/>
        <v/>
      </c>
      <c r="AK18" t="str">
        <f t="shared" si="24"/>
        <v/>
      </c>
    </row>
    <row r="19" spans="1:37" ht="15" customHeight="1" x14ac:dyDescent="0.25">
      <c r="A19" s="114"/>
      <c r="B19" s="116"/>
      <c r="C19" s="116"/>
      <c r="D19" s="42" t="str">
        <f t="shared" si="0"/>
        <v/>
      </c>
      <c r="E19" s="43"/>
      <c r="F19" s="83"/>
      <c r="G19" s="118"/>
      <c r="H19" s="34" t="str">
        <f t="shared" si="1"/>
        <v/>
      </c>
      <c r="I19" s="88" t="str">
        <f t="shared" si="11"/>
        <v/>
      </c>
      <c r="J19" s="44" t="str">
        <f t="shared" si="2"/>
        <v/>
      </c>
      <c r="K19" s="118"/>
      <c r="L19" s="34" t="str">
        <f t="shared" si="3"/>
        <v/>
      </c>
      <c r="M19" s="118"/>
      <c r="N19" s="121"/>
      <c r="O19" s="122" t="str">
        <f t="shared" si="12"/>
        <v/>
      </c>
      <c r="P19" s="35" t="str">
        <f t="shared" si="13"/>
        <v/>
      </c>
      <c r="Q19" s="124"/>
      <c r="R19" s="36" t="str">
        <f t="shared" si="14"/>
        <v/>
      </c>
      <c r="S19" s="37" t="str">
        <f t="shared" si="4"/>
        <v/>
      </c>
      <c r="T19" s="38" t="str">
        <f t="shared" si="5"/>
        <v/>
      </c>
      <c r="U19" s="39" t="str">
        <f t="shared" si="6"/>
        <v/>
      </c>
      <c r="V19" s="40" t="str">
        <f t="shared" si="7"/>
        <v/>
      </c>
      <c r="W19" s="39" t="str">
        <f t="shared" si="8"/>
        <v/>
      </c>
      <c r="X19" s="34" t="str">
        <f t="shared" si="15"/>
        <v/>
      </c>
      <c r="Y19" s="41" t="str">
        <f t="shared" si="16"/>
        <v/>
      </c>
      <c r="Z19" s="98" t="str">
        <f t="shared" si="9"/>
        <v/>
      </c>
      <c r="AA19" s="81" t="str">
        <f t="shared" si="17"/>
        <v/>
      </c>
      <c r="AC19" s="139"/>
      <c r="AD19" s="110" t="str">
        <f t="shared" si="18"/>
        <v/>
      </c>
      <c r="AE19" s="111" t="str">
        <f t="shared" si="19"/>
        <v/>
      </c>
      <c r="AF19" s="111" t="str">
        <f t="shared" si="10"/>
        <v/>
      </c>
      <c r="AG19" s="111" t="str">
        <f t="shared" si="20"/>
        <v/>
      </c>
      <c r="AH19" s="111" t="str">
        <f t="shared" si="21"/>
        <v/>
      </c>
      <c r="AI19" s="112" t="str">
        <f t="shared" si="22"/>
        <v/>
      </c>
      <c r="AJ19" t="str">
        <f t="shared" si="23"/>
        <v/>
      </c>
      <c r="AK19" t="str">
        <f t="shared" si="24"/>
        <v/>
      </c>
    </row>
    <row r="20" spans="1:37" ht="15" customHeight="1" x14ac:dyDescent="0.25">
      <c r="A20" s="114"/>
      <c r="B20" s="116"/>
      <c r="C20" s="116"/>
      <c r="D20" s="42" t="str">
        <f t="shared" si="0"/>
        <v/>
      </c>
      <c r="E20" s="43"/>
      <c r="F20" s="83"/>
      <c r="G20" s="118"/>
      <c r="H20" s="34" t="str">
        <f t="shared" si="1"/>
        <v/>
      </c>
      <c r="I20" s="88" t="str">
        <f t="shared" si="11"/>
        <v/>
      </c>
      <c r="J20" s="44" t="str">
        <f t="shared" si="2"/>
        <v/>
      </c>
      <c r="K20" s="118"/>
      <c r="L20" s="34" t="str">
        <f t="shared" si="3"/>
        <v/>
      </c>
      <c r="M20" s="118"/>
      <c r="N20" s="121"/>
      <c r="O20" s="122" t="str">
        <f t="shared" si="12"/>
        <v/>
      </c>
      <c r="P20" s="35" t="str">
        <f t="shared" si="13"/>
        <v/>
      </c>
      <c r="Q20" s="124"/>
      <c r="R20" s="36" t="str">
        <f t="shared" si="14"/>
        <v/>
      </c>
      <c r="S20" s="37" t="str">
        <f t="shared" si="4"/>
        <v/>
      </c>
      <c r="T20" s="38" t="str">
        <f t="shared" si="5"/>
        <v/>
      </c>
      <c r="U20" s="39" t="str">
        <f t="shared" si="6"/>
        <v/>
      </c>
      <c r="V20" s="40" t="str">
        <f t="shared" si="7"/>
        <v/>
      </c>
      <c r="W20" s="39" t="str">
        <f t="shared" si="8"/>
        <v/>
      </c>
      <c r="X20" s="34" t="str">
        <f t="shared" si="15"/>
        <v/>
      </c>
      <c r="Y20" s="41" t="str">
        <f t="shared" si="16"/>
        <v/>
      </c>
      <c r="Z20" s="98" t="str">
        <f t="shared" si="9"/>
        <v/>
      </c>
      <c r="AA20" s="81" t="str">
        <f t="shared" si="17"/>
        <v/>
      </c>
      <c r="AC20" s="139"/>
      <c r="AD20" s="110" t="str">
        <f t="shared" si="18"/>
        <v/>
      </c>
      <c r="AE20" s="111" t="str">
        <f t="shared" si="19"/>
        <v/>
      </c>
      <c r="AF20" s="111" t="str">
        <f t="shared" si="10"/>
        <v/>
      </c>
      <c r="AG20" s="111" t="str">
        <f t="shared" si="20"/>
        <v/>
      </c>
      <c r="AH20" s="111" t="str">
        <f t="shared" si="21"/>
        <v/>
      </c>
      <c r="AI20" s="112" t="str">
        <f t="shared" si="22"/>
        <v/>
      </c>
      <c r="AJ20" t="str">
        <f t="shared" si="23"/>
        <v/>
      </c>
      <c r="AK20" t="str">
        <f t="shared" si="24"/>
        <v/>
      </c>
    </row>
    <row r="21" spans="1:37" ht="15" customHeight="1" x14ac:dyDescent="0.25">
      <c r="A21" s="114"/>
      <c r="B21" s="116"/>
      <c r="C21" s="116"/>
      <c r="D21" s="42" t="str">
        <f t="shared" si="0"/>
        <v/>
      </c>
      <c r="E21" s="43"/>
      <c r="F21" s="83"/>
      <c r="G21" s="118"/>
      <c r="H21" s="34" t="str">
        <f t="shared" si="1"/>
        <v/>
      </c>
      <c r="I21" s="88" t="str">
        <f t="shared" si="11"/>
        <v/>
      </c>
      <c r="J21" s="44" t="str">
        <f t="shared" si="2"/>
        <v/>
      </c>
      <c r="K21" s="118"/>
      <c r="L21" s="34" t="str">
        <f t="shared" si="3"/>
        <v/>
      </c>
      <c r="M21" s="118"/>
      <c r="N21" s="121"/>
      <c r="O21" s="122" t="str">
        <f t="shared" si="12"/>
        <v/>
      </c>
      <c r="P21" s="35" t="str">
        <f t="shared" si="13"/>
        <v/>
      </c>
      <c r="Q21" s="124"/>
      <c r="R21" s="36" t="str">
        <f t="shared" si="14"/>
        <v/>
      </c>
      <c r="S21" s="37" t="str">
        <f t="shared" si="4"/>
        <v/>
      </c>
      <c r="T21" s="38" t="str">
        <f t="shared" si="5"/>
        <v/>
      </c>
      <c r="U21" s="39" t="str">
        <f t="shared" si="6"/>
        <v/>
      </c>
      <c r="V21" s="40" t="str">
        <f t="shared" si="7"/>
        <v/>
      </c>
      <c r="W21" s="39" t="str">
        <f t="shared" si="8"/>
        <v/>
      </c>
      <c r="X21" s="34" t="str">
        <f t="shared" si="15"/>
        <v/>
      </c>
      <c r="Y21" s="41" t="str">
        <f t="shared" si="16"/>
        <v/>
      </c>
      <c r="Z21" s="98" t="str">
        <f t="shared" si="9"/>
        <v/>
      </c>
      <c r="AA21" s="81" t="str">
        <f t="shared" si="17"/>
        <v/>
      </c>
      <c r="AC21" s="139"/>
      <c r="AD21" s="110" t="str">
        <f t="shared" si="18"/>
        <v/>
      </c>
      <c r="AE21" s="111" t="str">
        <f t="shared" si="19"/>
        <v/>
      </c>
      <c r="AF21" s="111" t="str">
        <f t="shared" si="10"/>
        <v/>
      </c>
      <c r="AG21" s="111" t="str">
        <f t="shared" si="20"/>
        <v/>
      </c>
      <c r="AH21" s="111" t="str">
        <f t="shared" si="21"/>
        <v/>
      </c>
      <c r="AI21" s="112" t="str">
        <f t="shared" si="22"/>
        <v/>
      </c>
      <c r="AJ21" t="str">
        <f t="shared" si="23"/>
        <v/>
      </c>
      <c r="AK21" t="str">
        <f t="shared" si="24"/>
        <v/>
      </c>
    </row>
    <row r="22" spans="1:37" ht="15" customHeight="1" x14ac:dyDescent="0.25">
      <c r="A22" s="114"/>
      <c r="B22" s="116"/>
      <c r="C22" s="116"/>
      <c r="D22" s="42" t="str">
        <f t="shared" si="0"/>
        <v/>
      </c>
      <c r="E22" s="43"/>
      <c r="F22" s="83"/>
      <c r="G22" s="118"/>
      <c r="H22" s="34" t="str">
        <f t="shared" si="1"/>
        <v/>
      </c>
      <c r="I22" s="88" t="str">
        <f t="shared" si="11"/>
        <v/>
      </c>
      <c r="J22" s="44" t="str">
        <f t="shared" si="2"/>
        <v/>
      </c>
      <c r="K22" s="118"/>
      <c r="L22" s="34" t="str">
        <f t="shared" si="3"/>
        <v/>
      </c>
      <c r="M22" s="118"/>
      <c r="N22" s="121"/>
      <c r="O22" s="122" t="str">
        <f t="shared" si="12"/>
        <v/>
      </c>
      <c r="P22" s="35" t="str">
        <f t="shared" si="13"/>
        <v/>
      </c>
      <c r="Q22" s="124"/>
      <c r="R22" s="36" t="str">
        <f t="shared" si="14"/>
        <v/>
      </c>
      <c r="S22" s="37" t="str">
        <f t="shared" si="4"/>
        <v/>
      </c>
      <c r="T22" s="38" t="str">
        <f t="shared" si="5"/>
        <v/>
      </c>
      <c r="U22" s="39" t="str">
        <f t="shared" si="6"/>
        <v/>
      </c>
      <c r="V22" s="40" t="str">
        <f t="shared" si="7"/>
        <v/>
      </c>
      <c r="W22" s="39" t="str">
        <f t="shared" si="8"/>
        <v/>
      </c>
      <c r="X22" s="34" t="str">
        <f t="shared" si="15"/>
        <v/>
      </c>
      <c r="Y22" s="41" t="str">
        <f t="shared" si="16"/>
        <v/>
      </c>
      <c r="Z22" s="98" t="str">
        <f t="shared" si="9"/>
        <v/>
      </c>
      <c r="AA22" s="81" t="str">
        <f t="shared" si="17"/>
        <v/>
      </c>
      <c r="AC22" s="139"/>
      <c r="AD22" s="110" t="str">
        <f t="shared" si="18"/>
        <v/>
      </c>
      <c r="AE22" s="111" t="str">
        <f t="shared" si="19"/>
        <v/>
      </c>
      <c r="AF22" s="111" t="str">
        <f t="shared" si="10"/>
        <v/>
      </c>
      <c r="AG22" s="111" t="str">
        <f t="shared" si="20"/>
        <v/>
      </c>
      <c r="AH22" s="111" t="str">
        <f t="shared" si="21"/>
        <v/>
      </c>
      <c r="AI22" s="112" t="str">
        <f t="shared" si="22"/>
        <v/>
      </c>
      <c r="AJ22" t="str">
        <f t="shared" si="23"/>
        <v/>
      </c>
      <c r="AK22" t="str">
        <f t="shared" si="24"/>
        <v/>
      </c>
    </row>
    <row r="23" spans="1:37" ht="15" customHeight="1" x14ac:dyDescent="0.25">
      <c r="A23" s="114"/>
      <c r="B23" s="116"/>
      <c r="C23" s="116"/>
      <c r="D23" s="42" t="str">
        <f t="shared" si="0"/>
        <v/>
      </c>
      <c r="E23" s="43"/>
      <c r="F23" s="83"/>
      <c r="G23" s="118"/>
      <c r="H23" s="34" t="str">
        <f t="shared" si="1"/>
        <v/>
      </c>
      <c r="I23" s="88" t="str">
        <f t="shared" si="11"/>
        <v/>
      </c>
      <c r="J23" s="44" t="str">
        <f t="shared" si="2"/>
        <v/>
      </c>
      <c r="K23" s="118"/>
      <c r="L23" s="34" t="str">
        <f t="shared" si="3"/>
        <v/>
      </c>
      <c r="M23" s="118"/>
      <c r="N23" s="121"/>
      <c r="O23" s="122" t="str">
        <f t="shared" si="12"/>
        <v/>
      </c>
      <c r="P23" s="35" t="str">
        <f t="shared" si="13"/>
        <v/>
      </c>
      <c r="Q23" s="124"/>
      <c r="R23" s="36" t="str">
        <f t="shared" si="14"/>
        <v/>
      </c>
      <c r="S23" s="37" t="str">
        <f t="shared" si="4"/>
        <v/>
      </c>
      <c r="T23" s="38" t="str">
        <f t="shared" si="5"/>
        <v/>
      </c>
      <c r="U23" s="39" t="str">
        <f t="shared" si="6"/>
        <v/>
      </c>
      <c r="V23" s="40" t="str">
        <f t="shared" si="7"/>
        <v/>
      </c>
      <c r="W23" s="39" t="str">
        <f t="shared" si="8"/>
        <v/>
      </c>
      <c r="X23" s="34" t="str">
        <f t="shared" si="15"/>
        <v/>
      </c>
      <c r="Y23" s="41" t="str">
        <f t="shared" si="16"/>
        <v/>
      </c>
      <c r="Z23" s="98" t="str">
        <f t="shared" si="9"/>
        <v/>
      </c>
      <c r="AA23" s="81" t="str">
        <f t="shared" si="17"/>
        <v/>
      </c>
      <c r="AC23" s="139"/>
      <c r="AD23" s="110" t="str">
        <f t="shared" si="18"/>
        <v/>
      </c>
      <c r="AE23" s="111" t="str">
        <f t="shared" si="19"/>
        <v/>
      </c>
      <c r="AF23" s="111" t="str">
        <f t="shared" si="10"/>
        <v/>
      </c>
      <c r="AG23" s="111" t="str">
        <f t="shared" si="20"/>
        <v/>
      </c>
      <c r="AH23" s="111" t="str">
        <f t="shared" si="21"/>
        <v/>
      </c>
      <c r="AI23" s="112" t="str">
        <f t="shared" si="22"/>
        <v/>
      </c>
      <c r="AJ23" t="str">
        <f t="shared" si="23"/>
        <v/>
      </c>
      <c r="AK23" t="str">
        <f t="shared" si="24"/>
        <v/>
      </c>
    </row>
    <row r="24" spans="1:37" ht="15" customHeight="1" x14ac:dyDescent="0.25">
      <c r="A24" s="114"/>
      <c r="B24" s="116"/>
      <c r="C24" s="116"/>
      <c r="D24" s="42" t="str">
        <f t="shared" si="0"/>
        <v/>
      </c>
      <c r="E24" s="43"/>
      <c r="F24" s="83"/>
      <c r="G24" s="118"/>
      <c r="H24" s="34" t="str">
        <f t="shared" si="1"/>
        <v/>
      </c>
      <c r="I24" s="88" t="str">
        <f t="shared" si="11"/>
        <v/>
      </c>
      <c r="J24" s="44" t="str">
        <f t="shared" si="2"/>
        <v/>
      </c>
      <c r="K24" s="118"/>
      <c r="L24" s="34" t="str">
        <f t="shared" si="3"/>
        <v/>
      </c>
      <c r="M24" s="118"/>
      <c r="N24" s="121"/>
      <c r="O24" s="122" t="str">
        <f t="shared" si="12"/>
        <v/>
      </c>
      <c r="P24" s="35" t="str">
        <f t="shared" si="13"/>
        <v/>
      </c>
      <c r="Q24" s="124"/>
      <c r="R24" s="36" t="str">
        <f t="shared" si="14"/>
        <v/>
      </c>
      <c r="S24" s="37" t="str">
        <f t="shared" si="4"/>
        <v/>
      </c>
      <c r="T24" s="38" t="str">
        <f t="shared" si="5"/>
        <v/>
      </c>
      <c r="U24" s="39" t="str">
        <f t="shared" si="6"/>
        <v/>
      </c>
      <c r="V24" s="40" t="str">
        <f t="shared" si="7"/>
        <v/>
      </c>
      <c r="W24" s="39" t="str">
        <f t="shared" si="8"/>
        <v/>
      </c>
      <c r="X24" s="34" t="str">
        <f t="shared" si="15"/>
        <v/>
      </c>
      <c r="Y24" s="41" t="str">
        <f t="shared" si="16"/>
        <v/>
      </c>
      <c r="Z24" s="98" t="str">
        <f t="shared" si="9"/>
        <v/>
      </c>
      <c r="AA24" s="81" t="str">
        <f t="shared" si="17"/>
        <v/>
      </c>
      <c r="AC24" s="139"/>
      <c r="AD24" s="110" t="str">
        <f t="shared" si="18"/>
        <v/>
      </c>
      <c r="AE24" s="111" t="str">
        <f t="shared" si="19"/>
        <v/>
      </c>
      <c r="AF24" s="111" t="str">
        <f t="shared" si="10"/>
        <v/>
      </c>
      <c r="AG24" s="111" t="str">
        <f t="shared" si="20"/>
        <v/>
      </c>
      <c r="AH24" s="111" t="str">
        <f t="shared" si="21"/>
        <v/>
      </c>
      <c r="AI24" s="112" t="str">
        <f t="shared" si="22"/>
        <v/>
      </c>
      <c r="AJ24" t="str">
        <f t="shared" si="23"/>
        <v/>
      </c>
      <c r="AK24" t="str">
        <f t="shared" si="24"/>
        <v/>
      </c>
    </row>
    <row r="25" spans="1:37" ht="15" customHeight="1" x14ac:dyDescent="0.25">
      <c r="A25" s="114"/>
      <c r="B25" s="116"/>
      <c r="C25" s="116"/>
      <c r="D25" s="42" t="str">
        <f t="shared" si="0"/>
        <v/>
      </c>
      <c r="E25" s="43"/>
      <c r="F25" s="83"/>
      <c r="G25" s="118"/>
      <c r="H25" s="34" t="str">
        <f t="shared" si="1"/>
        <v/>
      </c>
      <c r="I25" s="88" t="str">
        <f t="shared" si="11"/>
        <v/>
      </c>
      <c r="J25" s="44" t="str">
        <f t="shared" si="2"/>
        <v/>
      </c>
      <c r="K25" s="118"/>
      <c r="L25" s="34" t="str">
        <f t="shared" si="3"/>
        <v/>
      </c>
      <c r="M25" s="118"/>
      <c r="N25" s="121"/>
      <c r="O25" s="122" t="str">
        <f t="shared" si="12"/>
        <v/>
      </c>
      <c r="P25" s="35" t="str">
        <f t="shared" si="13"/>
        <v/>
      </c>
      <c r="Q25" s="124"/>
      <c r="R25" s="36" t="str">
        <f t="shared" si="14"/>
        <v/>
      </c>
      <c r="S25" s="37" t="str">
        <f t="shared" si="4"/>
        <v/>
      </c>
      <c r="T25" s="38" t="str">
        <f t="shared" si="5"/>
        <v/>
      </c>
      <c r="U25" s="39" t="str">
        <f t="shared" si="6"/>
        <v/>
      </c>
      <c r="V25" s="40" t="str">
        <f t="shared" si="7"/>
        <v/>
      </c>
      <c r="W25" s="39" t="str">
        <f t="shared" si="8"/>
        <v/>
      </c>
      <c r="X25" s="34" t="str">
        <f t="shared" si="15"/>
        <v/>
      </c>
      <c r="Y25" s="41" t="str">
        <f t="shared" si="16"/>
        <v/>
      </c>
      <c r="Z25" s="98" t="str">
        <f t="shared" si="9"/>
        <v/>
      </c>
      <c r="AA25" s="81" t="str">
        <f t="shared" si="17"/>
        <v/>
      </c>
      <c r="AC25" s="139"/>
      <c r="AD25" s="110" t="str">
        <f t="shared" si="18"/>
        <v/>
      </c>
      <c r="AE25" s="111" t="str">
        <f t="shared" si="19"/>
        <v/>
      </c>
      <c r="AF25" s="111" t="str">
        <f t="shared" si="10"/>
        <v/>
      </c>
      <c r="AG25" s="111" t="str">
        <f t="shared" si="20"/>
        <v/>
      </c>
      <c r="AH25" s="111" t="str">
        <f t="shared" si="21"/>
        <v/>
      </c>
      <c r="AI25" s="112" t="str">
        <f t="shared" si="22"/>
        <v/>
      </c>
      <c r="AJ25" t="str">
        <f t="shared" si="23"/>
        <v/>
      </c>
      <c r="AK25" t="str">
        <f t="shared" si="24"/>
        <v/>
      </c>
    </row>
    <row r="26" spans="1:37" ht="15" customHeight="1" x14ac:dyDescent="0.25">
      <c r="A26" s="114"/>
      <c r="B26" s="116"/>
      <c r="C26" s="116"/>
      <c r="D26" s="42" t="str">
        <f t="shared" si="0"/>
        <v/>
      </c>
      <c r="E26" s="43"/>
      <c r="F26" s="83"/>
      <c r="G26" s="118"/>
      <c r="H26" s="34" t="str">
        <f t="shared" si="1"/>
        <v/>
      </c>
      <c r="I26" s="88" t="str">
        <f t="shared" si="11"/>
        <v/>
      </c>
      <c r="J26" s="44" t="str">
        <f t="shared" si="2"/>
        <v/>
      </c>
      <c r="K26" s="118"/>
      <c r="L26" s="34" t="str">
        <f t="shared" si="3"/>
        <v/>
      </c>
      <c r="M26" s="118"/>
      <c r="N26" s="121"/>
      <c r="O26" s="122" t="str">
        <f t="shared" si="12"/>
        <v/>
      </c>
      <c r="P26" s="35" t="str">
        <f t="shared" si="13"/>
        <v/>
      </c>
      <c r="Q26" s="124"/>
      <c r="R26" s="36" t="str">
        <f t="shared" si="14"/>
        <v/>
      </c>
      <c r="S26" s="37" t="str">
        <f t="shared" si="4"/>
        <v/>
      </c>
      <c r="T26" s="38" t="str">
        <f t="shared" si="5"/>
        <v/>
      </c>
      <c r="U26" s="39" t="str">
        <f t="shared" si="6"/>
        <v/>
      </c>
      <c r="V26" s="40" t="str">
        <f t="shared" si="7"/>
        <v/>
      </c>
      <c r="W26" s="39" t="str">
        <f t="shared" si="8"/>
        <v/>
      </c>
      <c r="X26" s="34" t="str">
        <f t="shared" si="15"/>
        <v/>
      </c>
      <c r="Y26" s="41" t="str">
        <f t="shared" si="16"/>
        <v/>
      </c>
      <c r="Z26" s="98" t="str">
        <f t="shared" si="9"/>
        <v/>
      </c>
      <c r="AA26" s="81" t="str">
        <f t="shared" si="17"/>
        <v/>
      </c>
      <c r="AC26" s="139"/>
      <c r="AD26" s="110" t="str">
        <f t="shared" si="18"/>
        <v/>
      </c>
      <c r="AE26" s="111" t="str">
        <f t="shared" si="19"/>
        <v/>
      </c>
      <c r="AF26" s="111" t="str">
        <f t="shared" si="10"/>
        <v/>
      </c>
      <c r="AG26" s="111" t="str">
        <f t="shared" si="20"/>
        <v/>
      </c>
      <c r="AH26" s="111" t="str">
        <f t="shared" si="21"/>
        <v/>
      </c>
      <c r="AI26" s="112" t="str">
        <f t="shared" si="22"/>
        <v/>
      </c>
      <c r="AJ26" t="str">
        <f t="shared" si="23"/>
        <v/>
      </c>
      <c r="AK26" t="str">
        <f t="shared" si="24"/>
        <v/>
      </c>
    </row>
    <row r="27" spans="1:37" ht="15" customHeight="1" x14ac:dyDescent="0.25">
      <c r="A27" s="114"/>
      <c r="B27" s="116"/>
      <c r="C27" s="116"/>
      <c r="D27" s="42" t="str">
        <f t="shared" si="0"/>
        <v/>
      </c>
      <c r="E27" s="43"/>
      <c r="F27" s="83"/>
      <c r="G27" s="118"/>
      <c r="H27" s="34" t="str">
        <f t="shared" si="1"/>
        <v/>
      </c>
      <c r="I27" s="88" t="str">
        <f t="shared" si="11"/>
        <v/>
      </c>
      <c r="J27" s="44" t="str">
        <f t="shared" si="2"/>
        <v/>
      </c>
      <c r="K27" s="118"/>
      <c r="L27" s="34" t="str">
        <f t="shared" si="3"/>
        <v/>
      </c>
      <c r="M27" s="118"/>
      <c r="N27" s="121"/>
      <c r="O27" s="122" t="str">
        <f t="shared" si="12"/>
        <v/>
      </c>
      <c r="P27" s="35" t="str">
        <f t="shared" si="13"/>
        <v/>
      </c>
      <c r="Q27" s="124"/>
      <c r="R27" s="36" t="str">
        <f t="shared" si="14"/>
        <v/>
      </c>
      <c r="S27" s="37" t="str">
        <f t="shared" si="4"/>
        <v/>
      </c>
      <c r="T27" s="38" t="str">
        <f t="shared" si="5"/>
        <v/>
      </c>
      <c r="U27" s="39" t="str">
        <f t="shared" si="6"/>
        <v/>
      </c>
      <c r="V27" s="40" t="str">
        <f t="shared" si="7"/>
        <v/>
      </c>
      <c r="W27" s="39" t="str">
        <f t="shared" si="8"/>
        <v/>
      </c>
      <c r="X27" s="34" t="str">
        <f t="shared" si="15"/>
        <v/>
      </c>
      <c r="Y27" s="41" t="str">
        <f t="shared" si="16"/>
        <v/>
      </c>
      <c r="Z27" s="98" t="str">
        <f t="shared" si="9"/>
        <v/>
      </c>
      <c r="AA27" s="81" t="str">
        <f t="shared" si="17"/>
        <v/>
      </c>
      <c r="AC27" s="139"/>
      <c r="AD27" s="110" t="str">
        <f t="shared" si="18"/>
        <v/>
      </c>
      <c r="AE27" s="111" t="str">
        <f t="shared" si="19"/>
        <v/>
      </c>
      <c r="AF27" s="111" t="str">
        <f t="shared" si="10"/>
        <v/>
      </c>
      <c r="AG27" s="111" t="str">
        <f t="shared" si="20"/>
        <v/>
      </c>
      <c r="AH27" s="111" t="str">
        <f t="shared" si="21"/>
        <v/>
      </c>
      <c r="AI27" s="112" t="str">
        <f t="shared" si="22"/>
        <v/>
      </c>
      <c r="AJ27" t="str">
        <f t="shared" si="23"/>
        <v/>
      </c>
      <c r="AK27" t="str">
        <f t="shared" si="24"/>
        <v/>
      </c>
    </row>
    <row r="28" spans="1:37" ht="15" customHeight="1" x14ac:dyDescent="0.25">
      <c r="A28" s="114"/>
      <c r="B28" s="116"/>
      <c r="C28" s="116"/>
      <c r="D28" s="42" t="str">
        <f t="shared" si="0"/>
        <v/>
      </c>
      <c r="E28" s="43"/>
      <c r="F28" s="83"/>
      <c r="G28" s="118"/>
      <c r="H28" s="34" t="str">
        <f t="shared" si="1"/>
        <v/>
      </c>
      <c r="I28" s="88" t="str">
        <f t="shared" si="11"/>
        <v/>
      </c>
      <c r="J28" s="44" t="str">
        <f t="shared" si="2"/>
        <v/>
      </c>
      <c r="K28" s="118"/>
      <c r="L28" s="34" t="str">
        <f t="shared" si="3"/>
        <v/>
      </c>
      <c r="M28" s="118"/>
      <c r="N28" s="121"/>
      <c r="O28" s="122" t="str">
        <f t="shared" si="12"/>
        <v/>
      </c>
      <c r="P28" s="35" t="str">
        <f t="shared" si="13"/>
        <v/>
      </c>
      <c r="Q28" s="124"/>
      <c r="R28" s="36" t="str">
        <f t="shared" si="14"/>
        <v/>
      </c>
      <c r="S28" s="37" t="str">
        <f t="shared" si="4"/>
        <v/>
      </c>
      <c r="T28" s="38" t="str">
        <f t="shared" si="5"/>
        <v/>
      </c>
      <c r="U28" s="39" t="str">
        <f t="shared" si="6"/>
        <v/>
      </c>
      <c r="V28" s="40" t="str">
        <f t="shared" si="7"/>
        <v/>
      </c>
      <c r="W28" s="39" t="str">
        <f t="shared" si="8"/>
        <v/>
      </c>
      <c r="X28" s="34" t="str">
        <f t="shared" si="15"/>
        <v/>
      </c>
      <c r="Y28" s="41" t="str">
        <f t="shared" si="16"/>
        <v/>
      </c>
      <c r="Z28" s="98" t="str">
        <f t="shared" si="9"/>
        <v/>
      </c>
      <c r="AA28" s="81" t="str">
        <f t="shared" si="17"/>
        <v/>
      </c>
      <c r="AC28" s="139"/>
      <c r="AD28" s="110" t="str">
        <f t="shared" si="18"/>
        <v/>
      </c>
      <c r="AE28" s="111" t="str">
        <f t="shared" si="19"/>
        <v/>
      </c>
      <c r="AF28" s="111" t="str">
        <f t="shared" si="10"/>
        <v/>
      </c>
      <c r="AG28" s="111" t="str">
        <f t="shared" si="20"/>
        <v/>
      </c>
      <c r="AH28" s="111" t="str">
        <f t="shared" si="21"/>
        <v/>
      </c>
      <c r="AI28" s="112" t="str">
        <f t="shared" si="22"/>
        <v/>
      </c>
      <c r="AJ28" t="str">
        <f t="shared" si="23"/>
        <v/>
      </c>
      <c r="AK28" t="str">
        <f t="shared" si="24"/>
        <v/>
      </c>
    </row>
    <row r="29" spans="1:37" ht="15" customHeight="1" x14ac:dyDescent="0.25">
      <c r="A29" s="114"/>
      <c r="B29" s="116"/>
      <c r="C29" s="116"/>
      <c r="D29" s="42" t="str">
        <f t="shared" si="0"/>
        <v/>
      </c>
      <c r="E29" s="43"/>
      <c r="F29" s="83"/>
      <c r="G29" s="118"/>
      <c r="H29" s="34" t="str">
        <f t="shared" si="1"/>
        <v/>
      </c>
      <c r="I29" s="88" t="str">
        <f t="shared" si="11"/>
        <v/>
      </c>
      <c r="J29" s="44" t="str">
        <f t="shared" si="2"/>
        <v/>
      </c>
      <c r="K29" s="118"/>
      <c r="L29" s="34" t="str">
        <f t="shared" si="3"/>
        <v/>
      </c>
      <c r="M29" s="118"/>
      <c r="N29" s="121"/>
      <c r="O29" s="122" t="str">
        <f t="shared" si="12"/>
        <v/>
      </c>
      <c r="P29" s="35" t="str">
        <f t="shared" si="13"/>
        <v/>
      </c>
      <c r="Q29" s="124"/>
      <c r="R29" s="36" t="str">
        <f t="shared" si="14"/>
        <v/>
      </c>
      <c r="S29" s="37" t="str">
        <f t="shared" si="4"/>
        <v/>
      </c>
      <c r="T29" s="38" t="str">
        <f t="shared" si="5"/>
        <v/>
      </c>
      <c r="U29" s="39" t="str">
        <f t="shared" si="6"/>
        <v/>
      </c>
      <c r="V29" s="40" t="str">
        <f t="shared" si="7"/>
        <v/>
      </c>
      <c r="W29" s="39" t="str">
        <f t="shared" si="8"/>
        <v/>
      </c>
      <c r="X29" s="34" t="str">
        <f t="shared" si="15"/>
        <v/>
      </c>
      <c r="Y29" s="41" t="str">
        <f t="shared" si="16"/>
        <v/>
      </c>
      <c r="Z29" s="98" t="str">
        <f t="shared" si="9"/>
        <v/>
      </c>
      <c r="AA29" s="81" t="str">
        <f t="shared" si="17"/>
        <v/>
      </c>
      <c r="AC29" s="139"/>
      <c r="AD29" s="110" t="str">
        <f t="shared" si="18"/>
        <v/>
      </c>
      <c r="AE29" s="111" t="str">
        <f t="shared" si="19"/>
        <v/>
      </c>
      <c r="AF29" s="111" t="str">
        <f t="shared" si="10"/>
        <v/>
      </c>
      <c r="AG29" s="111" t="str">
        <f t="shared" si="20"/>
        <v/>
      </c>
      <c r="AH29" s="111" t="str">
        <f t="shared" si="21"/>
        <v/>
      </c>
      <c r="AI29" s="112" t="str">
        <f t="shared" si="22"/>
        <v/>
      </c>
      <c r="AJ29" t="str">
        <f t="shared" si="23"/>
        <v/>
      </c>
      <c r="AK29" t="str">
        <f t="shared" si="24"/>
        <v/>
      </c>
    </row>
    <row r="30" spans="1:37" ht="15" customHeight="1" x14ac:dyDescent="0.25">
      <c r="A30" s="114"/>
      <c r="B30" s="116"/>
      <c r="C30" s="116"/>
      <c r="D30" s="42" t="str">
        <f t="shared" si="0"/>
        <v/>
      </c>
      <c r="E30" s="43"/>
      <c r="F30" s="83"/>
      <c r="G30" s="118"/>
      <c r="H30" s="34" t="str">
        <f t="shared" si="1"/>
        <v/>
      </c>
      <c r="I30" s="88" t="str">
        <f t="shared" si="11"/>
        <v/>
      </c>
      <c r="J30" s="44" t="str">
        <f t="shared" si="2"/>
        <v/>
      </c>
      <c r="K30" s="118"/>
      <c r="L30" s="34" t="str">
        <f t="shared" si="3"/>
        <v/>
      </c>
      <c r="M30" s="118"/>
      <c r="N30" s="121"/>
      <c r="O30" s="122" t="str">
        <f t="shared" si="12"/>
        <v/>
      </c>
      <c r="P30" s="35" t="str">
        <f t="shared" si="13"/>
        <v/>
      </c>
      <c r="Q30" s="124"/>
      <c r="R30" s="36" t="str">
        <f t="shared" si="14"/>
        <v/>
      </c>
      <c r="S30" s="37" t="str">
        <f t="shared" si="4"/>
        <v/>
      </c>
      <c r="T30" s="38" t="str">
        <f t="shared" si="5"/>
        <v/>
      </c>
      <c r="U30" s="39" t="str">
        <f t="shared" si="6"/>
        <v/>
      </c>
      <c r="V30" s="40" t="str">
        <f t="shared" si="7"/>
        <v/>
      </c>
      <c r="W30" s="39" t="str">
        <f t="shared" si="8"/>
        <v/>
      </c>
      <c r="X30" s="34" t="str">
        <f t="shared" si="15"/>
        <v/>
      </c>
      <c r="Y30" s="41" t="str">
        <f t="shared" si="16"/>
        <v/>
      </c>
      <c r="Z30" s="98" t="str">
        <f t="shared" si="9"/>
        <v/>
      </c>
      <c r="AA30" s="81" t="str">
        <f t="shared" si="17"/>
        <v/>
      </c>
      <c r="AC30" s="139"/>
      <c r="AD30" s="110" t="str">
        <f t="shared" si="18"/>
        <v/>
      </c>
      <c r="AE30" s="111" t="str">
        <f t="shared" si="19"/>
        <v/>
      </c>
      <c r="AF30" s="111" t="str">
        <f t="shared" si="10"/>
        <v/>
      </c>
      <c r="AG30" s="111" t="str">
        <f t="shared" si="20"/>
        <v/>
      </c>
      <c r="AH30" s="111" t="str">
        <f t="shared" si="21"/>
        <v/>
      </c>
      <c r="AI30" s="112" t="str">
        <f t="shared" si="22"/>
        <v/>
      </c>
      <c r="AJ30" t="str">
        <f t="shared" si="23"/>
        <v/>
      </c>
      <c r="AK30" t="str">
        <f t="shared" si="24"/>
        <v/>
      </c>
    </row>
    <row r="31" spans="1:37" ht="15" customHeight="1" x14ac:dyDescent="0.25">
      <c r="A31" s="114"/>
      <c r="B31" s="116"/>
      <c r="C31" s="116"/>
      <c r="D31" s="42" t="str">
        <f t="shared" si="0"/>
        <v/>
      </c>
      <c r="E31" s="43"/>
      <c r="F31" s="83"/>
      <c r="G31" s="118"/>
      <c r="H31" s="34" t="str">
        <f t="shared" si="1"/>
        <v/>
      </c>
      <c r="I31" s="88" t="str">
        <f t="shared" si="11"/>
        <v/>
      </c>
      <c r="J31" s="44" t="str">
        <f t="shared" si="2"/>
        <v/>
      </c>
      <c r="K31" s="118"/>
      <c r="L31" s="34" t="str">
        <f t="shared" si="3"/>
        <v/>
      </c>
      <c r="M31" s="118"/>
      <c r="N31" s="121"/>
      <c r="O31" s="122" t="str">
        <f t="shared" si="12"/>
        <v/>
      </c>
      <c r="P31" s="35" t="str">
        <f t="shared" si="13"/>
        <v/>
      </c>
      <c r="Q31" s="124"/>
      <c r="R31" s="36" t="str">
        <f t="shared" si="14"/>
        <v/>
      </c>
      <c r="S31" s="37" t="str">
        <f t="shared" si="4"/>
        <v/>
      </c>
      <c r="T31" s="38" t="str">
        <f t="shared" si="5"/>
        <v/>
      </c>
      <c r="U31" s="39" t="str">
        <f t="shared" si="6"/>
        <v/>
      </c>
      <c r="V31" s="40" t="str">
        <f t="shared" si="7"/>
        <v/>
      </c>
      <c r="W31" s="39" t="str">
        <f t="shared" si="8"/>
        <v/>
      </c>
      <c r="X31" s="34" t="str">
        <f t="shared" si="15"/>
        <v/>
      </c>
      <c r="Y31" s="41" t="str">
        <f t="shared" si="16"/>
        <v/>
      </c>
      <c r="Z31" s="98" t="str">
        <f t="shared" si="9"/>
        <v/>
      </c>
      <c r="AA31" s="81" t="str">
        <f t="shared" si="17"/>
        <v/>
      </c>
      <c r="AC31" s="139"/>
      <c r="AD31" s="110" t="str">
        <f t="shared" si="18"/>
        <v/>
      </c>
      <c r="AE31" s="111" t="str">
        <f t="shared" si="19"/>
        <v/>
      </c>
      <c r="AF31" s="111" t="str">
        <f t="shared" si="10"/>
        <v/>
      </c>
      <c r="AG31" s="111" t="str">
        <f t="shared" si="20"/>
        <v/>
      </c>
      <c r="AH31" s="111" t="str">
        <f t="shared" si="21"/>
        <v/>
      </c>
      <c r="AI31" s="112" t="str">
        <f t="shared" si="22"/>
        <v/>
      </c>
      <c r="AJ31" t="str">
        <f t="shared" si="23"/>
        <v/>
      </c>
      <c r="AK31" t="str">
        <f t="shared" si="24"/>
        <v/>
      </c>
    </row>
    <row r="32" spans="1:37" ht="15" customHeight="1" x14ac:dyDescent="0.25">
      <c r="A32" s="114"/>
      <c r="B32" s="116"/>
      <c r="C32" s="116"/>
      <c r="D32" s="42" t="str">
        <f t="shared" si="0"/>
        <v/>
      </c>
      <c r="E32" s="43"/>
      <c r="F32" s="83"/>
      <c r="G32" s="118"/>
      <c r="H32" s="34" t="str">
        <f t="shared" si="1"/>
        <v/>
      </c>
      <c r="I32" s="88" t="str">
        <f t="shared" si="11"/>
        <v/>
      </c>
      <c r="J32" s="44" t="str">
        <f t="shared" si="2"/>
        <v/>
      </c>
      <c r="K32" s="118"/>
      <c r="L32" s="34" t="str">
        <f t="shared" si="3"/>
        <v/>
      </c>
      <c r="M32" s="118"/>
      <c r="N32" s="121"/>
      <c r="O32" s="122" t="str">
        <f t="shared" si="12"/>
        <v/>
      </c>
      <c r="P32" s="35" t="str">
        <f t="shared" si="13"/>
        <v/>
      </c>
      <c r="Q32" s="124"/>
      <c r="R32" s="36" t="str">
        <f t="shared" si="14"/>
        <v/>
      </c>
      <c r="S32" s="37" t="str">
        <f t="shared" si="4"/>
        <v/>
      </c>
      <c r="T32" s="38" t="str">
        <f t="shared" si="5"/>
        <v/>
      </c>
      <c r="U32" s="39" t="str">
        <f t="shared" si="6"/>
        <v/>
      </c>
      <c r="V32" s="40" t="str">
        <f t="shared" si="7"/>
        <v/>
      </c>
      <c r="W32" s="39" t="str">
        <f t="shared" si="8"/>
        <v/>
      </c>
      <c r="X32" s="34" t="str">
        <f t="shared" si="15"/>
        <v/>
      </c>
      <c r="Y32" s="41" t="str">
        <f t="shared" si="16"/>
        <v/>
      </c>
      <c r="Z32" s="98" t="str">
        <f t="shared" si="9"/>
        <v/>
      </c>
      <c r="AA32" s="81" t="str">
        <f t="shared" si="17"/>
        <v/>
      </c>
      <c r="AC32" s="139"/>
      <c r="AD32" s="110" t="str">
        <f t="shared" si="18"/>
        <v/>
      </c>
      <c r="AE32" s="111" t="str">
        <f t="shared" si="19"/>
        <v/>
      </c>
      <c r="AF32" s="111" t="str">
        <f t="shared" si="10"/>
        <v/>
      </c>
      <c r="AG32" s="111" t="str">
        <f t="shared" si="20"/>
        <v/>
      </c>
      <c r="AH32" s="111" t="str">
        <f t="shared" si="21"/>
        <v/>
      </c>
      <c r="AI32" s="112" t="str">
        <f t="shared" si="22"/>
        <v/>
      </c>
      <c r="AJ32" t="str">
        <f t="shared" si="23"/>
        <v/>
      </c>
      <c r="AK32" t="str">
        <f t="shared" si="24"/>
        <v/>
      </c>
    </row>
    <row r="33" spans="1:37" ht="15" customHeight="1" x14ac:dyDescent="0.25">
      <c r="A33" s="114"/>
      <c r="B33" s="116"/>
      <c r="C33" s="116"/>
      <c r="D33" s="42" t="str">
        <f t="shared" si="0"/>
        <v/>
      </c>
      <c r="E33" s="43"/>
      <c r="F33" s="83"/>
      <c r="G33" s="118"/>
      <c r="H33" s="34" t="str">
        <f t="shared" si="1"/>
        <v/>
      </c>
      <c r="I33" s="88" t="str">
        <f t="shared" si="11"/>
        <v/>
      </c>
      <c r="J33" s="44" t="str">
        <f t="shared" si="2"/>
        <v/>
      </c>
      <c r="K33" s="118"/>
      <c r="L33" s="34" t="str">
        <f t="shared" si="3"/>
        <v/>
      </c>
      <c r="M33" s="118"/>
      <c r="N33" s="121"/>
      <c r="O33" s="122" t="str">
        <f t="shared" si="12"/>
        <v/>
      </c>
      <c r="P33" s="35" t="str">
        <f t="shared" si="13"/>
        <v/>
      </c>
      <c r="Q33" s="124"/>
      <c r="R33" s="36" t="str">
        <f t="shared" si="14"/>
        <v/>
      </c>
      <c r="S33" s="37" t="str">
        <f t="shared" si="4"/>
        <v/>
      </c>
      <c r="T33" s="38" t="str">
        <f t="shared" si="5"/>
        <v/>
      </c>
      <c r="U33" s="39" t="str">
        <f t="shared" si="6"/>
        <v/>
      </c>
      <c r="V33" s="40" t="str">
        <f t="shared" si="7"/>
        <v/>
      </c>
      <c r="W33" s="39" t="str">
        <f t="shared" si="8"/>
        <v/>
      </c>
      <c r="X33" s="34" t="str">
        <f t="shared" si="15"/>
        <v/>
      </c>
      <c r="Y33" s="41" t="str">
        <f t="shared" si="16"/>
        <v/>
      </c>
      <c r="Z33" s="98" t="str">
        <f t="shared" si="9"/>
        <v/>
      </c>
      <c r="AA33" s="81" t="str">
        <f t="shared" si="17"/>
        <v/>
      </c>
      <c r="AC33" s="139"/>
      <c r="AD33" s="110" t="str">
        <f t="shared" si="18"/>
        <v/>
      </c>
      <c r="AE33" s="111" t="str">
        <f t="shared" si="19"/>
        <v/>
      </c>
      <c r="AF33" s="111" t="str">
        <f t="shared" si="10"/>
        <v/>
      </c>
      <c r="AG33" s="111" t="str">
        <f t="shared" si="20"/>
        <v/>
      </c>
      <c r="AH33" s="111" t="str">
        <f t="shared" si="21"/>
        <v/>
      </c>
      <c r="AI33" s="112" t="str">
        <f t="shared" si="22"/>
        <v/>
      </c>
      <c r="AJ33" t="str">
        <f t="shared" si="23"/>
        <v/>
      </c>
      <c r="AK33" t="str">
        <f t="shared" si="24"/>
        <v/>
      </c>
    </row>
    <row r="34" spans="1:37" ht="15" customHeight="1" x14ac:dyDescent="0.25">
      <c r="A34" s="114"/>
      <c r="B34" s="116"/>
      <c r="C34" s="116"/>
      <c r="D34" s="42" t="str">
        <f t="shared" si="0"/>
        <v/>
      </c>
      <c r="E34" s="43"/>
      <c r="F34" s="83"/>
      <c r="G34" s="118"/>
      <c r="H34" s="34" t="str">
        <f t="shared" si="1"/>
        <v/>
      </c>
      <c r="I34" s="88" t="str">
        <f t="shared" si="11"/>
        <v/>
      </c>
      <c r="J34" s="44" t="str">
        <f t="shared" si="2"/>
        <v/>
      </c>
      <c r="K34" s="118"/>
      <c r="L34" s="34" t="str">
        <f t="shared" si="3"/>
        <v/>
      </c>
      <c r="M34" s="118"/>
      <c r="N34" s="121"/>
      <c r="O34" s="122" t="str">
        <f t="shared" si="12"/>
        <v/>
      </c>
      <c r="P34" s="35" t="str">
        <f t="shared" si="13"/>
        <v/>
      </c>
      <c r="Q34" s="124"/>
      <c r="R34" s="36" t="str">
        <f t="shared" si="14"/>
        <v/>
      </c>
      <c r="S34" s="37" t="str">
        <f t="shared" si="4"/>
        <v/>
      </c>
      <c r="T34" s="38" t="str">
        <f t="shared" si="5"/>
        <v/>
      </c>
      <c r="U34" s="39" t="str">
        <f t="shared" si="6"/>
        <v/>
      </c>
      <c r="V34" s="40" t="str">
        <f t="shared" si="7"/>
        <v/>
      </c>
      <c r="W34" s="39" t="str">
        <f t="shared" si="8"/>
        <v/>
      </c>
      <c r="X34" s="34" t="str">
        <f t="shared" si="15"/>
        <v/>
      </c>
      <c r="Y34" s="41" t="str">
        <f t="shared" si="16"/>
        <v/>
      </c>
      <c r="Z34" s="98" t="str">
        <f t="shared" si="9"/>
        <v/>
      </c>
      <c r="AA34" s="81" t="str">
        <f t="shared" si="17"/>
        <v/>
      </c>
      <c r="AC34" s="139"/>
      <c r="AD34" s="110" t="str">
        <f t="shared" si="18"/>
        <v/>
      </c>
      <c r="AE34" s="111" t="str">
        <f t="shared" si="19"/>
        <v/>
      </c>
      <c r="AF34" s="111" t="str">
        <f t="shared" si="10"/>
        <v/>
      </c>
      <c r="AG34" s="111" t="str">
        <f t="shared" si="20"/>
        <v/>
      </c>
      <c r="AH34" s="111" t="str">
        <f t="shared" si="21"/>
        <v/>
      </c>
      <c r="AI34" s="112" t="str">
        <f t="shared" si="22"/>
        <v/>
      </c>
      <c r="AJ34" t="str">
        <f t="shared" si="23"/>
        <v/>
      </c>
      <c r="AK34" t="str">
        <f t="shared" si="24"/>
        <v/>
      </c>
    </row>
    <row r="35" spans="1:37" ht="15" customHeight="1" x14ac:dyDescent="0.25">
      <c r="A35" s="114"/>
      <c r="B35" s="116"/>
      <c r="C35" s="116"/>
      <c r="D35" s="42" t="str">
        <f t="shared" si="0"/>
        <v/>
      </c>
      <c r="E35" s="43"/>
      <c r="F35" s="83"/>
      <c r="G35" s="118"/>
      <c r="H35" s="34" t="str">
        <f t="shared" si="1"/>
        <v/>
      </c>
      <c r="I35" s="88" t="str">
        <f t="shared" si="11"/>
        <v/>
      </c>
      <c r="J35" s="44" t="str">
        <f t="shared" si="2"/>
        <v/>
      </c>
      <c r="K35" s="118"/>
      <c r="L35" s="34" t="str">
        <f t="shared" si="3"/>
        <v/>
      </c>
      <c r="M35" s="118"/>
      <c r="N35" s="121"/>
      <c r="O35" s="122" t="str">
        <f t="shared" si="12"/>
        <v/>
      </c>
      <c r="P35" s="35" t="str">
        <f t="shared" si="13"/>
        <v/>
      </c>
      <c r="Q35" s="124"/>
      <c r="R35" s="36" t="str">
        <f t="shared" si="14"/>
        <v/>
      </c>
      <c r="S35" s="37" t="str">
        <f t="shared" si="4"/>
        <v/>
      </c>
      <c r="T35" s="38" t="str">
        <f t="shared" si="5"/>
        <v/>
      </c>
      <c r="U35" s="39" t="str">
        <f t="shared" si="6"/>
        <v/>
      </c>
      <c r="V35" s="40" t="str">
        <f t="shared" si="7"/>
        <v/>
      </c>
      <c r="W35" s="39" t="str">
        <f t="shared" si="8"/>
        <v/>
      </c>
      <c r="X35" s="34" t="str">
        <f t="shared" si="15"/>
        <v/>
      </c>
      <c r="Y35" s="41" t="str">
        <f t="shared" si="16"/>
        <v/>
      </c>
      <c r="Z35" s="98" t="str">
        <f t="shared" si="9"/>
        <v/>
      </c>
      <c r="AA35" s="81" t="str">
        <f t="shared" si="17"/>
        <v/>
      </c>
      <c r="AC35" s="139"/>
      <c r="AD35" s="110" t="str">
        <f t="shared" si="18"/>
        <v/>
      </c>
      <c r="AE35" s="111" t="str">
        <f t="shared" si="19"/>
        <v/>
      </c>
      <c r="AF35" s="111" t="str">
        <f t="shared" si="10"/>
        <v/>
      </c>
      <c r="AG35" s="111" t="str">
        <f t="shared" si="20"/>
        <v/>
      </c>
      <c r="AH35" s="111" t="str">
        <f t="shared" si="21"/>
        <v/>
      </c>
      <c r="AI35" s="112" t="str">
        <f t="shared" si="22"/>
        <v/>
      </c>
      <c r="AJ35" t="str">
        <f t="shared" si="23"/>
        <v/>
      </c>
      <c r="AK35" t="str">
        <f t="shared" si="24"/>
        <v/>
      </c>
    </row>
    <row r="36" spans="1:37" ht="15" customHeight="1" x14ac:dyDescent="0.25">
      <c r="A36" s="114"/>
      <c r="B36" s="116"/>
      <c r="C36" s="116"/>
      <c r="D36" s="42" t="str">
        <f t="shared" si="0"/>
        <v/>
      </c>
      <c r="E36" s="43"/>
      <c r="F36" s="83"/>
      <c r="G36" s="118"/>
      <c r="H36" s="34" t="str">
        <f t="shared" si="1"/>
        <v/>
      </c>
      <c r="I36" s="88" t="str">
        <f t="shared" si="11"/>
        <v/>
      </c>
      <c r="J36" s="44" t="str">
        <f t="shared" si="2"/>
        <v/>
      </c>
      <c r="K36" s="118"/>
      <c r="L36" s="34" t="str">
        <f t="shared" si="3"/>
        <v/>
      </c>
      <c r="M36" s="118"/>
      <c r="N36" s="121"/>
      <c r="O36" s="122" t="str">
        <f t="shared" si="12"/>
        <v/>
      </c>
      <c r="P36" s="35" t="str">
        <f t="shared" si="13"/>
        <v/>
      </c>
      <c r="Q36" s="124"/>
      <c r="R36" s="36" t="str">
        <f t="shared" si="14"/>
        <v/>
      </c>
      <c r="S36" s="37" t="str">
        <f t="shared" si="4"/>
        <v/>
      </c>
      <c r="T36" s="38" t="str">
        <f t="shared" si="5"/>
        <v/>
      </c>
      <c r="U36" s="39" t="str">
        <f t="shared" si="6"/>
        <v/>
      </c>
      <c r="V36" s="40" t="str">
        <f t="shared" si="7"/>
        <v/>
      </c>
      <c r="W36" s="39" t="str">
        <f t="shared" si="8"/>
        <v/>
      </c>
      <c r="X36" s="34" t="str">
        <f t="shared" si="15"/>
        <v/>
      </c>
      <c r="Y36" s="41" t="str">
        <f t="shared" si="16"/>
        <v/>
      </c>
      <c r="Z36" s="98" t="str">
        <f t="shared" si="9"/>
        <v/>
      </c>
      <c r="AA36" s="81" t="str">
        <f t="shared" si="17"/>
        <v/>
      </c>
      <c r="AC36" s="139"/>
      <c r="AD36" s="110" t="str">
        <f t="shared" si="18"/>
        <v/>
      </c>
      <c r="AE36" s="111" t="str">
        <f t="shared" si="19"/>
        <v/>
      </c>
      <c r="AF36" s="111" t="str">
        <f t="shared" si="10"/>
        <v/>
      </c>
      <c r="AG36" s="111" t="str">
        <f t="shared" si="20"/>
        <v/>
      </c>
      <c r="AH36" s="111" t="str">
        <f t="shared" si="21"/>
        <v/>
      </c>
      <c r="AI36" s="112" t="str">
        <f t="shared" si="22"/>
        <v/>
      </c>
      <c r="AJ36" t="str">
        <f t="shared" si="23"/>
        <v/>
      </c>
      <c r="AK36" t="str">
        <f t="shared" si="24"/>
        <v/>
      </c>
    </row>
    <row r="37" spans="1:37" ht="15" customHeight="1" x14ac:dyDescent="0.25">
      <c r="A37" s="114"/>
      <c r="B37" s="116"/>
      <c r="C37" s="116"/>
      <c r="D37" s="42" t="str">
        <f t="shared" si="0"/>
        <v/>
      </c>
      <c r="E37" s="43"/>
      <c r="F37" s="83"/>
      <c r="G37" s="118"/>
      <c r="H37" s="34" t="str">
        <f t="shared" si="1"/>
        <v/>
      </c>
      <c r="I37" s="88" t="str">
        <f t="shared" si="11"/>
        <v/>
      </c>
      <c r="J37" s="44" t="str">
        <f t="shared" si="2"/>
        <v/>
      </c>
      <c r="K37" s="118"/>
      <c r="L37" s="34" t="str">
        <f t="shared" si="3"/>
        <v/>
      </c>
      <c r="M37" s="118"/>
      <c r="N37" s="121"/>
      <c r="O37" s="122" t="str">
        <f t="shared" si="12"/>
        <v/>
      </c>
      <c r="P37" s="35" t="str">
        <f t="shared" si="13"/>
        <v/>
      </c>
      <c r="Q37" s="124"/>
      <c r="R37" s="36" t="str">
        <f t="shared" si="14"/>
        <v/>
      </c>
      <c r="S37" s="37" t="str">
        <f t="shared" si="4"/>
        <v/>
      </c>
      <c r="T37" s="38" t="str">
        <f t="shared" si="5"/>
        <v/>
      </c>
      <c r="U37" s="39" t="str">
        <f t="shared" si="6"/>
        <v/>
      </c>
      <c r="V37" s="40" t="str">
        <f t="shared" si="7"/>
        <v/>
      </c>
      <c r="W37" s="39" t="str">
        <f t="shared" si="8"/>
        <v/>
      </c>
      <c r="X37" s="34" t="str">
        <f t="shared" si="15"/>
        <v/>
      </c>
      <c r="Y37" s="41" t="str">
        <f t="shared" si="16"/>
        <v/>
      </c>
      <c r="Z37" s="98" t="str">
        <f t="shared" si="9"/>
        <v/>
      </c>
      <c r="AA37" s="81" t="str">
        <f t="shared" si="17"/>
        <v/>
      </c>
      <c r="AC37" s="139"/>
      <c r="AD37" s="110" t="str">
        <f t="shared" si="18"/>
        <v/>
      </c>
      <c r="AE37" s="111" t="str">
        <f t="shared" si="19"/>
        <v/>
      </c>
      <c r="AF37" s="111" t="str">
        <f t="shared" si="10"/>
        <v/>
      </c>
      <c r="AG37" s="111" t="str">
        <f t="shared" si="20"/>
        <v/>
      </c>
      <c r="AH37" s="111" t="str">
        <f t="shared" si="21"/>
        <v/>
      </c>
      <c r="AI37" s="112" t="str">
        <f t="shared" si="22"/>
        <v/>
      </c>
      <c r="AJ37" t="str">
        <f t="shared" si="23"/>
        <v/>
      </c>
      <c r="AK37" t="str">
        <f t="shared" si="24"/>
        <v/>
      </c>
    </row>
    <row r="38" spans="1:37" ht="15" customHeight="1" x14ac:dyDescent="0.25">
      <c r="A38" s="114"/>
      <c r="B38" s="116"/>
      <c r="C38" s="116"/>
      <c r="D38" s="42" t="str">
        <f t="shared" si="0"/>
        <v/>
      </c>
      <c r="E38" s="43"/>
      <c r="F38" s="83"/>
      <c r="G38" s="118"/>
      <c r="H38" s="34" t="str">
        <f t="shared" si="1"/>
        <v/>
      </c>
      <c r="I38" s="88" t="str">
        <f t="shared" si="11"/>
        <v/>
      </c>
      <c r="J38" s="44" t="str">
        <f t="shared" si="2"/>
        <v/>
      </c>
      <c r="K38" s="118"/>
      <c r="L38" s="34" t="str">
        <f t="shared" si="3"/>
        <v/>
      </c>
      <c r="M38" s="118"/>
      <c r="N38" s="121"/>
      <c r="O38" s="122" t="str">
        <f t="shared" si="12"/>
        <v/>
      </c>
      <c r="P38" s="35" t="str">
        <f t="shared" si="13"/>
        <v/>
      </c>
      <c r="Q38" s="124"/>
      <c r="R38" s="36" t="str">
        <f t="shared" si="14"/>
        <v/>
      </c>
      <c r="S38" s="37" t="str">
        <f t="shared" si="4"/>
        <v/>
      </c>
      <c r="T38" s="38" t="str">
        <f t="shared" si="5"/>
        <v/>
      </c>
      <c r="U38" s="39" t="str">
        <f t="shared" si="6"/>
        <v/>
      </c>
      <c r="V38" s="40" t="str">
        <f t="shared" si="7"/>
        <v/>
      </c>
      <c r="W38" s="39" t="str">
        <f t="shared" si="8"/>
        <v/>
      </c>
      <c r="X38" s="34" t="str">
        <f t="shared" si="15"/>
        <v/>
      </c>
      <c r="Y38" s="41" t="str">
        <f t="shared" si="16"/>
        <v/>
      </c>
      <c r="Z38" s="98" t="str">
        <f t="shared" si="9"/>
        <v/>
      </c>
      <c r="AA38" s="81" t="str">
        <f t="shared" si="17"/>
        <v/>
      </c>
      <c r="AC38" s="139"/>
      <c r="AD38" s="110" t="str">
        <f t="shared" si="18"/>
        <v/>
      </c>
      <c r="AE38" s="111" t="str">
        <f t="shared" si="19"/>
        <v/>
      </c>
      <c r="AF38" s="111" t="str">
        <f t="shared" si="10"/>
        <v/>
      </c>
      <c r="AG38" s="111" t="str">
        <f t="shared" si="20"/>
        <v/>
      </c>
      <c r="AH38" s="111" t="str">
        <f t="shared" si="21"/>
        <v/>
      </c>
      <c r="AI38" s="112" t="str">
        <f t="shared" si="22"/>
        <v/>
      </c>
      <c r="AJ38" t="str">
        <f t="shared" si="23"/>
        <v/>
      </c>
      <c r="AK38" t="str">
        <f t="shared" si="24"/>
        <v/>
      </c>
    </row>
    <row r="39" spans="1:37" ht="15" customHeight="1" x14ac:dyDescent="0.25">
      <c r="A39" s="114"/>
      <c r="B39" s="116"/>
      <c r="C39" s="116"/>
      <c r="D39" s="42" t="str">
        <f t="shared" si="0"/>
        <v/>
      </c>
      <c r="E39" s="43"/>
      <c r="F39" s="83"/>
      <c r="G39" s="118"/>
      <c r="H39" s="34" t="str">
        <f t="shared" si="1"/>
        <v/>
      </c>
      <c r="I39" s="88" t="str">
        <f t="shared" si="11"/>
        <v/>
      </c>
      <c r="J39" s="44" t="str">
        <f t="shared" si="2"/>
        <v/>
      </c>
      <c r="K39" s="118"/>
      <c r="L39" s="34" t="str">
        <f t="shared" si="3"/>
        <v/>
      </c>
      <c r="M39" s="118"/>
      <c r="N39" s="121"/>
      <c r="O39" s="122" t="str">
        <f t="shared" si="12"/>
        <v/>
      </c>
      <c r="P39" s="35" t="str">
        <f t="shared" si="13"/>
        <v/>
      </c>
      <c r="Q39" s="124"/>
      <c r="R39" s="36" t="str">
        <f t="shared" si="14"/>
        <v/>
      </c>
      <c r="S39" s="37" t="str">
        <f t="shared" si="4"/>
        <v/>
      </c>
      <c r="T39" s="38" t="str">
        <f t="shared" si="5"/>
        <v/>
      </c>
      <c r="U39" s="39" t="str">
        <f t="shared" si="6"/>
        <v/>
      </c>
      <c r="V39" s="40" t="str">
        <f t="shared" si="7"/>
        <v/>
      </c>
      <c r="W39" s="39" t="str">
        <f t="shared" si="8"/>
        <v/>
      </c>
      <c r="X39" s="34" t="str">
        <f t="shared" si="15"/>
        <v/>
      </c>
      <c r="Y39" s="41" t="str">
        <f t="shared" si="16"/>
        <v/>
      </c>
      <c r="Z39" s="98" t="str">
        <f t="shared" si="9"/>
        <v/>
      </c>
      <c r="AA39" s="81" t="str">
        <f t="shared" si="17"/>
        <v/>
      </c>
      <c r="AC39" s="139"/>
      <c r="AD39" s="110" t="str">
        <f t="shared" si="18"/>
        <v/>
      </c>
      <c r="AE39" s="111" t="str">
        <f t="shared" si="19"/>
        <v/>
      </c>
      <c r="AF39" s="111" t="str">
        <f t="shared" si="10"/>
        <v/>
      </c>
      <c r="AG39" s="111" t="str">
        <f t="shared" si="20"/>
        <v/>
      </c>
      <c r="AH39" s="111" t="str">
        <f t="shared" si="21"/>
        <v/>
      </c>
      <c r="AI39" s="112" t="str">
        <f t="shared" si="22"/>
        <v/>
      </c>
      <c r="AJ39" t="str">
        <f t="shared" si="23"/>
        <v/>
      </c>
      <c r="AK39" t="str">
        <f t="shared" si="24"/>
        <v/>
      </c>
    </row>
    <row r="40" spans="1:37" ht="15" customHeight="1" x14ac:dyDescent="0.25">
      <c r="A40" s="114"/>
      <c r="B40" s="116"/>
      <c r="C40" s="116"/>
      <c r="D40" s="42" t="str">
        <f t="shared" si="0"/>
        <v/>
      </c>
      <c r="E40" s="43"/>
      <c r="F40" s="83"/>
      <c r="G40" s="118"/>
      <c r="H40" s="34" t="str">
        <f t="shared" si="1"/>
        <v/>
      </c>
      <c r="I40" s="88" t="str">
        <f t="shared" si="11"/>
        <v/>
      </c>
      <c r="J40" s="44" t="str">
        <f t="shared" si="2"/>
        <v/>
      </c>
      <c r="K40" s="118"/>
      <c r="L40" s="34" t="str">
        <f t="shared" si="3"/>
        <v/>
      </c>
      <c r="M40" s="118"/>
      <c r="N40" s="121"/>
      <c r="O40" s="122" t="str">
        <f t="shared" si="12"/>
        <v/>
      </c>
      <c r="P40" s="35" t="str">
        <f t="shared" si="13"/>
        <v/>
      </c>
      <c r="Q40" s="124"/>
      <c r="R40" s="36" t="str">
        <f t="shared" si="14"/>
        <v/>
      </c>
      <c r="S40" s="37" t="str">
        <f t="shared" si="4"/>
        <v/>
      </c>
      <c r="T40" s="38" t="str">
        <f t="shared" si="5"/>
        <v/>
      </c>
      <c r="U40" s="39" t="str">
        <f t="shared" si="6"/>
        <v/>
      </c>
      <c r="V40" s="40" t="str">
        <f t="shared" si="7"/>
        <v/>
      </c>
      <c r="W40" s="39" t="str">
        <f t="shared" si="8"/>
        <v/>
      </c>
      <c r="X40" s="34" t="str">
        <f t="shared" si="15"/>
        <v/>
      </c>
      <c r="Y40" s="41" t="str">
        <f t="shared" si="16"/>
        <v/>
      </c>
      <c r="Z40" s="98" t="str">
        <f t="shared" si="9"/>
        <v/>
      </c>
      <c r="AA40" s="81" t="str">
        <f t="shared" si="17"/>
        <v/>
      </c>
      <c r="AC40" s="139"/>
      <c r="AD40" s="110" t="str">
        <f t="shared" si="18"/>
        <v/>
      </c>
      <c r="AE40" s="111" t="str">
        <f t="shared" si="19"/>
        <v/>
      </c>
      <c r="AF40" s="111" t="str">
        <f t="shared" si="10"/>
        <v/>
      </c>
      <c r="AG40" s="111" t="str">
        <f t="shared" si="20"/>
        <v/>
      </c>
      <c r="AH40" s="111" t="str">
        <f t="shared" si="21"/>
        <v/>
      </c>
      <c r="AI40" s="112" t="str">
        <f t="shared" si="22"/>
        <v/>
      </c>
      <c r="AJ40" t="str">
        <f t="shared" si="23"/>
        <v/>
      </c>
      <c r="AK40" t="str">
        <f t="shared" si="24"/>
        <v/>
      </c>
    </row>
    <row r="41" spans="1:37" ht="15" customHeight="1" x14ac:dyDescent="0.25">
      <c r="A41" s="114"/>
      <c r="B41" s="116"/>
      <c r="C41" s="116"/>
      <c r="D41" s="42" t="str">
        <f t="shared" si="0"/>
        <v/>
      </c>
      <c r="E41" s="43"/>
      <c r="F41" s="83"/>
      <c r="G41" s="118"/>
      <c r="H41" s="34" t="str">
        <f t="shared" si="1"/>
        <v/>
      </c>
      <c r="I41" s="88" t="str">
        <f t="shared" si="11"/>
        <v/>
      </c>
      <c r="J41" s="44" t="str">
        <f t="shared" si="2"/>
        <v/>
      </c>
      <c r="K41" s="118"/>
      <c r="L41" s="34" t="str">
        <f t="shared" si="3"/>
        <v/>
      </c>
      <c r="M41" s="118"/>
      <c r="N41" s="121"/>
      <c r="O41" s="122" t="str">
        <f t="shared" si="12"/>
        <v/>
      </c>
      <c r="P41" s="35" t="str">
        <f t="shared" si="13"/>
        <v/>
      </c>
      <c r="Q41" s="124"/>
      <c r="R41" s="36" t="str">
        <f t="shared" si="14"/>
        <v/>
      </c>
      <c r="S41" s="37" t="str">
        <f t="shared" si="4"/>
        <v/>
      </c>
      <c r="T41" s="38" t="str">
        <f t="shared" si="5"/>
        <v/>
      </c>
      <c r="U41" s="39" t="str">
        <f t="shared" si="6"/>
        <v/>
      </c>
      <c r="V41" s="40" t="str">
        <f t="shared" si="7"/>
        <v/>
      </c>
      <c r="W41" s="39" t="str">
        <f t="shared" si="8"/>
        <v/>
      </c>
      <c r="X41" s="34" t="str">
        <f t="shared" si="15"/>
        <v/>
      </c>
      <c r="Y41" s="41" t="str">
        <f t="shared" si="16"/>
        <v/>
      </c>
      <c r="Z41" s="98" t="str">
        <f t="shared" si="9"/>
        <v/>
      </c>
      <c r="AA41" s="81" t="str">
        <f t="shared" si="17"/>
        <v/>
      </c>
      <c r="AC41" s="139"/>
      <c r="AD41" s="110" t="str">
        <f t="shared" si="18"/>
        <v/>
      </c>
      <c r="AE41" s="111" t="str">
        <f t="shared" si="19"/>
        <v/>
      </c>
      <c r="AF41" s="111" t="str">
        <f t="shared" si="10"/>
        <v/>
      </c>
      <c r="AG41" s="111" t="str">
        <f t="shared" si="20"/>
        <v/>
      </c>
      <c r="AH41" s="111" t="str">
        <f t="shared" si="21"/>
        <v/>
      </c>
      <c r="AI41" s="112" t="str">
        <f t="shared" si="22"/>
        <v/>
      </c>
      <c r="AJ41" t="str">
        <f t="shared" si="23"/>
        <v/>
      </c>
      <c r="AK41" t="str">
        <f t="shared" si="24"/>
        <v/>
      </c>
    </row>
    <row r="42" spans="1:37" ht="15" customHeight="1" x14ac:dyDescent="0.25">
      <c r="A42" s="114"/>
      <c r="B42" s="116"/>
      <c r="C42" s="116"/>
      <c r="D42" s="42" t="str">
        <f t="shared" si="0"/>
        <v/>
      </c>
      <c r="E42" s="43"/>
      <c r="F42" s="83"/>
      <c r="G42" s="118"/>
      <c r="H42" s="34" t="str">
        <f t="shared" si="1"/>
        <v/>
      </c>
      <c r="I42" s="88" t="str">
        <f t="shared" si="11"/>
        <v/>
      </c>
      <c r="J42" s="44" t="str">
        <f t="shared" si="2"/>
        <v/>
      </c>
      <c r="K42" s="118"/>
      <c r="L42" s="34" t="str">
        <f t="shared" si="3"/>
        <v/>
      </c>
      <c r="M42" s="118"/>
      <c r="N42" s="121"/>
      <c r="O42" s="122" t="str">
        <f t="shared" si="12"/>
        <v/>
      </c>
      <c r="P42" s="35" t="str">
        <f t="shared" si="13"/>
        <v/>
      </c>
      <c r="Q42" s="124"/>
      <c r="R42" s="36" t="str">
        <f t="shared" si="14"/>
        <v/>
      </c>
      <c r="S42" s="37" t="str">
        <f t="shared" si="4"/>
        <v/>
      </c>
      <c r="T42" s="38" t="str">
        <f t="shared" si="5"/>
        <v/>
      </c>
      <c r="U42" s="39" t="str">
        <f t="shared" si="6"/>
        <v/>
      </c>
      <c r="V42" s="40" t="str">
        <f t="shared" si="7"/>
        <v/>
      </c>
      <c r="W42" s="39" t="str">
        <f t="shared" si="8"/>
        <v/>
      </c>
      <c r="X42" s="34" t="str">
        <f t="shared" si="15"/>
        <v/>
      </c>
      <c r="Y42" s="41" t="str">
        <f t="shared" si="16"/>
        <v/>
      </c>
      <c r="Z42" s="98" t="str">
        <f t="shared" si="9"/>
        <v/>
      </c>
      <c r="AA42" s="81" t="str">
        <f t="shared" si="17"/>
        <v/>
      </c>
      <c r="AC42" s="139"/>
      <c r="AD42" s="110" t="str">
        <f t="shared" si="18"/>
        <v/>
      </c>
      <c r="AE42" s="111" t="str">
        <f t="shared" si="19"/>
        <v/>
      </c>
      <c r="AF42" s="111" t="str">
        <f t="shared" si="10"/>
        <v/>
      </c>
      <c r="AG42" s="111" t="str">
        <f t="shared" si="20"/>
        <v/>
      </c>
      <c r="AH42" s="111" t="str">
        <f t="shared" si="21"/>
        <v/>
      </c>
      <c r="AI42" s="112" t="str">
        <f t="shared" si="22"/>
        <v/>
      </c>
      <c r="AJ42" t="str">
        <f t="shared" si="23"/>
        <v/>
      </c>
      <c r="AK42" t="str">
        <f t="shared" si="24"/>
        <v/>
      </c>
    </row>
    <row r="43" spans="1:37" ht="15" customHeight="1" x14ac:dyDescent="0.25">
      <c r="A43" s="114"/>
      <c r="B43" s="116"/>
      <c r="C43" s="116"/>
      <c r="D43" s="42" t="str">
        <f t="shared" si="0"/>
        <v/>
      </c>
      <c r="E43" s="43"/>
      <c r="F43" s="83"/>
      <c r="G43" s="118"/>
      <c r="H43" s="34" t="str">
        <f t="shared" si="1"/>
        <v/>
      </c>
      <c r="I43" s="88" t="str">
        <f t="shared" si="11"/>
        <v/>
      </c>
      <c r="J43" s="44" t="str">
        <f t="shared" si="2"/>
        <v/>
      </c>
      <c r="K43" s="118"/>
      <c r="L43" s="34" t="str">
        <f t="shared" si="3"/>
        <v/>
      </c>
      <c r="M43" s="118"/>
      <c r="N43" s="121"/>
      <c r="O43" s="122" t="str">
        <f t="shared" si="12"/>
        <v/>
      </c>
      <c r="P43" s="35" t="str">
        <f t="shared" si="13"/>
        <v/>
      </c>
      <c r="Q43" s="124"/>
      <c r="R43" s="36" t="str">
        <f t="shared" si="14"/>
        <v/>
      </c>
      <c r="S43" s="37" t="str">
        <f t="shared" si="4"/>
        <v/>
      </c>
      <c r="T43" s="38" t="str">
        <f t="shared" si="5"/>
        <v/>
      </c>
      <c r="U43" s="39" t="str">
        <f t="shared" si="6"/>
        <v/>
      </c>
      <c r="V43" s="40" t="str">
        <f t="shared" si="7"/>
        <v/>
      </c>
      <c r="W43" s="39" t="str">
        <f t="shared" si="8"/>
        <v/>
      </c>
      <c r="X43" s="34" t="str">
        <f t="shared" si="15"/>
        <v/>
      </c>
      <c r="Y43" s="41" t="str">
        <f t="shared" si="16"/>
        <v/>
      </c>
      <c r="Z43" s="98" t="str">
        <f t="shared" si="9"/>
        <v/>
      </c>
      <c r="AA43" s="81" t="str">
        <f t="shared" si="17"/>
        <v/>
      </c>
      <c r="AC43" s="139"/>
      <c r="AD43" s="110" t="str">
        <f t="shared" si="18"/>
        <v/>
      </c>
      <c r="AE43" s="111" t="str">
        <f t="shared" si="19"/>
        <v/>
      </c>
      <c r="AF43" s="111" t="str">
        <f t="shared" si="10"/>
        <v/>
      </c>
      <c r="AG43" s="111" t="str">
        <f t="shared" si="20"/>
        <v/>
      </c>
      <c r="AH43" s="111" t="str">
        <f t="shared" si="21"/>
        <v/>
      </c>
      <c r="AI43" s="112" t="str">
        <f t="shared" si="22"/>
        <v/>
      </c>
      <c r="AJ43" t="str">
        <f t="shared" si="23"/>
        <v/>
      </c>
      <c r="AK43" t="str">
        <f t="shared" si="24"/>
        <v/>
      </c>
    </row>
    <row r="44" spans="1:37" ht="15" customHeight="1" x14ac:dyDescent="0.25">
      <c r="A44" s="114"/>
      <c r="B44" s="116"/>
      <c r="C44" s="116"/>
      <c r="D44" s="42" t="str">
        <f t="shared" si="0"/>
        <v/>
      </c>
      <c r="E44" s="43"/>
      <c r="F44" s="83"/>
      <c r="G44" s="118"/>
      <c r="H44" s="34" t="str">
        <f t="shared" si="1"/>
        <v/>
      </c>
      <c r="I44" s="88" t="str">
        <f t="shared" si="11"/>
        <v/>
      </c>
      <c r="J44" s="44" t="str">
        <f t="shared" si="2"/>
        <v/>
      </c>
      <c r="K44" s="118"/>
      <c r="L44" s="34" t="str">
        <f t="shared" si="3"/>
        <v/>
      </c>
      <c r="M44" s="118"/>
      <c r="N44" s="121"/>
      <c r="O44" s="122" t="str">
        <f t="shared" si="12"/>
        <v/>
      </c>
      <c r="P44" s="35" t="str">
        <f t="shared" si="13"/>
        <v/>
      </c>
      <c r="Q44" s="124"/>
      <c r="R44" s="36" t="str">
        <f t="shared" si="14"/>
        <v/>
      </c>
      <c r="S44" s="37" t="str">
        <f t="shared" si="4"/>
        <v/>
      </c>
      <c r="T44" s="38" t="str">
        <f t="shared" si="5"/>
        <v/>
      </c>
      <c r="U44" s="39" t="str">
        <f t="shared" si="6"/>
        <v/>
      </c>
      <c r="V44" s="40" t="str">
        <f t="shared" si="7"/>
        <v/>
      </c>
      <c r="W44" s="39" t="str">
        <f t="shared" si="8"/>
        <v/>
      </c>
      <c r="X44" s="34" t="str">
        <f t="shared" si="15"/>
        <v/>
      </c>
      <c r="Y44" s="41" t="str">
        <f t="shared" si="16"/>
        <v/>
      </c>
      <c r="Z44" s="98" t="str">
        <f t="shared" si="9"/>
        <v/>
      </c>
      <c r="AA44" s="81" t="str">
        <f t="shared" si="17"/>
        <v/>
      </c>
      <c r="AC44" s="139"/>
      <c r="AD44" s="110" t="str">
        <f t="shared" si="18"/>
        <v/>
      </c>
      <c r="AE44" s="111" t="str">
        <f t="shared" si="19"/>
        <v/>
      </c>
      <c r="AF44" s="111" t="str">
        <f t="shared" si="10"/>
        <v/>
      </c>
      <c r="AG44" s="111" t="str">
        <f t="shared" si="20"/>
        <v/>
      </c>
      <c r="AH44" s="111" t="str">
        <f t="shared" si="21"/>
        <v/>
      </c>
      <c r="AI44" s="112" t="str">
        <f t="shared" si="22"/>
        <v/>
      </c>
      <c r="AJ44" t="str">
        <f t="shared" si="23"/>
        <v/>
      </c>
      <c r="AK44" t="str">
        <f t="shared" si="24"/>
        <v/>
      </c>
    </row>
    <row r="45" spans="1:37" ht="15" customHeight="1" x14ac:dyDescent="0.25">
      <c r="A45" s="114"/>
      <c r="B45" s="116"/>
      <c r="C45" s="116"/>
      <c r="D45" s="42" t="str">
        <f t="shared" si="0"/>
        <v/>
      </c>
      <c r="E45" s="43"/>
      <c r="F45" s="83"/>
      <c r="G45" s="118"/>
      <c r="H45" s="34" t="str">
        <f t="shared" si="1"/>
        <v/>
      </c>
      <c r="I45" s="88" t="str">
        <f t="shared" si="11"/>
        <v/>
      </c>
      <c r="J45" s="44" t="str">
        <f t="shared" si="2"/>
        <v/>
      </c>
      <c r="K45" s="118"/>
      <c r="L45" s="34" t="str">
        <f t="shared" si="3"/>
        <v/>
      </c>
      <c r="M45" s="118"/>
      <c r="N45" s="121"/>
      <c r="O45" s="122" t="str">
        <f t="shared" si="12"/>
        <v/>
      </c>
      <c r="P45" s="35" t="str">
        <f t="shared" si="13"/>
        <v/>
      </c>
      <c r="Q45" s="124"/>
      <c r="R45" s="36" t="str">
        <f t="shared" si="14"/>
        <v/>
      </c>
      <c r="S45" s="37" t="str">
        <f t="shared" si="4"/>
        <v/>
      </c>
      <c r="T45" s="38" t="str">
        <f t="shared" si="5"/>
        <v/>
      </c>
      <c r="U45" s="39" t="str">
        <f t="shared" si="6"/>
        <v/>
      </c>
      <c r="V45" s="40" t="str">
        <f t="shared" si="7"/>
        <v/>
      </c>
      <c r="W45" s="39" t="str">
        <f t="shared" si="8"/>
        <v/>
      </c>
      <c r="X45" s="34" t="str">
        <f t="shared" si="15"/>
        <v/>
      </c>
      <c r="Y45" s="41" t="str">
        <f t="shared" si="16"/>
        <v/>
      </c>
      <c r="Z45" s="98" t="str">
        <f t="shared" si="9"/>
        <v/>
      </c>
      <c r="AA45" s="81" t="str">
        <f t="shared" si="17"/>
        <v/>
      </c>
      <c r="AC45" s="139"/>
      <c r="AD45" s="110" t="str">
        <f t="shared" si="18"/>
        <v/>
      </c>
      <c r="AE45" s="111" t="str">
        <f t="shared" si="19"/>
        <v/>
      </c>
      <c r="AF45" s="111" t="str">
        <f t="shared" si="10"/>
        <v/>
      </c>
      <c r="AG45" s="111" t="str">
        <f t="shared" si="20"/>
        <v/>
      </c>
      <c r="AH45" s="111" t="str">
        <f t="shared" si="21"/>
        <v/>
      </c>
      <c r="AI45" s="112" t="str">
        <f t="shared" si="22"/>
        <v/>
      </c>
      <c r="AJ45" t="str">
        <f t="shared" si="23"/>
        <v/>
      </c>
      <c r="AK45" t="str">
        <f t="shared" si="24"/>
        <v/>
      </c>
    </row>
    <row r="46" spans="1:37" ht="15" customHeight="1" x14ac:dyDescent="0.25">
      <c r="A46" s="114"/>
      <c r="B46" s="116"/>
      <c r="C46" s="116"/>
      <c r="D46" s="42" t="str">
        <f t="shared" si="0"/>
        <v/>
      </c>
      <c r="E46" s="43"/>
      <c r="F46" s="83"/>
      <c r="G46" s="118"/>
      <c r="H46" s="34" t="str">
        <f t="shared" si="1"/>
        <v/>
      </c>
      <c r="I46" s="88" t="str">
        <f t="shared" si="11"/>
        <v/>
      </c>
      <c r="J46" s="44" t="str">
        <f t="shared" si="2"/>
        <v/>
      </c>
      <c r="K46" s="118"/>
      <c r="L46" s="34" t="str">
        <f t="shared" si="3"/>
        <v/>
      </c>
      <c r="M46" s="118"/>
      <c r="N46" s="121"/>
      <c r="O46" s="122" t="str">
        <f t="shared" si="12"/>
        <v/>
      </c>
      <c r="P46" s="35" t="str">
        <f t="shared" si="13"/>
        <v/>
      </c>
      <c r="Q46" s="124"/>
      <c r="R46" s="36" t="str">
        <f t="shared" si="14"/>
        <v/>
      </c>
      <c r="S46" s="37" t="str">
        <f t="shared" si="4"/>
        <v/>
      </c>
      <c r="T46" s="38" t="str">
        <f t="shared" si="5"/>
        <v/>
      </c>
      <c r="U46" s="39" t="str">
        <f t="shared" si="6"/>
        <v/>
      </c>
      <c r="V46" s="40" t="str">
        <f t="shared" si="7"/>
        <v/>
      </c>
      <c r="W46" s="39" t="str">
        <f t="shared" si="8"/>
        <v/>
      </c>
      <c r="X46" s="34" t="str">
        <f t="shared" si="15"/>
        <v/>
      </c>
      <c r="Y46" s="41" t="str">
        <f t="shared" si="16"/>
        <v/>
      </c>
      <c r="Z46" s="98" t="str">
        <f t="shared" si="9"/>
        <v/>
      </c>
      <c r="AA46" s="81" t="str">
        <f t="shared" si="17"/>
        <v/>
      </c>
      <c r="AC46" s="139"/>
      <c r="AD46" s="110" t="str">
        <f t="shared" si="18"/>
        <v/>
      </c>
      <c r="AE46" s="111" t="str">
        <f t="shared" si="19"/>
        <v/>
      </c>
      <c r="AF46" s="111" t="str">
        <f t="shared" si="10"/>
        <v/>
      </c>
      <c r="AG46" s="111" t="str">
        <f t="shared" si="20"/>
        <v/>
      </c>
      <c r="AH46" s="111" t="str">
        <f t="shared" si="21"/>
        <v/>
      </c>
      <c r="AI46" s="112" t="str">
        <f t="shared" si="22"/>
        <v/>
      </c>
      <c r="AJ46" t="str">
        <f t="shared" si="23"/>
        <v/>
      </c>
      <c r="AK46" t="str">
        <f t="shared" si="24"/>
        <v/>
      </c>
    </row>
    <row r="47" spans="1:37" ht="15" customHeight="1" x14ac:dyDescent="0.25">
      <c r="A47" s="114"/>
      <c r="B47" s="116"/>
      <c r="C47" s="116"/>
      <c r="D47" s="42" t="str">
        <f t="shared" si="0"/>
        <v/>
      </c>
      <c r="E47" s="43"/>
      <c r="F47" s="83"/>
      <c r="G47" s="118"/>
      <c r="H47" s="34" t="str">
        <f t="shared" si="1"/>
        <v/>
      </c>
      <c r="I47" s="88" t="str">
        <f t="shared" si="11"/>
        <v/>
      </c>
      <c r="J47" s="44" t="str">
        <f t="shared" si="2"/>
        <v/>
      </c>
      <c r="K47" s="118"/>
      <c r="L47" s="34" t="str">
        <f t="shared" si="3"/>
        <v/>
      </c>
      <c r="M47" s="118"/>
      <c r="N47" s="121"/>
      <c r="O47" s="122" t="str">
        <f t="shared" si="12"/>
        <v/>
      </c>
      <c r="P47" s="35" t="str">
        <f t="shared" si="13"/>
        <v/>
      </c>
      <c r="Q47" s="124"/>
      <c r="R47" s="36" t="str">
        <f t="shared" si="14"/>
        <v/>
      </c>
      <c r="S47" s="37" t="str">
        <f t="shared" si="4"/>
        <v/>
      </c>
      <c r="T47" s="38" t="str">
        <f t="shared" si="5"/>
        <v/>
      </c>
      <c r="U47" s="39" t="str">
        <f t="shared" si="6"/>
        <v/>
      </c>
      <c r="V47" s="40" t="str">
        <f t="shared" si="7"/>
        <v/>
      </c>
      <c r="W47" s="39" t="str">
        <f t="shared" si="8"/>
        <v/>
      </c>
      <c r="X47" s="34" t="str">
        <f t="shared" si="15"/>
        <v/>
      </c>
      <c r="Y47" s="41" t="str">
        <f t="shared" si="16"/>
        <v/>
      </c>
      <c r="Z47" s="98" t="str">
        <f t="shared" si="9"/>
        <v/>
      </c>
      <c r="AA47" s="81" t="str">
        <f t="shared" si="17"/>
        <v/>
      </c>
      <c r="AC47" s="139"/>
      <c r="AD47" s="110" t="str">
        <f t="shared" si="18"/>
        <v/>
      </c>
      <c r="AE47" s="111" t="str">
        <f t="shared" si="19"/>
        <v/>
      </c>
      <c r="AF47" s="111" t="str">
        <f t="shared" si="10"/>
        <v/>
      </c>
      <c r="AG47" s="111" t="str">
        <f t="shared" si="20"/>
        <v/>
      </c>
      <c r="AH47" s="111" t="str">
        <f t="shared" si="21"/>
        <v/>
      </c>
      <c r="AI47" s="112" t="str">
        <f t="shared" si="22"/>
        <v/>
      </c>
      <c r="AJ47" t="str">
        <f t="shared" si="23"/>
        <v/>
      </c>
      <c r="AK47" t="str">
        <f t="shared" si="24"/>
        <v/>
      </c>
    </row>
    <row r="48" spans="1:37" ht="15" customHeight="1" x14ac:dyDescent="0.25">
      <c r="A48" s="114"/>
      <c r="B48" s="116"/>
      <c r="C48" s="116"/>
      <c r="D48" s="42" t="str">
        <f t="shared" si="0"/>
        <v/>
      </c>
      <c r="E48" s="43"/>
      <c r="F48" s="83"/>
      <c r="G48" s="118"/>
      <c r="H48" s="34" t="str">
        <f t="shared" si="1"/>
        <v/>
      </c>
      <c r="I48" s="88" t="str">
        <f t="shared" si="11"/>
        <v/>
      </c>
      <c r="J48" s="44" t="str">
        <f t="shared" si="2"/>
        <v/>
      </c>
      <c r="K48" s="118"/>
      <c r="L48" s="34" t="str">
        <f t="shared" si="3"/>
        <v/>
      </c>
      <c r="M48" s="118"/>
      <c r="N48" s="121"/>
      <c r="O48" s="122" t="str">
        <f t="shared" si="12"/>
        <v/>
      </c>
      <c r="P48" s="35" t="str">
        <f t="shared" si="13"/>
        <v/>
      </c>
      <c r="Q48" s="124"/>
      <c r="R48" s="36" t="str">
        <f t="shared" si="14"/>
        <v/>
      </c>
      <c r="S48" s="37" t="str">
        <f t="shared" si="4"/>
        <v/>
      </c>
      <c r="T48" s="38" t="str">
        <f t="shared" si="5"/>
        <v/>
      </c>
      <c r="U48" s="39" t="str">
        <f t="shared" si="6"/>
        <v/>
      </c>
      <c r="V48" s="40" t="str">
        <f t="shared" si="7"/>
        <v/>
      </c>
      <c r="W48" s="39" t="str">
        <f t="shared" si="8"/>
        <v/>
      </c>
      <c r="X48" s="34" t="str">
        <f t="shared" si="15"/>
        <v/>
      </c>
      <c r="Y48" s="41" t="str">
        <f t="shared" si="16"/>
        <v/>
      </c>
      <c r="Z48" s="98" t="str">
        <f t="shared" si="9"/>
        <v/>
      </c>
      <c r="AA48" s="81" t="str">
        <f t="shared" si="17"/>
        <v/>
      </c>
      <c r="AC48" s="139"/>
      <c r="AD48" s="110" t="str">
        <f t="shared" si="18"/>
        <v/>
      </c>
      <c r="AE48" s="111" t="str">
        <f t="shared" si="19"/>
        <v/>
      </c>
      <c r="AF48" s="111" t="str">
        <f t="shared" si="10"/>
        <v/>
      </c>
      <c r="AG48" s="111" t="str">
        <f t="shared" si="20"/>
        <v/>
      </c>
      <c r="AH48" s="111" t="str">
        <f t="shared" si="21"/>
        <v/>
      </c>
      <c r="AI48" s="112" t="str">
        <f t="shared" si="22"/>
        <v/>
      </c>
      <c r="AJ48" t="str">
        <f t="shared" si="23"/>
        <v/>
      </c>
      <c r="AK48" t="str">
        <f t="shared" si="24"/>
        <v/>
      </c>
    </row>
    <row r="49" spans="1:37" ht="15" customHeight="1" x14ac:dyDescent="0.25">
      <c r="A49" s="114"/>
      <c r="B49" s="116"/>
      <c r="C49" s="116"/>
      <c r="D49" s="42" t="str">
        <f t="shared" si="0"/>
        <v/>
      </c>
      <c r="E49" s="43"/>
      <c r="F49" s="83"/>
      <c r="G49" s="118"/>
      <c r="H49" s="34" t="str">
        <f t="shared" si="1"/>
        <v/>
      </c>
      <c r="I49" s="88" t="str">
        <f t="shared" si="11"/>
        <v/>
      </c>
      <c r="J49" s="44" t="str">
        <f t="shared" si="2"/>
        <v/>
      </c>
      <c r="K49" s="118"/>
      <c r="L49" s="34" t="str">
        <f t="shared" si="3"/>
        <v/>
      </c>
      <c r="M49" s="118"/>
      <c r="N49" s="121"/>
      <c r="O49" s="122" t="str">
        <f t="shared" si="12"/>
        <v/>
      </c>
      <c r="P49" s="35" t="str">
        <f t="shared" si="13"/>
        <v/>
      </c>
      <c r="Q49" s="124"/>
      <c r="R49" s="36" t="str">
        <f t="shared" si="14"/>
        <v/>
      </c>
      <c r="S49" s="37" t="str">
        <f t="shared" si="4"/>
        <v/>
      </c>
      <c r="T49" s="38" t="str">
        <f t="shared" si="5"/>
        <v/>
      </c>
      <c r="U49" s="39" t="str">
        <f t="shared" si="6"/>
        <v/>
      </c>
      <c r="V49" s="40" t="str">
        <f t="shared" si="7"/>
        <v/>
      </c>
      <c r="W49" s="39" t="str">
        <f t="shared" si="8"/>
        <v/>
      </c>
      <c r="X49" s="34" t="str">
        <f t="shared" si="15"/>
        <v/>
      </c>
      <c r="Y49" s="41" t="str">
        <f t="shared" si="16"/>
        <v/>
      </c>
      <c r="Z49" s="98" t="str">
        <f t="shared" si="9"/>
        <v/>
      </c>
      <c r="AA49" s="81" t="str">
        <f t="shared" si="17"/>
        <v/>
      </c>
      <c r="AC49" s="139"/>
      <c r="AD49" s="110" t="str">
        <f t="shared" si="18"/>
        <v/>
      </c>
      <c r="AE49" s="111" t="str">
        <f t="shared" si="19"/>
        <v/>
      </c>
      <c r="AF49" s="111" t="str">
        <f t="shared" si="10"/>
        <v/>
      </c>
      <c r="AG49" s="111" t="str">
        <f t="shared" si="20"/>
        <v/>
      </c>
      <c r="AH49" s="111" t="str">
        <f t="shared" si="21"/>
        <v/>
      </c>
      <c r="AI49" s="112" t="str">
        <f t="shared" si="22"/>
        <v/>
      </c>
      <c r="AJ49" t="str">
        <f t="shared" si="23"/>
        <v/>
      </c>
      <c r="AK49" t="str">
        <f t="shared" si="24"/>
        <v/>
      </c>
    </row>
    <row r="50" spans="1:37" ht="15" customHeight="1" x14ac:dyDescent="0.25">
      <c r="A50" s="114"/>
      <c r="B50" s="116"/>
      <c r="C50" s="116"/>
      <c r="D50" s="42" t="str">
        <f t="shared" si="0"/>
        <v/>
      </c>
      <c r="E50" s="43"/>
      <c r="F50" s="83"/>
      <c r="G50" s="118"/>
      <c r="H50" s="34" t="str">
        <f t="shared" si="1"/>
        <v/>
      </c>
      <c r="I50" s="88" t="str">
        <f t="shared" si="11"/>
        <v/>
      </c>
      <c r="J50" s="44" t="str">
        <f t="shared" si="2"/>
        <v/>
      </c>
      <c r="K50" s="118"/>
      <c r="L50" s="34" t="str">
        <f t="shared" si="3"/>
        <v/>
      </c>
      <c r="M50" s="118"/>
      <c r="N50" s="121"/>
      <c r="O50" s="122" t="str">
        <f t="shared" si="12"/>
        <v/>
      </c>
      <c r="P50" s="35" t="str">
        <f t="shared" si="13"/>
        <v/>
      </c>
      <c r="Q50" s="124"/>
      <c r="R50" s="36" t="str">
        <f t="shared" si="14"/>
        <v/>
      </c>
      <c r="S50" s="37" t="str">
        <f t="shared" si="4"/>
        <v/>
      </c>
      <c r="T50" s="38" t="str">
        <f t="shared" si="5"/>
        <v/>
      </c>
      <c r="U50" s="39" t="str">
        <f t="shared" si="6"/>
        <v/>
      </c>
      <c r="V50" s="40" t="str">
        <f t="shared" si="7"/>
        <v/>
      </c>
      <c r="W50" s="39" t="str">
        <f t="shared" si="8"/>
        <v/>
      </c>
      <c r="X50" s="34" t="str">
        <f t="shared" si="15"/>
        <v/>
      </c>
      <c r="Y50" s="41" t="str">
        <f t="shared" si="16"/>
        <v/>
      </c>
      <c r="Z50" s="98" t="str">
        <f t="shared" si="9"/>
        <v/>
      </c>
      <c r="AA50" s="81" t="str">
        <f t="shared" si="17"/>
        <v/>
      </c>
      <c r="AC50" s="139"/>
      <c r="AD50" s="110" t="str">
        <f t="shared" si="18"/>
        <v/>
      </c>
      <c r="AE50" s="111" t="str">
        <f t="shared" si="19"/>
        <v/>
      </c>
      <c r="AF50" s="111" t="str">
        <f t="shared" si="10"/>
        <v/>
      </c>
      <c r="AG50" s="111" t="str">
        <f t="shared" si="20"/>
        <v/>
      </c>
      <c r="AH50" s="111" t="str">
        <f t="shared" si="21"/>
        <v/>
      </c>
      <c r="AI50" s="112" t="str">
        <f t="shared" si="22"/>
        <v/>
      </c>
      <c r="AJ50" t="str">
        <f t="shared" si="23"/>
        <v/>
      </c>
      <c r="AK50" t="str">
        <f t="shared" si="24"/>
        <v/>
      </c>
    </row>
    <row r="51" spans="1:37" ht="15" customHeight="1" x14ac:dyDescent="0.25">
      <c r="A51" s="114"/>
      <c r="B51" s="116"/>
      <c r="C51" s="116"/>
      <c r="D51" s="42" t="str">
        <f t="shared" si="0"/>
        <v/>
      </c>
      <c r="E51" s="43"/>
      <c r="F51" s="83"/>
      <c r="G51" s="118"/>
      <c r="H51" s="34" t="str">
        <f t="shared" si="1"/>
        <v/>
      </c>
      <c r="I51" s="88" t="str">
        <f t="shared" si="11"/>
        <v/>
      </c>
      <c r="J51" s="44" t="str">
        <f t="shared" si="2"/>
        <v/>
      </c>
      <c r="K51" s="118"/>
      <c r="L51" s="34" t="str">
        <f t="shared" si="3"/>
        <v/>
      </c>
      <c r="M51" s="118"/>
      <c r="N51" s="121"/>
      <c r="O51" s="122" t="str">
        <f t="shared" si="12"/>
        <v/>
      </c>
      <c r="P51" s="35" t="str">
        <f t="shared" si="13"/>
        <v/>
      </c>
      <c r="Q51" s="124"/>
      <c r="R51" s="36" t="str">
        <f t="shared" si="14"/>
        <v/>
      </c>
      <c r="S51" s="37" t="str">
        <f t="shared" si="4"/>
        <v/>
      </c>
      <c r="T51" s="38" t="str">
        <f t="shared" si="5"/>
        <v/>
      </c>
      <c r="U51" s="39" t="str">
        <f t="shared" si="6"/>
        <v/>
      </c>
      <c r="V51" s="40" t="str">
        <f t="shared" si="7"/>
        <v/>
      </c>
      <c r="W51" s="39" t="str">
        <f t="shared" si="8"/>
        <v/>
      </c>
      <c r="X51" s="34" t="str">
        <f t="shared" si="15"/>
        <v/>
      </c>
      <c r="Y51" s="41" t="str">
        <f t="shared" si="16"/>
        <v/>
      </c>
      <c r="Z51" s="98" t="str">
        <f t="shared" si="9"/>
        <v/>
      </c>
      <c r="AA51" s="81" t="str">
        <f t="shared" si="17"/>
        <v/>
      </c>
      <c r="AC51" s="139"/>
      <c r="AD51" s="110" t="str">
        <f t="shared" si="18"/>
        <v/>
      </c>
      <c r="AE51" s="111" t="str">
        <f t="shared" si="19"/>
        <v/>
      </c>
      <c r="AF51" s="111" t="str">
        <f t="shared" si="10"/>
        <v/>
      </c>
      <c r="AG51" s="111" t="str">
        <f t="shared" si="20"/>
        <v/>
      </c>
      <c r="AH51" s="111" t="str">
        <f t="shared" si="21"/>
        <v/>
      </c>
      <c r="AI51" s="112" t="str">
        <f t="shared" si="22"/>
        <v/>
      </c>
      <c r="AJ51" t="str">
        <f t="shared" si="23"/>
        <v/>
      </c>
      <c r="AK51" t="str">
        <f t="shared" si="24"/>
        <v/>
      </c>
    </row>
    <row r="52" spans="1:37" ht="15" customHeight="1" x14ac:dyDescent="0.25">
      <c r="A52" s="114"/>
      <c r="B52" s="116"/>
      <c r="C52" s="116"/>
      <c r="D52" s="42" t="str">
        <f t="shared" si="0"/>
        <v/>
      </c>
      <c r="E52" s="43"/>
      <c r="F52" s="83"/>
      <c r="G52" s="118"/>
      <c r="H52" s="34" t="str">
        <f t="shared" si="1"/>
        <v/>
      </c>
      <c r="I52" s="88" t="str">
        <f t="shared" si="11"/>
        <v/>
      </c>
      <c r="J52" s="44" t="str">
        <f t="shared" si="2"/>
        <v/>
      </c>
      <c r="K52" s="118"/>
      <c r="L52" s="34" t="str">
        <f t="shared" si="3"/>
        <v/>
      </c>
      <c r="M52" s="118"/>
      <c r="N52" s="121"/>
      <c r="O52" s="122" t="str">
        <f t="shared" si="12"/>
        <v/>
      </c>
      <c r="P52" s="35" t="str">
        <f t="shared" si="13"/>
        <v/>
      </c>
      <c r="Q52" s="124"/>
      <c r="R52" s="36" t="str">
        <f t="shared" si="14"/>
        <v/>
      </c>
      <c r="S52" s="37" t="str">
        <f t="shared" si="4"/>
        <v/>
      </c>
      <c r="T52" s="38" t="str">
        <f t="shared" si="5"/>
        <v/>
      </c>
      <c r="U52" s="39" t="str">
        <f t="shared" si="6"/>
        <v/>
      </c>
      <c r="V52" s="40" t="str">
        <f t="shared" si="7"/>
        <v/>
      </c>
      <c r="W52" s="39" t="str">
        <f t="shared" si="8"/>
        <v/>
      </c>
      <c r="X52" s="34" t="str">
        <f t="shared" si="15"/>
        <v/>
      </c>
      <c r="Y52" s="41" t="str">
        <f t="shared" si="16"/>
        <v/>
      </c>
      <c r="Z52" s="98" t="str">
        <f t="shared" si="9"/>
        <v/>
      </c>
      <c r="AA52" s="81" t="str">
        <f t="shared" si="17"/>
        <v/>
      </c>
      <c r="AC52" s="139"/>
      <c r="AD52" s="110" t="str">
        <f t="shared" si="18"/>
        <v/>
      </c>
      <c r="AE52" s="111" t="str">
        <f t="shared" si="19"/>
        <v/>
      </c>
      <c r="AF52" s="111" t="str">
        <f t="shared" si="10"/>
        <v/>
      </c>
      <c r="AG52" s="111" t="str">
        <f t="shared" si="20"/>
        <v/>
      </c>
      <c r="AH52" s="111" t="str">
        <f t="shared" si="21"/>
        <v/>
      </c>
      <c r="AI52" s="112" t="str">
        <f t="shared" si="22"/>
        <v/>
      </c>
      <c r="AJ52" t="str">
        <f t="shared" si="23"/>
        <v/>
      </c>
      <c r="AK52" t="str">
        <f t="shared" si="24"/>
        <v/>
      </c>
    </row>
    <row r="53" spans="1:37" ht="15" customHeight="1" x14ac:dyDescent="0.25">
      <c r="A53" s="114"/>
      <c r="B53" s="116"/>
      <c r="C53" s="116"/>
      <c r="D53" s="42" t="str">
        <f t="shared" si="0"/>
        <v/>
      </c>
      <c r="E53" s="43"/>
      <c r="F53" s="83"/>
      <c r="G53" s="118"/>
      <c r="H53" s="34" t="str">
        <f t="shared" si="1"/>
        <v/>
      </c>
      <c r="I53" s="88" t="str">
        <f t="shared" si="11"/>
        <v/>
      </c>
      <c r="J53" s="44" t="str">
        <f t="shared" si="2"/>
        <v/>
      </c>
      <c r="K53" s="118"/>
      <c r="L53" s="34" t="str">
        <f t="shared" si="3"/>
        <v/>
      </c>
      <c r="M53" s="118"/>
      <c r="N53" s="121"/>
      <c r="O53" s="122" t="str">
        <f t="shared" si="12"/>
        <v/>
      </c>
      <c r="P53" s="35" t="str">
        <f t="shared" si="13"/>
        <v/>
      </c>
      <c r="Q53" s="124"/>
      <c r="R53" s="36" t="str">
        <f t="shared" si="14"/>
        <v/>
      </c>
      <c r="S53" s="37" t="str">
        <f t="shared" si="4"/>
        <v/>
      </c>
      <c r="T53" s="38" t="str">
        <f t="shared" si="5"/>
        <v/>
      </c>
      <c r="U53" s="39" t="str">
        <f t="shared" si="6"/>
        <v/>
      </c>
      <c r="V53" s="40" t="str">
        <f t="shared" si="7"/>
        <v/>
      </c>
      <c r="W53" s="39" t="str">
        <f t="shared" si="8"/>
        <v/>
      </c>
      <c r="X53" s="34" t="str">
        <f t="shared" si="15"/>
        <v/>
      </c>
      <c r="Y53" s="41" t="str">
        <f t="shared" si="16"/>
        <v/>
      </c>
      <c r="Z53" s="98" t="str">
        <f t="shared" si="9"/>
        <v/>
      </c>
      <c r="AA53" s="81" t="str">
        <f t="shared" si="17"/>
        <v/>
      </c>
      <c r="AC53" s="139"/>
      <c r="AD53" s="110" t="str">
        <f t="shared" si="18"/>
        <v/>
      </c>
      <c r="AE53" s="111" t="str">
        <f t="shared" si="19"/>
        <v/>
      </c>
      <c r="AF53" s="111" t="str">
        <f t="shared" si="10"/>
        <v/>
      </c>
      <c r="AG53" s="111" t="str">
        <f t="shared" si="20"/>
        <v/>
      </c>
      <c r="AH53" s="111" t="str">
        <f t="shared" si="21"/>
        <v/>
      </c>
      <c r="AI53" s="112" t="str">
        <f t="shared" si="22"/>
        <v/>
      </c>
      <c r="AJ53" t="str">
        <f t="shared" si="23"/>
        <v/>
      </c>
      <c r="AK53" t="str">
        <f t="shared" si="24"/>
        <v/>
      </c>
    </row>
    <row r="54" spans="1:37" ht="15" customHeight="1" x14ac:dyDescent="0.25">
      <c r="A54" s="114"/>
      <c r="B54" s="116"/>
      <c r="C54" s="116"/>
      <c r="D54" s="42" t="str">
        <f t="shared" si="0"/>
        <v/>
      </c>
      <c r="E54" s="43"/>
      <c r="F54" s="83"/>
      <c r="G54" s="118"/>
      <c r="H54" s="34" t="str">
        <f t="shared" si="1"/>
        <v/>
      </c>
      <c r="I54" s="88" t="str">
        <f t="shared" si="11"/>
        <v/>
      </c>
      <c r="J54" s="44" t="str">
        <f t="shared" si="2"/>
        <v/>
      </c>
      <c r="K54" s="118"/>
      <c r="L54" s="34" t="str">
        <f t="shared" si="3"/>
        <v/>
      </c>
      <c r="M54" s="118"/>
      <c r="N54" s="121"/>
      <c r="O54" s="122" t="str">
        <f t="shared" si="12"/>
        <v/>
      </c>
      <c r="P54" s="35" t="str">
        <f t="shared" si="13"/>
        <v/>
      </c>
      <c r="Q54" s="124"/>
      <c r="R54" s="36" t="str">
        <f t="shared" si="14"/>
        <v/>
      </c>
      <c r="S54" s="37" t="str">
        <f t="shared" si="4"/>
        <v/>
      </c>
      <c r="T54" s="38" t="str">
        <f t="shared" si="5"/>
        <v/>
      </c>
      <c r="U54" s="39" t="str">
        <f t="shared" si="6"/>
        <v/>
      </c>
      <c r="V54" s="40" t="str">
        <f t="shared" si="7"/>
        <v/>
      </c>
      <c r="W54" s="39" t="str">
        <f t="shared" si="8"/>
        <v/>
      </c>
      <c r="X54" s="34" t="str">
        <f t="shared" si="15"/>
        <v/>
      </c>
      <c r="Y54" s="41" t="str">
        <f t="shared" si="16"/>
        <v/>
      </c>
      <c r="Z54" s="98" t="str">
        <f t="shared" si="9"/>
        <v/>
      </c>
      <c r="AA54" s="81" t="str">
        <f t="shared" si="17"/>
        <v/>
      </c>
      <c r="AC54" s="139"/>
      <c r="AD54" s="110" t="str">
        <f t="shared" si="18"/>
        <v/>
      </c>
      <c r="AE54" s="111" t="str">
        <f t="shared" si="19"/>
        <v/>
      </c>
      <c r="AF54" s="111" t="str">
        <f t="shared" si="10"/>
        <v/>
      </c>
      <c r="AG54" s="111" t="str">
        <f t="shared" si="20"/>
        <v/>
      </c>
      <c r="AH54" s="111" t="str">
        <f t="shared" si="21"/>
        <v/>
      </c>
      <c r="AI54" s="112" t="str">
        <f t="shared" si="22"/>
        <v/>
      </c>
      <c r="AJ54" t="str">
        <f t="shared" si="23"/>
        <v/>
      </c>
      <c r="AK54" t="str">
        <f t="shared" si="24"/>
        <v/>
      </c>
    </row>
    <row r="55" spans="1:37" ht="15" customHeight="1" x14ac:dyDescent="0.25">
      <c r="A55" s="114"/>
      <c r="B55" s="116"/>
      <c r="C55" s="116"/>
      <c r="D55" s="42" t="str">
        <f t="shared" si="0"/>
        <v/>
      </c>
      <c r="E55" s="43"/>
      <c r="F55" s="83"/>
      <c r="G55" s="118"/>
      <c r="H55" s="34" t="str">
        <f t="shared" si="1"/>
        <v/>
      </c>
      <c r="I55" s="88" t="str">
        <f t="shared" si="11"/>
        <v/>
      </c>
      <c r="J55" s="44" t="str">
        <f t="shared" si="2"/>
        <v/>
      </c>
      <c r="K55" s="118"/>
      <c r="L55" s="34" t="str">
        <f t="shared" si="3"/>
        <v/>
      </c>
      <c r="M55" s="118"/>
      <c r="N55" s="121"/>
      <c r="O55" s="122" t="str">
        <f t="shared" si="12"/>
        <v/>
      </c>
      <c r="P55" s="35" t="str">
        <f t="shared" si="13"/>
        <v/>
      </c>
      <c r="Q55" s="124"/>
      <c r="R55" s="36" t="str">
        <f t="shared" si="14"/>
        <v/>
      </c>
      <c r="S55" s="37" t="str">
        <f t="shared" si="4"/>
        <v/>
      </c>
      <c r="T55" s="38" t="str">
        <f t="shared" si="5"/>
        <v/>
      </c>
      <c r="U55" s="39" t="str">
        <f t="shared" si="6"/>
        <v/>
      </c>
      <c r="V55" s="40" t="str">
        <f t="shared" si="7"/>
        <v/>
      </c>
      <c r="W55" s="39" t="str">
        <f t="shared" si="8"/>
        <v/>
      </c>
      <c r="X55" s="34" t="str">
        <f t="shared" si="15"/>
        <v/>
      </c>
      <c r="Y55" s="41" t="str">
        <f t="shared" si="16"/>
        <v/>
      </c>
      <c r="Z55" s="98" t="str">
        <f t="shared" si="9"/>
        <v/>
      </c>
      <c r="AA55" s="81" t="str">
        <f t="shared" si="17"/>
        <v/>
      </c>
      <c r="AC55" s="139"/>
      <c r="AD55" s="110" t="str">
        <f t="shared" si="18"/>
        <v/>
      </c>
      <c r="AE55" s="111" t="str">
        <f t="shared" si="19"/>
        <v/>
      </c>
      <c r="AF55" s="111" t="str">
        <f t="shared" si="10"/>
        <v/>
      </c>
      <c r="AG55" s="111" t="str">
        <f t="shared" si="20"/>
        <v/>
      </c>
      <c r="AH55" s="111" t="str">
        <f t="shared" si="21"/>
        <v/>
      </c>
      <c r="AI55" s="112" t="str">
        <f t="shared" si="22"/>
        <v/>
      </c>
      <c r="AJ55" t="str">
        <f t="shared" si="23"/>
        <v/>
      </c>
      <c r="AK55" t="str">
        <f t="shared" si="24"/>
        <v/>
      </c>
    </row>
    <row r="56" spans="1:37" ht="15" customHeight="1" x14ac:dyDescent="0.25">
      <c r="A56" s="114"/>
      <c r="B56" s="116"/>
      <c r="C56" s="116"/>
      <c r="D56" s="42" t="str">
        <f t="shared" si="0"/>
        <v/>
      </c>
      <c r="E56" s="43"/>
      <c r="F56" s="83"/>
      <c r="G56" s="118"/>
      <c r="H56" s="34" t="str">
        <f t="shared" si="1"/>
        <v/>
      </c>
      <c r="I56" s="88" t="str">
        <f t="shared" si="11"/>
        <v/>
      </c>
      <c r="J56" s="44" t="str">
        <f t="shared" si="2"/>
        <v/>
      </c>
      <c r="K56" s="118"/>
      <c r="L56" s="34" t="str">
        <f t="shared" si="3"/>
        <v/>
      </c>
      <c r="M56" s="118"/>
      <c r="N56" s="121"/>
      <c r="O56" s="122" t="str">
        <f t="shared" si="12"/>
        <v/>
      </c>
      <c r="P56" s="35" t="str">
        <f t="shared" si="13"/>
        <v/>
      </c>
      <c r="Q56" s="124"/>
      <c r="R56" s="36" t="str">
        <f t="shared" si="14"/>
        <v/>
      </c>
      <c r="S56" s="37" t="str">
        <f t="shared" si="4"/>
        <v/>
      </c>
      <c r="T56" s="38" t="str">
        <f t="shared" si="5"/>
        <v/>
      </c>
      <c r="U56" s="39" t="str">
        <f t="shared" si="6"/>
        <v/>
      </c>
      <c r="V56" s="40" t="str">
        <f t="shared" si="7"/>
        <v/>
      </c>
      <c r="W56" s="39" t="str">
        <f t="shared" si="8"/>
        <v/>
      </c>
      <c r="X56" s="34" t="str">
        <f t="shared" si="15"/>
        <v/>
      </c>
      <c r="Y56" s="41" t="str">
        <f t="shared" si="16"/>
        <v/>
      </c>
      <c r="Z56" s="98" t="str">
        <f t="shared" si="9"/>
        <v/>
      </c>
      <c r="AA56" s="81" t="str">
        <f t="shared" si="17"/>
        <v/>
      </c>
      <c r="AC56" s="139"/>
      <c r="AD56" s="110" t="str">
        <f t="shared" si="18"/>
        <v/>
      </c>
      <c r="AE56" s="111" t="str">
        <f t="shared" si="19"/>
        <v/>
      </c>
      <c r="AF56" s="111" t="str">
        <f t="shared" si="10"/>
        <v/>
      </c>
      <c r="AG56" s="111" t="str">
        <f t="shared" si="20"/>
        <v/>
      </c>
      <c r="AH56" s="111" t="str">
        <f t="shared" si="21"/>
        <v/>
      </c>
      <c r="AI56" s="112" t="str">
        <f t="shared" si="22"/>
        <v/>
      </c>
      <c r="AJ56" t="str">
        <f t="shared" si="23"/>
        <v/>
      </c>
      <c r="AK56" t="str">
        <f t="shared" si="24"/>
        <v/>
      </c>
    </row>
    <row r="57" spans="1:37" ht="15" customHeight="1" x14ac:dyDescent="0.25">
      <c r="A57" s="114"/>
      <c r="B57" s="116"/>
      <c r="C57" s="116"/>
      <c r="D57" s="42" t="str">
        <f t="shared" si="0"/>
        <v/>
      </c>
      <c r="E57" s="43"/>
      <c r="F57" s="83"/>
      <c r="G57" s="118"/>
      <c r="H57" s="34" t="str">
        <f t="shared" si="1"/>
        <v/>
      </c>
      <c r="I57" s="88" t="str">
        <f t="shared" si="11"/>
        <v/>
      </c>
      <c r="J57" s="44" t="str">
        <f t="shared" si="2"/>
        <v/>
      </c>
      <c r="K57" s="118"/>
      <c r="L57" s="34" t="str">
        <f t="shared" si="3"/>
        <v/>
      </c>
      <c r="M57" s="118"/>
      <c r="N57" s="121"/>
      <c r="O57" s="122" t="str">
        <f t="shared" si="12"/>
        <v/>
      </c>
      <c r="P57" s="35" t="str">
        <f t="shared" si="13"/>
        <v/>
      </c>
      <c r="Q57" s="124"/>
      <c r="R57" s="36" t="str">
        <f t="shared" si="14"/>
        <v/>
      </c>
      <c r="S57" s="37" t="str">
        <f t="shared" si="4"/>
        <v/>
      </c>
      <c r="T57" s="38" t="str">
        <f t="shared" si="5"/>
        <v/>
      </c>
      <c r="U57" s="39" t="str">
        <f t="shared" si="6"/>
        <v/>
      </c>
      <c r="V57" s="40" t="str">
        <f t="shared" si="7"/>
        <v/>
      </c>
      <c r="W57" s="39" t="str">
        <f t="shared" si="8"/>
        <v/>
      </c>
      <c r="X57" s="34" t="str">
        <f t="shared" si="15"/>
        <v/>
      </c>
      <c r="Y57" s="41" t="str">
        <f t="shared" si="16"/>
        <v/>
      </c>
      <c r="Z57" s="98" t="str">
        <f t="shared" si="9"/>
        <v/>
      </c>
      <c r="AA57" s="81" t="str">
        <f t="shared" si="17"/>
        <v/>
      </c>
      <c r="AC57" s="139"/>
      <c r="AD57" s="110" t="str">
        <f t="shared" si="18"/>
        <v/>
      </c>
      <c r="AE57" s="111" t="str">
        <f t="shared" si="19"/>
        <v/>
      </c>
      <c r="AF57" s="111" t="str">
        <f t="shared" si="10"/>
        <v/>
      </c>
      <c r="AG57" s="111" t="str">
        <f t="shared" si="20"/>
        <v/>
      </c>
      <c r="AH57" s="111" t="str">
        <f t="shared" si="21"/>
        <v/>
      </c>
      <c r="AI57" s="112" t="str">
        <f t="shared" si="22"/>
        <v/>
      </c>
      <c r="AJ57" t="str">
        <f t="shared" si="23"/>
        <v/>
      </c>
      <c r="AK57" t="str">
        <f t="shared" si="24"/>
        <v/>
      </c>
    </row>
    <row r="58" spans="1:37" ht="15" customHeight="1" x14ac:dyDescent="0.25">
      <c r="A58" s="114"/>
      <c r="B58" s="116"/>
      <c r="C58" s="116"/>
      <c r="D58" s="42" t="str">
        <f t="shared" si="0"/>
        <v/>
      </c>
      <c r="E58" s="43"/>
      <c r="F58" s="83"/>
      <c r="G58" s="118"/>
      <c r="H58" s="34" t="str">
        <f t="shared" si="1"/>
        <v/>
      </c>
      <c r="I58" s="88" t="str">
        <f t="shared" si="11"/>
        <v/>
      </c>
      <c r="J58" s="44" t="str">
        <f t="shared" si="2"/>
        <v/>
      </c>
      <c r="K58" s="118"/>
      <c r="L58" s="34" t="str">
        <f t="shared" si="3"/>
        <v/>
      </c>
      <c r="M58" s="118"/>
      <c r="N58" s="121"/>
      <c r="O58" s="122" t="str">
        <f t="shared" si="12"/>
        <v/>
      </c>
      <c r="P58" s="35" t="str">
        <f t="shared" si="13"/>
        <v/>
      </c>
      <c r="Q58" s="124"/>
      <c r="R58" s="36" t="str">
        <f t="shared" si="14"/>
        <v/>
      </c>
      <c r="S58" s="37" t="str">
        <f t="shared" si="4"/>
        <v/>
      </c>
      <c r="T58" s="38" t="str">
        <f t="shared" si="5"/>
        <v/>
      </c>
      <c r="U58" s="39" t="str">
        <f t="shared" si="6"/>
        <v/>
      </c>
      <c r="V58" s="40" t="str">
        <f t="shared" si="7"/>
        <v/>
      </c>
      <c r="W58" s="39" t="str">
        <f t="shared" si="8"/>
        <v/>
      </c>
      <c r="X58" s="34" t="str">
        <f t="shared" si="15"/>
        <v/>
      </c>
      <c r="Y58" s="41" t="str">
        <f t="shared" si="16"/>
        <v/>
      </c>
      <c r="Z58" s="98" t="str">
        <f t="shared" si="9"/>
        <v/>
      </c>
      <c r="AA58" s="81" t="str">
        <f t="shared" si="17"/>
        <v/>
      </c>
      <c r="AC58" s="139"/>
      <c r="AD58" s="110" t="str">
        <f t="shared" si="18"/>
        <v/>
      </c>
      <c r="AE58" s="111" t="str">
        <f t="shared" si="19"/>
        <v/>
      </c>
      <c r="AF58" s="111" t="str">
        <f t="shared" si="10"/>
        <v/>
      </c>
      <c r="AG58" s="111" t="str">
        <f t="shared" si="20"/>
        <v/>
      </c>
      <c r="AH58" s="111" t="str">
        <f t="shared" si="21"/>
        <v/>
      </c>
      <c r="AI58" s="112" t="str">
        <f t="shared" si="22"/>
        <v/>
      </c>
      <c r="AJ58" t="str">
        <f t="shared" si="23"/>
        <v/>
      </c>
      <c r="AK58" t="str">
        <f t="shared" si="24"/>
        <v/>
      </c>
    </row>
    <row r="59" spans="1:37" ht="15" customHeight="1" x14ac:dyDescent="0.25">
      <c r="A59" s="114"/>
      <c r="B59" s="116"/>
      <c r="C59" s="116"/>
      <c r="D59" s="42" t="str">
        <f t="shared" si="0"/>
        <v/>
      </c>
      <c r="E59" s="43"/>
      <c r="F59" s="83"/>
      <c r="G59" s="118"/>
      <c r="H59" s="34" t="str">
        <f t="shared" si="1"/>
        <v/>
      </c>
      <c r="I59" s="88" t="str">
        <f t="shared" si="11"/>
        <v/>
      </c>
      <c r="J59" s="44" t="str">
        <f t="shared" si="2"/>
        <v/>
      </c>
      <c r="K59" s="118"/>
      <c r="L59" s="34" t="str">
        <f t="shared" si="3"/>
        <v/>
      </c>
      <c r="M59" s="118"/>
      <c r="N59" s="121"/>
      <c r="O59" s="122" t="str">
        <f t="shared" si="12"/>
        <v/>
      </c>
      <c r="P59" s="35" t="str">
        <f t="shared" si="13"/>
        <v/>
      </c>
      <c r="Q59" s="124"/>
      <c r="R59" s="36" t="str">
        <f t="shared" si="14"/>
        <v/>
      </c>
      <c r="S59" s="37" t="str">
        <f t="shared" si="4"/>
        <v/>
      </c>
      <c r="T59" s="38" t="str">
        <f t="shared" si="5"/>
        <v/>
      </c>
      <c r="U59" s="39" t="str">
        <f t="shared" si="6"/>
        <v/>
      </c>
      <c r="V59" s="40" t="str">
        <f t="shared" si="7"/>
        <v/>
      </c>
      <c r="W59" s="39" t="str">
        <f t="shared" si="8"/>
        <v/>
      </c>
      <c r="X59" s="34" t="str">
        <f t="shared" si="15"/>
        <v/>
      </c>
      <c r="Y59" s="41" t="str">
        <f t="shared" si="16"/>
        <v/>
      </c>
      <c r="Z59" s="98" t="str">
        <f t="shared" si="9"/>
        <v/>
      </c>
      <c r="AA59" s="81" t="str">
        <f t="shared" si="17"/>
        <v/>
      </c>
      <c r="AC59" s="139"/>
      <c r="AD59" s="110" t="str">
        <f t="shared" si="18"/>
        <v/>
      </c>
      <c r="AE59" s="111" t="str">
        <f t="shared" si="19"/>
        <v/>
      </c>
      <c r="AF59" s="111" t="str">
        <f t="shared" si="10"/>
        <v/>
      </c>
      <c r="AG59" s="111" t="str">
        <f t="shared" si="20"/>
        <v/>
      </c>
      <c r="AH59" s="111" t="str">
        <f t="shared" si="21"/>
        <v/>
      </c>
      <c r="AI59" s="112" t="str">
        <f t="shared" si="22"/>
        <v/>
      </c>
      <c r="AJ59" t="str">
        <f t="shared" si="23"/>
        <v/>
      </c>
      <c r="AK59" t="str">
        <f t="shared" si="24"/>
        <v/>
      </c>
    </row>
    <row r="60" spans="1:37" ht="15" customHeight="1" x14ac:dyDescent="0.25">
      <c r="A60" s="114"/>
      <c r="B60" s="116"/>
      <c r="C60" s="116"/>
      <c r="D60" s="42" t="str">
        <f t="shared" si="0"/>
        <v/>
      </c>
      <c r="E60" s="43"/>
      <c r="F60" s="83"/>
      <c r="G60" s="118"/>
      <c r="H60" s="34" t="str">
        <f t="shared" si="1"/>
        <v/>
      </c>
      <c r="I60" s="88" t="str">
        <f t="shared" si="11"/>
        <v/>
      </c>
      <c r="J60" s="44" t="str">
        <f t="shared" si="2"/>
        <v/>
      </c>
      <c r="K60" s="118"/>
      <c r="L60" s="34" t="str">
        <f t="shared" si="3"/>
        <v/>
      </c>
      <c r="M60" s="118"/>
      <c r="N60" s="121"/>
      <c r="O60" s="122" t="str">
        <f t="shared" si="12"/>
        <v/>
      </c>
      <c r="P60" s="35" t="str">
        <f t="shared" si="13"/>
        <v/>
      </c>
      <c r="Q60" s="124"/>
      <c r="R60" s="36" t="str">
        <f t="shared" si="14"/>
        <v/>
      </c>
      <c r="S60" s="37" t="str">
        <f t="shared" si="4"/>
        <v/>
      </c>
      <c r="T60" s="38" t="str">
        <f t="shared" si="5"/>
        <v/>
      </c>
      <c r="U60" s="39" t="str">
        <f t="shared" si="6"/>
        <v/>
      </c>
      <c r="V60" s="40" t="str">
        <f t="shared" si="7"/>
        <v/>
      </c>
      <c r="W60" s="39" t="str">
        <f t="shared" si="8"/>
        <v/>
      </c>
      <c r="X60" s="34" t="str">
        <f t="shared" si="15"/>
        <v/>
      </c>
      <c r="Y60" s="41" t="str">
        <f t="shared" si="16"/>
        <v/>
      </c>
      <c r="Z60" s="98" t="str">
        <f t="shared" si="9"/>
        <v/>
      </c>
      <c r="AA60" s="81" t="str">
        <f t="shared" si="17"/>
        <v/>
      </c>
      <c r="AC60" s="139"/>
      <c r="AD60" s="110" t="str">
        <f t="shared" si="18"/>
        <v/>
      </c>
      <c r="AE60" s="111" t="str">
        <f t="shared" si="19"/>
        <v/>
      </c>
      <c r="AF60" s="111" t="str">
        <f t="shared" si="10"/>
        <v/>
      </c>
      <c r="AG60" s="111" t="str">
        <f t="shared" si="20"/>
        <v/>
      </c>
      <c r="AH60" s="111" t="str">
        <f t="shared" si="21"/>
        <v/>
      </c>
      <c r="AI60" s="112" t="str">
        <f t="shared" si="22"/>
        <v/>
      </c>
      <c r="AJ60" t="str">
        <f t="shared" si="23"/>
        <v/>
      </c>
      <c r="AK60" t="str">
        <f t="shared" si="24"/>
        <v/>
      </c>
    </row>
    <row r="61" spans="1:37" ht="15" customHeight="1" x14ac:dyDescent="0.25">
      <c r="A61" s="114"/>
      <c r="B61" s="116"/>
      <c r="C61" s="116"/>
      <c r="D61" s="42" t="str">
        <f t="shared" si="0"/>
        <v/>
      </c>
      <c r="E61" s="43"/>
      <c r="F61" s="83"/>
      <c r="G61" s="118"/>
      <c r="H61" s="34" t="str">
        <f t="shared" si="1"/>
        <v/>
      </c>
      <c r="I61" s="88" t="str">
        <f t="shared" si="11"/>
        <v/>
      </c>
      <c r="J61" s="44" t="str">
        <f t="shared" si="2"/>
        <v/>
      </c>
      <c r="K61" s="118"/>
      <c r="L61" s="34" t="str">
        <f t="shared" si="3"/>
        <v/>
      </c>
      <c r="M61" s="118"/>
      <c r="N61" s="121"/>
      <c r="O61" s="122" t="str">
        <f t="shared" si="12"/>
        <v/>
      </c>
      <c r="P61" s="35" t="str">
        <f t="shared" si="13"/>
        <v/>
      </c>
      <c r="Q61" s="124"/>
      <c r="R61" s="36" t="str">
        <f t="shared" si="14"/>
        <v/>
      </c>
      <c r="S61" s="37" t="str">
        <f t="shared" si="4"/>
        <v/>
      </c>
      <c r="T61" s="38" t="str">
        <f t="shared" si="5"/>
        <v/>
      </c>
      <c r="U61" s="39" t="str">
        <f t="shared" si="6"/>
        <v/>
      </c>
      <c r="V61" s="40" t="str">
        <f t="shared" si="7"/>
        <v/>
      </c>
      <c r="W61" s="39" t="str">
        <f t="shared" si="8"/>
        <v/>
      </c>
      <c r="X61" s="34" t="str">
        <f t="shared" si="15"/>
        <v/>
      </c>
      <c r="Y61" s="41" t="str">
        <f t="shared" si="16"/>
        <v/>
      </c>
      <c r="Z61" s="98" t="str">
        <f t="shared" si="9"/>
        <v/>
      </c>
      <c r="AA61" s="81" t="str">
        <f t="shared" si="17"/>
        <v/>
      </c>
      <c r="AC61" s="139"/>
      <c r="AD61" s="110" t="str">
        <f t="shared" si="18"/>
        <v/>
      </c>
      <c r="AE61" s="111" t="str">
        <f t="shared" si="19"/>
        <v/>
      </c>
      <c r="AF61" s="111" t="str">
        <f t="shared" si="10"/>
        <v/>
      </c>
      <c r="AG61" s="111" t="str">
        <f t="shared" si="20"/>
        <v/>
      </c>
      <c r="AH61" s="111" t="str">
        <f t="shared" si="21"/>
        <v/>
      </c>
      <c r="AI61" s="112" t="str">
        <f t="shared" si="22"/>
        <v/>
      </c>
      <c r="AJ61" t="str">
        <f t="shared" si="23"/>
        <v/>
      </c>
      <c r="AK61" t="str">
        <f t="shared" si="24"/>
        <v/>
      </c>
    </row>
    <row r="62" spans="1:37" ht="15" customHeight="1" x14ac:dyDescent="0.25">
      <c r="A62" s="114"/>
      <c r="B62" s="116"/>
      <c r="C62" s="116"/>
      <c r="D62" s="42" t="str">
        <f t="shared" si="0"/>
        <v/>
      </c>
      <c r="E62" s="43"/>
      <c r="F62" s="83"/>
      <c r="G62" s="118"/>
      <c r="H62" s="34" t="str">
        <f t="shared" si="1"/>
        <v/>
      </c>
      <c r="I62" s="88" t="str">
        <f t="shared" si="11"/>
        <v/>
      </c>
      <c r="J62" s="44" t="str">
        <f t="shared" si="2"/>
        <v/>
      </c>
      <c r="K62" s="118"/>
      <c r="L62" s="34" t="str">
        <f t="shared" si="3"/>
        <v/>
      </c>
      <c r="M62" s="118"/>
      <c r="N62" s="121"/>
      <c r="O62" s="122" t="str">
        <f t="shared" si="12"/>
        <v/>
      </c>
      <c r="P62" s="35" t="str">
        <f t="shared" si="13"/>
        <v/>
      </c>
      <c r="Q62" s="124"/>
      <c r="R62" s="36" t="str">
        <f t="shared" si="14"/>
        <v/>
      </c>
      <c r="S62" s="37" t="str">
        <f t="shared" si="4"/>
        <v/>
      </c>
      <c r="T62" s="38" t="str">
        <f t="shared" si="5"/>
        <v/>
      </c>
      <c r="U62" s="39" t="str">
        <f t="shared" si="6"/>
        <v/>
      </c>
      <c r="V62" s="40" t="str">
        <f t="shared" si="7"/>
        <v/>
      </c>
      <c r="W62" s="39" t="str">
        <f t="shared" si="8"/>
        <v/>
      </c>
      <c r="X62" s="34" t="str">
        <f t="shared" si="15"/>
        <v/>
      </c>
      <c r="Y62" s="41" t="str">
        <f t="shared" si="16"/>
        <v/>
      </c>
      <c r="Z62" s="98" t="str">
        <f t="shared" si="9"/>
        <v/>
      </c>
      <c r="AA62" s="81" t="str">
        <f t="shared" si="17"/>
        <v/>
      </c>
      <c r="AC62" s="139"/>
      <c r="AD62" s="110" t="str">
        <f t="shared" si="18"/>
        <v/>
      </c>
      <c r="AE62" s="111" t="str">
        <f t="shared" si="19"/>
        <v/>
      </c>
      <c r="AF62" s="111" t="str">
        <f t="shared" si="10"/>
        <v/>
      </c>
      <c r="AG62" s="111" t="str">
        <f t="shared" si="20"/>
        <v/>
      </c>
      <c r="AH62" s="111" t="str">
        <f t="shared" si="21"/>
        <v/>
      </c>
      <c r="AI62" s="112" t="str">
        <f t="shared" si="22"/>
        <v/>
      </c>
      <c r="AJ62" t="str">
        <f t="shared" si="23"/>
        <v/>
      </c>
      <c r="AK62" t="str">
        <f t="shared" si="24"/>
        <v/>
      </c>
    </row>
    <row r="63" spans="1:37" ht="15" customHeight="1" x14ac:dyDescent="0.25">
      <c r="A63" s="114"/>
      <c r="B63" s="116"/>
      <c r="C63" s="116"/>
      <c r="D63" s="42" t="str">
        <f t="shared" si="0"/>
        <v/>
      </c>
      <c r="E63" s="43"/>
      <c r="F63" s="83"/>
      <c r="G63" s="118"/>
      <c r="H63" s="34" t="str">
        <f t="shared" si="1"/>
        <v/>
      </c>
      <c r="I63" s="88" t="str">
        <f t="shared" si="11"/>
        <v/>
      </c>
      <c r="J63" s="44" t="str">
        <f t="shared" si="2"/>
        <v/>
      </c>
      <c r="K63" s="118"/>
      <c r="L63" s="34" t="str">
        <f t="shared" si="3"/>
        <v/>
      </c>
      <c r="M63" s="118"/>
      <c r="N63" s="121"/>
      <c r="O63" s="122" t="str">
        <f t="shared" si="12"/>
        <v/>
      </c>
      <c r="P63" s="35" t="str">
        <f t="shared" si="13"/>
        <v/>
      </c>
      <c r="Q63" s="124"/>
      <c r="R63" s="36" t="str">
        <f t="shared" si="14"/>
        <v/>
      </c>
      <c r="S63" s="37" t="str">
        <f t="shared" si="4"/>
        <v/>
      </c>
      <c r="T63" s="38" t="str">
        <f t="shared" si="5"/>
        <v/>
      </c>
      <c r="U63" s="39" t="str">
        <f t="shared" si="6"/>
        <v/>
      </c>
      <c r="V63" s="40" t="str">
        <f t="shared" si="7"/>
        <v/>
      </c>
      <c r="W63" s="39" t="str">
        <f t="shared" si="8"/>
        <v/>
      </c>
      <c r="X63" s="34" t="str">
        <f t="shared" si="15"/>
        <v/>
      </c>
      <c r="Y63" s="41" t="str">
        <f t="shared" si="16"/>
        <v/>
      </c>
      <c r="Z63" s="98" t="str">
        <f t="shared" si="9"/>
        <v/>
      </c>
      <c r="AA63" s="81" t="str">
        <f t="shared" si="17"/>
        <v/>
      </c>
      <c r="AC63" s="139"/>
      <c r="AD63" s="110" t="str">
        <f t="shared" si="18"/>
        <v/>
      </c>
      <c r="AE63" s="111" t="str">
        <f t="shared" si="19"/>
        <v/>
      </c>
      <c r="AF63" s="111" t="str">
        <f t="shared" si="10"/>
        <v/>
      </c>
      <c r="AG63" s="111" t="str">
        <f t="shared" si="20"/>
        <v/>
      </c>
      <c r="AH63" s="111" t="str">
        <f t="shared" si="21"/>
        <v/>
      </c>
      <c r="AI63" s="112" t="str">
        <f t="shared" si="22"/>
        <v/>
      </c>
      <c r="AJ63" t="str">
        <f t="shared" si="23"/>
        <v/>
      </c>
      <c r="AK63" t="str">
        <f t="shared" si="24"/>
        <v/>
      </c>
    </row>
    <row r="64" spans="1:37" ht="15" customHeight="1" x14ac:dyDescent="0.25">
      <c r="A64" s="114"/>
      <c r="B64" s="116"/>
      <c r="C64" s="116"/>
      <c r="D64" s="42" t="str">
        <f t="shared" si="0"/>
        <v/>
      </c>
      <c r="E64" s="43"/>
      <c r="F64" s="83"/>
      <c r="G64" s="118"/>
      <c r="H64" s="34" t="str">
        <f t="shared" si="1"/>
        <v/>
      </c>
      <c r="I64" s="88" t="str">
        <f t="shared" si="11"/>
        <v/>
      </c>
      <c r="J64" s="44" t="str">
        <f t="shared" si="2"/>
        <v/>
      </c>
      <c r="K64" s="118"/>
      <c r="L64" s="34" t="str">
        <f t="shared" si="3"/>
        <v/>
      </c>
      <c r="M64" s="118"/>
      <c r="N64" s="121"/>
      <c r="O64" s="122" t="str">
        <f t="shared" si="12"/>
        <v/>
      </c>
      <c r="P64" s="35" t="str">
        <f t="shared" si="13"/>
        <v/>
      </c>
      <c r="Q64" s="124"/>
      <c r="R64" s="36" t="str">
        <f t="shared" si="14"/>
        <v/>
      </c>
      <c r="S64" s="37" t="str">
        <f t="shared" si="4"/>
        <v/>
      </c>
      <c r="T64" s="38" t="str">
        <f t="shared" si="5"/>
        <v/>
      </c>
      <c r="U64" s="39" t="str">
        <f t="shared" si="6"/>
        <v/>
      </c>
      <c r="V64" s="40" t="str">
        <f t="shared" si="7"/>
        <v/>
      </c>
      <c r="W64" s="39" t="str">
        <f t="shared" si="8"/>
        <v/>
      </c>
      <c r="X64" s="34" t="str">
        <f t="shared" si="15"/>
        <v/>
      </c>
      <c r="Y64" s="41" t="str">
        <f t="shared" si="16"/>
        <v/>
      </c>
      <c r="Z64" s="98" t="str">
        <f t="shared" si="9"/>
        <v/>
      </c>
      <c r="AA64" s="81" t="str">
        <f t="shared" si="17"/>
        <v/>
      </c>
      <c r="AC64" s="139"/>
      <c r="AD64" s="110" t="str">
        <f t="shared" si="18"/>
        <v/>
      </c>
      <c r="AE64" s="111" t="str">
        <f t="shared" si="19"/>
        <v/>
      </c>
      <c r="AF64" s="111" t="str">
        <f t="shared" si="10"/>
        <v/>
      </c>
      <c r="AG64" s="111" t="str">
        <f t="shared" si="20"/>
        <v/>
      </c>
      <c r="AH64" s="111" t="str">
        <f t="shared" si="21"/>
        <v/>
      </c>
      <c r="AI64" s="112" t="str">
        <f t="shared" si="22"/>
        <v/>
      </c>
      <c r="AJ64" t="str">
        <f t="shared" si="23"/>
        <v/>
      </c>
      <c r="AK64" t="str">
        <f t="shared" si="24"/>
        <v/>
      </c>
    </row>
    <row r="65" spans="1:37" ht="15" customHeight="1" x14ac:dyDescent="0.25">
      <c r="A65" s="114"/>
      <c r="B65" s="116"/>
      <c r="C65" s="116"/>
      <c r="D65" s="42" t="str">
        <f t="shared" si="0"/>
        <v/>
      </c>
      <c r="E65" s="43"/>
      <c r="F65" s="83"/>
      <c r="G65" s="118"/>
      <c r="H65" s="34" t="str">
        <f t="shared" si="1"/>
        <v/>
      </c>
      <c r="I65" s="88" t="str">
        <f t="shared" si="11"/>
        <v/>
      </c>
      <c r="J65" s="44" t="str">
        <f t="shared" si="2"/>
        <v/>
      </c>
      <c r="K65" s="118"/>
      <c r="L65" s="34" t="str">
        <f t="shared" si="3"/>
        <v/>
      </c>
      <c r="M65" s="118"/>
      <c r="N65" s="121"/>
      <c r="O65" s="122" t="str">
        <f t="shared" si="12"/>
        <v/>
      </c>
      <c r="P65" s="35" t="str">
        <f t="shared" si="13"/>
        <v/>
      </c>
      <c r="Q65" s="124"/>
      <c r="R65" s="36" t="str">
        <f t="shared" si="14"/>
        <v/>
      </c>
      <c r="S65" s="37" t="str">
        <f t="shared" si="4"/>
        <v/>
      </c>
      <c r="T65" s="38" t="str">
        <f t="shared" si="5"/>
        <v/>
      </c>
      <c r="U65" s="39" t="str">
        <f t="shared" si="6"/>
        <v/>
      </c>
      <c r="V65" s="40" t="str">
        <f t="shared" si="7"/>
        <v/>
      </c>
      <c r="W65" s="39" t="str">
        <f t="shared" si="8"/>
        <v/>
      </c>
      <c r="X65" s="34" t="str">
        <f t="shared" si="15"/>
        <v/>
      </c>
      <c r="Y65" s="41" t="str">
        <f t="shared" si="16"/>
        <v/>
      </c>
      <c r="Z65" s="98" t="str">
        <f t="shared" si="9"/>
        <v/>
      </c>
      <c r="AA65" s="81" t="str">
        <f t="shared" si="17"/>
        <v/>
      </c>
      <c r="AC65" s="139"/>
      <c r="AD65" s="110" t="str">
        <f t="shared" si="18"/>
        <v/>
      </c>
      <c r="AE65" s="111" t="str">
        <f t="shared" si="19"/>
        <v/>
      </c>
      <c r="AF65" s="111" t="str">
        <f t="shared" si="10"/>
        <v/>
      </c>
      <c r="AG65" s="111" t="str">
        <f t="shared" si="20"/>
        <v/>
      </c>
      <c r="AH65" s="111" t="str">
        <f t="shared" si="21"/>
        <v/>
      </c>
      <c r="AI65" s="112" t="str">
        <f t="shared" si="22"/>
        <v/>
      </c>
      <c r="AJ65" t="str">
        <f t="shared" si="23"/>
        <v/>
      </c>
      <c r="AK65" t="str">
        <f t="shared" si="24"/>
        <v/>
      </c>
    </row>
    <row r="66" spans="1:37" ht="15" customHeight="1" x14ac:dyDescent="0.25">
      <c r="A66" s="114"/>
      <c r="B66" s="116"/>
      <c r="C66" s="116"/>
      <c r="D66" s="42" t="str">
        <f t="shared" si="0"/>
        <v/>
      </c>
      <c r="E66" s="43"/>
      <c r="F66" s="83"/>
      <c r="G66" s="118"/>
      <c r="H66" s="34" t="str">
        <f t="shared" si="1"/>
        <v/>
      </c>
      <c r="I66" s="88" t="str">
        <f t="shared" si="11"/>
        <v/>
      </c>
      <c r="J66" s="44" t="str">
        <f t="shared" si="2"/>
        <v/>
      </c>
      <c r="K66" s="118"/>
      <c r="L66" s="34" t="str">
        <f t="shared" si="3"/>
        <v/>
      </c>
      <c r="M66" s="118"/>
      <c r="N66" s="121"/>
      <c r="O66" s="122" t="str">
        <f t="shared" si="12"/>
        <v/>
      </c>
      <c r="P66" s="35" t="str">
        <f t="shared" si="13"/>
        <v/>
      </c>
      <c r="Q66" s="124"/>
      <c r="R66" s="36" t="str">
        <f t="shared" si="14"/>
        <v/>
      </c>
      <c r="S66" s="37" t="str">
        <f t="shared" si="4"/>
        <v/>
      </c>
      <c r="T66" s="38" t="str">
        <f t="shared" si="5"/>
        <v/>
      </c>
      <c r="U66" s="39" t="str">
        <f t="shared" si="6"/>
        <v/>
      </c>
      <c r="V66" s="40" t="str">
        <f t="shared" si="7"/>
        <v/>
      </c>
      <c r="W66" s="39" t="str">
        <f t="shared" si="8"/>
        <v/>
      </c>
      <c r="X66" s="34" t="str">
        <f t="shared" si="15"/>
        <v/>
      </c>
      <c r="Y66" s="41" t="str">
        <f t="shared" si="16"/>
        <v/>
      </c>
      <c r="Z66" s="98" t="str">
        <f t="shared" si="9"/>
        <v/>
      </c>
      <c r="AA66" s="81" t="str">
        <f t="shared" si="17"/>
        <v/>
      </c>
      <c r="AC66" s="139"/>
      <c r="AD66" s="110" t="str">
        <f t="shared" si="18"/>
        <v/>
      </c>
      <c r="AE66" s="111" t="str">
        <f t="shared" si="19"/>
        <v/>
      </c>
      <c r="AF66" s="111" t="str">
        <f t="shared" si="10"/>
        <v/>
      </c>
      <c r="AG66" s="111" t="str">
        <f t="shared" si="20"/>
        <v/>
      </c>
      <c r="AH66" s="111" t="str">
        <f t="shared" si="21"/>
        <v/>
      </c>
      <c r="AI66" s="112" t="str">
        <f t="shared" si="22"/>
        <v/>
      </c>
      <c r="AJ66" t="str">
        <f t="shared" si="23"/>
        <v/>
      </c>
      <c r="AK66" t="str">
        <f t="shared" si="24"/>
        <v/>
      </c>
    </row>
    <row r="67" spans="1:37" ht="15" customHeight="1" x14ac:dyDescent="0.25">
      <c r="A67" s="114"/>
      <c r="B67" s="116"/>
      <c r="C67" s="116"/>
      <c r="D67" s="42" t="str">
        <f t="shared" si="0"/>
        <v/>
      </c>
      <c r="E67" s="43"/>
      <c r="F67" s="83"/>
      <c r="G67" s="118"/>
      <c r="H67" s="34" t="str">
        <f t="shared" si="1"/>
        <v/>
      </c>
      <c r="I67" s="88" t="str">
        <f t="shared" si="11"/>
        <v/>
      </c>
      <c r="J67" s="44" t="str">
        <f t="shared" si="2"/>
        <v/>
      </c>
      <c r="K67" s="118"/>
      <c r="L67" s="34" t="str">
        <f t="shared" si="3"/>
        <v/>
      </c>
      <c r="M67" s="118"/>
      <c r="N67" s="121"/>
      <c r="O67" s="122" t="str">
        <f t="shared" si="12"/>
        <v/>
      </c>
      <c r="P67" s="35" t="str">
        <f t="shared" si="13"/>
        <v/>
      </c>
      <c r="Q67" s="124"/>
      <c r="R67" s="36" t="str">
        <f t="shared" si="14"/>
        <v/>
      </c>
      <c r="S67" s="37" t="str">
        <f t="shared" si="4"/>
        <v/>
      </c>
      <c r="T67" s="38" t="str">
        <f t="shared" si="5"/>
        <v/>
      </c>
      <c r="U67" s="39" t="str">
        <f t="shared" si="6"/>
        <v/>
      </c>
      <c r="V67" s="40" t="str">
        <f t="shared" si="7"/>
        <v/>
      </c>
      <c r="W67" s="39" t="str">
        <f t="shared" si="8"/>
        <v/>
      </c>
      <c r="X67" s="34" t="str">
        <f t="shared" si="15"/>
        <v/>
      </c>
      <c r="Y67" s="41" t="str">
        <f t="shared" si="16"/>
        <v/>
      </c>
      <c r="Z67" s="98" t="str">
        <f t="shared" si="9"/>
        <v/>
      </c>
      <c r="AA67" s="81" t="str">
        <f t="shared" si="17"/>
        <v/>
      </c>
      <c r="AC67" s="139"/>
      <c r="AD67" s="110" t="str">
        <f t="shared" si="18"/>
        <v/>
      </c>
      <c r="AE67" s="111" t="str">
        <f t="shared" si="19"/>
        <v/>
      </c>
      <c r="AF67" s="111" t="str">
        <f t="shared" si="10"/>
        <v/>
      </c>
      <c r="AG67" s="111" t="str">
        <f t="shared" si="20"/>
        <v/>
      </c>
      <c r="AH67" s="111" t="str">
        <f t="shared" si="21"/>
        <v/>
      </c>
      <c r="AI67" s="112" t="str">
        <f t="shared" si="22"/>
        <v/>
      </c>
      <c r="AJ67" t="str">
        <f t="shared" si="23"/>
        <v/>
      </c>
      <c r="AK67" t="str">
        <f t="shared" si="24"/>
        <v/>
      </c>
    </row>
    <row r="68" spans="1:37" ht="15" customHeight="1" x14ac:dyDescent="0.25">
      <c r="A68" s="114"/>
      <c r="B68" s="116"/>
      <c r="C68" s="116"/>
      <c r="D68" s="42" t="str">
        <f t="shared" si="0"/>
        <v/>
      </c>
      <c r="E68" s="43"/>
      <c r="F68" s="83"/>
      <c r="G68" s="118"/>
      <c r="H68" s="34" t="str">
        <f t="shared" si="1"/>
        <v/>
      </c>
      <c r="I68" s="88" t="str">
        <f t="shared" si="11"/>
        <v/>
      </c>
      <c r="J68" s="44" t="str">
        <f t="shared" si="2"/>
        <v/>
      </c>
      <c r="K68" s="118"/>
      <c r="L68" s="34" t="str">
        <f t="shared" si="3"/>
        <v/>
      </c>
      <c r="M68" s="118"/>
      <c r="N68" s="121"/>
      <c r="O68" s="122" t="str">
        <f t="shared" si="12"/>
        <v/>
      </c>
      <c r="P68" s="35" t="str">
        <f t="shared" si="13"/>
        <v/>
      </c>
      <c r="Q68" s="124"/>
      <c r="R68" s="36" t="str">
        <f t="shared" si="14"/>
        <v/>
      </c>
      <c r="S68" s="37" t="str">
        <f t="shared" si="4"/>
        <v/>
      </c>
      <c r="T68" s="38" t="str">
        <f t="shared" si="5"/>
        <v/>
      </c>
      <c r="U68" s="39" t="str">
        <f t="shared" si="6"/>
        <v/>
      </c>
      <c r="V68" s="40" t="str">
        <f t="shared" si="7"/>
        <v/>
      </c>
      <c r="W68" s="39" t="str">
        <f t="shared" si="8"/>
        <v/>
      </c>
      <c r="X68" s="34" t="str">
        <f t="shared" si="15"/>
        <v/>
      </c>
      <c r="Y68" s="41" t="str">
        <f t="shared" si="16"/>
        <v/>
      </c>
      <c r="Z68" s="98" t="str">
        <f t="shared" si="9"/>
        <v/>
      </c>
      <c r="AA68" s="81" t="str">
        <f t="shared" si="17"/>
        <v/>
      </c>
      <c r="AC68" s="139"/>
      <c r="AD68" s="110" t="str">
        <f t="shared" si="18"/>
        <v/>
      </c>
      <c r="AE68" s="111" t="str">
        <f t="shared" si="19"/>
        <v/>
      </c>
      <c r="AF68" s="111" t="str">
        <f t="shared" si="10"/>
        <v/>
      </c>
      <c r="AG68" s="111" t="str">
        <f t="shared" si="20"/>
        <v/>
      </c>
      <c r="AH68" s="111" t="str">
        <f t="shared" si="21"/>
        <v/>
      </c>
      <c r="AI68" s="112" t="str">
        <f t="shared" si="22"/>
        <v/>
      </c>
      <c r="AJ68" t="str">
        <f t="shared" si="23"/>
        <v/>
      </c>
      <c r="AK68" t="str">
        <f t="shared" si="24"/>
        <v/>
      </c>
    </row>
    <row r="69" spans="1:37" ht="15" customHeight="1" x14ac:dyDescent="0.25">
      <c r="A69" s="114"/>
      <c r="B69" s="116"/>
      <c r="C69" s="116"/>
      <c r="D69" s="42" t="str">
        <f t="shared" si="0"/>
        <v/>
      </c>
      <c r="E69" s="43"/>
      <c r="F69" s="83"/>
      <c r="G69" s="118"/>
      <c r="H69" s="34" t="str">
        <f t="shared" si="1"/>
        <v/>
      </c>
      <c r="I69" s="88" t="str">
        <f t="shared" si="11"/>
        <v/>
      </c>
      <c r="J69" s="44" t="str">
        <f t="shared" si="2"/>
        <v/>
      </c>
      <c r="K69" s="118"/>
      <c r="L69" s="34" t="str">
        <f t="shared" si="3"/>
        <v/>
      </c>
      <c r="M69" s="118"/>
      <c r="N69" s="121"/>
      <c r="O69" s="122" t="str">
        <f t="shared" si="12"/>
        <v/>
      </c>
      <c r="P69" s="35" t="str">
        <f t="shared" si="13"/>
        <v/>
      </c>
      <c r="Q69" s="124"/>
      <c r="R69" s="36" t="str">
        <f t="shared" si="14"/>
        <v/>
      </c>
      <c r="S69" s="37" t="str">
        <f t="shared" si="4"/>
        <v/>
      </c>
      <c r="T69" s="38" t="str">
        <f t="shared" si="5"/>
        <v/>
      </c>
      <c r="U69" s="39" t="str">
        <f t="shared" si="6"/>
        <v/>
      </c>
      <c r="V69" s="40" t="str">
        <f t="shared" si="7"/>
        <v/>
      </c>
      <c r="W69" s="39" t="str">
        <f t="shared" si="8"/>
        <v/>
      </c>
      <c r="X69" s="34" t="str">
        <f t="shared" si="15"/>
        <v/>
      </c>
      <c r="Y69" s="41" t="str">
        <f t="shared" si="16"/>
        <v/>
      </c>
      <c r="Z69" s="98" t="str">
        <f t="shared" si="9"/>
        <v/>
      </c>
      <c r="AA69" s="81" t="str">
        <f t="shared" si="17"/>
        <v/>
      </c>
      <c r="AC69" s="139"/>
      <c r="AD69" s="110" t="str">
        <f t="shared" si="18"/>
        <v/>
      </c>
      <c r="AE69" s="111" t="str">
        <f t="shared" si="19"/>
        <v/>
      </c>
      <c r="AF69" s="111" t="str">
        <f t="shared" si="10"/>
        <v/>
      </c>
      <c r="AG69" s="111" t="str">
        <f t="shared" si="20"/>
        <v/>
      </c>
      <c r="AH69" s="111" t="str">
        <f t="shared" si="21"/>
        <v/>
      </c>
      <c r="AI69" s="112" t="str">
        <f t="shared" si="22"/>
        <v/>
      </c>
      <c r="AJ69" t="str">
        <f t="shared" si="23"/>
        <v/>
      </c>
      <c r="AK69" t="str">
        <f t="shared" si="24"/>
        <v/>
      </c>
    </row>
    <row r="70" spans="1:37" ht="15" customHeight="1" x14ac:dyDescent="0.25">
      <c r="A70" s="114"/>
      <c r="B70" s="116"/>
      <c r="C70" s="116"/>
      <c r="D70" s="42" t="str">
        <f t="shared" si="0"/>
        <v/>
      </c>
      <c r="E70" s="43"/>
      <c r="F70" s="83"/>
      <c r="G70" s="118"/>
      <c r="H70" s="34" t="str">
        <f t="shared" si="1"/>
        <v/>
      </c>
      <c r="I70" s="88" t="str">
        <f t="shared" si="11"/>
        <v/>
      </c>
      <c r="J70" s="44" t="str">
        <f t="shared" si="2"/>
        <v/>
      </c>
      <c r="K70" s="118"/>
      <c r="L70" s="34" t="str">
        <f t="shared" si="3"/>
        <v/>
      </c>
      <c r="M70" s="118"/>
      <c r="N70" s="121"/>
      <c r="O70" s="122" t="str">
        <f t="shared" si="12"/>
        <v/>
      </c>
      <c r="P70" s="35" t="str">
        <f t="shared" si="13"/>
        <v/>
      </c>
      <c r="Q70" s="124"/>
      <c r="R70" s="36" t="str">
        <f t="shared" si="14"/>
        <v/>
      </c>
      <c r="S70" s="37" t="str">
        <f t="shared" si="4"/>
        <v/>
      </c>
      <c r="T70" s="38" t="str">
        <f t="shared" si="5"/>
        <v/>
      </c>
      <c r="U70" s="39" t="str">
        <f t="shared" si="6"/>
        <v/>
      </c>
      <c r="V70" s="40" t="str">
        <f t="shared" si="7"/>
        <v/>
      </c>
      <c r="W70" s="39" t="str">
        <f t="shared" si="8"/>
        <v/>
      </c>
      <c r="X70" s="34" t="str">
        <f t="shared" si="15"/>
        <v/>
      </c>
      <c r="Y70" s="41" t="str">
        <f t="shared" si="16"/>
        <v/>
      </c>
      <c r="Z70" s="98" t="str">
        <f t="shared" si="9"/>
        <v/>
      </c>
      <c r="AA70" s="81" t="str">
        <f t="shared" si="17"/>
        <v/>
      </c>
      <c r="AC70" s="139"/>
      <c r="AD70" s="110" t="str">
        <f t="shared" si="18"/>
        <v/>
      </c>
      <c r="AE70" s="111" t="str">
        <f t="shared" si="19"/>
        <v/>
      </c>
      <c r="AF70" s="111" t="str">
        <f t="shared" si="10"/>
        <v/>
      </c>
      <c r="AG70" s="111" t="str">
        <f t="shared" si="20"/>
        <v/>
      </c>
      <c r="AH70" s="111" t="str">
        <f t="shared" si="21"/>
        <v/>
      </c>
      <c r="AI70" s="112" t="str">
        <f t="shared" si="22"/>
        <v/>
      </c>
      <c r="AJ70" t="str">
        <f t="shared" si="23"/>
        <v/>
      </c>
      <c r="AK70" t="str">
        <f t="shared" si="24"/>
        <v/>
      </c>
    </row>
    <row r="71" spans="1:37" ht="15" customHeight="1" x14ac:dyDescent="0.25">
      <c r="A71" s="114"/>
      <c r="B71" s="116"/>
      <c r="C71" s="116"/>
      <c r="D71" s="42" t="str">
        <f t="shared" si="0"/>
        <v/>
      </c>
      <c r="E71" s="43"/>
      <c r="F71" s="83"/>
      <c r="G71" s="118"/>
      <c r="H71" s="34" t="str">
        <f t="shared" si="1"/>
        <v/>
      </c>
      <c r="I71" s="88" t="str">
        <f t="shared" si="11"/>
        <v/>
      </c>
      <c r="J71" s="44" t="str">
        <f t="shared" si="2"/>
        <v/>
      </c>
      <c r="K71" s="118"/>
      <c r="L71" s="34" t="str">
        <f t="shared" si="3"/>
        <v/>
      </c>
      <c r="M71" s="118"/>
      <c r="N71" s="121"/>
      <c r="O71" s="122" t="str">
        <f t="shared" si="12"/>
        <v/>
      </c>
      <c r="P71" s="35" t="str">
        <f t="shared" si="13"/>
        <v/>
      </c>
      <c r="Q71" s="124"/>
      <c r="R71" s="36" t="str">
        <f t="shared" si="14"/>
        <v/>
      </c>
      <c r="S71" s="37" t="str">
        <f t="shared" si="4"/>
        <v/>
      </c>
      <c r="T71" s="38" t="str">
        <f t="shared" si="5"/>
        <v/>
      </c>
      <c r="U71" s="39" t="str">
        <f t="shared" si="6"/>
        <v/>
      </c>
      <c r="V71" s="40" t="str">
        <f t="shared" si="7"/>
        <v/>
      </c>
      <c r="W71" s="39" t="str">
        <f t="shared" si="8"/>
        <v/>
      </c>
      <c r="X71" s="34" t="str">
        <f t="shared" si="15"/>
        <v/>
      </c>
      <c r="Y71" s="41" t="str">
        <f t="shared" si="16"/>
        <v/>
      </c>
      <c r="Z71" s="98" t="str">
        <f t="shared" si="9"/>
        <v/>
      </c>
      <c r="AA71" s="81" t="str">
        <f t="shared" si="17"/>
        <v/>
      </c>
      <c r="AC71" s="139"/>
      <c r="AD71" s="110" t="str">
        <f t="shared" si="18"/>
        <v/>
      </c>
      <c r="AE71" s="111" t="str">
        <f t="shared" si="19"/>
        <v/>
      </c>
      <c r="AF71" s="111" t="str">
        <f t="shared" si="10"/>
        <v/>
      </c>
      <c r="AG71" s="111" t="str">
        <f t="shared" si="20"/>
        <v/>
      </c>
      <c r="AH71" s="111" t="str">
        <f t="shared" si="21"/>
        <v/>
      </c>
      <c r="AI71" s="112" t="str">
        <f t="shared" si="22"/>
        <v/>
      </c>
      <c r="AJ71" t="str">
        <f t="shared" si="23"/>
        <v/>
      </c>
      <c r="AK71" t="str">
        <f t="shared" si="24"/>
        <v/>
      </c>
    </row>
    <row r="72" spans="1:37" ht="15" customHeight="1" x14ac:dyDescent="0.25">
      <c r="A72" s="114"/>
      <c r="B72" s="116"/>
      <c r="C72" s="116"/>
      <c r="D72" s="42" t="str">
        <f t="shared" ref="D72:D135" si="25">IF(A72="","",B72*C72)</f>
        <v/>
      </c>
      <c r="E72" s="43"/>
      <c r="F72" s="83"/>
      <c r="G72" s="118"/>
      <c r="H72" s="34" t="str">
        <f t="shared" ref="H72:H135" si="26">IF(OR(G72=0,C72=0,G72="",C72=""),"",G72/C72)</f>
        <v/>
      </c>
      <c r="I72" s="88" t="str">
        <f t="shared" ref="I72:I135" si="27">IF(OR(G72="",F72=""),"",G72*(1-F72))</f>
        <v/>
      </c>
      <c r="J72" s="44" t="str">
        <f t="shared" ref="J72:J135" si="28">IF(A72="","",I72*B72)</f>
        <v/>
      </c>
      <c r="K72" s="118"/>
      <c r="L72" s="34" t="str">
        <f t="shared" ref="L72:L135" si="29">IF(OR(K72=0,C72=0,K72="",C72=""),"",K72/C72)</f>
        <v/>
      </c>
      <c r="M72" s="118"/>
      <c r="N72" s="121"/>
      <c r="O72" s="122" t="str">
        <f t="shared" si="12"/>
        <v/>
      </c>
      <c r="P72" s="35" t="str">
        <f t="shared" si="13"/>
        <v/>
      </c>
      <c r="Q72" s="124"/>
      <c r="R72" s="36" t="str">
        <f t="shared" si="14"/>
        <v/>
      </c>
      <c r="S72" s="37" t="str">
        <f t="shared" ref="S72:S135" si="30">IF(OR(A72="",R72=""),"",R72*C72)</f>
        <v/>
      </c>
      <c r="T72" s="38" t="str">
        <f t="shared" ref="T72:T135" si="31">IF(OR(A72="",G72&lt;=0,S72=""),"",(G72-S72)/G72)</f>
        <v/>
      </c>
      <c r="U72" s="39" t="str">
        <f t="shared" ref="U72:U135" si="32">IF(OR(G72=0,S72=0,G72="",S72=""),"",G72-S72)</f>
        <v/>
      </c>
      <c r="V72" s="40" t="str">
        <f t="shared" ref="V72:V135" si="33">IF(OR(A72="",K72&lt;=0,S72=""),"",(K72-S72)/K72)</f>
        <v/>
      </c>
      <c r="W72" s="39" t="str">
        <f t="shared" ref="W72:W135" si="34">IF(OR(K72=0,S72=0,K72="",S72=""),"",K72-S72)</f>
        <v/>
      </c>
      <c r="X72" s="34" t="str">
        <f t="shared" ref="X72:X135" si="35">IF(OR(J72="",J72=0,$N$5="",$L$3=0),"",($N$5/$L$3)*J72)</f>
        <v/>
      </c>
      <c r="Y72" s="41" t="str">
        <f t="shared" si="16"/>
        <v/>
      </c>
      <c r="Z72" s="98" t="str">
        <f t="shared" ref="Z72:Z135" si="36">IF(OR(R72=0,R72="",D72=0,D72=""),"",R72*(D72+E72))</f>
        <v/>
      </c>
      <c r="AA72" s="81" t="str">
        <f t="shared" si="17"/>
        <v/>
      </c>
      <c r="AC72" s="139"/>
      <c r="AD72" s="110" t="str">
        <f t="shared" si="18"/>
        <v/>
      </c>
      <c r="AE72" s="111" t="str">
        <f t="shared" si="19"/>
        <v/>
      </c>
      <c r="AF72" s="111" t="str">
        <f t="shared" ref="AF72:AF135" si="37">IF(AE72="","",AE72*$AD$1+IF(SUM($AE$8:$AE$1007)=0,0,$AD$2*AE72/SUM($AE$8:$AE$1007)))</f>
        <v/>
      </c>
      <c r="AG72" s="111" t="str">
        <f t="shared" si="20"/>
        <v/>
      </c>
      <c r="AH72" s="111" t="str">
        <f t="shared" si="21"/>
        <v/>
      </c>
      <c r="AI72" s="112" t="str">
        <f t="shared" si="22"/>
        <v/>
      </c>
      <c r="AJ72" t="str">
        <f t="shared" si="23"/>
        <v/>
      </c>
      <c r="AK72" t="str">
        <f t="shared" si="24"/>
        <v/>
      </c>
    </row>
    <row r="73" spans="1:37" ht="15" customHeight="1" x14ac:dyDescent="0.25">
      <c r="A73" s="114"/>
      <c r="B73" s="116"/>
      <c r="C73" s="116"/>
      <c r="D73" s="42" t="str">
        <f t="shared" si="25"/>
        <v/>
      </c>
      <c r="E73" s="43"/>
      <c r="F73" s="83"/>
      <c r="G73" s="118"/>
      <c r="H73" s="34" t="str">
        <f t="shared" si="26"/>
        <v/>
      </c>
      <c r="I73" s="88" t="str">
        <f t="shared" si="27"/>
        <v/>
      </c>
      <c r="J73" s="44" t="str">
        <f t="shared" si="28"/>
        <v/>
      </c>
      <c r="K73" s="118"/>
      <c r="L73" s="34" t="str">
        <f t="shared" si="29"/>
        <v/>
      </c>
      <c r="M73" s="118"/>
      <c r="N73" s="121"/>
      <c r="O73" s="122" t="str">
        <f t="shared" ref="O73:O136" si="38">IF(A73="","",IF(Q73&gt;0,IF(J73&gt;0,Q73/J73,0),IF(E73&gt;0,0,IF($J$3&gt;0,IF($J$4&gt;0,MAX($J$3-SUM($Q$8:$Q$1007),0)/$J$4,0),$J$2))))</f>
        <v/>
      </c>
      <c r="P73" s="35" t="str">
        <f t="shared" ref="P73:P136" si="39">IF(A73="","",IF(Q73&gt;0,Q73,IF(E73&gt;0,0,J73*IF($J$3&gt;0,IF($J$4&gt;0,MAX($J$3-SUM($Q$8:$Q$1007),0)/$J$4,0),$J$2))))</f>
        <v/>
      </c>
      <c r="Q73" s="124"/>
      <c r="R73" s="36" t="str">
        <f t="shared" ref="R73:R136" si="40">IF(A73="","",IF(OR(B73=0,B73="",C73&lt;=0,D73+E73&lt;=0),"",(J73-P73)/(D73+E73)-IF(X73&gt;=0,X73/D73,0)+IF(ISNUMBER(Y73),Y73/(D73+E73),0)))</f>
        <v/>
      </c>
      <c r="S73" s="37" t="str">
        <f t="shared" si="30"/>
        <v/>
      </c>
      <c r="T73" s="38" t="str">
        <f t="shared" si="31"/>
        <v/>
      </c>
      <c r="U73" s="39" t="str">
        <f t="shared" si="32"/>
        <v/>
      </c>
      <c r="V73" s="40" t="str">
        <f t="shared" si="33"/>
        <v/>
      </c>
      <c r="W73" s="39" t="str">
        <f t="shared" si="34"/>
        <v/>
      </c>
      <c r="X73" s="34" t="str">
        <f t="shared" si="35"/>
        <v/>
      </c>
      <c r="Y73" s="41" t="str">
        <f t="shared" ref="Y73:Y136" si="41">IF(OR(J73="",J73=0,($L$3-$L$2)=0),"",($J$1/($L$3-$L$2))*(J73-P73))</f>
        <v/>
      </c>
      <c r="Z73" s="98" t="str">
        <f t="shared" si="36"/>
        <v/>
      </c>
      <c r="AA73" s="81" t="str">
        <f t="shared" ref="AA73:AA136" si="42">IF(OR(B73=0,B73=""),"",J73)</f>
        <v/>
      </c>
      <c r="AC73" s="139"/>
      <c r="AD73" s="110" t="str">
        <f t="shared" ref="AD73:AD136" si="43">IF(AC73="","",R73)</f>
        <v/>
      </c>
      <c r="AE73" s="111" t="str">
        <f t="shared" ref="AE73:AE136" si="44">IF(OR(AC73="",AD73=""),"",AC73*AD73)</f>
        <v/>
      </c>
      <c r="AF73" s="111" t="str">
        <f t="shared" si="37"/>
        <v/>
      </c>
      <c r="AG73" s="111" t="str">
        <f t="shared" ref="AG73:AG136" si="45">IF(AE73="","",AE73-AF73)</f>
        <v/>
      </c>
      <c r="AH73" s="111" t="str">
        <f t="shared" ref="AH73:AH136" si="46">IF(AG73="","",AI73-AG73)</f>
        <v/>
      </c>
      <c r="AI73" s="112" t="str">
        <f t="shared" ref="AI73:AI136" si="47">IF(AG73="","",ROUND(AG73,0))</f>
        <v/>
      </c>
      <c r="AJ73" t="str">
        <f t="shared" ref="AJ73:AJ136" si="48">IF(OR(AC73=0,AC73=""),"",AF73/AC73)</f>
        <v/>
      </c>
      <c r="AK73" t="str">
        <f t="shared" ref="AK73:AK136" si="49">IF(OR(AC73=0,AC73=""),"",AD73*C73)</f>
        <v/>
      </c>
    </row>
    <row r="74" spans="1:37" ht="15" customHeight="1" x14ac:dyDescent="0.25">
      <c r="A74" s="114"/>
      <c r="B74" s="116"/>
      <c r="C74" s="116"/>
      <c r="D74" s="42" t="str">
        <f t="shared" si="25"/>
        <v/>
      </c>
      <c r="E74" s="43"/>
      <c r="F74" s="83"/>
      <c r="G74" s="118"/>
      <c r="H74" s="34" t="str">
        <f t="shared" si="26"/>
        <v/>
      </c>
      <c r="I74" s="88" t="str">
        <f t="shared" si="27"/>
        <v/>
      </c>
      <c r="J74" s="44" t="str">
        <f t="shared" si="28"/>
        <v/>
      </c>
      <c r="K74" s="118"/>
      <c r="L74" s="34" t="str">
        <f t="shared" si="29"/>
        <v/>
      </c>
      <c r="M74" s="118"/>
      <c r="N74" s="121"/>
      <c r="O74" s="122" t="str">
        <f t="shared" si="38"/>
        <v/>
      </c>
      <c r="P74" s="35" t="str">
        <f t="shared" si="39"/>
        <v/>
      </c>
      <c r="Q74" s="124"/>
      <c r="R74" s="36" t="str">
        <f t="shared" si="40"/>
        <v/>
      </c>
      <c r="S74" s="37" t="str">
        <f t="shared" si="30"/>
        <v/>
      </c>
      <c r="T74" s="38" t="str">
        <f t="shared" si="31"/>
        <v/>
      </c>
      <c r="U74" s="39" t="str">
        <f t="shared" si="32"/>
        <v/>
      </c>
      <c r="V74" s="40" t="str">
        <f t="shared" si="33"/>
        <v/>
      </c>
      <c r="W74" s="39" t="str">
        <f t="shared" si="34"/>
        <v/>
      </c>
      <c r="X74" s="34" t="str">
        <f t="shared" si="35"/>
        <v/>
      </c>
      <c r="Y74" s="41" t="str">
        <f t="shared" si="41"/>
        <v/>
      </c>
      <c r="Z74" s="98" t="str">
        <f t="shared" si="36"/>
        <v/>
      </c>
      <c r="AA74" s="81" t="str">
        <f t="shared" si="42"/>
        <v/>
      </c>
      <c r="AC74" s="139"/>
      <c r="AD74" s="110" t="str">
        <f t="shared" si="43"/>
        <v/>
      </c>
      <c r="AE74" s="111" t="str">
        <f t="shared" si="44"/>
        <v/>
      </c>
      <c r="AF74" s="111" t="str">
        <f t="shared" si="37"/>
        <v/>
      </c>
      <c r="AG74" s="111" t="str">
        <f t="shared" si="45"/>
        <v/>
      </c>
      <c r="AH74" s="111" t="str">
        <f t="shared" si="46"/>
        <v/>
      </c>
      <c r="AI74" s="112" t="str">
        <f t="shared" si="47"/>
        <v/>
      </c>
      <c r="AJ74" t="str">
        <f t="shared" si="48"/>
        <v/>
      </c>
      <c r="AK74" t="str">
        <f t="shared" si="49"/>
        <v/>
      </c>
    </row>
    <row r="75" spans="1:37" ht="15" customHeight="1" x14ac:dyDescent="0.25">
      <c r="A75" s="114"/>
      <c r="B75" s="116"/>
      <c r="C75" s="116"/>
      <c r="D75" s="42" t="str">
        <f t="shared" si="25"/>
        <v/>
      </c>
      <c r="E75" s="43"/>
      <c r="F75" s="83"/>
      <c r="G75" s="118"/>
      <c r="H75" s="34" t="str">
        <f t="shared" si="26"/>
        <v/>
      </c>
      <c r="I75" s="88" t="str">
        <f t="shared" si="27"/>
        <v/>
      </c>
      <c r="J75" s="44" t="str">
        <f t="shared" si="28"/>
        <v/>
      </c>
      <c r="K75" s="118"/>
      <c r="L75" s="34" t="str">
        <f t="shared" si="29"/>
        <v/>
      </c>
      <c r="M75" s="118"/>
      <c r="N75" s="121"/>
      <c r="O75" s="122" t="str">
        <f t="shared" si="38"/>
        <v/>
      </c>
      <c r="P75" s="35" t="str">
        <f t="shared" si="39"/>
        <v/>
      </c>
      <c r="Q75" s="124"/>
      <c r="R75" s="36" t="str">
        <f t="shared" si="40"/>
        <v/>
      </c>
      <c r="S75" s="37" t="str">
        <f t="shared" si="30"/>
        <v/>
      </c>
      <c r="T75" s="38" t="str">
        <f t="shared" si="31"/>
        <v/>
      </c>
      <c r="U75" s="39" t="str">
        <f t="shared" si="32"/>
        <v/>
      </c>
      <c r="V75" s="40" t="str">
        <f t="shared" si="33"/>
        <v/>
      </c>
      <c r="W75" s="39" t="str">
        <f t="shared" si="34"/>
        <v/>
      </c>
      <c r="X75" s="34" t="str">
        <f t="shared" si="35"/>
        <v/>
      </c>
      <c r="Y75" s="41" t="str">
        <f t="shared" si="41"/>
        <v/>
      </c>
      <c r="Z75" s="98" t="str">
        <f t="shared" si="36"/>
        <v/>
      </c>
      <c r="AA75" s="81" t="str">
        <f t="shared" si="42"/>
        <v/>
      </c>
      <c r="AC75" s="139"/>
      <c r="AD75" s="110" t="str">
        <f t="shared" si="43"/>
        <v/>
      </c>
      <c r="AE75" s="111" t="str">
        <f t="shared" si="44"/>
        <v/>
      </c>
      <c r="AF75" s="111" t="str">
        <f t="shared" si="37"/>
        <v/>
      </c>
      <c r="AG75" s="111" t="str">
        <f t="shared" si="45"/>
        <v/>
      </c>
      <c r="AH75" s="111" t="str">
        <f t="shared" si="46"/>
        <v/>
      </c>
      <c r="AI75" s="112" t="str">
        <f t="shared" si="47"/>
        <v/>
      </c>
      <c r="AJ75" t="str">
        <f t="shared" si="48"/>
        <v/>
      </c>
      <c r="AK75" t="str">
        <f t="shared" si="49"/>
        <v/>
      </c>
    </row>
    <row r="76" spans="1:37" ht="15" customHeight="1" x14ac:dyDescent="0.25">
      <c r="A76" s="114"/>
      <c r="B76" s="116"/>
      <c r="C76" s="116"/>
      <c r="D76" s="42" t="str">
        <f t="shared" si="25"/>
        <v/>
      </c>
      <c r="E76" s="43"/>
      <c r="F76" s="83"/>
      <c r="G76" s="118"/>
      <c r="H76" s="34" t="str">
        <f t="shared" si="26"/>
        <v/>
      </c>
      <c r="I76" s="88" t="str">
        <f t="shared" si="27"/>
        <v/>
      </c>
      <c r="J76" s="44" t="str">
        <f t="shared" si="28"/>
        <v/>
      </c>
      <c r="K76" s="118"/>
      <c r="L76" s="34" t="str">
        <f t="shared" si="29"/>
        <v/>
      </c>
      <c r="M76" s="118"/>
      <c r="N76" s="121"/>
      <c r="O76" s="122" t="str">
        <f t="shared" si="38"/>
        <v/>
      </c>
      <c r="P76" s="35" t="str">
        <f t="shared" si="39"/>
        <v/>
      </c>
      <c r="Q76" s="124"/>
      <c r="R76" s="36" t="str">
        <f t="shared" si="40"/>
        <v/>
      </c>
      <c r="S76" s="37" t="str">
        <f t="shared" si="30"/>
        <v/>
      </c>
      <c r="T76" s="38" t="str">
        <f t="shared" si="31"/>
        <v/>
      </c>
      <c r="U76" s="39" t="str">
        <f t="shared" si="32"/>
        <v/>
      </c>
      <c r="V76" s="40" t="str">
        <f t="shared" si="33"/>
        <v/>
      </c>
      <c r="W76" s="39" t="str">
        <f t="shared" si="34"/>
        <v/>
      </c>
      <c r="X76" s="34" t="str">
        <f t="shared" si="35"/>
        <v/>
      </c>
      <c r="Y76" s="41" t="str">
        <f t="shared" si="41"/>
        <v/>
      </c>
      <c r="Z76" s="98" t="str">
        <f t="shared" si="36"/>
        <v/>
      </c>
      <c r="AA76" s="81" t="str">
        <f t="shared" si="42"/>
        <v/>
      </c>
      <c r="AC76" s="139"/>
      <c r="AD76" s="110" t="str">
        <f t="shared" si="43"/>
        <v/>
      </c>
      <c r="AE76" s="111" t="str">
        <f t="shared" si="44"/>
        <v/>
      </c>
      <c r="AF76" s="111" t="str">
        <f t="shared" si="37"/>
        <v/>
      </c>
      <c r="AG76" s="111" t="str">
        <f t="shared" si="45"/>
        <v/>
      </c>
      <c r="AH76" s="111" t="str">
        <f t="shared" si="46"/>
        <v/>
      </c>
      <c r="AI76" s="112" t="str">
        <f t="shared" si="47"/>
        <v/>
      </c>
      <c r="AJ76" t="str">
        <f t="shared" si="48"/>
        <v/>
      </c>
      <c r="AK76" t="str">
        <f t="shared" si="49"/>
        <v/>
      </c>
    </row>
    <row r="77" spans="1:37" ht="15" customHeight="1" x14ac:dyDescent="0.25">
      <c r="A77" s="114"/>
      <c r="B77" s="116"/>
      <c r="C77" s="116"/>
      <c r="D77" s="42" t="str">
        <f t="shared" si="25"/>
        <v/>
      </c>
      <c r="E77" s="43"/>
      <c r="F77" s="83"/>
      <c r="G77" s="118"/>
      <c r="H77" s="34" t="str">
        <f t="shared" si="26"/>
        <v/>
      </c>
      <c r="I77" s="88" t="str">
        <f t="shared" si="27"/>
        <v/>
      </c>
      <c r="J77" s="44" t="str">
        <f t="shared" si="28"/>
        <v/>
      </c>
      <c r="K77" s="118"/>
      <c r="L77" s="34" t="str">
        <f t="shared" si="29"/>
        <v/>
      </c>
      <c r="M77" s="118"/>
      <c r="N77" s="121"/>
      <c r="O77" s="122" t="str">
        <f t="shared" si="38"/>
        <v/>
      </c>
      <c r="P77" s="35" t="str">
        <f t="shared" si="39"/>
        <v/>
      </c>
      <c r="Q77" s="124"/>
      <c r="R77" s="36" t="str">
        <f t="shared" si="40"/>
        <v/>
      </c>
      <c r="S77" s="37" t="str">
        <f t="shared" si="30"/>
        <v/>
      </c>
      <c r="T77" s="38" t="str">
        <f t="shared" si="31"/>
        <v/>
      </c>
      <c r="U77" s="39" t="str">
        <f t="shared" si="32"/>
        <v/>
      </c>
      <c r="V77" s="40" t="str">
        <f t="shared" si="33"/>
        <v/>
      </c>
      <c r="W77" s="39" t="str">
        <f t="shared" si="34"/>
        <v/>
      </c>
      <c r="X77" s="34" t="str">
        <f t="shared" si="35"/>
        <v/>
      </c>
      <c r="Y77" s="41" t="str">
        <f t="shared" si="41"/>
        <v/>
      </c>
      <c r="Z77" s="98" t="str">
        <f t="shared" si="36"/>
        <v/>
      </c>
      <c r="AA77" s="81" t="str">
        <f t="shared" si="42"/>
        <v/>
      </c>
      <c r="AC77" s="139"/>
      <c r="AD77" s="110" t="str">
        <f t="shared" si="43"/>
        <v/>
      </c>
      <c r="AE77" s="111" t="str">
        <f t="shared" si="44"/>
        <v/>
      </c>
      <c r="AF77" s="111" t="str">
        <f t="shared" si="37"/>
        <v/>
      </c>
      <c r="AG77" s="111" t="str">
        <f t="shared" si="45"/>
        <v/>
      </c>
      <c r="AH77" s="111" t="str">
        <f t="shared" si="46"/>
        <v/>
      </c>
      <c r="AI77" s="112" t="str">
        <f t="shared" si="47"/>
        <v/>
      </c>
      <c r="AJ77" t="str">
        <f t="shared" si="48"/>
        <v/>
      </c>
      <c r="AK77" t="str">
        <f t="shared" si="49"/>
        <v/>
      </c>
    </row>
    <row r="78" spans="1:37" ht="15" customHeight="1" x14ac:dyDescent="0.25">
      <c r="A78" s="114"/>
      <c r="B78" s="116"/>
      <c r="C78" s="116"/>
      <c r="D78" s="42" t="str">
        <f t="shared" si="25"/>
        <v/>
      </c>
      <c r="E78" s="43"/>
      <c r="F78" s="83"/>
      <c r="G78" s="118"/>
      <c r="H78" s="34" t="str">
        <f t="shared" si="26"/>
        <v/>
      </c>
      <c r="I78" s="88" t="str">
        <f t="shared" si="27"/>
        <v/>
      </c>
      <c r="J78" s="44" t="str">
        <f t="shared" si="28"/>
        <v/>
      </c>
      <c r="K78" s="118"/>
      <c r="L78" s="34" t="str">
        <f t="shared" si="29"/>
        <v/>
      </c>
      <c r="M78" s="118"/>
      <c r="N78" s="121"/>
      <c r="O78" s="122" t="str">
        <f t="shared" si="38"/>
        <v/>
      </c>
      <c r="P78" s="35" t="str">
        <f t="shared" si="39"/>
        <v/>
      </c>
      <c r="Q78" s="124"/>
      <c r="R78" s="36" t="str">
        <f t="shared" si="40"/>
        <v/>
      </c>
      <c r="S78" s="37" t="str">
        <f t="shared" si="30"/>
        <v/>
      </c>
      <c r="T78" s="38" t="str">
        <f t="shared" si="31"/>
        <v/>
      </c>
      <c r="U78" s="39" t="str">
        <f t="shared" si="32"/>
        <v/>
      </c>
      <c r="V78" s="40" t="str">
        <f t="shared" si="33"/>
        <v/>
      </c>
      <c r="W78" s="39" t="str">
        <f t="shared" si="34"/>
        <v/>
      </c>
      <c r="X78" s="34" t="str">
        <f t="shared" si="35"/>
        <v/>
      </c>
      <c r="Y78" s="41" t="str">
        <f t="shared" si="41"/>
        <v/>
      </c>
      <c r="Z78" s="98" t="str">
        <f t="shared" si="36"/>
        <v/>
      </c>
      <c r="AA78" s="81" t="str">
        <f t="shared" si="42"/>
        <v/>
      </c>
      <c r="AC78" s="139"/>
      <c r="AD78" s="110" t="str">
        <f t="shared" si="43"/>
        <v/>
      </c>
      <c r="AE78" s="111" t="str">
        <f t="shared" si="44"/>
        <v/>
      </c>
      <c r="AF78" s="111" t="str">
        <f t="shared" si="37"/>
        <v/>
      </c>
      <c r="AG78" s="111" t="str">
        <f t="shared" si="45"/>
        <v/>
      </c>
      <c r="AH78" s="111" t="str">
        <f t="shared" si="46"/>
        <v/>
      </c>
      <c r="AI78" s="112" t="str">
        <f t="shared" si="47"/>
        <v/>
      </c>
      <c r="AJ78" t="str">
        <f t="shared" si="48"/>
        <v/>
      </c>
      <c r="AK78" t="str">
        <f t="shared" si="49"/>
        <v/>
      </c>
    </row>
    <row r="79" spans="1:37" ht="15" customHeight="1" x14ac:dyDescent="0.25">
      <c r="A79" s="114"/>
      <c r="B79" s="116"/>
      <c r="C79" s="116"/>
      <c r="D79" s="42" t="str">
        <f t="shared" si="25"/>
        <v/>
      </c>
      <c r="E79" s="43"/>
      <c r="F79" s="83"/>
      <c r="G79" s="118"/>
      <c r="H79" s="34" t="str">
        <f t="shared" si="26"/>
        <v/>
      </c>
      <c r="I79" s="88" t="str">
        <f t="shared" si="27"/>
        <v/>
      </c>
      <c r="J79" s="44" t="str">
        <f t="shared" si="28"/>
        <v/>
      </c>
      <c r="K79" s="118"/>
      <c r="L79" s="34" t="str">
        <f t="shared" si="29"/>
        <v/>
      </c>
      <c r="M79" s="118"/>
      <c r="N79" s="121"/>
      <c r="O79" s="122" t="str">
        <f t="shared" si="38"/>
        <v/>
      </c>
      <c r="P79" s="35" t="str">
        <f t="shared" si="39"/>
        <v/>
      </c>
      <c r="Q79" s="124"/>
      <c r="R79" s="36" t="str">
        <f t="shared" si="40"/>
        <v/>
      </c>
      <c r="S79" s="37" t="str">
        <f t="shared" si="30"/>
        <v/>
      </c>
      <c r="T79" s="38" t="str">
        <f t="shared" si="31"/>
        <v/>
      </c>
      <c r="U79" s="39" t="str">
        <f t="shared" si="32"/>
        <v/>
      </c>
      <c r="V79" s="40" t="str">
        <f t="shared" si="33"/>
        <v/>
      </c>
      <c r="W79" s="39" t="str">
        <f t="shared" si="34"/>
        <v/>
      </c>
      <c r="X79" s="34" t="str">
        <f t="shared" si="35"/>
        <v/>
      </c>
      <c r="Y79" s="41" t="str">
        <f t="shared" si="41"/>
        <v/>
      </c>
      <c r="Z79" s="98" t="str">
        <f t="shared" si="36"/>
        <v/>
      </c>
      <c r="AA79" s="81" t="str">
        <f t="shared" si="42"/>
        <v/>
      </c>
      <c r="AC79" s="139"/>
      <c r="AD79" s="110" t="str">
        <f t="shared" si="43"/>
        <v/>
      </c>
      <c r="AE79" s="111" t="str">
        <f t="shared" si="44"/>
        <v/>
      </c>
      <c r="AF79" s="111" t="str">
        <f t="shared" si="37"/>
        <v/>
      </c>
      <c r="AG79" s="111" t="str">
        <f t="shared" si="45"/>
        <v/>
      </c>
      <c r="AH79" s="111" t="str">
        <f t="shared" si="46"/>
        <v/>
      </c>
      <c r="AI79" s="112" t="str">
        <f t="shared" si="47"/>
        <v/>
      </c>
      <c r="AJ79" t="str">
        <f t="shared" si="48"/>
        <v/>
      </c>
      <c r="AK79" t="str">
        <f t="shared" si="49"/>
        <v/>
      </c>
    </row>
    <row r="80" spans="1:37" ht="15" customHeight="1" x14ac:dyDescent="0.25">
      <c r="A80" s="114"/>
      <c r="B80" s="116"/>
      <c r="C80" s="116"/>
      <c r="D80" s="42" t="str">
        <f t="shared" si="25"/>
        <v/>
      </c>
      <c r="E80" s="43"/>
      <c r="F80" s="83"/>
      <c r="G80" s="118"/>
      <c r="H80" s="34" t="str">
        <f t="shared" si="26"/>
        <v/>
      </c>
      <c r="I80" s="88" t="str">
        <f t="shared" si="27"/>
        <v/>
      </c>
      <c r="J80" s="44" t="str">
        <f t="shared" si="28"/>
        <v/>
      </c>
      <c r="K80" s="118"/>
      <c r="L80" s="34" t="str">
        <f t="shared" si="29"/>
        <v/>
      </c>
      <c r="M80" s="118"/>
      <c r="N80" s="121"/>
      <c r="O80" s="122" t="str">
        <f t="shared" si="38"/>
        <v/>
      </c>
      <c r="P80" s="35" t="str">
        <f t="shared" si="39"/>
        <v/>
      </c>
      <c r="Q80" s="124"/>
      <c r="R80" s="36" t="str">
        <f t="shared" si="40"/>
        <v/>
      </c>
      <c r="S80" s="37" t="str">
        <f t="shared" si="30"/>
        <v/>
      </c>
      <c r="T80" s="38" t="str">
        <f t="shared" si="31"/>
        <v/>
      </c>
      <c r="U80" s="39" t="str">
        <f t="shared" si="32"/>
        <v/>
      </c>
      <c r="V80" s="40" t="str">
        <f t="shared" si="33"/>
        <v/>
      </c>
      <c r="W80" s="39" t="str">
        <f t="shared" si="34"/>
        <v/>
      </c>
      <c r="X80" s="34" t="str">
        <f t="shared" si="35"/>
        <v/>
      </c>
      <c r="Y80" s="41" t="str">
        <f t="shared" si="41"/>
        <v/>
      </c>
      <c r="Z80" s="98" t="str">
        <f t="shared" si="36"/>
        <v/>
      </c>
      <c r="AA80" s="81" t="str">
        <f t="shared" si="42"/>
        <v/>
      </c>
      <c r="AC80" s="139"/>
      <c r="AD80" s="110" t="str">
        <f t="shared" si="43"/>
        <v/>
      </c>
      <c r="AE80" s="111" t="str">
        <f t="shared" si="44"/>
        <v/>
      </c>
      <c r="AF80" s="111" t="str">
        <f t="shared" si="37"/>
        <v/>
      </c>
      <c r="AG80" s="111" t="str">
        <f t="shared" si="45"/>
        <v/>
      </c>
      <c r="AH80" s="111" t="str">
        <f t="shared" si="46"/>
        <v/>
      </c>
      <c r="AI80" s="112" t="str">
        <f t="shared" si="47"/>
        <v/>
      </c>
      <c r="AJ80" t="str">
        <f t="shared" si="48"/>
        <v/>
      </c>
      <c r="AK80" t="str">
        <f t="shared" si="49"/>
        <v/>
      </c>
    </row>
    <row r="81" spans="1:37" ht="15" customHeight="1" x14ac:dyDescent="0.25">
      <c r="A81" s="114"/>
      <c r="B81" s="116"/>
      <c r="C81" s="116"/>
      <c r="D81" s="42" t="str">
        <f t="shared" si="25"/>
        <v/>
      </c>
      <c r="E81" s="43"/>
      <c r="F81" s="83"/>
      <c r="G81" s="118"/>
      <c r="H81" s="34" t="str">
        <f t="shared" si="26"/>
        <v/>
      </c>
      <c r="I81" s="88" t="str">
        <f t="shared" si="27"/>
        <v/>
      </c>
      <c r="J81" s="44" t="str">
        <f t="shared" si="28"/>
        <v/>
      </c>
      <c r="K81" s="118"/>
      <c r="L81" s="34" t="str">
        <f t="shared" si="29"/>
        <v/>
      </c>
      <c r="M81" s="118"/>
      <c r="N81" s="121"/>
      <c r="O81" s="122" t="str">
        <f t="shared" si="38"/>
        <v/>
      </c>
      <c r="P81" s="35" t="str">
        <f t="shared" si="39"/>
        <v/>
      </c>
      <c r="Q81" s="124"/>
      <c r="R81" s="36" t="str">
        <f t="shared" si="40"/>
        <v/>
      </c>
      <c r="S81" s="37" t="str">
        <f t="shared" si="30"/>
        <v/>
      </c>
      <c r="T81" s="38" t="str">
        <f t="shared" si="31"/>
        <v/>
      </c>
      <c r="U81" s="39" t="str">
        <f t="shared" si="32"/>
        <v/>
      </c>
      <c r="V81" s="40" t="str">
        <f t="shared" si="33"/>
        <v/>
      </c>
      <c r="W81" s="39" t="str">
        <f t="shared" si="34"/>
        <v/>
      </c>
      <c r="X81" s="34" t="str">
        <f t="shared" si="35"/>
        <v/>
      </c>
      <c r="Y81" s="41" t="str">
        <f t="shared" si="41"/>
        <v/>
      </c>
      <c r="Z81" s="98" t="str">
        <f t="shared" si="36"/>
        <v/>
      </c>
      <c r="AA81" s="81" t="str">
        <f t="shared" si="42"/>
        <v/>
      </c>
      <c r="AC81" s="139"/>
      <c r="AD81" s="110" t="str">
        <f t="shared" si="43"/>
        <v/>
      </c>
      <c r="AE81" s="111" t="str">
        <f t="shared" si="44"/>
        <v/>
      </c>
      <c r="AF81" s="111" t="str">
        <f t="shared" si="37"/>
        <v/>
      </c>
      <c r="AG81" s="111" t="str">
        <f t="shared" si="45"/>
        <v/>
      </c>
      <c r="AH81" s="111" t="str">
        <f t="shared" si="46"/>
        <v/>
      </c>
      <c r="AI81" s="112" t="str">
        <f t="shared" si="47"/>
        <v/>
      </c>
      <c r="AJ81" t="str">
        <f t="shared" si="48"/>
        <v/>
      </c>
      <c r="AK81" t="str">
        <f t="shared" si="49"/>
        <v/>
      </c>
    </row>
    <row r="82" spans="1:37" ht="15" customHeight="1" x14ac:dyDescent="0.25">
      <c r="A82" s="114"/>
      <c r="B82" s="116"/>
      <c r="C82" s="116"/>
      <c r="D82" s="42" t="str">
        <f t="shared" si="25"/>
        <v/>
      </c>
      <c r="E82" s="43"/>
      <c r="F82" s="83"/>
      <c r="G82" s="118"/>
      <c r="H82" s="34" t="str">
        <f t="shared" si="26"/>
        <v/>
      </c>
      <c r="I82" s="88" t="str">
        <f t="shared" si="27"/>
        <v/>
      </c>
      <c r="J82" s="44" t="str">
        <f t="shared" si="28"/>
        <v/>
      </c>
      <c r="K82" s="118"/>
      <c r="L82" s="34" t="str">
        <f t="shared" si="29"/>
        <v/>
      </c>
      <c r="M82" s="118"/>
      <c r="N82" s="121"/>
      <c r="O82" s="122" t="str">
        <f t="shared" si="38"/>
        <v/>
      </c>
      <c r="P82" s="35" t="str">
        <f t="shared" si="39"/>
        <v/>
      </c>
      <c r="Q82" s="124"/>
      <c r="R82" s="36" t="str">
        <f t="shared" si="40"/>
        <v/>
      </c>
      <c r="S82" s="37" t="str">
        <f t="shared" si="30"/>
        <v/>
      </c>
      <c r="T82" s="38" t="str">
        <f t="shared" si="31"/>
        <v/>
      </c>
      <c r="U82" s="39" t="str">
        <f t="shared" si="32"/>
        <v/>
      </c>
      <c r="V82" s="40" t="str">
        <f t="shared" si="33"/>
        <v/>
      </c>
      <c r="W82" s="39" t="str">
        <f t="shared" si="34"/>
        <v/>
      </c>
      <c r="X82" s="34" t="str">
        <f t="shared" si="35"/>
        <v/>
      </c>
      <c r="Y82" s="41" t="str">
        <f t="shared" si="41"/>
        <v/>
      </c>
      <c r="Z82" s="98" t="str">
        <f t="shared" si="36"/>
        <v/>
      </c>
      <c r="AA82" s="81" t="str">
        <f t="shared" si="42"/>
        <v/>
      </c>
      <c r="AC82" s="139"/>
      <c r="AD82" s="110" t="str">
        <f t="shared" si="43"/>
        <v/>
      </c>
      <c r="AE82" s="111" t="str">
        <f t="shared" si="44"/>
        <v/>
      </c>
      <c r="AF82" s="111" t="str">
        <f t="shared" si="37"/>
        <v/>
      </c>
      <c r="AG82" s="111" t="str">
        <f t="shared" si="45"/>
        <v/>
      </c>
      <c r="AH82" s="111" t="str">
        <f t="shared" si="46"/>
        <v/>
      </c>
      <c r="AI82" s="112" t="str">
        <f t="shared" si="47"/>
        <v/>
      </c>
      <c r="AJ82" t="str">
        <f t="shared" si="48"/>
        <v/>
      </c>
      <c r="AK82" t="str">
        <f t="shared" si="49"/>
        <v/>
      </c>
    </row>
    <row r="83" spans="1:37" ht="15" customHeight="1" x14ac:dyDescent="0.25">
      <c r="A83" s="114"/>
      <c r="B83" s="116"/>
      <c r="C83" s="116"/>
      <c r="D83" s="42" t="str">
        <f t="shared" si="25"/>
        <v/>
      </c>
      <c r="E83" s="43"/>
      <c r="F83" s="83"/>
      <c r="G83" s="118"/>
      <c r="H83" s="34" t="str">
        <f t="shared" si="26"/>
        <v/>
      </c>
      <c r="I83" s="88" t="str">
        <f t="shared" si="27"/>
        <v/>
      </c>
      <c r="J83" s="44" t="str">
        <f t="shared" si="28"/>
        <v/>
      </c>
      <c r="K83" s="118"/>
      <c r="L83" s="34" t="str">
        <f t="shared" si="29"/>
        <v/>
      </c>
      <c r="M83" s="118"/>
      <c r="N83" s="121"/>
      <c r="O83" s="122" t="str">
        <f t="shared" si="38"/>
        <v/>
      </c>
      <c r="P83" s="35" t="str">
        <f t="shared" si="39"/>
        <v/>
      </c>
      <c r="Q83" s="124"/>
      <c r="R83" s="36" t="str">
        <f t="shared" si="40"/>
        <v/>
      </c>
      <c r="S83" s="37" t="str">
        <f t="shared" si="30"/>
        <v/>
      </c>
      <c r="T83" s="38" t="str">
        <f t="shared" si="31"/>
        <v/>
      </c>
      <c r="U83" s="39" t="str">
        <f t="shared" si="32"/>
        <v/>
      </c>
      <c r="V83" s="40" t="str">
        <f t="shared" si="33"/>
        <v/>
      </c>
      <c r="W83" s="39" t="str">
        <f t="shared" si="34"/>
        <v/>
      </c>
      <c r="X83" s="34" t="str">
        <f t="shared" si="35"/>
        <v/>
      </c>
      <c r="Y83" s="41" t="str">
        <f t="shared" si="41"/>
        <v/>
      </c>
      <c r="Z83" s="98" t="str">
        <f t="shared" si="36"/>
        <v/>
      </c>
      <c r="AA83" s="81" t="str">
        <f t="shared" si="42"/>
        <v/>
      </c>
      <c r="AC83" s="139"/>
      <c r="AD83" s="110" t="str">
        <f t="shared" si="43"/>
        <v/>
      </c>
      <c r="AE83" s="111" t="str">
        <f t="shared" si="44"/>
        <v/>
      </c>
      <c r="AF83" s="111" t="str">
        <f t="shared" si="37"/>
        <v/>
      </c>
      <c r="AG83" s="111" t="str">
        <f t="shared" si="45"/>
        <v/>
      </c>
      <c r="AH83" s="111" t="str">
        <f t="shared" si="46"/>
        <v/>
      </c>
      <c r="AI83" s="112" t="str">
        <f t="shared" si="47"/>
        <v/>
      </c>
      <c r="AJ83" t="str">
        <f t="shared" si="48"/>
        <v/>
      </c>
      <c r="AK83" t="str">
        <f t="shared" si="49"/>
        <v/>
      </c>
    </row>
    <row r="84" spans="1:37" ht="15" customHeight="1" x14ac:dyDescent="0.25">
      <c r="A84" s="114"/>
      <c r="B84" s="116"/>
      <c r="C84" s="116"/>
      <c r="D84" s="42" t="str">
        <f t="shared" si="25"/>
        <v/>
      </c>
      <c r="E84" s="43"/>
      <c r="F84" s="83"/>
      <c r="G84" s="118"/>
      <c r="H84" s="34" t="str">
        <f t="shared" si="26"/>
        <v/>
      </c>
      <c r="I84" s="88" t="str">
        <f t="shared" si="27"/>
        <v/>
      </c>
      <c r="J84" s="44" t="str">
        <f t="shared" si="28"/>
        <v/>
      </c>
      <c r="K84" s="118"/>
      <c r="L84" s="34" t="str">
        <f t="shared" si="29"/>
        <v/>
      </c>
      <c r="M84" s="118"/>
      <c r="N84" s="121"/>
      <c r="O84" s="122" t="str">
        <f t="shared" si="38"/>
        <v/>
      </c>
      <c r="P84" s="35" t="str">
        <f t="shared" si="39"/>
        <v/>
      </c>
      <c r="Q84" s="124"/>
      <c r="R84" s="36" t="str">
        <f t="shared" si="40"/>
        <v/>
      </c>
      <c r="S84" s="37" t="str">
        <f t="shared" si="30"/>
        <v/>
      </c>
      <c r="T84" s="38" t="str">
        <f t="shared" si="31"/>
        <v/>
      </c>
      <c r="U84" s="39" t="str">
        <f t="shared" si="32"/>
        <v/>
      </c>
      <c r="V84" s="40" t="str">
        <f t="shared" si="33"/>
        <v/>
      </c>
      <c r="W84" s="39" t="str">
        <f t="shared" si="34"/>
        <v/>
      </c>
      <c r="X84" s="34" t="str">
        <f t="shared" si="35"/>
        <v/>
      </c>
      <c r="Y84" s="41" t="str">
        <f t="shared" si="41"/>
        <v/>
      </c>
      <c r="Z84" s="98" t="str">
        <f t="shared" si="36"/>
        <v/>
      </c>
      <c r="AA84" s="81" t="str">
        <f t="shared" si="42"/>
        <v/>
      </c>
      <c r="AC84" s="139"/>
      <c r="AD84" s="110" t="str">
        <f t="shared" si="43"/>
        <v/>
      </c>
      <c r="AE84" s="111" t="str">
        <f t="shared" si="44"/>
        <v/>
      </c>
      <c r="AF84" s="111" t="str">
        <f t="shared" si="37"/>
        <v/>
      </c>
      <c r="AG84" s="111" t="str">
        <f t="shared" si="45"/>
        <v/>
      </c>
      <c r="AH84" s="111" t="str">
        <f t="shared" si="46"/>
        <v/>
      </c>
      <c r="AI84" s="112" t="str">
        <f t="shared" si="47"/>
        <v/>
      </c>
      <c r="AJ84" t="str">
        <f t="shared" si="48"/>
        <v/>
      </c>
      <c r="AK84" t="str">
        <f t="shared" si="49"/>
        <v/>
      </c>
    </row>
    <row r="85" spans="1:37" ht="15" customHeight="1" x14ac:dyDescent="0.25">
      <c r="A85" s="114"/>
      <c r="B85" s="116"/>
      <c r="C85" s="116"/>
      <c r="D85" s="42" t="str">
        <f t="shared" si="25"/>
        <v/>
      </c>
      <c r="E85" s="43"/>
      <c r="F85" s="83"/>
      <c r="G85" s="118"/>
      <c r="H85" s="34" t="str">
        <f t="shared" si="26"/>
        <v/>
      </c>
      <c r="I85" s="88" t="str">
        <f t="shared" si="27"/>
        <v/>
      </c>
      <c r="J85" s="44" t="str">
        <f t="shared" si="28"/>
        <v/>
      </c>
      <c r="K85" s="118"/>
      <c r="L85" s="34" t="str">
        <f t="shared" si="29"/>
        <v/>
      </c>
      <c r="M85" s="118"/>
      <c r="N85" s="121"/>
      <c r="O85" s="122" t="str">
        <f t="shared" si="38"/>
        <v/>
      </c>
      <c r="P85" s="35" t="str">
        <f t="shared" si="39"/>
        <v/>
      </c>
      <c r="Q85" s="124"/>
      <c r="R85" s="36" t="str">
        <f t="shared" si="40"/>
        <v/>
      </c>
      <c r="S85" s="37" t="str">
        <f t="shared" si="30"/>
        <v/>
      </c>
      <c r="T85" s="38" t="str">
        <f t="shared" si="31"/>
        <v/>
      </c>
      <c r="U85" s="39" t="str">
        <f t="shared" si="32"/>
        <v/>
      </c>
      <c r="V85" s="40" t="str">
        <f t="shared" si="33"/>
        <v/>
      </c>
      <c r="W85" s="39" t="str">
        <f t="shared" si="34"/>
        <v/>
      </c>
      <c r="X85" s="34" t="str">
        <f t="shared" si="35"/>
        <v/>
      </c>
      <c r="Y85" s="41" t="str">
        <f t="shared" si="41"/>
        <v/>
      </c>
      <c r="Z85" s="98" t="str">
        <f t="shared" si="36"/>
        <v/>
      </c>
      <c r="AA85" s="81" t="str">
        <f t="shared" si="42"/>
        <v/>
      </c>
      <c r="AC85" s="139"/>
      <c r="AD85" s="110" t="str">
        <f t="shared" si="43"/>
        <v/>
      </c>
      <c r="AE85" s="111" t="str">
        <f t="shared" si="44"/>
        <v/>
      </c>
      <c r="AF85" s="111" t="str">
        <f t="shared" si="37"/>
        <v/>
      </c>
      <c r="AG85" s="111" t="str">
        <f t="shared" si="45"/>
        <v/>
      </c>
      <c r="AH85" s="111" t="str">
        <f t="shared" si="46"/>
        <v/>
      </c>
      <c r="AI85" s="112" t="str">
        <f t="shared" si="47"/>
        <v/>
      </c>
      <c r="AJ85" t="str">
        <f t="shared" si="48"/>
        <v/>
      </c>
      <c r="AK85" t="str">
        <f t="shared" si="49"/>
        <v/>
      </c>
    </row>
    <row r="86" spans="1:37" ht="15" customHeight="1" x14ac:dyDescent="0.25">
      <c r="A86" s="114"/>
      <c r="B86" s="116"/>
      <c r="C86" s="116"/>
      <c r="D86" s="42" t="str">
        <f t="shared" si="25"/>
        <v/>
      </c>
      <c r="E86" s="43"/>
      <c r="F86" s="83"/>
      <c r="G86" s="118"/>
      <c r="H86" s="34" t="str">
        <f t="shared" si="26"/>
        <v/>
      </c>
      <c r="I86" s="88" t="str">
        <f t="shared" si="27"/>
        <v/>
      </c>
      <c r="J86" s="44" t="str">
        <f t="shared" si="28"/>
        <v/>
      </c>
      <c r="K86" s="118"/>
      <c r="L86" s="34" t="str">
        <f t="shared" si="29"/>
        <v/>
      </c>
      <c r="M86" s="118"/>
      <c r="N86" s="121"/>
      <c r="O86" s="122" t="str">
        <f t="shared" si="38"/>
        <v/>
      </c>
      <c r="P86" s="35" t="str">
        <f t="shared" si="39"/>
        <v/>
      </c>
      <c r="Q86" s="124"/>
      <c r="R86" s="36" t="str">
        <f t="shared" si="40"/>
        <v/>
      </c>
      <c r="S86" s="37" t="str">
        <f t="shared" si="30"/>
        <v/>
      </c>
      <c r="T86" s="38" t="str">
        <f t="shared" si="31"/>
        <v/>
      </c>
      <c r="U86" s="39" t="str">
        <f t="shared" si="32"/>
        <v/>
      </c>
      <c r="V86" s="40" t="str">
        <f t="shared" si="33"/>
        <v/>
      </c>
      <c r="W86" s="39" t="str">
        <f t="shared" si="34"/>
        <v/>
      </c>
      <c r="X86" s="34" t="str">
        <f t="shared" si="35"/>
        <v/>
      </c>
      <c r="Y86" s="41" t="str">
        <f t="shared" si="41"/>
        <v/>
      </c>
      <c r="Z86" s="98" t="str">
        <f t="shared" si="36"/>
        <v/>
      </c>
      <c r="AA86" s="81" t="str">
        <f t="shared" si="42"/>
        <v/>
      </c>
      <c r="AC86" s="139"/>
      <c r="AD86" s="110" t="str">
        <f t="shared" si="43"/>
        <v/>
      </c>
      <c r="AE86" s="111" t="str">
        <f t="shared" si="44"/>
        <v/>
      </c>
      <c r="AF86" s="111" t="str">
        <f t="shared" si="37"/>
        <v/>
      </c>
      <c r="AG86" s="111" t="str">
        <f t="shared" si="45"/>
        <v/>
      </c>
      <c r="AH86" s="111" t="str">
        <f t="shared" si="46"/>
        <v/>
      </c>
      <c r="AI86" s="112" t="str">
        <f t="shared" si="47"/>
        <v/>
      </c>
      <c r="AJ86" t="str">
        <f t="shared" si="48"/>
        <v/>
      </c>
      <c r="AK86" t="str">
        <f t="shared" si="49"/>
        <v/>
      </c>
    </row>
    <row r="87" spans="1:37" ht="15" customHeight="1" x14ac:dyDescent="0.25">
      <c r="A87" s="114"/>
      <c r="B87" s="116"/>
      <c r="C87" s="116"/>
      <c r="D87" s="42" t="str">
        <f t="shared" si="25"/>
        <v/>
      </c>
      <c r="E87" s="43"/>
      <c r="F87" s="83"/>
      <c r="G87" s="118"/>
      <c r="H87" s="34" t="str">
        <f t="shared" si="26"/>
        <v/>
      </c>
      <c r="I87" s="88" t="str">
        <f t="shared" si="27"/>
        <v/>
      </c>
      <c r="J87" s="44" t="str">
        <f t="shared" si="28"/>
        <v/>
      </c>
      <c r="K87" s="118"/>
      <c r="L87" s="34" t="str">
        <f t="shared" si="29"/>
        <v/>
      </c>
      <c r="M87" s="118"/>
      <c r="N87" s="121"/>
      <c r="O87" s="122" t="str">
        <f t="shared" si="38"/>
        <v/>
      </c>
      <c r="P87" s="35" t="str">
        <f t="shared" si="39"/>
        <v/>
      </c>
      <c r="Q87" s="124"/>
      <c r="R87" s="36" t="str">
        <f t="shared" si="40"/>
        <v/>
      </c>
      <c r="S87" s="37" t="str">
        <f t="shared" si="30"/>
        <v/>
      </c>
      <c r="T87" s="38" t="str">
        <f t="shared" si="31"/>
        <v/>
      </c>
      <c r="U87" s="39" t="str">
        <f t="shared" si="32"/>
        <v/>
      </c>
      <c r="V87" s="40" t="str">
        <f t="shared" si="33"/>
        <v/>
      </c>
      <c r="W87" s="39" t="str">
        <f t="shared" si="34"/>
        <v/>
      </c>
      <c r="X87" s="34" t="str">
        <f t="shared" si="35"/>
        <v/>
      </c>
      <c r="Y87" s="41" t="str">
        <f t="shared" si="41"/>
        <v/>
      </c>
      <c r="Z87" s="98" t="str">
        <f t="shared" si="36"/>
        <v/>
      </c>
      <c r="AA87" s="81" t="str">
        <f t="shared" si="42"/>
        <v/>
      </c>
      <c r="AC87" s="139"/>
      <c r="AD87" s="110" t="str">
        <f t="shared" si="43"/>
        <v/>
      </c>
      <c r="AE87" s="111" t="str">
        <f t="shared" si="44"/>
        <v/>
      </c>
      <c r="AF87" s="111" t="str">
        <f t="shared" si="37"/>
        <v/>
      </c>
      <c r="AG87" s="111" t="str">
        <f t="shared" si="45"/>
        <v/>
      </c>
      <c r="AH87" s="111" t="str">
        <f t="shared" si="46"/>
        <v/>
      </c>
      <c r="AI87" s="112" t="str">
        <f t="shared" si="47"/>
        <v/>
      </c>
      <c r="AJ87" t="str">
        <f t="shared" si="48"/>
        <v/>
      </c>
      <c r="AK87" t="str">
        <f t="shared" si="49"/>
        <v/>
      </c>
    </row>
    <row r="88" spans="1:37" ht="15" customHeight="1" x14ac:dyDescent="0.25">
      <c r="A88" s="114"/>
      <c r="B88" s="116"/>
      <c r="C88" s="116"/>
      <c r="D88" s="42" t="str">
        <f t="shared" si="25"/>
        <v/>
      </c>
      <c r="E88" s="43"/>
      <c r="F88" s="83"/>
      <c r="G88" s="118"/>
      <c r="H88" s="34" t="str">
        <f t="shared" si="26"/>
        <v/>
      </c>
      <c r="I88" s="88" t="str">
        <f t="shared" si="27"/>
        <v/>
      </c>
      <c r="J88" s="44" t="str">
        <f t="shared" si="28"/>
        <v/>
      </c>
      <c r="K88" s="118"/>
      <c r="L88" s="34" t="str">
        <f t="shared" si="29"/>
        <v/>
      </c>
      <c r="M88" s="118"/>
      <c r="N88" s="121"/>
      <c r="O88" s="122" t="str">
        <f t="shared" si="38"/>
        <v/>
      </c>
      <c r="P88" s="35" t="str">
        <f t="shared" si="39"/>
        <v/>
      </c>
      <c r="Q88" s="124"/>
      <c r="R88" s="36" t="str">
        <f t="shared" si="40"/>
        <v/>
      </c>
      <c r="S88" s="37" t="str">
        <f t="shared" si="30"/>
        <v/>
      </c>
      <c r="T88" s="38" t="str">
        <f t="shared" si="31"/>
        <v/>
      </c>
      <c r="U88" s="39" t="str">
        <f t="shared" si="32"/>
        <v/>
      </c>
      <c r="V88" s="40" t="str">
        <f t="shared" si="33"/>
        <v/>
      </c>
      <c r="W88" s="39" t="str">
        <f t="shared" si="34"/>
        <v/>
      </c>
      <c r="X88" s="34" t="str">
        <f t="shared" si="35"/>
        <v/>
      </c>
      <c r="Y88" s="41" t="str">
        <f t="shared" si="41"/>
        <v/>
      </c>
      <c r="Z88" s="98" t="str">
        <f t="shared" si="36"/>
        <v/>
      </c>
      <c r="AA88" s="81" t="str">
        <f t="shared" si="42"/>
        <v/>
      </c>
      <c r="AC88" s="139"/>
      <c r="AD88" s="110" t="str">
        <f t="shared" si="43"/>
        <v/>
      </c>
      <c r="AE88" s="111" t="str">
        <f t="shared" si="44"/>
        <v/>
      </c>
      <c r="AF88" s="111" t="str">
        <f t="shared" si="37"/>
        <v/>
      </c>
      <c r="AG88" s="111" t="str">
        <f t="shared" si="45"/>
        <v/>
      </c>
      <c r="AH88" s="111" t="str">
        <f t="shared" si="46"/>
        <v/>
      </c>
      <c r="AI88" s="112" t="str">
        <f t="shared" si="47"/>
        <v/>
      </c>
      <c r="AJ88" t="str">
        <f t="shared" si="48"/>
        <v/>
      </c>
      <c r="AK88" t="str">
        <f t="shared" si="49"/>
        <v/>
      </c>
    </row>
    <row r="89" spans="1:37" ht="15" customHeight="1" x14ac:dyDescent="0.25">
      <c r="A89" s="114"/>
      <c r="B89" s="116"/>
      <c r="C89" s="116"/>
      <c r="D89" s="42" t="str">
        <f t="shared" si="25"/>
        <v/>
      </c>
      <c r="E89" s="43"/>
      <c r="F89" s="83"/>
      <c r="G89" s="118"/>
      <c r="H89" s="34" t="str">
        <f t="shared" si="26"/>
        <v/>
      </c>
      <c r="I89" s="88" t="str">
        <f t="shared" si="27"/>
        <v/>
      </c>
      <c r="J89" s="44" t="str">
        <f t="shared" si="28"/>
        <v/>
      </c>
      <c r="K89" s="118"/>
      <c r="L89" s="34" t="str">
        <f t="shared" si="29"/>
        <v/>
      </c>
      <c r="M89" s="118"/>
      <c r="N89" s="121"/>
      <c r="O89" s="122" t="str">
        <f t="shared" si="38"/>
        <v/>
      </c>
      <c r="P89" s="35" t="str">
        <f t="shared" si="39"/>
        <v/>
      </c>
      <c r="Q89" s="124"/>
      <c r="R89" s="36" t="str">
        <f t="shared" si="40"/>
        <v/>
      </c>
      <c r="S89" s="37" t="str">
        <f t="shared" si="30"/>
        <v/>
      </c>
      <c r="T89" s="38" t="str">
        <f t="shared" si="31"/>
        <v/>
      </c>
      <c r="U89" s="39" t="str">
        <f t="shared" si="32"/>
        <v/>
      </c>
      <c r="V89" s="40" t="str">
        <f t="shared" si="33"/>
        <v/>
      </c>
      <c r="W89" s="39" t="str">
        <f t="shared" si="34"/>
        <v/>
      </c>
      <c r="X89" s="34" t="str">
        <f t="shared" si="35"/>
        <v/>
      </c>
      <c r="Y89" s="41" t="str">
        <f t="shared" si="41"/>
        <v/>
      </c>
      <c r="Z89" s="98" t="str">
        <f t="shared" si="36"/>
        <v/>
      </c>
      <c r="AA89" s="81" t="str">
        <f t="shared" si="42"/>
        <v/>
      </c>
      <c r="AC89" s="139"/>
      <c r="AD89" s="110" t="str">
        <f t="shared" si="43"/>
        <v/>
      </c>
      <c r="AE89" s="111" t="str">
        <f t="shared" si="44"/>
        <v/>
      </c>
      <c r="AF89" s="111" t="str">
        <f t="shared" si="37"/>
        <v/>
      </c>
      <c r="AG89" s="111" t="str">
        <f t="shared" si="45"/>
        <v/>
      </c>
      <c r="AH89" s="111" t="str">
        <f t="shared" si="46"/>
        <v/>
      </c>
      <c r="AI89" s="112" t="str">
        <f t="shared" si="47"/>
        <v/>
      </c>
      <c r="AJ89" t="str">
        <f t="shared" si="48"/>
        <v/>
      </c>
      <c r="AK89" t="str">
        <f t="shared" si="49"/>
        <v/>
      </c>
    </row>
    <row r="90" spans="1:37" ht="15" customHeight="1" x14ac:dyDescent="0.25">
      <c r="A90" s="114"/>
      <c r="B90" s="116"/>
      <c r="C90" s="116"/>
      <c r="D90" s="42" t="str">
        <f t="shared" si="25"/>
        <v/>
      </c>
      <c r="E90" s="43"/>
      <c r="F90" s="83"/>
      <c r="G90" s="118"/>
      <c r="H90" s="34" t="str">
        <f t="shared" si="26"/>
        <v/>
      </c>
      <c r="I90" s="88" t="str">
        <f t="shared" si="27"/>
        <v/>
      </c>
      <c r="J90" s="44" t="str">
        <f t="shared" si="28"/>
        <v/>
      </c>
      <c r="K90" s="118"/>
      <c r="L90" s="34" t="str">
        <f t="shared" si="29"/>
        <v/>
      </c>
      <c r="M90" s="118"/>
      <c r="N90" s="121"/>
      <c r="O90" s="122" t="str">
        <f t="shared" si="38"/>
        <v/>
      </c>
      <c r="P90" s="35" t="str">
        <f t="shared" si="39"/>
        <v/>
      </c>
      <c r="Q90" s="124"/>
      <c r="R90" s="36" t="str">
        <f t="shared" si="40"/>
        <v/>
      </c>
      <c r="S90" s="37" t="str">
        <f t="shared" si="30"/>
        <v/>
      </c>
      <c r="T90" s="38" t="str">
        <f t="shared" si="31"/>
        <v/>
      </c>
      <c r="U90" s="39" t="str">
        <f t="shared" si="32"/>
        <v/>
      </c>
      <c r="V90" s="40" t="str">
        <f t="shared" si="33"/>
        <v/>
      </c>
      <c r="W90" s="39" t="str">
        <f t="shared" si="34"/>
        <v/>
      </c>
      <c r="X90" s="34" t="str">
        <f t="shared" si="35"/>
        <v/>
      </c>
      <c r="Y90" s="41" t="str">
        <f t="shared" si="41"/>
        <v/>
      </c>
      <c r="Z90" s="98" t="str">
        <f t="shared" si="36"/>
        <v/>
      </c>
      <c r="AA90" s="81" t="str">
        <f t="shared" si="42"/>
        <v/>
      </c>
      <c r="AC90" s="139"/>
      <c r="AD90" s="110" t="str">
        <f t="shared" si="43"/>
        <v/>
      </c>
      <c r="AE90" s="111" t="str">
        <f t="shared" si="44"/>
        <v/>
      </c>
      <c r="AF90" s="111" t="str">
        <f t="shared" si="37"/>
        <v/>
      </c>
      <c r="AG90" s="111" t="str">
        <f t="shared" si="45"/>
        <v/>
      </c>
      <c r="AH90" s="111" t="str">
        <f t="shared" si="46"/>
        <v/>
      </c>
      <c r="AI90" s="112" t="str">
        <f t="shared" si="47"/>
        <v/>
      </c>
      <c r="AJ90" t="str">
        <f t="shared" si="48"/>
        <v/>
      </c>
      <c r="AK90" t="str">
        <f t="shared" si="49"/>
        <v/>
      </c>
    </row>
    <row r="91" spans="1:37" ht="15" customHeight="1" x14ac:dyDescent="0.25">
      <c r="A91" s="114"/>
      <c r="B91" s="116"/>
      <c r="C91" s="116"/>
      <c r="D91" s="42" t="str">
        <f t="shared" si="25"/>
        <v/>
      </c>
      <c r="E91" s="43"/>
      <c r="F91" s="83"/>
      <c r="G91" s="118"/>
      <c r="H91" s="34" t="str">
        <f t="shared" si="26"/>
        <v/>
      </c>
      <c r="I91" s="88" t="str">
        <f t="shared" si="27"/>
        <v/>
      </c>
      <c r="J91" s="44" t="str">
        <f t="shared" si="28"/>
        <v/>
      </c>
      <c r="K91" s="118"/>
      <c r="L91" s="34" t="str">
        <f t="shared" si="29"/>
        <v/>
      </c>
      <c r="M91" s="118"/>
      <c r="N91" s="121"/>
      <c r="O91" s="122" t="str">
        <f t="shared" si="38"/>
        <v/>
      </c>
      <c r="P91" s="35" t="str">
        <f t="shared" si="39"/>
        <v/>
      </c>
      <c r="Q91" s="124"/>
      <c r="R91" s="36" t="str">
        <f t="shared" si="40"/>
        <v/>
      </c>
      <c r="S91" s="37" t="str">
        <f t="shared" si="30"/>
        <v/>
      </c>
      <c r="T91" s="38" t="str">
        <f t="shared" si="31"/>
        <v/>
      </c>
      <c r="U91" s="39" t="str">
        <f t="shared" si="32"/>
        <v/>
      </c>
      <c r="V91" s="40" t="str">
        <f t="shared" si="33"/>
        <v/>
      </c>
      <c r="W91" s="39" t="str">
        <f t="shared" si="34"/>
        <v/>
      </c>
      <c r="X91" s="34" t="str">
        <f t="shared" si="35"/>
        <v/>
      </c>
      <c r="Y91" s="41" t="str">
        <f t="shared" si="41"/>
        <v/>
      </c>
      <c r="Z91" s="98" t="str">
        <f t="shared" si="36"/>
        <v/>
      </c>
      <c r="AA91" s="81" t="str">
        <f t="shared" si="42"/>
        <v/>
      </c>
      <c r="AC91" s="139"/>
      <c r="AD91" s="110" t="str">
        <f t="shared" si="43"/>
        <v/>
      </c>
      <c r="AE91" s="111" t="str">
        <f t="shared" si="44"/>
        <v/>
      </c>
      <c r="AF91" s="111" t="str">
        <f t="shared" si="37"/>
        <v/>
      </c>
      <c r="AG91" s="111" t="str">
        <f t="shared" si="45"/>
        <v/>
      </c>
      <c r="AH91" s="111" t="str">
        <f t="shared" si="46"/>
        <v/>
      </c>
      <c r="AI91" s="112" t="str">
        <f t="shared" si="47"/>
        <v/>
      </c>
      <c r="AJ91" t="str">
        <f t="shared" si="48"/>
        <v/>
      </c>
      <c r="AK91" t="str">
        <f t="shared" si="49"/>
        <v/>
      </c>
    </row>
    <row r="92" spans="1:37" ht="15" customHeight="1" x14ac:dyDescent="0.25">
      <c r="A92" s="114"/>
      <c r="B92" s="116"/>
      <c r="C92" s="116"/>
      <c r="D92" s="42" t="str">
        <f t="shared" si="25"/>
        <v/>
      </c>
      <c r="E92" s="43"/>
      <c r="F92" s="83"/>
      <c r="G92" s="118"/>
      <c r="H92" s="34" t="str">
        <f t="shared" si="26"/>
        <v/>
      </c>
      <c r="I92" s="88" t="str">
        <f t="shared" si="27"/>
        <v/>
      </c>
      <c r="J92" s="44" t="str">
        <f t="shared" si="28"/>
        <v/>
      </c>
      <c r="K92" s="118"/>
      <c r="L92" s="34" t="str">
        <f t="shared" si="29"/>
        <v/>
      </c>
      <c r="M92" s="118"/>
      <c r="N92" s="121"/>
      <c r="O92" s="122" t="str">
        <f t="shared" si="38"/>
        <v/>
      </c>
      <c r="P92" s="35" t="str">
        <f t="shared" si="39"/>
        <v/>
      </c>
      <c r="Q92" s="124"/>
      <c r="R92" s="36" t="str">
        <f t="shared" si="40"/>
        <v/>
      </c>
      <c r="S92" s="37" t="str">
        <f t="shared" si="30"/>
        <v/>
      </c>
      <c r="T92" s="38" t="str">
        <f t="shared" si="31"/>
        <v/>
      </c>
      <c r="U92" s="39" t="str">
        <f t="shared" si="32"/>
        <v/>
      </c>
      <c r="V92" s="40" t="str">
        <f t="shared" si="33"/>
        <v/>
      </c>
      <c r="W92" s="39" t="str">
        <f t="shared" si="34"/>
        <v/>
      </c>
      <c r="X92" s="34" t="str">
        <f t="shared" si="35"/>
        <v/>
      </c>
      <c r="Y92" s="41" t="str">
        <f t="shared" si="41"/>
        <v/>
      </c>
      <c r="Z92" s="98" t="str">
        <f t="shared" si="36"/>
        <v/>
      </c>
      <c r="AA92" s="81" t="str">
        <f t="shared" si="42"/>
        <v/>
      </c>
      <c r="AC92" s="139"/>
      <c r="AD92" s="110" t="str">
        <f t="shared" si="43"/>
        <v/>
      </c>
      <c r="AE92" s="111" t="str">
        <f t="shared" si="44"/>
        <v/>
      </c>
      <c r="AF92" s="111" t="str">
        <f t="shared" si="37"/>
        <v/>
      </c>
      <c r="AG92" s="111" t="str">
        <f t="shared" si="45"/>
        <v/>
      </c>
      <c r="AH92" s="111" t="str">
        <f t="shared" si="46"/>
        <v/>
      </c>
      <c r="AI92" s="112" t="str">
        <f t="shared" si="47"/>
        <v/>
      </c>
      <c r="AJ92" t="str">
        <f t="shared" si="48"/>
        <v/>
      </c>
      <c r="AK92" t="str">
        <f t="shared" si="49"/>
        <v/>
      </c>
    </row>
    <row r="93" spans="1:37" ht="15" customHeight="1" x14ac:dyDescent="0.25">
      <c r="A93" s="114"/>
      <c r="B93" s="116"/>
      <c r="C93" s="116"/>
      <c r="D93" s="42" t="str">
        <f t="shared" si="25"/>
        <v/>
      </c>
      <c r="E93" s="43"/>
      <c r="F93" s="83"/>
      <c r="G93" s="118"/>
      <c r="H93" s="34" t="str">
        <f t="shared" si="26"/>
        <v/>
      </c>
      <c r="I93" s="88" t="str">
        <f t="shared" si="27"/>
        <v/>
      </c>
      <c r="J93" s="44" t="str">
        <f t="shared" si="28"/>
        <v/>
      </c>
      <c r="K93" s="118"/>
      <c r="L93" s="34" t="str">
        <f t="shared" si="29"/>
        <v/>
      </c>
      <c r="M93" s="118"/>
      <c r="N93" s="121"/>
      <c r="O93" s="122" t="str">
        <f t="shared" si="38"/>
        <v/>
      </c>
      <c r="P93" s="35" t="str">
        <f t="shared" si="39"/>
        <v/>
      </c>
      <c r="Q93" s="124"/>
      <c r="R93" s="36" t="str">
        <f t="shared" si="40"/>
        <v/>
      </c>
      <c r="S93" s="37" t="str">
        <f t="shared" si="30"/>
        <v/>
      </c>
      <c r="T93" s="38" t="str">
        <f t="shared" si="31"/>
        <v/>
      </c>
      <c r="U93" s="39" t="str">
        <f t="shared" si="32"/>
        <v/>
      </c>
      <c r="V93" s="40" t="str">
        <f t="shared" si="33"/>
        <v/>
      </c>
      <c r="W93" s="39" t="str">
        <f t="shared" si="34"/>
        <v/>
      </c>
      <c r="X93" s="34" t="str">
        <f t="shared" si="35"/>
        <v/>
      </c>
      <c r="Y93" s="41" t="str">
        <f t="shared" si="41"/>
        <v/>
      </c>
      <c r="Z93" s="98" t="str">
        <f t="shared" si="36"/>
        <v/>
      </c>
      <c r="AA93" s="81" t="str">
        <f t="shared" si="42"/>
        <v/>
      </c>
      <c r="AC93" s="139"/>
      <c r="AD93" s="110" t="str">
        <f t="shared" si="43"/>
        <v/>
      </c>
      <c r="AE93" s="111" t="str">
        <f t="shared" si="44"/>
        <v/>
      </c>
      <c r="AF93" s="111" t="str">
        <f t="shared" si="37"/>
        <v/>
      </c>
      <c r="AG93" s="111" t="str">
        <f t="shared" si="45"/>
        <v/>
      </c>
      <c r="AH93" s="111" t="str">
        <f t="shared" si="46"/>
        <v/>
      </c>
      <c r="AI93" s="112" t="str">
        <f t="shared" si="47"/>
        <v/>
      </c>
      <c r="AJ93" t="str">
        <f t="shared" si="48"/>
        <v/>
      </c>
      <c r="AK93" t="str">
        <f t="shared" si="49"/>
        <v/>
      </c>
    </row>
    <row r="94" spans="1:37" ht="15" customHeight="1" x14ac:dyDescent="0.25">
      <c r="A94" s="114"/>
      <c r="B94" s="116"/>
      <c r="C94" s="116"/>
      <c r="D94" s="42" t="str">
        <f t="shared" si="25"/>
        <v/>
      </c>
      <c r="E94" s="43"/>
      <c r="F94" s="83"/>
      <c r="G94" s="118"/>
      <c r="H94" s="34" t="str">
        <f t="shared" si="26"/>
        <v/>
      </c>
      <c r="I94" s="88" t="str">
        <f t="shared" si="27"/>
        <v/>
      </c>
      <c r="J94" s="44" t="str">
        <f t="shared" si="28"/>
        <v/>
      </c>
      <c r="K94" s="118"/>
      <c r="L94" s="34" t="str">
        <f t="shared" si="29"/>
        <v/>
      </c>
      <c r="M94" s="118"/>
      <c r="N94" s="121"/>
      <c r="O94" s="122" t="str">
        <f t="shared" si="38"/>
        <v/>
      </c>
      <c r="P94" s="35" t="str">
        <f t="shared" si="39"/>
        <v/>
      </c>
      <c r="Q94" s="124"/>
      <c r="R94" s="36" t="str">
        <f t="shared" si="40"/>
        <v/>
      </c>
      <c r="S94" s="37" t="str">
        <f t="shared" si="30"/>
        <v/>
      </c>
      <c r="T94" s="38" t="str">
        <f t="shared" si="31"/>
        <v/>
      </c>
      <c r="U94" s="39" t="str">
        <f t="shared" si="32"/>
        <v/>
      </c>
      <c r="V94" s="40" t="str">
        <f t="shared" si="33"/>
        <v/>
      </c>
      <c r="W94" s="39" t="str">
        <f t="shared" si="34"/>
        <v/>
      </c>
      <c r="X94" s="34" t="str">
        <f t="shared" si="35"/>
        <v/>
      </c>
      <c r="Y94" s="41" t="str">
        <f t="shared" si="41"/>
        <v/>
      </c>
      <c r="Z94" s="98" t="str">
        <f t="shared" si="36"/>
        <v/>
      </c>
      <c r="AA94" s="81" t="str">
        <f t="shared" si="42"/>
        <v/>
      </c>
      <c r="AC94" s="139"/>
      <c r="AD94" s="110" t="str">
        <f t="shared" si="43"/>
        <v/>
      </c>
      <c r="AE94" s="111" t="str">
        <f t="shared" si="44"/>
        <v/>
      </c>
      <c r="AF94" s="111" t="str">
        <f t="shared" si="37"/>
        <v/>
      </c>
      <c r="AG94" s="111" t="str">
        <f t="shared" si="45"/>
        <v/>
      </c>
      <c r="AH94" s="111" t="str">
        <f t="shared" si="46"/>
        <v/>
      </c>
      <c r="AI94" s="112" t="str">
        <f t="shared" si="47"/>
        <v/>
      </c>
      <c r="AJ94" t="str">
        <f t="shared" si="48"/>
        <v/>
      </c>
      <c r="AK94" t="str">
        <f t="shared" si="49"/>
        <v/>
      </c>
    </row>
    <row r="95" spans="1:37" ht="15" customHeight="1" x14ac:dyDescent="0.25">
      <c r="A95" s="114"/>
      <c r="B95" s="116"/>
      <c r="C95" s="116"/>
      <c r="D95" s="42" t="str">
        <f t="shared" si="25"/>
        <v/>
      </c>
      <c r="E95" s="43"/>
      <c r="F95" s="83"/>
      <c r="G95" s="118"/>
      <c r="H95" s="34" t="str">
        <f t="shared" si="26"/>
        <v/>
      </c>
      <c r="I95" s="88" t="str">
        <f t="shared" si="27"/>
        <v/>
      </c>
      <c r="J95" s="44" t="str">
        <f t="shared" si="28"/>
        <v/>
      </c>
      <c r="K95" s="118"/>
      <c r="L95" s="34" t="str">
        <f t="shared" si="29"/>
        <v/>
      </c>
      <c r="M95" s="118"/>
      <c r="N95" s="121"/>
      <c r="O95" s="122" t="str">
        <f t="shared" si="38"/>
        <v/>
      </c>
      <c r="P95" s="35" t="str">
        <f t="shared" si="39"/>
        <v/>
      </c>
      <c r="Q95" s="124"/>
      <c r="R95" s="36" t="str">
        <f t="shared" si="40"/>
        <v/>
      </c>
      <c r="S95" s="37" t="str">
        <f t="shared" si="30"/>
        <v/>
      </c>
      <c r="T95" s="38" t="str">
        <f t="shared" si="31"/>
        <v/>
      </c>
      <c r="U95" s="39" t="str">
        <f t="shared" si="32"/>
        <v/>
      </c>
      <c r="V95" s="40" t="str">
        <f t="shared" si="33"/>
        <v/>
      </c>
      <c r="W95" s="39" t="str">
        <f t="shared" si="34"/>
        <v/>
      </c>
      <c r="X95" s="34" t="str">
        <f t="shared" si="35"/>
        <v/>
      </c>
      <c r="Y95" s="41" t="str">
        <f t="shared" si="41"/>
        <v/>
      </c>
      <c r="Z95" s="98" t="str">
        <f t="shared" si="36"/>
        <v/>
      </c>
      <c r="AA95" s="81" t="str">
        <f t="shared" si="42"/>
        <v/>
      </c>
      <c r="AC95" s="139"/>
      <c r="AD95" s="110" t="str">
        <f t="shared" si="43"/>
        <v/>
      </c>
      <c r="AE95" s="111" t="str">
        <f t="shared" si="44"/>
        <v/>
      </c>
      <c r="AF95" s="111" t="str">
        <f t="shared" si="37"/>
        <v/>
      </c>
      <c r="AG95" s="111" t="str">
        <f t="shared" si="45"/>
        <v/>
      </c>
      <c r="AH95" s="111" t="str">
        <f t="shared" si="46"/>
        <v/>
      </c>
      <c r="AI95" s="112" t="str">
        <f t="shared" si="47"/>
        <v/>
      </c>
      <c r="AJ95" t="str">
        <f t="shared" si="48"/>
        <v/>
      </c>
      <c r="AK95" t="str">
        <f t="shared" si="49"/>
        <v/>
      </c>
    </row>
    <row r="96" spans="1:37" ht="15" customHeight="1" x14ac:dyDescent="0.25">
      <c r="A96" s="114"/>
      <c r="B96" s="116"/>
      <c r="C96" s="116"/>
      <c r="D96" s="42" t="str">
        <f t="shared" si="25"/>
        <v/>
      </c>
      <c r="E96" s="43"/>
      <c r="F96" s="83"/>
      <c r="G96" s="118"/>
      <c r="H96" s="34" t="str">
        <f t="shared" si="26"/>
        <v/>
      </c>
      <c r="I96" s="88" t="str">
        <f t="shared" si="27"/>
        <v/>
      </c>
      <c r="J96" s="44" t="str">
        <f t="shared" si="28"/>
        <v/>
      </c>
      <c r="K96" s="118"/>
      <c r="L96" s="34" t="str">
        <f t="shared" si="29"/>
        <v/>
      </c>
      <c r="M96" s="118"/>
      <c r="N96" s="121"/>
      <c r="O96" s="122" t="str">
        <f t="shared" si="38"/>
        <v/>
      </c>
      <c r="P96" s="35" t="str">
        <f t="shared" si="39"/>
        <v/>
      </c>
      <c r="Q96" s="124"/>
      <c r="R96" s="36" t="str">
        <f t="shared" si="40"/>
        <v/>
      </c>
      <c r="S96" s="37" t="str">
        <f t="shared" si="30"/>
        <v/>
      </c>
      <c r="T96" s="38" t="str">
        <f t="shared" si="31"/>
        <v/>
      </c>
      <c r="U96" s="39" t="str">
        <f t="shared" si="32"/>
        <v/>
      </c>
      <c r="V96" s="40" t="str">
        <f t="shared" si="33"/>
        <v/>
      </c>
      <c r="W96" s="39" t="str">
        <f t="shared" si="34"/>
        <v/>
      </c>
      <c r="X96" s="34" t="str">
        <f t="shared" si="35"/>
        <v/>
      </c>
      <c r="Y96" s="41" t="str">
        <f t="shared" si="41"/>
        <v/>
      </c>
      <c r="Z96" s="98" t="str">
        <f t="shared" si="36"/>
        <v/>
      </c>
      <c r="AA96" s="81" t="str">
        <f t="shared" si="42"/>
        <v/>
      </c>
      <c r="AC96" s="139"/>
      <c r="AD96" s="110" t="str">
        <f t="shared" si="43"/>
        <v/>
      </c>
      <c r="AE96" s="111" t="str">
        <f t="shared" si="44"/>
        <v/>
      </c>
      <c r="AF96" s="111" t="str">
        <f t="shared" si="37"/>
        <v/>
      </c>
      <c r="AG96" s="111" t="str">
        <f t="shared" si="45"/>
        <v/>
      </c>
      <c r="AH96" s="111" t="str">
        <f t="shared" si="46"/>
        <v/>
      </c>
      <c r="AI96" s="112" t="str">
        <f t="shared" si="47"/>
        <v/>
      </c>
      <c r="AJ96" t="str">
        <f t="shared" si="48"/>
        <v/>
      </c>
      <c r="AK96" t="str">
        <f t="shared" si="49"/>
        <v/>
      </c>
    </row>
    <row r="97" spans="1:37" ht="15" customHeight="1" x14ac:dyDescent="0.25">
      <c r="A97" s="114"/>
      <c r="B97" s="116"/>
      <c r="C97" s="116"/>
      <c r="D97" s="42" t="str">
        <f t="shared" si="25"/>
        <v/>
      </c>
      <c r="E97" s="43"/>
      <c r="F97" s="83"/>
      <c r="G97" s="118"/>
      <c r="H97" s="34" t="str">
        <f t="shared" si="26"/>
        <v/>
      </c>
      <c r="I97" s="88" t="str">
        <f t="shared" si="27"/>
        <v/>
      </c>
      <c r="J97" s="44" t="str">
        <f t="shared" si="28"/>
        <v/>
      </c>
      <c r="K97" s="118"/>
      <c r="L97" s="34" t="str">
        <f t="shared" si="29"/>
        <v/>
      </c>
      <c r="M97" s="118"/>
      <c r="N97" s="121"/>
      <c r="O97" s="122" t="str">
        <f t="shared" si="38"/>
        <v/>
      </c>
      <c r="P97" s="35" t="str">
        <f t="shared" si="39"/>
        <v/>
      </c>
      <c r="Q97" s="124"/>
      <c r="R97" s="36" t="str">
        <f t="shared" si="40"/>
        <v/>
      </c>
      <c r="S97" s="37" t="str">
        <f t="shared" si="30"/>
        <v/>
      </c>
      <c r="T97" s="38" t="str">
        <f t="shared" si="31"/>
        <v/>
      </c>
      <c r="U97" s="39" t="str">
        <f t="shared" si="32"/>
        <v/>
      </c>
      <c r="V97" s="40" t="str">
        <f t="shared" si="33"/>
        <v/>
      </c>
      <c r="W97" s="39" t="str">
        <f t="shared" si="34"/>
        <v/>
      </c>
      <c r="X97" s="34" t="str">
        <f t="shared" si="35"/>
        <v/>
      </c>
      <c r="Y97" s="41" t="str">
        <f t="shared" si="41"/>
        <v/>
      </c>
      <c r="Z97" s="98" t="str">
        <f t="shared" si="36"/>
        <v/>
      </c>
      <c r="AA97" s="81" t="str">
        <f t="shared" si="42"/>
        <v/>
      </c>
      <c r="AC97" s="139"/>
      <c r="AD97" s="110" t="str">
        <f t="shared" si="43"/>
        <v/>
      </c>
      <c r="AE97" s="111" t="str">
        <f t="shared" si="44"/>
        <v/>
      </c>
      <c r="AF97" s="111" t="str">
        <f t="shared" si="37"/>
        <v/>
      </c>
      <c r="AG97" s="111" t="str">
        <f t="shared" si="45"/>
        <v/>
      </c>
      <c r="AH97" s="111" t="str">
        <f t="shared" si="46"/>
        <v/>
      </c>
      <c r="AI97" s="112" t="str">
        <f t="shared" si="47"/>
        <v/>
      </c>
      <c r="AJ97" t="str">
        <f t="shared" si="48"/>
        <v/>
      </c>
      <c r="AK97" t="str">
        <f t="shared" si="49"/>
        <v/>
      </c>
    </row>
    <row r="98" spans="1:37" ht="15" customHeight="1" x14ac:dyDescent="0.25">
      <c r="A98" s="114"/>
      <c r="B98" s="116"/>
      <c r="C98" s="116"/>
      <c r="D98" s="42" t="str">
        <f t="shared" si="25"/>
        <v/>
      </c>
      <c r="E98" s="43"/>
      <c r="F98" s="83"/>
      <c r="G98" s="118"/>
      <c r="H98" s="34" t="str">
        <f t="shared" si="26"/>
        <v/>
      </c>
      <c r="I98" s="88" t="str">
        <f t="shared" si="27"/>
        <v/>
      </c>
      <c r="J98" s="44" t="str">
        <f t="shared" si="28"/>
        <v/>
      </c>
      <c r="K98" s="118"/>
      <c r="L98" s="34" t="str">
        <f t="shared" si="29"/>
        <v/>
      </c>
      <c r="M98" s="118"/>
      <c r="N98" s="121"/>
      <c r="O98" s="122" t="str">
        <f t="shared" si="38"/>
        <v/>
      </c>
      <c r="P98" s="35" t="str">
        <f t="shared" si="39"/>
        <v/>
      </c>
      <c r="Q98" s="124"/>
      <c r="R98" s="36" t="str">
        <f t="shared" si="40"/>
        <v/>
      </c>
      <c r="S98" s="37" t="str">
        <f t="shared" si="30"/>
        <v/>
      </c>
      <c r="T98" s="38" t="str">
        <f t="shared" si="31"/>
        <v/>
      </c>
      <c r="U98" s="39" t="str">
        <f t="shared" si="32"/>
        <v/>
      </c>
      <c r="V98" s="40" t="str">
        <f t="shared" si="33"/>
        <v/>
      </c>
      <c r="W98" s="39" t="str">
        <f t="shared" si="34"/>
        <v/>
      </c>
      <c r="X98" s="34" t="str">
        <f t="shared" si="35"/>
        <v/>
      </c>
      <c r="Y98" s="41" t="str">
        <f t="shared" si="41"/>
        <v/>
      </c>
      <c r="Z98" s="98" t="str">
        <f t="shared" si="36"/>
        <v/>
      </c>
      <c r="AA98" s="81" t="str">
        <f t="shared" si="42"/>
        <v/>
      </c>
      <c r="AC98" s="139"/>
      <c r="AD98" s="110" t="str">
        <f t="shared" si="43"/>
        <v/>
      </c>
      <c r="AE98" s="111" t="str">
        <f t="shared" si="44"/>
        <v/>
      </c>
      <c r="AF98" s="111" t="str">
        <f t="shared" si="37"/>
        <v/>
      </c>
      <c r="AG98" s="111" t="str">
        <f t="shared" si="45"/>
        <v/>
      </c>
      <c r="AH98" s="111" t="str">
        <f t="shared" si="46"/>
        <v/>
      </c>
      <c r="AI98" s="112" t="str">
        <f t="shared" si="47"/>
        <v/>
      </c>
      <c r="AJ98" t="str">
        <f t="shared" si="48"/>
        <v/>
      </c>
      <c r="AK98" t="str">
        <f t="shared" si="49"/>
        <v/>
      </c>
    </row>
    <row r="99" spans="1:37" ht="15" customHeight="1" x14ac:dyDescent="0.25">
      <c r="A99" s="114"/>
      <c r="B99" s="116"/>
      <c r="C99" s="116"/>
      <c r="D99" s="42" t="str">
        <f t="shared" si="25"/>
        <v/>
      </c>
      <c r="E99" s="43"/>
      <c r="F99" s="83"/>
      <c r="G99" s="118"/>
      <c r="H99" s="34" t="str">
        <f t="shared" si="26"/>
        <v/>
      </c>
      <c r="I99" s="88" t="str">
        <f t="shared" si="27"/>
        <v/>
      </c>
      <c r="J99" s="44" t="str">
        <f t="shared" si="28"/>
        <v/>
      </c>
      <c r="K99" s="118"/>
      <c r="L99" s="34" t="str">
        <f t="shared" si="29"/>
        <v/>
      </c>
      <c r="M99" s="118"/>
      <c r="N99" s="121"/>
      <c r="O99" s="122" t="str">
        <f t="shared" si="38"/>
        <v/>
      </c>
      <c r="P99" s="35" t="str">
        <f t="shared" si="39"/>
        <v/>
      </c>
      <c r="Q99" s="124"/>
      <c r="R99" s="36" t="str">
        <f t="shared" si="40"/>
        <v/>
      </c>
      <c r="S99" s="37" t="str">
        <f t="shared" si="30"/>
        <v/>
      </c>
      <c r="T99" s="38" t="str">
        <f t="shared" si="31"/>
        <v/>
      </c>
      <c r="U99" s="39" t="str">
        <f t="shared" si="32"/>
        <v/>
      </c>
      <c r="V99" s="40" t="str">
        <f t="shared" si="33"/>
        <v/>
      </c>
      <c r="W99" s="39" t="str">
        <f t="shared" si="34"/>
        <v/>
      </c>
      <c r="X99" s="34" t="str">
        <f t="shared" si="35"/>
        <v/>
      </c>
      <c r="Y99" s="41" t="str">
        <f t="shared" si="41"/>
        <v/>
      </c>
      <c r="Z99" s="98" t="str">
        <f t="shared" si="36"/>
        <v/>
      </c>
      <c r="AA99" s="81" t="str">
        <f t="shared" si="42"/>
        <v/>
      </c>
      <c r="AC99" s="139"/>
      <c r="AD99" s="110" t="str">
        <f t="shared" si="43"/>
        <v/>
      </c>
      <c r="AE99" s="111" t="str">
        <f t="shared" si="44"/>
        <v/>
      </c>
      <c r="AF99" s="111" t="str">
        <f t="shared" si="37"/>
        <v/>
      </c>
      <c r="AG99" s="111" t="str">
        <f t="shared" si="45"/>
        <v/>
      </c>
      <c r="AH99" s="111" t="str">
        <f t="shared" si="46"/>
        <v/>
      </c>
      <c r="AI99" s="112" t="str">
        <f t="shared" si="47"/>
        <v/>
      </c>
      <c r="AJ99" t="str">
        <f t="shared" si="48"/>
        <v/>
      </c>
      <c r="AK99" t="str">
        <f t="shared" si="49"/>
        <v/>
      </c>
    </row>
    <row r="100" spans="1:37" ht="15" customHeight="1" x14ac:dyDescent="0.25">
      <c r="A100" s="114"/>
      <c r="B100" s="116"/>
      <c r="C100" s="116"/>
      <c r="D100" s="42" t="str">
        <f t="shared" si="25"/>
        <v/>
      </c>
      <c r="E100" s="43"/>
      <c r="F100" s="83"/>
      <c r="G100" s="118"/>
      <c r="H100" s="34" t="str">
        <f t="shared" si="26"/>
        <v/>
      </c>
      <c r="I100" s="88" t="str">
        <f t="shared" si="27"/>
        <v/>
      </c>
      <c r="J100" s="44" t="str">
        <f t="shared" si="28"/>
        <v/>
      </c>
      <c r="K100" s="118"/>
      <c r="L100" s="34" t="str">
        <f t="shared" si="29"/>
        <v/>
      </c>
      <c r="M100" s="118"/>
      <c r="N100" s="121"/>
      <c r="O100" s="122" t="str">
        <f t="shared" si="38"/>
        <v/>
      </c>
      <c r="P100" s="35" t="str">
        <f t="shared" si="39"/>
        <v/>
      </c>
      <c r="Q100" s="124"/>
      <c r="R100" s="36" t="str">
        <f t="shared" si="40"/>
        <v/>
      </c>
      <c r="S100" s="37" t="str">
        <f t="shared" si="30"/>
        <v/>
      </c>
      <c r="T100" s="38" t="str">
        <f t="shared" si="31"/>
        <v/>
      </c>
      <c r="U100" s="39" t="str">
        <f t="shared" si="32"/>
        <v/>
      </c>
      <c r="V100" s="40" t="str">
        <f t="shared" si="33"/>
        <v/>
      </c>
      <c r="W100" s="39" t="str">
        <f t="shared" si="34"/>
        <v/>
      </c>
      <c r="X100" s="34" t="str">
        <f t="shared" si="35"/>
        <v/>
      </c>
      <c r="Y100" s="41" t="str">
        <f t="shared" si="41"/>
        <v/>
      </c>
      <c r="Z100" s="98" t="str">
        <f t="shared" si="36"/>
        <v/>
      </c>
      <c r="AA100" s="81" t="str">
        <f t="shared" si="42"/>
        <v/>
      </c>
      <c r="AC100" s="139"/>
      <c r="AD100" s="110" t="str">
        <f t="shared" si="43"/>
        <v/>
      </c>
      <c r="AE100" s="111" t="str">
        <f t="shared" si="44"/>
        <v/>
      </c>
      <c r="AF100" s="111" t="str">
        <f t="shared" si="37"/>
        <v/>
      </c>
      <c r="AG100" s="111" t="str">
        <f t="shared" si="45"/>
        <v/>
      </c>
      <c r="AH100" s="111" t="str">
        <f t="shared" si="46"/>
        <v/>
      </c>
      <c r="AI100" s="112" t="str">
        <f t="shared" si="47"/>
        <v/>
      </c>
      <c r="AJ100" t="str">
        <f t="shared" si="48"/>
        <v/>
      </c>
      <c r="AK100" t="str">
        <f t="shared" si="49"/>
        <v/>
      </c>
    </row>
    <row r="101" spans="1:37" ht="15" customHeight="1" x14ac:dyDescent="0.25">
      <c r="A101" s="114"/>
      <c r="B101" s="116"/>
      <c r="C101" s="116"/>
      <c r="D101" s="42" t="str">
        <f t="shared" si="25"/>
        <v/>
      </c>
      <c r="E101" s="43"/>
      <c r="F101" s="83"/>
      <c r="G101" s="118"/>
      <c r="H101" s="34" t="str">
        <f t="shared" si="26"/>
        <v/>
      </c>
      <c r="I101" s="88" t="str">
        <f t="shared" si="27"/>
        <v/>
      </c>
      <c r="J101" s="44" t="str">
        <f t="shared" si="28"/>
        <v/>
      </c>
      <c r="K101" s="118"/>
      <c r="L101" s="34" t="str">
        <f t="shared" si="29"/>
        <v/>
      </c>
      <c r="M101" s="118"/>
      <c r="N101" s="121"/>
      <c r="O101" s="122" t="str">
        <f t="shared" si="38"/>
        <v/>
      </c>
      <c r="P101" s="35" t="str">
        <f t="shared" si="39"/>
        <v/>
      </c>
      <c r="Q101" s="124"/>
      <c r="R101" s="36" t="str">
        <f t="shared" si="40"/>
        <v/>
      </c>
      <c r="S101" s="37" t="str">
        <f t="shared" si="30"/>
        <v/>
      </c>
      <c r="T101" s="38" t="str">
        <f t="shared" si="31"/>
        <v/>
      </c>
      <c r="U101" s="39" t="str">
        <f t="shared" si="32"/>
        <v/>
      </c>
      <c r="V101" s="40" t="str">
        <f t="shared" si="33"/>
        <v/>
      </c>
      <c r="W101" s="39" t="str">
        <f t="shared" si="34"/>
        <v/>
      </c>
      <c r="X101" s="34" t="str">
        <f t="shared" si="35"/>
        <v/>
      </c>
      <c r="Y101" s="41" t="str">
        <f t="shared" si="41"/>
        <v/>
      </c>
      <c r="Z101" s="98" t="str">
        <f t="shared" si="36"/>
        <v/>
      </c>
      <c r="AA101" s="81" t="str">
        <f t="shared" si="42"/>
        <v/>
      </c>
      <c r="AC101" s="139"/>
      <c r="AD101" s="110" t="str">
        <f t="shared" si="43"/>
        <v/>
      </c>
      <c r="AE101" s="111" t="str">
        <f t="shared" si="44"/>
        <v/>
      </c>
      <c r="AF101" s="111" t="str">
        <f t="shared" si="37"/>
        <v/>
      </c>
      <c r="AG101" s="111" t="str">
        <f t="shared" si="45"/>
        <v/>
      </c>
      <c r="AH101" s="111" t="str">
        <f t="shared" si="46"/>
        <v/>
      </c>
      <c r="AI101" s="112" t="str">
        <f t="shared" si="47"/>
        <v/>
      </c>
      <c r="AJ101" t="str">
        <f t="shared" si="48"/>
        <v/>
      </c>
      <c r="AK101" t="str">
        <f t="shared" si="49"/>
        <v/>
      </c>
    </row>
    <row r="102" spans="1:37" ht="15" customHeight="1" x14ac:dyDescent="0.25">
      <c r="A102" s="114"/>
      <c r="B102" s="116"/>
      <c r="C102" s="116"/>
      <c r="D102" s="42" t="str">
        <f t="shared" si="25"/>
        <v/>
      </c>
      <c r="E102" s="43"/>
      <c r="F102" s="83"/>
      <c r="G102" s="118"/>
      <c r="H102" s="34" t="str">
        <f t="shared" si="26"/>
        <v/>
      </c>
      <c r="I102" s="88" t="str">
        <f t="shared" si="27"/>
        <v/>
      </c>
      <c r="J102" s="44" t="str">
        <f t="shared" si="28"/>
        <v/>
      </c>
      <c r="K102" s="118"/>
      <c r="L102" s="34" t="str">
        <f t="shared" si="29"/>
        <v/>
      </c>
      <c r="M102" s="118"/>
      <c r="N102" s="121"/>
      <c r="O102" s="122" t="str">
        <f t="shared" si="38"/>
        <v/>
      </c>
      <c r="P102" s="35" t="str">
        <f t="shared" si="39"/>
        <v/>
      </c>
      <c r="Q102" s="124"/>
      <c r="R102" s="36" t="str">
        <f t="shared" si="40"/>
        <v/>
      </c>
      <c r="S102" s="37" t="str">
        <f t="shared" si="30"/>
        <v/>
      </c>
      <c r="T102" s="38" t="str">
        <f t="shared" si="31"/>
        <v/>
      </c>
      <c r="U102" s="39" t="str">
        <f t="shared" si="32"/>
        <v/>
      </c>
      <c r="V102" s="40" t="str">
        <f t="shared" si="33"/>
        <v/>
      </c>
      <c r="W102" s="39" t="str">
        <f t="shared" si="34"/>
        <v/>
      </c>
      <c r="X102" s="34" t="str">
        <f t="shared" si="35"/>
        <v/>
      </c>
      <c r="Y102" s="41" t="str">
        <f t="shared" si="41"/>
        <v/>
      </c>
      <c r="Z102" s="98" t="str">
        <f t="shared" si="36"/>
        <v/>
      </c>
      <c r="AA102" s="81" t="str">
        <f t="shared" si="42"/>
        <v/>
      </c>
      <c r="AC102" s="139"/>
      <c r="AD102" s="110" t="str">
        <f t="shared" si="43"/>
        <v/>
      </c>
      <c r="AE102" s="111" t="str">
        <f t="shared" si="44"/>
        <v/>
      </c>
      <c r="AF102" s="111" t="str">
        <f t="shared" si="37"/>
        <v/>
      </c>
      <c r="AG102" s="111" t="str">
        <f t="shared" si="45"/>
        <v/>
      </c>
      <c r="AH102" s="111" t="str">
        <f t="shared" si="46"/>
        <v/>
      </c>
      <c r="AI102" s="112" t="str">
        <f t="shared" si="47"/>
        <v/>
      </c>
      <c r="AJ102" t="str">
        <f t="shared" si="48"/>
        <v/>
      </c>
      <c r="AK102" t="str">
        <f t="shared" si="49"/>
        <v/>
      </c>
    </row>
    <row r="103" spans="1:37" ht="15" customHeight="1" x14ac:dyDescent="0.25">
      <c r="A103" s="114"/>
      <c r="B103" s="116"/>
      <c r="C103" s="116"/>
      <c r="D103" s="42" t="str">
        <f t="shared" si="25"/>
        <v/>
      </c>
      <c r="E103" s="43"/>
      <c r="F103" s="83"/>
      <c r="G103" s="118"/>
      <c r="H103" s="34" t="str">
        <f t="shared" si="26"/>
        <v/>
      </c>
      <c r="I103" s="88" t="str">
        <f t="shared" si="27"/>
        <v/>
      </c>
      <c r="J103" s="44" t="str">
        <f t="shared" si="28"/>
        <v/>
      </c>
      <c r="K103" s="118"/>
      <c r="L103" s="34" t="str">
        <f t="shared" si="29"/>
        <v/>
      </c>
      <c r="M103" s="118"/>
      <c r="N103" s="121"/>
      <c r="O103" s="122" t="str">
        <f t="shared" si="38"/>
        <v/>
      </c>
      <c r="P103" s="35" t="str">
        <f t="shared" si="39"/>
        <v/>
      </c>
      <c r="Q103" s="124"/>
      <c r="R103" s="36" t="str">
        <f t="shared" si="40"/>
        <v/>
      </c>
      <c r="S103" s="37" t="str">
        <f t="shared" si="30"/>
        <v/>
      </c>
      <c r="T103" s="38" t="str">
        <f t="shared" si="31"/>
        <v/>
      </c>
      <c r="U103" s="39" t="str">
        <f t="shared" si="32"/>
        <v/>
      </c>
      <c r="V103" s="40" t="str">
        <f t="shared" si="33"/>
        <v/>
      </c>
      <c r="W103" s="39" t="str">
        <f t="shared" si="34"/>
        <v/>
      </c>
      <c r="X103" s="34" t="str">
        <f t="shared" si="35"/>
        <v/>
      </c>
      <c r="Y103" s="41" t="str">
        <f t="shared" si="41"/>
        <v/>
      </c>
      <c r="Z103" s="98" t="str">
        <f t="shared" si="36"/>
        <v/>
      </c>
      <c r="AA103" s="81" t="str">
        <f t="shared" si="42"/>
        <v/>
      </c>
      <c r="AC103" s="139"/>
      <c r="AD103" s="110" t="str">
        <f t="shared" si="43"/>
        <v/>
      </c>
      <c r="AE103" s="111" t="str">
        <f t="shared" si="44"/>
        <v/>
      </c>
      <c r="AF103" s="111" t="str">
        <f t="shared" si="37"/>
        <v/>
      </c>
      <c r="AG103" s="111" t="str">
        <f t="shared" si="45"/>
        <v/>
      </c>
      <c r="AH103" s="111" t="str">
        <f t="shared" si="46"/>
        <v/>
      </c>
      <c r="AI103" s="112" t="str">
        <f t="shared" si="47"/>
        <v/>
      </c>
      <c r="AJ103" t="str">
        <f t="shared" si="48"/>
        <v/>
      </c>
      <c r="AK103" t="str">
        <f t="shared" si="49"/>
        <v/>
      </c>
    </row>
    <row r="104" spans="1:37" ht="15" customHeight="1" x14ac:dyDescent="0.25">
      <c r="A104" s="114"/>
      <c r="B104" s="116"/>
      <c r="C104" s="116"/>
      <c r="D104" s="42" t="str">
        <f t="shared" si="25"/>
        <v/>
      </c>
      <c r="E104" s="43"/>
      <c r="F104" s="83"/>
      <c r="G104" s="118"/>
      <c r="H104" s="34" t="str">
        <f t="shared" si="26"/>
        <v/>
      </c>
      <c r="I104" s="88" t="str">
        <f t="shared" si="27"/>
        <v/>
      </c>
      <c r="J104" s="44" t="str">
        <f t="shared" si="28"/>
        <v/>
      </c>
      <c r="K104" s="118"/>
      <c r="L104" s="34" t="str">
        <f t="shared" si="29"/>
        <v/>
      </c>
      <c r="M104" s="118"/>
      <c r="N104" s="121"/>
      <c r="O104" s="122" t="str">
        <f t="shared" si="38"/>
        <v/>
      </c>
      <c r="P104" s="35" t="str">
        <f t="shared" si="39"/>
        <v/>
      </c>
      <c r="Q104" s="124"/>
      <c r="R104" s="36" t="str">
        <f t="shared" si="40"/>
        <v/>
      </c>
      <c r="S104" s="37" t="str">
        <f t="shared" si="30"/>
        <v/>
      </c>
      <c r="T104" s="38" t="str">
        <f t="shared" si="31"/>
        <v/>
      </c>
      <c r="U104" s="39" t="str">
        <f t="shared" si="32"/>
        <v/>
      </c>
      <c r="V104" s="40" t="str">
        <f t="shared" si="33"/>
        <v/>
      </c>
      <c r="W104" s="39" t="str">
        <f t="shared" si="34"/>
        <v/>
      </c>
      <c r="X104" s="34" t="str">
        <f t="shared" si="35"/>
        <v/>
      </c>
      <c r="Y104" s="41" t="str">
        <f t="shared" si="41"/>
        <v/>
      </c>
      <c r="Z104" s="98" t="str">
        <f t="shared" si="36"/>
        <v/>
      </c>
      <c r="AA104" s="81" t="str">
        <f t="shared" si="42"/>
        <v/>
      </c>
      <c r="AC104" s="139"/>
      <c r="AD104" s="110" t="str">
        <f t="shared" si="43"/>
        <v/>
      </c>
      <c r="AE104" s="111" t="str">
        <f t="shared" si="44"/>
        <v/>
      </c>
      <c r="AF104" s="111" t="str">
        <f t="shared" si="37"/>
        <v/>
      </c>
      <c r="AG104" s="111" t="str">
        <f t="shared" si="45"/>
        <v/>
      </c>
      <c r="AH104" s="111" t="str">
        <f t="shared" si="46"/>
        <v/>
      </c>
      <c r="AI104" s="112" t="str">
        <f t="shared" si="47"/>
        <v/>
      </c>
      <c r="AJ104" t="str">
        <f t="shared" si="48"/>
        <v/>
      </c>
      <c r="AK104" t="str">
        <f t="shared" si="49"/>
        <v/>
      </c>
    </row>
    <row r="105" spans="1:37" ht="15" customHeight="1" x14ac:dyDescent="0.25">
      <c r="A105" s="114"/>
      <c r="B105" s="116"/>
      <c r="C105" s="116"/>
      <c r="D105" s="42" t="str">
        <f t="shared" si="25"/>
        <v/>
      </c>
      <c r="E105" s="43"/>
      <c r="F105" s="83"/>
      <c r="G105" s="118"/>
      <c r="H105" s="34" t="str">
        <f t="shared" si="26"/>
        <v/>
      </c>
      <c r="I105" s="88" t="str">
        <f t="shared" si="27"/>
        <v/>
      </c>
      <c r="J105" s="44" t="str">
        <f t="shared" si="28"/>
        <v/>
      </c>
      <c r="K105" s="118"/>
      <c r="L105" s="34" t="str">
        <f t="shared" si="29"/>
        <v/>
      </c>
      <c r="M105" s="118"/>
      <c r="N105" s="121"/>
      <c r="O105" s="122" t="str">
        <f t="shared" si="38"/>
        <v/>
      </c>
      <c r="P105" s="35" t="str">
        <f t="shared" si="39"/>
        <v/>
      </c>
      <c r="Q105" s="124"/>
      <c r="R105" s="36" t="str">
        <f t="shared" si="40"/>
        <v/>
      </c>
      <c r="S105" s="37" t="str">
        <f t="shared" si="30"/>
        <v/>
      </c>
      <c r="T105" s="38" t="str">
        <f t="shared" si="31"/>
        <v/>
      </c>
      <c r="U105" s="39" t="str">
        <f t="shared" si="32"/>
        <v/>
      </c>
      <c r="V105" s="40" t="str">
        <f t="shared" si="33"/>
        <v/>
      </c>
      <c r="W105" s="39" t="str">
        <f t="shared" si="34"/>
        <v/>
      </c>
      <c r="X105" s="34" t="str">
        <f t="shared" si="35"/>
        <v/>
      </c>
      <c r="Y105" s="41" t="str">
        <f t="shared" si="41"/>
        <v/>
      </c>
      <c r="Z105" s="98" t="str">
        <f t="shared" si="36"/>
        <v/>
      </c>
      <c r="AA105" s="81" t="str">
        <f t="shared" si="42"/>
        <v/>
      </c>
      <c r="AC105" s="139"/>
      <c r="AD105" s="110" t="str">
        <f t="shared" si="43"/>
        <v/>
      </c>
      <c r="AE105" s="111" t="str">
        <f t="shared" si="44"/>
        <v/>
      </c>
      <c r="AF105" s="111" t="str">
        <f t="shared" si="37"/>
        <v/>
      </c>
      <c r="AG105" s="111" t="str">
        <f t="shared" si="45"/>
        <v/>
      </c>
      <c r="AH105" s="111" t="str">
        <f t="shared" si="46"/>
        <v/>
      </c>
      <c r="AI105" s="112" t="str">
        <f t="shared" si="47"/>
        <v/>
      </c>
      <c r="AJ105" t="str">
        <f t="shared" si="48"/>
        <v/>
      </c>
      <c r="AK105" t="str">
        <f t="shared" si="49"/>
        <v/>
      </c>
    </row>
    <row r="106" spans="1:37" ht="15" customHeight="1" x14ac:dyDescent="0.25">
      <c r="A106" s="114"/>
      <c r="B106" s="116"/>
      <c r="C106" s="116"/>
      <c r="D106" s="42" t="str">
        <f t="shared" si="25"/>
        <v/>
      </c>
      <c r="E106" s="43"/>
      <c r="F106" s="83"/>
      <c r="G106" s="118"/>
      <c r="H106" s="34" t="str">
        <f t="shared" si="26"/>
        <v/>
      </c>
      <c r="I106" s="88" t="str">
        <f t="shared" si="27"/>
        <v/>
      </c>
      <c r="J106" s="44" t="str">
        <f t="shared" si="28"/>
        <v/>
      </c>
      <c r="K106" s="118"/>
      <c r="L106" s="34" t="str">
        <f t="shared" si="29"/>
        <v/>
      </c>
      <c r="M106" s="118"/>
      <c r="N106" s="121"/>
      <c r="O106" s="122" t="str">
        <f t="shared" si="38"/>
        <v/>
      </c>
      <c r="P106" s="35" t="str">
        <f t="shared" si="39"/>
        <v/>
      </c>
      <c r="Q106" s="124"/>
      <c r="R106" s="36" t="str">
        <f t="shared" si="40"/>
        <v/>
      </c>
      <c r="S106" s="37" t="str">
        <f t="shared" si="30"/>
        <v/>
      </c>
      <c r="T106" s="38" t="str">
        <f t="shared" si="31"/>
        <v/>
      </c>
      <c r="U106" s="39" t="str">
        <f t="shared" si="32"/>
        <v/>
      </c>
      <c r="V106" s="40" t="str">
        <f t="shared" si="33"/>
        <v/>
      </c>
      <c r="W106" s="39" t="str">
        <f t="shared" si="34"/>
        <v/>
      </c>
      <c r="X106" s="34" t="str">
        <f t="shared" si="35"/>
        <v/>
      </c>
      <c r="Y106" s="41" t="str">
        <f t="shared" si="41"/>
        <v/>
      </c>
      <c r="Z106" s="98" t="str">
        <f t="shared" si="36"/>
        <v/>
      </c>
      <c r="AA106" s="81" t="str">
        <f t="shared" si="42"/>
        <v/>
      </c>
      <c r="AC106" s="139"/>
      <c r="AD106" s="110" t="str">
        <f t="shared" si="43"/>
        <v/>
      </c>
      <c r="AE106" s="111" t="str">
        <f t="shared" si="44"/>
        <v/>
      </c>
      <c r="AF106" s="111" t="str">
        <f t="shared" si="37"/>
        <v/>
      </c>
      <c r="AG106" s="111" t="str">
        <f t="shared" si="45"/>
        <v/>
      </c>
      <c r="AH106" s="111" t="str">
        <f t="shared" si="46"/>
        <v/>
      </c>
      <c r="AI106" s="112" t="str">
        <f t="shared" si="47"/>
        <v/>
      </c>
      <c r="AJ106" t="str">
        <f t="shared" si="48"/>
        <v/>
      </c>
      <c r="AK106" t="str">
        <f t="shared" si="49"/>
        <v/>
      </c>
    </row>
    <row r="107" spans="1:37" ht="15" customHeight="1" x14ac:dyDescent="0.25">
      <c r="A107" s="114"/>
      <c r="B107" s="116"/>
      <c r="C107" s="116"/>
      <c r="D107" s="42" t="str">
        <f t="shared" si="25"/>
        <v/>
      </c>
      <c r="E107" s="43"/>
      <c r="F107" s="83"/>
      <c r="G107" s="118"/>
      <c r="H107" s="34" t="str">
        <f t="shared" si="26"/>
        <v/>
      </c>
      <c r="I107" s="88" t="str">
        <f t="shared" si="27"/>
        <v/>
      </c>
      <c r="J107" s="44" t="str">
        <f t="shared" si="28"/>
        <v/>
      </c>
      <c r="K107" s="118"/>
      <c r="L107" s="34" t="str">
        <f t="shared" si="29"/>
        <v/>
      </c>
      <c r="M107" s="118"/>
      <c r="N107" s="121"/>
      <c r="O107" s="122" t="str">
        <f t="shared" si="38"/>
        <v/>
      </c>
      <c r="P107" s="35" t="str">
        <f t="shared" si="39"/>
        <v/>
      </c>
      <c r="Q107" s="124"/>
      <c r="R107" s="36" t="str">
        <f t="shared" si="40"/>
        <v/>
      </c>
      <c r="S107" s="37" t="str">
        <f t="shared" si="30"/>
        <v/>
      </c>
      <c r="T107" s="38" t="str">
        <f t="shared" si="31"/>
        <v/>
      </c>
      <c r="U107" s="39" t="str">
        <f t="shared" si="32"/>
        <v/>
      </c>
      <c r="V107" s="40" t="str">
        <f t="shared" si="33"/>
        <v/>
      </c>
      <c r="W107" s="39" t="str">
        <f t="shared" si="34"/>
        <v/>
      </c>
      <c r="X107" s="34" t="str">
        <f t="shared" si="35"/>
        <v/>
      </c>
      <c r="Y107" s="41" t="str">
        <f t="shared" si="41"/>
        <v/>
      </c>
      <c r="Z107" s="98" t="str">
        <f t="shared" si="36"/>
        <v/>
      </c>
      <c r="AA107" s="81" t="str">
        <f t="shared" si="42"/>
        <v/>
      </c>
      <c r="AC107" s="139"/>
      <c r="AD107" s="110" t="str">
        <f t="shared" si="43"/>
        <v/>
      </c>
      <c r="AE107" s="111" t="str">
        <f t="shared" si="44"/>
        <v/>
      </c>
      <c r="AF107" s="111" t="str">
        <f t="shared" si="37"/>
        <v/>
      </c>
      <c r="AG107" s="111" t="str">
        <f t="shared" si="45"/>
        <v/>
      </c>
      <c r="AH107" s="111" t="str">
        <f t="shared" si="46"/>
        <v/>
      </c>
      <c r="AI107" s="112" t="str">
        <f t="shared" si="47"/>
        <v/>
      </c>
      <c r="AJ107" t="str">
        <f t="shared" si="48"/>
        <v/>
      </c>
      <c r="AK107" t="str">
        <f t="shared" si="49"/>
        <v/>
      </c>
    </row>
    <row r="108" spans="1:37" ht="15" customHeight="1" x14ac:dyDescent="0.25">
      <c r="A108" s="114"/>
      <c r="B108" s="116"/>
      <c r="C108" s="116"/>
      <c r="D108" s="42" t="str">
        <f t="shared" si="25"/>
        <v/>
      </c>
      <c r="E108" s="43"/>
      <c r="F108" s="83"/>
      <c r="G108" s="118"/>
      <c r="H108" s="34" t="str">
        <f t="shared" si="26"/>
        <v/>
      </c>
      <c r="I108" s="88" t="str">
        <f t="shared" si="27"/>
        <v/>
      </c>
      <c r="J108" s="44" t="str">
        <f t="shared" si="28"/>
        <v/>
      </c>
      <c r="K108" s="118"/>
      <c r="L108" s="34" t="str">
        <f t="shared" si="29"/>
        <v/>
      </c>
      <c r="M108" s="118"/>
      <c r="N108" s="121"/>
      <c r="O108" s="122" t="str">
        <f t="shared" si="38"/>
        <v/>
      </c>
      <c r="P108" s="35" t="str">
        <f t="shared" si="39"/>
        <v/>
      </c>
      <c r="Q108" s="124"/>
      <c r="R108" s="36" t="str">
        <f t="shared" si="40"/>
        <v/>
      </c>
      <c r="S108" s="37" t="str">
        <f t="shared" si="30"/>
        <v/>
      </c>
      <c r="T108" s="38" t="str">
        <f t="shared" si="31"/>
        <v/>
      </c>
      <c r="U108" s="39" t="str">
        <f t="shared" si="32"/>
        <v/>
      </c>
      <c r="V108" s="40" t="str">
        <f t="shared" si="33"/>
        <v/>
      </c>
      <c r="W108" s="39" t="str">
        <f t="shared" si="34"/>
        <v/>
      </c>
      <c r="X108" s="34" t="str">
        <f t="shared" si="35"/>
        <v/>
      </c>
      <c r="Y108" s="41" t="str">
        <f t="shared" si="41"/>
        <v/>
      </c>
      <c r="Z108" s="98" t="str">
        <f t="shared" si="36"/>
        <v/>
      </c>
      <c r="AA108" s="81" t="str">
        <f t="shared" si="42"/>
        <v/>
      </c>
      <c r="AC108" s="139"/>
      <c r="AD108" s="110" t="str">
        <f t="shared" si="43"/>
        <v/>
      </c>
      <c r="AE108" s="111" t="str">
        <f t="shared" si="44"/>
        <v/>
      </c>
      <c r="AF108" s="111" t="str">
        <f t="shared" si="37"/>
        <v/>
      </c>
      <c r="AG108" s="111" t="str">
        <f t="shared" si="45"/>
        <v/>
      </c>
      <c r="AH108" s="111" t="str">
        <f t="shared" si="46"/>
        <v/>
      </c>
      <c r="AI108" s="112" t="str">
        <f t="shared" si="47"/>
        <v/>
      </c>
      <c r="AJ108" t="str">
        <f t="shared" si="48"/>
        <v/>
      </c>
      <c r="AK108" t="str">
        <f t="shared" si="49"/>
        <v/>
      </c>
    </row>
    <row r="109" spans="1:37" ht="15" customHeight="1" x14ac:dyDescent="0.25">
      <c r="A109" s="114"/>
      <c r="B109" s="116"/>
      <c r="C109" s="116"/>
      <c r="D109" s="42" t="str">
        <f t="shared" si="25"/>
        <v/>
      </c>
      <c r="E109" s="43"/>
      <c r="F109" s="83"/>
      <c r="G109" s="118"/>
      <c r="H109" s="34" t="str">
        <f t="shared" si="26"/>
        <v/>
      </c>
      <c r="I109" s="88" t="str">
        <f t="shared" si="27"/>
        <v/>
      </c>
      <c r="J109" s="44" t="str">
        <f t="shared" si="28"/>
        <v/>
      </c>
      <c r="K109" s="118"/>
      <c r="L109" s="34" t="str">
        <f t="shared" si="29"/>
        <v/>
      </c>
      <c r="M109" s="118"/>
      <c r="N109" s="121"/>
      <c r="O109" s="122" t="str">
        <f t="shared" si="38"/>
        <v/>
      </c>
      <c r="P109" s="35" t="str">
        <f t="shared" si="39"/>
        <v/>
      </c>
      <c r="Q109" s="124"/>
      <c r="R109" s="36" t="str">
        <f t="shared" si="40"/>
        <v/>
      </c>
      <c r="S109" s="37" t="str">
        <f t="shared" si="30"/>
        <v/>
      </c>
      <c r="T109" s="38" t="str">
        <f t="shared" si="31"/>
        <v/>
      </c>
      <c r="U109" s="39" t="str">
        <f t="shared" si="32"/>
        <v/>
      </c>
      <c r="V109" s="40" t="str">
        <f t="shared" si="33"/>
        <v/>
      </c>
      <c r="W109" s="39" t="str">
        <f t="shared" si="34"/>
        <v/>
      </c>
      <c r="X109" s="34" t="str">
        <f t="shared" si="35"/>
        <v/>
      </c>
      <c r="Y109" s="41" t="str">
        <f t="shared" si="41"/>
        <v/>
      </c>
      <c r="Z109" s="98" t="str">
        <f t="shared" si="36"/>
        <v/>
      </c>
      <c r="AA109" s="81" t="str">
        <f t="shared" si="42"/>
        <v/>
      </c>
      <c r="AC109" s="139"/>
      <c r="AD109" s="110" t="str">
        <f t="shared" si="43"/>
        <v/>
      </c>
      <c r="AE109" s="111" t="str">
        <f t="shared" si="44"/>
        <v/>
      </c>
      <c r="AF109" s="111" t="str">
        <f t="shared" si="37"/>
        <v/>
      </c>
      <c r="AG109" s="111" t="str">
        <f t="shared" si="45"/>
        <v/>
      </c>
      <c r="AH109" s="111" t="str">
        <f t="shared" si="46"/>
        <v/>
      </c>
      <c r="AI109" s="112" t="str">
        <f t="shared" si="47"/>
        <v/>
      </c>
      <c r="AJ109" t="str">
        <f t="shared" si="48"/>
        <v/>
      </c>
      <c r="AK109" t="str">
        <f t="shared" si="49"/>
        <v/>
      </c>
    </row>
    <row r="110" spans="1:37" ht="15" customHeight="1" x14ac:dyDescent="0.25">
      <c r="A110" s="114"/>
      <c r="B110" s="116"/>
      <c r="C110" s="116"/>
      <c r="D110" s="42" t="str">
        <f t="shared" si="25"/>
        <v/>
      </c>
      <c r="E110" s="43"/>
      <c r="F110" s="83"/>
      <c r="G110" s="118"/>
      <c r="H110" s="34" t="str">
        <f t="shared" si="26"/>
        <v/>
      </c>
      <c r="I110" s="88" t="str">
        <f t="shared" si="27"/>
        <v/>
      </c>
      <c r="J110" s="44" t="str">
        <f t="shared" si="28"/>
        <v/>
      </c>
      <c r="K110" s="118"/>
      <c r="L110" s="34" t="str">
        <f t="shared" si="29"/>
        <v/>
      </c>
      <c r="M110" s="118"/>
      <c r="N110" s="121"/>
      <c r="O110" s="122" t="str">
        <f t="shared" si="38"/>
        <v/>
      </c>
      <c r="P110" s="35" t="str">
        <f t="shared" si="39"/>
        <v/>
      </c>
      <c r="Q110" s="124"/>
      <c r="R110" s="36" t="str">
        <f t="shared" si="40"/>
        <v/>
      </c>
      <c r="S110" s="37" t="str">
        <f t="shared" si="30"/>
        <v/>
      </c>
      <c r="T110" s="38" t="str">
        <f t="shared" si="31"/>
        <v/>
      </c>
      <c r="U110" s="39" t="str">
        <f t="shared" si="32"/>
        <v/>
      </c>
      <c r="V110" s="40" t="str">
        <f t="shared" si="33"/>
        <v/>
      </c>
      <c r="W110" s="39" t="str">
        <f t="shared" si="34"/>
        <v/>
      </c>
      <c r="X110" s="34" t="str">
        <f t="shared" si="35"/>
        <v/>
      </c>
      <c r="Y110" s="41" t="str">
        <f t="shared" si="41"/>
        <v/>
      </c>
      <c r="Z110" s="98" t="str">
        <f t="shared" si="36"/>
        <v/>
      </c>
      <c r="AA110" s="81" t="str">
        <f t="shared" si="42"/>
        <v/>
      </c>
      <c r="AC110" s="139"/>
      <c r="AD110" s="110" t="str">
        <f t="shared" si="43"/>
        <v/>
      </c>
      <c r="AE110" s="111" t="str">
        <f t="shared" si="44"/>
        <v/>
      </c>
      <c r="AF110" s="111" t="str">
        <f t="shared" si="37"/>
        <v/>
      </c>
      <c r="AG110" s="111" t="str">
        <f t="shared" si="45"/>
        <v/>
      </c>
      <c r="AH110" s="111" t="str">
        <f t="shared" si="46"/>
        <v/>
      </c>
      <c r="AI110" s="112" t="str">
        <f t="shared" si="47"/>
        <v/>
      </c>
      <c r="AJ110" t="str">
        <f t="shared" si="48"/>
        <v/>
      </c>
      <c r="AK110" t="str">
        <f t="shared" si="49"/>
        <v/>
      </c>
    </row>
    <row r="111" spans="1:37" ht="15" customHeight="1" x14ac:dyDescent="0.25">
      <c r="A111" s="114"/>
      <c r="B111" s="116"/>
      <c r="C111" s="116"/>
      <c r="D111" s="42" t="str">
        <f t="shared" si="25"/>
        <v/>
      </c>
      <c r="E111" s="43"/>
      <c r="F111" s="83"/>
      <c r="G111" s="118"/>
      <c r="H111" s="34" t="str">
        <f t="shared" si="26"/>
        <v/>
      </c>
      <c r="I111" s="88" t="str">
        <f t="shared" si="27"/>
        <v/>
      </c>
      <c r="J111" s="44" t="str">
        <f t="shared" si="28"/>
        <v/>
      </c>
      <c r="K111" s="118"/>
      <c r="L111" s="34" t="str">
        <f t="shared" si="29"/>
        <v/>
      </c>
      <c r="M111" s="118"/>
      <c r="N111" s="121"/>
      <c r="O111" s="122" t="str">
        <f t="shared" si="38"/>
        <v/>
      </c>
      <c r="P111" s="35" t="str">
        <f t="shared" si="39"/>
        <v/>
      </c>
      <c r="Q111" s="124"/>
      <c r="R111" s="36" t="str">
        <f t="shared" si="40"/>
        <v/>
      </c>
      <c r="S111" s="37" t="str">
        <f t="shared" si="30"/>
        <v/>
      </c>
      <c r="T111" s="38" t="str">
        <f t="shared" si="31"/>
        <v/>
      </c>
      <c r="U111" s="39" t="str">
        <f t="shared" si="32"/>
        <v/>
      </c>
      <c r="V111" s="40" t="str">
        <f t="shared" si="33"/>
        <v/>
      </c>
      <c r="W111" s="39" t="str">
        <f t="shared" si="34"/>
        <v/>
      </c>
      <c r="X111" s="34" t="str">
        <f t="shared" si="35"/>
        <v/>
      </c>
      <c r="Y111" s="41" t="str">
        <f t="shared" si="41"/>
        <v/>
      </c>
      <c r="Z111" s="98" t="str">
        <f t="shared" si="36"/>
        <v/>
      </c>
      <c r="AA111" s="81" t="str">
        <f t="shared" si="42"/>
        <v/>
      </c>
      <c r="AC111" s="139"/>
      <c r="AD111" s="110" t="str">
        <f t="shared" si="43"/>
        <v/>
      </c>
      <c r="AE111" s="111" t="str">
        <f t="shared" si="44"/>
        <v/>
      </c>
      <c r="AF111" s="111" t="str">
        <f t="shared" si="37"/>
        <v/>
      </c>
      <c r="AG111" s="111" t="str">
        <f t="shared" si="45"/>
        <v/>
      </c>
      <c r="AH111" s="111" t="str">
        <f t="shared" si="46"/>
        <v/>
      </c>
      <c r="AI111" s="112" t="str">
        <f t="shared" si="47"/>
        <v/>
      </c>
      <c r="AJ111" t="str">
        <f t="shared" si="48"/>
        <v/>
      </c>
      <c r="AK111" t="str">
        <f t="shared" si="49"/>
        <v/>
      </c>
    </row>
    <row r="112" spans="1:37" ht="15" customHeight="1" x14ac:dyDescent="0.25">
      <c r="A112" s="114"/>
      <c r="B112" s="116"/>
      <c r="C112" s="116"/>
      <c r="D112" s="42" t="str">
        <f t="shared" si="25"/>
        <v/>
      </c>
      <c r="E112" s="43"/>
      <c r="F112" s="83"/>
      <c r="G112" s="118"/>
      <c r="H112" s="34" t="str">
        <f t="shared" si="26"/>
        <v/>
      </c>
      <c r="I112" s="88" t="str">
        <f t="shared" si="27"/>
        <v/>
      </c>
      <c r="J112" s="44" t="str">
        <f t="shared" si="28"/>
        <v/>
      </c>
      <c r="K112" s="118"/>
      <c r="L112" s="34" t="str">
        <f t="shared" si="29"/>
        <v/>
      </c>
      <c r="M112" s="118"/>
      <c r="N112" s="121"/>
      <c r="O112" s="122" t="str">
        <f t="shared" si="38"/>
        <v/>
      </c>
      <c r="P112" s="35" t="str">
        <f t="shared" si="39"/>
        <v/>
      </c>
      <c r="Q112" s="124"/>
      <c r="R112" s="36" t="str">
        <f t="shared" si="40"/>
        <v/>
      </c>
      <c r="S112" s="37" t="str">
        <f t="shared" si="30"/>
        <v/>
      </c>
      <c r="T112" s="38" t="str">
        <f t="shared" si="31"/>
        <v/>
      </c>
      <c r="U112" s="39" t="str">
        <f t="shared" si="32"/>
        <v/>
      </c>
      <c r="V112" s="40" t="str">
        <f t="shared" si="33"/>
        <v/>
      </c>
      <c r="W112" s="39" t="str">
        <f t="shared" si="34"/>
        <v/>
      </c>
      <c r="X112" s="34" t="str">
        <f t="shared" si="35"/>
        <v/>
      </c>
      <c r="Y112" s="41" t="str">
        <f t="shared" si="41"/>
        <v/>
      </c>
      <c r="Z112" s="98" t="str">
        <f t="shared" si="36"/>
        <v/>
      </c>
      <c r="AA112" s="81" t="str">
        <f t="shared" si="42"/>
        <v/>
      </c>
      <c r="AC112" s="139"/>
      <c r="AD112" s="110" t="str">
        <f t="shared" si="43"/>
        <v/>
      </c>
      <c r="AE112" s="111" t="str">
        <f t="shared" si="44"/>
        <v/>
      </c>
      <c r="AF112" s="111" t="str">
        <f t="shared" si="37"/>
        <v/>
      </c>
      <c r="AG112" s="111" t="str">
        <f t="shared" si="45"/>
        <v/>
      </c>
      <c r="AH112" s="111" t="str">
        <f t="shared" si="46"/>
        <v/>
      </c>
      <c r="AI112" s="112" t="str">
        <f t="shared" si="47"/>
        <v/>
      </c>
      <c r="AJ112" t="str">
        <f t="shared" si="48"/>
        <v/>
      </c>
      <c r="AK112" t="str">
        <f t="shared" si="49"/>
        <v/>
      </c>
    </row>
    <row r="113" spans="1:37" ht="15" customHeight="1" x14ac:dyDescent="0.25">
      <c r="A113" s="114"/>
      <c r="B113" s="116"/>
      <c r="C113" s="116"/>
      <c r="D113" s="42" t="str">
        <f t="shared" si="25"/>
        <v/>
      </c>
      <c r="E113" s="43"/>
      <c r="F113" s="83"/>
      <c r="G113" s="118"/>
      <c r="H113" s="34" t="str">
        <f t="shared" si="26"/>
        <v/>
      </c>
      <c r="I113" s="88" t="str">
        <f t="shared" si="27"/>
        <v/>
      </c>
      <c r="J113" s="44" t="str">
        <f t="shared" si="28"/>
        <v/>
      </c>
      <c r="K113" s="118"/>
      <c r="L113" s="34" t="str">
        <f t="shared" si="29"/>
        <v/>
      </c>
      <c r="M113" s="118"/>
      <c r="N113" s="121"/>
      <c r="O113" s="122" t="str">
        <f t="shared" si="38"/>
        <v/>
      </c>
      <c r="P113" s="35" t="str">
        <f t="shared" si="39"/>
        <v/>
      </c>
      <c r="Q113" s="124"/>
      <c r="R113" s="36" t="str">
        <f t="shared" si="40"/>
        <v/>
      </c>
      <c r="S113" s="37" t="str">
        <f t="shared" si="30"/>
        <v/>
      </c>
      <c r="T113" s="38" t="str">
        <f t="shared" si="31"/>
        <v/>
      </c>
      <c r="U113" s="39" t="str">
        <f t="shared" si="32"/>
        <v/>
      </c>
      <c r="V113" s="40" t="str">
        <f t="shared" si="33"/>
        <v/>
      </c>
      <c r="W113" s="39" t="str">
        <f t="shared" si="34"/>
        <v/>
      </c>
      <c r="X113" s="34" t="str">
        <f t="shared" si="35"/>
        <v/>
      </c>
      <c r="Y113" s="41" t="str">
        <f t="shared" si="41"/>
        <v/>
      </c>
      <c r="Z113" s="98" t="str">
        <f t="shared" si="36"/>
        <v/>
      </c>
      <c r="AA113" s="81" t="str">
        <f t="shared" si="42"/>
        <v/>
      </c>
      <c r="AC113" s="139"/>
      <c r="AD113" s="110" t="str">
        <f t="shared" si="43"/>
        <v/>
      </c>
      <c r="AE113" s="111" t="str">
        <f t="shared" si="44"/>
        <v/>
      </c>
      <c r="AF113" s="111" t="str">
        <f t="shared" si="37"/>
        <v/>
      </c>
      <c r="AG113" s="111" t="str">
        <f t="shared" si="45"/>
        <v/>
      </c>
      <c r="AH113" s="111" t="str">
        <f t="shared" si="46"/>
        <v/>
      </c>
      <c r="AI113" s="112" t="str">
        <f t="shared" si="47"/>
        <v/>
      </c>
      <c r="AJ113" t="str">
        <f t="shared" si="48"/>
        <v/>
      </c>
      <c r="AK113" t="str">
        <f t="shared" si="49"/>
        <v/>
      </c>
    </row>
    <row r="114" spans="1:37" ht="15" customHeight="1" x14ac:dyDescent="0.25">
      <c r="A114" s="114"/>
      <c r="B114" s="116"/>
      <c r="C114" s="116"/>
      <c r="D114" s="42" t="str">
        <f t="shared" si="25"/>
        <v/>
      </c>
      <c r="E114" s="43"/>
      <c r="F114" s="83"/>
      <c r="G114" s="118"/>
      <c r="H114" s="34" t="str">
        <f t="shared" si="26"/>
        <v/>
      </c>
      <c r="I114" s="88" t="str">
        <f t="shared" si="27"/>
        <v/>
      </c>
      <c r="J114" s="44" t="str">
        <f t="shared" si="28"/>
        <v/>
      </c>
      <c r="K114" s="118"/>
      <c r="L114" s="34" t="str">
        <f t="shared" si="29"/>
        <v/>
      </c>
      <c r="M114" s="118"/>
      <c r="N114" s="121"/>
      <c r="O114" s="122" t="str">
        <f t="shared" si="38"/>
        <v/>
      </c>
      <c r="P114" s="35" t="str">
        <f t="shared" si="39"/>
        <v/>
      </c>
      <c r="Q114" s="124"/>
      <c r="R114" s="36" t="str">
        <f t="shared" si="40"/>
        <v/>
      </c>
      <c r="S114" s="37" t="str">
        <f t="shared" si="30"/>
        <v/>
      </c>
      <c r="T114" s="38" t="str">
        <f t="shared" si="31"/>
        <v/>
      </c>
      <c r="U114" s="39" t="str">
        <f t="shared" si="32"/>
        <v/>
      </c>
      <c r="V114" s="40" t="str">
        <f t="shared" si="33"/>
        <v/>
      </c>
      <c r="W114" s="39" t="str">
        <f t="shared" si="34"/>
        <v/>
      </c>
      <c r="X114" s="34" t="str">
        <f t="shared" si="35"/>
        <v/>
      </c>
      <c r="Y114" s="41" t="str">
        <f t="shared" si="41"/>
        <v/>
      </c>
      <c r="Z114" s="98" t="str">
        <f t="shared" si="36"/>
        <v/>
      </c>
      <c r="AA114" s="81" t="str">
        <f t="shared" si="42"/>
        <v/>
      </c>
      <c r="AC114" s="139"/>
      <c r="AD114" s="110" t="str">
        <f t="shared" si="43"/>
        <v/>
      </c>
      <c r="AE114" s="111" t="str">
        <f t="shared" si="44"/>
        <v/>
      </c>
      <c r="AF114" s="111" t="str">
        <f t="shared" si="37"/>
        <v/>
      </c>
      <c r="AG114" s="111" t="str">
        <f t="shared" si="45"/>
        <v/>
      </c>
      <c r="AH114" s="111" t="str">
        <f t="shared" si="46"/>
        <v/>
      </c>
      <c r="AI114" s="112" t="str">
        <f t="shared" si="47"/>
        <v/>
      </c>
      <c r="AJ114" t="str">
        <f t="shared" si="48"/>
        <v/>
      </c>
      <c r="AK114" t="str">
        <f t="shared" si="49"/>
        <v/>
      </c>
    </row>
    <row r="115" spans="1:37" ht="15" customHeight="1" x14ac:dyDescent="0.25">
      <c r="A115" s="114"/>
      <c r="B115" s="116"/>
      <c r="C115" s="116"/>
      <c r="D115" s="42" t="str">
        <f t="shared" si="25"/>
        <v/>
      </c>
      <c r="E115" s="43"/>
      <c r="F115" s="83"/>
      <c r="G115" s="118"/>
      <c r="H115" s="34" t="str">
        <f t="shared" si="26"/>
        <v/>
      </c>
      <c r="I115" s="88" t="str">
        <f t="shared" si="27"/>
        <v/>
      </c>
      <c r="J115" s="44" t="str">
        <f t="shared" si="28"/>
        <v/>
      </c>
      <c r="K115" s="118"/>
      <c r="L115" s="34" t="str">
        <f t="shared" si="29"/>
        <v/>
      </c>
      <c r="M115" s="118"/>
      <c r="N115" s="121"/>
      <c r="O115" s="122" t="str">
        <f t="shared" si="38"/>
        <v/>
      </c>
      <c r="P115" s="35" t="str">
        <f t="shared" si="39"/>
        <v/>
      </c>
      <c r="Q115" s="124"/>
      <c r="R115" s="36" t="str">
        <f t="shared" si="40"/>
        <v/>
      </c>
      <c r="S115" s="37" t="str">
        <f t="shared" si="30"/>
        <v/>
      </c>
      <c r="T115" s="38" t="str">
        <f t="shared" si="31"/>
        <v/>
      </c>
      <c r="U115" s="39" t="str">
        <f t="shared" si="32"/>
        <v/>
      </c>
      <c r="V115" s="40" t="str">
        <f t="shared" si="33"/>
        <v/>
      </c>
      <c r="W115" s="39" t="str">
        <f t="shared" si="34"/>
        <v/>
      </c>
      <c r="X115" s="34" t="str">
        <f t="shared" si="35"/>
        <v/>
      </c>
      <c r="Y115" s="41" t="str">
        <f t="shared" si="41"/>
        <v/>
      </c>
      <c r="Z115" s="98" t="str">
        <f t="shared" si="36"/>
        <v/>
      </c>
      <c r="AA115" s="81" t="str">
        <f t="shared" si="42"/>
        <v/>
      </c>
      <c r="AC115" s="139"/>
      <c r="AD115" s="110" t="str">
        <f t="shared" si="43"/>
        <v/>
      </c>
      <c r="AE115" s="111" t="str">
        <f t="shared" si="44"/>
        <v/>
      </c>
      <c r="AF115" s="111" t="str">
        <f t="shared" si="37"/>
        <v/>
      </c>
      <c r="AG115" s="111" t="str">
        <f t="shared" si="45"/>
        <v/>
      </c>
      <c r="AH115" s="111" t="str">
        <f t="shared" si="46"/>
        <v/>
      </c>
      <c r="AI115" s="112" t="str">
        <f t="shared" si="47"/>
        <v/>
      </c>
      <c r="AJ115" t="str">
        <f t="shared" si="48"/>
        <v/>
      </c>
      <c r="AK115" t="str">
        <f t="shared" si="49"/>
        <v/>
      </c>
    </row>
    <row r="116" spans="1:37" ht="15" customHeight="1" x14ac:dyDescent="0.25">
      <c r="A116" s="114"/>
      <c r="B116" s="116"/>
      <c r="C116" s="116"/>
      <c r="D116" s="42" t="str">
        <f t="shared" si="25"/>
        <v/>
      </c>
      <c r="E116" s="43"/>
      <c r="F116" s="83"/>
      <c r="G116" s="118"/>
      <c r="H116" s="34" t="str">
        <f t="shared" si="26"/>
        <v/>
      </c>
      <c r="I116" s="88" t="str">
        <f t="shared" si="27"/>
        <v/>
      </c>
      <c r="J116" s="44" t="str">
        <f t="shared" si="28"/>
        <v/>
      </c>
      <c r="K116" s="118"/>
      <c r="L116" s="34" t="str">
        <f t="shared" si="29"/>
        <v/>
      </c>
      <c r="M116" s="118"/>
      <c r="N116" s="121"/>
      <c r="O116" s="122" t="str">
        <f t="shared" si="38"/>
        <v/>
      </c>
      <c r="P116" s="35" t="str">
        <f t="shared" si="39"/>
        <v/>
      </c>
      <c r="Q116" s="124"/>
      <c r="R116" s="36" t="str">
        <f t="shared" si="40"/>
        <v/>
      </c>
      <c r="S116" s="37" t="str">
        <f t="shared" si="30"/>
        <v/>
      </c>
      <c r="T116" s="38" t="str">
        <f t="shared" si="31"/>
        <v/>
      </c>
      <c r="U116" s="39" t="str">
        <f t="shared" si="32"/>
        <v/>
      </c>
      <c r="V116" s="40" t="str">
        <f t="shared" si="33"/>
        <v/>
      </c>
      <c r="W116" s="39" t="str">
        <f t="shared" si="34"/>
        <v/>
      </c>
      <c r="X116" s="34" t="str">
        <f t="shared" si="35"/>
        <v/>
      </c>
      <c r="Y116" s="41" t="str">
        <f t="shared" si="41"/>
        <v/>
      </c>
      <c r="Z116" s="98" t="str">
        <f t="shared" si="36"/>
        <v/>
      </c>
      <c r="AA116" s="81" t="str">
        <f t="shared" si="42"/>
        <v/>
      </c>
      <c r="AC116" s="139"/>
      <c r="AD116" s="110" t="str">
        <f t="shared" si="43"/>
        <v/>
      </c>
      <c r="AE116" s="111" t="str">
        <f t="shared" si="44"/>
        <v/>
      </c>
      <c r="AF116" s="111" t="str">
        <f t="shared" si="37"/>
        <v/>
      </c>
      <c r="AG116" s="111" t="str">
        <f t="shared" si="45"/>
        <v/>
      </c>
      <c r="AH116" s="111" t="str">
        <f t="shared" si="46"/>
        <v/>
      </c>
      <c r="AI116" s="112" t="str">
        <f t="shared" si="47"/>
        <v/>
      </c>
      <c r="AJ116" t="str">
        <f t="shared" si="48"/>
        <v/>
      </c>
      <c r="AK116" t="str">
        <f t="shared" si="49"/>
        <v/>
      </c>
    </row>
    <row r="117" spans="1:37" ht="15" customHeight="1" x14ac:dyDescent="0.25">
      <c r="A117" s="114"/>
      <c r="B117" s="116"/>
      <c r="C117" s="116"/>
      <c r="D117" s="42" t="str">
        <f t="shared" si="25"/>
        <v/>
      </c>
      <c r="E117" s="43"/>
      <c r="F117" s="83"/>
      <c r="G117" s="118"/>
      <c r="H117" s="34" t="str">
        <f t="shared" si="26"/>
        <v/>
      </c>
      <c r="I117" s="88" t="str">
        <f t="shared" si="27"/>
        <v/>
      </c>
      <c r="J117" s="44" t="str">
        <f t="shared" si="28"/>
        <v/>
      </c>
      <c r="K117" s="118"/>
      <c r="L117" s="34" t="str">
        <f t="shared" si="29"/>
        <v/>
      </c>
      <c r="M117" s="118"/>
      <c r="N117" s="121"/>
      <c r="O117" s="122" t="str">
        <f t="shared" si="38"/>
        <v/>
      </c>
      <c r="P117" s="35" t="str">
        <f t="shared" si="39"/>
        <v/>
      </c>
      <c r="Q117" s="124"/>
      <c r="R117" s="36" t="str">
        <f t="shared" si="40"/>
        <v/>
      </c>
      <c r="S117" s="37" t="str">
        <f t="shared" si="30"/>
        <v/>
      </c>
      <c r="T117" s="38" t="str">
        <f t="shared" si="31"/>
        <v/>
      </c>
      <c r="U117" s="39" t="str">
        <f t="shared" si="32"/>
        <v/>
      </c>
      <c r="V117" s="40" t="str">
        <f t="shared" si="33"/>
        <v/>
      </c>
      <c r="W117" s="39" t="str">
        <f t="shared" si="34"/>
        <v/>
      </c>
      <c r="X117" s="34" t="str">
        <f t="shared" si="35"/>
        <v/>
      </c>
      <c r="Y117" s="41" t="str">
        <f t="shared" si="41"/>
        <v/>
      </c>
      <c r="Z117" s="98" t="str">
        <f t="shared" si="36"/>
        <v/>
      </c>
      <c r="AA117" s="81" t="str">
        <f t="shared" si="42"/>
        <v/>
      </c>
      <c r="AC117" s="139"/>
      <c r="AD117" s="110" t="str">
        <f t="shared" si="43"/>
        <v/>
      </c>
      <c r="AE117" s="111" t="str">
        <f t="shared" si="44"/>
        <v/>
      </c>
      <c r="AF117" s="111" t="str">
        <f t="shared" si="37"/>
        <v/>
      </c>
      <c r="AG117" s="111" t="str">
        <f t="shared" si="45"/>
        <v/>
      </c>
      <c r="AH117" s="111" t="str">
        <f t="shared" si="46"/>
        <v/>
      </c>
      <c r="AI117" s="112" t="str">
        <f t="shared" si="47"/>
        <v/>
      </c>
      <c r="AJ117" t="str">
        <f t="shared" si="48"/>
        <v/>
      </c>
      <c r="AK117" t="str">
        <f t="shared" si="49"/>
        <v/>
      </c>
    </row>
    <row r="118" spans="1:37" ht="15" customHeight="1" x14ac:dyDescent="0.25">
      <c r="A118" s="114"/>
      <c r="B118" s="116"/>
      <c r="C118" s="116"/>
      <c r="D118" s="42" t="str">
        <f t="shared" si="25"/>
        <v/>
      </c>
      <c r="E118" s="43"/>
      <c r="F118" s="83"/>
      <c r="G118" s="118"/>
      <c r="H118" s="34" t="str">
        <f t="shared" si="26"/>
        <v/>
      </c>
      <c r="I118" s="88" t="str">
        <f t="shared" si="27"/>
        <v/>
      </c>
      <c r="J118" s="44" t="str">
        <f t="shared" si="28"/>
        <v/>
      </c>
      <c r="K118" s="118"/>
      <c r="L118" s="34" t="str">
        <f t="shared" si="29"/>
        <v/>
      </c>
      <c r="M118" s="118"/>
      <c r="N118" s="121"/>
      <c r="O118" s="122" t="str">
        <f t="shared" si="38"/>
        <v/>
      </c>
      <c r="P118" s="35" t="str">
        <f t="shared" si="39"/>
        <v/>
      </c>
      <c r="Q118" s="124"/>
      <c r="R118" s="36" t="str">
        <f t="shared" si="40"/>
        <v/>
      </c>
      <c r="S118" s="37" t="str">
        <f t="shared" si="30"/>
        <v/>
      </c>
      <c r="T118" s="38" t="str">
        <f t="shared" si="31"/>
        <v/>
      </c>
      <c r="U118" s="39" t="str">
        <f t="shared" si="32"/>
        <v/>
      </c>
      <c r="V118" s="40" t="str">
        <f t="shared" si="33"/>
        <v/>
      </c>
      <c r="W118" s="39" t="str">
        <f t="shared" si="34"/>
        <v/>
      </c>
      <c r="X118" s="34" t="str">
        <f t="shared" si="35"/>
        <v/>
      </c>
      <c r="Y118" s="41" t="str">
        <f t="shared" si="41"/>
        <v/>
      </c>
      <c r="Z118" s="98" t="str">
        <f t="shared" si="36"/>
        <v/>
      </c>
      <c r="AA118" s="81" t="str">
        <f t="shared" si="42"/>
        <v/>
      </c>
      <c r="AC118" s="139"/>
      <c r="AD118" s="110" t="str">
        <f t="shared" si="43"/>
        <v/>
      </c>
      <c r="AE118" s="111" t="str">
        <f t="shared" si="44"/>
        <v/>
      </c>
      <c r="AF118" s="111" t="str">
        <f t="shared" si="37"/>
        <v/>
      </c>
      <c r="AG118" s="111" t="str">
        <f t="shared" si="45"/>
        <v/>
      </c>
      <c r="AH118" s="111" t="str">
        <f t="shared" si="46"/>
        <v/>
      </c>
      <c r="AI118" s="112" t="str">
        <f t="shared" si="47"/>
        <v/>
      </c>
      <c r="AJ118" t="str">
        <f t="shared" si="48"/>
        <v/>
      </c>
      <c r="AK118" t="str">
        <f t="shared" si="49"/>
        <v/>
      </c>
    </row>
    <row r="119" spans="1:37" ht="15" customHeight="1" x14ac:dyDescent="0.25">
      <c r="A119" s="114"/>
      <c r="B119" s="116"/>
      <c r="C119" s="116"/>
      <c r="D119" s="42" t="str">
        <f t="shared" si="25"/>
        <v/>
      </c>
      <c r="E119" s="43"/>
      <c r="F119" s="83"/>
      <c r="G119" s="118"/>
      <c r="H119" s="34" t="str">
        <f t="shared" si="26"/>
        <v/>
      </c>
      <c r="I119" s="88" t="str">
        <f t="shared" si="27"/>
        <v/>
      </c>
      <c r="J119" s="44" t="str">
        <f t="shared" si="28"/>
        <v/>
      </c>
      <c r="K119" s="118"/>
      <c r="L119" s="34" t="str">
        <f t="shared" si="29"/>
        <v/>
      </c>
      <c r="M119" s="118"/>
      <c r="N119" s="121"/>
      <c r="O119" s="122" t="str">
        <f t="shared" si="38"/>
        <v/>
      </c>
      <c r="P119" s="35" t="str">
        <f t="shared" si="39"/>
        <v/>
      </c>
      <c r="Q119" s="124"/>
      <c r="R119" s="36" t="str">
        <f t="shared" si="40"/>
        <v/>
      </c>
      <c r="S119" s="37" t="str">
        <f t="shared" si="30"/>
        <v/>
      </c>
      <c r="T119" s="38" t="str">
        <f t="shared" si="31"/>
        <v/>
      </c>
      <c r="U119" s="39" t="str">
        <f t="shared" si="32"/>
        <v/>
      </c>
      <c r="V119" s="40" t="str">
        <f t="shared" si="33"/>
        <v/>
      </c>
      <c r="W119" s="39" t="str">
        <f t="shared" si="34"/>
        <v/>
      </c>
      <c r="X119" s="34" t="str">
        <f t="shared" si="35"/>
        <v/>
      </c>
      <c r="Y119" s="41" t="str">
        <f t="shared" si="41"/>
        <v/>
      </c>
      <c r="Z119" s="98" t="str">
        <f t="shared" si="36"/>
        <v/>
      </c>
      <c r="AA119" s="81" t="str">
        <f t="shared" si="42"/>
        <v/>
      </c>
      <c r="AC119" s="139"/>
      <c r="AD119" s="110" t="str">
        <f t="shared" si="43"/>
        <v/>
      </c>
      <c r="AE119" s="111" t="str">
        <f t="shared" si="44"/>
        <v/>
      </c>
      <c r="AF119" s="111" t="str">
        <f t="shared" si="37"/>
        <v/>
      </c>
      <c r="AG119" s="111" t="str">
        <f t="shared" si="45"/>
        <v/>
      </c>
      <c r="AH119" s="111" t="str">
        <f t="shared" si="46"/>
        <v/>
      </c>
      <c r="AI119" s="112" t="str">
        <f t="shared" si="47"/>
        <v/>
      </c>
      <c r="AJ119" t="str">
        <f t="shared" si="48"/>
        <v/>
      </c>
      <c r="AK119" t="str">
        <f t="shared" si="49"/>
        <v/>
      </c>
    </row>
    <row r="120" spans="1:37" ht="15" customHeight="1" x14ac:dyDescent="0.25">
      <c r="A120" s="114"/>
      <c r="B120" s="116"/>
      <c r="C120" s="116"/>
      <c r="D120" s="42" t="str">
        <f t="shared" si="25"/>
        <v/>
      </c>
      <c r="E120" s="43"/>
      <c r="F120" s="83"/>
      <c r="G120" s="118"/>
      <c r="H120" s="34" t="str">
        <f t="shared" si="26"/>
        <v/>
      </c>
      <c r="I120" s="88" t="str">
        <f t="shared" si="27"/>
        <v/>
      </c>
      <c r="J120" s="44" t="str">
        <f t="shared" si="28"/>
        <v/>
      </c>
      <c r="K120" s="118"/>
      <c r="L120" s="34" t="str">
        <f t="shared" si="29"/>
        <v/>
      </c>
      <c r="M120" s="118"/>
      <c r="N120" s="121"/>
      <c r="O120" s="122" t="str">
        <f t="shared" si="38"/>
        <v/>
      </c>
      <c r="P120" s="35" t="str">
        <f t="shared" si="39"/>
        <v/>
      </c>
      <c r="Q120" s="124"/>
      <c r="R120" s="36" t="str">
        <f t="shared" si="40"/>
        <v/>
      </c>
      <c r="S120" s="37" t="str">
        <f t="shared" si="30"/>
        <v/>
      </c>
      <c r="T120" s="38" t="str">
        <f t="shared" si="31"/>
        <v/>
      </c>
      <c r="U120" s="39" t="str">
        <f t="shared" si="32"/>
        <v/>
      </c>
      <c r="V120" s="40" t="str">
        <f t="shared" si="33"/>
        <v/>
      </c>
      <c r="W120" s="39" t="str">
        <f t="shared" si="34"/>
        <v/>
      </c>
      <c r="X120" s="34" t="str">
        <f t="shared" si="35"/>
        <v/>
      </c>
      <c r="Y120" s="41" t="str">
        <f t="shared" si="41"/>
        <v/>
      </c>
      <c r="Z120" s="98" t="str">
        <f t="shared" si="36"/>
        <v/>
      </c>
      <c r="AA120" s="81" t="str">
        <f t="shared" si="42"/>
        <v/>
      </c>
      <c r="AC120" s="139"/>
      <c r="AD120" s="110" t="str">
        <f t="shared" si="43"/>
        <v/>
      </c>
      <c r="AE120" s="111" t="str">
        <f t="shared" si="44"/>
        <v/>
      </c>
      <c r="AF120" s="111" t="str">
        <f t="shared" si="37"/>
        <v/>
      </c>
      <c r="AG120" s="111" t="str">
        <f t="shared" si="45"/>
        <v/>
      </c>
      <c r="AH120" s="111" t="str">
        <f t="shared" si="46"/>
        <v/>
      </c>
      <c r="AI120" s="112" t="str">
        <f t="shared" si="47"/>
        <v/>
      </c>
      <c r="AJ120" t="str">
        <f t="shared" si="48"/>
        <v/>
      </c>
      <c r="AK120" t="str">
        <f t="shared" si="49"/>
        <v/>
      </c>
    </row>
    <row r="121" spans="1:37" ht="15" customHeight="1" x14ac:dyDescent="0.25">
      <c r="A121" s="114"/>
      <c r="B121" s="116"/>
      <c r="C121" s="116"/>
      <c r="D121" s="42" t="str">
        <f t="shared" si="25"/>
        <v/>
      </c>
      <c r="E121" s="43"/>
      <c r="F121" s="83"/>
      <c r="G121" s="118"/>
      <c r="H121" s="34" t="str">
        <f t="shared" si="26"/>
        <v/>
      </c>
      <c r="I121" s="88" t="str">
        <f t="shared" si="27"/>
        <v/>
      </c>
      <c r="J121" s="44" t="str">
        <f t="shared" si="28"/>
        <v/>
      </c>
      <c r="K121" s="118"/>
      <c r="L121" s="34" t="str">
        <f t="shared" si="29"/>
        <v/>
      </c>
      <c r="M121" s="118"/>
      <c r="N121" s="121"/>
      <c r="O121" s="122" t="str">
        <f t="shared" si="38"/>
        <v/>
      </c>
      <c r="P121" s="35" t="str">
        <f t="shared" si="39"/>
        <v/>
      </c>
      <c r="Q121" s="124"/>
      <c r="R121" s="36" t="str">
        <f t="shared" si="40"/>
        <v/>
      </c>
      <c r="S121" s="37" t="str">
        <f t="shared" si="30"/>
        <v/>
      </c>
      <c r="T121" s="38" t="str">
        <f t="shared" si="31"/>
        <v/>
      </c>
      <c r="U121" s="39" t="str">
        <f t="shared" si="32"/>
        <v/>
      </c>
      <c r="V121" s="40" t="str">
        <f t="shared" si="33"/>
        <v/>
      </c>
      <c r="W121" s="39" t="str">
        <f t="shared" si="34"/>
        <v/>
      </c>
      <c r="X121" s="34" t="str">
        <f t="shared" si="35"/>
        <v/>
      </c>
      <c r="Y121" s="41" t="str">
        <f t="shared" si="41"/>
        <v/>
      </c>
      <c r="Z121" s="98" t="str">
        <f t="shared" si="36"/>
        <v/>
      </c>
      <c r="AA121" s="81" t="str">
        <f t="shared" si="42"/>
        <v/>
      </c>
      <c r="AC121" s="139"/>
      <c r="AD121" s="110" t="str">
        <f t="shared" si="43"/>
        <v/>
      </c>
      <c r="AE121" s="111" t="str">
        <f t="shared" si="44"/>
        <v/>
      </c>
      <c r="AF121" s="111" t="str">
        <f t="shared" si="37"/>
        <v/>
      </c>
      <c r="AG121" s="111" t="str">
        <f t="shared" si="45"/>
        <v/>
      </c>
      <c r="AH121" s="111" t="str">
        <f t="shared" si="46"/>
        <v/>
      </c>
      <c r="AI121" s="112" t="str">
        <f t="shared" si="47"/>
        <v/>
      </c>
      <c r="AJ121" t="str">
        <f t="shared" si="48"/>
        <v/>
      </c>
      <c r="AK121" t="str">
        <f t="shared" si="49"/>
        <v/>
      </c>
    </row>
    <row r="122" spans="1:37" ht="15" customHeight="1" x14ac:dyDescent="0.25">
      <c r="A122" s="114"/>
      <c r="B122" s="116"/>
      <c r="C122" s="116"/>
      <c r="D122" s="42" t="str">
        <f t="shared" si="25"/>
        <v/>
      </c>
      <c r="E122" s="43"/>
      <c r="F122" s="83"/>
      <c r="G122" s="118"/>
      <c r="H122" s="34" t="str">
        <f t="shared" si="26"/>
        <v/>
      </c>
      <c r="I122" s="88" t="str">
        <f t="shared" si="27"/>
        <v/>
      </c>
      <c r="J122" s="44" t="str">
        <f t="shared" si="28"/>
        <v/>
      </c>
      <c r="K122" s="118"/>
      <c r="L122" s="34" t="str">
        <f t="shared" si="29"/>
        <v/>
      </c>
      <c r="M122" s="118"/>
      <c r="N122" s="121"/>
      <c r="O122" s="122" t="str">
        <f t="shared" si="38"/>
        <v/>
      </c>
      <c r="P122" s="35" t="str">
        <f t="shared" si="39"/>
        <v/>
      </c>
      <c r="Q122" s="124"/>
      <c r="R122" s="36" t="str">
        <f t="shared" si="40"/>
        <v/>
      </c>
      <c r="S122" s="37" t="str">
        <f t="shared" si="30"/>
        <v/>
      </c>
      <c r="T122" s="38" t="str">
        <f t="shared" si="31"/>
        <v/>
      </c>
      <c r="U122" s="39" t="str">
        <f t="shared" si="32"/>
        <v/>
      </c>
      <c r="V122" s="40" t="str">
        <f t="shared" si="33"/>
        <v/>
      </c>
      <c r="W122" s="39" t="str">
        <f t="shared" si="34"/>
        <v/>
      </c>
      <c r="X122" s="34" t="str">
        <f t="shared" si="35"/>
        <v/>
      </c>
      <c r="Y122" s="41" t="str">
        <f t="shared" si="41"/>
        <v/>
      </c>
      <c r="Z122" s="98" t="str">
        <f t="shared" si="36"/>
        <v/>
      </c>
      <c r="AA122" s="81" t="str">
        <f t="shared" si="42"/>
        <v/>
      </c>
      <c r="AC122" s="139"/>
      <c r="AD122" s="110" t="str">
        <f t="shared" si="43"/>
        <v/>
      </c>
      <c r="AE122" s="111" t="str">
        <f t="shared" si="44"/>
        <v/>
      </c>
      <c r="AF122" s="111" t="str">
        <f t="shared" si="37"/>
        <v/>
      </c>
      <c r="AG122" s="111" t="str">
        <f t="shared" si="45"/>
        <v/>
      </c>
      <c r="AH122" s="111" t="str">
        <f t="shared" si="46"/>
        <v/>
      </c>
      <c r="AI122" s="112" t="str">
        <f t="shared" si="47"/>
        <v/>
      </c>
      <c r="AJ122" t="str">
        <f t="shared" si="48"/>
        <v/>
      </c>
      <c r="AK122" t="str">
        <f t="shared" si="49"/>
        <v/>
      </c>
    </row>
    <row r="123" spans="1:37" ht="15" customHeight="1" x14ac:dyDescent="0.25">
      <c r="A123" s="114"/>
      <c r="B123" s="116"/>
      <c r="C123" s="116"/>
      <c r="D123" s="42" t="str">
        <f t="shared" si="25"/>
        <v/>
      </c>
      <c r="E123" s="43"/>
      <c r="F123" s="83"/>
      <c r="G123" s="118"/>
      <c r="H123" s="34" t="str">
        <f t="shared" si="26"/>
        <v/>
      </c>
      <c r="I123" s="88" t="str">
        <f t="shared" si="27"/>
        <v/>
      </c>
      <c r="J123" s="44" t="str">
        <f t="shared" si="28"/>
        <v/>
      </c>
      <c r="K123" s="118"/>
      <c r="L123" s="34" t="str">
        <f t="shared" si="29"/>
        <v/>
      </c>
      <c r="M123" s="118"/>
      <c r="N123" s="121"/>
      <c r="O123" s="122" t="str">
        <f t="shared" si="38"/>
        <v/>
      </c>
      <c r="P123" s="35" t="str">
        <f t="shared" si="39"/>
        <v/>
      </c>
      <c r="Q123" s="124"/>
      <c r="R123" s="36" t="str">
        <f t="shared" si="40"/>
        <v/>
      </c>
      <c r="S123" s="37" t="str">
        <f t="shared" si="30"/>
        <v/>
      </c>
      <c r="T123" s="38" t="str">
        <f t="shared" si="31"/>
        <v/>
      </c>
      <c r="U123" s="39" t="str">
        <f t="shared" si="32"/>
        <v/>
      </c>
      <c r="V123" s="40" t="str">
        <f t="shared" si="33"/>
        <v/>
      </c>
      <c r="W123" s="39" t="str">
        <f t="shared" si="34"/>
        <v/>
      </c>
      <c r="X123" s="34" t="str">
        <f t="shared" si="35"/>
        <v/>
      </c>
      <c r="Y123" s="41" t="str">
        <f t="shared" si="41"/>
        <v/>
      </c>
      <c r="Z123" s="98" t="str">
        <f t="shared" si="36"/>
        <v/>
      </c>
      <c r="AA123" s="81" t="str">
        <f t="shared" si="42"/>
        <v/>
      </c>
      <c r="AC123" s="139"/>
      <c r="AD123" s="110" t="str">
        <f t="shared" si="43"/>
        <v/>
      </c>
      <c r="AE123" s="111" t="str">
        <f t="shared" si="44"/>
        <v/>
      </c>
      <c r="AF123" s="111" t="str">
        <f t="shared" si="37"/>
        <v/>
      </c>
      <c r="AG123" s="111" t="str">
        <f t="shared" si="45"/>
        <v/>
      </c>
      <c r="AH123" s="111" t="str">
        <f t="shared" si="46"/>
        <v/>
      </c>
      <c r="AI123" s="112" t="str">
        <f t="shared" si="47"/>
        <v/>
      </c>
      <c r="AJ123" t="str">
        <f t="shared" si="48"/>
        <v/>
      </c>
      <c r="AK123" t="str">
        <f t="shared" si="49"/>
        <v/>
      </c>
    </row>
    <row r="124" spans="1:37" ht="15" customHeight="1" x14ac:dyDescent="0.25">
      <c r="A124" s="114"/>
      <c r="B124" s="116"/>
      <c r="C124" s="116"/>
      <c r="D124" s="42" t="str">
        <f t="shared" si="25"/>
        <v/>
      </c>
      <c r="E124" s="43"/>
      <c r="F124" s="83"/>
      <c r="G124" s="118"/>
      <c r="H124" s="34" t="str">
        <f t="shared" si="26"/>
        <v/>
      </c>
      <c r="I124" s="88" t="str">
        <f t="shared" si="27"/>
        <v/>
      </c>
      <c r="J124" s="44" t="str">
        <f t="shared" si="28"/>
        <v/>
      </c>
      <c r="K124" s="118"/>
      <c r="L124" s="34" t="str">
        <f t="shared" si="29"/>
        <v/>
      </c>
      <c r="M124" s="118"/>
      <c r="N124" s="121"/>
      <c r="O124" s="122" t="str">
        <f t="shared" si="38"/>
        <v/>
      </c>
      <c r="P124" s="35" t="str">
        <f t="shared" si="39"/>
        <v/>
      </c>
      <c r="Q124" s="124"/>
      <c r="R124" s="36" t="str">
        <f t="shared" si="40"/>
        <v/>
      </c>
      <c r="S124" s="37" t="str">
        <f t="shared" si="30"/>
        <v/>
      </c>
      <c r="T124" s="38" t="str">
        <f t="shared" si="31"/>
        <v/>
      </c>
      <c r="U124" s="39" t="str">
        <f t="shared" si="32"/>
        <v/>
      </c>
      <c r="V124" s="40" t="str">
        <f t="shared" si="33"/>
        <v/>
      </c>
      <c r="W124" s="39" t="str">
        <f t="shared" si="34"/>
        <v/>
      </c>
      <c r="X124" s="34" t="str">
        <f t="shared" si="35"/>
        <v/>
      </c>
      <c r="Y124" s="41" t="str">
        <f t="shared" si="41"/>
        <v/>
      </c>
      <c r="Z124" s="98" t="str">
        <f t="shared" si="36"/>
        <v/>
      </c>
      <c r="AA124" s="81" t="str">
        <f t="shared" si="42"/>
        <v/>
      </c>
      <c r="AC124" s="139"/>
      <c r="AD124" s="110" t="str">
        <f t="shared" si="43"/>
        <v/>
      </c>
      <c r="AE124" s="111" t="str">
        <f t="shared" si="44"/>
        <v/>
      </c>
      <c r="AF124" s="111" t="str">
        <f t="shared" si="37"/>
        <v/>
      </c>
      <c r="AG124" s="111" t="str">
        <f t="shared" si="45"/>
        <v/>
      </c>
      <c r="AH124" s="111" t="str">
        <f t="shared" si="46"/>
        <v/>
      </c>
      <c r="AI124" s="112" t="str">
        <f t="shared" si="47"/>
        <v/>
      </c>
      <c r="AJ124" t="str">
        <f t="shared" si="48"/>
        <v/>
      </c>
      <c r="AK124" t="str">
        <f t="shared" si="49"/>
        <v/>
      </c>
    </row>
    <row r="125" spans="1:37" ht="15" customHeight="1" x14ac:dyDescent="0.25">
      <c r="A125" s="114"/>
      <c r="B125" s="116"/>
      <c r="C125" s="116"/>
      <c r="D125" s="42" t="str">
        <f t="shared" si="25"/>
        <v/>
      </c>
      <c r="E125" s="43"/>
      <c r="F125" s="83"/>
      <c r="G125" s="118"/>
      <c r="H125" s="34" t="str">
        <f t="shared" si="26"/>
        <v/>
      </c>
      <c r="I125" s="88" t="str">
        <f t="shared" si="27"/>
        <v/>
      </c>
      <c r="J125" s="44" t="str">
        <f t="shared" si="28"/>
        <v/>
      </c>
      <c r="K125" s="118"/>
      <c r="L125" s="34" t="str">
        <f t="shared" si="29"/>
        <v/>
      </c>
      <c r="M125" s="118"/>
      <c r="N125" s="121"/>
      <c r="O125" s="122" t="str">
        <f t="shared" si="38"/>
        <v/>
      </c>
      <c r="P125" s="35" t="str">
        <f t="shared" si="39"/>
        <v/>
      </c>
      <c r="Q125" s="124"/>
      <c r="R125" s="36" t="str">
        <f t="shared" si="40"/>
        <v/>
      </c>
      <c r="S125" s="37" t="str">
        <f t="shared" si="30"/>
        <v/>
      </c>
      <c r="T125" s="38" t="str">
        <f t="shared" si="31"/>
        <v/>
      </c>
      <c r="U125" s="39" t="str">
        <f t="shared" si="32"/>
        <v/>
      </c>
      <c r="V125" s="40" t="str">
        <f t="shared" si="33"/>
        <v/>
      </c>
      <c r="W125" s="39" t="str">
        <f t="shared" si="34"/>
        <v/>
      </c>
      <c r="X125" s="34" t="str">
        <f t="shared" si="35"/>
        <v/>
      </c>
      <c r="Y125" s="41" t="str">
        <f t="shared" si="41"/>
        <v/>
      </c>
      <c r="Z125" s="98" t="str">
        <f t="shared" si="36"/>
        <v/>
      </c>
      <c r="AA125" s="81" t="str">
        <f t="shared" si="42"/>
        <v/>
      </c>
      <c r="AC125" s="139"/>
      <c r="AD125" s="110" t="str">
        <f t="shared" si="43"/>
        <v/>
      </c>
      <c r="AE125" s="111" t="str">
        <f t="shared" si="44"/>
        <v/>
      </c>
      <c r="AF125" s="111" t="str">
        <f t="shared" si="37"/>
        <v/>
      </c>
      <c r="AG125" s="111" t="str">
        <f t="shared" si="45"/>
        <v/>
      </c>
      <c r="AH125" s="111" t="str">
        <f t="shared" si="46"/>
        <v/>
      </c>
      <c r="AI125" s="112" t="str">
        <f t="shared" si="47"/>
        <v/>
      </c>
      <c r="AJ125" t="str">
        <f t="shared" si="48"/>
        <v/>
      </c>
      <c r="AK125" t="str">
        <f t="shared" si="49"/>
        <v/>
      </c>
    </row>
    <row r="126" spans="1:37" ht="15" customHeight="1" x14ac:dyDescent="0.25">
      <c r="A126" s="114"/>
      <c r="B126" s="116"/>
      <c r="C126" s="116"/>
      <c r="D126" s="42" t="str">
        <f t="shared" si="25"/>
        <v/>
      </c>
      <c r="E126" s="43"/>
      <c r="F126" s="83"/>
      <c r="G126" s="118"/>
      <c r="H126" s="34" t="str">
        <f t="shared" si="26"/>
        <v/>
      </c>
      <c r="I126" s="88" t="str">
        <f t="shared" si="27"/>
        <v/>
      </c>
      <c r="J126" s="44" t="str">
        <f t="shared" si="28"/>
        <v/>
      </c>
      <c r="K126" s="118"/>
      <c r="L126" s="34" t="str">
        <f t="shared" si="29"/>
        <v/>
      </c>
      <c r="M126" s="118"/>
      <c r="N126" s="121"/>
      <c r="O126" s="122" t="str">
        <f t="shared" si="38"/>
        <v/>
      </c>
      <c r="P126" s="35" t="str">
        <f t="shared" si="39"/>
        <v/>
      </c>
      <c r="Q126" s="124"/>
      <c r="R126" s="36" t="str">
        <f t="shared" si="40"/>
        <v/>
      </c>
      <c r="S126" s="37" t="str">
        <f t="shared" si="30"/>
        <v/>
      </c>
      <c r="T126" s="38" t="str">
        <f t="shared" si="31"/>
        <v/>
      </c>
      <c r="U126" s="39" t="str">
        <f t="shared" si="32"/>
        <v/>
      </c>
      <c r="V126" s="40" t="str">
        <f t="shared" si="33"/>
        <v/>
      </c>
      <c r="W126" s="39" t="str">
        <f t="shared" si="34"/>
        <v/>
      </c>
      <c r="X126" s="34" t="str">
        <f t="shared" si="35"/>
        <v/>
      </c>
      <c r="Y126" s="41" t="str">
        <f t="shared" si="41"/>
        <v/>
      </c>
      <c r="Z126" s="98" t="str">
        <f t="shared" si="36"/>
        <v/>
      </c>
      <c r="AA126" s="81" t="str">
        <f t="shared" si="42"/>
        <v/>
      </c>
      <c r="AC126" s="139"/>
      <c r="AD126" s="110" t="str">
        <f t="shared" si="43"/>
        <v/>
      </c>
      <c r="AE126" s="111" t="str">
        <f t="shared" si="44"/>
        <v/>
      </c>
      <c r="AF126" s="111" t="str">
        <f t="shared" si="37"/>
        <v/>
      </c>
      <c r="AG126" s="111" t="str">
        <f t="shared" si="45"/>
        <v/>
      </c>
      <c r="AH126" s="111" t="str">
        <f t="shared" si="46"/>
        <v/>
      </c>
      <c r="AI126" s="112" t="str">
        <f t="shared" si="47"/>
        <v/>
      </c>
      <c r="AJ126" t="str">
        <f t="shared" si="48"/>
        <v/>
      </c>
      <c r="AK126" t="str">
        <f t="shared" si="49"/>
        <v/>
      </c>
    </row>
    <row r="127" spans="1:37" ht="15" customHeight="1" x14ac:dyDescent="0.25">
      <c r="A127" s="114"/>
      <c r="B127" s="116"/>
      <c r="C127" s="116"/>
      <c r="D127" s="42" t="str">
        <f t="shared" si="25"/>
        <v/>
      </c>
      <c r="E127" s="43"/>
      <c r="F127" s="83"/>
      <c r="G127" s="118"/>
      <c r="H127" s="34" t="str">
        <f t="shared" si="26"/>
        <v/>
      </c>
      <c r="I127" s="88" t="str">
        <f t="shared" si="27"/>
        <v/>
      </c>
      <c r="J127" s="44" t="str">
        <f t="shared" si="28"/>
        <v/>
      </c>
      <c r="K127" s="118"/>
      <c r="L127" s="34" t="str">
        <f t="shared" si="29"/>
        <v/>
      </c>
      <c r="M127" s="118"/>
      <c r="N127" s="121"/>
      <c r="O127" s="122" t="str">
        <f t="shared" si="38"/>
        <v/>
      </c>
      <c r="P127" s="35" t="str">
        <f t="shared" si="39"/>
        <v/>
      </c>
      <c r="Q127" s="124"/>
      <c r="R127" s="36" t="str">
        <f t="shared" si="40"/>
        <v/>
      </c>
      <c r="S127" s="37" t="str">
        <f t="shared" si="30"/>
        <v/>
      </c>
      <c r="T127" s="38" t="str">
        <f t="shared" si="31"/>
        <v/>
      </c>
      <c r="U127" s="39" t="str">
        <f t="shared" si="32"/>
        <v/>
      </c>
      <c r="V127" s="40" t="str">
        <f t="shared" si="33"/>
        <v/>
      </c>
      <c r="W127" s="39" t="str">
        <f t="shared" si="34"/>
        <v/>
      </c>
      <c r="X127" s="34" t="str">
        <f t="shared" si="35"/>
        <v/>
      </c>
      <c r="Y127" s="41" t="str">
        <f t="shared" si="41"/>
        <v/>
      </c>
      <c r="Z127" s="98" t="str">
        <f t="shared" si="36"/>
        <v/>
      </c>
      <c r="AA127" s="81" t="str">
        <f t="shared" si="42"/>
        <v/>
      </c>
      <c r="AC127" s="139"/>
      <c r="AD127" s="110" t="str">
        <f t="shared" si="43"/>
        <v/>
      </c>
      <c r="AE127" s="111" t="str">
        <f t="shared" si="44"/>
        <v/>
      </c>
      <c r="AF127" s="111" t="str">
        <f t="shared" si="37"/>
        <v/>
      </c>
      <c r="AG127" s="111" t="str">
        <f t="shared" si="45"/>
        <v/>
      </c>
      <c r="AH127" s="111" t="str">
        <f t="shared" si="46"/>
        <v/>
      </c>
      <c r="AI127" s="112" t="str">
        <f t="shared" si="47"/>
        <v/>
      </c>
      <c r="AJ127" t="str">
        <f t="shared" si="48"/>
        <v/>
      </c>
      <c r="AK127" t="str">
        <f t="shared" si="49"/>
        <v/>
      </c>
    </row>
    <row r="128" spans="1:37" ht="15" customHeight="1" x14ac:dyDescent="0.25">
      <c r="A128" s="114"/>
      <c r="B128" s="116"/>
      <c r="C128" s="116"/>
      <c r="D128" s="42" t="str">
        <f t="shared" si="25"/>
        <v/>
      </c>
      <c r="E128" s="43"/>
      <c r="F128" s="83"/>
      <c r="G128" s="118"/>
      <c r="H128" s="34" t="str">
        <f t="shared" si="26"/>
        <v/>
      </c>
      <c r="I128" s="88" t="str">
        <f t="shared" si="27"/>
        <v/>
      </c>
      <c r="J128" s="44" t="str">
        <f t="shared" si="28"/>
        <v/>
      </c>
      <c r="K128" s="118"/>
      <c r="L128" s="34" t="str">
        <f t="shared" si="29"/>
        <v/>
      </c>
      <c r="M128" s="118"/>
      <c r="N128" s="121"/>
      <c r="O128" s="122" t="str">
        <f t="shared" si="38"/>
        <v/>
      </c>
      <c r="P128" s="35" t="str">
        <f t="shared" si="39"/>
        <v/>
      </c>
      <c r="Q128" s="124"/>
      <c r="R128" s="36" t="str">
        <f t="shared" si="40"/>
        <v/>
      </c>
      <c r="S128" s="37" t="str">
        <f t="shared" si="30"/>
        <v/>
      </c>
      <c r="T128" s="38" t="str">
        <f t="shared" si="31"/>
        <v/>
      </c>
      <c r="U128" s="39" t="str">
        <f t="shared" si="32"/>
        <v/>
      </c>
      <c r="V128" s="40" t="str">
        <f t="shared" si="33"/>
        <v/>
      </c>
      <c r="W128" s="39" t="str">
        <f t="shared" si="34"/>
        <v/>
      </c>
      <c r="X128" s="34" t="str">
        <f t="shared" si="35"/>
        <v/>
      </c>
      <c r="Y128" s="41" t="str">
        <f t="shared" si="41"/>
        <v/>
      </c>
      <c r="Z128" s="98" t="str">
        <f t="shared" si="36"/>
        <v/>
      </c>
      <c r="AA128" s="81" t="str">
        <f t="shared" si="42"/>
        <v/>
      </c>
      <c r="AC128" s="139"/>
      <c r="AD128" s="110" t="str">
        <f t="shared" si="43"/>
        <v/>
      </c>
      <c r="AE128" s="111" t="str">
        <f t="shared" si="44"/>
        <v/>
      </c>
      <c r="AF128" s="111" t="str">
        <f t="shared" si="37"/>
        <v/>
      </c>
      <c r="AG128" s="111" t="str">
        <f t="shared" si="45"/>
        <v/>
      </c>
      <c r="AH128" s="111" t="str">
        <f t="shared" si="46"/>
        <v/>
      </c>
      <c r="AI128" s="112" t="str">
        <f t="shared" si="47"/>
        <v/>
      </c>
      <c r="AJ128" t="str">
        <f t="shared" si="48"/>
        <v/>
      </c>
      <c r="AK128" t="str">
        <f t="shared" si="49"/>
        <v/>
      </c>
    </row>
    <row r="129" spans="1:37" ht="15" customHeight="1" x14ac:dyDescent="0.25">
      <c r="A129" s="114"/>
      <c r="B129" s="116"/>
      <c r="C129" s="116"/>
      <c r="D129" s="42" t="str">
        <f t="shared" si="25"/>
        <v/>
      </c>
      <c r="E129" s="43"/>
      <c r="F129" s="83"/>
      <c r="G129" s="118"/>
      <c r="H129" s="34" t="str">
        <f t="shared" si="26"/>
        <v/>
      </c>
      <c r="I129" s="88" t="str">
        <f t="shared" si="27"/>
        <v/>
      </c>
      <c r="J129" s="44" t="str">
        <f t="shared" si="28"/>
        <v/>
      </c>
      <c r="K129" s="118"/>
      <c r="L129" s="34" t="str">
        <f t="shared" si="29"/>
        <v/>
      </c>
      <c r="M129" s="118"/>
      <c r="N129" s="121"/>
      <c r="O129" s="122" t="str">
        <f t="shared" si="38"/>
        <v/>
      </c>
      <c r="P129" s="35" t="str">
        <f t="shared" si="39"/>
        <v/>
      </c>
      <c r="Q129" s="124"/>
      <c r="R129" s="36" t="str">
        <f t="shared" si="40"/>
        <v/>
      </c>
      <c r="S129" s="37" t="str">
        <f t="shared" si="30"/>
        <v/>
      </c>
      <c r="T129" s="38" t="str">
        <f t="shared" si="31"/>
        <v/>
      </c>
      <c r="U129" s="39" t="str">
        <f t="shared" si="32"/>
        <v/>
      </c>
      <c r="V129" s="40" t="str">
        <f t="shared" si="33"/>
        <v/>
      </c>
      <c r="W129" s="39" t="str">
        <f t="shared" si="34"/>
        <v/>
      </c>
      <c r="X129" s="34" t="str">
        <f t="shared" si="35"/>
        <v/>
      </c>
      <c r="Y129" s="41" t="str">
        <f t="shared" si="41"/>
        <v/>
      </c>
      <c r="Z129" s="98" t="str">
        <f t="shared" si="36"/>
        <v/>
      </c>
      <c r="AA129" s="81" t="str">
        <f t="shared" si="42"/>
        <v/>
      </c>
      <c r="AC129" s="139"/>
      <c r="AD129" s="110" t="str">
        <f t="shared" si="43"/>
        <v/>
      </c>
      <c r="AE129" s="111" t="str">
        <f t="shared" si="44"/>
        <v/>
      </c>
      <c r="AF129" s="111" t="str">
        <f t="shared" si="37"/>
        <v/>
      </c>
      <c r="AG129" s="111" t="str">
        <f t="shared" si="45"/>
        <v/>
      </c>
      <c r="AH129" s="111" t="str">
        <f t="shared" si="46"/>
        <v/>
      </c>
      <c r="AI129" s="112" t="str">
        <f t="shared" si="47"/>
        <v/>
      </c>
      <c r="AJ129" t="str">
        <f t="shared" si="48"/>
        <v/>
      </c>
      <c r="AK129" t="str">
        <f t="shared" si="49"/>
        <v/>
      </c>
    </row>
    <row r="130" spans="1:37" ht="15" customHeight="1" x14ac:dyDescent="0.25">
      <c r="A130" s="114"/>
      <c r="B130" s="116"/>
      <c r="C130" s="116"/>
      <c r="D130" s="42" t="str">
        <f t="shared" si="25"/>
        <v/>
      </c>
      <c r="E130" s="43"/>
      <c r="F130" s="83"/>
      <c r="G130" s="118"/>
      <c r="H130" s="34" t="str">
        <f t="shared" si="26"/>
        <v/>
      </c>
      <c r="I130" s="88" t="str">
        <f t="shared" si="27"/>
        <v/>
      </c>
      <c r="J130" s="44" t="str">
        <f t="shared" si="28"/>
        <v/>
      </c>
      <c r="K130" s="118"/>
      <c r="L130" s="34" t="str">
        <f t="shared" si="29"/>
        <v/>
      </c>
      <c r="M130" s="118"/>
      <c r="N130" s="121"/>
      <c r="O130" s="122" t="str">
        <f t="shared" si="38"/>
        <v/>
      </c>
      <c r="P130" s="35" t="str">
        <f t="shared" si="39"/>
        <v/>
      </c>
      <c r="Q130" s="124"/>
      <c r="R130" s="36" t="str">
        <f t="shared" si="40"/>
        <v/>
      </c>
      <c r="S130" s="37" t="str">
        <f t="shared" si="30"/>
        <v/>
      </c>
      <c r="T130" s="38" t="str">
        <f t="shared" si="31"/>
        <v/>
      </c>
      <c r="U130" s="39" t="str">
        <f t="shared" si="32"/>
        <v/>
      </c>
      <c r="V130" s="40" t="str">
        <f t="shared" si="33"/>
        <v/>
      </c>
      <c r="W130" s="39" t="str">
        <f t="shared" si="34"/>
        <v/>
      </c>
      <c r="X130" s="34" t="str">
        <f t="shared" si="35"/>
        <v/>
      </c>
      <c r="Y130" s="41" t="str">
        <f t="shared" si="41"/>
        <v/>
      </c>
      <c r="Z130" s="98" t="str">
        <f t="shared" si="36"/>
        <v/>
      </c>
      <c r="AA130" s="81" t="str">
        <f t="shared" si="42"/>
        <v/>
      </c>
      <c r="AC130" s="139"/>
      <c r="AD130" s="110" t="str">
        <f t="shared" si="43"/>
        <v/>
      </c>
      <c r="AE130" s="111" t="str">
        <f t="shared" si="44"/>
        <v/>
      </c>
      <c r="AF130" s="111" t="str">
        <f t="shared" si="37"/>
        <v/>
      </c>
      <c r="AG130" s="111" t="str">
        <f t="shared" si="45"/>
        <v/>
      </c>
      <c r="AH130" s="111" t="str">
        <f t="shared" si="46"/>
        <v/>
      </c>
      <c r="AI130" s="112" t="str">
        <f t="shared" si="47"/>
        <v/>
      </c>
      <c r="AJ130" t="str">
        <f t="shared" si="48"/>
        <v/>
      </c>
      <c r="AK130" t="str">
        <f t="shared" si="49"/>
        <v/>
      </c>
    </row>
    <row r="131" spans="1:37" ht="15" customHeight="1" x14ac:dyDescent="0.25">
      <c r="A131" s="114"/>
      <c r="B131" s="116"/>
      <c r="C131" s="116"/>
      <c r="D131" s="42" t="str">
        <f t="shared" si="25"/>
        <v/>
      </c>
      <c r="E131" s="43"/>
      <c r="F131" s="83"/>
      <c r="G131" s="118"/>
      <c r="H131" s="34" t="str">
        <f t="shared" si="26"/>
        <v/>
      </c>
      <c r="I131" s="88" t="str">
        <f t="shared" si="27"/>
        <v/>
      </c>
      <c r="J131" s="44" t="str">
        <f t="shared" si="28"/>
        <v/>
      </c>
      <c r="K131" s="118"/>
      <c r="L131" s="34" t="str">
        <f t="shared" si="29"/>
        <v/>
      </c>
      <c r="M131" s="118"/>
      <c r="N131" s="121"/>
      <c r="O131" s="122" t="str">
        <f t="shared" si="38"/>
        <v/>
      </c>
      <c r="P131" s="35" t="str">
        <f t="shared" si="39"/>
        <v/>
      </c>
      <c r="Q131" s="124"/>
      <c r="R131" s="36" t="str">
        <f t="shared" si="40"/>
        <v/>
      </c>
      <c r="S131" s="37" t="str">
        <f t="shared" si="30"/>
        <v/>
      </c>
      <c r="T131" s="38" t="str">
        <f t="shared" si="31"/>
        <v/>
      </c>
      <c r="U131" s="39" t="str">
        <f t="shared" si="32"/>
        <v/>
      </c>
      <c r="V131" s="40" t="str">
        <f t="shared" si="33"/>
        <v/>
      </c>
      <c r="W131" s="39" t="str">
        <f t="shared" si="34"/>
        <v/>
      </c>
      <c r="X131" s="34" t="str">
        <f t="shared" si="35"/>
        <v/>
      </c>
      <c r="Y131" s="41" t="str">
        <f t="shared" si="41"/>
        <v/>
      </c>
      <c r="Z131" s="98" t="str">
        <f t="shared" si="36"/>
        <v/>
      </c>
      <c r="AA131" s="81" t="str">
        <f t="shared" si="42"/>
        <v/>
      </c>
      <c r="AC131" s="139"/>
      <c r="AD131" s="110" t="str">
        <f t="shared" si="43"/>
        <v/>
      </c>
      <c r="AE131" s="111" t="str">
        <f t="shared" si="44"/>
        <v/>
      </c>
      <c r="AF131" s="111" t="str">
        <f t="shared" si="37"/>
        <v/>
      </c>
      <c r="AG131" s="111" t="str">
        <f t="shared" si="45"/>
        <v/>
      </c>
      <c r="AH131" s="111" t="str">
        <f t="shared" si="46"/>
        <v/>
      </c>
      <c r="AI131" s="112" t="str">
        <f t="shared" si="47"/>
        <v/>
      </c>
      <c r="AJ131" t="str">
        <f t="shared" si="48"/>
        <v/>
      </c>
      <c r="AK131" t="str">
        <f t="shared" si="49"/>
        <v/>
      </c>
    </row>
    <row r="132" spans="1:37" ht="15" customHeight="1" x14ac:dyDescent="0.25">
      <c r="A132" s="114"/>
      <c r="B132" s="116"/>
      <c r="C132" s="116"/>
      <c r="D132" s="42" t="str">
        <f t="shared" si="25"/>
        <v/>
      </c>
      <c r="E132" s="43"/>
      <c r="F132" s="83"/>
      <c r="G132" s="118"/>
      <c r="H132" s="34" t="str">
        <f t="shared" si="26"/>
        <v/>
      </c>
      <c r="I132" s="88" t="str">
        <f t="shared" si="27"/>
        <v/>
      </c>
      <c r="J132" s="44" t="str">
        <f t="shared" si="28"/>
        <v/>
      </c>
      <c r="K132" s="118"/>
      <c r="L132" s="34" t="str">
        <f t="shared" si="29"/>
        <v/>
      </c>
      <c r="M132" s="118"/>
      <c r="N132" s="121"/>
      <c r="O132" s="122" t="str">
        <f t="shared" si="38"/>
        <v/>
      </c>
      <c r="P132" s="35" t="str">
        <f t="shared" si="39"/>
        <v/>
      </c>
      <c r="Q132" s="124"/>
      <c r="R132" s="36" t="str">
        <f t="shared" si="40"/>
        <v/>
      </c>
      <c r="S132" s="37" t="str">
        <f t="shared" si="30"/>
        <v/>
      </c>
      <c r="T132" s="38" t="str">
        <f t="shared" si="31"/>
        <v/>
      </c>
      <c r="U132" s="39" t="str">
        <f t="shared" si="32"/>
        <v/>
      </c>
      <c r="V132" s="40" t="str">
        <f t="shared" si="33"/>
        <v/>
      </c>
      <c r="W132" s="39" t="str">
        <f t="shared" si="34"/>
        <v/>
      </c>
      <c r="X132" s="34" t="str">
        <f t="shared" si="35"/>
        <v/>
      </c>
      <c r="Y132" s="41" t="str">
        <f t="shared" si="41"/>
        <v/>
      </c>
      <c r="Z132" s="98" t="str">
        <f t="shared" si="36"/>
        <v/>
      </c>
      <c r="AA132" s="81" t="str">
        <f t="shared" si="42"/>
        <v/>
      </c>
      <c r="AC132" s="139"/>
      <c r="AD132" s="110" t="str">
        <f t="shared" si="43"/>
        <v/>
      </c>
      <c r="AE132" s="111" t="str">
        <f t="shared" si="44"/>
        <v/>
      </c>
      <c r="AF132" s="111" t="str">
        <f t="shared" si="37"/>
        <v/>
      </c>
      <c r="AG132" s="111" t="str">
        <f t="shared" si="45"/>
        <v/>
      </c>
      <c r="AH132" s="111" t="str">
        <f t="shared" si="46"/>
        <v/>
      </c>
      <c r="AI132" s="112" t="str">
        <f t="shared" si="47"/>
        <v/>
      </c>
      <c r="AJ132" t="str">
        <f t="shared" si="48"/>
        <v/>
      </c>
      <c r="AK132" t="str">
        <f t="shared" si="49"/>
        <v/>
      </c>
    </row>
    <row r="133" spans="1:37" ht="15" customHeight="1" x14ac:dyDescent="0.25">
      <c r="A133" s="114"/>
      <c r="B133" s="116"/>
      <c r="C133" s="116"/>
      <c r="D133" s="42" t="str">
        <f t="shared" si="25"/>
        <v/>
      </c>
      <c r="E133" s="43"/>
      <c r="F133" s="83"/>
      <c r="G133" s="118"/>
      <c r="H133" s="34" t="str">
        <f t="shared" si="26"/>
        <v/>
      </c>
      <c r="I133" s="88" t="str">
        <f t="shared" si="27"/>
        <v/>
      </c>
      <c r="J133" s="44" t="str">
        <f t="shared" si="28"/>
        <v/>
      </c>
      <c r="K133" s="118"/>
      <c r="L133" s="34" t="str">
        <f t="shared" si="29"/>
        <v/>
      </c>
      <c r="M133" s="118"/>
      <c r="N133" s="121"/>
      <c r="O133" s="122" t="str">
        <f t="shared" si="38"/>
        <v/>
      </c>
      <c r="P133" s="35" t="str">
        <f t="shared" si="39"/>
        <v/>
      </c>
      <c r="Q133" s="124"/>
      <c r="R133" s="36" t="str">
        <f t="shared" si="40"/>
        <v/>
      </c>
      <c r="S133" s="37" t="str">
        <f t="shared" si="30"/>
        <v/>
      </c>
      <c r="T133" s="38" t="str">
        <f t="shared" si="31"/>
        <v/>
      </c>
      <c r="U133" s="39" t="str">
        <f t="shared" si="32"/>
        <v/>
      </c>
      <c r="V133" s="40" t="str">
        <f t="shared" si="33"/>
        <v/>
      </c>
      <c r="W133" s="39" t="str">
        <f t="shared" si="34"/>
        <v/>
      </c>
      <c r="X133" s="34" t="str">
        <f t="shared" si="35"/>
        <v/>
      </c>
      <c r="Y133" s="41" t="str">
        <f t="shared" si="41"/>
        <v/>
      </c>
      <c r="Z133" s="98" t="str">
        <f t="shared" si="36"/>
        <v/>
      </c>
      <c r="AA133" s="81" t="str">
        <f t="shared" si="42"/>
        <v/>
      </c>
      <c r="AC133" s="139"/>
      <c r="AD133" s="110" t="str">
        <f t="shared" si="43"/>
        <v/>
      </c>
      <c r="AE133" s="111" t="str">
        <f t="shared" si="44"/>
        <v/>
      </c>
      <c r="AF133" s="111" t="str">
        <f t="shared" si="37"/>
        <v/>
      </c>
      <c r="AG133" s="111" t="str">
        <f t="shared" si="45"/>
        <v/>
      </c>
      <c r="AH133" s="111" t="str">
        <f t="shared" si="46"/>
        <v/>
      </c>
      <c r="AI133" s="112" t="str">
        <f t="shared" si="47"/>
        <v/>
      </c>
      <c r="AJ133" t="str">
        <f t="shared" si="48"/>
        <v/>
      </c>
      <c r="AK133" t="str">
        <f t="shared" si="49"/>
        <v/>
      </c>
    </row>
    <row r="134" spans="1:37" ht="15" customHeight="1" x14ac:dyDescent="0.25">
      <c r="A134" s="114"/>
      <c r="B134" s="116"/>
      <c r="C134" s="116"/>
      <c r="D134" s="42" t="str">
        <f t="shared" si="25"/>
        <v/>
      </c>
      <c r="E134" s="43"/>
      <c r="F134" s="83"/>
      <c r="G134" s="118"/>
      <c r="H134" s="34" t="str">
        <f t="shared" si="26"/>
        <v/>
      </c>
      <c r="I134" s="88" t="str">
        <f t="shared" si="27"/>
        <v/>
      </c>
      <c r="J134" s="44" t="str">
        <f t="shared" si="28"/>
        <v/>
      </c>
      <c r="K134" s="118"/>
      <c r="L134" s="34" t="str">
        <f t="shared" si="29"/>
        <v/>
      </c>
      <c r="M134" s="118"/>
      <c r="N134" s="121"/>
      <c r="O134" s="122" t="str">
        <f t="shared" si="38"/>
        <v/>
      </c>
      <c r="P134" s="35" t="str">
        <f t="shared" si="39"/>
        <v/>
      </c>
      <c r="Q134" s="124"/>
      <c r="R134" s="36" t="str">
        <f t="shared" si="40"/>
        <v/>
      </c>
      <c r="S134" s="37" t="str">
        <f t="shared" si="30"/>
        <v/>
      </c>
      <c r="T134" s="38" t="str">
        <f t="shared" si="31"/>
        <v/>
      </c>
      <c r="U134" s="39" t="str">
        <f t="shared" si="32"/>
        <v/>
      </c>
      <c r="V134" s="40" t="str">
        <f t="shared" si="33"/>
        <v/>
      </c>
      <c r="W134" s="39" t="str">
        <f t="shared" si="34"/>
        <v/>
      </c>
      <c r="X134" s="34" t="str">
        <f t="shared" si="35"/>
        <v/>
      </c>
      <c r="Y134" s="41" t="str">
        <f t="shared" si="41"/>
        <v/>
      </c>
      <c r="Z134" s="98" t="str">
        <f t="shared" si="36"/>
        <v/>
      </c>
      <c r="AA134" s="81" t="str">
        <f t="shared" si="42"/>
        <v/>
      </c>
      <c r="AC134" s="139"/>
      <c r="AD134" s="110" t="str">
        <f t="shared" si="43"/>
        <v/>
      </c>
      <c r="AE134" s="111" t="str">
        <f t="shared" si="44"/>
        <v/>
      </c>
      <c r="AF134" s="111" t="str">
        <f t="shared" si="37"/>
        <v/>
      </c>
      <c r="AG134" s="111" t="str">
        <f t="shared" si="45"/>
        <v/>
      </c>
      <c r="AH134" s="111" t="str">
        <f t="shared" si="46"/>
        <v/>
      </c>
      <c r="AI134" s="112" t="str">
        <f t="shared" si="47"/>
        <v/>
      </c>
      <c r="AJ134" t="str">
        <f t="shared" si="48"/>
        <v/>
      </c>
      <c r="AK134" t="str">
        <f t="shared" si="49"/>
        <v/>
      </c>
    </row>
    <row r="135" spans="1:37" ht="15" customHeight="1" x14ac:dyDescent="0.25">
      <c r="A135" s="114"/>
      <c r="B135" s="116"/>
      <c r="C135" s="116"/>
      <c r="D135" s="42" t="str">
        <f t="shared" si="25"/>
        <v/>
      </c>
      <c r="E135" s="43"/>
      <c r="F135" s="83"/>
      <c r="G135" s="118"/>
      <c r="H135" s="34" t="str">
        <f t="shared" si="26"/>
        <v/>
      </c>
      <c r="I135" s="88" t="str">
        <f t="shared" si="27"/>
        <v/>
      </c>
      <c r="J135" s="44" t="str">
        <f t="shared" si="28"/>
        <v/>
      </c>
      <c r="K135" s="118"/>
      <c r="L135" s="34" t="str">
        <f t="shared" si="29"/>
        <v/>
      </c>
      <c r="M135" s="118"/>
      <c r="N135" s="121"/>
      <c r="O135" s="122" t="str">
        <f t="shared" si="38"/>
        <v/>
      </c>
      <c r="P135" s="35" t="str">
        <f t="shared" si="39"/>
        <v/>
      </c>
      <c r="Q135" s="124"/>
      <c r="R135" s="36" t="str">
        <f t="shared" si="40"/>
        <v/>
      </c>
      <c r="S135" s="37" t="str">
        <f t="shared" si="30"/>
        <v/>
      </c>
      <c r="T135" s="38" t="str">
        <f t="shared" si="31"/>
        <v/>
      </c>
      <c r="U135" s="39" t="str">
        <f t="shared" si="32"/>
        <v/>
      </c>
      <c r="V135" s="40" t="str">
        <f t="shared" si="33"/>
        <v/>
      </c>
      <c r="W135" s="39" t="str">
        <f t="shared" si="34"/>
        <v/>
      </c>
      <c r="X135" s="34" t="str">
        <f t="shared" si="35"/>
        <v/>
      </c>
      <c r="Y135" s="41" t="str">
        <f t="shared" si="41"/>
        <v/>
      </c>
      <c r="Z135" s="98" t="str">
        <f t="shared" si="36"/>
        <v/>
      </c>
      <c r="AA135" s="81" t="str">
        <f t="shared" si="42"/>
        <v/>
      </c>
      <c r="AC135" s="139"/>
      <c r="AD135" s="110" t="str">
        <f t="shared" si="43"/>
        <v/>
      </c>
      <c r="AE135" s="111" t="str">
        <f t="shared" si="44"/>
        <v/>
      </c>
      <c r="AF135" s="111" t="str">
        <f t="shared" si="37"/>
        <v/>
      </c>
      <c r="AG135" s="111" t="str">
        <f t="shared" si="45"/>
        <v/>
      </c>
      <c r="AH135" s="111" t="str">
        <f t="shared" si="46"/>
        <v/>
      </c>
      <c r="AI135" s="112" t="str">
        <f t="shared" si="47"/>
        <v/>
      </c>
      <c r="AJ135" t="str">
        <f t="shared" si="48"/>
        <v/>
      </c>
      <c r="AK135" t="str">
        <f t="shared" si="49"/>
        <v/>
      </c>
    </row>
    <row r="136" spans="1:37" ht="15" customHeight="1" x14ac:dyDescent="0.25">
      <c r="A136" s="114"/>
      <c r="B136" s="116"/>
      <c r="C136" s="116"/>
      <c r="D136" s="42" t="str">
        <f t="shared" ref="D136:D199" si="50">IF(A136="","",B136*C136)</f>
        <v/>
      </c>
      <c r="E136" s="43"/>
      <c r="F136" s="83"/>
      <c r="G136" s="118"/>
      <c r="H136" s="34" t="str">
        <f t="shared" ref="H136:H199" si="51">IF(OR(G136=0,C136=0,G136="",C136=""),"",G136/C136)</f>
        <v/>
      </c>
      <c r="I136" s="88" t="str">
        <f t="shared" ref="I136:I199" si="52">IF(OR(G136="",F136=""),"",G136*(1-F136))</f>
        <v/>
      </c>
      <c r="J136" s="44" t="str">
        <f t="shared" ref="J136:J199" si="53">IF(A136="","",I136*B136)</f>
        <v/>
      </c>
      <c r="K136" s="118"/>
      <c r="L136" s="34" t="str">
        <f t="shared" ref="L136:L199" si="54">IF(OR(K136=0,C136=0,K136="",C136=""),"",K136/C136)</f>
        <v/>
      </c>
      <c r="M136" s="118"/>
      <c r="N136" s="121"/>
      <c r="O136" s="122" t="str">
        <f t="shared" si="38"/>
        <v/>
      </c>
      <c r="P136" s="35" t="str">
        <f t="shared" si="39"/>
        <v/>
      </c>
      <c r="Q136" s="124"/>
      <c r="R136" s="36" t="str">
        <f t="shared" si="40"/>
        <v/>
      </c>
      <c r="S136" s="37" t="str">
        <f t="shared" ref="S136:S199" si="55">IF(OR(A136="",R136=""),"",R136*C136)</f>
        <v/>
      </c>
      <c r="T136" s="38" t="str">
        <f t="shared" ref="T136:T199" si="56">IF(OR(A136="",G136&lt;=0,S136=""),"",(G136-S136)/G136)</f>
        <v/>
      </c>
      <c r="U136" s="39" t="str">
        <f t="shared" ref="U136:U199" si="57">IF(OR(G136=0,S136=0,G136="",S136=""),"",G136-S136)</f>
        <v/>
      </c>
      <c r="V136" s="40" t="str">
        <f t="shared" ref="V136:V199" si="58">IF(OR(A136="",K136&lt;=0,S136=""),"",(K136-S136)/K136)</f>
        <v/>
      </c>
      <c r="W136" s="39" t="str">
        <f t="shared" ref="W136:W199" si="59">IF(OR(K136=0,S136=0,K136="",S136=""),"",K136-S136)</f>
        <v/>
      </c>
      <c r="X136" s="34" t="str">
        <f t="shared" ref="X136:X199" si="60">IF(OR(J136="",J136=0,$N$5="",$L$3=0),"",($N$5/$L$3)*J136)</f>
        <v/>
      </c>
      <c r="Y136" s="41" t="str">
        <f t="shared" si="41"/>
        <v/>
      </c>
      <c r="Z136" s="98" t="str">
        <f t="shared" ref="Z136:Z199" si="61">IF(OR(R136=0,R136="",D136=0,D136=""),"",R136*(D136+E136))</f>
        <v/>
      </c>
      <c r="AA136" s="81" t="str">
        <f t="shared" si="42"/>
        <v/>
      </c>
      <c r="AC136" s="139"/>
      <c r="AD136" s="110" t="str">
        <f t="shared" si="43"/>
        <v/>
      </c>
      <c r="AE136" s="111" t="str">
        <f t="shared" si="44"/>
        <v/>
      </c>
      <c r="AF136" s="111" t="str">
        <f t="shared" ref="AF136:AF199" si="62">IF(AE136="","",AE136*$AD$1+IF(SUM($AE$8:$AE$1007)=0,0,$AD$2*AE136/SUM($AE$8:$AE$1007)))</f>
        <v/>
      </c>
      <c r="AG136" s="111" t="str">
        <f t="shared" si="45"/>
        <v/>
      </c>
      <c r="AH136" s="111" t="str">
        <f t="shared" si="46"/>
        <v/>
      </c>
      <c r="AI136" s="112" t="str">
        <f t="shared" si="47"/>
        <v/>
      </c>
      <c r="AJ136" t="str">
        <f t="shared" si="48"/>
        <v/>
      </c>
      <c r="AK136" t="str">
        <f t="shared" si="49"/>
        <v/>
      </c>
    </row>
    <row r="137" spans="1:37" ht="15" customHeight="1" x14ac:dyDescent="0.25">
      <c r="A137" s="114"/>
      <c r="B137" s="116"/>
      <c r="C137" s="116"/>
      <c r="D137" s="42" t="str">
        <f t="shared" si="50"/>
        <v/>
      </c>
      <c r="E137" s="43"/>
      <c r="F137" s="83"/>
      <c r="G137" s="118"/>
      <c r="H137" s="34" t="str">
        <f t="shared" si="51"/>
        <v/>
      </c>
      <c r="I137" s="88" t="str">
        <f t="shared" si="52"/>
        <v/>
      </c>
      <c r="J137" s="44" t="str">
        <f t="shared" si="53"/>
        <v/>
      </c>
      <c r="K137" s="118"/>
      <c r="L137" s="34" t="str">
        <f t="shared" si="54"/>
        <v/>
      </c>
      <c r="M137" s="118"/>
      <c r="N137" s="121"/>
      <c r="O137" s="122" t="str">
        <f t="shared" ref="O137:O200" si="63">IF(A137="","",IF(Q137&gt;0,IF(J137&gt;0,Q137/J137,0),IF(E137&gt;0,0,IF($J$3&gt;0,IF($J$4&gt;0,MAX($J$3-SUM($Q$8:$Q$1007),0)/$J$4,0),$J$2))))</f>
        <v/>
      </c>
      <c r="P137" s="35" t="str">
        <f t="shared" ref="P137:P200" si="64">IF(A137="","",IF(Q137&gt;0,Q137,IF(E137&gt;0,0,J137*IF($J$3&gt;0,IF($J$4&gt;0,MAX($J$3-SUM($Q$8:$Q$1007),0)/$J$4,0),$J$2))))</f>
        <v/>
      </c>
      <c r="Q137" s="124"/>
      <c r="R137" s="36" t="str">
        <f t="shared" ref="R137:R200" si="65">IF(A137="","",IF(OR(B137=0,B137="",C137&lt;=0,D137+E137&lt;=0),"",(J137-P137)/(D137+E137)-IF(X137&gt;=0,X137/D137,0)+IF(ISNUMBER(Y137),Y137/(D137+E137),0)))</f>
        <v/>
      </c>
      <c r="S137" s="37" t="str">
        <f t="shared" si="55"/>
        <v/>
      </c>
      <c r="T137" s="38" t="str">
        <f t="shared" si="56"/>
        <v/>
      </c>
      <c r="U137" s="39" t="str">
        <f t="shared" si="57"/>
        <v/>
      </c>
      <c r="V137" s="40" t="str">
        <f t="shared" si="58"/>
        <v/>
      </c>
      <c r="W137" s="39" t="str">
        <f t="shared" si="59"/>
        <v/>
      </c>
      <c r="X137" s="34" t="str">
        <f t="shared" si="60"/>
        <v/>
      </c>
      <c r="Y137" s="41" t="str">
        <f t="shared" ref="Y137:Y200" si="66">IF(OR(J137="",J137=0,($L$3-$L$2)=0),"",($J$1/($L$3-$L$2))*(J137-P137))</f>
        <v/>
      </c>
      <c r="Z137" s="98" t="str">
        <f t="shared" si="61"/>
        <v/>
      </c>
      <c r="AA137" s="81" t="str">
        <f t="shared" ref="AA137:AA200" si="67">IF(OR(B137=0,B137=""),"",J137)</f>
        <v/>
      </c>
      <c r="AC137" s="139"/>
      <c r="AD137" s="110" t="str">
        <f t="shared" ref="AD137:AD200" si="68">IF(AC137="","",R137)</f>
        <v/>
      </c>
      <c r="AE137" s="111" t="str">
        <f t="shared" ref="AE137:AE200" si="69">IF(OR(AC137="",AD137=""),"",AC137*AD137)</f>
        <v/>
      </c>
      <c r="AF137" s="111" t="str">
        <f t="shared" si="62"/>
        <v/>
      </c>
      <c r="AG137" s="111" t="str">
        <f t="shared" ref="AG137:AG200" si="70">IF(AE137="","",AE137-AF137)</f>
        <v/>
      </c>
      <c r="AH137" s="111" t="str">
        <f t="shared" ref="AH137:AH200" si="71">IF(AG137="","",AI137-AG137)</f>
        <v/>
      </c>
      <c r="AI137" s="112" t="str">
        <f t="shared" ref="AI137:AI200" si="72">IF(AG137="","",ROUND(AG137,0))</f>
        <v/>
      </c>
      <c r="AJ137" t="str">
        <f t="shared" ref="AJ137:AJ200" si="73">IF(OR(AC137=0,AC137=""),"",AF137/AC137)</f>
        <v/>
      </c>
      <c r="AK137" t="str">
        <f t="shared" ref="AK137:AK200" si="74">IF(OR(AC137=0,AC137=""),"",AD137*C137)</f>
        <v/>
      </c>
    </row>
    <row r="138" spans="1:37" ht="15" customHeight="1" x14ac:dyDescent="0.25">
      <c r="A138" s="114"/>
      <c r="B138" s="116"/>
      <c r="C138" s="116"/>
      <c r="D138" s="42" t="str">
        <f t="shared" si="50"/>
        <v/>
      </c>
      <c r="E138" s="43"/>
      <c r="F138" s="83"/>
      <c r="G138" s="118"/>
      <c r="H138" s="34" t="str">
        <f t="shared" si="51"/>
        <v/>
      </c>
      <c r="I138" s="88" t="str">
        <f t="shared" si="52"/>
        <v/>
      </c>
      <c r="J138" s="44" t="str">
        <f t="shared" si="53"/>
        <v/>
      </c>
      <c r="K138" s="118"/>
      <c r="L138" s="34" t="str">
        <f t="shared" si="54"/>
        <v/>
      </c>
      <c r="M138" s="118"/>
      <c r="N138" s="121"/>
      <c r="O138" s="122" t="str">
        <f t="shared" si="63"/>
        <v/>
      </c>
      <c r="P138" s="35" t="str">
        <f t="shared" si="64"/>
        <v/>
      </c>
      <c r="Q138" s="124"/>
      <c r="R138" s="36" t="str">
        <f t="shared" si="65"/>
        <v/>
      </c>
      <c r="S138" s="37" t="str">
        <f t="shared" si="55"/>
        <v/>
      </c>
      <c r="T138" s="38" t="str">
        <f t="shared" si="56"/>
        <v/>
      </c>
      <c r="U138" s="39" t="str">
        <f t="shared" si="57"/>
        <v/>
      </c>
      <c r="V138" s="40" t="str">
        <f t="shared" si="58"/>
        <v/>
      </c>
      <c r="W138" s="39" t="str">
        <f t="shared" si="59"/>
        <v/>
      </c>
      <c r="X138" s="34" t="str">
        <f t="shared" si="60"/>
        <v/>
      </c>
      <c r="Y138" s="41" t="str">
        <f t="shared" si="66"/>
        <v/>
      </c>
      <c r="Z138" s="98" t="str">
        <f t="shared" si="61"/>
        <v/>
      </c>
      <c r="AA138" s="81" t="str">
        <f t="shared" si="67"/>
        <v/>
      </c>
      <c r="AC138" s="139"/>
      <c r="AD138" s="110" t="str">
        <f t="shared" si="68"/>
        <v/>
      </c>
      <c r="AE138" s="111" t="str">
        <f t="shared" si="69"/>
        <v/>
      </c>
      <c r="AF138" s="111" t="str">
        <f t="shared" si="62"/>
        <v/>
      </c>
      <c r="AG138" s="111" t="str">
        <f t="shared" si="70"/>
        <v/>
      </c>
      <c r="AH138" s="111" t="str">
        <f t="shared" si="71"/>
        <v/>
      </c>
      <c r="AI138" s="112" t="str">
        <f t="shared" si="72"/>
        <v/>
      </c>
      <c r="AJ138" t="str">
        <f t="shared" si="73"/>
        <v/>
      </c>
      <c r="AK138" t="str">
        <f t="shared" si="74"/>
        <v/>
      </c>
    </row>
    <row r="139" spans="1:37" ht="15" customHeight="1" x14ac:dyDescent="0.25">
      <c r="A139" s="114"/>
      <c r="B139" s="116"/>
      <c r="C139" s="116"/>
      <c r="D139" s="42" t="str">
        <f t="shared" si="50"/>
        <v/>
      </c>
      <c r="E139" s="43"/>
      <c r="F139" s="83"/>
      <c r="G139" s="118"/>
      <c r="H139" s="34" t="str">
        <f t="shared" si="51"/>
        <v/>
      </c>
      <c r="I139" s="88" t="str">
        <f t="shared" si="52"/>
        <v/>
      </c>
      <c r="J139" s="44" t="str">
        <f t="shared" si="53"/>
        <v/>
      </c>
      <c r="K139" s="118"/>
      <c r="L139" s="34" t="str">
        <f t="shared" si="54"/>
        <v/>
      </c>
      <c r="M139" s="118"/>
      <c r="N139" s="121"/>
      <c r="O139" s="122" t="str">
        <f t="shared" si="63"/>
        <v/>
      </c>
      <c r="P139" s="35" t="str">
        <f t="shared" si="64"/>
        <v/>
      </c>
      <c r="Q139" s="124"/>
      <c r="R139" s="36" t="str">
        <f t="shared" si="65"/>
        <v/>
      </c>
      <c r="S139" s="37" t="str">
        <f t="shared" si="55"/>
        <v/>
      </c>
      <c r="T139" s="38" t="str">
        <f t="shared" si="56"/>
        <v/>
      </c>
      <c r="U139" s="39" t="str">
        <f t="shared" si="57"/>
        <v/>
      </c>
      <c r="V139" s="40" t="str">
        <f t="shared" si="58"/>
        <v/>
      </c>
      <c r="W139" s="39" t="str">
        <f t="shared" si="59"/>
        <v/>
      </c>
      <c r="X139" s="34" t="str">
        <f t="shared" si="60"/>
        <v/>
      </c>
      <c r="Y139" s="41" t="str">
        <f t="shared" si="66"/>
        <v/>
      </c>
      <c r="Z139" s="98" t="str">
        <f t="shared" si="61"/>
        <v/>
      </c>
      <c r="AA139" s="81" t="str">
        <f t="shared" si="67"/>
        <v/>
      </c>
      <c r="AC139" s="139"/>
      <c r="AD139" s="110" t="str">
        <f t="shared" si="68"/>
        <v/>
      </c>
      <c r="AE139" s="111" t="str">
        <f t="shared" si="69"/>
        <v/>
      </c>
      <c r="AF139" s="111" t="str">
        <f t="shared" si="62"/>
        <v/>
      </c>
      <c r="AG139" s="111" t="str">
        <f t="shared" si="70"/>
        <v/>
      </c>
      <c r="AH139" s="111" t="str">
        <f t="shared" si="71"/>
        <v/>
      </c>
      <c r="AI139" s="112" t="str">
        <f t="shared" si="72"/>
        <v/>
      </c>
      <c r="AJ139" t="str">
        <f t="shared" si="73"/>
        <v/>
      </c>
      <c r="AK139" t="str">
        <f t="shared" si="74"/>
        <v/>
      </c>
    </row>
    <row r="140" spans="1:37" ht="15" customHeight="1" x14ac:dyDescent="0.25">
      <c r="A140" s="114"/>
      <c r="B140" s="116"/>
      <c r="C140" s="116"/>
      <c r="D140" s="42" t="str">
        <f t="shared" si="50"/>
        <v/>
      </c>
      <c r="E140" s="43"/>
      <c r="F140" s="83"/>
      <c r="G140" s="118"/>
      <c r="H140" s="34" t="str">
        <f t="shared" si="51"/>
        <v/>
      </c>
      <c r="I140" s="88" t="str">
        <f t="shared" si="52"/>
        <v/>
      </c>
      <c r="J140" s="44" t="str">
        <f t="shared" si="53"/>
        <v/>
      </c>
      <c r="K140" s="118"/>
      <c r="L140" s="34" t="str">
        <f t="shared" si="54"/>
        <v/>
      </c>
      <c r="M140" s="118"/>
      <c r="N140" s="121"/>
      <c r="O140" s="122" t="str">
        <f t="shared" si="63"/>
        <v/>
      </c>
      <c r="P140" s="35" t="str">
        <f t="shared" si="64"/>
        <v/>
      </c>
      <c r="Q140" s="124"/>
      <c r="R140" s="36" t="str">
        <f t="shared" si="65"/>
        <v/>
      </c>
      <c r="S140" s="37" t="str">
        <f t="shared" si="55"/>
        <v/>
      </c>
      <c r="T140" s="38" t="str">
        <f t="shared" si="56"/>
        <v/>
      </c>
      <c r="U140" s="39" t="str">
        <f t="shared" si="57"/>
        <v/>
      </c>
      <c r="V140" s="40" t="str">
        <f t="shared" si="58"/>
        <v/>
      </c>
      <c r="W140" s="39" t="str">
        <f t="shared" si="59"/>
        <v/>
      </c>
      <c r="X140" s="34" t="str">
        <f t="shared" si="60"/>
        <v/>
      </c>
      <c r="Y140" s="41" t="str">
        <f t="shared" si="66"/>
        <v/>
      </c>
      <c r="Z140" s="98" t="str">
        <f t="shared" si="61"/>
        <v/>
      </c>
      <c r="AA140" s="81" t="str">
        <f t="shared" si="67"/>
        <v/>
      </c>
      <c r="AC140" s="139"/>
      <c r="AD140" s="110" t="str">
        <f t="shared" si="68"/>
        <v/>
      </c>
      <c r="AE140" s="111" t="str">
        <f t="shared" si="69"/>
        <v/>
      </c>
      <c r="AF140" s="111" t="str">
        <f t="shared" si="62"/>
        <v/>
      </c>
      <c r="AG140" s="111" t="str">
        <f t="shared" si="70"/>
        <v/>
      </c>
      <c r="AH140" s="111" t="str">
        <f t="shared" si="71"/>
        <v/>
      </c>
      <c r="AI140" s="112" t="str">
        <f t="shared" si="72"/>
        <v/>
      </c>
      <c r="AJ140" t="str">
        <f t="shared" si="73"/>
        <v/>
      </c>
      <c r="AK140" t="str">
        <f t="shared" si="74"/>
        <v/>
      </c>
    </row>
    <row r="141" spans="1:37" ht="15" customHeight="1" x14ac:dyDescent="0.25">
      <c r="A141" s="114"/>
      <c r="B141" s="116"/>
      <c r="C141" s="116"/>
      <c r="D141" s="42" t="str">
        <f t="shared" si="50"/>
        <v/>
      </c>
      <c r="E141" s="43"/>
      <c r="F141" s="83"/>
      <c r="G141" s="118"/>
      <c r="H141" s="34" t="str">
        <f t="shared" si="51"/>
        <v/>
      </c>
      <c r="I141" s="88" t="str">
        <f t="shared" si="52"/>
        <v/>
      </c>
      <c r="J141" s="44" t="str">
        <f t="shared" si="53"/>
        <v/>
      </c>
      <c r="K141" s="118"/>
      <c r="L141" s="34" t="str">
        <f t="shared" si="54"/>
        <v/>
      </c>
      <c r="M141" s="118"/>
      <c r="N141" s="121"/>
      <c r="O141" s="122" t="str">
        <f t="shared" si="63"/>
        <v/>
      </c>
      <c r="P141" s="35" t="str">
        <f t="shared" si="64"/>
        <v/>
      </c>
      <c r="Q141" s="124"/>
      <c r="R141" s="36" t="str">
        <f t="shared" si="65"/>
        <v/>
      </c>
      <c r="S141" s="37" t="str">
        <f t="shared" si="55"/>
        <v/>
      </c>
      <c r="T141" s="38" t="str">
        <f t="shared" si="56"/>
        <v/>
      </c>
      <c r="U141" s="39" t="str">
        <f t="shared" si="57"/>
        <v/>
      </c>
      <c r="V141" s="40" t="str">
        <f t="shared" si="58"/>
        <v/>
      </c>
      <c r="W141" s="39" t="str">
        <f t="shared" si="59"/>
        <v/>
      </c>
      <c r="X141" s="34" t="str">
        <f t="shared" si="60"/>
        <v/>
      </c>
      <c r="Y141" s="41" t="str">
        <f t="shared" si="66"/>
        <v/>
      </c>
      <c r="Z141" s="98" t="str">
        <f t="shared" si="61"/>
        <v/>
      </c>
      <c r="AA141" s="81" t="str">
        <f t="shared" si="67"/>
        <v/>
      </c>
      <c r="AC141" s="139"/>
      <c r="AD141" s="110" t="str">
        <f t="shared" si="68"/>
        <v/>
      </c>
      <c r="AE141" s="111" t="str">
        <f t="shared" si="69"/>
        <v/>
      </c>
      <c r="AF141" s="111" t="str">
        <f t="shared" si="62"/>
        <v/>
      </c>
      <c r="AG141" s="111" t="str">
        <f t="shared" si="70"/>
        <v/>
      </c>
      <c r="AH141" s="111" t="str">
        <f t="shared" si="71"/>
        <v/>
      </c>
      <c r="AI141" s="112" t="str">
        <f t="shared" si="72"/>
        <v/>
      </c>
      <c r="AJ141" t="str">
        <f t="shared" si="73"/>
        <v/>
      </c>
      <c r="AK141" t="str">
        <f t="shared" si="74"/>
        <v/>
      </c>
    </row>
    <row r="142" spans="1:37" ht="15" customHeight="1" x14ac:dyDescent="0.25">
      <c r="A142" s="114"/>
      <c r="B142" s="116"/>
      <c r="C142" s="116"/>
      <c r="D142" s="42" t="str">
        <f t="shared" si="50"/>
        <v/>
      </c>
      <c r="E142" s="43"/>
      <c r="F142" s="83"/>
      <c r="G142" s="118"/>
      <c r="H142" s="34" t="str">
        <f t="shared" si="51"/>
        <v/>
      </c>
      <c r="I142" s="88" t="str">
        <f t="shared" si="52"/>
        <v/>
      </c>
      <c r="J142" s="44" t="str">
        <f t="shared" si="53"/>
        <v/>
      </c>
      <c r="K142" s="118"/>
      <c r="L142" s="34" t="str">
        <f t="shared" si="54"/>
        <v/>
      </c>
      <c r="M142" s="118"/>
      <c r="N142" s="121"/>
      <c r="O142" s="122" t="str">
        <f t="shared" si="63"/>
        <v/>
      </c>
      <c r="P142" s="35" t="str">
        <f t="shared" si="64"/>
        <v/>
      </c>
      <c r="Q142" s="124"/>
      <c r="R142" s="36" t="str">
        <f t="shared" si="65"/>
        <v/>
      </c>
      <c r="S142" s="37" t="str">
        <f t="shared" si="55"/>
        <v/>
      </c>
      <c r="T142" s="38" t="str">
        <f t="shared" si="56"/>
        <v/>
      </c>
      <c r="U142" s="39" t="str">
        <f t="shared" si="57"/>
        <v/>
      </c>
      <c r="V142" s="40" t="str">
        <f t="shared" si="58"/>
        <v/>
      </c>
      <c r="W142" s="39" t="str">
        <f t="shared" si="59"/>
        <v/>
      </c>
      <c r="X142" s="34" t="str">
        <f t="shared" si="60"/>
        <v/>
      </c>
      <c r="Y142" s="41" t="str">
        <f t="shared" si="66"/>
        <v/>
      </c>
      <c r="Z142" s="98" t="str">
        <f t="shared" si="61"/>
        <v/>
      </c>
      <c r="AA142" s="81" t="str">
        <f t="shared" si="67"/>
        <v/>
      </c>
      <c r="AC142" s="139"/>
      <c r="AD142" s="110" t="str">
        <f t="shared" si="68"/>
        <v/>
      </c>
      <c r="AE142" s="111" t="str">
        <f t="shared" si="69"/>
        <v/>
      </c>
      <c r="AF142" s="111" t="str">
        <f t="shared" si="62"/>
        <v/>
      </c>
      <c r="AG142" s="111" t="str">
        <f t="shared" si="70"/>
        <v/>
      </c>
      <c r="AH142" s="111" t="str">
        <f t="shared" si="71"/>
        <v/>
      </c>
      <c r="AI142" s="112" t="str">
        <f t="shared" si="72"/>
        <v/>
      </c>
      <c r="AJ142" t="str">
        <f t="shared" si="73"/>
        <v/>
      </c>
      <c r="AK142" t="str">
        <f t="shared" si="74"/>
        <v/>
      </c>
    </row>
    <row r="143" spans="1:37" ht="15" customHeight="1" x14ac:dyDescent="0.25">
      <c r="A143" s="114"/>
      <c r="B143" s="116"/>
      <c r="C143" s="116"/>
      <c r="D143" s="42" t="str">
        <f t="shared" si="50"/>
        <v/>
      </c>
      <c r="E143" s="43"/>
      <c r="F143" s="83"/>
      <c r="G143" s="118"/>
      <c r="H143" s="34" t="str">
        <f t="shared" si="51"/>
        <v/>
      </c>
      <c r="I143" s="88" t="str">
        <f t="shared" si="52"/>
        <v/>
      </c>
      <c r="J143" s="44" t="str">
        <f t="shared" si="53"/>
        <v/>
      </c>
      <c r="K143" s="118"/>
      <c r="L143" s="34" t="str">
        <f t="shared" si="54"/>
        <v/>
      </c>
      <c r="M143" s="118"/>
      <c r="N143" s="121"/>
      <c r="O143" s="122" t="str">
        <f t="shared" si="63"/>
        <v/>
      </c>
      <c r="P143" s="35" t="str">
        <f t="shared" si="64"/>
        <v/>
      </c>
      <c r="Q143" s="124"/>
      <c r="R143" s="36" t="str">
        <f t="shared" si="65"/>
        <v/>
      </c>
      <c r="S143" s="37" t="str">
        <f t="shared" si="55"/>
        <v/>
      </c>
      <c r="T143" s="38" t="str">
        <f t="shared" si="56"/>
        <v/>
      </c>
      <c r="U143" s="39" t="str">
        <f t="shared" si="57"/>
        <v/>
      </c>
      <c r="V143" s="40" t="str">
        <f t="shared" si="58"/>
        <v/>
      </c>
      <c r="W143" s="39" t="str">
        <f t="shared" si="59"/>
        <v/>
      </c>
      <c r="X143" s="34" t="str">
        <f t="shared" si="60"/>
        <v/>
      </c>
      <c r="Y143" s="41" t="str">
        <f t="shared" si="66"/>
        <v/>
      </c>
      <c r="Z143" s="98" t="str">
        <f t="shared" si="61"/>
        <v/>
      </c>
      <c r="AA143" s="81" t="str">
        <f t="shared" si="67"/>
        <v/>
      </c>
      <c r="AC143" s="139"/>
      <c r="AD143" s="110" t="str">
        <f t="shared" si="68"/>
        <v/>
      </c>
      <c r="AE143" s="111" t="str">
        <f t="shared" si="69"/>
        <v/>
      </c>
      <c r="AF143" s="111" t="str">
        <f t="shared" si="62"/>
        <v/>
      </c>
      <c r="AG143" s="111" t="str">
        <f t="shared" si="70"/>
        <v/>
      </c>
      <c r="AH143" s="111" t="str">
        <f t="shared" si="71"/>
        <v/>
      </c>
      <c r="AI143" s="112" t="str">
        <f t="shared" si="72"/>
        <v/>
      </c>
      <c r="AJ143" t="str">
        <f t="shared" si="73"/>
        <v/>
      </c>
      <c r="AK143" t="str">
        <f t="shared" si="74"/>
        <v/>
      </c>
    </row>
    <row r="144" spans="1:37" ht="15" customHeight="1" x14ac:dyDescent="0.25">
      <c r="A144" s="114"/>
      <c r="B144" s="116"/>
      <c r="C144" s="116"/>
      <c r="D144" s="42" t="str">
        <f t="shared" si="50"/>
        <v/>
      </c>
      <c r="E144" s="43"/>
      <c r="F144" s="83"/>
      <c r="G144" s="118"/>
      <c r="H144" s="34" t="str">
        <f t="shared" si="51"/>
        <v/>
      </c>
      <c r="I144" s="88" t="str">
        <f t="shared" si="52"/>
        <v/>
      </c>
      <c r="J144" s="44" t="str">
        <f t="shared" si="53"/>
        <v/>
      </c>
      <c r="K144" s="118"/>
      <c r="L144" s="34" t="str">
        <f t="shared" si="54"/>
        <v/>
      </c>
      <c r="M144" s="118"/>
      <c r="N144" s="121"/>
      <c r="O144" s="122" t="str">
        <f t="shared" si="63"/>
        <v/>
      </c>
      <c r="P144" s="35" t="str">
        <f t="shared" si="64"/>
        <v/>
      </c>
      <c r="Q144" s="124"/>
      <c r="R144" s="36" t="str">
        <f t="shared" si="65"/>
        <v/>
      </c>
      <c r="S144" s="37" t="str">
        <f t="shared" si="55"/>
        <v/>
      </c>
      <c r="T144" s="38" t="str">
        <f t="shared" si="56"/>
        <v/>
      </c>
      <c r="U144" s="39" t="str">
        <f t="shared" si="57"/>
        <v/>
      </c>
      <c r="V144" s="40" t="str">
        <f t="shared" si="58"/>
        <v/>
      </c>
      <c r="W144" s="39" t="str">
        <f t="shared" si="59"/>
        <v/>
      </c>
      <c r="X144" s="34" t="str">
        <f t="shared" si="60"/>
        <v/>
      </c>
      <c r="Y144" s="41" t="str">
        <f t="shared" si="66"/>
        <v/>
      </c>
      <c r="Z144" s="98" t="str">
        <f t="shared" si="61"/>
        <v/>
      </c>
      <c r="AA144" s="81" t="str">
        <f t="shared" si="67"/>
        <v/>
      </c>
      <c r="AC144" s="139"/>
      <c r="AD144" s="110" t="str">
        <f t="shared" si="68"/>
        <v/>
      </c>
      <c r="AE144" s="111" t="str">
        <f t="shared" si="69"/>
        <v/>
      </c>
      <c r="AF144" s="111" t="str">
        <f t="shared" si="62"/>
        <v/>
      </c>
      <c r="AG144" s="111" t="str">
        <f t="shared" si="70"/>
        <v/>
      </c>
      <c r="AH144" s="111" t="str">
        <f t="shared" si="71"/>
        <v/>
      </c>
      <c r="AI144" s="112" t="str">
        <f t="shared" si="72"/>
        <v/>
      </c>
      <c r="AJ144" t="str">
        <f t="shared" si="73"/>
        <v/>
      </c>
      <c r="AK144" t="str">
        <f t="shared" si="74"/>
        <v/>
      </c>
    </row>
    <row r="145" spans="1:37" ht="15" customHeight="1" x14ac:dyDescent="0.25">
      <c r="A145" s="114"/>
      <c r="B145" s="116"/>
      <c r="C145" s="116"/>
      <c r="D145" s="42" t="str">
        <f t="shared" si="50"/>
        <v/>
      </c>
      <c r="E145" s="43"/>
      <c r="F145" s="83"/>
      <c r="G145" s="118"/>
      <c r="H145" s="34" t="str">
        <f t="shared" si="51"/>
        <v/>
      </c>
      <c r="I145" s="88" t="str">
        <f t="shared" si="52"/>
        <v/>
      </c>
      <c r="J145" s="44" t="str">
        <f t="shared" si="53"/>
        <v/>
      </c>
      <c r="K145" s="118"/>
      <c r="L145" s="34" t="str">
        <f t="shared" si="54"/>
        <v/>
      </c>
      <c r="M145" s="118"/>
      <c r="N145" s="121"/>
      <c r="O145" s="122" t="str">
        <f t="shared" si="63"/>
        <v/>
      </c>
      <c r="P145" s="35" t="str">
        <f t="shared" si="64"/>
        <v/>
      </c>
      <c r="Q145" s="124"/>
      <c r="R145" s="36" t="str">
        <f t="shared" si="65"/>
        <v/>
      </c>
      <c r="S145" s="37" t="str">
        <f t="shared" si="55"/>
        <v/>
      </c>
      <c r="T145" s="38" t="str">
        <f t="shared" si="56"/>
        <v/>
      </c>
      <c r="U145" s="39" t="str">
        <f t="shared" si="57"/>
        <v/>
      </c>
      <c r="V145" s="40" t="str">
        <f t="shared" si="58"/>
        <v/>
      </c>
      <c r="W145" s="39" t="str">
        <f t="shared" si="59"/>
        <v/>
      </c>
      <c r="X145" s="34" t="str">
        <f t="shared" si="60"/>
        <v/>
      </c>
      <c r="Y145" s="41" t="str">
        <f t="shared" si="66"/>
        <v/>
      </c>
      <c r="Z145" s="98" t="str">
        <f t="shared" si="61"/>
        <v/>
      </c>
      <c r="AA145" s="81" t="str">
        <f t="shared" si="67"/>
        <v/>
      </c>
      <c r="AC145" s="139"/>
      <c r="AD145" s="110" t="str">
        <f t="shared" si="68"/>
        <v/>
      </c>
      <c r="AE145" s="111" t="str">
        <f t="shared" si="69"/>
        <v/>
      </c>
      <c r="AF145" s="111" t="str">
        <f t="shared" si="62"/>
        <v/>
      </c>
      <c r="AG145" s="111" t="str">
        <f t="shared" si="70"/>
        <v/>
      </c>
      <c r="AH145" s="111" t="str">
        <f t="shared" si="71"/>
        <v/>
      </c>
      <c r="AI145" s="112" t="str">
        <f t="shared" si="72"/>
        <v/>
      </c>
      <c r="AJ145" t="str">
        <f t="shared" si="73"/>
        <v/>
      </c>
      <c r="AK145" t="str">
        <f t="shared" si="74"/>
        <v/>
      </c>
    </row>
    <row r="146" spans="1:37" ht="15" customHeight="1" x14ac:dyDescent="0.25">
      <c r="A146" s="114"/>
      <c r="B146" s="116"/>
      <c r="C146" s="116"/>
      <c r="D146" s="42" t="str">
        <f t="shared" si="50"/>
        <v/>
      </c>
      <c r="E146" s="43"/>
      <c r="F146" s="83"/>
      <c r="G146" s="118"/>
      <c r="H146" s="34" t="str">
        <f t="shared" si="51"/>
        <v/>
      </c>
      <c r="I146" s="88" t="str">
        <f t="shared" si="52"/>
        <v/>
      </c>
      <c r="J146" s="44" t="str">
        <f t="shared" si="53"/>
        <v/>
      </c>
      <c r="K146" s="118"/>
      <c r="L146" s="34" t="str">
        <f t="shared" si="54"/>
        <v/>
      </c>
      <c r="M146" s="118"/>
      <c r="N146" s="121"/>
      <c r="O146" s="122" t="str">
        <f t="shared" si="63"/>
        <v/>
      </c>
      <c r="P146" s="35" t="str">
        <f t="shared" si="64"/>
        <v/>
      </c>
      <c r="Q146" s="124"/>
      <c r="R146" s="36" t="str">
        <f t="shared" si="65"/>
        <v/>
      </c>
      <c r="S146" s="37" t="str">
        <f t="shared" si="55"/>
        <v/>
      </c>
      <c r="T146" s="38" t="str">
        <f t="shared" si="56"/>
        <v/>
      </c>
      <c r="U146" s="39" t="str">
        <f t="shared" si="57"/>
        <v/>
      </c>
      <c r="V146" s="40" t="str">
        <f t="shared" si="58"/>
        <v/>
      </c>
      <c r="W146" s="39" t="str">
        <f t="shared" si="59"/>
        <v/>
      </c>
      <c r="X146" s="34" t="str">
        <f t="shared" si="60"/>
        <v/>
      </c>
      <c r="Y146" s="41" t="str">
        <f t="shared" si="66"/>
        <v/>
      </c>
      <c r="Z146" s="98" t="str">
        <f t="shared" si="61"/>
        <v/>
      </c>
      <c r="AA146" s="81" t="str">
        <f t="shared" si="67"/>
        <v/>
      </c>
      <c r="AC146" s="139"/>
      <c r="AD146" s="110" t="str">
        <f t="shared" si="68"/>
        <v/>
      </c>
      <c r="AE146" s="111" t="str">
        <f t="shared" si="69"/>
        <v/>
      </c>
      <c r="AF146" s="111" t="str">
        <f t="shared" si="62"/>
        <v/>
      </c>
      <c r="AG146" s="111" t="str">
        <f t="shared" si="70"/>
        <v/>
      </c>
      <c r="AH146" s="111" t="str">
        <f t="shared" si="71"/>
        <v/>
      </c>
      <c r="AI146" s="112" t="str">
        <f t="shared" si="72"/>
        <v/>
      </c>
      <c r="AJ146" t="str">
        <f t="shared" si="73"/>
        <v/>
      </c>
      <c r="AK146" t="str">
        <f t="shared" si="74"/>
        <v/>
      </c>
    </row>
    <row r="147" spans="1:37" ht="15" customHeight="1" x14ac:dyDescent="0.25">
      <c r="A147" s="114"/>
      <c r="B147" s="116"/>
      <c r="C147" s="116"/>
      <c r="D147" s="42" t="str">
        <f t="shared" si="50"/>
        <v/>
      </c>
      <c r="E147" s="43"/>
      <c r="F147" s="83"/>
      <c r="G147" s="118"/>
      <c r="H147" s="34" t="str">
        <f t="shared" si="51"/>
        <v/>
      </c>
      <c r="I147" s="88" t="str">
        <f t="shared" si="52"/>
        <v/>
      </c>
      <c r="J147" s="44" t="str">
        <f t="shared" si="53"/>
        <v/>
      </c>
      <c r="K147" s="118"/>
      <c r="L147" s="34" t="str">
        <f t="shared" si="54"/>
        <v/>
      </c>
      <c r="M147" s="118"/>
      <c r="N147" s="121"/>
      <c r="O147" s="122" t="str">
        <f t="shared" si="63"/>
        <v/>
      </c>
      <c r="P147" s="35" t="str">
        <f t="shared" si="64"/>
        <v/>
      </c>
      <c r="Q147" s="124"/>
      <c r="R147" s="36" t="str">
        <f t="shared" si="65"/>
        <v/>
      </c>
      <c r="S147" s="37" t="str">
        <f t="shared" si="55"/>
        <v/>
      </c>
      <c r="T147" s="38" t="str">
        <f t="shared" si="56"/>
        <v/>
      </c>
      <c r="U147" s="39" t="str">
        <f t="shared" si="57"/>
        <v/>
      </c>
      <c r="V147" s="40" t="str">
        <f t="shared" si="58"/>
        <v/>
      </c>
      <c r="W147" s="39" t="str">
        <f t="shared" si="59"/>
        <v/>
      </c>
      <c r="X147" s="34" t="str">
        <f t="shared" si="60"/>
        <v/>
      </c>
      <c r="Y147" s="41" t="str">
        <f t="shared" si="66"/>
        <v/>
      </c>
      <c r="Z147" s="98" t="str">
        <f t="shared" si="61"/>
        <v/>
      </c>
      <c r="AA147" s="81" t="str">
        <f t="shared" si="67"/>
        <v/>
      </c>
      <c r="AC147" s="139"/>
      <c r="AD147" s="110" t="str">
        <f t="shared" si="68"/>
        <v/>
      </c>
      <c r="AE147" s="111" t="str">
        <f t="shared" si="69"/>
        <v/>
      </c>
      <c r="AF147" s="111" t="str">
        <f t="shared" si="62"/>
        <v/>
      </c>
      <c r="AG147" s="111" t="str">
        <f t="shared" si="70"/>
        <v/>
      </c>
      <c r="AH147" s="111" t="str">
        <f t="shared" si="71"/>
        <v/>
      </c>
      <c r="AI147" s="112" t="str">
        <f t="shared" si="72"/>
        <v/>
      </c>
      <c r="AJ147" t="str">
        <f t="shared" si="73"/>
        <v/>
      </c>
      <c r="AK147" t="str">
        <f t="shared" si="74"/>
        <v/>
      </c>
    </row>
    <row r="148" spans="1:37" ht="15" customHeight="1" x14ac:dyDescent="0.25">
      <c r="A148" s="114"/>
      <c r="B148" s="116"/>
      <c r="C148" s="116"/>
      <c r="D148" s="42" t="str">
        <f t="shared" si="50"/>
        <v/>
      </c>
      <c r="E148" s="43"/>
      <c r="F148" s="83"/>
      <c r="G148" s="118"/>
      <c r="H148" s="34" t="str">
        <f t="shared" si="51"/>
        <v/>
      </c>
      <c r="I148" s="88" t="str">
        <f t="shared" si="52"/>
        <v/>
      </c>
      <c r="J148" s="44" t="str">
        <f t="shared" si="53"/>
        <v/>
      </c>
      <c r="K148" s="118"/>
      <c r="L148" s="34" t="str">
        <f t="shared" si="54"/>
        <v/>
      </c>
      <c r="M148" s="118"/>
      <c r="N148" s="121"/>
      <c r="O148" s="122" t="str">
        <f t="shared" si="63"/>
        <v/>
      </c>
      <c r="P148" s="35" t="str">
        <f t="shared" si="64"/>
        <v/>
      </c>
      <c r="Q148" s="124"/>
      <c r="R148" s="36" t="str">
        <f t="shared" si="65"/>
        <v/>
      </c>
      <c r="S148" s="37" t="str">
        <f t="shared" si="55"/>
        <v/>
      </c>
      <c r="T148" s="38" t="str">
        <f t="shared" si="56"/>
        <v/>
      </c>
      <c r="U148" s="39" t="str">
        <f t="shared" si="57"/>
        <v/>
      </c>
      <c r="V148" s="40" t="str">
        <f t="shared" si="58"/>
        <v/>
      </c>
      <c r="W148" s="39" t="str">
        <f t="shared" si="59"/>
        <v/>
      </c>
      <c r="X148" s="34" t="str">
        <f t="shared" si="60"/>
        <v/>
      </c>
      <c r="Y148" s="41" t="str">
        <f t="shared" si="66"/>
        <v/>
      </c>
      <c r="Z148" s="98" t="str">
        <f t="shared" si="61"/>
        <v/>
      </c>
      <c r="AA148" s="81" t="str">
        <f t="shared" si="67"/>
        <v/>
      </c>
      <c r="AC148" s="139"/>
      <c r="AD148" s="110" t="str">
        <f t="shared" si="68"/>
        <v/>
      </c>
      <c r="AE148" s="111" t="str">
        <f t="shared" si="69"/>
        <v/>
      </c>
      <c r="AF148" s="111" t="str">
        <f t="shared" si="62"/>
        <v/>
      </c>
      <c r="AG148" s="111" t="str">
        <f t="shared" si="70"/>
        <v/>
      </c>
      <c r="AH148" s="111" t="str">
        <f t="shared" si="71"/>
        <v/>
      </c>
      <c r="AI148" s="112" t="str">
        <f t="shared" si="72"/>
        <v/>
      </c>
      <c r="AJ148" t="str">
        <f t="shared" si="73"/>
        <v/>
      </c>
      <c r="AK148" t="str">
        <f t="shared" si="74"/>
        <v/>
      </c>
    </row>
    <row r="149" spans="1:37" ht="15" customHeight="1" x14ac:dyDescent="0.25">
      <c r="A149" s="114"/>
      <c r="B149" s="116"/>
      <c r="C149" s="116"/>
      <c r="D149" s="42" t="str">
        <f t="shared" si="50"/>
        <v/>
      </c>
      <c r="E149" s="43"/>
      <c r="F149" s="83"/>
      <c r="G149" s="118"/>
      <c r="H149" s="34" t="str">
        <f t="shared" si="51"/>
        <v/>
      </c>
      <c r="I149" s="88" t="str">
        <f t="shared" si="52"/>
        <v/>
      </c>
      <c r="J149" s="44" t="str">
        <f t="shared" si="53"/>
        <v/>
      </c>
      <c r="K149" s="118"/>
      <c r="L149" s="34" t="str">
        <f t="shared" si="54"/>
        <v/>
      </c>
      <c r="M149" s="118"/>
      <c r="N149" s="121"/>
      <c r="O149" s="122" t="str">
        <f t="shared" si="63"/>
        <v/>
      </c>
      <c r="P149" s="35" t="str">
        <f t="shared" si="64"/>
        <v/>
      </c>
      <c r="Q149" s="124"/>
      <c r="R149" s="36" t="str">
        <f t="shared" si="65"/>
        <v/>
      </c>
      <c r="S149" s="37" t="str">
        <f t="shared" si="55"/>
        <v/>
      </c>
      <c r="T149" s="38" t="str">
        <f t="shared" si="56"/>
        <v/>
      </c>
      <c r="U149" s="39" t="str">
        <f t="shared" si="57"/>
        <v/>
      </c>
      <c r="V149" s="40" t="str">
        <f t="shared" si="58"/>
        <v/>
      </c>
      <c r="W149" s="39" t="str">
        <f t="shared" si="59"/>
        <v/>
      </c>
      <c r="X149" s="34" t="str">
        <f t="shared" si="60"/>
        <v/>
      </c>
      <c r="Y149" s="41" t="str">
        <f t="shared" si="66"/>
        <v/>
      </c>
      <c r="Z149" s="98" t="str">
        <f t="shared" si="61"/>
        <v/>
      </c>
      <c r="AA149" s="81" t="str">
        <f t="shared" si="67"/>
        <v/>
      </c>
      <c r="AC149" s="139"/>
      <c r="AD149" s="110" t="str">
        <f t="shared" si="68"/>
        <v/>
      </c>
      <c r="AE149" s="111" t="str">
        <f t="shared" si="69"/>
        <v/>
      </c>
      <c r="AF149" s="111" t="str">
        <f t="shared" si="62"/>
        <v/>
      </c>
      <c r="AG149" s="111" t="str">
        <f t="shared" si="70"/>
        <v/>
      </c>
      <c r="AH149" s="111" t="str">
        <f t="shared" si="71"/>
        <v/>
      </c>
      <c r="AI149" s="112" t="str">
        <f t="shared" si="72"/>
        <v/>
      </c>
      <c r="AJ149" t="str">
        <f t="shared" si="73"/>
        <v/>
      </c>
      <c r="AK149" t="str">
        <f t="shared" si="74"/>
        <v/>
      </c>
    </row>
    <row r="150" spans="1:37" ht="15" customHeight="1" x14ac:dyDescent="0.25">
      <c r="A150" s="114"/>
      <c r="B150" s="116"/>
      <c r="C150" s="116"/>
      <c r="D150" s="42" t="str">
        <f t="shared" si="50"/>
        <v/>
      </c>
      <c r="E150" s="43"/>
      <c r="F150" s="83"/>
      <c r="G150" s="118"/>
      <c r="H150" s="34" t="str">
        <f t="shared" si="51"/>
        <v/>
      </c>
      <c r="I150" s="88" t="str">
        <f t="shared" si="52"/>
        <v/>
      </c>
      <c r="J150" s="44" t="str">
        <f t="shared" si="53"/>
        <v/>
      </c>
      <c r="K150" s="118"/>
      <c r="L150" s="34" t="str">
        <f t="shared" si="54"/>
        <v/>
      </c>
      <c r="M150" s="118"/>
      <c r="N150" s="121"/>
      <c r="O150" s="122" t="str">
        <f t="shared" si="63"/>
        <v/>
      </c>
      <c r="P150" s="35" t="str">
        <f t="shared" si="64"/>
        <v/>
      </c>
      <c r="Q150" s="124"/>
      <c r="R150" s="36" t="str">
        <f t="shared" si="65"/>
        <v/>
      </c>
      <c r="S150" s="37" t="str">
        <f t="shared" si="55"/>
        <v/>
      </c>
      <c r="T150" s="38" t="str">
        <f t="shared" si="56"/>
        <v/>
      </c>
      <c r="U150" s="39" t="str">
        <f t="shared" si="57"/>
        <v/>
      </c>
      <c r="V150" s="40" t="str">
        <f t="shared" si="58"/>
        <v/>
      </c>
      <c r="W150" s="39" t="str">
        <f t="shared" si="59"/>
        <v/>
      </c>
      <c r="X150" s="34" t="str">
        <f t="shared" si="60"/>
        <v/>
      </c>
      <c r="Y150" s="41" t="str">
        <f t="shared" si="66"/>
        <v/>
      </c>
      <c r="Z150" s="98" t="str">
        <f t="shared" si="61"/>
        <v/>
      </c>
      <c r="AA150" s="81" t="str">
        <f t="shared" si="67"/>
        <v/>
      </c>
      <c r="AC150" s="139"/>
      <c r="AD150" s="110" t="str">
        <f t="shared" si="68"/>
        <v/>
      </c>
      <c r="AE150" s="111" t="str">
        <f t="shared" si="69"/>
        <v/>
      </c>
      <c r="AF150" s="111" t="str">
        <f t="shared" si="62"/>
        <v/>
      </c>
      <c r="AG150" s="111" t="str">
        <f t="shared" si="70"/>
        <v/>
      </c>
      <c r="AH150" s="111" t="str">
        <f t="shared" si="71"/>
        <v/>
      </c>
      <c r="AI150" s="112" t="str">
        <f t="shared" si="72"/>
        <v/>
      </c>
      <c r="AJ150" t="str">
        <f t="shared" si="73"/>
        <v/>
      </c>
      <c r="AK150" t="str">
        <f t="shared" si="74"/>
        <v/>
      </c>
    </row>
    <row r="151" spans="1:37" ht="15" customHeight="1" x14ac:dyDescent="0.25">
      <c r="A151" s="114"/>
      <c r="B151" s="116"/>
      <c r="C151" s="116"/>
      <c r="D151" s="42" t="str">
        <f t="shared" si="50"/>
        <v/>
      </c>
      <c r="E151" s="43"/>
      <c r="F151" s="83"/>
      <c r="G151" s="118"/>
      <c r="H151" s="34" t="str">
        <f t="shared" si="51"/>
        <v/>
      </c>
      <c r="I151" s="88" t="str">
        <f t="shared" si="52"/>
        <v/>
      </c>
      <c r="J151" s="44" t="str">
        <f t="shared" si="53"/>
        <v/>
      </c>
      <c r="K151" s="118"/>
      <c r="L151" s="34" t="str">
        <f t="shared" si="54"/>
        <v/>
      </c>
      <c r="M151" s="118"/>
      <c r="N151" s="121"/>
      <c r="O151" s="122" t="str">
        <f t="shared" si="63"/>
        <v/>
      </c>
      <c r="P151" s="35" t="str">
        <f t="shared" si="64"/>
        <v/>
      </c>
      <c r="Q151" s="124"/>
      <c r="R151" s="36" t="str">
        <f t="shared" si="65"/>
        <v/>
      </c>
      <c r="S151" s="37" t="str">
        <f t="shared" si="55"/>
        <v/>
      </c>
      <c r="T151" s="38" t="str">
        <f t="shared" si="56"/>
        <v/>
      </c>
      <c r="U151" s="39" t="str">
        <f t="shared" si="57"/>
        <v/>
      </c>
      <c r="V151" s="40" t="str">
        <f t="shared" si="58"/>
        <v/>
      </c>
      <c r="W151" s="39" t="str">
        <f t="shared" si="59"/>
        <v/>
      </c>
      <c r="X151" s="34" t="str">
        <f t="shared" si="60"/>
        <v/>
      </c>
      <c r="Y151" s="41" t="str">
        <f t="shared" si="66"/>
        <v/>
      </c>
      <c r="Z151" s="98" t="str">
        <f t="shared" si="61"/>
        <v/>
      </c>
      <c r="AA151" s="81" t="str">
        <f t="shared" si="67"/>
        <v/>
      </c>
      <c r="AC151" s="139"/>
      <c r="AD151" s="110" t="str">
        <f t="shared" si="68"/>
        <v/>
      </c>
      <c r="AE151" s="111" t="str">
        <f t="shared" si="69"/>
        <v/>
      </c>
      <c r="AF151" s="111" t="str">
        <f t="shared" si="62"/>
        <v/>
      </c>
      <c r="AG151" s="111" t="str">
        <f t="shared" si="70"/>
        <v/>
      </c>
      <c r="AH151" s="111" t="str">
        <f t="shared" si="71"/>
        <v/>
      </c>
      <c r="AI151" s="112" t="str">
        <f t="shared" si="72"/>
        <v/>
      </c>
      <c r="AJ151" t="str">
        <f t="shared" si="73"/>
        <v/>
      </c>
      <c r="AK151" t="str">
        <f t="shared" si="74"/>
        <v/>
      </c>
    </row>
    <row r="152" spans="1:37" ht="15" customHeight="1" x14ac:dyDescent="0.25">
      <c r="A152" s="114"/>
      <c r="B152" s="116"/>
      <c r="C152" s="116"/>
      <c r="D152" s="42" t="str">
        <f t="shared" si="50"/>
        <v/>
      </c>
      <c r="E152" s="43"/>
      <c r="F152" s="83"/>
      <c r="G152" s="118"/>
      <c r="H152" s="34" t="str">
        <f t="shared" si="51"/>
        <v/>
      </c>
      <c r="I152" s="88" t="str">
        <f t="shared" si="52"/>
        <v/>
      </c>
      <c r="J152" s="44" t="str">
        <f t="shared" si="53"/>
        <v/>
      </c>
      <c r="K152" s="118"/>
      <c r="L152" s="34" t="str">
        <f t="shared" si="54"/>
        <v/>
      </c>
      <c r="M152" s="118"/>
      <c r="N152" s="121"/>
      <c r="O152" s="122" t="str">
        <f t="shared" si="63"/>
        <v/>
      </c>
      <c r="P152" s="35" t="str">
        <f t="shared" si="64"/>
        <v/>
      </c>
      <c r="Q152" s="124"/>
      <c r="R152" s="36" t="str">
        <f t="shared" si="65"/>
        <v/>
      </c>
      <c r="S152" s="37" t="str">
        <f t="shared" si="55"/>
        <v/>
      </c>
      <c r="T152" s="38" t="str">
        <f t="shared" si="56"/>
        <v/>
      </c>
      <c r="U152" s="39" t="str">
        <f t="shared" si="57"/>
        <v/>
      </c>
      <c r="V152" s="40" t="str">
        <f t="shared" si="58"/>
        <v/>
      </c>
      <c r="W152" s="39" t="str">
        <f t="shared" si="59"/>
        <v/>
      </c>
      <c r="X152" s="34" t="str">
        <f t="shared" si="60"/>
        <v/>
      </c>
      <c r="Y152" s="41" t="str">
        <f t="shared" si="66"/>
        <v/>
      </c>
      <c r="Z152" s="98" t="str">
        <f t="shared" si="61"/>
        <v/>
      </c>
      <c r="AA152" s="81" t="str">
        <f t="shared" si="67"/>
        <v/>
      </c>
      <c r="AC152" s="139"/>
      <c r="AD152" s="110" t="str">
        <f t="shared" si="68"/>
        <v/>
      </c>
      <c r="AE152" s="111" t="str">
        <f t="shared" si="69"/>
        <v/>
      </c>
      <c r="AF152" s="111" t="str">
        <f t="shared" si="62"/>
        <v/>
      </c>
      <c r="AG152" s="111" t="str">
        <f t="shared" si="70"/>
        <v/>
      </c>
      <c r="AH152" s="111" t="str">
        <f t="shared" si="71"/>
        <v/>
      </c>
      <c r="AI152" s="112" t="str">
        <f t="shared" si="72"/>
        <v/>
      </c>
      <c r="AJ152" t="str">
        <f t="shared" si="73"/>
        <v/>
      </c>
      <c r="AK152" t="str">
        <f t="shared" si="74"/>
        <v/>
      </c>
    </row>
    <row r="153" spans="1:37" ht="15" customHeight="1" x14ac:dyDescent="0.25">
      <c r="A153" s="114"/>
      <c r="B153" s="116"/>
      <c r="C153" s="116"/>
      <c r="D153" s="42" t="str">
        <f t="shared" si="50"/>
        <v/>
      </c>
      <c r="E153" s="43"/>
      <c r="F153" s="83"/>
      <c r="G153" s="118"/>
      <c r="H153" s="34" t="str">
        <f t="shared" si="51"/>
        <v/>
      </c>
      <c r="I153" s="88" t="str">
        <f t="shared" si="52"/>
        <v/>
      </c>
      <c r="J153" s="44" t="str">
        <f t="shared" si="53"/>
        <v/>
      </c>
      <c r="K153" s="118"/>
      <c r="L153" s="34" t="str">
        <f t="shared" si="54"/>
        <v/>
      </c>
      <c r="M153" s="118"/>
      <c r="N153" s="121"/>
      <c r="O153" s="122" t="str">
        <f t="shared" si="63"/>
        <v/>
      </c>
      <c r="P153" s="35" t="str">
        <f t="shared" si="64"/>
        <v/>
      </c>
      <c r="Q153" s="124"/>
      <c r="R153" s="36" t="str">
        <f t="shared" si="65"/>
        <v/>
      </c>
      <c r="S153" s="37" t="str">
        <f t="shared" si="55"/>
        <v/>
      </c>
      <c r="T153" s="38" t="str">
        <f t="shared" si="56"/>
        <v/>
      </c>
      <c r="U153" s="39" t="str">
        <f t="shared" si="57"/>
        <v/>
      </c>
      <c r="V153" s="40" t="str">
        <f t="shared" si="58"/>
        <v/>
      </c>
      <c r="W153" s="39" t="str">
        <f t="shared" si="59"/>
        <v/>
      </c>
      <c r="X153" s="34" t="str">
        <f t="shared" si="60"/>
        <v/>
      </c>
      <c r="Y153" s="41" t="str">
        <f t="shared" si="66"/>
        <v/>
      </c>
      <c r="Z153" s="98" t="str">
        <f t="shared" si="61"/>
        <v/>
      </c>
      <c r="AA153" s="81" t="str">
        <f t="shared" si="67"/>
        <v/>
      </c>
      <c r="AC153" s="139"/>
      <c r="AD153" s="110" t="str">
        <f t="shared" si="68"/>
        <v/>
      </c>
      <c r="AE153" s="111" t="str">
        <f t="shared" si="69"/>
        <v/>
      </c>
      <c r="AF153" s="111" t="str">
        <f t="shared" si="62"/>
        <v/>
      </c>
      <c r="AG153" s="111" t="str">
        <f t="shared" si="70"/>
        <v/>
      </c>
      <c r="AH153" s="111" t="str">
        <f t="shared" si="71"/>
        <v/>
      </c>
      <c r="AI153" s="112" t="str">
        <f t="shared" si="72"/>
        <v/>
      </c>
      <c r="AJ153" t="str">
        <f t="shared" si="73"/>
        <v/>
      </c>
      <c r="AK153" t="str">
        <f t="shared" si="74"/>
        <v/>
      </c>
    </row>
    <row r="154" spans="1:37" ht="15" customHeight="1" x14ac:dyDescent="0.25">
      <c r="A154" s="114"/>
      <c r="B154" s="116"/>
      <c r="C154" s="116"/>
      <c r="D154" s="42" t="str">
        <f t="shared" si="50"/>
        <v/>
      </c>
      <c r="E154" s="43"/>
      <c r="F154" s="83"/>
      <c r="G154" s="118"/>
      <c r="H154" s="34" t="str">
        <f t="shared" si="51"/>
        <v/>
      </c>
      <c r="I154" s="88" t="str">
        <f t="shared" si="52"/>
        <v/>
      </c>
      <c r="J154" s="44" t="str">
        <f t="shared" si="53"/>
        <v/>
      </c>
      <c r="K154" s="118"/>
      <c r="L154" s="34" t="str">
        <f t="shared" si="54"/>
        <v/>
      </c>
      <c r="M154" s="118"/>
      <c r="N154" s="121"/>
      <c r="O154" s="122" t="str">
        <f t="shared" si="63"/>
        <v/>
      </c>
      <c r="P154" s="35" t="str">
        <f t="shared" si="64"/>
        <v/>
      </c>
      <c r="Q154" s="124"/>
      <c r="R154" s="36" t="str">
        <f t="shared" si="65"/>
        <v/>
      </c>
      <c r="S154" s="37" t="str">
        <f t="shared" si="55"/>
        <v/>
      </c>
      <c r="T154" s="38" t="str">
        <f t="shared" si="56"/>
        <v/>
      </c>
      <c r="U154" s="39" t="str">
        <f t="shared" si="57"/>
        <v/>
      </c>
      <c r="V154" s="40" t="str">
        <f t="shared" si="58"/>
        <v/>
      </c>
      <c r="W154" s="39" t="str">
        <f t="shared" si="59"/>
        <v/>
      </c>
      <c r="X154" s="34" t="str">
        <f t="shared" si="60"/>
        <v/>
      </c>
      <c r="Y154" s="41" t="str">
        <f t="shared" si="66"/>
        <v/>
      </c>
      <c r="Z154" s="98" t="str">
        <f t="shared" si="61"/>
        <v/>
      </c>
      <c r="AA154" s="81" t="str">
        <f t="shared" si="67"/>
        <v/>
      </c>
      <c r="AC154" s="139"/>
      <c r="AD154" s="110" t="str">
        <f t="shared" si="68"/>
        <v/>
      </c>
      <c r="AE154" s="111" t="str">
        <f t="shared" si="69"/>
        <v/>
      </c>
      <c r="AF154" s="111" t="str">
        <f t="shared" si="62"/>
        <v/>
      </c>
      <c r="AG154" s="111" t="str">
        <f t="shared" si="70"/>
        <v/>
      </c>
      <c r="AH154" s="111" t="str">
        <f t="shared" si="71"/>
        <v/>
      </c>
      <c r="AI154" s="112" t="str">
        <f t="shared" si="72"/>
        <v/>
      </c>
      <c r="AJ154" t="str">
        <f t="shared" si="73"/>
        <v/>
      </c>
      <c r="AK154" t="str">
        <f t="shared" si="74"/>
        <v/>
      </c>
    </row>
    <row r="155" spans="1:37" ht="15" customHeight="1" x14ac:dyDescent="0.25">
      <c r="A155" s="114"/>
      <c r="B155" s="116"/>
      <c r="C155" s="116"/>
      <c r="D155" s="42" t="str">
        <f t="shared" si="50"/>
        <v/>
      </c>
      <c r="E155" s="43"/>
      <c r="F155" s="83"/>
      <c r="G155" s="118"/>
      <c r="H155" s="34" t="str">
        <f t="shared" si="51"/>
        <v/>
      </c>
      <c r="I155" s="88" t="str">
        <f t="shared" si="52"/>
        <v/>
      </c>
      <c r="J155" s="44" t="str">
        <f t="shared" si="53"/>
        <v/>
      </c>
      <c r="K155" s="118"/>
      <c r="L155" s="34" t="str">
        <f t="shared" si="54"/>
        <v/>
      </c>
      <c r="M155" s="118"/>
      <c r="N155" s="121"/>
      <c r="O155" s="122" t="str">
        <f t="shared" si="63"/>
        <v/>
      </c>
      <c r="P155" s="35" t="str">
        <f t="shared" si="64"/>
        <v/>
      </c>
      <c r="Q155" s="124"/>
      <c r="R155" s="36" t="str">
        <f t="shared" si="65"/>
        <v/>
      </c>
      <c r="S155" s="37" t="str">
        <f t="shared" si="55"/>
        <v/>
      </c>
      <c r="T155" s="38" t="str">
        <f t="shared" si="56"/>
        <v/>
      </c>
      <c r="U155" s="39" t="str">
        <f t="shared" si="57"/>
        <v/>
      </c>
      <c r="V155" s="40" t="str">
        <f t="shared" si="58"/>
        <v/>
      </c>
      <c r="W155" s="39" t="str">
        <f t="shared" si="59"/>
        <v/>
      </c>
      <c r="X155" s="34" t="str">
        <f t="shared" si="60"/>
        <v/>
      </c>
      <c r="Y155" s="41" t="str">
        <f t="shared" si="66"/>
        <v/>
      </c>
      <c r="Z155" s="98" t="str">
        <f t="shared" si="61"/>
        <v/>
      </c>
      <c r="AA155" s="81" t="str">
        <f t="shared" si="67"/>
        <v/>
      </c>
      <c r="AC155" s="139"/>
      <c r="AD155" s="110" t="str">
        <f t="shared" si="68"/>
        <v/>
      </c>
      <c r="AE155" s="111" t="str">
        <f t="shared" si="69"/>
        <v/>
      </c>
      <c r="AF155" s="111" t="str">
        <f t="shared" si="62"/>
        <v/>
      </c>
      <c r="AG155" s="111" t="str">
        <f t="shared" si="70"/>
        <v/>
      </c>
      <c r="AH155" s="111" t="str">
        <f t="shared" si="71"/>
        <v/>
      </c>
      <c r="AI155" s="112" t="str">
        <f t="shared" si="72"/>
        <v/>
      </c>
      <c r="AJ155" t="str">
        <f t="shared" si="73"/>
        <v/>
      </c>
      <c r="AK155" t="str">
        <f t="shared" si="74"/>
        <v/>
      </c>
    </row>
    <row r="156" spans="1:37" ht="15" customHeight="1" x14ac:dyDescent="0.25">
      <c r="A156" s="114"/>
      <c r="B156" s="116"/>
      <c r="C156" s="116"/>
      <c r="D156" s="42" t="str">
        <f t="shared" si="50"/>
        <v/>
      </c>
      <c r="E156" s="43"/>
      <c r="F156" s="83"/>
      <c r="G156" s="118"/>
      <c r="H156" s="34" t="str">
        <f t="shared" si="51"/>
        <v/>
      </c>
      <c r="I156" s="88" t="str">
        <f t="shared" si="52"/>
        <v/>
      </c>
      <c r="J156" s="44" t="str">
        <f t="shared" si="53"/>
        <v/>
      </c>
      <c r="K156" s="118"/>
      <c r="L156" s="34" t="str">
        <f t="shared" si="54"/>
        <v/>
      </c>
      <c r="M156" s="118"/>
      <c r="N156" s="121"/>
      <c r="O156" s="122" t="str">
        <f t="shared" si="63"/>
        <v/>
      </c>
      <c r="P156" s="35" t="str">
        <f t="shared" si="64"/>
        <v/>
      </c>
      <c r="Q156" s="124"/>
      <c r="R156" s="36" t="str">
        <f t="shared" si="65"/>
        <v/>
      </c>
      <c r="S156" s="37" t="str">
        <f t="shared" si="55"/>
        <v/>
      </c>
      <c r="T156" s="38" t="str">
        <f t="shared" si="56"/>
        <v/>
      </c>
      <c r="U156" s="39" t="str">
        <f t="shared" si="57"/>
        <v/>
      </c>
      <c r="V156" s="40" t="str">
        <f t="shared" si="58"/>
        <v/>
      </c>
      <c r="W156" s="39" t="str">
        <f t="shared" si="59"/>
        <v/>
      </c>
      <c r="X156" s="34" t="str">
        <f t="shared" si="60"/>
        <v/>
      </c>
      <c r="Y156" s="41" t="str">
        <f t="shared" si="66"/>
        <v/>
      </c>
      <c r="Z156" s="98" t="str">
        <f t="shared" si="61"/>
        <v/>
      </c>
      <c r="AA156" s="81" t="str">
        <f t="shared" si="67"/>
        <v/>
      </c>
      <c r="AC156" s="139"/>
      <c r="AD156" s="110" t="str">
        <f t="shared" si="68"/>
        <v/>
      </c>
      <c r="AE156" s="111" t="str">
        <f t="shared" si="69"/>
        <v/>
      </c>
      <c r="AF156" s="111" t="str">
        <f t="shared" si="62"/>
        <v/>
      </c>
      <c r="AG156" s="111" t="str">
        <f t="shared" si="70"/>
        <v/>
      </c>
      <c r="AH156" s="111" t="str">
        <f t="shared" si="71"/>
        <v/>
      </c>
      <c r="AI156" s="112" t="str">
        <f t="shared" si="72"/>
        <v/>
      </c>
      <c r="AJ156" t="str">
        <f t="shared" si="73"/>
        <v/>
      </c>
      <c r="AK156" t="str">
        <f t="shared" si="74"/>
        <v/>
      </c>
    </row>
    <row r="157" spans="1:37" ht="15" customHeight="1" x14ac:dyDescent="0.25">
      <c r="A157" s="114"/>
      <c r="B157" s="116"/>
      <c r="C157" s="116"/>
      <c r="D157" s="42" t="str">
        <f t="shared" si="50"/>
        <v/>
      </c>
      <c r="E157" s="43"/>
      <c r="F157" s="83"/>
      <c r="G157" s="118"/>
      <c r="H157" s="34" t="str">
        <f t="shared" si="51"/>
        <v/>
      </c>
      <c r="I157" s="88" t="str">
        <f t="shared" si="52"/>
        <v/>
      </c>
      <c r="J157" s="44" t="str">
        <f t="shared" si="53"/>
        <v/>
      </c>
      <c r="K157" s="118"/>
      <c r="L157" s="34" t="str">
        <f t="shared" si="54"/>
        <v/>
      </c>
      <c r="M157" s="118"/>
      <c r="N157" s="121"/>
      <c r="O157" s="122" t="str">
        <f t="shared" si="63"/>
        <v/>
      </c>
      <c r="P157" s="35" t="str">
        <f t="shared" si="64"/>
        <v/>
      </c>
      <c r="Q157" s="124"/>
      <c r="R157" s="36" t="str">
        <f t="shared" si="65"/>
        <v/>
      </c>
      <c r="S157" s="37" t="str">
        <f t="shared" si="55"/>
        <v/>
      </c>
      <c r="T157" s="38" t="str">
        <f t="shared" si="56"/>
        <v/>
      </c>
      <c r="U157" s="39" t="str">
        <f t="shared" si="57"/>
        <v/>
      </c>
      <c r="V157" s="40" t="str">
        <f t="shared" si="58"/>
        <v/>
      </c>
      <c r="W157" s="39" t="str">
        <f t="shared" si="59"/>
        <v/>
      </c>
      <c r="X157" s="34" t="str">
        <f t="shared" si="60"/>
        <v/>
      </c>
      <c r="Y157" s="41" t="str">
        <f t="shared" si="66"/>
        <v/>
      </c>
      <c r="Z157" s="98" t="str">
        <f t="shared" si="61"/>
        <v/>
      </c>
      <c r="AA157" s="81" t="str">
        <f t="shared" si="67"/>
        <v/>
      </c>
      <c r="AC157" s="139"/>
      <c r="AD157" s="110" t="str">
        <f t="shared" si="68"/>
        <v/>
      </c>
      <c r="AE157" s="111" t="str">
        <f t="shared" si="69"/>
        <v/>
      </c>
      <c r="AF157" s="111" t="str">
        <f t="shared" si="62"/>
        <v/>
      </c>
      <c r="AG157" s="111" t="str">
        <f t="shared" si="70"/>
        <v/>
      </c>
      <c r="AH157" s="111" t="str">
        <f t="shared" si="71"/>
        <v/>
      </c>
      <c r="AI157" s="112" t="str">
        <f t="shared" si="72"/>
        <v/>
      </c>
      <c r="AJ157" t="str">
        <f t="shared" si="73"/>
        <v/>
      </c>
      <c r="AK157" t="str">
        <f t="shared" si="74"/>
        <v/>
      </c>
    </row>
    <row r="158" spans="1:37" ht="15" customHeight="1" x14ac:dyDescent="0.25">
      <c r="A158" s="114"/>
      <c r="B158" s="116"/>
      <c r="C158" s="116"/>
      <c r="D158" s="42" t="str">
        <f t="shared" si="50"/>
        <v/>
      </c>
      <c r="E158" s="43"/>
      <c r="F158" s="83"/>
      <c r="G158" s="118"/>
      <c r="H158" s="34" t="str">
        <f t="shared" si="51"/>
        <v/>
      </c>
      <c r="I158" s="88" t="str">
        <f t="shared" si="52"/>
        <v/>
      </c>
      <c r="J158" s="44" t="str">
        <f t="shared" si="53"/>
        <v/>
      </c>
      <c r="K158" s="118"/>
      <c r="L158" s="34" t="str">
        <f t="shared" si="54"/>
        <v/>
      </c>
      <c r="M158" s="118"/>
      <c r="N158" s="121"/>
      <c r="O158" s="122" t="str">
        <f t="shared" si="63"/>
        <v/>
      </c>
      <c r="P158" s="35" t="str">
        <f t="shared" si="64"/>
        <v/>
      </c>
      <c r="Q158" s="124"/>
      <c r="R158" s="36" t="str">
        <f t="shared" si="65"/>
        <v/>
      </c>
      <c r="S158" s="37" t="str">
        <f t="shared" si="55"/>
        <v/>
      </c>
      <c r="T158" s="38" t="str">
        <f t="shared" si="56"/>
        <v/>
      </c>
      <c r="U158" s="39" t="str">
        <f t="shared" si="57"/>
        <v/>
      </c>
      <c r="V158" s="40" t="str">
        <f t="shared" si="58"/>
        <v/>
      </c>
      <c r="W158" s="39" t="str">
        <f t="shared" si="59"/>
        <v/>
      </c>
      <c r="X158" s="34" t="str">
        <f t="shared" si="60"/>
        <v/>
      </c>
      <c r="Y158" s="41" t="str">
        <f t="shared" si="66"/>
        <v/>
      </c>
      <c r="Z158" s="98" t="str">
        <f t="shared" si="61"/>
        <v/>
      </c>
      <c r="AA158" s="81" t="str">
        <f t="shared" si="67"/>
        <v/>
      </c>
      <c r="AC158" s="139"/>
      <c r="AD158" s="110" t="str">
        <f t="shared" si="68"/>
        <v/>
      </c>
      <c r="AE158" s="111" t="str">
        <f t="shared" si="69"/>
        <v/>
      </c>
      <c r="AF158" s="111" t="str">
        <f t="shared" si="62"/>
        <v/>
      </c>
      <c r="AG158" s="111" t="str">
        <f t="shared" si="70"/>
        <v/>
      </c>
      <c r="AH158" s="111" t="str">
        <f t="shared" si="71"/>
        <v/>
      </c>
      <c r="AI158" s="112" t="str">
        <f t="shared" si="72"/>
        <v/>
      </c>
      <c r="AJ158" t="str">
        <f t="shared" si="73"/>
        <v/>
      </c>
      <c r="AK158" t="str">
        <f t="shared" si="74"/>
        <v/>
      </c>
    </row>
    <row r="159" spans="1:37" ht="15" customHeight="1" x14ac:dyDescent="0.25">
      <c r="A159" s="114"/>
      <c r="B159" s="116"/>
      <c r="C159" s="116"/>
      <c r="D159" s="42" t="str">
        <f t="shared" si="50"/>
        <v/>
      </c>
      <c r="E159" s="43"/>
      <c r="F159" s="83"/>
      <c r="G159" s="118"/>
      <c r="H159" s="34" t="str">
        <f t="shared" si="51"/>
        <v/>
      </c>
      <c r="I159" s="88" t="str">
        <f t="shared" si="52"/>
        <v/>
      </c>
      <c r="J159" s="44" t="str">
        <f t="shared" si="53"/>
        <v/>
      </c>
      <c r="K159" s="118"/>
      <c r="L159" s="34" t="str">
        <f t="shared" si="54"/>
        <v/>
      </c>
      <c r="M159" s="118"/>
      <c r="N159" s="121"/>
      <c r="O159" s="122" t="str">
        <f t="shared" si="63"/>
        <v/>
      </c>
      <c r="P159" s="35" t="str">
        <f t="shared" si="64"/>
        <v/>
      </c>
      <c r="Q159" s="124"/>
      <c r="R159" s="36" t="str">
        <f t="shared" si="65"/>
        <v/>
      </c>
      <c r="S159" s="37" t="str">
        <f t="shared" si="55"/>
        <v/>
      </c>
      <c r="T159" s="38" t="str">
        <f t="shared" si="56"/>
        <v/>
      </c>
      <c r="U159" s="39" t="str">
        <f t="shared" si="57"/>
        <v/>
      </c>
      <c r="V159" s="40" t="str">
        <f t="shared" si="58"/>
        <v/>
      </c>
      <c r="W159" s="39" t="str">
        <f t="shared" si="59"/>
        <v/>
      </c>
      <c r="X159" s="34" t="str">
        <f t="shared" si="60"/>
        <v/>
      </c>
      <c r="Y159" s="41" t="str">
        <f t="shared" si="66"/>
        <v/>
      </c>
      <c r="Z159" s="98" t="str">
        <f t="shared" si="61"/>
        <v/>
      </c>
      <c r="AA159" s="81" t="str">
        <f t="shared" si="67"/>
        <v/>
      </c>
      <c r="AC159" s="139"/>
      <c r="AD159" s="110" t="str">
        <f t="shared" si="68"/>
        <v/>
      </c>
      <c r="AE159" s="111" t="str">
        <f t="shared" si="69"/>
        <v/>
      </c>
      <c r="AF159" s="111" t="str">
        <f t="shared" si="62"/>
        <v/>
      </c>
      <c r="AG159" s="111" t="str">
        <f t="shared" si="70"/>
        <v/>
      </c>
      <c r="AH159" s="111" t="str">
        <f t="shared" si="71"/>
        <v/>
      </c>
      <c r="AI159" s="112" t="str">
        <f t="shared" si="72"/>
        <v/>
      </c>
      <c r="AJ159" t="str">
        <f t="shared" si="73"/>
        <v/>
      </c>
      <c r="AK159" t="str">
        <f t="shared" si="74"/>
        <v/>
      </c>
    </row>
    <row r="160" spans="1:37" ht="15" customHeight="1" x14ac:dyDescent="0.25">
      <c r="A160" s="114"/>
      <c r="B160" s="116"/>
      <c r="C160" s="116"/>
      <c r="D160" s="42" t="str">
        <f t="shared" si="50"/>
        <v/>
      </c>
      <c r="E160" s="43"/>
      <c r="F160" s="83"/>
      <c r="G160" s="118"/>
      <c r="H160" s="34" t="str">
        <f t="shared" si="51"/>
        <v/>
      </c>
      <c r="I160" s="88" t="str">
        <f t="shared" si="52"/>
        <v/>
      </c>
      <c r="J160" s="44" t="str">
        <f t="shared" si="53"/>
        <v/>
      </c>
      <c r="K160" s="118"/>
      <c r="L160" s="34" t="str">
        <f t="shared" si="54"/>
        <v/>
      </c>
      <c r="M160" s="118"/>
      <c r="N160" s="121"/>
      <c r="O160" s="122" t="str">
        <f t="shared" si="63"/>
        <v/>
      </c>
      <c r="P160" s="35" t="str">
        <f t="shared" si="64"/>
        <v/>
      </c>
      <c r="Q160" s="124"/>
      <c r="R160" s="36" t="str">
        <f t="shared" si="65"/>
        <v/>
      </c>
      <c r="S160" s="37" t="str">
        <f t="shared" si="55"/>
        <v/>
      </c>
      <c r="T160" s="38" t="str">
        <f t="shared" si="56"/>
        <v/>
      </c>
      <c r="U160" s="39" t="str">
        <f t="shared" si="57"/>
        <v/>
      </c>
      <c r="V160" s="40" t="str">
        <f t="shared" si="58"/>
        <v/>
      </c>
      <c r="W160" s="39" t="str">
        <f t="shared" si="59"/>
        <v/>
      </c>
      <c r="X160" s="34" t="str">
        <f t="shared" si="60"/>
        <v/>
      </c>
      <c r="Y160" s="41" t="str">
        <f t="shared" si="66"/>
        <v/>
      </c>
      <c r="Z160" s="98" t="str">
        <f t="shared" si="61"/>
        <v/>
      </c>
      <c r="AA160" s="81" t="str">
        <f t="shared" si="67"/>
        <v/>
      </c>
      <c r="AC160" s="139"/>
      <c r="AD160" s="110" t="str">
        <f t="shared" si="68"/>
        <v/>
      </c>
      <c r="AE160" s="111" t="str">
        <f t="shared" si="69"/>
        <v/>
      </c>
      <c r="AF160" s="111" t="str">
        <f t="shared" si="62"/>
        <v/>
      </c>
      <c r="AG160" s="111" t="str">
        <f t="shared" si="70"/>
        <v/>
      </c>
      <c r="AH160" s="111" t="str">
        <f t="shared" si="71"/>
        <v/>
      </c>
      <c r="AI160" s="112" t="str">
        <f t="shared" si="72"/>
        <v/>
      </c>
      <c r="AJ160" t="str">
        <f t="shared" si="73"/>
        <v/>
      </c>
      <c r="AK160" t="str">
        <f t="shared" si="74"/>
        <v/>
      </c>
    </row>
    <row r="161" spans="1:37" ht="15" customHeight="1" x14ac:dyDescent="0.25">
      <c r="A161" s="114"/>
      <c r="B161" s="116"/>
      <c r="C161" s="116"/>
      <c r="D161" s="42" t="str">
        <f t="shared" si="50"/>
        <v/>
      </c>
      <c r="E161" s="43"/>
      <c r="F161" s="83"/>
      <c r="G161" s="118"/>
      <c r="H161" s="34" t="str">
        <f t="shared" si="51"/>
        <v/>
      </c>
      <c r="I161" s="88" t="str">
        <f t="shared" si="52"/>
        <v/>
      </c>
      <c r="J161" s="44" t="str">
        <f t="shared" si="53"/>
        <v/>
      </c>
      <c r="K161" s="118"/>
      <c r="L161" s="34" t="str">
        <f t="shared" si="54"/>
        <v/>
      </c>
      <c r="M161" s="118"/>
      <c r="N161" s="121"/>
      <c r="O161" s="122" t="str">
        <f t="shared" si="63"/>
        <v/>
      </c>
      <c r="P161" s="35" t="str">
        <f t="shared" si="64"/>
        <v/>
      </c>
      <c r="Q161" s="124"/>
      <c r="R161" s="36" t="str">
        <f t="shared" si="65"/>
        <v/>
      </c>
      <c r="S161" s="37" t="str">
        <f t="shared" si="55"/>
        <v/>
      </c>
      <c r="T161" s="38" t="str">
        <f t="shared" si="56"/>
        <v/>
      </c>
      <c r="U161" s="39" t="str">
        <f t="shared" si="57"/>
        <v/>
      </c>
      <c r="V161" s="40" t="str">
        <f t="shared" si="58"/>
        <v/>
      </c>
      <c r="W161" s="39" t="str">
        <f t="shared" si="59"/>
        <v/>
      </c>
      <c r="X161" s="34" t="str">
        <f t="shared" si="60"/>
        <v/>
      </c>
      <c r="Y161" s="41" t="str">
        <f t="shared" si="66"/>
        <v/>
      </c>
      <c r="Z161" s="98" t="str">
        <f t="shared" si="61"/>
        <v/>
      </c>
      <c r="AA161" s="81" t="str">
        <f t="shared" si="67"/>
        <v/>
      </c>
      <c r="AC161" s="139"/>
      <c r="AD161" s="110" t="str">
        <f t="shared" si="68"/>
        <v/>
      </c>
      <c r="AE161" s="111" t="str">
        <f t="shared" si="69"/>
        <v/>
      </c>
      <c r="AF161" s="111" t="str">
        <f t="shared" si="62"/>
        <v/>
      </c>
      <c r="AG161" s="111" t="str">
        <f t="shared" si="70"/>
        <v/>
      </c>
      <c r="AH161" s="111" t="str">
        <f t="shared" si="71"/>
        <v/>
      </c>
      <c r="AI161" s="112" t="str">
        <f t="shared" si="72"/>
        <v/>
      </c>
      <c r="AJ161" t="str">
        <f t="shared" si="73"/>
        <v/>
      </c>
      <c r="AK161" t="str">
        <f t="shared" si="74"/>
        <v/>
      </c>
    </row>
    <row r="162" spans="1:37" ht="15" customHeight="1" x14ac:dyDescent="0.25">
      <c r="A162" s="114"/>
      <c r="B162" s="116"/>
      <c r="C162" s="116"/>
      <c r="D162" s="42" t="str">
        <f t="shared" si="50"/>
        <v/>
      </c>
      <c r="E162" s="43"/>
      <c r="F162" s="83"/>
      <c r="G162" s="118"/>
      <c r="H162" s="34" t="str">
        <f t="shared" si="51"/>
        <v/>
      </c>
      <c r="I162" s="88" t="str">
        <f t="shared" si="52"/>
        <v/>
      </c>
      <c r="J162" s="44" t="str">
        <f t="shared" si="53"/>
        <v/>
      </c>
      <c r="K162" s="118"/>
      <c r="L162" s="34" t="str">
        <f t="shared" si="54"/>
        <v/>
      </c>
      <c r="M162" s="118"/>
      <c r="N162" s="121"/>
      <c r="O162" s="122" t="str">
        <f t="shared" si="63"/>
        <v/>
      </c>
      <c r="P162" s="35" t="str">
        <f t="shared" si="64"/>
        <v/>
      </c>
      <c r="Q162" s="124"/>
      <c r="R162" s="36" t="str">
        <f t="shared" si="65"/>
        <v/>
      </c>
      <c r="S162" s="37" t="str">
        <f t="shared" si="55"/>
        <v/>
      </c>
      <c r="T162" s="38" t="str">
        <f t="shared" si="56"/>
        <v/>
      </c>
      <c r="U162" s="39" t="str">
        <f t="shared" si="57"/>
        <v/>
      </c>
      <c r="V162" s="40" t="str">
        <f t="shared" si="58"/>
        <v/>
      </c>
      <c r="W162" s="39" t="str">
        <f t="shared" si="59"/>
        <v/>
      </c>
      <c r="X162" s="34" t="str">
        <f t="shared" si="60"/>
        <v/>
      </c>
      <c r="Y162" s="41" t="str">
        <f t="shared" si="66"/>
        <v/>
      </c>
      <c r="Z162" s="98" t="str">
        <f t="shared" si="61"/>
        <v/>
      </c>
      <c r="AA162" s="81" t="str">
        <f t="shared" si="67"/>
        <v/>
      </c>
      <c r="AC162" s="139"/>
      <c r="AD162" s="110" t="str">
        <f t="shared" si="68"/>
        <v/>
      </c>
      <c r="AE162" s="111" t="str">
        <f t="shared" si="69"/>
        <v/>
      </c>
      <c r="AF162" s="111" t="str">
        <f t="shared" si="62"/>
        <v/>
      </c>
      <c r="AG162" s="111" t="str">
        <f t="shared" si="70"/>
        <v/>
      </c>
      <c r="AH162" s="111" t="str">
        <f t="shared" si="71"/>
        <v/>
      </c>
      <c r="AI162" s="112" t="str">
        <f t="shared" si="72"/>
        <v/>
      </c>
      <c r="AJ162" t="str">
        <f t="shared" si="73"/>
        <v/>
      </c>
      <c r="AK162" t="str">
        <f t="shared" si="74"/>
        <v/>
      </c>
    </row>
    <row r="163" spans="1:37" ht="15" customHeight="1" x14ac:dyDescent="0.25">
      <c r="A163" s="114"/>
      <c r="B163" s="116"/>
      <c r="C163" s="116"/>
      <c r="D163" s="42" t="str">
        <f t="shared" si="50"/>
        <v/>
      </c>
      <c r="E163" s="43"/>
      <c r="F163" s="83"/>
      <c r="G163" s="118"/>
      <c r="H163" s="34" t="str">
        <f t="shared" si="51"/>
        <v/>
      </c>
      <c r="I163" s="88" t="str">
        <f t="shared" si="52"/>
        <v/>
      </c>
      <c r="J163" s="44" t="str">
        <f t="shared" si="53"/>
        <v/>
      </c>
      <c r="K163" s="118"/>
      <c r="L163" s="34" t="str">
        <f t="shared" si="54"/>
        <v/>
      </c>
      <c r="M163" s="118"/>
      <c r="N163" s="121"/>
      <c r="O163" s="122" t="str">
        <f t="shared" si="63"/>
        <v/>
      </c>
      <c r="P163" s="35" t="str">
        <f t="shared" si="64"/>
        <v/>
      </c>
      <c r="Q163" s="124"/>
      <c r="R163" s="36" t="str">
        <f t="shared" si="65"/>
        <v/>
      </c>
      <c r="S163" s="37" t="str">
        <f t="shared" si="55"/>
        <v/>
      </c>
      <c r="T163" s="38" t="str">
        <f t="shared" si="56"/>
        <v/>
      </c>
      <c r="U163" s="39" t="str">
        <f t="shared" si="57"/>
        <v/>
      </c>
      <c r="V163" s="40" t="str">
        <f t="shared" si="58"/>
        <v/>
      </c>
      <c r="W163" s="39" t="str">
        <f t="shared" si="59"/>
        <v/>
      </c>
      <c r="X163" s="34" t="str">
        <f t="shared" si="60"/>
        <v/>
      </c>
      <c r="Y163" s="41" t="str">
        <f t="shared" si="66"/>
        <v/>
      </c>
      <c r="Z163" s="98" t="str">
        <f t="shared" si="61"/>
        <v/>
      </c>
      <c r="AA163" s="81" t="str">
        <f t="shared" si="67"/>
        <v/>
      </c>
      <c r="AC163" s="139"/>
      <c r="AD163" s="110" t="str">
        <f t="shared" si="68"/>
        <v/>
      </c>
      <c r="AE163" s="111" t="str">
        <f t="shared" si="69"/>
        <v/>
      </c>
      <c r="AF163" s="111" t="str">
        <f t="shared" si="62"/>
        <v/>
      </c>
      <c r="AG163" s="111" t="str">
        <f t="shared" si="70"/>
        <v/>
      </c>
      <c r="AH163" s="111" t="str">
        <f t="shared" si="71"/>
        <v/>
      </c>
      <c r="AI163" s="112" t="str">
        <f t="shared" si="72"/>
        <v/>
      </c>
      <c r="AJ163" t="str">
        <f t="shared" si="73"/>
        <v/>
      </c>
      <c r="AK163" t="str">
        <f t="shared" si="74"/>
        <v/>
      </c>
    </row>
    <row r="164" spans="1:37" ht="15" customHeight="1" x14ac:dyDescent="0.25">
      <c r="A164" s="114"/>
      <c r="B164" s="116"/>
      <c r="C164" s="116"/>
      <c r="D164" s="42" t="str">
        <f t="shared" si="50"/>
        <v/>
      </c>
      <c r="E164" s="43"/>
      <c r="F164" s="83"/>
      <c r="G164" s="118"/>
      <c r="H164" s="34" t="str">
        <f t="shared" si="51"/>
        <v/>
      </c>
      <c r="I164" s="88" t="str">
        <f t="shared" si="52"/>
        <v/>
      </c>
      <c r="J164" s="44" t="str">
        <f t="shared" si="53"/>
        <v/>
      </c>
      <c r="K164" s="118"/>
      <c r="L164" s="34" t="str">
        <f t="shared" si="54"/>
        <v/>
      </c>
      <c r="M164" s="118"/>
      <c r="N164" s="121"/>
      <c r="O164" s="122" t="str">
        <f t="shared" si="63"/>
        <v/>
      </c>
      <c r="P164" s="35" t="str">
        <f t="shared" si="64"/>
        <v/>
      </c>
      <c r="Q164" s="124"/>
      <c r="R164" s="36" t="str">
        <f t="shared" si="65"/>
        <v/>
      </c>
      <c r="S164" s="37" t="str">
        <f t="shared" si="55"/>
        <v/>
      </c>
      <c r="T164" s="38" t="str">
        <f t="shared" si="56"/>
        <v/>
      </c>
      <c r="U164" s="39" t="str">
        <f t="shared" si="57"/>
        <v/>
      </c>
      <c r="V164" s="40" t="str">
        <f t="shared" si="58"/>
        <v/>
      </c>
      <c r="W164" s="39" t="str">
        <f t="shared" si="59"/>
        <v/>
      </c>
      <c r="X164" s="34" t="str">
        <f t="shared" si="60"/>
        <v/>
      </c>
      <c r="Y164" s="41" t="str">
        <f t="shared" si="66"/>
        <v/>
      </c>
      <c r="Z164" s="98" t="str">
        <f t="shared" si="61"/>
        <v/>
      </c>
      <c r="AA164" s="81" t="str">
        <f t="shared" si="67"/>
        <v/>
      </c>
      <c r="AC164" s="139"/>
      <c r="AD164" s="110" t="str">
        <f t="shared" si="68"/>
        <v/>
      </c>
      <c r="AE164" s="111" t="str">
        <f t="shared" si="69"/>
        <v/>
      </c>
      <c r="AF164" s="111" t="str">
        <f t="shared" si="62"/>
        <v/>
      </c>
      <c r="AG164" s="111" t="str">
        <f t="shared" si="70"/>
        <v/>
      </c>
      <c r="AH164" s="111" t="str">
        <f t="shared" si="71"/>
        <v/>
      </c>
      <c r="AI164" s="112" t="str">
        <f t="shared" si="72"/>
        <v/>
      </c>
      <c r="AJ164" t="str">
        <f t="shared" si="73"/>
        <v/>
      </c>
      <c r="AK164" t="str">
        <f t="shared" si="74"/>
        <v/>
      </c>
    </row>
    <row r="165" spans="1:37" ht="15" customHeight="1" x14ac:dyDescent="0.25">
      <c r="A165" s="114"/>
      <c r="B165" s="116"/>
      <c r="C165" s="116"/>
      <c r="D165" s="42" t="str">
        <f t="shared" si="50"/>
        <v/>
      </c>
      <c r="E165" s="43"/>
      <c r="F165" s="83"/>
      <c r="G165" s="118"/>
      <c r="H165" s="34" t="str">
        <f t="shared" si="51"/>
        <v/>
      </c>
      <c r="I165" s="88" t="str">
        <f t="shared" si="52"/>
        <v/>
      </c>
      <c r="J165" s="44" t="str">
        <f t="shared" si="53"/>
        <v/>
      </c>
      <c r="K165" s="118"/>
      <c r="L165" s="34" t="str">
        <f t="shared" si="54"/>
        <v/>
      </c>
      <c r="M165" s="118"/>
      <c r="N165" s="121"/>
      <c r="O165" s="122" t="str">
        <f t="shared" si="63"/>
        <v/>
      </c>
      <c r="P165" s="35" t="str">
        <f t="shared" si="64"/>
        <v/>
      </c>
      <c r="Q165" s="124"/>
      <c r="R165" s="36" t="str">
        <f t="shared" si="65"/>
        <v/>
      </c>
      <c r="S165" s="37" t="str">
        <f t="shared" si="55"/>
        <v/>
      </c>
      <c r="T165" s="38" t="str">
        <f t="shared" si="56"/>
        <v/>
      </c>
      <c r="U165" s="39" t="str">
        <f t="shared" si="57"/>
        <v/>
      </c>
      <c r="V165" s="40" t="str">
        <f t="shared" si="58"/>
        <v/>
      </c>
      <c r="W165" s="39" t="str">
        <f t="shared" si="59"/>
        <v/>
      </c>
      <c r="X165" s="34" t="str">
        <f t="shared" si="60"/>
        <v/>
      </c>
      <c r="Y165" s="41" t="str">
        <f t="shared" si="66"/>
        <v/>
      </c>
      <c r="Z165" s="98" t="str">
        <f t="shared" si="61"/>
        <v/>
      </c>
      <c r="AA165" s="81" t="str">
        <f t="shared" si="67"/>
        <v/>
      </c>
      <c r="AC165" s="139"/>
      <c r="AD165" s="110" t="str">
        <f t="shared" si="68"/>
        <v/>
      </c>
      <c r="AE165" s="111" t="str">
        <f t="shared" si="69"/>
        <v/>
      </c>
      <c r="AF165" s="111" t="str">
        <f t="shared" si="62"/>
        <v/>
      </c>
      <c r="AG165" s="111" t="str">
        <f t="shared" si="70"/>
        <v/>
      </c>
      <c r="AH165" s="111" t="str">
        <f t="shared" si="71"/>
        <v/>
      </c>
      <c r="AI165" s="112" t="str">
        <f t="shared" si="72"/>
        <v/>
      </c>
      <c r="AJ165" t="str">
        <f t="shared" si="73"/>
        <v/>
      </c>
      <c r="AK165" t="str">
        <f t="shared" si="74"/>
        <v/>
      </c>
    </row>
    <row r="166" spans="1:37" ht="15" customHeight="1" x14ac:dyDescent="0.25">
      <c r="A166" s="114"/>
      <c r="B166" s="116"/>
      <c r="C166" s="116"/>
      <c r="D166" s="42" t="str">
        <f t="shared" si="50"/>
        <v/>
      </c>
      <c r="E166" s="43"/>
      <c r="F166" s="83"/>
      <c r="G166" s="118"/>
      <c r="H166" s="34" t="str">
        <f t="shared" si="51"/>
        <v/>
      </c>
      <c r="I166" s="88" t="str">
        <f t="shared" si="52"/>
        <v/>
      </c>
      <c r="J166" s="44" t="str">
        <f t="shared" si="53"/>
        <v/>
      </c>
      <c r="K166" s="118"/>
      <c r="L166" s="34" t="str">
        <f t="shared" si="54"/>
        <v/>
      </c>
      <c r="M166" s="118"/>
      <c r="N166" s="121"/>
      <c r="O166" s="122" t="str">
        <f t="shared" si="63"/>
        <v/>
      </c>
      <c r="P166" s="35" t="str">
        <f t="shared" si="64"/>
        <v/>
      </c>
      <c r="Q166" s="124"/>
      <c r="R166" s="36" t="str">
        <f t="shared" si="65"/>
        <v/>
      </c>
      <c r="S166" s="37" t="str">
        <f t="shared" si="55"/>
        <v/>
      </c>
      <c r="T166" s="38" t="str">
        <f t="shared" si="56"/>
        <v/>
      </c>
      <c r="U166" s="39" t="str">
        <f t="shared" si="57"/>
        <v/>
      </c>
      <c r="V166" s="40" t="str">
        <f t="shared" si="58"/>
        <v/>
      </c>
      <c r="W166" s="39" t="str">
        <f t="shared" si="59"/>
        <v/>
      </c>
      <c r="X166" s="34" t="str">
        <f t="shared" si="60"/>
        <v/>
      </c>
      <c r="Y166" s="41" t="str">
        <f t="shared" si="66"/>
        <v/>
      </c>
      <c r="Z166" s="98" t="str">
        <f t="shared" si="61"/>
        <v/>
      </c>
      <c r="AA166" s="81" t="str">
        <f t="shared" si="67"/>
        <v/>
      </c>
      <c r="AC166" s="139"/>
      <c r="AD166" s="110" t="str">
        <f t="shared" si="68"/>
        <v/>
      </c>
      <c r="AE166" s="111" t="str">
        <f t="shared" si="69"/>
        <v/>
      </c>
      <c r="AF166" s="111" t="str">
        <f t="shared" si="62"/>
        <v/>
      </c>
      <c r="AG166" s="111" t="str">
        <f t="shared" si="70"/>
        <v/>
      </c>
      <c r="AH166" s="111" t="str">
        <f t="shared" si="71"/>
        <v/>
      </c>
      <c r="AI166" s="112" t="str">
        <f t="shared" si="72"/>
        <v/>
      </c>
      <c r="AJ166" t="str">
        <f t="shared" si="73"/>
        <v/>
      </c>
      <c r="AK166" t="str">
        <f t="shared" si="74"/>
        <v/>
      </c>
    </row>
    <row r="167" spans="1:37" ht="15" customHeight="1" x14ac:dyDescent="0.25">
      <c r="A167" s="114"/>
      <c r="B167" s="116"/>
      <c r="C167" s="116"/>
      <c r="D167" s="42" t="str">
        <f t="shared" si="50"/>
        <v/>
      </c>
      <c r="E167" s="43"/>
      <c r="F167" s="83"/>
      <c r="G167" s="118"/>
      <c r="H167" s="34" t="str">
        <f t="shared" si="51"/>
        <v/>
      </c>
      <c r="I167" s="88" t="str">
        <f t="shared" si="52"/>
        <v/>
      </c>
      <c r="J167" s="44" t="str">
        <f t="shared" si="53"/>
        <v/>
      </c>
      <c r="K167" s="118"/>
      <c r="L167" s="34" t="str">
        <f t="shared" si="54"/>
        <v/>
      </c>
      <c r="M167" s="118"/>
      <c r="N167" s="121"/>
      <c r="O167" s="122" t="str">
        <f t="shared" si="63"/>
        <v/>
      </c>
      <c r="P167" s="35" t="str">
        <f t="shared" si="64"/>
        <v/>
      </c>
      <c r="Q167" s="124"/>
      <c r="R167" s="36" t="str">
        <f t="shared" si="65"/>
        <v/>
      </c>
      <c r="S167" s="37" t="str">
        <f t="shared" si="55"/>
        <v/>
      </c>
      <c r="T167" s="38" t="str">
        <f t="shared" si="56"/>
        <v/>
      </c>
      <c r="U167" s="39" t="str">
        <f t="shared" si="57"/>
        <v/>
      </c>
      <c r="V167" s="40" t="str">
        <f t="shared" si="58"/>
        <v/>
      </c>
      <c r="W167" s="39" t="str">
        <f t="shared" si="59"/>
        <v/>
      </c>
      <c r="X167" s="34" t="str">
        <f t="shared" si="60"/>
        <v/>
      </c>
      <c r="Y167" s="41" t="str">
        <f t="shared" si="66"/>
        <v/>
      </c>
      <c r="Z167" s="98" t="str">
        <f t="shared" si="61"/>
        <v/>
      </c>
      <c r="AA167" s="81" t="str">
        <f t="shared" si="67"/>
        <v/>
      </c>
      <c r="AC167" s="139"/>
      <c r="AD167" s="110" t="str">
        <f t="shared" si="68"/>
        <v/>
      </c>
      <c r="AE167" s="111" t="str">
        <f t="shared" si="69"/>
        <v/>
      </c>
      <c r="AF167" s="111" t="str">
        <f t="shared" si="62"/>
        <v/>
      </c>
      <c r="AG167" s="111" t="str">
        <f t="shared" si="70"/>
        <v/>
      </c>
      <c r="AH167" s="111" t="str">
        <f t="shared" si="71"/>
        <v/>
      </c>
      <c r="AI167" s="112" t="str">
        <f t="shared" si="72"/>
        <v/>
      </c>
      <c r="AJ167" t="str">
        <f t="shared" si="73"/>
        <v/>
      </c>
      <c r="AK167" t="str">
        <f t="shared" si="74"/>
        <v/>
      </c>
    </row>
    <row r="168" spans="1:37" ht="15" customHeight="1" x14ac:dyDescent="0.25">
      <c r="A168" s="114"/>
      <c r="B168" s="116"/>
      <c r="C168" s="116"/>
      <c r="D168" s="42" t="str">
        <f t="shared" si="50"/>
        <v/>
      </c>
      <c r="E168" s="43"/>
      <c r="F168" s="83"/>
      <c r="G168" s="118"/>
      <c r="H168" s="34" t="str">
        <f t="shared" si="51"/>
        <v/>
      </c>
      <c r="I168" s="88" t="str">
        <f t="shared" si="52"/>
        <v/>
      </c>
      <c r="J168" s="44" t="str">
        <f t="shared" si="53"/>
        <v/>
      </c>
      <c r="K168" s="118"/>
      <c r="L168" s="34" t="str">
        <f t="shared" si="54"/>
        <v/>
      </c>
      <c r="M168" s="118"/>
      <c r="N168" s="121"/>
      <c r="O168" s="122" t="str">
        <f t="shared" si="63"/>
        <v/>
      </c>
      <c r="P168" s="35" t="str">
        <f t="shared" si="64"/>
        <v/>
      </c>
      <c r="Q168" s="124"/>
      <c r="R168" s="36" t="str">
        <f t="shared" si="65"/>
        <v/>
      </c>
      <c r="S168" s="37" t="str">
        <f t="shared" si="55"/>
        <v/>
      </c>
      <c r="T168" s="38" t="str">
        <f t="shared" si="56"/>
        <v/>
      </c>
      <c r="U168" s="39" t="str">
        <f t="shared" si="57"/>
        <v/>
      </c>
      <c r="V168" s="40" t="str">
        <f t="shared" si="58"/>
        <v/>
      </c>
      <c r="W168" s="39" t="str">
        <f t="shared" si="59"/>
        <v/>
      </c>
      <c r="X168" s="34" t="str">
        <f t="shared" si="60"/>
        <v/>
      </c>
      <c r="Y168" s="41" t="str">
        <f t="shared" si="66"/>
        <v/>
      </c>
      <c r="Z168" s="98" t="str">
        <f t="shared" si="61"/>
        <v/>
      </c>
      <c r="AA168" s="81" t="str">
        <f t="shared" si="67"/>
        <v/>
      </c>
      <c r="AC168" s="139"/>
      <c r="AD168" s="110" t="str">
        <f t="shared" si="68"/>
        <v/>
      </c>
      <c r="AE168" s="111" t="str">
        <f t="shared" si="69"/>
        <v/>
      </c>
      <c r="AF168" s="111" t="str">
        <f t="shared" si="62"/>
        <v/>
      </c>
      <c r="AG168" s="111" t="str">
        <f t="shared" si="70"/>
        <v/>
      </c>
      <c r="AH168" s="111" t="str">
        <f t="shared" si="71"/>
        <v/>
      </c>
      <c r="AI168" s="112" t="str">
        <f t="shared" si="72"/>
        <v/>
      </c>
      <c r="AJ168" t="str">
        <f t="shared" si="73"/>
        <v/>
      </c>
      <c r="AK168" t="str">
        <f t="shared" si="74"/>
        <v/>
      </c>
    </row>
    <row r="169" spans="1:37" ht="15" customHeight="1" x14ac:dyDescent="0.25">
      <c r="A169" s="114"/>
      <c r="B169" s="116"/>
      <c r="C169" s="116"/>
      <c r="D169" s="42" t="str">
        <f t="shared" si="50"/>
        <v/>
      </c>
      <c r="E169" s="43"/>
      <c r="F169" s="83"/>
      <c r="G169" s="118"/>
      <c r="H169" s="34" t="str">
        <f t="shared" si="51"/>
        <v/>
      </c>
      <c r="I169" s="88" t="str">
        <f t="shared" si="52"/>
        <v/>
      </c>
      <c r="J169" s="44" t="str">
        <f t="shared" si="53"/>
        <v/>
      </c>
      <c r="K169" s="118"/>
      <c r="L169" s="34" t="str">
        <f t="shared" si="54"/>
        <v/>
      </c>
      <c r="M169" s="118"/>
      <c r="N169" s="121"/>
      <c r="O169" s="122" t="str">
        <f t="shared" si="63"/>
        <v/>
      </c>
      <c r="P169" s="35" t="str">
        <f t="shared" si="64"/>
        <v/>
      </c>
      <c r="Q169" s="124"/>
      <c r="R169" s="36" t="str">
        <f t="shared" si="65"/>
        <v/>
      </c>
      <c r="S169" s="37" t="str">
        <f t="shared" si="55"/>
        <v/>
      </c>
      <c r="T169" s="38" t="str">
        <f t="shared" si="56"/>
        <v/>
      </c>
      <c r="U169" s="39" t="str">
        <f t="shared" si="57"/>
        <v/>
      </c>
      <c r="V169" s="40" t="str">
        <f t="shared" si="58"/>
        <v/>
      </c>
      <c r="W169" s="39" t="str">
        <f t="shared" si="59"/>
        <v/>
      </c>
      <c r="X169" s="34" t="str">
        <f t="shared" si="60"/>
        <v/>
      </c>
      <c r="Y169" s="41" t="str">
        <f t="shared" si="66"/>
        <v/>
      </c>
      <c r="Z169" s="98" t="str">
        <f t="shared" si="61"/>
        <v/>
      </c>
      <c r="AA169" s="81" t="str">
        <f t="shared" si="67"/>
        <v/>
      </c>
      <c r="AC169" s="139"/>
      <c r="AD169" s="110" t="str">
        <f t="shared" si="68"/>
        <v/>
      </c>
      <c r="AE169" s="111" t="str">
        <f t="shared" si="69"/>
        <v/>
      </c>
      <c r="AF169" s="111" t="str">
        <f t="shared" si="62"/>
        <v/>
      </c>
      <c r="AG169" s="111" t="str">
        <f t="shared" si="70"/>
        <v/>
      </c>
      <c r="AH169" s="111" t="str">
        <f t="shared" si="71"/>
        <v/>
      </c>
      <c r="AI169" s="112" t="str">
        <f t="shared" si="72"/>
        <v/>
      </c>
      <c r="AJ169" t="str">
        <f t="shared" si="73"/>
        <v/>
      </c>
      <c r="AK169" t="str">
        <f t="shared" si="74"/>
        <v/>
      </c>
    </row>
    <row r="170" spans="1:37" ht="15" customHeight="1" x14ac:dyDescent="0.25">
      <c r="A170" s="114"/>
      <c r="B170" s="116"/>
      <c r="C170" s="116"/>
      <c r="D170" s="42" t="str">
        <f t="shared" si="50"/>
        <v/>
      </c>
      <c r="E170" s="43"/>
      <c r="F170" s="83"/>
      <c r="G170" s="118"/>
      <c r="H170" s="34" t="str">
        <f t="shared" si="51"/>
        <v/>
      </c>
      <c r="I170" s="88" t="str">
        <f t="shared" si="52"/>
        <v/>
      </c>
      <c r="J170" s="44" t="str">
        <f t="shared" si="53"/>
        <v/>
      </c>
      <c r="K170" s="118"/>
      <c r="L170" s="34" t="str">
        <f t="shared" si="54"/>
        <v/>
      </c>
      <c r="M170" s="118"/>
      <c r="N170" s="121"/>
      <c r="O170" s="122" t="str">
        <f t="shared" si="63"/>
        <v/>
      </c>
      <c r="P170" s="35" t="str">
        <f t="shared" si="64"/>
        <v/>
      </c>
      <c r="Q170" s="124"/>
      <c r="R170" s="36" t="str">
        <f t="shared" si="65"/>
        <v/>
      </c>
      <c r="S170" s="37" t="str">
        <f t="shared" si="55"/>
        <v/>
      </c>
      <c r="T170" s="38" t="str">
        <f t="shared" si="56"/>
        <v/>
      </c>
      <c r="U170" s="39" t="str">
        <f t="shared" si="57"/>
        <v/>
      </c>
      <c r="V170" s="40" t="str">
        <f t="shared" si="58"/>
        <v/>
      </c>
      <c r="W170" s="39" t="str">
        <f t="shared" si="59"/>
        <v/>
      </c>
      <c r="X170" s="34" t="str">
        <f t="shared" si="60"/>
        <v/>
      </c>
      <c r="Y170" s="41" t="str">
        <f t="shared" si="66"/>
        <v/>
      </c>
      <c r="Z170" s="98" t="str">
        <f t="shared" si="61"/>
        <v/>
      </c>
      <c r="AA170" s="81" t="str">
        <f t="shared" si="67"/>
        <v/>
      </c>
      <c r="AC170" s="139"/>
      <c r="AD170" s="110" t="str">
        <f t="shared" si="68"/>
        <v/>
      </c>
      <c r="AE170" s="111" t="str">
        <f t="shared" si="69"/>
        <v/>
      </c>
      <c r="AF170" s="111" t="str">
        <f t="shared" si="62"/>
        <v/>
      </c>
      <c r="AG170" s="111" t="str">
        <f t="shared" si="70"/>
        <v/>
      </c>
      <c r="AH170" s="111" t="str">
        <f t="shared" si="71"/>
        <v/>
      </c>
      <c r="AI170" s="112" t="str">
        <f t="shared" si="72"/>
        <v/>
      </c>
      <c r="AJ170" t="str">
        <f t="shared" si="73"/>
        <v/>
      </c>
      <c r="AK170" t="str">
        <f t="shared" si="74"/>
        <v/>
      </c>
    </row>
    <row r="171" spans="1:37" ht="15" customHeight="1" x14ac:dyDescent="0.25">
      <c r="A171" s="114"/>
      <c r="B171" s="116"/>
      <c r="C171" s="116"/>
      <c r="D171" s="42" t="str">
        <f t="shared" si="50"/>
        <v/>
      </c>
      <c r="E171" s="43"/>
      <c r="F171" s="83"/>
      <c r="G171" s="118"/>
      <c r="H171" s="34" t="str">
        <f t="shared" si="51"/>
        <v/>
      </c>
      <c r="I171" s="88" t="str">
        <f t="shared" si="52"/>
        <v/>
      </c>
      <c r="J171" s="44" t="str">
        <f t="shared" si="53"/>
        <v/>
      </c>
      <c r="K171" s="118"/>
      <c r="L171" s="34" t="str">
        <f t="shared" si="54"/>
        <v/>
      </c>
      <c r="M171" s="118"/>
      <c r="N171" s="121"/>
      <c r="O171" s="122" t="str">
        <f t="shared" si="63"/>
        <v/>
      </c>
      <c r="P171" s="35" t="str">
        <f t="shared" si="64"/>
        <v/>
      </c>
      <c r="Q171" s="124"/>
      <c r="R171" s="36" t="str">
        <f t="shared" si="65"/>
        <v/>
      </c>
      <c r="S171" s="37" t="str">
        <f t="shared" si="55"/>
        <v/>
      </c>
      <c r="T171" s="38" t="str">
        <f t="shared" si="56"/>
        <v/>
      </c>
      <c r="U171" s="39" t="str">
        <f t="shared" si="57"/>
        <v/>
      </c>
      <c r="V171" s="40" t="str">
        <f t="shared" si="58"/>
        <v/>
      </c>
      <c r="W171" s="39" t="str">
        <f t="shared" si="59"/>
        <v/>
      </c>
      <c r="X171" s="34" t="str">
        <f t="shared" si="60"/>
        <v/>
      </c>
      <c r="Y171" s="41" t="str">
        <f t="shared" si="66"/>
        <v/>
      </c>
      <c r="Z171" s="98" t="str">
        <f t="shared" si="61"/>
        <v/>
      </c>
      <c r="AA171" s="81" t="str">
        <f t="shared" si="67"/>
        <v/>
      </c>
      <c r="AC171" s="139"/>
      <c r="AD171" s="110" t="str">
        <f t="shared" si="68"/>
        <v/>
      </c>
      <c r="AE171" s="111" t="str">
        <f t="shared" si="69"/>
        <v/>
      </c>
      <c r="AF171" s="111" t="str">
        <f t="shared" si="62"/>
        <v/>
      </c>
      <c r="AG171" s="111" t="str">
        <f t="shared" si="70"/>
        <v/>
      </c>
      <c r="AH171" s="111" t="str">
        <f t="shared" si="71"/>
        <v/>
      </c>
      <c r="AI171" s="112" t="str">
        <f t="shared" si="72"/>
        <v/>
      </c>
      <c r="AJ171" t="str">
        <f t="shared" si="73"/>
        <v/>
      </c>
      <c r="AK171" t="str">
        <f t="shared" si="74"/>
        <v/>
      </c>
    </row>
    <row r="172" spans="1:37" ht="15" customHeight="1" x14ac:dyDescent="0.25">
      <c r="A172" s="114"/>
      <c r="B172" s="116"/>
      <c r="C172" s="116"/>
      <c r="D172" s="42" t="str">
        <f t="shared" si="50"/>
        <v/>
      </c>
      <c r="E172" s="43"/>
      <c r="F172" s="83"/>
      <c r="G172" s="118"/>
      <c r="H172" s="34" t="str">
        <f t="shared" si="51"/>
        <v/>
      </c>
      <c r="I172" s="88" t="str">
        <f t="shared" si="52"/>
        <v/>
      </c>
      <c r="J172" s="44" t="str">
        <f t="shared" si="53"/>
        <v/>
      </c>
      <c r="K172" s="118"/>
      <c r="L172" s="34" t="str">
        <f t="shared" si="54"/>
        <v/>
      </c>
      <c r="M172" s="118"/>
      <c r="N172" s="121"/>
      <c r="O172" s="122" t="str">
        <f t="shared" si="63"/>
        <v/>
      </c>
      <c r="P172" s="35" t="str">
        <f t="shared" si="64"/>
        <v/>
      </c>
      <c r="Q172" s="124"/>
      <c r="R172" s="36" t="str">
        <f t="shared" si="65"/>
        <v/>
      </c>
      <c r="S172" s="37" t="str">
        <f t="shared" si="55"/>
        <v/>
      </c>
      <c r="T172" s="38" t="str">
        <f t="shared" si="56"/>
        <v/>
      </c>
      <c r="U172" s="39" t="str">
        <f t="shared" si="57"/>
        <v/>
      </c>
      <c r="V172" s="40" t="str">
        <f t="shared" si="58"/>
        <v/>
      </c>
      <c r="W172" s="39" t="str">
        <f t="shared" si="59"/>
        <v/>
      </c>
      <c r="X172" s="34" t="str">
        <f t="shared" si="60"/>
        <v/>
      </c>
      <c r="Y172" s="41" t="str">
        <f t="shared" si="66"/>
        <v/>
      </c>
      <c r="Z172" s="98" t="str">
        <f t="shared" si="61"/>
        <v/>
      </c>
      <c r="AA172" s="81" t="str">
        <f t="shared" si="67"/>
        <v/>
      </c>
      <c r="AC172" s="139"/>
      <c r="AD172" s="110" t="str">
        <f t="shared" si="68"/>
        <v/>
      </c>
      <c r="AE172" s="111" t="str">
        <f t="shared" si="69"/>
        <v/>
      </c>
      <c r="AF172" s="111" t="str">
        <f t="shared" si="62"/>
        <v/>
      </c>
      <c r="AG172" s="111" t="str">
        <f t="shared" si="70"/>
        <v/>
      </c>
      <c r="AH172" s="111" t="str">
        <f t="shared" si="71"/>
        <v/>
      </c>
      <c r="AI172" s="112" t="str">
        <f t="shared" si="72"/>
        <v/>
      </c>
      <c r="AJ172" t="str">
        <f t="shared" si="73"/>
        <v/>
      </c>
      <c r="AK172" t="str">
        <f t="shared" si="74"/>
        <v/>
      </c>
    </row>
    <row r="173" spans="1:37" ht="15" customHeight="1" x14ac:dyDescent="0.25">
      <c r="A173" s="114"/>
      <c r="B173" s="116"/>
      <c r="C173" s="116"/>
      <c r="D173" s="42" t="str">
        <f t="shared" si="50"/>
        <v/>
      </c>
      <c r="E173" s="43"/>
      <c r="F173" s="83"/>
      <c r="G173" s="118"/>
      <c r="H173" s="34" t="str">
        <f t="shared" si="51"/>
        <v/>
      </c>
      <c r="I173" s="88" t="str">
        <f t="shared" si="52"/>
        <v/>
      </c>
      <c r="J173" s="44" t="str">
        <f t="shared" si="53"/>
        <v/>
      </c>
      <c r="K173" s="118"/>
      <c r="L173" s="34" t="str">
        <f t="shared" si="54"/>
        <v/>
      </c>
      <c r="M173" s="118"/>
      <c r="N173" s="121"/>
      <c r="O173" s="122" t="str">
        <f t="shared" si="63"/>
        <v/>
      </c>
      <c r="P173" s="35" t="str">
        <f t="shared" si="64"/>
        <v/>
      </c>
      <c r="Q173" s="124"/>
      <c r="R173" s="36" t="str">
        <f t="shared" si="65"/>
        <v/>
      </c>
      <c r="S173" s="37" t="str">
        <f t="shared" si="55"/>
        <v/>
      </c>
      <c r="T173" s="38" t="str">
        <f t="shared" si="56"/>
        <v/>
      </c>
      <c r="U173" s="39" t="str">
        <f t="shared" si="57"/>
        <v/>
      </c>
      <c r="V173" s="40" t="str">
        <f t="shared" si="58"/>
        <v/>
      </c>
      <c r="W173" s="39" t="str">
        <f t="shared" si="59"/>
        <v/>
      </c>
      <c r="X173" s="34" t="str">
        <f t="shared" si="60"/>
        <v/>
      </c>
      <c r="Y173" s="41" t="str">
        <f t="shared" si="66"/>
        <v/>
      </c>
      <c r="Z173" s="98" t="str">
        <f t="shared" si="61"/>
        <v/>
      </c>
      <c r="AA173" s="81" t="str">
        <f t="shared" si="67"/>
        <v/>
      </c>
      <c r="AC173" s="139"/>
      <c r="AD173" s="110" t="str">
        <f t="shared" si="68"/>
        <v/>
      </c>
      <c r="AE173" s="111" t="str">
        <f t="shared" si="69"/>
        <v/>
      </c>
      <c r="AF173" s="111" t="str">
        <f t="shared" si="62"/>
        <v/>
      </c>
      <c r="AG173" s="111" t="str">
        <f t="shared" si="70"/>
        <v/>
      </c>
      <c r="AH173" s="111" t="str">
        <f t="shared" si="71"/>
        <v/>
      </c>
      <c r="AI173" s="112" t="str">
        <f t="shared" si="72"/>
        <v/>
      </c>
      <c r="AJ173" t="str">
        <f t="shared" si="73"/>
        <v/>
      </c>
      <c r="AK173" t="str">
        <f t="shared" si="74"/>
        <v/>
      </c>
    </row>
    <row r="174" spans="1:37" ht="15" customHeight="1" x14ac:dyDescent="0.25">
      <c r="A174" s="114"/>
      <c r="B174" s="116"/>
      <c r="C174" s="116"/>
      <c r="D174" s="42" t="str">
        <f t="shared" si="50"/>
        <v/>
      </c>
      <c r="E174" s="43"/>
      <c r="F174" s="83"/>
      <c r="G174" s="118"/>
      <c r="H174" s="34" t="str">
        <f t="shared" si="51"/>
        <v/>
      </c>
      <c r="I174" s="88" t="str">
        <f t="shared" si="52"/>
        <v/>
      </c>
      <c r="J174" s="44" t="str">
        <f t="shared" si="53"/>
        <v/>
      </c>
      <c r="K174" s="118"/>
      <c r="L174" s="34" t="str">
        <f t="shared" si="54"/>
        <v/>
      </c>
      <c r="M174" s="118"/>
      <c r="N174" s="121"/>
      <c r="O174" s="122" t="str">
        <f t="shared" si="63"/>
        <v/>
      </c>
      <c r="P174" s="35" t="str">
        <f t="shared" si="64"/>
        <v/>
      </c>
      <c r="Q174" s="124"/>
      <c r="R174" s="36" t="str">
        <f t="shared" si="65"/>
        <v/>
      </c>
      <c r="S174" s="37" t="str">
        <f t="shared" si="55"/>
        <v/>
      </c>
      <c r="T174" s="38" t="str">
        <f t="shared" si="56"/>
        <v/>
      </c>
      <c r="U174" s="39" t="str">
        <f t="shared" si="57"/>
        <v/>
      </c>
      <c r="V174" s="40" t="str">
        <f t="shared" si="58"/>
        <v/>
      </c>
      <c r="W174" s="39" t="str">
        <f t="shared" si="59"/>
        <v/>
      </c>
      <c r="X174" s="34" t="str">
        <f t="shared" si="60"/>
        <v/>
      </c>
      <c r="Y174" s="41" t="str">
        <f t="shared" si="66"/>
        <v/>
      </c>
      <c r="Z174" s="98" t="str">
        <f t="shared" si="61"/>
        <v/>
      </c>
      <c r="AA174" s="81" t="str">
        <f t="shared" si="67"/>
        <v/>
      </c>
      <c r="AC174" s="139"/>
      <c r="AD174" s="110" t="str">
        <f t="shared" si="68"/>
        <v/>
      </c>
      <c r="AE174" s="111" t="str">
        <f t="shared" si="69"/>
        <v/>
      </c>
      <c r="AF174" s="111" t="str">
        <f t="shared" si="62"/>
        <v/>
      </c>
      <c r="AG174" s="111" t="str">
        <f t="shared" si="70"/>
        <v/>
      </c>
      <c r="AH174" s="111" t="str">
        <f t="shared" si="71"/>
        <v/>
      </c>
      <c r="AI174" s="112" t="str">
        <f t="shared" si="72"/>
        <v/>
      </c>
      <c r="AJ174" t="str">
        <f t="shared" si="73"/>
        <v/>
      </c>
      <c r="AK174" t="str">
        <f t="shared" si="74"/>
        <v/>
      </c>
    </row>
    <row r="175" spans="1:37" ht="15" customHeight="1" x14ac:dyDescent="0.25">
      <c r="A175" s="114"/>
      <c r="B175" s="116"/>
      <c r="C175" s="116"/>
      <c r="D175" s="42" t="str">
        <f t="shared" si="50"/>
        <v/>
      </c>
      <c r="E175" s="43"/>
      <c r="F175" s="83"/>
      <c r="G175" s="118"/>
      <c r="H175" s="34" t="str">
        <f t="shared" si="51"/>
        <v/>
      </c>
      <c r="I175" s="88" t="str">
        <f t="shared" si="52"/>
        <v/>
      </c>
      <c r="J175" s="44" t="str">
        <f t="shared" si="53"/>
        <v/>
      </c>
      <c r="K175" s="118"/>
      <c r="L175" s="34" t="str">
        <f t="shared" si="54"/>
        <v/>
      </c>
      <c r="M175" s="118"/>
      <c r="N175" s="121"/>
      <c r="O175" s="122" t="str">
        <f t="shared" si="63"/>
        <v/>
      </c>
      <c r="P175" s="35" t="str">
        <f t="shared" si="64"/>
        <v/>
      </c>
      <c r="Q175" s="124"/>
      <c r="R175" s="36" t="str">
        <f t="shared" si="65"/>
        <v/>
      </c>
      <c r="S175" s="37" t="str">
        <f t="shared" si="55"/>
        <v/>
      </c>
      <c r="T175" s="38" t="str">
        <f t="shared" si="56"/>
        <v/>
      </c>
      <c r="U175" s="39" t="str">
        <f t="shared" si="57"/>
        <v/>
      </c>
      <c r="V175" s="40" t="str">
        <f t="shared" si="58"/>
        <v/>
      </c>
      <c r="W175" s="39" t="str">
        <f t="shared" si="59"/>
        <v/>
      </c>
      <c r="X175" s="34" t="str">
        <f t="shared" si="60"/>
        <v/>
      </c>
      <c r="Y175" s="41" t="str">
        <f t="shared" si="66"/>
        <v/>
      </c>
      <c r="Z175" s="98" t="str">
        <f t="shared" si="61"/>
        <v/>
      </c>
      <c r="AA175" s="81" t="str">
        <f t="shared" si="67"/>
        <v/>
      </c>
      <c r="AC175" s="139"/>
      <c r="AD175" s="110" t="str">
        <f t="shared" si="68"/>
        <v/>
      </c>
      <c r="AE175" s="111" t="str">
        <f t="shared" si="69"/>
        <v/>
      </c>
      <c r="AF175" s="111" t="str">
        <f t="shared" si="62"/>
        <v/>
      </c>
      <c r="AG175" s="111" t="str">
        <f t="shared" si="70"/>
        <v/>
      </c>
      <c r="AH175" s="111" t="str">
        <f t="shared" si="71"/>
        <v/>
      </c>
      <c r="AI175" s="112" t="str">
        <f t="shared" si="72"/>
        <v/>
      </c>
      <c r="AJ175" t="str">
        <f t="shared" si="73"/>
        <v/>
      </c>
      <c r="AK175" t="str">
        <f t="shared" si="74"/>
        <v/>
      </c>
    </row>
    <row r="176" spans="1:37" ht="15" customHeight="1" x14ac:dyDescent="0.25">
      <c r="A176" s="114"/>
      <c r="B176" s="116"/>
      <c r="C176" s="116"/>
      <c r="D176" s="42" t="str">
        <f t="shared" si="50"/>
        <v/>
      </c>
      <c r="E176" s="43"/>
      <c r="F176" s="83"/>
      <c r="G176" s="118"/>
      <c r="H176" s="34" t="str">
        <f t="shared" si="51"/>
        <v/>
      </c>
      <c r="I176" s="88" t="str">
        <f t="shared" si="52"/>
        <v/>
      </c>
      <c r="J176" s="44" t="str">
        <f t="shared" si="53"/>
        <v/>
      </c>
      <c r="K176" s="118"/>
      <c r="L176" s="34" t="str">
        <f t="shared" si="54"/>
        <v/>
      </c>
      <c r="M176" s="118"/>
      <c r="N176" s="121"/>
      <c r="O176" s="122" t="str">
        <f t="shared" si="63"/>
        <v/>
      </c>
      <c r="P176" s="35" t="str">
        <f t="shared" si="64"/>
        <v/>
      </c>
      <c r="Q176" s="124"/>
      <c r="R176" s="36" t="str">
        <f t="shared" si="65"/>
        <v/>
      </c>
      <c r="S176" s="37" t="str">
        <f t="shared" si="55"/>
        <v/>
      </c>
      <c r="T176" s="38" t="str">
        <f t="shared" si="56"/>
        <v/>
      </c>
      <c r="U176" s="39" t="str">
        <f t="shared" si="57"/>
        <v/>
      </c>
      <c r="V176" s="40" t="str">
        <f t="shared" si="58"/>
        <v/>
      </c>
      <c r="W176" s="39" t="str">
        <f t="shared" si="59"/>
        <v/>
      </c>
      <c r="X176" s="34" t="str">
        <f t="shared" si="60"/>
        <v/>
      </c>
      <c r="Y176" s="41" t="str">
        <f t="shared" si="66"/>
        <v/>
      </c>
      <c r="Z176" s="98" t="str">
        <f t="shared" si="61"/>
        <v/>
      </c>
      <c r="AA176" s="81" t="str">
        <f t="shared" si="67"/>
        <v/>
      </c>
      <c r="AC176" s="139"/>
      <c r="AD176" s="110" t="str">
        <f t="shared" si="68"/>
        <v/>
      </c>
      <c r="AE176" s="111" t="str">
        <f t="shared" si="69"/>
        <v/>
      </c>
      <c r="AF176" s="111" t="str">
        <f t="shared" si="62"/>
        <v/>
      </c>
      <c r="AG176" s="111" t="str">
        <f t="shared" si="70"/>
        <v/>
      </c>
      <c r="AH176" s="111" t="str">
        <f t="shared" si="71"/>
        <v/>
      </c>
      <c r="AI176" s="112" t="str">
        <f t="shared" si="72"/>
        <v/>
      </c>
      <c r="AJ176" t="str">
        <f t="shared" si="73"/>
        <v/>
      </c>
      <c r="AK176" t="str">
        <f t="shared" si="74"/>
        <v/>
      </c>
    </row>
    <row r="177" spans="1:37" ht="15" customHeight="1" x14ac:dyDescent="0.25">
      <c r="A177" s="114"/>
      <c r="B177" s="116"/>
      <c r="C177" s="116"/>
      <c r="D177" s="42" t="str">
        <f t="shared" si="50"/>
        <v/>
      </c>
      <c r="E177" s="43"/>
      <c r="F177" s="83"/>
      <c r="G177" s="118"/>
      <c r="H177" s="34" t="str">
        <f t="shared" si="51"/>
        <v/>
      </c>
      <c r="I177" s="88" t="str">
        <f t="shared" si="52"/>
        <v/>
      </c>
      <c r="J177" s="44" t="str">
        <f t="shared" si="53"/>
        <v/>
      </c>
      <c r="K177" s="118"/>
      <c r="L177" s="34" t="str">
        <f t="shared" si="54"/>
        <v/>
      </c>
      <c r="M177" s="118"/>
      <c r="N177" s="121"/>
      <c r="O177" s="122" t="str">
        <f t="shared" si="63"/>
        <v/>
      </c>
      <c r="P177" s="35" t="str">
        <f t="shared" si="64"/>
        <v/>
      </c>
      <c r="Q177" s="124"/>
      <c r="R177" s="36" t="str">
        <f t="shared" si="65"/>
        <v/>
      </c>
      <c r="S177" s="37" t="str">
        <f t="shared" si="55"/>
        <v/>
      </c>
      <c r="T177" s="38" t="str">
        <f t="shared" si="56"/>
        <v/>
      </c>
      <c r="U177" s="39" t="str">
        <f t="shared" si="57"/>
        <v/>
      </c>
      <c r="V177" s="40" t="str">
        <f t="shared" si="58"/>
        <v/>
      </c>
      <c r="W177" s="39" t="str">
        <f t="shared" si="59"/>
        <v/>
      </c>
      <c r="X177" s="34" t="str">
        <f t="shared" si="60"/>
        <v/>
      </c>
      <c r="Y177" s="41" t="str">
        <f t="shared" si="66"/>
        <v/>
      </c>
      <c r="Z177" s="98" t="str">
        <f t="shared" si="61"/>
        <v/>
      </c>
      <c r="AA177" s="81" t="str">
        <f t="shared" si="67"/>
        <v/>
      </c>
      <c r="AC177" s="139"/>
      <c r="AD177" s="110" t="str">
        <f t="shared" si="68"/>
        <v/>
      </c>
      <c r="AE177" s="111" t="str">
        <f t="shared" si="69"/>
        <v/>
      </c>
      <c r="AF177" s="111" t="str">
        <f t="shared" si="62"/>
        <v/>
      </c>
      <c r="AG177" s="111" t="str">
        <f t="shared" si="70"/>
        <v/>
      </c>
      <c r="AH177" s="111" t="str">
        <f t="shared" si="71"/>
        <v/>
      </c>
      <c r="AI177" s="112" t="str">
        <f t="shared" si="72"/>
        <v/>
      </c>
      <c r="AJ177" t="str">
        <f t="shared" si="73"/>
        <v/>
      </c>
      <c r="AK177" t="str">
        <f t="shared" si="74"/>
        <v/>
      </c>
    </row>
    <row r="178" spans="1:37" ht="15" customHeight="1" x14ac:dyDescent="0.25">
      <c r="A178" s="114"/>
      <c r="B178" s="116"/>
      <c r="C178" s="116"/>
      <c r="D178" s="42" t="str">
        <f t="shared" si="50"/>
        <v/>
      </c>
      <c r="E178" s="43"/>
      <c r="F178" s="83"/>
      <c r="G178" s="118"/>
      <c r="H178" s="34" t="str">
        <f t="shared" si="51"/>
        <v/>
      </c>
      <c r="I178" s="88" t="str">
        <f t="shared" si="52"/>
        <v/>
      </c>
      <c r="J178" s="44" t="str">
        <f t="shared" si="53"/>
        <v/>
      </c>
      <c r="K178" s="118"/>
      <c r="L178" s="34" t="str">
        <f t="shared" si="54"/>
        <v/>
      </c>
      <c r="M178" s="118"/>
      <c r="N178" s="121"/>
      <c r="O178" s="122" t="str">
        <f t="shared" si="63"/>
        <v/>
      </c>
      <c r="P178" s="35" t="str">
        <f t="shared" si="64"/>
        <v/>
      </c>
      <c r="Q178" s="124"/>
      <c r="R178" s="36" t="str">
        <f t="shared" si="65"/>
        <v/>
      </c>
      <c r="S178" s="37" t="str">
        <f t="shared" si="55"/>
        <v/>
      </c>
      <c r="T178" s="38" t="str">
        <f t="shared" si="56"/>
        <v/>
      </c>
      <c r="U178" s="39" t="str">
        <f t="shared" si="57"/>
        <v/>
      </c>
      <c r="V178" s="40" t="str">
        <f t="shared" si="58"/>
        <v/>
      </c>
      <c r="W178" s="39" t="str">
        <f t="shared" si="59"/>
        <v/>
      </c>
      <c r="X178" s="34" t="str">
        <f t="shared" si="60"/>
        <v/>
      </c>
      <c r="Y178" s="41" t="str">
        <f t="shared" si="66"/>
        <v/>
      </c>
      <c r="Z178" s="98" t="str">
        <f t="shared" si="61"/>
        <v/>
      </c>
      <c r="AA178" s="81" t="str">
        <f t="shared" si="67"/>
        <v/>
      </c>
      <c r="AC178" s="139"/>
      <c r="AD178" s="110" t="str">
        <f t="shared" si="68"/>
        <v/>
      </c>
      <c r="AE178" s="111" t="str">
        <f t="shared" si="69"/>
        <v/>
      </c>
      <c r="AF178" s="111" t="str">
        <f t="shared" si="62"/>
        <v/>
      </c>
      <c r="AG178" s="111" t="str">
        <f t="shared" si="70"/>
        <v/>
      </c>
      <c r="AH178" s="111" t="str">
        <f t="shared" si="71"/>
        <v/>
      </c>
      <c r="AI178" s="112" t="str">
        <f t="shared" si="72"/>
        <v/>
      </c>
      <c r="AJ178" t="str">
        <f t="shared" si="73"/>
        <v/>
      </c>
      <c r="AK178" t="str">
        <f t="shared" si="74"/>
        <v/>
      </c>
    </row>
    <row r="179" spans="1:37" ht="15" customHeight="1" x14ac:dyDescent="0.25">
      <c r="A179" s="114"/>
      <c r="B179" s="116"/>
      <c r="C179" s="116"/>
      <c r="D179" s="42" t="str">
        <f t="shared" si="50"/>
        <v/>
      </c>
      <c r="E179" s="43"/>
      <c r="F179" s="83"/>
      <c r="G179" s="118"/>
      <c r="H179" s="34" t="str">
        <f t="shared" si="51"/>
        <v/>
      </c>
      <c r="I179" s="88" t="str">
        <f t="shared" si="52"/>
        <v/>
      </c>
      <c r="J179" s="44" t="str">
        <f t="shared" si="53"/>
        <v/>
      </c>
      <c r="K179" s="118"/>
      <c r="L179" s="34" t="str">
        <f t="shared" si="54"/>
        <v/>
      </c>
      <c r="M179" s="118"/>
      <c r="N179" s="121"/>
      <c r="O179" s="122" t="str">
        <f t="shared" si="63"/>
        <v/>
      </c>
      <c r="P179" s="35" t="str">
        <f t="shared" si="64"/>
        <v/>
      </c>
      <c r="Q179" s="124"/>
      <c r="R179" s="36" t="str">
        <f t="shared" si="65"/>
        <v/>
      </c>
      <c r="S179" s="37" t="str">
        <f t="shared" si="55"/>
        <v/>
      </c>
      <c r="T179" s="38" t="str">
        <f t="shared" si="56"/>
        <v/>
      </c>
      <c r="U179" s="39" t="str">
        <f t="shared" si="57"/>
        <v/>
      </c>
      <c r="V179" s="40" t="str">
        <f t="shared" si="58"/>
        <v/>
      </c>
      <c r="W179" s="39" t="str">
        <f t="shared" si="59"/>
        <v/>
      </c>
      <c r="X179" s="34" t="str">
        <f t="shared" si="60"/>
        <v/>
      </c>
      <c r="Y179" s="41" t="str">
        <f t="shared" si="66"/>
        <v/>
      </c>
      <c r="Z179" s="98" t="str">
        <f t="shared" si="61"/>
        <v/>
      </c>
      <c r="AA179" s="81" t="str">
        <f t="shared" si="67"/>
        <v/>
      </c>
      <c r="AC179" s="139"/>
      <c r="AD179" s="110" t="str">
        <f t="shared" si="68"/>
        <v/>
      </c>
      <c r="AE179" s="111" t="str">
        <f t="shared" si="69"/>
        <v/>
      </c>
      <c r="AF179" s="111" t="str">
        <f t="shared" si="62"/>
        <v/>
      </c>
      <c r="AG179" s="111" t="str">
        <f t="shared" si="70"/>
        <v/>
      </c>
      <c r="AH179" s="111" t="str">
        <f t="shared" si="71"/>
        <v/>
      </c>
      <c r="AI179" s="112" t="str">
        <f t="shared" si="72"/>
        <v/>
      </c>
      <c r="AJ179" t="str">
        <f t="shared" si="73"/>
        <v/>
      </c>
      <c r="AK179" t="str">
        <f t="shared" si="74"/>
        <v/>
      </c>
    </row>
    <row r="180" spans="1:37" ht="15" customHeight="1" x14ac:dyDescent="0.25">
      <c r="A180" s="114"/>
      <c r="B180" s="116"/>
      <c r="C180" s="116"/>
      <c r="D180" s="42" t="str">
        <f t="shared" si="50"/>
        <v/>
      </c>
      <c r="E180" s="43"/>
      <c r="F180" s="83"/>
      <c r="G180" s="118"/>
      <c r="H180" s="34" t="str">
        <f t="shared" si="51"/>
        <v/>
      </c>
      <c r="I180" s="88" t="str">
        <f t="shared" si="52"/>
        <v/>
      </c>
      <c r="J180" s="44" t="str">
        <f t="shared" si="53"/>
        <v/>
      </c>
      <c r="K180" s="118"/>
      <c r="L180" s="34" t="str">
        <f t="shared" si="54"/>
        <v/>
      </c>
      <c r="M180" s="118"/>
      <c r="N180" s="121"/>
      <c r="O180" s="122" t="str">
        <f t="shared" si="63"/>
        <v/>
      </c>
      <c r="P180" s="35" t="str">
        <f t="shared" si="64"/>
        <v/>
      </c>
      <c r="Q180" s="124"/>
      <c r="R180" s="36" t="str">
        <f t="shared" si="65"/>
        <v/>
      </c>
      <c r="S180" s="37" t="str">
        <f t="shared" si="55"/>
        <v/>
      </c>
      <c r="T180" s="38" t="str">
        <f t="shared" si="56"/>
        <v/>
      </c>
      <c r="U180" s="39" t="str">
        <f t="shared" si="57"/>
        <v/>
      </c>
      <c r="V180" s="40" t="str">
        <f t="shared" si="58"/>
        <v/>
      </c>
      <c r="W180" s="39" t="str">
        <f t="shared" si="59"/>
        <v/>
      </c>
      <c r="X180" s="34" t="str">
        <f t="shared" si="60"/>
        <v/>
      </c>
      <c r="Y180" s="41" t="str">
        <f t="shared" si="66"/>
        <v/>
      </c>
      <c r="Z180" s="98" t="str">
        <f t="shared" si="61"/>
        <v/>
      </c>
      <c r="AA180" s="81" t="str">
        <f t="shared" si="67"/>
        <v/>
      </c>
      <c r="AC180" s="139"/>
      <c r="AD180" s="110" t="str">
        <f t="shared" si="68"/>
        <v/>
      </c>
      <c r="AE180" s="111" t="str">
        <f t="shared" si="69"/>
        <v/>
      </c>
      <c r="AF180" s="111" t="str">
        <f t="shared" si="62"/>
        <v/>
      </c>
      <c r="AG180" s="111" t="str">
        <f t="shared" si="70"/>
        <v/>
      </c>
      <c r="AH180" s="111" t="str">
        <f t="shared" si="71"/>
        <v/>
      </c>
      <c r="AI180" s="112" t="str">
        <f t="shared" si="72"/>
        <v/>
      </c>
      <c r="AJ180" t="str">
        <f t="shared" si="73"/>
        <v/>
      </c>
      <c r="AK180" t="str">
        <f t="shared" si="74"/>
        <v/>
      </c>
    </row>
    <row r="181" spans="1:37" ht="15" customHeight="1" x14ac:dyDescent="0.25">
      <c r="A181" s="114"/>
      <c r="B181" s="116"/>
      <c r="C181" s="116"/>
      <c r="D181" s="42" t="str">
        <f t="shared" si="50"/>
        <v/>
      </c>
      <c r="E181" s="43"/>
      <c r="F181" s="83"/>
      <c r="G181" s="118"/>
      <c r="H181" s="34" t="str">
        <f t="shared" si="51"/>
        <v/>
      </c>
      <c r="I181" s="88" t="str">
        <f t="shared" si="52"/>
        <v/>
      </c>
      <c r="J181" s="44" t="str">
        <f t="shared" si="53"/>
        <v/>
      </c>
      <c r="K181" s="118"/>
      <c r="L181" s="34" t="str">
        <f t="shared" si="54"/>
        <v/>
      </c>
      <c r="M181" s="118"/>
      <c r="N181" s="121"/>
      <c r="O181" s="122" t="str">
        <f t="shared" si="63"/>
        <v/>
      </c>
      <c r="P181" s="35" t="str">
        <f t="shared" si="64"/>
        <v/>
      </c>
      <c r="Q181" s="124"/>
      <c r="R181" s="36" t="str">
        <f t="shared" si="65"/>
        <v/>
      </c>
      <c r="S181" s="37" t="str">
        <f t="shared" si="55"/>
        <v/>
      </c>
      <c r="T181" s="38" t="str">
        <f t="shared" si="56"/>
        <v/>
      </c>
      <c r="U181" s="39" t="str">
        <f t="shared" si="57"/>
        <v/>
      </c>
      <c r="V181" s="40" t="str">
        <f t="shared" si="58"/>
        <v/>
      </c>
      <c r="W181" s="39" t="str">
        <f t="shared" si="59"/>
        <v/>
      </c>
      <c r="X181" s="34" t="str">
        <f t="shared" si="60"/>
        <v/>
      </c>
      <c r="Y181" s="41" t="str">
        <f t="shared" si="66"/>
        <v/>
      </c>
      <c r="Z181" s="98" t="str">
        <f t="shared" si="61"/>
        <v/>
      </c>
      <c r="AA181" s="81" t="str">
        <f t="shared" si="67"/>
        <v/>
      </c>
      <c r="AC181" s="139"/>
      <c r="AD181" s="110" t="str">
        <f t="shared" si="68"/>
        <v/>
      </c>
      <c r="AE181" s="111" t="str">
        <f t="shared" si="69"/>
        <v/>
      </c>
      <c r="AF181" s="111" t="str">
        <f t="shared" si="62"/>
        <v/>
      </c>
      <c r="AG181" s="111" t="str">
        <f t="shared" si="70"/>
        <v/>
      </c>
      <c r="AH181" s="111" t="str">
        <f t="shared" si="71"/>
        <v/>
      </c>
      <c r="AI181" s="112" t="str">
        <f t="shared" si="72"/>
        <v/>
      </c>
      <c r="AJ181" t="str">
        <f t="shared" si="73"/>
        <v/>
      </c>
      <c r="AK181" t="str">
        <f t="shared" si="74"/>
        <v/>
      </c>
    </row>
    <row r="182" spans="1:37" ht="15" customHeight="1" x14ac:dyDescent="0.25">
      <c r="A182" s="114"/>
      <c r="B182" s="116"/>
      <c r="C182" s="116"/>
      <c r="D182" s="42" t="str">
        <f t="shared" si="50"/>
        <v/>
      </c>
      <c r="E182" s="43"/>
      <c r="F182" s="83"/>
      <c r="G182" s="118"/>
      <c r="H182" s="34" t="str">
        <f t="shared" si="51"/>
        <v/>
      </c>
      <c r="I182" s="88" t="str">
        <f t="shared" si="52"/>
        <v/>
      </c>
      <c r="J182" s="44" t="str">
        <f t="shared" si="53"/>
        <v/>
      </c>
      <c r="K182" s="118"/>
      <c r="L182" s="34" t="str">
        <f t="shared" si="54"/>
        <v/>
      </c>
      <c r="M182" s="118"/>
      <c r="N182" s="121"/>
      <c r="O182" s="122" t="str">
        <f t="shared" si="63"/>
        <v/>
      </c>
      <c r="P182" s="35" t="str">
        <f t="shared" si="64"/>
        <v/>
      </c>
      <c r="Q182" s="124"/>
      <c r="R182" s="36" t="str">
        <f t="shared" si="65"/>
        <v/>
      </c>
      <c r="S182" s="37" t="str">
        <f t="shared" si="55"/>
        <v/>
      </c>
      <c r="T182" s="38" t="str">
        <f t="shared" si="56"/>
        <v/>
      </c>
      <c r="U182" s="39" t="str">
        <f t="shared" si="57"/>
        <v/>
      </c>
      <c r="V182" s="40" t="str">
        <f t="shared" si="58"/>
        <v/>
      </c>
      <c r="W182" s="39" t="str">
        <f t="shared" si="59"/>
        <v/>
      </c>
      <c r="X182" s="34" t="str">
        <f t="shared" si="60"/>
        <v/>
      </c>
      <c r="Y182" s="41" t="str">
        <f t="shared" si="66"/>
        <v/>
      </c>
      <c r="Z182" s="98" t="str">
        <f t="shared" si="61"/>
        <v/>
      </c>
      <c r="AA182" s="81" t="str">
        <f t="shared" si="67"/>
        <v/>
      </c>
      <c r="AC182" s="139"/>
      <c r="AD182" s="110" t="str">
        <f t="shared" si="68"/>
        <v/>
      </c>
      <c r="AE182" s="111" t="str">
        <f t="shared" si="69"/>
        <v/>
      </c>
      <c r="AF182" s="111" t="str">
        <f t="shared" si="62"/>
        <v/>
      </c>
      <c r="AG182" s="111" t="str">
        <f t="shared" si="70"/>
        <v/>
      </c>
      <c r="AH182" s="111" t="str">
        <f t="shared" si="71"/>
        <v/>
      </c>
      <c r="AI182" s="112" t="str">
        <f t="shared" si="72"/>
        <v/>
      </c>
      <c r="AJ182" t="str">
        <f t="shared" si="73"/>
        <v/>
      </c>
      <c r="AK182" t="str">
        <f t="shared" si="74"/>
        <v/>
      </c>
    </row>
    <row r="183" spans="1:37" ht="15" customHeight="1" x14ac:dyDescent="0.25">
      <c r="A183" s="114"/>
      <c r="B183" s="116"/>
      <c r="C183" s="116"/>
      <c r="D183" s="42" t="str">
        <f t="shared" si="50"/>
        <v/>
      </c>
      <c r="E183" s="43"/>
      <c r="F183" s="83"/>
      <c r="G183" s="118"/>
      <c r="H183" s="34" t="str">
        <f t="shared" si="51"/>
        <v/>
      </c>
      <c r="I183" s="88" t="str">
        <f t="shared" si="52"/>
        <v/>
      </c>
      <c r="J183" s="44" t="str">
        <f t="shared" si="53"/>
        <v/>
      </c>
      <c r="K183" s="118"/>
      <c r="L183" s="34" t="str">
        <f t="shared" si="54"/>
        <v/>
      </c>
      <c r="M183" s="118"/>
      <c r="N183" s="121"/>
      <c r="O183" s="122" t="str">
        <f t="shared" si="63"/>
        <v/>
      </c>
      <c r="P183" s="35" t="str">
        <f t="shared" si="64"/>
        <v/>
      </c>
      <c r="Q183" s="124"/>
      <c r="R183" s="36" t="str">
        <f t="shared" si="65"/>
        <v/>
      </c>
      <c r="S183" s="37" t="str">
        <f t="shared" si="55"/>
        <v/>
      </c>
      <c r="T183" s="38" t="str">
        <f t="shared" si="56"/>
        <v/>
      </c>
      <c r="U183" s="39" t="str">
        <f t="shared" si="57"/>
        <v/>
      </c>
      <c r="V183" s="40" t="str">
        <f t="shared" si="58"/>
        <v/>
      </c>
      <c r="W183" s="39" t="str">
        <f t="shared" si="59"/>
        <v/>
      </c>
      <c r="X183" s="34" t="str">
        <f t="shared" si="60"/>
        <v/>
      </c>
      <c r="Y183" s="41" t="str">
        <f t="shared" si="66"/>
        <v/>
      </c>
      <c r="Z183" s="98" t="str">
        <f t="shared" si="61"/>
        <v/>
      </c>
      <c r="AA183" s="81" t="str">
        <f t="shared" si="67"/>
        <v/>
      </c>
      <c r="AC183" s="139"/>
      <c r="AD183" s="110" t="str">
        <f t="shared" si="68"/>
        <v/>
      </c>
      <c r="AE183" s="111" t="str">
        <f t="shared" si="69"/>
        <v/>
      </c>
      <c r="AF183" s="111" t="str">
        <f t="shared" si="62"/>
        <v/>
      </c>
      <c r="AG183" s="111" t="str">
        <f t="shared" si="70"/>
        <v/>
      </c>
      <c r="AH183" s="111" t="str">
        <f t="shared" si="71"/>
        <v/>
      </c>
      <c r="AI183" s="112" t="str">
        <f t="shared" si="72"/>
        <v/>
      </c>
      <c r="AJ183" t="str">
        <f t="shared" si="73"/>
        <v/>
      </c>
      <c r="AK183" t="str">
        <f t="shared" si="74"/>
        <v/>
      </c>
    </row>
    <row r="184" spans="1:37" ht="15" customHeight="1" x14ac:dyDescent="0.25">
      <c r="A184" s="114"/>
      <c r="B184" s="116"/>
      <c r="C184" s="116"/>
      <c r="D184" s="42" t="str">
        <f t="shared" si="50"/>
        <v/>
      </c>
      <c r="E184" s="43"/>
      <c r="F184" s="83"/>
      <c r="G184" s="118"/>
      <c r="H184" s="34" t="str">
        <f t="shared" si="51"/>
        <v/>
      </c>
      <c r="I184" s="88" t="str">
        <f t="shared" si="52"/>
        <v/>
      </c>
      <c r="J184" s="44" t="str">
        <f t="shared" si="53"/>
        <v/>
      </c>
      <c r="K184" s="118"/>
      <c r="L184" s="34" t="str">
        <f t="shared" si="54"/>
        <v/>
      </c>
      <c r="M184" s="118"/>
      <c r="N184" s="121"/>
      <c r="O184" s="122" t="str">
        <f t="shared" si="63"/>
        <v/>
      </c>
      <c r="P184" s="35" t="str">
        <f t="shared" si="64"/>
        <v/>
      </c>
      <c r="Q184" s="124"/>
      <c r="R184" s="36" t="str">
        <f t="shared" si="65"/>
        <v/>
      </c>
      <c r="S184" s="37" t="str">
        <f t="shared" si="55"/>
        <v/>
      </c>
      <c r="T184" s="38" t="str">
        <f t="shared" si="56"/>
        <v/>
      </c>
      <c r="U184" s="39" t="str">
        <f t="shared" si="57"/>
        <v/>
      </c>
      <c r="V184" s="40" t="str">
        <f t="shared" si="58"/>
        <v/>
      </c>
      <c r="W184" s="39" t="str">
        <f t="shared" si="59"/>
        <v/>
      </c>
      <c r="X184" s="34" t="str">
        <f t="shared" si="60"/>
        <v/>
      </c>
      <c r="Y184" s="41" t="str">
        <f t="shared" si="66"/>
        <v/>
      </c>
      <c r="Z184" s="98" t="str">
        <f t="shared" si="61"/>
        <v/>
      </c>
      <c r="AA184" s="81" t="str">
        <f t="shared" si="67"/>
        <v/>
      </c>
      <c r="AC184" s="139"/>
      <c r="AD184" s="110" t="str">
        <f t="shared" si="68"/>
        <v/>
      </c>
      <c r="AE184" s="111" t="str">
        <f t="shared" si="69"/>
        <v/>
      </c>
      <c r="AF184" s="111" t="str">
        <f t="shared" si="62"/>
        <v/>
      </c>
      <c r="AG184" s="111" t="str">
        <f t="shared" si="70"/>
        <v/>
      </c>
      <c r="AH184" s="111" t="str">
        <f t="shared" si="71"/>
        <v/>
      </c>
      <c r="AI184" s="112" t="str">
        <f t="shared" si="72"/>
        <v/>
      </c>
      <c r="AJ184" t="str">
        <f t="shared" si="73"/>
        <v/>
      </c>
      <c r="AK184" t="str">
        <f t="shared" si="74"/>
        <v/>
      </c>
    </row>
    <row r="185" spans="1:37" ht="15" customHeight="1" x14ac:dyDescent="0.25">
      <c r="A185" s="114"/>
      <c r="B185" s="116"/>
      <c r="C185" s="116"/>
      <c r="D185" s="42" t="str">
        <f t="shared" si="50"/>
        <v/>
      </c>
      <c r="E185" s="43"/>
      <c r="F185" s="83"/>
      <c r="G185" s="118"/>
      <c r="H185" s="34" t="str">
        <f t="shared" si="51"/>
        <v/>
      </c>
      <c r="I185" s="88" t="str">
        <f t="shared" si="52"/>
        <v/>
      </c>
      <c r="J185" s="44" t="str">
        <f t="shared" si="53"/>
        <v/>
      </c>
      <c r="K185" s="118"/>
      <c r="L185" s="34" t="str">
        <f t="shared" si="54"/>
        <v/>
      </c>
      <c r="M185" s="118"/>
      <c r="N185" s="121"/>
      <c r="O185" s="122" t="str">
        <f t="shared" si="63"/>
        <v/>
      </c>
      <c r="P185" s="35" t="str">
        <f t="shared" si="64"/>
        <v/>
      </c>
      <c r="Q185" s="124"/>
      <c r="R185" s="36" t="str">
        <f t="shared" si="65"/>
        <v/>
      </c>
      <c r="S185" s="37" t="str">
        <f t="shared" si="55"/>
        <v/>
      </c>
      <c r="T185" s="38" t="str">
        <f t="shared" si="56"/>
        <v/>
      </c>
      <c r="U185" s="39" t="str">
        <f t="shared" si="57"/>
        <v/>
      </c>
      <c r="V185" s="40" t="str">
        <f t="shared" si="58"/>
        <v/>
      </c>
      <c r="W185" s="39" t="str">
        <f t="shared" si="59"/>
        <v/>
      </c>
      <c r="X185" s="34" t="str">
        <f t="shared" si="60"/>
        <v/>
      </c>
      <c r="Y185" s="41" t="str">
        <f t="shared" si="66"/>
        <v/>
      </c>
      <c r="Z185" s="98" t="str">
        <f t="shared" si="61"/>
        <v/>
      </c>
      <c r="AA185" s="81" t="str">
        <f t="shared" si="67"/>
        <v/>
      </c>
      <c r="AC185" s="139"/>
      <c r="AD185" s="110" t="str">
        <f t="shared" si="68"/>
        <v/>
      </c>
      <c r="AE185" s="111" t="str">
        <f t="shared" si="69"/>
        <v/>
      </c>
      <c r="AF185" s="111" t="str">
        <f t="shared" si="62"/>
        <v/>
      </c>
      <c r="AG185" s="111" t="str">
        <f t="shared" si="70"/>
        <v/>
      </c>
      <c r="AH185" s="111" t="str">
        <f t="shared" si="71"/>
        <v/>
      </c>
      <c r="AI185" s="112" t="str">
        <f t="shared" si="72"/>
        <v/>
      </c>
      <c r="AJ185" t="str">
        <f t="shared" si="73"/>
        <v/>
      </c>
      <c r="AK185" t="str">
        <f t="shared" si="74"/>
        <v/>
      </c>
    </row>
    <row r="186" spans="1:37" ht="15" customHeight="1" x14ac:dyDescent="0.25">
      <c r="A186" s="114"/>
      <c r="B186" s="116"/>
      <c r="C186" s="116"/>
      <c r="D186" s="42" t="str">
        <f t="shared" si="50"/>
        <v/>
      </c>
      <c r="E186" s="43"/>
      <c r="F186" s="83"/>
      <c r="G186" s="118"/>
      <c r="H186" s="34" t="str">
        <f t="shared" si="51"/>
        <v/>
      </c>
      <c r="I186" s="88" t="str">
        <f t="shared" si="52"/>
        <v/>
      </c>
      <c r="J186" s="44" t="str">
        <f t="shared" si="53"/>
        <v/>
      </c>
      <c r="K186" s="118"/>
      <c r="L186" s="34" t="str">
        <f t="shared" si="54"/>
        <v/>
      </c>
      <c r="M186" s="118"/>
      <c r="N186" s="121"/>
      <c r="O186" s="122" t="str">
        <f t="shared" si="63"/>
        <v/>
      </c>
      <c r="P186" s="35" t="str">
        <f t="shared" si="64"/>
        <v/>
      </c>
      <c r="Q186" s="124"/>
      <c r="R186" s="36" t="str">
        <f t="shared" si="65"/>
        <v/>
      </c>
      <c r="S186" s="37" t="str">
        <f t="shared" si="55"/>
        <v/>
      </c>
      <c r="T186" s="38" t="str">
        <f t="shared" si="56"/>
        <v/>
      </c>
      <c r="U186" s="39" t="str">
        <f t="shared" si="57"/>
        <v/>
      </c>
      <c r="V186" s="40" t="str">
        <f t="shared" si="58"/>
        <v/>
      </c>
      <c r="W186" s="39" t="str">
        <f t="shared" si="59"/>
        <v/>
      </c>
      <c r="X186" s="34" t="str">
        <f t="shared" si="60"/>
        <v/>
      </c>
      <c r="Y186" s="41" t="str">
        <f t="shared" si="66"/>
        <v/>
      </c>
      <c r="Z186" s="98" t="str">
        <f t="shared" si="61"/>
        <v/>
      </c>
      <c r="AA186" s="81" t="str">
        <f t="shared" si="67"/>
        <v/>
      </c>
      <c r="AC186" s="139"/>
      <c r="AD186" s="110" t="str">
        <f t="shared" si="68"/>
        <v/>
      </c>
      <c r="AE186" s="111" t="str">
        <f t="shared" si="69"/>
        <v/>
      </c>
      <c r="AF186" s="111" t="str">
        <f t="shared" si="62"/>
        <v/>
      </c>
      <c r="AG186" s="111" t="str">
        <f t="shared" si="70"/>
        <v/>
      </c>
      <c r="AH186" s="111" t="str">
        <f t="shared" si="71"/>
        <v/>
      </c>
      <c r="AI186" s="112" t="str">
        <f t="shared" si="72"/>
        <v/>
      </c>
      <c r="AJ186" t="str">
        <f t="shared" si="73"/>
        <v/>
      </c>
      <c r="AK186" t="str">
        <f t="shared" si="74"/>
        <v/>
      </c>
    </row>
    <row r="187" spans="1:37" ht="15" customHeight="1" x14ac:dyDescent="0.25">
      <c r="A187" s="114"/>
      <c r="B187" s="116"/>
      <c r="C187" s="116"/>
      <c r="D187" s="42" t="str">
        <f t="shared" si="50"/>
        <v/>
      </c>
      <c r="E187" s="43"/>
      <c r="F187" s="83"/>
      <c r="G187" s="118"/>
      <c r="H187" s="34" t="str">
        <f t="shared" si="51"/>
        <v/>
      </c>
      <c r="I187" s="88" t="str">
        <f t="shared" si="52"/>
        <v/>
      </c>
      <c r="J187" s="44" t="str">
        <f t="shared" si="53"/>
        <v/>
      </c>
      <c r="K187" s="118"/>
      <c r="L187" s="34" t="str">
        <f t="shared" si="54"/>
        <v/>
      </c>
      <c r="M187" s="118"/>
      <c r="N187" s="121"/>
      <c r="O187" s="122" t="str">
        <f t="shared" si="63"/>
        <v/>
      </c>
      <c r="P187" s="35" t="str">
        <f t="shared" si="64"/>
        <v/>
      </c>
      <c r="Q187" s="124"/>
      <c r="R187" s="36" t="str">
        <f t="shared" si="65"/>
        <v/>
      </c>
      <c r="S187" s="37" t="str">
        <f t="shared" si="55"/>
        <v/>
      </c>
      <c r="T187" s="38" t="str">
        <f t="shared" si="56"/>
        <v/>
      </c>
      <c r="U187" s="39" t="str">
        <f t="shared" si="57"/>
        <v/>
      </c>
      <c r="V187" s="40" t="str">
        <f t="shared" si="58"/>
        <v/>
      </c>
      <c r="W187" s="39" t="str">
        <f t="shared" si="59"/>
        <v/>
      </c>
      <c r="X187" s="34" t="str">
        <f t="shared" si="60"/>
        <v/>
      </c>
      <c r="Y187" s="41" t="str">
        <f t="shared" si="66"/>
        <v/>
      </c>
      <c r="Z187" s="98" t="str">
        <f t="shared" si="61"/>
        <v/>
      </c>
      <c r="AA187" s="81" t="str">
        <f t="shared" si="67"/>
        <v/>
      </c>
      <c r="AC187" s="139"/>
      <c r="AD187" s="110" t="str">
        <f t="shared" si="68"/>
        <v/>
      </c>
      <c r="AE187" s="111" t="str">
        <f t="shared" si="69"/>
        <v/>
      </c>
      <c r="AF187" s="111" t="str">
        <f t="shared" si="62"/>
        <v/>
      </c>
      <c r="AG187" s="111" t="str">
        <f t="shared" si="70"/>
        <v/>
      </c>
      <c r="AH187" s="111" t="str">
        <f t="shared" si="71"/>
        <v/>
      </c>
      <c r="AI187" s="112" t="str">
        <f t="shared" si="72"/>
        <v/>
      </c>
      <c r="AJ187" t="str">
        <f t="shared" si="73"/>
        <v/>
      </c>
      <c r="AK187" t="str">
        <f t="shared" si="74"/>
        <v/>
      </c>
    </row>
    <row r="188" spans="1:37" ht="15" customHeight="1" x14ac:dyDescent="0.25">
      <c r="A188" s="114"/>
      <c r="B188" s="116"/>
      <c r="C188" s="116"/>
      <c r="D188" s="42" t="str">
        <f t="shared" si="50"/>
        <v/>
      </c>
      <c r="E188" s="43"/>
      <c r="F188" s="83"/>
      <c r="G188" s="118"/>
      <c r="H188" s="34" t="str">
        <f t="shared" si="51"/>
        <v/>
      </c>
      <c r="I188" s="88" t="str">
        <f t="shared" si="52"/>
        <v/>
      </c>
      <c r="J188" s="44" t="str">
        <f t="shared" si="53"/>
        <v/>
      </c>
      <c r="K188" s="118"/>
      <c r="L188" s="34" t="str">
        <f t="shared" si="54"/>
        <v/>
      </c>
      <c r="M188" s="118"/>
      <c r="N188" s="121"/>
      <c r="O188" s="122" t="str">
        <f t="shared" si="63"/>
        <v/>
      </c>
      <c r="P188" s="35" t="str">
        <f t="shared" si="64"/>
        <v/>
      </c>
      <c r="Q188" s="124"/>
      <c r="R188" s="36" t="str">
        <f t="shared" si="65"/>
        <v/>
      </c>
      <c r="S188" s="37" t="str">
        <f t="shared" si="55"/>
        <v/>
      </c>
      <c r="T188" s="38" t="str">
        <f t="shared" si="56"/>
        <v/>
      </c>
      <c r="U188" s="39" t="str">
        <f t="shared" si="57"/>
        <v/>
      </c>
      <c r="V188" s="40" t="str">
        <f t="shared" si="58"/>
        <v/>
      </c>
      <c r="W188" s="39" t="str">
        <f t="shared" si="59"/>
        <v/>
      </c>
      <c r="X188" s="34" t="str">
        <f t="shared" si="60"/>
        <v/>
      </c>
      <c r="Y188" s="41" t="str">
        <f t="shared" si="66"/>
        <v/>
      </c>
      <c r="Z188" s="98" t="str">
        <f t="shared" si="61"/>
        <v/>
      </c>
      <c r="AA188" s="81" t="str">
        <f t="shared" si="67"/>
        <v/>
      </c>
      <c r="AC188" s="139"/>
      <c r="AD188" s="110" t="str">
        <f t="shared" si="68"/>
        <v/>
      </c>
      <c r="AE188" s="111" t="str">
        <f t="shared" si="69"/>
        <v/>
      </c>
      <c r="AF188" s="111" t="str">
        <f t="shared" si="62"/>
        <v/>
      </c>
      <c r="AG188" s="111" t="str">
        <f t="shared" si="70"/>
        <v/>
      </c>
      <c r="AH188" s="111" t="str">
        <f t="shared" si="71"/>
        <v/>
      </c>
      <c r="AI188" s="112" t="str">
        <f t="shared" si="72"/>
        <v/>
      </c>
      <c r="AJ188" t="str">
        <f t="shared" si="73"/>
        <v/>
      </c>
      <c r="AK188" t="str">
        <f t="shared" si="74"/>
        <v/>
      </c>
    </row>
    <row r="189" spans="1:37" ht="15" customHeight="1" x14ac:dyDescent="0.25">
      <c r="A189" s="114"/>
      <c r="B189" s="116"/>
      <c r="C189" s="116"/>
      <c r="D189" s="42" t="str">
        <f t="shared" si="50"/>
        <v/>
      </c>
      <c r="E189" s="43"/>
      <c r="F189" s="83"/>
      <c r="G189" s="118"/>
      <c r="H189" s="34" t="str">
        <f t="shared" si="51"/>
        <v/>
      </c>
      <c r="I189" s="88" t="str">
        <f t="shared" si="52"/>
        <v/>
      </c>
      <c r="J189" s="44" t="str">
        <f t="shared" si="53"/>
        <v/>
      </c>
      <c r="K189" s="118"/>
      <c r="L189" s="34" t="str">
        <f t="shared" si="54"/>
        <v/>
      </c>
      <c r="M189" s="118"/>
      <c r="N189" s="121"/>
      <c r="O189" s="122" t="str">
        <f t="shared" si="63"/>
        <v/>
      </c>
      <c r="P189" s="35" t="str">
        <f t="shared" si="64"/>
        <v/>
      </c>
      <c r="Q189" s="124"/>
      <c r="R189" s="36" t="str">
        <f t="shared" si="65"/>
        <v/>
      </c>
      <c r="S189" s="37" t="str">
        <f t="shared" si="55"/>
        <v/>
      </c>
      <c r="T189" s="38" t="str">
        <f t="shared" si="56"/>
        <v/>
      </c>
      <c r="U189" s="39" t="str">
        <f t="shared" si="57"/>
        <v/>
      </c>
      <c r="V189" s="40" t="str">
        <f t="shared" si="58"/>
        <v/>
      </c>
      <c r="W189" s="39" t="str">
        <f t="shared" si="59"/>
        <v/>
      </c>
      <c r="X189" s="34" t="str">
        <f t="shared" si="60"/>
        <v/>
      </c>
      <c r="Y189" s="41" t="str">
        <f t="shared" si="66"/>
        <v/>
      </c>
      <c r="Z189" s="98" t="str">
        <f t="shared" si="61"/>
        <v/>
      </c>
      <c r="AA189" s="81" t="str">
        <f t="shared" si="67"/>
        <v/>
      </c>
      <c r="AC189" s="139"/>
      <c r="AD189" s="110" t="str">
        <f t="shared" si="68"/>
        <v/>
      </c>
      <c r="AE189" s="111" t="str">
        <f t="shared" si="69"/>
        <v/>
      </c>
      <c r="AF189" s="111" t="str">
        <f t="shared" si="62"/>
        <v/>
      </c>
      <c r="AG189" s="111" t="str">
        <f t="shared" si="70"/>
        <v/>
      </c>
      <c r="AH189" s="111" t="str">
        <f t="shared" si="71"/>
        <v/>
      </c>
      <c r="AI189" s="112" t="str">
        <f t="shared" si="72"/>
        <v/>
      </c>
      <c r="AJ189" t="str">
        <f t="shared" si="73"/>
        <v/>
      </c>
      <c r="AK189" t="str">
        <f t="shared" si="74"/>
        <v/>
      </c>
    </row>
    <row r="190" spans="1:37" ht="15" customHeight="1" x14ac:dyDescent="0.25">
      <c r="A190" s="114"/>
      <c r="B190" s="116"/>
      <c r="C190" s="116"/>
      <c r="D190" s="42" t="str">
        <f t="shared" si="50"/>
        <v/>
      </c>
      <c r="E190" s="43"/>
      <c r="F190" s="83"/>
      <c r="G190" s="118"/>
      <c r="H190" s="34" t="str">
        <f t="shared" si="51"/>
        <v/>
      </c>
      <c r="I190" s="88" t="str">
        <f t="shared" si="52"/>
        <v/>
      </c>
      <c r="J190" s="44" t="str">
        <f t="shared" si="53"/>
        <v/>
      </c>
      <c r="K190" s="118"/>
      <c r="L190" s="34" t="str">
        <f t="shared" si="54"/>
        <v/>
      </c>
      <c r="M190" s="118"/>
      <c r="N190" s="121"/>
      <c r="O190" s="122" t="str">
        <f t="shared" si="63"/>
        <v/>
      </c>
      <c r="P190" s="35" t="str">
        <f t="shared" si="64"/>
        <v/>
      </c>
      <c r="Q190" s="124"/>
      <c r="R190" s="36" t="str">
        <f t="shared" si="65"/>
        <v/>
      </c>
      <c r="S190" s="37" t="str">
        <f t="shared" si="55"/>
        <v/>
      </c>
      <c r="T190" s="38" t="str">
        <f t="shared" si="56"/>
        <v/>
      </c>
      <c r="U190" s="39" t="str">
        <f t="shared" si="57"/>
        <v/>
      </c>
      <c r="V190" s="40" t="str">
        <f t="shared" si="58"/>
        <v/>
      </c>
      <c r="W190" s="39" t="str">
        <f t="shared" si="59"/>
        <v/>
      </c>
      <c r="X190" s="34" t="str">
        <f t="shared" si="60"/>
        <v/>
      </c>
      <c r="Y190" s="41" t="str">
        <f t="shared" si="66"/>
        <v/>
      </c>
      <c r="Z190" s="98" t="str">
        <f t="shared" si="61"/>
        <v/>
      </c>
      <c r="AA190" s="81" t="str">
        <f t="shared" si="67"/>
        <v/>
      </c>
      <c r="AC190" s="139"/>
      <c r="AD190" s="110" t="str">
        <f t="shared" si="68"/>
        <v/>
      </c>
      <c r="AE190" s="111" t="str">
        <f t="shared" si="69"/>
        <v/>
      </c>
      <c r="AF190" s="111" t="str">
        <f t="shared" si="62"/>
        <v/>
      </c>
      <c r="AG190" s="111" t="str">
        <f t="shared" si="70"/>
        <v/>
      </c>
      <c r="AH190" s="111" t="str">
        <f t="shared" si="71"/>
        <v/>
      </c>
      <c r="AI190" s="112" t="str">
        <f t="shared" si="72"/>
        <v/>
      </c>
      <c r="AJ190" t="str">
        <f t="shared" si="73"/>
        <v/>
      </c>
      <c r="AK190" t="str">
        <f t="shared" si="74"/>
        <v/>
      </c>
    </row>
    <row r="191" spans="1:37" ht="15" customHeight="1" x14ac:dyDescent="0.25">
      <c r="A191" s="114"/>
      <c r="B191" s="116"/>
      <c r="C191" s="116"/>
      <c r="D191" s="42" t="str">
        <f t="shared" si="50"/>
        <v/>
      </c>
      <c r="E191" s="43"/>
      <c r="F191" s="83"/>
      <c r="G191" s="118"/>
      <c r="H191" s="34" t="str">
        <f t="shared" si="51"/>
        <v/>
      </c>
      <c r="I191" s="88" t="str">
        <f t="shared" si="52"/>
        <v/>
      </c>
      <c r="J191" s="44" t="str">
        <f t="shared" si="53"/>
        <v/>
      </c>
      <c r="K191" s="118"/>
      <c r="L191" s="34" t="str">
        <f t="shared" si="54"/>
        <v/>
      </c>
      <c r="M191" s="118"/>
      <c r="N191" s="121"/>
      <c r="O191" s="122" t="str">
        <f t="shared" si="63"/>
        <v/>
      </c>
      <c r="P191" s="35" t="str">
        <f t="shared" si="64"/>
        <v/>
      </c>
      <c r="Q191" s="124"/>
      <c r="R191" s="36" t="str">
        <f t="shared" si="65"/>
        <v/>
      </c>
      <c r="S191" s="37" t="str">
        <f t="shared" si="55"/>
        <v/>
      </c>
      <c r="T191" s="38" t="str">
        <f t="shared" si="56"/>
        <v/>
      </c>
      <c r="U191" s="39" t="str">
        <f t="shared" si="57"/>
        <v/>
      </c>
      <c r="V191" s="40" t="str">
        <f t="shared" si="58"/>
        <v/>
      </c>
      <c r="W191" s="39" t="str">
        <f t="shared" si="59"/>
        <v/>
      </c>
      <c r="X191" s="34" t="str">
        <f t="shared" si="60"/>
        <v/>
      </c>
      <c r="Y191" s="41" t="str">
        <f t="shared" si="66"/>
        <v/>
      </c>
      <c r="Z191" s="98" t="str">
        <f t="shared" si="61"/>
        <v/>
      </c>
      <c r="AA191" s="81" t="str">
        <f t="shared" si="67"/>
        <v/>
      </c>
      <c r="AC191" s="139"/>
      <c r="AD191" s="110" t="str">
        <f t="shared" si="68"/>
        <v/>
      </c>
      <c r="AE191" s="111" t="str">
        <f t="shared" si="69"/>
        <v/>
      </c>
      <c r="AF191" s="111" t="str">
        <f t="shared" si="62"/>
        <v/>
      </c>
      <c r="AG191" s="111" t="str">
        <f t="shared" si="70"/>
        <v/>
      </c>
      <c r="AH191" s="111" t="str">
        <f t="shared" si="71"/>
        <v/>
      </c>
      <c r="AI191" s="112" t="str">
        <f t="shared" si="72"/>
        <v/>
      </c>
      <c r="AJ191" t="str">
        <f t="shared" si="73"/>
        <v/>
      </c>
      <c r="AK191" t="str">
        <f t="shared" si="74"/>
        <v/>
      </c>
    </row>
    <row r="192" spans="1:37" ht="15" customHeight="1" x14ac:dyDescent="0.25">
      <c r="A192" s="114"/>
      <c r="B192" s="116"/>
      <c r="C192" s="116"/>
      <c r="D192" s="42" t="str">
        <f t="shared" si="50"/>
        <v/>
      </c>
      <c r="E192" s="43"/>
      <c r="F192" s="83"/>
      <c r="G192" s="118"/>
      <c r="H192" s="34" t="str">
        <f t="shared" si="51"/>
        <v/>
      </c>
      <c r="I192" s="88" t="str">
        <f t="shared" si="52"/>
        <v/>
      </c>
      <c r="J192" s="44" t="str">
        <f t="shared" si="53"/>
        <v/>
      </c>
      <c r="K192" s="118"/>
      <c r="L192" s="34" t="str">
        <f t="shared" si="54"/>
        <v/>
      </c>
      <c r="M192" s="118"/>
      <c r="N192" s="121"/>
      <c r="O192" s="122" t="str">
        <f t="shared" si="63"/>
        <v/>
      </c>
      <c r="P192" s="35" t="str">
        <f t="shared" si="64"/>
        <v/>
      </c>
      <c r="Q192" s="124"/>
      <c r="R192" s="36" t="str">
        <f t="shared" si="65"/>
        <v/>
      </c>
      <c r="S192" s="37" t="str">
        <f t="shared" si="55"/>
        <v/>
      </c>
      <c r="T192" s="38" t="str">
        <f t="shared" si="56"/>
        <v/>
      </c>
      <c r="U192" s="39" t="str">
        <f t="shared" si="57"/>
        <v/>
      </c>
      <c r="V192" s="40" t="str">
        <f t="shared" si="58"/>
        <v/>
      </c>
      <c r="W192" s="39" t="str">
        <f t="shared" si="59"/>
        <v/>
      </c>
      <c r="X192" s="34" t="str">
        <f t="shared" si="60"/>
        <v/>
      </c>
      <c r="Y192" s="41" t="str">
        <f t="shared" si="66"/>
        <v/>
      </c>
      <c r="Z192" s="98" t="str">
        <f t="shared" si="61"/>
        <v/>
      </c>
      <c r="AA192" s="81" t="str">
        <f t="shared" si="67"/>
        <v/>
      </c>
      <c r="AC192" s="139"/>
      <c r="AD192" s="110" t="str">
        <f t="shared" si="68"/>
        <v/>
      </c>
      <c r="AE192" s="111" t="str">
        <f t="shared" si="69"/>
        <v/>
      </c>
      <c r="AF192" s="111" t="str">
        <f t="shared" si="62"/>
        <v/>
      </c>
      <c r="AG192" s="111" t="str">
        <f t="shared" si="70"/>
        <v/>
      </c>
      <c r="AH192" s="111" t="str">
        <f t="shared" si="71"/>
        <v/>
      </c>
      <c r="AI192" s="112" t="str">
        <f t="shared" si="72"/>
        <v/>
      </c>
      <c r="AJ192" t="str">
        <f t="shared" si="73"/>
        <v/>
      </c>
      <c r="AK192" t="str">
        <f t="shared" si="74"/>
        <v/>
      </c>
    </row>
    <row r="193" spans="1:37" ht="15" customHeight="1" x14ac:dyDescent="0.25">
      <c r="A193" s="114"/>
      <c r="B193" s="116"/>
      <c r="C193" s="116"/>
      <c r="D193" s="42" t="str">
        <f t="shared" si="50"/>
        <v/>
      </c>
      <c r="E193" s="43"/>
      <c r="F193" s="83"/>
      <c r="G193" s="118"/>
      <c r="H193" s="34" t="str">
        <f t="shared" si="51"/>
        <v/>
      </c>
      <c r="I193" s="88" t="str">
        <f t="shared" si="52"/>
        <v/>
      </c>
      <c r="J193" s="44" t="str">
        <f t="shared" si="53"/>
        <v/>
      </c>
      <c r="K193" s="118"/>
      <c r="L193" s="34" t="str">
        <f t="shared" si="54"/>
        <v/>
      </c>
      <c r="M193" s="118"/>
      <c r="N193" s="121"/>
      <c r="O193" s="122" t="str">
        <f t="shared" si="63"/>
        <v/>
      </c>
      <c r="P193" s="35" t="str">
        <f t="shared" si="64"/>
        <v/>
      </c>
      <c r="Q193" s="124"/>
      <c r="R193" s="36" t="str">
        <f t="shared" si="65"/>
        <v/>
      </c>
      <c r="S193" s="37" t="str">
        <f t="shared" si="55"/>
        <v/>
      </c>
      <c r="T193" s="38" t="str">
        <f t="shared" si="56"/>
        <v/>
      </c>
      <c r="U193" s="39" t="str">
        <f t="shared" si="57"/>
        <v/>
      </c>
      <c r="V193" s="40" t="str">
        <f t="shared" si="58"/>
        <v/>
      </c>
      <c r="W193" s="39" t="str">
        <f t="shared" si="59"/>
        <v/>
      </c>
      <c r="X193" s="34" t="str">
        <f t="shared" si="60"/>
        <v/>
      </c>
      <c r="Y193" s="41" t="str">
        <f t="shared" si="66"/>
        <v/>
      </c>
      <c r="Z193" s="98" t="str">
        <f t="shared" si="61"/>
        <v/>
      </c>
      <c r="AA193" s="81" t="str">
        <f t="shared" si="67"/>
        <v/>
      </c>
      <c r="AC193" s="139"/>
      <c r="AD193" s="110" t="str">
        <f t="shared" si="68"/>
        <v/>
      </c>
      <c r="AE193" s="111" t="str">
        <f t="shared" si="69"/>
        <v/>
      </c>
      <c r="AF193" s="111" t="str">
        <f t="shared" si="62"/>
        <v/>
      </c>
      <c r="AG193" s="111" t="str">
        <f t="shared" si="70"/>
        <v/>
      </c>
      <c r="AH193" s="111" t="str">
        <f t="shared" si="71"/>
        <v/>
      </c>
      <c r="AI193" s="112" t="str">
        <f t="shared" si="72"/>
        <v/>
      </c>
      <c r="AJ193" t="str">
        <f t="shared" si="73"/>
        <v/>
      </c>
      <c r="AK193" t="str">
        <f t="shared" si="74"/>
        <v/>
      </c>
    </row>
    <row r="194" spans="1:37" ht="15" customHeight="1" x14ac:dyDescent="0.25">
      <c r="A194" s="114"/>
      <c r="B194" s="116"/>
      <c r="C194" s="116"/>
      <c r="D194" s="42" t="str">
        <f t="shared" si="50"/>
        <v/>
      </c>
      <c r="E194" s="43"/>
      <c r="F194" s="83"/>
      <c r="G194" s="118"/>
      <c r="H194" s="34" t="str">
        <f t="shared" si="51"/>
        <v/>
      </c>
      <c r="I194" s="88" t="str">
        <f t="shared" si="52"/>
        <v/>
      </c>
      <c r="J194" s="44" t="str">
        <f t="shared" si="53"/>
        <v/>
      </c>
      <c r="K194" s="118"/>
      <c r="L194" s="34" t="str">
        <f t="shared" si="54"/>
        <v/>
      </c>
      <c r="M194" s="118"/>
      <c r="N194" s="121"/>
      <c r="O194" s="122" t="str">
        <f t="shared" si="63"/>
        <v/>
      </c>
      <c r="P194" s="35" t="str">
        <f t="shared" si="64"/>
        <v/>
      </c>
      <c r="Q194" s="124"/>
      <c r="R194" s="36" t="str">
        <f t="shared" si="65"/>
        <v/>
      </c>
      <c r="S194" s="37" t="str">
        <f t="shared" si="55"/>
        <v/>
      </c>
      <c r="T194" s="38" t="str">
        <f t="shared" si="56"/>
        <v/>
      </c>
      <c r="U194" s="39" t="str">
        <f t="shared" si="57"/>
        <v/>
      </c>
      <c r="V194" s="40" t="str">
        <f t="shared" si="58"/>
        <v/>
      </c>
      <c r="W194" s="39" t="str">
        <f t="shared" si="59"/>
        <v/>
      </c>
      <c r="X194" s="34" t="str">
        <f t="shared" si="60"/>
        <v/>
      </c>
      <c r="Y194" s="41" t="str">
        <f t="shared" si="66"/>
        <v/>
      </c>
      <c r="Z194" s="98" t="str">
        <f t="shared" si="61"/>
        <v/>
      </c>
      <c r="AA194" s="81" t="str">
        <f t="shared" si="67"/>
        <v/>
      </c>
      <c r="AC194" s="139"/>
      <c r="AD194" s="110" t="str">
        <f t="shared" si="68"/>
        <v/>
      </c>
      <c r="AE194" s="111" t="str">
        <f t="shared" si="69"/>
        <v/>
      </c>
      <c r="AF194" s="111" t="str">
        <f t="shared" si="62"/>
        <v/>
      </c>
      <c r="AG194" s="111" t="str">
        <f t="shared" si="70"/>
        <v/>
      </c>
      <c r="AH194" s="111" t="str">
        <f t="shared" si="71"/>
        <v/>
      </c>
      <c r="AI194" s="112" t="str">
        <f t="shared" si="72"/>
        <v/>
      </c>
      <c r="AJ194" t="str">
        <f t="shared" si="73"/>
        <v/>
      </c>
      <c r="AK194" t="str">
        <f t="shared" si="74"/>
        <v/>
      </c>
    </row>
    <row r="195" spans="1:37" ht="15" customHeight="1" x14ac:dyDescent="0.25">
      <c r="A195" s="114"/>
      <c r="B195" s="116"/>
      <c r="C195" s="116"/>
      <c r="D195" s="42" t="str">
        <f t="shared" si="50"/>
        <v/>
      </c>
      <c r="E195" s="43"/>
      <c r="F195" s="83"/>
      <c r="G195" s="118"/>
      <c r="H195" s="34" t="str">
        <f t="shared" si="51"/>
        <v/>
      </c>
      <c r="I195" s="88" t="str">
        <f t="shared" si="52"/>
        <v/>
      </c>
      <c r="J195" s="44" t="str">
        <f t="shared" si="53"/>
        <v/>
      </c>
      <c r="K195" s="118"/>
      <c r="L195" s="34" t="str">
        <f t="shared" si="54"/>
        <v/>
      </c>
      <c r="M195" s="118"/>
      <c r="N195" s="121"/>
      <c r="O195" s="122" t="str">
        <f t="shared" si="63"/>
        <v/>
      </c>
      <c r="P195" s="35" t="str">
        <f t="shared" si="64"/>
        <v/>
      </c>
      <c r="Q195" s="124"/>
      <c r="R195" s="36" t="str">
        <f t="shared" si="65"/>
        <v/>
      </c>
      <c r="S195" s="37" t="str">
        <f t="shared" si="55"/>
        <v/>
      </c>
      <c r="T195" s="38" t="str">
        <f t="shared" si="56"/>
        <v/>
      </c>
      <c r="U195" s="39" t="str">
        <f t="shared" si="57"/>
        <v/>
      </c>
      <c r="V195" s="40" t="str">
        <f t="shared" si="58"/>
        <v/>
      </c>
      <c r="W195" s="39" t="str">
        <f t="shared" si="59"/>
        <v/>
      </c>
      <c r="X195" s="34" t="str">
        <f t="shared" si="60"/>
        <v/>
      </c>
      <c r="Y195" s="41" t="str">
        <f t="shared" si="66"/>
        <v/>
      </c>
      <c r="Z195" s="98" t="str">
        <f t="shared" si="61"/>
        <v/>
      </c>
      <c r="AA195" s="81" t="str">
        <f t="shared" si="67"/>
        <v/>
      </c>
      <c r="AC195" s="139"/>
      <c r="AD195" s="110" t="str">
        <f t="shared" si="68"/>
        <v/>
      </c>
      <c r="AE195" s="111" t="str">
        <f t="shared" si="69"/>
        <v/>
      </c>
      <c r="AF195" s="111" t="str">
        <f t="shared" si="62"/>
        <v/>
      </c>
      <c r="AG195" s="111" t="str">
        <f t="shared" si="70"/>
        <v/>
      </c>
      <c r="AH195" s="111" t="str">
        <f t="shared" si="71"/>
        <v/>
      </c>
      <c r="AI195" s="112" t="str">
        <f t="shared" si="72"/>
        <v/>
      </c>
      <c r="AJ195" t="str">
        <f t="shared" si="73"/>
        <v/>
      </c>
      <c r="AK195" t="str">
        <f t="shared" si="74"/>
        <v/>
      </c>
    </row>
    <row r="196" spans="1:37" ht="15" customHeight="1" x14ac:dyDescent="0.25">
      <c r="A196" s="114"/>
      <c r="B196" s="116"/>
      <c r="C196" s="116"/>
      <c r="D196" s="42" t="str">
        <f t="shared" si="50"/>
        <v/>
      </c>
      <c r="E196" s="43"/>
      <c r="F196" s="83"/>
      <c r="G196" s="118"/>
      <c r="H196" s="34" t="str">
        <f t="shared" si="51"/>
        <v/>
      </c>
      <c r="I196" s="88" t="str">
        <f t="shared" si="52"/>
        <v/>
      </c>
      <c r="J196" s="44" t="str">
        <f t="shared" si="53"/>
        <v/>
      </c>
      <c r="K196" s="118"/>
      <c r="L196" s="34" t="str">
        <f t="shared" si="54"/>
        <v/>
      </c>
      <c r="M196" s="118"/>
      <c r="N196" s="121"/>
      <c r="O196" s="122" t="str">
        <f t="shared" si="63"/>
        <v/>
      </c>
      <c r="P196" s="35" t="str">
        <f t="shared" si="64"/>
        <v/>
      </c>
      <c r="Q196" s="124"/>
      <c r="R196" s="36" t="str">
        <f t="shared" si="65"/>
        <v/>
      </c>
      <c r="S196" s="37" t="str">
        <f t="shared" si="55"/>
        <v/>
      </c>
      <c r="T196" s="38" t="str">
        <f t="shared" si="56"/>
        <v/>
      </c>
      <c r="U196" s="39" t="str">
        <f t="shared" si="57"/>
        <v/>
      </c>
      <c r="V196" s="40" t="str">
        <f t="shared" si="58"/>
        <v/>
      </c>
      <c r="W196" s="39" t="str">
        <f t="shared" si="59"/>
        <v/>
      </c>
      <c r="X196" s="34" t="str">
        <f t="shared" si="60"/>
        <v/>
      </c>
      <c r="Y196" s="41" t="str">
        <f t="shared" si="66"/>
        <v/>
      </c>
      <c r="Z196" s="98" t="str">
        <f t="shared" si="61"/>
        <v/>
      </c>
      <c r="AA196" s="81" t="str">
        <f t="shared" si="67"/>
        <v/>
      </c>
      <c r="AC196" s="139"/>
      <c r="AD196" s="110" t="str">
        <f t="shared" si="68"/>
        <v/>
      </c>
      <c r="AE196" s="111" t="str">
        <f t="shared" si="69"/>
        <v/>
      </c>
      <c r="AF196" s="111" t="str">
        <f t="shared" si="62"/>
        <v/>
      </c>
      <c r="AG196" s="111" t="str">
        <f t="shared" si="70"/>
        <v/>
      </c>
      <c r="AH196" s="111" t="str">
        <f t="shared" si="71"/>
        <v/>
      </c>
      <c r="AI196" s="112" t="str">
        <f t="shared" si="72"/>
        <v/>
      </c>
      <c r="AJ196" t="str">
        <f t="shared" si="73"/>
        <v/>
      </c>
      <c r="AK196" t="str">
        <f t="shared" si="74"/>
        <v/>
      </c>
    </row>
    <row r="197" spans="1:37" ht="15" customHeight="1" x14ac:dyDescent="0.25">
      <c r="A197" s="114"/>
      <c r="B197" s="116"/>
      <c r="C197" s="116"/>
      <c r="D197" s="42" t="str">
        <f t="shared" si="50"/>
        <v/>
      </c>
      <c r="E197" s="43"/>
      <c r="F197" s="83"/>
      <c r="G197" s="118"/>
      <c r="H197" s="34" t="str">
        <f t="shared" si="51"/>
        <v/>
      </c>
      <c r="I197" s="88" t="str">
        <f t="shared" si="52"/>
        <v/>
      </c>
      <c r="J197" s="44" t="str">
        <f t="shared" si="53"/>
        <v/>
      </c>
      <c r="K197" s="118"/>
      <c r="L197" s="34" t="str">
        <f t="shared" si="54"/>
        <v/>
      </c>
      <c r="M197" s="118"/>
      <c r="N197" s="121"/>
      <c r="O197" s="122" t="str">
        <f t="shared" si="63"/>
        <v/>
      </c>
      <c r="P197" s="35" t="str">
        <f t="shared" si="64"/>
        <v/>
      </c>
      <c r="Q197" s="124"/>
      <c r="R197" s="36" t="str">
        <f t="shared" si="65"/>
        <v/>
      </c>
      <c r="S197" s="37" t="str">
        <f t="shared" si="55"/>
        <v/>
      </c>
      <c r="T197" s="38" t="str">
        <f t="shared" si="56"/>
        <v/>
      </c>
      <c r="U197" s="39" t="str">
        <f t="shared" si="57"/>
        <v/>
      </c>
      <c r="V197" s="40" t="str">
        <f t="shared" si="58"/>
        <v/>
      </c>
      <c r="W197" s="39" t="str">
        <f t="shared" si="59"/>
        <v/>
      </c>
      <c r="X197" s="34" t="str">
        <f t="shared" si="60"/>
        <v/>
      </c>
      <c r="Y197" s="41" t="str">
        <f t="shared" si="66"/>
        <v/>
      </c>
      <c r="Z197" s="98" t="str">
        <f t="shared" si="61"/>
        <v/>
      </c>
      <c r="AA197" s="81" t="str">
        <f t="shared" si="67"/>
        <v/>
      </c>
      <c r="AC197" s="139"/>
      <c r="AD197" s="110" t="str">
        <f t="shared" si="68"/>
        <v/>
      </c>
      <c r="AE197" s="111" t="str">
        <f t="shared" si="69"/>
        <v/>
      </c>
      <c r="AF197" s="111" t="str">
        <f t="shared" si="62"/>
        <v/>
      </c>
      <c r="AG197" s="111" t="str">
        <f t="shared" si="70"/>
        <v/>
      </c>
      <c r="AH197" s="111" t="str">
        <f t="shared" si="71"/>
        <v/>
      </c>
      <c r="AI197" s="112" t="str">
        <f t="shared" si="72"/>
        <v/>
      </c>
      <c r="AJ197" t="str">
        <f t="shared" si="73"/>
        <v/>
      </c>
      <c r="AK197" t="str">
        <f t="shared" si="74"/>
        <v/>
      </c>
    </row>
    <row r="198" spans="1:37" ht="15" customHeight="1" x14ac:dyDescent="0.25">
      <c r="A198" s="114"/>
      <c r="B198" s="116"/>
      <c r="C198" s="116"/>
      <c r="D198" s="42" t="str">
        <f t="shared" si="50"/>
        <v/>
      </c>
      <c r="E198" s="43"/>
      <c r="F198" s="83"/>
      <c r="G198" s="118"/>
      <c r="H198" s="34" t="str">
        <f t="shared" si="51"/>
        <v/>
      </c>
      <c r="I198" s="88" t="str">
        <f t="shared" si="52"/>
        <v/>
      </c>
      <c r="J198" s="44" t="str">
        <f t="shared" si="53"/>
        <v/>
      </c>
      <c r="K198" s="118"/>
      <c r="L198" s="34" t="str">
        <f t="shared" si="54"/>
        <v/>
      </c>
      <c r="M198" s="118"/>
      <c r="N198" s="121"/>
      <c r="O198" s="122" t="str">
        <f t="shared" si="63"/>
        <v/>
      </c>
      <c r="P198" s="35" t="str">
        <f t="shared" si="64"/>
        <v/>
      </c>
      <c r="Q198" s="124"/>
      <c r="R198" s="36" t="str">
        <f t="shared" si="65"/>
        <v/>
      </c>
      <c r="S198" s="37" t="str">
        <f t="shared" si="55"/>
        <v/>
      </c>
      <c r="T198" s="38" t="str">
        <f t="shared" si="56"/>
        <v/>
      </c>
      <c r="U198" s="39" t="str">
        <f t="shared" si="57"/>
        <v/>
      </c>
      <c r="V198" s="40" t="str">
        <f t="shared" si="58"/>
        <v/>
      </c>
      <c r="W198" s="39" t="str">
        <f t="shared" si="59"/>
        <v/>
      </c>
      <c r="X198" s="34" t="str">
        <f t="shared" si="60"/>
        <v/>
      </c>
      <c r="Y198" s="41" t="str">
        <f t="shared" si="66"/>
        <v/>
      </c>
      <c r="Z198" s="98" t="str">
        <f t="shared" si="61"/>
        <v/>
      </c>
      <c r="AA198" s="81" t="str">
        <f t="shared" si="67"/>
        <v/>
      </c>
      <c r="AC198" s="139"/>
      <c r="AD198" s="110" t="str">
        <f t="shared" si="68"/>
        <v/>
      </c>
      <c r="AE198" s="111" t="str">
        <f t="shared" si="69"/>
        <v/>
      </c>
      <c r="AF198" s="111" t="str">
        <f t="shared" si="62"/>
        <v/>
      </c>
      <c r="AG198" s="111" t="str">
        <f t="shared" si="70"/>
        <v/>
      </c>
      <c r="AH198" s="111" t="str">
        <f t="shared" si="71"/>
        <v/>
      </c>
      <c r="AI198" s="112" t="str">
        <f t="shared" si="72"/>
        <v/>
      </c>
      <c r="AJ198" t="str">
        <f t="shared" si="73"/>
        <v/>
      </c>
      <c r="AK198" t="str">
        <f t="shared" si="74"/>
        <v/>
      </c>
    </row>
    <row r="199" spans="1:37" ht="15" customHeight="1" x14ac:dyDescent="0.25">
      <c r="A199" s="114"/>
      <c r="B199" s="116"/>
      <c r="C199" s="116"/>
      <c r="D199" s="42" t="str">
        <f t="shared" si="50"/>
        <v/>
      </c>
      <c r="E199" s="43"/>
      <c r="F199" s="83"/>
      <c r="G199" s="118"/>
      <c r="H199" s="34" t="str">
        <f t="shared" si="51"/>
        <v/>
      </c>
      <c r="I199" s="88" t="str">
        <f t="shared" si="52"/>
        <v/>
      </c>
      <c r="J199" s="44" t="str">
        <f t="shared" si="53"/>
        <v/>
      </c>
      <c r="K199" s="118"/>
      <c r="L199" s="34" t="str">
        <f t="shared" si="54"/>
        <v/>
      </c>
      <c r="M199" s="118"/>
      <c r="N199" s="121"/>
      <c r="O199" s="122" t="str">
        <f t="shared" si="63"/>
        <v/>
      </c>
      <c r="P199" s="35" t="str">
        <f t="shared" si="64"/>
        <v/>
      </c>
      <c r="Q199" s="124"/>
      <c r="R199" s="36" t="str">
        <f t="shared" si="65"/>
        <v/>
      </c>
      <c r="S199" s="37" t="str">
        <f t="shared" si="55"/>
        <v/>
      </c>
      <c r="T199" s="38" t="str">
        <f t="shared" si="56"/>
        <v/>
      </c>
      <c r="U199" s="39" t="str">
        <f t="shared" si="57"/>
        <v/>
      </c>
      <c r="V199" s="40" t="str">
        <f t="shared" si="58"/>
        <v/>
      </c>
      <c r="W199" s="39" t="str">
        <f t="shared" si="59"/>
        <v/>
      </c>
      <c r="X199" s="34" t="str">
        <f t="shared" si="60"/>
        <v/>
      </c>
      <c r="Y199" s="41" t="str">
        <f t="shared" si="66"/>
        <v/>
      </c>
      <c r="Z199" s="98" t="str">
        <f t="shared" si="61"/>
        <v/>
      </c>
      <c r="AA199" s="81" t="str">
        <f t="shared" si="67"/>
        <v/>
      </c>
      <c r="AC199" s="139"/>
      <c r="AD199" s="110" t="str">
        <f t="shared" si="68"/>
        <v/>
      </c>
      <c r="AE199" s="111" t="str">
        <f t="shared" si="69"/>
        <v/>
      </c>
      <c r="AF199" s="111" t="str">
        <f t="shared" si="62"/>
        <v/>
      </c>
      <c r="AG199" s="111" t="str">
        <f t="shared" si="70"/>
        <v/>
      </c>
      <c r="AH199" s="111" t="str">
        <f t="shared" si="71"/>
        <v/>
      </c>
      <c r="AI199" s="112" t="str">
        <f t="shared" si="72"/>
        <v/>
      </c>
      <c r="AJ199" t="str">
        <f t="shared" si="73"/>
        <v/>
      </c>
      <c r="AK199" t="str">
        <f t="shared" si="74"/>
        <v/>
      </c>
    </row>
    <row r="200" spans="1:37" ht="15" customHeight="1" x14ac:dyDescent="0.25">
      <c r="A200" s="114"/>
      <c r="B200" s="116"/>
      <c r="C200" s="116"/>
      <c r="D200" s="42" t="str">
        <f t="shared" ref="D200:D263" si="75">IF(A200="","",B200*C200)</f>
        <v/>
      </c>
      <c r="E200" s="43"/>
      <c r="F200" s="83"/>
      <c r="G200" s="118"/>
      <c r="H200" s="34" t="str">
        <f t="shared" ref="H200:H263" si="76">IF(OR(G200=0,C200=0,G200="",C200=""),"",G200/C200)</f>
        <v/>
      </c>
      <c r="I200" s="88" t="str">
        <f t="shared" ref="I200:I263" si="77">IF(OR(G200="",F200=""),"",G200*(1-F200))</f>
        <v/>
      </c>
      <c r="J200" s="44" t="str">
        <f t="shared" ref="J200:J263" si="78">IF(A200="","",I200*B200)</f>
        <v/>
      </c>
      <c r="K200" s="118"/>
      <c r="L200" s="34" t="str">
        <f t="shared" ref="L200:L263" si="79">IF(OR(K200=0,C200=0,K200="",C200=""),"",K200/C200)</f>
        <v/>
      </c>
      <c r="M200" s="118"/>
      <c r="N200" s="121"/>
      <c r="O200" s="122" t="str">
        <f t="shared" si="63"/>
        <v/>
      </c>
      <c r="P200" s="35" t="str">
        <f t="shared" si="64"/>
        <v/>
      </c>
      <c r="Q200" s="124"/>
      <c r="R200" s="36" t="str">
        <f t="shared" si="65"/>
        <v/>
      </c>
      <c r="S200" s="37" t="str">
        <f t="shared" ref="S200:S263" si="80">IF(OR(A200="",R200=""),"",R200*C200)</f>
        <v/>
      </c>
      <c r="T200" s="38" t="str">
        <f t="shared" ref="T200:T263" si="81">IF(OR(A200="",G200&lt;=0,S200=""),"",(G200-S200)/G200)</f>
        <v/>
      </c>
      <c r="U200" s="39" t="str">
        <f t="shared" ref="U200:U263" si="82">IF(OR(G200=0,S200=0,G200="",S200=""),"",G200-S200)</f>
        <v/>
      </c>
      <c r="V200" s="40" t="str">
        <f t="shared" ref="V200:V263" si="83">IF(OR(A200="",K200&lt;=0,S200=""),"",(K200-S200)/K200)</f>
        <v/>
      </c>
      <c r="W200" s="39" t="str">
        <f t="shared" ref="W200:W263" si="84">IF(OR(K200=0,S200=0,K200="",S200=""),"",K200-S200)</f>
        <v/>
      </c>
      <c r="X200" s="34" t="str">
        <f t="shared" ref="X200:X263" si="85">IF(OR(J200="",J200=0,$N$5="",$L$3=0),"",($N$5/$L$3)*J200)</f>
        <v/>
      </c>
      <c r="Y200" s="41" t="str">
        <f t="shared" si="66"/>
        <v/>
      </c>
      <c r="Z200" s="98" t="str">
        <f t="shared" ref="Z200:Z263" si="86">IF(OR(R200=0,R200="",D200=0,D200=""),"",R200*(D200+E200))</f>
        <v/>
      </c>
      <c r="AA200" s="81" t="str">
        <f t="shared" si="67"/>
        <v/>
      </c>
      <c r="AC200" s="139"/>
      <c r="AD200" s="110" t="str">
        <f t="shared" si="68"/>
        <v/>
      </c>
      <c r="AE200" s="111" t="str">
        <f t="shared" si="69"/>
        <v/>
      </c>
      <c r="AF200" s="111" t="str">
        <f t="shared" ref="AF200:AF263" si="87">IF(AE200="","",AE200*$AD$1+IF(SUM($AE$8:$AE$1007)=0,0,$AD$2*AE200/SUM($AE$8:$AE$1007)))</f>
        <v/>
      </c>
      <c r="AG200" s="111" t="str">
        <f t="shared" si="70"/>
        <v/>
      </c>
      <c r="AH200" s="111" t="str">
        <f t="shared" si="71"/>
        <v/>
      </c>
      <c r="AI200" s="112" t="str">
        <f t="shared" si="72"/>
        <v/>
      </c>
      <c r="AJ200" t="str">
        <f t="shared" si="73"/>
        <v/>
      </c>
      <c r="AK200" t="str">
        <f t="shared" si="74"/>
        <v/>
      </c>
    </row>
    <row r="201" spans="1:37" ht="15" customHeight="1" x14ac:dyDescent="0.25">
      <c r="A201" s="114"/>
      <c r="B201" s="116"/>
      <c r="C201" s="116"/>
      <c r="D201" s="42" t="str">
        <f t="shared" si="75"/>
        <v/>
      </c>
      <c r="E201" s="43"/>
      <c r="F201" s="83"/>
      <c r="G201" s="118"/>
      <c r="H201" s="34" t="str">
        <f t="shared" si="76"/>
        <v/>
      </c>
      <c r="I201" s="88" t="str">
        <f t="shared" si="77"/>
        <v/>
      </c>
      <c r="J201" s="44" t="str">
        <f t="shared" si="78"/>
        <v/>
      </c>
      <c r="K201" s="118"/>
      <c r="L201" s="34" t="str">
        <f t="shared" si="79"/>
        <v/>
      </c>
      <c r="M201" s="118"/>
      <c r="N201" s="121"/>
      <c r="O201" s="122" t="str">
        <f t="shared" ref="O201:O264" si="88">IF(A201="","",IF(Q201&gt;0,IF(J201&gt;0,Q201/J201,0),IF(E201&gt;0,0,IF($J$3&gt;0,IF($J$4&gt;0,MAX($J$3-SUM($Q$8:$Q$1007),0)/$J$4,0),$J$2))))</f>
        <v/>
      </c>
      <c r="P201" s="35" t="str">
        <f t="shared" ref="P201:P264" si="89">IF(A201="","",IF(Q201&gt;0,Q201,IF(E201&gt;0,0,J201*IF($J$3&gt;0,IF($J$4&gt;0,MAX($J$3-SUM($Q$8:$Q$1007),0)/$J$4,0),$J$2))))</f>
        <v/>
      </c>
      <c r="Q201" s="124"/>
      <c r="R201" s="36" t="str">
        <f t="shared" ref="R201:R264" si="90">IF(A201="","",IF(OR(B201=0,B201="",C201&lt;=0,D201+E201&lt;=0),"",(J201-P201)/(D201+E201)-IF(X201&gt;=0,X201/D201,0)+IF(ISNUMBER(Y201),Y201/(D201+E201),0)))</f>
        <v/>
      </c>
      <c r="S201" s="37" t="str">
        <f t="shared" si="80"/>
        <v/>
      </c>
      <c r="T201" s="38" t="str">
        <f t="shared" si="81"/>
        <v/>
      </c>
      <c r="U201" s="39" t="str">
        <f t="shared" si="82"/>
        <v/>
      </c>
      <c r="V201" s="40" t="str">
        <f t="shared" si="83"/>
        <v/>
      </c>
      <c r="W201" s="39" t="str">
        <f t="shared" si="84"/>
        <v/>
      </c>
      <c r="X201" s="34" t="str">
        <f t="shared" si="85"/>
        <v/>
      </c>
      <c r="Y201" s="41" t="str">
        <f t="shared" ref="Y201:Y264" si="91">IF(OR(J201="",J201=0,($L$3-$L$2)=0),"",($J$1/($L$3-$L$2))*(J201-P201))</f>
        <v/>
      </c>
      <c r="Z201" s="98" t="str">
        <f t="shared" si="86"/>
        <v/>
      </c>
      <c r="AA201" s="81" t="str">
        <f t="shared" ref="AA201:AA264" si="92">IF(OR(B201=0,B201=""),"",J201)</f>
        <v/>
      </c>
      <c r="AC201" s="139"/>
      <c r="AD201" s="110" t="str">
        <f t="shared" ref="AD201:AD264" si="93">IF(AC201="","",R201)</f>
        <v/>
      </c>
      <c r="AE201" s="111" t="str">
        <f t="shared" ref="AE201:AE264" si="94">IF(OR(AC201="",AD201=""),"",AC201*AD201)</f>
        <v/>
      </c>
      <c r="AF201" s="111" t="str">
        <f t="shared" si="87"/>
        <v/>
      </c>
      <c r="AG201" s="111" t="str">
        <f t="shared" ref="AG201:AG264" si="95">IF(AE201="","",AE201-AF201)</f>
        <v/>
      </c>
      <c r="AH201" s="111" t="str">
        <f t="shared" ref="AH201:AH264" si="96">IF(AG201="","",AI201-AG201)</f>
        <v/>
      </c>
      <c r="AI201" s="112" t="str">
        <f t="shared" ref="AI201:AI264" si="97">IF(AG201="","",ROUND(AG201,0))</f>
        <v/>
      </c>
      <c r="AJ201" t="str">
        <f t="shared" ref="AJ201:AJ264" si="98">IF(OR(AC201=0,AC201=""),"",AF201/AC201)</f>
        <v/>
      </c>
      <c r="AK201" t="str">
        <f t="shared" ref="AK201:AK264" si="99">IF(OR(AC201=0,AC201=""),"",AD201*C201)</f>
        <v/>
      </c>
    </row>
    <row r="202" spans="1:37" ht="15" customHeight="1" x14ac:dyDescent="0.25">
      <c r="A202" s="114"/>
      <c r="B202" s="116"/>
      <c r="C202" s="116"/>
      <c r="D202" s="42" t="str">
        <f t="shared" si="75"/>
        <v/>
      </c>
      <c r="E202" s="43"/>
      <c r="F202" s="83"/>
      <c r="G202" s="118"/>
      <c r="H202" s="34" t="str">
        <f t="shared" si="76"/>
        <v/>
      </c>
      <c r="I202" s="88" t="str">
        <f t="shared" si="77"/>
        <v/>
      </c>
      <c r="J202" s="44" t="str">
        <f t="shared" si="78"/>
        <v/>
      </c>
      <c r="K202" s="118"/>
      <c r="L202" s="34" t="str">
        <f t="shared" si="79"/>
        <v/>
      </c>
      <c r="M202" s="118"/>
      <c r="N202" s="121"/>
      <c r="O202" s="122" t="str">
        <f t="shared" si="88"/>
        <v/>
      </c>
      <c r="P202" s="35" t="str">
        <f t="shared" si="89"/>
        <v/>
      </c>
      <c r="Q202" s="124"/>
      <c r="R202" s="36" t="str">
        <f t="shared" si="90"/>
        <v/>
      </c>
      <c r="S202" s="37" t="str">
        <f t="shared" si="80"/>
        <v/>
      </c>
      <c r="T202" s="38" t="str">
        <f t="shared" si="81"/>
        <v/>
      </c>
      <c r="U202" s="39" t="str">
        <f t="shared" si="82"/>
        <v/>
      </c>
      <c r="V202" s="40" t="str">
        <f t="shared" si="83"/>
        <v/>
      </c>
      <c r="W202" s="39" t="str">
        <f t="shared" si="84"/>
        <v/>
      </c>
      <c r="X202" s="34" t="str">
        <f t="shared" si="85"/>
        <v/>
      </c>
      <c r="Y202" s="41" t="str">
        <f t="shared" si="91"/>
        <v/>
      </c>
      <c r="Z202" s="98" t="str">
        <f t="shared" si="86"/>
        <v/>
      </c>
      <c r="AA202" s="81" t="str">
        <f t="shared" si="92"/>
        <v/>
      </c>
      <c r="AC202" s="139"/>
      <c r="AD202" s="110" t="str">
        <f t="shared" si="93"/>
        <v/>
      </c>
      <c r="AE202" s="111" t="str">
        <f t="shared" si="94"/>
        <v/>
      </c>
      <c r="AF202" s="111" t="str">
        <f t="shared" si="87"/>
        <v/>
      </c>
      <c r="AG202" s="111" t="str">
        <f t="shared" si="95"/>
        <v/>
      </c>
      <c r="AH202" s="111" t="str">
        <f t="shared" si="96"/>
        <v/>
      </c>
      <c r="AI202" s="112" t="str">
        <f t="shared" si="97"/>
        <v/>
      </c>
      <c r="AJ202" t="str">
        <f t="shared" si="98"/>
        <v/>
      </c>
      <c r="AK202" t="str">
        <f t="shared" si="99"/>
        <v/>
      </c>
    </row>
    <row r="203" spans="1:37" ht="15" customHeight="1" x14ac:dyDescent="0.25">
      <c r="A203" s="114"/>
      <c r="B203" s="116"/>
      <c r="C203" s="116"/>
      <c r="D203" s="42" t="str">
        <f t="shared" si="75"/>
        <v/>
      </c>
      <c r="E203" s="43"/>
      <c r="F203" s="83"/>
      <c r="G203" s="118"/>
      <c r="H203" s="34" t="str">
        <f t="shared" si="76"/>
        <v/>
      </c>
      <c r="I203" s="88" t="str">
        <f t="shared" si="77"/>
        <v/>
      </c>
      <c r="J203" s="44" t="str">
        <f t="shared" si="78"/>
        <v/>
      </c>
      <c r="K203" s="118"/>
      <c r="L203" s="34" t="str">
        <f t="shared" si="79"/>
        <v/>
      </c>
      <c r="M203" s="118"/>
      <c r="N203" s="121"/>
      <c r="O203" s="122" t="str">
        <f t="shared" si="88"/>
        <v/>
      </c>
      <c r="P203" s="35" t="str">
        <f t="shared" si="89"/>
        <v/>
      </c>
      <c r="Q203" s="124"/>
      <c r="R203" s="36" t="str">
        <f t="shared" si="90"/>
        <v/>
      </c>
      <c r="S203" s="37" t="str">
        <f t="shared" si="80"/>
        <v/>
      </c>
      <c r="T203" s="38" t="str">
        <f t="shared" si="81"/>
        <v/>
      </c>
      <c r="U203" s="39" t="str">
        <f t="shared" si="82"/>
        <v/>
      </c>
      <c r="V203" s="40" t="str">
        <f t="shared" si="83"/>
        <v/>
      </c>
      <c r="W203" s="39" t="str">
        <f t="shared" si="84"/>
        <v/>
      </c>
      <c r="X203" s="34" t="str">
        <f t="shared" si="85"/>
        <v/>
      </c>
      <c r="Y203" s="41" t="str">
        <f t="shared" si="91"/>
        <v/>
      </c>
      <c r="Z203" s="98" t="str">
        <f t="shared" si="86"/>
        <v/>
      </c>
      <c r="AA203" s="81" t="str">
        <f t="shared" si="92"/>
        <v/>
      </c>
      <c r="AC203" s="139"/>
      <c r="AD203" s="110" t="str">
        <f t="shared" si="93"/>
        <v/>
      </c>
      <c r="AE203" s="111" t="str">
        <f t="shared" si="94"/>
        <v/>
      </c>
      <c r="AF203" s="111" t="str">
        <f t="shared" si="87"/>
        <v/>
      </c>
      <c r="AG203" s="111" t="str">
        <f t="shared" si="95"/>
        <v/>
      </c>
      <c r="AH203" s="111" t="str">
        <f t="shared" si="96"/>
        <v/>
      </c>
      <c r="AI203" s="112" t="str">
        <f t="shared" si="97"/>
        <v/>
      </c>
      <c r="AJ203" t="str">
        <f t="shared" si="98"/>
        <v/>
      </c>
      <c r="AK203" t="str">
        <f t="shared" si="99"/>
        <v/>
      </c>
    </row>
    <row r="204" spans="1:37" ht="15" customHeight="1" x14ac:dyDescent="0.25">
      <c r="A204" s="114"/>
      <c r="B204" s="116"/>
      <c r="C204" s="116"/>
      <c r="D204" s="42" t="str">
        <f t="shared" si="75"/>
        <v/>
      </c>
      <c r="E204" s="43"/>
      <c r="F204" s="83"/>
      <c r="G204" s="118"/>
      <c r="H204" s="34" t="str">
        <f t="shared" si="76"/>
        <v/>
      </c>
      <c r="I204" s="88" t="str">
        <f t="shared" si="77"/>
        <v/>
      </c>
      <c r="J204" s="44" t="str">
        <f t="shared" si="78"/>
        <v/>
      </c>
      <c r="K204" s="118"/>
      <c r="L204" s="34" t="str">
        <f t="shared" si="79"/>
        <v/>
      </c>
      <c r="M204" s="118"/>
      <c r="N204" s="121"/>
      <c r="O204" s="122" t="str">
        <f t="shared" si="88"/>
        <v/>
      </c>
      <c r="P204" s="35" t="str">
        <f t="shared" si="89"/>
        <v/>
      </c>
      <c r="Q204" s="124"/>
      <c r="R204" s="36" t="str">
        <f t="shared" si="90"/>
        <v/>
      </c>
      <c r="S204" s="37" t="str">
        <f t="shared" si="80"/>
        <v/>
      </c>
      <c r="T204" s="38" t="str">
        <f t="shared" si="81"/>
        <v/>
      </c>
      <c r="U204" s="39" t="str">
        <f t="shared" si="82"/>
        <v/>
      </c>
      <c r="V204" s="40" t="str">
        <f t="shared" si="83"/>
        <v/>
      </c>
      <c r="W204" s="39" t="str">
        <f t="shared" si="84"/>
        <v/>
      </c>
      <c r="X204" s="34" t="str">
        <f t="shared" si="85"/>
        <v/>
      </c>
      <c r="Y204" s="41" t="str">
        <f t="shared" si="91"/>
        <v/>
      </c>
      <c r="Z204" s="98" t="str">
        <f t="shared" si="86"/>
        <v/>
      </c>
      <c r="AA204" s="81" t="str">
        <f t="shared" si="92"/>
        <v/>
      </c>
      <c r="AC204" s="139"/>
      <c r="AD204" s="110" t="str">
        <f t="shared" si="93"/>
        <v/>
      </c>
      <c r="AE204" s="111" t="str">
        <f t="shared" si="94"/>
        <v/>
      </c>
      <c r="AF204" s="111" t="str">
        <f t="shared" si="87"/>
        <v/>
      </c>
      <c r="AG204" s="111" t="str">
        <f t="shared" si="95"/>
        <v/>
      </c>
      <c r="AH204" s="111" t="str">
        <f t="shared" si="96"/>
        <v/>
      </c>
      <c r="AI204" s="112" t="str">
        <f t="shared" si="97"/>
        <v/>
      </c>
      <c r="AJ204" t="str">
        <f t="shared" si="98"/>
        <v/>
      </c>
      <c r="AK204" t="str">
        <f t="shared" si="99"/>
        <v/>
      </c>
    </row>
    <row r="205" spans="1:37" ht="15" customHeight="1" x14ac:dyDescent="0.25">
      <c r="A205" s="114"/>
      <c r="B205" s="116"/>
      <c r="C205" s="116"/>
      <c r="D205" s="42" t="str">
        <f t="shared" si="75"/>
        <v/>
      </c>
      <c r="E205" s="43"/>
      <c r="F205" s="83"/>
      <c r="G205" s="118"/>
      <c r="H205" s="34" t="str">
        <f t="shared" si="76"/>
        <v/>
      </c>
      <c r="I205" s="88" t="str">
        <f t="shared" si="77"/>
        <v/>
      </c>
      <c r="J205" s="44" t="str">
        <f t="shared" si="78"/>
        <v/>
      </c>
      <c r="K205" s="118"/>
      <c r="L205" s="34" t="str">
        <f t="shared" si="79"/>
        <v/>
      </c>
      <c r="M205" s="118"/>
      <c r="N205" s="121"/>
      <c r="O205" s="122" t="str">
        <f t="shared" si="88"/>
        <v/>
      </c>
      <c r="P205" s="35" t="str">
        <f t="shared" si="89"/>
        <v/>
      </c>
      <c r="Q205" s="124"/>
      <c r="R205" s="36" t="str">
        <f t="shared" si="90"/>
        <v/>
      </c>
      <c r="S205" s="37" t="str">
        <f t="shared" si="80"/>
        <v/>
      </c>
      <c r="T205" s="38" t="str">
        <f t="shared" si="81"/>
        <v/>
      </c>
      <c r="U205" s="39" t="str">
        <f t="shared" si="82"/>
        <v/>
      </c>
      <c r="V205" s="40" t="str">
        <f t="shared" si="83"/>
        <v/>
      </c>
      <c r="W205" s="39" t="str">
        <f t="shared" si="84"/>
        <v/>
      </c>
      <c r="X205" s="34" t="str">
        <f t="shared" si="85"/>
        <v/>
      </c>
      <c r="Y205" s="41" t="str">
        <f t="shared" si="91"/>
        <v/>
      </c>
      <c r="Z205" s="98" t="str">
        <f t="shared" si="86"/>
        <v/>
      </c>
      <c r="AA205" s="81" t="str">
        <f t="shared" si="92"/>
        <v/>
      </c>
      <c r="AC205" s="139"/>
      <c r="AD205" s="110" t="str">
        <f t="shared" si="93"/>
        <v/>
      </c>
      <c r="AE205" s="111" t="str">
        <f t="shared" si="94"/>
        <v/>
      </c>
      <c r="AF205" s="111" t="str">
        <f t="shared" si="87"/>
        <v/>
      </c>
      <c r="AG205" s="111" t="str">
        <f t="shared" si="95"/>
        <v/>
      </c>
      <c r="AH205" s="111" t="str">
        <f t="shared" si="96"/>
        <v/>
      </c>
      <c r="AI205" s="112" t="str">
        <f t="shared" si="97"/>
        <v/>
      </c>
      <c r="AJ205" t="str">
        <f t="shared" si="98"/>
        <v/>
      </c>
      <c r="AK205" t="str">
        <f t="shared" si="99"/>
        <v/>
      </c>
    </row>
    <row r="206" spans="1:37" ht="15" customHeight="1" x14ac:dyDescent="0.25">
      <c r="A206" s="114"/>
      <c r="B206" s="116"/>
      <c r="C206" s="116"/>
      <c r="D206" s="42" t="str">
        <f t="shared" si="75"/>
        <v/>
      </c>
      <c r="E206" s="43"/>
      <c r="F206" s="83"/>
      <c r="G206" s="118"/>
      <c r="H206" s="34" t="str">
        <f t="shared" si="76"/>
        <v/>
      </c>
      <c r="I206" s="88" t="str">
        <f t="shared" si="77"/>
        <v/>
      </c>
      <c r="J206" s="44" t="str">
        <f t="shared" si="78"/>
        <v/>
      </c>
      <c r="K206" s="118"/>
      <c r="L206" s="34" t="str">
        <f t="shared" si="79"/>
        <v/>
      </c>
      <c r="M206" s="118"/>
      <c r="N206" s="121"/>
      <c r="O206" s="122" t="str">
        <f t="shared" si="88"/>
        <v/>
      </c>
      <c r="P206" s="35" t="str">
        <f t="shared" si="89"/>
        <v/>
      </c>
      <c r="Q206" s="124"/>
      <c r="R206" s="36" t="str">
        <f t="shared" si="90"/>
        <v/>
      </c>
      <c r="S206" s="37" t="str">
        <f t="shared" si="80"/>
        <v/>
      </c>
      <c r="T206" s="38" t="str">
        <f t="shared" si="81"/>
        <v/>
      </c>
      <c r="U206" s="39" t="str">
        <f t="shared" si="82"/>
        <v/>
      </c>
      <c r="V206" s="40" t="str">
        <f t="shared" si="83"/>
        <v/>
      </c>
      <c r="W206" s="39" t="str">
        <f t="shared" si="84"/>
        <v/>
      </c>
      <c r="X206" s="34" t="str">
        <f t="shared" si="85"/>
        <v/>
      </c>
      <c r="Y206" s="41" t="str">
        <f t="shared" si="91"/>
        <v/>
      </c>
      <c r="Z206" s="98" t="str">
        <f t="shared" si="86"/>
        <v/>
      </c>
      <c r="AA206" s="81" t="str">
        <f t="shared" si="92"/>
        <v/>
      </c>
      <c r="AC206" s="139"/>
      <c r="AD206" s="110" t="str">
        <f t="shared" si="93"/>
        <v/>
      </c>
      <c r="AE206" s="111" t="str">
        <f t="shared" si="94"/>
        <v/>
      </c>
      <c r="AF206" s="111" t="str">
        <f t="shared" si="87"/>
        <v/>
      </c>
      <c r="AG206" s="111" t="str">
        <f t="shared" si="95"/>
        <v/>
      </c>
      <c r="AH206" s="111" t="str">
        <f t="shared" si="96"/>
        <v/>
      </c>
      <c r="AI206" s="112" t="str">
        <f t="shared" si="97"/>
        <v/>
      </c>
      <c r="AJ206" t="str">
        <f t="shared" si="98"/>
        <v/>
      </c>
      <c r="AK206" t="str">
        <f t="shared" si="99"/>
        <v/>
      </c>
    </row>
    <row r="207" spans="1:37" ht="15" customHeight="1" x14ac:dyDescent="0.25">
      <c r="A207" s="114"/>
      <c r="B207" s="116"/>
      <c r="C207" s="116"/>
      <c r="D207" s="42" t="str">
        <f t="shared" si="75"/>
        <v/>
      </c>
      <c r="E207" s="43"/>
      <c r="F207" s="83"/>
      <c r="G207" s="118"/>
      <c r="H207" s="34" t="str">
        <f t="shared" si="76"/>
        <v/>
      </c>
      <c r="I207" s="88" t="str">
        <f t="shared" si="77"/>
        <v/>
      </c>
      <c r="J207" s="44" t="str">
        <f t="shared" si="78"/>
        <v/>
      </c>
      <c r="K207" s="118"/>
      <c r="L207" s="34" t="str">
        <f t="shared" si="79"/>
        <v/>
      </c>
      <c r="M207" s="118"/>
      <c r="N207" s="121"/>
      <c r="O207" s="122" t="str">
        <f t="shared" si="88"/>
        <v/>
      </c>
      <c r="P207" s="35" t="str">
        <f t="shared" si="89"/>
        <v/>
      </c>
      <c r="Q207" s="124"/>
      <c r="R207" s="36" t="str">
        <f t="shared" si="90"/>
        <v/>
      </c>
      <c r="S207" s="37" t="str">
        <f t="shared" si="80"/>
        <v/>
      </c>
      <c r="T207" s="38" t="str">
        <f t="shared" si="81"/>
        <v/>
      </c>
      <c r="U207" s="39" t="str">
        <f t="shared" si="82"/>
        <v/>
      </c>
      <c r="V207" s="40" t="str">
        <f t="shared" si="83"/>
        <v/>
      </c>
      <c r="W207" s="39" t="str">
        <f t="shared" si="84"/>
        <v/>
      </c>
      <c r="X207" s="34" t="str">
        <f t="shared" si="85"/>
        <v/>
      </c>
      <c r="Y207" s="41" t="str">
        <f t="shared" si="91"/>
        <v/>
      </c>
      <c r="Z207" s="98" t="str">
        <f t="shared" si="86"/>
        <v/>
      </c>
      <c r="AA207" s="81" t="str">
        <f t="shared" si="92"/>
        <v/>
      </c>
      <c r="AC207" s="139"/>
      <c r="AD207" s="110" t="str">
        <f t="shared" si="93"/>
        <v/>
      </c>
      <c r="AE207" s="111" t="str">
        <f t="shared" si="94"/>
        <v/>
      </c>
      <c r="AF207" s="111" t="str">
        <f t="shared" si="87"/>
        <v/>
      </c>
      <c r="AG207" s="111" t="str">
        <f t="shared" si="95"/>
        <v/>
      </c>
      <c r="AH207" s="111" t="str">
        <f t="shared" si="96"/>
        <v/>
      </c>
      <c r="AI207" s="112" t="str">
        <f t="shared" si="97"/>
        <v/>
      </c>
      <c r="AJ207" t="str">
        <f t="shared" si="98"/>
        <v/>
      </c>
      <c r="AK207" t="str">
        <f t="shared" si="99"/>
        <v/>
      </c>
    </row>
    <row r="208" spans="1:37" ht="15" customHeight="1" x14ac:dyDescent="0.25">
      <c r="A208" s="114"/>
      <c r="B208" s="116"/>
      <c r="C208" s="116"/>
      <c r="D208" s="42" t="str">
        <f t="shared" si="75"/>
        <v/>
      </c>
      <c r="E208" s="43"/>
      <c r="F208" s="83"/>
      <c r="G208" s="118"/>
      <c r="H208" s="34" t="str">
        <f t="shared" si="76"/>
        <v/>
      </c>
      <c r="I208" s="88" t="str">
        <f t="shared" si="77"/>
        <v/>
      </c>
      <c r="J208" s="44" t="str">
        <f t="shared" si="78"/>
        <v/>
      </c>
      <c r="K208" s="118"/>
      <c r="L208" s="34" t="str">
        <f t="shared" si="79"/>
        <v/>
      </c>
      <c r="M208" s="118"/>
      <c r="N208" s="121"/>
      <c r="O208" s="122" t="str">
        <f t="shared" si="88"/>
        <v/>
      </c>
      <c r="P208" s="35" t="str">
        <f t="shared" si="89"/>
        <v/>
      </c>
      <c r="Q208" s="124"/>
      <c r="R208" s="36" t="str">
        <f t="shared" si="90"/>
        <v/>
      </c>
      <c r="S208" s="37" t="str">
        <f t="shared" si="80"/>
        <v/>
      </c>
      <c r="T208" s="38" t="str">
        <f t="shared" si="81"/>
        <v/>
      </c>
      <c r="U208" s="39" t="str">
        <f t="shared" si="82"/>
        <v/>
      </c>
      <c r="V208" s="40" t="str">
        <f t="shared" si="83"/>
        <v/>
      </c>
      <c r="W208" s="39" t="str">
        <f t="shared" si="84"/>
        <v/>
      </c>
      <c r="X208" s="34" t="str">
        <f t="shared" si="85"/>
        <v/>
      </c>
      <c r="Y208" s="41" t="str">
        <f t="shared" si="91"/>
        <v/>
      </c>
      <c r="Z208" s="98" t="str">
        <f t="shared" si="86"/>
        <v/>
      </c>
      <c r="AA208" s="81" t="str">
        <f t="shared" si="92"/>
        <v/>
      </c>
      <c r="AC208" s="139"/>
      <c r="AD208" s="110" t="str">
        <f t="shared" si="93"/>
        <v/>
      </c>
      <c r="AE208" s="111" t="str">
        <f t="shared" si="94"/>
        <v/>
      </c>
      <c r="AF208" s="111" t="str">
        <f t="shared" si="87"/>
        <v/>
      </c>
      <c r="AG208" s="111" t="str">
        <f t="shared" si="95"/>
        <v/>
      </c>
      <c r="AH208" s="111" t="str">
        <f t="shared" si="96"/>
        <v/>
      </c>
      <c r="AI208" s="112" t="str">
        <f t="shared" si="97"/>
        <v/>
      </c>
      <c r="AJ208" t="str">
        <f t="shared" si="98"/>
        <v/>
      </c>
      <c r="AK208" t="str">
        <f t="shared" si="99"/>
        <v/>
      </c>
    </row>
    <row r="209" spans="1:37" ht="15" customHeight="1" x14ac:dyDescent="0.25">
      <c r="A209" s="114"/>
      <c r="B209" s="116"/>
      <c r="C209" s="116"/>
      <c r="D209" s="42" t="str">
        <f t="shared" si="75"/>
        <v/>
      </c>
      <c r="E209" s="43"/>
      <c r="F209" s="83"/>
      <c r="G209" s="118"/>
      <c r="H209" s="34" t="str">
        <f t="shared" si="76"/>
        <v/>
      </c>
      <c r="I209" s="88" t="str">
        <f t="shared" si="77"/>
        <v/>
      </c>
      <c r="J209" s="44" t="str">
        <f t="shared" si="78"/>
        <v/>
      </c>
      <c r="K209" s="118"/>
      <c r="L209" s="34" t="str">
        <f t="shared" si="79"/>
        <v/>
      </c>
      <c r="M209" s="118"/>
      <c r="N209" s="121"/>
      <c r="O209" s="122" t="str">
        <f t="shared" si="88"/>
        <v/>
      </c>
      <c r="P209" s="35" t="str">
        <f t="shared" si="89"/>
        <v/>
      </c>
      <c r="Q209" s="124"/>
      <c r="R209" s="36" t="str">
        <f t="shared" si="90"/>
        <v/>
      </c>
      <c r="S209" s="37" t="str">
        <f t="shared" si="80"/>
        <v/>
      </c>
      <c r="T209" s="38" t="str">
        <f t="shared" si="81"/>
        <v/>
      </c>
      <c r="U209" s="39" t="str">
        <f t="shared" si="82"/>
        <v/>
      </c>
      <c r="V209" s="40" t="str">
        <f t="shared" si="83"/>
        <v/>
      </c>
      <c r="W209" s="39" t="str">
        <f t="shared" si="84"/>
        <v/>
      </c>
      <c r="X209" s="34" t="str">
        <f t="shared" si="85"/>
        <v/>
      </c>
      <c r="Y209" s="41" t="str">
        <f t="shared" si="91"/>
        <v/>
      </c>
      <c r="Z209" s="98" t="str">
        <f t="shared" si="86"/>
        <v/>
      </c>
      <c r="AA209" s="81" t="str">
        <f t="shared" si="92"/>
        <v/>
      </c>
      <c r="AC209" s="139"/>
      <c r="AD209" s="110" t="str">
        <f t="shared" si="93"/>
        <v/>
      </c>
      <c r="AE209" s="111" t="str">
        <f t="shared" si="94"/>
        <v/>
      </c>
      <c r="AF209" s="111" t="str">
        <f t="shared" si="87"/>
        <v/>
      </c>
      <c r="AG209" s="111" t="str">
        <f t="shared" si="95"/>
        <v/>
      </c>
      <c r="AH209" s="111" t="str">
        <f t="shared" si="96"/>
        <v/>
      </c>
      <c r="AI209" s="112" t="str">
        <f t="shared" si="97"/>
        <v/>
      </c>
      <c r="AJ209" t="str">
        <f t="shared" si="98"/>
        <v/>
      </c>
      <c r="AK209" t="str">
        <f t="shared" si="99"/>
        <v/>
      </c>
    </row>
    <row r="210" spans="1:37" ht="15" customHeight="1" x14ac:dyDescent="0.25">
      <c r="A210" s="114"/>
      <c r="B210" s="116"/>
      <c r="C210" s="116"/>
      <c r="D210" s="42" t="str">
        <f t="shared" si="75"/>
        <v/>
      </c>
      <c r="E210" s="43"/>
      <c r="F210" s="83"/>
      <c r="G210" s="118"/>
      <c r="H210" s="34" t="str">
        <f t="shared" si="76"/>
        <v/>
      </c>
      <c r="I210" s="88" t="str">
        <f t="shared" si="77"/>
        <v/>
      </c>
      <c r="J210" s="44" t="str">
        <f t="shared" si="78"/>
        <v/>
      </c>
      <c r="K210" s="118"/>
      <c r="L210" s="34" t="str">
        <f t="shared" si="79"/>
        <v/>
      </c>
      <c r="M210" s="118"/>
      <c r="N210" s="121"/>
      <c r="O210" s="122" t="str">
        <f t="shared" si="88"/>
        <v/>
      </c>
      <c r="P210" s="35" t="str">
        <f t="shared" si="89"/>
        <v/>
      </c>
      <c r="Q210" s="124"/>
      <c r="R210" s="36" t="str">
        <f t="shared" si="90"/>
        <v/>
      </c>
      <c r="S210" s="37" t="str">
        <f t="shared" si="80"/>
        <v/>
      </c>
      <c r="T210" s="38" t="str">
        <f t="shared" si="81"/>
        <v/>
      </c>
      <c r="U210" s="39" t="str">
        <f t="shared" si="82"/>
        <v/>
      </c>
      <c r="V210" s="40" t="str">
        <f t="shared" si="83"/>
        <v/>
      </c>
      <c r="W210" s="39" t="str">
        <f t="shared" si="84"/>
        <v/>
      </c>
      <c r="X210" s="34" t="str">
        <f t="shared" si="85"/>
        <v/>
      </c>
      <c r="Y210" s="41" t="str">
        <f t="shared" si="91"/>
        <v/>
      </c>
      <c r="Z210" s="98" t="str">
        <f t="shared" si="86"/>
        <v/>
      </c>
      <c r="AA210" s="81" t="str">
        <f t="shared" si="92"/>
        <v/>
      </c>
      <c r="AC210" s="139"/>
      <c r="AD210" s="110" t="str">
        <f t="shared" si="93"/>
        <v/>
      </c>
      <c r="AE210" s="111" t="str">
        <f t="shared" si="94"/>
        <v/>
      </c>
      <c r="AF210" s="111" t="str">
        <f t="shared" si="87"/>
        <v/>
      </c>
      <c r="AG210" s="111" t="str">
        <f t="shared" si="95"/>
        <v/>
      </c>
      <c r="AH210" s="111" t="str">
        <f t="shared" si="96"/>
        <v/>
      </c>
      <c r="AI210" s="112" t="str">
        <f t="shared" si="97"/>
        <v/>
      </c>
      <c r="AJ210" t="str">
        <f t="shared" si="98"/>
        <v/>
      </c>
      <c r="AK210" t="str">
        <f t="shared" si="99"/>
        <v/>
      </c>
    </row>
    <row r="211" spans="1:37" ht="15" customHeight="1" x14ac:dyDescent="0.25">
      <c r="A211" s="114"/>
      <c r="B211" s="116"/>
      <c r="C211" s="116"/>
      <c r="D211" s="42" t="str">
        <f t="shared" si="75"/>
        <v/>
      </c>
      <c r="E211" s="43"/>
      <c r="F211" s="83"/>
      <c r="G211" s="118"/>
      <c r="H211" s="34" t="str">
        <f t="shared" si="76"/>
        <v/>
      </c>
      <c r="I211" s="88" t="str">
        <f t="shared" si="77"/>
        <v/>
      </c>
      <c r="J211" s="44" t="str">
        <f t="shared" si="78"/>
        <v/>
      </c>
      <c r="K211" s="118"/>
      <c r="L211" s="34" t="str">
        <f t="shared" si="79"/>
        <v/>
      </c>
      <c r="M211" s="118"/>
      <c r="N211" s="121"/>
      <c r="O211" s="122" t="str">
        <f t="shared" si="88"/>
        <v/>
      </c>
      <c r="P211" s="35" t="str">
        <f t="shared" si="89"/>
        <v/>
      </c>
      <c r="Q211" s="124"/>
      <c r="R211" s="36" t="str">
        <f t="shared" si="90"/>
        <v/>
      </c>
      <c r="S211" s="37" t="str">
        <f t="shared" si="80"/>
        <v/>
      </c>
      <c r="T211" s="38" t="str">
        <f t="shared" si="81"/>
        <v/>
      </c>
      <c r="U211" s="39" t="str">
        <f t="shared" si="82"/>
        <v/>
      </c>
      <c r="V211" s="40" t="str">
        <f t="shared" si="83"/>
        <v/>
      </c>
      <c r="W211" s="39" t="str">
        <f t="shared" si="84"/>
        <v/>
      </c>
      <c r="X211" s="34" t="str">
        <f t="shared" si="85"/>
        <v/>
      </c>
      <c r="Y211" s="41" t="str">
        <f t="shared" si="91"/>
        <v/>
      </c>
      <c r="Z211" s="98" t="str">
        <f t="shared" si="86"/>
        <v/>
      </c>
      <c r="AA211" s="81" t="str">
        <f t="shared" si="92"/>
        <v/>
      </c>
      <c r="AC211" s="139"/>
      <c r="AD211" s="110" t="str">
        <f t="shared" si="93"/>
        <v/>
      </c>
      <c r="AE211" s="111" t="str">
        <f t="shared" si="94"/>
        <v/>
      </c>
      <c r="AF211" s="111" t="str">
        <f t="shared" si="87"/>
        <v/>
      </c>
      <c r="AG211" s="111" t="str">
        <f t="shared" si="95"/>
        <v/>
      </c>
      <c r="AH211" s="111" t="str">
        <f t="shared" si="96"/>
        <v/>
      </c>
      <c r="AI211" s="112" t="str">
        <f t="shared" si="97"/>
        <v/>
      </c>
      <c r="AJ211" t="str">
        <f t="shared" si="98"/>
        <v/>
      </c>
      <c r="AK211" t="str">
        <f t="shared" si="99"/>
        <v/>
      </c>
    </row>
    <row r="212" spans="1:37" ht="15" customHeight="1" x14ac:dyDescent="0.25">
      <c r="A212" s="114"/>
      <c r="B212" s="116"/>
      <c r="C212" s="116"/>
      <c r="D212" s="42" t="str">
        <f t="shared" si="75"/>
        <v/>
      </c>
      <c r="E212" s="43"/>
      <c r="F212" s="83"/>
      <c r="G212" s="118"/>
      <c r="H212" s="34" t="str">
        <f t="shared" si="76"/>
        <v/>
      </c>
      <c r="I212" s="88" t="str">
        <f t="shared" si="77"/>
        <v/>
      </c>
      <c r="J212" s="44" t="str">
        <f t="shared" si="78"/>
        <v/>
      </c>
      <c r="K212" s="118"/>
      <c r="L212" s="34" t="str">
        <f t="shared" si="79"/>
        <v/>
      </c>
      <c r="M212" s="118"/>
      <c r="N212" s="121"/>
      <c r="O212" s="122" t="str">
        <f t="shared" si="88"/>
        <v/>
      </c>
      <c r="P212" s="35" t="str">
        <f t="shared" si="89"/>
        <v/>
      </c>
      <c r="Q212" s="124"/>
      <c r="R212" s="36" t="str">
        <f t="shared" si="90"/>
        <v/>
      </c>
      <c r="S212" s="37" t="str">
        <f t="shared" si="80"/>
        <v/>
      </c>
      <c r="T212" s="38" t="str">
        <f t="shared" si="81"/>
        <v/>
      </c>
      <c r="U212" s="39" t="str">
        <f t="shared" si="82"/>
        <v/>
      </c>
      <c r="V212" s="40" t="str">
        <f t="shared" si="83"/>
        <v/>
      </c>
      <c r="W212" s="39" t="str">
        <f t="shared" si="84"/>
        <v/>
      </c>
      <c r="X212" s="34" t="str">
        <f t="shared" si="85"/>
        <v/>
      </c>
      <c r="Y212" s="41" t="str">
        <f t="shared" si="91"/>
        <v/>
      </c>
      <c r="Z212" s="98" t="str">
        <f t="shared" si="86"/>
        <v/>
      </c>
      <c r="AA212" s="81" t="str">
        <f t="shared" si="92"/>
        <v/>
      </c>
      <c r="AC212" s="139"/>
      <c r="AD212" s="110" t="str">
        <f t="shared" si="93"/>
        <v/>
      </c>
      <c r="AE212" s="111" t="str">
        <f t="shared" si="94"/>
        <v/>
      </c>
      <c r="AF212" s="111" t="str">
        <f t="shared" si="87"/>
        <v/>
      </c>
      <c r="AG212" s="111" t="str">
        <f t="shared" si="95"/>
        <v/>
      </c>
      <c r="AH212" s="111" t="str">
        <f t="shared" si="96"/>
        <v/>
      </c>
      <c r="AI212" s="112" t="str">
        <f t="shared" si="97"/>
        <v/>
      </c>
      <c r="AJ212" t="str">
        <f t="shared" si="98"/>
        <v/>
      </c>
      <c r="AK212" t="str">
        <f t="shared" si="99"/>
        <v/>
      </c>
    </row>
    <row r="213" spans="1:37" ht="15" customHeight="1" x14ac:dyDescent="0.25">
      <c r="A213" s="114"/>
      <c r="B213" s="116"/>
      <c r="C213" s="116"/>
      <c r="D213" s="42" t="str">
        <f t="shared" si="75"/>
        <v/>
      </c>
      <c r="E213" s="43"/>
      <c r="F213" s="83"/>
      <c r="G213" s="118"/>
      <c r="H213" s="34" t="str">
        <f t="shared" si="76"/>
        <v/>
      </c>
      <c r="I213" s="88" t="str">
        <f t="shared" si="77"/>
        <v/>
      </c>
      <c r="J213" s="44" t="str">
        <f t="shared" si="78"/>
        <v/>
      </c>
      <c r="K213" s="118"/>
      <c r="L213" s="34" t="str">
        <f t="shared" si="79"/>
        <v/>
      </c>
      <c r="M213" s="118"/>
      <c r="N213" s="121"/>
      <c r="O213" s="122" t="str">
        <f t="shared" si="88"/>
        <v/>
      </c>
      <c r="P213" s="35" t="str">
        <f t="shared" si="89"/>
        <v/>
      </c>
      <c r="Q213" s="124"/>
      <c r="R213" s="36" t="str">
        <f t="shared" si="90"/>
        <v/>
      </c>
      <c r="S213" s="37" t="str">
        <f t="shared" si="80"/>
        <v/>
      </c>
      <c r="T213" s="38" t="str">
        <f t="shared" si="81"/>
        <v/>
      </c>
      <c r="U213" s="39" t="str">
        <f t="shared" si="82"/>
        <v/>
      </c>
      <c r="V213" s="40" t="str">
        <f t="shared" si="83"/>
        <v/>
      </c>
      <c r="W213" s="39" t="str">
        <f t="shared" si="84"/>
        <v/>
      </c>
      <c r="X213" s="34" t="str">
        <f t="shared" si="85"/>
        <v/>
      </c>
      <c r="Y213" s="41" t="str">
        <f t="shared" si="91"/>
        <v/>
      </c>
      <c r="Z213" s="98" t="str">
        <f t="shared" si="86"/>
        <v/>
      </c>
      <c r="AA213" s="81" t="str">
        <f t="shared" si="92"/>
        <v/>
      </c>
      <c r="AC213" s="139"/>
      <c r="AD213" s="110" t="str">
        <f t="shared" si="93"/>
        <v/>
      </c>
      <c r="AE213" s="111" t="str">
        <f t="shared" si="94"/>
        <v/>
      </c>
      <c r="AF213" s="111" t="str">
        <f t="shared" si="87"/>
        <v/>
      </c>
      <c r="AG213" s="111" t="str">
        <f t="shared" si="95"/>
        <v/>
      </c>
      <c r="AH213" s="111" t="str">
        <f t="shared" si="96"/>
        <v/>
      </c>
      <c r="AI213" s="112" t="str">
        <f t="shared" si="97"/>
        <v/>
      </c>
      <c r="AJ213" t="str">
        <f t="shared" si="98"/>
        <v/>
      </c>
      <c r="AK213" t="str">
        <f t="shared" si="99"/>
        <v/>
      </c>
    </row>
    <row r="214" spans="1:37" ht="15" customHeight="1" x14ac:dyDescent="0.25">
      <c r="A214" s="114"/>
      <c r="B214" s="116"/>
      <c r="C214" s="116"/>
      <c r="D214" s="42" t="str">
        <f t="shared" si="75"/>
        <v/>
      </c>
      <c r="E214" s="43"/>
      <c r="F214" s="83"/>
      <c r="G214" s="118"/>
      <c r="H214" s="34" t="str">
        <f t="shared" si="76"/>
        <v/>
      </c>
      <c r="I214" s="88" t="str">
        <f t="shared" si="77"/>
        <v/>
      </c>
      <c r="J214" s="44" t="str">
        <f t="shared" si="78"/>
        <v/>
      </c>
      <c r="K214" s="118"/>
      <c r="L214" s="34" t="str">
        <f t="shared" si="79"/>
        <v/>
      </c>
      <c r="M214" s="118"/>
      <c r="N214" s="121"/>
      <c r="O214" s="122" t="str">
        <f t="shared" si="88"/>
        <v/>
      </c>
      <c r="P214" s="35" t="str">
        <f t="shared" si="89"/>
        <v/>
      </c>
      <c r="Q214" s="124"/>
      <c r="R214" s="36" t="str">
        <f t="shared" si="90"/>
        <v/>
      </c>
      <c r="S214" s="37" t="str">
        <f t="shared" si="80"/>
        <v/>
      </c>
      <c r="T214" s="38" t="str">
        <f t="shared" si="81"/>
        <v/>
      </c>
      <c r="U214" s="39" t="str">
        <f t="shared" si="82"/>
        <v/>
      </c>
      <c r="V214" s="40" t="str">
        <f t="shared" si="83"/>
        <v/>
      </c>
      <c r="W214" s="39" t="str">
        <f t="shared" si="84"/>
        <v/>
      </c>
      <c r="X214" s="34" t="str">
        <f t="shared" si="85"/>
        <v/>
      </c>
      <c r="Y214" s="41" t="str">
        <f t="shared" si="91"/>
        <v/>
      </c>
      <c r="Z214" s="98" t="str">
        <f t="shared" si="86"/>
        <v/>
      </c>
      <c r="AA214" s="81" t="str">
        <f t="shared" si="92"/>
        <v/>
      </c>
      <c r="AC214" s="139"/>
      <c r="AD214" s="110" t="str">
        <f t="shared" si="93"/>
        <v/>
      </c>
      <c r="AE214" s="111" t="str">
        <f t="shared" si="94"/>
        <v/>
      </c>
      <c r="AF214" s="111" t="str">
        <f t="shared" si="87"/>
        <v/>
      </c>
      <c r="AG214" s="111" t="str">
        <f t="shared" si="95"/>
        <v/>
      </c>
      <c r="AH214" s="111" t="str">
        <f t="shared" si="96"/>
        <v/>
      </c>
      <c r="AI214" s="112" t="str">
        <f t="shared" si="97"/>
        <v/>
      </c>
      <c r="AJ214" t="str">
        <f t="shared" si="98"/>
        <v/>
      </c>
      <c r="AK214" t="str">
        <f t="shared" si="99"/>
        <v/>
      </c>
    </row>
    <row r="215" spans="1:37" ht="15" customHeight="1" x14ac:dyDescent="0.25">
      <c r="A215" s="114"/>
      <c r="B215" s="116"/>
      <c r="C215" s="116"/>
      <c r="D215" s="42" t="str">
        <f t="shared" si="75"/>
        <v/>
      </c>
      <c r="E215" s="43"/>
      <c r="F215" s="83"/>
      <c r="G215" s="118"/>
      <c r="H215" s="34" t="str">
        <f t="shared" si="76"/>
        <v/>
      </c>
      <c r="I215" s="88" t="str">
        <f t="shared" si="77"/>
        <v/>
      </c>
      <c r="J215" s="44" t="str">
        <f t="shared" si="78"/>
        <v/>
      </c>
      <c r="K215" s="118"/>
      <c r="L215" s="34" t="str">
        <f t="shared" si="79"/>
        <v/>
      </c>
      <c r="M215" s="118"/>
      <c r="N215" s="121"/>
      <c r="O215" s="122" t="str">
        <f t="shared" si="88"/>
        <v/>
      </c>
      <c r="P215" s="35" t="str">
        <f t="shared" si="89"/>
        <v/>
      </c>
      <c r="Q215" s="124"/>
      <c r="R215" s="36" t="str">
        <f t="shared" si="90"/>
        <v/>
      </c>
      <c r="S215" s="37" t="str">
        <f t="shared" si="80"/>
        <v/>
      </c>
      <c r="T215" s="38" t="str">
        <f t="shared" si="81"/>
        <v/>
      </c>
      <c r="U215" s="39" t="str">
        <f t="shared" si="82"/>
        <v/>
      </c>
      <c r="V215" s="40" t="str">
        <f t="shared" si="83"/>
        <v/>
      </c>
      <c r="W215" s="39" t="str">
        <f t="shared" si="84"/>
        <v/>
      </c>
      <c r="X215" s="34" t="str">
        <f t="shared" si="85"/>
        <v/>
      </c>
      <c r="Y215" s="41" t="str">
        <f t="shared" si="91"/>
        <v/>
      </c>
      <c r="Z215" s="98" t="str">
        <f t="shared" si="86"/>
        <v/>
      </c>
      <c r="AA215" s="81" t="str">
        <f t="shared" si="92"/>
        <v/>
      </c>
      <c r="AC215" s="139"/>
      <c r="AD215" s="110" t="str">
        <f t="shared" si="93"/>
        <v/>
      </c>
      <c r="AE215" s="111" t="str">
        <f t="shared" si="94"/>
        <v/>
      </c>
      <c r="AF215" s="111" t="str">
        <f t="shared" si="87"/>
        <v/>
      </c>
      <c r="AG215" s="111" t="str">
        <f t="shared" si="95"/>
        <v/>
      </c>
      <c r="AH215" s="111" t="str">
        <f t="shared" si="96"/>
        <v/>
      </c>
      <c r="AI215" s="112" t="str">
        <f t="shared" si="97"/>
        <v/>
      </c>
      <c r="AJ215" t="str">
        <f t="shared" si="98"/>
        <v/>
      </c>
      <c r="AK215" t="str">
        <f t="shared" si="99"/>
        <v/>
      </c>
    </row>
    <row r="216" spans="1:37" ht="15" customHeight="1" x14ac:dyDescent="0.25">
      <c r="A216" s="114"/>
      <c r="B216" s="116"/>
      <c r="C216" s="116"/>
      <c r="D216" s="42" t="str">
        <f t="shared" si="75"/>
        <v/>
      </c>
      <c r="E216" s="43"/>
      <c r="F216" s="83"/>
      <c r="G216" s="118"/>
      <c r="H216" s="34" t="str">
        <f t="shared" si="76"/>
        <v/>
      </c>
      <c r="I216" s="88" t="str">
        <f t="shared" si="77"/>
        <v/>
      </c>
      <c r="J216" s="44" t="str">
        <f t="shared" si="78"/>
        <v/>
      </c>
      <c r="K216" s="118"/>
      <c r="L216" s="34" t="str">
        <f t="shared" si="79"/>
        <v/>
      </c>
      <c r="M216" s="118"/>
      <c r="N216" s="121"/>
      <c r="O216" s="122" t="str">
        <f t="shared" si="88"/>
        <v/>
      </c>
      <c r="P216" s="35" t="str">
        <f t="shared" si="89"/>
        <v/>
      </c>
      <c r="Q216" s="124"/>
      <c r="R216" s="36" t="str">
        <f t="shared" si="90"/>
        <v/>
      </c>
      <c r="S216" s="37" t="str">
        <f t="shared" si="80"/>
        <v/>
      </c>
      <c r="T216" s="38" t="str">
        <f t="shared" si="81"/>
        <v/>
      </c>
      <c r="U216" s="39" t="str">
        <f t="shared" si="82"/>
        <v/>
      </c>
      <c r="V216" s="40" t="str">
        <f t="shared" si="83"/>
        <v/>
      </c>
      <c r="W216" s="39" t="str">
        <f t="shared" si="84"/>
        <v/>
      </c>
      <c r="X216" s="34" t="str">
        <f t="shared" si="85"/>
        <v/>
      </c>
      <c r="Y216" s="41" t="str">
        <f t="shared" si="91"/>
        <v/>
      </c>
      <c r="Z216" s="98" t="str">
        <f t="shared" si="86"/>
        <v/>
      </c>
      <c r="AA216" s="81" t="str">
        <f t="shared" si="92"/>
        <v/>
      </c>
      <c r="AC216" s="139"/>
      <c r="AD216" s="110" t="str">
        <f t="shared" si="93"/>
        <v/>
      </c>
      <c r="AE216" s="111" t="str">
        <f t="shared" si="94"/>
        <v/>
      </c>
      <c r="AF216" s="111" t="str">
        <f t="shared" si="87"/>
        <v/>
      </c>
      <c r="AG216" s="111" t="str">
        <f t="shared" si="95"/>
        <v/>
      </c>
      <c r="AH216" s="111" t="str">
        <f t="shared" si="96"/>
        <v/>
      </c>
      <c r="AI216" s="112" t="str">
        <f t="shared" si="97"/>
        <v/>
      </c>
      <c r="AJ216" t="str">
        <f t="shared" si="98"/>
        <v/>
      </c>
      <c r="AK216" t="str">
        <f t="shared" si="99"/>
        <v/>
      </c>
    </row>
    <row r="217" spans="1:37" ht="15" customHeight="1" x14ac:dyDescent="0.25">
      <c r="A217" s="114"/>
      <c r="B217" s="116"/>
      <c r="C217" s="116"/>
      <c r="D217" s="42" t="str">
        <f t="shared" si="75"/>
        <v/>
      </c>
      <c r="E217" s="43"/>
      <c r="F217" s="83"/>
      <c r="G217" s="118"/>
      <c r="H217" s="34" t="str">
        <f t="shared" si="76"/>
        <v/>
      </c>
      <c r="I217" s="88" t="str">
        <f t="shared" si="77"/>
        <v/>
      </c>
      <c r="J217" s="44" t="str">
        <f t="shared" si="78"/>
        <v/>
      </c>
      <c r="K217" s="118"/>
      <c r="L217" s="34" t="str">
        <f t="shared" si="79"/>
        <v/>
      </c>
      <c r="M217" s="118"/>
      <c r="N217" s="121"/>
      <c r="O217" s="122" t="str">
        <f t="shared" si="88"/>
        <v/>
      </c>
      <c r="P217" s="35" t="str">
        <f t="shared" si="89"/>
        <v/>
      </c>
      <c r="Q217" s="124"/>
      <c r="R217" s="36" t="str">
        <f t="shared" si="90"/>
        <v/>
      </c>
      <c r="S217" s="37" t="str">
        <f t="shared" si="80"/>
        <v/>
      </c>
      <c r="T217" s="38" t="str">
        <f t="shared" si="81"/>
        <v/>
      </c>
      <c r="U217" s="39" t="str">
        <f t="shared" si="82"/>
        <v/>
      </c>
      <c r="V217" s="40" t="str">
        <f t="shared" si="83"/>
        <v/>
      </c>
      <c r="W217" s="39" t="str">
        <f t="shared" si="84"/>
        <v/>
      </c>
      <c r="X217" s="34" t="str">
        <f t="shared" si="85"/>
        <v/>
      </c>
      <c r="Y217" s="41" t="str">
        <f t="shared" si="91"/>
        <v/>
      </c>
      <c r="Z217" s="98" t="str">
        <f t="shared" si="86"/>
        <v/>
      </c>
      <c r="AA217" s="81" t="str">
        <f t="shared" si="92"/>
        <v/>
      </c>
      <c r="AC217" s="139"/>
      <c r="AD217" s="110" t="str">
        <f t="shared" si="93"/>
        <v/>
      </c>
      <c r="AE217" s="111" t="str">
        <f t="shared" si="94"/>
        <v/>
      </c>
      <c r="AF217" s="111" t="str">
        <f t="shared" si="87"/>
        <v/>
      </c>
      <c r="AG217" s="111" t="str">
        <f t="shared" si="95"/>
        <v/>
      </c>
      <c r="AH217" s="111" t="str">
        <f t="shared" si="96"/>
        <v/>
      </c>
      <c r="AI217" s="112" t="str">
        <f t="shared" si="97"/>
        <v/>
      </c>
      <c r="AJ217" t="str">
        <f t="shared" si="98"/>
        <v/>
      </c>
      <c r="AK217" t="str">
        <f t="shared" si="99"/>
        <v/>
      </c>
    </row>
    <row r="218" spans="1:37" ht="15" customHeight="1" x14ac:dyDescent="0.25">
      <c r="A218" s="114"/>
      <c r="B218" s="116"/>
      <c r="C218" s="116"/>
      <c r="D218" s="42" t="str">
        <f t="shared" si="75"/>
        <v/>
      </c>
      <c r="E218" s="43"/>
      <c r="F218" s="83"/>
      <c r="G218" s="118"/>
      <c r="H218" s="34" t="str">
        <f t="shared" si="76"/>
        <v/>
      </c>
      <c r="I218" s="88" t="str">
        <f t="shared" si="77"/>
        <v/>
      </c>
      <c r="J218" s="44" t="str">
        <f t="shared" si="78"/>
        <v/>
      </c>
      <c r="K218" s="118"/>
      <c r="L218" s="34" t="str">
        <f t="shared" si="79"/>
        <v/>
      </c>
      <c r="M218" s="118"/>
      <c r="N218" s="121"/>
      <c r="O218" s="122" t="str">
        <f t="shared" si="88"/>
        <v/>
      </c>
      <c r="P218" s="35" t="str">
        <f t="shared" si="89"/>
        <v/>
      </c>
      <c r="Q218" s="124"/>
      <c r="R218" s="36" t="str">
        <f t="shared" si="90"/>
        <v/>
      </c>
      <c r="S218" s="37" t="str">
        <f t="shared" si="80"/>
        <v/>
      </c>
      <c r="T218" s="38" t="str">
        <f t="shared" si="81"/>
        <v/>
      </c>
      <c r="U218" s="39" t="str">
        <f t="shared" si="82"/>
        <v/>
      </c>
      <c r="V218" s="40" t="str">
        <f t="shared" si="83"/>
        <v/>
      </c>
      <c r="W218" s="39" t="str">
        <f t="shared" si="84"/>
        <v/>
      </c>
      <c r="X218" s="34" t="str">
        <f t="shared" si="85"/>
        <v/>
      </c>
      <c r="Y218" s="41" t="str">
        <f t="shared" si="91"/>
        <v/>
      </c>
      <c r="Z218" s="98" t="str">
        <f t="shared" si="86"/>
        <v/>
      </c>
      <c r="AA218" s="81" t="str">
        <f t="shared" si="92"/>
        <v/>
      </c>
      <c r="AC218" s="139"/>
      <c r="AD218" s="110" t="str">
        <f t="shared" si="93"/>
        <v/>
      </c>
      <c r="AE218" s="111" t="str">
        <f t="shared" si="94"/>
        <v/>
      </c>
      <c r="AF218" s="111" t="str">
        <f t="shared" si="87"/>
        <v/>
      </c>
      <c r="AG218" s="111" t="str">
        <f t="shared" si="95"/>
        <v/>
      </c>
      <c r="AH218" s="111" t="str">
        <f t="shared" si="96"/>
        <v/>
      </c>
      <c r="AI218" s="112" t="str">
        <f t="shared" si="97"/>
        <v/>
      </c>
      <c r="AJ218" t="str">
        <f t="shared" si="98"/>
        <v/>
      </c>
      <c r="AK218" t="str">
        <f t="shared" si="99"/>
        <v/>
      </c>
    </row>
    <row r="219" spans="1:37" ht="15" customHeight="1" x14ac:dyDescent="0.25">
      <c r="A219" s="114"/>
      <c r="B219" s="116"/>
      <c r="C219" s="116"/>
      <c r="D219" s="42" t="str">
        <f t="shared" si="75"/>
        <v/>
      </c>
      <c r="E219" s="43"/>
      <c r="F219" s="83"/>
      <c r="G219" s="118"/>
      <c r="H219" s="34" t="str">
        <f t="shared" si="76"/>
        <v/>
      </c>
      <c r="I219" s="88" t="str">
        <f t="shared" si="77"/>
        <v/>
      </c>
      <c r="J219" s="44" t="str">
        <f t="shared" si="78"/>
        <v/>
      </c>
      <c r="K219" s="118"/>
      <c r="L219" s="34" t="str">
        <f t="shared" si="79"/>
        <v/>
      </c>
      <c r="M219" s="118"/>
      <c r="N219" s="121"/>
      <c r="O219" s="122" t="str">
        <f t="shared" si="88"/>
        <v/>
      </c>
      <c r="P219" s="35" t="str">
        <f t="shared" si="89"/>
        <v/>
      </c>
      <c r="Q219" s="124"/>
      <c r="R219" s="36" t="str">
        <f t="shared" si="90"/>
        <v/>
      </c>
      <c r="S219" s="37" t="str">
        <f t="shared" si="80"/>
        <v/>
      </c>
      <c r="T219" s="38" t="str">
        <f t="shared" si="81"/>
        <v/>
      </c>
      <c r="U219" s="39" t="str">
        <f t="shared" si="82"/>
        <v/>
      </c>
      <c r="V219" s="40" t="str">
        <f t="shared" si="83"/>
        <v/>
      </c>
      <c r="W219" s="39" t="str">
        <f t="shared" si="84"/>
        <v/>
      </c>
      <c r="X219" s="34" t="str">
        <f t="shared" si="85"/>
        <v/>
      </c>
      <c r="Y219" s="41" t="str">
        <f t="shared" si="91"/>
        <v/>
      </c>
      <c r="Z219" s="98" t="str">
        <f t="shared" si="86"/>
        <v/>
      </c>
      <c r="AA219" s="81" t="str">
        <f t="shared" si="92"/>
        <v/>
      </c>
      <c r="AC219" s="139"/>
      <c r="AD219" s="110" t="str">
        <f t="shared" si="93"/>
        <v/>
      </c>
      <c r="AE219" s="111" t="str">
        <f t="shared" si="94"/>
        <v/>
      </c>
      <c r="AF219" s="111" t="str">
        <f t="shared" si="87"/>
        <v/>
      </c>
      <c r="AG219" s="111" t="str">
        <f t="shared" si="95"/>
        <v/>
      </c>
      <c r="AH219" s="111" t="str">
        <f t="shared" si="96"/>
        <v/>
      </c>
      <c r="AI219" s="112" t="str">
        <f t="shared" si="97"/>
        <v/>
      </c>
      <c r="AJ219" t="str">
        <f t="shared" si="98"/>
        <v/>
      </c>
      <c r="AK219" t="str">
        <f t="shared" si="99"/>
        <v/>
      </c>
    </row>
    <row r="220" spans="1:37" ht="15" customHeight="1" x14ac:dyDescent="0.25">
      <c r="A220" s="114"/>
      <c r="B220" s="116"/>
      <c r="C220" s="116"/>
      <c r="D220" s="42" t="str">
        <f t="shared" si="75"/>
        <v/>
      </c>
      <c r="E220" s="43"/>
      <c r="F220" s="83"/>
      <c r="G220" s="118"/>
      <c r="H220" s="34" t="str">
        <f t="shared" si="76"/>
        <v/>
      </c>
      <c r="I220" s="88" t="str">
        <f t="shared" si="77"/>
        <v/>
      </c>
      <c r="J220" s="44" t="str">
        <f t="shared" si="78"/>
        <v/>
      </c>
      <c r="K220" s="118"/>
      <c r="L220" s="34" t="str">
        <f t="shared" si="79"/>
        <v/>
      </c>
      <c r="M220" s="118"/>
      <c r="N220" s="121"/>
      <c r="O220" s="122" t="str">
        <f t="shared" si="88"/>
        <v/>
      </c>
      <c r="P220" s="35" t="str">
        <f t="shared" si="89"/>
        <v/>
      </c>
      <c r="Q220" s="124"/>
      <c r="R220" s="36" t="str">
        <f t="shared" si="90"/>
        <v/>
      </c>
      <c r="S220" s="37" t="str">
        <f t="shared" si="80"/>
        <v/>
      </c>
      <c r="T220" s="38" t="str">
        <f t="shared" si="81"/>
        <v/>
      </c>
      <c r="U220" s="39" t="str">
        <f t="shared" si="82"/>
        <v/>
      </c>
      <c r="V220" s="40" t="str">
        <f t="shared" si="83"/>
        <v/>
      </c>
      <c r="W220" s="39" t="str">
        <f t="shared" si="84"/>
        <v/>
      </c>
      <c r="X220" s="34" t="str">
        <f t="shared" si="85"/>
        <v/>
      </c>
      <c r="Y220" s="41" t="str">
        <f t="shared" si="91"/>
        <v/>
      </c>
      <c r="Z220" s="98" t="str">
        <f t="shared" si="86"/>
        <v/>
      </c>
      <c r="AA220" s="81" t="str">
        <f t="shared" si="92"/>
        <v/>
      </c>
      <c r="AC220" s="139"/>
      <c r="AD220" s="110" t="str">
        <f t="shared" si="93"/>
        <v/>
      </c>
      <c r="AE220" s="111" t="str">
        <f t="shared" si="94"/>
        <v/>
      </c>
      <c r="AF220" s="111" t="str">
        <f t="shared" si="87"/>
        <v/>
      </c>
      <c r="AG220" s="111" t="str">
        <f t="shared" si="95"/>
        <v/>
      </c>
      <c r="AH220" s="111" t="str">
        <f t="shared" si="96"/>
        <v/>
      </c>
      <c r="AI220" s="112" t="str">
        <f t="shared" si="97"/>
        <v/>
      </c>
      <c r="AJ220" t="str">
        <f t="shared" si="98"/>
        <v/>
      </c>
      <c r="AK220" t="str">
        <f t="shared" si="99"/>
        <v/>
      </c>
    </row>
    <row r="221" spans="1:37" ht="15" customHeight="1" x14ac:dyDescent="0.25">
      <c r="A221" s="114"/>
      <c r="B221" s="116"/>
      <c r="C221" s="116"/>
      <c r="D221" s="42" t="str">
        <f t="shared" si="75"/>
        <v/>
      </c>
      <c r="E221" s="43"/>
      <c r="F221" s="83"/>
      <c r="G221" s="118"/>
      <c r="H221" s="34" t="str">
        <f t="shared" si="76"/>
        <v/>
      </c>
      <c r="I221" s="88" t="str">
        <f t="shared" si="77"/>
        <v/>
      </c>
      <c r="J221" s="44" t="str">
        <f t="shared" si="78"/>
        <v/>
      </c>
      <c r="K221" s="118"/>
      <c r="L221" s="34" t="str">
        <f t="shared" si="79"/>
        <v/>
      </c>
      <c r="M221" s="118"/>
      <c r="N221" s="121"/>
      <c r="O221" s="122" t="str">
        <f t="shared" si="88"/>
        <v/>
      </c>
      <c r="P221" s="35" t="str">
        <f t="shared" si="89"/>
        <v/>
      </c>
      <c r="Q221" s="124"/>
      <c r="R221" s="36" t="str">
        <f t="shared" si="90"/>
        <v/>
      </c>
      <c r="S221" s="37" t="str">
        <f t="shared" si="80"/>
        <v/>
      </c>
      <c r="T221" s="38" t="str">
        <f t="shared" si="81"/>
        <v/>
      </c>
      <c r="U221" s="39" t="str">
        <f t="shared" si="82"/>
        <v/>
      </c>
      <c r="V221" s="40" t="str">
        <f t="shared" si="83"/>
        <v/>
      </c>
      <c r="W221" s="39" t="str">
        <f t="shared" si="84"/>
        <v/>
      </c>
      <c r="X221" s="34" t="str">
        <f t="shared" si="85"/>
        <v/>
      </c>
      <c r="Y221" s="41" t="str">
        <f t="shared" si="91"/>
        <v/>
      </c>
      <c r="Z221" s="98" t="str">
        <f t="shared" si="86"/>
        <v/>
      </c>
      <c r="AA221" s="81" t="str">
        <f t="shared" si="92"/>
        <v/>
      </c>
      <c r="AC221" s="139"/>
      <c r="AD221" s="110" t="str">
        <f t="shared" si="93"/>
        <v/>
      </c>
      <c r="AE221" s="111" t="str">
        <f t="shared" si="94"/>
        <v/>
      </c>
      <c r="AF221" s="111" t="str">
        <f t="shared" si="87"/>
        <v/>
      </c>
      <c r="AG221" s="111" t="str">
        <f t="shared" si="95"/>
        <v/>
      </c>
      <c r="AH221" s="111" t="str">
        <f t="shared" si="96"/>
        <v/>
      </c>
      <c r="AI221" s="112" t="str">
        <f t="shared" si="97"/>
        <v/>
      </c>
      <c r="AJ221" t="str">
        <f t="shared" si="98"/>
        <v/>
      </c>
      <c r="AK221" t="str">
        <f t="shared" si="99"/>
        <v/>
      </c>
    </row>
    <row r="222" spans="1:37" ht="15" customHeight="1" x14ac:dyDescent="0.25">
      <c r="A222" s="114"/>
      <c r="B222" s="116"/>
      <c r="C222" s="116"/>
      <c r="D222" s="42" t="str">
        <f t="shared" si="75"/>
        <v/>
      </c>
      <c r="E222" s="43"/>
      <c r="F222" s="83"/>
      <c r="G222" s="118"/>
      <c r="H222" s="34" t="str">
        <f t="shared" si="76"/>
        <v/>
      </c>
      <c r="I222" s="88" t="str">
        <f t="shared" si="77"/>
        <v/>
      </c>
      <c r="J222" s="44" t="str">
        <f t="shared" si="78"/>
        <v/>
      </c>
      <c r="K222" s="118"/>
      <c r="L222" s="34" t="str">
        <f t="shared" si="79"/>
        <v/>
      </c>
      <c r="M222" s="118"/>
      <c r="N222" s="121"/>
      <c r="O222" s="122" t="str">
        <f t="shared" si="88"/>
        <v/>
      </c>
      <c r="P222" s="35" t="str">
        <f t="shared" si="89"/>
        <v/>
      </c>
      <c r="Q222" s="124"/>
      <c r="R222" s="36" t="str">
        <f t="shared" si="90"/>
        <v/>
      </c>
      <c r="S222" s="37" t="str">
        <f t="shared" si="80"/>
        <v/>
      </c>
      <c r="T222" s="38" t="str">
        <f t="shared" si="81"/>
        <v/>
      </c>
      <c r="U222" s="39" t="str">
        <f t="shared" si="82"/>
        <v/>
      </c>
      <c r="V222" s="40" t="str">
        <f t="shared" si="83"/>
        <v/>
      </c>
      <c r="W222" s="39" t="str">
        <f t="shared" si="84"/>
        <v/>
      </c>
      <c r="X222" s="34" t="str">
        <f t="shared" si="85"/>
        <v/>
      </c>
      <c r="Y222" s="41" t="str">
        <f t="shared" si="91"/>
        <v/>
      </c>
      <c r="Z222" s="98" t="str">
        <f t="shared" si="86"/>
        <v/>
      </c>
      <c r="AA222" s="81" t="str">
        <f t="shared" si="92"/>
        <v/>
      </c>
      <c r="AC222" s="139"/>
      <c r="AD222" s="110" t="str">
        <f t="shared" si="93"/>
        <v/>
      </c>
      <c r="AE222" s="111" t="str">
        <f t="shared" si="94"/>
        <v/>
      </c>
      <c r="AF222" s="111" t="str">
        <f t="shared" si="87"/>
        <v/>
      </c>
      <c r="AG222" s="111" t="str">
        <f t="shared" si="95"/>
        <v/>
      </c>
      <c r="AH222" s="111" t="str">
        <f t="shared" si="96"/>
        <v/>
      </c>
      <c r="AI222" s="112" t="str">
        <f t="shared" si="97"/>
        <v/>
      </c>
      <c r="AJ222" t="str">
        <f t="shared" si="98"/>
        <v/>
      </c>
      <c r="AK222" t="str">
        <f t="shared" si="99"/>
        <v/>
      </c>
    </row>
    <row r="223" spans="1:37" ht="15" customHeight="1" x14ac:dyDescent="0.25">
      <c r="A223" s="114"/>
      <c r="B223" s="116"/>
      <c r="C223" s="116"/>
      <c r="D223" s="42" t="str">
        <f t="shared" si="75"/>
        <v/>
      </c>
      <c r="E223" s="43"/>
      <c r="F223" s="83"/>
      <c r="G223" s="118"/>
      <c r="H223" s="34" t="str">
        <f t="shared" si="76"/>
        <v/>
      </c>
      <c r="I223" s="88" t="str">
        <f t="shared" si="77"/>
        <v/>
      </c>
      <c r="J223" s="44" t="str">
        <f t="shared" si="78"/>
        <v/>
      </c>
      <c r="K223" s="118"/>
      <c r="L223" s="34" t="str">
        <f t="shared" si="79"/>
        <v/>
      </c>
      <c r="M223" s="118"/>
      <c r="N223" s="121"/>
      <c r="O223" s="122" t="str">
        <f t="shared" si="88"/>
        <v/>
      </c>
      <c r="P223" s="35" t="str">
        <f t="shared" si="89"/>
        <v/>
      </c>
      <c r="Q223" s="124"/>
      <c r="R223" s="36" t="str">
        <f t="shared" si="90"/>
        <v/>
      </c>
      <c r="S223" s="37" t="str">
        <f t="shared" si="80"/>
        <v/>
      </c>
      <c r="T223" s="38" t="str">
        <f t="shared" si="81"/>
        <v/>
      </c>
      <c r="U223" s="39" t="str">
        <f t="shared" si="82"/>
        <v/>
      </c>
      <c r="V223" s="40" t="str">
        <f t="shared" si="83"/>
        <v/>
      </c>
      <c r="W223" s="39" t="str">
        <f t="shared" si="84"/>
        <v/>
      </c>
      <c r="X223" s="34" t="str">
        <f t="shared" si="85"/>
        <v/>
      </c>
      <c r="Y223" s="41" t="str">
        <f t="shared" si="91"/>
        <v/>
      </c>
      <c r="Z223" s="98" t="str">
        <f t="shared" si="86"/>
        <v/>
      </c>
      <c r="AA223" s="81" t="str">
        <f t="shared" si="92"/>
        <v/>
      </c>
      <c r="AC223" s="139"/>
      <c r="AD223" s="110" t="str">
        <f t="shared" si="93"/>
        <v/>
      </c>
      <c r="AE223" s="111" t="str">
        <f t="shared" si="94"/>
        <v/>
      </c>
      <c r="AF223" s="111" t="str">
        <f t="shared" si="87"/>
        <v/>
      </c>
      <c r="AG223" s="111" t="str">
        <f t="shared" si="95"/>
        <v/>
      </c>
      <c r="AH223" s="111" t="str">
        <f t="shared" si="96"/>
        <v/>
      </c>
      <c r="AI223" s="112" t="str">
        <f t="shared" si="97"/>
        <v/>
      </c>
      <c r="AJ223" t="str">
        <f t="shared" si="98"/>
        <v/>
      </c>
      <c r="AK223" t="str">
        <f t="shared" si="99"/>
        <v/>
      </c>
    </row>
    <row r="224" spans="1:37" ht="15" customHeight="1" x14ac:dyDescent="0.25">
      <c r="A224" s="114"/>
      <c r="B224" s="116"/>
      <c r="C224" s="116"/>
      <c r="D224" s="42" t="str">
        <f t="shared" si="75"/>
        <v/>
      </c>
      <c r="E224" s="43"/>
      <c r="F224" s="83"/>
      <c r="G224" s="118"/>
      <c r="H224" s="34" t="str">
        <f t="shared" si="76"/>
        <v/>
      </c>
      <c r="I224" s="88" t="str">
        <f t="shared" si="77"/>
        <v/>
      </c>
      <c r="J224" s="44" t="str">
        <f t="shared" si="78"/>
        <v/>
      </c>
      <c r="K224" s="118"/>
      <c r="L224" s="34" t="str">
        <f t="shared" si="79"/>
        <v/>
      </c>
      <c r="M224" s="118"/>
      <c r="N224" s="121"/>
      <c r="O224" s="122" t="str">
        <f t="shared" si="88"/>
        <v/>
      </c>
      <c r="P224" s="35" t="str">
        <f t="shared" si="89"/>
        <v/>
      </c>
      <c r="Q224" s="124"/>
      <c r="R224" s="36" t="str">
        <f t="shared" si="90"/>
        <v/>
      </c>
      <c r="S224" s="37" t="str">
        <f t="shared" si="80"/>
        <v/>
      </c>
      <c r="T224" s="38" t="str">
        <f t="shared" si="81"/>
        <v/>
      </c>
      <c r="U224" s="39" t="str">
        <f t="shared" si="82"/>
        <v/>
      </c>
      <c r="V224" s="40" t="str">
        <f t="shared" si="83"/>
        <v/>
      </c>
      <c r="W224" s="39" t="str">
        <f t="shared" si="84"/>
        <v/>
      </c>
      <c r="X224" s="34" t="str">
        <f t="shared" si="85"/>
        <v/>
      </c>
      <c r="Y224" s="41" t="str">
        <f t="shared" si="91"/>
        <v/>
      </c>
      <c r="Z224" s="98" t="str">
        <f t="shared" si="86"/>
        <v/>
      </c>
      <c r="AA224" s="81" t="str">
        <f t="shared" si="92"/>
        <v/>
      </c>
      <c r="AC224" s="139"/>
      <c r="AD224" s="110" t="str">
        <f t="shared" si="93"/>
        <v/>
      </c>
      <c r="AE224" s="111" t="str">
        <f t="shared" si="94"/>
        <v/>
      </c>
      <c r="AF224" s="111" t="str">
        <f t="shared" si="87"/>
        <v/>
      </c>
      <c r="AG224" s="111" t="str">
        <f t="shared" si="95"/>
        <v/>
      </c>
      <c r="AH224" s="111" t="str">
        <f t="shared" si="96"/>
        <v/>
      </c>
      <c r="AI224" s="112" t="str">
        <f t="shared" si="97"/>
        <v/>
      </c>
      <c r="AJ224" t="str">
        <f t="shared" si="98"/>
        <v/>
      </c>
      <c r="AK224" t="str">
        <f t="shared" si="99"/>
        <v/>
      </c>
    </row>
    <row r="225" spans="1:37" ht="15" customHeight="1" x14ac:dyDescent="0.25">
      <c r="A225" s="114"/>
      <c r="B225" s="116"/>
      <c r="C225" s="116"/>
      <c r="D225" s="42" t="str">
        <f t="shared" si="75"/>
        <v/>
      </c>
      <c r="E225" s="43"/>
      <c r="F225" s="83"/>
      <c r="G225" s="118"/>
      <c r="H225" s="34" t="str">
        <f t="shared" si="76"/>
        <v/>
      </c>
      <c r="I225" s="88" t="str">
        <f t="shared" si="77"/>
        <v/>
      </c>
      <c r="J225" s="44" t="str">
        <f t="shared" si="78"/>
        <v/>
      </c>
      <c r="K225" s="118"/>
      <c r="L225" s="34" t="str">
        <f t="shared" si="79"/>
        <v/>
      </c>
      <c r="M225" s="118"/>
      <c r="N225" s="121"/>
      <c r="O225" s="122" t="str">
        <f t="shared" si="88"/>
        <v/>
      </c>
      <c r="P225" s="35" t="str">
        <f t="shared" si="89"/>
        <v/>
      </c>
      <c r="Q225" s="124"/>
      <c r="R225" s="36" t="str">
        <f t="shared" si="90"/>
        <v/>
      </c>
      <c r="S225" s="37" t="str">
        <f t="shared" si="80"/>
        <v/>
      </c>
      <c r="T225" s="38" t="str">
        <f t="shared" si="81"/>
        <v/>
      </c>
      <c r="U225" s="39" t="str">
        <f t="shared" si="82"/>
        <v/>
      </c>
      <c r="V225" s="40" t="str">
        <f t="shared" si="83"/>
        <v/>
      </c>
      <c r="W225" s="39" t="str">
        <f t="shared" si="84"/>
        <v/>
      </c>
      <c r="X225" s="34" t="str">
        <f t="shared" si="85"/>
        <v/>
      </c>
      <c r="Y225" s="41" t="str">
        <f t="shared" si="91"/>
        <v/>
      </c>
      <c r="Z225" s="98" t="str">
        <f t="shared" si="86"/>
        <v/>
      </c>
      <c r="AA225" s="81" t="str">
        <f t="shared" si="92"/>
        <v/>
      </c>
      <c r="AC225" s="139"/>
      <c r="AD225" s="110" t="str">
        <f t="shared" si="93"/>
        <v/>
      </c>
      <c r="AE225" s="111" t="str">
        <f t="shared" si="94"/>
        <v/>
      </c>
      <c r="AF225" s="111" t="str">
        <f t="shared" si="87"/>
        <v/>
      </c>
      <c r="AG225" s="111" t="str">
        <f t="shared" si="95"/>
        <v/>
      </c>
      <c r="AH225" s="111" t="str">
        <f t="shared" si="96"/>
        <v/>
      </c>
      <c r="AI225" s="112" t="str">
        <f t="shared" si="97"/>
        <v/>
      </c>
      <c r="AJ225" t="str">
        <f t="shared" si="98"/>
        <v/>
      </c>
      <c r="AK225" t="str">
        <f t="shared" si="99"/>
        <v/>
      </c>
    </row>
    <row r="226" spans="1:37" ht="15" customHeight="1" x14ac:dyDescent="0.25">
      <c r="A226" s="114"/>
      <c r="B226" s="116"/>
      <c r="C226" s="116"/>
      <c r="D226" s="42" t="str">
        <f t="shared" si="75"/>
        <v/>
      </c>
      <c r="E226" s="43"/>
      <c r="F226" s="83"/>
      <c r="G226" s="118"/>
      <c r="H226" s="34" t="str">
        <f t="shared" si="76"/>
        <v/>
      </c>
      <c r="I226" s="88" t="str">
        <f t="shared" si="77"/>
        <v/>
      </c>
      <c r="J226" s="44" t="str">
        <f t="shared" si="78"/>
        <v/>
      </c>
      <c r="K226" s="118"/>
      <c r="L226" s="34" t="str">
        <f t="shared" si="79"/>
        <v/>
      </c>
      <c r="M226" s="118"/>
      <c r="N226" s="121"/>
      <c r="O226" s="122" t="str">
        <f t="shared" si="88"/>
        <v/>
      </c>
      <c r="P226" s="35" t="str">
        <f t="shared" si="89"/>
        <v/>
      </c>
      <c r="Q226" s="124"/>
      <c r="R226" s="36" t="str">
        <f t="shared" si="90"/>
        <v/>
      </c>
      <c r="S226" s="37" t="str">
        <f t="shared" si="80"/>
        <v/>
      </c>
      <c r="T226" s="38" t="str">
        <f t="shared" si="81"/>
        <v/>
      </c>
      <c r="U226" s="39" t="str">
        <f t="shared" si="82"/>
        <v/>
      </c>
      <c r="V226" s="40" t="str">
        <f t="shared" si="83"/>
        <v/>
      </c>
      <c r="W226" s="39" t="str">
        <f t="shared" si="84"/>
        <v/>
      </c>
      <c r="X226" s="34" t="str">
        <f t="shared" si="85"/>
        <v/>
      </c>
      <c r="Y226" s="41" t="str">
        <f t="shared" si="91"/>
        <v/>
      </c>
      <c r="Z226" s="98" t="str">
        <f t="shared" si="86"/>
        <v/>
      </c>
      <c r="AA226" s="81" t="str">
        <f t="shared" si="92"/>
        <v/>
      </c>
      <c r="AC226" s="139"/>
      <c r="AD226" s="110" t="str">
        <f t="shared" si="93"/>
        <v/>
      </c>
      <c r="AE226" s="111" t="str">
        <f t="shared" si="94"/>
        <v/>
      </c>
      <c r="AF226" s="111" t="str">
        <f t="shared" si="87"/>
        <v/>
      </c>
      <c r="AG226" s="111" t="str">
        <f t="shared" si="95"/>
        <v/>
      </c>
      <c r="AH226" s="111" t="str">
        <f t="shared" si="96"/>
        <v/>
      </c>
      <c r="AI226" s="112" t="str">
        <f t="shared" si="97"/>
        <v/>
      </c>
      <c r="AJ226" t="str">
        <f t="shared" si="98"/>
        <v/>
      </c>
      <c r="AK226" t="str">
        <f t="shared" si="99"/>
        <v/>
      </c>
    </row>
    <row r="227" spans="1:37" ht="15" customHeight="1" x14ac:dyDescent="0.25">
      <c r="A227" s="114"/>
      <c r="B227" s="116"/>
      <c r="C227" s="116"/>
      <c r="D227" s="42" t="str">
        <f t="shared" si="75"/>
        <v/>
      </c>
      <c r="E227" s="43"/>
      <c r="F227" s="83"/>
      <c r="G227" s="118"/>
      <c r="H227" s="34" t="str">
        <f t="shared" si="76"/>
        <v/>
      </c>
      <c r="I227" s="88" t="str">
        <f t="shared" si="77"/>
        <v/>
      </c>
      <c r="J227" s="44" t="str">
        <f t="shared" si="78"/>
        <v/>
      </c>
      <c r="K227" s="118"/>
      <c r="L227" s="34" t="str">
        <f t="shared" si="79"/>
        <v/>
      </c>
      <c r="M227" s="118"/>
      <c r="N227" s="121"/>
      <c r="O227" s="122" t="str">
        <f t="shared" si="88"/>
        <v/>
      </c>
      <c r="P227" s="35" t="str">
        <f t="shared" si="89"/>
        <v/>
      </c>
      <c r="Q227" s="124"/>
      <c r="R227" s="36" t="str">
        <f t="shared" si="90"/>
        <v/>
      </c>
      <c r="S227" s="37" t="str">
        <f t="shared" si="80"/>
        <v/>
      </c>
      <c r="T227" s="38" t="str">
        <f t="shared" si="81"/>
        <v/>
      </c>
      <c r="U227" s="39" t="str">
        <f t="shared" si="82"/>
        <v/>
      </c>
      <c r="V227" s="40" t="str">
        <f t="shared" si="83"/>
        <v/>
      </c>
      <c r="W227" s="39" t="str">
        <f t="shared" si="84"/>
        <v/>
      </c>
      <c r="X227" s="34" t="str">
        <f t="shared" si="85"/>
        <v/>
      </c>
      <c r="Y227" s="41" t="str">
        <f t="shared" si="91"/>
        <v/>
      </c>
      <c r="Z227" s="98" t="str">
        <f t="shared" si="86"/>
        <v/>
      </c>
      <c r="AA227" s="81" t="str">
        <f t="shared" si="92"/>
        <v/>
      </c>
      <c r="AC227" s="139"/>
      <c r="AD227" s="110" t="str">
        <f t="shared" si="93"/>
        <v/>
      </c>
      <c r="AE227" s="111" t="str">
        <f t="shared" si="94"/>
        <v/>
      </c>
      <c r="AF227" s="111" t="str">
        <f t="shared" si="87"/>
        <v/>
      </c>
      <c r="AG227" s="111" t="str">
        <f t="shared" si="95"/>
        <v/>
      </c>
      <c r="AH227" s="111" t="str">
        <f t="shared" si="96"/>
        <v/>
      </c>
      <c r="AI227" s="112" t="str">
        <f t="shared" si="97"/>
        <v/>
      </c>
      <c r="AJ227" t="str">
        <f t="shared" si="98"/>
        <v/>
      </c>
      <c r="AK227" t="str">
        <f t="shared" si="99"/>
        <v/>
      </c>
    </row>
    <row r="228" spans="1:37" ht="15" customHeight="1" x14ac:dyDescent="0.25">
      <c r="A228" s="114"/>
      <c r="B228" s="116"/>
      <c r="C228" s="116"/>
      <c r="D228" s="42" t="str">
        <f t="shared" si="75"/>
        <v/>
      </c>
      <c r="E228" s="43"/>
      <c r="F228" s="83"/>
      <c r="G228" s="118"/>
      <c r="H228" s="34" t="str">
        <f t="shared" si="76"/>
        <v/>
      </c>
      <c r="I228" s="88" t="str">
        <f t="shared" si="77"/>
        <v/>
      </c>
      <c r="J228" s="44" t="str">
        <f t="shared" si="78"/>
        <v/>
      </c>
      <c r="K228" s="118"/>
      <c r="L228" s="34" t="str">
        <f t="shared" si="79"/>
        <v/>
      </c>
      <c r="M228" s="118"/>
      <c r="N228" s="121"/>
      <c r="O228" s="122" t="str">
        <f t="shared" si="88"/>
        <v/>
      </c>
      <c r="P228" s="35" t="str">
        <f t="shared" si="89"/>
        <v/>
      </c>
      <c r="Q228" s="124"/>
      <c r="R228" s="36" t="str">
        <f t="shared" si="90"/>
        <v/>
      </c>
      <c r="S228" s="37" t="str">
        <f t="shared" si="80"/>
        <v/>
      </c>
      <c r="T228" s="38" t="str">
        <f t="shared" si="81"/>
        <v/>
      </c>
      <c r="U228" s="39" t="str">
        <f t="shared" si="82"/>
        <v/>
      </c>
      <c r="V228" s="40" t="str">
        <f t="shared" si="83"/>
        <v/>
      </c>
      <c r="W228" s="39" t="str">
        <f t="shared" si="84"/>
        <v/>
      </c>
      <c r="X228" s="34" t="str">
        <f t="shared" si="85"/>
        <v/>
      </c>
      <c r="Y228" s="41" t="str">
        <f t="shared" si="91"/>
        <v/>
      </c>
      <c r="Z228" s="98" t="str">
        <f t="shared" si="86"/>
        <v/>
      </c>
      <c r="AA228" s="81" t="str">
        <f t="shared" si="92"/>
        <v/>
      </c>
      <c r="AC228" s="139"/>
      <c r="AD228" s="110" t="str">
        <f t="shared" si="93"/>
        <v/>
      </c>
      <c r="AE228" s="111" t="str">
        <f t="shared" si="94"/>
        <v/>
      </c>
      <c r="AF228" s="111" t="str">
        <f t="shared" si="87"/>
        <v/>
      </c>
      <c r="AG228" s="111" t="str">
        <f t="shared" si="95"/>
        <v/>
      </c>
      <c r="AH228" s="111" t="str">
        <f t="shared" si="96"/>
        <v/>
      </c>
      <c r="AI228" s="112" t="str">
        <f t="shared" si="97"/>
        <v/>
      </c>
      <c r="AJ228" t="str">
        <f t="shared" si="98"/>
        <v/>
      </c>
      <c r="AK228" t="str">
        <f t="shared" si="99"/>
        <v/>
      </c>
    </row>
    <row r="229" spans="1:37" ht="15" customHeight="1" x14ac:dyDescent="0.25">
      <c r="A229" s="114"/>
      <c r="B229" s="116"/>
      <c r="C229" s="116"/>
      <c r="D229" s="42" t="str">
        <f t="shared" si="75"/>
        <v/>
      </c>
      <c r="E229" s="43"/>
      <c r="F229" s="83"/>
      <c r="G229" s="118"/>
      <c r="H229" s="34" t="str">
        <f t="shared" si="76"/>
        <v/>
      </c>
      <c r="I229" s="88" t="str">
        <f t="shared" si="77"/>
        <v/>
      </c>
      <c r="J229" s="44" t="str">
        <f t="shared" si="78"/>
        <v/>
      </c>
      <c r="K229" s="118"/>
      <c r="L229" s="34" t="str">
        <f t="shared" si="79"/>
        <v/>
      </c>
      <c r="M229" s="118"/>
      <c r="N229" s="121"/>
      <c r="O229" s="122" t="str">
        <f t="shared" si="88"/>
        <v/>
      </c>
      <c r="P229" s="35" t="str">
        <f t="shared" si="89"/>
        <v/>
      </c>
      <c r="Q229" s="124"/>
      <c r="R229" s="36" t="str">
        <f t="shared" si="90"/>
        <v/>
      </c>
      <c r="S229" s="37" t="str">
        <f t="shared" si="80"/>
        <v/>
      </c>
      <c r="T229" s="38" t="str">
        <f t="shared" si="81"/>
        <v/>
      </c>
      <c r="U229" s="39" t="str">
        <f t="shared" si="82"/>
        <v/>
      </c>
      <c r="V229" s="40" t="str">
        <f t="shared" si="83"/>
        <v/>
      </c>
      <c r="W229" s="39" t="str">
        <f t="shared" si="84"/>
        <v/>
      </c>
      <c r="X229" s="34" t="str">
        <f t="shared" si="85"/>
        <v/>
      </c>
      <c r="Y229" s="41" t="str">
        <f t="shared" si="91"/>
        <v/>
      </c>
      <c r="Z229" s="98" t="str">
        <f t="shared" si="86"/>
        <v/>
      </c>
      <c r="AA229" s="81" t="str">
        <f t="shared" si="92"/>
        <v/>
      </c>
      <c r="AC229" s="139"/>
      <c r="AD229" s="110" t="str">
        <f t="shared" si="93"/>
        <v/>
      </c>
      <c r="AE229" s="111" t="str">
        <f t="shared" si="94"/>
        <v/>
      </c>
      <c r="AF229" s="111" t="str">
        <f t="shared" si="87"/>
        <v/>
      </c>
      <c r="AG229" s="111" t="str">
        <f t="shared" si="95"/>
        <v/>
      </c>
      <c r="AH229" s="111" t="str">
        <f t="shared" si="96"/>
        <v/>
      </c>
      <c r="AI229" s="112" t="str">
        <f t="shared" si="97"/>
        <v/>
      </c>
      <c r="AJ229" t="str">
        <f t="shared" si="98"/>
        <v/>
      </c>
      <c r="AK229" t="str">
        <f t="shared" si="99"/>
        <v/>
      </c>
    </row>
    <row r="230" spans="1:37" ht="15" customHeight="1" x14ac:dyDescent="0.25">
      <c r="A230" s="114"/>
      <c r="B230" s="116"/>
      <c r="C230" s="116"/>
      <c r="D230" s="42" t="str">
        <f t="shared" si="75"/>
        <v/>
      </c>
      <c r="E230" s="43"/>
      <c r="F230" s="83"/>
      <c r="G230" s="118"/>
      <c r="H230" s="34" t="str">
        <f t="shared" si="76"/>
        <v/>
      </c>
      <c r="I230" s="88" t="str">
        <f t="shared" si="77"/>
        <v/>
      </c>
      <c r="J230" s="44" t="str">
        <f t="shared" si="78"/>
        <v/>
      </c>
      <c r="K230" s="118"/>
      <c r="L230" s="34" t="str">
        <f t="shared" si="79"/>
        <v/>
      </c>
      <c r="M230" s="118"/>
      <c r="N230" s="121"/>
      <c r="O230" s="122" t="str">
        <f t="shared" si="88"/>
        <v/>
      </c>
      <c r="P230" s="35" t="str">
        <f t="shared" si="89"/>
        <v/>
      </c>
      <c r="Q230" s="124"/>
      <c r="R230" s="36" t="str">
        <f t="shared" si="90"/>
        <v/>
      </c>
      <c r="S230" s="37" t="str">
        <f t="shared" si="80"/>
        <v/>
      </c>
      <c r="T230" s="38" t="str">
        <f t="shared" si="81"/>
        <v/>
      </c>
      <c r="U230" s="39" t="str">
        <f t="shared" si="82"/>
        <v/>
      </c>
      <c r="V230" s="40" t="str">
        <f t="shared" si="83"/>
        <v/>
      </c>
      <c r="W230" s="39" t="str">
        <f t="shared" si="84"/>
        <v/>
      </c>
      <c r="X230" s="34" t="str">
        <f t="shared" si="85"/>
        <v/>
      </c>
      <c r="Y230" s="41" t="str">
        <f t="shared" si="91"/>
        <v/>
      </c>
      <c r="Z230" s="98" t="str">
        <f t="shared" si="86"/>
        <v/>
      </c>
      <c r="AA230" s="81" t="str">
        <f t="shared" si="92"/>
        <v/>
      </c>
      <c r="AC230" s="139"/>
      <c r="AD230" s="110" t="str">
        <f t="shared" si="93"/>
        <v/>
      </c>
      <c r="AE230" s="111" t="str">
        <f t="shared" si="94"/>
        <v/>
      </c>
      <c r="AF230" s="111" t="str">
        <f t="shared" si="87"/>
        <v/>
      </c>
      <c r="AG230" s="111" t="str">
        <f t="shared" si="95"/>
        <v/>
      </c>
      <c r="AH230" s="111" t="str">
        <f t="shared" si="96"/>
        <v/>
      </c>
      <c r="AI230" s="112" t="str">
        <f t="shared" si="97"/>
        <v/>
      </c>
      <c r="AJ230" t="str">
        <f t="shared" si="98"/>
        <v/>
      </c>
      <c r="AK230" t="str">
        <f t="shared" si="99"/>
        <v/>
      </c>
    </row>
    <row r="231" spans="1:37" ht="15" customHeight="1" x14ac:dyDescent="0.25">
      <c r="A231" s="114"/>
      <c r="B231" s="116"/>
      <c r="C231" s="116"/>
      <c r="D231" s="42" t="str">
        <f t="shared" si="75"/>
        <v/>
      </c>
      <c r="E231" s="43"/>
      <c r="F231" s="83"/>
      <c r="G231" s="118"/>
      <c r="H231" s="34" t="str">
        <f t="shared" si="76"/>
        <v/>
      </c>
      <c r="I231" s="88" t="str">
        <f t="shared" si="77"/>
        <v/>
      </c>
      <c r="J231" s="44" t="str">
        <f t="shared" si="78"/>
        <v/>
      </c>
      <c r="K231" s="118"/>
      <c r="L231" s="34" t="str">
        <f t="shared" si="79"/>
        <v/>
      </c>
      <c r="M231" s="118"/>
      <c r="N231" s="121"/>
      <c r="O231" s="122" t="str">
        <f t="shared" si="88"/>
        <v/>
      </c>
      <c r="P231" s="35" t="str">
        <f t="shared" si="89"/>
        <v/>
      </c>
      <c r="Q231" s="124"/>
      <c r="R231" s="36" t="str">
        <f t="shared" si="90"/>
        <v/>
      </c>
      <c r="S231" s="37" t="str">
        <f t="shared" si="80"/>
        <v/>
      </c>
      <c r="T231" s="38" t="str">
        <f t="shared" si="81"/>
        <v/>
      </c>
      <c r="U231" s="39" t="str">
        <f t="shared" si="82"/>
        <v/>
      </c>
      <c r="V231" s="40" t="str">
        <f t="shared" si="83"/>
        <v/>
      </c>
      <c r="W231" s="39" t="str">
        <f t="shared" si="84"/>
        <v/>
      </c>
      <c r="X231" s="34" t="str">
        <f t="shared" si="85"/>
        <v/>
      </c>
      <c r="Y231" s="41" t="str">
        <f t="shared" si="91"/>
        <v/>
      </c>
      <c r="Z231" s="98" t="str">
        <f t="shared" si="86"/>
        <v/>
      </c>
      <c r="AA231" s="81" t="str">
        <f t="shared" si="92"/>
        <v/>
      </c>
      <c r="AC231" s="139"/>
      <c r="AD231" s="110" t="str">
        <f t="shared" si="93"/>
        <v/>
      </c>
      <c r="AE231" s="111" t="str">
        <f t="shared" si="94"/>
        <v/>
      </c>
      <c r="AF231" s="111" t="str">
        <f t="shared" si="87"/>
        <v/>
      </c>
      <c r="AG231" s="111" t="str">
        <f t="shared" si="95"/>
        <v/>
      </c>
      <c r="AH231" s="111" t="str">
        <f t="shared" si="96"/>
        <v/>
      </c>
      <c r="AI231" s="112" t="str">
        <f t="shared" si="97"/>
        <v/>
      </c>
      <c r="AJ231" t="str">
        <f t="shared" si="98"/>
        <v/>
      </c>
      <c r="AK231" t="str">
        <f t="shared" si="99"/>
        <v/>
      </c>
    </row>
    <row r="232" spans="1:37" ht="15" customHeight="1" x14ac:dyDescent="0.25">
      <c r="A232" s="114"/>
      <c r="B232" s="116"/>
      <c r="C232" s="116"/>
      <c r="D232" s="42" t="str">
        <f t="shared" si="75"/>
        <v/>
      </c>
      <c r="E232" s="43"/>
      <c r="F232" s="83"/>
      <c r="G232" s="118"/>
      <c r="H232" s="34" t="str">
        <f t="shared" si="76"/>
        <v/>
      </c>
      <c r="I232" s="88" t="str">
        <f t="shared" si="77"/>
        <v/>
      </c>
      <c r="J232" s="44" t="str">
        <f t="shared" si="78"/>
        <v/>
      </c>
      <c r="K232" s="118"/>
      <c r="L232" s="34" t="str">
        <f t="shared" si="79"/>
        <v/>
      </c>
      <c r="M232" s="118"/>
      <c r="N232" s="121"/>
      <c r="O232" s="122" t="str">
        <f t="shared" si="88"/>
        <v/>
      </c>
      <c r="P232" s="35" t="str">
        <f t="shared" si="89"/>
        <v/>
      </c>
      <c r="Q232" s="124"/>
      <c r="R232" s="36" t="str">
        <f t="shared" si="90"/>
        <v/>
      </c>
      <c r="S232" s="37" t="str">
        <f t="shared" si="80"/>
        <v/>
      </c>
      <c r="T232" s="38" t="str">
        <f t="shared" si="81"/>
        <v/>
      </c>
      <c r="U232" s="39" t="str">
        <f t="shared" si="82"/>
        <v/>
      </c>
      <c r="V232" s="40" t="str">
        <f t="shared" si="83"/>
        <v/>
      </c>
      <c r="W232" s="39" t="str">
        <f t="shared" si="84"/>
        <v/>
      </c>
      <c r="X232" s="34" t="str">
        <f t="shared" si="85"/>
        <v/>
      </c>
      <c r="Y232" s="41" t="str">
        <f t="shared" si="91"/>
        <v/>
      </c>
      <c r="Z232" s="98" t="str">
        <f t="shared" si="86"/>
        <v/>
      </c>
      <c r="AA232" s="81" t="str">
        <f t="shared" si="92"/>
        <v/>
      </c>
      <c r="AC232" s="139"/>
      <c r="AD232" s="110" t="str">
        <f t="shared" si="93"/>
        <v/>
      </c>
      <c r="AE232" s="111" t="str">
        <f t="shared" si="94"/>
        <v/>
      </c>
      <c r="AF232" s="111" t="str">
        <f t="shared" si="87"/>
        <v/>
      </c>
      <c r="AG232" s="111" t="str">
        <f t="shared" si="95"/>
        <v/>
      </c>
      <c r="AH232" s="111" t="str">
        <f t="shared" si="96"/>
        <v/>
      </c>
      <c r="AI232" s="112" t="str">
        <f t="shared" si="97"/>
        <v/>
      </c>
      <c r="AJ232" t="str">
        <f t="shared" si="98"/>
        <v/>
      </c>
      <c r="AK232" t="str">
        <f t="shared" si="99"/>
        <v/>
      </c>
    </row>
    <row r="233" spans="1:37" ht="15" customHeight="1" x14ac:dyDescent="0.25">
      <c r="A233" s="114"/>
      <c r="B233" s="116"/>
      <c r="C233" s="116"/>
      <c r="D233" s="42" t="str">
        <f t="shared" si="75"/>
        <v/>
      </c>
      <c r="E233" s="43"/>
      <c r="F233" s="83"/>
      <c r="G233" s="118"/>
      <c r="H233" s="34" t="str">
        <f t="shared" si="76"/>
        <v/>
      </c>
      <c r="I233" s="88" t="str">
        <f t="shared" si="77"/>
        <v/>
      </c>
      <c r="J233" s="44" t="str">
        <f t="shared" si="78"/>
        <v/>
      </c>
      <c r="K233" s="118"/>
      <c r="L233" s="34" t="str">
        <f t="shared" si="79"/>
        <v/>
      </c>
      <c r="M233" s="118"/>
      <c r="N233" s="121"/>
      <c r="O233" s="122" t="str">
        <f t="shared" si="88"/>
        <v/>
      </c>
      <c r="P233" s="35" t="str">
        <f t="shared" si="89"/>
        <v/>
      </c>
      <c r="Q233" s="124"/>
      <c r="R233" s="36" t="str">
        <f t="shared" si="90"/>
        <v/>
      </c>
      <c r="S233" s="37" t="str">
        <f t="shared" si="80"/>
        <v/>
      </c>
      <c r="T233" s="38" t="str">
        <f t="shared" si="81"/>
        <v/>
      </c>
      <c r="U233" s="39" t="str">
        <f t="shared" si="82"/>
        <v/>
      </c>
      <c r="V233" s="40" t="str">
        <f t="shared" si="83"/>
        <v/>
      </c>
      <c r="W233" s="39" t="str">
        <f t="shared" si="84"/>
        <v/>
      </c>
      <c r="X233" s="34" t="str">
        <f t="shared" si="85"/>
        <v/>
      </c>
      <c r="Y233" s="41" t="str">
        <f t="shared" si="91"/>
        <v/>
      </c>
      <c r="Z233" s="98" t="str">
        <f t="shared" si="86"/>
        <v/>
      </c>
      <c r="AA233" s="81" t="str">
        <f t="shared" si="92"/>
        <v/>
      </c>
      <c r="AC233" s="139"/>
      <c r="AD233" s="110" t="str">
        <f t="shared" si="93"/>
        <v/>
      </c>
      <c r="AE233" s="111" t="str">
        <f t="shared" si="94"/>
        <v/>
      </c>
      <c r="AF233" s="111" t="str">
        <f t="shared" si="87"/>
        <v/>
      </c>
      <c r="AG233" s="111" t="str">
        <f t="shared" si="95"/>
        <v/>
      </c>
      <c r="AH233" s="111" t="str">
        <f t="shared" si="96"/>
        <v/>
      </c>
      <c r="AI233" s="112" t="str">
        <f t="shared" si="97"/>
        <v/>
      </c>
      <c r="AJ233" t="str">
        <f t="shared" si="98"/>
        <v/>
      </c>
      <c r="AK233" t="str">
        <f t="shared" si="99"/>
        <v/>
      </c>
    </row>
    <row r="234" spans="1:37" ht="15" customHeight="1" x14ac:dyDescent="0.25">
      <c r="A234" s="114"/>
      <c r="B234" s="116"/>
      <c r="C234" s="116"/>
      <c r="D234" s="42" t="str">
        <f t="shared" si="75"/>
        <v/>
      </c>
      <c r="E234" s="43"/>
      <c r="F234" s="83"/>
      <c r="G234" s="118"/>
      <c r="H234" s="34" t="str">
        <f t="shared" si="76"/>
        <v/>
      </c>
      <c r="I234" s="88" t="str">
        <f t="shared" si="77"/>
        <v/>
      </c>
      <c r="J234" s="44" t="str">
        <f t="shared" si="78"/>
        <v/>
      </c>
      <c r="K234" s="118"/>
      <c r="L234" s="34" t="str">
        <f t="shared" si="79"/>
        <v/>
      </c>
      <c r="M234" s="118"/>
      <c r="N234" s="121"/>
      <c r="O234" s="122" t="str">
        <f t="shared" si="88"/>
        <v/>
      </c>
      <c r="P234" s="35" t="str">
        <f t="shared" si="89"/>
        <v/>
      </c>
      <c r="Q234" s="124"/>
      <c r="R234" s="36" t="str">
        <f t="shared" si="90"/>
        <v/>
      </c>
      <c r="S234" s="37" t="str">
        <f t="shared" si="80"/>
        <v/>
      </c>
      <c r="T234" s="38" t="str">
        <f t="shared" si="81"/>
        <v/>
      </c>
      <c r="U234" s="39" t="str">
        <f t="shared" si="82"/>
        <v/>
      </c>
      <c r="V234" s="40" t="str">
        <f t="shared" si="83"/>
        <v/>
      </c>
      <c r="W234" s="39" t="str">
        <f t="shared" si="84"/>
        <v/>
      </c>
      <c r="X234" s="34" t="str">
        <f t="shared" si="85"/>
        <v/>
      </c>
      <c r="Y234" s="41" t="str">
        <f t="shared" si="91"/>
        <v/>
      </c>
      <c r="Z234" s="98" t="str">
        <f t="shared" si="86"/>
        <v/>
      </c>
      <c r="AA234" s="81" t="str">
        <f t="shared" si="92"/>
        <v/>
      </c>
      <c r="AC234" s="139"/>
      <c r="AD234" s="110" t="str">
        <f t="shared" si="93"/>
        <v/>
      </c>
      <c r="AE234" s="111" t="str">
        <f t="shared" si="94"/>
        <v/>
      </c>
      <c r="AF234" s="111" t="str">
        <f t="shared" si="87"/>
        <v/>
      </c>
      <c r="AG234" s="111" t="str">
        <f t="shared" si="95"/>
        <v/>
      </c>
      <c r="AH234" s="111" t="str">
        <f t="shared" si="96"/>
        <v/>
      </c>
      <c r="AI234" s="112" t="str">
        <f t="shared" si="97"/>
        <v/>
      </c>
      <c r="AJ234" t="str">
        <f t="shared" si="98"/>
        <v/>
      </c>
      <c r="AK234" t="str">
        <f t="shared" si="99"/>
        <v/>
      </c>
    </row>
    <row r="235" spans="1:37" ht="15" customHeight="1" x14ac:dyDescent="0.25">
      <c r="A235" s="114"/>
      <c r="B235" s="116"/>
      <c r="C235" s="116"/>
      <c r="D235" s="42" t="str">
        <f t="shared" si="75"/>
        <v/>
      </c>
      <c r="E235" s="43"/>
      <c r="F235" s="83"/>
      <c r="G235" s="118"/>
      <c r="H235" s="34" t="str">
        <f t="shared" si="76"/>
        <v/>
      </c>
      <c r="I235" s="88" t="str">
        <f t="shared" si="77"/>
        <v/>
      </c>
      <c r="J235" s="44" t="str">
        <f t="shared" si="78"/>
        <v/>
      </c>
      <c r="K235" s="118"/>
      <c r="L235" s="34" t="str">
        <f t="shared" si="79"/>
        <v/>
      </c>
      <c r="M235" s="118"/>
      <c r="N235" s="121"/>
      <c r="O235" s="122" t="str">
        <f t="shared" si="88"/>
        <v/>
      </c>
      <c r="P235" s="35" t="str">
        <f t="shared" si="89"/>
        <v/>
      </c>
      <c r="Q235" s="124"/>
      <c r="R235" s="36" t="str">
        <f t="shared" si="90"/>
        <v/>
      </c>
      <c r="S235" s="37" t="str">
        <f t="shared" si="80"/>
        <v/>
      </c>
      <c r="T235" s="38" t="str">
        <f t="shared" si="81"/>
        <v/>
      </c>
      <c r="U235" s="39" t="str">
        <f t="shared" si="82"/>
        <v/>
      </c>
      <c r="V235" s="40" t="str">
        <f t="shared" si="83"/>
        <v/>
      </c>
      <c r="W235" s="39" t="str">
        <f t="shared" si="84"/>
        <v/>
      </c>
      <c r="X235" s="34" t="str">
        <f t="shared" si="85"/>
        <v/>
      </c>
      <c r="Y235" s="41" t="str">
        <f t="shared" si="91"/>
        <v/>
      </c>
      <c r="Z235" s="98" t="str">
        <f t="shared" si="86"/>
        <v/>
      </c>
      <c r="AA235" s="81" t="str">
        <f t="shared" si="92"/>
        <v/>
      </c>
      <c r="AC235" s="139"/>
      <c r="AD235" s="110" t="str">
        <f t="shared" si="93"/>
        <v/>
      </c>
      <c r="AE235" s="111" t="str">
        <f t="shared" si="94"/>
        <v/>
      </c>
      <c r="AF235" s="111" t="str">
        <f t="shared" si="87"/>
        <v/>
      </c>
      <c r="AG235" s="111" t="str">
        <f t="shared" si="95"/>
        <v/>
      </c>
      <c r="AH235" s="111" t="str">
        <f t="shared" si="96"/>
        <v/>
      </c>
      <c r="AI235" s="112" t="str">
        <f t="shared" si="97"/>
        <v/>
      </c>
      <c r="AJ235" t="str">
        <f t="shared" si="98"/>
        <v/>
      </c>
      <c r="AK235" t="str">
        <f t="shared" si="99"/>
        <v/>
      </c>
    </row>
    <row r="236" spans="1:37" ht="15" customHeight="1" x14ac:dyDescent="0.25">
      <c r="A236" s="114"/>
      <c r="B236" s="116"/>
      <c r="C236" s="116"/>
      <c r="D236" s="42" t="str">
        <f t="shared" si="75"/>
        <v/>
      </c>
      <c r="E236" s="43"/>
      <c r="F236" s="83"/>
      <c r="G236" s="118"/>
      <c r="H236" s="34" t="str">
        <f t="shared" si="76"/>
        <v/>
      </c>
      <c r="I236" s="88" t="str">
        <f t="shared" si="77"/>
        <v/>
      </c>
      <c r="J236" s="44" t="str">
        <f t="shared" si="78"/>
        <v/>
      </c>
      <c r="K236" s="118"/>
      <c r="L236" s="34" t="str">
        <f t="shared" si="79"/>
        <v/>
      </c>
      <c r="M236" s="118"/>
      <c r="N236" s="121"/>
      <c r="O236" s="122" t="str">
        <f t="shared" si="88"/>
        <v/>
      </c>
      <c r="P236" s="35" t="str">
        <f t="shared" si="89"/>
        <v/>
      </c>
      <c r="Q236" s="124"/>
      <c r="R236" s="36" t="str">
        <f t="shared" si="90"/>
        <v/>
      </c>
      <c r="S236" s="37" t="str">
        <f t="shared" si="80"/>
        <v/>
      </c>
      <c r="T236" s="38" t="str">
        <f t="shared" si="81"/>
        <v/>
      </c>
      <c r="U236" s="39" t="str">
        <f t="shared" si="82"/>
        <v/>
      </c>
      <c r="V236" s="40" t="str">
        <f t="shared" si="83"/>
        <v/>
      </c>
      <c r="W236" s="39" t="str">
        <f t="shared" si="84"/>
        <v/>
      </c>
      <c r="X236" s="34" t="str">
        <f t="shared" si="85"/>
        <v/>
      </c>
      <c r="Y236" s="41" t="str">
        <f t="shared" si="91"/>
        <v/>
      </c>
      <c r="Z236" s="98" t="str">
        <f t="shared" si="86"/>
        <v/>
      </c>
      <c r="AA236" s="81" t="str">
        <f t="shared" si="92"/>
        <v/>
      </c>
      <c r="AC236" s="139"/>
      <c r="AD236" s="110" t="str">
        <f t="shared" si="93"/>
        <v/>
      </c>
      <c r="AE236" s="111" t="str">
        <f t="shared" si="94"/>
        <v/>
      </c>
      <c r="AF236" s="111" t="str">
        <f t="shared" si="87"/>
        <v/>
      </c>
      <c r="AG236" s="111" t="str">
        <f t="shared" si="95"/>
        <v/>
      </c>
      <c r="AH236" s="111" t="str">
        <f t="shared" si="96"/>
        <v/>
      </c>
      <c r="AI236" s="112" t="str">
        <f t="shared" si="97"/>
        <v/>
      </c>
      <c r="AJ236" t="str">
        <f t="shared" si="98"/>
        <v/>
      </c>
      <c r="AK236" t="str">
        <f t="shared" si="99"/>
        <v/>
      </c>
    </row>
    <row r="237" spans="1:37" ht="15" customHeight="1" x14ac:dyDescent="0.25">
      <c r="A237" s="114"/>
      <c r="B237" s="116"/>
      <c r="C237" s="116"/>
      <c r="D237" s="42" t="str">
        <f t="shared" si="75"/>
        <v/>
      </c>
      <c r="E237" s="43"/>
      <c r="F237" s="83"/>
      <c r="G237" s="118"/>
      <c r="H237" s="34" t="str">
        <f t="shared" si="76"/>
        <v/>
      </c>
      <c r="I237" s="88" t="str">
        <f t="shared" si="77"/>
        <v/>
      </c>
      <c r="J237" s="44" t="str">
        <f t="shared" si="78"/>
        <v/>
      </c>
      <c r="K237" s="118"/>
      <c r="L237" s="34" t="str">
        <f t="shared" si="79"/>
        <v/>
      </c>
      <c r="M237" s="118"/>
      <c r="N237" s="121"/>
      <c r="O237" s="122" t="str">
        <f t="shared" si="88"/>
        <v/>
      </c>
      <c r="P237" s="35" t="str">
        <f t="shared" si="89"/>
        <v/>
      </c>
      <c r="Q237" s="124"/>
      <c r="R237" s="36" t="str">
        <f t="shared" si="90"/>
        <v/>
      </c>
      <c r="S237" s="37" t="str">
        <f t="shared" si="80"/>
        <v/>
      </c>
      <c r="T237" s="38" t="str">
        <f t="shared" si="81"/>
        <v/>
      </c>
      <c r="U237" s="39" t="str">
        <f t="shared" si="82"/>
        <v/>
      </c>
      <c r="V237" s="40" t="str">
        <f t="shared" si="83"/>
        <v/>
      </c>
      <c r="W237" s="39" t="str">
        <f t="shared" si="84"/>
        <v/>
      </c>
      <c r="X237" s="34" t="str">
        <f t="shared" si="85"/>
        <v/>
      </c>
      <c r="Y237" s="41" t="str">
        <f t="shared" si="91"/>
        <v/>
      </c>
      <c r="Z237" s="98" t="str">
        <f t="shared" si="86"/>
        <v/>
      </c>
      <c r="AA237" s="81" t="str">
        <f t="shared" si="92"/>
        <v/>
      </c>
      <c r="AC237" s="139"/>
      <c r="AD237" s="110" t="str">
        <f t="shared" si="93"/>
        <v/>
      </c>
      <c r="AE237" s="111" t="str">
        <f t="shared" si="94"/>
        <v/>
      </c>
      <c r="AF237" s="111" t="str">
        <f t="shared" si="87"/>
        <v/>
      </c>
      <c r="AG237" s="111" t="str">
        <f t="shared" si="95"/>
        <v/>
      </c>
      <c r="AH237" s="111" t="str">
        <f t="shared" si="96"/>
        <v/>
      </c>
      <c r="AI237" s="112" t="str">
        <f t="shared" si="97"/>
        <v/>
      </c>
      <c r="AJ237" t="str">
        <f t="shared" si="98"/>
        <v/>
      </c>
      <c r="AK237" t="str">
        <f t="shared" si="99"/>
        <v/>
      </c>
    </row>
    <row r="238" spans="1:37" ht="15" customHeight="1" x14ac:dyDescent="0.25">
      <c r="A238" s="114"/>
      <c r="B238" s="116"/>
      <c r="C238" s="116"/>
      <c r="D238" s="42" t="str">
        <f t="shared" si="75"/>
        <v/>
      </c>
      <c r="E238" s="43"/>
      <c r="F238" s="83"/>
      <c r="G238" s="118"/>
      <c r="H238" s="34" t="str">
        <f t="shared" si="76"/>
        <v/>
      </c>
      <c r="I238" s="88" t="str">
        <f t="shared" si="77"/>
        <v/>
      </c>
      <c r="J238" s="44" t="str">
        <f t="shared" si="78"/>
        <v/>
      </c>
      <c r="K238" s="118"/>
      <c r="L238" s="34" t="str">
        <f t="shared" si="79"/>
        <v/>
      </c>
      <c r="M238" s="118"/>
      <c r="N238" s="121"/>
      <c r="O238" s="122" t="str">
        <f t="shared" si="88"/>
        <v/>
      </c>
      <c r="P238" s="35" t="str">
        <f t="shared" si="89"/>
        <v/>
      </c>
      <c r="Q238" s="124"/>
      <c r="R238" s="36" t="str">
        <f t="shared" si="90"/>
        <v/>
      </c>
      <c r="S238" s="37" t="str">
        <f t="shared" si="80"/>
        <v/>
      </c>
      <c r="T238" s="38" t="str">
        <f t="shared" si="81"/>
        <v/>
      </c>
      <c r="U238" s="39" t="str">
        <f t="shared" si="82"/>
        <v/>
      </c>
      <c r="V238" s="40" t="str">
        <f t="shared" si="83"/>
        <v/>
      </c>
      <c r="W238" s="39" t="str">
        <f t="shared" si="84"/>
        <v/>
      </c>
      <c r="X238" s="34" t="str">
        <f t="shared" si="85"/>
        <v/>
      </c>
      <c r="Y238" s="41" t="str">
        <f t="shared" si="91"/>
        <v/>
      </c>
      <c r="Z238" s="98" t="str">
        <f t="shared" si="86"/>
        <v/>
      </c>
      <c r="AA238" s="81" t="str">
        <f t="shared" si="92"/>
        <v/>
      </c>
      <c r="AC238" s="139"/>
      <c r="AD238" s="110" t="str">
        <f t="shared" si="93"/>
        <v/>
      </c>
      <c r="AE238" s="111" t="str">
        <f t="shared" si="94"/>
        <v/>
      </c>
      <c r="AF238" s="111" t="str">
        <f t="shared" si="87"/>
        <v/>
      </c>
      <c r="AG238" s="111" t="str">
        <f t="shared" si="95"/>
        <v/>
      </c>
      <c r="AH238" s="111" t="str">
        <f t="shared" si="96"/>
        <v/>
      </c>
      <c r="AI238" s="112" t="str">
        <f t="shared" si="97"/>
        <v/>
      </c>
      <c r="AJ238" t="str">
        <f t="shared" si="98"/>
        <v/>
      </c>
      <c r="AK238" t="str">
        <f t="shared" si="99"/>
        <v/>
      </c>
    </row>
    <row r="239" spans="1:37" ht="15" customHeight="1" x14ac:dyDescent="0.25">
      <c r="A239" s="114"/>
      <c r="B239" s="116"/>
      <c r="C239" s="116"/>
      <c r="D239" s="42" t="str">
        <f t="shared" si="75"/>
        <v/>
      </c>
      <c r="E239" s="43"/>
      <c r="F239" s="83"/>
      <c r="G239" s="118"/>
      <c r="H239" s="34" t="str">
        <f t="shared" si="76"/>
        <v/>
      </c>
      <c r="I239" s="88" t="str">
        <f t="shared" si="77"/>
        <v/>
      </c>
      <c r="J239" s="44" t="str">
        <f t="shared" si="78"/>
        <v/>
      </c>
      <c r="K239" s="118"/>
      <c r="L239" s="34" t="str">
        <f t="shared" si="79"/>
        <v/>
      </c>
      <c r="M239" s="118"/>
      <c r="N239" s="121"/>
      <c r="O239" s="122" t="str">
        <f t="shared" si="88"/>
        <v/>
      </c>
      <c r="P239" s="35" t="str">
        <f t="shared" si="89"/>
        <v/>
      </c>
      <c r="Q239" s="124"/>
      <c r="R239" s="36" t="str">
        <f t="shared" si="90"/>
        <v/>
      </c>
      <c r="S239" s="37" t="str">
        <f t="shared" si="80"/>
        <v/>
      </c>
      <c r="T239" s="38" t="str">
        <f t="shared" si="81"/>
        <v/>
      </c>
      <c r="U239" s="39" t="str">
        <f t="shared" si="82"/>
        <v/>
      </c>
      <c r="V239" s="40" t="str">
        <f t="shared" si="83"/>
        <v/>
      </c>
      <c r="W239" s="39" t="str">
        <f t="shared" si="84"/>
        <v/>
      </c>
      <c r="X239" s="34" t="str">
        <f t="shared" si="85"/>
        <v/>
      </c>
      <c r="Y239" s="41" t="str">
        <f t="shared" si="91"/>
        <v/>
      </c>
      <c r="Z239" s="98" t="str">
        <f t="shared" si="86"/>
        <v/>
      </c>
      <c r="AA239" s="81" t="str">
        <f t="shared" si="92"/>
        <v/>
      </c>
      <c r="AC239" s="139"/>
      <c r="AD239" s="110" t="str">
        <f t="shared" si="93"/>
        <v/>
      </c>
      <c r="AE239" s="111" t="str">
        <f t="shared" si="94"/>
        <v/>
      </c>
      <c r="AF239" s="111" t="str">
        <f t="shared" si="87"/>
        <v/>
      </c>
      <c r="AG239" s="111" t="str">
        <f t="shared" si="95"/>
        <v/>
      </c>
      <c r="AH239" s="111" t="str">
        <f t="shared" si="96"/>
        <v/>
      </c>
      <c r="AI239" s="112" t="str">
        <f t="shared" si="97"/>
        <v/>
      </c>
      <c r="AJ239" t="str">
        <f t="shared" si="98"/>
        <v/>
      </c>
      <c r="AK239" t="str">
        <f t="shared" si="99"/>
        <v/>
      </c>
    </row>
    <row r="240" spans="1:37" ht="15" customHeight="1" x14ac:dyDescent="0.25">
      <c r="A240" s="114"/>
      <c r="B240" s="116"/>
      <c r="C240" s="116"/>
      <c r="D240" s="42" t="str">
        <f t="shared" si="75"/>
        <v/>
      </c>
      <c r="E240" s="43"/>
      <c r="F240" s="83"/>
      <c r="G240" s="118"/>
      <c r="H240" s="34" t="str">
        <f t="shared" si="76"/>
        <v/>
      </c>
      <c r="I240" s="88" t="str">
        <f t="shared" si="77"/>
        <v/>
      </c>
      <c r="J240" s="44" t="str">
        <f t="shared" si="78"/>
        <v/>
      </c>
      <c r="K240" s="118"/>
      <c r="L240" s="34" t="str">
        <f t="shared" si="79"/>
        <v/>
      </c>
      <c r="M240" s="118"/>
      <c r="N240" s="121"/>
      <c r="O240" s="122" t="str">
        <f t="shared" si="88"/>
        <v/>
      </c>
      <c r="P240" s="35" t="str">
        <f t="shared" si="89"/>
        <v/>
      </c>
      <c r="Q240" s="124"/>
      <c r="R240" s="36" t="str">
        <f t="shared" si="90"/>
        <v/>
      </c>
      <c r="S240" s="37" t="str">
        <f t="shared" si="80"/>
        <v/>
      </c>
      <c r="T240" s="38" t="str">
        <f t="shared" si="81"/>
        <v/>
      </c>
      <c r="U240" s="39" t="str">
        <f t="shared" si="82"/>
        <v/>
      </c>
      <c r="V240" s="40" t="str">
        <f t="shared" si="83"/>
        <v/>
      </c>
      <c r="W240" s="39" t="str">
        <f t="shared" si="84"/>
        <v/>
      </c>
      <c r="X240" s="34" t="str">
        <f t="shared" si="85"/>
        <v/>
      </c>
      <c r="Y240" s="41" t="str">
        <f t="shared" si="91"/>
        <v/>
      </c>
      <c r="Z240" s="98" t="str">
        <f t="shared" si="86"/>
        <v/>
      </c>
      <c r="AA240" s="81" t="str">
        <f t="shared" si="92"/>
        <v/>
      </c>
      <c r="AC240" s="139"/>
      <c r="AD240" s="110" t="str">
        <f t="shared" si="93"/>
        <v/>
      </c>
      <c r="AE240" s="111" t="str">
        <f t="shared" si="94"/>
        <v/>
      </c>
      <c r="AF240" s="111" t="str">
        <f t="shared" si="87"/>
        <v/>
      </c>
      <c r="AG240" s="111" t="str">
        <f t="shared" si="95"/>
        <v/>
      </c>
      <c r="AH240" s="111" t="str">
        <f t="shared" si="96"/>
        <v/>
      </c>
      <c r="AI240" s="112" t="str">
        <f t="shared" si="97"/>
        <v/>
      </c>
      <c r="AJ240" t="str">
        <f t="shared" si="98"/>
        <v/>
      </c>
      <c r="AK240" t="str">
        <f t="shared" si="99"/>
        <v/>
      </c>
    </row>
    <row r="241" spans="1:37" ht="15" customHeight="1" x14ac:dyDescent="0.25">
      <c r="A241" s="114"/>
      <c r="B241" s="116"/>
      <c r="C241" s="116"/>
      <c r="D241" s="42" t="str">
        <f t="shared" si="75"/>
        <v/>
      </c>
      <c r="E241" s="43"/>
      <c r="F241" s="83"/>
      <c r="G241" s="118"/>
      <c r="H241" s="34" t="str">
        <f t="shared" si="76"/>
        <v/>
      </c>
      <c r="I241" s="88" t="str">
        <f t="shared" si="77"/>
        <v/>
      </c>
      <c r="J241" s="44" t="str">
        <f t="shared" si="78"/>
        <v/>
      </c>
      <c r="K241" s="118"/>
      <c r="L241" s="34" t="str">
        <f t="shared" si="79"/>
        <v/>
      </c>
      <c r="M241" s="118"/>
      <c r="N241" s="121"/>
      <c r="O241" s="122" t="str">
        <f t="shared" si="88"/>
        <v/>
      </c>
      <c r="P241" s="35" t="str">
        <f t="shared" si="89"/>
        <v/>
      </c>
      <c r="Q241" s="124"/>
      <c r="R241" s="36" t="str">
        <f t="shared" si="90"/>
        <v/>
      </c>
      <c r="S241" s="37" t="str">
        <f t="shared" si="80"/>
        <v/>
      </c>
      <c r="T241" s="38" t="str">
        <f t="shared" si="81"/>
        <v/>
      </c>
      <c r="U241" s="39" t="str">
        <f t="shared" si="82"/>
        <v/>
      </c>
      <c r="V241" s="40" t="str">
        <f t="shared" si="83"/>
        <v/>
      </c>
      <c r="W241" s="39" t="str">
        <f t="shared" si="84"/>
        <v/>
      </c>
      <c r="X241" s="34" t="str">
        <f t="shared" si="85"/>
        <v/>
      </c>
      <c r="Y241" s="41" t="str">
        <f t="shared" si="91"/>
        <v/>
      </c>
      <c r="Z241" s="98" t="str">
        <f t="shared" si="86"/>
        <v/>
      </c>
      <c r="AA241" s="81" t="str">
        <f t="shared" si="92"/>
        <v/>
      </c>
      <c r="AC241" s="139"/>
      <c r="AD241" s="110" t="str">
        <f t="shared" si="93"/>
        <v/>
      </c>
      <c r="AE241" s="111" t="str">
        <f t="shared" si="94"/>
        <v/>
      </c>
      <c r="AF241" s="111" t="str">
        <f t="shared" si="87"/>
        <v/>
      </c>
      <c r="AG241" s="111" t="str">
        <f t="shared" si="95"/>
        <v/>
      </c>
      <c r="AH241" s="111" t="str">
        <f t="shared" si="96"/>
        <v/>
      </c>
      <c r="AI241" s="112" t="str">
        <f t="shared" si="97"/>
        <v/>
      </c>
      <c r="AJ241" t="str">
        <f t="shared" si="98"/>
        <v/>
      </c>
      <c r="AK241" t="str">
        <f t="shared" si="99"/>
        <v/>
      </c>
    </row>
    <row r="242" spans="1:37" ht="15" customHeight="1" x14ac:dyDescent="0.25">
      <c r="A242" s="114"/>
      <c r="B242" s="116"/>
      <c r="C242" s="116"/>
      <c r="D242" s="42" t="str">
        <f t="shared" si="75"/>
        <v/>
      </c>
      <c r="E242" s="43"/>
      <c r="F242" s="83"/>
      <c r="G242" s="118"/>
      <c r="H242" s="34" t="str">
        <f t="shared" si="76"/>
        <v/>
      </c>
      <c r="I242" s="88" t="str">
        <f t="shared" si="77"/>
        <v/>
      </c>
      <c r="J242" s="44" t="str">
        <f t="shared" si="78"/>
        <v/>
      </c>
      <c r="K242" s="118"/>
      <c r="L242" s="34" t="str">
        <f t="shared" si="79"/>
        <v/>
      </c>
      <c r="M242" s="118"/>
      <c r="N242" s="121"/>
      <c r="O242" s="122" t="str">
        <f t="shared" si="88"/>
        <v/>
      </c>
      <c r="P242" s="35" t="str">
        <f t="shared" si="89"/>
        <v/>
      </c>
      <c r="Q242" s="124"/>
      <c r="R242" s="36" t="str">
        <f t="shared" si="90"/>
        <v/>
      </c>
      <c r="S242" s="37" t="str">
        <f t="shared" si="80"/>
        <v/>
      </c>
      <c r="T242" s="38" t="str">
        <f t="shared" si="81"/>
        <v/>
      </c>
      <c r="U242" s="39" t="str">
        <f t="shared" si="82"/>
        <v/>
      </c>
      <c r="V242" s="40" t="str">
        <f t="shared" si="83"/>
        <v/>
      </c>
      <c r="W242" s="39" t="str">
        <f t="shared" si="84"/>
        <v/>
      </c>
      <c r="X242" s="34" t="str">
        <f t="shared" si="85"/>
        <v/>
      </c>
      <c r="Y242" s="41" t="str">
        <f t="shared" si="91"/>
        <v/>
      </c>
      <c r="Z242" s="98" t="str">
        <f t="shared" si="86"/>
        <v/>
      </c>
      <c r="AA242" s="81" t="str">
        <f t="shared" si="92"/>
        <v/>
      </c>
      <c r="AC242" s="139"/>
      <c r="AD242" s="110" t="str">
        <f t="shared" si="93"/>
        <v/>
      </c>
      <c r="AE242" s="111" t="str">
        <f t="shared" si="94"/>
        <v/>
      </c>
      <c r="AF242" s="111" t="str">
        <f t="shared" si="87"/>
        <v/>
      </c>
      <c r="AG242" s="111" t="str">
        <f t="shared" si="95"/>
        <v/>
      </c>
      <c r="AH242" s="111" t="str">
        <f t="shared" si="96"/>
        <v/>
      </c>
      <c r="AI242" s="112" t="str">
        <f t="shared" si="97"/>
        <v/>
      </c>
      <c r="AJ242" t="str">
        <f t="shared" si="98"/>
        <v/>
      </c>
      <c r="AK242" t="str">
        <f t="shared" si="99"/>
        <v/>
      </c>
    </row>
    <row r="243" spans="1:37" ht="15" customHeight="1" x14ac:dyDescent="0.25">
      <c r="A243" s="114"/>
      <c r="B243" s="116"/>
      <c r="C243" s="116"/>
      <c r="D243" s="42" t="str">
        <f t="shared" si="75"/>
        <v/>
      </c>
      <c r="E243" s="43"/>
      <c r="F243" s="83"/>
      <c r="G243" s="118"/>
      <c r="H243" s="34" t="str">
        <f t="shared" si="76"/>
        <v/>
      </c>
      <c r="I243" s="88" t="str">
        <f t="shared" si="77"/>
        <v/>
      </c>
      <c r="J243" s="44" t="str">
        <f t="shared" si="78"/>
        <v/>
      </c>
      <c r="K243" s="118"/>
      <c r="L243" s="34" t="str">
        <f t="shared" si="79"/>
        <v/>
      </c>
      <c r="M243" s="118"/>
      <c r="N243" s="121"/>
      <c r="O243" s="122" t="str">
        <f t="shared" si="88"/>
        <v/>
      </c>
      <c r="P243" s="35" t="str">
        <f t="shared" si="89"/>
        <v/>
      </c>
      <c r="Q243" s="124"/>
      <c r="R243" s="36" t="str">
        <f t="shared" si="90"/>
        <v/>
      </c>
      <c r="S243" s="37" t="str">
        <f t="shared" si="80"/>
        <v/>
      </c>
      <c r="T243" s="38" t="str">
        <f t="shared" si="81"/>
        <v/>
      </c>
      <c r="U243" s="39" t="str">
        <f t="shared" si="82"/>
        <v/>
      </c>
      <c r="V243" s="40" t="str">
        <f t="shared" si="83"/>
        <v/>
      </c>
      <c r="W243" s="39" t="str">
        <f t="shared" si="84"/>
        <v/>
      </c>
      <c r="X243" s="34" t="str">
        <f t="shared" si="85"/>
        <v/>
      </c>
      <c r="Y243" s="41" t="str">
        <f t="shared" si="91"/>
        <v/>
      </c>
      <c r="Z243" s="98" t="str">
        <f t="shared" si="86"/>
        <v/>
      </c>
      <c r="AA243" s="81" t="str">
        <f t="shared" si="92"/>
        <v/>
      </c>
      <c r="AC243" s="139"/>
      <c r="AD243" s="110" t="str">
        <f t="shared" si="93"/>
        <v/>
      </c>
      <c r="AE243" s="111" t="str">
        <f t="shared" si="94"/>
        <v/>
      </c>
      <c r="AF243" s="111" t="str">
        <f t="shared" si="87"/>
        <v/>
      </c>
      <c r="AG243" s="111" t="str">
        <f t="shared" si="95"/>
        <v/>
      </c>
      <c r="AH243" s="111" t="str">
        <f t="shared" si="96"/>
        <v/>
      </c>
      <c r="AI243" s="112" t="str">
        <f t="shared" si="97"/>
        <v/>
      </c>
      <c r="AJ243" t="str">
        <f t="shared" si="98"/>
        <v/>
      </c>
      <c r="AK243" t="str">
        <f t="shared" si="99"/>
        <v/>
      </c>
    </row>
    <row r="244" spans="1:37" ht="15" customHeight="1" x14ac:dyDescent="0.25">
      <c r="A244" s="114"/>
      <c r="B244" s="116"/>
      <c r="C244" s="116"/>
      <c r="D244" s="42" t="str">
        <f t="shared" si="75"/>
        <v/>
      </c>
      <c r="E244" s="43"/>
      <c r="F244" s="83"/>
      <c r="G244" s="118"/>
      <c r="H244" s="34" t="str">
        <f t="shared" si="76"/>
        <v/>
      </c>
      <c r="I244" s="88" t="str">
        <f t="shared" si="77"/>
        <v/>
      </c>
      <c r="J244" s="44" t="str">
        <f t="shared" si="78"/>
        <v/>
      </c>
      <c r="K244" s="118"/>
      <c r="L244" s="34" t="str">
        <f t="shared" si="79"/>
        <v/>
      </c>
      <c r="M244" s="118"/>
      <c r="N244" s="121"/>
      <c r="O244" s="122" t="str">
        <f t="shared" si="88"/>
        <v/>
      </c>
      <c r="P244" s="35" t="str">
        <f t="shared" si="89"/>
        <v/>
      </c>
      <c r="Q244" s="124"/>
      <c r="R244" s="36" t="str">
        <f t="shared" si="90"/>
        <v/>
      </c>
      <c r="S244" s="37" t="str">
        <f t="shared" si="80"/>
        <v/>
      </c>
      <c r="T244" s="38" t="str">
        <f t="shared" si="81"/>
        <v/>
      </c>
      <c r="U244" s="39" t="str">
        <f t="shared" si="82"/>
        <v/>
      </c>
      <c r="V244" s="40" t="str">
        <f t="shared" si="83"/>
        <v/>
      </c>
      <c r="W244" s="39" t="str">
        <f t="shared" si="84"/>
        <v/>
      </c>
      <c r="X244" s="34" t="str">
        <f t="shared" si="85"/>
        <v/>
      </c>
      <c r="Y244" s="41" t="str">
        <f t="shared" si="91"/>
        <v/>
      </c>
      <c r="Z244" s="98" t="str">
        <f t="shared" si="86"/>
        <v/>
      </c>
      <c r="AA244" s="81" t="str">
        <f t="shared" si="92"/>
        <v/>
      </c>
      <c r="AC244" s="139"/>
      <c r="AD244" s="110" t="str">
        <f t="shared" si="93"/>
        <v/>
      </c>
      <c r="AE244" s="111" t="str">
        <f t="shared" si="94"/>
        <v/>
      </c>
      <c r="AF244" s="111" t="str">
        <f t="shared" si="87"/>
        <v/>
      </c>
      <c r="AG244" s="111" t="str">
        <f t="shared" si="95"/>
        <v/>
      </c>
      <c r="AH244" s="111" t="str">
        <f t="shared" si="96"/>
        <v/>
      </c>
      <c r="AI244" s="112" t="str">
        <f t="shared" si="97"/>
        <v/>
      </c>
      <c r="AJ244" t="str">
        <f t="shared" si="98"/>
        <v/>
      </c>
      <c r="AK244" t="str">
        <f t="shared" si="99"/>
        <v/>
      </c>
    </row>
    <row r="245" spans="1:37" ht="15" customHeight="1" x14ac:dyDescent="0.25">
      <c r="A245" s="114"/>
      <c r="B245" s="116"/>
      <c r="C245" s="116"/>
      <c r="D245" s="42" t="str">
        <f t="shared" si="75"/>
        <v/>
      </c>
      <c r="E245" s="43"/>
      <c r="F245" s="83"/>
      <c r="G245" s="118"/>
      <c r="H245" s="34" t="str">
        <f t="shared" si="76"/>
        <v/>
      </c>
      <c r="I245" s="88" t="str">
        <f t="shared" si="77"/>
        <v/>
      </c>
      <c r="J245" s="44" t="str">
        <f t="shared" si="78"/>
        <v/>
      </c>
      <c r="K245" s="118"/>
      <c r="L245" s="34" t="str">
        <f t="shared" si="79"/>
        <v/>
      </c>
      <c r="M245" s="118"/>
      <c r="N245" s="121"/>
      <c r="O245" s="122" t="str">
        <f t="shared" si="88"/>
        <v/>
      </c>
      <c r="P245" s="35" t="str">
        <f t="shared" si="89"/>
        <v/>
      </c>
      <c r="Q245" s="124"/>
      <c r="R245" s="36" t="str">
        <f t="shared" si="90"/>
        <v/>
      </c>
      <c r="S245" s="37" t="str">
        <f t="shared" si="80"/>
        <v/>
      </c>
      <c r="T245" s="38" t="str">
        <f t="shared" si="81"/>
        <v/>
      </c>
      <c r="U245" s="39" t="str">
        <f t="shared" si="82"/>
        <v/>
      </c>
      <c r="V245" s="40" t="str">
        <f t="shared" si="83"/>
        <v/>
      </c>
      <c r="W245" s="39" t="str">
        <f t="shared" si="84"/>
        <v/>
      </c>
      <c r="X245" s="34" t="str">
        <f t="shared" si="85"/>
        <v/>
      </c>
      <c r="Y245" s="41" t="str">
        <f t="shared" si="91"/>
        <v/>
      </c>
      <c r="Z245" s="98" t="str">
        <f t="shared" si="86"/>
        <v/>
      </c>
      <c r="AA245" s="81" t="str">
        <f t="shared" si="92"/>
        <v/>
      </c>
      <c r="AC245" s="139"/>
      <c r="AD245" s="110" t="str">
        <f t="shared" si="93"/>
        <v/>
      </c>
      <c r="AE245" s="111" t="str">
        <f t="shared" si="94"/>
        <v/>
      </c>
      <c r="AF245" s="111" t="str">
        <f t="shared" si="87"/>
        <v/>
      </c>
      <c r="AG245" s="111" t="str">
        <f t="shared" si="95"/>
        <v/>
      </c>
      <c r="AH245" s="111" t="str">
        <f t="shared" si="96"/>
        <v/>
      </c>
      <c r="AI245" s="112" t="str">
        <f t="shared" si="97"/>
        <v/>
      </c>
      <c r="AJ245" t="str">
        <f t="shared" si="98"/>
        <v/>
      </c>
      <c r="AK245" t="str">
        <f t="shared" si="99"/>
        <v/>
      </c>
    </row>
    <row r="246" spans="1:37" ht="15" customHeight="1" x14ac:dyDescent="0.25">
      <c r="A246" s="114"/>
      <c r="B246" s="116"/>
      <c r="C246" s="116"/>
      <c r="D246" s="42" t="str">
        <f t="shared" si="75"/>
        <v/>
      </c>
      <c r="E246" s="43"/>
      <c r="F246" s="83"/>
      <c r="G246" s="118"/>
      <c r="H246" s="34" t="str">
        <f t="shared" si="76"/>
        <v/>
      </c>
      <c r="I246" s="88" t="str">
        <f t="shared" si="77"/>
        <v/>
      </c>
      <c r="J246" s="44" t="str">
        <f t="shared" si="78"/>
        <v/>
      </c>
      <c r="K246" s="118"/>
      <c r="L246" s="34" t="str">
        <f t="shared" si="79"/>
        <v/>
      </c>
      <c r="M246" s="118"/>
      <c r="N246" s="121"/>
      <c r="O246" s="122" t="str">
        <f t="shared" si="88"/>
        <v/>
      </c>
      <c r="P246" s="35" t="str">
        <f t="shared" si="89"/>
        <v/>
      </c>
      <c r="Q246" s="124"/>
      <c r="R246" s="36" t="str">
        <f t="shared" si="90"/>
        <v/>
      </c>
      <c r="S246" s="37" t="str">
        <f t="shared" si="80"/>
        <v/>
      </c>
      <c r="T246" s="38" t="str">
        <f t="shared" si="81"/>
        <v/>
      </c>
      <c r="U246" s="39" t="str">
        <f t="shared" si="82"/>
        <v/>
      </c>
      <c r="V246" s="40" t="str">
        <f t="shared" si="83"/>
        <v/>
      </c>
      <c r="W246" s="39" t="str">
        <f t="shared" si="84"/>
        <v/>
      </c>
      <c r="X246" s="34" t="str">
        <f t="shared" si="85"/>
        <v/>
      </c>
      <c r="Y246" s="41" t="str">
        <f t="shared" si="91"/>
        <v/>
      </c>
      <c r="Z246" s="98" t="str">
        <f t="shared" si="86"/>
        <v/>
      </c>
      <c r="AA246" s="81" t="str">
        <f t="shared" si="92"/>
        <v/>
      </c>
      <c r="AC246" s="139"/>
      <c r="AD246" s="110" t="str">
        <f t="shared" si="93"/>
        <v/>
      </c>
      <c r="AE246" s="111" t="str">
        <f t="shared" si="94"/>
        <v/>
      </c>
      <c r="AF246" s="111" t="str">
        <f t="shared" si="87"/>
        <v/>
      </c>
      <c r="AG246" s="111" t="str">
        <f t="shared" si="95"/>
        <v/>
      </c>
      <c r="AH246" s="111" t="str">
        <f t="shared" si="96"/>
        <v/>
      </c>
      <c r="AI246" s="112" t="str">
        <f t="shared" si="97"/>
        <v/>
      </c>
      <c r="AJ246" t="str">
        <f t="shared" si="98"/>
        <v/>
      </c>
      <c r="AK246" t="str">
        <f t="shared" si="99"/>
        <v/>
      </c>
    </row>
    <row r="247" spans="1:37" ht="15" customHeight="1" x14ac:dyDescent="0.25">
      <c r="A247" s="114"/>
      <c r="B247" s="116"/>
      <c r="C247" s="116"/>
      <c r="D247" s="42" t="str">
        <f t="shared" si="75"/>
        <v/>
      </c>
      <c r="E247" s="43"/>
      <c r="F247" s="83"/>
      <c r="G247" s="118"/>
      <c r="H247" s="34" t="str">
        <f t="shared" si="76"/>
        <v/>
      </c>
      <c r="I247" s="88" t="str">
        <f t="shared" si="77"/>
        <v/>
      </c>
      <c r="J247" s="44" t="str">
        <f t="shared" si="78"/>
        <v/>
      </c>
      <c r="K247" s="118"/>
      <c r="L247" s="34" t="str">
        <f t="shared" si="79"/>
        <v/>
      </c>
      <c r="M247" s="118"/>
      <c r="N247" s="121"/>
      <c r="O247" s="122" t="str">
        <f t="shared" si="88"/>
        <v/>
      </c>
      <c r="P247" s="35" t="str">
        <f t="shared" si="89"/>
        <v/>
      </c>
      <c r="Q247" s="124"/>
      <c r="R247" s="36" t="str">
        <f t="shared" si="90"/>
        <v/>
      </c>
      <c r="S247" s="37" t="str">
        <f t="shared" si="80"/>
        <v/>
      </c>
      <c r="T247" s="38" t="str">
        <f t="shared" si="81"/>
        <v/>
      </c>
      <c r="U247" s="39" t="str">
        <f t="shared" si="82"/>
        <v/>
      </c>
      <c r="V247" s="40" t="str">
        <f t="shared" si="83"/>
        <v/>
      </c>
      <c r="W247" s="39" t="str">
        <f t="shared" si="84"/>
        <v/>
      </c>
      <c r="X247" s="34" t="str">
        <f t="shared" si="85"/>
        <v/>
      </c>
      <c r="Y247" s="41" t="str">
        <f t="shared" si="91"/>
        <v/>
      </c>
      <c r="Z247" s="98" t="str">
        <f t="shared" si="86"/>
        <v/>
      </c>
      <c r="AA247" s="81" t="str">
        <f t="shared" si="92"/>
        <v/>
      </c>
      <c r="AC247" s="139"/>
      <c r="AD247" s="110" t="str">
        <f t="shared" si="93"/>
        <v/>
      </c>
      <c r="AE247" s="111" t="str">
        <f t="shared" si="94"/>
        <v/>
      </c>
      <c r="AF247" s="111" t="str">
        <f t="shared" si="87"/>
        <v/>
      </c>
      <c r="AG247" s="111" t="str">
        <f t="shared" si="95"/>
        <v/>
      </c>
      <c r="AH247" s="111" t="str">
        <f t="shared" si="96"/>
        <v/>
      </c>
      <c r="AI247" s="112" t="str">
        <f t="shared" si="97"/>
        <v/>
      </c>
      <c r="AJ247" t="str">
        <f t="shared" si="98"/>
        <v/>
      </c>
      <c r="AK247" t="str">
        <f t="shared" si="99"/>
        <v/>
      </c>
    </row>
    <row r="248" spans="1:37" ht="15" customHeight="1" x14ac:dyDescent="0.25">
      <c r="A248" s="114"/>
      <c r="B248" s="116"/>
      <c r="C248" s="116"/>
      <c r="D248" s="42" t="str">
        <f t="shared" si="75"/>
        <v/>
      </c>
      <c r="E248" s="43"/>
      <c r="F248" s="83"/>
      <c r="G248" s="118"/>
      <c r="H248" s="34" t="str">
        <f t="shared" si="76"/>
        <v/>
      </c>
      <c r="I248" s="88" t="str">
        <f t="shared" si="77"/>
        <v/>
      </c>
      <c r="J248" s="44" t="str">
        <f t="shared" si="78"/>
        <v/>
      </c>
      <c r="K248" s="118"/>
      <c r="L248" s="34" t="str">
        <f t="shared" si="79"/>
        <v/>
      </c>
      <c r="M248" s="118"/>
      <c r="N248" s="121"/>
      <c r="O248" s="122" t="str">
        <f t="shared" si="88"/>
        <v/>
      </c>
      <c r="P248" s="35" t="str">
        <f t="shared" si="89"/>
        <v/>
      </c>
      <c r="Q248" s="124"/>
      <c r="R248" s="36" t="str">
        <f t="shared" si="90"/>
        <v/>
      </c>
      <c r="S248" s="37" t="str">
        <f t="shared" si="80"/>
        <v/>
      </c>
      <c r="T248" s="38" t="str">
        <f t="shared" si="81"/>
        <v/>
      </c>
      <c r="U248" s="39" t="str">
        <f t="shared" si="82"/>
        <v/>
      </c>
      <c r="V248" s="40" t="str">
        <f t="shared" si="83"/>
        <v/>
      </c>
      <c r="W248" s="39" t="str">
        <f t="shared" si="84"/>
        <v/>
      </c>
      <c r="X248" s="34" t="str">
        <f t="shared" si="85"/>
        <v/>
      </c>
      <c r="Y248" s="41" t="str">
        <f t="shared" si="91"/>
        <v/>
      </c>
      <c r="Z248" s="98" t="str">
        <f t="shared" si="86"/>
        <v/>
      </c>
      <c r="AA248" s="81" t="str">
        <f t="shared" si="92"/>
        <v/>
      </c>
      <c r="AC248" s="139"/>
      <c r="AD248" s="110" t="str">
        <f t="shared" si="93"/>
        <v/>
      </c>
      <c r="AE248" s="111" t="str">
        <f t="shared" si="94"/>
        <v/>
      </c>
      <c r="AF248" s="111" t="str">
        <f t="shared" si="87"/>
        <v/>
      </c>
      <c r="AG248" s="111" t="str">
        <f t="shared" si="95"/>
        <v/>
      </c>
      <c r="AH248" s="111" t="str">
        <f t="shared" si="96"/>
        <v/>
      </c>
      <c r="AI248" s="112" t="str">
        <f t="shared" si="97"/>
        <v/>
      </c>
      <c r="AJ248" t="str">
        <f t="shared" si="98"/>
        <v/>
      </c>
      <c r="AK248" t="str">
        <f t="shared" si="99"/>
        <v/>
      </c>
    </row>
    <row r="249" spans="1:37" ht="15" customHeight="1" x14ac:dyDescent="0.25">
      <c r="A249" s="114"/>
      <c r="B249" s="116"/>
      <c r="C249" s="116"/>
      <c r="D249" s="42" t="str">
        <f t="shared" si="75"/>
        <v/>
      </c>
      <c r="E249" s="43"/>
      <c r="F249" s="83"/>
      <c r="G249" s="118"/>
      <c r="H249" s="34" t="str">
        <f t="shared" si="76"/>
        <v/>
      </c>
      <c r="I249" s="88" t="str">
        <f t="shared" si="77"/>
        <v/>
      </c>
      <c r="J249" s="44" t="str">
        <f t="shared" si="78"/>
        <v/>
      </c>
      <c r="K249" s="118"/>
      <c r="L249" s="34" t="str">
        <f t="shared" si="79"/>
        <v/>
      </c>
      <c r="M249" s="118"/>
      <c r="N249" s="121"/>
      <c r="O249" s="122" t="str">
        <f t="shared" si="88"/>
        <v/>
      </c>
      <c r="P249" s="35" t="str">
        <f t="shared" si="89"/>
        <v/>
      </c>
      <c r="Q249" s="124"/>
      <c r="R249" s="36" t="str">
        <f t="shared" si="90"/>
        <v/>
      </c>
      <c r="S249" s="37" t="str">
        <f t="shared" si="80"/>
        <v/>
      </c>
      <c r="T249" s="38" t="str">
        <f t="shared" si="81"/>
        <v/>
      </c>
      <c r="U249" s="39" t="str">
        <f t="shared" si="82"/>
        <v/>
      </c>
      <c r="V249" s="40" t="str">
        <f t="shared" si="83"/>
        <v/>
      </c>
      <c r="W249" s="39" t="str">
        <f t="shared" si="84"/>
        <v/>
      </c>
      <c r="X249" s="34" t="str">
        <f t="shared" si="85"/>
        <v/>
      </c>
      <c r="Y249" s="41" t="str">
        <f t="shared" si="91"/>
        <v/>
      </c>
      <c r="Z249" s="98" t="str">
        <f t="shared" si="86"/>
        <v/>
      </c>
      <c r="AA249" s="81" t="str">
        <f t="shared" si="92"/>
        <v/>
      </c>
      <c r="AC249" s="139"/>
      <c r="AD249" s="110" t="str">
        <f t="shared" si="93"/>
        <v/>
      </c>
      <c r="AE249" s="111" t="str">
        <f t="shared" si="94"/>
        <v/>
      </c>
      <c r="AF249" s="111" t="str">
        <f t="shared" si="87"/>
        <v/>
      </c>
      <c r="AG249" s="111" t="str">
        <f t="shared" si="95"/>
        <v/>
      </c>
      <c r="AH249" s="111" t="str">
        <f t="shared" si="96"/>
        <v/>
      </c>
      <c r="AI249" s="112" t="str">
        <f t="shared" si="97"/>
        <v/>
      </c>
      <c r="AJ249" t="str">
        <f t="shared" si="98"/>
        <v/>
      </c>
      <c r="AK249" t="str">
        <f t="shared" si="99"/>
        <v/>
      </c>
    </row>
    <row r="250" spans="1:37" ht="15" customHeight="1" x14ac:dyDescent="0.25">
      <c r="A250" s="114"/>
      <c r="B250" s="116"/>
      <c r="C250" s="116"/>
      <c r="D250" s="42" t="str">
        <f t="shared" si="75"/>
        <v/>
      </c>
      <c r="E250" s="43"/>
      <c r="F250" s="83"/>
      <c r="G250" s="118"/>
      <c r="H250" s="34" t="str">
        <f t="shared" si="76"/>
        <v/>
      </c>
      <c r="I250" s="88" t="str">
        <f t="shared" si="77"/>
        <v/>
      </c>
      <c r="J250" s="44" t="str">
        <f t="shared" si="78"/>
        <v/>
      </c>
      <c r="K250" s="118"/>
      <c r="L250" s="34" t="str">
        <f t="shared" si="79"/>
        <v/>
      </c>
      <c r="M250" s="118"/>
      <c r="N250" s="121"/>
      <c r="O250" s="122" t="str">
        <f t="shared" si="88"/>
        <v/>
      </c>
      <c r="P250" s="35" t="str">
        <f t="shared" si="89"/>
        <v/>
      </c>
      <c r="Q250" s="124"/>
      <c r="R250" s="36" t="str">
        <f t="shared" si="90"/>
        <v/>
      </c>
      <c r="S250" s="37" t="str">
        <f t="shared" si="80"/>
        <v/>
      </c>
      <c r="T250" s="38" t="str">
        <f t="shared" si="81"/>
        <v/>
      </c>
      <c r="U250" s="39" t="str">
        <f t="shared" si="82"/>
        <v/>
      </c>
      <c r="V250" s="40" t="str">
        <f t="shared" si="83"/>
        <v/>
      </c>
      <c r="W250" s="39" t="str">
        <f t="shared" si="84"/>
        <v/>
      </c>
      <c r="X250" s="34" t="str">
        <f t="shared" si="85"/>
        <v/>
      </c>
      <c r="Y250" s="41" t="str">
        <f t="shared" si="91"/>
        <v/>
      </c>
      <c r="Z250" s="98" t="str">
        <f t="shared" si="86"/>
        <v/>
      </c>
      <c r="AA250" s="81" t="str">
        <f t="shared" si="92"/>
        <v/>
      </c>
      <c r="AC250" s="139"/>
      <c r="AD250" s="110" t="str">
        <f t="shared" si="93"/>
        <v/>
      </c>
      <c r="AE250" s="111" t="str">
        <f t="shared" si="94"/>
        <v/>
      </c>
      <c r="AF250" s="111" t="str">
        <f t="shared" si="87"/>
        <v/>
      </c>
      <c r="AG250" s="111" t="str">
        <f t="shared" si="95"/>
        <v/>
      </c>
      <c r="AH250" s="111" t="str">
        <f t="shared" si="96"/>
        <v/>
      </c>
      <c r="AI250" s="112" t="str">
        <f t="shared" si="97"/>
        <v/>
      </c>
      <c r="AJ250" t="str">
        <f t="shared" si="98"/>
        <v/>
      </c>
      <c r="AK250" t="str">
        <f t="shared" si="99"/>
        <v/>
      </c>
    </row>
    <row r="251" spans="1:37" ht="15" customHeight="1" x14ac:dyDescent="0.25">
      <c r="A251" s="114"/>
      <c r="B251" s="116"/>
      <c r="C251" s="116"/>
      <c r="D251" s="42" t="str">
        <f t="shared" si="75"/>
        <v/>
      </c>
      <c r="E251" s="43"/>
      <c r="F251" s="83"/>
      <c r="G251" s="118"/>
      <c r="H251" s="34" t="str">
        <f t="shared" si="76"/>
        <v/>
      </c>
      <c r="I251" s="88" t="str">
        <f t="shared" si="77"/>
        <v/>
      </c>
      <c r="J251" s="44" t="str">
        <f t="shared" si="78"/>
        <v/>
      </c>
      <c r="K251" s="118"/>
      <c r="L251" s="34" t="str">
        <f t="shared" si="79"/>
        <v/>
      </c>
      <c r="M251" s="118"/>
      <c r="N251" s="121"/>
      <c r="O251" s="122" t="str">
        <f t="shared" si="88"/>
        <v/>
      </c>
      <c r="P251" s="35" t="str">
        <f t="shared" si="89"/>
        <v/>
      </c>
      <c r="Q251" s="124"/>
      <c r="R251" s="36" t="str">
        <f t="shared" si="90"/>
        <v/>
      </c>
      <c r="S251" s="37" t="str">
        <f t="shared" si="80"/>
        <v/>
      </c>
      <c r="T251" s="38" t="str">
        <f t="shared" si="81"/>
        <v/>
      </c>
      <c r="U251" s="39" t="str">
        <f t="shared" si="82"/>
        <v/>
      </c>
      <c r="V251" s="40" t="str">
        <f t="shared" si="83"/>
        <v/>
      </c>
      <c r="W251" s="39" t="str">
        <f t="shared" si="84"/>
        <v/>
      </c>
      <c r="X251" s="34" t="str">
        <f t="shared" si="85"/>
        <v/>
      </c>
      <c r="Y251" s="41" t="str">
        <f t="shared" si="91"/>
        <v/>
      </c>
      <c r="Z251" s="98" t="str">
        <f t="shared" si="86"/>
        <v/>
      </c>
      <c r="AA251" s="81" t="str">
        <f t="shared" si="92"/>
        <v/>
      </c>
      <c r="AC251" s="139"/>
      <c r="AD251" s="110" t="str">
        <f t="shared" si="93"/>
        <v/>
      </c>
      <c r="AE251" s="111" t="str">
        <f t="shared" si="94"/>
        <v/>
      </c>
      <c r="AF251" s="111" t="str">
        <f t="shared" si="87"/>
        <v/>
      </c>
      <c r="AG251" s="111" t="str">
        <f t="shared" si="95"/>
        <v/>
      </c>
      <c r="AH251" s="111" t="str">
        <f t="shared" si="96"/>
        <v/>
      </c>
      <c r="AI251" s="112" t="str">
        <f t="shared" si="97"/>
        <v/>
      </c>
      <c r="AJ251" t="str">
        <f t="shared" si="98"/>
        <v/>
      </c>
      <c r="AK251" t="str">
        <f t="shared" si="99"/>
        <v/>
      </c>
    </row>
    <row r="252" spans="1:37" ht="15" customHeight="1" x14ac:dyDescent="0.25">
      <c r="A252" s="114"/>
      <c r="B252" s="116"/>
      <c r="C252" s="116"/>
      <c r="D252" s="42" t="str">
        <f t="shared" si="75"/>
        <v/>
      </c>
      <c r="E252" s="43"/>
      <c r="F252" s="83"/>
      <c r="G252" s="118"/>
      <c r="H252" s="34" t="str">
        <f t="shared" si="76"/>
        <v/>
      </c>
      <c r="I252" s="88" t="str">
        <f t="shared" si="77"/>
        <v/>
      </c>
      <c r="J252" s="44" t="str">
        <f t="shared" si="78"/>
        <v/>
      </c>
      <c r="K252" s="118"/>
      <c r="L252" s="34" t="str">
        <f t="shared" si="79"/>
        <v/>
      </c>
      <c r="M252" s="118"/>
      <c r="N252" s="121"/>
      <c r="O252" s="122" t="str">
        <f t="shared" si="88"/>
        <v/>
      </c>
      <c r="P252" s="35" t="str">
        <f t="shared" si="89"/>
        <v/>
      </c>
      <c r="Q252" s="124"/>
      <c r="R252" s="36" t="str">
        <f t="shared" si="90"/>
        <v/>
      </c>
      <c r="S252" s="37" t="str">
        <f t="shared" si="80"/>
        <v/>
      </c>
      <c r="T252" s="38" t="str">
        <f t="shared" si="81"/>
        <v/>
      </c>
      <c r="U252" s="39" t="str">
        <f t="shared" si="82"/>
        <v/>
      </c>
      <c r="V252" s="40" t="str">
        <f t="shared" si="83"/>
        <v/>
      </c>
      <c r="W252" s="39" t="str">
        <f t="shared" si="84"/>
        <v/>
      </c>
      <c r="X252" s="34" t="str">
        <f t="shared" si="85"/>
        <v/>
      </c>
      <c r="Y252" s="41" t="str">
        <f t="shared" si="91"/>
        <v/>
      </c>
      <c r="Z252" s="98" t="str">
        <f t="shared" si="86"/>
        <v/>
      </c>
      <c r="AA252" s="81" t="str">
        <f t="shared" si="92"/>
        <v/>
      </c>
      <c r="AC252" s="139"/>
      <c r="AD252" s="110" t="str">
        <f t="shared" si="93"/>
        <v/>
      </c>
      <c r="AE252" s="111" t="str">
        <f t="shared" si="94"/>
        <v/>
      </c>
      <c r="AF252" s="111" t="str">
        <f t="shared" si="87"/>
        <v/>
      </c>
      <c r="AG252" s="111" t="str">
        <f t="shared" si="95"/>
        <v/>
      </c>
      <c r="AH252" s="111" t="str">
        <f t="shared" si="96"/>
        <v/>
      </c>
      <c r="AI252" s="112" t="str">
        <f t="shared" si="97"/>
        <v/>
      </c>
      <c r="AJ252" t="str">
        <f t="shared" si="98"/>
        <v/>
      </c>
      <c r="AK252" t="str">
        <f t="shared" si="99"/>
        <v/>
      </c>
    </row>
    <row r="253" spans="1:37" ht="15" customHeight="1" x14ac:dyDescent="0.25">
      <c r="A253" s="114"/>
      <c r="B253" s="116"/>
      <c r="C253" s="116"/>
      <c r="D253" s="42" t="str">
        <f t="shared" si="75"/>
        <v/>
      </c>
      <c r="E253" s="43"/>
      <c r="F253" s="83"/>
      <c r="G253" s="118"/>
      <c r="H253" s="34" t="str">
        <f t="shared" si="76"/>
        <v/>
      </c>
      <c r="I253" s="88" t="str">
        <f t="shared" si="77"/>
        <v/>
      </c>
      <c r="J253" s="44" t="str">
        <f t="shared" si="78"/>
        <v/>
      </c>
      <c r="K253" s="118"/>
      <c r="L253" s="34" t="str">
        <f t="shared" si="79"/>
        <v/>
      </c>
      <c r="M253" s="118"/>
      <c r="N253" s="121"/>
      <c r="O253" s="122" t="str">
        <f t="shared" si="88"/>
        <v/>
      </c>
      <c r="P253" s="35" t="str">
        <f t="shared" si="89"/>
        <v/>
      </c>
      <c r="Q253" s="124"/>
      <c r="R253" s="36" t="str">
        <f t="shared" si="90"/>
        <v/>
      </c>
      <c r="S253" s="37" t="str">
        <f t="shared" si="80"/>
        <v/>
      </c>
      <c r="T253" s="38" t="str">
        <f t="shared" si="81"/>
        <v/>
      </c>
      <c r="U253" s="39" t="str">
        <f t="shared" si="82"/>
        <v/>
      </c>
      <c r="V253" s="40" t="str">
        <f t="shared" si="83"/>
        <v/>
      </c>
      <c r="W253" s="39" t="str">
        <f t="shared" si="84"/>
        <v/>
      </c>
      <c r="X253" s="34" t="str">
        <f t="shared" si="85"/>
        <v/>
      </c>
      <c r="Y253" s="41" t="str">
        <f t="shared" si="91"/>
        <v/>
      </c>
      <c r="Z253" s="98" t="str">
        <f t="shared" si="86"/>
        <v/>
      </c>
      <c r="AA253" s="81" t="str">
        <f t="shared" si="92"/>
        <v/>
      </c>
      <c r="AC253" s="139"/>
      <c r="AD253" s="110" t="str">
        <f t="shared" si="93"/>
        <v/>
      </c>
      <c r="AE253" s="111" t="str">
        <f t="shared" si="94"/>
        <v/>
      </c>
      <c r="AF253" s="111" t="str">
        <f t="shared" si="87"/>
        <v/>
      </c>
      <c r="AG253" s="111" t="str">
        <f t="shared" si="95"/>
        <v/>
      </c>
      <c r="AH253" s="111" t="str">
        <f t="shared" si="96"/>
        <v/>
      </c>
      <c r="AI253" s="112" t="str">
        <f t="shared" si="97"/>
        <v/>
      </c>
      <c r="AJ253" t="str">
        <f t="shared" si="98"/>
        <v/>
      </c>
      <c r="AK253" t="str">
        <f t="shared" si="99"/>
        <v/>
      </c>
    </row>
    <row r="254" spans="1:37" ht="15" customHeight="1" x14ac:dyDescent="0.25">
      <c r="A254" s="114"/>
      <c r="B254" s="116"/>
      <c r="C254" s="116"/>
      <c r="D254" s="42" t="str">
        <f t="shared" si="75"/>
        <v/>
      </c>
      <c r="E254" s="43"/>
      <c r="F254" s="83"/>
      <c r="G254" s="118"/>
      <c r="H254" s="34" t="str">
        <f t="shared" si="76"/>
        <v/>
      </c>
      <c r="I254" s="88" t="str">
        <f t="shared" si="77"/>
        <v/>
      </c>
      <c r="J254" s="44" t="str">
        <f t="shared" si="78"/>
        <v/>
      </c>
      <c r="K254" s="118"/>
      <c r="L254" s="34" t="str">
        <f t="shared" si="79"/>
        <v/>
      </c>
      <c r="M254" s="118"/>
      <c r="N254" s="121"/>
      <c r="O254" s="122" t="str">
        <f t="shared" si="88"/>
        <v/>
      </c>
      <c r="P254" s="35" t="str">
        <f t="shared" si="89"/>
        <v/>
      </c>
      <c r="Q254" s="124"/>
      <c r="R254" s="36" t="str">
        <f t="shared" si="90"/>
        <v/>
      </c>
      <c r="S254" s="37" t="str">
        <f t="shared" si="80"/>
        <v/>
      </c>
      <c r="T254" s="38" t="str">
        <f t="shared" si="81"/>
        <v/>
      </c>
      <c r="U254" s="39" t="str">
        <f t="shared" si="82"/>
        <v/>
      </c>
      <c r="V254" s="40" t="str">
        <f t="shared" si="83"/>
        <v/>
      </c>
      <c r="W254" s="39" t="str">
        <f t="shared" si="84"/>
        <v/>
      </c>
      <c r="X254" s="34" t="str">
        <f t="shared" si="85"/>
        <v/>
      </c>
      <c r="Y254" s="41" t="str">
        <f t="shared" si="91"/>
        <v/>
      </c>
      <c r="Z254" s="98" t="str">
        <f t="shared" si="86"/>
        <v/>
      </c>
      <c r="AA254" s="81" t="str">
        <f t="shared" si="92"/>
        <v/>
      </c>
      <c r="AC254" s="139"/>
      <c r="AD254" s="110" t="str">
        <f t="shared" si="93"/>
        <v/>
      </c>
      <c r="AE254" s="111" t="str">
        <f t="shared" si="94"/>
        <v/>
      </c>
      <c r="AF254" s="111" t="str">
        <f t="shared" si="87"/>
        <v/>
      </c>
      <c r="AG254" s="111" t="str">
        <f t="shared" si="95"/>
        <v/>
      </c>
      <c r="AH254" s="111" t="str">
        <f t="shared" si="96"/>
        <v/>
      </c>
      <c r="AI254" s="112" t="str">
        <f t="shared" si="97"/>
        <v/>
      </c>
      <c r="AJ254" t="str">
        <f t="shared" si="98"/>
        <v/>
      </c>
      <c r="AK254" t="str">
        <f t="shared" si="99"/>
        <v/>
      </c>
    </row>
    <row r="255" spans="1:37" ht="15" customHeight="1" x14ac:dyDescent="0.25">
      <c r="A255" s="114"/>
      <c r="B255" s="116"/>
      <c r="C255" s="116"/>
      <c r="D255" s="42" t="str">
        <f t="shared" si="75"/>
        <v/>
      </c>
      <c r="E255" s="43"/>
      <c r="F255" s="83"/>
      <c r="G255" s="118"/>
      <c r="H255" s="34" t="str">
        <f t="shared" si="76"/>
        <v/>
      </c>
      <c r="I255" s="88" t="str">
        <f t="shared" si="77"/>
        <v/>
      </c>
      <c r="J255" s="44" t="str">
        <f t="shared" si="78"/>
        <v/>
      </c>
      <c r="K255" s="118"/>
      <c r="L255" s="34" t="str">
        <f t="shared" si="79"/>
        <v/>
      </c>
      <c r="M255" s="118"/>
      <c r="N255" s="121"/>
      <c r="O255" s="122" t="str">
        <f t="shared" si="88"/>
        <v/>
      </c>
      <c r="P255" s="35" t="str">
        <f t="shared" si="89"/>
        <v/>
      </c>
      <c r="Q255" s="124"/>
      <c r="R255" s="36" t="str">
        <f t="shared" si="90"/>
        <v/>
      </c>
      <c r="S255" s="37" t="str">
        <f t="shared" si="80"/>
        <v/>
      </c>
      <c r="T255" s="38" t="str">
        <f t="shared" si="81"/>
        <v/>
      </c>
      <c r="U255" s="39" t="str">
        <f t="shared" si="82"/>
        <v/>
      </c>
      <c r="V255" s="40" t="str">
        <f t="shared" si="83"/>
        <v/>
      </c>
      <c r="W255" s="39" t="str">
        <f t="shared" si="84"/>
        <v/>
      </c>
      <c r="X255" s="34" t="str">
        <f t="shared" si="85"/>
        <v/>
      </c>
      <c r="Y255" s="41" t="str">
        <f t="shared" si="91"/>
        <v/>
      </c>
      <c r="Z255" s="98" t="str">
        <f t="shared" si="86"/>
        <v/>
      </c>
      <c r="AA255" s="81" t="str">
        <f t="shared" si="92"/>
        <v/>
      </c>
      <c r="AC255" s="139"/>
      <c r="AD255" s="110" t="str">
        <f t="shared" si="93"/>
        <v/>
      </c>
      <c r="AE255" s="111" t="str">
        <f t="shared" si="94"/>
        <v/>
      </c>
      <c r="AF255" s="111" t="str">
        <f t="shared" si="87"/>
        <v/>
      </c>
      <c r="AG255" s="111" t="str">
        <f t="shared" si="95"/>
        <v/>
      </c>
      <c r="AH255" s="111" t="str">
        <f t="shared" si="96"/>
        <v/>
      </c>
      <c r="AI255" s="112" t="str">
        <f t="shared" si="97"/>
        <v/>
      </c>
      <c r="AJ255" t="str">
        <f t="shared" si="98"/>
        <v/>
      </c>
      <c r="AK255" t="str">
        <f t="shared" si="99"/>
        <v/>
      </c>
    </row>
    <row r="256" spans="1:37" ht="15" customHeight="1" x14ac:dyDescent="0.25">
      <c r="A256" s="114"/>
      <c r="B256" s="116"/>
      <c r="C256" s="116"/>
      <c r="D256" s="42" t="str">
        <f t="shared" si="75"/>
        <v/>
      </c>
      <c r="E256" s="43"/>
      <c r="F256" s="83"/>
      <c r="G256" s="118"/>
      <c r="H256" s="34" t="str">
        <f t="shared" si="76"/>
        <v/>
      </c>
      <c r="I256" s="88" t="str">
        <f t="shared" si="77"/>
        <v/>
      </c>
      <c r="J256" s="44" t="str">
        <f t="shared" si="78"/>
        <v/>
      </c>
      <c r="K256" s="118"/>
      <c r="L256" s="34" t="str">
        <f t="shared" si="79"/>
        <v/>
      </c>
      <c r="M256" s="118"/>
      <c r="N256" s="121"/>
      <c r="O256" s="122" t="str">
        <f t="shared" si="88"/>
        <v/>
      </c>
      <c r="P256" s="35" t="str">
        <f t="shared" si="89"/>
        <v/>
      </c>
      <c r="Q256" s="124"/>
      <c r="R256" s="36" t="str">
        <f t="shared" si="90"/>
        <v/>
      </c>
      <c r="S256" s="37" t="str">
        <f t="shared" si="80"/>
        <v/>
      </c>
      <c r="T256" s="38" t="str">
        <f t="shared" si="81"/>
        <v/>
      </c>
      <c r="U256" s="39" t="str">
        <f t="shared" si="82"/>
        <v/>
      </c>
      <c r="V256" s="40" t="str">
        <f t="shared" si="83"/>
        <v/>
      </c>
      <c r="W256" s="39" t="str">
        <f t="shared" si="84"/>
        <v/>
      </c>
      <c r="X256" s="34" t="str">
        <f t="shared" si="85"/>
        <v/>
      </c>
      <c r="Y256" s="41" t="str">
        <f t="shared" si="91"/>
        <v/>
      </c>
      <c r="Z256" s="98" t="str">
        <f t="shared" si="86"/>
        <v/>
      </c>
      <c r="AA256" s="81" t="str">
        <f t="shared" si="92"/>
        <v/>
      </c>
      <c r="AC256" s="139"/>
      <c r="AD256" s="110" t="str">
        <f t="shared" si="93"/>
        <v/>
      </c>
      <c r="AE256" s="111" t="str">
        <f t="shared" si="94"/>
        <v/>
      </c>
      <c r="AF256" s="111" t="str">
        <f t="shared" si="87"/>
        <v/>
      </c>
      <c r="AG256" s="111" t="str">
        <f t="shared" si="95"/>
        <v/>
      </c>
      <c r="AH256" s="111" t="str">
        <f t="shared" si="96"/>
        <v/>
      </c>
      <c r="AI256" s="112" t="str">
        <f t="shared" si="97"/>
        <v/>
      </c>
      <c r="AJ256" t="str">
        <f t="shared" si="98"/>
        <v/>
      </c>
      <c r="AK256" t="str">
        <f t="shared" si="99"/>
        <v/>
      </c>
    </row>
    <row r="257" spans="1:37" ht="15" customHeight="1" x14ac:dyDescent="0.25">
      <c r="A257" s="114"/>
      <c r="B257" s="116"/>
      <c r="C257" s="116"/>
      <c r="D257" s="42" t="str">
        <f t="shared" si="75"/>
        <v/>
      </c>
      <c r="E257" s="43"/>
      <c r="F257" s="83"/>
      <c r="G257" s="118"/>
      <c r="H257" s="34" t="str">
        <f t="shared" si="76"/>
        <v/>
      </c>
      <c r="I257" s="88" t="str">
        <f t="shared" si="77"/>
        <v/>
      </c>
      <c r="J257" s="44" t="str">
        <f t="shared" si="78"/>
        <v/>
      </c>
      <c r="K257" s="118"/>
      <c r="L257" s="34" t="str">
        <f t="shared" si="79"/>
        <v/>
      </c>
      <c r="M257" s="118"/>
      <c r="N257" s="121"/>
      <c r="O257" s="122" t="str">
        <f t="shared" si="88"/>
        <v/>
      </c>
      <c r="P257" s="35" t="str">
        <f t="shared" si="89"/>
        <v/>
      </c>
      <c r="Q257" s="124"/>
      <c r="R257" s="36" t="str">
        <f t="shared" si="90"/>
        <v/>
      </c>
      <c r="S257" s="37" t="str">
        <f t="shared" si="80"/>
        <v/>
      </c>
      <c r="T257" s="38" t="str">
        <f t="shared" si="81"/>
        <v/>
      </c>
      <c r="U257" s="39" t="str">
        <f t="shared" si="82"/>
        <v/>
      </c>
      <c r="V257" s="40" t="str">
        <f t="shared" si="83"/>
        <v/>
      </c>
      <c r="W257" s="39" t="str">
        <f t="shared" si="84"/>
        <v/>
      </c>
      <c r="X257" s="34" t="str">
        <f t="shared" si="85"/>
        <v/>
      </c>
      <c r="Y257" s="41" t="str">
        <f t="shared" si="91"/>
        <v/>
      </c>
      <c r="Z257" s="98" t="str">
        <f t="shared" si="86"/>
        <v/>
      </c>
      <c r="AA257" s="81" t="str">
        <f t="shared" si="92"/>
        <v/>
      </c>
      <c r="AC257" s="139"/>
      <c r="AD257" s="110" t="str">
        <f t="shared" si="93"/>
        <v/>
      </c>
      <c r="AE257" s="111" t="str">
        <f t="shared" si="94"/>
        <v/>
      </c>
      <c r="AF257" s="111" t="str">
        <f t="shared" si="87"/>
        <v/>
      </c>
      <c r="AG257" s="111" t="str">
        <f t="shared" si="95"/>
        <v/>
      </c>
      <c r="AH257" s="111" t="str">
        <f t="shared" si="96"/>
        <v/>
      </c>
      <c r="AI257" s="112" t="str">
        <f t="shared" si="97"/>
        <v/>
      </c>
      <c r="AJ257" t="str">
        <f t="shared" si="98"/>
        <v/>
      </c>
      <c r="AK257" t="str">
        <f t="shared" si="99"/>
        <v/>
      </c>
    </row>
    <row r="258" spans="1:37" ht="15" customHeight="1" x14ac:dyDescent="0.25">
      <c r="A258" s="114"/>
      <c r="B258" s="116"/>
      <c r="C258" s="116"/>
      <c r="D258" s="42" t="str">
        <f t="shared" si="75"/>
        <v/>
      </c>
      <c r="E258" s="43"/>
      <c r="F258" s="83"/>
      <c r="G258" s="118"/>
      <c r="H258" s="34" t="str">
        <f t="shared" si="76"/>
        <v/>
      </c>
      <c r="I258" s="88" t="str">
        <f t="shared" si="77"/>
        <v/>
      </c>
      <c r="J258" s="44" t="str">
        <f t="shared" si="78"/>
        <v/>
      </c>
      <c r="K258" s="118"/>
      <c r="L258" s="34" t="str">
        <f t="shared" si="79"/>
        <v/>
      </c>
      <c r="M258" s="118"/>
      <c r="N258" s="121"/>
      <c r="O258" s="122" t="str">
        <f t="shared" si="88"/>
        <v/>
      </c>
      <c r="P258" s="35" t="str">
        <f t="shared" si="89"/>
        <v/>
      </c>
      <c r="Q258" s="124"/>
      <c r="R258" s="36" t="str">
        <f t="shared" si="90"/>
        <v/>
      </c>
      <c r="S258" s="37" t="str">
        <f t="shared" si="80"/>
        <v/>
      </c>
      <c r="T258" s="38" t="str">
        <f t="shared" si="81"/>
        <v/>
      </c>
      <c r="U258" s="39" t="str">
        <f t="shared" si="82"/>
        <v/>
      </c>
      <c r="V258" s="40" t="str">
        <f t="shared" si="83"/>
        <v/>
      </c>
      <c r="W258" s="39" t="str">
        <f t="shared" si="84"/>
        <v/>
      </c>
      <c r="X258" s="34" t="str">
        <f t="shared" si="85"/>
        <v/>
      </c>
      <c r="Y258" s="41" t="str">
        <f t="shared" si="91"/>
        <v/>
      </c>
      <c r="Z258" s="98" t="str">
        <f t="shared" si="86"/>
        <v/>
      </c>
      <c r="AA258" s="81" t="str">
        <f t="shared" si="92"/>
        <v/>
      </c>
      <c r="AC258" s="139"/>
      <c r="AD258" s="110" t="str">
        <f t="shared" si="93"/>
        <v/>
      </c>
      <c r="AE258" s="111" t="str">
        <f t="shared" si="94"/>
        <v/>
      </c>
      <c r="AF258" s="111" t="str">
        <f t="shared" si="87"/>
        <v/>
      </c>
      <c r="AG258" s="111" t="str">
        <f t="shared" si="95"/>
        <v/>
      </c>
      <c r="AH258" s="111" t="str">
        <f t="shared" si="96"/>
        <v/>
      </c>
      <c r="AI258" s="112" t="str">
        <f t="shared" si="97"/>
        <v/>
      </c>
      <c r="AJ258" t="str">
        <f t="shared" si="98"/>
        <v/>
      </c>
      <c r="AK258" t="str">
        <f t="shared" si="99"/>
        <v/>
      </c>
    </row>
    <row r="259" spans="1:37" ht="15" customHeight="1" x14ac:dyDescent="0.25">
      <c r="A259" s="114"/>
      <c r="B259" s="116"/>
      <c r="C259" s="116"/>
      <c r="D259" s="42" t="str">
        <f t="shared" si="75"/>
        <v/>
      </c>
      <c r="E259" s="43"/>
      <c r="F259" s="83"/>
      <c r="G259" s="118"/>
      <c r="H259" s="34" t="str">
        <f t="shared" si="76"/>
        <v/>
      </c>
      <c r="I259" s="88" t="str">
        <f t="shared" si="77"/>
        <v/>
      </c>
      <c r="J259" s="44" t="str">
        <f t="shared" si="78"/>
        <v/>
      </c>
      <c r="K259" s="118"/>
      <c r="L259" s="34" t="str">
        <f t="shared" si="79"/>
        <v/>
      </c>
      <c r="M259" s="118"/>
      <c r="N259" s="121"/>
      <c r="O259" s="122" t="str">
        <f t="shared" si="88"/>
        <v/>
      </c>
      <c r="P259" s="35" t="str">
        <f t="shared" si="89"/>
        <v/>
      </c>
      <c r="Q259" s="124"/>
      <c r="R259" s="36" t="str">
        <f t="shared" si="90"/>
        <v/>
      </c>
      <c r="S259" s="37" t="str">
        <f t="shared" si="80"/>
        <v/>
      </c>
      <c r="T259" s="38" t="str">
        <f t="shared" si="81"/>
        <v/>
      </c>
      <c r="U259" s="39" t="str">
        <f t="shared" si="82"/>
        <v/>
      </c>
      <c r="V259" s="40" t="str">
        <f t="shared" si="83"/>
        <v/>
      </c>
      <c r="W259" s="39" t="str">
        <f t="shared" si="84"/>
        <v/>
      </c>
      <c r="X259" s="34" t="str">
        <f t="shared" si="85"/>
        <v/>
      </c>
      <c r="Y259" s="41" t="str">
        <f t="shared" si="91"/>
        <v/>
      </c>
      <c r="Z259" s="98" t="str">
        <f t="shared" si="86"/>
        <v/>
      </c>
      <c r="AA259" s="81" t="str">
        <f t="shared" si="92"/>
        <v/>
      </c>
      <c r="AC259" s="139"/>
      <c r="AD259" s="110" t="str">
        <f t="shared" si="93"/>
        <v/>
      </c>
      <c r="AE259" s="111" t="str">
        <f t="shared" si="94"/>
        <v/>
      </c>
      <c r="AF259" s="111" t="str">
        <f t="shared" si="87"/>
        <v/>
      </c>
      <c r="AG259" s="111" t="str">
        <f t="shared" si="95"/>
        <v/>
      </c>
      <c r="AH259" s="111" t="str">
        <f t="shared" si="96"/>
        <v/>
      </c>
      <c r="AI259" s="112" t="str">
        <f t="shared" si="97"/>
        <v/>
      </c>
      <c r="AJ259" t="str">
        <f t="shared" si="98"/>
        <v/>
      </c>
      <c r="AK259" t="str">
        <f t="shared" si="99"/>
        <v/>
      </c>
    </row>
    <row r="260" spans="1:37" ht="15" customHeight="1" x14ac:dyDescent="0.25">
      <c r="A260" s="114"/>
      <c r="B260" s="116"/>
      <c r="C260" s="116"/>
      <c r="D260" s="42" t="str">
        <f t="shared" si="75"/>
        <v/>
      </c>
      <c r="E260" s="43"/>
      <c r="F260" s="83"/>
      <c r="G260" s="118"/>
      <c r="H260" s="34" t="str">
        <f t="shared" si="76"/>
        <v/>
      </c>
      <c r="I260" s="88" t="str">
        <f t="shared" si="77"/>
        <v/>
      </c>
      <c r="J260" s="44" t="str">
        <f t="shared" si="78"/>
        <v/>
      </c>
      <c r="K260" s="118"/>
      <c r="L260" s="34" t="str">
        <f t="shared" si="79"/>
        <v/>
      </c>
      <c r="M260" s="118"/>
      <c r="N260" s="121"/>
      <c r="O260" s="122" t="str">
        <f t="shared" si="88"/>
        <v/>
      </c>
      <c r="P260" s="35" t="str">
        <f t="shared" si="89"/>
        <v/>
      </c>
      <c r="Q260" s="124"/>
      <c r="R260" s="36" t="str">
        <f t="shared" si="90"/>
        <v/>
      </c>
      <c r="S260" s="37" t="str">
        <f t="shared" si="80"/>
        <v/>
      </c>
      <c r="T260" s="38" t="str">
        <f t="shared" si="81"/>
        <v/>
      </c>
      <c r="U260" s="39" t="str">
        <f t="shared" si="82"/>
        <v/>
      </c>
      <c r="V260" s="40" t="str">
        <f t="shared" si="83"/>
        <v/>
      </c>
      <c r="W260" s="39" t="str">
        <f t="shared" si="84"/>
        <v/>
      </c>
      <c r="X260" s="34" t="str">
        <f t="shared" si="85"/>
        <v/>
      </c>
      <c r="Y260" s="41" t="str">
        <f t="shared" si="91"/>
        <v/>
      </c>
      <c r="Z260" s="98" t="str">
        <f t="shared" si="86"/>
        <v/>
      </c>
      <c r="AA260" s="81" t="str">
        <f t="shared" si="92"/>
        <v/>
      </c>
      <c r="AC260" s="139"/>
      <c r="AD260" s="110" t="str">
        <f t="shared" si="93"/>
        <v/>
      </c>
      <c r="AE260" s="111" t="str">
        <f t="shared" si="94"/>
        <v/>
      </c>
      <c r="AF260" s="111" t="str">
        <f t="shared" si="87"/>
        <v/>
      </c>
      <c r="AG260" s="111" t="str">
        <f t="shared" si="95"/>
        <v/>
      </c>
      <c r="AH260" s="111" t="str">
        <f t="shared" si="96"/>
        <v/>
      </c>
      <c r="AI260" s="112" t="str">
        <f t="shared" si="97"/>
        <v/>
      </c>
      <c r="AJ260" t="str">
        <f t="shared" si="98"/>
        <v/>
      </c>
      <c r="AK260" t="str">
        <f t="shared" si="99"/>
        <v/>
      </c>
    </row>
    <row r="261" spans="1:37" ht="15" customHeight="1" x14ac:dyDescent="0.25">
      <c r="A261" s="114"/>
      <c r="B261" s="116"/>
      <c r="C261" s="116"/>
      <c r="D261" s="42" t="str">
        <f t="shared" si="75"/>
        <v/>
      </c>
      <c r="E261" s="43"/>
      <c r="F261" s="83"/>
      <c r="G261" s="118"/>
      <c r="H261" s="34" t="str">
        <f t="shared" si="76"/>
        <v/>
      </c>
      <c r="I261" s="88" t="str">
        <f t="shared" si="77"/>
        <v/>
      </c>
      <c r="J261" s="44" t="str">
        <f t="shared" si="78"/>
        <v/>
      </c>
      <c r="K261" s="118"/>
      <c r="L261" s="34" t="str">
        <f t="shared" si="79"/>
        <v/>
      </c>
      <c r="M261" s="118"/>
      <c r="N261" s="121"/>
      <c r="O261" s="122" t="str">
        <f t="shared" si="88"/>
        <v/>
      </c>
      <c r="P261" s="35" t="str">
        <f t="shared" si="89"/>
        <v/>
      </c>
      <c r="Q261" s="124"/>
      <c r="R261" s="36" t="str">
        <f t="shared" si="90"/>
        <v/>
      </c>
      <c r="S261" s="37" t="str">
        <f t="shared" si="80"/>
        <v/>
      </c>
      <c r="T261" s="38" t="str">
        <f t="shared" si="81"/>
        <v/>
      </c>
      <c r="U261" s="39" t="str">
        <f t="shared" si="82"/>
        <v/>
      </c>
      <c r="V261" s="40" t="str">
        <f t="shared" si="83"/>
        <v/>
      </c>
      <c r="W261" s="39" t="str">
        <f t="shared" si="84"/>
        <v/>
      </c>
      <c r="X261" s="34" t="str">
        <f t="shared" si="85"/>
        <v/>
      </c>
      <c r="Y261" s="41" t="str">
        <f t="shared" si="91"/>
        <v/>
      </c>
      <c r="Z261" s="98" t="str">
        <f t="shared" si="86"/>
        <v/>
      </c>
      <c r="AA261" s="81" t="str">
        <f t="shared" si="92"/>
        <v/>
      </c>
      <c r="AC261" s="139"/>
      <c r="AD261" s="110" t="str">
        <f t="shared" si="93"/>
        <v/>
      </c>
      <c r="AE261" s="111" t="str">
        <f t="shared" si="94"/>
        <v/>
      </c>
      <c r="AF261" s="111" t="str">
        <f t="shared" si="87"/>
        <v/>
      </c>
      <c r="AG261" s="111" t="str">
        <f t="shared" si="95"/>
        <v/>
      </c>
      <c r="AH261" s="111" t="str">
        <f t="shared" si="96"/>
        <v/>
      </c>
      <c r="AI261" s="112" t="str">
        <f t="shared" si="97"/>
        <v/>
      </c>
      <c r="AJ261" t="str">
        <f t="shared" si="98"/>
        <v/>
      </c>
      <c r="AK261" t="str">
        <f t="shared" si="99"/>
        <v/>
      </c>
    </row>
    <row r="262" spans="1:37" ht="15" customHeight="1" x14ac:dyDescent="0.25">
      <c r="A262" s="114"/>
      <c r="B262" s="116"/>
      <c r="C262" s="116"/>
      <c r="D262" s="42" t="str">
        <f t="shared" si="75"/>
        <v/>
      </c>
      <c r="E262" s="43"/>
      <c r="F262" s="83"/>
      <c r="G262" s="118"/>
      <c r="H262" s="34" t="str">
        <f t="shared" si="76"/>
        <v/>
      </c>
      <c r="I262" s="88" t="str">
        <f t="shared" si="77"/>
        <v/>
      </c>
      <c r="J262" s="44" t="str">
        <f t="shared" si="78"/>
        <v/>
      </c>
      <c r="K262" s="118"/>
      <c r="L262" s="34" t="str">
        <f t="shared" si="79"/>
        <v/>
      </c>
      <c r="M262" s="118"/>
      <c r="N262" s="121"/>
      <c r="O262" s="122" t="str">
        <f t="shared" si="88"/>
        <v/>
      </c>
      <c r="P262" s="35" t="str">
        <f t="shared" si="89"/>
        <v/>
      </c>
      <c r="Q262" s="124"/>
      <c r="R262" s="36" t="str">
        <f t="shared" si="90"/>
        <v/>
      </c>
      <c r="S262" s="37" t="str">
        <f t="shared" si="80"/>
        <v/>
      </c>
      <c r="T262" s="38" t="str">
        <f t="shared" si="81"/>
        <v/>
      </c>
      <c r="U262" s="39" t="str">
        <f t="shared" si="82"/>
        <v/>
      </c>
      <c r="V262" s="40" t="str">
        <f t="shared" si="83"/>
        <v/>
      </c>
      <c r="W262" s="39" t="str">
        <f t="shared" si="84"/>
        <v/>
      </c>
      <c r="X262" s="34" t="str">
        <f t="shared" si="85"/>
        <v/>
      </c>
      <c r="Y262" s="41" t="str">
        <f t="shared" si="91"/>
        <v/>
      </c>
      <c r="Z262" s="98" t="str">
        <f t="shared" si="86"/>
        <v/>
      </c>
      <c r="AA262" s="81" t="str">
        <f t="shared" si="92"/>
        <v/>
      </c>
      <c r="AC262" s="139"/>
      <c r="AD262" s="110" t="str">
        <f t="shared" si="93"/>
        <v/>
      </c>
      <c r="AE262" s="111" t="str">
        <f t="shared" si="94"/>
        <v/>
      </c>
      <c r="AF262" s="111" t="str">
        <f t="shared" si="87"/>
        <v/>
      </c>
      <c r="AG262" s="111" t="str">
        <f t="shared" si="95"/>
        <v/>
      </c>
      <c r="AH262" s="111" t="str">
        <f t="shared" si="96"/>
        <v/>
      </c>
      <c r="AI262" s="112" t="str">
        <f t="shared" si="97"/>
        <v/>
      </c>
      <c r="AJ262" t="str">
        <f t="shared" si="98"/>
        <v/>
      </c>
      <c r="AK262" t="str">
        <f t="shared" si="99"/>
        <v/>
      </c>
    </row>
    <row r="263" spans="1:37" ht="15" customHeight="1" x14ac:dyDescent="0.25">
      <c r="A263" s="114"/>
      <c r="B263" s="116"/>
      <c r="C263" s="116"/>
      <c r="D263" s="42" t="str">
        <f t="shared" si="75"/>
        <v/>
      </c>
      <c r="E263" s="43"/>
      <c r="F263" s="83"/>
      <c r="G263" s="118"/>
      <c r="H263" s="34" t="str">
        <f t="shared" si="76"/>
        <v/>
      </c>
      <c r="I263" s="88" t="str">
        <f t="shared" si="77"/>
        <v/>
      </c>
      <c r="J263" s="44" t="str">
        <f t="shared" si="78"/>
        <v/>
      </c>
      <c r="K263" s="118"/>
      <c r="L263" s="34" t="str">
        <f t="shared" si="79"/>
        <v/>
      </c>
      <c r="M263" s="118"/>
      <c r="N263" s="121"/>
      <c r="O263" s="122" t="str">
        <f t="shared" si="88"/>
        <v/>
      </c>
      <c r="P263" s="35" t="str">
        <f t="shared" si="89"/>
        <v/>
      </c>
      <c r="Q263" s="124"/>
      <c r="R263" s="36" t="str">
        <f t="shared" si="90"/>
        <v/>
      </c>
      <c r="S263" s="37" t="str">
        <f t="shared" si="80"/>
        <v/>
      </c>
      <c r="T263" s="38" t="str">
        <f t="shared" si="81"/>
        <v/>
      </c>
      <c r="U263" s="39" t="str">
        <f t="shared" si="82"/>
        <v/>
      </c>
      <c r="V263" s="40" t="str">
        <f t="shared" si="83"/>
        <v/>
      </c>
      <c r="W263" s="39" t="str">
        <f t="shared" si="84"/>
        <v/>
      </c>
      <c r="X263" s="34" t="str">
        <f t="shared" si="85"/>
        <v/>
      </c>
      <c r="Y263" s="41" t="str">
        <f t="shared" si="91"/>
        <v/>
      </c>
      <c r="Z263" s="98" t="str">
        <f t="shared" si="86"/>
        <v/>
      </c>
      <c r="AA263" s="81" t="str">
        <f t="shared" si="92"/>
        <v/>
      </c>
      <c r="AC263" s="139"/>
      <c r="AD263" s="110" t="str">
        <f t="shared" si="93"/>
        <v/>
      </c>
      <c r="AE263" s="111" t="str">
        <f t="shared" si="94"/>
        <v/>
      </c>
      <c r="AF263" s="111" t="str">
        <f t="shared" si="87"/>
        <v/>
      </c>
      <c r="AG263" s="111" t="str">
        <f t="shared" si="95"/>
        <v/>
      </c>
      <c r="AH263" s="111" t="str">
        <f t="shared" si="96"/>
        <v/>
      </c>
      <c r="AI263" s="112" t="str">
        <f t="shared" si="97"/>
        <v/>
      </c>
      <c r="AJ263" t="str">
        <f t="shared" si="98"/>
        <v/>
      </c>
      <c r="AK263" t="str">
        <f t="shared" si="99"/>
        <v/>
      </c>
    </row>
    <row r="264" spans="1:37" ht="15" customHeight="1" x14ac:dyDescent="0.25">
      <c r="A264" s="114"/>
      <c r="B264" s="116"/>
      <c r="C264" s="116"/>
      <c r="D264" s="42" t="str">
        <f t="shared" ref="D264:D327" si="100">IF(A264="","",B264*C264)</f>
        <v/>
      </c>
      <c r="E264" s="43"/>
      <c r="F264" s="83"/>
      <c r="G264" s="118"/>
      <c r="H264" s="34" t="str">
        <f t="shared" ref="H264:H327" si="101">IF(OR(G264=0,C264=0,G264="",C264=""),"",G264/C264)</f>
        <v/>
      </c>
      <c r="I264" s="88" t="str">
        <f t="shared" ref="I264:I327" si="102">IF(OR(G264="",F264=""),"",G264*(1-F264))</f>
        <v/>
      </c>
      <c r="J264" s="44" t="str">
        <f t="shared" ref="J264:J327" si="103">IF(A264="","",I264*B264)</f>
        <v/>
      </c>
      <c r="K264" s="118"/>
      <c r="L264" s="34" t="str">
        <f t="shared" ref="L264:L327" si="104">IF(OR(K264=0,C264=0,K264="",C264=""),"",K264/C264)</f>
        <v/>
      </c>
      <c r="M264" s="118"/>
      <c r="N264" s="121"/>
      <c r="O264" s="122" t="str">
        <f t="shared" si="88"/>
        <v/>
      </c>
      <c r="P264" s="35" t="str">
        <f t="shared" si="89"/>
        <v/>
      </c>
      <c r="Q264" s="124"/>
      <c r="R264" s="36" t="str">
        <f t="shared" si="90"/>
        <v/>
      </c>
      <c r="S264" s="37" t="str">
        <f t="shared" ref="S264:S327" si="105">IF(OR(A264="",R264=""),"",R264*C264)</f>
        <v/>
      </c>
      <c r="T264" s="38" t="str">
        <f t="shared" ref="T264:T327" si="106">IF(OR(A264="",G264&lt;=0,S264=""),"",(G264-S264)/G264)</f>
        <v/>
      </c>
      <c r="U264" s="39" t="str">
        <f t="shared" ref="U264:U327" si="107">IF(OR(G264=0,S264=0,G264="",S264=""),"",G264-S264)</f>
        <v/>
      </c>
      <c r="V264" s="40" t="str">
        <f t="shared" ref="V264:V327" si="108">IF(OR(A264="",K264&lt;=0,S264=""),"",(K264-S264)/K264)</f>
        <v/>
      </c>
      <c r="W264" s="39" t="str">
        <f t="shared" ref="W264:W327" si="109">IF(OR(K264=0,S264=0,K264="",S264=""),"",K264-S264)</f>
        <v/>
      </c>
      <c r="X264" s="34" t="str">
        <f t="shared" ref="X264:X327" si="110">IF(OR(J264="",J264=0,$N$5="",$L$3=0),"",($N$5/$L$3)*J264)</f>
        <v/>
      </c>
      <c r="Y264" s="41" t="str">
        <f t="shared" si="91"/>
        <v/>
      </c>
      <c r="Z264" s="98" t="str">
        <f t="shared" ref="Z264:Z327" si="111">IF(OR(R264=0,R264="",D264=0,D264=""),"",R264*(D264+E264))</f>
        <v/>
      </c>
      <c r="AA264" s="81" t="str">
        <f t="shared" si="92"/>
        <v/>
      </c>
      <c r="AC264" s="139"/>
      <c r="AD264" s="110" t="str">
        <f t="shared" si="93"/>
        <v/>
      </c>
      <c r="AE264" s="111" t="str">
        <f t="shared" si="94"/>
        <v/>
      </c>
      <c r="AF264" s="111" t="str">
        <f t="shared" ref="AF264:AF327" si="112">IF(AE264="","",AE264*$AD$1+IF(SUM($AE$8:$AE$1007)=0,0,$AD$2*AE264/SUM($AE$8:$AE$1007)))</f>
        <v/>
      </c>
      <c r="AG264" s="111" t="str">
        <f t="shared" si="95"/>
        <v/>
      </c>
      <c r="AH264" s="111" t="str">
        <f t="shared" si="96"/>
        <v/>
      </c>
      <c r="AI264" s="112" t="str">
        <f t="shared" si="97"/>
        <v/>
      </c>
      <c r="AJ264" t="str">
        <f t="shared" si="98"/>
        <v/>
      </c>
      <c r="AK264" t="str">
        <f t="shared" si="99"/>
        <v/>
      </c>
    </row>
    <row r="265" spans="1:37" ht="15" customHeight="1" x14ac:dyDescent="0.25">
      <c r="A265" s="114"/>
      <c r="B265" s="116"/>
      <c r="C265" s="116"/>
      <c r="D265" s="42" t="str">
        <f t="shared" si="100"/>
        <v/>
      </c>
      <c r="E265" s="43"/>
      <c r="F265" s="83"/>
      <c r="G265" s="118"/>
      <c r="H265" s="34" t="str">
        <f t="shared" si="101"/>
        <v/>
      </c>
      <c r="I265" s="88" t="str">
        <f t="shared" si="102"/>
        <v/>
      </c>
      <c r="J265" s="44" t="str">
        <f t="shared" si="103"/>
        <v/>
      </c>
      <c r="K265" s="118"/>
      <c r="L265" s="34" t="str">
        <f t="shared" si="104"/>
        <v/>
      </c>
      <c r="M265" s="118"/>
      <c r="N265" s="121"/>
      <c r="O265" s="122" t="str">
        <f t="shared" ref="O265:O328" si="113">IF(A265="","",IF(Q265&gt;0,IF(J265&gt;0,Q265/J265,0),IF(E265&gt;0,0,IF($J$3&gt;0,IF($J$4&gt;0,MAX($J$3-SUM($Q$8:$Q$1007),0)/$J$4,0),$J$2))))</f>
        <v/>
      </c>
      <c r="P265" s="35" t="str">
        <f t="shared" ref="P265:P328" si="114">IF(A265="","",IF(Q265&gt;0,Q265,IF(E265&gt;0,0,J265*IF($J$3&gt;0,IF($J$4&gt;0,MAX($J$3-SUM($Q$8:$Q$1007),0)/$J$4,0),$J$2))))</f>
        <v/>
      </c>
      <c r="Q265" s="124"/>
      <c r="R265" s="36" t="str">
        <f t="shared" ref="R265:R328" si="115">IF(A265="","",IF(OR(B265=0,B265="",C265&lt;=0,D265+E265&lt;=0),"",(J265-P265)/(D265+E265)-IF(X265&gt;=0,X265/D265,0)+IF(ISNUMBER(Y265),Y265/(D265+E265),0)))</f>
        <v/>
      </c>
      <c r="S265" s="37" t="str">
        <f t="shared" si="105"/>
        <v/>
      </c>
      <c r="T265" s="38" t="str">
        <f t="shared" si="106"/>
        <v/>
      </c>
      <c r="U265" s="39" t="str">
        <f t="shared" si="107"/>
        <v/>
      </c>
      <c r="V265" s="40" t="str">
        <f t="shared" si="108"/>
        <v/>
      </c>
      <c r="W265" s="39" t="str">
        <f t="shared" si="109"/>
        <v/>
      </c>
      <c r="X265" s="34" t="str">
        <f t="shared" si="110"/>
        <v/>
      </c>
      <c r="Y265" s="41" t="str">
        <f t="shared" ref="Y265:Y328" si="116">IF(OR(J265="",J265=0,($L$3-$L$2)=0),"",($J$1/($L$3-$L$2))*(J265-P265))</f>
        <v/>
      </c>
      <c r="Z265" s="98" t="str">
        <f t="shared" si="111"/>
        <v/>
      </c>
      <c r="AA265" s="81" t="str">
        <f t="shared" ref="AA265:AA328" si="117">IF(OR(B265=0,B265=""),"",J265)</f>
        <v/>
      </c>
      <c r="AC265" s="139"/>
      <c r="AD265" s="110" t="str">
        <f t="shared" ref="AD265:AD328" si="118">IF(AC265="","",R265)</f>
        <v/>
      </c>
      <c r="AE265" s="111" t="str">
        <f t="shared" ref="AE265:AE328" si="119">IF(OR(AC265="",AD265=""),"",AC265*AD265)</f>
        <v/>
      </c>
      <c r="AF265" s="111" t="str">
        <f t="shared" si="112"/>
        <v/>
      </c>
      <c r="AG265" s="111" t="str">
        <f t="shared" ref="AG265:AG328" si="120">IF(AE265="","",AE265-AF265)</f>
        <v/>
      </c>
      <c r="AH265" s="111" t="str">
        <f t="shared" ref="AH265:AH328" si="121">IF(AG265="","",AI265-AG265)</f>
        <v/>
      </c>
      <c r="AI265" s="112" t="str">
        <f t="shared" ref="AI265:AI328" si="122">IF(AG265="","",ROUND(AG265,0))</f>
        <v/>
      </c>
      <c r="AJ265" t="str">
        <f t="shared" ref="AJ265:AJ328" si="123">IF(OR(AC265=0,AC265=""),"",AF265/AC265)</f>
        <v/>
      </c>
      <c r="AK265" t="str">
        <f t="shared" ref="AK265:AK328" si="124">IF(OR(AC265=0,AC265=""),"",AD265*C265)</f>
        <v/>
      </c>
    </row>
    <row r="266" spans="1:37" ht="15" customHeight="1" x14ac:dyDescent="0.25">
      <c r="A266" s="114"/>
      <c r="B266" s="116"/>
      <c r="C266" s="116"/>
      <c r="D266" s="42" t="str">
        <f t="shared" si="100"/>
        <v/>
      </c>
      <c r="E266" s="43"/>
      <c r="F266" s="83"/>
      <c r="G266" s="118"/>
      <c r="H266" s="34" t="str">
        <f t="shared" si="101"/>
        <v/>
      </c>
      <c r="I266" s="88" t="str">
        <f t="shared" si="102"/>
        <v/>
      </c>
      <c r="J266" s="44" t="str">
        <f t="shared" si="103"/>
        <v/>
      </c>
      <c r="K266" s="118"/>
      <c r="L266" s="34" t="str">
        <f t="shared" si="104"/>
        <v/>
      </c>
      <c r="M266" s="118"/>
      <c r="N266" s="121"/>
      <c r="O266" s="122" t="str">
        <f t="shared" si="113"/>
        <v/>
      </c>
      <c r="P266" s="35" t="str">
        <f t="shared" si="114"/>
        <v/>
      </c>
      <c r="Q266" s="124"/>
      <c r="R266" s="36" t="str">
        <f t="shared" si="115"/>
        <v/>
      </c>
      <c r="S266" s="37" t="str">
        <f t="shared" si="105"/>
        <v/>
      </c>
      <c r="T266" s="38" t="str">
        <f t="shared" si="106"/>
        <v/>
      </c>
      <c r="U266" s="39" t="str">
        <f t="shared" si="107"/>
        <v/>
      </c>
      <c r="V266" s="40" t="str">
        <f t="shared" si="108"/>
        <v/>
      </c>
      <c r="W266" s="39" t="str">
        <f t="shared" si="109"/>
        <v/>
      </c>
      <c r="X266" s="34" t="str">
        <f t="shared" si="110"/>
        <v/>
      </c>
      <c r="Y266" s="41" t="str">
        <f t="shared" si="116"/>
        <v/>
      </c>
      <c r="Z266" s="98" t="str">
        <f t="shared" si="111"/>
        <v/>
      </c>
      <c r="AA266" s="81" t="str">
        <f t="shared" si="117"/>
        <v/>
      </c>
      <c r="AC266" s="139"/>
      <c r="AD266" s="110" t="str">
        <f t="shared" si="118"/>
        <v/>
      </c>
      <c r="AE266" s="111" t="str">
        <f t="shared" si="119"/>
        <v/>
      </c>
      <c r="AF266" s="111" t="str">
        <f t="shared" si="112"/>
        <v/>
      </c>
      <c r="AG266" s="111" t="str">
        <f t="shared" si="120"/>
        <v/>
      </c>
      <c r="AH266" s="111" t="str">
        <f t="shared" si="121"/>
        <v/>
      </c>
      <c r="AI266" s="112" t="str">
        <f t="shared" si="122"/>
        <v/>
      </c>
      <c r="AJ266" t="str">
        <f t="shared" si="123"/>
        <v/>
      </c>
      <c r="AK266" t="str">
        <f t="shared" si="124"/>
        <v/>
      </c>
    </row>
    <row r="267" spans="1:37" ht="15" customHeight="1" x14ac:dyDescent="0.25">
      <c r="A267" s="114"/>
      <c r="B267" s="116"/>
      <c r="C267" s="116"/>
      <c r="D267" s="42" t="str">
        <f t="shared" si="100"/>
        <v/>
      </c>
      <c r="E267" s="43"/>
      <c r="F267" s="83"/>
      <c r="G267" s="118"/>
      <c r="H267" s="34" t="str">
        <f t="shared" si="101"/>
        <v/>
      </c>
      <c r="I267" s="88" t="str">
        <f t="shared" si="102"/>
        <v/>
      </c>
      <c r="J267" s="44" t="str">
        <f t="shared" si="103"/>
        <v/>
      </c>
      <c r="K267" s="118"/>
      <c r="L267" s="34" t="str">
        <f t="shared" si="104"/>
        <v/>
      </c>
      <c r="M267" s="118"/>
      <c r="N267" s="121"/>
      <c r="O267" s="122" t="str">
        <f t="shared" si="113"/>
        <v/>
      </c>
      <c r="P267" s="35" t="str">
        <f t="shared" si="114"/>
        <v/>
      </c>
      <c r="Q267" s="124"/>
      <c r="R267" s="36" t="str">
        <f t="shared" si="115"/>
        <v/>
      </c>
      <c r="S267" s="37" t="str">
        <f t="shared" si="105"/>
        <v/>
      </c>
      <c r="T267" s="38" t="str">
        <f t="shared" si="106"/>
        <v/>
      </c>
      <c r="U267" s="39" t="str">
        <f t="shared" si="107"/>
        <v/>
      </c>
      <c r="V267" s="40" t="str">
        <f t="shared" si="108"/>
        <v/>
      </c>
      <c r="W267" s="39" t="str">
        <f t="shared" si="109"/>
        <v/>
      </c>
      <c r="X267" s="34" t="str">
        <f t="shared" si="110"/>
        <v/>
      </c>
      <c r="Y267" s="41" t="str">
        <f t="shared" si="116"/>
        <v/>
      </c>
      <c r="Z267" s="98" t="str">
        <f t="shared" si="111"/>
        <v/>
      </c>
      <c r="AA267" s="81" t="str">
        <f t="shared" si="117"/>
        <v/>
      </c>
      <c r="AC267" s="139"/>
      <c r="AD267" s="110" t="str">
        <f t="shared" si="118"/>
        <v/>
      </c>
      <c r="AE267" s="111" t="str">
        <f t="shared" si="119"/>
        <v/>
      </c>
      <c r="AF267" s="111" t="str">
        <f t="shared" si="112"/>
        <v/>
      </c>
      <c r="AG267" s="111" t="str">
        <f t="shared" si="120"/>
        <v/>
      </c>
      <c r="AH267" s="111" t="str">
        <f t="shared" si="121"/>
        <v/>
      </c>
      <c r="AI267" s="112" t="str">
        <f t="shared" si="122"/>
        <v/>
      </c>
      <c r="AJ267" t="str">
        <f t="shared" si="123"/>
        <v/>
      </c>
      <c r="AK267" t="str">
        <f t="shared" si="124"/>
        <v/>
      </c>
    </row>
    <row r="268" spans="1:37" ht="15" customHeight="1" x14ac:dyDescent="0.25">
      <c r="A268" s="114"/>
      <c r="B268" s="116"/>
      <c r="C268" s="116"/>
      <c r="D268" s="42" t="str">
        <f t="shared" si="100"/>
        <v/>
      </c>
      <c r="E268" s="43"/>
      <c r="F268" s="83"/>
      <c r="G268" s="118"/>
      <c r="H268" s="34" t="str">
        <f t="shared" si="101"/>
        <v/>
      </c>
      <c r="I268" s="88" t="str">
        <f t="shared" si="102"/>
        <v/>
      </c>
      <c r="J268" s="44" t="str">
        <f t="shared" si="103"/>
        <v/>
      </c>
      <c r="K268" s="118"/>
      <c r="L268" s="34" t="str">
        <f t="shared" si="104"/>
        <v/>
      </c>
      <c r="M268" s="118"/>
      <c r="N268" s="121"/>
      <c r="O268" s="122" t="str">
        <f t="shared" si="113"/>
        <v/>
      </c>
      <c r="P268" s="35" t="str">
        <f t="shared" si="114"/>
        <v/>
      </c>
      <c r="Q268" s="124"/>
      <c r="R268" s="36" t="str">
        <f t="shared" si="115"/>
        <v/>
      </c>
      <c r="S268" s="37" t="str">
        <f t="shared" si="105"/>
        <v/>
      </c>
      <c r="T268" s="38" t="str">
        <f t="shared" si="106"/>
        <v/>
      </c>
      <c r="U268" s="39" t="str">
        <f t="shared" si="107"/>
        <v/>
      </c>
      <c r="V268" s="40" t="str">
        <f t="shared" si="108"/>
        <v/>
      </c>
      <c r="W268" s="39" t="str">
        <f t="shared" si="109"/>
        <v/>
      </c>
      <c r="X268" s="34" t="str">
        <f t="shared" si="110"/>
        <v/>
      </c>
      <c r="Y268" s="41" t="str">
        <f t="shared" si="116"/>
        <v/>
      </c>
      <c r="Z268" s="98" t="str">
        <f t="shared" si="111"/>
        <v/>
      </c>
      <c r="AA268" s="81" t="str">
        <f t="shared" si="117"/>
        <v/>
      </c>
      <c r="AC268" s="139"/>
      <c r="AD268" s="110" t="str">
        <f t="shared" si="118"/>
        <v/>
      </c>
      <c r="AE268" s="111" t="str">
        <f t="shared" si="119"/>
        <v/>
      </c>
      <c r="AF268" s="111" t="str">
        <f t="shared" si="112"/>
        <v/>
      </c>
      <c r="AG268" s="111" t="str">
        <f t="shared" si="120"/>
        <v/>
      </c>
      <c r="AH268" s="111" t="str">
        <f t="shared" si="121"/>
        <v/>
      </c>
      <c r="AI268" s="112" t="str">
        <f t="shared" si="122"/>
        <v/>
      </c>
      <c r="AJ268" t="str">
        <f t="shared" si="123"/>
        <v/>
      </c>
      <c r="AK268" t="str">
        <f t="shared" si="124"/>
        <v/>
      </c>
    </row>
    <row r="269" spans="1:37" ht="15" customHeight="1" x14ac:dyDescent="0.25">
      <c r="A269" s="114"/>
      <c r="B269" s="116"/>
      <c r="C269" s="116"/>
      <c r="D269" s="42" t="str">
        <f t="shared" si="100"/>
        <v/>
      </c>
      <c r="E269" s="43"/>
      <c r="F269" s="83"/>
      <c r="G269" s="118"/>
      <c r="H269" s="34" t="str">
        <f t="shared" si="101"/>
        <v/>
      </c>
      <c r="I269" s="88" t="str">
        <f t="shared" si="102"/>
        <v/>
      </c>
      <c r="J269" s="44" t="str">
        <f t="shared" si="103"/>
        <v/>
      </c>
      <c r="K269" s="118"/>
      <c r="L269" s="34" t="str">
        <f t="shared" si="104"/>
        <v/>
      </c>
      <c r="M269" s="118"/>
      <c r="N269" s="121"/>
      <c r="O269" s="122" t="str">
        <f t="shared" si="113"/>
        <v/>
      </c>
      <c r="P269" s="35" t="str">
        <f t="shared" si="114"/>
        <v/>
      </c>
      <c r="Q269" s="124"/>
      <c r="R269" s="36" t="str">
        <f t="shared" si="115"/>
        <v/>
      </c>
      <c r="S269" s="37" t="str">
        <f t="shared" si="105"/>
        <v/>
      </c>
      <c r="T269" s="38" t="str">
        <f t="shared" si="106"/>
        <v/>
      </c>
      <c r="U269" s="39" t="str">
        <f t="shared" si="107"/>
        <v/>
      </c>
      <c r="V269" s="40" t="str">
        <f t="shared" si="108"/>
        <v/>
      </c>
      <c r="W269" s="39" t="str">
        <f t="shared" si="109"/>
        <v/>
      </c>
      <c r="X269" s="34" t="str">
        <f t="shared" si="110"/>
        <v/>
      </c>
      <c r="Y269" s="41" t="str">
        <f t="shared" si="116"/>
        <v/>
      </c>
      <c r="Z269" s="98" t="str">
        <f t="shared" si="111"/>
        <v/>
      </c>
      <c r="AA269" s="81" t="str">
        <f t="shared" si="117"/>
        <v/>
      </c>
      <c r="AC269" s="139"/>
      <c r="AD269" s="110" t="str">
        <f t="shared" si="118"/>
        <v/>
      </c>
      <c r="AE269" s="111" t="str">
        <f t="shared" si="119"/>
        <v/>
      </c>
      <c r="AF269" s="111" t="str">
        <f t="shared" si="112"/>
        <v/>
      </c>
      <c r="AG269" s="111" t="str">
        <f t="shared" si="120"/>
        <v/>
      </c>
      <c r="AH269" s="111" t="str">
        <f t="shared" si="121"/>
        <v/>
      </c>
      <c r="AI269" s="112" t="str">
        <f t="shared" si="122"/>
        <v/>
      </c>
      <c r="AJ269" t="str">
        <f t="shared" si="123"/>
        <v/>
      </c>
      <c r="AK269" t="str">
        <f t="shared" si="124"/>
        <v/>
      </c>
    </row>
    <row r="270" spans="1:37" ht="15" customHeight="1" x14ac:dyDescent="0.25">
      <c r="A270" s="114"/>
      <c r="B270" s="116"/>
      <c r="C270" s="116"/>
      <c r="D270" s="42" t="str">
        <f t="shared" si="100"/>
        <v/>
      </c>
      <c r="E270" s="43"/>
      <c r="F270" s="83"/>
      <c r="G270" s="118"/>
      <c r="H270" s="34" t="str">
        <f t="shared" si="101"/>
        <v/>
      </c>
      <c r="I270" s="88" t="str">
        <f t="shared" si="102"/>
        <v/>
      </c>
      <c r="J270" s="44" t="str">
        <f t="shared" si="103"/>
        <v/>
      </c>
      <c r="K270" s="118"/>
      <c r="L270" s="34" t="str">
        <f t="shared" si="104"/>
        <v/>
      </c>
      <c r="M270" s="118"/>
      <c r="N270" s="121"/>
      <c r="O270" s="122" t="str">
        <f t="shared" si="113"/>
        <v/>
      </c>
      <c r="P270" s="35" t="str">
        <f t="shared" si="114"/>
        <v/>
      </c>
      <c r="Q270" s="124"/>
      <c r="R270" s="36" t="str">
        <f t="shared" si="115"/>
        <v/>
      </c>
      <c r="S270" s="37" t="str">
        <f t="shared" si="105"/>
        <v/>
      </c>
      <c r="T270" s="38" t="str">
        <f t="shared" si="106"/>
        <v/>
      </c>
      <c r="U270" s="39" t="str">
        <f t="shared" si="107"/>
        <v/>
      </c>
      <c r="V270" s="40" t="str">
        <f t="shared" si="108"/>
        <v/>
      </c>
      <c r="W270" s="39" t="str">
        <f t="shared" si="109"/>
        <v/>
      </c>
      <c r="X270" s="34" t="str">
        <f t="shared" si="110"/>
        <v/>
      </c>
      <c r="Y270" s="41" t="str">
        <f t="shared" si="116"/>
        <v/>
      </c>
      <c r="Z270" s="98" t="str">
        <f t="shared" si="111"/>
        <v/>
      </c>
      <c r="AA270" s="81" t="str">
        <f t="shared" si="117"/>
        <v/>
      </c>
      <c r="AC270" s="139"/>
      <c r="AD270" s="110" t="str">
        <f t="shared" si="118"/>
        <v/>
      </c>
      <c r="AE270" s="111" t="str">
        <f t="shared" si="119"/>
        <v/>
      </c>
      <c r="AF270" s="111" t="str">
        <f t="shared" si="112"/>
        <v/>
      </c>
      <c r="AG270" s="111" t="str">
        <f t="shared" si="120"/>
        <v/>
      </c>
      <c r="AH270" s="111" t="str">
        <f t="shared" si="121"/>
        <v/>
      </c>
      <c r="AI270" s="112" t="str">
        <f t="shared" si="122"/>
        <v/>
      </c>
      <c r="AJ270" t="str">
        <f t="shared" si="123"/>
        <v/>
      </c>
      <c r="AK270" t="str">
        <f t="shared" si="124"/>
        <v/>
      </c>
    </row>
    <row r="271" spans="1:37" ht="15" customHeight="1" x14ac:dyDescent="0.25">
      <c r="A271" s="114"/>
      <c r="B271" s="116"/>
      <c r="C271" s="116"/>
      <c r="D271" s="42" t="str">
        <f t="shared" si="100"/>
        <v/>
      </c>
      <c r="E271" s="43"/>
      <c r="F271" s="83"/>
      <c r="G271" s="118"/>
      <c r="H271" s="34" t="str">
        <f t="shared" si="101"/>
        <v/>
      </c>
      <c r="I271" s="88" t="str">
        <f t="shared" si="102"/>
        <v/>
      </c>
      <c r="J271" s="44" t="str">
        <f t="shared" si="103"/>
        <v/>
      </c>
      <c r="K271" s="118"/>
      <c r="L271" s="34" t="str">
        <f t="shared" si="104"/>
        <v/>
      </c>
      <c r="M271" s="118"/>
      <c r="N271" s="121"/>
      <c r="O271" s="122" t="str">
        <f t="shared" si="113"/>
        <v/>
      </c>
      <c r="P271" s="35" t="str">
        <f t="shared" si="114"/>
        <v/>
      </c>
      <c r="Q271" s="124"/>
      <c r="R271" s="36" t="str">
        <f t="shared" si="115"/>
        <v/>
      </c>
      <c r="S271" s="37" t="str">
        <f t="shared" si="105"/>
        <v/>
      </c>
      <c r="T271" s="38" t="str">
        <f t="shared" si="106"/>
        <v/>
      </c>
      <c r="U271" s="39" t="str">
        <f t="shared" si="107"/>
        <v/>
      </c>
      <c r="V271" s="40" t="str">
        <f t="shared" si="108"/>
        <v/>
      </c>
      <c r="W271" s="39" t="str">
        <f t="shared" si="109"/>
        <v/>
      </c>
      <c r="X271" s="34" t="str">
        <f t="shared" si="110"/>
        <v/>
      </c>
      <c r="Y271" s="41" t="str">
        <f t="shared" si="116"/>
        <v/>
      </c>
      <c r="Z271" s="98" t="str">
        <f t="shared" si="111"/>
        <v/>
      </c>
      <c r="AA271" s="81" t="str">
        <f t="shared" si="117"/>
        <v/>
      </c>
      <c r="AC271" s="139"/>
      <c r="AD271" s="110" t="str">
        <f t="shared" si="118"/>
        <v/>
      </c>
      <c r="AE271" s="111" t="str">
        <f t="shared" si="119"/>
        <v/>
      </c>
      <c r="AF271" s="111" t="str">
        <f t="shared" si="112"/>
        <v/>
      </c>
      <c r="AG271" s="111" t="str">
        <f t="shared" si="120"/>
        <v/>
      </c>
      <c r="AH271" s="111" t="str">
        <f t="shared" si="121"/>
        <v/>
      </c>
      <c r="AI271" s="112" t="str">
        <f t="shared" si="122"/>
        <v/>
      </c>
      <c r="AJ271" t="str">
        <f t="shared" si="123"/>
        <v/>
      </c>
      <c r="AK271" t="str">
        <f t="shared" si="124"/>
        <v/>
      </c>
    </row>
    <row r="272" spans="1:37" ht="15" customHeight="1" x14ac:dyDescent="0.25">
      <c r="A272" s="114"/>
      <c r="B272" s="116"/>
      <c r="C272" s="116"/>
      <c r="D272" s="42" t="str">
        <f t="shared" si="100"/>
        <v/>
      </c>
      <c r="E272" s="43"/>
      <c r="F272" s="83"/>
      <c r="G272" s="118"/>
      <c r="H272" s="34" t="str">
        <f t="shared" si="101"/>
        <v/>
      </c>
      <c r="I272" s="88" t="str">
        <f t="shared" si="102"/>
        <v/>
      </c>
      <c r="J272" s="44" t="str">
        <f t="shared" si="103"/>
        <v/>
      </c>
      <c r="K272" s="118"/>
      <c r="L272" s="34" t="str">
        <f t="shared" si="104"/>
        <v/>
      </c>
      <c r="M272" s="118"/>
      <c r="N272" s="121"/>
      <c r="O272" s="122" t="str">
        <f t="shared" si="113"/>
        <v/>
      </c>
      <c r="P272" s="35" t="str">
        <f t="shared" si="114"/>
        <v/>
      </c>
      <c r="Q272" s="124"/>
      <c r="R272" s="36" t="str">
        <f t="shared" si="115"/>
        <v/>
      </c>
      <c r="S272" s="37" t="str">
        <f t="shared" si="105"/>
        <v/>
      </c>
      <c r="T272" s="38" t="str">
        <f t="shared" si="106"/>
        <v/>
      </c>
      <c r="U272" s="39" t="str">
        <f t="shared" si="107"/>
        <v/>
      </c>
      <c r="V272" s="40" t="str">
        <f t="shared" si="108"/>
        <v/>
      </c>
      <c r="W272" s="39" t="str">
        <f t="shared" si="109"/>
        <v/>
      </c>
      <c r="X272" s="34" t="str">
        <f t="shared" si="110"/>
        <v/>
      </c>
      <c r="Y272" s="41" t="str">
        <f t="shared" si="116"/>
        <v/>
      </c>
      <c r="Z272" s="98" t="str">
        <f t="shared" si="111"/>
        <v/>
      </c>
      <c r="AA272" s="81" t="str">
        <f t="shared" si="117"/>
        <v/>
      </c>
      <c r="AC272" s="139"/>
      <c r="AD272" s="110" t="str">
        <f t="shared" si="118"/>
        <v/>
      </c>
      <c r="AE272" s="111" t="str">
        <f t="shared" si="119"/>
        <v/>
      </c>
      <c r="AF272" s="111" t="str">
        <f t="shared" si="112"/>
        <v/>
      </c>
      <c r="AG272" s="111" t="str">
        <f t="shared" si="120"/>
        <v/>
      </c>
      <c r="AH272" s="111" t="str">
        <f t="shared" si="121"/>
        <v/>
      </c>
      <c r="AI272" s="112" t="str">
        <f t="shared" si="122"/>
        <v/>
      </c>
      <c r="AJ272" t="str">
        <f t="shared" si="123"/>
        <v/>
      </c>
      <c r="AK272" t="str">
        <f t="shared" si="124"/>
        <v/>
      </c>
    </row>
    <row r="273" spans="1:37" ht="15" customHeight="1" x14ac:dyDescent="0.25">
      <c r="A273" s="114"/>
      <c r="B273" s="116"/>
      <c r="C273" s="116"/>
      <c r="D273" s="42" t="str">
        <f t="shared" si="100"/>
        <v/>
      </c>
      <c r="E273" s="43"/>
      <c r="F273" s="83"/>
      <c r="G273" s="118"/>
      <c r="H273" s="34" t="str">
        <f t="shared" si="101"/>
        <v/>
      </c>
      <c r="I273" s="88" t="str">
        <f t="shared" si="102"/>
        <v/>
      </c>
      <c r="J273" s="44" t="str">
        <f t="shared" si="103"/>
        <v/>
      </c>
      <c r="K273" s="118"/>
      <c r="L273" s="34" t="str">
        <f t="shared" si="104"/>
        <v/>
      </c>
      <c r="M273" s="118"/>
      <c r="N273" s="121"/>
      <c r="O273" s="122" t="str">
        <f t="shared" si="113"/>
        <v/>
      </c>
      <c r="P273" s="35" t="str">
        <f t="shared" si="114"/>
        <v/>
      </c>
      <c r="Q273" s="124"/>
      <c r="R273" s="36" t="str">
        <f t="shared" si="115"/>
        <v/>
      </c>
      <c r="S273" s="37" t="str">
        <f t="shared" si="105"/>
        <v/>
      </c>
      <c r="T273" s="38" t="str">
        <f t="shared" si="106"/>
        <v/>
      </c>
      <c r="U273" s="39" t="str">
        <f t="shared" si="107"/>
        <v/>
      </c>
      <c r="V273" s="40" t="str">
        <f t="shared" si="108"/>
        <v/>
      </c>
      <c r="W273" s="39" t="str">
        <f t="shared" si="109"/>
        <v/>
      </c>
      <c r="X273" s="34" t="str">
        <f t="shared" si="110"/>
        <v/>
      </c>
      <c r="Y273" s="41" t="str">
        <f t="shared" si="116"/>
        <v/>
      </c>
      <c r="Z273" s="98" t="str">
        <f t="shared" si="111"/>
        <v/>
      </c>
      <c r="AA273" s="81" t="str">
        <f t="shared" si="117"/>
        <v/>
      </c>
      <c r="AC273" s="139"/>
      <c r="AD273" s="110" t="str">
        <f t="shared" si="118"/>
        <v/>
      </c>
      <c r="AE273" s="111" t="str">
        <f t="shared" si="119"/>
        <v/>
      </c>
      <c r="AF273" s="111" t="str">
        <f t="shared" si="112"/>
        <v/>
      </c>
      <c r="AG273" s="111" t="str">
        <f t="shared" si="120"/>
        <v/>
      </c>
      <c r="AH273" s="111" t="str">
        <f t="shared" si="121"/>
        <v/>
      </c>
      <c r="AI273" s="112" t="str">
        <f t="shared" si="122"/>
        <v/>
      </c>
      <c r="AJ273" t="str">
        <f t="shared" si="123"/>
        <v/>
      </c>
      <c r="AK273" t="str">
        <f t="shared" si="124"/>
        <v/>
      </c>
    </row>
    <row r="274" spans="1:37" ht="15" customHeight="1" x14ac:dyDescent="0.25">
      <c r="A274" s="114"/>
      <c r="B274" s="116"/>
      <c r="C274" s="116"/>
      <c r="D274" s="42" t="str">
        <f t="shared" si="100"/>
        <v/>
      </c>
      <c r="E274" s="43"/>
      <c r="F274" s="83"/>
      <c r="G274" s="118"/>
      <c r="H274" s="34" t="str">
        <f t="shared" si="101"/>
        <v/>
      </c>
      <c r="I274" s="88" t="str">
        <f t="shared" si="102"/>
        <v/>
      </c>
      <c r="J274" s="44" t="str">
        <f t="shared" si="103"/>
        <v/>
      </c>
      <c r="K274" s="118"/>
      <c r="L274" s="34" t="str">
        <f t="shared" si="104"/>
        <v/>
      </c>
      <c r="M274" s="118"/>
      <c r="N274" s="121"/>
      <c r="O274" s="122" t="str">
        <f t="shared" si="113"/>
        <v/>
      </c>
      <c r="P274" s="35" t="str">
        <f t="shared" si="114"/>
        <v/>
      </c>
      <c r="Q274" s="124"/>
      <c r="R274" s="36" t="str">
        <f t="shared" si="115"/>
        <v/>
      </c>
      <c r="S274" s="37" t="str">
        <f t="shared" si="105"/>
        <v/>
      </c>
      <c r="T274" s="38" t="str">
        <f t="shared" si="106"/>
        <v/>
      </c>
      <c r="U274" s="39" t="str">
        <f t="shared" si="107"/>
        <v/>
      </c>
      <c r="V274" s="40" t="str">
        <f t="shared" si="108"/>
        <v/>
      </c>
      <c r="W274" s="39" t="str">
        <f t="shared" si="109"/>
        <v/>
      </c>
      <c r="X274" s="34" t="str">
        <f t="shared" si="110"/>
        <v/>
      </c>
      <c r="Y274" s="41" t="str">
        <f t="shared" si="116"/>
        <v/>
      </c>
      <c r="Z274" s="98" t="str">
        <f t="shared" si="111"/>
        <v/>
      </c>
      <c r="AA274" s="81" t="str">
        <f t="shared" si="117"/>
        <v/>
      </c>
      <c r="AC274" s="139"/>
      <c r="AD274" s="110" t="str">
        <f t="shared" si="118"/>
        <v/>
      </c>
      <c r="AE274" s="111" t="str">
        <f t="shared" si="119"/>
        <v/>
      </c>
      <c r="AF274" s="111" t="str">
        <f t="shared" si="112"/>
        <v/>
      </c>
      <c r="AG274" s="111" t="str">
        <f t="shared" si="120"/>
        <v/>
      </c>
      <c r="AH274" s="111" t="str">
        <f t="shared" si="121"/>
        <v/>
      </c>
      <c r="AI274" s="112" t="str">
        <f t="shared" si="122"/>
        <v/>
      </c>
      <c r="AJ274" t="str">
        <f t="shared" si="123"/>
        <v/>
      </c>
      <c r="AK274" t="str">
        <f t="shared" si="124"/>
        <v/>
      </c>
    </row>
    <row r="275" spans="1:37" ht="15" customHeight="1" x14ac:dyDescent="0.25">
      <c r="A275" s="114"/>
      <c r="B275" s="116"/>
      <c r="C275" s="116"/>
      <c r="D275" s="42" t="str">
        <f t="shared" si="100"/>
        <v/>
      </c>
      <c r="E275" s="43"/>
      <c r="F275" s="83"/>
      <c r="G275" s="118"/>
      <c r="H275" s="34" t="str">
        <f t="shared" si="101"/>
        <v/>
      </c>
      <c r="I275" s="88" t="str">
        <f t="shared" si="102"/>
        <v/>
      </c>
      <c r="J275" s="44" t="str">
        <f t="shared" si="103"/>
        <v/>
      </c>
      <c r="K275" s="118"/>
      <c r="L275" s="34" t="str">
        <f t="shared" si="104"/>
        <v/>
      </c>
      <c r="M275" s="118"/>
      <c r="N275" s="121"/>
      <c r="O275" s="122" t="str">
        <f t="shared" si="113"/>
        <v/>
      </c>
      <c r="P275" s="35" t="str">
        <f t="shared" si="114"/>
        <v/>
      </c>
      <c r="Q275" s="124"/>
      <c r="R275" s="36" t="str">
        <f t="shared" si="115"/>
        <v/>
      </c>
      <c r="S275" s="37" t="str">
        <f t="shared" si="105"/>
        <v/>
      </c>
      <c r="T275" s="38" t="str">
        <f t="shared" si="106"/>
        <v/>
      </c>
      <c r="U275" s="39" t="str">
        <f t="shared" si="107"/>
        <v/>
      </c>
      <c r="V275" s="40" t="str">
        <f t="shared" si="108"/>
        <v/>
      </c>
      <c r="W275" s="39" t="str">
        <f t="shared" si="109"/>
        <v/>
      </c>
      <c r="X275" s="34" t="str">
        <f t="shared" si="110"/>
        <v/>
      </c>
      <c r="Y275" s="41" t="str">
        <f t="shared" si="116"/>
        <v/>
      </c>
      <c r="Z275" s="98" t="str">
        <f t="shared" si="111"/>
        <v/>
      </c>
      <c r="AA275" s="81" t="str">
        <f t="shared" si="117"/>
        <v/>
      </c>
      <c r="AC275" s="139"/>
      <c r="AD275" s="110" t="str">
        <f t="shared" si="118"/>
        <v/>
      </c>
      <c r="AE275" s="111" t="str">
        <f t="shared" si="119"/>
        <v/>
      </c>
      <c r="AF275" s="111" t="str">
        <f t="shared" si="112"/>
        <v/>
      </c>
      <c r="AG275" s="111" t="str">
        <f t="shared" si="120"/>
        <v/>
      </c>
      <c r="AH275" s="111" t="str">
        <f t="shared" si="121"/>
        <v/>
      </c>
      <c r="AI275" s="112" t="str">
        <f t="shared" si="122"/>
        <v/>
      </c>
      <c r="AJ275" t="str">
        <f t="shared" si="123"/>
        <v/>
      </c>
      <c r="AK275" t="str">
        <f t="shared" si="124"/>
        <v/>
      </c>
    </row>
    <row r="276" spans="1:37" ht="15" customHeight="1" x14ac:dyDescent="0.25">
      <c r="A276" s="114"/>
      <c r="B276" s="116"/>
      <c r="C276" s="116"/>
      <c r="D276" s="42" t="str">
        <f t="shared" si="100"/>
        <v/>
      </c>
      <c r="E276" s="43"/>
      <c r="F276" s="83"/>
      <c r="G276" s="118"/>
      <c r="H276" s="34" t="str">
        <f t="shared" si="101"/>
        <v/>
      </c>
      <c r="I276" s="88" t="str">
        <f t="shared" si="102"/>
        <v/>
      </c>
      <c r="J276" s="44" t="str">
        <f t="shared" si="103"/>
        <v/>
      </c>
      <c r="K276" s="118"/>
      <c r="L276" s="34" t="str">
        <f t="shared" si="104"/>
        <v/>
      </c>
      <c r="M276" s="118"/>
      <c r="N276" s="121"/>
      <c r="O276" s="122" t="str">
        <f t="shared" si="113"/>
        <v/>
      </c>
      <c r="P276" s="35" t="str">
        <f t="shared" si="114"/>
        <v/>
      </c>
      <c r="Q276" s="124"/>
      <c r="R276" s="36" t="str">
        <f t="shared" si="115"/>
        <v/>
      </c>
      <c r="S276" s="37" t="str">
        <f t="shared" si="105"/>
        <v/>
      </c>
      <c r="T276" s="38" t="str">
        <f t="shared" si="106"/>
        <v/>
      </c>
      <c r="U276" s="39" t="str">
        <f t="shared" si="107"/>
        <v/>
      </c>
      <c r="V276" s="40" t="str">
        <f t="shared" si="108"/>
        <v/>
      </c>
      <c r="W276" s="39" t="str">
        <f t="shared" si="109"/>
        <v/>
      </c>
      <c r="X276" s="34" t="str">
        <f t="shared" si="110"/>
        <v/>
      </c>
      <c r="Y276" s="41" t="str">
        <f t="shared" si="116"/>
        <v/>
      </c>
      <c r="Z276" s="98" t="str">
        <f t="shared" si="111"/>
        <v/>
      </c>
      <c r="AA276" s="81" t="str">
        <f t="shared" si="117"/>
        <v/>
      </c>
      <c r="AC276" s="139"/>
      <c r="AD276" s="110" t="str">
        <f t="shared" si="118"/>
        <v/>
      </c>
      <c r="AE276" s="111" t="str">
        <f t="shared" si="119"/>
        <v/>
      </c>
      <c r="AF276" s="111" t="str">
        <f t="shared" si="112"/>
        <v/>
      </c>
      <c r="AG276" s="111" t="str">
        <f t="shared" si="120"/>
        <v/>
      </c>
      <c r="AH276" s="111" t="str">
        <f t="shared" si="121"/>
        <v/>
      </c>
      <c r="AI276" s="112" t="str">
        <f t="shared" si="122"/>
        <v/>
      </c>
      <c r="AJ276" t="str">
        <f t="shared" si="123"/>
        <v/>
      </c>
      <c r="AK276" t="str">
        <f t="shared" si="124"/>
        <v/>
      </c>
    </row>
    <row r="277" spans="1:37" ht="15" customHeight="1" x14ac:dyDescent="0.25">
      <c r="A277" s="114"/>
      <c r="B277" s="116"/>
      <c r="C277" s="116"/>
      <c r="D277" s="42" t="str">
        <f t="shared" si="100"/>
        <v/>
      </c>
      <c r="E277" s="43"/>
      <c r="F277" s="83"/>
      <c r="G277" s="118"/>
      <c r="H277" s="34" t="str">
        <f t="shared" si="101"/>
        <v/>
      </c>
      <c r="I277" s="88" t="str">
        <f t="shared" si="102"/>
        <v/>
      </c>
      <c r="J277" s="44" t="str">
        <f t="shared" si="103"/>
        <v/>
      </c>
      <c r="K277" s="118"/>
      <c r="L277" s="34" t="str">
        <f t="shared" si="104"/>
        <v/>
      </c>
      <c r="M277" s="118"/>
      <c r="N277" s="121"/>
      <c r="O277" s="122" t="str">
        <f t="shared" si="113"/>
        <v/>
      </c>
      <c r="P277" s="35" t="str">
        <f t="shared" si="114"/>
        <v/>
      </c>
      <c r="Q277" s="124"/>
      <c r="R277" s="36" t="str">
        <f t="shared" si="115"/>
        <v/>
      </c>
      <c r="S277" s="37" t="str">
        <f t="shared" si="105"/>
        <v/>
      </c>
      <c r="T277" s="38" t="str">
        <f t="shared" si="106"/>
        <v/>
      </c>
      <c r="U277" s="39" t="str">
        <f t="shared" si="107"/>
        <v/>
      </c>
      <c r="V277" s="40" t="str">
        <f t="shared" si="108"/>
        <v/>
      </c>
      <c r="W277" s="39" t="str">
        <f t="shared" si="109"/>
        <v/>
      </c>
      <c r="X277" s="34" t="str">
        <f t="shared" si="110"/>
        <v/>
      </c>
      <c r="Y277" s="41" t="str">
        <f t="shared" si="116"/>
        <v/>
      </c>
      <c r="Z277" s="98" t="str">
        <f t="shared" si="111"/>
        <v/>
      </c>
      <c r="AA277" s="81" t="str">
        <f t="shared" si="117"/>
        <v/>
      </c>
      <c r="AC277" s="139"/>
      <c r="AD277" s="110" t="str">
        <f t="shared" si="118"/>
        <v/>
      </c>
      <c r="AE277" s="111" t="str">
        <f t="shared" si="119"/>
        <v/>
      </c>
      <c r="AF277" s="111" t="str">
        <f t="shared" si="112"/>
        <v/>
      </c>
      <c r="AG277" s="111" t="str">
        <f t="shared" si="120"/>
        <v/>
      </c>
      <c r="AH277" s="111" t="str">
        <f t="shared" si="121"/>
        <v/>
      </c>
      <c r="AI277" s="112" t="str">
        <f t="shared" si="122"/>
        <v/>
      </c>
      <c r="AJ277" t="str">
        <f t="shared" si="123"/>
        <v/>
      </c>
      <c r="AK277" t="str">
        <f t="shared" si="124"/>
        <v/>
      </c>
    </row>
    <row r="278" spans="1:37" ht="15" customHeight="1" x14ac:dyDescent="0.25">
      <c r="A278" s="114"/>
      <c r="B278" s="116"/>
      <c r="C278" s="116"/>
      <c r="D278" s="42" t="str">
        <f t="shared" si="100"/>
        <v/>
      </c>
      <c r="E278" s="43"/>
      <c r="F278" s="83"/>
      <c r="G278" s="118"/>
      <c r="H278" s="34" t="str">
        <f t="shared" si="101"/>
        <v/>
      </c>
      <c r="I278" s="88" t="str">
        <f t="shared" si="102"/>
        <v/>
      </c>
      <c r="J278" s="44" t="str">
        <f t="shared" si="103"/>
        <v/>
      </c>
      <c r="K278" s="118"/>
      <c r="L278" s="34" t="str">
        <f t="shared" si="104"/>
        <v/>
      </c>
      <c r="M278" s="118"/>
      <c r="N278" s="121"/>
      <c r="O278" s="122" t="str">
        <f t="shared" si="113"/>
        <v/>
      </c>
      <c r="P278" s="35" t="str">
        <f t="shared" si="114"/>
        <v/>
      </c>
      <c r="Q278" s="124"/>
      <c r="R278" s="36" t="str">
        <f t="shared" si="115"/>
        <v/>
      </c>
      <c r="S278" s="37" t="str">
        <f t="shared" si="105"/>
        <v/>
      </c>
      <c r="T278" s="38" t="str">
        <f t="shared" si="106"/>
        <v/>
      </c>
      <c r="U278" s="39" t="str">
        <f t="shared" si="107"/>
        <v/>
      </c>
      <c r="V278" s="40" t="str">
        <f t="shared" si="108"/>
        <v/>
      </c>
      <c r="W278" s="39" t="str">
        <f t="shared" si="109"/>
        <v/>
      </c>
      <c r="X278" s="34" t="str">
        <f t="shared" si="110"/>
        <v/>
      </c>
      <c r="Y278" s="41" t="str">
        <f t="shared" si="116"/>
        <v/>
      </c>
      <c r="Z278" s="98" t="str">
        <f t="shared" si="111"/>
        <v/>
      </c>
      <c r="AA278" s="81" t="str">
        <f t="shared" si="117"/>
        <v/>
      </c>
      <c r="AC278" s="139"/>
      <c r="AD278" s="110" t="str">
        <f t="shared" si="118"/>
        <v/>
      </c>
      <c r="AE278" s="111" t="str">
        <f t="shared" si="119"/>
        <v/>
      </c>
      <c r="AF278" s="111" t="str">
        <f t="shared" si="112"/>
        <v/>
      </c>
      <c r="AG278" s="111" t="str">
        <f t="shared" si="120"/>
        <v/>
      </c>
      <c r="AH278" s="111" t="str">
        <f t="shared" si="121"/>
        <v/>
      </c>
      <c r="AI278" s="112" t="str">
        <f t="shared" si="122"/>
        <v/>
      </c>
      <c r="AJ278" t="str">
        <f t="shared" si="123"/>
        <v/>
      </c>
      <c r="AK278" t="str">
        <f t="shared" si="124"/>
        <v/>
      </c>
    </row>
    <row r="279" spans="1:37" ht="15" customHeight="1" x14ac:dyDescent="0.25">
      <c r="A279" s="114"/>
      <c r="B279" s="116"/>
      <c r="C279" s="116"/>
      <c r="D279" s="42" t="str">
        <f t="shared" si="100"/>
        <v/>
      </c>
      <c r="E279" s="43"/>
      <c r="F279" s="83"/>
      <c r="G279" s="118"/>
      <c r="H279" s="34" t="str">
        <f t="shared" si="101"/>
        <v/>
      </c>
      <c r="I279" s="88" t="str">
        <f t="shared" si="102"/>
        <v/>
      </c>
      <c r="J279" s="44" t="str">
        <f t="shared" si="103"/>
        <v/>
      </c>
      <c r="K279" s="118"/>
      <c r="L279" s="34" t="str">
        <f t="shared" si="104"/>
        <v/>
      </c>
      <c r="M279" s="118"/>
      <c r="N279" s="121"/>
      <c r="O279" s="122" t="str">
        <f t="shared" si="113"/>
        <v/>
      </c>
      <c r="P279" s="35" t="str">
        <f t="shared" si="114"/>
        <v/>
      </c>
      <c r="Q279" s="124"/>
      <c r="R279" s="36" t="str">
        <f t="shared" si="115"/>
        <v/>
      </c>
      <c r="S279" s="37" t="str">
        <f t="shared" si="105"/>
        <v/>
      </c>
      <c r="T279" s="38" t="str">
        <f t="shared" si="106"/>
        <v/>
      </c>
      <c r="U279" s="39" t="str">
        <f t="shared" si="107"/>
        <v/>
      </c>
      <c r="V279" s="40" t="str">
        <f t="shared" si="108"/>
        <v/>
      </c>
      <c r="W279" s="39" t="str">
        <f t="shared" si="109"/>
        <v/>
      </c>
      <c r="X279" s="34" t="str">
        <f t="shared" si="110"/>
        <v/>
      </c>
      <c r="Y279" s="41" t="str">
        <f t="shared" si="116"/>
        <v/>
      </c>
      <c r="Z279" s="98" t="str">
        <f t="shared" si="111"/>
        <v/>
      </c>
      <c r="AA279" s="81" t="str">
        <f t="shared" si="117"/>
        <v/>
      </c>
      <c r="AC279" s="139"/>
      <c r="AD279" s="110" t="str">
        <f t="shared" si="118"/>
        <v/>
      </c>
      <c r="AE279" s="111" t="str">
        <f t="shared" si="119"/>
        <v/>
      </c>
      <c r="AF279" s="111" t="str">
        <f t="shared" si="112"/>
        <v/>
      </c>
      <c r="AG279" s="111" t="str">
        <f t="shared" si="120"/>
        <v/>
      </c>
      <c r="AH279" s="111" t="str">
        <f t="shared" si="121"/>
        <v/>
      </c>
      <c r="AI279" s="112" t="str">
        <f t="shared" si="122"/>
        <v/>
      </c>
      <c r="AJ279" t="str">
        <f t="shared" si="123"/>
        <v/>
      </c>
      <c r="AK279" t="str">
        <f t="shared" si="124"/>
        <v/>
      </c>
    </row>
    <row r="280" spans="1:37" ht="15" customHeight="1" x14ac:dyDescent="0.25">
      <c r="A280" s="114"/>
      <c r="B280" s="116"/>
      <c r="C280" s="116"/>
      <c r="D280" s="42" t="str">
        <f t="shared" si="100"/>
        <v/>
      </c>
      <c r="E280" s="43"/>
      <c r="F280" s="83"/>
      <c r="G280" s="118"/>
      <c r="H280" s="34" t="str">
        <f t="shared" si="101"/>
        <v/>
      </c>
      <c r="I280" s="88" t="str">
        <f t="shared" si="102"/>
        <v/>
      </c>
      <c r="J280" s="44" t="str">
        <f t="shared" si="103"/>
        <v/>
      </c>
      <c r="K280" s="118"/>
      <c r="L280" s="34" t="str">
        <f t="shared" si="104"/>
        <v/>
      </c>
      <c r="M280" s="118"/>
      <c r="N280" s="121"/>
      <c r="O280" s="122" t="str">
        <f t="shared" si="113"/>
        <v/>
      </c>
      <c r="P280" s="35" t="str">
        <f t="shared" si="114"/>
        <v/>
      </c>
      <c r="Q280" s="124"/>
      <c r="R280" s="36" t="str">
        <f t="shared" si="115"/>
        <v/>
      </c>
      <c r="S280" s="37" t="str">
        <f t="shared" si="105"/>
        <v/>
      </c>
      <c r="T280" s="38" t="str">
        <f t="shared" si="106"/>
        <v/>
      </c>
      <c r="U280" s="39" t="str">
        <f t="shared" si="107"/>
        <v/>
      </c>
      <c r="V280" s="40" t="str">
        <f t="shared" si="108"/>
        <v/>
      </c>
      <c r="W280" s="39" t="str">
        <f t="shared" si="109"/>
        <v/>
      </c>
      <c r="X280" s="34" t="str">
        <f t="shared" si="110"/>
        <v/>
      </c>
      <c r="Y280" s="41" t="str">
        <f t="shared" si="116"/>
        <v/>
      </c>
      <c r="Z280" s="98" t="str">
        <f t="shared" si="111"/>
        <v/>
      </c>
      <c r="AA280" s="81" t="str">
        <f t="shared" si="117"/>
        <v/>
      </c>
      <c r="AC280" s="139"/>
      <c r="AD280" s="110" t="str">
        <f t="shared" si="118"/>
        <v/>
      </c>
      <c r="AE280" s="111" t="str">
        <f t="shared" si="119"/>
        <v/>
      </c>
      <c r="AF280" s="111" t="str">
        <f t="shared" si="112"/>
        <v/>
      </c>
      <c r="AG280" s="111" t="str">
        <f t="shared" si="120"/>
        <v/>
      </c>
      <c r="AH280" s="111" t="str">
        <f t="shared" si="121"/>
        <v/>
      </c>
      <c r="AI280" s="112" t="str">
        <f t="shared" si="122"/>
        <v/>
      </c>
      <c r="AJ280" t="str">
        <f t="shared" si="123"/>
        <v/>
      </c>
      <c r="AK280" t="str">
        <f t="shared" si="124"/>
        <v/>
      </c>
    </row>
    <row r="281" spans="1:37" ht="15" customHeight="1" x14ac:dyDescent="0.25">
      <c r="A281" s="114"/>
      <c r="B281" s="116"/>
      <c r="C281" s="116"/>
      <c r="D281" s="42" t="str">
        <f t="shared" si="100"/>
        <v/>
      </c>
      <c r="E281" s="43"/>
      <c r="F281" s="83"/>
      <c r="G281" s="118"/>
      <c r="H281" s="34" t="str">
        <f t="shared" si="101"/>
        <v/>
      </c>
      <c r="I281" s="88" t="str">
        <f t="shared" si="102"/>
        <v/>
      </c>
      <c r="J281" s="44" t="str">
        <f t="shared" si="103"/>
        <v/>
      </c>
      <c r="K281" s="118"/>
      <c r="L281" s="34" t="str">
        <f t="shared" si="104"/>
        <v/>
      </c>
      <c r="M281" s="118"/>
      <c r="N281" s="121"/>
      <c r="O281" s="122" t="str">
        <f t="shared" si="113"/>
        <v/>
      </c>
      <c r="P281" s="35" t="str">
        <f t="shared" si="114"/>
        <v/>
      </c>
      <c r="Q281" s="124"/>
      <c r="R281" s="36" t="str">
        <f t="shared" si="115"/>
        <v/>
      </c>
      <c r="S281" s="37" t="str">
        <f t="shared" si="105"/>
        <v/>
      </c>
      <c r="T281" s="38" t="str">
        <f t="shared" si="106"/>
        <v/>
      </c>
      <c r="U281" s="39" t="str">
        <f t="shared" si="107"/>
        <v/>
      </c>
      <c r="V281" s="40" t="str">
        <f t="shared" si="108"/>
        <v/>
      </c>
      <c r="W281" s="39" t="str">
        <f t="shared" si="109"/>
        <v/>
      </c>
      <c r="X281" s="34" t="str">
        <f t="shared" si="110"/>
        <v/>
      </c>
      <c r="Y281" s="41" t="str">
        <f t="shared" si="116"/>
        <v/>
      </c>
      <c r="Z281" s="98" t="str">
        <f t="shared" si="111"/>
        <v/>
      </c>
      <c r="AA281" s="81" t="str">
        <f t="shared" si="117"/>
        <v/>
      </c>
      <c r="AC281" s="139"/>
      <c r="AD281" s="110" t="str">
        <f t="shared" si="118"/>
        <v/>
      </c>
      <c r="AE281" s="111" t="str">
        <f t="shared" si="119"/>
        <v/>
      </c>
      <c r="AF281" s="111" t="str">
        <f t="shared" si="112"/>
        <v/>
      </c>
      <c r="AG281" s="111" t="str">
        <f t="shared" si="120"/>
        <v/>
      </c>
      <c r="AH281" s="111" t="str">
        <f t="shared" si="121"/>
        <v/>
      </c>
      <c r="AI281" s="112" t="str">
        <f t="shared" si="122"/>
        <v/>
      </c>
      <c r="AJ281" t="str">
        <f t="shared" si="123"/>
        <v/>
      </c>
      <c r="AK281" t="str">
        <f t="shared" si="124"/>
        <v/>
      </c>
    </row>
    <row r="282" spans="1:37" ht="15" customHeight="1" x14ac:dyDescent="0.25">
      <c r="A282" s="114"/>
      <c r="B282" s="116"/>
      <c r="C282" s="116"/>
      <c r="D282" s="42" t="str">
        <f t="shared" si="100"/>
        <v/>
      </c>
      <c r="E282" s="43"/>
      <c r="F282" s="83"/>
      <c r="G282" s="118"/>
      <c r="H282" s="34" t="str">
        <f t="shared" si="101"/>
        <v/>
      </c>
      <c r="I282" s="88" t="str">
        <f t="shared" si="102"/>
        <v/>
      </c>
      <c r="J282" s="44" t="str">
        <f t="shared" si="103"/>
        <v/>
      </c>
      <c r="K282" s="118"/>
      <c r="L282" s="34" t="str">
        <f t="shared" si="104"/>
        <v/>
      </c>
      <c r="M282" s="118"/>
      <c r="N282" s="121"/>
      <c r="O282" s="122" t="str">
        <f t="shared" si="113"/>
        <v/>
      </c>
      <c r="P282" s="35" t="str">
        <f t="shared" si="114"/>
        <v/>
      </c>
      <c r="Q282" s="124"/>
      <c r="R282" s="36" t="str">
        <f t="shared" si="115"/>
        <v/>
      </c>
      <c r="S282" s="37" t="str">
        <f t="shared" si="105"/>
        <v/>
      </c>
      <c r="T282" s="38" t="str">
        <f t="shared" si="106"/>
        <v/>
      </c>
      <c r="U282" s="39" t="str">
        <f t="shared" si="107"/>
        <v/>
      </c>
      <c r="V282" s="40" t="str">
        <f t="shared" si="108"/>
        <v/>
      </c>
      <c r="W282" s="39" t="str">
        <f t="shared" si="109"/>
        <v/>
      </c>
      <c r="X282" s="34" t="str">
        <f t="shared" si="110"/>
        <v/>
      </c>
      <c r="Y282" s="41" t="str">
        <f t="shared" si="116"/>
        <v/>
      </c>
      <c r="Z282" s="98" t="str">
        <f t="shared" si="111"/>
        <v/>
      </c>
      <c r="AA282" s="81" t="str">
        <f t="shared" si="117"/>
        <v/>
      </c>
      <c r="AC282" s="139"/>
      <c r="AD282" s="110" t="str">
        <f t="shared" si="118"/>
        <v/>
      </c>
      <c r="AE282" s="111" t="str">
        <f t="shared" si="119"/>
        <v/>
      </c>
      <c r="AF282" s="111" t="str">
        <f t="shared" si="112"/>
        <v/>
      </c>
      <c r="AG282" s="111" t="str">
        <f t="shared" si="120"/>
        <v/>
      </c>
      <c r="AH282" s="111" t="str">
        <f t="shared" si="121"/>
        <v/>
      </c>
      <c r="AI282" s="112" t="str">
        <f t="shared" si="122"/>
        <v/>
      </c>
      <c r="AJ282" t="str">
        <f t="shared" si="123"/>
        <v/>
      </c>
      <c r="AK282" t="str">
        <f t="shared" si="124"/>
        <v/>
      </c>
    </row>
    <row r="283" spans="1:37" ht="15" customHeight="1" x14ac:dyDescent="0.25">
      <c r="A283" s="114"/>
      <c r="B283" s="116"/>
      <c r="C283" s="116"/>
      <c r="D283" s="42" t="str">
        <f t="shared" si="100"/>
        <v/>
      </c>
      <c r="E283" s="43"/>
      <c r="F283" s="83"/>
      <c r="G283" s="118"/>
      <c r="H283" s="34" t="str">
        <f t="shared" si="101"/>
        <v/>
      </c>
      <c r="I283" s="88" t="str">
        <f t="shared" si="102"/>
        <v/>
      </c>
      <c r="J283" s="44" t="str">
        <f t="shared" si="103"/>
        <v/>
      </c>
      <c r="K283" s="118"/>
      <c r="L283" s="34" t="str">
        <f t="shared" si="104"/>
        <v/>
      </c>
      <c r="M283" s="118"/>
      <c r="N283" s="121"/>
      <c r="O283" s="122" t="str">
        <f t="shared" si="113"/>
        <v/>
      </c>
      <c r="P283" s="35" t="str">
        <f t="shared" si="114"/>
        <v/>
      </c>
      <c r="Q283" s="124"/>
      <c r="R283" s="36" t="str">
        <f t="shared" si="115"/>
        <v/>
      </c>
      <c r="S283" s="37" t="str">
        <f t="shared" si="105"/>
        <v/>
      </c>
      <c r="T283" s="38" t="str">
        <f t="shared" si="106"/>
        <v/>
      </c>
      <c r="U283" s="39" t="str">
        <f t="shared" si="107"/>
        <v/>
      </c>
      <c r="V283" s="40" t="str">
        <f t="shared" si="108"/>
        <v/>
      </c>
      <c r="W283" s="39" t="str">
        <f t="shared" si="109"/>
        <v/>
      </c>
      <c r="X283" s="34" t="str">
        <f t="shared" si="110"/>
        <v/>
      </c>
      <c r="Y283" s="41" t="str">
        <f t="shared" si="116"/>
        <v/>
      </c>
      <c r="Z283" s="98" t="str">
        <f t="shared" si="111"/>
        <v/>
      </c>
      <c r="AA283" s="81" t="str">
        <f t="shared" si="117"/>
        <v/>
      </c>
      <c r="AC283" s="139"/>
      <c r="AD283" s="110" t="str">
        <f t="shared" si="118"/>
        <v/>
      </c>
      <c r="AE283" s="111" t="str">
        <f t="shared" si="119"/>
        <v/>
      </c>
      <c r="AF283" s="111" t="str">
        <f t="shared" si="112"/>
        <v/>
      </c>
      <c r="AG283" s="111" t="str">
        <f t="shared" si="120"/>
        <v/>
      </c>
      <c r="AH283" s="111" t="str">
        <f t="shared" si="121"/>
        <v/>
      </c>
      <c r="AI283" s="112" t="str">
        <f t="shared" si="122"/>
        <v/>
      </c>
      <c r="AJ283" t="str">
        <f t="shared" si="123"/>
        <v/>
      </c>
      <c r="AK283" t="str">
        <f t="shared" si="124"/>
        <v/>
      </c>
    </row>
    <row r="284" spans="1:37" ht="15" customHeight="1" x14ac:dyDescent="0.25">
      <c r="A284" s="114"/>
      <c r="B284" s="116"/>
      <c r="C284" s="116"/>
      <c r="D284" s="42" t="str">
        <f t="shared" si="100"/>
        <v/>
      </c>
      <c r="E284" s="43"/>
      <c r="F284" s="83"/>
      <c r="G284" s="118"/>
      <c r="H284" s="34" t="str">
        <f t="shared" si="101"/>
        <v/>
      </c>
      <c r="I284" s="88" t="str">
        <f t="shared" si="102"/>
        <v/>
      </c>
      <c r="J284" s="44" t="str">
        <f t="shared" si="103"/>
        <v/>
      </c>
      <c r="K284" s="118"/>
      <c r="L284" s="34" t="str">
        <f t="shared" si="104"/>
        <v/>
      </c>
      <c r="M284" s="118"/>
      <c r="N284" s="121"/>
      <c r="O284" s="122" t="str">
        <f t="shared" si="113"/>
        <v/>
      </c>
      <c r="P284" s="35" t="str">
        <f t="shared" si="114"/>
        <v/>
      </c>
      <c r="Q284" s="124"/>
      <c r="R284" s="36" t="str">
        <f t="shared" si="115"/>
        <v/>
      </c>
      <c r="S284" s="37" t="str">
        <f t="shared" si="105"/>
        <v/>
      </c>
      <c r="T284" s="38" t="str">
        <f t="shared" si="106"/>
        <v/>
      </c>
      <c r="U284" s="39" t="str">
        <f t="shared" si="107"/>
        <v/>
      </c>
      <c r="V284" s="40" t="str">
        <f t="shared" si="108"/>
        <v/>
      </c>
      <c r="W284" s="39" t="str">
        <f t="shared" si="109"/>
        <v/>
      </c>
      <c r="X284" s="34" t="str">
        <f t="shared" si="110"/>
        <v/>
      </c>
      <c r="Y284" s="41" t="str">
        <f t="shared" si="116"/>
        <v/>
      </c>
      <c r="Z284" s="98" t="str">
        <f t="shared" si="111"/>
        <v/>
      </c>
      <c r="AA284" s="81" t="str">
        <f t="shared" si="117"/>
        <v/>
      </c>
      <c r="AC284" s="139"/>
      <c r="AD284" s="110" t="str">
        <f t="shared" si="118"/>
        <v/>
      </c>
      <c r="AE284" s="111" t="str">
        <f t="shared" si="119"/>
        <v/>
      </c>
      <c r="AF284" s="111" t="str">
        <f t="shared" si="112"/>
        <v/>
      </c>
      <c r="AG284" s="111" t="str">
        <f t="shared" si="120"/>
        <v/>
      </c>
      <c r="AH284" s="111" t="str">
        <f t="shared" si="121"/>
        <v/>
      </c>
      <c r="AI284" s="112" t="str">
        <f t="shared" si="122"/>
        <v/>
      </c>
      <c r="AJ284" t="str">
        <f t="shared" si="123"/>
        <v/>
      </c>
      <c r="AK284" t="str">
        <f t="shared" si="124"/>
        <v/>
      </c>
    </row>
    <row r="285" spans="1:37" ht="15" customHeight="1" x14ac:dyDescent="0.25">
      <c r="A285" s="114"/>
      <c r="B285" s="116"/>
      <c r="C285" s="116"/>
      <c r="D285" s="42" t="str">
        <f t="shared" si="100"/>
        <v/>
      </c>
      <c r="E285" s="43"/>
      <c r="F285" s="83"/>
      <c r="G285" s="118"/>
      <c r="H285" s="34" t="str">
        <f t="shared" si="101"/>
        <v/>
      </c>
      <c r="I285" s="88" t="str">
        <f t="shared" si="102"/>
        <v/>
      </c>
      <c r="J285" s="44" t="str">
        <f t="shared" si="103"/>
        <v/>
      </c>
      <c r="K285" s="118"/>
      <c r="L285" s="34" t="str">
        <f t="shared" si="104"/>
        <v/>
      </c>
      <c r="M285" s="118"/>
      <c r="N285" s="121"/>
      <c r="O285" s="122" t="str">
        <f t="shared" si="113"/>
        <v/>
      </c>
      <c r="P285" s="35" t="str">
        <f t="shared" si="114"/>
        <v/>
      </c>
      <c r="Q285" s="124"/>
      <c r="R285" s="36" t="str">
        <f t="shared" si="115"/>
        <v/>
      </c>
      <c r="S285" s="37" t="str">
        <f t="shared" si="105"/>
        <v/>
      </c>
      <c r="T285" s="38" t="str">
        <f t="shared" si="106"/>
        <v/>
      </c>
      <c r="U285" s="39" t="str">
        <f t="shared" si="107"/>
        <v/>
      </c>
      <c r="V285" s="40" t="str">
        <f t="shared" si="108"/>
        <v/>
      </c>
      <c r="W285" s="39" t="str">
        <f t="shared" si="109"/>
        <v/>
      </c>
      <c r="X285" s="34" t="str">
        <f t="shared" si="110"/>
        <v/>
      </c>
      <c r="Y285" s="41" t="str">
        <f t="shared" si="116"/>
        <v/>
      </c>
      <c r="Z285" s="98" t="str">
        <f t="shared" si="111"/>
        <v/>
      </c>
      <c r="AA285" s="81" t="str">
        <f t="shared" si="117"/>
        <v/>
      </c>
      <c r="AC285" s="139"/>
      <c r="AD285" s="110" t="str">
        <f t="shared" si="118"/>
        <v/>
      </c>
      <c r="AE285" s="111" t="str">
        <f t="shared" si="119"/>
        <v/>
      </c>
      <c r="AF285" s="111" t="str">
        <f t="shared" si="112"/>
        <v/>
      </c>
      <c r="AG285" s="111" t="str">
        <f t="shared" si="120"/>
        <v/>
      </c>
      <c r="AH285" s="111" t="str">
        <f t="shared" si="121"/>
        <v/>
      </c>
      <c r="AI285" s="112" t="str">
        <f t="shared" si="122"/>
        <v/>
      </c>
      <c r="AJ285" t="str">
        <f t="shared" si="123"/>
        <v/>
      </c>
      <c r="AK285" t="str">
        <f t="shared" si="124"/>
        <v/>
      </c>
    </row>
    <row r="286" spans="1:37" ht="15" customHeight="1" x14ac:dyDescent="0.25">
      <c r="A286" s="114"/>
      <c r="B286" s="116"/>
      <c r="C286" s="116"/>
      <c r="D286" s="42" t="str">
        <f t="shared" si="100"/>
        <v/>
      </c>
      <c r="E286" s="43"/>
      <c r="F286" s="83"/>
      <c r="G286" s="118"/>
      <c r="H286" s="34" t="str">
        <f t="shared" si="101"/>
        <v/>
      </c>
      <c r="I286" s="88" t="str">
        <f t="shared" si="102"/>
        <v/>
      </c>
      <c r="J286" s="44" t="str">
        <f t="shared" si="103"/>
        <v/>
      </c>
      <c r="K286" s="118"/>
      <c r="L286" s="34" t="str">
        <f t="shared" si="104"/>
        <v/>
      </c>
      <c r="M286" s="118"/>
      <c r="N286" s="121"/>
      <c r="O286" s="122" t="str">
        <f t="shared" si="113"/>
        <v/>
      </c>
      <c r="P286" s="35" t="str">
        <f t="shared" si="114"/>
        <v/>
      </c>
      <c r="Q286" s="124"/>
      <c r="R286" s="36" t="str">
        <f t="shared" si="115"/>
        <v/>
      </c>
      <c r="S286" s="37" t="str">
        <f t="shared" si="105"/>
        <v/>
      </c>
      <c r="T286" s="38" t="str">
        <f t="shared" si="106"/>
        <v/>
      </c>
      <c r="U286" s="39" t="str">
        <f t="shared" si="107"/>
        <v/>
      </c>
      <c r="V286" s="40" t="str">
        <f t="shared" si="108"/>
        <v/>
      </c>
      <c r="W286" s="39" t="str">
        <f t="shared" si="109"/>
        <v/>
      </c>
      <c r="X286" s="34" t="str">
        <f t="shared" si="110"/>
        <v/>
      </c>
      <c r="Y286" s="41" t="str">
        <f t="shared" si="116"/>
        <v/>
      </c>
      <c r="Z286" s="98" t="str">
        <f t="shared" si="111"/>
        <v/>
      </c>
      <c r="AA286" s="81" t="str">
        <f t="shared" si="117"/>
        <v/>
      </c>
      <c r="AC286" s="139"/>
      <c r="AD286" s="110" t="str">
        <f t="shared" si="118"/>
        <v/>
      </c>
      <c r="AE286" s="111" t="str">
        <f t="shared" si="119"/>
        <v/>
      </c>
      <c r="AF286" s="111" t="str">
        <f t="shared" si="112"/>
        <v/>
      </c>
      <c r="AG286" s="111" t="str">
        <f t="shared" si="120"/>
        <v/>
      </c>
      <c r="AH286" s="111" t="str">
        <f t="shared" si="121"/>
        <v/>
      </c>
      <c r="AI286" s="112" t="str">
        <f t="shared" si="122"/>
        <v/>
      </c>
      <c r="AJ286" t="str">
        <f t="shared" si="123"/>
        <v/>
      </c>
      <c r="AK286" t="str">
        <f t="shared" si="124"/>
        <v/>
      </c>
    </row>
    <row r="287" spans="1:37" ht="15" customHeight="1" x14ac:dyDescent="0.25">
      <c r="A287" s="114"/>
      <c r="B287" s="116"/>
      <c r="C287" s="116"/>
      <c r="D287" s="42" t="str">
        <f t="shared" si="100"/>
        <v/>
      </c>
      <c r="E287" s="43"/>
      <c r="F287" s="83"/>
      <c r="G287" s="118"/>
      <c r="H287" s="34" t="str">
        <f t="shared" si="101"/>
        <v/>
      </c>
      <c r="I287" s="88" t="str">
        <f t="shared" si="102"/>
        <v/>
      </c>
      <c r="J287" s="44" t="str">
        <f t="shared" si="103"/>
        <v/>
      </c>
      <c r="K287" s="118"/>
      <c r="L287" s="34" t="str">
        <f t="shared" si="104"/>
        <v/>
      </c>
      <c r="M287" s="118"/>
      <c r="N287" s="121"/>
      <c r="O287" s="122" t="str">
        <f t="shared" si="113"/>
        <v/>
      </c>
      <c r="P287" s="35" t="str">
        <f t="shared" si="114"/>
        <v/>
      </c>
      <c r="Q287" s="124"/>
      <c r="R287" s="36" t="str">
        <f t="shared" si="115"/>
        <v/>
      </c>
      <c r="S287" s="37" t="str">
        <f t="shared" si="105"/>
        <v/>
      </c>
      <c r="T287" s="38" t="str">
        <f t="shared" si="106"/>
        <v/>
      </c>
      <c r="U287" s="39" t="str">
        <f t="shared" si="107"/>
        <v/>
      </c>
      <c r="V287" s="40" t="str">
        <f t="shared" si="108"/>
        <v/>
      </c>
      <c r="W287" s="39" t="str">
        <f t="shared" si="109"/>
        <v/>
      </c>
      <c r="X287" s="34" t="str">
        <f t="shared" si="110"/>
        <v/>
      </c>
      <c r="Y287" s="41" t="str">
        <f t="shared" si="116"/>
        <v/>
      </c>
      <c r="Z287" s="98" t="str">
        <f t="shared" si="111"/>
        <v/>
      </c>
      <c r="AA287" s="81" t="str">
        <f t="shared" si="117"/>
        <v/>
      </c>
      <c r="AC287" s="139"/>
      <c r="AD287" s="110" t="str">
        <f t="shared" si="118"/>
        <v/>
      </c>
      <c r="AE287" s="111" t="str">
        <f t="shared" si="119"/>
        <v/>
      </c>
      <c r="AF287" s="111" t="str">
        <f t="shared" si="112"/>
        <v/>
      </c>
      <c r="AG287" s="111" t="str">
        <f t="shared" si="120"/>
        <v/>
      </c>
      <c r="AH287" s="111" t="str">
        <f t="shared" si="121"/>
        <v/>
      </c>
      <c r="AI287" s="112" t="str">
        <f t="shared" si="122"/>
        <v/>
      </c>
      <c r="AJ287" t="str">
        <f t="shared" si="123"/>
        <v/>
      </c>
      <c r="AK287" t="str">
        <f t="shared" si="124"/>
        <v/>
      </c>
    </row>
    <row r="288" spans="1:37" ht="15" customHeight="1" x14ac:dyDescent="0.25">
      <c r="A288" s="114"/>
      <c r="B288" s="116"/>
      <c r="C288" s="116"/>
      <c r="D288" s="42" t="str">
        <f t="shared" si="100"/>
        <v/>
      </c>
      <c r="E288" s="43"/>
      <c r="F288" s="83"/>
      <c r="G288" s="118"/>
      <c r="H288" s="34" t="str">
        <f t="shared" si="101"/>
        <v/>
      </c>
      <c r="I288" s="88" t="str">
        <f t="shared" si="102"/>
        <v/>
      </c>
      <c r="J288" s="44" t="str">
        <f t="shared" si="103"/>
        <v/>
      </c>
      <c r="K288" s="118"/>
      <c r="L288" s="34" t="str">
        <f t="shared" si="104"/>
        <v/>
      </c>
      <c r="M288" s="118"/>
      <c r="N288" s="121"/>
      <c r="O288" s="122" t="str">
        <f t="shared" si="113"/>
        <v/>
      </c>
      <c r="P288" s="35" t="str">
        <f t="shared" si="114"/>
        <v/>
      </c>
      <c r="Q288" s="124"/>
      <c r="R288" s="36" t="str">
        <f t="shared" si="115"/>
        <v/>
      </c>
      <c r="S288" s="37" t="str">
        <f t="shared" si="105"/>
        <v/>
      </c>
      <c r="T288" s="38" t="str">
        <f t="shared" si="106"/>
        <v/>
      </c>
      <c r="U288" s="39" t="str">
        <f t="shared" si="107"/>
        <v/>
      </c>
      <c r="V288" s="40" t="str">
        <f t="shared" si="108"/>
        <v/>
      </c>
      <c r="W288" s="39" t="str">
        <f t="shared" si="109"/>
        <v/>
      </c>
      <c r="X288" s="34" t="str">
        <f t="shared" si="110"/>
        <v/>
      </c>
      <c r="Y288" s="41" t="str">
        <f t="shared" si="116"/>
        <v/>
      </c>
      <c r="Z288" s="98" t="str">
        <f t="shared" si="111"/>
        <v/>
      </c>
      <c r="AA288" s="81" t="str">
        <f t="shared" si="117"/>
        <v/>
      </c>
      <c r="AC288" s="139"/>
      <c r="AD288" s="110" t="str">
        <f t="shared" si="118"/>
        <v/>
      </c>
      <c r="AE288" s="111" t="str">
        <f t="shared" si="119"/>
        <v/>
      </c>
      <c r="AF288" s="111" t="str">
        <f t="shared" si="112"/>
        <v/>
      </c>
      <c r="AG288" s="111" t="str">
        <f t="shared" si="120"/>
        <v/>
      </c>
      <c r="AH288" s="111" t="str">
        <f t="shared" si="121"/>
        <v/>
      </c>
      <c r="AI288" s="112" t="str">
        <f t="shared" si="122"/>
        <v/>
      </c>
      <c r="AJ288" t="str">
        <f t="shared" si="123"/>
        <v/>
      </c>
      <c r="AK288" t="str">
        <f t="shared" si="124"/>
        <v/>
      </c>
    </row>
    <row r="289" spans="1:37" ht="15" customHeight="1" x14ac:dyDescent="0.25">
      <c r="A289" s="114"/>
      <c r="B289" s="116"/>
      <c r="C289" s="116"/>
      <c r="D289" s="42" t="str">
        <f t="shared" si="100"/>
        <v/>
      </c>
      <c r="E289" s="43"/>
      <c r="F289" s="83"/>
      <c r="G289" s="118"/>
      <c r="H289" s="34" t="str">
        <f t="shared" si="101"/>
        <v/>
      </c>
      <c r="I289" s="88" t="str">
        <f t="shared" si="102"/>
        <v/>
      </c>
      <c r="J289" s="44" t="str">
        <f t="shared" si="103"/>
        <v/>
      </c>
      <c r="K289" s="118"/>
      <c r="L289" s="34" t="str">
        <f t="shared" si="104"/>
        <v/>
      </c>
      <c r="M289" s="118"/>
      <c r="N289" s="121"/>
      <c r="O289" s="122" t="str">
        <f t="shared" si="113"/>
        <v/>
      </c>
      <c r="P289" s="35" t="str">
        <f t="shared" si="114"/>
        <v/>
      </c>
      <c r="Q289" s="124"/>
      <c r="R289" s="36" t="str">
        <f t="shared" si="115"/>
        <v/>
      </c>
      <c r="S289" s="37" t="str">
        <f t="shared" si="105"/>
        <v/>
      </c>
      <c r="T289" s="38" t="str">
        <f t="shared" si="106"/>
        <v/>
      </c>
      <c r="U289" s="39" t="str">
        <f t="shared" si="107"/>
        <v/>
      </c>
      <c r="V289" s="40" t="str">
        <f t="shared" si="108"/>
        <v/>
      </c>
      <c r="W289" s="39" t="str">
        <f t="shared" si="109"/>
        <v/>
      </c>
      <c r="X289" s="34" t="str">
        <f t="shared" si="110"/>
        <v/>
      </c>
      <c r="Y289" s="41" t="str">
        <f t="shared" si="116"/>
        <v/>
      </c>
      <c r="Z289" s="98" t="str">
        <f t="shared" si="111"/>
        <v/>
      </c>
      <c r="AA289" s="81" t="str">
        <f t="shared" si="117"/>
        <v/>
      </c>
      <c r="AC289" s="139"/>
      <c r="AD289" s="110" t="str">
        <f t="shared" si="118"/>
        <v/>
      </c>
      <c r="AE289" s="111" t="str">
        <f t="shared" si="119"/>
        <v/>
      </c>
      <c r="AF289" s="111" t="str">
        <f t="shared" si="112"/>
        <v/>
      </c>
      <c r="AG289" s="111" t="str">
        <f t="shared" si="120"/>
        <v/>
      </c>
      <c r="AH289" s="111" t="str">
        <f t="shared" si="121"/>
        <v/>
      </c>
      <c r="AI289" s="112" t="str">
        <f t="shared" si="122"/>
        <v/>
      </c>
      <c r="AJ289" t="str">
        <f t="shared" si="123"/>
        <v/>
      </c>
      <c r="AK289" t="str">
        <f t="shared" si="124"/>
        <v/>
      </c>
    </row>
    <row r="290" spans="1:37" ht="15" customHeight="1" x14ac:dyDescent="0.25">
      <c r="A290" s="114"/>
      <c r="B290" s="116"/>
      <c r="C290" s="116"/>
      <c r="D290" s="42" t="str">
        <f t="shared" si="100"/>
        <v/>
      </c>
      <c r="E290" s="43"/>
      <c r="F290" s="83"/>
      <c r="G290" s="118"/>
      <c r="H290" s="34" t="str">
        <f t="shared" si="101"/>
        <v/>
      </c>
      <c r="I290" s="88" t="str">
        <f t="shared" si="102"/>
        <v/>
      </c>
      <c r="J290" s="44" t="str">
        <f t="shared" si="103"/>
        <v/>
      </c>
      <c r="K290" s="118"/>
      <c r="L290" s="34" t="str">
        <f t="shared" si="104"/>
        <v/>
      </c>
      <c r="M290" s="118"/>
      <c r="N290" s="121"/>
      <c r="O290" s="122" t="str">
        <f t="shared" si="113"/>
        <v/>
      </c>
      <c r="P290" s="35" t="str">
        <f t="shared" si="114"/>
        <v/>
      </c>
      <c r="Q290" s="124"/>
      <c r="R290" s="36" t="str">
        <f t="shared" si="115"/>
        <v/>
      </c>
      <c r="S290" s="37" t="str">
        <f t="shared" si="105"/>
        <v/>
      </c>
      <c r="T290" s="38" t="str">
        <f t="shared" si="106"/>
        <v/>
      </c>
      <c r="U290" s="39" t="str">
        <f t="shared" si="107"/>
        <v/>
      </c>
      <c r="V290" s="40" t="str">
        <f t="shared" si="108"/>
        <v/>
      </c>
      <c r="W290" s="39" t="str">
        <f t="shared" si="109"/>
        <v/>
      </c>
      <c r="X290" s="34" t="str">
        <f t="shared" si="110"/>
        <v/>
      </c>
      <c r="Y290" s="41" t="str">
        <f t="shared" si="116"/>
        <v/>
      </c>
      <c r="Z290" s="98" t="str">
        <f t="shared" si="111"/>
        <v/>
      </c>
      <c r="AA290" s="81" t="str">
        <f t="shared" si="117"/>
        <v/>
      </c>
      <c r="AC290" s="139"/>
      <c r="AD290" s="110" t="str">
        <f t="shared" si="118"/>
        <v/>
      </c>
      <c r="AE290" s="111" t="str">
        <f t="shared" si="119"/>
        <v/>
      </c>
      <c r="AF290" s="111" t="str">
        <f t="shared" si="112"/>
        <v/>
      </c>
      <c r="AG290" s="111" t="str">
        <f t="shared" si="120"/>
        <v/>
      </c>
      <c r="AH290" s="111" t="str">
        <f t="shared" si="121"/>
        <v/>
      </c>
      <c r="AI290" s="112" t="str">
        <f t="shared" si="122"/>
        <v/>
      </c>
      <c r="AJ290" t="str">
        <f t="shared" si="123"/>
        <v/>
      </c>
      <c r="AK290" t="str">
        <f t="shared" si="124"/>
        <v/>
      </c>
    </row>
    <row r="291" spans="1:37" ht="15" customHeight="1" x14ac:dyDescent="0.25">
      <c r="A291" s="114"/>
      <c r="B291" s="116"/>
      <c r="C291" s="116"/>
      <c r="D291" s="42" t="str">
        <f t="shared" si="100"/>
        <v/>
      </c>
      <c r="E291" s="43"/>
      <c r="F291" s="83"/>
      <c r="G291" s="118"/>
      <c r="H291" s="34" t="str">
        <f t="shared" si="101"/>
        <v/>
      </c>
      <c r="I291" s="88" t="str">
        <f t="shared" si="102"/>
        <v/>
      </c>
      <c r="J291" s="44" t="str">
        <f t="shared" si="103"/>
        <v/>
      </c>
      <c r="K291" s="118"/>
      <c r="L291" s="34" t="str">
        <f t="shared" si="104"/>
        <v/>
      </c>
      <c r="M291" s="118"/>
      <c r="N291" s="121"/>
      <c r="O291" s="122" t="str">
        <f t="shared" si="113"/>
        <v/>
      </c>
      <c r="P291" s="35" t="str">
        <f t="shared" si="114"/>
        <v/>
      </c>
      <c r="Q291" s="124"/>
      <c r="R291" s="36" t="str">
        <f t="shared" si="115"/>
        <v/>
      </c>
      <c r="S291" s="37" t="str">
        <f t="shared" si="105"/>
        <v/>
      </c>
      <c r="T291" s="38" t="str">
        <f t="shared" si="106"/>
        <v/>
      </c>
      <c r="U291" s="39" t="str">
        <f t="shared" si="107"/>
        <v/>
      </c>
      <c r="V291" s="40" t="str">
        <f t="shared" si="108"/>
        <v/>
      </c>
      <c r="W291" s="39" t="str">
        <f t="shared" si="109"/>
        <v/>
      </c>
      <c r="X291" s="34" t="str">
        <f t="shared" si="110"/>
        <v/>
      </c>
      <c r="Y291" s="41" t="str">
        <f t="shared" si="116"/>
        <v/>
      </c>
      <c r="Z291" s="98" t="str">
        <f t="shared" si="111"/>
        <v/>
      </c>
      <c r="AA291" s="81" t="str">
        <f t="shared" si="117"/>
        <v/>
      </c>
      <c r="AC291" s="139"/>
      <c r="AD291" s="110" t="str">
        <f t="shared" si="118"/>
        <v/>
      </c>
      <c r="AE291" s="111" t="str">
        <f t="shared" si="119"/>
        <v/>
      </c>
      <c r="AF291" s="111" t="str">
        <f t="shared" si="112"/>
        <v/>
      </c>
      <c r="AG291" s="111" t="str">
        <f t="shared" si="120"/>
        <v/>
      </c>
      <c r="AH291" s="111" t="str">
        <f t="shared" si="121"/>
        <v/>
      </c>
      <c r="AI291" s="112" t="str">
        <f t="shared" si="122"/>
        <v/>
      </c>
      <c r="AJ291" t="str">
        <f t="shared" si="123"/>
        <v/>
      </c>
      <c r="AK291" t="str">
        <f t="shared" si="124"/>
        <v/>
      </c>
    </row>
    <row r="292" spans="1:37" ht="15" customHeight="1" x14ac:dyDescent="0.25">
      <c r="A292" s="114"/>
      <c r="B292" s="116"/>
      <c r="C292" s="116"/>
      <c r="D292" s="42" t="str">
        <f t="shared" si="100"/>
        <v/>
      </c>
      <c r="E292" s="43"/>
      <c r="F292" s="83"/>
      <c r="G292" s="118"/>
      <c r="H292" s="34" t="str">
        <f t="shared" si="101"/>
        <v/>
      </c>
      <c r="I292" s="88" t="str">
        <f t="shared" si="102"/>
        <v/>
      </c>
      <c r="J292" s="44" t="str">
        <f t="shared" si="103"/>
        <v/>
      </c>
      <c r="K292" s="118"/>
      <c r="L292" s="34" t="str">
        <f t="shared" si="104"/>
        <v/>
      </c>
      <c r="M292" s="118"/>
      <c r="N292" s="121"/>
      <c r="O292" s="122" t="str">
        <f t="shared" si="113"/>
        <v/>
      </c>
      <c r="P292" s="35" t="str">
        <f t="shared" si="114"/>
        <v/>
      </c>
      <c r="Q292" s="124"/>
      <c r="R292" s="36" t="str">
        <f t="shared" si="115"/>
        <v/>
      </c>
      <c r="S292" s="37" t="str">
        <f t="shared" si="105"/>
        <v/>
      </c>
      <c r="T292" s="38" t="str">
        <f t="shared" si="106"/>
        <v/>
      </c>
      <c r="U292" s="39" t="str">
        <f t="shared" si="107"/>
        <v/>
      </c>
      <c r="V292" s="40" t="str">
        <f t="shared" si="108"/>
        <v/>
      </c>
      <c r="W292" s="39" t="str">
        <f t="shared" si="109"/>
        <v/>
      </c>
      <c r="X292" s="34" t="str">
        <f t="shared" si="110"/>
        <v/>
      </c>
      <c r="Y292" s="41" t="str">
        <f t="shared" si="116"/>
        <v/>
      </c>
      <c r="Z292" s="98" t="str">
        <f t="shared" si="111"/>
        <v/>
      </c>
      <c r="AA292" s="81" t="str">
        <f t="shared" si="117"/>
        <v/>
      </c>
      <c r="AC292" s="139"/>
      <c r="AD292" s="110" t="str">
        <f t="shared" si="118"/>
        <v/>
      </c>
      <c r="AE292" s="111" t="str">
        <f t="shared" si="119"/>
        <v/>
      </c>
      <c r="AF292" s="111" t="str">
        <f t="shared" si="112"/>
        <v/>
      </c>
      <c r="AG292" s="111" t="str">
        <f t="shared" si="120"/>
        <v/>
      </c>
      <c r="AH292" s="111" t="str">
        <f t="shared" si="121"/>
        <v/>
      </c>
      <c r="AI292" s="112" t="str">
        <f t="shared" si="122"/>
        <v/>
      </c>
      <c r="AJ292" t="str">
        <f t="shared" si="123"/>
        <v/>
      </c>
      <c r="AK292" t="str">
        <f t="shared" si="124"/>
        <v/>
      </c>
    </row>
    <row r="293" spans="1:37" ht="15" customHeight="1" x14ac:dyDescent="0.25">
      <c r="A293" s="114"/>
      <c r="B293" s="116"/>
      <c r="C293" s="116"/>
      <c r="D293" s="42" t="str">
        <f t="shared" si="100"/>
        <v/>
      </c>
      <c r="E293" s="43"/>
      <c r="F293" s="83"/>
      <c r="G293" s="118"/>
      <c r="H293" s="34" t="str">
        <f t="shared" si="101"/>
        <v/>
      </c>
      <c r="I293" s="88" t="str">
        <f t="shared" si="102"/>
        <v/>
      </c>
      <c r="J293" s="44" t="str">
        <f t="shared" si="103"/>
        <v/>
      </c>
      <c r="K293" s="118"/>
      <c r="L293" s="34" t="str">
        <f t="shared" si="104"/>
        <v/>
      </c>
      <c r="M293" s="118"/>
      <c r="N293" s="121"/>
      <c r="O293" s="122" t="str">
        <f t="shared" si="113"/>
        <v/>
      </c>
      <c r="P293" s="35" t="str">
        <f t="shared" si="114"/>
        <v/>
      </c>
      <c r="Q293" s="124"/>
      <c r="R293" s="36" t="str">
        <f t="shared" si="115"/>
        <v/>
      </c>
      <c r="S293" s="37" t="str">
        <f t="shared" si="105"/>
        <v/>
      </c>
      <c r="T293" s="38" t="str">
        <f t="shared" si="106"/>
        <v/>
      </c>
      <c r="U293" s="39" t="str">
        <f t="shared" si="107"/>
        <v/>
      </c>
      <c r="V293" s="40" t="str">
        <f t="shared" si="108"/>
        <v/>
      </c>
      <c r="W293" s="39" t="str">
        <f t="shared" si="109"/>
        <v/>
      </c>
      <c r="X293" s="34" t="str">
        <f t="shared" si="110"/>
        <v/>
      </c>
      <c r="Y293" s="41" t="str">
        <f t="shared" si="116"/>
        <v/>
      </c>
      <c r="Z293" s="98" t="str">
        <f t="shared" si="111"/>
        <v/>
      </c>
      <c r="AA293" s="81" t="str">
        <f t="shared" si="117"/>
        <v/>
      </c>
      <c r="AC293" s="139"/>
      <c r="AD293" s="110" t="str">
        <f t="shared" si="118"/>
        <v/>
      </c>
      <c r="AE293" s="111" t="str">
        <f t="shared" si="119"/>
        <v/>
      </c>
      <c r="AF293" s="111" t="str">
        <f t="shared" si="112"/>
        <v/>
      </c>
      <c r="AG293" s="111" t="str">
        <f t="shared" si="120"/>
        <v/>
      </c>
      <c r="AH293" s="111" t="str">
        <f t="shared" si="121"/>
        <v/>
      </c>
      <c r="AI293" s="112" t="str">
        <f t="shared" si="122"/>
        <v/>
      </c>
      <c r="AJ293" t="str">
        <f t="shared" si="123"/>
        <v/>
      </c>
      <c r="AK293" t="str">
        <f t="shared" si="124"/>
        <v/>
      </c>
    </row>
    <row r="294" spans="1:37" ht="15" customHeight="1" x14ac:dyDescent="0.25">
      <c r="A294" s="114"/>
      <c r="B294" s="116"/>
      <c r="C294" s="116"/>
      <c r="D294" s="42" t="str">
        <f t="shared" si="100"/>
        <v/>
      </c>
      <c r="E294" s="43"/>
      <c r="F294" s="83"/>
      <c r="G294" s="118"/>
      <c r="H294" s="34" t="str">
        <f t="shared" si="101"/>
        <v/>
      </c>
      <c r="I294" s="88" t="str">
        <f t="shared" si="102"/>
        <v/>
      </c>
      <c r="J294" s="44" t="str">
        <f t="shared" si="103"/>
        <v/>
      </c>
      <c r="K294" s="118"/>
      <c r="L294" s="34" t="str">
        <f t="shared" si="104"/>
        <v/>
      </c>
      <c r="M294" s="118"/>
      <c r="N294" s="121"/>
      <c r="O294" s="122" t="str">
        <f t="shared" si="113"/>
        <v/>
      </c>
      <c r="P294" s="35" t="str">
        <f t="shared" si="114"/>
        <v/>
      </c>
      <c r="Q294" s="124"/>
      <c r="R294" s="36" t="str">
        <f t="shared" si="115"/>
        <v/>
      </c>
      <c r="S294" s="37" t="str">
        <f t="shared" si="105"/>
        <v/>
      </c>
      <c r="T294" s="38" t="str">
        <f t="shared" si="106"/>
        <v/>
      </c>
      <c r="U294" s="39" t="str">
        <f t="shared" si="107"/>
        <v/>
      </c>
      <c r="V294" s="40" t="str">
        <f t="shared" si="108"/>
        <v/>
      </c>
      <c r="W294" s="39" t="str">
        <f t="shared" si="109"/>
        <v/>
      </c>
      <c r="X294" s="34" t="str">
        <f t="shared" si="110"/>
        <v/>
      </c>
      <c r="Y294" s="41" t="str">
        <f t="shared" si="116"/>
        <v/>
      </c>
      <c r="Z294" s="98" t="str">
        <f t="shared" si="111"/>
        <v/>
      </c>
      <c r="AA294" s="81" t="str">
        <f t="shared" si="117"/>
        <v/>
      </c>
      <c r="AC294" s="139"/>
      <c r="AD294" s="110" t="str">
        <f t="shared" si="118"/>
        <v/>
      </c>
      <c r="AE294" s="111" t="str">
        <f t="shared" si="119"/>
        <v/>
      </c>
      <c r="AF294" s="111" t="str">
        <f t="shared" si="112"/>
        <v/>
      </c>
      <c r="AG294" s="111" t="str">
        <f t="shared" si="120"/>
        <v/>
      </c>
      <c r="AH294" s="111" t="str">
        <f t="shared" si="121"/>
        <v/>
      </c>
      <c r="AI294" s="112" t="str">
        <f t="shared" si="122"/>
        <v/>
      </c>
      <c r="AJ294" t="str">
        <f t="shared" si="123"/>
        <v/>
      </c>
      <c r="AK294" t="str">
        <f t="shared" si="124"/>
        <v/>
      </c>
    </row>
    <row r="295" spans="1:37" ht="15" customHeight="1" x14ac:dyDescent="0.25">
      <c r="A295" s="114"/>
      <c r="B295" s="116"/>
      <c r="C295" s="116"/>
      <c r="D295" s="42" t="str">
        <f t="shared" si="100"/>
        <v/>
      </c>
      <c r="E295" s="43"/>
      <c r="F295" s="83"/>
      <c r="G295" s="118"/>
      <c r="H295" s="34" t="str">
        <f t="shared" si="101"/>
        <v/>
      </c>
      <c r="I295" s="88" t="str">
        <f t="shared" si="102"/>
        <v/>
      </c>
      <c r="J295" s="44" t="str">
        <f t="shared" si="103"/>
        <v/>
      </c>
      <c r="K295" s="118"/>
      <c r="L295" s="34" t="str">
        <f t="shared" si="104"/>
        <v/>
      </c>
      <c r="M295" s="118"/>
      <c r="N295" s="121"/>
      <c r="O295" s="122" t="str">
        <f t="shared" si="113"/>
        <v/>
      </c>
      <c r="P295" s="35" t="str">
        <f t="shared" si="114"/>
        <v/>
      </c>
      <c r="Q295" s="124"/>
      <c r="R295" s="36" t="str">
        <f t="shared" si="115"/>
        <v/>
      </c>
      <c r="S295" s="37" t="str">
        <f t="shared" si="105"/>
        <v/>
      </c>
      <c r="T295" s="38" t="str">
        <f t="shared" si="106"/>
        <v/>
      </c>
      <c r="U295" s="39" t="str">
        <f t="shared" si="107"/>
        <v/>
      </c>
      <c r="V295" s="40" t="str">
        <f t="shared" si="108"/>
        <v/>
      </c>
      <c r="W295" s="39" t="str">
        <f t="shared" si="109"/>
        <v/>
      </c>
      <c r="X295" s="34" t="str">
        <f t="shared" si="110"/>
        <v/>
      </c>
      <c r="Y295" s="41" t="str">
        <f t="shared" si="116"/>
        <v/>
      </c>
      <c r="Z295" s="98" t="str">
        <f t="shared" si="111"/>
        <v/>
      </c>
      <c r="AA295" s="81" t="str">
        <f t="shared" si="117"/>
        <v/>
      </c>
      <c r="AC295" s="139"/>
      <c r="AD295" s="110" t="str">
        <f t="shared" si="118"/>
        <v/>
      </c>
      <c r="AE295" s="111" t="str">
        <f t="shared" si="119"/>
        <v/>
      </c>
      <c r="AF295" s="111" t="str">
        <f t="shared" si="112"/>
        <v/>
      </c>
      <c r="AG295" s="111" t="str">
        <f t="shared" si="120"/>
        <v/>
      </c>
      <c r="AH295" s="111" t="str">
        <f t="shared" si="121"/>
        <v/>
      </c>
      <c r="AI295" s="112" t="str">
        <f t="shared" si="122"/>
        <v/>
      </c>
      <c r="AJ295" t="str">
        <f t="shared" si="123"/>
        <v/>
      </c>
      <c r="AK295" t="str">
        <f t="shared" si="124"/>
        <v/>
      </c>
    </row>
    <row r="296" spans="1:37" ht="15" customHeight="1" x14ac:dyDescent="0.25">
      <c r="A296" s="114"/>
      <c r="B296" s="116"/>
      <c r="C296" s="116"/>
      <c r="D296" s="42" t="str">
        <f t="shared" si="100"/>
        <v/>
      </c>
      <c r="E296" s="43"/>
      <c r="F296" s="83"/>
      <c r="G296" s="118"/>
      <c r="H296" s="34" t="str">
        <f t="shared" si="101"/>
        <v/>
      </c>
      <c r="I296" s="88" t="str">
        <f t="shared" si="102"/>
        <v/>
      </c>
      <c r="J296" s="44" t="str">
        <f t="shared" si="103"/>
        <v/>
      </c>
      <c r="K296" s="118"/>
      <c r="L296" s="34" t="str">
        <f t="shared" si="104"/>
        <v/>
      </c>
      <c r="M296" s="118"/>
      <c r="N296" s="121"/>
      <c r="O296" s="122" t="str">
        <f t="shared" si="113"/>
        <v/>
      </c>
      <c r="P296" s="35" t="str">
        <f t="shared" si="114"/>
        <v/>
      </c>
      <c r="Q296" s="124"/>
      <c r="R296" s="36" t="str">
        <f t="shared" si="115"/>
        <v/>
      </c>
      <c r="S296" s="37" t="str">
        <f t="shared" si="105"/>
        <v/>
      </c>
      <c r="T296" s="38" t="str">
        <f t="shared" si="106"/>
        <v/>
      </c>
      <c r="U296" s="39" t="str">
        <f t="shared" si="107"/>
        <v/>
      </c>
      <c r="V296" s="40" t="str">
        <f t="shared" si="108"/>
        <v/>
      </c>
      <c r="W296" s="39" t="str">
        <f t="shared" si="109"/>
        <v/>
      </c>
      <c r="X296" s="34" t="str">
        <f t="shared" si="110"/>
        <v/>
      </c>
      <c r="Y296" s="41" t="str">
        <f t="shared" si="116"/>
        <v/>
      </c>
      <c r="Z296" s="98" t="str">
        <f t="shared" si="111"/>
        <v/>
      </c>
      <c r="AA296" s="81" t="str">
        <f t="shared" si="117"/>
        <v/>
      </c>
      <c r="AC296" s="139"/>
      <c r="AD296" s="110" t="str">
        <f t="shared" si="118"/>
        <v/>
      </c>
      <c r="AE296" s="111" t="str">
        <f t="shared" si="119"/>
        <v/>
      </c>
      <c r="AF296" s="111" t="str">
        <f t="shared" si="112"/>
        <v/>
      </c>
      <c r="AG296" s="111" t="str">
        <f t="shared" si="120"/>
        <v/>
      </c>
      <c r="AH296" s="111" t="str">
        <f t="shared" si="121"/>
        <v/>
      </c>
      <c r="AI296" s="112" t="str">
        <f t="shared" si="122"/>
        <v/>
      </c>
      <c r="AJ296" t="str">
        <f t="shared" si="123"/>
        <v/>
      </c>
      <c r="AK296" t="str">
        <f t="shared" si="124"/>
        <v/>
      </c>
    </row>
    <row r="297" spans="1:37" ht="15" customHeight="1" x14ac:dyDescent="0.25">
      <c r="A297" s="114"/>
      <c r="B297" s="116"/>
      <c r="C297" s="116"/>
      <c r="D297" s="42" t="str">
        <f t="shared" si="100"/>
        <v/>
      </c>
      <c r="E297" s="43"/>
      <c r="F297" s="83"/>
      <c r="G297" s="118"/>
      <c r="H297" s="34" t="str">
        <f t="shared" si="101"/>
        <v/>
      </c>
      <c r="I297" s="88" t="str">
        <f t="shared" si="102"/>
        <v/>
      </c>
      <c r="J297" s="44" t="str">
        <f t="shared" si="103"/>
        <v/>
      </c>
      <c r="K297" s="118"/>
      <c r="L297" s="34" t="str">
        <f t="shared" si="104"/>
        <v/>
      </c>
      <c r="M297" s="118"/>
      <c r="N297" s="121"/>
      <c r="O297" s="122" t="str">
        <f t="shared" si="113"/>
        <v/>
      </c>
      <c r="P297" s="35" t="str">
        <f t="shared" si="114"/>
        <v/>
      </c>
      <c r="Q297" s="124"/>
      <c r="R297" s="36" t="str">
        <f t="shared" si="115"/>
        <v/>
      </c>
      <c r="S297" s="37" t="str">
        <f t="shared" si="105"/>
        <v/>
      </c>
      <c r="T297" s="38" t="str">
        <f t="shared" si="106"/>
        <v/>
      </c>
      <c r="U297" s="39" t="str">
        <f t="shared" si="107"/>
        <v/>
      </c>
      <c r="V297" s="40" t="str">
        <f t="shared" si="108"/>
        <v/>
      </c>
      <c r="W297" s="39" t="str">
        <f t="shared" si="109"/>
        <v/>
      </c>
      <c r="X297" s="34" t="str">
        <f t="shared" si="110"/>
        <v/>
      </c>
      <c r="Y297" s="41" t="str">
        <f t="shared" si="116"/>
        <v/>
      </c>
      <c r="Z297" s="98" t="str">
        <f t="shared" si="111"/>
        <v/>
      </c>
      <c r="AA297" s="81" t="str">
        <f t="shared" si="117"/>
        <v/>
      </c>
      <c r="AC297" s="139"/>
      <c r="AD297" s="110" t="str">
        <f t="shared" si="118"/>
        <v/>
      </c>
      <c r="AE297" s="111" t="str">
        <f t="shared" si="119"/>
        <v/>
      </c>
      <c r="AF297" s="111" t="str">
        <f t="shared" si="112"/>
        <v/>
      </c>
      <c r="AG297" s="111" t="str">
        <f t="shared" si="120"/>
        <v/>
      </c>
      <c r="AH297" s="111" t="str">
        <f t="shared" si="121"/>
        <v/>
      </c>
      <c r="AI297" s="112" t="str">
        <f t="shared" si="122"/>
        <v/>
      </c>
      <c r="AJ297" t="str">
        <f t="shared" si="123"/>
        <v/>
      </c>
      <c r="AK297" t="str">
        <f t="shared" si="124"/>
        <v/>
      </c>
    </row>
    <row r="298" spans="1:37" ht="15" customHeight="1" x14ac:dyDescent="0.25">
      <c r="A298" s="114"/>
      <c r="B298" s="116"/>
      <c r="C298" s="116"/>
      <c r="D298" s="42" t="str">
        <f t="shared" si="100"/>
        <v/>
      </c>
      <c r="E298" s="43"/>
      <c r="F298" s="83"/>
      <c r="G298" s="118"/>
      <c r="H298" s="34" t="str">
        <f t="shared" si="101"/>
        <v/>
      </c>
      <c r="I298" s="88" t="str">
        <f t="shared" si="102"/>
        <v/>
      </c>
      <c r="J298" s="44" t="str">
        <f t="shared" si="103"/>
        <v/>
      </c>
      <c r="K298" s="118"/>
      <c r="L298" s="34" t="str">
        <f t="shared" si="104"/>
        <v/>
      </c>
      <c r="M298" s="118"/>
      <c r="N298" s="121"/>
      <c r="O298" s="122" t="str">
        <f t="shared" si="113"/>
        <v/>
      </c>
      <c r="P298" s="35" t="str">
        <f t="shared" si="114"/>
        <v/>
      </c>
      <c r="Q298" s="124"/>
      <c r="R298" s="36" t="str">
        <f t="shared" si="115"/>
        <v/>
      </c>
      <c r="S298" s="37" t="str">
        <f t="shared" si="105"/>
        <v/>
      </c>
      <c r="T298" s="38" t="str">
        <f t="shared" si="106"/>
        <v/>
      </c>
      <c r="U298" s="39" t="str">
        <f t="shared" si="107"/>
        <v/>
      </c>
      <c r="V298" s="40" t="str">
        <f t="shared" si="108"/>
        <v/>
      </c>
      <c r="W298" s="39" t="str">
        <f t="shared" si="109"/>
        <v/>
      </c>
      <c r="X298" s="34" t="str">
        <f t="shared" si="110"/>
        <v/>
      </c>
      <c r="Y298" s="41" t="str">
        <f t="shared" si="116"/>
        <v/>
      </c>
      <c r="Z298" s="98" t="str">
        <f t="shared" si="111"/>
        <v/>
      </c>
      <c r="AA298" s="81" t="str">
        <f t="shared" si="117"/>
        <v/>
      </c>
      <c r="AC298" s="139"/>
      <c r="AD298" s="110" t="str">
        <f t="shared" si="118"/>
        <v/>
      </c>
      <c r="AE298" s="111" t="str">
        <f t="shared" si="119"/>
        <v/>
      </c>
      <c r="AF298" s="111" t="str">
        <f t="shared" si="112"/>
        <v/>
      </c>
      <c r="AG298" s="111" t="str">
        <f t="shared" si="120"/>
        <v/>
      </c>
      <c r="AH298" s="111" t="str">
        <f t="shared" si="121"/>
        <v/>
      </c>
      <c r="AI298" s="112" t="str">
        <f t="shared" si="122"/>
        <v/>
      </c>
      <c r="AJ298" t="str">
        <f t="shared" si="123"/>
        <v/>
      </c>
      <c r="AK298" t="str">
        <f t="shared" si="124"/>
        <v/>
      </c>
    </row>
    <row r="299" spans="1:37" ht="15" customHeight="1" x14ac:dyDescent="0.25">
      <c r="A299" s="114"/>
      <c r="B299" s="116"/>
      <c r="C299" s="116"/>
      <c r="D299" s="42" t="str">
        <f t="shared" si="100"/>
        <v/>
      </c>
      <c r="E299" s="43"/>
      <c r="F299" s="83"/>
      <c r="G299" s="118"/>
      <c r="H299" s="34" t="str">
        <f t="shared" si="101"/>
        <v/>
      </c>
      <c r="I299" s="88" t="str">
        <f t="shared" si="102"/>
        <v/>
      </c>
      <c r="J299" s="44" t="str">
        <f t="shared" si="103"/>
        <v/>
      </c>
      <c r="K299" s="118"/>
      <c r="L299" s="34" t="str">
        <f t="shared" si="104"/>
        <v/>
      </c>
      <c r="M299" s="118"/>
      <c r="N299" s="121"/>
      <c r="O299" s="122" t="str">
        <f t="shared" si="113"/>
        <v/>
      </c>
      <c r="P299" s="35" t="str">
        <f t="shared" si="114"/>
        <v/>
      </c>
      <c r="Q299" s="124"/>
      <c r="R299" s="36" t="str">
        <f t="shared" si="115"/>
        <v/>
      </c>
      <c r="S299" s="37" t="str">
        <f t="shared" si="105"/>
        <v/>
      </c>
      <c r="T299" s="38" t="str">
        <f t="shared" si="106"/>
        <v/>
      </c>
      <c r="U299" s="39" t="str">
        <f t="shared" si="107"/>
        <v/>
      </c>
      <c r="V299" s="40" t="str">
        <f t="shared" si="108"/>
        <v/>
      </c>
      <c r="W299" s="39" t="str">
        <f t="shared" si="109"/>
        <v/>
      </c>
      <c r="X299" s="34" t="str">
        <f t="shared" si="110"/>
        <v/>
      </c>
      <c r="Y299" s="41" t="str">
        <f t="shared" si="116"/>
        <v/>
      </c>
      <c r="Z299" s="98" t="str">
        <f t="shared" si="111"/>
        <v/>
      </c>
      <c r="AA299" s="81" t="str">
        <f t="shared" si="117"/>
        <v/>
      </c>
      <c r="AC299" s="139"/>
      <c r="AD299" s="110" t="str">
        <f t="shared" si="118"/>
        <v/>
      </c>
      <c r="AE299" s="111" t="str">
        <f t="shared" si="119"/>
        <v/>
      </c>
      <c r="AF299" s="111" t="str">
        <f t="shared" si="112"/>
        <v/>
      </c>
      <c r="AG299" s="111" t="str">
        <f t="shared" si="120"/>
        <v/>
      </c>
      <c r="AH299" s="111" t="str">
        <f t="shared" si="121"/>
        <v/>
      </c>
      <c r="AI299" s="112" t="str">
        <f t="shared" si="122"/>
        <v/>
      </c>
      <c r="AJ299" t="str">
        <f t="shared" si="123"/>
        <v/>
      </c>
      <c r="AK299" t="str">
        <f t="shared" si="124"/>
        <v/>
      </c>
    </row>
    <row r="300" spans="1:37" ht="15" customHeight="1" x14ac:dyDescent="0.25">
      <c r="A300" s="114"/>
      <c r="B300" s="116"/>
      <c r="C300" s="116"/>
      <c r="D300" s="42" t="str">
        <f t="shared" si="100"/>
        <v/>
      </c>
      <c r="E300" s="43"/>
      <c r="F300" s="83"/>
      <c r="G300" s="118"/>
      <c r="H300" s="34" t="str">
        <f t="shared" si="101"/>
        <v/>
      </c>
      <c r="I300" s="88" t="str">
        <f t="shared" si="102"/>
        <v/>
      </c>
      <c r="J300" s="44" t="str">
        <f t="shared" si="103"/>
        <v/>
      </c>
      <c r="K300" s="118"/>
      <c r="L300" s="34" t="str">
        <f t="shared" si="104"/>
        <v/>
      </c>
      <c r="M300" s="118"/>
      <c r="N300" s="121"/>
      <c r="O300" s="122" t="str">
        <f t="shared" si="113"/>
        <v/>
      </c>
      <c r="P300" s="35" t="str">
        <f t="shared" si="114"/>
        <v/>
      </c>
      <c r="Q300" s="124"/>
      <c r="R300" s="36" t="str">
        <f t="shared" si="115"/>
        <v/>
      </c>
      <c r="S300" s="37" t="str">
        <f t="shared" si="105"/>
        <v/>
      </c>
      <c r="T300" s="38" t="str">
        <f t="shared" si="106"/>
        <v/>
      </c>
      <c r="U300" s="39" t="str">
        <f t="shared" si="107"/>
        <v/>
      </c>
      <c r="V300" s="40" t="str">
        <f t="shared" si="108"/>
        <v/>
      </c>
      <c r="W300" s="39" t="str">
        <f t="shared" si="109"/>
        <v/>
      </c>
      <c r="X300" s="34" t="str">
        <f t="shared" si="110"/>
        <v/>
      </c>
      <c r="Y300" s="41" t="str">
        <f t="shared" si="116"/>
        <v/>
      </c>
      <c r="Z300" s="98" t="str">
        <f t="shared" si="111"/>
        <v/>
      </c>
      <c r="AA300" s="81" t="str">
        <f t="shared" si="117"/>
        <v/>
      </c>
      <c r="AC300" s="139"/>
      <c r="AD300" s="110" t="str">
        <f t="shared" si="118"/>
        <v/>
      </c>
      <c r="AE300" s="111" t="str">
        <f t="shared" si="119"/>
        <v/>
      </c>
      <c r="AF300" s="111" t="str">
        <f t="shared" si="112"/>
        <v/>
      </c>
      <c r="AG300" s="111" t="str">
        <f t="shared" si="120"/>
        <v/>
      </c>
      <c r="AH300" s="111" t="str">
        <f t="shared" si="121"/>
        <v/>
      </c>
      <c r="AI300" s="112" t="str">
        <f t="shared" si="122"/>
        <v/>
      </c>
      <c r="AJ300" t="str">
        <f t="shared" si="123"/>
        <v/>
      </c>
      <c r="AK300" t="str">
        <f t="shared" si="124"/>
        <v/>
      </c>
    </row>
    <row r="301" spans="1:37" ht="15" customHeight="1" x14ac:dyDescent="0.25">
      <c r="A301" s="114"/>
      <c r="B301" s="116"/>
      <c r="C301" s="116"/>
      <c r="D301" s="42" t="str">
        <f t="shared" si="100"/>
        <v/>
      </c>
      <c r="E301" s="43"/>
      <c r="F301" s="83"/>
      <c r="G301" s="118"/>
      <c r="H301" s="34" t="str">
        <f t="shared" si="101"/>
        <v/>
      </c>
      <c r="I301" s="88" t="str">
        <f t="shared" si="102"/>
        <v/>
      </c>
      <c r="J301" s="44" t="str">
        <f t="shared" si="103"/>
        <v/>
      </c>
      <c r="K301" s="118"/>
      <c r="L301" s="34" t="str">
        <f t="shared" si="104"/>
        <v/>
      </c>
      <c r="M301" s="118"/>
      <c r="N301" s="121"/>
      <c r="O301" s="122" t="str">
        <f t="shared" si="113"/>
        <v/>
      </c>
      <c r="P301" s="35" t="str">
        <f t="shared" si="114"/>
        <v/>
      </c>
      <c r="Q301" s="124"/>
      <c r="R301" s="36" t="str">
        <f t="shared" si="115"/>
        <v/>
      </c>
      <c r="S301" s="37" t="str">
        <f t="shared" si="105"/>
        <v/>
      </c>
      <c r="T301" s="38" t="str">
        <f t="shared" si="106"/>
        <v/>
      </c>
      <c r="U301" s="39" t="str">
        <f t="shared" si="107"/>
        <v/>
      </c>
      <c r="V301" s="40" t="str">
        <f t="shared" si="108"/>
        <v/>
      </c>
      <c r="W301" s="39" t="str">
        <f t="shared" si="109"/>
        <v/>
      </c>
      <c r="X301" s="34" t="str">
        <f t="shared" si="110"/>
        <v/>
      </c>
      <c r="Y301" s="41" t="str">
        <f t="shared" si="116"/>
        <v/>
      </c>
      <c r="Z301" s="98" t="str">
        <f t="shared" si="111"/>
        <v/>
      </c>
      <c r="AA301" s="81" t="str">
        <f t="shared" si="117"/>
        <v/>
      </c>
      <c r="AC301" s="139"/>
      <c r="AD301" s="110" t="str">
        <f t="shared" si="118"/>
        <v/>
      </c>
      <c r="AE301" s="111" t="str">
        <f t="shared" si="119"/>
        <v/>
      </c>
      <c r="AF301" s="111" t="str">
        <f t="shared" si="112"/>
        <v/>
      </c>
      <c r="AG301" s="111" t="str">
        <f t="shared" si="120"/>
        <v/>
      </c>
      <c r="AH301" s="111" t="str">
        <f t="shared" si="121"/>
        <v/>
      </c>
      <c r="AI301" s="112" t="str">
        <f t="shared" si="122"/>
        <v/>
      </c>
      <c r="AJ301" t="str">
        <f t="shared" si="123"/>
        <v/>
      </c>
      <c r="AK301" t="str">
        <f t="shared" si="124"/>
        <v/>
      </c>
    </row>
    <row r="302" spans="1:37" ht="15" customHeight="1" x14ac:dyDescent="0.25">
      <c r="A302" s="114"/>
      <c r="B302" s="116"/>
      <c r="C302" s="116"/>
      <c r="D302" s="42" t="str">
        <f t="shared" si="100"/>
        <v/>
      </c>
      <c r="E302" s="43"/>
      <c r="F302" s="83"/>
      <c r="G302" s="118"/>
      <c r="H302" s="34" t="str">
        <f t="shared" si="101"/>
        <v/>
      </c>
      <c r="I302" s="88" t="str">
        <f t="shared" si="102"/>
        <v/>
      </c>
      <c r="J302" s="44" t="str">
        <f t="shared" si="103"/>
        <v/>
      </c>
      <c r="K302" s="118"/>
      <c r="L302" s="34" t="str">
        <f t="shared" si="104"/>
        <v/>
      </c>
      <c r="M302" s="118"/>
      <c r="N302" s="121"/>
      <c r="O302" s="122" t="str">
        <f t="shared" si="113"/>
        <v/>
      </c>
      <c r="P302" s="35" t="str">
        <f t="shared" si="114"/>
        <v/>
      </c>
      <c r="Q302" s="124"/>
      <c r="R302" s="36" t="str">
        <f t="shared" si="115"/>
        <v/>
      </c>
      <c r="S302" s="37" t="str">
        <f t="shared" si="105"/>
        <v/>
      </c>
      <c r="T302" s="38" t="str">
        <f t="shared" si="106"/>
        <v/>
      </c>
      <c r="U302" s="39" t="str">
        <f t="shared" si="107"/>
        <v/>
      </c>
      <c r="V302" s="40" t="str">
        <f t="shared" si="108"/>
        <v/>
      </c>
      <c r="W302" s="39" t="str">
        <f t="shared" si="109"/>
        <v/>
      </c>
      <c r="X302" s="34" t="str">
        <f t="shared" si="110"/>
        <v/>
      </c>
      <c r="Y302" s="41" t="str">
        <f t="shared" si="116"/>
        <v/>
      </c>
      <c r="Z302" s="98" t="str">
        <f t="shared" si="111"/>
        <v/>
      </c>
      <c r="AA302" s="81" t="str">
        <f t="shared" si="117"/>
        <v/>
      </c>
      <c r="AC302" s="139"/>
      <c r="AD302" s="110" t="str">
        <f t="shared" si="118"/>
        <v/>
      </c>
      <c r="AE302" s="111" t="str">
        <f t="shared" si="119"/>
        <v/>
      </c>
      <c r="AF302" s="111" t="str">
        <f t="shared" si="112"/>
        <v/>
      </c>
      <c r="AG302" s="111" t="str">
        <f t="shared" si="120"/>
        <v/>
      </c>
      <c r="AH302" s="111" t="str">
        <f t="shared" si="121"/>
        <v/>
      </c>
      <c r="AI302" s="112" t="str">
        <f t="shared" si="122"/>
        <v/>
      </c>
      <c r="AJ302" t="str">
        <f t="shared" si="123"/>
        <v/>
      </c>
      <c r="AK302" t="str">
        <f t="shared" si="124"/>
        <v/>
      </c>
    </row>
    <row r="303" spans="1:37" ht="15" customHeight="1" x14ac:dyDescent="0.25">
      <c r="A303" s="114"/>
      <c r="B303" s="116"/>
      <c r="C303" s="116"/>
      <c r="D303" s="42" t="str">
        <f t="shared" si="100"/>
        <v/>
      </c>
      <c r="E303" s="43"/>
      <c r="F303" s="83"/>
      <c r="G303" s="118"/>
      <c r="H303" s="34" t="str">
        <f t="shared" si="101"/>
        <v/>
      </c>
      <c r="I303" s="88" t="str">
        <f t="shared" si="102"/>
        <v/>
      </c>
      <c r="J303" s="44" t="str">
        <f t="shared" si="103"/>
        <v/>
      </c>
      <c r="K303" s="118"/>
      <c r="L303" s="34" t="str">
        <f t="shared" si="104"/>
        <v/>
      </c>
      <c r="M303" s="118"/>
      <c r="N303" s="121"/>
      <c r="O303" s="122" t="str">
        <f t="shared" si="113"/>
        <v/>
      </c>
      <c r="P303" s="35" t="str">
        <f t="shared" si="114"/>
        <v/>
      </c>
      <c r="Q303" s="124"/>
      <c r="R303" s="36" t="str">
        <f t="shared" si="115"/>
        <v/>
      </c>
      <c r="S303" s="37" t="str">
        <f t="shared" si="105"/>
        <v/>
      </c>
      <c r="T303" s="38" t="str">
        <f t="shared" si="106"/>
        <v/>
      </c>
      <c r="U303" s="39" t="str">
        <f t="shared" si="107"/>
        <v/>
      </c>
      <c r="V303" s="40" t="str">
        <f t="shared" si="108"/>
        <v/>
      </c>
      <c r="W303" s="39" t="str">
        <f t="shared" si="109"/>
        <v/>
      </c>
      <c r="X303" s="34" t="str">
        <f t="shared" si="110"/>
        <v/>
      </c>
      <c r="Y303" s="41" t="str">
        <f t="shared" si="116"/>
        <v/>
      </c>
      <c r="Z303" s="98" t="str">
        <f t="shared" si="111"/>
        <v/>
      </c>
      <c r="AA303" s="81" t="str">
        <f t="shared" si="117"/>
        <v/>
      </c>
      <c r="AC303" s="139"/>
      <c r="AD303" s="110" t="str">
        <f t="shared" si="118"/>
        <v/>
      </c>
      <c r="AE303" s="111" t="str">
        <f t="shared" si="119"/>
        <v/>
      </c>
      <c r="AF303" s="111" t="str">
        <f t="shared" si="112"/>
        <v/>
      </c>
      <c r="AG303" s="111" t="str">
        <f t="shared" si="120"/>
        <v/>
      </c>
      <c r="AH303" s="111" t="str">
        <f t="shared" si="121"/>
        <v/>
      </c>
      <c r="AI303" s="112" t="str">
        <f t="shared" si="122"/>
        <v/>
      </c>
      <c r="AJ303" t="str">
        <f t="shared" si="123"/>
        <v/>
      </c>
      <c r="AK303" t="str">
        <f t="shared" si="124"/>
        <v/>
      </c>
    </row>
    <row r="304" spans="1:37" ht="15" customHeight="1" x14ac:dyDescent="0.25">
      <c r="A304" s="114"/>
      <c r="B304" s="116"/>
      <c r="C304" s="116"/>
      <c r="D304" s="42" t="str">
        <f t="shared" si="100"/>
        <v/>
      </c>
      <c r="E304" s="43"/>
      <c r="F304" s="83"/>
      <c r="G304" s="118"/>
      <c r="H304" s="34" t="str">
        <f t="shared" si="101"/>
        <v/>
      </c>
      <c r="I304" s="88" t="str">
        <f t="shared" si="102"/>
        <v/>
      </c>
      <c r="J304" s="44" t="str">
        <f t="shared" si="103"/>
        <v/>
      </c>
      <c r="K304" s="118"/>
      <c r="L304" s="34" t="str">
        <f t="shared" si="104"/>
        <v/>
      </c>
      <c r="M304" s="118"/>
      <c r="N304" s="121"/>
      <c r="O304" s="122" t="str">
        <f t="shared" si="113"/>
        <v/>
      </c>
      <c r="P304" s="35" t="str">
        <f t="shared" si="114"/>
        <v/>
      </c>
      <c r="Q304" s="124"/>
      <c r="R304" s="36" t="str">
        <f t="shared" si="115"/>
        <v/>
      </c>
      <c r="S304" s="37" t="str">
        <f t="shared" si="105"/>
        <v/>
      </c>
      <c r="T304" s="38" t="str">
        <f t="shared" si="106"/>
        <v/>
      </c>
      <c r="U304" s="39" t="str">
        <f t="shared" si="107"/>
        <v/>
      </c>
      <c r="V304" s="40" t="str">
        <f t="shared" si="108"/>
        <v/>
      </c>
      <c r="W304" s="39" t="str">
        <f t="shared" si="109"/>
        <v/>
      </c>
      <c r="X304" s="34" t="str">
        <f t="shared" si="110"/>
        <v/>
      </c>
      <c r="Y304" s="41" t="str">
        <f t="shared" si="116"/>
        <v/>
      </c>
      <c r="Z304" s="98" t="str">
        <f t="shared" si="111"/>
        <v/>
      </c>
      <c r="AA304" s="81" t="str">
        <f t="shared" si="117"/>
        <v/>
      </c>
      <c r="AC304" s="139"/>
      <c r="AD304" s="110" t="str">
        <f t="shared" si="118"/>
        <v/>
      </c>
      <c r="AE304" s="111" t="str">
        <f t="shared" si="119"/>
        <v/>
      </c>
      <c r="AF304" s="111" t="str">
        <f t="shared" si="112"/>
        <v/>
      </c>
      <c r="AG304" s="111" t="str">
        <f t="shared" si="120"/>
        <v/>
      </c>
      <c r="AH304" s="111" t="str">
        <f t="shared" si="121"/>
        <v/>
      </c>
      <c r="AI304" s="112" t="str">
        <f t="shared" si="122"/>
        <v/>
      </c>
      <c r="AJ304" t="str">
        <f t="shared" si="123"/>
        <v/>
      </c>
      <c r="AK304" t="str">
        <f t="shared" si="124"/>
        <v/>
      </c>
    </row>
    <row r="305" spans="1:37" ht="15" customHeight="1" x14ac:dyDescent="0.25">
      <c r="A305" s="114"/>
      <c r="B305" s="116"/>
      <c r="C305" s="116"/>
      <c r="D305" s="42" t="str">
        <f t="shared" si="100"/>
        <v/>
      </c>
      <c r="E305" s="43"/>
      <c r="F305" s="83"/>
      <c r="G305" s="118"/>
      <c r="H305" s="34" t="str">
        <f t="shared" si="101"/>
        <v/>
      </c>
      <c r="I305" s="88" t="str">
        <f t="shared" si="102"/>
        <v/>
      </c>
      <c r="J305" s="44" t="str">
        <f t="shared" si="103"/>
        <v/>
      </c>
      <c r="K305" s="118"/>
      <c r="L305" s="34" t="str">
        <f t="shared" si="104"/>
        <v/>
      </c>
      <c r="M305" s="118"/>
      <c r="N305" s="121"/>
      <c r="O305" s="122" t="str">
        <f t="shared" si="113"/>
        <v/>
      </c>
      <c r="P305" s="35" t="str">
        <f t="shared" si="114"/>
        <v/>
      </c>
      <c r="Q305" s="124"/>
      <c r="R305" s="36" t="str">
        <f t="shared" si="115"/>
        <v/>
      </c>
      <c r="S305" s="37" t="str">
        <f t="shared" si="105"/>
        <v/>
      </c>
      <c r="T305" s="38" t="str">
        <f t="shared" si="106"/>
        <v/>
      </c>
      <c r="U305" s="39" t="str">
        <f t="shared" si="107"/>
        <v/>
      </c>
      <c r="V305" s="40" t="str">
        <f t="shared" si="108"/>
        <v/>
      </c>
      <c r="W305" s="39" t="str">
        <f t="shared" si="109"/>
        <v/>
      </c>
      <c r="X305" s="34" t="str">
        <f t="shared" si="110"/>
        <v/>
      </c>
      <c r="Y305" s="41" t="str">
        <f t="shared" si="116"/>
        <v/>
      </c>
      <c r="Z305" s="98" t="str">
        <f t="shared" si="111"/>
        <v/>
      </c>
      <c r="AA305" s="81" t="str">
        <f t="shared" si="117"/>
        <v/>
      </c>
      <c r="AC305" s="139"/>
      <c r="AD305" s="110" t="str">
        <f t="shared" si="118"/>
        <v/>
      </c>
      <c r="AE305" s="111" t="str">
        <f t="shared" si="119"/>
        <v/>
      </c>
      <c r="AF305" s="111" t="str">
        <f t="shared" si="112"/>
        <v/>
      </c>
      <c r="AG305" s="111" t="str">
        <f t="shared" si="120"/>
        <v/>
      </c>
      <c r="AH305" s="111" t="str">
        <f t="shared" si="121"/>
        <v/>
      </c>
      <c r="AI305" s="112" t="str">
        <f t="shared" si="122"/>
        <v/>
      </c>
      <c r="AJ305" t="str">
        <f t="shared" si="123"/>
        <v/>
      </c>
      <c r="AK305" t="str">
        <f t="shared" si="124"/>
        <v/>
      </c>
    </row>
    <row r="306" spans="1:37" ht="15" customHeight="1" x14ac:dyDescent="0.25">
      <c r="A306" s="114"/>
      <c r="B306" s="116"/>
      <c r="C306" s="116"/>
      <c r="D306" s="42" t="str">
        <f t="shared" si="100"/>
        <v/>
      </c>
      <c r="E306" s="43"/>
      <c r="F306" s="83"/>
      <c r="G306" s="118"/>
      <c r="H306" s="34" t="str">
        <f t="shared" si="101"/>
        <v/>
      </c>
      <c r="I306" s="88" t="str">
        <f t="shared" si="102"/>
        <v/>
      </c>
      <c r="J306" s="44" t="str">
        <f t="shared" si="103"/>
        <v/>
      </c>
      <c r="K306" s="118"/>
      <c r="L306" s="34" t="str">
        <f t="shared" si="104"/>
        <v/>
      </c>
      <c r="M306" s="118"/>
      <c r="N306" s="121"/>
      <c r="O306" s="122" t="str">
        <f t="shared" si="113"/>
        <v/>
      </c>
      <c r="P306" s="35" t="str">
        <f t="shared" si="114"/>
        <v/>
      </c>
      <c r="Q306" s="124"/>
      <c r="R306" s="36" t="str">
        <f t="shared" si="115"/>
        <v/>
      </c>
      <c r="S306" s="37" t="str">
        <f t="shared" si="105"/>
        <v/>
      </c>
      <c r="T306" s="38" t="str">
        <f t="shared" si="106"/>
        <v/>
      </c>
      <c r="U306" s="39" t="str">
        <f t="shared" si="107"/>
        <v/>
      </c>
      <c r="V306" s="40" t="str">
        <f t="shared" si="108"/>
        <v/>
      </c>
      <c r="W306" s="39" t="str">
        <f t="shared" si="109"/>
        <v/>
      </c>
      <c r="X306" s="34" t="str">
        <f t="shared" si="110"/>
        <v/>
      </c>
      <c r="Y306" s="41" t="str">
        <f t="shared" si="116"/>
        <v/>
      </c>
      <c r="Z306" s="98" t="str">
        <f t="shared" si="111"/>
        <v/>
      </c>
      <c r="AA306" s="81" t="str">
        <f t="shared" si="117"/>
        <v/>
      </c>
      <c r="AC306" s="139"/>
      <c r="AD306" s="110" t="str">
        <f t="shared" si="118"/>
        <v/>
      </c>
      <c r="AE306" s="111" t="str">
        <f t="shared" si="119"/>
        <v/>
      </c>
      <c r="AF306" s="111" t="str">
        <f t="shared" si="112"/>
        <v/>
      </c>
      <c r="AG306" s="111" t="str">
        <f t="shared" si="120"/>
        <v/>
      </c>
      <c r="AH306" s="111" t="str">
        <f t="shared" si="121"/>
        <v/>
      </c>
      <c r="AI306" s="112" t="str">
        <f t="shared" si="122"/>
        <v/>
      </c>
      <c r="AJ306" t="str">
        <f t="shared" si="123"/>
        <v/>
      </c>
      <c r="AK306" t="str">
        <f t="shared" si="124"/>
        <v/>
      </c>
    </row>
    <row r="307" spans="1:37" ht="15" customHeight="1" x14ac:dyDescent="0.25">
      <c r="A307" s="114"/>
      <c r="B307" s="116"/>
      <c r="C307" s="116"/>
      <c r="D307" s="42" t="str">
        <f t="shared" si="100"/>
        <v/>
      </c>
      <c r="E307" s="43"/>
      <c r="F307" s="83"/>
      <c r="G307" s="118"/>
      <c r="H307" s="34" t="str">
        <f t="shared" si="101"/>
        <v/>
      </c>
      <c r="I307" s="88" t="str">
        <f t="shared" si="102"/>
        <v/>
      </c>
      <c r="J307" s="44" t="str">
        <f t="shared" si="103"/>
        <v/>
      </c>
      <c r="K307" s="118"/>
      <c r="L307" s="34" t="str">
        <f t="shared" si="104"/>
        <v/>
      </c>
      <c r="M307" s="118"/>
      <c r="N307" s="121"/>
      <c r="O307" s="122" t="str">
        <f t="shared" si="113"/>
        <v/>
      </c>
      <c r="P307" s="35" t="str">
        <f t="shared" si="114"/>
        <v/>
      </c>
      <c r="Q307" s="124"/>
      <c r="R307" s="36" t="str">
        <f t="shared" si="115"/>
        <v/>
      </c>
      <c r="S307" s="37" t="str">
        <f t="shared" si="105"/>
        <v/>
      </c>
      <c r="T307" s="38" t="str">
        <f t="shared" si="106"/>
        <v/>
      </c>
      <c r="U307" s="39" t="str">
        <f t="shared" si="107"/>
        <v/>
      </c>
      <c r="V307" s="40" t="str">
        <f t="shared" si="108"/>
        <v/>
      </c>
      <c r="W307" s="39" t="str">
        <f t="shared" si="109"/>
        <v/>
      </c>
      <c r="X307" s="34" t="str">
        <f t="shared" si="110"/>
        <v/>
      </c>
      <c r="Y307" s="41" t="str">
        <f t="shared" si="116"/>
        <v/>
      </c>
      <c r="Z307" s="98" t="str">
        <f t="shared" si="111"/>
        <v/>
      </c>
      <c r="AA307" s="81" t="str">
        <f t="shared" si="117"/>
        <v/>
      </c>
      <c r="AC307" s="139"/>
      <c r="AD307" s="110" t="str">
        <f t="shared" si="118"/>
        <v/>
      </c>
      <c r="AE307" s="111" t="str">
        <f t="shared" si="119"/>
        <v/>
      </c>
      <c r="AF307" s="111" t="str">
        <f t="shared" si="112"/>
        <v/>
      </c>
      <c r="AG307" s="111" t="str">
        <f t="shared" si="120"/>
        <v/>
      </c>
      <c r="AH307" s="111" t="str">
        <f t="shared" si="121"/>
        <v/>
      </c>
      <c r="AI307" s="112" t="str">
        <f t="shared" si="122"/>
        <v/>
      </c>
      <c r="AJ307" t="str">
        <f t="shared" si="123"/>
        <v/>
      </c>
      <c r="AK307" t="str">
        <f t="shared" si="124"/>
        <v/>
      </c>
    </row>
    <row r="308" spans="1:37" ht="15" customHeight="1" x14ac:dyDescent="0.25">
      <c r="A308" s="114"/>
      <c r="B308" s="116"/>
      <c r="C308" s="116"/>
      <c r="D308" s="42" t="str">
        <f t="shared" si="100"/>
        <v/>
      </c>
      <c r="E308" s="43"/>
      <c r="F308" s="83"/>
      <c r="G308" s="118"/>
      <c r="H308" s="34" t="str">
        <f t="shared" si="101"/>
        <v/>
      </c>
      <c r="I308" s="88" t="str">
        <f t="shared" si="102"/>
        <v/>
      </c>
      <c r="J308" s="44" t="str">
        <f t="shared" si="103"/>
        <v/>
      </c>
      <c r="K308" s="118"/>
      <c r="L308" s="34" t="str">
        <f t="shared" si="104"/>
        <v/>
      </c>
      <c r="M308" s="118"/>
      <c r="N308" s="121"/>
      <c r="O308" s="122" t="str">
        <f t="shared" si="113"/>
        <v/>
      </c>
      <c r="P308" s="35" t="str">
        <f t="shared" si="114"/>
        <v/>
      </c>
      <c r="Q308" s="124"/>
      <c r="R308" s="36" t="str">
        <f t="shared" si="115"/>
        <v/>
      </c>
      <c r="S308" s="37" t="str">
        <f t="shared" si="105"/>
        <v/>
      </c>
      <c r="T308" s="38" t="str">
        <f t="shared" si="106"/>
        <v/>
      </c>
      <c r="U308" s="39" t="str">
        <f t="shared" si="107"/>
        <v/>
      </c>
      <c r="V308" s="40" t="str">
        <f t="shared" si="108"/>
        <v/>
      </c>
      <c r="W308" s="39" t="str">
        <f t="shared" si="109"/>
        <v/>
      </c>
      <c r="X308" s="34" t="str">
        <f t="shared" si="110"/>
        <v/>
      </c>
      <c r="Y308" s="41" t="str">
        <f t="shared" si="116"/>
        <v/>
      </c>
      <c r="Z308" s="98" t="str">
        <f t="shared" si="111"/>
        <v/>
      </c>
      <c r="AA308" s="81" t="str">
        <f t="shared" si="117"/>
        <v/>
      </c>
      <c r="AC308" s="139"/>
      <c r="AD308" s="110" t="str">
        <f t="shared" si="118"/>
        <v/>
      </c>
      <c r="AE308" s="111" t="str">
        <f t="shared" si="119"/>
        <v/>
      </c>
      <c r="AF308" s="111" t="str">
        <f t="shared" si="112"/>
        <v/>
      </c>
      <c r="AG308" s="111" t="str">
        <f t="shared" si="120"/>
        <v/>
      </c>
      <c r="AH308" s="111" t="str">
        <f t="shared" si="121"/>
        <v/>
      </c>
      <c r="AI308" s="112" t="str">
        <f t="shared" si="122"/>
        <v/>
      </c>
      <c r="AJ308" t="str">
        <f t="shared" si="123"/>
        <v/>
      </c>
      <c r="AK308" t="str">
        <f t="shared" si="124"/>
        <v/>
      </c>
    </row>
    <row r="309" spans="1:37" ht="15" customHeight="1" x14ac:dyDescent="0.25">
      <c r="A309" s="114"/>
      <c r="B309" s="116"/>
      <c r="C309" s="116"/>
      <c r="D309" s="42" t="str">
        <f t="shared" si="100"/>
        <v/>
      </c>
      <c r="E309" s="43"/>
      <c r="F309" s="83"/>
      <c r="G309" s="118"/>
      <c r="H309" s="34" t="str">
        <f t="shared" si="101"/>
        <v/>
      </c>
      <c r="I309" s="88" t="str">
        <f t="shared" si="102"/>
        <v/>
      </c>
      <c r="J309" s="44" t="str">
        <f t="shared" si="103"/>
        <v/>
      </c>
      <c r="K309" s="118"/>
      <c r="L309" s="34" t="str">
        <f t="shared" si="104"/>
        <v/>
      </c>
      <c r="M309" s="118"/>
      <c r="N309" s="121"/>
      <c r="O309" s="122" t="str">
        <f t="shared" si="113"/>
        <v/>
      </c>
      <c r="P309" s="35" t="str">
        <f t="shared" si="114"/>
        <v/>
      </c>
      <c r="Q309" s="124"/>
      <c r="R309" s="36" t="str">
        <f t="shared" si="115"/>
        <v/>
      </c>
      <c r="S309" s="37" t="str">
        <f t="shared" si="105"/>
        <v/>
      </c>
      <c r="T309" s="38" t="str">
        <f t="shared" si="106"/>
        <v/>
      </c>
      <c r="U309" s="39" t="str">
        <f t="shared" si="107"/>
        <v/>
      </c>
      <c r="V309" s="40" t="str">
        <f t="shared" si="108"/>
        <v/>
      </c>
      <c r="W309" s="39" t="str">
        <f t="shared" si="109"/>
        <v/>
      </c>
      <c r="X309" s="34" t="str">
        <f t="shared" si="110"/>
        <v/>
      </c>
      <c r="Y309" s="41" t="str">
        <f t="shared" si="116"/>
        <v/>
      </c>
      <c r="Z309" s="98" t="str">
        <f t="shared" si="111"/>
        <v/>
      </c>
      <c r="AA309" s="81" t="str">
        <f t="shared" si="117"/>
        <v/>
      </c>
      <c r="AC309" s="139"/>
      <c r="AD309" s="110" t="str">
        <f t="shared" si="118"/>
        <v/>
      </c>
      <c r="AE309" s="111" t="str">
        <f t="shared" si="119"/>
        <v/>
      </c>
      <c r="AF309" s="111" t="str">
        <f t="shared" si="112"/>
        <v/>
      </c>
      <c r="AG309" s="111" t="str">
        <f t="shared" si="120"/>
        <v/>
      </c>
      <c r="AH309" s="111" t="str">
        <f t="shared" si="121"/>
        <v/>
      </c>
      <c r="AI309" s="112" t="str">
        <f t="shared" si="122"/>
        <v/>
      </c>
      <c r="AJ309" t="str">
        <f t="shared" si="123"/>
        <v/>
      </c>
      <c r="AK309" t="str">
        <f t="shared" si="124"/>
        <v/>
      </c>
    </row>
    <row r="310" spans="1:37" ht="15" customHeight="1" x14ac:dyDescent="0.25">
      <c r="A310" s="114"/>
      <c r="B310" s="116"/>
      <c r="C310" s="116"/>
      <c r="D310" s="42" t="str">
        <f t="shared" si="100"/>
        <v/>
      </c>
      <c r="E310" s="43"/>
      <c r="F310" s="83"/>
      <c r="G310" s="118"/>
      <c r="H310" s="34" t="str">
        <f t="shared" si="101"/>
        <v/>
      </c>
      <c r="I310" s="88" t="str">
        <f t="shared" si="102"/>
        <v/>
      </c>
      <c r="J310" s="44" t="str">
        <f t="shared" si="103"/>
        <v/>
      </c>
      <c r="K310" s="118"/>
      <c r="L310" s="34" t="str">
        <f t="shared" si="104"/>
        <v/>
      </c>
      <c r="M310" s="118"/>
      <c r="N310" s="121"/>
      <c r="O310" s="122" t="str">
        <f t="shared" si="113"/>
        <v/>
      </c>
      <c r="P310" s="35" t="str">
        <f t="shared" si="114"/>
        <v/>
      </c>
      <c r="Q310" s="124"/>
      <c r="R310" s="36" t="str">
        <f t="shared" si="115"/>
        <v/>
      </c>
      <c r="S310" s="37" t="str">
        <f t="shared" si="105"/>
        <v/>
      </c>
      <c r="T310" s="38" t="str">
        <f t="shared" si="106"/>
        <v/>
      </c>
      <c r="U310" s="39" t="str">
        <f t="shared" si="107"/>
        <v/>
      </c>
      <c r="V310" s="40" t="str">
        <f t="shared" si="108"/>
        <v/>
      </c>
      <c r="W310" s="39" t="str">
        <f t="shared" si="109"/>
        <v/>
      </c>
      <c r="X310" s="34" t="str">
        <f t="shared" si="110"/>
        <v/>
      </c>
      <c r="Y310" s="41" t="str">
        <f t="shared" si="116"/>
        <v/>
      </c>
      <c r="Z310" s="98" t="str">
        <f t="shared" si="111"/>
        <v/>
      </c>
      <c r="AA310" s="81" t="str">
        <f t="shared" si="117"/>
        <v/>
      </c>
      <c r="AC310" s="139"/>
      <c r="AD310" s="110" t="str">
        <f t="shared" si="118"/>
        <v/>
      </c>
      <c r="AE310" s="111" t="str">
        <f t="shared" si="119"/>
        <v/>
      </c>
      <c r="AF310" s="111" t="str">
        <f t="shared" si="112"/>
        <v/>
      </c>
      <c r="AG310" s="111" t="str">
        <f t="shared" si="120"/>
        <v/>
      </c>
      <c r="AH310" s="111" t="str">
        <f t="shared" si="121"/>
        <v/>
      </c>
      <c r="AI310" s="112" t="str">
        <f t="shared" si="122"/>
        <v/>
      </c>
      <c r="AJ310" t="str">
        <f t="shared" si="123"/>
        <v/>
      </c>
      <c r="AK310" t="str">
        <f t="shared" si="124"/>
        <v/>
      </c>
    </row>
    <row r="311" spans="1:37" ht="15" customHeight="1" x14ac:dyDescent="0.25">
      <c r="A311" s="114"/>
      <c r="B311" s="116"/>
      <c r="C311" s="116"/>
      <c r="D311" s="42" t="str">
        <f t="shared" si="100"/>
        <v/>
      </c>
      <c r="E311" s="43"/>
      <c r="F311" s="83"/>
      <c r="G311" s="118"/>
      <c r="H311" s="34" t="str">
        <f t="shared" si="101"/>
        <v/>
      </c>
      <c r="I311" s="88" t="str">
        <f t="shared" si="102"/>
        <v/>
      </c>
      <c r="J311" s="44" t="str">
        <f t="shared" si="103"/>
        <v/>
      </c>
      <c r="K311" s="118"/>
      <c r="L311" s="34" t="str">
        <f t="shared" si="104"/>
        <v/>
      </c>
      <c r="M311" s="118"/>
      <c r="N311" s="121"/>
      <c r="O311" s="122" t="str">
        <f t="shared" si="113"/>
        <v/>
      </c>
      <c r="P311" s="35" t="str">
        <f t="shared" si="114"/>
        <v/>
      </c>
      <c r="Q311" s="124"/>
      <c r="R311" s="36" t="str">
        <f t="shared" si="115"/>
        <v/>
      </c>
      <c r="S311" s="37" t="str">
        <f t="shared" si="105"/>
        <v/>
      </c>
      <c r="T311" s="38" t="str">
        <f t="shared" si="106"/>
        <v/>
      </c>
      <c r="U311" s="39" t="str">
        <f t="shared" si="107"/>
        <v/>
      </c>
      <c r="V311" s="40" t="str">
        <f t="shared" si="108"/>
        <v/>
      </c>
      <c r="W311" s="39" t="str">
        <f t="shared" si="109"/>
        <v/>
      </c>
      <c r="X311" s="34" t="str">
        <f t="shared" si="110"/>
        <v/>
      </c>
      <c r="Y311" s="41" t="str">
        <f t="shared" si="116"/>
        <v/>
      </c>
      <c r="Z311" s="98" t="str">
        <f t="shared" si="111"/>
        <v/>
      </c>
      <c r="AA311" s="81" t="str">
        <f t="shared" si="117"/>
        <v/>
      </c>
      <c r="AC311" s="139"/>
      <c r="AD311" s="110" t="str">
        <f t="shared" si="118"/>
        <v/>
      </c>
      <c r="AE311" s="111" t="str">
        <f t="shared" si="119"/>
        <v/>
      </c>
      <c r="AF311" s="111" t="str">
        <f t="shared" si="112"/>
        <v/>
      </c>
      <c r="AG311" s="111" t="str">
        <f t="shared" si="120"/>
        <v/>
      </c>
      <c r="AH311" s="111" t="str">
        <f t="shared" si="121"/>
        <v/>
      </c>
      <c r="AI311" s="112" t="str">
        <f t="shared" si="122"/>
        <v/>
      </c>
      <c r="AJ311" t="str">
        <f t="shared" si="123"/>
        <v/>
      </c>
      <c r="AK311" t="str">
        <f t="shared" si="124"/>
        <v/>
      </c>
    </row>
    <row r="312" spans="1:37" ht="15" customHeight="1" x14ac:dyDescent="0.25">
      <c r="A312" s="114"/>
      <c r="B312" s="116"/>
      <c r="C312" s="116"/>
      <c r="D312" s="42" t="str">
        <f t="shared" si="100"/>
        <v/>
      </c>
      <c r="E312" s="43"/>
      <c r="F312" s="83"/>
      <c r="G312" s="118"/>
      <c r="H312" s="34" t="str">
        <f t="shared" si="101"/>
        <v/>
      </c>
      <c r="I312" s="88" t="str">
        <f t="shared" si="102"/>
        <v/>
      </c>
      <c r="J312" s="44" t="str">
        <f t="shared" si="103"/>
        <v/>
      </c>
      <c r="K312" s="118"/>
      <c r="L312" s="34" t="str">
        <f t="shared" si="104"/>
        <v/>
      </c>
      <c r="M312" s="118"/>
      <c r="N312" s="121"/>
      <c r="O312" s="122" t="str">
        <f t="shared" si="113"/>
        <v/>
      </c>
      <c r="P312" s="35" t="str">
        <f t="shared" si="114"/>
        <v/>
      </c>
      <c r="Q312" s="124"/>
      <c r="R312" s="36" t="str">
        <f t="shared" si="115"/>
        <v/>
      </c>
      <c r="S312" s="37" t="str">
        <f t="shared" si="105"/>
        <v/>
      </c>
      <c r="T312" s="38" t="str">
        <f t="shared" si="106"/>
        <v/>
      </c>
      <c r="U312" s="39" t="str">
        <f t="shared" si="107"/>
        <v/>
      </c>
      <c r="V312" s="40" t="str">
        <f t="shared" si="108"/>
        <v/>
      </c>
      <c r="W312" s="39" t="str">
        <f t="shared" si="109"/>
        <v/>
      </c>
      <c r="X312" s="34" t="str">
        <f t="shared" si="110"/>
        <v/>
      </c>
      <c r="Y312" s="41" t="str">
        <f t="shared" si="116"/>
        <v/>
      </c>
      <c r="Z312" s="98" t="str">
        <f t="shared" si="111"/>
        <v/>
      </c>
      <c r="AA312" s="81" t="str">
        <f t="shared" si="117"/>
        <v/>
      </c>
      <c r="AC312" s="139"/>
      <c r="AD312" s="110" t="str">
        <f t="shared" si="118"/>
        <v/>
      </c>
      <c r="AE312" s="111" t="str">
        <f t="shared" si="119"/>
        <v/>
      </c>
      <c r="AF312" s="111" t="str">
        <f t="shared" si="112"/>
        <v/>
      </c>
      <c r="AG312" s="111" t="str">
        <f t="shared" si="120"/>
        <v/>
      </c>
      <c r="AH312" s="111" t="str">
        <f t="shared" si="121"/>
        <v/>
      </c>
      <c r="AI312" s="112" t="str">
        <f t="shared" si="122"/>
        <v/>
      </c>
      <c r="AJ312" t="str">
        <f t="shared" si="123"/>
        <v/>
      </c>
      <c r="AK312" t="str">
        <f t="shared" si="124"/>
        <v/>
      </c>
    </row>
    <row r="313" spans="1:37" ht="15" customHeight="1" x14ac:dyDescent="0.25">
      <c r="A313" s="114"/>
      <c r="B313" s="116"/>
      <c r="C313" s="116"/>
      <c r="D313" s="42" t="str">
        <f t="shared" si="100"/>
        <v/>
      </c>
      <c r="E313" s="43"/>
      <c r="F313" s="83"/>
      <c r="G313" s="118"/>
      <c r="H313" s="34" t="str">
        <f t="shared" si="101"/>
        <v/>
      </c>
      <c r="I313" s="88" t="str">
        <f t="shared" si="102"/>
        <v/>
      </c>
      <c r="J313" s="44" t="str">
        <f t="shared" si="103"/>
        <v/>
      </c>
      <c r="K313" s="118"/>
      <c r="L313" s="34" t="str">
        <f t="shared" si="104"/>
        <v/>
      </c>
      <c r="M313" s="118"/>
      <c r="N313" s="121"/>
      <c r="O313" s="122" t="str">
        <f t="shared" si="113"/>
        <v/>
      </c>
      <c r="P313" s="35" t="str">
        <f t="shared" si="114"/>
        <v/>
      </c>
      <c r="Q313" s="124"/>
      <c r="R313" s="36" t="str">
        <f t="shared" si="115"/>
        <v/>
      </c>
      <c r="S313" s="37" t="str">
        <f t="shared" si="105"/>
        <v/>
      </c>
      <c r="T313" s="38" t="str">
        <f t="shared" si="106"/>
        <v/>
      </c>
      <c r="U313" s="39" t="str">
        <f t="shared" si="107"/>
        <v/>
      </c>
      <c r="V313" s="40" t="str">
        <f t="shared" si="108"/>
        <v/>
      </c>
      <c r="W313" s="39" t="str">
        <f t="shared" si="109"/>
        <v/>
      </c>
      <c r="X313" s="34" t="str">
        <f t="shared" si="110"/>
        <v/>
      </c>
      <c r="Y313" s="41" t="str">
        <f t="shared" si="116"/>
        <v/>
      </c>
      <c r="Z313" s="98" t="str">
        <f t="shared" si="111"/>
        <v/>
      </c>
      <c r="AA313" s="81" t="str">
        <f t="shared" si="117"/>
        <v/>
      </c>
      <c r="AC313" s="139"/>
      <c r="AD313" s="110" t="str">
        <f t="shared" si="118"/>
        <v/>
      </c>
      <c r="AE313" s="111" t="str">
        <f t="shared" si="119"/>
        <v/>
      </c>
      <c r="AF313" s="111" t="str">
        <f t="shared" si="112"/>
        <v/>
      </c>
      <c r="AG313" s="111" t="str">
        <f t="shared" si="120"/>
        <v/>
      </c>
      <c r="AH313" s="111" t="str">
        <f t="shared" si="121"/>
        <v/>
      </c>
      <c r="AI313" s="112" t="str">
        <f t="shared" si="122"/>
        <v/>
      </c>
      <c r="AJ313" t="str">
        <f t="shared" si="123"/>
        <v/>
      </c>
      <c r="AK313" t="str">
        <f t="shared" si="124"/>
        <v/>
      </c>
    </row>
    <row r="314" spans="1:37" ht="15" customHeight="1" x14ac:dyDescent="0.25">
      <c r="A314" s="114"/>
      <c r="B314" s="116"/>
      <c r="C314" s="116"/>
      <c r="D314" s="42" t="str">
        <f t="shared" si="100"/>
        <v/>
      </c>
      <c r="E314" s="43"/>
      <c r="F314" s="83"/>
      <c r="G314" s="118"/>
      <c r="H314" s="34" t="str">
        <f t="shared" si="101"/>
        <v/>
      </c>
      <c r="I314" s="88" t="str">
        <f t="shared" si="102"/>
        <v/>
      </c>
      <c r="J314" s="44" t="str">
        <f t="shared" si="103"/>
        <v/>
      </c>
      <c r="K314" s="118"/>
      <c r="L314" s="34" t="str">
        <f t="shared" si="104"/>
        <v/>
      </c>
      <c r="M314" s="118"/>
      <c r="N314" s="121"/>
      <c r="O314" s="122" t="str">
        <f t="shared" si="113"/>
        <v/>
      </c>
      <c r="P314" s="35" t="str">
        <f t="shared" si="114"/>
        <v/>
      </c>
      <c r="Q314" s="124"/>
      <c r="R314" s="36" t="str">
        <f t="shared" si="115"/>
        <v/>
      </c>
      <c r="S314" s="37" t="str">
        <f t="shared" si="105"/>
        <v/>
      </c>
      <c r="T314" s="38" t="str">
        <f t="shared" si="106"/>
        <v/>
      </c>
      <c r="U314" s="39" t="str">
        <f t="shared" si="107"/>
        <v/>
      </c>
      <c r="V314" s="40" t="str">
        <f t="shared" si="108"/>
        <v/>
      </c>
      <c r="W314" s="39" t="str">
        <f t="shared" si="109"/>
        <v/>
      </c>
      <c r="X314" s="34" t="str">
        <f t="shared" si="110"/>
        <v/>
      </c>
      <c r="Y314" s="41" t="str">
        <f t="shared" si="116"/>
        <v/>
      </c>
      <c r="Z314" s="98" t="str">
        <f t="shared" si="111"/>
        <v/>
      </c>
      <c r="AA314" s="81" t="str">
        <f t="shared" si="117"/>
        <v/>
      </c>
      <c r="AC314" s="139"/>
      <c r="AD314" s="110" t="str">
        <f t="shared" si="118"/>
        <v/>
      </c>
      <c r="AE314" s="111" t="str">
        <f t="shared" si="119"/>
        <v/>
      </c>
      <c r="AF314" s="111" t="str">
        <f t="shared" si="112"/>
        <v/>
      </c>
      <c r="AG314" s="111" t="str">
        <f t="shared" si="120"/>
        <v/>
      </c>
      <c r="AH314" s="111" t="str">
        <f t="shared" si="121"/>
        <v/>
      </c>
      <c r="AI314" s="112" t="str">
        <f t="shared" si="122"/>
        <v/>
      </c>
      <c r="AJ314" t="str">
        <f t="shared" si="123"/>
        <v/>
      </c>
      <c r="AK314" t="str">
        <f t="shared" si="124"/>
        <v/>
      </c>
    </row>
    <row r="315" spans="1:37" ht="15" customHeight="1" x14ac:dyDescent="0.25">
      <c r="A315" s="114"/>
      <c r="B315" s="116"/>
      <c r="C315" s="116"/>
      <c r="D315" s="42" t="str">
        <f t="shared" si="100"/>
        <v/>
      </c>
      <c r="E315" s="43"/>
      <c r="F315" s="83"/>
      <c r="G315" s="118"/>
      <c r="H315" s="34" t="str">
        <f t="shared" si="101"/>
        <v/>
      </c>
      <c r="I315" s="88" t="str">
        <f t="shared" si="102"/>
        <v/>
      </c>
      <c r="J315" s="44" t="str">
        <f t="shared" si="103"/>
        <v/>
      </c>
      <c r="K315" s="118"/>
      <c r="L315" s="34" t="str">
        <f t="shared" si="104"/>
        <v/>
      </c>
      <c r="M315" s="118"/>
      <c r="N315" s="121"/>
      <c r="O315" s="122" t="str">
        <f t="shared" si="113"/>
        <v/>
      </c>
      <c r="P315" s="35" t="str">
        <f t="shared" si="114"/>
        <v/>
      </c>
      <c r="Q315" s="124"/>
      <c r="R315" s="36" t="str">
        <f t="shared" si="115"/>
        <v/>
      </c>
      <c r="S315" s="37" t="str">
        <f t="shared" si="105"/>
        <v/>
      </c>
      <c r="T315" s="38" t="str">
        <f t="shared" si="106"/>
        <v/>
      </c>
      <c r="U315" s="39" t="str">
        <f t="shared" si="107"/>
        <v/>
      </c>
      <c r="V315" s="40" t="str">
        <f t="shared" si="108"/>
        <v/>
      </c>
      <c r="W315" s="39" t="str">
        <f t="shared" si="109"/>
        <v/>
      </c>
      <c r="X315" s="34" t="str">
        <f t="shared" si="110"/>
        <v/>
      </c>
      <c r="Y315" s="41" t="str">
        <f t="shared" si="116"/>
        <v/>
      </c>
      <c r="Z315" s="98" t="str">
        <f t="shared" si="111"/>
        <v/>
      </c>
      <c r="AA315" s="81" t="str">
        <f t="shared" si="117"/>
        <v/>
      </c>
      <c r="AC315" s="139"/>
      <c r="AD315" s="110" t="str">
        <f t="shared" si="118"/>
        <v/>
      </c>
      <c r="AE315" s="111" t="str">
        <f t="shared" si="119"/>
        <v/>
      </c>
      <c r="AF315" s="111" t="str">
        <f t="shared" si="112"/>
        <v/>
      </c>
      <c r="AG315" s="111" t="str">
        <f t="shared" si="120"/>
        <v/>
      </c>
      <c r="AH315" s="111" t="str">
        <f t="shared" si="121"/>
        <v/>
      </c>
      <c r="AI315" s="112" t="str">
        <f t="shared" si="122"/>
        <v/>
      </c>
      <c r="AJ315" t="str">
        <f t="shared" si="123"/>
        <v/>
      </c>
      <c r="AK315" t="str">
        <f t="shared" si="124"/>
        <v/>
      </c>
    </row>
    <row r="316" spans="1:37" ht="15" customHeight="1" x14ac:dyDescent="0.25">
      <c r="A316" s="114"/>
      <c r="B316" s="116"/>
      <c r="C316" s="116"/>
      <c r="D316" s="42" t="str">
        <f t="shared" si="100"/>
        <v/>
      </c>
      <c r="E316" s="43"/>
      <c r="F316" s="83"/>
      <c r="G316" s="118"/>
      <c r="H316" s="34" t="str">
        <f t="shared" si="101"/>
        <v/>
      </c>
      <c r="I316" s="88" t="str">
        <f t="shared" si="102"/>
        <v/>
      </c>
      <c r="J316" s="44" t="str">
        <f t="shared" si="103"/>
        <v/>
      </c>
      <c r="K316" s="118"/>
      <c r="L316" s="34" t="str">
        <f t="shared" si="104"/>
        <v/>
      </c>
      <c r="M316" s="118"/>
      <c r="N316" s="121"/>
      <c r="O316" s="122" t="str">
        <f t="shared" si="113"/>
        <v/>
      </c>
      <c r="P316" s="35" t="str">
        <f t="shared" si="114"/>
        <v/>
      </c>
      <c r="Q316" s="124"/>
      <c r="R316" s="36" t="str">
        <f t="shared" si="115"/>
        <v/>
      </c>
      <c r="S316" s="37" t="str">
        <f t="shared" si="105"/>
        <v/>
      </c>
      <c r="T316" s="38" t="str">
        <f t="shared" si="106"/>
        <v/>
      </c>
      <c r="U316" s="39" t="str">
        <f t="shared" si="107"/>
        <v/>
      </c>
      <c r="V316" s="40" t="str">
        <f t="shared" si="108"/>
        <v/>
      </c>
      <c r="W316" s="39" t="str">
        <f t="shared" si="109"/>
        <v/>
      </c>
      <c r="X316" s="34" t="str">
        <f t="shared" si="110"/>
        <v/>
      </c>
      <c r="Y316" s="41" t="str">
        <f t="shared" si="116"/>
        <v/>
      </c>
      <c r="Z316" s="98" t="str">
        <f t="shared" si="111"/>
        <v/>
      </c>
      <c r="AA316" s="81" t="str">
        <f t="shared" si="117"/>
        <v/>
      </c>
      <c r="AC316" s="139"/>
      <c r="AD316" s="110" t="str">
        <f t="shared" si="118"/>
        <v/>
      </c>
      <c r="AE316" s="111" t="str">
        <f t="shared" si="119"/>
        <v/>
      </c>
      <c r="AF316" s="111" t="str">
        <f t="shared" si="112"/>
        <v/>
      </c>
      <c r="AG316" s="111" t="str">
        <f t="shared" si="120"/>
        <v/>
      </c>
      <c r="AH316" s="111" t="str">
        <f t="shared" si="121"/>
        <v/>
      </c>
      <c r="AI316" s="112" t="str">
        <f t="shared" si="122"/>
        <v/>
      </c>
      <c r="AJ316" t="str">
        <f t="shared" si="123"/>
        <v/>
      </c>
      <c r="AK316" t="str">
        <f t="shared" si="124"/>
        <v/>
      </c>
    </row>
    <row r="317" spans="1:37" ht="15" customHeight="1" x14ac:dyDescent="0.25">
      <c r="A317" s="114"/>
      <c r="B317" s="116"/>
      <c r="C317" s="116"/>
      <c r="D317" s="42" t="str">
        <f t="shared" si="100"/>
        <v/>
      </c>
      <c r="E317" s="43"/>
      <c r="F317" s="83"/>
      <c r="G317" s="118"/>
      <c r="H317" s="34" t="str">
        <f t="shared" si="101"/>
        <v/>
      </c>
      <c r="I317" s="88" t="str">
        <f t="shared" si="102"/>
        <v/>
      </c>
      <c r="J317" s="44" t="str">
        <f t="shared" si="103"/>
        <v/>
      </c>
      <c r="K317" s="118"/>
      <c r="L317" s="34" t="str">
        <f t="shared" si="104"/>
        <v/>
      </c>
      <c r="M317" s="118"/>
      <c r="N317" s="121"/>
      <c r="O317" s="122" t="str">
        <f t="shared" si="113"/>
        <v/>
      </c>
      <c r="P317" s="35" t="str">
        <f t="shared" si="114"/>
        <v/>
      </c>
      <c r="Q317" s="124"/>
      <c r="R317" s="36" t="str">
        <f t="shared" si="115"/>
        <v/>
      </c>
      <c r="S317" s="37" t="str">
        <f t="shared" si="105"/>
        <v/>
      </c>
      <c r="T317" s="38" t="str">
        <f t="shared" si="106"/>
        <v/>
      </c>
      <c r="U317" s="39" t="str">
        <f t="shared" si="107"/>
        <v/>
      </c>
      <c r="V317" s="40" t="str">
        <f t="shared" si="108"/>
        <v/>
      </c>
      <c r="W317" s="39" t="str">
        <f t="shared" si="109"/>
        <v/>
      </c>
      <c r="X317" s="34" t="str">
        <f t="shared" si="110"/>
        <v/>
      </c>
      <c r="Y317" s="41" t="str">
        <f t="shared" si="116"/>
        <v/>
      </c>
      <c r="Z317" s="98" t="str">
        <f t="shared" si="111"/>
        <v/>
      </c>
      <c r="AA317" s="81" t="str">
        <f t="shared" si="117"/>
        <v/>
      </c>
      <c r="AC317" s="139"/>
      <c r="AD317" s="110" t="str">
        <f t="shared" si="118"/>
        <v/>
      </c>
      <c r="AE317" s="111" t="str">
        <f t="shared" si="119"/>
        <v/>
      </c>
      <c r="AF317" s="111" t="str">
        <f t="shared" si="112"/>
        <v/>
      </c>
      <c r="AG317" s="111" t="str">
        <f t="shared" si="120"/>
        <v/>
      </c>
      <c r="AH317" s="111" t="str">
        <f t="shared" si="121"/>
        <v/>
      </c>
      <c r="AI317" s="112" t="str">
        <f t="shared" si="122"/>
        <v/>
      </c>
      <c r="AJ317" t="str">
        <f t="shared" si="123"/>
        <v/>
      </c>
      <c r="AK317" t="str">
        <f t="shared" si="124"/>
        <v/>
      </c>
    </row>
    <row r="318" spans="1:37" ht="15" customHeight="1" x14ac:dyDescent="0.25">
      <c r="A318" s="114"/>
      <c r="B318" s="116"/>
      <c r="C318" s="116"/>
      <c r="D318" s="42" t="str">
        <f t="shared" si="100"/>
        <v/>
      </c>
      <c r="E318" s="43"/>
      <c r="F318" s="83"/>
      <c r="G318" s="118"/>
      <c r="H318" s="34" t="str">
        <f t="shared" si="101"/>
        <v/>
      </c>
      <c r="I318" s="88" t="str">
        <f t="shared" si="102"/>
        <v/>
      </c>
      <c r="J318" s="44" t="str">
        <f t="shared" si="103"/>
        <v/>
      </c>
      <c r="K318" s="118"/>
      <c r="L318" s="34" t="str">
        <f t="shared" si="104"/>
        <v/>
      </c>
      <c r="M318" s="118"/>
      <c r="N318" s="121"/>
      <c r="O318" s="122" t="str">
        <f t="shared" si="113"/>
        <v/>
      </c>
      <c r="P318" s="35" t="str">
        <f t="shared" si="114"/>
        <v/>
      </c>
      <c r="Q318" s="124"/>
      <c r="R318" s="36" t="str">
        <f t="shared" si="115"/>
        <v/>
      </c>
      <c r="S318" s="37" t="str">
        <f t="shared" si="105"/>
        <v/>
      </c>
      <c r="T318" s="38" t="str">
        <f t="shared" si="106"/>
        <v/>
      </c>
      <c r="U318" s="39" t="str">
        <f t="shared" si="107"/>
        <v/>
      </c>
      <c r="V318" s="40" t="str">
        <f t="shared" si="108"/>
        <v/>
      </c>
      <c r="W318" s="39" t="str">
        <f t="shared" si="109"/>
        <v/>
      </c>
      <c r="X318" s="34" t="str">
        <f t="shared" si="110"/>
        <v/>
      </c>
      <c r="Y318" s="41" t="str">
        <f t="shared" si="116"/>
        <v/>
      </c>
      <c r="Z318" s="98" t="str">
        <f t="shared" si="111"/>
        <v/>
      </c>
      <c r="AA318" s="81" t="str">
        <f t="shared" si="117"/>
        <v/>
      </c>
      <c r="AC318" s="139"/>
      <c r="AD318" s="110" t="str">
        <f t="shared" si="118"/>
        <v/>
      </c>
      <c r="AE318" s="111" t="str">
        <f t="shared" si="119"/>
        <v/>
      </c>
      <c r="AF318" s="111" t="str">
        <f t="shared" si="112"/>
        <v/>
      </c>
      <c r="AG318" s="111" t="str">
        <f t="shared" si="120"/>
        <v/>
      </c>
      <c r="AH318" s="111" t="str">
        <f t="shared" si="121"/>
        <v/>
      </c>
      <c r="AI318" s="112" t="str">
        <f t="shared" si="122"/>
        <v/>
      </c>
      <c r="AJ318" t="str">
        <f t="shared" si="123"/>
        <v/>
      </c>
      <c r="AK318" t="str">
        <f t="shared" si="124"/>
        <v/>
      </c>
    </row>
    <row r="319" spans="1:37" ht="15" customHeight="1" x14ac:dyDescent="0.25">
      <c r="A319" s="114"/>
      <c r="B319" s="116"/>
      <c r="C319" s="116"/>
      <c r="D319" s="42" t="str">
        <f t="shared" si="100"/>
        <v/>
      </c>
      <c r="E319" s="43"/>
      <c r="F319" s="83"/>
      <c r="G319" s="118"/>
      <c r="H319" s="34" t="str">
        <f t="shared" si="101"/>
        <v/>
      </c>
      <c r="I319" s="88" t="str">
        <f t="shared" si="102"/>
        <v/>
      </c>
      <c r="J319" s="44" t="str">
        <f t="shared" si="103"/>
        <v/>
      </c>
      <c r="K319" s="118"/>
      <c r="L319" s="34" t="str">
        <f t="shared" si="104"/>
        <v/>
      </c>
      <c r="M319" s="118"/>
      <c r="N319" s="121"/>
      <c r="O319" s="122" t="str">
        <f t="shared" si="113"/>
        <v/>
      </c>
      <c r="P319" s="35" t="str">
        <f t="shared" si="114"/>
        <v/>
      </c>
      <c r="Q319" s="124"/>
      <c r="R319" s="36" t="str">
        <f t="shared" si="115"/>
        <v/>
      </c>
      <c r="S319" s="37" t="str">
        <f t="shared" si="105"/>
        <v/>
      </c>
      <c r="T319" s="38" t="str">
        <f t="shared" si="106"/>
        <v/>
      </c>
      <c r="U319" s="39" t="str">
        <f t="shared" si="107"/>
        <v/>
      </c>
      <c r="V319" s="40" t="str">
        <f t="shared" si="108"/>
        <v/>
      </c>
      <c r="W319" s="39" t="str">
        <f t="shared" si="109"/>
        <v/>
      </c>
      <c r="X319" s="34" t="str">
        <f t="shared" si="110"/>
        <v/>
      </c>
      <c r="Y319" s="41" t="str">
        <f t="shared" si="116"/>
        <v/>
      </c>
      <c r="Z319" s="98" t="str">
        <f t="shared" si="111"/>
        <v/>
      </c>
      <c r="AA319" s="81" t="str">
        <f t="shared" si="117"/>
        <v/>
      </c>
      <c r="AC319" s="139"/>
      <c r="AD319" s="110" t="str">
        <f t="shared" si="118"/>
        <v/>
      </c>
      <c r="AE319" s="111" t="str">
        <f t="shared" si="119"/>
        <v/>
      </c>
      <c r="AF319" s="111" t="str">
        <f t="shared" si="112"/>
        <v/>
      </c>
      <c r="AG319" s="111" t="str">
        <f t="shared" si="120"/>
        <v/>
      </c>
      <c r="AH319" s="111" t="str">
        <f t="shared" si="121"/>
        <v/>
      </c>
      <c r="AI319" s="112" t="str">
        <f t="shared" si="122"/>
        <v/>
      </c>
      <c r="AJ319" t="str">
        <f t="shared" si="123"/>
        <v/>
      </c>
      <c r="AK319" t="str">
        <f t="shared" si="124"/>
        <v/>
      </c>
    </row>
    <row r="320" spans="1:37" ht="15" customHeight="1" x14ac:dyDescent="0.25">
      <c r="A320" s="114"/>
      <c r="B320" s="116"/>
      <c r="C320" s="116"/>
      <c r="D320" s="42" t="str">
        <f t="shared" si="100"/>
        <v/>
      </c>
      <c r="E320" s="43"/>
      <c r="F320" s="83"/>
      <c r="G320" s="118"/>
      <c r="H320" s="34" t="str">
        <f t="shared" si="101"/>
        <v/>
      </c>
      <c r="I320" s="88" t="str">
        <f t="shared" si="102"/>
        <v/>
      </c>
      <c r="J320" s="44" t="str">
        <f t="shared" si="103"/>
        <v/>
      </c>
      <c r="K320" s="118"/>
      <c r="L320" s="34" t="str">
        <f t="shared" si="104"/>
        <v/>
      </c>
      <c r="M320" s="118"/>
      <c r="N320" s="121"/>
      <c r="O320" s="122" t="str">
        <f t="shared" si="113"/>
        <v/>
      </c>
      <c r="P320" s="35" t="str">
        <f t="shared" si="114"/>
        <v/>
      </c>
      <c r="Q320" s="124"/>
      <c r="R320" s="36" t="str">
        <f t="shared" si="115"/>
        <v/>
      </c>
      <c r="S320" s="37" t="str">
        <f t="shared" si="105"/>
        <v/>
      </c>
      <c r="T320" s="38" t="str">
        <f t="shared" si="106"/>
        <v/>
      </c>
      <c r="U320" s="39" t="str">
        <f t="shared" si="107"/>
        <v/>
      </c>
      <c r="V320" s="40" t="str">
        <f t="shared" si="108"/>
        <v/>
      </c>
      <c r="W320" s="39" t="str">
        <f t="shared" si="109"/>
        <v/>
      </c>
      <c r="X320" s="34" t="str">
        <f t="shared" si="110"/>
        <v/>
      </c>
      <c r="Y320" s="41" t="str">
        <f t="shared" si="116"/>
        <v/>
      </c>
      <c r="Z320" s="98" t="str">
        <f t="shared" si="111"/>
        <v/>
      </c>
      <c r="AA320" s="81" t="str">
        <f t="shared" si="117"/>
        <v/>
      </c>
      <c r="AC320" s="139"/>
      <c r="AD320" s="110" t="str">
        <f t="shared" si="118"/>
        <v/>
      </c>
      <c r="AE320" s="111" t="str">
        <f t="shared" si="119"/>
        <v/>
      </c>
      <c r="AF320" s="111" t="str">
        <f t="shared" si="112"/>
        <v/>
      </c>
      <c r="AG320" s="111" t="str">
        <f t="shared" si="120"/>
        <v/>
      </c>
      <c r="AH320" s="111" t="str">
        <f t="shared" si="121"/>
        <v/>
      </c>
      <c r="AI320" s="112" t="str">
        <f t="shared" si="122"/>
        <v/>
      </c>
      <c r="AJ320" t="str">
        <f t="shared" si="123"/>
        <v/>
      </c>
      <c r="AK320" t="str">
        <f t="shared" si="124"/>
        <v/>
      </c>
    </row>
    <row r="321" spans="1:37" ht="15" customHeight="1" x14ac:dyDescent="0.25">
      <c r="A321" s="114"/>
      <c r="B321" s="116"/>
      <c r="C321" s="116"/>
      <c r="D321" s="42" t="str">
        <f t="shared" si="100"/>
        <v/>
      </c>
      <c r="E321" s="43"/>
      <c r="F321" s="83"/>
      <c r="G321" s="118"/>
      <c r="H321" s="34" t="str">
        <f t="shared" si="101"/>
        <v/>
      </c>
      <c r="I321" s="88" t="str">
        <f t="shared" si="102"/>
        <v/>
      </c>
      <c r="J321" s="44" t="str">
        <f t="shared" si="103"/>
        <v/>
      </c>
      <c r="K321" s="118"/>
      <c r="L321" s="34" t="str">
        <f t="shared" si="104"/>
        <v/>
      </c>
      <c r="M321" s="118"/>
      <c r="N321" s="121"/>
      <c r="O321" s="122" t="str">
        <f t="shared" si="113"/>
        <v/>
      </c>
      <c r="P321" s="35" t="str">
        <f t="shared" si="114"/>
        <v/>
      </c>
      <c r="Q321" s="124"/>
      <c r="R321" s="36" t="str">
        <f t="shared" si="115"/>
        <v/>
      </c>
      <c r="S321" s="37" t="str">
        <f t="shared" si="105"/>
        <v/>
      </c>
      <c r="T321" s="38" t="str">
        <f t="shared" si="106"/>
        <v/>
      </c>
      <c r="U321" s="39" t="str">
        <f t="shared" si="107"/>
        <v/>
      </c>
      <c r="V321" s="40" t="str">
        <f t="shared" si="108"/>
        <v/>
      </c>
      <c r="W321" s="39" t="str">
        <f t="shared" si="109"/>
        <v/>
      </c>
      <c r="X321" s="34" t="str">
        <f t="shared" si="110"/>
        <v/>
      </c>
      <c r="Y321" s="41" t="str">
        <f t="shared" si="116"/>
        <v/>
      </c>
      <c r="Z321" s="98" t="str">
        <f t="shared" si="111"/>
        <v/>
      </c>
      <c r="AA321" s="81" t="str">
        <f t="shared" si="117"/>
        <v/>
      </c>
      <c r="AC321" s="139"/>
      <c r="AD321" s="110" t="str">
        <f t="shared" si="118"/>
        <v/>
      </c>
      <c r="AE321" s="111" t="str">
        <f t="shared" si="119"/>
        <v/>
      </c>
      <c r="AF321" s="111" t="str">
        <f t="shared" si="112"/>
        <v/>
      </c>
      <c r="AG321" s="111" t="str">
        <f t="shared" si="120"/>
        <v/>
      </c>
      <c r="AH321" s="111" t="str">
        <f t="shared" si="121"/>
        <v/>
      </c>
      <c r="AI321" s="112" t="str">
        <f t="shared" si="122"/>
        <v/>
      </c>
      <c r="AJ321" t="str">
        <f t="shared" si="123"/>
        <v/>
      </c>
      <c r="AK321" t="str">
        <f t="shared" si="124"/>
        <v/>
      </c>
    </row>
    <row r="322" spans="1:37" ht="15" customHeight="1" x14ac:dyDescent="0.25">
      <c r="A322" s="114"/>
      <c r="B322" s="116"/>
      <c r="C322" s="116"/>
      <c r="D322" s="42" t="str">
        <f t="shared" si="100"/>
        <v/>
      </c>
      <c r="E322" s="43"/>
      <c r="F322" s="83"/>
      <c r="G322" s="118"/>
      <c r="H322" s="34" t="str">
        <f t="shared" si="101"/>
        <v/>
      </c>
      <c r="I322" s="88" t="str">
        <f t="shared" si="102"/>
        <v/>
      </c>
      <c r="J322" s="44" t="str">
        <f t="shared" si="103"/>
        <v/>
      </c>
      <c r="K322" s="118"/>
      <c r="L322" s="34" t="str">
        <f t="shared" si="104"/>
        <v/>
      </c>
      <c r="M322" s="118"/>
      <c r="N322" s="121"/>
      <c r="O322" s="122" t="str">
        <f t="shared" si="113"/>
        <v/>
      </c>
      <c r="P322" s="35" t="str">
        <f t="shared" si="114"/>
        <v/>
      </c>
      <c r="Q322" s="124"/>
      <c r="R322" s="36" t="str">
        <f t="shared" si="115"/>
        <v/>
      </c>
      <c r="S322" s="37" t="str">
        <f t="shared" si="105"/>
        <v/>
      </c>
      <c r="T322" s="38" t="str">
        <f t="shared" si="106"/>
        <v/>
      </c>
      <c r="U322" s="39" t="str">
        <f t="shared" si="107"/>
        <v/>
      </c>
      <c r="V322" s="40" t="str">
        <f t="shared" si="108"/>
        <v/>
      </c>
      <c r="W322" s="39" t="str">
        <f t="shared" si="109"/>
        <v/>
      </c>
      <c r="X322" s="34" t="str">
        <f t="shared" si="110"/>
        <v/>
      </c>
      <c r="Y322" s="41" t="str">
        <f t="shared" si="116"/>
        <v/>
      </c>
      <c r="Z322" s="98" t="str">
        <f t="shared" si="111"/>
        <v/>
      </c>
      <c r="AA322" s="81" t="str">
        <f t="shared" si="117"/>
        <v/>
      </c>
      <c r="AC322" s="139"/>
      <c r="AD322" s="110" t="str">
        <f t="shared" si="118"/>
        <v/>
      </c>
      <c r="AE322" s="111" t="str">
        <f t="shared" si="119"/>
        <v/>
      </c>
      <c r="AF322" s="111" t="str">
        <f t="shared" si="112"/>
        <v/>
      </c>
      <c r="AG322" s="111" t="str">
        <f t="shared" si="120"/>
        <v/>
      </c>
      <c r="AH322" s="111" t="str">
        <f t="shared" si="121"/>
        <v/>
      </c>
      <c r="AI322" s="112" t="str">
        <f t="shared" si="122"/>
        <v/>
      </c>
      <c r="AJ322" t="str">
        <f t="shared" si="123"/>
        <v/>
      </c>
      <c r="AK322" t="str">
        <f t="shared" si="124"/>
        <v/>
      </c>
    </row>
    <row r="323" spans="1:37" ht="15" customHeight="1" x14ac:dyDescent="0.25">
      <c r="A323" s="114"/>
      <c r="B323" s="116"/>
      <c r="C323" s="116"/>
      <c r="D323" s="42" t="str">
        <f t="shared" si="100"/>
        <v/>
      </c>
      <c r="E323" s="43"/>
      <c r="F323" s="83"/>
      <c r="G323" s="118"/>
      <c r="H323" s="34" t="str">
        <f t="shared" si="101"/>
        <v/>
      </c>
      <c r="I323" s="88" t="str">
        <f t="shared" si="102"/>
        <v/>
      </c>
      <c r="J323" s="44" t="str">
        <f t="shared" si="103"/>
        <v/>
      </c>
      <c r="K323" s="118"/>
      <c r="L323" s="34" t="str">
        <f t="shared" si="104"/>
        <v/>
      </c>
      <c r="M323" s="118"/>
      <c r="N323" s="121"/>
      <c r="O323" s="122" t="str">
        <f t="shared" si="113"/>
        <v/>
      </c>
      <c r="P323" s="35" t="str">
        <f t="shared" si="114"/>
        <v/>
      </c>
      <c r="Q323" s="124"/>
      <c r="R323" s="36" t="str">
        <f t="shared" si="115"/>
        <v/>
      </c>
      <c r="S323" s="37" t="str">
        <f t="shared" si="105"/>
        <v/>
      </c>
      <c r="T323" s="38" t="str">
        <f t="shared" si="106"/>
        <v/>
      </c>
      <c r="U323" s="39" t="str">
        <f t="shared" si="107"/>
        <v/>
      </c>
      <c r="V323" s="40" t="str">
        <f t="shared" si="108"/>
        <v/>
      </c>
      <c r="W323" s="39" t="str">
        <f t="shared" si="109"/>
        <v/>
      </c>
      <c r="X323" s="34" t="str">
        <f t="shared" si="110"/>
        <v/>
      </c>
      <c r="Y323" s="41" t="str">
        <f t="shared" si="116"/>
        <v/>
      </c>
      <c r="Z323" s="98" t="str">
        <f t="shared" si="111"/>
        <v/>
      </c>
      <c r="AA323" s="81" t="str">
        <f t="shared" si="117"/>
        <v/>
      </c>
      <c r="AC323" s="139"/>
      <c r="AD323" s="110" t="str">
        <f t="shared" si="118"/>
        <v/>
      </c>
      <c r="AE323" s="111" t="str">
        <f t="shared" si="119"/>
        <v/>
      </c>
      <c r="AF323" s="111" t="str">
        <f t="shared" si="112"/>
        <v/>
      </c>
      <c r="AG323" s="111" t="str">
        <f t="shared" si="120"/>
        <v/>
      </c>
      <c r="AH323" s="111" t="str">
        <f t="shared" si="121"/>
        <v/>
      </c>
      <c r="AI323" s="112" t="str">
        <f t="shared" si="122"/>
        <v/>
      </c>
      <c r="AJ323" t="str">
        <f t="shared" si="123"/>
        <v/>
      </c>
      <c r="AK323" t="str">
        <f t="shared" si="124"/>
        <v/>
      </c>
    </row>
    <row r="324" spans="1:37" ht="15" customHeight="1" x14ac:dyDescent="0.25">
      <c r="A324" s="114"/>
      <c r="B324" s="116"/>
      <c r="C324" s="116"/>
      <c r="D324" s="42" t="str">
        <f t="shared" si="100"/>
        <v/>
      </c>
      <c r="E324" s="43"/>
      <c r="F324" s="83"/>
      <c r="G324" s="118"/>
      <c r="H324" s="34" t="str">
        <f t="shared" si="101"/>
        <v/>
      </c>
      <c r="I324" s="88" t="str">
        <f t="shared" si="102"/>
        <v/>
      </c>
      <c r="J324" s="44" t="str">
        <f t="shared" si="103"/>
        <v/>
      </c>
      <c r="K324" s="118"/>
      <c r="L324" s="34" t="str">
        <f t="shared" si="104"/>
        <v/>
      </c>
      <c r="M324" s="118"/>
      <c r="N324" s="121"/>
      <c r="O324" s="122" t="str">
        <f t="shared" si="113"/>
        <v/>
      </c>
      <c r="P324" s="35" t="str">
        <f t="shared" si="114"/>
        <v/>
      </c>
      <c r="Q324" s="124"/>
      <c r="R324" s="36" t="str">
        <f t="shared" si="115"/>
        <v/>
      </c>
      <c r="S324" s="37" t="str">
        <f t="shared" si="105"/>
        <v/>
      </c>
      <c r="T324" s="38" t="str">
        <f t="shared" si="106"/>
        <v/>
      </c>
      <c r="U324" s="39" t="str">
        <f t="shared" si="107"/>
        <v/>
      </c>
      <c r="V324" s="40" t="str">
        <f t="shared" si="108"/>
        <v/>
      </c>
      <c r="W324" s="39" t="str">
        <f t="shared" si="109"/>
        <v/>
      </c>
      <c r="X324" s="34" t="str">
        <f t="shared" si="110"/>
        <v/>
      </c>
      <c r="Y324" s="41" t="str">
        <f t="shared" si="116"/>
        <v/>
      </c>
      <c r="Z324" s="98" t="str">
        <f t="shared" si="111"/>
        <v/>
      </c>
      <c r="AA324" s="81" t="str">
        <f t="shared" si="117"/>
        <v/>
      </c>
      <c r="AC324" s="139"/>
      <c r="AD324" s="110" t="str">
        <f t="shared" si="118"/>
        <v/>
      </c>
      <c r="AE324" s="111" t="str">
        <f t="shared" si="119"/>
        <v/>
      </c>
      <c r="AF324" s="111" t="str">
        <f t="shared" si="112"/>
        <v/>
      </c>
      <c r="AG324" s="111" t="str">
        <f t="shared" si="120"/>
        <v/>
      </c>
      <c r="AH324" s="111" t="str">
        <f t="shared" si="121"/>
        <v/>
      </c>
      <c r="AI324" s="112" t="str">
        <f t="shared" si="122"/>
        <v/>
      </c>
      <c r="AJ324" t="str">
        <f t="shared" si="123"/>
        <v/>
      </c>
      <c r="AK324" t="str">
        <f t="shared" si="124"/>
        <v/>
      </c>
    </row>
    <row r="325" spans="1:37" ht="15" customHeight="1" x14ac:dyDescent="0.25">
      <c r="A325" s="114"/>
      <c r="B325" s="116"/>
      <c r="C325" s="116"/>
      <c r="D325" s="42" t="str">
        <f t="shared" si="100"/>
        <v/>
      </c>
      <c r="E325" s="43"/>
      <c r="F325" s="83"/>
      <c r="G325" s="118"/>
      <c r="H325" s="34" t="str">
        <f t="shared" si="101"/>
        <v/>
      </c>
      <c r="I325" s="88" t="str">
        <f t="shared" si="102"/>
        <v/>
      </c>
      <c r="J325" s="44" t="str">
        <f t="shared" si="103"/>
        <v/>
      </c>
      <c r="K325" s="118"/>
      <c r="L325" s="34" t="str">
        <f t="shared" si="104"/>
        <v/>
      </c>
      <c r="M325" s="118"/>
      <c r="N325" s="121"/>
      <c r="O325" s="122" t="str">
        <f t="shared" si="113"/>
        <v/>
      </c>
      <c r="P325" s="35" t="str">
        <f t="shared" si="114"/>
        <v/>
      </c>
      <c r="Q325" s="124"/>
      <c r="R325" s="36" t="str">
        <f t="shared" si="115"/>
        <v/>
      </c>
      <c r="S325" s="37" t="str">
        <f t="shared" si="105"/>
        <v/>
      </c>
      <c r="T325" s="38" t="str">
        <f t="shared" si="106"/>
        <v/>
      </c>
      <c r="U325" s="39" t="str">
        <f t="shared" si="107"/>
        <v/>
      </c>
      <c r="V325" s="40" t="str">
        <f t="shared" si="108"/>
        <v/>
      </c>
      <c r="W325" s="39" t="str">
        <f t="shared" si="109"/>
        <v/>
      </c>
      <c r="X325" s="34" t="str">
        <f t="shared" si="110"/>
        <v/>
      </c>
      <c r="Y325" s="41" t="str">
        <f t="shared" si="116"/>
        <v/>
      </c>
      <c r="Z325" s="98" t="str">
        <f t="shared" si="111"/>
        <v/>
      </c>
      <c r="AA325" s="81" t="str">
        <f t="shared" si="117"/>
        <v/>
      </c>
      <c r="AC325" s="139"/>
      <c r="AD325" s="110" t="str">
        <f t="shared" si="118"/>
        <v/>
      </c>
      <c r="AE325" s="111" t="str">
        <f t="shared" si="119"/>
        <v/>
      </c>
      <c r="AF325" s="111" t="str">
        <f t="shared" si="112"/>
        <v/>
      </c>
      <c r="AG325" s="111" t="str">
        <f t="shared" si="120"/>
        <v/>
      </c>
      <c r="AH325" s="111" t="str">
        <f t="shared" si="121"/>
        <v/>
      </c>
      <c r="AI325" s="112" t="str">
        <f t="shared" si="122"/>
        <v/>
      </c>
      <c r="AJ325" t="str">
        <f t="shared" si="123"/>
        <v/>
      </c>
      <c r="AK325" t="str">
        <f t="shared" si="124"/>
        <v/>
      </c>
    </row>
    <row r="326" spans="1:37" ht="15" customHeight="1" x14ac:dyDescent="0.25">
      <c r="A326" s="114"/>
      <c r="B326" s="116"/>
      <c r="C326" s="116"/>
      <c r="D326" s="42" t="str">
        <f t="shared" si="100"/>
        <v/>
      </c>
      <c r="E326" s="43"/>
      <c r="F326" s="83"/>
      <c r="G326" s="118"/>
      <c r="H326" s="34" t="str">
        <f t="shared" si="101"/>
        <v/>
      </c>
      <c r="I326" s="88" t="str">
        <f t="shared" si="102"/>
        <v/>
      </c>
      <c r="J326" s="44" t="str">
        <f t="shared" si="103"/>
        <v/>
      </c>
      <c r="K326" s="118"/>
      <c r="L326" s="34" t="str">
        <f t="shared" si="104"/>
        <v/>
      </c>
      <c r="M326" s="118"/>
      <c r="N326" s="121"/>
      <c r="O326" s="122" t="str">
        <f t="shared" si="113"/>
        <v/>
      </c>
      <c r="P326" s="35" t="str">
        <f t="shared" si="114"/>
        <v/>
      </c>
      <c r="Q326" s="124"/>
      <c r="R326" s="36" t="str">
        <f t="shared" si="115"/>
        <v/>
      </c>
      <c r="S326" s="37" t="str">
        <f t="shared" si="105"/>
        <v/>
      </c>
      <c r="T326" s="38" t="str">
        <f t="shared" si="106"/>
        <v/>
      </c>
      <c r="U326" s="39" t="str">
        <f t="shared" si="107"/>
        <v/>
      </c>
      <c r="V326" s="40" t="str">
        <f t="shared" si="108"/>
        <v/>
      </c>
      <c r="W326" s="39" t="str">
        <f t="shared" si="109"/>
        <v/>
      </c>
      <c r="X326" s="34" t="str">
        <f t="shared" si="110"/>
        <v/>
      </c>
      <c r="Y326" s="41" t="str">
        <f t="shared" si="116"/>
        <v/>
      </c>
      <c r="Z326" s="98" t="str">
        <f t="shared" si="111"/>
        <v/>
      </c>
      <c r="AA326" s="81" t="str">
        <f t="shared" si="117"/>
        <v/>
      </c>
      <c r="AC326" s="139"/>
      <c r="AD326" s="110" t="str">
        <f t="shared" si="118"/>
        <v/>
      </c>
      <c r="AE326" s="111" t="str">
        <f t="shared" si="119"/>
        <v/>
      </c>
      <c r="AF326" s="111" t="str">
        <f t="shared" si="112"/>
        <v/>
      </c>
      <c r="AG326" s="111" t="str">
        <f t="shared" si="120"/>
        <v/>
      </c>
      <c r="AH326" s="111" t="str">
        <f t="shared" si="121"/>
        <v/>
      </c>
      <c r="AI326" s="112" t="str">
        <f t="shared" si="122"/>
        <v/>
      </c>
      <c r="AJ326" t="str">
        <f t="shared" si="123"/>
        <v/>
      </c>
      <c r="AK326" t="str">
        <f t="shared" si="124"/>
        <v/>
      </c>
    </row>
    <row r="327" spans="1:37" ht="15" customHeight="1" x14ac:dyDescent="0.25">
      <c r="A327" s="114"/>
      <c r="B327" s="116"/>
      <c r="C327" s="116"/>
      <c r="D327" s="42" t="str">
        <f t="shared" si="100"/>
        <v/>
      </c>
      <c r="E327" s="43"/>
      <c r="F327" s="83"/>
      <c r="G327" s="118"/>
      <c r="H327" s="34" t="str">
        <f t="shared" si="101"/>
        <v/>
      </c>
      <c r="I327" s="88" t="str">
        <f t="shared" si="102"/>
        <v/>
      </c>
      <c r="J327" s="44" t="str">
        <f t="shared" si="103"/>
        <v/>
      </c>
      <c r="K327" s="118"/>
      <c r="L327" s="34" t="str">
        <f t="shared" si="104"/>
        <v/>
      </c>
      <c r="M327" s="118"/>
      <c r="N327" s="121"/>
      <c r="O327" s="122" t="str">
        <f t="shared" si="113"/>
        <v/>
      </c>
      <c r="P327" s="35" t="str">
        <f t="shared" si="114"/>
        <v/>
      </c>
      <c r="Q327" s="124"/>
      <c r="R327" s="36" t="str">
        <f t="shared" si="115"/>
        <v/>
      </c>
      <c r="S327" s="37" t="str">
        <f t="shared" si="105"/>
        <v/>
      </c>
      <c r="T327" s="38" t="str">
        <f t="shared" si="106"/>
        <v/>
      </c>
      <c r="U327" s="39" t="str">
        <f t="shared" si="107"/>
        <v/>
      </c>
      <c r="V327" s="40" t="str">
        <f t="shared" si="108"/>
        <v/>
      </c>
      <c r="W327" s="39" t="str">
        <f t="shared" si="109"/>
        <v/>
      </c>
      <c r="X327" s="34" t="str">
        <f t="shared" si="110"/>
        <v/>
      </c>
      <c r="Y327" s="41" t="str">
        <f t="shared" si="116"/>
        <v/>
      </c>
      <c r="Z327" s="98" t="str">
        <f t="shared" si="111"/>
        <v/>
      </c>
      <c r="AA327" s="81" t="str">
        <f t="shared" si="117"/>
        <v/>
      </c>
      <c r="AC327" s="139"/>
      <c r="AD327" s="110" t="str">
        <f t="shared" si="118"/>
        <v/>
      </c>
      <c r="AE327" s="111" t="str">
        <f t="shared" si="119"/>
        <v/>
      </c>
      <c r="AF327" s="111" t="str">
        <f t="shared" si="112"/>
        <v/>
      </c>
      <c r="AG327" s="111" t="str">
        <f t="shared" si="120"/>
        <v/>
      </c>
      <c r="AH327" s="111" t="str">
        <f t="shared" si="121"/>
        <v/>
      </c>
      <c r="AI327" s="112" t="str">
        <f t="shared" si="122"/>
        <v/>
      </c>
      <c r="AJ327" t="str">
        <f t="shared" si="123"/>
        <v/>
      </c>
      <c r="AK327" t="str">
        <f t="shared" si="124"/>
        <v/>
      </c>
    </row>
    <row r="328" spans="1:37" ht="15" customHeight="1" x14ac:dyDescent="0.25">
      <c r="A328" s="114"/>
      <c r="B328" s="116"/>
      <c r="C328" s="116"/>
      <c r="D328" s="42" t="str">
        <f t="shared" ref="D328:D391" si="125">IF(A328="","",B328*C328)</f>
        <v/>
      </c>
      <c r="E328" s="43"/>
      <c r="F328" s="83"/>
      <c r="G328" s="118"/>
      <c r="H328" s="34" t="str">
        <f t="shared" ref="H328:H391" si="126">IF(OR(G328=0,C328=0,G328="",C328=""),"",G328/C328)</f>
        <v/>
      </c>
      <c r="I328" s="88" t="str">
        <f t="shared" ref="I328:I391" si="127">IF(OR(G328="",F328=""),"",G328*(1-F328))</f>
        <v/>
      </c>
      <c r="J328" s="44" t="str">
        <f t="shared" ref="J328:J391" si="128">IF(A328="","",I328*B328)</f>
        <v/>
      </c>
      <c r="K328" s="118"/>
      <c r="L328" s="34" t="str">
        <f t="shared" ref="L328:L391" si="129">IF(OR(K328=0,C328=0,K328="",C328=""),"",K328/C328)</f>
        <v/>
      </c>
      <c r="M328" s="118"/>
      <c r="N328" s="121"/>
      <c r="O328" s="122" t="str">
        <f t="shared" si="113"/>
        <v/>
      </c>
      <c r="P328" s="35" t="str">
        <f t="shared" si="114"/>
        <v/>
      </c>
      <c r="Q328" s="124"/>
      <c r="R328" s="36" t="str">
        <f t="shared" si="115"/>
        <v/>
      </c>
      <c r="S328" s="37" t="str">
        <f t="shared" ref="S328:S391" si="130">IF(OR(A328="",R328=""),"",R328*C328)</f>
        <v/>
      </c>
      <c r="T328" s="38" t="str">
        <f t="shared" ref="T328:T391" si="131">IF(OR(A328="",G328&lt;=0,S328=""),"",(G328-S328)/G328)</f>
        <v/>
      </c>
      <c r="U328" s="39" t="str">
        <f t="shared" ref="U328:U391" si="132">IF(OR(G328=0,S328=0,G328="",S328=""),"",G328-S328)</f>
        <v/>
      </c>
      <c r="V328" s="40" t="str">
        <f t="shared" ref="V328:V391" si="133">IF(OR(A328="",K328&lt;=0,S328=""),"",(K328-S328)/K328)</f>
        <v/>
      </c>
      <c r="W328" s="39" t="str">
        <f t="shared" ref="W328:W391" si="134">IF(OR(K328=0,S328=0,K328="",S328=""),"",K328-S328)</f>
        <v/>
      </c>
      <c r="X328" s="34" t="str">
        <f t="shared" ref="X328:X391" si="135">IF(OR(J328="",J328=0,$N$5="",$L$3=0),"",($N$5/$L$3)*J328)</f>
        <v/>
      </c>
      <c r="Y328" s="41" t="str">
        <f t="shared" si="116"/>
        <v/>
      </c>
      <c r="Z328" s="98" t="str">
        <f t="shared" ref="Z328:Z391" si="136">IF(OR(R328=0,R328="",D328=0,D328=""),"",R328*(D328+E328))</f>
        <v/>
      </c>
      <c r="AA328" s="81" t="str">
        <f t="shared" si="117"/>
        <v/>
      </c>
      <c r="AC328" s="139"/>
      <c r="AD328" s="110" t="str">
        <f t="shared" si="118"/>
        <v/>
      </c>
      <c r="AE328" s="111" t="str">
        <f t="shared" si="119"/>
        <v/>
      </c>
      <c r="AF328" s="111" t="str">
        <f t="shared" ref="AF328:AF391" si="137">IF(AE328="","",AE328*$AD$1+IF(SUM($AE$8:$AE$1007)=0,0,$AD$2*AE328/SUM($AE$8:$AE$1007)))</f>
        <v/>
      </c>
      <c r="AG328" s="111" t="str">
        <f t="shared" si="120"/>
        <v/>
      </c>
      <c r="AH328" s="111" t="str">
        <f t="shared" si="121"/>
        <v/>
      </c>
      <c r="AI328" s="112" t="str">
        <f t="shared" si="122"/>
        <v/>
      </c>
      <c r="AJ328" t="str">
        <f t="shared" si="123"/>
        <v/>
      </c>
      <c r="AK328" t="str">
        <f t="shared" si="124"/>
        <v/>
      </c>
    </row>
    <row r="329" spans="1:37" ht="15" customHeight="1" x14ac:dyDescent="0.25">
      <c r="A329" s="114"/>
      <c r="B329" s="116"/>
      <c r="C329" s="116"/>
      <c r="D329" s="42" t="str">
        <f t="shared" si="125"/>
        <v/>
      </c>
      <c r="E329" s="43"/>
      <c r="F329" s="83"/>
      <c r="G329" s="118"/>
      <c r="H329" s="34" t="str">
        <f t="shared" si="126"/>
        <v/>
      </c>
      <c r="I329" s="88" t="str">
        <f t="shared" si="127"/>
        <v/>
      </c>
      <c r="J329" s="44" t="str">
        <f t="shared" si="128"/>
        <v/>
      </c>
      <c r="K329" s="118"/>
      <c r="L329" s="34" t="str">
        <f t="shared" si="129"/>
        <v/>
      </c>
      <c r="M329" s="118"/>
      <c r="N329" s="121"/>
      <c r="O329" s="122" t="str">
        <f t="shared" ref="O329:O392" si="138">IF(A329="","",IF(Q329&gt;0,IF(J329&gt;0,Q329/J329,0),IF(E329&gt;0,0,IF($J$3&gt;0,IF($J$4&gt;0,MAX($J$3-SUM($Q$8:$Q$1007),0)/$J$4,0),$J$2))))</f>
        <v/>
      </c>
      <c r="P329" s="35" t="str">
        <f t="shared" ref="P329:P392" si="139">IF(A329="","",IF(Q329&gt;0,Q329,IF(E329&gt;0,0,J329*IF($J$3&gt;0,IF($J$4&gt;0,MAX($J$3-SUM($Q$8:$Q$1007),0)/$J$4,0),$J$2))))</f>
        <v/>
      </c>
      <c r="Q329" s="124"/>
      <c r="R329" s="36" t="str">
        <f t="shared" ref="R329:R392" si="140">IF(A329="","",IF(OR(B329=0,B329="",C329&lt;=0,D329+E329&lt;=0),"",(J329-P329)/(D329+E329)-IF(X329&gt;=0,X329/D329,0)+IF(ISNUMBER(Y329),Y329/(D329+E329),0)))</f>
        <v/>
      </c>
      <c r="S329" s="37" t="str">
        <f t="shared" si="130"/>
        <v/>
      </c>
      <c r="T329" s="38" t="str">
        <f t="shared" si="131"/>
        <v/>
      </c>
      <c r="U329" s="39" t="str">
        <f t="shared" si="132"/>
        <v/>
      </c>
      <c r="V329" s="40" t="str">
        <f t="shared" si="133"/>
        <v/>
      </c>
      <c r="W329" s="39" t="str">
        <f t="shared" si="134"/>
        <v/>
      </c>
      <c r="X329" s="34" t="str">
        <f t="shared" si="135"/>
        <v/>
      </c>
      <c r="Y329" s="41" t="str">
        <f t="shared" ref="Y329:Y392" si="141">IF(OR(J329="",J329=0,($L$3-$L$2)=0),"",($J$1/($L$3-$L$2))*(J329-P329))</f>
        <v/>
      </c>
      <c r="Z329" s="98" t="str">
        <f t="shared" si="136"/>
        <v/>
      </c>
      <c r="AA329" s="81" t="str">
        <f t="shared" ref="AA329:AA392" si="142">IF(OR(B329=0,B329=""),"",J329)</f>
        <v/>
      </c>
      <c r="AC329" s="139"/>
      <c r="AD329" s="110" t="str">
        <f t="shared" ref="AD329:AD392" si="143">IF(AC329="","",R329)</f>
        <v/>
      </c>
      <c r="AE329" s="111" t="str">
        <f t="shared" ref="AE329:AE392" si="144">IF(OR(AC329="",AD329=""),"",AC329*AD329)</f>
        <v/>
      </c>
      <c r="AF329" s="111" t="str">
        <f t="shared" si="137"/>
        <v/>
      </c>
      <c r="AG329" s="111" t="str">
        <f t="shared" ref="AG329:AG392" si="145">IF(AE329="","",AE329-AF329)</f>
        <v/>
      </c>
      <c r="AH329" s="111" t="str">
        <f t="shared" ref="AH329:AH392" si="146">IF(AG329="","",AI329-AG329)</f>
        <v/>
      </c>
      <c r="AI329" s="112" t="str">
        <f t="shared" ref="AI329:AI392" si="147">IF(AG329="","",ROUND(AG329,0))</f>
        <v/>
      </c>
      <c r="AJ329" t="str">
        <f t="shared" ref="AJ329:AJ392" si="148">IF(OR(AC329=0,AC329=""),"",AF329/AC329)</f>
        <v/>
      </c>
      <c r="AK329" t="str">
        <f t="shared" ref="AK329:AK392" si="149">IF(OR(AC329=0,AC329=""),"",AD329*C329)</f>
        <v/>
      </c>
    </row>
    <row r="330" spans="1:37" ht="15" customHeight="1" x14ac:dyDescent="0.25">
      <c r="A330" s="114"/>
      <c r="B330" s="116"/>
      <c r="C330" s="116"/>
      <c r="D330" s="42" t="str">
        <f t="shared" si="125"/>
        <v/>
      </c>
      <c r="E330" s="43"/>
      <c r="F330" s="83"/>
      <c r="G330" s="118"/>
      <c r="H330" s="34" t="str">
        <f t="shared" si="126"/>
        <v/>
      </c>
      <c r="I330" s="88" t="str">
        <f t="shared" si="127"/>
        <v/>
      </c>
      <c r="J330" s="44" t="str">
        <f t="shared" si="128"/>
        <v/>
      </c>
      <c r="K330" s="118"/>
      <c r="L330" s="34" t="str">
        <f t="shared" si="129"/>
        <v/>
      </c>
      <c r="M330" s="118"/>
      <c r="N330" s="121"/>
      <c r="O330" s="122" t="str">
        <f t="shared" si="138"/>
        <v/>
      </c>
      <c r="P330" s="35" t="str">
        <f t="shared" si="139"/>
        <v/>
      </c>
      <c r="Q330" s="124"/>
      <c r="R330" s="36" t="str">
        <f t="shared" si="140"/>
        <v/>
      </c>
      <c r="S330" s="37" t="str">
        <f t="shared" si="130"/>
        <v/>
      </c>
      <c r="T330" s="38" t="str">
        <f t="shared" si="131"/>
        <v/>
      </c>
      <c r="U330" s="39" t="str">
        <f t="shared" si="132"/>
        <v/>
      </c>
      <c r="V330" s="40" t="str">
        <f t="shared" si="133"/>
        <v/>
      </c>
      <c r="W330" s="39" t="str">
        <f t="shared" si="134"/>
        <v/>
      </c>
      <c r="X330" s="34" t="str">
        <f t="shared" si="135"/>
        <v/>
      </c>
      <c r="Y330" s="41" t="str">
        <f t="shared" si="141"/>
        <v/>
      </c>
      <c r="Z330" s="98" t="str">
        <f t="shared" si="136"/>
        <v/>
      </c>
      <c r="AA330" s="81" t="str">
        <f t="shared" si="142"/>
        <v/>
      </c>
      <c r="AC330" s="139"/>
      <c r="AD330" s="110" t="str">
        <f t="shared" si="143"/>
        <v/>
      </c>
      <c r="AE330" s="111" t="str">
        <f t="shared" si="144"/>
        <v/>
      </c>
      <c r="AF330" s="111" t="str">
        <f t="shared" si="137"/>
        <v/>
      </c>
      <c r="AG330" s="111" t="str">
        <f t="shared" si="145"/>
        <v/>
      </c>
      <c r="AH330" s="111" t="str">
        <f t="shared" si="146"/>
        <v/>
      </c>
      <c r="AI330" s="112" t="str">
        <f t="shared" si="147"/>
        <v/>
      </c>
      <c r="AJ330" t="str">
        <f t="shared" si="148"/>
        <v/>
      </c>
      <c r="AK330" t="str">
        <f t="shared" si="149"/>
        <v/>
      </c>
    </row>
    <row r="331" spans="1:37" ht="15" customHeight="1" x14ac:dyDescent="0.25">
      <c r="A331" s="114"/>
      <c r="B331" s="116"/>
      <c r="C331" s="116"/>
      <c r="D331" s="42" t="str">
        <f t="shared" si="125"/>
        <v/>
      </c>
      <c r="E331" s="43"/>
      <c r="F331" s="83"/>
      <c r="G331" s="118"/>
      <c r="H331" s="34" t="str">
        <f t="shared" si="126"/>
        <v/>
      </c>
      <c r="I331" s="88" t="str">
        <f t="shared" si="127"/>
        <v/>
      </c>
      <c r="J331" s="44" t="str">
        <f t="shared" si="128"/>
        <v/>
      </c>
      <c r="K331" s="118"/>
      <c r="L331" s="34" t="str">
        <f t="shared" si="129"/>
        <v/>
      </c>
      <c r="M331" s="118"/>
      <c r="N331" s="121"/>
      <c r="O331" s="122" t="str">
        <f t="shared" si="138"/>
        <v/>
      </c>
      <c r="P331" s="35" t="str">
        <f t="shared" si="139"/>
        <v/>
      </c>
      <c r="Q331" s="124"/>
      <c r="R331" s="36" t="str">
        <f t="shared" si="140"/>
        <v/>
      </c>
      <c r="S331" s="37" t="str">
        <f t="shared" si="130"/>
        <v/>
      </c>
      <c r="T331" s="38" t="str">
        <f t="shared" si="131"/>
        <v/>
      </c>
      <c r="U331" s="39" t="str">
        <f t="shared" si="132"/>
        <v/>
      </c>
      <c r="V331" s="40" t="str">
        <f t="shared" si="133"/>
        <v/>
      </c>
      <c r="W331" s="39" t="str">
        <f t="shared" si="134"/>
        <v/>
      </c>
      <c r="X331" s="34" t="str">
        <f t="shared" si="135"/>
        <v/>
      </c>
      <c r="Y331" s="41" t="str">
        <f t="shared" si="141"/>
        <v/>
      </c>
      <c r="Z331" s="98" t="str">
        <f t="shared" si="136"/>
        <v/>
      </c>
      <c r="AA331" s="81" t="str">
        <f t="shared" si="142"/>
        <v/>
      </c>
      <c r="AC331" s="139"/>
      <c r="AD331" s="110" t="str">
        <f t="shared" si="143"/>
        <v/>
      </c>
      <c r="AE331" s="111" t="str">
        <f t="shared" si="144"/>
        <v/>
      </c>
      <c r="AF331" s="111" t="str">
        <f t="shared" si="137"/>
        <v/>
      </c>
      <c r="AG331" s="111" t="str">
        <f t="shared" si="145"/>
        <v/>
      </c>
      <c r="AH331" s="111" t="str">
        <f t="shared" si="146"/>
        <v/>
      </c>
      <c r="AI331" s="112" t="str">
        <f t="shared" si="147"/>
        <v/>
      </c>
      <c r="AJ331" t="str">
        <f t="shared" si="148"/>
        <v/>
      </c>
      <c r="AK331" t="str">
        <f t="shared" si="149"/>
        <v/>
      </c>
    </row>
    <row r="332" spans="1:37" ht="15" customHeight="1" x14ac:dyDescent="0.25">
      <c r="A332" s="114"/>
      <c r="B332" s="116"/>
      <c r="C332" s="116"/>
      <c r="D332" s="42" t="str">
        <f t="shared" si="125"/>
        <v/>
      </c>
      <c r="E332" s="43"/>
      <c r="F332" s="83"/>
      <c r="G332" s="118"/>
      <c r="H332" s="34" t="str">
        <f t="shared" si="126"/>
        <v/>
      </c>
      <c r="I332" s="88" t="str">
        <f t="shared" si="127"/>
        <v/>
      </c>
      <c r="J332" s="44" t="str">
        <f t="shared" si="128"/>
        <v/>
      </c>
      <c r="K332" s="118"/>
      <c r="L332" s="34" t="str">
        <f t="shared" si="129"/>
        <v/>
      </c>
      <c r="M332" s="118"/>
      <c r="N332" s="121"/>
      <c r="O332" s="122" t="str">
        <f t="shared" si="138"/>
        <v/>
      </c>
      <c r="P332" s="35" t="str">
        <f t="shared" si="139"/>
        <v/>
      </c>
      <c r="Q332" s="124"/>
      <c r="R332" s="36" t="str">
        <f t="shared" si="140"/>
        <v/>
      </c>
      <c r="S332" s="37" t="str">
        <f t="shared" si="130"/>
        <v/>
      </c>
      <c r="T332" s="38" t="str">
        <f t="shared" si="131"/>
        <v/>
      </c>
      <c r="U332" s="39" t="str">
        <f t="shared" si="132"/>
        <v/>
      </c>
      <c r="V332" s="40" t="str">
        <f t="shared" si="133"/>
        <v/>
      </c>
      <c r="W332" s="39" t="str">
        <f t="shared" si="134"/>
        <v/>
      </c>
      <c r="X332" s="34" t="str">
        <f t="shared" si="135"/>
        <v/>
      </c>
      <c r="Y332" s="41" t="str">
        <f t="shared" si="141"/>
        <v/>
      </c>
      <c r="Z332" s="98" t="str">
        <f t="shared" si="136"/>
        <v/>
      </c>
      <c r="AA332" s="81" t="str">
        <f t="shared" si="142"/>
        <v/>
      </c>
      <c r="AC332" s="139"/>
      <c r="AD332" s="110" t="str">
        <f t="shared" si="143"/>
        <v/>
      </c>
      <c r="AE332" s="111" t="str">
        <f t="shared" si="144"/>
        <v/>
      </c>
      <c r="AF332" s="111" t="str">
        <f t="shared" si="137"/>
        <v/>
      </c>
      <c r="AG332" s="111" t="str">
        <f t="shared" si="145"/>
        <v/>
      </c>
      <c r="AH332" s="111" t="str">
        <f t="shared" si="146"/>
        <v/>
      </c>
      <c r="AI332" s="112" t="str">
        <f t="shared" si="147"/>
        <v/>
      </c>
      <c r="AJ332" t="str">
        <f t="shared" si="148"/>
        <v/>
      </c>
      <c r="AK332" t="str">
        <f t="shared" si="149"/>
        <v/>
      </c>
    </row>
    <row r="333" spans="1:37" ht="15" customHeight="1" x14ac:dyDescent="0.25">
      <c r="A333" s="114"/>
      <c r="B333" s="116"/>
      <c r="C333" s="116"/>
      <c r="D333" s="42" t="str">
        <f t="shared" si="125"/>
        <v/>
      </c>
      <c r="E333" s="43"/>
      <c r="F333" s="83"/>
      <c r="G333" s="118"/>
      <c r="H333" s="34" t="str">
        <f t="shared" si="126"/>
        <v/>
      </c>
      <c r="I333" s="88" t="str">
        <f t="shared" si="127"/>
        <v/>
      </c>
      <c r="J333" s="44" t="str">
        <f t="shared" si="128"/>
        <v/>
      </c>
      <c r="K333" s="118"/>
      <c r="L333" s="34" t="str">
        <f t="shared" si="129"/>
        <v/>
      </c>
      <c r="M333" s="118"/>
      <c r="N333" s="121"/>
      <c r="O333" s="122" t="str">
        <f t="shared" si="138"/>
        <v/>
      </c>
      <c r="P333" s="35" t="str">
        <f t="shared" si="139"/>
        <v/>
      </c>
      <c r="Q333" s="124"/>
      <c r="R333" s="36" t="str">
        <f t="shared" si="140"/>
        <v/>
      </c>
      <c r="S333" s="37" t="str">
        <f t="shared" si="130"/>
        <v/>
      </c>
      <c r="T333" s="38" t="str">
        <f t="shared" si="131"/>
        <v/>
      </c>
      <c r="U333" s="39" t="str">
        <f t="shared" si="132"/>
        <v/>
      </c>
      <c r="V333" s="40" t="str">
        <f t="shared" si="133"/>
        <v/>
      </c>
      <c r="W333" s="39" t="str">
        <f t="shared" si="134"/>
        <v/>
      </c>
      <c r="X333" s="34" t="str">
        <f t="shared" si="135"/>
        <v/>
      </c>
      <c r="Y333" s="41" t="str">
        <f t="shared" si="141"/>
        <v/>
      </c>
      <c r="Z333" s="98" t="str">
        <f t="shared" si="136"/>
        <v/>
      </c>
      <c r="AA333" s="81" t="str">
        <f t="shared" si="142"/>
        <v/>
      </c>
      <c r="AC333" s="139"/>
      <c r="AD333" s="110" t="str">
        <f t="shared" si="143"/>
        <v/>
      </c>
      <c r="AE333" s="111" t="str">
        <f t="shared" si="144"/>
        <v/>
      </c>
      <c r="AF333" s="111" t="str">
        <f t="shared" si="137"/>
        <v/>
      </c>
      <c r="AG333" s="111" t="str">
        <f t="shared" si="145"/>
        <v/>
      </c>
      <c r="AH333" s="111" t="str">
        <f t="shared" si="146"/>
        <v/>
      </c>
      <c r="AI333" s="112" t="str">
        <f t="shared" si="147"/>
        <v/>
      </c>
      <c r="AJ333" t="str">
        <f t="shared" si="148"/>
        <v/>
      </c>
      <c r="AK333" t="str">
        <f t="shared" si="149"/>
        <v/>
      </c>
    </row>
    <row r="334" spans="1:37" ht="15" customHeight="1" x14ac:dyDescent="0.25">
      <c r="A334" s="114"/>
      <c r="B334" s="116"/>
      <c r="C334" s="116"/>
      <c r="D334" s="42" t="str">
        <f t="shared" si="125"/>
        <v/>
      </c>
      <c r="E334" s="43"/>
      <c r="F334" s="83"/>
      <c r="G334" s="118"/>
      <c r="H334" s="34" t="str">
        <f t="shared" si="126"/>
        <v/>
      </c>
      <c r="I334" s="88" t="str">
        <f t="shared" si="127"/>
        <v/>
      </c>
      <c r="J334" s="44" t="str">
        <f t="shared" si="128"/>
        <v/>
      </c>
      <c r="K334" s="118"/>
      <c r="L334" s="34" t="str">
        <f t="shared" si="129"/>
        <v/>
      </c>
      <c r="M334" s="118"/>
      <c r="N334" s="121"/>
      <c r="O334" s="122" t="str">
        <f t="shared" si="138"/>
        <v/>
      </c>
      <c r="P334" s="35" t="str">
        <f t="shared" si="139"/>
        <v/>
      </c>
      <c r="Q334" s="124"/>
      <c r="R334" s="36" t="str">
        <f t="shared" si="140"/>
        <v/>
      </c>
      <c r="S334" s="37" t="str">
        <f t="shared" si="130"/>
        <v/>
      </c>
      <c r="T334" s="38" t="str">
        <f t="shared" si="131"/>
        <v/>
      </c>
      <c r="U334" s="39" t="str">
        <f t="shared" si="132"/>
        <v/>
      </c>
      <c r="V334" s="40" t="str">
        <f t="shared" si="133"/>
        <v/>
      </c>
      <c r="W334" s="39" t="str">
        <f t="shared" si="134"/>
        <v/>
      </c>
      <c r="X334" s="34" t="str">
        <f t="shared" si="135"/>
        <v/>
      </c>
      <c r="Y334" s="41" t="str">
        <f t="shared" si="141"/>
        <v/>
      </c>
      <c r="Z334" s="98" t="str">
        <f t="shared" si="136"/>
        <v/>
      </c>
      <c r="AA334" s="81" t="str">
        <f t="shared" si="142"/>
        <v/>
      </c>
      <c r="AC334" s="139"/>
      <c r="AD334" s="110" t="str">
        <f t="shared" si="143"/>
        <v/>
      </c>
      <c r="AE334" s="111" t="str">
        <f t="shared" si="144"/>
        <v/>
      </c>
      <c r="AF334" s="111" t="str">
        <f t="shared" si="137"/>
        <v/>
      </c>
      <c r="AG334" s="111" t="str">
        <f t="shared" si="145"/>
        <v/>
      </c>
      <c r="AH334" s="111" t="str">
        <f t="shared" si="146"/>
        <v/>
      </c>
      <c r="AI334" s="112" t="str">
        <f t="shared" si="147"/>
        <v/>
      </c>
      <c r="AJ334" t="str">
        <f t="shared" si="148"/>
        <v/>
      </c>
      <c r="AK334" t="str">
        <f t="shared" si="149"/>
        <v/>
      </c>
    </row>
    <row r="335" spans="1:37" ht="15" customHeight="1" x14ac:dyDescent="0.25">
      <c r="A335" s="114"/>
      <c r="B335" s="116"/>
      <c r="C335" s="116"/>
      <c r="D335" s="42" t="str">
        <f t="shared" si="125"/>
        <v/>
      </c>
      <c r="E335" s="43"/>
      <c r="F335" s="83"/>
      <c r="G335" s="118"/>
      <c r="H335" s="34" t="str">
        <f t="shared" si="126"/>
        <v/>
      </c>
      <c r="I335" s="88" t="str">
        <f t="shared" si="127"/>
        <v/>
      </c>
      <c r="J335" s="44" t="str">
        <f t="shared" si="128"/>
        <v/>
      </c>
      <c r="K335" s="118"/>
      <c r="L335" s="34" t="str">
        <f t="shared" si="129"/>
        <v/>
      </c>
      <c r="M335" s="118"/>
      <c r="N335" s="121"/>
      <c r="O335" s="122" t="str">
        <f t="shared" si="138"/>
        <v/>
      </c>
      <c r="P335" s="35" t="str">
        <f t="shared" si="139"/>
        <v/>
      </c>
      <c r="Q335" s="124"/>
      <c r="R335" s="36" t="str">
        <f t="shared" si="140"/>
        <v/>
      </c>
      <c r="S335" s="37" t="str">
        <f t="shared" si="130"/>
        <v/>
      </c>
      <c r="T335" s="38" t="str">
        <f t="shared" si="131"/>
        <v/>
      </c>
      <c r="U335" s="39" t="str">
        <f t="shared" si="132"/>
        <v/>
      </c>
      <c r="V335" s="40" t="str">
        <f t="shared" si="133"/>
        <v/>
      </c>
      <c r="W335" s="39" t="str">
        <f t="shared" si="134"/>
        <v/>
      </c>
      <c r="X335" s="34" t="str">
        <f t="shared" si="135"/>
        <v/>
      </c>
      <c r="Y335" s="41" t="str">
        <f t="shared" si="141"/>
        <v/>
      </c>
      <c r="Z335" s="98" t="str">
        <f t="shared" si="136"/>
        <v/>
      </c>
      <c r="AA335" s="81" t="str">
        <f t="shared" si="142"/>
        <v/>
      </c>
      <c r="AC335" s="139"/>
      <c r="AD335" s="110" t="str">
        <f t="shared" si="143"/>
        <v/>
      </c>
      <c r="AE335" s="111" t="str">
        <f t="shared" si="144"/>
        <v/>
      </c>
      <c r="AF335" s="111" t="str">
        <f t="shared" si="137"/>
        <v/>
      </c>
      <c r="AG335" s="111" t="str">
        <f t="shared" si="145"/>
        <v/>
      </c>
      <c r="AH335" s="111" t="str">
        <f t="shared" si="146"/>
        <v/>
      </c>
      <c r="AI335" s="112" t="str">
        <f t="shared" si="147"/>
        <v/>
      </c>
      <c r="AJ335" t="str">
        <f t="shared" si="148"/>
        <v/>
      </c>
      <c r="AK335" t="str">
        <f t="shared" si="149"/>
        <v/>
      </c>
    </row>
    <row r="336" spans="1:37" ht="15" customHeight="1" x14ac:dyDescent="0.25">
      <c r="A336" s="114"/>
      <c r="B336" s="116"/>
      <c r="C336" s="116"/>
      <c r="D336" s="42" t="str">
        <f t="shared" si="125"/>
        <v/>
      </c>
      <c r="E336" s="43"/>
      <c r="F336" s="83"/>
      <c r="G336" s="118"/>
      <c r="H336" s="34" t="str">
        <f t="shared" si="126"/>
        <v/>
      </c>
      <c r="I336" s="88" t="str">
        <f t="shared" si="127"/>
        <v/>
      </c>
      <c r="J336" s="44" t="str">
        <f t="shared" si="128"/>
        <v/>
      </c>
      <c r="K336" s="118"/>
      <c r="L336" s="34" t="str">
        <f t="shared" si="129"/>
        <v/>
      </c>
      <c r="M336" s="118"/>
      <c r="N336" s="121"/>
      <c r="O336" s="122" t="str">
        <f t="shared" si="138"/>
        <v/>
      </c>
      <c r="P336" s="35" t="str">
        <f t="shared" si="139"/>
        <v/>
      </c>
      <c r="Q336" s="124"/>
      <c r="R336" s="36" t="str">
        <f t="shared" si="140"/>
        <v/>
      </c>
      <c r="S336" s="37" t="str">
        <f t="shared" si="130"/>
        <v/>
      </c>
      <c r="T336" s="38" t="str">
        <f t="shared" si="131"/>
        <v/>
      </c>
      <c r="U336" s="39" t="str">
        <f t="shared" si="132"/>
        <v/>
      </c>
      <c r="V336" s="40" t="str">
        <f t="shared" si="133"/>
        <v/>
      </c>
      <c r="W336" s="39" t="str">
        <f t="shared" si="134"/>
        <v/>
      </c>
      <c r="X336" s="34" t="str">
        <f t="shared" si="135"/>
        <v/>
      </c>
      <c r="Y336" s="41" t="str">
        <f t="shared" si="141"/>
        <v/>
      </c>
      <c r="Z336" s="98" t="str">
        <f t="shared" si="136"/>
        <v/>
      </c>
      <c r="AA336" s="81" t="str">
        <f t="shared" si="142"/>
        <v/>
      </c>
      <c r="AC336" s="139"/>
      <c r="AD336" s="110" t="str">
        <f t="shared" si="143"/>
        <v/>
      </c>
      <c r="AE336" s="111" t="str">
        <f t="shared" si="144"/>
        <v/>
      </c>
      <c r="AF336" s="111" t="str">
        <f t="shared" si="137"/>
        <v/>
      </c>
      <c r="AG336" s="111" t="str">
        <f t="shared" si="145"/>
        <v/>
      </c>
      <c r="AH336" s="111" t="str">
        <f t="shared" si="146"/>
        <v/>
      </c>
      <c r="AI336" s="112" t="str">
        <f t="shared" si="147"/>
        <v/>
      </c>
      <c r="AJ336" t="str">
        <f t="shared" si="148"/>
        <v/>
      </c>
      <c r="AK336" t="str">
        <f t="shared" si="149"/>
        <v/>
      </c>
    </row>
    <row r="337" spans="1:37" ht="15" customHeight="1" x14ac:dyDescent="0.25">
      <c r="A337" s="114"/>
      <c r="B337" s="116"/>
      <c r="C337" s="116"/>
      <c r="D337" s="42" t="str">
        <f t="shared" si="125"/>
        <v/>
      </c>
      <c r="E337" s="43"/>
      <c r="F337" s="83"/>
      <c r="G337" s="118"/>
      <c r="H337" s="34" t="str">
        <f t="shared" si="126"/>
        <v/>
      </c>
      <c r="I337" s="88" t="str">
        <f t="shared" si="127"/>
        <v/>
      </c>
      <c r="J337" s="44" t="str">
        <f t="shared" si="128"/>
        <v/>
      </c>
      <c r="K337" s="118"/>
      <c r="L337" s="34" t="str">
        <f t="shared" si="129"/>
        <v/>
      </c>
      <c r="M337" s="118"/>
      <c r="N337" s="121"/>
      <c r="O337" s="122" t="str">
        <f t="shared" si="138"/>
        <v/>
      </c>
      <c r="P337" s="35" t="str">
        <f t="shared" si="139"/>
        <v/>
      </c>
      <c r="Q337" s="124"/>
      <c r="R337" s="36" t="str">
        <f t="shared" si="140"/>
        <v/>
      </c>
      <c r="S337" s="37" t="str">
        <f t="shared" si="130"/>
        <v/>
      </c>
      <c r="T337" s="38" t="str">
        <f t="shared" si="131"/>
        <v/>
      </c>
      <c r="U337" s="39" t="str">
        <f t="shared" si="132"/>
        <v/>
      </c>
      <c r="V337" s="40" t="str">
        <f t="shared" si="133"/>
        <v/>
      </c>
      <c r="W337" s="39" t="str">
        <f t="shared" si="134"/>
        <v/>
      </c>
      <c r="X337" s="34" t="str">
        <f t="shared" si="135"/>
        <v/>
      </c>
      <c r="Y337" s="41" t="str">
        <f t="shared" si="141"/>
        <v/>
      </c>
      <c r="Z337" s="98" t="str">
        <f t="shared" si="136"/>
        <v/>
      </c>
      <c r="AA337" s="81" t="str">
        <f t="shared" si="142"/>
        <v/>
      </c>
      <c r="AC337" s="139"/>
      <c r="AD337" s="110" t="str">
        <f t="shared" si="143"/>
        <v/>
      </c>
      <c r="AE337" s="111" t="str">
        <f t="shared" si="144"/>
        <v/>
      </c>
      <c r="AF337" s="111" t="str">
        <f t="shared" si="137"/>
        <v/>
      </c>
      <c r="AG337" s="111" t="str">
        <f t="shared" si="145"/>
        <v/>
      </c>
      <c r="AH337" s="111" t="str">
        <f t="shared" si="146"/>
        <v/>
      </c>
      <c r="AI337" s="112" t="str">
        <f t="shared" si="147"/>
        <v/>
      </c>
      <c r="AJ337" t="str">
        <f t="shared" si="148"/>
        <v/>
      </c>
      <c r="AK337" t="str">
        <f t="shared" si="149"/>
        <v/>
      </c>
    </row>
    <row r="338" spans="1:37" ht="15" customHeight="1" x14ac:dyDescent="0.25">
      <c r="A338" s="114"/>
      <c r="B338" s="116"/>
      <c r="C338" s="116"/>
      <c r="D338" s="42" t="str">
        <f t="shared" si="125"/>
        <v/>
      </c>
      <c r="E338" s="43"/>
      <c r="F338" s="83"/>
      <c r="G338" s="118"/>
      <c r="H338" s="34" t="str">
        <f t="shared" si="126"/>
        <v/>
      </c>
      <c r="I338" s="88" t="str">
        <f t="shared" si="127"/>
        <v/>
      </c>
      <c r="J338" s="44" t="str">
        <f t="shared" si="128"/>
        <v/>
      </c>
      <c r="K338" s="118"/>
      <c r="L338" s="34" t="str">
        <f t="shared" si="129"/>
        <v/>
      </c>
      <c r="M338" s="118"/>
      <c r="N338" s="121"/>
      <c r="O338" s="122" t="str">
        <f t="shared" si="138"/>
        <v/>
      </c>
      <c r="P338" s="35" t="str">
        <f t="shared" si="139"/>
        <v/>
      </c>
      <c r="Q338" s="124"/>
      <c r="R338" s="36" t="str">
        <f t="shared" si="140"/>
        <v/>
      </c>
      <c r="S338" s="37" t="str">
        <f t="shared" si="130"/>
        <v/>
      </c>
      <c r="T338" s="38" t="str">
        <f t="shared" si="131"/>
        <v/>
      </c>
      <c r="U338" s="39" t="str">
        <f t="shared" si="132"/>
        <v/>
      </c>
      <c r="V338" s="40" t="str">
        <f t="shared" si="133"/>
        <v/>
      </c>
      <c r="W338" s="39" t="str">
        <f t="shared" si="134"/>
        <v/>
      </c>
      <c r="X338" s="34" t="str">
        <f t="shared" si="135"/>
        <v/>
      </c>
      <c r="Y338" s="41" t="str">
        <f t="shared" si="141"/>
        <v/>
      </c>
      <c r="Z338" s="98" t="str">
        <f t="shared" si="136"/>
        <v/>
      </c>
      <c r="AA338" s="81" t="str">
        <f t="shared" si="142"/>
        <v/>
      </c>
      <c r="AC338" s="139"/>
      <c r="AD338" s="110" t="str">
        <f t="shared" si="143"/>
        <v/>
      </c>
      <c r="AE338" s="111" t="str">
        <f t="shared" si="144"/>
        <v/>
      </c>
      <c r="AF338" s="111" t="str">
        <f t="shared" si="137"/>
        <v/>
      </c>
      <c r="AG338" s="111" t="str">
        <f t="shared" si="145"/>
        <v/>
      </c>
      <c r="AH338" s="111" t="str">
        <f t="shared" si="146"/>
        <v/>
      </c>
      <c r="AI338" s="112" t="str">
        <f t="shared" si="147"/>
        <v/>
      </c>
      <c r="AJ338" t="str">
        <f t="shared" si="148"/>
        <v/>
      </c>
      <c r="AK338" t="str">
        <f t="shared" si="149"/>
        <v/>
      </c>
    </row>
    <row r="339" spans="1:37" ht="15" customHeight="1" x14ac:dyDescent="0.25">
      <c r="A339" s="114"/>
      <c r="B339" s="116"/>
      <c r="C339" s="116"/>
      <c r="D339" s="42" t="str">
        <f t="shared" si="125"/>
        <v/>
      </c>
      <c r="E339" s="43"/>
      <c r="F339" s="83"/>
      <c r="G339" s="118"/>
      <c r="H339" s="34" t="str">
        <f t="shared" si="126"/>
        <v/>
      </c>
      <c r="I339" s="88" t="str">
        <f t="shared" si="127"/>
        <v/>
      </c>
      <c r="J339" s="44" t="str">
        <f t="shared" si="128"/>
        <v/>
      </c>
      <c r="K339" s="118"/>
      <c r="L339" s="34" t="str">
        <f t="shared" si="129"/>
        <v/>
      </c>
      <c r="M339" s="118"/>
      <c r="N339" s="121"/>
      <c r="O339" s="122" t="str">
        <f t="shared" si="138"/>
        <v/>
      </c>
      <c r="P339" s="35" t="str">
        <f t="shared" si="139"/>
        <v/>
      </c>
      <c r="Q339" s="124"/>
      <c r="R339" s="36" t="str">
        <f t="shared" si="140"/>
        <v/>
      </c>
      <c r="S339" s="37" t="str">
        <f t="shared" si="130"/>
        <v/>
      </c>
      <c r="T339" s="38" t="str">
        <f t="shared" si="131"/>
        <v/>
      </c>
      <c r="U339" s="39" t="str">
        <f t="shared" si="132"/>
        <v/>
      </c>
      <c r="V339" s="40" t="str">
        <f t="shared" si="133"/>
        <v/>
      </c>
      <c r="W339" s="39" t="str">
        <f t="shared" si="134"/>
        <v/>
      </c>
      <c r="X339" s="34" t="str">
        <f t="shared" si="135"/>
        <v/>
      </c>
      <c r="Y339" s="41" t="str">
        <f t="shared" si="141"/>
        <v/>
      </c>
      <c r="Z339" s="98" t="str">
        <f t="shared" si="136"/>
        <v/>
      </c>
      <c r="AA339" s="81" t="str">
        <f t="shared" si="142"/>
        <v/>
      </c>
      <c r="AC339" s="139"/>
      <c r="AD339" s="110" t="str">
        <f t="shared" si="143"/>
        <v/>
      </c>
      <c r="AE339" s="111" t="str">
        <f t="shared" si="144"/>
        <v/>
      </c>
      <c r="AF339" s="111" t="str">
        <f t="shared" si="137"/>
        <v/>
      </c>
      <c r="AG339" s="111" t="str">
        <f t="shared" si="145"/>
        <v/>
      </c>
      <c r="AH339" s="111" t="str">
        <f t="shared" si="146"/>
        <v/>
      </c>
      <c r="AI339" s="112" t="str">
        <f t="shared" si="147"/>
        <v/>
      </c>
      <c r="AJ339" t="str">
        <f t="shared" si="148"/>
        <v/>
      </c>
      <c r="AK339" t="str">
        <f t="shared" si="149"/>
        <v/>
      </c>
    </row>
    <row r="340" spans="1:37" ht="15" customHeight="1" x14ac:dyDescent="0.25">
      <c r="A340" s="114"/>
      <c r="B340" s="116"/>
      <c r="C340" s="116"/>
      <c r="D340" s="42" t="str">
        <f t="shared" si="125"/>
        <v/>
      </c>
      <c r="E340" s="43"/>
      <c r="F340" s="83"/>
      <c r="G340" s="118"/>
      <c r="H340" s="34" t="str">
        <f t="shared" si="126"/>
        <v/>
      </c>
      <c r="I340" s="88" t="str">
        <f t="shared" si="127"/>
        <v/>
      </c>
      <c r="J340" s="44" t="str">
        <f t="shared" si="128"/>
        <v/>
      </c>
      <c r="K340" s="118"/>
      <c r="L340" s="34" t="str">
        <f t="shared" si="129"/>
        <v/>
      </c>
      <c r="M340" s="118"/>
      <c r="N340" s="121"/>
      <c r="O340" s="122" t="str">
        <f t="shared" si="138"/>
        <v/>
      </c>
      <c r="P340" s="35" t="str">
        <f t="shared" si="139"/>
        <v/>
      </c>
      <c r="Q340" s="124"/>
      <c r="R340" s="36" t="str">
        <f t="shared" si="140"/>
        <v/>
      </c>
      <c r="S340" s="37" t="str">
        <f t="shared" si="130"/>
        <v/>
      </c>
      <c r="T340" s="38" t="str">
        <f t="shared" si="131"/>
        <v/>
      </c>
      <c r="U340" s="39" t="str">
        <f t="shared" si="132"/>
        <v/>
      </c>
      <c r="V340" s="40" t="str">
        <f t="shared" si="133"/>
        <v/>
      </c>
      <c r="W340" s="39" t="str">
        <f t="shared" si="134"/>
        <v/>
      </c>
      <c r="X340" s="34" t="str">
        <f t="shared" si="135"/>
        <v/>
      </c>
      <c r="Y340" s="41" t="str">
        <f t="shared" si="141"/>
        <v/>
      </c>
      <c r="Z340" s="98" t="str">
        <f t="shared" si="136"/>
        <v/>
      </c>
      <c r="AA340" s="81" t="str">
        <f t="shared" si="142"/>
        <v/>
      </c>
      <c r="AC340" s="139"/>
      <c r="AD340" s="110" t="str">
        <f t="shared" si="143"/>
        <v/>
      </c>
      <c r="AE340" s="111" t="str">
        <f t="shared" si="144"/>
        <v/>
      </c>
      <c r="AF340" s="111" t="str">
        <f t="shared" si="137"/>
        <v/>
      </c>
      <c r="AG340" s="111" t="str">
        <f t="shared" si="145"/>
        <v/>
      </c>
      <c r="AH340" s="111" t="str">
        <f t="shared" si="146"/>
        <v/>
      </c>
      <c r="AI340" s="112" t="str">
        <f t="shared" si="147"/>
        <v/>
      </c>
      <c r="AJ340" t="str">
        <f t="shared" si="148"/>
        <v/>
      </c>
      <c r="AK340" t="str">
        <f t="shared" si="149"/>
        <v/>
      </c>
    </row>
    <row r="341" spans="1:37" ht="15" customHeight="1" x14ac:dyDescent="0.25">
      <c r="A341" s="114"/>
      <c r="B341" s="116"/>
      <c r="C341" s="116"/>
      <c r="D341" s="42" t="str">
        <f t="shared" si="125"/>
        <v/>
      </c>
      <c r="E341" s="43"/>
      <c r="F341" s="83"/>
      <c r="G341" s="118"/>
      <c r="H341" s="34" t="str">
        <f t="shared" si="126"/>
        <v/>
      </c>
      <c r="I341" s="88" t="str">
        <f t="shared" si="127"/>
        <v/>
      </c>
      <c r="J341" s="44" t="str">
        <f t="shared" si="128"/>
        <v/>
      </c>
      <c r="K341" s="118"/>
      <c r="L341" s="34" t="str">
        <f t="shared" si="129"/>
        <v/>
      </c>
      <c r="M341" s="118"/>
      <c r="N341" s="121"/>
      <c r="O341" s="122" t="str">
        <f t="shared" si="138"/>
        <v/>
      </c>
      <c r="P341" s="35" t="str">
        <f t="shared" si="139"/>
        <v/>
      </c>
      <c r="Q341" s="124"/>
      <c r="R341" s="36" t="str">
        <f t="shared" si="140"/>
        <v/>
      </c>
      <c r="S341" s="37" t="str">
        <f t="shared" si="130"/>
        <v/>
      </c>
      <c r="T341" s="38" t="str">
        <f t="shared" si="131"/>
        <v/>
      </c>
      <c r="U341" s="39" t="str">
        <f t="shared" si="132"/>
        <v/>
      </c>
      <c r="V341" s="40" t="str">
        <f t="shared" si="133"/>
        <v/>
      </c>
      <c r="W341" s="39" t="str">
        <f t="shared" si="134"/>
        <v/>
      </c>
      <c r="X341" s="34" t="str">
        <f t="shared" si="135"/>
        <v/>
      </c>
      <c r="Y341" s="41" t="str">
        <f t="shared" si="141"/>
        <v/>
      </c>
      <c r="Z341" s="98" t="str">
        <f t="shared" si="136"/>
        <v/>
      </c>
      <c r="AA341" s="81" t="str">
        <f t="shared" si="142"/>
        <v/>
      </c>
      <c r="AC341" s="139"/>
      <c r="AD341" s="110" t="str">
        <f t="shared" si="143"/>
        <v/>
      </c>
      <c r="AE341" s="111" t="str">
        <f t="shared" si="144"/>
        <v/>
      </c>
      <c r="AF341" s="111" t="str">
        <f t="shared" si="137"/>
        <v/>
      </c>
      <c r="AG341" s="111" t="str">
        <f t="shared" si="145"/>
        <v/>
      </c>
      <c r="AH341" s="111" t="str">
        <f t="shared" si="146"/>
        <v/>
      </c>
      <c r="AI341" s="112" t="str">
        <f t="shared" si="147"/>
        <v/>
      </c>
      <c r="AJ341" t="str">
        <f t="shared" si="148"/>
        <v/>
      </c>
      <c r="AK341" t="str">
        <f t="shared" si="149"/>
        <v/>
      </c>
    </row>
    <row r="342" spans="1:37" ht="15" customHeight="1" x14ac:dyDescent="0.25">
      <c r="A342" s="114"/>
      <c r="B342" s="116"/>
      <c r="C342" s="116"/>
      <c r="D342" s="42" t="str">
        <f t="shared" si="125"/>
        <v/>
      </c>
      <c r="E342" s="43"/>
      <c r="F342" s="83"/>
      <c r="G342" s="118"/>
      <c r="H342" s="34" t="str">
        <f t="shared" si="126"/>
        <v/>
      </c>
      <c r="I342" s="88" t="str">
        <f t="shared" si="127"/>
        <v/>
      </c>
      <c r="J342" s="44" t="str">
        <f t="shared" si="128"/>
        <v/>
      </c>
      <c r="K342" s="118"/>
      <c r="L342" s="34" t="str">
        <f t="shared" si="129"/>
        <v/>
      </c>
      <c r="M342" s="118"/>
      <c r="N342" s="121"/>
      <c r="O342" s="122" t="str">
        <f t="shared" si="138"/>
        <v/>
      </c>
      <c r="P342" s="35" t="str">
        <f t="shared" si="139"/>
        <v/>
      </c>
      <c r="Q342" s="124"/>
      <c r="R342" s="36" t="str">
        <f t="shared" si="140"/>
        <v/>
      </c>
      <c r="S342" s="37" t="str">
        <f t="shared" si="130"/>
        <v/>
      </c>
      <c r="T342" s="38" t="str">
        <f t="shared" si="131"/>
        <v/>
      </c>
      <c r="U342" s="39" t="str">
        <f t="shared" si="132"/>
        <v/>
      </c>
      <c r="V342" s="40" t="str">
        <f t="shared" si="133"/>
        <v/>
      </c>
      <c r="W342" s="39" t="str">
        <f t="shared" si="134"/>
        <v/>
      </c>
      <c r="X342" s="34" t="str">
        <f t="shared" si="135"/>
        <v/>
      </c>
      <c r="Y342" s="41" t="str">
        <f t="shared" si="141"/>
        <v/>
      </c>
      <c r="Z342" s="98" t="str">
        <f t="shared" si="136"/>
        <v/>
      </c>
      <c r="AA342" s="81" t="str">
        <f t="shared" si="142"/>
        <v/>
      </c>
      <c r="AC342" s="139"/>
      <c r="AD342" s="110" t="str">
        <f t="shared" si="143"/>
        <v/>
      </c>
      <c r="AE342" s="111" t="str">
        <f t="shared" si="144"/>
        <v/>
      </c>
      <c r="AF342" s="111" t="str">
        <f t="shared" si="137"/>
        <v/>
      </c>
      <c r="AG342" s="111" t="str">
        <f t="shared" si="145"/>
        <v/>
      </c>
      <c r="AH342" s="111" t="str">
        <f t="shared" si="146"/>
        <v/>
      </c>
      <c r="AI342" s="112" t="str">
        <f t="shared" si="147"/>
        <v/>
      </c>
      <c r="AJ342" t="str">
        <f t="shared" si="148"/>
        <v/>
      </c>
      <c r="AK342" t="str">
        <f t="shared" si="149"/>
        <v/>
      </c>
    </row>
    <row r="343" spans="1:37" ht="15" customHeight="1" x14ac:dyDescent="0.25">
      <c r="A343" s="114"/>
      <c r="B343" s="116"/>
      <c r="C343" s="116"/>
      <c r="D343" s="42" t="str">
        <f t="shared" si="125"/>
        <v/>
      </c>
      <c r="E343" s="43"/>
      <c r="F343" s="83"/>
      <c r="G343" s="118"/>
      <c r="H343" s="34" t="str">
        <f t="shared" si="126"/>
        <v/>
      </c>
      <c r="I343" s="88" t="str">
        <f t="shared" si="127"/>
        <v/>
      </c>
      <c r="J343" s="44" t="str">
        <f t="shared" si="128"/>
        <v/>
      </c>
      <c r="K343" s="118"/>
      <c r="L343" s="34" t="str">
        <f t="shared" si="129"/>
        <v/>
      </c>
      <c r="M343" s="118"/>
      <c r="N343" s="121"/>
      <c r="O343" s="122" t="str">
        <f t="shared" si="138"/>
        <v/>
      </c>
      <c r="P343" s="35" t="str">
        <f t="shared" si="139"/>
        <v/>
      </c>
      <c r="Q343" s="124"/>
      <c r="R343" s="36" t="str">
        <f t="shared" si="140"/>
        <v/>
      </c>
      <c r="S343" s="37" t="str">
        <f t="shared" si="130"/>
        <v/>
      </c>
      <c r="T343" s="38" t="str">
        <f t="shared" si="131"/>
        <v/>
      </c>
      <c r="U343" s="39" t="str">
        <f t="shared" si="132"/>
        <v/>
      </c>
      <c r="V343" s="40" t="str">
        <f t="shared" si="133"/>
        <v/>
      </c>
      <c r="W343" s="39" t="str">
        <f t="shared" si="134"/>
        <v/>
      </c>
      <c r="X343" s="34" t="str">
        <f t="shared" si="135"/>
        <v/>
      </c>
      <c r="Y343" s="41" t="str">
        <f t="shared" si="141"/>
        <v/>
      </c>
      <c r="Z343" s="98" t="str">
        <f t="shared" si="136"/>
        <v/>
      </c>
      <c r="AA343" s="81" t="str">
        <f t="shared" si="142"/>
        <v/>
      </c>
      <c r="AC343" s="139"/>
      <c r="AD343" s="110" t="str">
        <f t="shared" si="143"/>
        <v/>
      </c>
      <c r="AE343" s="111" t="str">
        <f t="shared" si="144"/>
        <v/>
      </c>
      <c r="AF343" s="111" t="str">
        <f t="shared" si="137"/>
        <v/>
      </c>
      <c r="AG343" s="111" t="str">
        <f t="shared" si="145"/>
        <v/>
      </c>
      <c r="AH343" s="111" t="str">
        <f t="shared" si="146"/>
        <v/>
      </c>
      <c r="AI343" s="112" t="str">
        <f t="shared" si="147"/>
        <v/>
      </c>
      <c r="AJ343" t="str">
        <f t="shared" si="148"/>
        <v/>
      </c>
      <c r="AK343" t="str">
        <f t="shared" si="149"/>
        <v/>
      </c>
    </row>
    <row r="344" spans="1:37" ht="15" customHeight="1" x14ac:dyDescent="0.25">
      <c r="A344" s="114"/>
      <c r="B344" s="116"/>
      <c r="C344" s="116"/>
      <c r="D344" s="42" t="str">
        <f t="shared" si="125"/>
        <v/>
      </c>
      <c r="E344" s="43"/>
      <c r="F344" s="83"/>
      <c r="G344" s="118"/>
      <c r="H344" s="34" t="str">
        <f t="shared" si="126"/>
        <v/>
      </c>
      <c r="I344" s="88" t="str">
        <f t="shared" si="127"/>
        <v/>
      </c>
      <c r="J344" s="44" t="str">
        <f t="shared" si="128"/>
        <v/>
      </c>
      <c r="K344" s="118"/>
      <c r="L344" s="34" t="str">
        <f t="shared" si="129"/>
        <v/>
      </c>
      <c r="M344" s="118"/>
      <c r="N344" s="121"/>
      <c r="O344" s="122" t="str">
        <f t="shared" si="138"/>
        <v/>
      </c>
      <c r="P344" s="35" t="str">
        <f t="shared" si="139"/>
        <v/>
      </c>
      <c r="Q344" s="124"/>
      <c r="R344" s="36" t="str">
        <f t="shared" si="140"/>
        <v/>
      </c>
      <c r="S344" s="37" t="str">
        <f t="shared" si="130"/>
        <v/>
      </c>
      <c r="T344" s="38" t="str">
        <f t="shared" si="131"/>
        <v/>
      </c>
      <c r="U344" s="39" t="str">
        <f t="shared" si="132"/>
        <v/>
      </c>
      <c r="V344" s="40" t="str">
        <f t="shared" si="133"/>
        <v/>
      </c>
      <c r="W344" s="39" t="str">
        <f t="shared" si="134"/>
        <v/>
      </c>
      <c r="X344" s="34" t="str">
        <f t="shared" si="135"/>
        <v/>
      </c>
      <c r="Y344" s="41" t="str">
        <f t="shared" si="141"/>
        <v/>
      </c>
      <c r="Z344" s="98" t="str">
        <f t="shared" si="136"/>
        <v/>
      </c>
      <c r="AA344" s="81" t="str">
        <f t="shared" si="142"/>
        <v/>
      </c>
      <c r="AC344" s="139"/>
      <c r="AD344" s="110" t="str">
        <f t="shared" si="143"/>
        <v/>
      </c>
      <c r="AE344" s="111" t="str">
        <f t="shared" si="144"/>
        <v/>
      </c>
      <c r="AF344" s="111" t="str">
        <f t="shared" si="137"/>
        <v/>
      </c>
      <c r="AG344" s="111" t="str">
        <f t="shared" si="145"/>
        <v/>
      </c>
      <c r="AH344" s="111" t="str">
        <f t="shared" si="146"/>
        <v/>
      </c>
      <c r="AI344" s="112" t="str">
        <f t="shared" si="147"/>
        <v/>
      </c>
      <c r="AJ344" t="str">
        <f t="shared" si="148"/>
        <v/>
      </c>
      <c r="AK344" t="str">
        <f t="shared" si="149"/>
        <v/>
      </c>
    </row>
    <row r="345" spans="1:37" ht="15" customHeight="1" x14ac:dyDescent="0.25">
      <c r="A345" s="114"/>
      <c r="B345" s="116"/>
      <c r="C345" s="116"/>
      <c r="D345" s="42" t="str">
        <f t="shared" si="125"/>
        <v/>
      </c>
      <c r="E345" s="43"/>
      <c r="F345" s="83"/>
      <c r="G345" s="118"/>
      <c r="H345" s="34" t="str">
        <f t="shared" si="126"/>
        <v/>
      </c>
      <c r="I345" s="88" t="str">
        <f t="shared" si="127"/>
        <v/>
      </c>
      <c r="J345" s="44" t="str">
        <f t="shared" si="128"/>
        <v/>
      </c>
      <c r="K345" s="118"/>
      <c r="L345" s="34" t="str">
        <f t="shared" si="129"/>
        <v/>
      </c>
      <c r="M345" s="118"/>
      <c r="N345" s="121"/>
      <c r="O345" s="122" t="str">
        <f t="shared" si="138"/>
        <v/>
      </c>
      <c r="P345" s="35" t="str">
        <f t="shared" si="139"/>
        <v/>
      </c>
      <c r="Q345" s="124"/>
      <c r="R345" s="36" t="str">
        <f t="shared" si="140"/>
        <v/>
      </c>
      <c r="S345" s="37" t="str">
        <f t="shared" si="130"/>
        <v/>
      </c>
      <c r="T345" s="38" t="str">
        <f t="shared" si="131"/>
        <v/>
      </c>
      <c r="U345" s="39" t="str">
        <f t="shared" si="132"/>
        <v/>
      </c>
      <c r="V345" s="40" t="str">
        <f t="shared" si="133"/>
        <v/>
      </c>
      <c r="W345" s="39" t="str">
        <f t="shared" si="134"/>
        <v/>
      </c>
      <c r="X345" s="34" t="str">
        <f t="shared" si="135"/>
        <v/>
      </c>
      <c r="Y345" s="41" t="str">
        <f t="shared" si="141"/>
        <v/>
      </c>
      <c r="Z345" s="98" t="str">
        <f t="shared" si="136"/>
        <v/>
      </c>
      <c r="AA345" s="81" t="str">
        <f t="shared" si="142"/>
        <v/>
      </c>
      <c r="AC345" s="139"/>
      <c r="AD345" s="110" t="str">
        <f t="shared" si="143"/>
        <v/>
      </c>
      <c r="AE345" s="111" t="str">
        <f t="shared" si="144"/>
        <v/>
      </c>
      <c r="AF345" s="111" t="str">
        <f t="shared" si="137"/>
        <v/>
      </c>
      <c r="AG345" s="111" t="str">
        <f t="shared" si="145"/>
        <v/>
      </c>
      <c r="AH345" s="111" t="str">
        <f t="shared" si="146"/>
        <v/>
      </c>
      <c r="AI345" s="112" t="str">
        <f t="shared" si="147"/>
        <v/>
      </c>
      <c r="AJ345" t="str">
        <f t="shared" si="148"/>
        <v/>
      </c>
      <c r="AK345" t="str">
        <f t="shared" si="149"/>
        <v/>
      </c>
    </row>
    <row r="346" spans="1:37" ht="15" customHeight="1" x14ac:dyDescent="0.25">
      <c r="A346" s="114"/>
      <c r="B346" s="116"/>
      <c r="C346" s="116"/>
      <c r="D346" s="42" t="str">
        <f t="shared" si="125"/>
        <v/>
      </c>
      <c r="E346" s="43"/>
      <c r="F346" s="83"/>
      <c r="G346" s="118"/>
      <c r="H346" s="34" t="str">
        <f t="shared" si="126"/>
        <v/>
      </c>
      <c r="I346" s="88" t="str">
        <f t="shared" si="127"/>
        <v/>
      </c>
      <c r="J346" s="44" t="str">
        <f t="shared" si="128"/>
        <v/>
      </c>
      <c r="K346" s="118"/>
      <c r="L346" s="34" t="str">
        <f t="shared" si="129"/>
        <v/>
      </c>
      <c r="M346" s="118"/>
      <c r="N346" s="121"/>
      <c r="O346" s="122" t="str">
        <f t="shared" si="138"/>
        <v/>
      </c>
      <c r="P346" s="35" t="str">
        <f t="shared" si="139"/>
        <v/>
      </c>
      <c r="Q346" s="124"/>
      <c r="R346" s="36" t="str">
        <f t="shared" si="140"/>
        <v/>
      </c>
      <c r="S346" s="37" t="str">
        <f t="shared" si="130"/>
        <v/>
      </c>
      <c r="T346" s="38" t="str">
        <f t="shared" si="131"/>
        <v/>
      </c>
      <c r="U346" s="39" t="str">
        <f t="shared" si="132"/>
        <v/>
      </c>
      <c r="V346" s="40" t="str">
        <f t="shared" si="133"/>
        <v/>
      </c>
      <c r="W346" s="39" t="str">
        <f t="shared" si="134"/>
        <v/>
      </c>
      <c r="X346" s="34" t="str">
        <f t="shared" si="135"/>
        <v/>
      </c>
      <c r="Y346" s="41" t="str">
        <f t="shared" si="141"/>
        <v/>
      </c>
      <c r="Z346" s="98" t="str">
        <f t="shared" si="136"/>
        <v/>
      </c>
      <c r="AA346" s="81" t="str">
        <f t="shared" si="142"/>
        <v/>
      </c>
      <c r="AC346" s="139"/>
      <c r="AD346" s="110" t="str">
        <f t="shared" si="143"/>
        <v/>
      </c>
      <c r="AE346" s="111" t="str">
        <f t="shared" si="144"/>
        <v/>
      </c>
      <c r="AF346" s="111" t="str">
        <f t="shared" si="137"/>
        <v/>
      </c>
      <c r="AG346" s="111" t="str">
        <f t="shared" si="145"/>
        <v/>
      </c>
      <c r="AH346" s="111" t="str">
        <f t="shared" si="146"/>
        <v/>
      </c>
      <c r="AI346" s="112" t="str">
        <f t="shared" si="147"/>
        <v/>
      </c>
      <c r="AJ346" t="str">
        <f t="shared" si="148"/>
        <v/>
      </c>
      <c r="AK346" t="str">
        <f t="shared" si="149"/>
        <v/>
      </c>
    </row>
    <row r="347" spans="1:37" ht="15" customHeight="1" x14ac:dyDescent="0.25">
      <c r="A347" s="114"/>
      <c r="B347" s="116"/>
      <c r="C347" s="116"/>
      <c r="D347" s="42" t="str">
        <f t="shared" si="125"/>
        <v/>
      </c>
      <c r="E347" s="43"/>
      <c r="F347" s="83"/>
      <c r="G347" s="118"/>
      <c r="H347" s="34" t="str">
        <f t="shared" si="126"/>
        <v/>
      </c>
      <c r="I347" s="88" t="str">
        <f t="shared" si="127"/>
        <v/>
      </c>
      <c r="J347" s="44" t="str">
        <f t="shared" si="128"/>
        <v/>
      </c>
      <c r="K347" s="118"/>
      <c r="L347" s="34" t="str">
        <f t="shared" si="129"/>
        <v/>
      </c>
      <c r="M347" s="118"/>
      <c r="N347" s="121"/>
      <c r="O347" s="122" t="str">
        <f t="shared" si="138"/>
        <v/>
      </c>
      <c r="P347" s="35" t="str">
        <f t="shared" si="139"/>
        <v/>
      </c>
      <c r="Q347" s="124"/>
      <c r="R347" s="36" t="str">
        <f t="shared" si="140"/>
        <v/>
      </c>
      <c r="S347" s="37" t="str">
        <f t="shared" si="130"/>
        <v/>
      </c>
      <c r="T347" s="38" t="str">
        <f t="shared" si="131"/>
        <v/>
      </c>
      <c r="U347" s="39" t="str">
        <f t="shared" si="132"/>
        <v/>
      </c>
      <c r="V347" s="40" t="str">
        <f t="shared" si="133"/>
        <v/>
      </c>
      <c r="W347" s="39" t="str">
        <f t="shared" si="134"/>
        <v/>
      </c>
      <c r="X347" s="34" t="str">
        <f t="shared" si="135"/>
        <v/>
      </c>
      <c r="Y347" s="41" t="str">
        <f t="shared" si="141"/>
        <v/>
      </c>
      <c r="Z347" s="98" t="str">
        <f t="shared" si="136"/>
        <v/>
      </c>
      <c r="AA347" s="81" t="str">
        <f t="shared" si="142"/>
        <v/>
      </c>
      <c r="AC347" s="139"/>
      <c r="AD347" s="110" t="str">
        <f t="shared" si="143"/>
        <v/>
      </c>
      <c r="AE347" s="111" t="str">
        <f t="shared" si="144"/>
        <v/>
      </c>
      <c r="AF347" s="111" t="str">
        <f t="shared" si="137"/>
        <v/>
      </c>
      <c r="AG347" s="111" t="str">
        <f t="shared" si="145"/>
        <v/>
      </c>
      <c r="AH347" s="111" t="str">
        <f t="shared" si="146"/>
        <v/>
      </c>
      <c r="AI347" s="112" t="str">
        <f t="shared" si="147"/>
        <v/>
      </c>
      <c r="AJ347" t="str">
        <f t="shared" si="148"/>
        <v/>
      </c>
      <c r="AK347" t="str">
        <f t="shared" si="149"/>
        <v/>
      </c>
    </row>
    <row r="348" spans="1:37" ht="15" customHeight="1" x14ac:dyDescent="0.25">
      <c r="A348" s="114"/>
      <c r="B348" s="116"/>
      <c r="C348" s="116"/>
      <c r="D348" s="42" t="str">
        <f t="shared" si="125"/>
        <v/>
      </c>
      <c r="E348" s="43"/>
      <c r="F348" s="83"/>
      <c r="G348" s="118"/>
      <c r="H348" s="34" t="str">
        <f t="shared" si="126"/>
        <v/>
      </c>
      <c r="I348" s="88" t="str">
        <f t="shared" si="127"/>
        <v/>
      </c>
      <c r="J348" s="44" t="str">
        <f t="shared" si="128"/>
        <v/>
      </c>
      <c r="K348" s="118"/>
      <c r="L348" s="34" t="str">
        <f t="shared" si="129"/>
        <v/>
      </c>
      <c r="M348" s="118"/>
      <c r="N348" s="121"/>
      <c r="O348" s="122" t="str">
        <f t="shared" si="138"/>
        <v/>
      </c>
      <c r="P348" s="35" t="str">
        <f t="shared" si="139"/>
        <v/>
      </c>
      <c r="Q348" s="124"/>
      <c r="R348" s="36" t="str">
        <f t="shared" si="140"/>
        <v/>
      </c>
      <c r="S348" s="37" t="str">
        <f t="shared" si="130"/>
        <v/>
      </c>
      <c r="T348" s="38" t="str">
        <f t="shared" si="131"/>
        <v/>
      </c>
      <c r="U348" s="39" t="str">
        <f t="shared" si="132"/>
        <v/>
      </c>
      <c r="V348" s="40" t="str">
        <f t="shared" si="133"/>
        <v/>
      </c>
      <c r="W348" s="39" t="str">
        <f t="shared" si="134"/>
        <v/>
      </c>
      <c r="X348" s="34" t="str">
        <f t="shared" si="135"/>
        <v/>
      </c>
      <c r="Y348" s="41" t="str">
        <f t="shared" si="141"/>
        <v/>
      </c>
      <c r="Z348" s="98" t="str">
        <f t="shared" si="136"/>
        <v/>
      </c>
      <c r="AA348" s="81" t="str">
        <f t="shared" si="142"/>
        <v/>
      </c>
      <c r="AC348" s="139"/>
      <c r="AD348" s="110" t="str">
        <f t="shared" si="143"/>
        <v/>
      </c>
      <c r="AE348" s="111" t="str">
        <f t="shared" si="144"/>
        <v/>
      </c>
      <c r="AF348" s="111" t="str">
        <f t="shared" si="137"/>
        <v/>
      </c>
      <c r="AG348" s="111" t="str">
        <f t="shared" si="145"/>
        <v/>
      </c>
      <c r="AH348" s="111" t="str">
        <f t="shared" si="146"/>
        <v/>
      </c>
      <c r="AI348" s="112" t="str">
        <f t="shared" si="147"/>
        <v/>
      </c>
      <c r="AJ348" t="str">
        <f t="shared" si="148"/>
        <v/>
      </c>
      <c r="AK348" t="str">
        <f t="shared" si="149"/>
        <v/>
      </c>
    </row>
    <row r="349" spans="1:37" ht="15" customHeight="1" x14ac:dyDescent="0.25">
      <c r="A349" s="114"/>
      <c r="B349" s="116"/>
      <c r="C349" s="116"/>
      <c r="D349" s="42" t="str">
        <f t="shared" si="125"/>
        <v/>
      </c>
      <c r="E349" s="43"/>
      <c r="F349" s="83"/>
      <c r="G349" s="118"/>
      <c r="H349" s="34" t="str">
        <f t="shared" si="126"/>
        <v/>
      </c>
      <c r="I349" s="88" t="str">
        <f t="shared" si="127"/>
        <v/>
      </c>
      <c r="J349" s="44" t="str">
        <f t="shared" si="128"/>
        <v/>
      </c>
      <c r="K349" s="118"/>
      <c r="L349" s="34" t="str">
        <f t="shared" si="129"/>
        <v/>
      </c>
      <c r="M349" s="118"/>
      <c r="N349" s="121"/>
      <c r="O349" s="122" t="str">
        <f t="shared" si="138"/>
        <v/>
      </c>
      <c r="P349" s="35" t="str">
        <f t="shared" si="139"/>
        <v/>
      </c>
      <c r="Q349" s="124"/>
      <c r="R349" s="36" t="str">
        <f t="shared" si="140"/>
        <v/>
      </c>
      <c r="S349" s="37" t="str">
        <f t="shared" si="130"/>
        <v/>
      </c>
      <c r="T349" s="38" t="str">
        <f t="shared" si="131"/>
        <v/>
      </c>
      <c r="U349" s="39" t="str">
        <f t="shared" si="132"/>
        <v/>
      </c>
      <c r="V349" s="40" t="str">
        <f t="shared" si="133"/>
        <v/>
      </c>
      <c r="W349" s="39" t="str">
        <f t="shared" si="134"/>
        <v/>
      </c>
      <c r="X349" s="34" t="str">
        <f t="shared" si="135"/>
        <v/>
      </c>
      <c r="Y349" s="41" t="str">
        <f t="shared" si="141"/>
        <v/>
      </c>
      <c r="Z349" s="98" t="str">
        <f t="shared" si="136"/>
        <v/>
      </c>
      <c r="AA349" s="81" t="str">
        <f t="shared" si="142"/>
        <v/>
      </c>
      <c r="AC349" s="139"/>
      <c r="AD349" s="110" t="str">
        <f t="shared" si="143"/>
        <v/>
      </c>
      <c r="AE349" s="111" t="str">
        <f t="shared" si="144"/>
        <v/>
      </c>
      <c r="AF349" s="111" t="str">
        <f t="shared" si="137"/>
        <v/>
      </c>
      <c r="AG349" s="111" t="str">
        <f t="shared" si="145"/>
        <v/>
      </c>
      <c r="AH349" s="111" t="str">
        <f t="shared" si="146"/>
        <v/>
      </c>
      <c r="AI349" s="112" t="str">
        <f t="shared" si="147"/>
        <v/>
      </c>
      <c r="AJ349" t="str">
        <f t="shared" si="148"/>
        <v/>
      </c>
      <c r="AK349" t="str">
        <f t="shared" si="149"/>
        <v/>
      </c>
    </row>
    <row r="350" spans="1:37" ht="15" customHeight="1" x14ac:dyDescent="0.25">
      <c r="A350" s="114"/>
      <c r="B350" s="116"/>
      <c r="C350" s="116"/>
      <c r="D350" s="42" t="str">
        <f t="shared" si="125"/>
        <v/>
      </c>
      <c r="E350" s="43"/>
      <c r="F350" s="83"/>
      <c r="G350" s="118"/>
      <c r="H350" s="34" t="str">
        <f t="shared" si="126"/>
        <v/>
      </c>
      <c r="I350" s="88" t="str">
        <f t="shared" si="127"/>
        <v/>
      </c>
      <c r="J350" s="44" t="str">
        <f t="shared" si="128"/>
        <v/>
      </c>
      <c r="K350" s="118"/>
      <c r="L350" s="34" t="str">
        <f t="shared" si="129"/>
        <v/>
      </c>
      <c r="M350" s="118"/>
      <c r="N350" s="121"/>
      <c r="O350" s="122" t="str">
        <f t="shared" si="138"/>
        <v/>
      </c>
      <c r="P350" s="35" t="str">
        <f t="shared" si="139"/>
        <v/>
      </c>
      <c r="Q350" s="124"/>
      <c r="R350" s="36" t="str">
        <f t="shared" si="140"/>
        <v/>
      </c>
      <c r="S350" s="37" t="str">
        <f t="shared" si="130"/>
        <v/>
      </c>
      <c r="T350" s="38" t="str">
        <f t="shared" si="131"/>
        <v/>
      </c>
      <c r="U350" s="39" t="str">
        <f t="shared" si="132"/>
        <v/>
      </c>
      <c r="V350" s="40" t="str">
        <f t="shared" si="133"/>
        <v/>
      </c>
      <c r="W350" s="39" t="str">
        <f t="shared" si="134"/>
        <v/>
      </c>
      <c r="X350" s="34" t="str">
        <f t="shared" si="135"/>
        <v/>
      </c>
      <c r="Y350" s="41" t="str">
        <f t="shared" si="141"/>
        <v/>
      </c>
      <c r="Z350" s="98" t="str">
        <f t="shared" si="136"/>
        <v/>
      </c>
      <c r="AA350" s="81" t="str">
        <f t="shared" si="142"/>
        <v/>
      </c>
      <c r="AC350" s="139"/>
      <c r="AD350" s="110" t="str">
        <f t="shared" si="143"/>
        <v/>
      </c>
      <c r="AE350" s="111" t="str">
        <f t="shared" si="144"/>
        <v/>
      </c>
      <c r="AF350" s="111" t="str">
        <f t="shared" si="137"/>
        <v/>
      </c>
      <c r="AG350" s="111" t="str">
        <f t="shared" si="145"/>
        <v/>
      </c>
      <c r="AH350" s="111" t="str">
        <f t="shared" si="146"/>
        <v/>
      </c>
      <c r="AI350" s="112" t="str">
        <f t="shared" si="147"/>
        <v/>
      </c>
      <c r="AJ350" t="str">
        <f t="shared" si="148"/>
        <v/>
      </c>
      <c r="AK350" t="str">
        <f t="shared" si="149"/>
        <v/>
      </c>
    </row>
    <row r="351" spans="1:37" ht="15" customHeight="1" x14ac:dyDescent="0.25">
      <c r="A351" s="114"/>
      <c r="B351" s="116"/>
      <c r="C351" s="116"/>
      <c r="D351" s="42" t="str">
        <f t="shared" si="125"/>
        <v/>
      </c>
      <c r="E351" s="43"/>
      <c r="F351" s="83"/>
      <c r="G351" s="118"/>
      <c r="H351" s="34" t="str">
        <f t="shared" si="126"/>
        <v/>
      </c>
      <c r="I351" s="88" t="str">
        <f t="shared" si="127"/>
        <v/>
      </c>
      <c r="J351" s="44" t="str">
        <f t="shared" si="128"/>
        <v/>
      </c>
      <c r="K351" s="118"/>
      <c r="L351" s="34" t="str">
        <f t="shared" si="129"/>
        <v/>
      </c>
      <c r="M351" s="118"/>
      <c r="N351" s="121"/>
      <c r="O351" s="122" t="str">
        <f t="shared" si="138"/>
        <v/>
      </c>
      <c r="P351" s="35" t="str">
        <f t="shared" si="139"/>
        <v/>
      </c>
      <c r="Q351" s="124"/>
      <c r="R351" s="36" t="str">
        <f t="shared" si="140"/>
        <v/>
      </c>
      <c r="S351" s="37" t="str">
        <f t="shared" si="130"/>
        <v/>
      </c>
      <c r="T351" s="38" t="str">
        <f t="shared" si="131"/>
        <v/>
      </c>
      <c r="U351" s="39" t="str">
        <f t="shared" si="132"/>
        <v/>
      </c>
      <c r="V351" s="40" t="str">
        <f t="shared" si="133"/>
        <v/>
      </c>
      <c r="W351" s="39" t="str">
        <f t="shared" si="134"/>
        <v/>
      </c>
      <c r="X351" s="34" t="str">
        <f t="shared" si="135"/>
        <v/>
      </c>
      <c r="Y351" s="41" t="str">
        <f t="shared" si="141"/>
        <v/>
      </c>
      <c r="Z351" s="98" t="str">
        <f t="shared" si="136"/>
        <v/>
      </c>
      <c r="AA351" s="81" t="str">
        <f t="shared" si="142"/>
        <v/>
      </c>
      <c r="AC351" s="139"/>
      <c r="AD351" s="110" t="str">
        <f t="shared" si="143"/>
        <v/>
      </c>
      <c r="AE351" s="111" t="str">
        <f t="shared" si="144"/>
        <v/>
      </c>
      <c r="AF351" s="111" t="str">
        <f t="shared" si="137"/>
        <v/>
      </c>
      <c r="AG351" s="111" t="str">
        <f t="shared" si="145"/>
        <v/>
      </c>
      <c r="AH351" s="111" t="str">
        <f t="shared" si="146"/>
        <v/>
      </c>
      <c r="AI351" s="112" t="str">
        <f t="shared" si="147"/>
        <v/>
      </c>
      <c r="AJ351" t="str">
        <f t="shared" si="148"/>
        <v/>
      </c>
      <c r="AK351" t="str">
        <f t="shared" si="149"/>
        <v/>
      </c>
    </row>
    <row r="352" spans="1:37" ht="15" customHeight="1" x14ac:dyDescent="0.25">
      <c r="A352" s="114"/>
      <c r="B352" s="116"/>
      <c r="C352" s="116"/>
      <c r="D352" s="42" t="str">
        <f t="shared" si="125"/>
        <v/>
      </c>
      <c r="E352" s="43"/>
      <c r="F352" s="83"/>
      <c r="G352" s="118"/>
      <c r="H352" s="34" t="str">
        <f t="shared" si="126"/>
        <v/>
      </c>
      <c r="I352" s="88" t="str">
        <f t="shared" si="127"/>
        <v/>
      </c>
      <c r="J352" s="44" t="str">
        <f t="shared" si="128"/>
        <v/>
      </c>
      <c r="K352" s="118"/>
      <c r="L352" s="34" t="str">
        <f t="shared" si="129"/>
        <v/>
      </c>
      <c r="M352" s="118"/>
      <c r="N352" s="121"/>
      <c r="O352" s="122" t="str">
        <f t="shared" si="138"/>
        <v/>
      </c>
      <c r="P352" s="35" t="str">
        <f t="shared" si="139"/>
        <v/>
      </c>
      <c r="Q352" s="124"/>
      <c r="R352" s="36" t="str">
        <f t="shared" si="140"/>
        <v/>
      </c>
      <c r="S352" s="37" t="str">
        <f t="shared" si="130"/>
        <v/>
      </c>
      <c r="T352" s="38" t="str">
        <f t="shared" si="131"/>
        <v/>
      </c>
      <c r="U352" s="39" t="str">
        <f t="shared" si="132"/>
        <v/>
      </c>
      <c r="V352" s="40" t="str">
        <f t="shared" si="133"/>
        <v/>
      </c>
      <c r="W352" s="39" t="str">
        <f t="shared" si="134"/>
        <v/>
      </c>
      <c r="X352" s="34" t="str">
        <f t="shared" si="135"/>
        <v/>
      </c>
      <c r="Y352" s="41" t="str">
        <f t="shared" si="141"/>
        <v/>
      </c>
      <c r="Z352" s="98" t="str">
        <f t="shared" si="136"/>
        <v/>
      </c>
      <c r="AA352" s="81" t="str">
        <f t="shared" si="142"/>
        <v/>
      </c>
      <c r="AC352" s="139"/>
      <c r="AD352" s="110" t="str">
        <f t="shared" si="143"/>
        <v/>
      </c>
      <c r="AE352" s="111" t="str">
        <f t="shared" si="144"/>
        <v/>
      </c>
      <c r="AF352" s="111" t="str">
        <f t="shared" si="137"/>
        <v/>
      </c>
      <c r="AG352" s="111" t="str">
        <f t="shared" si="145"/>
        <v/>
      </c>
      <c r="AH352" s="111" t="str">
        <f t="shared" si="146"/>
        <v/>
      </c>
      <c r="AI352" s="112" t="str">
        <f t="shared" si="147"/>
        <v/>
      </c>
      <c r="AJ352" t="str">
        <f t="shared" si="148"/>
        <v/>
      </c>
      <c r="AK352" t="str">
        <f t="shared" si="149"/>
        <v/>
      </c>
    </row>
    <row r="353" spans="1:37" ht="15" customHeight="1" x14ac:dyDescent="0.25">
      <c r="A353" s="114"/>
      <c r="B353" s="116"/>
      <c r="C353" s="116"/>
      <c r="D353" s="42" t="str">
        <f t="shared" si="125"/>
        <v/>
      </c>
      <c r="E353" s="43"/>
      <c r="F353" s="83"/>
      <c r="G353" s="118"/>
      <c r="H353" s="34" t="str">
        <f t="shared" si="126"/>
        <v/>
      </c>
      <c r="I353" s="88" t="str">
        <f t="shared" si="127"/>
        <v/>
      </c>
      <c r="J353" s="44" t="str">
        <f t="shared" si="128"/>
        <v/>
      </c>
      <c r="K353" s="118"/>
      <c r="L353" s="34" t="str">
        <f t="shared" si="129"/>
        <v/>
      </c>
      <c r="M353" s="118"/>
      <c r="N353" s="121"/>
      <c r="O353" s="122" t="str">
        <f t="shared" si="138"/>
        <v/>
      </c>
      <c r="P353" s="35" t="str">
        <f t="shared" si="139"/>
        <v/>
      </c>
      <c r="Q353" s="124"/>
      <c r="R353" s="36" t="str">
        <f t="shared" si="140"/>
        <v/>
      </c>
      <c r="S353" s="37" t="str">
        <f t="shared" si="130"/>
        <v/>
      </c>
      <c r="T353" s="38" t="str">
        <f t="shared" si="131"/>
        <v/>
      </c>
      <c r="U353" s="39" t="str">
        <f t="shared" si="132"/>
        <v/>
      </c>
      <c r="V353" s="40" t="str">
        <f t="shared" si="133"/>
        <v/>
      </c>
      <c r="W353" s="39" t="str">
        <f t="shared" si="134"/>
        <v/>
      </c>
      <c r="X353" s="34" t="str">
        <f t="shared" si="135"/>
        <v/>
      </c>
      <c r="Y353" s="41" t="str">
        <f t="shared" si="141"/>
        <v/>
      </c>
      <c r="Z353" s="98" t="str">
        <f t="shared" si="136"/>
        <v/>
      </c>
      <c r="AA353" s="81" t="str">
        <f t="shared" si="142"/>
        <v/>
      </c>
      <c r="AC353" s="139"/>
      <c r="AD353" s="110" t="str">
        <f t="shared" si="143"/>
        <v/>
      </c>
      <c r="AE353" s="111" t="str">
        <f t="shared" si="144"/>
        <v/>
      </c>
      <c r="AF353" s="111" t="str">
        <f t="shared" si="137"/>
        <v/>
      </c>
      <c r="AG353" s="111" t="str">
        <f t="shared" si="145"/>
        <v/>
      </c>
      <c r="AH353" s="111" t="str">
        <f t="shared" si="146"/>
        <v/>
      </c>
      <c r="AI353" s="112" t="str">
        <f t="shared" si="147"/>
        <v/>
      </c>
      <c r="AJ353" t="str">
        <f t="shared" si="148"/>
        <v/>
      </c>
      <c r="AK353" t="str">
        <f t="shared" si="149"/>
        <v/>
      </c>
    </row>
    <row r="354" spans="1:37" ht="15" customHeight="1" x14ac:dyDescent="0.25">
      <c r="A354" s="114"/>
      <c r="B354" s="116"/>
      <c r="C354" s="116"/>
      <c r="D354" s="42" t="str">
        <f t="shared" si="125"/>
        <v/>
      </c>
      <c r="E354" s="43"/>
      <c r="F354" s="83"/>
      <c r="G354" s="118"/>
      <c r="H354" s="34" t="str">
        <f t="shared" si="126"/>
        <v/>
      </c>
      <c r="I354" s="88" t="str">
        <f t="shared" si="127"/>
        <v/>
      </c>
      <c r="J354" s="44" t="str">
        <f t="shared" si="128"/>
        <v/>
      </c>
      <c r="K354" s="118"/>
      <c r="L354" s="34" t="str">
        <f t="shared" si="129"/>
        <v/>
      </c>
      <c r="M354" s="118"/>
      <c r="N354" s="121"/>
      <c r="O354" s="122" t="str">
        <f t="shared" si="138"/>
        <v/>
      </c>
      <c r="P354" s="35" t="str">
        <f t="shared" si="139"/>
        <v/>
      </c>
      <c r="Q354" s="124"/>
      <c r="R354" s="36" t="str">
        <f t="shared" si="140"/>
        <v/>
      </c>
      <c r="S354" s="37" t="str">
        <f t="shared" si="130"/>
        <v/>
      </c>
      <c r="T354" s="38" t="str">
        <f t="shared" si="131"/>
        <v/>
      </c>
      <c r="U354" s="39" t="str">
        <f t="shared" si="132"/>
        <v/>
      </c>
      <c r="V354" s="40" t="str">
        <f t="shared" si="133"/>
        <v/>
      </c>
      <c r="W354" s="39" t="str">
        <f t="shared" si="134"/>
        <v/>
      </c>
      <c r="X354" s="34" t="str">
        <f t="shared" si="135"/>
        <v/>
      </c>
      <c r="Y354" s="41" t="str">
        <f t="shared" si="141"/>
        <v/>
      </c>
      <c r="Z354" s="98" t="str">
        <f t="shared" si="136"/>
        <v/>
      </c>
      <c r="AA354" s="81" t="str">
        <f t="shared" si="142"/>
        <v/>
      </c>
      <c r="AC354" s="139"/>
      <c r="AD354" s="110" t="str">
        <f t="shared" si="143"/>
        <v/>
      </c>
      <c r="AE354" s="111" t="str">
        <f t="shared" si="144"/>
        <v/>
      </c>
      <c r="AF354" s="111" t="str">
        <f t="shared" si="137"/>
        <v/>
      </c>
      <c r="AG354" s="111" t="str">
        <f t="shared" si="145"/>
        <v/>
      </c>
      <c r="AH354" s="111" t="str">
        <f t="shared" si="146"/>
        <v/>
      </c>
      <c r="AI354" s="112" t="str">
        <f t="shared" si="147"/>
        <v/>
      </c>
      <c r="AJ354" t="str">
        <f t="shared" si="148"/>
        <v/>
      </c>
      <c r="AK354" t="str">
        <f t="shared" si="149"/>
        <v/>
      </c>
    </row>
    <row r="355" spans="1:37" ht="15" customHeight="1" x14ac:dyDescent="0.25">
      <c r="A355" s="114"/>
      <c r="B355" s="116"/>
      <c r="C355" s="116"/>
      <c r="D355" s="42" t="str">
        <f t="shared" si="125"/>
        <v/>
      </c>
      <c r="E355" s="43"/>
      <c r="F355" s="83"/>
      <c r="G355" s="118"/>
      <c r="H355" s="34" t="str">
        <f t="shared" si="126"/>
        <v/>
      </c>
      <c r="I355" s="88" t="str">
        <f t="shared" si="127"/>
        <v/>
      </c>
      <c r="J355" s="44" t="str">
        <f t="shared" si="128"/>
        <v/>
      </c>
      <c r="K355" s="118"/>
      <c r="L355" s="34" t="str">
        <f t="shared" si="129"/>
        <v/>
      </c>
      <c r="M355" s="118"/>
      <c r="N355" s="121"/>
      <c r="O355" s="122" t="str">
        <f t="shared" si="138"/>
        <v/>
      </c>
      <c r="P355" s="35" t="str">
        <f t="shared" si="139"/>
        <v/>
      </c>
      <c r="Q355" s="124"/>
      <c r="R355" s="36" t="str">
        <f t="shared" si="140"/>
        <v/>
      </c>
      <c r="S355" s="37" t="str">
        <f t="shared" si="130"/>
        <v/>
      </c>
      <c r="T355" s="38" t="str">
        <f t="shared" si="131"/>
        <v/>
      </c>
      <c r="U355" s="39" t="str">
        <f t="shared" si="132"/>
        <v/>
      </c>
      <c r="V355" s="40" t="str">
        <f t="shared" si="133"/>
        <v/>
      </c>
      <c r="W355" s="39" t="str">
        <f t="shared" si="134"/>
        <v/>
      </c>
      <c r="X355" s="34" t="str">
        <f t="shared" si="135"/>
        <v/>
      </c>
      <c r="Y355" s="41" t="str">
        <f t="shared" si="141"/>
        <v/>
      </c>
      <c r="Z355" s="98" t="str">
        <f t="shared" si="136"/>
        <v/>
      </c>
      <c r="AA355" s="81" t="str">
        <f t="shared" si="142"/>
        <v/>
      </c>
      <c r="AC355" s="139"/>
      <c r="AD355" s="110" t="str">
        <f t="shared" si="143"/>
        <v/>
      </c>
      <c r="AE355" s="111" t="str">
        <f t="shared" si="144"/>
        <v/>
      </c>
      <c r="AF355" s="111" t="str">
        <f t="shared" si="137"/>
        <v/>
      </c>
      <c r="AG355" s="111" t="str">
        <f t="shared" si="145"/>
        <v/>
      </c>
      <c r="AH355" s="111" t="str">
        <f t="shared" si="146"/>
        <v/>
      </c>
      <c r="AI355" s="112" t="str">
        <f t="shared" si="147"/>
        <v/>
      </c>
      <c r="AJ355" t="str">
        <f t="shared" si="148"/>
        <v/>
      </c>
      <c r="AK355" t="str">
        <f t="shared" si="149"/>
        <v/>
      </c>
    </row>
    <row r="356" spans="1:37" ht="15" customHeight="1" x14ac:dyDescent="0.25">
      <c r="A356" s="114"/>
      <c r="B356" s="116"/>
      <c r="C356" s="116"/>
      <c r="D356" s="42" t="str">
        <f t="shared" si="125"/>
        <v/>
      </c>
      <c r="E356" s="43"/>
      <c r="F356" s="83"/>
      <c r="G356" s="118"/>
      <c r="H356" s="34" t="str">
        <f t="shared" si="126"/>
        <v/>
      </c>
      <c r="I356" s="88" t="str">
        <f t="shared" si="127"/>
        <v/>
      </c>
      <c r="J356" s="44" t="str">
        <f t="shared" si="128"/>
        <v/>
      </c>
      <c r="K356" s="118"/>
      <c r="L356" s="34" t="str">
        <f t="shared" si="129"/>
        <v/>
      </c>
      <c r="M356" s="118"/>
      <c r="N356" s="121"/>
      <c r="O356" s="122" t="str">
        <f t="shared" si="138"/>
        <v/>
      </c>
      <c r="P356" s="35" t="str">
        <f t="shared" si="139"/>
        <v/>
      </c>
      <c r="Q356" s="124"/>
      <c r="R356" s="36" t="str">
        <f t="shared" si="140"/>
        <v/>
      </c>
      <c r="S356" s="37" t="str">
        <f t="shared" si="130"/>
        <v/>
      </c>
      <c r="T356" s="38" t="str">
        <f t="shared" si="131"/>
        <v/>
      </c>
      <c r="U356" s="39" t="str">
        <f t="shared" si="132"/>
        <v/>
      </c>
      <c r="V356" s="40" t="str">
        <f t="shared" si="133"/>
        <v/>
      </c>
      <c r="W356" s="39" t="str">
        <f t="shared" si="134"/>
        <v/>
      </c>
      <c r="X356" s="34" t="str">
        <f t="shared" si="135"/>
        <v/>
      </c>
      <c r="Y356" s="41" t="str">
        <f t="shared" si="141"/>
        <v/>
      </c>
      <c r="Z356" s="98" t="str">
        <f t="shared" si="136"/>
        <v/>
      </c>
      <c r="AA356" s="81" t="str">
        <f t="shared" si="142"/>
        <v/>
      </c>
      <c r="AC356" s="139"/>
      <c r="AD356" s="110" t="str">
        <f t="shared" si="143"/>
        <v/>
      </c>
      <c r="AE356" s="111" t="str">
        <f t="shared" si="144"/>
        <v/>
      </c>
      <c r="AF356" s="111" t="str">
        <f t="shared" si="137"/>
        <v/>
      </c>
      <c r="AG356" s="111" t="str">
        <f t="shared" si="145"/>
        <v/>
      </c>
      <c r="AH356" s="111" t="str">
        <f t="shared" si="146"/>
        <v/>
      </c>
      <c r="AI356" s="112" t="str">
        <f t="shared" si="147"/>
        <v/>
      </c>
      <c r="AJ356" t="str">
        <f t="shared" si="148"/>
        <v/>
      </c>
      <c r="AK356" t="str">
        <f t="shared" si="149"/>
        <v/>
      </c>
    </row>
    <row r="357" spans="1:37" ht="15" customHeight="1" x14ac:dyDescent="0.25">
      <c r="A357" s="114"/>
      <c r="B357" s="116"/>
      <c r="C357" s="116"/>
      <c r="D357" s="42" t="str">
        <f t="shared" si="125"/>
        <v/>
      </c>
      <c r="E357" s="43"/>
      <c r="F357" s="83"/>
      <c r="G357" s="118"/>
      <c r="H357" s="34" t="str">
        <f t="shared" si="126"/>
        <v/>
      </c>
      <c r="I357" s="88" t="str">
        <f t="shared" si="127"/>
        <v/>
      </c>
      <c r="J357" s="44" t="str">
        <f t="shared" si="128"/>
        <v/>
      </c>
      <c r="K357" s="118"/>
      <c r="L357" s="34" t="str">
        <f t="shared" si="129"/>
        <v/>
      </c>
      <c r="M357" s="118"/>
      <c r="N357" s="121"/>
      <c r="O357" s="122" t="str">
        <f t="shared" si="138"/>
        <v/>
      </c>
      <c r="P357" s="35" t="str">
        <f t="shared" si="139"/>
        <v/>
      </c>
      <c r="Q357" s="124"/>
      <c r="R357" s="36" t="str">
        <f t="shared" si="140"/>
        <v/>
      </c>
      <c r="S357" s="37" t="str">
        <f t="shared" si="130"/>
        <v/>
      </c>
      <c r="T357" s="38" t="str">
        <f t="shared" si="131"/>
        <v/>
      </c>
      <c r="U357" s="39" t="str">
        <f t="shared" si="132"/>
        <v/>
      </c>
      <c r="V357" s="40" t="str">
        <f t="shared" si="133"/>
        <v/>
      </c>
      <c r="W357" s="39" t="str">
        <f t="shared" si="134"/>
        <v/>
      </c>
      <c r="X357" s="34" t="str">
        <f t="shared" si="135"/>
        <v/>
      </c>
      <c r="Y357" s="41" t="str">
        <f t="shared" si="141"/>
        <v/>
      </c>
      <c r="Z357" s="98" t="str">
        <f t="shared" si="136"/>
        <v/>
      </c>
      <c r="AA357" s="81" t="str">
        <f t="shared" si="142"/>
        <v/>
      </c>
      <c r="AC357" s="139"/>
      <c r="AD357" s="110" t="str">
        <f t="shared" si="143"/>
        <v/>
      </c>
      <c r="AE357" s="111" t="str">
        <f t="shared" si="144"/>
        <v/>
      </c>
      <c r="AF357" s="111" t="str">
        <f t="shared" si="137"/>
        <v/>
      </c>
      <c r="AG357" s="111" t="str">
        <f t="shared" si="145"/>
        <v/>
      </c>
      <c r="AH357" s="111" t="str">
        <f t="shared" si="146"/>
        <v/>
      </c>
      <c r="AI357" s="112" t="str">
        <f t="shared" si="147"/>
        <v/>
      </c>
      <c r="AJ357" t="str">
        <f t="shared" si="148"/>
        <v/>
      </c>
      <c r="AK357" t="str">
        <f t="shared" si="149"/>
        <v/>
      </c>
    </row>
    <row r="358" spans="1:37" ht="15" customHeight="1" x14ac:dyDescent="0.25">
      <c r="A358" s="114"/>
      <c r="B358" s="116"/>
      <c r="C358" s="116"/>
      <c r="D358" s="42" t="str">
        <f t="shared" si="125"/>
        <v/>
      </c>
      <c r="E358" s="43"/>
      <c r="F358" s="83"/>
      <c r="G358" s="118"/>
      <c r="H358" s="34" t="str">
        <f t="shared" si="126"/>
        <v/>
      </c>
      <c r="I358" s="88" t="str">
        <f t="shared" si="127"/>
        <v/>
      </c>
      <c r="J358" s="44" t="str">
        <f t="shared" si="128"/>
        <v/>
      </c>
      <c r="K358" s="118"/>
      <c r="L358" s="34" t="str">
        <f t="shared" si="129"/>
        <v/>
      </c>
      <c r="M358" s="118"/>
      <c r="N358" s="121"/>
      <c r="O358" s="122" t="str">
        <f t="shared" si="138"/>
        <v/>
      </c>
      <c r="P358" s="35" t="str">
        <f t="shared" si="139"/>
        <v/>
      </c>
      <c r="Q358" s="124"/>
      <c r="R358" s="36" t="str">
        <f t="shared" si="140"/>
        <v/>
      </c>
      <c r="S358" s="37" t="str">
        <f t="shared" si="130"/>
        <v/>
      </c>
      <c r="T358" s="38" t="str">
        <f t="shared" si="131"/>
        <v/>
      </c>
      <c r="U358" s="39" t="str">
        <f t="shared" si="132"/>
        <v/>
      </c>
      <c r="V358" s="40" t="str">
        <f t="shared" si="133"/>
        <v/>
      </c>
      <c r="W358" s="39" t="str">
        <f t="shared" si="134"/>
        <v/>
      </c>
      <c r="X358" s="34" t="str">
        <f t="shared" si="135"/>
        <v/>
      </c>
      <c r="Y358" s="41" t="str">
        <f t="shared" si="141"/>
        <v/>
      </c>
      <c r="Z358" s="98" t="str">
        <f t="shared" si="136"/>
        <v/>
      </c>
      <c r="AA358" s="81" t="str">
        <f t="shared" si="142"/>
        <v/>
      </c>
      <c r="AC358" s="139"/>
      <c r="AD358" s="110" t="str">
        <f t="shared" si="143"/>
        <v/>
      </c>
      <c r="AE358" s="111" t="str">
        <f t="shared" si="144"/>
        <v/>
      </c>
      <c r="AF358" s="111" t="str">
        <f t="shared" si="137"/>
        <v/>
      </c>
      <c r="AG358" s="111" t="str">
        <f t="shared" si="145"/>
        <v/>
      </c>
      <c r="AH358" s="111" t="str">
        <f t="shared" si="146"/>
        <v/>
      </c>
      <c r="AI358" s="112" t="str">
        <f t="shared" si="147"/>
        <v/>
      </c>
      <c r="AJ358" t="str">
        <f t="shared" si="148"/>
        <v/>
      </c>
      <c r="AK358" t="str">
        <f t="shared" si="149"/>
        <v/>
      </c>
    </row>
    <row r="359" spans="1:37" ht="15" customHeight="1" x14ac:dyDescent="0.25">
      <c r="A359" s="114"/>
      <c r="B359" s="116"/>
      <c r="C359" s="116"/>
      <c r="D359" s="42" t="str">
        <f t="shared" si="125"/>
        <v/>
      </c>
      <c r="E359" s="43"/>
      <c r="F359" s="83"/>
      <c r="G359" s="118"/>
      <c r="H359" s="34" t="str">
        <f t="shared" si="126"/>
        <v/>
      </c>
      <c r="I359" s="88" t="str">
        <f t="shared" si="127"/>
        <v/>
      </c>
      <c r="J359" s="44" t="str">
        <f t="shared" si="128"/>
        <v/>
      </c>
      <c r="K359" s="118"/>
      <c r="L359" s="34" t="str">
        <f t="shared" si="129"/>
        <v/>
      </c>
      <c r="M359" s="118"/>
      <c r="N359" s="121"/>
      <c r="O359" s="122" t="str">
        <f t="shared" si="138"/>
        <v/>
      </c>
      <c r="P359" s="35" t="str">
        <f t="shared" si="139"/>
        <v/>
      </c>
      <c r="Q359" s="124"/>
      <c r="R359" s="36" t="str">
        <f t="shared" si="140"/>
        <v/>
      </c>
      <c r="S359" s="37" t="str">
        <f t="shared" si="130"/>
        <v/>
      </c>
      <c r="T359" s="38" t="str">
        <f t="shared" si="131"/>
        <v/>
      </c>
      <c r="U359" s="39" t="str">
        <f t="shared" si="132"/>
        <v/>
      </c>
      <c r="V359" s="40" t="str">
        <f t="shared" si="133"/>
        <v/>
      </c>
      <c r="W359" s="39" t="str">
        <f t="shared" si="134"/>
        <v/>
      </c>
      <c r="X359" s="34" t="str">
        <f t="shared" si="135"/>
        <v/>
      </c>
      <c r="Y359" s="41" t="str">
        <f t="shared" si="141"/>
        <v/>
      </c>
      <c r="Z359" s="98" t="str">
        <f t="shared" si="136"/>
        <v/>
      </c>
      <c r="AA359" s="81" t="str">
        <f t="shared" si="142"/>
        <v/>
      </c>
      <c r="AC359" s="139"/>
      <c r="AD359" s="110" t="str">
        <f t="shared" si="143"/>
        <v/>
      </c>
      <c r="AE359" s="111" t="str">
        <f t="shared" si="144"/>
        <v/>
      </c>
      <c r="AF359" s="111" t="str">
        <f t="shared" si="137"/>
        <v/>
      </c>
      <c r="AG359" s="111" t="str">
        <f t="shared" si="145"/>
        <v/>
      </c>
      <c r="AH359" s="111" t="str">
        <f t="shared" si="146"/>
        <v/>
      </c>
      <c r="AI359" s="112" t="str">
        <f t="shared" si="147"/>
        <v/>
      </c>
      <c r="AJ359" t="str">
        <f t="shared" si="148"/>
        <v/>
      </c>
      <c r="AK359" t="str">
        <f t="shared" si="149"/>
        <v/>
      </c>
    </row>
    <row r="360" spans="1:37" ht="15" customHeight="1" x14ac:dyDescent="0.25">
      <c r="A360" s="114"/>
      <c r="B360" s="116"/>
      <c r="C360" s="116"/>
      <c r="D360" s="42" t="str">
        <f t="shared" si="125"/>
        <v/>
      </c>
      <c r="E360" s="43"/>
      <c r="F360" s="83"/>
      <c r="G360" s="118"/>
      <c r="H360" s="34" t="str">
        <f t="shared" si="126"/>
        <v/>
      </c>
      <c r="I360" s="88" t="str">
        <f t="shared" si="127"/>
        <v/>
      </c>
      <c r="J360" s="44" t="str">
        <f t="shared" si="128"/>
        <v/>
      </c>
      <c r="K360" s="118"/>
      <c r="L360" s="34" t="str">
        <f t="shared" si="129"/>
        <v/>
      </c>
      <c r="M360" s="118"/>
      <c r="N360" s="121"/>
      <c r="O360" s="122" t="str">
        <f t="shared" si="138"/>
        <v/>
      </c>
      <c r="P360" s="35" t="str">
        <f t="shared" si="139"/>
        <v/>
      </c>
      <c r="Q360" s="124"/>
      <c r="R360" s="36" t="str">
        <f t="shared" si="140"/>
        <v/>
      </c>
      <c r="S360" s="37" t="str">
        <f t="shared" si="130"/>
        <v/>
      </c>
      <c r="T360" s="38" t="str">
        <f t="shared" si="131"/>
        <v/>
      </c>
      <c r="U360" s="39" t="str">
        <f t="shared" si="132"/>
        <v/>
      </c>
      <c r="V360" s="40" t="str">
        <f t="shared" si="133"/>
        <v/>
      </c>
      <c r="W360" s="39" t="str">
        <f t="shared" si="134"/>
        <v/>
      </c>
      <c r="X360" s="34" t="str">
        <f t="shared" si="135"/>
        <v/>
      </c>
      <c r="Y360" s="41" t="str">
        <f t="shared" si="141"/>
        <v/>
      </c>
      <c r="Z360" s="98" t="str">
        <f t="shared" si="136"/>
        <v/>
      </c>
      <c r="AA360" s="81" t="str">
        <f t="shared" si="142"/>
        <v/>
      </c>
      <c r="AC360" s="139"/>
      <c r="AD360" s="110" t="str">
        <f t="shared" si="143"/>
        <v/>
      </c>
      <c r="AE360" s="111" t="str">
        <f t="shared" si="144"/>
        <v/>
      </c>
      <c r="AF360" s="111" t="str">
        <f t="shared" si="137"/>
        <v/>
      </c>
      <c r="AG360" s="111" t="str">
        <f t="shared" si="145"/>
        <v/>
      </c>
      <c r="AH360" s="111" t="str">
        <f t="shared" si="146"/>
        <v/>
      </c>
      <c r="AI360" s="112" t="str">
        <f t="shared" si="147"/>
        <v/>
      </c>
      <c r="AJ360" t="str">
        <f t="shared" si="148"/>
        <v/>
      </c>
      <c r="AK360" t="str">
        <f t="shared" si="149"/>
        <v/>
      </c>
    </row>
    <row r="361" spans="1:37" ht="15" customHeight="1" x14ac:dyDescent="0.25">
      <c r="A361" s="114"/>
      <c r="B361" s="116"/>
      <c r="C361" s="116"/>
      <c r="D361" s="42" t="str">
        <f t="shared" si="125"/>
        <v/>
      </c>
      <c r="E361" s="43"/>
      <c r="F361" s="83"/>
      <c r="G361" s="118"/>
      <c r="H361" s="34" t="str">
        <f t="shared" si="126"/>
        <v/>
      </c>
      <c r="I361" s="88" t="str">
        <f t="shared" si="127"/>
        <v/>
      </c>
      <c r="J361" s="44" t="str">
        <f t="shared" si="128"/>
        <v/>
      </c>
      <c r="K361" s="118"/>
      <c r="L361" s="34" t="str">
        <f t="shared" si="129"/>
        <v/>
      </c>
      <c r="M361" s="118"/>
      <c r="N361" s="121"/>
      <c r="O361" s="122" t="str">
        <f t="shared" si="138"/>
        <v/>
      </c>
      <c r="P361" s="35" t="str">
        <f t="shared" si="139"/>
        <v/>
      </c>
      <c r="Q361" s="124"/>
      <c r="R361" s="36" t="str">
        <f t="shared" si="140"/>
        <v/>
      </c>
      <c r="S361" s="37" t="str">
        <f t="shared" si="130"/>
        <v/>
      </c>
      <c r="T361" s="38" t="str">
        <f t="shared" si="131"/>
        <v/>
      </c>
      <c r="U361" s="39" t="str">
        <f t="shared" si="132"/>
        <v/>
      </c>
      <c r="V361" s="40" t="str">
        <f t="shared" si="133"/>
        <v/>
      </c>
      <c r="W361" s="39" t="str">
        <f t="shared" si="134"/>
        <v/>
      </c>
      <c r="X361" s="34" t="str">
        <f t="shared" si="135"/>
        <v/>
      </c>
      <c r="Y361" s="41" t="str">
        <f t="shared" si="141"/>
        <v/>
      </c>
      <c r="Z361" s="98" t="str">
        <f t="shared" si="136"/>
        <v/>
      </c>
      <c r="AA361" s="81" t="str">
        <f t="shared" si="142"/>
        <v/>
      </c>
      <c r="AC361" s="139"/>
      <c r="AD361" s="110" t="str">
        <f t="shared" si="143"/>
        <v/>
      </c>
      <c r="AE361" s="111" t="str">
        <f t="shared" si="144"/>
        <v/>
      </c>
      <c r="AF361" s="111" t="str">
        <f t="shared" si="137"/>
        <v/>
      </c>
      <c r="AG361" s="111" t="str">
        <f t="shared" si="145"/>
        <v/>
      </c>
      <c r="AH361" s="111" t="str">
        <f t="shared" si="146"/>
        <v/>
      </c>
      <c r="AI361" s="112" t="str">
        <f t="shared" si="147"/>
        <v/>
      </c>
      <c r="AJ361" t="str">
        <f t="shared" si="148"/>
        <v/>
      </c>
      <c r="AK361" t="str">
        <f t="shared" si="149"/>
        <v/>
      </c>
    </row>
    <row r="362" spans="1:37" ht="15" customHeight="1" x14ac:dyDescent="0.25">
      <c r="A362" s="114"/>
      <c r="B362" s="116"/>
      <c r="C362" s="116"/>
      <c r="D362" s="42" t="str">
        <f t="shared" si="125"/>
        <v/>
      </c>
      <c r="E362" s="43"/>
      <c r="F362" s="83"/>
      <c r="G362" s="118"/>
      <c r="H362" s="34" t="str">
        <f t="shared" si="126"/>
        <v/>
      </c>
      <c r="I362" s="88" t="str">
        <f t="shared" si="127"/>
        <v/>
      </c>
      <c r="J362" s="44" t="str">
        <f t="shared" si="128"/>
        <v/>
      </c>
      <c r="K362" s="118"/>
      <c r="L362" s="34" t="str">
        <f t="shared" si="129"/>
        <v/>
      </c>
      <c r="M362" s="118"/>
      <c r="N362" s="121"/>
      <c r="O362" s="122" t="str">
        <f t="shared" si="138"/>
        <v/>
      </c>
      <c r="P362" s="35" t="str">
        <f t="shared" si="139"/>
        <v/>
      </c>
      <c r="Q362" s="124"/>
      <c r="R362" s="36" t="str">
        <f t="shared" si="140"/>
        <v/>
      </c>
      <c r="S362" s="37" t="str">
        <f t="shared" si="130"/>
        <v/>
      </c>
      <c r="T362" s="38" t="str">
        <f t="shared" si="131"/>
        <v/>
      </c>
      <c r="U362" s="39" t="str">
        <f t="shared" si="132"/>
        <v/>
      </c>
      <c r="V362" s="40" t="str">
        <f t="shared" si="133"/>
        <v/>
      </c>
      <c r="W362" s="39" t="str">
        <f t="shared" si="134"/>
        <v/>
      </c>
      <c r="X362" s="34" t="str">
        <f t="shared" si="135"/>
        <v/>
      </c>
      <c r="Y362" s="41" t="str">
        <f t="shared" si="141"/>
        <v/>
      </c>
      <c r="Z362" s="98" t="str">
        <f t="shared" si="136"/>
        <v/>
      </c>
      <c r="AA362" s="81" t="str">
        <f t="shared" si="142"/>
        <v/>
      </c>
      <c r="AC362" s="139"/>
      <c r="AD362" s="110" t="str">
        <f t="shared" si="143"/>
        <v/>
      </c>
      <c r="AE362" s="111" t="str">
        <f t="shared" si="144"/>
        <v/>
      </c>
      <c r="AF362" s="111" t="str">
        <f t="shared" si="137"/>
        <v/>
      </c>
      <c r="AG362" s="111" t="str">
        <f t="shared" si="145"/>
        <v/>
      </c>
      <c r="AH362" s="111" t="str">
        <f t="shared" si="146"/>
        <v/>
      </c>
      <c r="AI362" s="112" t="str">
        <f t="shared" si="147"/>
        <v/>
      </c>
      <c r="AJ362" t="str">
        <f t="shared" si="148"/>
        <v/>
      </c>
      <c r="AK362" t="str">
        <f t="shared" si="149"/>
        <v/>
      </c>
    </row>
    <row r="363" spans="1:37" ht="15" customHeight="1" x14ac:dyDescent="0.25">
      <c r="A363" s="114"/>
      <c r="B363" s="116"/>
      <c r="C363" s="116"/>
      <c r="D363" s="42" t="str">
        <f t="shared" si="125"/>
        <v/>
      </c>
      <c r="E363" s="43"/>
      <c r="F363" s="83"/>
      <c r="G363" s="118"/>
      <c r="H363" s="34" t="str">
        <f t="shared" si="126"/>
        <v/>
      </c>
      <c r="I363" s="88" t="str">
        <f t="shared" si="127"/>
        <v/>
      </c>
      <c r="J363" s="44" t="str">
        <f t="shared" si="128"/>
        <v/>
      </c>
      <c r="K363" s="118"/>
      <c r="L363" s="34" t="str">
        <f t="shared" si="129"/>
        <v/>
      </c>
      <c r="M363" s="118"/>
      <c r="N363" s="121"/>
      <c r="O363" s="122" t="str">
        <f t="shared" si="138"/>
        <v/>
      </c>
      <c r="P363" s="35" t="str">
        <f t="shared" si="139"/>
        <v/>
      </c>
      <c r="Q363" s="124"/>
      <c r="R363" s="36" t="str">
        <f t="shared" si="140"/>
        <v/>
      </c>
      <c r="S363" s="37" t="str">
        <f t="shared" si="130"/>
        <v/>
      </c>
      <c r="T363" s="38" t="str">
        <f t="shared" si="131"/>
        <v/>
      </c>
      <c r="U363" s="39" t="str">
        <f t="shared" si="132"/>
        <v/>
      </c>
      <c r="V363" s="40" t="str">
        <f t="shared" si="133"/>
        <v/>
      </c>
      <c r="W363" s="39" t="str">
        <f t="shared" si="134"/>
        <v/>
      </c>
      <c r="X363" s="34" t="str">
        <f t="shared" si="135"/>
        <v/>
      </c>
      <c r="Y363" s="41" t="str">
        <f t="shared" si="141"/>
        <v/>
      </c>
      <c r="Z363" s="98" t="str">
        <f t="shared" si="136"/>
        <v/>
      </c>
      <c r="AA363" s="81" t="str">
        <f t="shared" si="142"/>
        <v/>
      </c>
      <c r="AC363" s="139"/>
      <c r="AD363" s="110" t="str">
        <f t="shared" si="143"/>
        <v/>
      </c>
      <c r="AE363" s="111" t="str">
        <f t="shared" si="144"/>
        <v/>
      </c>
      <c r="AF363" s="111" t="str">
        <f t="shared" si="137"/>
        <v/>
      </c>
      <c r="AG363" s="111" t="str">
        <f t="shared" si="145"/>
        <v/>
      </c>
      <c r="AH363" s="111" t="str">
        <f t="shared" si="146"/>
        <v/>
      </c>
      <c r="AI363" s="112" t="str">
        <f t="shared" si="147"/>
        <v/>
      </c>
      <c r="AJ363" t="str">
        <f t="shared" si="148"/>
        <v/>
      </c>
      <c r="AK363" t="str">
        <f t="shared" si="149"/>
        <v/>
      </c>
    </row>
    <row r="364" spans="1:37" ht="15" customHeight="1" x14ac:dyDescent="0.25">
      <c r="A364" s="114"/>
      <c r="B364" s="116"/>
      <c r="C364" s="116"/>
      <c r="D364" s="42" t="str">
        <f t="shared" si="125"/>
        <v/>
      </c>
      <c r="E364" s="43"/>
      <c r="F364" s="83"/>
      <c r="G364" s="118"/>
      <c r="H364" s="34" t="str">
        <f t="shared" si="126"/>
        <v/>
      </c>
      <c r="I364" s="88" t="str">
        <f t="shared" si="127"/>
        <v/>
      </c>
      <c r="J364" s="44" t="str">
        <f t="shared" si="128"/>
        <v/>
      </c>
      <c r="K364" s="118"/>
      <c r="L364" s="34" t="str">
        <f t="shared" si="129"/>
        <v/>
      </c>
      <c r="M364" s="118"/>
      <c r="N364" s="121"/>
      <c r="O364" s="122" t="str">
        <f t="shared" si="138"/>
        <v/>
      </c>
      <c r="P364" s="35" t="str">
        <f t="shared" si="139"/>
        <v/>
      </c>
      <c r="Q364" s="124"/>
      <c r="R364" s="36" t="str">
        <f t="shared" si="140"/>
        <v/>
      </c>
      <c r="S364" s="37" t="str">
        <f t="shared" si="130"/>
        <v/>
      </c>
      <c r="T364" s="38" t="str">
        <f t="shared" si="131"/>
        <v/>
      </c>
      <c r="U364" s="39" t="str">
        <f t="shared" si="132"/>
        <v/>
      </c>
      <c r="V364" s="40" t="str">
        <f t="shared" si="133"/>
        <v/>
      </c>
      <c r="W364" s="39" t="str">
        <f t="shared" si="134"/>
        <v/>
      </c>
      <c r="X364" s="34" t="str">
        <f t="shared" si="135"/>
        <v/>
      </c>
      <c r="Y364" s="41" t="str">
        <f t="shared" si="141"/>
        <v/>
      </c>
      <c r="Z364" s="98" t="str">
        <f t="shared" si="136"/>
        <v/>
      </c>
      <c r="AA364" s="81" t="str">
        <f t="shared" si="142"/>
        <v/>
      </c>
      <c r="AC364" s="139"/>
      <c r="AD364" s="110" t="str">
        <f t="shared" si="143"/>
        <v/>
      </c>
      <c r="AE364" s="111" t="str">
        <f t="shared" si="144"/>
        <v/>
      </c>
      <c r="AF364" s="111" t="str">
        <f t="shared" si="137"/>
        <v/>
      </c>
      <c r="AG364" s="111" t="str">
        <f t="shared" si="145"/>
        <v/>
      </c>
      <c r="AH364" s="111" t="str">
        <f t="shared" si="146"/>
        <v/>
      </c>
      <c r="AI364" s="112" t="str">
        <f t="shared" si="147"/>
        <v/>
      </c>
      <c r="AJ364" t="str">
        <f t="shared" si="148"/>
        <v/>
      </c>
      <c r="AK364" t="str">
        <f t="shared" si="149"/>
        <v/>
      </c>
    </row>
    <row r="365" spans="1:37" ht="15" customHeight="1" x14ac:dyDescent="0.25">
      <c r="A365" s="114"/>
      <c r="B365" s="116"/>
      <c r="C365" s="116"/>
      <c r="D365" s="42" t="str">
        <f t="shared" si="125"/>
        <v/>
      </c>
      <c r="E365" s="43"/>
      <c r="F365" s="83"/>
      <c r="G365" s="118"/>
      <c r="H365" s="34" t="str">
        <f t="shared" si="126"/>
        <v/>
      </c>
      <c r="I365" s="88" t="str">
        <f t="shared" si="127"/>
        <v/>
      </c>
      <c r="J365" s="44" t="str">
        <f t="shared" si="128"/>
        <v/>
      </c>
      <c r="K365" s="118"/>
      <c r="L365" s="34" t="str">
        <f t="shared" si="129"/>
        <v/>
      </c>
      <c r="M365" s="118"/>
      <c r="N365" s="121"/>
      <c r="O365" s="122" t="str">
        <f t="shared" si="138"/>
        <v/>
      </c>
      <c r="P365" s="35" t="str">
        <f t="shared" si="139"/>
        <v/>
      </c>
      <c r="Q365" s="124"/>
      <c r="R365" s="36" t="str">
        <f t="shared" si="140"/>
        <v/>
      </c>
      <c r="S365" s="37" t="str">
        <f t="shared" si="130"/>
        <v/>
      </c>
      <c r="T365" s="38" t="str">
        <f t="shared" si="131"/>
        <v/>
      </c>
      <c r="U365" s="39" t="str">
        <f t="shared" si="132"/>
        <v/>
      </c>
      <c r="V365" s="40" t="str">
        <f t="shared" si="133"/>
        <v/>
      </c>
      <c r="W365" s="39" t="str">
        <f t="shared" si="134"/>
        <v/>
      </c>
      <c r="X365" s="34" t="str">
        <f t="shared" si="135"/>
        <v/>
      </c>
      <c r="Y365" s="41" t="str">
        <f t="shared" si="141"/>
        <v/>
      </c>
      <c r="Z365" s="98" t="str">
        <f t="shared" si="136"/>
        <v/>
      </c>
      <c r="AA365" s="81" t="str">
        <f t="shared" si="142"/>
        <v/>
      </c>
      <c r="AC365" s="139"/>
      <c r="AD365" s="110" t="str">
        <f t="shared" si="143"/>
        <v/>
      </c>
      <c r="AE365" s="111" t="str">
        <f t="shared" si="144"/>
        <v/>
      </c>
      <c r="AF365" s="111" t="str">
        <f t="shared" si="137"/>
        <v/>
      </c>
      <c r="AG365" s="111" t="str">
        <f t="shared" si="145"/>
        <v/>
      </c>
      <c r="AH365" s="111" t="str">
        <f t="shared" si="146"/>
        <v/>
      </c>
      <c r="AI365" s="112" t="str">
        <f t="shared" si="147"/>
        <v/>
      </c>
      <c r="AJ365" t="str">
        <f t="shared" si="148"/>
        <v/>
      </c>
      <c r="AK365" t="str">
        <f t="shared" si="149"/>
        <v/>
      </c>
    </row>
    <row r="366" spans="1:37" ht="15" customHeight="1" x14ac:dyDescent="0.25">
      <c r="A366" s="114"/>
      <c r="B366" s="116"/>
      <c r="C366" s="116"/>
      <c r="D366" s="42" t="str">
        <f t="shared" si="125"/>
        <v/>
      </c>
      <c r="E366" s="43"/>
      <c r="F366" s="83"/>
      <c r="G366" s="118"/>
      <c r="H366" s="34" t="str">
        <f t="shared" si="126"/>
        <v/>
      </c>
      <c r="I366" s="88" t="str">
        <f t="shared" si="127"/>
        <v/>
      </c>
      <c r="J366" s="44" t="str">
        <f t="shared" si="128"/>
        <v/>
      </c>
      <c r="K366" s="118"/>
      <c r="L366" s="34" t="str">
        <f t="shared" si="129"/>
        <v/>
      </c>
      <c r="M366" s="118"/>
      <c r="N366" s="121"/>
      <c r="O366" s="122" t="str">
        <f t="shared" si="138"/>
        <v/>
      </c>
      <c r="P366" s="35" t="str">
        <f t="shared" si="139"/>
        <v/>
      </c>
      <c r="Q366" s="124"/>
      <c r="R366" s="36" t="str">
        <f t="shared" si="140"/>
        <v/>
      </c>
      <c r="S366" s="37" t="str">
        <f t="shared" si="130"/>
        <v/>
      </c>
      <c r="T366" s="38" t="str">
        <f t="shared" si="131"/>
        <v/>
      </c>
      <c r="U366" s="39" t="str">
        <f t="shared" si="132"/>
        <v/>
      </c>
      <c r="V366" s="40" t="str">
        <f t="shared" si="133"/>
        <v/>
      </c>
      <c r="W366" s="39" t="str">
        <f t="shared" si="134"/>
        <v/>
      </c>
      <c r="X366" s="34" t="str">
        <f t="shared" si="135"/>
        <v/>
      </c>
      <c r="Y366" s="41" t="str">
        <f t="shared" si="141"/>
        <v/>
      </c>
      <c r="Z366" s="98" t="str">
        <f t="shared" si="136"/>
        <v/>
      </c>
      <c r="AA366" s="81" t="str">
        <f t="shared" si="142"/>
        <v/>
      </c>
      <c r="AC366" s="139"/>
      <c r="AD366" s="110" t="str">
        <f t="shared" si="143"/>
        <v/>
      </c>
      <c r="AE366" s="111" t="str">
        <f t="shared" si="144"/>
        <v/>
      </c>
      <c r="AF366" s="111" t="str">
        <f t="shared" si="137"/>
        <v/>
      </c>
      <c r="AG366" s="111" t="str">
        <f t="shared" si="145"/>
        <v/>
      </c>
      <c r="AH366" s="111" t="str">
        <f t="shared" si="146"/>
        <v/>
      </c>
      <c r="AI366" s="112" t="str">
        <f t="shared" si="147"/>
        <v/>
      </c>
      <c r="AJ366" t="str">
        <f t="shared" si="148"/>
        <v/>
      </c>
      <c r="AK366" t="str">
        <f t="shared" si="149"/>
        <v/>
      </c>
    </row>
    <row r="367" spans="1:37" ht="15" customHeight="1" x14ac:dyDescent="0.25">
      <c r="A367" s="114"/>
      <c r="B367" s="116"/>
      <c r="C367" s="116"/>
      <c r="D367" s="42" t="str">
        <f t="shared" si="125"/>
        <v/>
      </c>
      <c r="E367" s="43"/>
      <c r="F367" s="83"/>
      <c r="G367" s="118"/>
      <c r="H367" s="34" t="str">
        <f t="shared" si="126"/>
        <v/>
      </c>
      <c r="I367" s="88" t="str">
        <f t="shared" si="127"/>
        <v/>
      </c>
      <c r="J367" s="44" t="str">
        <f t="shared" si="128"/>
        <v/>
      </c>
      <c r="K367" s="118"/>
      <c r="L367" s="34" t="str">
        <f t="shared" si="129"/>
        <v/>
      </c>
      <c r="M367" s="118"/>
      <c r="N367" s="121"/>
      <c r="O367" s="122" t="str">
        <f t="shared" si="138"/>
        <v/>
      </c>
      <c r="P367" s="35" t="str">
        <f t="shared" si="139"/>
        <v/>
      </c>
      <c r="Q367" s="124"/>
      <c r="R367" s="36" t="str">
        <f t="shared" si="140"/>
        <v/>
      </c>
      <c r="S367" s="37" t="str">
        <f t="shared" si="130"/>
        <v/>
      </c>
      <c r="T367" s="38" t="str">
        <f t="shared" si="131"/>
        <v/>
      </c>
      <c r="U367" s="39" t="str">
        <f t="shared" si="132"/>
        <v/>
      </c>
      <c r="V367" s="40" t="str">
        <f t="shared" si="133"/>
        <v/>
      </c>
      <c r="W367" s="39" t="str">
        <f t="shared" si="134"/>
        <v/>
      </c>
      <c r="X367" s="34" t="str">
        <f t="shared" si="135"/>
        <v/>
      </c>
      <c r="Y367" s="41" t="str">
        <f t="shared" si="141"/>
        <v/>
      </c>
      <c r="Z367" s="98" t="str">
        <f t="shared" si="136"/>
        <v/>
      </c>
      <c r="AA367" s="81" t="str">
        <f t="shared" si="142"/>
        <v/>
      </c>
      <c r="AC367" s="139"/>
      <c r="AD367" s="110" t="str">
        <f t="shared" si="143"/>
        <v/>
      </c>
      <c r="AE367" s="111" t="str">
        <f t="shared" si="144"/>
        <v/>
      </c>
      <c r="AF367" s="111" t="str">
        <f t="shared" si="137"/>
        <v/>
      </c>
      <c r="AG367" s="111" t="str">
        <f t="shared" si="145"/>
        <v/>
      </c>
      <c r="AH367" s="111" t="str">
        <f t="shared" si="146"/>
        <v/>
      </c>
      <c r="AI367" s="112" t="str">
        <f t="shared" si="147"/>
        <v/>
      </c>
      <c r="AJ367" t="str">
        <f t="shared" si="148"/>
        <v/>
      </c>
      <c r="AK367" t="str">
        <f t="shared" si="149"/>
        <v/>
      </c>
    </row>
    <row r="368" spans="1:37" ht="15" customHeight="1" x14ac:dyDescent="0.25">
      <c r="A368" s="114"/>
      <c r="B368" s="116"/>
      <c r="C368" s="116"/>
      <c r="D368" s="42" t="str">
        <f t="shared" si="125"/>
        <v/>
      </c>
      <c r="E368" s="43"/>
      <c r="F368" s="83"/>
      <c r="G368" s="118"/>
      <c r="H368" s="34" t="str">
        <f t="shared" si="126"/>
        <v/>
      </c>
      <c r="I368" s="88" t="str">
        <f t="shared" si="127"/>
        <v/>
      </c>
      <c r="J368" s="44" t="str">
        <f t="shared" si="128"/>
        <v/>
      </c>
      <c r="K368" s="118"/>
      <c r="L368" s="34" t="str">
        <f t="shared" si="129"/>
        <v/>
      </c>
      <c r="M368" s="118"/>
      <c r="N368" s="121"/>
      <c r="O368" s="122" t="str">
        <f t="shared" si="138"/>
        <v/>
      </c>
      <c r="P368" s="35" t="str">
        <f t="shared" si="139"/>
        <v/>
      </c>
      <c r="Q368" s="124"/>
      <c r="R368" s="36" t="str">
        <f t="shared" si="140"/>
        <v/>
      </c>
      <c r="S368" s="37" t="str">
        <f t="shared" si="130"/>
        <v/>
      </c>
      <c r="T368" s="38" t="str">
        <f t="shared" si="131"/>
        <v/>
      </c>
      <c r="U368" s="39" t="str">
        <f t="shared" si="132"/>
        <v/>
      </c>
      <c r="V368" s="40" t="str">
        <f t="shared" si="133"/>
        <v/>
      </c>
      <c r="W368" s="39" t="str">
        <f t="shared" si="134"/>
        <v/>
      </c>
      <c r="X368" s="34" t="str">
        <f t="shared" si="135"/>
        <v/>
      </c>
      <c r="Y368" s="41" t="str">
        <f t="shared" si="141"/>
        <v/>
      </c>
      <c r="Z368" s="98" t="str">
        <f t="shared" si="136"/>
        <v/>
      </c>
      <c r="AA368" s="81" t="str">
        <f t="shared" si="142"/>
        <v/>
      </c>
      <c r="AC368" s="139"/>
      <c r="AD368" s="110" t="str">
        <f t="shared" si="143"/>
        <v/>
      </c>
      <c r="AE368" s="111" t="str">
        <f t="shared" si="144"/>
        <v/>
      </c>
      <c r="AF368" s="111" t="str">
        <f t="shared" si="137"/>
        <v/>
      </c>
      <c r="AG368" s="111" t="str">
        <f t="shared" si="145"/>
        <v/>
      </c>
      <c r="AH368" s="111" t="str">
        <f t="shared" si="146"/>
        <v/>
      </c>
      <c r="AI368" s="112" t="str">
        <f t="shared" si="147"/>
        <v/>
      </c>
      <c r="AJ368" t="str">
        <f t="shared" si="148"/>
        <v/>
      </c>
      <c r="AK368" t="str">
        <f t="shared" si="149"/>
        <v/>
      </c>
    </row>
    <row r="369" spans="1:37" ht="15" customHeight="1" x14ac:dyDescent="0.25">
      <c r="A369" s="114"/>
      <c r="B369" s="116"/>
      <c r="C369" s="116"/>
      <c r="D369" s="42" t="str">
        <f t="shared" si="125"/>
        <v/>
      </c>
      <c r="E369" s="43"/>
      <c r="F369" s="83"/>
      <c r="G369" s="118"/>
      <c r="H369" s="34" t="str">
        <f t="shared" si="126"/>
        <v/>
      </c>
      <c r="I369" s="88" t="str">
        <f t="shared" si="127"/>
        <v/>
      </c>
      <c r="J369" s="44" t="str">
        <f t="shared" si="128"/>
        <v/>
      </c>
      <c r="K369" s="118"/>
      <c r="L369" s="34" t="str">
        <f t="shared" si="129"/>
        <v/>
      </c>
      <c r="M369" s="118"/>
      <c r="N369" s="121"/>
      <c r="O369" s="122" t="str">
        <f t="shared" si="138"/>
        <v/>
      </c>
      <c r="P369" s="35" t="str">
        <f t="shared" si="139"/>
        <v/>
      </c>
      <c r="Q369" s="124"/>
      <c r="R369" s="36" t="str">
        <f t="shared" si="140"/>
        <v/>
      </c>
      <c r="S369" s="37" t="str">
        <f t="shared" si="130"/>
        <v/>
      </c>
      <c r="T369" s="38" t="str">
        <f t="shared" si="131"/>
        <v/>
      </c>
      <c r="U369" s="39" t="str">
        <f t="shared" si="132"/>
        <v/>
      </c>
      <c r="V369" s="40" t="str">
        <f t="shared" si="133"/>
        <v/>
      </c>
      <c r="W369" s="39" t="str">
        <f t="shared" si="134"/>
        <v/>
      </c>
      <c r="X369" s="34" t="str">
        <f t="shared" si="135"/>
        <v/>
      </c>
      <c r="Y369" s="41" t="str">
        <f t="shared" si="141"/>
        <v/>
      </c>
      <c r="Z369" s="98" t="str">
        <f t="shared" si="136"/>
        <v/>
      </c>
      <c r="AA369" s="81" t="str">
        <f t="shared" si="142"/>
        <v/>
      </c>
      <c r="AC369" s="139"/>
      <c r="AD369" s="110" t="str">
        <f t="shared" si="143"/>
        <v/>
      </c>
      <c r="AE369" s="111" t="str">
        <f t="shared" si="144"/>
        <v/>
      </c>
      <c r="AF369" s="111" t="str">
        <f t="shared" si="137"/>
        <v/>
      </c>
      <c r="AG369" s="111" t="str">
        <f t="shared" si="145"/>
        <v/>
      </c>
      <c r="AH369" s="111" t="str">
        <f t="shared" si="146"/>
        <v/>
      </c>
      <c r="AI369" s="112" t="str">
        <f t="shared" si="147"/>
        <v/>
      </c>
      <c r="AJ369" t="str">
        <f t="shared" si="148"/>
        <v/>
      </c>
      <c r="AK369" t="str">
        <f t="shared" si="149"/>
        <v/>
      </c>
    </row>
    <row r="370" spans="1:37" ht="15" customHeight="1" x14ac:dyDescent="0.25">
      <c r="A370" s="114"/>
      <c r="B370" s="116"/>
      <c r="C370" s="116"/>
      <c r="D370" s="42" t="str">
        <f t="shared" si="125"/>
        <v/>
      </c>
      <c r="E370" s="43"/>
      <c r="F370" s="83"/>
      <c r="G370" s="118"/>
      <c r="H370" s="34" t="str">
        <f t="shared" si="126"/>
        <v/>
      </c>
      <c r="I370" s="88" t="str">
        <f t="shared" si="127"/>
        <v/>
      </c>
      <c r="J370" s="44" t="str">
        <f t="shared" si="128"/>
        <v/>
      </c>
      <c r="K370" s="118"/>
      <c r="L370" s="34" t="str">
        <f t="shared" si="129"/>
        <v/>
      </c>
      <c r="M370" s="118"/>
      <c r="N370" s="121"/>
      <c r="O370" s="122" t="str">
        <f t="shared" si="138"/>
        <v/>
      </c>
      <c r="P370" s="35" t="str">
        <f t="shared" si="139"/>
        <v/>
      </c>
      <c r="Q370" s="124"/>
      <c r="R370" s="36" t="str">
        <f t="shared" si="140"/>
        <v/>
      </c>
      <c r="S370" s="37" t="str">
        <f t="shared" si="130"/>
        <v/>
      </c>
      <c r="T370" s="38" t="str">
        <f t="shared" si="131"/>
        <v/>
      </c>
      <c r="U370" s="39" t="str">
        <f t="shared" si="132"/>
        <v/>
      </c>
      <c r="V370" s="40" t="str">
        <f t="shared" si="133"/>
        <v/>
      </c>
      <c r="W370" s="39" t="str">
        <f t="shared" si="134"/>
        <v/>
      </c>
      <c r="X370" s="34" t="str">
        <f t="shared" si="135"/>
        <v/>
      </c>
      <c r="Y370" s="41" t="str">
        <f t="shared" si="141"/>
        <v/>
      </c>
      <c r="Z370" s="98" t="str">
        <f t="shared" si="136"/>
        <v/>
      </c>
      <c r="AA370" s="81" t="str">
        <f t="shared" si="142"/>
        <v/>
      </c>
      <c r="AC370" s="139"/>
      <c r="AD370" s="110" t="str">
        <f t="shared" si="143"/>
        <v/>
      </c>
      <c r="AE370" s="111" t="str">
        <f t="shared" si="144"/>
        <v/>
      </c>
      <c r="AF370" s="111" t="str">
        <f t="shared" si="137"/>
        <v/>
      </c>
      <c r="AG370" s="111" t="str">
        <f t="shared" si="145"/>
        <v/>
      </c>
      <c r="AH370" s="111" t="str">
        <f t="shared" si="146"/>
        <v/>
      </c>
      <c r="AI370" s="112" t="str">
        <f t="shared" si="147"/>
        <v/>
      </c>
      <c r="AJ370" t="str">
        <f t="shared" si="148"/>
        <v/>
      </c>
      <c r="AK370" t="str">
        <f t="shared" si="149"/>
        <v/>
      </c>
    </row>
    <row r="371" spans="1:37" ht="15" customHeight="1" x14ac:dyDescent="0.25">
      <c r="A371" s="114"/>
      <c r="B371" s="116"/>
      <c r="C371" s="116"/>
      <c r="D371" s="42" t="str">
        <f t="shared" si="125"/>
        <v/>
      </c>
      <c r="E371" s="43"/>
      <c r="F371" s="83"/>
      <c r="G371" s="118"/>
      <c r="H371" s="34" t="str">
        <f t="shared" si="126"/>
        <v/>
      </c>
      <c r="I371" s="88" t="str">
        <f t="shared" si="127"/>
        <v/>
      </c>
      <c r="J371" s="44" t="str">
        <f t="shared" si="128"/>
        <v/>
      </c>
      <c r="K371" s="118"/>
      <c r="L371" s="34" t="str">
        <f t="shared" si="129"/>
        <v/>
      </c>
      <c r="M371" s="118"/>
      <c r="N371" s="121"/>
      <c r="O371" s="122" t="str">
        <f t="shared" si="138"/>
        <v/>
      </c>
      <c r="P371" s="35" t="str">
        <f t="shared" si="139"/>
        <v/>
      </c>
      <c r="Q371" s="124"/>
      <c r="R371" s="36" t="str">
        <f t="shared" si="140"/>
        <v/>
      </c>
      <c r="S371" s="37" t="str">
        <f t="shared" si="130"/>
        <v/>
      </c>
      <c r="T371" s="38" t="str">
        <f t="shared" si="131"/>
        <v/>
      </c>
      <c r="U371" s="39" t="str">
        <f t="shared" si="132"/>
        <v/>
      </c>
      <c r="V371" s="40" t="str">
        <f t="shared" si="133"/>
        <v/>
      </c>
      <c r="W371" s="39" t="str">
        <f t="shared" si="134"/>
        <v/>
      </c>
      <c r="X371" s="34" t="str">
        <f t="shared" si="135"/>
        <v/>
      </c>
      <c r="Y371" s="41" t="str">
        <f t="shared" si="141"/>
        <v/>
      </c>
      <c r="Z371" s="98" t="str">
        <f t="shared" si="136"/>
        <v/>
      </c>
      <c r="AA371" s="81" t="str">
        <f t="shared" si="142"/>
        <v/>
      </c>
      <c r="AC371" s="139"/>
      <c r="AD371" s="110" t="str">
        <f t="shared" si="143"/>
        <v/>
      </c>
      <c r="AE371" s="111" t="str">
        <f t="shared" si="144"/>
        <v/>
      </c>
      <c r="AF371" s="111" t="str">
        <f t="shared" si="137"/>
        <v/>
      </c>
      <c r="AG371" s="111" t="str">
        <f t="shared" si="145"/>
        <v/>
      </c>
      <c r="AH371" s="111" t="str">
        <f t="shared" si="146"/>
        <v/>
      </c>
      <c r="AI371" s="112" t="str">
        <f t="shared" si="147"/>
        <v/>
      </c>
      <c r="AJ371" t="str">
        <f t="shared" si="148"/>
        <v/>
      </c>
      <c r="AK371" t="str">
        <f t="shared" si="149"/>
        <v/>
      </c>
    </row>
    <row r="372" spans="1:37" ht="15" customHeight="1" x14ac:dyDescent="0.25">
      <c r="A372" s="114"/>
      <c r="B372" s="116"/>
      <c r="C372" s="116"/>
      <c r="D372" s="42" t="str">
        <f t="shared" si="125"/>
        <v/>
      </c>
      <c r="E372" s="43"/>
      <c r="F372" s="83"/>
      <c r="G372" s="118"/>
      <c r="H372" s="34" t="str">
        <f t="shared" si="126"/>
        <v/>
      </c>
      <c r="I372" s="88" t="str">
        <f t="shared" si="127"/>
        <v/>
      </c>
      <c r="J372" s="44" t="str">
        <f t="shared" si="128"/>
        <v/>
      </c>
      <c r="K372" s="118"/>
      <c r="L372" s="34" t="str">
        <f t="shared" si="129"/>
        <v/>
      </c>
      <c r="M372" s="118"/>
      <c r="N372" s="121"/>
      <c r="O372" s="122" t="str">
        <f t="shared" si="138"/>
        <v/>
      </c>
      <c r="P372" s="35" t="str">
        <f t="shared" si="139"/>
        <v/>
      </c>
      <c r="Q372" s="124"/>
      <c r="R372" s="36" t="str">
        <f t="shared" si="140"/>
        <v/>
      </c>
      <c r="S372" s="37" t="str">
        <f t="shared" si="130"/>
        <v/>
      </c>
      <c r="T372" s="38" t="str">
        <f t="shared" si="131"/>
        <v/>
      </c>
      <c r="U372" s="39" t="str">
        <f t="shared" si="132"/>
        <v/>
      </c>
      <c r="V372" s="40" t="str">
        <f t="shared" si="133"/>
        <v/>
      </c>
      <c r="W372" s="39" t="str">
        <f t="shared" si="134"/>
        <v/>
      </c>
      <c r="X372" s="34" t="str">
        <f t="shared" si="135"/>
        <v/>
      </c>
      <c r="Y372" s="41" t="str">
        <f t="shared" si="141"/>
        <v/>
      </c>
      <c r="Z372" s="98" t="str">
        <f t="shared" si="136"/>
        <v/>
      </c>
      <c r="AA372" s="81" t="str">
        <f t="shared" si="142"/>
        <v/>
      </c>
      <c r="AC372" s="139"/>
      <c r="AD372" s="110" t="str">
        <f t="shared" si="143"/>
        <v/>
      </c>
      <c r="AE372" s="111" t="str">
        <f t="shared" si="144"/>
        <v/>
      </c>
      <c r="AF372" s="111" t="str">
        <f t="shared" si="137"/>
        <v/>
      </c>
      <c r="AG372" s="111" t="str">
        <f t="shared" si="145"/>
        <v/>
      </c>
      <c r="AH372" s="111" t="str">
        <f t="shared" si="146"/>
        <v/>
      </c>
      <c r="AI372" s="112" t="str">
        <f t="shared" si="147"/>
        <v/>
      </c>
      <c r="AJ372" t="str">
        <f t="shared" si="148"/>
        <v/>
      </c>
      <c r="AK372" t="str">
        <f t="shared" si="149"/>
        <v/>
      </c>
    </row>
    <row r="373" spans="1:37" ht="15" customHeight="1" x14ac:dyDescent="0.25">
      <c r="A373" s="114"/>
      <c r="B373" s="116"/>
      <c r="C373" s="116"/>
      <c r="D373" s="42" t="str">
        <f t="shared" si="125"/>
        <v/>
      </c>
      <c r="E373" s="43"/>
      <c r="F373" s="83"/>
      <c r="G373" s="118"/>
      <c r="H373" s="34" t="str">
        <f t="shared" si="126"/>
        <v/>
      </c>
      <c r="I373" s="88" t="str">
        <f t="shared" si="127"/>
        <v/>
      </c>
      <c r="J373" s="44" t="str">
        <f t="shared" si="128"/>
        <v/>
      </c>
      <c r="K373" s="118"/>
      <c r="L373" s="34" t="str">
        <f t="shared" si="129"/>
        <v/>
      </c>
      <c r="M373" s="118"/>
      <c r="N373" s="121"/>
      <c r="O373" s="122" t="str">
        <f t="shared" si="138"/>
        <v/>
      </c>
      <c r="P373" s="35" t="str">
        <f t="shared" si="139"/>
        <v/>
      </c>
      <c r="Q373" s="124"/>
      <c r="R373" s="36" t="str">
        <f t="shared" si="140"/>
        <v/>
      </c>
      <c r="S373" s="37" t="str">
        <f t="shared" si="130"/>
        <v/>
      </c>
      <c r="T373" s="38" t="str">
        <f t="shared" si="131"/>
        <v/>
      </c>
      <c r="U373" s="39" t="str">
        <f t="shared" si="132"/>
        <v/>
      </c>
      <c r="V373" s="40" t="str">
        <f t="shared" si="133"/>
        <v/>
      </c>
      <c r="W373" s="39" t="str">
        <f t="shared" si="134"/>
        <v/>
      </c>
      <c r="X373" s="34" t="str">
        <f t="shared" si="135"/>
        <v/>
      </c>
      <c r="Y373" s="41" t="str">
        <f t="shared" si="141"/>
        <v/>
      </c>
      <c r="Z373" s="98" t="str">
        <f t="shared" si="136"/>
        <v/>
      </c>
      <c r="AA373" s="81" t="str">
        <f t="shared" si="142"/>
        <v/>
      </c>
      <c r="AC373" s="139"/>
      <c r="AD373" s="110" t="str">
        <f t="shared" si="143"/>
        <v/>
      </c>
      <c r="AE373" s="111" t="str">
        <f t="shared" si="144"/>
        <v/>
      </c>
      <c r="AF373" s="111" t="str">
        <f t="shared" si="137"/>
        <v/>
      </c>
      <c r="AG373" s="111" t="str">
        <f t="shared" si="145"/>
        <v/>
      </c>
      <c r="AH373" s="111" t="str">
        <f t="shared" si="146"/>
        <v/>
      </c>
      <c r="AI373" s="112" t="str">
        <f t="shared" si="147"/>
        <v/>
      </c>
      <c r="AJ373" t="str">
        <f t="shared" si="148"/>
        <v/>
      </c>
      <c r="AK373" t="str">
        <f t="shared" si="149"/>
        <v/>
      </c>
    </row>
    <row r="374" spans="1:37" ht="15" customHeight="1" x14ac:dyDescent="0.25">
      <c r="A374" s="114"/>
      <c r="B374" s="116"/>
      <c r="C374" s="116"/>
      <c r="D374" s="42" t="str">
        <f t="shared" si="125"/>
        <v/>
      </c>
      <c r="E374" s="43"/>
      <c r="F374" s="83"/>
      <c r="G374" s="118"/>
      <c r="H374" s="34" t="str">
        <f t="shared" si="126"/>
        <v/>
      </c>
      <c r="I374" s="88" t="str">
        <f t="shared" si="127"/>
        <v/>
      </c>
      <c r="J374" s="44" t="str">
        <f t="shared" si="128"/>
        <v/>
      </c>
      <c r="K374" s="118"/>
      <c r="L374" s="34" t="str">
        <f t="shared" si="129"/>
        <v/>
      </c>
      <c r="M374" s="118"/>
      <c r="N374" s="121"/>
      <c r="O374" s="122" t="str">
        <f t="shared" si="138"/>
        <v/>
      </c>
      <c r="P374" s="35" t="str">
        <f t="shared" si="139"/>
        <v/>
      </c>
      <c r="Q374" s="124"/>
      <c r="R374" s="36" t="str">
        <f t="shared" si="140"/>
        <v/>
      </c>
      <c r="S374" s="37" t="str">
        <f t="shared" si="130"/>
        <v/>
      </c>
      <c r="T374" s="38" t="str">
        <f t="shared" si="131"/>
        <v/>
      </c>
      <c r="U374" s="39" t="str">
        <f t="shared" si="132"/>
        <v/>
      </c>
      <c r="V374" s="40" t="str">
        <f t="shared" si="133"/>
        <v/>
      </c>
      <c r="W374" s="39" t="str">
        <f t="shared" si="134"/>
        <v/>
      </c>
      <c r="X374" s="34" t="str">
        <f t="shared" si="135"/>
        <v/>
      </c>
      <c r="Y374" s="41" t="str">
        <f t="shared" si="141"/>
        <v/>
      </c>
      <c r="Z374" s="98" t="str">
        <f t="shared" si="136"/>
        <v/>
      </c>
      <c r="AA374" s="81" t="str">
        <f t="shared" si="142"/>
        <v/>
      </c>
      <c r="AC374" s="139"/>
      <c r="AD374" s="110" t="str">
        <f t="shared" si="143"/>
        <v/>
      </c>
      <c r="AE374" s="111" t="str">
        <f t="shared" si="144"/>
        <v/>
      </c>
      <c r="AF374" s="111" t="str">
        <f t="shared" si="137"/>
        <v/>
      </c>
      <c r="AG374" s="111" t="str">
        <f t="shared" si="145"/>
        <v/>
      </c>
      <c r="AH374" s="111" t="str">
        <f t="shared" si="146"/>
        <v/>
      </c>
      <c r="AI374" s="112" t="str">
        <f t="shared" si="147"/>
        <v/>
      </c>
      <c r="AJ374" t="str">
        <f t="shared" si="148"/>
        <v/>
      </c>
      <c r="AK374" t="str">
        <f t="shared" si="149"/>
        <v/>
      </c>
    </row>
    <row r="375" spans="1:37" ht="15" customHeight="1" x14ac:dyDescent="0.25">
      <c r="A375" s="114"/>
      <c r="B375" s="116"/>
      <c r="C375" s="116"/>
      <c r="D375" s="42" t="str">
        <f t="shared" si="125"/>
        <v/>
      </c>
      <c r="E375" s="43"/>
      <c r="F375" s="83"/>
      <c r="G375" s="118"/>
      <c r="H375" s="34" t="str">
        <f t="shared" si="126"/>
        <v/>
      </c>
      <c r="I375" s="88" t="str">
        <f t="shared" si="127"/>
        <v/>
      </c>
      <c r="J375" s="44" t="str">
        <f t="shared" si="128"/>
        <v/>
      </c>
      <c r="K375" s="118"/>
      <c r="L375" s="34" t="str">
        <f t="shared" si="129"/>
        <v/>
      </c>
      <c r="M375" s="118"/>
      <c r="N375" s="121"/>
      <c r="O375" s="122" t="str">
        <f t="shared" si="138"/>
        <v/>
      </c>
      <c r="P375" s="35" t="str">
        <f t="shared" si="139"/>
        <v/>
      </c>
      <c r="Q375" s="124"/>
      <c r="R375" s="36" t="str">
        <f t="shared" si="140"/>
        <v/>
      </c>
      <c r="S375" s="37" t="str">
        <f t="shared" si="130"/>
        <v/>
      </c>
      <c r="T375" s="38" t="str">
        <f t="shared" si="131"/>
        <v/>
      </c>
      <c r="U375" s="39" t="str">
        <f t="shared" si="132"/>
        <v/>
      </c>
      <c r="V375" s="40" t="str">
        <f t="shared" si="133"/>
        <v/>
      </c>
      <c r="W375" s="39" t="str">
        <f t="shared" si="134"/>
        <v/>
      </c>
      <c r="X375" s="34" t="str">
        <f t="shared" si="135"/>
        <v/>
      </c>
      <c r="Y375" s="41" t="str">
        <f t="shared" si="141"/>
        <v/>
      </c>
      <c r="Z375" s="98" t="str">
        <f t="shared" si="136"/>
        <v/>
      </c>
      <c r="AA375" s="81" t="str">
        <f t="shared" si="142"/>
        <v/>
      </c>
      <c r="AC375" s="139"/>
      <c r="AD375" s="110" t="str">
        <f t="shared" si="143"/>
        <v/>
      </c>
      <c r="AE375" s="111" t="str">
        <f t="shared" si="144"/>
        <v/>
      </c>
      <c r="AF375" s="111" t="str">
        <f t="shared" si="137"/>
        <v/>
      </c>
      <c r="AG375" s="111" t="str">
        <f t="shared" si="145"/>
        <v/>
      </c>
      <c r="AH375" s="111" t="str">
        <f t="shared" si="146"/>
        <v/>
      </c>
      <c r="AI375" s="112" t="str">
        <f t="shared" si="147"/>
        <v/>
      </c>
      <c r="AJ375" t="str">
        <f t="shared" si="148"/>
        <v/>
      </c>
      <c r="AK375" t="str">
        <f t="shared" si="149"/>
        <v/>
      </c>
    </row>
    <row r="376" spans="1:37" ht="15" customHeight="1" x14ac:dyDescent="0.25">
      <c r="A376" s="114"/>
      <c r="B376" s="116"/>
      <c r="C376" s="116"/>
      <c r="D376" s="42" t="str">
        <f t="shared" si="125"/>
        <v/>
      </c>
      <c r="E376" s="43"/>
      <c r="F376" s="83"/>
      <c r="G376" s="118"/>
      <c r="H376" s="34" t="str">
        <f t="shared" si="126"/>
        <v/>
      </c>
      <c r="I376" s="88" t="str">
        <f t="shared" si="127"/>
        <v/>
      </c>
      <c r="J376" s="44" t="str">
        <f t="shared" si="128"/>
        <v/>
      </c>
      <c r="K376" s="118"/>
      <c r="L376" s="34" t="str">
        <f t="shared" si="129"/>
        <v/>
      </c>
      <c r="M376" s="118"/>
      <c r="N376" s="121"/>
      <c r="O376" s="122" t="str">
        <f t="shared" si="138"/>
        <v/>
      </c>
      <c r="P376" s="35" t="str">
        <f t="shared" si="139"/>
        <v/>
      </c>
      <c r="Q376" s="124"/>
      <c r="R376" s="36" t="str">
        <f t="shared" si="140"/>
        <v/>
      </c>
      <c r="S376" s="37" t="str">
        <f t="shared" si="130"/>
        <v/>
      </c>
      <c r="T376" s="38" t="str">
        <f t="shared" si="131"/>
        <v/>
      </c>
      <c r="U376" s="39" t="str">
        <f t="shared" si="132"/>
        <v/>
      </c>
      <c r="V376" s="40" t="str">
        <f t="shared" si="133"/>
        <v/>
      </c>
      <c r="W376" s="39" t="str">
        <f t="shared" si="134"/>
        <v/>
      </c>
      <c r="X376" s="34" t="str">
        <f t="shared" si="135"/>
        <v/>
      </c>
      <c r="Y376" s="41" t="str">
        <f t="shared" si="141"/>
        <v/>
      </c>
      <c r="Z376" s="98" t="str">
        <f t="shared" si="136"/>
        <v/>
      </c>
      <c r="AA376" s="81" t="str">
        <f t="shared" si="142"/>
        <v/>
      </c>
      <c r="AC376" s="139"/>
      <c r="AD376" s="110" t="str">
        <f t="shared" si="143"/>
        <v/>
      </c>
      <c r="AE376" s="111" t="str">
        <f t="shared" si="144"/>
        <v/>
      </c>
      <c r="AF376" s="111" t="str">
        <f t="shared" si="137"/>
        <v/>
      </c>
      <c r="AG376" s="111" t="str">
        <f t="shared" si="145"/>
        <v/>
      </c>
      <c r="AH376" s="111" t="str">
        <f t="shared" si="146"/>
        <v/>
      </c>
      <c r="AI376" s="112" t="str">
        <f t="shared" si="147"/>
        <v/>
      </c>
      <c r="AJ376" t="str">
        <f t="shared" si="148"/>
        <v/>
      </c>
      <c r="AK376" t="str">
        <f t="shared" si="149"/>
        <v/>
      </c>
    </row>
    <row r="377" spans="1:37" ht="15" customHeight="1" x14ac:dyDescent="0.25">
      <c r="A377" s="114"/>
      <c r="B377" s="116"/>
      <c r="C377" s="116"/>
      <c r="D377" s="42" t="str">
        <f t="shared" si="125"/>
        <v/>
      </c>
      <c r="E377" s="43"/>
      <c r="F377" s="83"/>
      <c r="G377" s="118"/>
      <c r="H377" s="34" t="str">
        <f t="shared" si="126"/>
        <v/>
      </c>
      <c r="I377" s="88" t="str">
        <f t="shared" si="127"/>
        <v/>
      </c>
      <c r="J377" s="44" t="str">
        <f t="shared" si="128"/>
        <v/>
      </c>
      <c r="K377" s="118"/>
      <c r="L377" s="34" t="str">
        <f t="shared" si="129"/>
        <v/>
      </c>
      <c r="M377" s="118"/>
      <c r="N377" s="121"/>
      <c r="O377" s="122" t="str">
        <f t="shared" si="138"/>
        <v/>
      </c>
      <c r="P377" s="35" t="str">
        <f t="shared" si="139"/>
        <v/>
      </c>
      <c r="Q377" s="124"/>
      <c r="R377" s="36" t="str">
        <f t="shared" si="140"/>
        <v/>
      </c>
      <c r="S377" s="37" t="str">
        <f t="shared" si="130"/>
        <v/>
      </c>
      <c r="T377" s="38" t="str">
        <f t="shared" si="131"/>
        <v/>
      </c>
      <c r="U377" s="39" t="str">
        <f t="shared" si="132"/>
        <v/>
      </c>
      <c r="V377" s="40" t="str">
        <f t="shared" si="133"/>
        <v/>
      </c>
      <c r="W377" s="39" t="str">
        <f t="shared" si="134"/>
        <v/>
      </c>
      <c r="X377" s="34" t="str">
        <f t="shared" si="135"/>
        <v/>
      </c>
      <c r="Y377" s="41" t="str">
        <f t="shared" si="141"/>
        <v/>
      </c>
      <c r="Z377" s="98" t="str">
        <f t="shared" si="136"/>
        <v/>
      </c>
      <c r="AA377" s="81" t="str">
        <f t="shared" si="142"/>
        <v/>
      </c>
      <c r="AC377" s="139"/>
      <c r="AD377" s="110" t="str">
        <f t="shared" si="143"/>
        <v/>
      </c>
      <c r="AE377" s="111" t="str">
        <f t="shared" si="144"/>
        <v/>
      </c>
      <c r="AF377" s="111" t="str">
        <f t="shared" si="137"/>
        <v/>
      </c>
      <c r="AG377" s="111" t="str">
        <f t="shared" si="145"/>
        <v/>
      </c>
      <c r="AH377" s="111" t="str">
        <f t="shared" si="146"/>
        <v/>
      </c>
      <c r="AI377" s="112" t="str">
        <f t="shared" si="147"/>
        <v/>
      </c>
      <c r="AJ377" t="str">
        <f t="shared" si="148"/>
        <v/>
      </c>
      <c r="AK377" t="str">
        <f t="shared" si="149"/>
        <v/>
      </c>
    </row>
    <row r="378" spans="1:37" ht="15" customHeight="1" x14ac:dyDescent="0.25">
      <c r="A378" s="114"/>
      <c r="B378" s="116"/>
      <c r="C378" s="116"/>
      <c r="D378" s="42" t="str">
        <f t="shared" si="125"/>
        <v/>
      </c>
      <c r="E378" s="43"/>
      <c r="F378" s="83"/>
      <c r="G378" s="118"/>
      <c r="H378" s="34" t="str">
        <f t="shared" si="126"/>
        <v/>
      </c>
      <c r="I378" s="88" t="str">
        <f t="shared" si="127"/>
        <v/>
      </c>
      <c r="J378" s="44" t="str">
        <f t="shared" si="128"/>
        <v/>
      </c>
      <c r="K378" s="118"/>
      <c r="L378" s="34" t="str">
        <f t="shared" si="129"/>
        <v/>
      </c>
      <c r="M378" s="118"/>
      <c r="N378" s="121"/>
      <c r="O378" s="122" t="str">
        <f t="shared" si="138"/>
        <v/>
      </c>
      <c r="P378" s="35" t="str">
        <f t="shared" si="139"/>
        <v/>
      </c>
      <c r="Q378" s="124"/>
      <c r="R378" s="36" t="str">
        <f t="shared" si="140"/>
        <v/>
      </c>
      <c r="S378" s="37" t="str">
        <f t="shared" si="130"/>
        <v/>
      </c>
      <c r="T378" s="38" t="str">
        <f t="shared" si="131"/>
        <v/>
      </c>
      <c r="U378" s="39" t="str">
        <f t="shared" si="132"/>
        <v/>
      </c>
      <c r="V378" s="40" t="str">
        <f t="shared" si="133"/>
        <v/>
      </c>
      <c r="W378" s="39" t="str">
        <f t="shared" si="134"/>
        <v/>
      </c>
      <c r="X378" s="34" t="str">
        <f t="shared" si="135"/>
        <v/>
      </c>
      <c r="Y378" s="41" t="str">
        <f t="shared" si="141"/>
        <v/>
      </c>
      <c r="Z378" s="98" t="str">
        <f t="shared" si="136"/>
        <v/>
      </c>
      <c r="AA378" s="81" t="str">
        <f t="shared" si="142"/>
        <v/>
      </c>
      <c r="AC378" s="139"/>
      <c r="AD378" s="110" t="str">
        <f t="shared" si="143"/>
        <v/>
      </c>
      <c r="AE378" s="111" t="str">
        <f t="shared" si="144"/>
        <v/>
      </c>
      <c r="AF378" s="111" t="str">
        <f t="shared" si="137"/>
        <v/>
      </c>
      <c r="AG378" s="111" t="str">
        <f t="shared" si="145"/>
        <v/>
      </c>
      <c r="AH378" s="111" t="str">
        <f t="shared" si="146"/>
        <v/>
      </c>
      <c r="AI378" s="112" t="str">
        <f t="shared" si="147"/>
        <v/>
      </c>
      <c r="AJ378" t="str">
        <f t="shared" si="148"/>
        <v/>
      </c>
      <c r="AK378" t="str">
        <f t="shared" si="149"/>
        <v/>
      </c>
    </row>
    <row r="379" spans="1:37" ht="15" customHeight="1" x14ac:dyDescent="0.25">
      <c r="A379" s="114"/>
      <c r="B379" s="116"/>
      <c r="C379" s="116"/>
      <c r="D379" s="42" t="str">
        <f t="shared" si="125"/>
        <v/>
      </c>
      <c r="E379" s="43"/>
      <c r="F379" s="83"/>
      <c r="G379" s="118"/>
      <c r="H379" s="34" t="str">
        <f t="shared" si="126"/>
        <v/>
      </c>
      <c r="I379" s="88" t="str">
        <f t="shared" si="127"/>
        <v/>
      </c>
      <c r="J379" s="44" t="str">
        <f t="shared" si="128"/>
        <v/>
      </c>
      <c r="K379" s="118"/>
      <c r="L379" s="34" t="str">
        <f t="shared" si="129"/>
        <v/>
      </c>
      <c r="M379" s="118"/>
      <c r="N379" s="121"/>
      <c r="O379" s="122" t="str">
        <f t="shared" si="138"/>
        <v/>
      </c>
      <c r="P379" s="35" t="str">
        <f t="shared" si="139"/>
        <v/>
      </c>
      <c r="Q379" s="124"/>
      <c r="R379" s="36" t="str">
        <f t="shared" si="140"/>
        <v/>
      </c>
      <c r="S379" s="37" t="str">
        <f t="shared" si="130"/>
        <v/>
      </c>
      <c r="T379" s="38" t="str">
        <f t="shared" si="131"/>
        <v/>
      </c>
      <c r="U379" s="39" t="str">
        <f t="shared" si="132"/>
        <v/>
      </c>
      <c r="V379" s="40" t="str">
        <f t="shared" si="133"/>
        <v/>
      </c>
      <c r="W379" s="39" t="str">
        <f t="shared" si="134"/>
        <v/>
      </c>
      <c r="X379" s="34" t="str">
        <f t="shared" si="135"/>
        <v/>
      </c>
      <c r="Y379" s="41" t="str">
        <f t="shared" si="141"/>
        <v/>
      </c>
      <c r="Z379" s="98" t="str">
        <f t="shared" si="136"/>
        <v/>
      </c>
      <c r="AA379" s="81" t="str">
        <f t="shared" si="142"/>
        <v/>
      </c>
      <c r="AC379" s="139"/>
      <c r="AD379" s="110" t="str">
        <f t="shared" si="143"/>
        <v/>
      </c>
      <c r="AE379" s="111" t="str">
        <f t="shared" si="144"/>
        <v/>
      </c>
      <c r="AF379" s="111" t="str">
        <f t="shared" si="137"/>
        <v/>
      </c>
      <c r="AG379" s="111" t="str">
        <f t="shared" si="145"/>
        <v/>
      </c>
      <c r="AH379" s="111" t="str">
        <f t="shared" si="146"/>
        <v/>
      </c>
      <c r="AI379" s="112" t="str">
        <f t="shared" si="147"/>
        <v/>
      </c>
      <c r="AJ379" t="str">
        <f t="shared" si="148"/>
        <v/>
      </c>
      <c r="AK379" t="str">
        <f t="shared" si="149"/>
        <v/>
      </c>
    </row>
    <row r="380" spans="1:37" ht="15" customHeight="1" x14ac:dyDescent="0.25">
      <c r="A380" s="114"/>
      <c r="B380" s="116"/>
      <c r="C380" s="116"/>
      <c r="D380" s="42" t="str">
        <f t="shared" si="125"/>
        <v/>
      </c>
      <c r="E380" s="43"/>
      <c r="F380" s="83"/>
      <c r="G380" s="118"/>
      <c r="H380" s="34" t="str">
        <f t="shared" si="126"/>
        <v/>
      </c>
      <c r="I380" s="88" t="str">
        <f t="shared" si="127"/>
        <v/>
      </c>
      <c r="J380" s="44" t="str">
        <f t="shared" si="128"/>
        <v/>
      </c>
      <c r="K380" s="118"/>
      <c r="L380" s="34" t="str">
        <f t="shared" si="129"/>
        <v/>
      </c>
      <c r="M380" s="118"/>
      <c r="N380" s="121"/>
      <c r="O380" s="122" t="str">
        <f t="shared" si="138"/>
        <v/>
      </c>
      <c r="P380" s="35" t="str">
        <f t="shared" si="139"/>
        <v/>
      </c>
      <c r="Q380" s="124"/>
      <c r="R380" s="36" t="str">
        <f t="shared" si="140"/>
        <v/>
      </c>
      <c r="S380" s="37" t="str">
        <f t="shared" si="130"/>
        <v/>
      </c>
      <c r="T380" s="38" t="str">
        <f t="shared" si="131"/>
        <v/>
      </c>
      <c r="U380" s="39" t="str">
        <f t="shared" si="132"/>
        <v/>
      </c>
      <c r="V380" s="40" t="str">
        <f t="shared" si="133"/>
        <v/>
      </c>
      <c r="W380" s="39" t="str">
        <f t="shared" si="134"/>
        <v/>
      </c>
      <c r="X380" s="34" t="str">
        <f t="shared" si="135"/>
        <v/>
      </c>
      <c r="Y380" s="41" t="str">
        <f t="shared" si="141"/>
        <v/>
      </c>
      <c r="Z380" s="98" t="str">
        <f t="shared" si="136"/>
        <v/>
      </c>
      <c r="AA380" s="81" t="str">
        <f t="shared" si="142"/>
        <v/>
      </c>
      <c r="AC380" s="139"/>
      <c r="AD380" s="110" t="str">
        <f t="shared" si="143"/>
        <v/>
      </c>
      <c r="AE380" s="111" t="str">
        <f t="shared" si="144"/>
        <v/>
      </c>
      <c r="AF380" s="111" t="str">
        <f t="shared" si="137"/>
        <v/>
      </c>
      <c r="AG380" s="111" t="str">
        <f t="shared" si="145"/>
        <v/>
      </c>
      <c r="AH380" s="111" t="str">
        <f t="shared" si="146"/>
        <v/>
      </c>
      <c r="AI380" s="112" t="str">
        <f t="shared" si="147"/>
        <v/>
      </c>
      <c r="AJ380" t="str">
        <f t="shared" si="148"/>
        <v/>
      </c>
      <c r="AK380" t="str">
        <f t="shared" si="149"/>
        <v/>
      </c>
    </row>
    <row r="381" spans="1:37" ht="15" customHeight="1" x14ac:dyDescent="0.25">
      <c r="A381" s="114"/>
      <c r="B381" s="116"/>
      <c r="C381" s="116"/>
      <c r="D381" s="42" t="str">
        <f t="shared" si="125"/>
        <v/>
      </c>
      <c r="E381" s="43"/>
      <c r="F381" s="83"/>
      <c r="G381" s="118"/>
      <c r="H381" s="34" t="str">
        <f t="shared" si="126"/>
        <v/>
      </c>
      <c r="I381" s="88" t="str">
        <f t="shared" si="127"/>
        <v/>
      </c>
      <c r="J381" s="44" t="str">
        <f t="shared" si="128"/>
        <v/>
      </c>
      <c r="K381" s="118"/>
      <c r="L381" s="34" t="str">
        <f t="shared" si="129"/>
        <v/>
      </c>
      <c r="M381" s="118"/>
      <c r="N381" s="121"/>
      <c r="O381" s="122" t="str">
        <f t="shared" si="138"/>
        <v/>
      </c>
      <c r="P381" s="35" t="str">
        <f t="shared" si="139"/>
        <v/>
      </c>
      <c r="Q381" s="124"/>
      <c r="R381" s="36" t="str">
        <f t="shared" si="140"/>
        <v/>
      </c>
      <c r="S381" s="37" t="str">
        <f t="shared" si="130"/>
        <v/>
      </c>
      <c r="T381" s="38" t="str">
        <f t="shared" si="131"/>
        <v/>
      </c>
      <c r="U381" s="39" t="str">
        <f t="shared" si="132"/>
        <v/>
      </c>
      <c r="V381" s="40" t="str">
        <f t="shared" si="133"/>
        <v/>
      </c>
      <c r="W381" s="39" t="str">
        <f t="shared" si="134"/>
        <v/>
      </c>
      <c r="X381" s="34" t="str">
        <f t="shared" si="135"/>
        <v/>
      </c>
      <c r="Y381" s="41" t="str">
        <f t="shared" si="141"/>
        <v/>
      </c>
      <c r="Z381" s="98" t="str">
        <f t="shared" si="136"/>
        <v/>
      </c>
      <c r="AA381" s="81" t="str">
        <f t="shared" si="142"/>
        <v/>
      </c>
      <c r="AC381" s="139"/>
      <c r="AD381" s="110" t="str">
        <f t="shared" si="143"/>
        <v/>
      </c>
      <c r="AE381" s="111" t="str">
        <f t="shared" si="144"/>
        <v/>
      </c>
      <c r="AF381" s="111" t="str">
        <f t="shared" si="137"/>
        <v/>
      </c>
      <c r="AG381" s="111" t="str">
        <f t="shared" si="145"/>
        <v/>
      </c>
      <c r="AH381" s="111" t="str">
        <f t="shared" si="146"/>
        <v/>
      </c>
      <c r="AI381" s="112" t="str">
        <f t="shared" si="147"/>
        <v/>
      </c>
      <c r="AJ381" t="str">
        <f t="shared" si="148"/>
        <v/>
      </c>
      <c r="AK381" t="str">
        <f t="shared" si="149"/>
        <v/>
      </c>
    </row>
    <row r="382" spans="1:37" ht="15" customHeight="1" x14ac:dyDescent="0.25">
      <c r="A382" s="114"/>
      <c r="B382" s="116"/>
      <c r="C382" s="116"/>
      <c r="D382" s="42" t="str">
        <f t="shared" si="125"/>
        <v/>
      </c>
      <c r="E382" s="43"/>
      <c r="F382" s="83"/>
      <c r="G382" s="118"/>
      <c r="H382" s="34" t="str">
        <f t="shared" si="126"/>
        <v/>
      </c>
      <c r="I382" s="88" t="str">
        <f t="shared" si="127"/>
        <v/>
      </c>
      <c r="J382" s="44" t="str">
        <f t="shared" si="128"/>
        <v/>
      </c>
      <c r="K382" s="118"/>
      <c r="L382" s="34" t="str">
        <f t="shared" si="129"/>
        <v/>
      </c>
      <c r="M382" s="118"/>
      <c r="N382" s="121"/>
      <c r="O382" s="122" t="str">
        <f t="shared" si="138"/>
        <v/>
      </c>
      <c r="P382" s="35" t="str">
        <f t="shared" si="139"/>
        <v/>
      </c>
      <c r="Q382" s="124"/>
      <c r="R382" s="36" t="str">
        <f t="shared" si="140"/>
        <v/>
      </c>
      <c r="S382" s="37" t="str">
        <f t="shared" si="130"/>
        <v/>
      </c>
      <c r="T382" s="38" t="str">
        <f t="shared" si="131"/>
        <v/>
      </c>
      <c r="U382" s="39" t="str">
        <f t="shared" si="132"/>
        <v/>
      </c>
      <c r="V382" s="40" t="str">
        <f t="shared" si="133"/>
        <v/>
      </c>
      <c r="W382" s="39" t="str">
        <f t="shared" si="134"/>
        <v/>
      </c>
      <c r="X382" s="34" t="str">
        <f t="shared" si="135"/>
        <v/>
      </c>
      <c r="Y382" s="41" t="str">
        <f t="shared" si="141"/>
        <v/>
      </c>
      <c r="Z382" s="98" t="str">
        <f t="shared" si="136"/>
        <v/>
      </c>
      <c r="AA382" s="81" t="str">
        <f t="shared" si="142"/>
        <v/>
      </c>
      <c r="AC382" s="139"/>
      <c r="AD382" s="110" t="str">
        <f t="shared" si="143"/>
        <v/>
      </c>
      <c r="AE382" s="111" t="str">
        <f t="shared" si="144"/>
        <v/>
      </c>
      <c r="AF382" s="111" t="str">
        <f t="shared" si="137"/>
        <v/>
      </c>
      <c r="AG382" s="111" t="str">
        <f t="shared" si="145"/>
        <v/>
      </c>
      <c r="AH382" s="111" t="str">
        <f t="shared" si="146"/>
        <v/>
      </c>
      <c r="AI382" s="112" t="str">
        <f t="shared" si="147"/>
        <v/>
      </c>
      <c r="AJ382" t="str">
        <f t="shared" si="148"/>
        <v/>
      </c>
      <c r="AK382" t="str">
        <f t="shared" si="149"/>
        <v/>
      </c>
    </row>
    <row r="383" spans="1:37" ht="15" customHeight="1" x14ac:dyDescent="0.25">
      <c r="A383" s="114"/>
      <c r="B383" s="116"/>
      <c r="C383" s="116"/>
      <c r="D383" s="42" t="str">
        <f t="shared" si="125"/>
        <v/>
      </c>
      <c r="E383" s="43"/>
      <c r="F383" s="83"/>
      <c r="G383" s="118"/>
      <c r="H383" s="34" t="str">
        <f t="shared" si="126"/>
        <v/>
      </c>
      <c r="I383" s="88" t="str">
        <f t="shared" si="127"/>
        <v/>
      </c>
      <c r="J383" s="44" t="str">
        <f t="shared" si="128"/>
        <v/>
      </c>
      <c r="K383" s="118"/>
      <c r="L383" s="34" t="str">
        <f t="shared" si="129"/>
        <v/>
      </c>
      <c r="M383" s="118"/>
      <c r="N383" s="121"/>
      <c r="O383" s="122" t="str">
        <f t="shared" si="138"/>
        <v/>
      </c>
      <c r="P383" s="35" t="str">
        <f t="shared" si="139"/>
        <v/>
      </c>
      <c r="Q383" s="124"/>
      <c r="R383" s="36" t="str">
        <f t="shared" si="140"/>
        <v/>
      </c>
      <c r="S383" s="37" t="str">
        <f t="shared" si="130"/>
        <v/>
      </c>
      <c r="T383" s="38" t="str">
        <f t="shared" si="131"/>
        <v/>
      </c>
      <c r="U383" s="39" t="str">
        <f t="shared" si="132"/>
        <v/>
      </c>
      <c r="V383" s="40" t="str">
        <f t="shared" si="133"/>
        <v/>
      </c>
      <c r="W383" s="39" t="str">
        <f t="shared" si="134"/>
        <v/>
      </c>
      <c r="X383" s="34" t="str">
        <f t="shared" si="135"/>
        <v/>
      </c>
      <c r="Y383" s="41" t="str">
        <f t="shared" si="141"/>
        <v/>
      </c>
      <c r="Z383" s="98" t="str">
        <f t="shared" si="136"/>
        <v/>
      </c>
      <c r="AA383" s="81" t="str">
        <f t="shared" si="142"/>
        <v/>
      </c>
      <c r="AC383" s="139"/>
      <c r="AD383" s="110" t="str">
        <f t="shared" si="143"/>
        <v/>
      </c>
      <c r="AE383" s="111" t="str">
        <f t="shared" si="144"/>
        <v/>
      </c>
      <c r="AF383" s="111" t="str">
        <f t="shared" si="137"/>
        <v/>
      </c>
      <c r="AG383" s="111" t="str">
        <f t="shared" si="145"/>
        <v/>
      </c>
      <c r="AH383" s="111" t="str">
        <f t="shared" si="146"/>
        <v/>
      </c>
      <c r="AI383" s="112" t="str">
        <f t="shared" si="147"/>
        <v/>
      </c>
      <c r="AJ383" t="str">
        <f t="shared" si="148"/>
        <v/>
      </c>
      <c r="AK383" t="str">
        <f t="shared" si="149"/>
        <v/>
      </c>
    </row>
    <row r="384" spans="1:37" ht="15" customHeight="1" x14ac:dyDescent="0.25">
      <c r="A384" s="114"/>
      <c r="B384" s="116"/>
      <c r="C384" s="116"/>
      <c r="D384" s="42" t="str">
        <f t="shared" si="125"/>
        <v/>
      </c>
      <c r="E384" s="43"/>
      <c r="F384" s="83"/>
      <c r="G384" s="118"/>
      <c r="H384" s="34" t="str">
        <f t="shared" si="126"/>
        <v/>
      </c>
      <c r="I384" s="88" t="str">
        <f t="shared" si="127"/>
        <v/>
      </c>
      <c r="J384" s="44" t="str">
        <f t="shared" si="128"/>
        <v/>
      </c>
      <c r="K384" s="118"/>
      <c r="L384" s="34" t="str">
        <f t="shared" si="129"/>
        <v/>
      </c>
      <c r="M384" s="118"/>
      <c r="N384" s="121"/>
      <c r="O384" s="122" t="str">
        <f t="shared" si="138"/>
        <v/>
      </c>
      <c r="P384" s="35" t="str">
        <f t="shared" si="139"/>
        <v/>
      </c>
      <c r="Q384" s="124"/>
      <c r="R384" s="36" t="str">
        <f t="shared" si="140"/>
        <v/>
      </c>
      <c r="S384" s="37" t="str">
        <f t="shared" si="130"/>
        <v/>
      </c>
      <c r="T384" s="38" t="str">
        <f t="shared" si="131"/>
        <v/>
      </c>
      <c r="U384" s="39" t="str">
        <f t="shared" si="132"/>
        <v/>
      </c>
      <c r="V384" s="40" t="str">
        <f t="shared" si="133"/>
        <v/>
      </c>
      <c r="W384" s="39" t="str">
        <f t="shared" si="134"/>
        <v/>
      </c>
      <c r="X384" s="34" t="str">
        <f t="shared" si="135"/>
        <v/>
      </c>
      <c r="Y384" s="41" t="str">
        <f t="shared" si="141"/>
        <v/>
      </c>
      <c r="Z384" s="98" t="str">
        <f t="shared" si="136"/>
        <v/>
      </c>
      <c r="AA384" s="81" t="str">
        <f t="shared" si="142"/>
        <v/>
      </c>
      <c r="AC384" s="139"/>
      <c r="AD384" s="110" t="str">
        <f t="shared" si="143"/>
        <v/>
      </c>
      <c r="AE384" s="111" t="str">
        <f t="shared" si="144"/>
        <v/>
      </c>
      <c r="AF384" s="111" t="str">
        <f t="shared" si="137"/>
        <v/>
      </c>
      <c r="AG384" s="111" t="str">
        <f t="shared" si="145"/>
        <v/>
      </c>
      <c r="AH384" s="111" t="str">
        <f t="shared" si="146"/>
        <v/>
      </c>
      <c r="AI384" s="112" t="str">
        <f t="shared" si="147"/>
        <v/>
      </c>
      <c r="AJ384" t="str">
        <f t="shared" si="148"/>
        <v/>
      </c>
      <c r="AK384" t="str">
        <f t="shared" si="149"/>
        <v/>
      </c>
    </row>
    <row r="385" spans="1:37" ht="15" customHeight="1" x14ac:dyDescent="0.25">
      <c r="A385" s="114"/>
      <c r="B385" s="116"/>
      <c r="C385" s="116"/>
      <c r="D385" s="42" t="str">
        <f t="shared" si="125"/>
        <v/>
      </c>
      <c r="E385" s="43"/>
      <c r="F385" s="83"/>
      <c r="G385" s="118"/>
      <c r="H385" s="34" t="str">
        <f t="shared" si="126"/>
        <v/>
      </c>
      <c r="I385" s="88" t="str">
        <f t="shared" si="127"/>
        <v/>
      </c>
      <c r="J385" s="44" t="str">
        <f t="shared" si="128"/>
        <v/>
      </c>
      <c r="K385" s="118"/>
      <c r="L385" s="34" t="str">
        <f t="shared" si="129"/>
        <v/>
      </c>
      <c r="M385" s="118"/>
      <c r="N385" s="121"/>
      <c r="O385" s="122" t="str">
        <f t="shared" si="138"/>
        <v/>
      </c>
      <c r="P385" s="35" t="str">
        <f t="shared" si="139"/>
        <v/>
      </c>
      <c r="Q385" s="124"/>
      <c r="R385" s="36" t="str">
        <f t="shared" si="140"/>
        <v/>
      </c>
      <c r="S385" s="37" t="str">
        <f t="shared" si="130"/>
        <v/>
      </c>
      <c r="T385" s="38" t="str">
        <f t="shared" si="131"/>
        <v/>
      </c>
      <c r="U385" s="39" t="str">
        <f t="shared" si="132"/>
        <v/>
      </c>
      <c r="V385" s="40" t="str">
        <f t="shared" si="133"/>
        <v/>
      </c>
      <c r="W385" s="39" t="str">
        <f t="shared" si="134"/>
        <v/>
      </c>
      <c r="X385" s="34" t="str">
        <f t="shared" si="135"/>
        <v/>
      </c>
      <c r="Y385" s="41" t="str">
        <f t="shared" si="141"/>
        <v/>
      </c>
      <c r="Z385" s="98" t="str">
        <f t="shared" si="136"/>
        <v/>
      </c>
      <c r="AA385" s="81" t="str">
        <f t="shared" si="142"/>
        <v/>
      </c>
      <c r="AC385" s="139"/>
      <c r="AD385" s="110" t="str">
        <f t="shared" si="143"/>
        <v/>
      </c>
      <c r="AE385" s="111" t="str">
        <f t="shared" si="144"/>
        <v/>
      </c>
      <c r="AF385" s="111" t="str">
        <f t="shared" si="137"/>
        <v/>
      </c>
      <c r="AG385" s="111" t="str">
        <f t="shared" si="145"/>
        <v/>
      </c>
      <c r="AH385" s="111" t="str">
        <f t="shared" si="146"/>
        <v/>
      </c>
      <c r="AI385" s="112" t="str">
        <f t="shared" si="147"/>
        <v/>
      </c>
      <c r="AJ385" t="str">
        <f t="shared" si="148"/>
        <v/>
      </c>
      <c r="AK385" t="str">
        <f t="shared" si="149"/>
        <v/>
      </c>
    </row>
    <row r="386" spans="1:37" ht="15" customHeight="1" x14ac:dyDescent="0.25">
      <c r="A386" s="114"/>
      <c r="B386" s="116"/>
      <c r="C386" s="116"/>
      <c r="D386" s="42" t="str">
        <f t="shared" si="125"/>
        <v/>
      </c>
      <c r="E386" s="43"/>
      <c r="F386" s="83"/>
      <c r="G386" s="118"/>
      <c r="H386" s="34" t="str">
        <f t="shared" si="126"/>
        <v/>
      </c>
      <c r="I386" s="88" t="str">
        <f t="shared" si="127"/>
        <v/>
      </c>
      <c r="J386" s="44" t="str">
        <f t="shared" si="128"/>
        <v/>
      </c>
      <c r="K386" s="118"/>
      <c r="L386" s="34" t="str">
        <f t="shared" si="129"/>
        <v/>
      </c>
      <c r="M386" s="118"/>
      <c r="N386" s="121"/>
      <c r="O386" s="122" t="str">
        <f t="shared" si="138"/>
        <v/>
      </c>
      <c r="P386" s="35" t="str">
        <f t="shared" si="139"/>
        <v/>
      </c>
      <c r="Q386" s="124"/>
      <c r="R386" s="36" t="str">
        <f t="shared" si="140"/>
        <v/>
      </c>
      <c r="S386" s="37" t="str">
        <f t="shared" si="130"/>
        <v/>
      </c>
      <c r="T386" s="38" t="str">
        <f t="shared" si="131"/>
        <v/>
      </c>
      <c r="U386" s="39" t="str">
        <f t="shared" si="132"/>
        <v/>
      </c>
      <c r="V386" s="40" t="str">
        <f t="shared" si="133"/>
        <v/>
      </c>
      <c r="W386" s="39" t="str">
        <f t="shared" si="134"/>
        <v/>
      </c>
      <c r="X386" s="34" t="str">
        <f t="shared" si="135"/>
        <v/>
      </c>
      <c r="Y386" s="41" t="str">
        <f t="shared" si="141"/>
        <v/>
      </c>
      <c r="Z386" s="98" t="str">
        <f t="shared" si="136"/>
        <v/>
      </c>
      <c r="AA386" s="81" t="str">
        <f t="shared" si="142"/>
        <v/>
      </c>
      <c r="AC386" s="139"/>
      <c r="AD386" s="110" t="str">
        <f t="shared" si="143"/>
        <v/>
      </c>
      <c r="AE386" s="111" t="str">
        <f t="shared" si="144"/>
        <v/>
      </c>
      <c r="AF386" s="111" t="str">
        <f t="shared" si="137"/>
        <v/>
      </c>
      <c r="AG386" s="111" t="str">
        <f t="shared" si="145"/>
        <v/>
      </c>
      <c r="AH386" s="111" t="str">
        <f t="shared" si="146"/>
        <v/>
      </c>
      <c r="AI386" s="112" t="str">
        <f t="shared" si="147"/>
        <v/>
      </c>
      <c r="AJ386" t="str">
        <f t="shared" si="148"/>
        <v/>
      </c>
      <c r="AK386" t="str">
        <f t="shared" si="149"/>
        <v/>
      </c>
    </row>
    <row r="387" spans="1:37" ht="15" customHeight="1" x14ac:dyDescent="0.25">
      <c r="A387" s="114"/>
      <c r="B387" s="116"/>
      <c r="C387" s="116"/>
      <c r="D387" s="42" t="str">
        <f t="shared" si="125"/>
        <v/>
      </c>
      <c r="E387" s="43"/>
      <c r="F387" s="83"/>
      <c r="G387" s="118"/>
      <c r="H387" s="34" t="str">
        <f t="shared" si="126"/>
        <v/>
      </c>
      <c r="I387" s="88" t="str">
        <f t="shared" si="127"/>
        <v/>
      </c>
      <c r="J387" s="44" t="str">
        <f t="shared" si="128"/>
        <v/>
      </c>
      <c r="K387" s="118"/>
      <c r="L387" s="34" t="str">
        <f t="shared" si="129"/>
        <v/>
      </c>
      <c r="M387" s="118"/>
      <c r="N387" s="121"/>
      <c r="O387" s="122" t="str">
        <f t="shared" si="138"/>
        <v/>
      </c>
      <c r="P387" s="35" t="str">
        <f t="shared" si="139"/>
        <v/>
      </c>
      <c r="Q387" s="124"/>
      <c r="R387" s="36" t="str">
        <f t="shared" si="140"/>
        <v/>
      </c>
      <c r="S387" s="37" t="str">
        <f t="shared" si="130"/>
        <v/>
      </c>
      <c r="T387" s="38" t="str">
        <f t="shared" si="131"/>
        <v/>
      </c>
      <c r="U387" s="39" t="str">
        <f t="shared" si="132"/>
        <v/>
      </c>
      <c r="V387" s="40" t="str">
        <f t="shared" si="133"/>
        <v/>
      </c>
      <c r="W387" s="39" t="str">
        <f t="shared" si="134"/>
        <v/>
      </c>
      <c r="X387" s="34" t="str">
        <f t="shared" si="135"/>
        <v/>
      </c>
      <c r="Y387" s="41" t="str">
        <f t="shared" si="141"/>
        <v/>
      </c>
      <c r="Z387" s="98" t="str">
        <f t="shared" si="136"/>
        <v/>
      </c>
      <c r="AA387" s="81" t="str">
        <f t="shared" si="142"/>
        <v/>
      </c>
      <c r="AC387" s="139"/>
      <c r="AD387" s="110" t="str">
        <f t="shared" si="143"/>
        <v/>
      </c>
      <c r="AE387" s="111" t="str">
        <f t="shared" si="144"/>
        <v/>
      </c>
      <c r="AF387" s="111" t="str">
        <f t="shared" si="137"/>
        <v/>
      </c>
      <c r="AG387" s="111" t="str">
        <f t="shared" si="145"/>
        <v/>
      </c>
      <c r="AH387" s="111" t="str">
        <f t="shared" si="146"/>
        <v/>
      </c>
      <c r="AI387" s="112" t="str">
        <f t="shared" si="147"/>
        <v/>
      </c>
      <c r="AJ387" t="str">
        <f t="shared" si="148"/>
        <v/>
      </c>
      <c r="AK387" t="str">
        <f t="shared" si="149"/>
        <v/>
      </c>
    </row>
    <row r="388" spans="1:37" ht="15" customHeight="1" x14ac:dyDescent="0.25">
      <c r="A388" s="114"/>
      <c r="B388" s="116"/>
      <c r="C388" s="116"/>
      <c r="D388" s="42" t="str">
        <f t="shared" si="125"/>
        <v/>
      </c>
      <c r="E388" s="43"/>
      <c r="F388" s="83"/>
      <c r="G388" s="118"/>
      <c r="H388" s="34" t="str">
        <f t="shared" si="126"/>
        <v/>
      </c>
      <c r="I388" s="88" t="str">
        <f t="shared" si="127"/>
        <v/>
      </c>
      <c r="J388" s="44" t="str">
        <f t="shared" si="128"/>
        <v/>
      </c>
      <c r="K388" s="118"/>
      <c r="L388" s="34" t="str">
        <f t="shared" si="129"/>
        <v/>
      </c>
      <c r="M388" s="118"/>
      <c r="N388" s="121"/>
      <c r="O388" s="122" t="str">
        <f t="shared" si="138"/>
        <v/>
      </c>
      <c r="P388" s="35" t="str">
        <f t="shared" si="139"/>
        <v/>
      </c>
      <c r="Q388" s="124"/>
      <c r="R388" s="36" t="str">
        <f t="shared" si="140"/>
        <v/>
      </c>
      <c r="S388" s="37" t="str">
        <f t="shared" si="130"/>
        <v/>
      </c>
      <c r="T388" s="38" t="str">
        <f t="shared" si="131"/>
        <v/>
      </c>
      <c r="U388" s="39" t="str">
        <f t="shared" si="132"/>
        <v/>
      </c>
      <c r="V388" s="40" t="str">
        <f t="shared" si="133"/>
        <v/>
      </c>
      <c r="W388" s="39" t="str">
        <f t="shared" si="134"/>
        <v/>
      </c>
      <c r="X388" s="34" t="str">
        <f t="shared" si="135"/>
        <v/>
      </c>
      <c r="Y388" s="41" t="str">
        <f t="shared" si="141"/>
        <v/>
      </c>
      <c r="Z388" s="98" t="str">
        <f t="shared" si="136"/>
        <v/>
      </c>
      <c r="AA388" s="81" t="str">
        <f t="shared" si="142"/>
        <v/>
      </c>
      <c r="AC388" s="139"/>
      <c r="AD388" s="110" t="str">
        <f t="shared" si="143"/>
        <v/>
      </c>
      <c r="AE388" s="111" t="str">
        <f t="shared" si="144"/>
        <v/>
      </c>
      <c r="AF388" s="111" t="str">
        <f t="shared" si="137"/>
        <v/>
      </c>
      <c r="AG388" s="111" t="str">
        <f t="shared" si="145"/>
        <v/>
      </c>
      <c r="AH388" s="111" t="str">
        <f t="shared" si="146"/>
        <v/>
      </c>
      <c r="AI388" s="112" t="str">
        <f t="shared" si="147"/>
        <v/>
      </c>
      <c r="AJ388" t="str">
        <f t="shared" si="148"/>
        <v/>
      </c>
      <c r="AK388" t="str">
        <f t="shared" si="149"/>
        <v/>
      </c>
    </row>
    <row r="389" spans="1:37" ht="15" customHeight="1" x14ac:dyDescent="0.25">
      <c r="A389" s="114"/>
      <c r="B389" s="116"/>
      <c r="C389" s="116"/>
      <c r="D389" s="42" t="str">
        <f t="shared" si="125"/>
        <v/>
      </c>
      <c r="E389" s="43"/>
      <c r="F389" s="83"/>
      <c r="G389" s="118"/>
      <c r="H389" s="34" t="str">
        <f t="shared" si="126"/>
        <v/>
      </c>
      <c r="I389" s="88" t="str">
        <f t="shared" si="127"/>
        <v/>
      </c>
      <c r="J389" s="44" t="str">
        <f t="shared" si="128"/>
        <v/>
      </c>
      <c r="K389" s="118"/>
      <c r="L389" s="34" t="str">
        <f t="shared" si="129"/>
        <v/>
      </c>
      <c r="M389" s="118"/>
      <c r="N389" s="121"/>
      <c r="O389" s="122" t="str">
        <f t="shared" si="138"/>
        <v/>
      </c>
      <c r="P389" s="35" t="str">
        <f t="shared" si="139"/>
        <v/>
      </c>
      <c r="Q389" s="124"/>
      <c r="R389" s="36" t="str">
        <f t="shared" si="140"/>
        <v/>
      </c>
      <c r="S389" s="37" t="str">
        <f t="shared" si="130"/>
        <v/>
      </c>
      <c r="T389" s="38" t="str">
        <f t="shared" si="131"/>
        <v/>
      </c>
      <c r="U389" s="39" t="str">
        <f t="shared" si="132"/>
        <v/>
      </c>
      <c r="V389" s="40" t="str">
        <f t="shared" si="133"/>
        <v/>
      </c>
      <c r="W389" s="39" t="str">
        <f t="shared" si="134"/>
        <v/>
      </c>
      <c r="X389" s="34" t="str">
        <f t="shared" si="135"/>
        <v/>
      </c>
      <c r="Y389" s="41" t="str">
        <f t="shared" si="141"/>
        <v/>
      </c>
      <c r="Z389" s="98" t="str">
        <f t="shared" si="136"/>
        <v/>
      </c>
      <c r="AA389" s="81" t="str">
        <f t="shared" si="142"/>
        <v/>
      </c>
      <c r="AC389" s="139"/>
      <c r="AD389" s="110" t="str">
        <f t="shared" si="143"/>
        <v/>
      </c>
      <c r="AE389" s="111" t="str">
        <f t="shared" si="144"/>
        <v/>
      </c>
      <c r="AF389" s="111" t="str">
        <f t="shared" si="137"/>
        <v/>
      </c>
      <c r="AG389" s="111" t="str">
        <f t="shared" si="145"/>
        <v/>
      </c>
      <c r="AH389" s="111" t="str">
        <f t="shared" si="146"/>
        <v/>
      </c>
      <c r="AI389" s="112" t="str">
        <f t="shared" si="147"/>
        <v/>
      </c>
      <c r="AJ389" t="str">
        <f t="shared" si="148"/>
        <v/>
      </c>
      <c r="AK389" t="str">
        <f t="shared" si="149"/>
        <v/>
      </c>
    </row>
    <row r="390" spans="1:37" ht="15" customHeight="1" x14ac:dyDescent="0.25">
      <c r="A390" s="114"/>
      <c r="B390" s="116"/>
      <c r="C390" s="116"/>
      <c r="D390" s="42" t="str">
        <f t="shared" si="125"/>
        <v/>
      </c>
      <c r="E390" s="43"/>
      <c r="F390" s="83"/>
      <c r="G390" s="118"/>
      <c r="H390" s="34" t="str">
        <f t="shared" si="126"/>
        <v/>
      </c>
      <c r="I390" s="88" t="str">
        <f t="shared" si="127"/>
        <v/>
      </c>
      <c r="J390" s="44" t="str">
        <f t="shared" si="128"/>
        <v/>
      </c>
      <c r="K390" s="118"/>
      <c r="L390" s="34" t="str">
        <f t="shared" si="129"/>
        <v/>
      </c>
      <c r="M390" s="118"/>
      <c r="N390" s="121"/>
      <c r="O390" s="122" t="str">
        <f t="shared" si="138"/>
        <v/>
      </c>
      <c r="P390" s="35" t="str">
        <f t="shared" si="139"/>
        <v/>
      </c>
      <c r="Q390" s="124"/>
      <c r="R390" s="36" t="str">
        <f t="shared" si="140"/>
        <v/>
      </c>
      <c r="S390" s="37" t="str">
        <f t="shared" si="130"/>
        <v/>
      </c>
      <c r="T390" s="38" t="str">
        <f t="shared" si="131"/>
        <v/>
      </c>
      <c r="U390" s="39" t="str">
        <f t="shared" si="132"/>
        <v/>
      </c>
      <c r="V390" s="40" t="str">
        <f t="shared" si="133"/>
        <v/>
      </c>
      <c r="W390" s="39" t="str">
        <f t="shared" si="134"/>
        <v/>
      </c>
      <c r="X390" s="34" t="str">
        <f t="shared" si="135"/>
        <v/>
      </c>
      <c r="Y390" s="41" t="str">
        <f t="shared" si="141"/>
        <v/>
      </c>
      <c r="Z390" s="98" t="str">
        <f t="shared" si="136"/>
        <v/>
      </c>
      <c r="AA390" s="81" t="str">
        <f t="shared" si="142"/>
        <v/>
      </c>
      <c r="AC390" s="139"/>
      <c r="AD390" s="110" t="str">
        <f t="shared" si="143"/>
        <v/>
      </c>
      <c r="AE390" s="111" t="str">
        <f t="shared" si="144"/>
        <v/>
      </c>
      <c r="AF390" s="111" t="str">
        <f t="shared" si="137"/>
        <v/>
      </c>
      <c r="AG390" s="111" t="str">
        <f t="shared" si="145"/>
        <v/>
      </c>
      <c r="AH390" s="111" t="str">
        <f t="shared" si="146"/>
        <v/>
      </c>
      <c r="AI390" s="112" t="str">
        <f t="shared" si="147"/>
        <v/>
      </c>
      <c r="AJ390" t="str">
        <f t="shared" si="148"/>
        <v/>
      </c>
      <c r="AK390" t="str">
        <f t="shared" si="149"/>
        <v/>
      </c>
    </row>
    <row r="391" spans="1:37" ht="15" customHeight="1" x14ac:dyDescent="0.25">
      <c r="A391" s="114"/>
      <c r="B391" s="116"/>
      <c r="C391" s="116"/>
      <c r="D391" s="42" t="str">
        <f t="shared" si="125"/>
        <v/>
      </c>
      <c r="E391" s="43"/>
      <c r="F391" s="83"/>
      <c r="G391" s="118"/>
      <c r="H391" s="34" t="str">
        <f t="shared" si="126"/>
        <v/>
      </c>
      <c r="I391" s="88" t="str">
        <f t="shared" si="127"/>
        <v/>
      </c>
      <c r="J391" s="44" t="str">
        <f t="shared" si="128"/>
        <v/>
      </c>
      <c r="K391" s="118"/>
      <c r="L391" s="34" t="str">
        <f t="shared" si="129"/>
        <v/>
      </c>
      <c r="M391" s="118"/>
      <c r="N391" s="121"/>
      <c r="O391" s="122" t="str">
        <f t="shared" si="138"/>
        <v/>
      </c>
      <c r="P391" s="35" t="str">
        <f t="shared" si="139"/>
        <v/>
      </c>
      <c r="Q391" s="124"/>
      <c r="R391" s="36" t="str">
        <f t="shared" si="140"/>
        <v/>
      </c>
      <c r="S391" s="37" t="str">
        <f t="shared" si="130"/>
        <v/>
      </c>
      <c r="T391" s="38" t="str">
        <f t="shared" si="131"/>
        <v/>
      </c>
      <c r="U391" s="39" t="str">
        <f t="shared" si="132"/>
        <v/>
      </c>
      <c r="V391" s="40" t="str">
        <f t="shared" si="133"/>
        <v/>
      </c>
      <c r="W391" s="39" t="str">
        <f t="shared" si="134"/>
        <v/>
      </c>
      <c r="X391" s="34" t="str">
        <f t="shared" si="135"/>
        <v/>
      </c>
      <c r="Y391" s="41" t="str">
        <f t="shared" si="141"/>
        <v/>
      </c>
      <c r="Z391" s="98" t="str">
        <f t="shared" si="136"/>
        <v/>
      </c>
      <c r="AA391" s="81" t="str">
        <f t="shared" si="142"/>
        <v/>
      </c>
      <c r="AC391" s="139"/>
      <c r="AD391" s="110" t="str">
        <f t="shared" si="143"/>
        <v/>
      </c>
      <c r="AE391" s="111" t="str">
        <f t="shared" si="144"/>
        <v/>
      </c>
      <c r="AF391" s="111" t="str">
        <f t="shared" si="137"/>
        <v/>
      </c>
      <c r="AG391" s="111" t="str">
        <f t="shared" si="145"/>
        <v/>
      </c>
      <c r="AH391" s="111" t="str">
        <f t="shared" si="146"/>
        <v/>
      </c>
      <c r="AI391" s="112" t="str">
        <f t="shared" si="147"/>
        <v/>
      </c>
      <c r="AJ391" t="str">
        <f t="shared" si="148"/>
        <v/>
      </c>
      <c r="AK391" t="str">
        <f t="shared" si="149"/>
        <v/>
      </c>
    </row>
    <row r="392" spans="1:37" ht="15" customHeight="1" x14ac:dyDescent="0.25">
      <c r="A392" s="114"/>
      <c r="B392" s="116"/>
      <c r="C392" s="116"/>
      <c r="D392" s="42" t="str">
        <f t="shared" ref="D392:D455" si="150">IF(A392="","",B392*C392)</f>
        <v/>
      </c>
      <c r="E392" s="43"/>
      <c r="F392" s="83"/>
      <c r="G392" s="118"/>
      <c r="H392" s="34" t="str">
        <f t="shared" ref="H392:H455" si="151">IF(OR(G392=0,C392=0,G392="",C392=""),"",G392/C392)</f>
        <v/>
      </c>
      <c r="I392" s="88" t="str">
        <f t="shared" ref="I392:I455" si="152">IF(OR(G392="",F392=""),"",G392*(1-F392))</f>
        <v/>
      </c>
      <c r="J392" s="44" t="str">
        <f t="shared" ref="J392:J455" si="153">IF(A392="","",I392*B392)</f>
        <v/>
      </c>
      <c r="K392" s="118"/>
      <c r="L392" s="34" t="str">
        <f t="shared" ref="L392:L455" si="154">IF(OR(K392=0,C392=0,K392="",C392=""),"",K392/C392)</f>
        <v/>
      </c>
      <c r="M392" s="118"/>
      <c r="N392" s="121"/>
      <c r="O392" s="122" t="str">
        <f t="shared" si="138"/>
        <v/>
      </c>
      <c r="P392" s="35" t="str">
        <f t="shared" si="139"/>
        <v/>
      </c>
      <c r="Q392" s="124"/>
      <c r="R392" s="36" t="str">
        <f t="shared" si="140"/>
        <v/>
      </c>
      <c r="S392" s="37" t="str">
        <f t="shared" ref="S392:S455" si="155">IF(OR(A392="",R392=""),"",R392*C392)</f>
        <v/>
      </c>
      <c r="T392" s="38" t="str">
        <f t="shared" ref="T392:T455" si="156">IF(OR(A392="",G392&lt;=0,S392=""),"",(G392-S392)/G392)</f>
        <v/>
      </c>
      <c r="U392" s="39" t="str">
        <f t="shared" ref="U392:U455" si="157">IF(OR(G392=0,S392=0,G392="",S392=""),"",G392-S392)</f>
        <v/>
      </c>
      <c r="V392" s="40" t="str">
        <f t="shared" ref="V392:V455" si="158">IF(OR(A392="",K392&lt;=0,S392=""),"",(K392-S392)/K392)</f>
        <v/>
      </c>
      <c r="W392" s="39" t="str">
        <f t="shared" ref="W392:W455" si="159">IF(OR(K392=0,S392=0,K392="",S392=""),"",K392-S392)</f>
        <v/>
      </c>
      <c r="X392" s="34" t="str">
        <f t="shared" ref="X392:X455" si="160">IF(OR(J392="",J392=0,$N$5="",$L$3=0),"",($N$5/$L$3)*J392)</f>
        <v/>
      </c>
      <c r="Y392" s="41" t="str">
        <f t="shared" si="141"/>
        <v/>
      </c>
      <c r="Z392" s="98" t="str">
        <f t="shared" ref="Z392:Z455" si="161">IF(OR(R392=0,R392="",D392=0,D392=""),"",R392*(D392+E392))</f>
        <v/>
      </c>
      <c r="AA392" s="81" t="str">
        <f t="shared" si="142"/>
        <v/>
      </c>
      <c r="AC392" s="139"/>
      <c r="AD392" s="110" t="str">
        <f t="shared" si="143"/>
        <v/>
      </c>
      <c r="AE392" s="111" t="str">
        <f t="shared" si="144"/>
        <v/>
      </c>
      <c r="AF392" s="111" t="str">
        <f t="shared" ref="AF392:AF455" si="162">IF(AE392="","",AE392*$AD$1+IF(SUM($AE$8:$AE$1007)=0,0,$AD$2*AE392/SUM($AE$8:$AE$1007)))</f>
        <v/>
      </c>
      <c r="AG392" s="111" t="str">
        <f t="shared" si="145"/>
        <v/>
      </c>
      <c r="AH392" s="111" t="str">
        <f t="shared" si="146"/>
        <v/>
      </c>
      <c r="AI392" s="112" t="str">
        <f t="shared" si="147"/>
        <v/>
      </c>
      <c r="AJ392" t="str">
        <f t="shared" si="148"/>
        <v/>
      </c>
      <c r="AK392" t="str">
        <f t="shared" si="149"/>
        <v/>
      </c>
    </row>
    <row r="393" spans="1:37" ht="15" customHeight="1" x14ac:dyDescent="0.25">
      <c r="A393" s="114"/>
      <c r="B393" s="116"/>
      <c r="C393" s="116"/>
      <c r="D393" s="42" t="str">
        <f t="shared" si="150"/>
        <v/>
      </c>
      <c r="E393" s="43"/>
      <c r="F393" s="83"/>
      <c r="G393" s="118"/>
      <c r="H393" s="34" t="str">
        <f t="shared" si="151"/>
        <v/>
      </c>
      <c r="I393" s="88" t="str">
        <f t="shared" si="152"/>
        <v/>
      </c>
      <c r="J393" s="44" t="str">
        <f t="shared" si="153"/>
        <v/>
      </c>
      <c r="K393" s="118"/>
      <c r="L393" s="34" t="str">
        <f t="shared" si="154"/>
        <v/>
      </c>
      <c r="M393" s="118"/>
      <c r="N393" s="121"/>
      <c r="O393" s="122" t="str">
        <f t="shared" ref="O393:O456" si="163">IF(A393="","",IF(Q393&gt;0,IF(J393&gt;0,Q393/J393,0),IF(E393&gt;0,0,IF($J$3&gt;0,IF($J$4&gt;0,MAX($J$3-SUM($Q$8:$Q$1007),0)/$J$4,0),$J$2))))</f>
        <v/>
      </c>
      <c r="P393" s="35" t="str">
        <f t="shared" ref="P393:P456" si="164">IF(A393="","",IF(Q393&gt;0,Q393,IF(E393&gt;0,0,J393*IF($J$3&gt;0,IF($J$4&gt;0,MAX($J$3-SUM($Q$8:$Q$1007),0)/$J$4,0),$J$2))))</f>
        <v/>
      </c>
      <c r="Q393" s="124"/>
      <c r="R393" s="36" t="str">
        <f t="shared" ref="R393:R456" si="165">IF(A393="","",IF(OR(B393=0,B393="",C393&lt;=0,D393+E393&lt;=0),"",(J393-P393)/(D393+E393)-IF(X393&gt;=0,X393/D393,0)+IF(ISNUMBER(Y393),Y393/(D393+E393),0)))</f>
        <v/>
      </c>
      <c r="S393" s="37" t="str">
        <f t="shared" si="155"/>
        <v/>
      </c>
      <c r="T393" s="38" t="str">
        <f t="shared" si="156"/>
        <v/>
      </c>
      <c r="U393" s="39" t="str">
        <f t="shared" si="157"/>
        <v/>
      </c>
      <c r="V393" s="40" t="str">
        <f t="shared" si="158"/>
        <v/>
      </c>
      <c r="W393" s="39" t="str">
        <f t="shared" si="159"/>
        <v/>
      </c>
      <c r="X393" s="34" t="str">
        <f t="shared" si="160"/>
        <v/>
      </c>
      <c r="Y393" s="41" t="str">
        <f t="shared" ref="Y393:Y456" si="166">IF(OR(J393="",J393=0,($L$3-$L$2)=0),"",($J$1/($L$3-$L$2))*(J393-P393))</f>
        <v/>
      </c>
      <c r="Z393" s="98" t="str">
        <f t="shared" si="161"/>
        <v/>
      </c>
      <c r="AA393" s="81" t="str">
        <f t="shared" ref="AA393:AA456" si="167">IF(OR(B393=0,B393=""),"",J393)</f>
        <v/>
      </c>
      <c r="AC393" s="139"/>
      <c r="AD393" s="110" t="str">
        <f t="shared" ref="AD393:AD456" si="168">IF(AC393="","",R393)</f>
        <v/>
      </c>
      <c r="AE393" s="111" t="str">
        <f t="shared" ref="AE393:AE456" si="169">IF(OR(AC393="",AD393=""),"",AC393*AD393)</f>
        <v/>
      </c>
      <c r="AF393" s="111" t="str">
        <f t="shared" si="162"/>
        <v/>
      </c>
      <c r="AG393" s="111" t="str">
        <f t="shared" ref="AG393:AG456" si="170">IF(AE393="","",AE393-AF393)</f>
        <v/>
      </c>
      <c r="AH393" s="111" t="str">
        <f t="shared" ref="AH393:AH456" si="171">IF(AG393="","",AI393-AG393)</f>
        <v/>
      </c>
      <c r="AI393" s="112" t="str">
        <f t="shared" ref="AI393:AI456" si="172">IF(AG393="","",ROUND(AG393,0))</f>
        <v/>
      </c>
      <c r="AJ393" t="str">
        <f t="shared" ref="AJ393:AJ456" si="173">IF(OR(AC393=0,AC393=""),"",AF393/AC393)</f>
        <v/>
      </c>
      <c r="AK393" t="str">
        <f t="shared" ref="AK393:AK456" si="174">IF(OR(AC393=0,AC393=""),"",AD393*C393)</f>
        <v/>
      </c>
    </row>
    <row r="394" spans="1:37" ht="15" customHeight="1" x14ac:dyDescent="0.25">
      <c r="A394" s="114"/>
      <c r="B394" s="116"/>
      <c r="C394" s="116"/>
      <c r="D394" s="42" t="str">
        <f t="shared" si="150"/>
        <v/>
      </c>
      <c r="E394" s="43"/>
      <c r="F394" s="83"/>
      <c r="G394" s="118"/>
      <c r="H394" s="34" t="str">
        <f t="shared" si="151"/>
        <v/>
      </c>
      <c r="I394" s="88" t="str">
        <f t="shared" si="152"/>
        <v/>
      </c>
      <c r="J394" s="44" t="str">
        <f t="shared" si="153"/>
        <v/>
      </c>
      <c r="K394" s="118"/>
      <c r="L394" s="34" t="str">
        <f t="shared" si="154"/>
        <v/>
      </c>
      <c r="M394" s="118"/>
      <c r="N394" s="121"/>
      <c r="O394" s="122" t="str">
        <f t="shared" si="163"/>
        <v/>
      </c>
      <c r="P394" s="35" t="str">
        <f t="shared" si="164"/>
        <v/>
      </c>
      <c r="Q394" s="124"/>
      <c r="R394" s="36" t="str">
        <f t="shared" si="165"/>
        <v/>
      </c>
      <c r="S394" s="37" t="str">
        <f t="shared" si="155"/>
        <v/>
      </c>
      <c r="T394" s="38" t="str">
        <f t="shared" si="156"/>
        <v/>
      </c>
      <c r="U394" s="39" t="str">
        <f t="shared" si="157"/>
        <v/>
      </c>
      <c r="V394" s="40" t="str">
        <f t="shared" si="158"/>
        <v/>
      </c>
      <c r="W394" s="39" t="str">
        <f t="shared" si="159"/>
        <v/>
      </c>
      <c r="X394" s="34" t="str">
        <f t="shared" si="160"/>
        <v/>
      </c>
      <c r="Y394" s="41" t="str">
        <f t="shared" si="166"/>
        <v/>
      </c>
      <c r="Z394" s="98" t="str">
        <f t="shared" si="161"/>
        <v/>
      </c>
      <c r="AA394" s="81" t="str">
        <f t="shared" si="167"/>
        <v/>
      </c>
      <c r="AC394" s="139"/>
      <c r="AD394" s="110" t="str">
        <f t="shared" si="168"/>
        <v/>
      </c>
      <c r="AE394" s="111" t="str">
        <f t="shared" si="169"/>
        <v/>
      </c>
      <c r="AF394" s="111" t="str">
        <f t="shared" si="162"/>
        <v/>
      </c>
      <c r="AG394" s="111" t="str">
        <f t="shared" si="170"/>
        <v/>
      </c>
      <c r="AH394" s="111" t="str">
        <f t="shared" si="171"/>
        <v/>
      </c>
      <c r="AI394" s="112" t="str">
        <f t="shared" si="172"/>
        <v/>
      </c>
      <c r="AJ394" t="str">
        <f t="shared" si="173"/>
        <v/>
      </c>
      <c r="AK394" t="str">
        <f t="shared" si="174"/>
        <v/>
      </c>
    </row>
    <row r="395" spans="1:37" ht="15" customHeight="1" x14ac:dyDescent="0.25">
      <c r="A395" s="114"/>
      <c r="B395" s="116"/>
      <c r="C395" s="116"/>
      <c r="D395" s="42" t="str">
        <f t="shared" si="150"/>
        <v/>
      </c>
      <c r="E395" s="43"/>
      <c r="F395" s="83"/>
      <c r="G395" s="118"/>
      <c r="H395" s="34" t="str">
        <f t="shared" si="151"/>
        <v/>
      </c>
      <c r="I395" s="88" t="str">
        <f t="shared" si="152"/>
        <v/>
      </c>
      <c r="J395" s="44" t="str">
        <f t="shared" si="153"/>
        <v/>
      </c>
      <c r="K395" s="118"/>
      <c r="L395" s="34" t="str">
        <f t="shared" si="154"/>
        <v/>
      </c>
      <c r="M395" s="118"/>
      <c r="N395" s="121"/>
      <c r="O395" s="122" t="str">
        <f t="shared" si="163"/>
        <v/>
      </c>
      <c r="P395" s="35" t="str">
        <f t="shared" si="164"/>
        <v/>
      </c>
      <c r="Q395" s="124"/>
      <c r="R395" s="36" t="str">
        <f t="shared" si="165"/>
        <v/>
      </c>
      <c r="S395" s="37" t="str">
        <f t="shared" si="155"/>
        <v/>
      </c>
      <c r="T395" s="38" t="str">
        <f t="shared" si="156"/>
        <v/>
      </c>
      <c r="U395" s="39" t="str">
        <f t="shared" si="157"/>
        <v/>
      </c>
      <c r="V395" s="40" t="str">
        <f t="shared" si="158"/>
        <v/>
      </c>
      <c r="W395" s="39" t="str">
        <f t="shared" si="159"/>
        <v/>
      </c>
      <c r="X395" s="34" t="str">
        <f t="shared" si="160"/>
        <v/>
      </c>
      <c r="Y395" s="41" t="str">
        <f t="shared" si="166"/>
        <v/>
      </c>
      <c r="Z395" s="98" t="str">
        <f t="shared" si="161"/>
        <v/>
      </c>
      <c r="AA395" s="81" t="str">
        <f t="shared" si="167"/>
        <v/>
      </c>
      <c r="AC395" s="139"/>
      <c r="AD395" s="110" t="str">
        <f t="shared" si="168"/>
        <v/>
      </c>
      <c r="AE395" s="111" t="str">
        <f t="shared" si="169"/>
        <v/>
      </c>
      <c r="AF395" s="111" t="str">
        <f t="shared" si="162"/>
        <v/>
      </c>
      <c r="AG395" s="111" t="str">
        <f t="shared" si="170"/>
        <v/>
      </c>
      <c r="AH395" s="111" t="str">
        <f t="shared" si="171"/>
        <v/>
      </c>
      <c r="AI395" s="112" t="str">
        <f t="shared" si="172"/>
        <v/>
      </c>
      <c r="AJ395" t="str">
        <f t="shared" si="173"/>
        <v/>
      </c>
      <c r="AK395" t="str">
        <f t="shared" si="174"/>
        <v/>
      </c>
    </row>
    <row r="396" spans="1:37" ht="15" customHeight="1" x14ac:dyDescent="0.25">
      <c r="A396" s="114"/>
      <c r="B396" s="116"/>
      <c r="C396" s="116"/>
      <c r="D396" s="42" t="str">
        <f t="shared" si="150"/>
        <v/>
      </c>
      <c r="E396" s="43"/>
      <c r="F396" s="83"/>
      <c r="G396" s="118"/>
      <c r="H396" s="34" t="str">
        <f t="shared" si="151"/>
        <v/>
      </c>
      <c r="I396" s="88" t="str">
        <f t="shared" si="152"/>
        <v/>
      </c>
      <c r="J396" s="44" t="str">
        <f t="shared" si="153"/>
        <v/>
      </c>
      <c r="K396" s="118"/>
      <c r="L396" s="34" t="str">
        <f t="shared" si="154"/>
        <v/>
      </c>
      <c r="M396" s="118"/>
      <c r="N396" s="121"/>
      <c r="O396" s="122" t="str">
        <f t="shared" si="163"/>
        <v/>
      </c>
      <c r="P396" s="35" t="str">
        <f t="shared" si="164"/>
        <v/>
      </c>
      <c r="Q396" s="124"/>
      <c r="R396" s="36" t="str">
        <f t="shared" si="165"/>
        <v/>
      </c>
      <c r="S396" s="37" t="str">
        <f t="shared" si="155"/>
        <v/>
      </c>
      <c r="T396" s="38" t="str">
        <f t="shared" si="156"/>
        <v/>
      </c>
      <c r="U396" s="39" t="str">
        <f t="shared" si="157"/>
        <v/>
      </c>
      <c r="V396" s="40" t="str">
        <f t="shared" si="158"/>
        <v/>
      </c>
      <c r="W396" s="39" t="str">
        <f t="shared" si="159"/>
        <v/>
      </c>
      <c r="X396" s="34" t="str">
        <f t="shared" si="160"/>
        <v/>
      </c>
      <c r="Y396" s="41" t="str">
        <f t="shared" si="166"/>
        <v/>
      </c>
      <c r="Z396" s="98" t="str">
        <f t="shared" si="161"/>
        <v/>
      </c>
      <c r="AA396" s="81" t="str">
        <f t="shared" si="167"/>
        <v/>
      </c>
      <c r="AC396" s="139"/>
      <c r="AD396" s="110" t="str">
        <f t="shared" si="168"/>
        <v/>
      </c>
      <c r="AE396" s="111" t="str">
        <f t="shared" si="169"/>
        <v/>
      </c>
      <c r="AF396" s="111" t="str">
        <f t="shared" si="162"/>
        <v/>
      </c>
      <c r="AG396" s="111" t="str">
        <f t="shared" si="170"/>
        <v/>
      </c>
      <c r="AH396" s="111" t="str">
        <f t="shared" si="171"/>
        <v/>
      </c>
      <c r="AI396" s="112" t="str">
        <f t="shared" si="172"/>
        <v/>
      </c>
      <c r="AJ396" t="str">
        <f t="shared" si="173"/>
        <v/>
      </c>
      <c r="AK396" t="str">
        <f t="shared" si="174"/>
        <v/>
      </c>
    </row>
    <row r="397" spans="1:37" ht="15" customHeight="1" x14ac:dyDescent="0.25">
      <c r="A397" s="114"/>
      <c r="B397" s="116"/>
      <c r="C397" s="116"/>
      <c r="D397" s="42" t="str">
        <f t="shared" si="150"/>
        <v/>
      </c>
      <c r="E397" s="43"/>
      <c r="F397" s="83"/>
      <c r="G397" s="118"/>
      <c r="H397" s="34" t="str">
        <f t="shared" si="151"/>
        <v/>
      </c>
      <c r="I397" s="88" t="str">
        <f t="shared" si="152"/>
        <v/>
      </c>
      <c r="J397" s="44" t="str">
        <f t="shared" si="153"/>
        <v/>
      </c>
      <c r="K397" s="118"/>
      <c r="L397" s="34" t="str">
        <f t="shared" si="154"/>
        <v/>
      </c>
      <c r="M397" s="118"/>
      <c r="N397" s="121"/>
      <c r="O397" s="122" t="str">
        <f t="shared" si="163"/>
        <v/>
      </c>
      <c r="P397" s="35" t="str">
        <f t="shared" si="164"/>
        <v/>
      </c>
      <c r="Q397" s="124"/>
      <c r="R397" s="36" t="str">
        <f t="shared" si="165"/>
        <v/>
      </c>
      <c r="S397" s="37" t="str">
        <f t="shared" si="155"/>
        <v/>
      </c>
      <c r="T397" s="38" t="str">
        <f t="shared" si="156"/>
        <v/>
      </c>
      <c r="U397" s="39" t="str">
        <f t="shared" si="157"/>
        <v/>
      </c>
      <c r="V397" s="40" t="str">
        <f t="shared" si="158"/>
        <v/>
      </c>
      <c r="W397" s="39" t="str">
        <f t="shared" si="159"/>
        <v/>
      </c>
      <c r="X397" s="34" t="str">
        <f t="shared" si="160"/>
        <v/>
      </c>
      <c r="Y397" s="41" t="str">
        <f t="shared" si="166"/>
        <v/>
      </c>
      <c r="Z397" s="98" t="str">
        <f t="shared" si="161"/>
        <v/>
      </c>
      <c r="AA397" s="81" t="str">
        <f t="shared" si="167"/>
        <v/>
      </c>
      <c r="AC397" s="139"/>
      <c r="AD397" s="110" t="str">
        <f t="shared" si="168"/>
        <v/>
      </c>
      <c r="AE397" s="111" t="str">
        <f t="shared" si="169"/>
        <v/>
      </c>
      <c r="AF397" s="111" t="str">
        <f t="shared" si="162"/>
        <v/>
      </c>
      <c r="AG397" s="111" t="str">
        <f t="shared" si="170"/>
        <v/>
      </c>
      <c r="AH397" s="111" t="str">
        <f t="shared" si="171"/>
        <v/>
      </c>
      <c r="AI397" s="112" t="str">
        <f t="shared" si="172"/>
        <v/>
      </c>
      <c r="AJ397" t="str">
        <f t="shared" si="173"/>
        <v/>
      </c>
      <c r="AK397" t="str">
        <f t="shared" si="174"/>
        <v/>
      </c>
    </row>
    <row r="398" spans="1:37" ht="15" customHeight="1" x14ac:dyDescent="0.25">
      <c r="A398" s="114"/>
      <c r="B398" s="116"/>
      <c r="C398" s="116"/>
      <c r="D398" s="42" t="str">
        <f t="shared" si="150"/>
        <v/>
      </c>
      <c r="E398" s="43"/>
      <c r="F398" s="83"/>
      <c r="G398" s="118"/>
      <c r="H398" s="34" t="str">
        <f t="shared" si="151"/>
        <v/>
      </c>
      <c r="I398" s="88" t="str">
        <f t="shared" si="152"/>
        <v/>
      </c>
      <c r="J398" s="44" t="str">
        <f t="shared" si="153"/>
        <v/>
      </c>
      <c r="K398" s="118"/>
      <c r="L398" s="34" t="str">
        <f t="shared" si="154"/>
        <v/>
      </c>
      <c r="M398" s="118"/>
      <c r="N398" s="121"/>
      <c r="O398" s="122" t="str">
        <f t="shared" si="163"/>
        <v/>
      </c>
      <c r="P398" s="35" t="str">
        <f t="shared" si="164"/>
        <v/>
      </c>
      <c r="Q398" s="124"/>
      <c r="R398" s="36" t="str">
        <f t="shared" si="165"/>
        <v/>
      </c>
      <c r="S398" s="37" t="str">
        <f t="shared" si="155"/>
        <v/>
      </c>
      <c r="T398" s="38" t="str">
        <f t="shared" si="156"/>
        <v/>
      </c>
      <c r="U398" s="39" t="str">
        <f t="shared" si="157"/>
        <v/>
      </c>
      <c r="V398" s="40" t="str">
        <f t="shared" si="158"/>
        <v/>
      </c>
      <c r="W398" s="39" t="str">
        <f t="shared" si="159"/>
        <v/>
      </c>
      <c r="X398" s="34" t="str">
        <f t="shared" si="160"/>
        <v/>
      </c>
      <c r="Y398" s="41" t="str">
        <f t="shared" si="166"/>
        <v/>
      </c>
      <c r="Z398" s="98" t="str">
        <f t="shared" si="161"/>
        <v/>
      </c>
      <c r="AA398" s="81" t="str">
        <f t="shared" si="167"/>
        <v/>
      </c>
      <c r="AC398" s="139"/>
      <c r="AD398" s="110" t="str">
        <f t="shared" si="168"/>
        <v/>
      </c>
      <c r="AE398" s="111" t="str">
        <f t="shared" si="169"/>
        <v/>
      </c>
      <c r="AF398" s="111" t="str">
        <f t="shared" si="162"/>
        <v/>
      </c>
      <c r="AG398" s="111" t="str">
        <f t="shared" si="170"/>
        <v/>
      </c>
      <c r="AH398" s="111" t="str">
        <f t="shared" si="171"/>
        <v/>
      </c>
      <c r="AI398" s="112" t="str">
        <f t="shared" si="172"/>
        <v/>
      </c>
      <c r="AJ398" t="str">
        <f t="shared" si="173"/>
        <v/>
      </c>
      <c r="AK398" t="str">
        <f t="shared" si="174"/>
        <v/>
      </c>
    </row>
    <row r="399" spans="1:37" ht="15" customHeight="1" x14ac:dyDescent="0.25">
      <c r="A399" s="114"/>
      <c r="B399" s="116"/>
      <c r="C399" s="116"/>
      <c r="D399" s="42" t="str">
        <f t="shared" si="150"/>
        <v/>
      </c>
      <c r="E399" s="43"/>
      <c r="F399" s="83"/>
      <c r="G399" s="118"/>
      <c r="H399" s="34" t="str">
        <f t="shared" si="151"/>
        <v/>
      </c>
      <c r="I399" s="88" t="str">
        <f t="shared" si="152"/>
        <v/>
      </c>
      <c r="J399" s="44" t="str">
        <f t="shared" si="153"/>
        <v/>
      </c>
      <c r="K399" s="118"/>
      <c r="L399" s="34" t="str">
        <f t="shared" si="154"/>
        <v/>
      </c>
      <c r="M399" s="118"/>
      <c r="N399" s="121"/>
      <c r="O399" s="122" t="str">
        <f t="shared" si="163"/>
        <v/>
      </c>
      <c r="P399" s="35" t="str">
        <f t="shared" si="164"/>
        <v/>
      </c>
      <c r="Q399" s="124"/>
      <c r="R399" s="36" t="str">
        <f t="shared" si="165"/>
        <v/>
      </c>
      <c r="S399" s="37" t="str">
        <f t="shared" si="155"/>
        <v/>
      </c>
      <c r="T399" s="38" t="str">
        <f t="shared" si="156"/>
        <v/>
      </c>
      <c r="U399" s="39" t="str">
        <f t="shared" si="157"/>
        <v/>
      </c>
      <c r="V399" s="40" t="str">
        <f t="shared" si="158"/>
        <v/>
      </c>
      <c r="W399" s="39" t="str">
        <f t="shared" si="159"/>
        <v/>
      </c>
      <c r="X399" s="34" t="str">
        <f t="shared" si="160"/>
        <v/>
      </c>
      <c r="Y399" s="41" t="str">
        <f t="shared" si="166"/>
        <v/>
      </c>
      <c r="Z399" s="98" t="str">
        <f t="shared" si="161"/>
        <v/>
      </c>
      <c r="AA399" s="81" t="str">
        <f t="shared" si="167"/>
        <v/>
      </c>
      <c r="AC399" s="139"/>
      <c r="AD399" s="110" t="str">
        <f t="shared" si="168"/>
        <v/>
      </c>
      <c r="AE399" s="111" t="str">
        <f t="shared" si="169"/>
        <v/>
      </c>
      <c r="AF399" s="111" t="str">
        <f t="shared" si="162"/>
        <v/>
      </c>
      <c r="AG399" s="111" t="str">
        <f t="shared" si="170"/>
        <v/>
      </c>
      <c r="AH399" s="111" t="str">
        <f t="shared" si="171"/>
        <v/>
      </c>
      <c r="AI399" s="112" t="str">
        <f t="shared" si="172"/>
        <v/>
      </c>
      <c r="AJ399" t="str">
        <f t="shared" si="173"/>
        <v/>
      </c>
      <c r="AK399" t="str">
        <f t="shared" si="174"/>
        <v/>
      </c>
    </row>
    <row r="400" spans="1:37" ht="15" customHeight="1" x14ac:dyDescent="0.25">
      <c r="A400" s="114"/>
      <c r="B400" s="116"/>
      <c r="C400" s="116"/>
      <c r="D400" s="42" t="str">
        <f t="shared" si="150"/>
        <v/>
      </c>
      <c r="E400" s="43"/>
      <c r="F400" s="83"/>
      <c r="G400" s="118"/>
      <c r="H400" s="34" t="str">
        <f t="shared" si="151"/>
        <v/>
      </c>
      <c r="I400" s="88" t="str">
        <f t="shared" si="152"/>
        <v/>
      </c>
      <c r="J400" s="44" t="str">
        <f t="shared" si="153"/>
        <v/>
      </c>
      <c r="K400" s="118"/>
      <c r="L400" s="34" t="str">
        <f t="shared" si="154"/>
        <v/>
      </c>
      <c r="M400" s="118"/>
      <c r="N400" s="121"/>
      <c r="O400" s="122" t="str">
        <f t="shared" si="163"/>
        <v/>
      </c>
      <c r="P400" s="35" t="str">
        <f t="shared" si="164"/>
        <v/>
      </c>
      <c r="Q400" s="124"/>
      <c r="R400" s="36" t="str">
        <f t="shared" si="165"/>
        <v/>
      </c>
      <c r="S400" s="37" t="str">
        <f t="shared" si="155"/>
        <v/>
      </c>
      <c r="T400" s="38" t="str">
        <f t="shared" si="156"/>
        <v/>
      </c>
      <c r="U400" s="39" t="str">
        <f t="shared" si="157"/>
        <v/>
      </c>
      <c r="V400" s="40" t="str">
        <f t="shared" si="158"/>
        <v/>
      </c>
      <c r="W400" s="39" t="str">
        <f t="shared" si="159"/>
        <v/>
      </c>
      <c r="X400" s="34" t="str">
        <f t="shared" si="160"/>
        <v/>
      </c>
      <c r="Y400" s="41" t="str">
        <f t="shared" si="166"/>
        <v/>
      </c>
      <c r="Z400" s="98" t="str">
        <f t="shared" si="161"/>
        <v/>
      </c>
      <c r="AA400" s="81" t="str">
        <f t="shared" si="167"/>
        <v/>
      </c>
      <c r="AC400" s="139"/>
      <c r="AD400" s="110" t="str">
        <f t="shared" si="168"/>
        <v/>
      </c>
      <c r="AE400" s="111" t="str">
        <f t="shared" si="169"/>
        <v/>
      </c>
      <c r="AF400" s="111" t="str">
        <f t="shared" si="162"/>
        <v/>
      </c>
      <c r="AG400" s="111" t="str">
        <f t="shared" si="170"/>
        <v/>
      </c>
      <c r="AH400" s="111" t="str">
        <f t="shared" si="171"/>
        <v/>
      </c>
      <c r="AI400" s="112" t="str">
        <f t="shared" si="172"/>
        <v/>
      </c>
      <c r="AJ400" t="str">
        <f t="shared" si="173"/>
        <v/>
      </c>
      <c r="AK400" t="str">
        <f t="shared" si="174"/>
        <v/>
      </c>
    </row>
    <row r="401" spans="1:37" ht="15" customHeight="1" x14ac:dyDescent="0.25">
      <c r="A401" s="114"/>
      <c r="B401" s="116"/>
      <c r="C401" s="116"/>
      <c r="D401" s="42" t="str">
        <f t="shared" si="150"/>
        <v/>
      </c>
      <c r="E401" s="43"/>
      <c r="F401" s="83"/>
      <c r="G401" s="118"/>
      <c r="H401" s="34" t="str">
        <f t="shared" si="151"/>
        <v/>
      </c>
      <c r="I401" s="88" t="str">
        <f t="shared" si="152"/>
        <v/>
      </c>
      <c r="J401" s="44" t="str">
        <f t="shared" si="153"/>
        <v/>
      </c>
      <c r="K401" s="118"/>
      <c r="L401" s="34" t="str">
        <f t="shared" si="154"/>
        <v/>
      </c>
      <c r="M401" s="118"/>
      <c r="N401" s="121"/>
      <c r="O401" s="122" t="str">
        <f t="shared" si="163"/>
        <v/>
      </c>
      <c r="P401" s="35" t="str">
        <f t="shared" si="164"/>
        <v/>
      </c>
      <c r="Q401" s="124"/>
      <c r="R401" s="36" t="str">
        <f t="shared" si="165"/>
        <v/>
      </c>
      <c r="S401" s="37" t="str">
        <f t="shared" si="155"/>
        <v/>
      </c>
      <c r="T401" s="38" t="str">
        <f t="shared" si="156"/>
        <v/>
      </c>
      <c r="U401" s="39" t="str">
        <f t="shared" si="157"/>
        <v/>
      </c>
      <c r="V401" s="40" t="str">
        <f t="shared" si="158"/>
        <v/>
      </c>
      <c r="W401" s="39" t="str">
        <f t="shared" si="159"/>
        <v/>
      </c>
      <c r="X401" s="34" t="str">
        <f t="shared" si="160"/>
        <v/>
      </c>
      <c r="Y401" s="41" t="str">
        <f t="shared" si="166"/>
        <v/>
      </c>
      <c r="Z401" s="98" t="str">
        <f t="shared" si="161"/>
        <v/>
      </c>
      <c r="AA401" s="81" t="str">
        <f t="shared" si="167"/>
        <v/>
      </c>
      <c r="AC401" s="139"/>
      <c r="AD401" s="110" t="str">
        <f t="shared" si="168"/>
        <v/>
      </c>
      <c r="AE401" s="111" t="str">
        <f t="shared" si="169"/>
        <v/>
      </c>
      <c r="AF401" s="111" t="str">
        <f t="shared" si="162"/>
        <v/>
      </c>
      <c r="AG401" s="111" t="str">
        <f t="shared" si="170"/>
        <v/>
      </c>
      <c r="AH401" s="111" t="str">
        <f t="shared" si="171"/>
        <v/>
      </c>
      <c r="AI401" s="112" t="str">
        <f t="shared" si="172"/>
        <v/>
      </c>
      <c r="AJ401" t="str">
        <f t="shared" si="173"/>
        <v/>
      </c>
      <c r="AK401" t="str">
        <f t="shared" si="174"/>
        <v/>
      </c>
    </row>
    <row r="402" spans="1:37" ht="15" customHeight="1" x14ac:dyDescent="0.25">
      <c r="A402" s="114"/>
      <c r="B402" s="116"/>
      <c r="C402" s="116"/>
      <c r="D402" s="42" t="str">
        <f t="shared" si="150"/>
        <v/>
      </c>
      <c r="E402" s="43"/>
      <c r="F402" s="83"/>
      <c r="G402" s="118"/>
      <c r="H402" s="34" t="str">
        <f t="shared" si="151"/>
        <v/>
      </c>
      <c r="I402" s="88" t="str">
        <f t="shared" si="152"/>
        <v/>
      </c>
      <c r="J402" s="44" t="str">
        <f t="shared" si="153"/>
        <v/>
      </c>
      <c r="K402" s="118"/>
      <c r="L402" s="34" t="str">
        <f t="shared" si="154"/>
        <v/>
      </c>
      <c r="M402" s="118"/>
      <c r="N402" s="121"/>
      <c r="O402" s="122" t="str">
        <f t="shared" si="163"/>
        <v/>
      </c>
      <c r="P402" s="35" t="str">
        <f t="shared" si="164"/>
        <v/>
      </c>
      <c r="Q402" s="124"/>
      <c r="R402" s="36" t="str">
        <f t="shared" si="165"/>
        <v/>
      </c>
      <c r="S402" s="37" t="str">
        <f t="shared" si="155"/>
        <v/>
      </c>
      <c r="T402" s="38" t="str">
        <f t="shared" si="156"/>
        <v/>
      </c>
      <c r="U402" s="39" t="str">
        <f t="shared" si="157"/>
        <v/>
      </c>
      <c r="V402" s="40" t="str">
        <f t="shared" si="158"/>
        <v/>
      </c>
      <c r="W402" s="39" t="str">
        <f t="shared" si="159"/>
        <v/>
      </c>
      <c r="X402" s="34" t="str">
        <f t="shared" si="160"/>
        <v/>
      </c>
      <c r="Y402" s="41" t="str">
        <f t="shared" si="166"/>
        <v/>
      </c>
      <c r="Z402" s="98" t="str">
        <f t="shared" si="161"/>
        <v/>
      </c>
      <c r="AA402" s="81" t="str">
        <f t="shared" si="167"/>
        <v/>
      </c>
      <c r="AC402" s="139"/>
      <c r="AD402" s="110" t="str">
        <f t="shared" si="168"/>
        <v/>
      </c>
      <c r="AE402" s="111" t="str">
        <f t="shared" si="169"/>
        <v/>
      </c>
      <c r="AF402" s="111" t="str">
        <f t="shared" si="162"/>
        <v/>
      </c>
      <c r="AG402" s="111" t="str">
        <f t="shared" si="170"/>
        <v/>
      </c>
      <c r="AH402" s="111" t="str">
        <f t="shared" si="171"/>
        <v/>
      </c>
      <c r="AI402" s="112" t="str">
        <f t="shared" si="172"/>
        <v/>
      </c>
      <c r="AJ402" t="str">
        <f t="shared" si="173"/>
        <v/>
      </c>
      <c r="AK402" t="str">
        <f t="shared" si="174"/>
        <v/>
      </c>
    </row>
    <row r="403" spans="1:37" ht="15" customHeight="1" x14ac:dyDescent="0.25">
      <c r="A403" s="114"/>
      <c r="B403" s="116"/>
      <c r="C403" s="116"/>
      <c r="D403" s="42" t="str">
        <f t="shared" si="150"/>
        <v/>
      </c>
      <c r="E403" s="43"/>
      <c r="F403" s="83"/>
      <c r="G403" s="118"/>
      <c r="H403" s="34" t="str">
        <f t="shared" si="151"/>
        <v/>
      </c>
      <c r="I403" s="88" t="str">
        <f t="shared" si="152"/>
        <v/>
      </c>
      <c r="J403" s="44" t="str">
        <f t="shared" si="153"/>
        <v/>
      </c>
      <c r="K403" s="118"/>
      <c r="L403" s="34" t="str">
        <f t="shared" si="154"/>
        <v/>
      </c>
      <c r="M403" s="118"/>
      <c r="N403" s="121"/>
      <c r="O403" s="122" t="str">
        <f t="shared" si="163"/>
        <v/>
      </c>
      <c r="P403" s="35" t="str">
        <f t="shared" si="164"/>
        <v/>
      </c>
      <c r="Q403" s="124"/>
      <c r="R403" s="36" t="str">
        <f t="shared" si="165"/>
        <v/>
      </c>
      <c r="S403" s="37" t="str">
        <f t="shared" si="155"/>
        <v/>
      </c>
      <c r="T403" s="38" t="str">
        <f t="shared" si="156"/>
        <v/>
      </c>
      <c r="U403" s="39" t="str">
        <f t="shared" si="157"/>
        <v/>
      </c>
      <c r="V403" s="40" t="str">
        <f t="shared" si="158"/>
        <v/>
      </c>
      <c r="W403" s="39" t="str">
        <f t="shared" si="159"/>
        <v/>
      </c>
      <c r="X403" s="34" t="str">
        <f t="shared" si="160"/>
        <v/>
      </c>
      <c r="Y403" s="41" t="str">
        <f t="shared" si="166"/>
        <v/>
      </c>
      <c r="Z403" s="98" t="str">
        <f t="shared" si="161"/>
        <v/>
      </c>
      <c r="AA403" s="81" t="str">
        <f t="shared" si="167"/>
        <v/>
      </c>
      <c r="AC403" s="139"/>
      <c r="AD403" s="110" t="str">
        <f t="shared" si="168"/>
        <v/>
      </c>
      <c r="AE403" s="111" t="str">
        <f t="shared" si="169"/>
        <v/>
      </c>
      <c r="AF403" s="111" t="str">
        <f t="shared" si="162"/>
        <v/>
      </c>
      <c r="AG403" s="111" t="str">
        <f t="shared" si="170"/>
        <v/>
      </c>
      <c r="AH403" s="111" t="str">
        <f t="shared" si="171"/>
        <v/>
      </c>
      <c r="AI403" s="112" t="str">
        <f t="shared" si="172"/>
        <v/>
      </c>
      <c r="AJ403" t="str">
        <f t="shared" si="173"/>
        <v/>
      </c>
      <c r="AK403" t="str">
        <f t="shared" si="174"/>
        <v/>
      </c>
    </row>
    <row r="404" spans="1:37" ht="15" customHeight="1" x14ac:dyDescent="0.25">
      <c r="A404" s="114"/>
      <c r="B404" s="116"/>
      <c r="C404" s="116"/>
      <c r="D404" s="42" t="str">
        <f t="shared" si="150"/>
        <v/>
      </c>
      <c r="E404" s="43"/>
      <c r="F404" s="83"/>
      <c r="G404" s="118"/>
      <c r="H404" s="34" t="str">
        <f t="shared" si="151"/>
        <v/>
      </c>
      <c r="I404" s="88" t="str">
        <f t="shared" si="152"/>
        <v/>
      </c>
      <c r="J404" s="44" t="str">
        <f t="shared" si="153"/>
        <v/>
      </c>
      <c r="K404" s="118"/>
      <c r="L404" s="34" t="str">
        <f t="shared" si="154"/>
        <v/>
      </c>
      <c r="M404" s="118"/>
      <c r="N404" s="121"/>
      <c r="O404" s="122" t="str">
        <f t="shared" si="163"/>
        <v/>
      </c>
      <c r="P404" s="35" t="str">
        <f t="shared" si="164"/>
        <v/>
      </c>
      <c r="Q404" s="124"/>
      <c r="R404" s="36" t="str">
        <f t="shared" si="165"/>
        <v/>
      </c>
      <c r="S404" s="37" t="str">
        <f t="shared" si="155"/>
        <v/>
      </c>
      <c r="T404" s="38" t="str">
        <f t="shared" si="156"/>
        <v/>
      </c>
      <c r="U404" s="39" t="str">
        <f t="shared" si="157"/>
        <v/>
      </c>
      <c r="V404" s="40" t="str">
        <f t="shared" si="158"/>
        <v/>
      </c>
      <c r="W404" s="39" t="str">
        <f t="shared" si="159"/>
        <v/>
      </c>
      <c r="X404" s="34" t="str">
        <f t="shared" si="160"/>
        <v/>
      </c>
      <c r="Y404" s="41" t="str">
        <f t="shared" si="166"/>
        <v/>
      </c>
      <c r="Z404" s="98" t="str">
        <f t="shared" si="161"/>
        <v/>
      </c>
      <c r="AA404" s="81" t="str">
        <f t="shared" si="167"/>
        <v/>
      </c>
      <c r="AC404" s="139"/>
      <c r="AD404" s="110" t="str">
        <f t="shared" si="168"/>
        <v/>
      </c>
      <c r="AE404" s="111" t="str">
        <f t="shared" si="169"/>
        <v/>
      </c>
      <c r="AF404" s="111" t="str">
        <f t="shared" si="162"/>
        <v/>
      </c>
      <c r="AG404" s="111" t="str">
        <f t="shared" si="170"/>
        <v/>
      </c>
      <c r="AH404" s="111" t="str">
        <f t="shared" si="171"/>
        <v/>
      </c>
      <c r="AI404" s="112" t="str">
        <f t="shared" si="172"/>
        <v/>
      </c>
      <c r="AJ404" t="str">
        <f t="shared" si="173"/>
        <v/>
      </c>
      <c r="AK404" t="str">
        <f t="shared" si="174"/>
        <v/>
      </c>
    </row>
    <row r="405" spans="1:37" ht="15" customHeight="1" x14ac:dyDescent="0.25">
      <c r="A405" s="114"/>
      <c r="B405" s="116"/>
      <c r="C405" s="116"/>
      <c r="D405" s="42" t="str">
        <f t="shared" si="150"/>
        <v/>
      </c>
      <c r="E405" s="43"/>
      <c r="F405" s="83"/>
      <c r="G405" s="118"/>
      <c r="H405" s="34" t="str">
        <f t="shared" si="151"/>
        <v/>
      </c>
      <c r="I405" s="88" t="str">
        <f t="shared" si="152"/>
        <v/>
      </c>
      <c r="J405" s="44" t="str">
        <f t="shared" si="153"/>
        <v/>
      </c>
      <c r="K405" s="118"/>
      <c r="L405" s="34" t="str">
        <f t="shared" si="154"/>
        <v/>
      </c>
      <c r="M405" s="118"/>
      <c r="N405" s="121"/>
      <c r="O405" s="122" t="str">
        <f t="shared" si="163"/>
        <v/>
      </c>
      <c r="P405" s="35" t="str">
        <f t="shared" si="164"/>
        <v/>
      </c>
      <c r="Q405" s="124"/>
      <c r="R405" s="36" t="str">
        <f t="shared" si="165"/>
        <v/>
      </c>
      <c r="S405" s="37" t="str">
        <f t="shared" si="155"/>
        <v/>
      </c>
      <c r="T405" s="38" t="str">
        <f t="shared" si="156"/>
        <v/>
      </c>
      <c r="U405" s="39" t="str">
        <f t="shared" si="157"/>
        <v/>
      </c>
      <c r="V405" s="40" t="str">
        <f t="shared" si="158"/>
        <v/>
      </c>
      <c r="W405" s="39" t="str">
        <f t="shared" si="159"/>
        <v/>
      </c>
      <c r="X405" s="34" t="str">
        <f t="shared" si="160"/>
        <v/>
      </c>
      <c r="Y405" s="41" t="str">
        <f t="shared" si="166"/>
        <v/>
      </c>
      <c r="Z405" s="98" t="str">
        <f t="shared" si="161"/>
        <v/>
      </c>
      <c r="AA405" s="81" t="str">
        <f t="shared" si="167"/>
        <v/>
      </c>
      <c r="AC405" s="139"/>
      <c r="AD405" s="110" t="str">
        <f t="shared" si="168"/>
        <v/>
      </c>
      <c r="AE405" s="111" t="str">
        <f t="shared" si="169"/>
        <v/>
      </c>
      <c r="AF405" s="111" t="str">
        <f t="shared" si="162"/>
        <v/>
      </c>
      <c r="AG405" s="111" t="str">
        <f t="shared" si="170"/>
        <v/>
      </c>
      <c r="AH405" s="111" t="str">
        <f t="shared" si="171"/>
        <v/>
      </c>
      <c r="AI405" s="112" t="str">
        <f t="shared" si="172"/>
        <v/>
      </c>
      <c r="AJ405" t="str">
        <f t="shared" si="173"/>
        <v/>
      </c>
      <c r="AK405" t="str">
        <f t="shared" si="174"/>
        <v/>
      </c>
    </row>
    <row r="406" spans="1:37" ht="15" customHeight="1" x14ac:dyDescent="0.25">
      <c r="A406" s="114"/>
      <c r="B406" s="116"/>
      <c r="C406" s="116"/>
      <c r="D406" s="42" t="str">
        <f t="shared" si="150"/>
        <v/>
      </c>
      <c r="E406" s="43"/>
      <c r="F406" s="83"/>
      <c r="G406" s="118"/>
      <c r="H406" s="34" t="str">
        <f t="shared" si="151"/>
        <v/>
      </c>
      <c r="I406" s="88" t="str">
        <f t="shared" si="152"/>
        <v/>
      </c>
      <c r="J406" s="44" t="str">
        <f t="shared" si="153"/>
        <v/>
      </c>
      <c r="K406" s="118"/>
      <c r="L406" s="34" t="str">
        <f t="shared" si="154"/>
        <v/>
      </c>
      <c r="M406" s="118"/>
      <c r="N406" s="121"/>
      <c r="O406" s="122" t="str">
        <f t="shared" si="163"/>
        <v/>
      </c>
      <c r="P406" s="35" t="str">
        <f t="shared" si="164"/>
        <v/>
      </c>
      <c r="Q406" s="124"/>
      <c r="R406" s="36" t="str">
        <f t="shared" si="165"/>
        <v/>
      </c>
      <c r="S406" s="37" t="str">
        <f t="shared" si="155"/>
        <v/>
      </c>
      <c r="T406" s="38" t="str">
        <f t="shared" si="156"/>
        <v/>
      </c>
      <c r="U406" s="39" t="str">
        <f t="shared" si="157"/>
        <v/>
      </c>
      <c r="V406" s="40" t="str">
        <f t="shared" si="158"/>
        <v/>
      </c>
      <c r="W406" s="39" t="str">
        <f t="shared" si="159"/>
        <v/>
      </c>
      <c r="X406" s="34" t="str">
        <f t="shared" si="160"/>
        <v/>
      </c>
      <c r="Y406" s="41" t="str">
        <f t="shared" si="166"/>
        <v/>
      </c>
      <c r="Z406" s="98" t="str">
        <f t="shared" si="161"/>
        <v/>
      </c>
      <c r="AA406" s="81" t="str">
        <f t="shared" si="167"/>
        <v/>
      </c>
      <c r="AC406" s="139"/>
      <c r="AD406" s="110" t="str">
        <f t="shared" si="168"/>
        <v/>
      </c>
      <c r="AE406" s="111" t="str">
        <f t="shared" si="169"/>
        <v/>
      </c>
      <c r="AF406" s="111" t="str">
        <f t="shared" si="162"/>
        <v/>
      </c>
      <c r="AG406" s="111" t="str">
        <f t="shared" si="170"/>
        <v/>
      </c>
      <c r="AH406" s="111" t="str">
        <f t="shared" si="171"/>
        <v/>
      </c>
      <c r="AI406" s="112" t="str">
        <f t="shared" si="172"/>
        <v/>
      </c>
      <c r="AJ406" t="str">
        <f t="shared" si="173"/>
        <v/>
      </c>
      <c r="AK406" t="str">
        <f t="shared" si="174"/>
        <v/>
      </c>
    </row>
    <row r="407" spans="1:37" ht="15" customHeight="1" x14ac:dyDescent="0.25">
      <c r="A407" s="114"/>
      <c r="B407" s="116"/>
      <c r="C407" s="116"/>
      <c r="D407" s="42" t="str">
        <f t="shared" si="150"/>
        <v/>
      </c>
      <c r="E407" s="43"/>
      <c r="F407" s="83"/>
      <c r="G407" s="118"/>
      <c r="H407" s="34" t="str">
        <f t="shared" si="151"/>
        <v/>
      </c>
      <c r="I407" s="88" t="str">
        <f t="shared" si="152"/>
        <v/>
      </c>
      <c r="J407" s="44" t="str">
        <f t="shared" si="153"/>
        <v/>
      </c>
      <c r="K407" s="118"/>
      <c r="L407" s="34" t="str">
        <f t="shared" si="154"/>
        <v/>
      </c>
      <c r="M407" s="118"/>
      <c r="N407" s="121"/>
      <c r="O407" s="122" t="str">
        <f t="shared" si="163"/>
        <v/>
      </c>
      <c r="P407" s="35" t="str">
        <f t="shared" si="164"/>
        <v/>
      </c>
      <c r="Q407" s="124"/>
      <c r="R407" s="36" t="str">
        <f t="shared" si="165"/>
        <v/>
      </c>
      <c r="S407" s="37" t="str">
        <f t="shared" si="155"/>
        <v/>
      </c>
      <c r="T407" s="38" t="str">
        <f t="shared" si="156"/>
        <v/>
      </c>
      <c r="U407" s="39" t="str">
        <f t="shared" si="157"/>
        <v/>
      </c>
      <c r="V407" s="40" t="str">
        <f t="shared" si="158"/>
        <v/>
      </c>
      <c r="W407" s="39" t="str">
        <f t="shared" si="159"/>
        <v/>
      </c>
      <c r="X407" s="34" t="str">
        <f t="shared" si="160"/>
        <v/>
      </c>
      <c r="Y407" s="41" t="str">
        <f t="shared" si="166"/>
        <v/>
      </c>
      <c r="Z407" s="98" t="str">
        <f t="shared" si="161"/>
        <v/>
      </c>
      <c r="AA407" s="81" t="str">
        <f t="shared" si="167"/>
        <v/>
      </c>
      <c r="AC407" s="139"/>
      <c r="AD407" s="110" t="str">
        <f t="shared" si="168"/>
        <v/>
      </c>
      <c r="AE407" s="111" t="str">
        <f t="shared" si="169"/>
        <v/>
      </c>
      <c r="AF407" s="111" t="str">
        <f t="shared" si="162"/>
        <v/>
      </c>
      <c r="AG407" s="111" t="str">
        <f t="shared" si="170"/>
        <v/>
      </c>
      <c r="AH407" s="111" t="str">
        <f t="shared" si="171"/>
        <v/>
      </c>
      <c r="AI407" s="112" t="str">
        <f t="shared" si="172"/>
        <v/>
      </c>
      <c r="AJ407" t="str">
        <f t="shared" si="173"/>
        <v/>
      </c>
      <c r="AK407" t="str">
        <f t="shared" si="174"/>
        <v/>
      </c>
    </row>
    <row r="408" spans="1:37" ht="15" customHeight="1" x14ac:dyDescent="0.25">
      <c r="A408" s="114"/>
      <c r="B408" s="116"/>
      <c r="C408" s="116"/>
      <c r="D408" s="42" t="str">
        <f t="shared" si="150"/>
        <v/>
      </c>
      <c r="E408" s="43"/>
      <c r="F408" s="83"/>
      <c r="G408" s="118"/>
      <c r="H408" s="34" t="str">
        <f t="shared" si="151"/>
        <v/>
      </c>
      <c r="I408" s="88" t="str">
        <f t="shared" si="152"/>
        <v/>
      </c>
      <c r="J408" s="44" t="str">
        <f t="shared" si="153"/>
        <v/>
      </c>
      <c r="K408" s="118"/>
      <c r="L408" s="34" t="str">
        <f t="shared" si="154"/>
        <v/>
      </c>
      <c r="M408" s="118"/>
      <c r="N408" s="121"/>
      <c r="O408" s="122" t="str">
        <f t="shared" si="163"/>
        <v/>
      </c>
      <c r="P408" s="35" t="str">
        <f t="shared" si="164"/>
        <v/>
      </c>
      <c r="Q408" s="124"/>
      <c r="R408" s="36" t="str">
        <f t="shared" si="165"/>
        <v/>
      </c>
      <c r="S408" s="37" t="str">
        <f t="shared" si="155"/>
        <v/>
      </c>
      <c r="T408" s="38" t="str">
        <f t="shared" si="156"/>
        <v/>
      </c>
      <c r="U408" s="39" t="str">
        <f t="shared" si="157"/>
        <v/>
      </c>
      <c r="V408" s="40" t="str">
        <f t="shared" si="158"/>
        <v/>
      </c>
      <c r="W408" s="39" t="str">
        <f t="shared" si="159"/>
        <v/>
      </c>
      <c r="X408" s="34" t="str">
        <f t="shared" si="160"/>
        <v/>
      </c>
      <c r="Y408" s="41" t="str">
        <f t="shared" si="166"/>
        <v/>
      </c>
      <c r="Z408" s="98" t="str">
        <f t="shared" si="161"/>
        <v/>
      </c>
      <c r="AA408" s="81" t="str">
        <f t="shared" si="167"/>
        <v/>
      </c>
      <c r="AC408" s="139"/>
      <c r="AD408" s="110" t="str">
        <f t="shared" si="168"/>
        <v/>
      </c>
      <c r="AE408" s="111" t="str">
        <f t="shared" si="169"/>
        <v/>
      </c>
      <c r="AF408" s="111" t="str">
        <f t="shared" si="162"/>
        <v/>
      </c>
      <c r="AG408" s="111" t="str">
        <f t="shared" si="170"/>
        <v/>
      </c>
      <c r="AH408" s="111" t="str">
        <f t="shared" si="171"/>
        <v/>
      </c>
      <c r="AI408" s="112" t="str">
        <f t="shared" si="172"/>
        <v/>
      </c>
      <c r="AJ408" t="str">
        <f t="shared" si="173"/>
        <v/>
      </c>
      <c r="AK408" t="str">
        <f t="shared" si="174"/>
        <v/>
      </c>
    </row>
    <row r="409" spans="1:37" ht="15" customHeight="1" x14ac:dyDescent="0.25">
      <c r="A409" s="114"/>
      <c r="B409" s="116"/>
      <c r="C409" s="116"/>
      <c r="D409" s="42" t="str">
        <f t="shared" si="150"/>
        <v/>
      </c>
      <c r="E409" s="43"/>
      <c r="F409" s="83"/>
      <c r="G409" s="118"/>
      <c r="H409" s="34" t="str">
        <f t="shared" si="151"/>
        <v/>
      </c>
      <c r="I409" s="88" t="str">
        <f t="shared" si="152"/>
        <v/>
      </c>
      <c r="J409" s="44" t="str">
        <f t="shared" si="153"/>
        <v/>
      </c>
      <c r="K409" s="118"/>
      <c r="L409" s="34" t="str">
        <f t="shared" si="154"/>
        <v/>
      </c>
      <c r="M409" s="118"/>
      <c r="N409" s="121"/>
      <c r="O409" s="122" t="str">
        <f t="shared" si="163"/>
        <v/>
      </c>
      <c r="P409" s="35" t="str">
        <f t="shared" si="164"/>
        <v/>
      </c>
      <c r="Q409" s="124"/>
      <c r="R409" s="36" t="str">
        <f t="shared" si="165"/>
        <v/>
      </c>
      <c r="S409" s="37" t="str">
        <f t="shared" si="155"/>
        <v/>
      </c>
      <c r="T409" s="38" t="str">
        <f t="shared" si="156"/>
        <v/>
      </c>
      <c r="U409" s="39" t="str">
        <f t="shared" si="157"/>
        <v/>
      </c>
      <c r="V409" s="40" t="str">
        <f t="shared" si="158"/>
        <v/>
      </c>
      <c r="W409" s="39" t="str">
        <f t="shared" si="159"/>
        <v/>
      </c>
      <c r="X409" s="34" t="str">
        <f t="shared" si="160"/>
        <v/>
      </c>
      <c r="Y409" s="41" t="str">
        <f t="shared" si="166"/>
        <v/>
      </c>
      <c r="Z409" s="98" t="str">
        <f t="shared" si="161"/>
        <v/>
      </c>
      <c r="AA409" s="81" t="str">
        <f t="shared" si="167"/>
        <v/>
      </c>
      <c r="AC409" s="139"/>
      <c r="AD409" s="110" t="str">
        <f t="shared" si="168"/>
        <v/>
      </c>
      <c r="AE409" s="111" t="str">
        <f t="shared" si="169"/>
        <v/>
      </c>
      <c r="AF409" s="111" t="str">
        <f t="shared" si="162"/>
        <v/>
      </c>
      <c r="AG409" s="111" t="str">
        <f t="shared" si="170"/>
        <v/>
      </c>
      <c r="AH409" s="111" t="str">
        <f t="shared" si="171"/>
        <v/>
      </c>
      <c r="AI409" s="112" t="str">
        <f t="shared" si="172"/>
        <v/>
      </c>
      <c r="AJ409" t="str">
        <f t="shared" si="173"/>
        <v/>
      </c>
      <c r="AK409" t="str">
        <f t="shared" si="174"/>
        <v/>
      </c>
    </row>
    <row r="410" spans="1:37" ht="15" customHeight="1" x14ac:dyDescent="0.25">
      <c r="A410" s="114"/>
      <c r="B410" s="116"/>
      <c r="C410" s="116"/>
      <c r="D410" s="42" t="str">
        <f t="shared" si="150"/>
        <v/>
      </c>
      <c r="E410" s="43"/>
      <c r="F410" s="83"/>
      <c r="G410" s="118"/>
      <c r="H410" s="34" t="str">
        <f t="shared" si="151"/>
        <v/>
      </c>
      <c r="I410" s="88" t="str">
        <f t="shared" si="152"/>
        <v/>
      </c>
      <c r="J410" s="44" t="str">
        <f t="shared" si="153"/>
        <v/>
      </c>
      <c r="K410" s="118"/>
      <c r="L410" s="34" t="str">
        <f t="shared" si="154"/>
        <v/>
      </c>
      <c r="M410" s="118"/>
      <c r="N410" s="121"/>
      <c r="O410" s="122" t="str">
        <f t="shared" si="163"/>
        <v/>
      </c>
      <c r="P410" s="35" t="str">
        <f t="shared" si="164"/>
        <v/>
      </c>
      <c r="Q410" s="124"/>
      <c r="R410" s="36" t="str">
        <f t="shared" si="165"/>
        <v/>
      </c>
      <c r="S410" s="37" t="str">
        <f t="shared" si="155"/>
        <v/>
      </c>
      <c r="T410" s="38" t="str">
        <f t="shared" si="156"/>
        <v/>
      </c>
      <c r="U410" s="39" t="str">
        <f t="shared" si="157"/>
        <v/>
      </c>
      <c r="V410" s="40" t="str">
        <f t="shared" si="158"/>
        <v/>
      </c>
      <c r="W410" s="39" t="str">
        <f t="shared" si="159"/>
        <v/>
      </c>
      <c r="X410" s="34" t="str">
        <f t="shared" si="160"/>
        <v/>
      </c>
      <c r="Y410" s="41" t="str">
        <f t="shared" si="166"/>
        <v/>
      </c>
      <c r="Z410" s="98" t="str">
        <f t="shared" si="161"/>
        <v/>
      </c>
      <c r="AA410" s="81" t="str">
        <f t="shared" si="167"/>
        <v/>
      </c>
      <c r="AC410" s="139"/>
      <c r="AD410" s="110" t="str">
        <f t="shared" si="168"/>
        <v/>
      </c>
      <c r="AE410" s="111" t="str">
        <f t="shared" si="169"/>
        <v/>
      </c>
      <c r="AF410" s="111" t="str">
        <f t="shared" si="162"/>
        <v/>
      </c>
      <c r="AG410" s="111" t="str">
        <f t="shared" si="170"/>
        <v/>
      </c>
      <c r="AH410" s="111" t="str">
        <f t="shared" si="171"/>
        <v/>
      </c>
      <c r="AI410" s="112" t="str">
        <f t="shared" si="172"/>
        <v/>
      </c>
      <c r="AJ410" t="str">
        <f t="shared" si="173"/>
        <v/>
      </c>
      <c r="AK410" t="str">
        <f t="shared" si="174"/>
        <v/>
      </c>
    </row>
    <row r="411" spans="1:37" ht="15" customHeight="1" x14ac:dyDescent="0.25">
      <c r="A411" s="114"/>
      <c r="B411" s="116"/>
      <c r="C411" s="116"/>
      <c r="D411" s="42" t="str">
        <f t="shared" si="150"/>
        <v/>
      </c>
      <c r="E411" s="43"/>
      <c r="F411" s="83"/>
      <c r="G411" s="118"/>
      <c r="H411" s="34" t="str">
        <f t="shared" si="151"/>
        <v/>
      </c>
      <c r="I411" s="88" t="str">
        <f t="shared" si="152"/>
        <v/>
      </c>
      <c r="J411" s="44" t="str">
        <f t="shared" si="153"/>
        <v/>
      </c>
      <c r="K411" s="118"/>
      <c r="L411" s="34" t="str">
        <f t="shared" si="154"/>
        <v/>
      </c>
      <c r="M411" s="118"/>
      <c r="N411" s="121"/>
      <c r="O411" s="122" t="str">
        <f t="shared" si="163"/>
        <v/>
      </c>
      <c r="P411" s="35" t="str">
        <f t="shared" si="164"/>
        <v/>
      </c>
      <c r="Q411" s="124"/>
      <c r="R411" s="36" t="str">
        <f t="shared" si="165"/>
        <v/>
      </c>
      <c r="S411" s="37" t="str">
        <f t="shared" si="155"/>
        <v/>
      </c>
      <c r="T411" s="38" t="str">
        <f t="shared" si="156"/>
        <v/>
      </c>
      <c r="U411" s="39" t="str">
        <f t="shared" si="157"/>
        <v/>
      </c>
      <c r="V411" s="40" t="str">
        <f t="shared" si="158"/>
        <v/>
      </c>
      <c r="W411" s="39" t="str">
        <f t="shared" si="159"/>
        <v/>
      </c>
      <c r="X411" s="34" t="str">
        <f t="shared" si="160"/>
        <v/>
      </c>
      <c r="Y411" s="41" t="str">
        <f t="shared" si="166"/>
        <v/>
      </c>
      <c r="Z411" s="98" t="str">
        <f t="shared" si="161"/>
        <v/>
      </c>
      <c r="AA411" s="81" t="str">
        <f t="shared" si="167"/>
        <v/>
      </c>
      <c r="AC411" s="139"/>
      <c r="AD411" s="110" t="str">
        <f t="shared" si="168"/>
        <v/>
      </c>
      <c r="AE411" s="111" t="str">
        <f t="shared" si="169"/>
        <v/>
      </c>
      <c r="AF411" s="111" t="str">
        <f t="shared" si="162"/>
        <v/>
      </c>
      <c r="AG411" s="111" t="str">
        <f t="shared" si="170"/>
        <v/>
      </c>
      <c r="AH411" s="111" t="str">
        <f t="shared" si="171"/>
        <v/>
      </c>
      <c r="AI411" s="112" t="str">
        <f t="shared" si="172"/>
        <v/>
      </c>
      <c r="AJ411" t="str">
        <f t="shared" si="173"/>
        <v/>
      </c>
      <c r="AK411" t="str">
        <f t="shared" si="174"/>
        <v/>
      </c>
    </row>
    <row r="412" spans="1:37" ht="15" customHeight="1" x14ac:dyDescent="0.25">
      <c r="A412" s="114"/>
      <c r="B412" s="116"/>
      <c r="C412" s="116"/>
      <c r="D412" s="42" t="str">
        <f t="shared" si="150"/>
        <v/>
      </c>
      <c r="E412" s="43"/>
      <c r="F412" s="83"/>
      <c r="G412" s="118"/>
      <c r="H412" s="34" t="str">
        <f t="shared" si="151"/>
        <v/>
      </c>
      <c r="I412" s="88" t="str">
        <f t="shared" si="152"/>
        <v/>
      </c>
      <c r="J412" s="44" t="str">
        <f t="shared" si="153"/>
        <v/>
      </c>
      <c r="K412" s="118"/>
      <c r="L412" s="34" t="str">
        <f t="shared" si="154"/>
        <v/>
      </c>
      <c r="M412" s="118"/>
      <c r="N412" s="121"/>
      <c r="O412" s="122" t="str">
        <f t="shared" si="163"/>
        <v/>
      </c>
      <c r="P412" s="35" t="str">
        <f t="shared" si="164"/>
        <v/>
      </c>
      <c r="Q412" s="124"/>
      <c r="R412" s="36" t="str">
        <f t="shared" si="165"/>
        <v/>
      </c>
      <c r="S412" s="37" t="str">
        <f t="shared" si="155"/>
        <v/>
      </c>
      <c r="T412" s="38" t="str">
        <f t="shared" si="156"/>
        <v/>
      </c>
      <c r="U412" s="39" t="str">
        <f t="shared" si="157"/>
        <v/>
      </c>
      <c r="V412" s="40" t="str">
        <f t="shared" si="158"/>
        <v/>
      </c>
      <c r="W412" s="39" t="str">
        <f t="shared" si="159"/>
        <v/>
      </c>
      <c r="X412" s="34" t="str">
        <f t="shared" si="160"/>
        <v/>
      </c>
      <c r="Y412" s="41" t="str">
        <f t="shared" si="166"/>
        <v/>
      </c>
      <c r="Z412" s="98" t="str">
        <f t="shared" si="161"/>
        <v/>
      </c>
      <c r="AA412" s="81" t="str">
        <f t="shared" si="167"/>
        <v/>
      </c>
      <c r="AC412" s="139"/>
      <c r="AD412" s="110" t="str">
        <f t="shared" si="168"/>
        <v/>
      </c>
      <c r="AE412" s="111" t="str">
        <f t="shared" si="169"/>
        <v/>
      </c>
      <c r="AF412" s="111" t="str">
        <f t="shared" si="162"/>
        <v/>
      </c>
      <c r="AG412" s="111" t="str">
        <f t="shared" si="170"/>
        <v/>
      </c>
      <c r="AH412" s="111" t="str">
        <f t="shared" si="171"/>
        <v/>
      </c>
      <c r="AI412" s="112" t="str">
        <f t="shared" si="172"/>
        <v/>
      </c>
      <c r="AJ412" t="str">
        <f t="shared" si="173"/>
        <v/>
      </c>
      <c r="AK412" t="str">
        <f t="shared" si="174"/>
        <v/>
      </c>
    </row>
    <row r="413" spans="1:37" ht="15" customHeight="1" x14ac:dyDescent="0.25">
      <c r="A413" s="114"/>
      <c r="B413" s="116"/>
      <c r="C413" s="116"/>
      <c r="D413" s="42" t="str">
        <f t="shared" si="150"/>
        <v/>
      </c>
      <c r="E413" s="43"/>
      <c r="F413" s="83"/>
      <c r="G413" s="118"/>
      <c r="H413" s="34" t="str">
        <f t="shared" si="151"/>
        <v/>
      </c>
      <c r="I413" s="88" t="str">
        <f t="shared" si="152"/>
        <v/>
      </c>
      <c r="J413" s="44" t="str">
        <f t="shared" si="153"/>
        <v/>
      </c>
      <c r="K413" s="118"/>
      <c r="L413" s="34" t="str">
        <f t="shared" si="154"/>
        <v/>
      </c>
      <c r="M413" s="118"/>
      <c r="N413" s="121"/>
      <c r="O413" s="122" t="str">
        <f t="shared" si="163"/>
        <v/>
      </c>
      <c r="P413" s="35" t="str">
        <f t="shared" si="164"/>
        <v/>
      </c>
      <c r="Q413" s="124"/>
      <c r="R413" s="36" t="str">
        <f t="shared" si="165"/>
        <v/>
      </c>
      <c r="S413" s="37" t="str">
        <f t="shared" si="155"/>
        <v/>
      </c>
      <c r="T413" s="38" t="str">
        <f t="shared" si="156"/>
        <v/>
      </c>
      <c r="U413" s="39" t="str">
        <f t="shared" si="157"/>
        <v/>
      </c>
      <c r="V413" s="40" t="str">
        <f t="shared" si="158"/>
        <v/>
      </c>
      <c r="W413" s="39" t="str">
        <f t="shared" si="159"/>
        <v/>
      </c>
      <c r="X413" s="34" t="str">
        <f t="shared" si="160"/>
        <v/>
      </c>
      <c r="Y413" s="41" t="str">
        <f t="shared" si="166"/>
        <v/>
      </c>
      <c r="Z413" s="98" t="str">
        <f t="shared" si="161"/>
        <v/>
      </c>
      <c r="AA413" s="81" t="str">
        <f t="shared" si="167"/>
        <v/>
      </c>
      <c r="AC413" s="139"/>
      <c r="AD413" s="110" t="str">
        <f t="shared" si="168"/>
        <v/>
      </c>
      <c r="AE413" s="111" t="str">
        <f t="shared" si="169"/>
        <v/>
      </c>
      <c r="AF413" s="111" t="str">
        <f t="shared" si="162"/>
        <v/>
      </c>
      <c r="AG413" s="111" t="str">
        <f t="shared" si="170"/>
        <v/>
      </c>
      <c r="AH413" s="111" t="str">
        <f t="shared" si="171"/>
        <v/>
      </c>
      <c r="AI413" s="112" t="str">
        <f t="shared" si="172"/>
        <v/>
      </c>
      <c r="AJ413" t="str">
        <f t="shared" si="173"/>
        <v/>
      </c>
      <c r="AK413" t="str">
        <f t="shared" si="174"/>
        <v/>
      </c>
    </row>
    <row r="414" spans="1:37" ht="15" customHeight="1" x14ac:dyDescent="0.25">
      <c r="A414" s="114"/>
      <c r="B414" s="116"/>
      <c r="C414" s="116"/>
      <c r="D414" s="42" t="str">
        <f t="shared" si="150"/>
        <v/>
      </c>
      <c r="E414" s="43"/>
      <c r="F414" s="83"/>
      <c r="G414" s="118"/>
      <c r="H414" s="34" t="str">
        <f t="shared" si="151"/>
        <v/>
      </c>
      <c r="I414" s="88" t="str">
        <f t="shared" si="152"/>
        <v/>
      </c>
      <c r="J414" s="44" t="str">
        <f t="shared" si="153"/>
        <v/>
      </c>
      <c r="K414" s="118"/>
      <c r="L414" s="34" t="str">
        <f t="shared" si="154"/>
        <v/>
      </c>
      <c r="M414" s="118"/>
      <c r="N414" s="121"/>
      <c r="O414" s="122" t="str">
        <f t="shared" si="163"/>
        <v/>
      </c>
      <c r="P414" s="35" t="str">
        <f t="shared" si="164"/>
        <v/>
      </c>
      <c r="Q414" s="124"/>
      <c r="R414" s="36" t="str">
        <f t="shared" si="165"/>
        <v/>
      </c>
      <c r="S414" s="37" t="str">
        <f t="shared" si="155"/>
        <v/>
      </c>
      <c r="T414" s="38" t="str">
        <f t="shared" si="156"/>
        <v/>
      </c>
      <c r="U414" s="39" t="str">
        <f t="shared" si="157"/>
        <v/>
      </c>
      <c r="V414" s="40" t="str">
        <f t="shared" si="158"/>
        <v/>
      </c>
      <c r="W414" s="39" t="str">
        <f t="shared" si="159"/>
        <v/>
      </c>
      <c r="X414" s="34" t="str">
        <f t="shared" si="160"/>
        <v/>
      </c>
      <c r="Y414" s="41" t="str">
        <f t="shared" si="166"/>
        <v/>
      </c>
      <c r="Z414" s="98" t="str">
        <f t="shared" si="161"/>
        <v/>
      </c>
      <c r="AA414" s="81" t="str">
        <f t="shared" si="167"/>
        <v/>
      </c>
      <c r="AC414" s="139"/>
      <c r="AD414" s="110" t="str">
        <f t="shared" si="168"/>
        <v/>
      </c>
      <c r="AE414" s="111" t="str">
        <f t="shared" si="169"/>
        <v/>
      </c>
      <c r="AF414" s="111" t="str">
        <f t="shared" si="162"/>
        <v/>
      </c>
      <c r="AG414" s="111" t="str">
        <f t="shared" si="170"/>
        <v/>
      </c>
      <c r="AH414" s="111" t="str">
        <f t="shared" si="171"/>
        <v/>
      </c>
      <c r="AI414" s="112" t="str">
        <f t="shared" si="172"/>
        <v/>
      </c>
      <c r="AJ414" t="str">
        <f t="shared" si="173"/>
        <v/>
      </c>
      <c r="AK414" t="str">
        <f t="shared" si="174"/>
        <v/>
      </c>
    </row>
    <row r="415" spans="1:37" ht="15" customHeight="1" x14ac:dyDescent="0.25">
      <c r="A415" s="114"/>
      <c r="B415" s="116"/>
      <c r="C415" s="116"/>
      <c r="D415" s="42" t="str">
        <f t="shared" si="150"/>
        <v/>
      </c>
      <c r="E415" s="43"/>
      <c r="F415" s="83"/>
      <c r="G415" s="118"/>
      <c r="H415" s="34" t="str">
        <f t="shared" si="151"/>
        <v/>
      </c>
      <c r="I415" s="88" t="str">
        <f t="shared" si="152"/>
        <v/>
      </c>
      <c r="J415" s="44" t="str">
        <f t="shared" si="153"/>
        <v/>
      </c>
      <c r="K415" s="118"/>
      <c r="L415" s="34" t="str">
        <f t="shared" si="154"/>
        <v/>
      </c>
      <c r="M415" s="118"/>
      <c r="N415" s="121"/>
      <c r="O415" s="122" t="str">
        <f t="shared" si="163"/>
        <v/>
      </c>
      <c r="P415" s="35" t="str">
        <f t="shared" si="164"/>
        <v/>
      </c>
      <c r="Q415" s="124"/>
      <c r="R415" s="36" t="str">
        <f t="shared" si="165"/>
        <v/>
      </c>
      <c r="S415" s="37" t="str">
        <f t="shared" si="155"/>
        <v/>
      </c>
      <c r="T415" s="38" t="str">
        <f t="shared" si="156"/>
        <v/>
      </c>
      <c r="U415" s="39" t="str">
        <f t="shared" si="157"/>
        <v/>
      </c>
      <c r="V415" s="40" t="str">
        <f t="shared" si="158"/>
        <v/>
      </c>
      <c r="W415" s="39" t="str">
        <f t="shared" si="159"/>
        <v/>
      </c>
      <c r="X415" s="34" t="str">
        <f t="shared" si="160"/>
        <v/>
      </c>
      <c r="Y415" s="41" t="str">
        <f t="shared" si="166"/>
        <v/>
      </c>
      <c r="Z415" s="98" t="str">
        <f t="shared" si="161"/>
        <v/>
      </c>
      <c r="AA415" s="81" t="str">
        <f t="shared" si="167"/>
        <v/>
      </c>
      <c r="AC415" s="139"/>
      <c r="AD415" s="110" t="str">
        <f t="shared" si="168"/>
        <v/>
      </c>
      <c r="AE415" s="111" t="str">
        <f t="shared" si="169"/>
        <v/>
      </c>
      <c r="AF415" s="111" t="str">
        <f t="shared" si="162"/>
        <v/>
      </c>
      <c r="AG415" s="111" t="str">
        <f t="shared" si="170"/>
        <v/>
      </c>
      <c r="AH415" s="111" t="str">
        <f t="shared" si="171"/>
        <v/>
      </c>
      <c r="AI415" s="112" t="str">
        <f t="shared" si="172"/>
        <v/>
      </c>
      <c r="AJ415" t="str">
        <f t="shared" si="173"/>
        <v/>
      </c>
      <c r="AK415" t="str">
        <f t="shared" si="174"/>
        <v/>
      </c>
    </row>
    <row r="416" spans="1:37" ht="15" customHeight="1" x14ac:dyDescent="0.25">
      <c r="A416" s="114"/>
      <c r="B416" s="116"/>
      <c r="C416" s="116"/>
      <c r="D416" s="42" t="str">
        <f t="shared" si="150"/>
        <v/>
      </c>
      <c r="E416" s="43"/>
      <c r="F416" s="83"/>
      <c r="G416" s="118"/>
      <c r="H416" s="34" t="str">
        <f t="shared" si="151"/>
        <v/>
      </c>
      <c r="I416" s="88" t="str">
        <f t="shared" si="152"/>
        <v/>
      </c>
      <c r="J416" s="44" t="str">
        <f t="shared" si="153"/>
        <v/>
      </c>
      <c r="K416" s="118"/>
      <c r="L416" s="34" t="str">
        <f t="shared" si="154"/>
        <v/>
      </c>
      <c r="M416" s="118"/>
      <c r="N416" s="121"/>
      <c r="O416" s="122" t="str">
        <f t="shared" si="163"/>
        <v/>
      </c>
      <c r="P416" s="35" t="str">
        <f t="shared" si="164"/>
        <v/>
      </c>
      <c r="Q416" s="124"/>
      <c r="R416" s="36" t="str">
        <f t="shared" si="165"/>
        <v/>
      </c>
      <c r="S416" s="37" t="str">
        <f t="shared" si="155"/>
        <v/>
      </c>
      <c r="T416" s="38" t="str">
        <f t="shared" si="156"/>
        <v/>
      </c>
      <c r="U416" s="39" t="str">
        <f t="shared" si="157"/>
        <v/>
      </c>
      <c r="V416" s="40" t="str">
        <f t="shared" si="158"/>
        <v/>
      </c>
      <c r="W416" s="39" t="str">
        <f t="shared" si="159"/>
        <v/>
      </c>
      <c r="X416" s="34" t="str">
        <f t="shared" si="160"/>
        <v/>
      </c>
      <c r="Y416" s="41" t="str">
        <f t="shared" si="166"/>
        <v/>
      </c>
      <c r="Z416" s="98" t="str">
        <f t="shared" si="161"/>
        <v/>
      </c>
      <c r="AA416" s="81" t="str">
        <f t="shared" si="167"/>
        <v/>
      </c>
      <c r="AC416" s="139"/>
      <c r="AD416" s="110" t="str">
        <f t="shared" si="168"/>
        <v/>
      </c>
      <c r="AE416" s="111" t="str">
        <f t="shared" si="169"/>
        <v/>
      </c>
      <c r="AF416" s="111" t="str">
        <f t="shared" si="162"/>
        <v/>
      </c>
      <c r="AG416" s="111" t="str">
        <f t="shared" si="170"/>
        <v/>
      </c>
      <c r="AH416" s="111" t="str">
        <f t="shared" si="171"/>
        <v/>
      </c>
      <c r="AI416" s="112" t="str">
        <f t="shared" si="172"/>
        <v/>
      </c>
      <c r="AJ416" t="str">
        <f t="shared" si="173"/>
        <v/>
      </c>
      <c r="AK416" t="str">
        <f t="shared" si="174"/>
        <v/>
      </c>
    </row>
    <row r="417" spans="1:37" ht="15" customHeight="1" x14ac:dyDescent="0.25">
      <c r="A417" s="114"/>
      <c r="B417" s="116"/>
      <c r="C417" s="116"/>
      <c r="D417" s="42" t="str">
        <f t="shared" si="150"/>
        <v/>
      </c>
      <c r="E417" s="43"/>
      <c r="F417" s="83"/>
      <c r="G417" s="118"/>
      <c r="H417" s="34" t="str">
        <f t="shared" si="151"/>
        <v/>
      </c>
      <c r="I417" s="88" t="str">
        <f t="shared" si="152"/>
        <v/>
      </c>
      <c r="J417" s="44" t="str">
        <f t="shared" si="153"/>
        <v/>
      </c>
      <c r="K417" s="118"/>
      <c r="L417" s="34" t="str">
        <f t="shared" si="154"/>
        <v/>
      </c>
      <c r="M417" s="118"/>
      <c r="N417" s="121"/>
      <c r="O417" s="122" t="str">
        <f t="shared" si="163"/>
        <v/>
      </c>
      <c r="P417" s="35" t="str">
        <f t="shared" si="164"/>
        <v/>
      </c>
      <c r="Q417" s="124"/>
      <c r="R417" s="36" t="str">
        <f t="shared" si="165"/>
        <v/>
      </c>
      <c r="S417" s="37" t="str">
        <f t="shared" si="155"/>
        <v/>
      </c>
      <c r="T417" s="38" t="str">
        <f t="shared" si="156"/>
        <v/>
      </c>
      <c r="U417" s="39" t="str">
        <f t="shared" si="157"/>
        <v/>
      </c>
      <c r="V417" s="40" t="str">
        <f t="shared" si="158"/>
        <v/>
      </c>
      <c r="W417" s="39" t="str">
        <f t="shared" si="159"/>
        <v/>
      </c>
      <c r="X417" s="34" t="str">
        <f t="shared" si="160"/>
        <v/>
      </c>
      <c r="Y417" s="41" t="str">
        <f t="shared" si="166"/>
        <v/>
      </c>
      <c r="Z417" s="98" t="str">
        <f t="shared" si="161"/>
        <v/>
      </c>
      <c r="AA417" s="81" t="str">
        <f t="shared" si="167"/>
        <v/>
      </c>
      <c r="AC417" s="139"/>
      <c r="AD417" s="110" t="str">
        <f t="shared" si="168"/>
        <v/>
      </c>
      <c r="AE417" s="111" t="str">
        <f t="shared" si="169"/>
        <v/>
      </c>
      <c r="AF417" s="111" t="str">
        <f t="shared" si="162"/>
        <v/>
      </c>
      <c r="AG417" s="111" t="str">
        <f t="shared" si="170"/>
        <v/>
      </c>
      <c r="AH417" s="111" t="str">
        <f t="shared" si="171"/>
        <v/>
      </c>
      <c r="AI417" s="112" t="str">
        <f t="shared" si="172"/>
        <v/>
      </c>
      <c r="AJ417" t="str">
        <f t="shared" si="173"/>
        <v/>
      </c>
      <c r="AK417" t="str">
        <f t="shared" si="174"/>
        <v/>
      </c>
    </row>
    <row r="418" spans="1:37" ht="15" customHeight="1" x14ac:dyDescent="0.25">
      <c r="A418" s="114"/>
      <c r="B418" s="116"/>
      <c r="C418" s="116"/>
      <c r="D418" s="42" t="str">
        <f t="shared" si="150"/>
        <v/>
      </c>
      <c r="E418" s="43"/>
      <c r="F418" s="83"/>
      <c r="G418" s="118"/>
      <c r="H418" s="34" t="str">
        <f t="shared" si="151"/>
        <v/>
      </c>
      <c r="I418" s="88" t="str">
        <f t="shared" si="152"/>
        <v/>
      </c>
      <c r="J418" s="44" t="str">
        <f t="shared" si="153"/>
        <v/>
      </c>
      <c r="K418" s="118"/>
      <c r="L418" s="34" t="str">
        <f t="shared" si="154"/>
        <v/>
      </c>
      <c r="M418" s="118"/>
      <c r="N418" s="121"/>
      <c r="O418" s="122" t="str">
        <f t="shared" si="163"/>
        <v/>
      </c>
      <c r="P418" s="35" t="str">
        <f t="shared" si="164"/>
        <v/>
      </c>
      <c r="Q418" s="124"/>
      <c r="R418" s="36" t="str">
        <f t="shared" si="165"/>
        <v/>
      </c>
      <c r="S418" s="37" t="str">
        <f t="shared" si="155"/>
        <v/>
      </c>
      <c r="T418" s="38" t="str">
        <f t="shared" si="156"/>
        <v/>
      </c>
      <c r="U418" s="39" t="str">
        <f t="shared" si="157"/>
        <v/>
      </c>
      <c r="V418" s="40" t="str">
        <f t="shared" si="158"/>
        <v/>
      </c>
      <c r="W418" s="39" t="str">
        <f t="shared" si="159"/>
        <v/>
      </c>
      <c r="X418" s="34" t="str">
        <f t="shared" si="160"/>
        <v/>
      </c>
      <c r="Y418" s="41" t="str">
        <f t="shared" si="166"/>
        <v/>
      </c>
      <c r="Z418" s="98" t="str">
        <f t="shared" si="161"/>
        <v/>
      </c>
      <c r="AA418" s="81" t="str">
        <f t="shared" si="167"/>
        <v/>
      </c>
      <c r="AC418" s="139"/>
      <c r="AD418" s="110" t="str">
        <f t="shared" si="168"/>
        <v/>
      </c>
      <c r="AE418" s="111" t="str">
        <f t="shared" si="169"/>
        <v/>
      </c>
      <c r="AF418" s="111" t="str">
        <f t="shared" si="162"/>
        <v/>
      </c>
      <c r="AG418" s="111" t="str">
        <f t="shared" si="170"/>
        <v/>
      </c>
      <c r="AH418" s="111" t="str">
        <f t="shared" si="171"/>
        <v/>
      </c>
      <c r="AI418" s="112" t="str">
        <f t="shared" si="172"/>
        <v/>
      </c>
      <c r="AJ418" t="str">
        <f t="shared" si="173"/>
        <v/>
      </c>
      <c r="AK418" t="str">
        <f t="shared" si="174"/>
        <v/>
      </c>
    </row>
    <row r="419" spans="1:37" ht="15" customHeight="1" x14ac:dyDescent="0.25">
      <c r="A419" s="114"/>
      <c r="B419" s="116"/>
      <c r="C419" s="116"/>
      <c r="D419" s="42" t="str">
        <f t="shared" si="150"/>
        <v/>
      </c>
      <c r="E419" s="43"/>
      <c r="F419" s="83"/>
      <c r="G419" s="118"/>
      <c r="H419" s="34" t="str">
        <f t="shared" si="151"/>
        <v/>
      </c>
      <c r="I419" s="88" t="str">
        <f t="shared" si="152"/>
        <v/>
      </c>
      <c r="J419" s="44" t="str">
        <f t="shared" si="153"/>
        <v/>
      </c>
      <c r="K419" s="118"/>
      <c r="L419" s="34" t="str">
        <f t="shared" si="154"/>
        <v/>
      </c>
      <c r="M419" s="118"/>
      <c r="N419" s="121"/>
      <c r="O419" s="122" t="str">
        <f t="shared" si="163"/>
        <v/>
      </c>
      <c r="P419" s="35" t="str">
        <f t="shared" si="164"/>
        <v/>
      </c>
      <c r="Q419" s="124"/>
      <c r="R419" s="36" t="str">
        <f t="shared" si="165"/>
        <v/>
      </c>
      <c r="S419" s="37" t="str">
        <f t="shared" si="155"/>
        <v/>
      </c>
      <c r="T419" s="38" t="str">
        <f t="shared" si="156"/>
        <v/>
      </c>
      <c r="U419" s="39" t="str">
        <f t="shared" si="157"/>
        <v/>
      </c>
      <c r="V419" s="40" t="str">
        <f t="shared" si="158"/>
        <v/>
      </c>
      <c r="W419" s="39" t="str">
        <f t="shared" si="159"/>
        <v/>
      </c>
      <c r="X419" s="34" t="str">
        <f t="shared" si="160"/>
        <v/>
      </c>
      <c r="Y419" s="41" t="str">
        <f t="shared" si="166"/>
        <v/>
      </c>
      <c r="Z419" s="98" t="str">
        <f t="shared" si="161"/>
        <v/>
      </c>
      <c r="AA419" s="81" t="str">
        <f t="shared" si="167"/>
        <v/>
      </c>
      <c r="AC419" s="139"/>
      <c r="AD419" s="110" t="str">
        <f t="shared" si="168"/>
        <v/>
      </c>
      <c r="AE419" s="111" t="str">
        <f t="shared" si="169"/>
        <v/>
      </c>
      <c r="AF419" s="111" t="str">
        <f t="shared" si="162"/>
        <v/>
      </c>
      <c r="AG419" s="111" t="str">
        <f t="shared" si="170"/>
        <v/>
      </c>
      <c r="AH419" s="111" t="str">
        <f t="shared" si="171"/>
        <v/>
      </c>
      <c r="AI419" s="112" t="str">
        <f t="shared" si="172"/>
        <v/>
      </c>
      <c r="AJ419" t="str">
        <f t="shared" si="173"/>
        <v/>
      </c>
      <c r="AK419" t="str">
        <f t="shared" si="174"/>
        <v/>
      </c>
    </row>
    <row r="420" spans="1:37" ht="15" customHeight="1" x14ac:dyDescent="0.25">
      <c r="A420" s="114"/>
      <c r="B420" s="116"/>
      <c r="C420" s="116"/>
      <c r="D420" s="42" t="str">
        <f t="shared" si="150"/>
        <v/>
      </c>
      <c r="E420" s="43"/>
      <c r="F420" s="83"/>
      <c r="G420" s="118"/>
      <c r="H420" s="34" t="str">
        <f t="shared" si="151"/>
        <v/>
      </c>
      <c r="I420" s="88" t="str">
        <f t="shared" si="152"/>
        <v/>
      </c>
      <c r="J420" s="44" t="str">
        <f t="shared" si="153"/>
        <v/>
      </c>
      <c r="K420" s="118"/>
      <c r="L420" s="34" t="str">
        <f t="shared" si="154"/>
        <v/>
      </c>
      <c r="M420" s="118"/>
      <c r="N420" s="121"/>
      <c r="O420" s="122" t="str">
        <f t="shared" si="163"/>
        <v/>
      </c>
      <c r="P420" s="35" t="str">
        <f t="shared" si="164"/>
        <v/>
      </c>
      <c r="Q420" s="124"/>
      <c r="R420" s="36" t="str">
        <f t="shared" si="165"/>
        <v/>
      </c>
      <c r="S420" s="37" t="str">
        <f t="shared" si="155"/>
        <v/>
      </c>
      <c r="T420" s="38" t="str">
        <f t="shared" si="156"/>
        <v/>
      </c>
      <c r="U420" s="39" t="str">
        <f t="shared" si="157"/>
        <v/>
      </c>
      <c r="V420" s="40" t="str">
        <f t="shared" si="158"/>
        <v/>
      </c>
      <c r="W420" s="39" t="str">
        <f t="shared" si="159"/>
        <v/>
      </c>
      <c r="X420" s="34" t="str">
        <f t="shared" si="160"/>
        <v/>
      </c>
      <c r="Y420" s="41" t="str">
        <f t="shared" si="166"/>
        <v/>
      </c>
      <c r="Z420" s="98" t="str">
        <f t="shared" si="161"/>
        <v/>
      </c>
      <c r="AA420" s="81" t="str">
        <f t="shared" si="167"/>
        <v/>
      </c>
      <c r="AC420" s="139"/>
      <c r="AD420" s="110" t="str">
        <f t="shared" si="168"/>
        <v/>
      </c>
      <c r="AE420" s="111" t="str">
        <f t="shared" si="169"/>
        <v/>
      </c>
      <c r="AF420" s="111" t="str">
        <f t="shared" si="162"/>
        <v/>
      </c>
      <c r="AG420" s="111" t="str">
        <f t="shared" si="170"/>
        <v/>
      </c>
      <c r="AH420" s="111" t="str">
        <f t="shared" si="171"/>
        <v/>
      </c>
      <c r="AI420" s="112" t="str">
        <f t="shared" si="172"/>
        <v/>
      </c>
      <c r="AJ420" t="str">
        <f t="shared" si="173"/>
        <v/>
      </c>
      <c r="AK420" t="str">
        <f t="shared" si="174"/>
        <v/>
      </c>
    </row>
    <row r="421" spans="1:37" ht="15" customHeight="1" x14ac:dyDescent="0.25">
      <c r="A421" s="114"/>
      <c r="B421" s="116"/>
      <c r="C421" s="116"/>
      <c r="D421" s="42" t="str">
        <f t="shared" si="150"/>
        <v/>
      </c>
      <c r="E421" s="43"/>
      <c r="F421" s="83"/>
      <c r="G421" s="118"/>
      <c r="H421" s="34" t="str">
        <f t="shared" si="151"/>
        <v/>
      </c>
      <c r="I421" s="88" t="str">
        <f t="shared" si="152"/>
        <v/>
      </c>
      <c r="J421" s="44" t="str">
        <f t="shared" si="153"/>
        <v/>
      </c>
      <c r="K421" s="118"/>
      <c r="L421" s="34" t="str">
        <f t="shared" si="154"/>
        <v/>
      </c>
      <c r="M421" s="118"/>
      <c r="N421" s="121"/>
      <c r="O421" s="122" t="str">
        <f t="shared" si="163"/>
        <v/>
      </c>
      <c r="P421" s="35" t="str">
        <f t="shared" si="164"/>
        <v/>
      </c>
      <c r="Q421" s="124"/>
      <c r="R421" s="36" t="str">
        <f t="shared" si="165"/>
        <v/>
      </c>
      <c r="S421" s="37" t="str">
        <f t="shared" si="155"/>
        <v/>
      </c>
      <c r="T421" s="38" t="str">
        <f t="shared" si="156"/>
        <v/>
      </c>
      <c r="U421" s="39" t="str">
        <f t="shared" si="157"/>
        <v/>
      </c>
      <c r="V421" s="40" t="str">
        <f t="shared" si="158"/>
        <v/>
      </c>
      <c r="W421" s="39" t="str">
        <f t="shared" si="159"/>
        <v/>
      </c>
      <c r="X421" s="34" t="str">
        <f t="shared" si="160"/>
        <v/>
      </c>
      <c r="Y421" s="41" t="str">
        <f t="shared" si="166"/>
        <v/>
      </c>
      <c r="Z421" s="98" t="str">
        <f t="shared" si="161"/>
        <v/>
      </c>
      <c r="AA421" s="81" t="str">
        <f t="shared" si="167"/>
        <v/>
      </c>
      <c r="AC421" s="139"/>
      <c r="AD421" s="110" t="str">
        <f t="shared" si="168"/>
        <v/>
      </c>
      <c r="AE421" s="111" t="str">
        <f t="shared" si="169"/>
        <v/>
      </c>
      <c r="AF421" s="111" t="str">
        <f t="shared" si="162"/>
        <v/>
      </c>
      <c r="AG421" s="111" t="str">
        <f t="shared" si="170"/>
        <v/>
      </c>
      <c r="AH421" s="111" t="str">
        <f t="shared" si="171"/>
        <v/>
      </c>
      <c r="AI421" s="112" t="str">
        <f t="shared" si="172"/>
        <v/>
      </c>
      <c r="AJ421" t="str">
        <f t="shared" si="173"/>
        <v/>
      </c>
      <c r="AK421" t="str">
        <f t="shared" si="174"/>
        <v/>
      </c>
    </row>
    <row r="422" spans="1:37" ht="15" customHeight="1" x14ac:dyDescent="0.25">
      <c r="A422" s="114"/>
      <c r="B422" s="116"/>
      <c r="C422" s="116"/>
      <c r="D422" s="42" t="str">
        <f t="shared" si="150"/>
        <v/>
      </c>
      <c r="E422" s="43"/>
      <c r="F422" s="83"/>
      <c r="G422" s="118"/>
      <c r="H422" s="34" t="str">
        <f t="shared" si="151"/>
        <v/>
      </c>
      <c r="I422" s="88" t="str">
        <f t="shared" si="152"/>
        <v/>
      </c>
      <c r="J422" s="44" t="str">
        <f t="shared" si="153"/>
        <v/>
      </c>
      <c r="K422" s="118"/>
      <c r="L422" s="34" t="str">
        <f t="shared" si="154"/>
        <v/>
      </c>
      <c r="M422" s="118"/>
      <c r="N422" s="121"/>
      <c r="O422" s="122" t="str">
        <f t="shared" si="163"/>
        <v/>
      </c>
      <c r="P422" s="35" t="str">
        <f t="shared" si="164"/>
        <v/>
      </c>
      <c r="Q422" s="124"/>
      <c r="R422" s="36" t="str">
        <f t="shared" si="165"/>
        <v/>
      </c>
      <c r="S422" s="37" t="str">
        <f t="shared" si="155"/>
        <v/>
      </c>
      <c r="T422" s="38" t="str">
        <f t="shared" si="156"/>
        <v/>
      </c>
      <c r="U422" s="39" t="str">
        <f t="shared" si="157"/>
        <v/>
      </c>
      <c r="V422" s="40" t="str">
        <f t="shared" si="158"/>
        <v/>
      </c>
      <c r="W422" s="39" t="str">
        <f t="shared" si="159"/>
        <v/>
      </c>
      <c r="X422" s="34" t="str">
        <f t="shared" si="160"/>
        <v/>
      </c>
      <c r="Y422" s="41" t="str">
        <f t="shared" si="166"/>
        <v/>
      </c>
      <c r="Z422" s="98" t="str">
        <f t="shared" si="161"/>
        <v/>
      </c>
      <c r="AA422" s="81" t="str">
        <f t="shared" si="167"/>
        <v/>
      </c>
      <c r="AC422" s="139"/>
      <c r="AD422" s="110" t="str">
        <f t="shared" si="168"/>
        <v/>
      </c>
      <c r="AE422" s="111" t="str">
        <f t="shared" si="169"/>
        <v/>
      </c>
      <c r="AF422" s="111" t="str">
        <f t="shared" si="162"/>
        <v/>
      </c>
      <c r="AG422" s="111" t="str">
        <f t="shared" si="170"/>
        <v/>
      </c>
      <c r="AH422" s="111" t="str">
        <f t="shared" si="171"/>
        <v/>
      </c>
      <c r="AI422" s="112" t="str">
        <f t="shared" si="172"/>
        <v/>
      </c>
      <c r="AJ422" t="str">
        <f t="shared" si="173"/>
        <v/>
      </c>
      <c r="AK422" t="str">
        <f t="shared" si="174"/>
        <v/>
      </c>
    </row>
    <row r="423" spans="1:37" ht="15" customHeight="1" x14ac:dyDescent="0.25">
      <c r="A423" s="114"/>
      <c r="B423" s="116"/>
      <c r="C423" s="116"/>
      <c r="D423" s="42" t="str">
        <f t="shared" si="150"/>
        <v/>
      </c>
      <c r="E423" s="43"/>
      <c r="F423" s="83"/>
      <c r="G423" s="118"/>
      <c r="H423" s="34" t="str">
        <f t="shared" si="151"/>
        <v/>
      </c>
      <c r="I423" s="88" t="str">
        <f t="shared" si="152"/>
        <v/>
      </c>
      <c r="J423" s="44" t="str">
        <f t="shared" si="153"/>
        <v/>
      </c>
      <c r="K423" s="118"/>
      <c r="L423" s="34" t="str">
        <f t="shared" si="154"/>
        <v/>
      </c>
      <c r="M423" s="118"/>
      <c r="N423" s="121"/>
      <c r="O423" s="122" t="str">
        <f t="shared" si="163"/>
        <v/>
      </c>
      <c r="P423" s="35" t="str">
        <f t="shared" si="164"/>
        <v/>
      </c>
      <c r="Q423" s="124"/>
      <c r="R423" s="36" t="str">
        <f t="shared" si="165"/>
        <v/>
      </c>
      <c r="S423" s="37" t="str">
        <f t="shared" si="155"/>
        <v/>
      </c>
      <c r="T423" s="38" t="str">
        <f t="shared" si="156"/>
        <v/>
      </c>
      <c r="U423" s="39" t="str">
        <f t="shared" si="157"/>
        <v/>
      </c>
      <c r="V423" s="40" t="str">
        <f t="shared" si="158"/>
        <v/>
      </c>
      <c r="W423" s="39" t="str">
        <f t="shared" si="159"/>
        <v/>
      </c>
      <c r="X423" s="34" t="str">
        <f t="shared" si="160"/>
        <v/>
      </c>
      <c r="Y423" s="41" t="str">
        <f t="shared" si="166"/>
        <v/>
      </c>
      <c r="Z423" s="98" t="str">
        <f t="shared" si="161"/>
        <v/>
      </c>
      <c r="AA423" s="81" t="str">
        <f t="shared" si="167"/>
        <v/>
      </c>
      <c r="AC423" s="139"/>
      <c r="AD423" s="110" t="str">
        <f t="shared" si="168"/>
        <v/>
      </c>
      <c r="AE423" s="111" t="str">
        <f t="shared" si="169"/>
        <v/>
      </c>
      <c r="AF423" s="111" t="str">
        <f t="shared" si="162"/>
        <v/>
      </c>
      <c r="AG423" s="111" t="str">
        <f t="shared" si="170"/>
        <v/>
      </c>
      <c r="AH423" s="111" t="str">
        <f t="shared" si="171"/>
        <v/>
      </c>
      <c r="AI423" s="112" t="str">
        <f t="shared" si="172"/>
        <v/>
      </c>
      <c r="AJ423" t="str">
        <f t="shared" si="173"/>
        <v/>
      </c>
      <c r="AK423" t="str">
        <f t="shared" si="174"/>
        <v/>
      </c>
    </row>
    <row r="424" spans="1:37" ht="15" customHeight="1" x14ac:dyDescent="0.25">
      <c r="A424" s="114"/>
      <c r="B424" s="116"/>
      <c r="C424" s="116"/>
      <c r="D424" s="42" t="str">
        <f t="shared" si="150"/>
        <v/>
      </c>
      <c r="E424" s="43"/>
      <c r="F424" s="83"/>
      <c r="G424" s="118"/>
      <c r="H424" s="34" t="str">
        <f t="shared" si="151"/>
        <v/>
      </c>
      <c r="I424" s="88" t="str">
        <f t="shared" si="152"/>
        <v/>
      </c>
      <c r="J424" s="44" t="str">
        <f t="shared" si="153"/>
        <v/>
      </c>
      <c r="K424" s="118"/>
      <c r="L424" s="34" t="str">
        <f t="shared" si="154"/>
        <v/>
      </c>
      <c r="M424" s="118"/>
      <c r="N424" s="121"/>
      <c r="O424" s="122" t="str">
        <f t="shared" si="163"/>
        <v/>
      </c>
      <c r="P424" s="35" t="str">
        <f t="shared" si="164"/>
        <v/>
      </c>
      <c r="Q424" s="124"/>
      <c r="R424" s="36" t="str">
        <f t="shared" si="165"/>
        <v/>
      </c>
      <c r="S424" s="37" t="str">
        <f t="shared" si="155"/>
        <v/>
      </c>
      <c r="T424" s="38" t="str">
        <f t="shared" si="156"/>
        <v/>
      </c>
      <c r="U424" s="39" t="str">
        <f t="shared" si="157"/>
        <v/>
      </c>
      <c r="V424" s="40" t="str">
        <f t="shared" si="158"/>
        <v/>
      </c>
      <c r="W424" s="39" t="str">
        <f t="shared" si="159"/>
        <v/>
      </c>
      <c r="X424" s="34" t="str">
        <f t="shared" si="160"/>
        <v/>
      </c>
      <c r="Y424" s="41" t="str">
        <f t="shared" si="166"/>
        <v/>
      </c>
      <c r="Z424" s="98" t="str">
        <f t="shared" si="161"/>
        <v/>
      </c>
      <c r="AA424" s="81" t="str">
        <f t="shared" si="167"/>
        <v/>
      </c>
      <c r="AC424" s="139"/>
      <c r="AD424" s="110" t="str">
        <f t="shared" si="168"/>
        <v/>
      </c>
      <c r="AE424" s="111" t="str">
        <f t="shared" si="169"/>
        <v/>
      </c>
      <c r="AF424" s="111" t="str">
        <f t="shared" si="162"/>
        <v/>
      </c>
      <c r="AG424" s="111" t="str">
        <f t="shared" si="170"/>
        <v/>
      </c>
      <c r="AH424" s="111" t="str">
        <f t="shared" si="171"/>
        <v/>
      </c>
      <c r="AI424" s="112" t="str">
        <f t="shared" si="172"/>
        <v/>
      </c>
      <c r="AJ424" t="str">
        <f t="shared" si="173"/>
        <v/>
      </c>
      <c r="AK424" t="str">
        <f t="shared" si="174"/>
        <v/>
      </c>
    </row>
    <row r="425" spans="1:37" ht="15" customHeight="1" x14ac:dyDescent="0.25">
      <c r="A425" s="114"/>
      <c r="B425" s="116"/>
      <c r="C425" s="116"/>
      <c r="D425" s="42" t="str">
        <f t="shared" si="150"/>
        <v/>
      </c>
      <c r="E425" s="43"/>
      <c r="F425" s="83"/>
      <c r="G425" s="118"/>
      <c r="H425" s="34" t="str">
        <f t="shared" si="151"/>
        <v/>
      </c>
      <c r="I425" s="88" t="str">
        <f t="shared" si="152"/>
        <v/>
      </c>
      <c r="J425" s="44" t="str">
        <f t="shared" si="153"/>
        <v/>
      </c>
      <c r="K425" s="118"/>
      <c r="L425" s="34" t="str">
        <f t="shared" si="154"/>
        <v/>
      </c>
      <c r="M425" s="118"/>
      <c r="N425" s="121"/>
      <c r="O425" s="122" t="str">
        <f t="shared" si="163"/>
        <v/>
      </c>
      <c r="P425" s="35" t="str">
        <f t="shared" si="164"/>
        <v/>
      </c>
      <c r="Q425" s="124"/>
      <c r="R425" s="36" t="str">
        <f t="shared" si="165"/>
        <v/>
      </c>
      <c r="S425" s="37" t="str">
        <f t="shared" si="155"/>
        <v/>
      </c>
      <c r="T425" s="38" t="str">
        <f t="shared" si="156"/>
        <v/>
      </c>
      <c r="U425" s="39" t="str">
        <f t="shared" si="157"/>
        <v/>
      </c>
      <c r="V425" s="40" t="str">
        <f t="shared" si="158"/>
        <v/>
      </c>
      <c r="W425" s="39" t="str">
        <f t="shared" si="159"/>
        <v/>
      </c>
      <c r="X425" s="34" t="str">
        <f t="shared" si="160"/>
        <v/>
      </c>
      <c r="Y425" s="41" t="str">
        <f t="shared" si="166"/>
        <v/>
      </c>
      <c r="Z425" s="98" t="str">
        <f t="shared" si="161"/>
        <v/>
      </c>
      <c r="AA425" s="81" t="str">
        <f t="shared" si="167"/>
        <v/>
      </c>
      <c r="AC425" s="139"/>
      <c r="AD425" s="110" t="str">
        <f t="shared" si="168"/>
        <v/>
      </c>
      <c r="AE425" s="111" t="str">
        <f t="shared" si="169"/>
        <v/>
      </c>
      <c r="AF425" s="111" t="str">
        <f t="shared" si="162"/>
        <v/>
      </c>
      <c r="AG425" s="111" t="str">
        <f t="shared" si="170"/>
        <v/>
      </c>
      <c r="AH425" s="111" t="str">
        <f t="shared" si="171"/>
        <v/>
      </c>
      <c r="AI425" s="112" t="str">
        <f t="shared" si="172"/>
        <v/>
      </c>
      <c r="AJ425" t="str">
        <f t="shared" si="173"/>
        <v/>
      </c>
      <c r="AK425" t="str">
        <f t="shared" si="174"/>
        <v/>
      </c>
    </row>
    <row r="426" spans="1:37" ht="15" customHeight="1" x14ac:dyDescent="0.25">
      <c r="A426" s="114"/>
      <c r="B426" s="116"/>
      <c r="C426" s="116"/>
      <c r="D426" s="42" t="str">
        <f t="shared" si="150"/>
        <v/>
      </c>
      <c r="E426" s="43"/>
      <c r="F426" s="83"/>
      <c r="G426" s="118"/>
      <c r="H426" s="34" t="str">
        <f t="shared" si="151"/>
        <v/>
      </c>
      <c r="I426" s="88" t="str">
        <f t="shared" si="152"/>
        <v/>
      </c>
      <c r="J426" s="44" t="str">
        <f t="shared" si="153"/>
        <v/>
      </c>
      <c r="K426" s="118"/>
      <c r="L426" s="34" t="str">
        <f t="shared" si="154"/>
        <v/>
      </c>
      <c r="M426" s="118"/>
      <c r="N426" s="121"/>
      <c r="O426" s="122" t="str">
        <f t="shared" si="163"/>
        <v/>
      </c>
      <c r="P426" s="35" t="str">
        <f t="shared" si="164"/>
        <v/>
      </c>
      <c r="Q426" s="124"/>
      <c r="R426" s="36" t="str">
        <f t="shared" si="165"/>
        <v/>
      </c>
      <c r="S426" s="37" t="str">
        <f t="shared" si="155"/>
        <v/>
      </c>
      <c r="T426" s="38" t="str">
        <f t="shared" si="156"/>
        <v/>
      </c>
      <c r="U426" s="39" t="str">
        <f t="shared" si="157"/>
        <v/>
      </c>
      <c r="V426" s="40" t="str">
        <f t="shared" si="158"/>
        <v/>
      </c>
      <c r="W426" s="39" t="str">
        <f t="shared" si="159"/>
        <v/>
      </c>
      <c r="X426" s="34" t="str">
        <f t="shared" si="160"/>
        <v/>
      </c>
      <c r="Y426" s="41" t="str">
        <f t="shared" si="166"/>
        <v/>
      </c>
      <c r="Z426" s="98" t="str">
        <f t="shared" si="161"/>
        <v/>
      </c>
      <c r="AA426" s="81" t="str">
        <f t="shared" si="167"/>
        <v/>
      </c>
      <c r="AC426" s="139"/>
      <c r="AD426" s="110" t="str">
        <f t="shared" si="168"/>
        <v/>
      </c>
      <c r="AE426" s="111" t="str">
        <f t="shared" si="169"/>
        <v/>
      </c>
      <c r="AF426" s="111" t="str">
        <f t="shared" si="162"/>
        <v/>
      </c>
      <c r="AG426" s="111" t="str">
        <f t="shared" si="170"/>
        <v/>
      </c>
      <c r="AH426" s="111" t="str">
        <f t="shared" si="171"/>
        <v/>
      </c>
      <c r="AI426" s="112" t="str">
        <f t="shared" si="172"/>
        <v/>
      </c>
      <c r="AJ426" t="str">
        <f t="shared" si="173"/>
        <v/>
      </c>
      <c r="AK426" t="str">
        <f t="shared" si="174"/>
        <v/>
      </c>
    </row>
    <row r="427" spans="1:37" ht="15" customHeight="1" x14ac:dyDescent="0.25">
      <c r="A427" s="114"/>
      <c r="B427" s="116"/>
      <c r="C427" s="116"/>
      <c r="D427" s="42" t="str">
        <f t="shared" si="150"/>
        <v/>
      </c>
      <c r="E427" s="43"/>
      <c r="F427" s="83"/>
      <c r="G427" s="118"/>
      <c r="H427" s="34" t="str">
        <f t="shared" si="151"/>
        <v/>
      </c>
      <c r="I427" s="88" t="str">
        <f t="shared" si="152"/>
        <v/>
      </c>
      <c r="J427" s="44" t="str">
        <f t="shared" si="153"/>
        <v/>
      </c>
      <c r="K427" s="118"/>
      <c r="L427" s="34" t="str">
        <f t="shared" si="154"/>
        <v/>
      </c>
      <c r="M427" s="118"/>
      <c r="N427" s="121"/>
      <c r="O427" s="122" t="str">
        <f t="shared" si="163"/>
        <v/>
      </c>
      <c r="P427" s="35" t="str">
        <f t="shared" si="164"/>
        <v/>
      </c>
      <c r="Q427" s="124"/>
      <c r="R427" s="36" t="str">
        <f t="shared" si="165"/>
        <v/>
      </c>
      <c r="S427" s="37" t="str">
        <f t="shared" si="155"/>
        <v/>
      </c>
      <c r="T427" s="38" t="str">
        <f t="shared" si="156"/>
        <v/>
      </c>
      <c r="U427" s="39" t="str">
        <f t="shared" si="157"/>
        <v/>
      </c>
      <c r="V427" s="40" t="str">
        <f t="shared" si="158"/>
        <v/>
      </c>
      <c r="W427" s="39" t="str">
        <f t="shared" si="159"/>
        <v/>
      </c>
      <c r="X427" s="34" t="str">
        <f t="shared" si="160"/>
        <v/>
      </c>
      <c r="Y427" s="41" t="str">
        <f t="shared" si="166"/>
        <v/>
      </c>
      <c r="Z427" s="98" t="str">
        <f t="shared" si="161"/>
        <v/>
      </c>
      <c r="AA427" s="81" t="str">
        <f t="shared" si="167"/>
        <v/>
      </c>
      <c r="AC427" s="139"/>
      <c r="AD427" s="110" t="str">
        <f t="shared" si="168"/>
        <v/>
      </c>
      <c r="AE427" s="111" t="str">
        <f t="shared" si="169"/>
        <v/>
      </c>
      <c r="AF427" s="111" t="str">
        <f t="shared" si="162"/>
        <v/>
      </c>
      <c r="AG427" s="111" t="str">
        <f t="shared" si="170"/>
        <v/>
      </c>
      <c r="AH427" s="111" t="str">
        <f t="shared" si="171"/>
        <v/>
      </c>
      <c r="AI427" s="112" t="str">
        <f t="shared" si="172"/>
        <v/>
      </c>
      <c r="AJ427" t="str">
        <f t="shared" si="173"/>
        <v/>
      </c>
      <c r="AK427" t="str">
        <f t="shared" si="174"/>
        <v/>
      </c>
    </row>
    <row r="428" spans="1:37" ht="15" customHeight="1" x14ac:dyDescent="0.25">
      <c r="A428" s="114"/>
      <c r="B428" s="116"/>
      <c r="C428" s="116"/>
      <c r="D428" s="42" t="str">
        <f t="shared" si="150"/>
        <v/>
      </c>
      <c r="E428" s="43"/>
      <c r="F428" s="83"/>
      <c r="G428" s="118"/>
      <c r="H428" s="34" t="str">
        <f t="shared" si="151"/>
        <v/>
      </c>
      <c r="I428" s="88" t="str">
        <f t="shared" si="152"/>
        <v/>
      </c>
      <c r="J428" s="44" t="str">
        <f t="shared" si="153"/>
        <v/>
      </c>
      <c r="K428" s="118"/>
      <c r="L428" s="34" t="str">
        <f t="shared" si="154"/>
        <v/>
      </c>
      <c r="M428" s="118"/>
      <c r="N428" s="121"/>
      <c r="O428" s="122" t="str">
        <f t="shared" si="163"/>
        <v/>
      </c>
      <c r="P428" s="35" t="str">
        <f t="shared" si="164"/>
        <v/>
      </c>
      <c r="Q428" s="124"/>
      <c r="R428" s="36" t="str">
        <f t="shared" si="165"/>
        <v/>
      </c>
      <c r="S428" s="37" t="str">
        <f t="shared" si="155"/>
        <v/>
      </c>
      <c r="T428" s="38" t="str">
        <f t="shared" si="156"/>
        <v/>
      </c>
      <c r="U428" s="39" t="str">
        <f t="shared" si="157"/>
        <v/>
      </c>
      <c r="V428" s="40" t="str">
        <f t="shared" si="158"/>
        <v/>
      </c>
      <c r="W428" s="39" t="str">
        <f t="shared" si="159"/>
        <v/>
      </c>
      <c r="X428" s="34" t="str">
        <f t="shared" si="160"/>
        <v/>
      </c>
      <c r="Y428" s="41" t="str">
        <f t="shared" si="166"/>
        <v/>
      </c>
      <c r="Z428" s="98" t="str">
        <f t="shared" si="161"/>
        <v/>
      </c>
      <c r="AA428" s="81" t="str">
        <f t="shared" si="167"/>
        <v/>
      </c>
      <c r="AC428" s="139"/>
      <c r="AD428" s="110" t="str">
        <f t="shared" si="168"/>
        <v/>
      </c>
      <c r="AE428" s="111" t="str">
        <f t="shared" si="169"/>
        <v/>
      </c>
      <c r="AF428" s="111" t="str">
        <f t="shared" si="162"/>
        <v/>
      </c>
      <c r="AG428" s="111" t="str">
        <f t="shared" si="170"/>
        <v/>
      </c>
      <c r="AH428" s="111" t="str">
        <f t="shared" si="171"/>
        <v/>
      </c>
      <c r="AI428" s="112" t="str">
        <f t="shared" si="172"/>
        <v/>
      </c>
      <c r="AJ428" t="str">
        <f t="shared" si="173"/>
        <v/>
      </c>
      <c r="AK428" t="str">
        <f t="shared" si="174"/>
        <v/>
      </c>
    </row>
    <row r="429" spans="1:37" ht="15" customHeight="1" x14ac:dyDescent="0.25">
      <c r="A429" s="114"/>
      <c r="B429" s="116"/>
      <c r="C429" s="116"/>
      <c r="D429" s="42" t="str">
        <f t="shared" si="150"/>
        <v/>
      </c>
      <c r="E429" s="43"/>
      <c r="F429" s="83"/>
      <c r="G429" s="118"/>
      <c r="H429" s="34" t="str">
        <f t="shared" si="151"/>
        <v/>
      </c>
      <c r="I429" s="88" t="str">
        <f t="shared" si="152"/>
        <v/>
      </c>
      <c r="J429" s="44" t="str">
        <f t="shared" si="153"/>
        <v/>
      </c>
      <c r="K429" s="118"/>
      <c r="L429" s="34" t="str">
        <f t="shared" si="154"/>
        <v/>
      </c>
      <c r="M429" s="118"/>
      <c r="N429" s="121"/>
      <c r="O429" s="122" t="str">
        <f t="shared" si="163"/>
        <v/>
      </c>
      <c r="P429" s="35" t="str">
        <f t="shared" si="164"/>
        <v/>
      </c>
      <c r="Q429" s="124"/>
      <c r="R429" s="36" t="str">
        <f t="shared" si="165"/>
        <v/>
      </c>
      <c r="S429" s="37" t="str">
        <f t="shared" si="155"/>
        <v/>
      </c>
      <c r="T429" s="38" t="str">
        <f t="shared" si="156"/>
        <v/>
      </c>
      <c r="U429" s="39" t="str">
        <f t="shared" si="157"/>
        <v/>
      </c>
      <c r="V429" s="40" t="str">
        <f t="shared" si="158"/>
        <v/>
      </c>
      <c r="W429" s="39" t="str">
        <f t="shared" si="159"/>
        <v/>
      </c>
      <c r="X429" s="34" t="str">
        <f t="shared" si="160"/>
        <v/>
      </c>
      <c r="Y429" s="41" t="str">
        <f t="shared" si="166"/>
        <v/>
      </c>
      <c r="Z429" s="98" t="str">
        <f t="shared" si="161"/>
        <v/>
      </c>
      <c r="AA429" s="81" t="str">
        <f t="shared" si="167"/>
        <v/>
      </c>
      <c r="AC429" s="139"/>
      <c r="AD429" s="110" t="str">
        <f t="shared" si="168"/>
        <v/>
      </c>
      <c r="AE429" s="111" t="str">
        <f t="shared" si="169"/>
        <v/>
      </c>
      <c r="AF429" s="111" t="str">
        <f t="shared" si="162"/>
        <v/>
      </c>
      <c r="AG429" s="111" t="str">
        <f t="shared" si="170"/>
        <v/>
      </c>
      <c r="AH429" s="111" t="str">
        <f t="shared" si="171"/>
        <v/>
      </c>
      <c r="AI429" s="112" t="str">
        <f t="shared" si="172"/>
        <v/>
      </c>
      <c r="AJ429" t="str">
        <f t="shared" si="173"/>
        <v/>
      </c>
      <c r="AK429" t="str">
        <f t="shared" si="174"/>
        <v/>
      </c>
    </row>
    <row r="430" spans="1:37" ht="15" customHeight="1" x14ac:dyDescent="0.25">
      <c r="A430" s="114"/>
      <c r="B430" s="116"/>
      <c r="C430" s="116"/>
      <c r="D430" s="42" t="str">
        <f t="shared" si="150"/>
        <v/>
      </c>
      <c r="E430" s="43"/>
      <c r="F430" s="83"/>
      <c r="G430" s="118"/>
      <c r="H430" s="34" t="str">
        <f t="shared" si="151"/>
        <v/>
      </c>
      <c r="I430" s="88" t="str">
        <f t="shared" si="152"/>
        <v/>
      </c>
      <c r="J430" s="44" t="str">
        <f t="shared" si="153"/>
        <v/>
      </c>
      <c r="K430" s="118"/>
      <c r="L430" s="34" t="str">
        <f t="shared" si="154"/>
        <v/>
      </c>
      <c r="M430" s="118"/>
      <c r="N430" s="121"/>
      <c r="O430" s="122" t="str">
        <f t="shared" si="163"/>
        <v/>
      </c>
      <c r="P430" s="35" t="str">
        <f t="shared" si="164"/>
        <v/>
      </c>
      <c r="Q430" s="124"/>
      <c r="R430" s="36" t="str">
        <f t="shared" si="165"/>
        <v/>
      </c>
      <c r="S430" s="37" t="str">
        <f t="shared" si="155"/>
        <v/>
      </c>
      <c r="T430" s="38" t="str">
        <f t="shared" si="156"/>
        <v/>
      </c>
      <c r="U430" s="39" t="str">
        <f t="shared" si="157"/>
        <v/>
      </c>
      <c r="V430" s="40" t="str">
        <f t="shared" si="158"/>
        <v/>
      </c>
      <c r="W430" s="39" t="str">
        <f t="shared" si="159"/>
        <v/>
      </c>
      <c r="X430" s="34" t="str">
        <f t="shared" si="160"/>
        <v/>
      </c>
      <c r="Y430" s="41" t="str">
        <f t="shared" si="166"/>
        <v/>
      </c>
      <c r="Z430" s="98" t="str">
        <f t="shared" si="161"/>
        <v/>
      </c>
      <c r="AA430" s="81" t="str">
        <f t="shared" si="167"/>
        <v/>
      </c>
      <c r="AC430" s="139"/>
      <c r="AD430" s="110" t="str">
        <f t="shared" si="168"/>
        <v/>
      </c>
      <c r="AE430" s="111" t="str">
        <f t="shared" si="169"/>
        <v/>
      </c>
      <c r="AF430" s="111" t="str">
        <f t="shared" si="162"/>
        <v/>
      </c>
      <c r="AG430" s="111" t="str">
        <f t="shared" si="170"/>
        <v/>
      </c>
      <c r="AH430" s="111" t="str">
        <f t="shared" si="171"/>
        <v/>
      </c>
      <c r="AI430" s="112" t="str">
        <f t="shared" si="172"/>
        <v/>
      </c>
      <c r="AJ430" t="str">
        <f t="shared" si="173"/>
        <v/>
      </c>
      <c r="AK430" t="str">
        <f t="shared" si="174"/>
        <v/>
      </c>
    </row>
    <row r="431" spans="1:37" ht="15" customHeight="1" x14ac:dyDescent="0.25">
      <c r="A431" s="114"/>
      <c r="B431" s="116"/>
      <c r="C431" s="116"/>
      <c r="D431" s="42" t="str">
        <f t="shared" si="150"/>
        <v/>
      </c>
      <c r="E431" s="43"/>
      <c r="F431" s="83"/>
      <c r="G431" s="118"/>
      <c r="H431" s="34" t="str">
        <f t="shared" si="151"/>
        <v/>
      </c>
      <c r="I431" s="88" t="str">
        <f t="shared" si="152"/>
        <v/>
      </c>
      <c r="J431" s="44" t="str">
        <f t="shared" si="153"/>
        <v/>
      </c>
      <c r="K431" s="118"/>
      <c r="L431" s="34" t="str">
        <f t="shared" si="154"/>
        <v/>
      </c>
      <c r="M431" s="118"/>
      <c r="N431" s="121"/>
      <c r="O431" s="122" t="str">
        <f t="shared" si="163"/>
        <v/>
      </c>
      <c r="P431" s="35" t="str">
        <f t="shared" si="164"/>
        <v/>
      </c>
      <c r="Q431" s="124"/>
      <c r="R431" s="36" t="str">
        <f t="shared" si="165"/>
        <v/>
      </c>
      <c r="S431" s="37" t="str">
        <f t="shared" si="155"/>
        <v/>
      </c>
      <c r="T431" s="38" t="str">
        <f t="shared" si="156"/>
        <v/>
      </c>
      <c r="U431" s="39" t="str">
        <f t="shared" si="157"/>
        <v/>
      </c>
      <c r="V431" s="40" t="str">
        <f t="shared" si="158"/>
        <v/>
      </c>
      <c r="W431" s="39" t="str">
        <f t="shared" si="159"/>
        <v/>
      </c>
      <c r="X431" s="34" t="str">
        <f t="shared" si="160"/>
        <v/>
      </c>
      <c r="Y431" s="41" t="str">
        <f t="shared" si="166"/>
        <v/>
      </c>
      <c r="Z431" s="98" t="str">
        <f t="shared" si="161"/>
        <v/>
      </c>
      <c r="AA431" s="81" t="str">
        <f t="shared" si="167"/>
        <v/>
      </c>
      <c r="AC431" s="139"/>
      <c r="AD431" s="110" t="str">
        <f t="shared" si="168"/>
        <v/>
      </c>
      <c r="AE431" s="111" t="str">
        <f t="shared" si="169"/>
        <v/>
      </c>
      <c r="AF431" s="111" t="str">
        <f t="shared" si="162"/>
        <v/>
      </c>
      <c r="AG431" s="111" t="str">
        <f t="shared" si="170"/>
        <v/>
      </c>
      <c r="AH431" s="111" t="str">
        <f t="shared" si="171"/>
        <v/>
      </c>
      <c r="AI431" s="112" t="str">
        <f t="shared" si="172"/>
        <v/>
      </c>
      <c r="AJ431" t="str">
        <f t="shared" si="173"/>
        <v/>
      </c>
      <c r="AK431" t="str">
        <f t="shared" si="174"/>
        <v/>
      </c>
    </row>
    <row r="432" spans="1:37" ht="15" customHeight="1" x14ac:dyDescent="0.25">
      <c r="A432" s="114"/>
      <c r="B432" s="116"/>
      <c r="C432" s="116"/>
      <c r="D432" s="42" t="str">
        <f t="shared" si="150"/>
        <v/>
      </c>
      <c r="E432" s="43"/>
      <c r="F432" s="83"/>
      <c r="G432" s="118"/>
      <c r="H432" s="34" t="str">
        <f t="shared" si="151"/>
        <v/>
      </c>
      <c r="I432" s="88" t="str">
        <f t="shared" si="152"/>
        <v/>
      </c>
      <c r="J432" s="44" t="str">
        <f t="shared" si="153"/>
        <v/>
      </c>
      <c r="K432" s="118"/>
      <c r="L432" s="34" t="str">
        <f t="shared" si="154"/>
        <v/>
      </c>
      <c r="M432" s="118"/>
      <c r="N432" s="121"/>
      <c r="O432" s="122" t="str">
        <f t="shared" si="163"/>
        <v/>
      </c>
      <c r="P432" s="35" t="str">
        <f t="shared" si="164"/>
        <v/>
      </c>
      <c r="Q432" s="124"/>
      <c r="R432" s="36" t="str">
        <f t="shared" si="165"/>
        <v/>
      </c>
      <c r="S432" s="37" t="str">
        <f t="shared" si="155"/>
        <v/>
      </c>
      <c r="T432" s="38" t="str">
        <f t="shared" si="156"/>
        <v/>
      </c>
      <c r="U432" s="39" t="str">
        <f t="shared" si="157"/>
        <v/>
      </c>
      <c r="V432" s="40" t="str">
        <f t="shared" si="158"/>
        <v/>
      </c>
      <c r="W432" s="39" t="str">
        <f t="shared" si="159"/>
        <v/>
      </c>
      <c r="X432" s="34" t="str">
        <f t="shared" si="160"/>
        <v/>
      </c>
      <c r="Y432" s="41" t="str">
        <f t="shared" si="166"/>
        <v/>
      </c>
      <c r="Z432" s="98" t="str">
        <f t="shared" si="161"/>
        <v/>
      </c>
      <c r="AA432" s="81" t="str">
        <f t="shared" si="167"/>
        <v/>
      </c>
      <c r="AC432" s="139"/>
      <c r="AD432" s="110" t="str">
        <f t="shared" si="168"/>
        <v/>
      </c>
      <c r="AE432" s="111" t="str">
        <f t="shared" si="169"/>
        <v/>
      </c>
      <c r="AF432" s="111" t="str">
        <f t="shared" si="162"/>
        <v/>
      </c>
      <c r="AG432" s="111" t="str">
        <f t="shared" si="170"/>
        <v/>
      </c>
      <c r="AH432" s="111" t="str">
        <f t="shared" si="171"/>
        <v/>
      </c>
      <c r="AI432" s="112" t="str">
        <f t="shared" si="172"/>
        <v/>
      </c>
      <c r="AJ432" t="str">
        <f t="shared" si="173"/>
        <v/>
      </c>
      <c r="AK432" t="str">
        <f t="shared" si="174"/>
        <v/>
      </c>
    </row>
    <row r="433" spans="1:37" ht="15" customHeight="1" x14ac:dyDescent="0.25">
      <c r="A433" s="114"/>
      <c r="B433" s="116"/>
      <c r="C433" s="116"/>
      <c r="D433" s="42" t="str">
        <f t="shared" si="150"/>
        <v/>
      </c>
      <c r="E433" s="43"/>
      <c r="F433" s="83"/>
      <c r="G433" s="118"/>
      <c r="H433" s="34" t="str">
        <f t="shared" si="151"/>
        <v/>
      </c>
      <c r="I433" s="88" t="str">
        <f t="shared" si="152"/>
        <v/>
      </c>
      <c r="J433" s="44" t="str">
        <f t="shared" si="153"/>
        <v/>
      </c>
      <c r="K433" s="118"/>
      <c r="L433" s="34" t="str">
        <f t="shared" si="154"/>
        <v/>
      </c>
      <c r="M433" s="118"/>
      <c r="N433" s="121"/>
      <c r="O433" s="122" t="str">
        <f t="shared" si="163"/>
        <v/>
      </c>
      <c r="P433" s="35" t="str">
        <f t="shared" si="164"/>
        <v/>
      </c>
      <c r="Q433" s="124"/>
      <c r="R433" s="36" t="str">
        <f t="shared" si="165"/>
        <v/>
      </c>
      <c r="S433" s="37" t="str">
        <f t="shared" si="155"/>
        <v/>
      </c>
      <c r="T433" s="38" t="str">
        <f t="shared" si="156"/>
        <v/>
      </c>
      <c r="U433" s="39" t="str">
        <f t="shared" si="157"/>
        <v/>
      </c>
      <c r="V433" s="40" t="str">
        <f t="shared" si="158"/>
        <v/>
      </c>
      <c r="W433" s="39" t="str">
        <f t="shared" si="159"/>
        <v/>
      </c>
      <c r="X433" s="34" t="str">
        <f t="shared" si="160"/>
        <v/>
      </c>
      <c r="Y433" s="41" t="str">
        <f t="shared" si="166"/>
        <v/>
      </c>
      <c r="Z433" s="98" t="str">
        <f t="shared" si="161"/>
        <v/>
      </c>
      <c r="AA433" s="81" t="str">
        <f t="shared" si="167"/>
        <v/>
      </c>
      <c r="AC433" s="139"/>
      <c r="AD433" s="110" t="str">
        <f t="shared" si="168"/>
        <v/>
      </c>
      <c r="AE433" s="111" t="str">
        <f t="shared" si="169"/>
        <v/>
      </c>
      <c r="AF433" s="111" t="str">
        <f t="shared" si="162"/>
        <v/>
      </c>
      <c r="AG433" s="111" t="str">
        <f t="shared" si="170"/>
        <v/>
      </c>
      <c r="AH433" s="111" t="str">
        <f t="shared" si="171"/>
        <v/>
      </c>
      <c r="AI433" s="112" t="str">
        <f t="shared" si="172"/>
        <v/>
      </c>
      <c r="AJ433" t="str">
        <f t="shared" si="173"/>
        <v/>
      </c>
      <c r="AK433" t="str">
        <f t="shared" si="174"/>
        <v/>
      </c>
    </row>
    <row r="434" spans="1:37" ht="15" customHeight="1" x14ac:dyDescent="0.25">
      <c r="A434" s="114"/>
      <c r="B434" s="116"/>
      <c r="C434" s="116"/>
      <c r="D434" s="42" t="str">
        <f t="shared" si="150"/>
        <v/>
      </c>
      <c r="E434" s="43"/>
      <c r="F434" s="83"/>
      <c r="G434" s="118"/>
      <c r="H434" s="34" t="str">
        <f t="shared" si="151"/>
        <v/>
      </c>
      <c r="I434" s="88" t="str">
        <f t="shared" si="152"/>
        <v/>
      </c>
      <c r="J434" s="44" t="str">
        <f t="shared" si="153"/>
        <v/>
      </c>
      <c r="K434" s="118"/>
      <c r="L434" s="34" t="str">
        <f t="shared" si="154"/>
        <v/>
      </c>
      <c r="M434" s="118"/>
      <c r="N434" s="121"/>
      <c r="O434" s="122" t="str">
        <f t="shared" si="163"/>
        <v/>
      </c>
      <c r="P434" s="35" t="str">
        <f t="shared" si="164"/>
        <v/>
      </c>
      <c r="Q434" s="124"/>
      <c r="R434" s="36" t="str">
        <f t="shared" si="165"/>
        <v/>
      </c>
      <c r="S434" s="37" t="str">
        <f t="shared" si="155"/>
        <v/>
      </c>
      <c r="T434" s="38" t="str">
        <f t="shared" si="156"/>
        <v/>
      </c>
      <c r="U434" s="39" t="str">
        <f t="shared" si="157"/>
        <v/>
      </c>
      <c r="V434" s="40" t="str">
        <f t="shared" si="158"/>
        <v/>
      </c>
      <c r="W434" s="39" t="str">
        <f t="shared" si="159"/>
        <v/>
      </c>
      <c r="X434" s="34" t="str">
        <f t="shared" si="160"/>
        <v/>
      </c>
      <c r="Y434" s="41" t="str">
        <f t="shared" si="166"/>
        <v/>
      </c>
      <c r="Z434" s="98" t="str">
        <f t="shared" si="161"/>
        <v/>
      </c>
      <c r="AA434" s="81" t="str">
        <f t="shared" si="167"/>
        <v/>
      </c>
      <c r="AC434" s="139"/>
      <c r="AD434" s="110" t="str">
        <f t="shared" si="168"/>
        <v/>
      </c>
      <c r="AE434" s="111" t="str">
        <f t="shared" si="169"/>
        <v/>
      </c>
      <c r="AF434" s="111" t="str">
        <f t="shared" si="162"/>
        <v/>
      </c>
      <c r="AG434" s="111" t="str">
        <f t="shared" si="170"/>
        <v/>
      </c>
      <c r="AH434" s="111" t="str">
        <f t="shared" si="171"/>
        <v/>
      </c>
      <c r="AI434" s="112" t="str">
        <f t="shared" si="172"/>
        <v/>
      </c>
      <c r="AJ434" t="str">
        <f t="shared" si="173"/>
        <v/>
      </c>
      <c r="AK434" t="str">
        <f t="shared" si="174"/>
        <v/>
      </c>
    </row>
    <row r="435" spans="1:37" ht="15" customHeight="1" x14ac:dyDescent="0.25">
      <c r="A435" s="114"/>
      <c r="B435" s="116"/>
      <c r="C435" s="116"/>
      <c r="D435" s="42" t="str">
        <f t="shared" si="150"/>
        <v/>
      </c>
      <c r="E435" s="43"/>
      <c r="F435" s="83"/>
      <c r="G435" s="118"/>
      <c r="H435" s="34" t="str">
        <f t="shared" si="151"/>
        <v/>
      </c>
      <c r="I435" s="88" t="str">
        <f t="shared" si="152"/>
        <v/>
      </c>
      <c r="J435" s="44" t="str">
        <f t="shared" si="153"/>
        <v/>
      </c>
      <c r="K435" s="118"/>
      <c r="L435" s="34" t="str">
        <f t="shared" si="154"/>
        <v/>
      </c>
      <c r="M435" s="118"/>
      <c r="N435" s="121"/>
      <c r="O435" s="122" t="str">
        <f t="shared" si="163"/>
        <v/>
      </c>
      <c r="P435" s="35" t="str">
        <f t="shared" si="164"/>
        <v/>
      </c>
      <c r="Q435" s="124"/>
      <c r="R435" s="36" t="str">
        <f t="shared" si="165"/>
        <v/>
      </c>
      <c r="S435" s="37" t="str">
        <f t="shared" si="155"/>
        <v/>
      </c>
      <c r="T435" s="38" t="str">
        <f t="shared" si="156"/>
        <v/>
      </c>
      <c r="U435" s="39" t="str">
        <f t="shared" si="157"/>
        <v/>
      </c>
      <c r="V435" s="40" t="str">
        <f t="shared" si="158"/>
        <v/>
      </c>
      <c r="W435" s="39" t="str">
        <f t="shared" si="159"/>
        <v/>
      </c>
      <c r="X435" s="34" t="str">
        <f t="shared" si="160"/>
        <v/>
      </c>
      <c r="Y435" s="41" t="str">
        <f t="shared" si="166"/>
        <v/>
      </c>
      <c r="Z435" s="98" t="str">
        <f t="shared" si="161"/>
        <v/>
      </c>
      <c r="AA435" s="81" t="str">
        <f t="shared" si="167"/>
        <v/>
      </c>
      <c r="AC435" s="139"/>
      <c r="AD435" s="110" t="str">
        <f t="shared" si="168"/>
        <v/>
      </c>
      <c r="AE435" s="111" t="str">
        <f t="shared" si="169"/>
        <v/>
      </c>
      <c r="AF435" s="111" t="str">
        <f t="shared" si="162"/>
        <v/>
      </c>
      <c r="AG435" s="111" t="str">
        <f t="shared" si="170"/>
        <v/>
      </c>
      <c r="AH435" s="111" t="str">
        <f t="shared" si="171"/>
        <v/>
      </c>
      <c r="AI435" s="112" t="str">
        <f t="shared" si="172"/>
        <v/>
      </c>
      <c r="AJ435" t="str">
        <f t="shared" si="173"/>
        <v/>
      </c>
      <c r="AK435" t="str">
        <f t="shared" si="174"/>
        <v/>
      </c>
    </row>
    <row r="436" spans="1:37" ht="15" customHeight="1" x14ac:dyDescent="0.25">
      <c r="A436" s="114"/>
      <c r="B436" s="116"/>
      <c r="C436" s="116"/>
      <c r="D436" s="42" t="str">
        <f t="shared" si="150"/>
        <v/>
      </c>
      <c r="E436" s="43"/>
      <c r="F436" s="83"/>
      <c r="G436" s="118"/>
      <c r="H436" s="34" t="str">
        <f t="shared" si="151"/>
        <v/>
      </c>
      <c r="I436" s="88" t="str">
        <f t="shared" si="152"/>
        <v/>
      </c>
      <c r="J436" s="44" t="str">
        <f t="shared" si="153"/>
        <v/>
      </c>
      <c r="K436" s="118"/>
      <c r="L436" s="34" t="str">
        <f t="shared" si="154"/>
        <v/>
      </c>
      <c r="M436" s="118"/>
      <c r="N436" s="121"/>
      <c r="O436" s="122" t="str">
        <f t="shared" si="163"/>
        <v/>
      </c>
      <c r="P436" s="35" t="str">
        <f t="shared" si="164"/>
        <v/>
      </c>
      <c r="Q436" s="124"/>
      <c r="R436" s="36" t="str">
        <f t="shared" si="165"/>
        <v/>
      </c>
      <c r="S436" s="37" t="str">
        <f t="shared" si="155"/>
        <v/>
      </c>
      <c r="T436" s="38" t="str">
        <f t="shared" si="156"/>
        <v/>
      </c>
      <c r="U436" s="39" t="str">
        <f t="shared" si="157"/>
        <v/>
      </c>
      <c r="V436" s="40" t="str">
        <f t="shared" si="158"/>
        <v/>
      </c>
      <c r="W436" s="39" t="str">
        <f t="shared" si="159"/>
        <v/>
      </c>
      <c r="X436" s="34" t="str">
        <f t="shared" si="160"/>
        <v/>
      </c>
      <c r="Y436" s="41" t="str">
        <f t="shared" si="166"/>
        <v/>
      </c>
      <c r="Z436" s="98" t="str">
        <f t="shared" si="161"/>
        <v/>
      </c>
      <c r="AA436" s="81" t="str">
        <f t="shared" si="167"/>
        <v/>
      </c>
      <c r="AC436" s="139"/>
      <c r="AD436" s="110" t="str">
        <f t="shared" si="168"/>
        <v/>
      </c>
      <c r="AE436" s="111" t="str">
        <f t="shared" si="169"/>
        <v/>
      </c>
      <c r="AF436" s="111" t="str">
        <f t="shared" si="162"/>
        <v/>
      </c>
      <c r="AG436" s="111" t="str">
        <f t="shared" si="170"/>
        <v/>
      </c>
      <c r="AH436" s="111" t="str">
        <f t="shared" si="171"/>
        <v/>
      </c>
      <c r="AI436" s="112" t="str">
        <f t="shared" si="172"/>
        <v/>
      </c>
      <c r="AJ436" t="str">
        <f t="shared" si="173"/>
        <v/>
      </c>
      <c r="AK436" t="str">
        <f t="shared" si="174"/>
        <v/>
      </c>
    </row>
    <row r="437" spans="1:37" ht="15" customHeight="1" x14ac:dyDescent="0.25">
      <c r="A437" s="114"/>
      <c r="B437" s="116"/>
      <c r="C437" s="116"/>
      <c r="D437" s="42" t="str">
        <f t="shared" si="150"/>
        <v/>
      </c>
      <c r="E437" s="43"/>
      <c r="F437" s="83"/>
      <c r="G437" s="118"/>
      <c r="H437" s="34" t="str">
        <f t="shared" si="151"/>
        <v/>
      </c>
      <c r="I437" s="88" t="str">
        <f t="shared" si="152"/>
        <v/>
      </c>
      <c r="J437" s="44" t="str">
        <f t="shared" si="153"/>
        <v/>
      </c>
      <c r="K437" s="118"/>
      <c r="L437" s="34" t="str">
        <f t="shared" si="154"/>
        <v/>
      </c>
      <c r="M437" s="118"/>
      <c r="N437" s="121"/>
      <c r="O437" s="122" t="str">
        <f t="shared" si="163"/>
        <v/>
      </c>
      <c r="P437" s="35" t="str">
        <f t="shared" si="164"/>
        <v/>
      </c>
      <c r="Q437" s="124"/>
      <c r="R437" s="36" t="str">
        <f t="shared" si="165"/>
        <v/>
      </c>
      <c r="S437" s="37" t="str">
        <f t="shared" si="155"/>
        <v/>
      </c>
      <c r="T437" s="38" t="str">
        <f t="shared" si="156"/>
        <v/>
      </c>
      <c r="U437" s="39" t="str">
        <f t="shared" si="157"/>
        <v/>
      </c>
      <c r="V437" s="40" t="str">
        <f t="shared" si="158"/>
        <v/>
      </c>
      <c r="W437" s="39" t="str">
        <f t="shared" si="159"/>
        <v/>
      </c>
      <c r="X437" s="34" t="str">
        <f t="shared" si="160"/>
        <v/>
      </c>
      <c r="Y437" s="41" t="str">
        <f t="shared" si="166"/>
        <v/>
      </c>
      <c r="Z437" s="98" t="str">
        <f t="shared" si="161"/>
        <v/>
      </c>
      <c r="AA437" s="81" t="str">
        <f t="shared" si="167"/>
        <v/>
      </c>
      <c r="AC437" s="139"/>
      <c r="AD437" s="110" t="str">
        <f t="shared" si="168"/>
        <v/>
      </c>
      <c r="AE437" s="111" t="str">
        <f t="shared" si="169"/>
        <v/>
      </c>
      <c r="AF437" s="111" t="str">
        <f t="shared" si="162"/>
        <v/>
      </c>
      <c r="AG437" s="111" t="str">
        <f t="shared" si="170"/>
        <v/>
      </c>
      <c r="AH437" s="111" t="str">
        <f t="shared" si="171"/>
        <v/>
      </c>
      <c r="AI437" s="112" t="str">
        <f t="shared" si="172"/>
        <v/>
      </c>
      <c r="AJ437" t="str">
        <f t="shared" si="173"/>
        <v/>
      </c>
      <c r="AK437" t="str">
        <f t="shared" si="174"/>
        <v/>
      </c>
    </row>
    <row r="438" spans="1:37" ht="15" customHeight="1" x14ac:dyDescent="0.25">
      <c r="A438" s="114"/>
      <c r="B438" s="116"/>
      <c r="C438" s="116"/>
      <c r="D438" s="42" t="str">
        <f t="shared" si="150"/>
        <v/>
      </c>
      <c r="E438" s="43"/>
      <c r="F438" s="83"/>
      <c r="G438" s="118"/>
      <c r="H438" s="34" t="str">
        <f t="shared" si="151"/>
        <v/>
      </c>
      <c r="I438" s="88" t="str">
        <f t="shared" si="152"/>
        <v/>
      </c>
      <c r="J438" s="44" t="str">
        <f t="shared" si="153"/>
        <v/>
      </c>
      <c r="K438" s="118"/>
      <c r="L438" s="34" t="str">
        <f t="shared" si="154"/>
        <v/>
      </c>
      <c r="M438" s="118"/>
      <c r="N438" s="121"/>
      <c r="O438" s="122" t="str">
        <f t="shared" si="163"/>
        <v/>
      </c>
      <c r="P438" s="35" t="str">
        <f t="shared" si="164"/>
        <v/>
      </c>
      <c r="Q438" s="124"/>
      <c r="R438" s="36" t="str">
        <f t="shared" si="165"/>
        <v/>
      </c>
      <c r="S438" s="37" t="str">
        <f t="shared" si="155"/>
        <v/>
      </c>
      <c r="T438" s="38" t="str">
        <f t="shared" si="156"/>
        <v/>
      </c>
      <c r="U438" s="39" t="str">
        <f t="shared" si="157"/>
        <v/>
      </c>
      <c r="V438" s="40" t="str">
        <f t="shared" si="158"/>
        <v/>
      </c>
      <c r="W438" s="39" t="str">
        <f t="shared" si="159"/>
        <v/>
      </c>
      <c r="X438" s="34" t="str">
        <f t="shared" si="160"/>
        <v/>
      </c>
      <c r="Y438" s="41" t="str">
        <f t="shared" si="166"/>
        <v/>
      </c>
      <c r="Z438" s="98" t="str">
        <f t="shared" si="161"/>
        <v/>
      </c>
      <c r="AA438" s="81" t="str">
        <f t="shared" si="167"/>
        <v/>
      </c>
      <c r="AC438" s="139"/>
      <c r="AD438" s="110" t="str">
        <f t="shared" si="168"/>
        <v/>
      </c>
      <c r="AE438" s="111" t="str">
        <f t="shared" si="169"/>
        <v/>
      </c>
      <c r="AF438" s="111" t="str">
        <f t="shared" si="162"/>
        <v/>
      </c>
      <c r="AG438" s="111" t="str">
        <f t="shared" si="170"/>
        <v/>
      </c>
      <c r="AH438" s="111" t="str">
        <f t="shared" si="171"/>
        <v/>
      </c>
      <c r="AI438" s="112" t="str">
        <f t="shared" si="172"/>
        <v/>
      </c>
      <c r="AJ438" t="str">
        <f t="shared" si="173"/>
        <v/>
      </c>
      <c r="AK438" t="str">
        <f t="shared" si="174"/>
        <v/>
      </c>
    </row>
    <row r="439" spans="1:37" ht="15" customHeight="1" x14ac:dyDescent="0.25">
      <c r="A439" s="114"/>
      <c r="B439" s="116"/>
      <c r="C439" s="116"/>
      <c r="D439" s="42" t="str">
        <f t="shared" si="150"/>
        <v/>
      </c>
      <c r="E439" s="43"/>
      <c r="F439" s="83"/>
      <c r="G439" s="118"/>
      <c r="H439" s="34" t="str">
        <f t="shared" si="151"/>
        <v/>
      </c>
      <c r="I439" s="88" t="str">
        <f t="shared" si="152"/>
        <v/>
      </c>
      <c r="J439" s="44" t="str">
        <f t="shared" si="153"/>
        <v/>
      </c>
      <c r="K439" s="118"/>
      <c r="L439" s="34" t="str">
        <f t="shared" si="154"/>
        <v/>
      </c>
      <c r="M439" s="118"/>
      <c r="N439" s="121"/>
      <c r="O439" s="122" t="str">
        <f t="shared" si="163"/>
        <v/>
      </c>
      <c r="P439" s="35" t="str">
        <f t="shared" si="164"/>
        <v/>
      </c>
      <c r="Q439" s="124"/>
      <c r="R439" s="36" t="str">
        <f t="shared" si="165"/>
        <v/>
      </c>
      <c r="S439" s="37" t="str">
        <f t="shared" si="155"/>
        <v/>
      </c>
      <c r="T439" s="38" t="str">
        <f t="shared" si="156"/>
        <v/>
      </c>
      <c r="U439" s="39" t="str">
        <f t="shared" si="157"/>
        <v/>
      </c>
      <c r="V439" s="40" t="str">
        <f t="shared" si="158"/>
        <v/>
      </c>
      <c r="W439" s="39" t="str">
        <f t="shared" si="159"/>
        <v/>
      </c>
      <c r="X439" s="34" t="str">
        <f t="shared" si="160"/>
        <v/>
      </c>
      <c r="Y439" s="41" t="str">
        <f t="shared" si="166"/>
        <v/>
      </c>
      <c r="Z439" s="98" t="str">
        <f t="shared" si="161"/>
        <v/>
      </c>
      <c r="AA439" s="81" t="str">
        <f t="shared" si="167"/>
        <v/>
      </c>
      <c r="AC439" s="139"/>
      <c r="AD439" s="110" t="str">
        <f t="shared" si="168"/>
        <v/>
      </c>
      <c r="AE439" s="111" t="str">
        <f t="shared" si="169"/>
        <v/>
      </c>
      <c r="AF439" s="111" t="str">
        <f t="shared" si="162"/>
        <v/>
      </c>
      <c r="AG439" s="111" t="str">
        <f t="shared" si="170"/>
        <v/>
      </c>
      <c r="AH439" s="111" t="str">
        <f t="shared" si="171"/>
        <v/>
      </c>
      <c r="AI439" s="112" t="str">
        <f t="shared" si="172"/>
        <v/>
      </c>
      <c r="AJ439" t="str">
        <f t="shared" si="173"/>
        <v/>
      </c>
      <c r="AK439" t="str">
        <f t="shared" si="174"/>
        <v/>
      </c>
    </row>
    <row r="440" spans="1:37" ht="15" customHeight="1" x14ac:dyDescent="0.25">
      <c r="A440" s="114"/>
      <c r="B440" s="116"/>
      <c r="C440" s="116"/>
      <c r="D440" s="42" t="str">
        <f t="shared" si="150"/>
        <v/>
      </c>
      <c r="E440" s="43"/>
      <c r="F440" s="83"/>
      <c r="G440" s="118"/>
      <c r="H440" s="34" t="str">
        <f t="shared" si="151"/>
        <v/>
      </c>
      <c r="I440" s="88" t="str">
        <f t="shared" si="152"/>
        <v/>
      </c>
      <c r="J440" s="44" t="str">
        <f t="shared" si="153"/>
        <v/>
      </c>
      <c r="K440" s="118"/>
      <c r="L440" s="34" t="str">
        <f t="shared" si="154"/>
        <v/>
      </c>
      <c r="M440" s="118"/>
      <c r="N440" s="121"/>
      <c r="O440" s="122" t="str">
        <f t="shared" si="163"/>
        <v/>
      </c>
      <c r="P440" s="35" t="str">
        <f t="shared" si="164"/>
        <v/>
      </c>
      <c r="Q440" s="124"/>
      <c r="R440" s="36" t="str">
        <f t="shared" si="165"/>
        <v/>
      </c>
      <c r="S440" s="37" t="str">
        <f t="shared" si="155"/>
        <v/>
      </c>
      <c r="T440" s="38" t="str">
        <f t="shared" si="156"/>
        <v/>
      </c>
      <c r="U440" s="39" t="str">
        <f t="shared" si="157"/>
        <v/>
      </c>
      <c r="V440" s="40" t="str">
        <f t="shared" si="158"/>
        <v/>
      </c>
      <c r="W440" s="39" t="str">
        <f t="shared" si="159"/>
        <v/>
      </c>
      <c r="X440" s="34" t="str">
        <f t="shared" si="160"/>
        <v/>
      </c>
      <c r="Y440" s="41" t="str">
        <f t="shared" si="166"/>
        <v/>
      </c>
      <c r="Z440" s="98" t="str">
        <f t="shared" si="161"/>
        <v/>
      </c>
      <c r="AA440" s="81" t="str">
        <f t="shared" si="167"/>
        <v/>
      </c>
      <c r="AC440" s="139"/>
      <c r="AD440" s="110" t="str">
        <f t="shared" si="168"/>
        <v/>
      </c>
      <c r="AE440" s="111" t="str">
        <f t="shared" si="169"/>
        <v/>
      </c>
      <c r="AF440" s="111" t="str">
        <f t="shared" si="162"/>
        <v/>
      </c>
      <c r="AG440" s="111" t="str">
        <f t="shared" si="170"/>
        <v/>
      </c>
      <c r="AH440" s="111" t="str">
        <f t="shared" si="171"/>
        <v/>
      </c>
      <c r="AI440" s="112" t="str">
        <f t="shared" si="172"/>
        <v/>
      </c>
      <c r="AJ440" t="str">
        <f t="shared" si="173"/>
        <v/>
      </c>
      <c r="AK440" t="str">
        <f t="shared" si="174"/>
        <v/>
      </c>
    </row>
    <row r="441" spans="1:37" ht="15" customHeight="1" x14ac:dyDescent="0.25">
      <c r="A441" s="114"/>
      <c r="B441" s="116"/>
      <c r="C441" s="116"/>
      <c r="D441" s="42" t="str">
        <f t="shared" si="150"/>
        <v/>
      </c>
      <c r="E441" s="43"/>
      <c r="F441" s="83"/>
      <c r="G441" s="118"/>
      <c r="H441" s="34" t="str">
        <f t="shared" si="151"/>
        <v/>
      </c>
      <c r="I441" s="88" t="str">
        <f t="shared" si="152"/>
        <v/>
      </c>
      <c r="J441" s="44" t="str">
        <f t="shared" si="153"/>
        <v/>
      </c>
      <c r="K441" s="118"/>
      <c r="L441" s="34" t="str">
        <f t="shared" si="154"/>
        <v/>
      </c>
      <c r="M441" s="118"/>
      <c r="N441" s="121"/>
      <c r="O441" s="122" t="str">
        <f t="shared" si="163"/>
        <v/>
      </c>
      <c r="P441" s="35" t="str">
        <f t="shared" si="164"/>
        <v/>
      </c>
      <c r="Q441" s="124"/>
      <c r="R441" s="36" t="str">
        <f t="shared" si="165"/>
        <v/>
      </c>
      <c r="S441" s="37" t="str">
        <f t="shared" si="155"/>
        <v/>
      </c>
      <c r="T441" s="38" t="str">
        <f t="shared" si="156"/>
        <v/>
      </c>
      <c r="U441" s="39" t="str">
        <f t="shared" si="157"/>
        <v/>
      </c>
      <c r="V441" s="40" t="str">
        <f t="shared" si="158"/>
        <v/>
      </c>
      <c r="W441" s="39" t="str">
        <f t="shared" si="159"/>
        <v/>
      </c>
      <c r="X441" s="34" t="str">
        <f t="shared" si="160"/>
        <v/>
      </c>
      <c r="Y441" s="41" t="str">
        <f t="shared" si="166"/>
        <v/>
      </c>
      <c r="Z441" s="98" t="str">
        <f t="shared" si="161"/>
        <v/>
      </c>
      <c r="AA441" s="81" t="str">
        <f t="shared" si="167"/>
        <v/>
      </c>
      <c r="AC441" s="139"/>
      <c r="AD441" s="110" t="str">
        <f t="shared" si="168"/>
        <v/>
      </c>
      <c r="AE441" s="111" t="str">
        <f t="shared" si="169"/>
        <v/>
      </c>
      <c r="AF441" s="111" t="str">
        <f t="shared" si="162"/>
        <v/>
      </c>
      <c r="AG441" s="111" t="str">
        <f t="shared" si="170"/>
        <v/>
      </c>
      <c r="AH441" s="111" t="str">
        <f t="shared" si="171"/>
        <v/>
      </c>
      <c r="AI441" s="112" t="str">
        <f t="shared" si="172"/>
        <v/>
      </c>
      <c r="AJ441" t="str">
        <f t="shared" si="173"/>
        <v/>
      </c>
      <c r="AK441" t="str">
        <f t="shared" si="174"/>
        <v/>
      </c>
    </row>
    <row r="442" spans="1:37" ht="15" customHeight="1" x14ac:dyDescent="0.25">
      <c r="A442" s="114"/>
      <c r="B442" s="116"/>
      <c r="C442" s="116"/>
      <c r="D442" s="42" t="str">
        <f t="shared" si="150"/>
        <v/>
      </c>
      <c r="E442" s="43"/>
      <c r="F442" s="83"/>
      <c r="G442" s="118"/>
      <c r="H442" s="34" t="str">
        <f t="shared" si="151"/>
        <v/>
      </c>
      <c r="I442" s="88" t="str">
        <f t="shared" si="152"/>
        <v/>
      </c>
      <c r="J442" s="44" t="str">
        <f t="shared" si="153"/>
        <v/>
      </c>
      <c r="K442" s="118"/>
      <c r="L442" s="34" t="str">
        <f t="shared" si="154"/>
        <v/>
      </c>
      <c r="M442" s="118"/>
      <c r="N442" s="121"/>
      <c r="O442" s="122" t="str">
        <f t="shared" si="163"/>
        <v/>
      </c>
      <c r="P442" s="35" t="str">
        <f t="shared" si="164"/>
        <v/>
      </c>
      <c r="Q442" s="124"/>
      <c r="R442" s="36" t="str">
        <f t="shared" si="165"/>
        <v/>
      </c>
      <c r="S442" s="37" t="str">
        <f t="shared" si="155"/>
        <v/>
      </c>
      <c r="T442" s="38" t="str">
        <f t="shared" si="156"/>
        <v/>
      </c>
      <c r="U442" s="39" t="str">
        <f t="shared" si="157"/>
        <v/>
      </c>
      <c r="V442" s="40" t="str">
        <f t="shared" si="158"/>
        <v/>
      </c>
      <c r="W442" s="39" t="str">
        <f t="shared" si="159"/>
        <v/>
      </c>
      <c r="X442" s="34" t="str">
        <f t="shared" si="160"/>
        <v/>
      </c>
      <c r="Y442" s="41" t="str">
        <f t="shared" si="166"/>
        <v/>
      </c>
      <c r="Z442" s="98" t="str">
        <f t="shared" si="161"/>
        <v/>
      </c>
      <c r="AA442" s="81" t="str">
        <f t="shared" si="167"/>
        <v/>
      </c>
      <c r="AC442" s="139"/>
      <c r="AD442" s="110" t="str">
        <f t="shared" si="168"/>
        <v/>
      </c>
      <c r="AE442" s="111" t="str">
        <f t="shared" si="169"/>
        <v/>
      </c>
      <c r="AF442" s="111" t="str">
        <f t="shared" si="162"/>
        <v/>
      </c>
      <c r="AG442" s="111" t="str">
        <f t="shared" si="170"/>
        <v/>
      </c>
      <c r="AH442" s="111" t="str">
        <f t="shared" si="171"/>
        <v/>
      </c>
      <c r="AI442" s="112" t="str">
        <f t="shared" si="172"/>
        <v/>
      </c>
      <c r="AJ442" t="str">
        <f t="shared" si="173"/>
        <v/>
      </c>
      <c r="AK442" t="str">
        <f t="shared" si="174"/>
        <v/>
      </c>
    </row>
    <row r="443" spans="1:37" ht="15" customHeight="1" x14ac:dyDescent="0.25">
      <c r="A443" s="114"/>
      <c r="B443" s="116"/>
      <c r="C443" s="116"/>
      <c r="D443" s="42" t="str">
        <f t="shared" si="150"/>
        <v/>
      </c>
      <c r="E443" s="43"/>
      <c r="F443" s="83"/>
      <c r="G443" s="118"/>
      <c r="H443" s="34" t="str">
        <f t="shared" si="151"/>
        <v/>
      </c>
      <c r="I443" s="88" t="str">
        <f t="shared" si="152"/>
        <v/>
      </c>
      <c r="J443" s="44" t="str">
        <f t="shared" si="153"/>
        <v/>
      </c>
      <c r="K443" s="118"/>
      <c r="L443" s="34" t="str">
        <f t="shared" si="154"/>
        <v/>
      </c>
      <c r="M443" s="118"/>
      <c r="N443" s="121"/>
      <c r="O443" s="122" t="str">
        <f t="shared" si="163"/>
        <v/>
      </c>
      <c r="P443" s="35" t="str">
        <f t="shared" si="164"/>
        <v/>
      </c>
      <c r="Q443" s="124"/>
      <c r="R443" s="36" t="str">
        <f t="shared" si="165"/>
        <v/>
      </c>
      <c r="S443" s="37" t="str">
        <f t="shared" si="155"/>
        <v/>
      </c>
      <c r="T443" s="38" t="str">
        <f t="shared" si="156"/>
        <v/>
      </c>
      <c r="U443" s="39" t="str">
        <f t="shared" si="157"/>
        <v/>
      </c>
      <c r="V443" s="40" t="str">
        <f t="shared" si="158"/>
        <v/>
      </c>
      <c r="W443" s="39" t="str">
        <f t="shared" si="159"/>
        <v/>
      </c>
      <c r="X443" s="34" t="str">
        <f t="shared" si="160"/>
        <v/>
      </c>
      <c r="Y443" s="41" t="str">
        <f t="shared" si="166"/>
        <v/>
      </c>
      <c r="Z443" s="98" t="str">
        <f t="shared" si="161"/>
        <v/>
      </c>
      <c r="AA443" s="81" t="str">
        <f t="shared" si="167"/>
        <v/>
      </c>
      <c r="AC443" s="139"/>
      <c r="AD443" s="110" t="str">
        <f t="shared" si="168"/>
        <v/>
      </c>
      <c r="AE443" s="111" t="str">
        <f t="shared" si="169"/>
        <v/>
      </c>
      <c r="AF443" s="111" t="str">
        <f t="shared" si="162"/>
        <v/>
      </c>
      <c r="AG443" s="111" t="str">
        <f t="shared" si="170"/>
        <v/>
      </c>
      <c r="AH443" s="111" t="str">
        <f t="shared" si="171"/>
        <v/>
      </c>
      <c r="AI443" s="112" t="str">
        <f t="shared" si="172"/>
        <v/>
      </c>
      <c r="AJ443" t="str">
        <f t="shared" si="173"/>
        <v/>
      </c>
      <c r="AK443" t="str">
        <f t="shared" si="174"/>
        <v/>
      </c>
    </row>
    <row r="444" spans="1:37" ht="15" customHeight="1" x14ac:dyDescent="0.25">
      <c r="A444" s="114"/>
      <c r="B444" s="116"/>
      <c r="C444" s="116"/>
      <c r="D444" s="42" t="str">
        <f t="shared" si="150"/>
        <v/>
      </c>
      <c r="E444" s="43"/>
      <c r="F444" s="83"/>
      <c r="G444" s="118"/>
      <c r="H444" s="34" t="str">
        <f t="shared" si="151"/>
        <v/>
      </c>
      <c r="I444" s="88" t="str">
        <f t="shared" si="152"/>
        <v/>
      </c>
      <c r="J444" s="44" t="str">
        <f t="shared" si="153"/>
        <v/>
      </c>
      <c r="K444" s="118"/>
      <c r="L444" s="34" t="str">
        <f t="shared" si="154"/>
        <v/>
      </c>
      <c r="M444" s="118"/>
      <c r="N444" s="121"/>
      <c r="O444" s="122" t="str">
        <f t="shared" si="163"/>
        <v/>
      </c>
      <c r="P444" s="35" t="str">
        <f t="shared" si="164"/>
        <v/>
      </c>
      <c r="Q444" s="124"/>
      <c r="R444" s="36" t="str">
        <f t="shared" si="165"/>
        <v/>
      </c>
      <c r="S444" s="37" t="str">
        <f t="shared" si="155"/>
        <v/>
      </c>
      <c r="T444" s="38" t="str">
        <f t="shared" si="156"/>
        <v/>
      </c>
      <c r="U444" s="39" t="str">
        <f t="shared" si="157"/>
        <v/>
      </c>
      <c r="V444" s="40" t="str">
        <f t="shared" si="158"/>
        <v/>
      </c>
      <c r="W444" s="39" t="str">
        <f t="shared" si="159"/>
        <v/>
      </c>
      <c r="X444" s="34" t="str">
        <f t="shared" si="160"/>
        <v/>
      </c>
      <c r="Y444" s="41" t="str">
        <f t="shared" si="166"/>
        <v/>
      </c>
      <c r="Z444" s="98" t="str">
        <f t="shared" si="161"/>
        <v/>
      </c>
      <c r="AA444" s="81" t="str">
        <f t="shared" si="167"/>
        <v/>
      </c>
      <c r="AC444" s="139"/>
      <c r="AD444" s="110" t="str">
        <f t="shared" si="168"/>
        <v/>
      </c>
      <c r="AE444" s="111" t="str">
        <f t="shared" si="169"/>
        <v/>
      </c>
      <c r="AF444" s="111" t="str">
        <f t="shared" si="162"/>
        <v/>
      </c>
      <c r="AG444" s="111" t="str">
        <f t="shared" si="170"/>
        <v/>
      </c>
      <c r="AH444" s="111" t="str">
        <f t="shared" si="171"/>
        <v/>
      </c>
      <c r="AI444" s="112" t="str">
        <f t="shared" si="172"/>
        <v/>
      </c>
      <c r="AJ444" t="str">
        <f t="shared" si="173"/>
        <v/>
      </c>
      <c r="AK444" t="str">
        <f t="shared" si="174"/>
        <v/>
      </c>
    </row>
    <row r="445" spans="1:37" ht="15" customHeight="1" x14ac:dyDescent="0.25">
      <c r="A445" s="114"/>
      <c r="B445" s="116"/>
      <c r="C445" s="116"/>
      <c r="D445" s="42" t="str">
        <f t="shared" si="150"/>
        <v/>
      </c>
      <c r="E445" s="43"/>
      <c r="F445" s="83"/>
      <c r="G445" s="118"/>
      <c r="H445" s="34" t="str">
        <f t="shared" si="151"/>
        <v/>
      </c>
      <c r="I445" s="88" t="str">
        <f t="shared" si="152"/>
        <v/>
      </c>
      <c r="J445" s="44" t="str">
        <f t="shared" si="153"/>
        <v/>
      </c>
      <c r="K445" s="118"/>
      <c r="L445" s="34" t="str">
        <f t="shared" si="154"/>
        <v/>
      </c>
      <c r="M445" s="118"/>
      <c r="N445" s="121"/>
      <c r="O445" s="122" t="str">
        <f t="shared" si="163"/>
        <v/>
      </c>
      <c r="P445" s="35" t="str">
        <f t="shared" si="164"/>
        <v/>
      </c>
      <c r="Q445" s="124"/>
      <c r="R445" s="36" t="str">
        <f t="shared" si="165"/>
        <v/>
      </c>
      <c r="S445" s="37" t="str">
        <f t="shared" si="155"/>
        <v/>
      </c>
      <c r="T445" s="38" t="str">
        <f t="shared" si="156"/>
        <v/>
      </c>
      <c r="U445" s="39" t="str">
        <f t="shared" si="157"/>
        <v/>
      </c>
      <c r="V445" s="40" t="str">
        <f t="shared" si="158"/>
        <v/>
      </c>
      <c r="W445" s="39" t="str">
        <f t="shared" si="159"/>
        <v/>
      </c>
      <c r="X445" s="34" t="str">
        <f t="shared" si="160"/>
        <v/>
      </c>
      <c r="Y445" s="41" t="str">
        <f t="shared" si="166"/>
        <v/>
      </c>
      <c r="Z445" s="98" t="str">
        <f t="shared" si="161"/>
        <v/>
      </c>
      <c r="AA445" s="81" t="str">
        <f t="shared" si="167"/>
        <v/>
      </c>
      <c r="AC445" s="139"/>
      <c r="AD445" s="110" t="str">
        <f t="shared" si="168"/>
        <v/>
      </c>
      <c r="AE445" s="111" t="str">
        <f t="shared" si="169"/>
        <v/>
      </c>
      <c r="AF445" s="111" t="str">
        <f t="shared" si="162"/>
        <v/>
      </c>
      <c r="AG445" s="111" t="str">
        <f t="shared" si="170"/>
        <v/>
      </c>
      <c r="AH445" s="111" t="str">
        <f t="shared" si="171"/>
        <v/>
      </c>
      <c r="AI445" s="112" t="str">
        <f t="shared" si="172"/>
        <v/>
      </c>
      <c r="AJ445" t="str">
        <f t="shared" si="173"/>
        <v/>
      </c>
      <c r="AK445" t="str">
        <f t="shared" si="174"/>
        <v/>
      </c>
    </row>
    <row r="446" spans="1:37" ht="15" customHeight="1" x14ac:dyDescent="0.25">
      <c r="A446" s="114"/>
      <c r="B446" s="116"/>
      <c r="C446" s="116"/>
      <c r="D446" s="42" t="str">
        <f t="shared" si="150"/>
        <v/>
      </c>
      <c r="E446" s="43"/>
      <c r="F446" s="83"/>
      <c r="G446" s="118"/>
      <c r="H446" s="34" t="str">
        <f t="shared" si="151"/>
        <v/>
      </c>
      <c r="I446" s="88" t="str">
        <f t="shared" si="152"/>
        <v/>
      </c>
      <c r="J446" s="44" t="str">
        <f t="shared" si="153"/>
        <v/>
      </c>
      <c r="K446" s="118"/>
      <c r="L446" s="34" t="str">
        <f t="shared" si="154"/>
        <v/>
      </c>
      <c r="M446" s="118"/>
      <c r="N446" s="121"/>
      <c r="O446" s="122" t="str">
        <f t="shared" si="163"/>
        <v/>
      </c>
      <c r="P446" s="35" t="str">
        <f t="shared" si="164"/>
        <v/>
      </c>
      <c r="Q446" s="124"/>
      <c r="R446" s="36" t="str">
        <f t="shared" si="165"/>
        <v/>
      </c>
      <c r="S446" s="37" t="str">
        <f t="shared" si="155"/>
        <v/>
      </c>
      <c r="T446" s="38" t="str">
        <f t="shared" si="156"/>
        <v/>
      </c>
      <c r="U446" s="39" t="str">
        <f t="shared" si="157"/>
        <v/>
      </c>
      <c r="V446" s="40" t="str">
        <f t="shared" si="158"/>
        <v/>
      </c>
      <c r="W446" s="39" t="str">
        <f t="shared" si="159"/>
        <v/>
      </c>
      <c r="X446" s="34" t="str">
        <f t="shared" si="160"/>
        <v/>
      </c>
      <c r="Y446" s="41" t="str">
        <f t="shared" si="166"/>
        <v/>
      </c>
      <c r="Z446" s="98" t="str">
        <f t="shared" si="161"/>
        <v/>
      </c>
      <c r="AA446" s="81" t="str">
        <f t="shared" si="167"/>
        <v/>
      </c>
      <c r="AC446" s="139"/>
      <c r="AD446" s="110" t="str">
        <f t="shared" si="168"/>
        <v/>
      </c>
      <c r="AE446" s="111" t="str">
        <f t="shared" si="169"/>
        <v/>
      </c>
      <c r="AF446" s="111" t="str">
        <f t="shared" si="162"/>
        <v/>
      </c>
      <c r="AG446" s="111" t="str">
        <f t="shared" si="170"/>
        <v/>
      </c>
      <c r="AH446" s="111" t="str">
        <f t="shared" si="171"/>
        <v/>
      </c>
      <c r="AI446" s="112" t="str">
        <f t="shared" si="172"/>
        <v/>
      </c>
      <c r="AJ446" t="str">
        <f t="shared" si="173"/>
        <v/>
      </c>
      <c r="AK446" t="str">
        <f t="shared" si="174"/>
        <v/>
      </c>
    </row>
    <row r="447" spans="1:37" ht="15" customHeight="1" x14ac:dyDescent="0.25">
      <c r="A447" s="114"/>
      <c r="B447" s="116"/>
      <c r="C447" s="116"/>
      <c r="D447" s="42" t="str">
        <f t="shared" si="150"/>
        <v/>
      </c>
      <c r="E447" s="43"/>
      <c r="F447" s="83"/>
      <c r="G447" s="118"/>
      <c r="H447" s="34" t="str">
        <f t="shared" si="151"/>
        <v/>
      </c>
      <c r="I447" s="88" t="str">
        <f t="shared" si="152"/>
        <v/>
      </c>
      <c r="J447" s="44" t="str">
        <f t="shared" si="153"/>
        <v/>
      </c>
      <c r="K447" s="118"/>
      <c r="L447" s="34" t="str">
        <f t="shared" si="154"/>
        <v/>
      </c>
      <c r="M447" s="118"/>
      <c r="N447" s="121"/>
      <c r="O447" s="122" t="str">
        <f t="shared" si="163"/>
        <v/>
      </c>
      <c r="P447" s="35" t="str">
        <f t="shared" si="164"/>
        <v/>
      </c>
      <c r="Q447" s="124"/>
      <c r="R447" s="36" t="str">
        <f t="shared" si="165"/>
        <v/>
      </c>
      <c r="S447" s="37" t="str">
        <f t="shared" si="155"/>
        <v/>
      </c>
      <c r="T447" s="38" t="str">
        <f t="shared" si="156"/>
        <v/>
      </c>
      <c r="U447" s="39" t="str">
        <f t="shared" si="157"/>
        <v/>
      </c>
      <c r="V447" s="40" t="str">
        <f t="shared" si="158"/>
        <v/>
      </c>
      <c r="W447" s="39" t="str">
        <f t="shared" si="159"/>
        <v/>
      </c>
      <c r="X447" s="34" t="str">
        <f t="shared" si="160"/>
        <v/>
      </c>
      <c r="Y447" s="41" t="str">
        <f t="shared" si="166"/>
        <v/>
      </c>
      <c r="Z447" s="98" t="str">
        <f t="shared" si="161"/>
        <v/>
      </c>
      <c r="AA447" s="81" t="str">
        <f t="shared" si="167"/>
        <v/>
      </c>
      <c r="AC447" s="139"/>
      <c r="AD447" s="110" t="str">
        <f t="shared" si="168"/>
        <v/>
      </c>
      <c r="AE447" s="111" t="str">
        <f t="shared" si="169"/>
        <v/>
      </c>
      <c r="AF447" s="111" t="str">
        <f t="shared" si="162"/>
        <v/>
      </c>
      <c r="AG447" s="111" t="str">
        <f t="shared" si="170"/>
        <v/>
      </c>
      <c r="AH447" s="111" t="str">
        <f t="shared" si="171"/>
        <v/>
      </c>
      <c r="AI447" s="112" t="str">
        <f t="shared" si="172"/>
        <v/>
      </c>
      <c r="AJ447" t="str">
        <f t="shared" si="173"/>
        <v/>
      </c>
      <c r="AK447" t="str">
        <f t="shared" si="174"/>
        <v/>
      </c>
    </row>
    <row r="448" spans="1:37" ht="15" customHeight="1" x14ac:dyDescent="0.25">
      <c r="A448" s="114"/>
      <c r="B448" s="116"/>
      <c r="C448" s="116"/>
      <c r="D448" s="42" t="str">
        <f t="shared" si="150"/>
        <v/>
      </c>
      <c r="E448" s="43"/>
      <c r="F448" s="83"/>
      <c r="G448" s="118"/>
      <c r="H448" s="34" t="str">
        <f t="shared" si="151"/>
        <v/>
      </c>
      <c r="I448" s="88" t="str">
        <f t="shared" si="152"/>
        <v/>
      </c>
      <c r="J448" s="44" t="str">
        <f t="shared" si="153"/>
        <v/>
      </c>
      <c r="K448" s="118"/>
      <c r="L448" s="34" t="str">
        <f t="shared" si="154"/>
        <v/>
      </c>
      <c r="M448" s="118"/>
      <c r="N448" s="121"/>
      <c r="O448" s="122" t="str">
        <f t="shared" si="163"/>
        <v/>
      </c>
      <c r="P448" s="35" t="str">
        <f t="shared" si="164"/>
        <v/>
      </c>
      <c r="Q448" s="124"/>
      <c r="R448" s="36" t="str">
        <f t="shared" si="165"/>
        <v/>
      </c>
      <c r="S448" s="37" t="str">
        <f t="shared" si="155"/>
        <v/>
      </c>
      <c r="T448" s="38" t="str">
        <f t="shared" si="156"/>
        <v/>
      </c>
      <c r="U448" s="39" t="str">
        <f t="shared" si="157"/>
        <v/>
      </c>
      <c r="V448" s="40" t="str">
        <f t="shared" si="158"/>
        <v/>
      </c>
      <c r="W448" s="39" t="str">
        <f t="shared" si="159"/>
        <v/>
      </c>
      <c r="X448" s="34" t="str">
        <f t="shared" si="160"/>
        <v/>
      </c>
      <c r="Y448" s="41" t="str">
        <f t="shared" si="166"/>
        <v/>
      </c>
      <c r="Z448" s="98" t="str">
        <f t="shared" si="161"/>
        <v/>
      </c>
      <c r="AA448" s="81" t="str">
        <f t="shared" si="167"/>
        <v/>
      </c>
      <c r="AC448" s="139"/>
      <c r="AD448" s="110" t="str">
        <f t="shared" si="168"/>
        <v/>
      </c>
      <c r="AE448" s="111" t="str">
        <f t="shared" si="169"/>
        <v/>
      </c>
      <c r="AF448" s="111" t="str">
        <f t="shared" si="162"/>
        <v/>
      </c>
      <c r="AG448" s="111" t="str">
        <f t="shared" si="170"/>
        <v/>
      </c>
      <c r="AH448" s="111" t="str">
        <f t="shared" si="171"/>
        <v/>
      </c>
      <c r="AI448" s="112" t="str">
        <f t="shared" si="172"/>
        <v/>
      </c>
      <c r="AJ448" t="str">
        <f t="shared" si="173"/>
        <v/>
      </c>
      <c r="AK448" t="str">
        <f t="shared" si="174"/>
        <v/>
      </c>
    </row>
    <row r="449" spans="1:37" ht="15" customHeight="1" x14ac:dyDescent="0.25">
      <c r="A449" s="114"/>
      <c r="B449" s="116"/>
      <c r="C449" s="116"/>
      <c r="D449" s="42" t="str">
        <f t="shared" si="150"/>
        <v/>
      </c>
      <c r="E449" s="43"/>
      <c r="F449" s="83"/>
      <c r="G449" s="118"/>
      <c r="H449" s="34" t="str">
        <f t="shared" si="151"/>
        <v/>
      </c>
      <c r="I449" s="88" t="str">
        <f t="shared" si="152"/>
        <v/>
      </c>
      <c r="J449" s="44" t="str">
        <f t="shared" si="153"/>
        <v/>
      </c>
      <c r="K449" s="118"/>
      <c r="L449" s="34" t="str">
        <f t="shared" si="154"/>
        <v/>
      </c>
      <c r="M449" s="118"/>
      <c r="N449" s="121"/>
      <c r="O449" s="122" t="str">
        <f t="shared" si="163"/>
        <v/>
      </c>
      <c r="P449" s="35" t="str">
        <f t="shared" si="164"/>
        <v/>
      </c>
      <c r="Q449" s="124"/>
      <c r="R449" s="36" t="str">
        <f t="shared" si="165"/>
        <v/>
      </c>
      <c r="S449" s="37" t="str">
        <f t="shared" si="155"/>
        <v/>
      </c>
      <c r="T449" s="38" t="str">
        <f t="shared" si="156"/>
        <v/>
      </c>
      <c r="U449" s="39" t="str">
        <f t="shared" si="157"/>
        <v/>
      </c>
      <c r="V449" s="40" t="str">
        <f t="shared" si="158"/>
        <v/>
      </c>
      <c r="W449" s="39" t="str">
        <f t="shared" si="159"/>
        <v/>
      </c>
      <c r="X449" s="34" t="str">
        <f t="shared" si="160"/>
        <v/>
      </c>
      <c r="Y449" s="41" t="str">
        <f t="shared" si="166"/>
        <v/>
      </c>
      <c r="Z449" s="98" t="str">
        <f t="shared" si="161"/>
        <v/>
      </c>
      <c r="AA449" s="81" t="str">
        <f t="shared" si="167"/>
        <v/>
      </c>
      <c r="AC449" s="139"/>
      <c r="AD449" s="110" t="str">
        <f t="shared" si="168"/>
        <v/>
      </c>
      <c r="AE449" s="111" t="str">
        <f t="shared" si="169"/>
        <v/>
      </c>
      <c r="AF449" s="111" t="str">
        <f t="shared" si="162"/>
        <v/>
      </c>
      <c r="AG449" s="111" t="str">
        <f t="shared" si="170"/>
        <v/>
      </c>
      <c r="AH449" s="111" t="str">
        <f t="shared" si="171"/>
        <v/>
      </c>
      <c r="AI449" s="112" t="str">
        <f t="shared" si="172"/>
        <v/>
      </c>
      <c r="AJ449" t="str">
        <f t="shared" si="173"/>
        <v/>
      </c>
      <c r="AK449" t="str">
        <f t="shared" si="174"/>
        <v/>
      </c>
    </row>
    <row r="450" spans="1:37" ht="15" customHeight="1" x14ac:dyDescent="0.25">
      <c r="A450" s="114"/>
      <c r="B450" s="116"/>
      <c r="C450" s="116"/>
      <c r="D450" s="42" t="str">
        <f t="shared" si="150"/>
        <v/>
      </c>
      <c r="E450" s="43"/>
      <c r="F450" s="83"/>
      <c r="G450" s="118"/>
      <c r="H450" s="34" t="str">
        <f t="shared" si="151"/>
        <v/>
      </c>
      <c r="I450" s="88" t="str">
        <f t="shared" si="152"/>
        <v/>
      </c>
      <c r="J450" s="44" t="str">
        <f t="shared" si="153"/>
        <v/>
      </c>
      <c r="K450" s="118"/>
      <c r="L450" s="34" t="str">
        <f t="shared" si="154"/>
        <v/>
      </c>
      <c r="M450" s="118"/>
      <c r="N450" s="121"/>
      <c r="O450" s="122" t="str">
        <f t="shared" si="163"/>
        <v/>
      </c>
      <c r="P450" s="35" t="str">
        <f t="shared" si="164"/>
        <v/>
      </c>
      <c r="Q450" s="124"/>
      <c r="R450" s="36" t="str">
        <f t="shared" si="165"/>
        <v/>
      </c>
      <c r="S450" s="37" t="str">
        <f t="shared" si="155"/>
        <v/>
      </c>
      <c r="T450" s="38" t="str">
        <f t="shared" si="156"/>
        <v/>
      </c>
      <c r="U450" s="39" t="str">
        <f t="shared" si="157"/>
        <v/>
      </c>
      <c r="V450" s="40" t="str">
        <f t="shared" si="158"/>
        <v/>
      </c>
      <c r="W450" s="39" t="str">
        <f t="shared" si="159"/>
        <v/>
      </c>
      <c r="X450" s="34" t="str">
        <f t="shared" si="160"/>
        <v/>
      </c>
      <c r="Y450" s="41" t="str">
        <f t="shared" si="166"/>
        <v/>
      </c>
      <c r="Z450" s="98" t="str">
        <f t="shared" si="161"/>
        <v/>
      </c>
      <c r="AA450" s="81" t="str">
        <f t="shared" si="167"/>
        <v/>
      </c>
      <c r="AC450" s="139"/>
      <c r="AD450" s="110" t="str">
        <f t="shared" si="168"/>
        <v/>
      </c>
      <c r="AE450" s="111" t="str">
        <f t="shared" si="169"/>
        <v/>
      </c>
      <c r="AF450" s="111" t="str">
        <f t="shared" si="162"/>
        <v/>
      </c>
      <c r="AG450" s="111" t="str">
        <f t="shared" si="170"/>
        <v/>
      </c>
      <c r="AH450" s="111" t="str">
        <f t="shared" si="171"/>
        <v/>
      </c>
      <c r="AI450" s="112" t="str">
        <f t="shared" si="172"/>
        <v/>
      </c>
      <c r="AJ450" t="str">
        <f t="shared" si="173"/>
        <v/>
      </c>
      <c r="AK450" t="str">
        <f t="shared" si="174"/>
        <v/>
      </c>
    </row>
    <row r="451" spans="1:37" ht="15" customHeight="1" x14ac:dyDescent="0.25">
      <c r="A451" s="114"/>
      <c r="B451" s="116"/>
      <c r="C451" s="116"/>
      <c r="D451" s="42" t="str">
        <f t="shared" si="150"/>
        <v/>
      </c>
      <c r="E451" s="43"/>
      <c r="F451" s="83"/>
      <c r="G451" s="118"/>
      <c r="H451" s="34" t="str">
        <f t="shared" si="151"/>
        <v/>
      </c>
      <c r="I451" s="88" t="str">
        <f t="shared" si="152"/>
        <v/>
      </c>
      <c r="J451" s="44" t="str">
        <f t="shared" si="153"/>
        <v/>
      </c>
      <c r="K451" s="118"/>
      <c r="L451" s="34" t="str">
        <f t="shared" si="154"/>
        <v/>
      </c>
      <c r="M451" s="118"/>
      <c r="N451" s="121"/>
      <c r="O451" s="122" t="str">
        <f t="shared" si="163"/>
        <v/>
      </c>
      <c r="P451" s="35" t="str">
        <f t="shared" si="164"/>
        <v/>
      </c>
      <c r="Q451" s="124"/>
      <c r="R451" s="36" t="str">
        <f t="shared" si="165"/>
        <v/>
      </c>
      <c r="S451" s="37" t="str">
        <f t="shared" si="155"/>
        <v/>
      </c>
      <c r="T451" s="38" t="str">
        <f t="shared" si="156"/>
        <v/>
      </c>
      <c r="U451" s="39" t="str">
        <f t="shared" si="157"/>
        <v/>
      </c>
      <c r="V451" s="40" t="str">
        <f t="shared" si="158"/>
        <v/>
      </c>
      <c r="W451" s="39" t="str">
        <f t="shared" si="159"/>
        <v/>
      </c>
      <c r="X451" s="34" t="str">
        <f t="shared" si="160"/>
        <v/>
      </c>
      <c r="Y451" s="41" t="str">
        <f t="shared" si="166"/>
        <v/>
      </c>
      <c r="Z451" s="98" t="str">
        <f t="shared" si="161"/>
        <v/>
      </c>
      <c r="AA451" s="81" t="str">
        <f t="shared" si="167"/>
        <v/>
      </c>
      <c r="AC451" s="139"/>
      <c r="AD451" s="110" t="str">
        <f t="shared" si="168"/>
        <v/>
      </c>
      <c r="AE451" s="111" t="str">
        <f t="shared" si="169"/>
        <v/>
      </c>
      <c r="AF451" s="111" t="str">
        <f t="shared" si="162"/>
        <v/>
      </c>
      <c r="AG451" s="111" t="str">
        <f t="shared" si="170"/>
        <v/>
      </c>
      <c r="AH451" s="111" t="str">
        <f t="shared" si="171"/>
        <v/>
      </c>
      <c r="AI451" s="112" t="str">
        <f t="shared" si="172"/>
        <v/>
      </c>
      <c r="AJ451" t="str">
        <f t="shared" si="173"/>
        <v/>
      </c>
      <c r="AK451" t="str">
        <f t="shared" si="174"/>
        <v/>
      </c>
    </row>
    <row r="452" spans="1:37" ht="15" customHeight="1" x14ac:dyDescent="0.25">
      <c r="A452" s="114"/>
      <c r="B452" s="116"/>
      <c r="C452" s="116"/>
      <c r="D452" s="42" t="str">
        <f t="shared" si="150"/>
        <v/>
      </c>
      <c r="E452" s="43"/>
      <c r="F452" s="83"/>
      <c r="G452" s="118"/>
      <c r="H452" s="34" t="str">
        <f t="shared" si="151"/>
        <v/>
      </c>
      <c r="I452" s="88" t="str">
        <f t="shared" si="152"/>
        <v/>
      </c>
      <c r="J452" s="44" t="str">
        <f t="shared" si="153"/>
        <v/>
      </c>
      <c r="K452" s="118"/>
      <c r="L452" s="34" t="str">
        <f t="shared" si="154"/>
        <v/>
      </c>
      <c r="M452" s="118"/>
      <c r="N452" s="121"/>
      <c r="O452" s="122" t="str">
        <f t="shared" si="163"/>
        <v/>
      </c>
      <c r="P452" s="35" t="str">
        <f t="shared" si="164"/>
        <v/>
      </c>
      <c r="Q452" s="124"/>
      <c r="R452" s="36" t="str">
        <f t="shared" si="165"/>
        <v/>
      </c>
      <c r="S452" s="37" t="str">
        <f t="shared" si="155"/>
        <v/>
      </c>
      <c r="T452" s="38" t="str">
        <f t="shared" si="156"/>
        <v/>
      </c>
      <c r="U452" s="39" t="str">
        <f t="shared" si="157"/>
        <v/>
      </c>
      <c r="V452" s="40" t="str">
        <f t="shared" si="158"/>
        <v/>
      </c>
      <c r="W452" s="39" t="str">
        <f t="shared" si="159"/>
        <v/>
      </c>
      <c r="X452" s="34" t="str">
        <f t="shared" si="160"/>
        <v/>
      </c>
      <c r="Y452" s="41" t="str">
        <f t="shared" si="166"/>
        <v/>
      </c>
      <c r="Z452" s="98" t="str">
        <f t="shared" si="161"/>
        <v/>
      </c>
      <c r="AA452" s="81" t="str">
        <f t="shared" si="167"/>
        <v/>
      </c>
      <c r="AC452" s="139"/>
      <c r="AD452" s="110" t="str">
        <f t="shared" si="168"/>
        <v/>
      </c>
      <c r="AE452" s="111" t="str">
        <f t="shared" si="169"/>
        <v/>
      </c>
      <c r="AF452" s="111" t="str">
        <f t="shared" si="162"/>
        <v/>
      </c>
      <c r="AG452" s="111" t="str">
        <f t="shared" si="170"/>
        <v/>
      </c>
      <c r="AH452" s="111" t="str">
        <f t="shared" si="171"/>
        <v/>
      </c>
      <c r="AI452" s="112" t="str">
        <f t="shared" si="172"/>
        <v/>
      </c>
      <c r="AJ452" t="str">
        <f t="shared" si="173"/>
        <v/>
      </c>
      <c r="AK452" t="str">
        <f t="shared" si="174"/>
        <v/>
      </c>
    </row>
    <row r="453" spans="1:37" ht="15" customHeight="1" x14ac:dyDescent="0.25">
      <c r="A453" s="114"/>
      <c r="B453" s="116"/>
      <c r="C453" s="116"/>
      <c r="D453" s="42" t="str">
        <f t="shared" si="150"/>
        <v/>
      </c>
      <c r="E453" s="43"/>
      <c r="F453" s="83"/>
      <c r="G453" s="118"/>
      <c r="H453" s="34" t="str">
        <f t="shared" si="151"/>
        <v/>
      </c>
      <c r="I453" s="88" t="str">
        <f t="shared" si="152"/>
        <v/>
      </c>
      <c r="J453" s="44" t="str">
        <f t="shared" si="153"/>
        <v/>
      </c>
      <c r="K453" s="118"/>
      <c r="L453" s="34" t="str">
        <f t="shared" si="154"/>
        <v/>
      </c>
      <c r="M453" s="118"/>
      <c r="N453" s="121"/>
      <c r="O453" s="122" t="str">
        <f t="shared" si="163"/>
        <v/>
      </c>
      <c r="P453" s="35" t="str">
        <f t="shared" si="164"/>
        <v/>
      </c>
      <c r="Q453" s="124"/>
      <c r="R453" s="36" t="str">
        <f t="shared" si="165"/>
        <v/>
      </c>
      <c r="S453" s="37" t="str">
        <f t="shared" si="155"/>
        <v/>
      </c>
      <c r="T453" s="38" t="str">
        <f t="shared" si="156"/>
        <v/>
      </c>
      <c r="U453" s="39" t="str">
        <f t="shared" si="157"/>
        <v/>
      </c>
      <c r="V453" s="40" t="str">
        <f t="shared" si="158"/>
        <v/>
      </c>
      <c r="W453" s="39" t="str">
        <f t="shared" si="159"/>
        <v/>
      </c>
      <c r="X453" s="34" t="str">
        <f t="shared" si="160"/>
        <v/>
      </c>
      <c r="Y453" s="41" t="str">
        <f t="shared" si="166"/>
        <v/>
      </c>
      <c r="Z453" s="98" t="str">
        <f t="shared" si="161"/>
        <v/>
      </c>
      <c r="AA453" s="81" t="str">
        <f t="shared" si="167"/>
        <v/>
      </c>
      <c r="AC453" s="139"/>
      <c r="AD453" s="110" t="str">
        <f t="shared" si="168"/>
        <v/>
      </c>
      <c r="AE453" s="111" t="str">
        <f t="shared" si="169"/>
        <v/>
      </c>
      <c r="AF453" s="111" t="str">
        <f t="shared" si="162"/>
        <v/>
      </c>
      <c r="AG453" s="111" t="str">
        <f t="shared" si="170"/>
        <v/>
      </c>
      <c r="AH453" s="111" t="str">
        <f t="shared" si="171"/>
        <v/>
      </c>
      <c r="AI453" s="112" t="str">
        <f t="shared" si="172"/>
        <v/>
      </c>
      <c r="AJ453" t="str">
        <f t="shared" si="173"/>
        <v/>
      </c>
      <c r="AK453" t="str">
        <f t="shared" si="174"/>
        <v/>
      </c>
    </row>
    <row r="454" spans="1:37" ht="15" customHeight="1" x14ac:dyDescent="0.25">
      <c r="A454" s="114"/>
      <c r="B454" s="116"/>
      <c r="C454" s="116"/>
      <c r="D454" s="42" t="str">
        <f t="shared" si="150"/>
        <v/>
      </c>
      <c r="E454" s="43"/>
      <c r="F454" s="83"/>
      <c r="G454" s="118"/>
      <c r="H454" s="34" t="str">
        <f t="shared" si="151"/>
        <v/>
      </c>
      <c r="I454" s="88" t="str">
        <f t="shared" si="152"/>
        <v/>
      </c>
      <c r="J454" s="44" t="str">
        <f t="shared" si="153"/>
        <v/>
      </c>
      <c r="K454" s="118"/>
      <c r="L454" s="34" t="str">
        <f t="shared" si="154"/>
        <v/>
      </c>
      <c r="M454" s="118"/>
      <c r="N454" s="121"/>
      <c r="O454" s="122" t="str">
        <f t="shared" si="163"/>
        <v/>
      </c>
      <c r="P454" s="35" t="str">
        <f t="shared" si="164"/>
        <v/>
      </c>
      <c r="Q454" s="124"/>
      <c r="R454" s="36" t="str">
        <f t="shared" si="165"/>
        <v/>
      </c>
      <c r="S454" s="37" t="str">
        <f t="shared" si="155"/>
        <v/>
      </c>
      <c r="T454" s="38" t="str">
        <f t="shared" si="156"/>
        <v/>
      </c>
      <c r="U454" s="39" t="str">
        <f t="shared" si="157"/>
        <v/>
      </c>
      <c r="V454" s="40" t="str">
        <f t="shared" si="158"/>
        <v/>
      </c>
      <c r="W454" s="39" t="str">
        <f t="shared" si="159"/>
        <v/>
      </c>
      <c r="X454" s="34" t="str">
        <f t="shared" si="160"/>
        <v/>
      </c>
      <c r="Y454" s="41" t="str">
        <f t="shared" si="166"/>
        <v/>
      </c>
      <c r="Z454" s="98" t="str">
        <f t="shared" si="161"/>
        <v/>
      </c>
      <c r="AA454" s="81" t="str">
        <f t="shared" si="167"/>
        <v/>
      </c>
      <c r="AC454" s="139"/>
      <c r="AD454" s="110" t="str">
        <f t="shared" si="168"/>
        <v/>
      </c>
      <c r="AE454" s="111" t="str">
        <f t="shared" si="169"/>
        <v/>
      </c>
      <c r="AF454" s="111" t="str">
        <f t="shared" si="162"/>
        <v/>
      </c>
      <c r="AG454" s="111" t="str">
        <f t="shared" si="170"/>
        <v/>
      </c>
      <c r="AH454" s="111" t="str">
        <f t="shared" si="171"/>
        <v/>
      </c>
      <c r="AI454" s="112" t="str">
        <f t="shared" si="172"/>
        <v/>
      </c>
      <c r="AJ454" t="str">
        <f t="shared" si="173"/>
        <v/>
      </c>
      <c r="AK454" t="str">
        <f t="shared" si="174"/>
        <v/>
      </c>
    </row>
    <row r="455" spans="1:37" ht="15" customHeight="1" x14ac:dyDescent="0.25">
      <c r="A455" s="114"/>
      <c r="B455" s="116"/>
      <c r="C455" s="116"/>
      <c r="D455" s="42" t="str">
        <f t="shared" si="150"/>
        <v/>
      </c>
      <c r="E455" s="43"/>
      <c r="F455" s="83"/>
      <c r="G455" s="118"/>
      <c r="H455" s="34" t="str">
        <f t="shared" si="151"/>
        <v/>
      </c>
      <c r="I455" s="88" t="str">
        <f t="shared" si="152"/>
        <v/>
      </c>
      <c r="J455" s="44" t="str">
        <f t="shared" si="153"/>
        <v/>
      </c>
      <c r="K455" s="118"/>
      <c r="L455" s="34" t="str">
        <f t="shared" si="154"/>
        <v/>
      </c>
      <c r="M455" s="118"/>
      <c r="N455" s="121"/>
      <c r="O455" s="122" t="str">
        <f t="shared" si="163"/>
        <v/>
      </c>
      <c r="P455" s="35" t="str">
        <f t="shared" si="164"/>
        <v/>
      </c>
      <c r="Q455" s="124"/>
      <c r="R455" s="36" t="str">
        <f t="shared" si="165"/>
        <v/>
      </c>
      <c r="S455" s="37" t="str">
        <f t="shared" si="155"/>
        <v/>
      </c>
      <c r="T455" s="38" t="str">
        <f t="shared" si="156"/>
        <v/>
      </c>
      <c r="U455" s="39" t="str">
        <f t="shared" si="157"/>
        <v/>
      </c>
      <c r="V455" s="40" t="str">
        <f t="shared" si="158"/>
        <v/>
      </c>
      <c r="W455" s="39" t="str">
        <f t="shared" si="159"/>
        <v/>
      </c>
      <c r="X455" s="34" t="str">
        <f t="shared" si="160"/>
        <v/>
      </c>
      <c r="Y455" s="41" t="str">
        <f t="shared" si="166"/>
        <v/>
      </c>
      <c r="Z455" s="98" t="str">
        <f t="shared" si="161"/>
        <v/>
      </c>
      <c r="AA455" s="81" t="str">
        <f t="shared" si="167"/>
        <v/>
      </c>
      <c r="AC455" s="139"/>
      <c r="AD455" s="110" t="str">
        <f t="shared" si="168"/>
        <v/>
      </c>
      <c r="AE455" s="111" t="str">
        <f t="shared" si="169"/>
        <v/>
      </c>
      <c r="AF455" s="111" t="str">
        <f t="shared" si="162"/>
        <v/>
      </c>
      <c r="AG455" s="111" t="str">
        <f t="shared" si="170"/>
        <v/>
      </c>
      <c r="AH455" s="111" t="str">
        <f t="shared" si="171"/>
        <v/>
      </c>
      <c r="AI455" s="112" t="str">
        <f t="shared" si="172"/>
        <v/>
      </c>
      <c r="AJ455" t="str">
        <f t="shared" si="173"/>
        <v/>
      </c>
      <c r="AK455" t="str">
        <f t="shared" si="174"/>
        <v/>
      </c>
    </row>
    <row r="456" spans="1:37" ht="15" customHeight="1" x14ac:dyDescent="0.25">
      <c r="A456" s="114"/>
      <c r="B456" s="116"/>
      <c r="C456" s="116"/>
      <c r="D456" s="42" t="str">
        <f t="shared" ref="D456:D519" si="175">IF(A456="","",B456*C456)</f>
        <v/>
      </c>
      <c r="E456" s="43"/>
      <c r="F456" s="83"/>
      <c r="G456" s="118"/>
      <c r="H456" s="34" t="str">
        <f t="shared" ref="H456:H519" si="176">IF(OR(G456=0,C456=0,G456="",C456=""),"",G456/C456)</f>
        <v/>
      </c>
      <c r="I456" s="88" t="str">
        <f t="shared" ref="I456:I519" si="177">IF(OR(G456="",F456=""),"",G456*(1-F456))</f>
        <v/>
      </c>
      <c r="J456" s="44" t="str">
        <f t="shared" ref="J456:J519" si="178">IF(A456="","",I456*B456)</f>
        <v/>
      </c>
      <c r="K456" s="118"/>
      <c r="L456" s="34" t="str">
        <f t="shared" ref="L456:L519" si="179">IF(OR(K456=0,C456=0,K456="",C456=""),"",K456/C456)</f>
        <v/>
      </c>
      <c r="M456" s="118"/>
      <c r="N456" s="121"/>
      <c r="O456" s="122" t="str">
        <f t="shared" si="163"/>
        <v/>
      </c>
      <c r="P456" s="35" t="str">
        <f t="shared" si="164"/>
        <v/>
      </c>
      <c r="Q456" s="124"/>
      <c r="R456" s="36" t="str">
        <f t="shared" si="165"/>
        <v/>
      </c>
      <c r="S456" s="37" t="str">
        <f t="shared" ref="S456:S519" si="180">IF(OR(A456="",R456=""),"",R456*C456)</f>
        <v/>
      </c>
      <c r="T456" s="38" t="str">
        <f t="shared" ref="T456:T519" si="181">IF(OR(A456="",G456&lt;=0,S456=""),"",(G456-S456)/G456)</f>
        <v/>
      </c>
      <c r="U456" s="39" t="str">
        <f t="shared" ref="U456:U519" si="182">IF(OR(G456=0,S456=0,G456="",S456=""),"",G456-S456)</f>
        <v/>
      </c>
      <c r="V456" s="40" t="str">
        <f t="shared" ref="V456:V519" si="183">IF(OR(A456="",K456&lt;=0,S456=""),"",(K456-S456)/K456)</f>
        <v/>
      </c>
      <c r="W456" s="39" t="str">
        <f t="shared" ref="W456:W519" si="184">IF(OR(K456=0,S456=0,K456="",S456=""),"",K456-S456)</f>
        <v/>
      </c>
      <c r="X456" s="34" t="str">
        <f t="shared" ref="X456:X519" si="185">IF(OR(J456="",J456=0,$N$5="",$L$3=0),"",($N$5/$L$3)*J456)</f>
        <v/>
      </c>
      <c r="Y456" s="41" t="str">
        <f t="shared" si="166"/>
        <v/>
      </c>
      <c r="Z456" s="98" t="str">
        <f t="shared" ref="Z456:Z519" si="186">IF(OR(R456=0,R456="",D456=0,D456=""),"",R456*(D456+E456))</f>
        <v/>
      </c>
      <c r="AA456" s="81" t="str">
        <f t="shared" si="167"/>
        <v/>
      </c>
      <c r="AC456" s="139"/>
      <c r="AD456" s="110" t="str">
        <f t="shared" si="168"/>
        <v/>
      </c>
      <c r="AE456" s="111" t="str">
        <f t="shared" si="169"/>
        <v/>
      </c>
      <c r="AF456" s="111" t="str">
        <f t="shared" ref="AF456:AF519" si="187">IF(AE456="","",AE456*$AD$1+IF(SUM($AE$8:$AE$1007)=0,0,$AD$2*AE456/SUM($AE$8:$AE$1007)))</f>
        <v/>
      </c>
      <c r="AG456" s="111" t="str">
        <f t="shared" si="170"/>
        <v/>
      </c>
      <c r="AH456" s="111" t="str">
        <f t="shared" si="171"/>
        <v/>
      </c>
      <c r="AI456" s="112" t="str">
        <f t="shared" si="172"/>
        <v/>
      </c>
      <c r="AJ456" t="str">
        <f t="shared" si="173"/>
        <v/>
      </c>
      <c r="AK456" t="str">
        <f t="shared" si="174"/>
        <v/>
      </c>
    </row>
    <row r="457" spans="1:37" ht="15" customHeight="1" x14ac:dyDescent="0.25">
      <c r="A457" s="114"/>
      <c r="B457" s="116"/>
      <c r="C457" s="116"/>
      <c r="D457" s="42" t="str">
        <f t="shared" si="175"/>
        <v/>
      </c>
      <c r="E457" s="43"/>
      <c r="F457" s="83"/>
      <c r="G457" s="118"/>
      <c r="H457" s="34" t="str">
        <f t="shared" si="176"/>
        <v/>
      </c>
      <c r="I457" s="88" t="str">
        <f t="shared" si="177"/>
        <v/>
      </c>
      <c r="J457" s="44" t="str">
        <f t="shared" si="178"/>
        <v/>
      </c>
      <c r="K457" s="118"/>
      <c r="L457" s="34" t="str">
        <f t="shared" si="179"/>
        <v/>
      </c>
      <c r="M457" s="118"/>
      <c r="N457" s="121"/>
      <c r="O457" s="122" t="str">
        <f t="shared" ref="O457:O520" si="188">IF(A457="","",IF(Q457&gt;0,IF(J457&gt;0,Q457/J457,0),IF(E457&gt;0,0,IF($J$3&gt;0,IF($J$4&gt;0,MAX($J$3-SUM($Q$8:$Q$1007),0)/$J$4,0),$J$2))))</f>
        <v/>
      </c>
      <c r="P457" s="35" t="str">
        <f t="shared" ref="P457:P520" si="189">IF(A457="","",IF(Q457&gt;0,Q457,IF(E457&gt;0,0,J457*IF($J$3&gt;0,IF($J$4&gt;0,MAX($J$3-SUM($Q$8:$Q$1007),0)/$J$4,0),$J$2))))</f>
        <v/>
      </c>
      <c r="Q457" s="124"/>
      <c r="R457" s="36" t="str">
        <f t="shared" ref="R457:R520" si="190">IF(A457="","",IF(OR(B457=0,B457="",C457&lt;=0,D457+E457&lt;=0),"",(J457-P457)/(D457+E457)-IF(X457&gt;=0,X457/D457,0)+IF(ISNUMBER(Y457),Y457/(D457+E457),0)))</f>
        <v/>
      </c>
      <c r="S457" s="37" t="str">
        <f t="shared" si="180"/>
        <v/>
      </c>
      <c r="T457" s="38" t="str">
        <f t="shared" si="181"/>
        <v/>
      </c>
      <c r="U457" s="39" t="str">
        <f t="shared" si="182"/>
        <v/>
      </c>
      <c r="V457" s="40" t="str">
        <f t="shared" si="183"/>
        <v/>
      </c>
      <c r="W457" s="39" t="str">
        <f t="shared" si="184"/>
        <v/>
      </c>
      <c r="X457" s="34" t="str">
        <f t="shared" si="185"/>
        <v/>
      </c>
      <c r="Y457" s="41" t="str">
        <f t="shared" ref="Y457:Y520" si="191">IF(OR(J457="",J457=0,($L$3-$L$2)=0),"",($J$1/($L$3-$L$2))*(J457-P457))</f>
        <v/>
      </c>
      <c r="Z457" s="98" t="str">
        <f t="shared" si="186"/>
        <v/>
      </c>
      <c r="AA457" s="81" t="str">
        <f t="shared" ref="AA457:AA520" si="192">IF(OR(B457=0,B457=""),"",J457)</f>
        <v/>
      </c>
      <c r="AC457" s="139"/>
      <c r="AD457" s="110" t="str">
        <f t="shared" ref="AD457:AD520" si="193">IF(AC457="","",R457)</f>
        <v/>
      </c>
      <c r="AE457" s="111" t="str">
        <f t="shared" ref="AE457:AE520" si="194">IF(OR(AC457="",AD457=""),"",AC457*AD457)</f>
        <v/>
      </c>
      <c r="AF457" s="111" t="str">
        <f t="shared" si="187"/>
        <v/>
      </c>
      <c r="AG457" s="111" t="str">
        <f t="shared" ref="AG457:AG520" si="195">IF(AE457="","",AE457-AF457)</f>
        <v/>
      </c>
      <c r="AH457" s="111" t="str">
        <f t="shared" ref="AH457:AH520" si="196">IF(AG457="","",AI457-AG457)</f>
        <v/>
      </c>
      <c r="AI457" s="112" t="str">
        <f t="shared" ref="AI457:AI520" si="197">IF(AG457="","",ROUND(AG457,0))</f>
        <v/>
      </c>
      <c r="AJ457" t="str">
        <f t="shared" ref="AJ457:AJ520" si="198">IF(OR(AC457=0,AC457=""),"",AF457/AC457)</f>
        <v/>
      </c>
      <c r="AK457" t="str">
        <f t="shared" ref="AK457:AK520" si="199">IF(OR(AC457=0,AC457=""),"",AD457*C457)</f>
        <v/>
      </c>
    </row>
    <row r="458" spans="1:37" ht="15" customHeight="1" x14ac:dyDescent="0.25">
      <c r="A458" s="114"/>
      <c r="B458" s="116"/>
      <c r="C458" s="116"/>
      <c r="D458" s="42" t="str">
        <f t="shared" si="175"/>
        <v/>
      </c>
      <c r="E458" s="43"/>
      <c r="F458" s="83"/>
      <c r="G458" s="118"/>
      <c r="H458" s="34" t="str">
        <f t="shared" si="176"/>
        <v/>
      </c>
      <c r="I458" s="88" t="str">
        <f t="shared" si="177"/>
        <v/>
      </c>
      <c r="J458" s="44" t="str">
        <f t="shared" si="178"/>
        <v/>
      </c>
      <c r="K458" s="118"/>
      <c r="L458" s="34" t="str">
        <f t="shared" si="179"/>
        <v/>
      </c>
      <c r="M458" s="118"/>
      <c r="N458" s="121"/>
      <c r="O458" s="122" t="str">
        <f t="shared" si="188"/>
        <v/>
      </c>
      <c r="P458" s="35" t="str">
        <f t="shared" si="189"/>
        <v/>
      </c>
      <c r="Q458" s="124"/>
      <c r="R458" s="36" t="str">
        <f t="shared" si="190"/>
        <v/>
      </c>
      <c r="S458" s="37" t="str">
        <f t="shared" si="180"/>
        <v/>
      </c>
      <c r="T458" s="38" t="str">
        <f t="shared" si="181"/>
        <v/>
      </c>
      <c r="U458" s="39" t="str">
        <f t="shared" si="182"/>
        <v/>
      </c>
      <c r="V458" s="40" t="str">
        <f t="shared" si="183"/>
        <v/>
      </c>
      <c r="W458" s="39" t="str">
        <f t="shared" si="184"/>
        <v/>
      </c>
      <c r="X458" s="34" t="str">
        <f t="shared" si="185"/>
        <v/>
      </c>
      <c r="Y458" s="41" t="str">
        <f t="shared" si="191"/>
        <v/>
      </c>
      <c r="Z458" s="98" t="str">
        <f t="shared" si="186"/>
        <v/>
      </c>
      <c r="AA458" s="81" t="str">
        <f t="shared" si="192"/>
        <v/>
      </c>
      <c r="AC458" s="139"/>
      <c r="AD458" s="110" t="str">
        <f t="shared" si="193"/>
        <v/>
      </c>
      <c r="AE458" s="111" t="str">
        <f t="shared" si="194"/>
        <v/>
      </c>
      <c r="AF458" s="111" t="str">
        <f t="shared" si="187"/>
        <v/>
      </c>
      <c r="AG458" s="111" t="str">
        <f t="shared" si="195"/>
        <v/>
      </c>
      <c r="AH458" s="111" t="str">
        <f t="shared" si="196"/>
        <v/>
      </c>
      <c r="AI458" s="112" t="str">
        <f t="shared" si="197"/>
        <v/>
      </c>
      <c r="AJ458" t="str">
        <f t="shared" si="198"/>
        <v/>
      </c>
      <c r="AK458" t="str">
        <f t="shared" si="199"/>
        <v/>
      </c>
    </row>
    <row r="459" spans="1:37" ht="15" customHeight="1" x14ac:dyDescent="0.25">
      <c r="A459" s="114"/>
      <c r="B459" s="116"/>
      <c r="C459" s="116"/>
      <c r="D459" s="42" t="str">
        <f t="shared" si="175"/>
        <v/>
      </c>
      <c r="E459" s="43"/>
      <c r="F459" s="83"/>
      <c r="G459" s="118"/>
      <c r="H459" s="34" t="str">
        <f t="shared" si="176"/>
        <v/>
      </c>
      <c r="I459" s="88" t="str">
        <f t="shared" si="177"/>
        <v/>
      </c>
      <c r="J459" s="44" t="str">
        <f t="shared" si="178"/>
        <v/>
      </c>
      <c r="K459" s="118"/>
      <c r="L459" s="34" t="str">
        <f t="shared" si="179"/>
        <v/>
      </c>
      <c r="M459" s="118"/>
      <c r="N459" s="121"/>
      <c r="O459" s="122" t="str">
        <f t="shared" si="188"/>
        <v/>
      </c>
      <c r="P459" s="35" t="str">
        <f t="shared" si="189"/>
        <v/>
      </c>
      <c r="Q459" s="124"/>
      <c r="R459" s="36" t="str">
        <f t="shared" si="190"/>
        <v/>
      </c>
      <c r="S459" s="37" t="str">
        <f t="shared" si="180"/>
        <v/>
      </c>
      <c r="T459" s="38" t="str">
        <f t="shared" si="181"/>
        <v/>
      </c>
      <c r="U459" s="39" t="str">
        <f t="shared" si="182"/>
        <v/>
      </c>
      <c r="V459" s="40" t="str">
        <f t="shared" si="183"/>
        <v/>
      </c>
      <c r="W459" s="39" t="str">
        <f t="shared" si="184"/>
        <v/>
      </c>
      <c r="X459" s="34" t="str">
        <f t="shared" si="185"/>
        <v/>
      </c>
      <c r="Y459" s="41" t="str">
        <f t="shared" si="191"/>
        <v/>
      </c>
      <c r="Z459" s="98" t="str">
        <f t="shared" si="186"/>
        <v/>
      </c>
      <c r="AA459" s="81" t="str">
        <f t="shared" si="192"/>
        <v/>
      </c>
      <c r="AC459" s="139"/>
      <c r="AD459" s="110" t="str">
        <f t="shared" si="193"/>
        <v/>
      </c>
      <c r="AE459" s="111" t="str">
        <f t="shared" si="194"/>
        <v/>
      </c>
      <c r="AF459" s="111" t="str">
        <f t="shared" si="187"/>
        <v/>
      </c>
      <c r="AG459" s="111" t="str">
        <f t="shared" si="195"/>
        <v/>
      </c>
      <c r="AH459" s="111" t="str">
        <f t="shared" si="196"/>
        <v/>
      </c>
      <c r="AI459" s="112" t="str">
        <f t="shared" si="197"/>
        <v/>
      </c>
      <c r="AJ459" t="str">
        <f t="shared" si="198"/>
        <v/>
      </c>
      <c r="AK459" t="str">
        <f t="shared" si="199"/>
        <v/>
      </c>
    </row>
    <row r="460" spans="1:37" ht="15" customHeight="1" x14ac:dyDescent="0.25">
      <c r="A460" s="114"/>
      <c r="B460" s="116"/>
      <c r="C460" s="116"/>
      <c r="D460" s="42" t="str">
        <f t="shared" si="175"/>
        <v/>
      </c>
      <c r="E460" s="43"/>
      <c r="F460" s="83"/>
      <c r="G460" s="118"/>
      <c r="H460" s="34" t="str">
        <f t="shared" si="176"/>
        <v/>
      </c>
      <c r="I460" s="88" t="str">
        <f t="shared" si="177"/>
        <v/>
      </c>
      <c r="J460" s="44" t="str">
        <f t="shared" si="178"/>
        <v/>
      </c>
      <c r="K460" s="118"/>
      <c r="L460" s="34" t="str">
        <f t="shared" si="179"/>
        <v/>
      </c>
      <c r="M460" s="118"/>
      <c r="N460" s="121"/>
      <c r="O460" s="122" t="str">
        <f t="shared" si="188"/>
        <v/>
      </c>
      <c r="P460" s="35" t="str">
        <f t="shared" si="189"/>
        <v/>
      </c>
      <c r="Q460" s="124"/>
      <c r="R460" s="36" t="str">
        <f t="shared" si="190"/>
        <v/>
      </c>
      <c r="S460" s="37" t="str">
        <f t="shared" si="180"/>
        <v/>
      </c>
      <c r="T460" s="38" t="str">
        <f t="shared" si="181"/>
        <v/>
      </c>
      <c r="U460" s="39" t="str">
        <f t="shared" si="182"/>
        <v/>
      </c>
      <c r="V460" s="40" t="str">
        <f t="shared" si="183"/>
        <v/>
      </c>
      <c r="W460" s="39" t="str">
        <f t="shared" si="184"/>
        <v/>
      </c>
      <c r="X460" s="34" t="str">
        <f t="shared" si="185"/>
        <v/>
      </c>
      <c r="Y460" s="41" t="str">
        <f t="shared" si="191"/>
        <v/>
      </c>
      <c r="Z460" s="98" t="str">
        <f t="shared" si="186"/>
        <v/>
      </c>
      <c r="AA460" s="81" t="str">
        <f t="shared" si="192"/>
        <v/>
      </c>
      <c r="AC460" s="139"/>
      <c r="AD460" s="110" t="str">
        <f t="shared" si="193"/>
        <v/>
      </c>
      <c r="AE460" s="111" t="str">
        <f t="shared" si="194"/>
        <v/>
      </c>
      <c r="AF460" s="111" t="str">
        <f t="shared" si="187"/>
        <v/>
      </c>
      <c r="AG460" s="111" t="str">
        <f t="shared" si="195"/>
        <v/>
      </c>
      <c r="AH460" s="111" t="str">
        <f t="shared" si="196"/>
        <v/>
      </c>
      <c r="AI460" s="112" t="str">
        <f t="shared" si="197"/>
        <v/>
      </c>
      <c r="AJ460" t="str">
        <f t="shared" si="198"/>
        <v/>
      </c>
      <c r="AK460" t="str">
        <f t="shared" si="199"/>
        <v/>
      </c>
    </row>
    <row r="461" spans="1:37" ht="15" customHeight="1" x14ac:dyDescent="0.25">
      <c r="A461" s="114"/>
      <c r="B461" s="116"/>
      <c r="C461" s="116"/>
      <c r="D461" s="42" t="str">
        <f t="shared" si="175"/>
        <v/>
      </c>
      <c r="E461" s="43"/>
      <c r="F461" s="83"/>
      <c r="G461" s="118"/>
      <c r="H461" s="34" t="str">
        <f t="shared" si="176"/>
        <v/>
      </c>
      <c r="I461" s="88" t="str">
        <f t="shared" si="177"/>
        <v/>
      </c>
      <c r="J461" s="44" t="str">
        <f t="shared" si="178"/>
        <v/>
      </c>
      <c r="K461" s="118"/>
      <c r="L461" s="34" t="str">
        <f t="shared" si="179"/>
        <v/>
      </c>
      <c r="M461" s="118"/>
      <c r="N461" s="121"/>
      <c r="O461" s="122" t="str">
        <f t="shared" si="188"/>
        <v/>
      </c>
      <c r="P461" s="35" t="str">
        <f t="shared" si="189"/>
        <v/>
      </c>
      <c r="Q461" s="124"/>
      <c r="R461" s="36" t="str">
        <f t="shared" si="190"/>
        <v/>
      </c>
      <c r="S461" s="37" t="str">
        <f t="shared" si="180"/>
        <v/>
      </c>
      <c r="T461" s="38" t="str">
        <f t="shared" si="181"/>
        <v/>
      </c>
      <c r="U461" s="39" t="str">
        <f t="shared" si="182"/>
        <v/>
      </c>
      <c r="V461" s="40" t="str">
        <f t="shared" si="183"/>
        <v/>
      </c>
      <c r="W461" s="39" t="str">
        <f t="shared" si="184"/>
        <v/>
      </c>
      <c r="X461" s="34" t="str">
        <f t="shared" si="185"/>
        <v/>
      </c>
      <c r="Y461" s="41" t="str">
        <f t="shared" si="191"/>
        <v/>
      </c>
      <c r="Z461" s="98" t="str">
        <f t="shared" si="186"/>
        <v/>
      </c>
      <c r="AA461" s="81" t="str">
        <f t="shared" si="192"/>
        <v/>
      </c>
      <c r="AC461" s="139"/>
      <c r="AD461" s="110" t="str">
        <f t="shared" si="193"/>
        <v/>
      </c>
      <c r="AE461" s="111" t="str">
        <f t="shared" si="194"/>
        <v/>
      </c>
      <c r="AF461" s="111" t="str">
        <f t="shared" si="187"/>
        <v/>
      </c>
      <c r="AG461" s="111" t="str">
        <f t="shared" si="195"/>
        <v/>
      </c>
      <c r="AH461" s="111" t="str">
        <f t="shared" si="196"/>
        <v/>
      </c>
      <c r="AI461" s="112" t="str">
        <f t="shared" si="197"/>
        <v/>
      </c>
      <c r="AJ461" t="str">
        <f t="shared" si="198"/>
        <v/>
      </c>
      <c r="AK461" t="str">
        <f t="shared" si="199"/>
        <v/>
      </c>
    </row>
    <row r="462" spans="1:37" ht="15" customHeight="1" x14ac:dyDescent="0.25">
      <c r="A462" s="114"/>
      <c r="B462" s="116"/>
      <c r="C462" s="116"/>
      <c r="D462" s="42" t="str">
        <f t="shared" si="175"/>
        <v/>
      </c>
      <c r="E462" s="43"/>
      <c r="F462" s="83"/>
      <c r="G462" s="118"/>
      <c r="H462" s="34" t="str">
        <f t="shared" si="176"/>
        <v/>
      </c>
      <c r="I462" s="88" t="str">
        <f t="shared" si="177"/>
        <v/>
      </c>
      <c r="J462" s="44" t="str">
        <f t="shared" si="178"/>
        <v/>
      </c>
      <c r="K462" s="118"/>
      <c r="L462" s="34" t="str">
        <f t="shared" si="179"/>
        <v/>
      </c>
      <c r="M462" s="118"/>
      <c r="N462" s="121"/>
      <c r="O462" s="122" t="str">
        <f t="shared" si="188"/>
        <v/>
      </c>
      <c r="P462" s="35" t="str">
        <f t="shared" si="189"/>
        <v/>
      </c>
      <c r="Q462" s="124"/>
      <c r="R462" s="36" t="str">
        <f t="shared" si="190"/>
        <v/>
      </c>
      <c r="S462" s="37" t="str">
        <f t="shared" si="180"/>
        <v/>
      </c>
      <c r="T462" s="38" t="str">
        <f t="shared" si="181"/>
        <v/>
      </c>
      <c r="U462" s="39" t="str">
        <f t="shared" si="182"/>
        <v/>
      </c>
      <c r="V462" s="40" t="str">
        <f t="shared" si="183"/>
        <v/>
      </c>
      <c r="W462" s="39" t="str">
        <f t="shared" si="184"/>
        <v/>
      </c>
      <c r="X462" s="34" t="str">
        <f t="shared" si="185"/>
        <v/>
      </c>
      <c r="Y462" s="41" t="str">
        <f t="shared" si="191"/>
        <v/>
      </c>
      <c r="Z462" s="98" t="str">
        <f t="shared" si="186"/>
        <v/>
      </c>
      <c r="AA462" s="81" t="str">
        <f t="shared" si="192"/>
        <v/>
      </c>
      <c r="AC462" s="139"/>
      <c r="AD462" s="110" t="str">
        <f t="shared" si="193"/>
        <v/>
      </c>
      <c r="AE462" s="111" t="str">
        <f t="shared" si="194"/>
        <v/>
      </c>
      <c r="AF462" s="111" t="str">
        <f t="shared" si="187"/>
        <v/>
      </c>
      <c r="AG462" s="111" t="str">
        <f t="shared" si="195"/>
        <v/>
      </c>
      <c r="AH462" s="111" t="str">
        <f t="shared" si="196"/>
        <v/>
      </c>
      <c r="AI462" s="112" t="str">
        <f t="shared" si="197"/>
        <v/>
      </c>
      <c r="AJ462" t="str">
        <f t="shared" si="198"/>
        <v/>
      </c>
      <c r="AK462" t="str">
        <f t="shared" si="199"/>
        <v/>
      </c>
    </row>
    <row r="463" spans="1:37" ht="15" customHeight="1" x14ac:dyDescent="0.25">
      <c r="A463" s="114"/>
      <c r="B463" s="116"/>
      <c r="C463" s="116"/>
      <c r="D463" s="42" t="str">
        <f t="shared" si="175"/>
        <v/>
      </c>
      <c r="E463" s="43"/>
      <c r="F463" s="83"/>
      <c r="G463" s="118"/>
      <c r="H463" s="34" t="str">
        <f t="shared" si="176"/>
        <v/>
      </c>
      <c r="I463" s="88" t="str">
        <f t="shared" si="177"/>
        <v/>
      </c>
      <c r="J463" s="44" t="str">
        <f t="shared" si="178"/>
        <v/>
      </c>
      <c r="K463" s="118"/>
      <c r="L463" s="34" t="str">
        <f t="shared" si="179"/>
        <v/>
      </c>
      <c r="M463" s="118"/>
      <c r="N463" s="121"/>
      <c r="O463" s="122" t="str">
        <f t="shared" si="188"/>
        <v/>
      </c>
      <c r="P463" s="35" t="str">
        <f t="shared" si="189"/>
        <v/>
      </c>
      <c r="Q463" s="124"/>
      <c r="R463" s="36" t="str">
        <f t="shared" si="190"/>
        <v/>
      </c>
      <c r="S463" s="37" t="str">
        <f t="shared" si="180"/>
        <v/>
      </c>
      <c r="T463" s="38" t="str">
        <f t="shared" si="181"/>
        <v/>
      </c>
      <c r="U463" s="39" t="str">
        <f t="shared" si="182"/>
        <v/>
      </c>
      <c r="V463" s="40" t="str">
        <f t="shared" si="183"/>
        <v/>
      </c>
      <c r="W463" s="39" t="str">
        <f t="shared" si="184"/>
        <v/>
      </c>
      <c r="X463" s="34" t="str">
        <f t="shared" si="185"/>
        <v/>
      </c>
      <c r="Y463" s="41" t="str">
        <f t="shared" si="191"/>
        <v/>
      </c>
      <c r="Z463" s="98" t="str">
        <f t="shared" si="186"/>
        <v/>
      </c>
      <c r="AA463" s="81" t="str">
        <f t="shared" si="192"/>
        <v/>
      </c>
      <c r="AC463" s="139"/>
      <c r="AD463" s="110" t="str">
        <f t="shared" si="193"/>
        <v/>
      </c>
      <c r="AE463" s="111" t="str">
        <f t="shared" si="194"/>
        <v/>
      </c>
      <c r="AF463" s="111" t="str">
        <f t="shared" si="187"/>
        <v/>
      </c>
      <c r="AG463" s="111" t="str">
        <f t="shared" si="195"/>
        <v/>
      </c>
      <c r="AH463" s="111" t="str">
        <f t="shared" si="196"/>
        <v/>
      </c>
      <c r="AI463" s="112" t="str">
        <f t="shared" si="197"/>
        <v/>
      </c>
      <c r="AJ463" t="str">
        <f t="shared" si="198"/>
        <v/>
      </c>
      <c r="AK463" t="str">
        <f t="shared" si="199"/>
        <v/>
      </c>
    </row>
    <row r="464" spans="1:37" ht="15" customHeight="1" x14ac:dyDescent="0.25">
      <c r="A464" s="114"/>
      <c r="B464" s="116"/>
      <c r="C464" s="116"/>
      <c r="D464" s="42" t="str">
        <f t="shared" si="175"/>
        <v/>
      </c>
      <c r="E464" s="43"/>
      <c r="F464" s="83"/>
      <c r="G464" s="118"/>
      <c r="H464" s="34" t="str">
        <f t="shared" si="176"/>
        <v/>
      </c>
      <c r="I464" s="88" t="str">
        <f t="shared" si="177"/>
        <v/>
      </c>
      <c r="J464" s="44" t="str">
        <f t="shared" si="178"/>
        <v/>
      </c>
      <c r="K464" s="118"/>
      <c r="L464" s="34" t="str">
        <f t="shared" si="179"/>
        <v/>
      </c>
      <c r="M464" s="118"/>
      <c r="N464" s="121"/>
      <c r="O464" s="122" t="str">
        <f t="shared" si="188"/>
        <v/>
      </c>
      <c r="P464" s="35" t="str">
        <f t="shared" si="189"/>
        <v/>
      </c>
      <c r="Q464" s="124"/>
      <c r="R464" s="36" t="str">
        <f t="shared" si="190"/>
        <v/>
      </c>
      <c r="S464" s="37" t="str">
        <f t="shared" si="180"/>
        <v/>
      </c>
      <c r="T464" s="38" t="str">
        <f t="shared" si="181"/>
        <v/>
      </c>
      <c r="U464" s="39" t="str">
        <f t="shared" si="182"/>
        <v/>
      </c>
      <c r="V464" s="40" t="str">
        <f t="shared" si="183"/>
        <v/>
      </c>
      <c r="W464" s="39" t="str">
        <f t="shared" si="184"/>
        <v/>
      </c>
      <c r="X464" s="34" t="str">
        <f t="shared" si="185"/>
        <v/>
      </c>
      <c r="Y464" s="41" t="str">
        <f t="shared" si="191"/>
        <v/>
      </c>
      <c r="Z464" s="98" t="str">
        <f t="shared" si="186"/>
        <v/>
      </c>
      <c r="AA464" s="81" t="str">
        <f t="shared" si="192"/>
        <v/>
      </c>
      <c r="AC464" s="139"/>
      <c r="AD464" s="110" t="str">
        <f t="shared" si="193"/>
        <v/>
      </c>
      <c r="AE464" s="111" t="str">
        <f t="shared" si="194"/>
        <v/>
      </c>
      <c r="AF464" s="111" t="str">
        <f t="shared" si="187"/>
        <v/>
      </c>
      <c r="AG464" s="111" t="str">
        <f t="shared" si="195"/>
        <v/>
      </c>
      <c r="AH464" s="111" t="str">
        <f t="shared" si="196"/>
        <v/>
      </c>
      <c r="AI464" s="112" t="str">
        <f t="shared" si="197"/>
        <v/>
      </c>
      <c r="AJ464" t="str">
        <f t="shared" si="198"/>
        <v/>
      </c>
      <c r="AK464" t="str">
        <f t="shared" si="199"/>
        <v/>
      </c>
    </row>
    <row r="465" spans="1:37" ht="15" customHeight="1" x14ac:dyDescent="0.25">
      <c r="A465" s="114"/>
      <c r="B465" s="116"/>
      <c r="C465" s="116"/>
      <c r="D465" s="42" t="str">
        <f t="shared" si="175"/>
        <v/>
      </c>
      <c r="E465" s="43"/>
      <c r="F465" s="83"/>
      <c r="G465" s="118"/>
      <c r="H465" s="34" t="str">
        <f t="shared" si="176"/>
        <v/>
      </c>
      <c r="I465" s="88" t="str">
        <f t="shared" si="177"/>
        <v/>
      </c>
      <c r="J465" s="44" t="str">
        <f t="shared" si="178"/>
        <v/>
      </c>
      <c r="K465" s="118"/>
      <c r="L465" s="34" t="str">
        <f t="shared" si="179"/>
        <v/>
      </c>
      <c r="M465" s="118"/>
      <c r="N465" s="121"/>
      <c r="O465" s="122" t="str">
        <f t="shared" si="188"/>
        <v/>
      </c>
      <c r="P465" s="35" t="str">
        <f t="shared" si="189"/>
        <v/>
      </c>
      <c r="Q465" s="124"/>
      <c r="R465" s="36" t="str">
        <f t="shared" si="190"/>
        <v/>
      </c>
      <c r="S465" s="37" t="str">
        <f t="shared" si="180"/>
        <v/>
      </c>
      <c r="T465" s="38" t="str">
        <f t="shared" si="181"/>
        <v/>
      </c>
      <c r="U465" s="39" t="str">
        <f t="shared" si="182"/>
        <v/>
      </c>
      <c r="V465" s="40" t="str">
        <f t="shared" si="183"/>
        <v/>
      </c>
      <c r="W465" s="39" t="str">
        <f t="shared" si="184"/>
        <v/>
      </c>
      <c r="X465" s="34" t="str">
        <f t="shared" si="185"/>
        <v/>
      </c>
      <c r="Y465" s="41" t="str">
        <f t="shared" si="191"/>
        <v/>
      </c>
      <c r="Z465" s="98" t="str">
        <f t="shared" si="186"/>
        <v/>
      </c>
      <c r="AA465" s="81" t="str">
        <f t="shared" si="192"/>
        <v/>
      </c>
      <c r="AC465" s="139"/>
      <c r="AD465" s="110" t="str">
        <f t="shared" si="193"/>
        <v/>
      </c>
      <c r="AE465" s="111" t="str">
        <f t="shared" si="194"/>
        <v/>
      </c>
      <c r="AF465" s="111" t="str">
        <f t="shared" si="187"/>
        <v/>
      </c>
      <c r="AG465" s="111" t="str">
        <f t="shared" si="195"/>
        <v/>
      </c>
      <c r="AH465" s="111" t="str">
        <f t="shared" si="196"/>
        <v/>
      </c>
      <c r="AI465" s="112" t="str">
        <f t="shared" si="197"/>
        <v/>
      </c>
      <c r="AJ465" t="str">
        <f t="shared" si="198"/>
        <v/>
      </c>
      <c r="AK465" t="str">
        <f t="shared" si="199"/>
        <v/>
      </c>
    </row>
    <row r="466" spans="1:37" ht="15" customHeight="1" x14ac:dyDescent="0.25">
      <c r="A466" s="114"/>
      <c r="B466" s="116"/>
      <c r="C466" s="116"/>
      <c r="D466" s="42" t="str">
        <f t="shared" si="175"/>
        <v/>
      </c>
      <c r="E466" s="43"/>
      <c r="F466" s="83"/>
      <c r="G466" s="118"/>
      <c r="H466" s="34" t="str">
        <f t="shared" si="176"/>
        <v/>
      </c>
      <c r="I466" s="88" t="str">
        <f t="shared" si="177"/>
        <v/>
      </c>
      <c r="J466" s="44" t="str">
        <f t="shared" si="178"/>
        <v/>
      </c>
      <c r="K466" s="118"/>
      <c r="L466" s="34" t="str">
        <f t="shared" si="179"/>
        <v/>
      </c>
      <c r="M466" s="118"/>
      <c r="N466" s="121"/>
      <c r="O466" s="122" t="str">
        <f t="shared" si="188"/>
        <v/>
      </c>
      <c r="P466" s="35" t="str">
        <f t="shared" si="189"/>
        <v/>
      </c>
      <c r="Q466" s="124"/>
      <c r="R466" s="36" t="str">
        <f t="shared" si="190"/>
        <v/>
      </c>
      <c r="S466" s="37" t="str">
        <f t="shared" si="180"/>
        <v/>
      </c>
      <c r="T466" s="38" t="str">
        <f t="shared" si="181"/>
        <v/>
      </c>
      <c r="U466" s="39" t="str">
        <f t="shared" si="182"/>
        <v/>
      </c>
      <c r="V466" s="40" t="str">
        <f t="shared" si="183"/>
        <v/>
      </c>
      <c r="W466" s="39" t="str">
        <f t="shared" si="184"/>
        <v/>
      </c>
      <c r="X466" s="34" t="str">
        <f t="shared" si="185"/>
        <v/>
      </c>
      <c r="Y466" s="41" t="str">
        <f t="shared" si="191"/>
        <v/>
      </c>
      <c r="Z466" s="98" t="str">
        <f t="shared" si="186"/>
        <v/>
      </c>
      <c r="AA466" s="81" t="str">
        <f t="shared" si="192"/>
        <v/>
      </c>
      <c r="AC466" s="139"/>
      <c r="AD466" s="110" t="str">
        <f t="shared" si="193"/>
        <v/>
      </c>
      <c r="AE466" s="111" t="str">
        <f t="shared" si="194"/>
        <v/>
      </c>
      <c r="AF466" s="111" t="str">
        <f t="shared" si="187"/>
        <v/>
      </c>
      <c r="AG466" s="111" t="str">
        <f t="shared" si="195"/>
        <v/>
      </c>
      <c r="AH466" s="111" t="str">
        <f t="shared" si="196"/>
        <v/>
      </c>
      <c r="AI466" s="112" t="str">
        <f t="shared" si="197"/>
        <v/>
      </c>
      <c r="AJ466" t="str">
        <f t="shared" si="198"/>
        <v/>
      </c>
      <c r="AK466" t="str">
        <f t="shared" si="199"/>
        <v/>
      </c>
    </row>
    <row r="467" spans="1:37" ht="15" customHeight="1" x14ac:dyDescent="0.25">
      <c r="A467" s="114"/>
      <c r="B467" s="116"/>
      <c r="C467" s="116"/>
      <c r="D467" s="42" t="str">
        <f t="shared" si="175"/>
        <v/>
      </c>
      <c r="E467" s="43"/>
      <c r="F467" s="83"/>
      <c r="G467" s="118"/>
      <c r="H467" s="34" t="str">
        <f t="shared" si="176"/>
        <v/>
      </c>
      <c r="I467" s="88" t="str">
        <f t="shared" si="177"/>
        <v/>
      </c>
      <c r="J467" s="44" t="str">
        <f t="shared" si="178"/>
        <v/>
      </c>
      <c r="K467" s="118"/>
      <c r="L467" s="34" t="str">
        <f t="shared" si="179"/>
        <v/>
      </c>
      <c r="M467" s="118"/>
      <c r="N467" s="121"/>
      <c r="O467" s="122" t="str">
        <f t="shared" si="188"/>
        <v/>
      </c>
      <c r="P467" s="35" t="str">
        <f t="shared" si="189"/>
        <v/>
      </c>
      <c r="Q467" s="124"/>
      <c r="R467" s="36" t="str">
        <f t="shared" si="190"/>
        <v/>
      </c>
      <c r="S467" s="37" t="str">
        <f t="shared" si="180"/>
        <v/>
      </c>
      <c r="T467" s="38" t="str">
        <f t="shared" si="181"/>
        <v/>
      </c>
      <c r="U467" s="39" t="str">
        <f t="shared" si="182"/>
        <v/>
      </c>
      <c r="V467" s="40" t="str">
        <f t="shared" si="183"/>
        <v/>
      </c>
      <c r="W467" s="39" t="str">
        <f t="shared" si="184"/>
        <v/>
      </c>
      <c r="X467" s="34" t="str">
        <f t="shared" si="185"/>
        <v/>
      </c>
      <c r="Y467" s="41" t="str">
        <f t="shared" si="191"/>
        <v/>
      </c>
      <c r="Z467" s="98" t="str">
        <f t="shared" si="186"/>
        <v/>
      </c>
      <c r="AA467" s="81" t="str">
        <f t="shared" si="192"/>
        <v/>
      </c>
      <c r="AC467" s="139"/>
      <c r="AD467" s="110" t="str">
        <f t="shared" si="193"/>
        <v/>
      </c>
      <c r="AE467" s="111" t="str">
        <f t="shared" si="194"/>
        <v/>
      </c>
      <c r="AF467" s="111" t="str">
        <f t="shared" si="187"/>
        <v/>
      </c>
      <c r="AG467" s="111" t="str">
        <f t="shared" si="195"/>
        <v/>
      </c>
      <c r="AH467" s="111" t="str">
        <f t="shared" si="196"/>
        <v/>
      </c>
      <c r="AI467" s="112" t="str">
        <f t="shared" si="197"/>
        <v/>
      </c>
      <c r="AJ467" t="str">
        <f t="shared" si="198"/>
        <v/>
      </c>
      <c r="AK467" t="str">
        <f t="shared" si="199"/>
        <v/>
      </c>
    </row>
    <row r="468" spans="1:37" ht="15" customHeight="1" x14ac:dyDescent="0.25">
      <c r="A468" s="114"/>
      <c r="B468" s="116"/>
      <c r="C468" s="116"/>
      <c r="D468" s="42" t="str">
        <f t="shared" si="175"/>
        <v/>
      </c>
      <c r="E468" s="43"/>
      <c r="F468" s="83"/>
      <c r="G468" s="118"/>
      <c r="H468" s="34" t="str">
        <f t="shared" si="176"/>
        <v/>
      </c>
      <c r="I468" s="88" t="str">
        <f t="shared" si="177"/>
        <v/>
      </c>
      <c r="J468" s="44" t="str">
        <f t="shared" si="178"/>
        <v/>
      </c>
      <c r="K468" s="118"/>
      <c r="L468" s="34" t="str">
        <f t="shared" si="179"/>
        <v/>
      </c>
      <c r="M468" s="118"/>
      <c r="N468" s="121"/>
      <c r="O468" s="122" t="str">
        <f t="shared" si="188"/>
        <v/>
      </c>
      <c r="P468" s="35" t="str">
        <f t="shared" si="189"/>
        <v/>
      </c>
      <c r="Q468" s="124"/>
      <c r="R468" s="36" t="str">
        <f t="shared" si="190"/>
        <v/>
      </c>
      <c r="S468" s="37" t="str">
        <f t="shared" si="180"/>
        <v/>
      </c>
      <c r="T468" s="38" t="str">
        <f t="shared" si="181"/>
        <v/>
      </c>
      <c r="U468" s="39" t="str">
        <f t="shared" si="182"/>
        <v/>
      </c>
      <c r="V468" s="40" t="str">
        <f t="shared" si="183"/>
        <v/>
      </c>
      <c r="W468" s="39" t="str">
        <f t="shared" si="184"/>
        <v/>
      </c>
      <c r="X468" s="34" t="str">
        <f t="shared" si="185"/>
        <v/>
      </c>
      <c r="Y468" s="41" t="str">
        <f t="shared" si="191"/>
        <v/>
      </c>
      <c r="Z468" s="98" t="str">
        <f t="shared" si="186"/>
        <v/>
      </c>
      <c r="AA468" s="81" t="str">
        <f t="shared" si="192"/>
        <v/>
      </c>
      <c r="AC468" s="139"/>
      <c r="AD468" s="110" t="str">
        <f t="shared" si="193"/>
        <v/>
      </c>
      <c r="AE468" s="111" t="str">
        <f t="shared" si="194"/>
        <v/>
      </c>
      <c r="AF468" s="111" t="str">
        <f t="shared" si="187"/>
        <v/>
      </c>
      <c r="AG468" s="111" t="str">
        <f t="shared" si="195"/>
        <v/>
      </c>
      <c r="AH468" s="111" t="str">
        <f t="shared" si="196"/>
        <v/>
      </c>
      <c r="AI468" s="112" t="str">
        <f t="shared" si="197"/>
        <v/>
      </c>
      <c r="AJ468" t="str">
        <f t="shared" si="198"/>
        <v/>
      </c>
      <c r="AK468" t="str">
        <f t="shared" si="199"/>
        <v/>
      </c>
    </row>
    <row r="469" spans="1:37" ht="15" customHeight="1" x14ac:dyDescent="0.25">
      <c r="A469" s="114"/>
      <c r="B469" s="116"/>
      <c r="C469" s="116"/>
      <c r="D469" s="42" t="str">
        <f t="shared" si="175"/>
        <v/>
      </c>
      <c r="E469" s="43"/>
      <c r="F469" s="83"/>
      <c r="G469" s="118"/>
      <c r="H469" s="34" t="str">
        <f t="shared" si="176"/>
        <v/>
      </c>
      <c r="I469" s="88" t="str">
        <f t="shared" si="177"/>
        <v/>
      </c>
      <c r="J469" s="44" t="str">
        <f t="shared" si="178"/>
        <v/>
      </c>
      <c r="K469" s="118"/>
      <c r="L469" s="34" t="str">
        <f t="shared" si="179"/>
        <v/>
      </c>
      <c r="M469" s="118"/>
      <c r="N469" s="121"/>
      <c r="O469" s="122" t="str">
        <f t="shared" si="188"/>
        <v/>
      </c>
      <c r="P469" s="35" t="str">
        <f t="shared" si="189"/>
        <v/>
      </c>
      <c r="Q469" s="124"/>
      <c r="R469" s="36" t="str">
        <f t="shared" si="190"/>
        <v/>
      </c>
      <c r="S469" s="37" t="str">
        <f t="shared" si="180"/>
        <v/>
      </c>
      <c r="T469" s="38" t="str">
        <f t="shared" si="181"/>
        <v/>
      </c>
      <c r="U469" s="39" t="str">
        <f t="shared" si="182"/>
        <v/>
      </c>
      <c r="V469" s="40" t="str">
        <f t="shared" si="183"/>
        <v/>
      </c>
      <c r="W469" s="39" t="str">
        <f t="shared" si="184"/>
        <v/>
      </c>
      <c r="X469" s="34" t="str">
        <f t="shared" si="185"/>
        <v/>
      </c>
      <c r="Y469" s="41" t="str">
        <f t="shared" si="191"/>
        <v/>
      </c>
      <c r="Z469" s="98" t="str">
        <f t="shared" si="186"/>
        <v/>
      </c>
      <c r="AA469" s="81" t="str">
        <f t="shared" si="192"/>
        <v/>
      </c>
      <c r="AC469" s="139"/>
      <c r="AD469" s="110" t="str">
        <f t="shared" si="193"/>
        <v/>
      </c>
      <c r="AE469" s="111" t="str">
        <f t="shared" si="194"/>
        <v/>
      </c>
      <c r="AF469" s="111" t="str">
        <f t="shared" si="187"/>
        <v/>
      </c>
      <c r="AG469" s="111" t="str">
        <f t="shared" si="195"/>
        <v/>
      </c>
      <c r="AH469" s="111" t="str">
        <f t="shared" si="196"/>
        <v/>
      </c>
      <c r="AI469" s="112" t="str">
        <f t="shared" si="197"/>
        <v/>
      </c>
      <c r="AJ469" t="str">
        <f t="shared" si="198"/>
        <v/>
      </c>
      <c r="AK469" t="str">
        <f t="shared" si="199"/>
        <v/>
      </c>
    </row>
    <row r="470" spans="1:37" ht="15" customHeight="1" x14ac:dyDescent="0.25">
      <c r="A470" s="114"/>
      <c r="B470" s="116"/>
      <c r="C470" s="116"/>
      <c r="D470" s="42" t="str">
        <f t="shared" si="175"/>
        <v/>
      </c>
      <c r="E470" s="43"/>
      <c r="F470" s="83"/>
      <c r="G470" s="118"/>
      <c r="H470" s="34" t="str">
        <f t="shared" si="176"/>
        <v/>
      </c>
      <c r="I470" s="88" t="str">
        <f t="shared" si="177"/>
        <v/>
      </c>
      <c r="J470" s="44" t="str">
        <f t="shared" si="178"/>
        <v/>
      </c>
      <c r="K470" s="118"/>
      <c r="L470" s="34" t="str">
        <f t="shared" si="179"/>
        <v/>
      </c>
      <c r="M470" s="118"/>
      <c r="N470" s="121"/>
      <c r="O470" s="122" t="str">
        <f t="shared" si="188"/>
        <v/>
      </c>
      <c r="P470" s="35" t="str">
        <f t="shared" si="189"/>
        <v/>
      </c>
      <c r="Q470" s="124"/>
      <c r="R470" s="36" t="str">
        <f t="shared" si="190"/>
        <v/>
      </c>
      <c r="S470" s="37" t="str">
        <f t="shared" si="180"/>
        <v/>
      </c>
      <c r="T470" s="38" t="str">
        <f t="shared" si="181"/>
        <v/>
      </c>
      <c r="U470" s="39" t="str">
        <f t="shared" si="182"/>
        <v/>
      </c>
      <c r="V470" s="40" t="str">
        <f t="shared" si="183"/>
        <v/>
      </c>
      <c r="W470" s="39" t="str">
        <f t="shared" si="184"/>
        <v/>
      </c>
      <c r="X470" s="34" t="str">
        <f t="shared" si="185"/>
        <v/>
      </c>
      <c r="Y470" s="41" t="str">
        <f t="shared" si="191"/>
        <v/>
      </c>
      <c r="Z470" s="98" t="str">
        <f t="shared" si="186"/>
        <v/>
      </c>
      <c r="AA470" s="81" t="str">
        <f t="shared" si="192"/>
        <v/>
      </c>
      <c r="AC470" s="139"/>
      <c r="AD470" s="110" t="str">
        <f t="shared" si="193"/>
        <v/>
      </c>
      <c r="AE470" s="111" t="str">
        <f t="shared" si="194"/>
        <v/>
      </c>
      <c r="AF470" s="111" t="str">
        <f t="shared" si="187"/>
        <v/>
      </c>
      <c r="AG470" s="111" t="str">
        <f t="shared" si="195"/>
        <v/>
      </c>
      <c r="AH470" s="111" t="str">
        <f t="shared" si="196"/>
        <v/>
      </c>
      <c r="AI470" s="112" t="str">
        <f t="shared" si="197"/>
        <v/>
      </c>
      <c r="AJ470" t="str">
        <f t="shared" si="198"/>
        <v/>
      </c>
      <c r="AK470" t="str">
        <f t="shared" si="199"/>
        <v/>
      </c>
    </row>
    <row r="471" spans="1:37" ht="15" customHeight="1" x14ac:dyDescent="0.25">
      <c r="A471" s="114"/>
      <c r="B471" s="116"/>
      <c r="C471" s="116"/>
      <c r="D471" s="42" t="str">
        <f t="shared" si="175"/>
        <v/>
      </c>
      <c r="E471" s="43"/>
      <c r="F471" s="83"/>
      <c r="G471" s="118"/>
      <c r="H471" s="34" t="str">
        <f t="shared" si="176"/>
        <v/>
      </c>
      <c r="I471" s="88" t="str">
        <f t="shared" si="177"/>
        <v/>
      </c>
      <c r="J471" s="44" t="str">
        <f t="shared" si="178"/>
        <v/>
      </c>
      <c r="K471" s="118"/>
      <c r="L471" s="34" t="str">
        <f t="shared" si="179"/>
        <v/>
      </c>
      <c r="M471" s="118"/>
      <c r="N471" s="121"/>
      <c r="O471" s="122" t="str">
        <f t="shared" si="188"/>
        <v/>
      </c>
      <c r="P471" s="35" t="str">
        <f t="shared" si="189"/>
        <v/>
      </c>
      <c r="Q471" s="124"/>
      <c r="R471" s="36" t="str">
        <f t="shared" si="190"/>
        <v/>
      </c>
      <c r="S471" s="37" t="str">
        <f t="shared" si="180"/>
        <v/>
      </c>
      <c r="T471" s="38" t="str">
        <f t="shared" si="181"/>
        <v/>
      </c>
      <c r="U471" s="39" t="str">
        <f t="shared" si="182"/>
        <v/>
      </c>
      <c r="V471" s="40" t="str">
        <f t="shared" si="183"/>
        <v/>
      </c>
      <c r="W471" s="39" t="str">
        <f t="shared" si="184"/>
        <v/>
      </c>
      <c r="X471" s="34" t="str">
        <f t="shared" si="185"/>
        <v/>
      </c>
      <c r="Y471" s="41" t="str">
        <f t="shared" si="191"/>
        <v/>
      </c>
      <c r="Z471" s="98" t="str">
        <f t="shared" si="186"/>
        <v/>
      </c>
      <c r="AA471" s="81" t="str">
        <f t="shared" si="192"/>
        <v/>
      </c>
      <c r="AC471" s="139"/>
      <c r="AD471" s="110" t="str">
        <f t="shared" si="193"/>
        <v/>
      </c>
      <c r="AE471" s="111" t="str">
        <f t="shared" si="194"/>
        <v/>
      </c>
      <c r="AF471" s="111" t="str">
        <f t="shared" si="187"/>
        <v/>
      </c>
      <c r="AG471" s="111" t="str">
        <f t="shared" si="195"/>
        <v/>
      </c>
      <c r="AH471" s="111" t="str">
        <f t="shared" si="196"/>
        <v/>
      </c>
      <c r="AI471" s="112" t="str">
        <f t="shared" si="197"/>
        <v/>
      </c>
      <c r="AJ471" t="str">
        <f t="shared" si="198"/>
        <v/>
      </c>
      <c r="AK471" t="str">
        <f t="shared" si="199"/>
        <v/>
      </c>
    </row>
    <row r="472" spans="1:37" ht="15" customHeight="1" x14ac:dyDescent="0.25">
      <c r="A472" s="114"/>
      <c r="B472" s="116"/>
      <c r="C472" s="116"/>
      <c r="D472" s="42" t="str">
        <f t="shared" si="175"/>
        <v/>
      </c>
      <c r="E472" s="43"/>
      <c r="F472" s="83"/>
      <c r="G472" s="118"/>
      <c r="H472" s="34" t="str">
        <f t="shared" si="176"/>
        <v/>
      </c>
      <c r="I472" s="88" t="str">
        <f t="shared" si="177"/>
        <v/>
      </c>
      <c r="J472" s="44" t="str">
        <f t="shared" si="178"/>
        <v/>
      </c>
      <c r="K472" s="118"/>
      <c r="L472" s="34" t="str">
        <f t="shared" si="179"/>
        <v/>
      </c>
      <c r="M472" s="118"/>
      <c r="N472" s="121"/>
      <c r="O472" s="122" t="str">
        <f t="shared" si="188"/>
        <v/>
      </c>
      <c r="P472" s="35" t="str">
        <f t="shared" si="189"/>
        <v/>
      </c>
      <c r="Q472" s="124"/>
      <c r="R472" s="36" t="str">
        <f t="shared" si="190"/>
        <v/>
      </c>
      <c r="S472" s="37" t="str">
        <f t="shared" si="180"/>
        <v/>
      </c>
      <c r="T472" s="38" t="str">
        <f t="shared" si="181"/>
        <v/>
      </c>
      <c r="U472" s="39" t="str">
        <f t="shared" si="182"/>
        <v/>
      </c>
      <c r="V472" s="40" t="str">
        <f t="shared" si="183"/>
        <v/>
      </c>
      <c r="W472" s="39" t="str">
        <f t="shared" si="184"/>
        <v/>
      </c>
      <c r="X472" s="34" t="str">
        <f t="shared" si="185"/>
        <v/>
      </c>
      <c r="Y472" s="41" t="str">
        <f t="shared" si="191"/>
        <v/>
      </c>
      <c r="Z472" s="98" t="str">
        <f t="shared" si="186"/>
        <v/>
      </c>
      <c r="AA472" s="81" t="str">
        <f t="shared" si="192"/>
        <v/>
      </c>
      <c r="AC472" s="139"/>
      <c r="AD472" s="110" t="str">
        <f t="shared" si="193"/>
        <v/>
      </c>
      <c r="AE472" s="111" t="str">
        <f t="shared" si="194"/>
        <v/>
      </c>
      <c r="AF472" s="111" t="str">
        <f t="shared" si="187"/>
        <v/>
      </c>
      <c r="AG472" s="111" t="str">
        <f t="shared" si="195"/>
        <v/>
      </c>
      <c r="AH472" s="111" t="str">
        <f t="shared" si="196"/>
        <v/>
      </c>
      <c r="AI472" s="112" t="str">
        <f t="shared" si="197"/>
        <v/>
      </c>
      <c r="AJ472" t="str">
        <f t="shared" si="198"/>
        <v/>
      </c>
      <c r="AK472" t="str">
        <f t="shared" si="199"/>
        <v/>
      </c>
    </row>
    <row r="473" spans="1:37" ht="15" customHeight="1" x14ac:dyDescent="0.25">
      <c r="A473" s="114"/>
      <c r="B473" s="116"/>
      <c r="C473" s="116"/>
      <c r="D473" s="42" t="str">
        <f t="shared" si="175"/>
        <v/>
      </c>
      <c r="E473" s="43"/>
      <c r="F473" s="83"/>
      <c r="G473" s="118"/>
      <c r="H473" s="34" t="str">
        <f t="shared" si="176"/>
        <v/>
      </c>
      <c r="I473" s="88" t="str">
        <f t="shared" si="177"/>
        <v/>
      </c>
      <c r="J473" s="44" t="str">
        <f t="shared" si="178"/>
        <v/>
      </c>
      <c r="K473" s="118"/>
      <c r="L473" s="34" t="str">
        <f t="shared" si="179"/>
        <v/>
      </c>
      <c r="M473" s="118"/>
      <c r="N473" s="121"/>
      <c r="O473" s="122" t="str">
        <f t="shared" si="188"/>
        <v/>
      </c>
      <c r="P473" s="35" t="str">
        <f t="shared" si="189"/>
        <v/>
      </c>
      <c r="Q473" s="124"/>
      <c r="R473" s="36" t="str">
        <f t="shared" si="190"/>
        <v/>
      </c>
      <c r="S473" s="37" t="str">
        <f t="shared" si="180"/>
        <v/>
      </c>
      <c r="T473" s="38" t="str">
        <f t="shared" si="181"/>
        <v/>
      </c>
      <c r="U473" s="39" t="str">
        <f t="shared" si="182"/>
        <v/>
      </c>
      <c r="V473" s="40" t="str">
        <f t="shared" si="183"/>
        <v/>
      </c>
      <c r="W473" s="39" t="str">
        <f t="shared" si="184"/>
        <v/>
      </c>
      <c r="X473" s="34" t="str">
        <f t="shared" si="185"/>
        <v/>
      </c>
      <c r="Y473" s="41" t="str">
        <f t="shared" si="191"/>
        <v/>
      </c>
      <c r="Z473" s="98" t="str">
        <f t="shared" si="186"/>
        <v/>
      </c>
      <c r="AA473" s="81" t="str">
        <f t="shared" si="192"/>
        <v/>
      </c>
      <c r="AC473" s="139"/>
      <c r="AD473" s="110" t="str">
        <f t="shared" si="193"/>
        <v/>
      </c>
      <c r="AE473" s="111" t="str">
        <f t="shared" si="194"/>
        <v/>
      </c>
      <c r="AF473" s="111" t="str">
        <f t="shared" si="187"/>
        <v/>
      </c>
      <c r="AG473" s="111" t="str">
        <f t="shared" si="195"/>
        <v/>
      </c>
      <c r="AH473" s="111" t="str">
        <f t="shared" si="196"/>
        <v/>
      </c>
      <c r="AI473" s="112" t="str">
        <f t="shared" si="197"/>
        <v/>
      </c>
      <c r="AJ473" t="str">
        <f t="shared" si="198"/>
        <v/>
      </c>
      <c r="AK473" t="str">
        <f t="shared" si="199"/>
        <v/>
      </c>
    </row>
    <row r="474" spans="1:37" ht="15" customHeight="1" x14ac:dyDescent="0.25">
      <c r="A474" s="114"/>
      <c r="B474" s="116"/>
      <c r="C474" s="116"/>
      <c r="D474" s="42" t="str">
        <f t="shared" si="175"/>
        <v/>
      </c>
      <c r="E474" s="43"/>
      <c r="F474" s="83"/>
      <c r="G474" s="118"/>
      <c r="H474" s="34" t="str">
        <f t="shared" si="176"/>
        <v/>
      </c>
      <c r="I474" s="88" t="str">
        <f t="shared" si="177"/>
        <v/>
      </c>
      <c r="J474" s="44" t="str">
        <f t="shared" si="178"/>
        <v/>
      </c>
      <c r="K474" s="118"/>
      <c r="L474" s="34" t="str">
        <f t="shared" si="179"/>
        <v/>
      </c>
      <c r="M474" s="118"/>
      <c r="N474" s="121"/>
      <c r="O474" s="122" t="str">
        <f t="shared" si="188"/>
        <v/>
      </c>
      <c r="P474" s="35" t="str">
        <f t="shared" si="189"/>
        <v/>
      </c>
      <c r="Q474" s="124"/>
      <c r="R474" s="36" t="str">
        <f t="shared" si="190"/>
        <v/>
      </c>
      <c r="S474" s="37" t="str">
        <f t="shared" si="180"/>
        <v/>
      </c>
      <c r="T474" s="38" t="str">
        <f t="shared" si="181"/>
        <v/>
      </c>
      <c r="U474" s="39" t="str">
        <f t="shared" si="182"/>
        <v/>
      </c>
      <c r="V474" s="40" t="str">
        <f t="shared" si="183"/>
        <v/>
      </c>
      <c r="W474" s="39" t="str">
        <f t="shared" si="184"/>
        <v/>
      </c>
      <c r="X474" s="34" t="str">
        <f t="shared" si="185"/>
        <v/>
      </c>
      <c r="Y474" s="41" t="str">
        <f t="shared" si="191"/>
        <v/>
      </c>
      <c r="Z474" s="98" t="str">
        <f t="shared" si="186"/>
        <v/>
      </c>
      <c r="AA474" s="81" t="str">
        <f t="shared" si="192"/>
        <v/>
      </c>
      <c r="AC474" s="139"/>
      <c r="AD474" s="110" t="str">
        <f t="shared" si="193"/>
        <v/>
      </c>
      <c r="AE474" s="111" t="str">
        <f t="shared" si="194"/>
        <v/>
      </c>
      <c r="AF474" s="111" t="str">
        <f t="shared" si="187"/>
        <v/>
      </c>
      <c r="AG474" s="111" t="str">
        <f t="shared" si="195"/>
        <v/>
      </c>
      <c r="AH474" s="111" t="str">
        <f t="shared" si="196"/>
        <v/>
      </c>
      <c r="AI474" s="112" t="str">
        <f t="shared" si="197"/>
        <v/>
      </c>
      <c r="AJ474" t="str">
        <f t="shared" si="198"/>
        <v/>
      </c>
      <c r="AK474" t="str">
        <f t="shared" si="199"/>
        <v/>
      </c>
    </row>
    <row r="475" spans="1:37" ht="15" customHeight="1" x14ac:dyDescent="0.25">
      <c r="A475" s="114"/>
      <c r="B475" s="116"/>
      <c r="C475" s="116"/>
      <c r="D475" s="42" t="str">
        <f t="shared" si="175"/>
        <v/>
      </c>
      <c r="E475" s="43"/>
      <c r="F475" s="83"/>
      <c r="G475" s="118"/>
      <c r="H475" s="34" t="str">
        <f t="shared" si="176"/>
        <v/>
      </c>
      <c r="I475" s="88" t="str">
        <f t="shared" si="177"/>
        <v/>
      </c>
      <c r="J475" s="44" t="str">
        <f t="shared" si="178"/>
        <v/>
      </c>
      <c r="K475" s="118"/>
      <c r="L475" s="34" t="str">
        <f t="shared" si="179"/>
        <v/>
      </c>
      <c r="M475" s="118"/>
      <c r="N475" s="121"/>
      <c r="O475" s="122" t="str">
        <f t="shared" si="188"/>
        <v/>
      </c>
      <c r="P475" s="35" t="str">
        <f t="shared" si="189"/>
        <v/>
      </c>
      <c r="Q475" s="124"/>
      <c r="R475" s="36" t="str">
        <f t="shared" si="190"/>
        <v/>
      </c>
      <c r="S475" s="37" t="str">
        <f t="shared" si="180"/>
        <v/>
      </c>
      <c r="T475" s="38" t="str">
        <f t="shared" si="181"/>
        <v/>
      </c>
      <c r="U475" s="39" t="str">
        <f t="shared" si="182"/>
        <v/>
      </c>
      <c r="V475" s="40" t="str">
        <f t="shared" si="183"/>
        <v/>
      </c>
      <c r="W475" s="39" t="str">
        <f t="shared" si="184"/>
        <v/>
      </c>
      <c r="X475" s="34" t="str">
        <f t="shared" si="185"/>
        <v/>
      </c>
      <c r="Y475" s="41" t="str">
        <f t="shared" si="191"/>
        <v/>
      </c>
      <c r="Z475" s="98" t="str">
        <f t="shared" si="186"/>
        <v/>
      </c>
      <c r="AA475" s="81" t="str">
        <f t="shared" si="192"/>
        <v/>
      </c>
      <c r="AC475" s="139"/>
      <c r="AD475" s="110" t="str">
        <f t="shared" si="193"/>
        <v/>
      </c>
      <c r="AE475" s="111" t="str">
        <f t="shared" si="194"/>
        <v/>
      </c>
      <c r="AF475" s="111" t="str">
        <f t="shared" si="187"/>
        <v/>
      </c>
      <c r="AG475" s="111" t="str">
        <f t="shared" si="195"/>
        <v/>
      </c>
      <c r="AH475" s="111" t="str">
        <f t="shared" si="196"/>
        <v/>
      </c>
      <c r="AI475" s="112" t="str">
        <f t="shared" si="197"/>
        <v/>
      </c>
      <c r="AJ475" t="str">
        <f t="shared" si="198"/>
        <v/>
      </c>
      <c r="AK475" t="str">
        <f t="shared" si="199"/>
        <v/>
      </c>
    </row>
    <row r="476" spans="1:37" ht="15" customHeight="1" x14ac:dyDescent="0.25">
      <c r="A476" s="114"/>
      <c r="B476" s="116"/>
      <c r="C476" s="116"/>
      <c r="D476" s="42" t="str">
        <f t="shared" si="175"/>
        <v/>
      </c>
      <c r="E476" s="43"/>
      <c r="F476" s="83"/>
      <c r="G476" s="118"/>
      <c r="H476" s="34" t="str">
        <f t="shared" si="176"/>
        <v/>
      </c>
      <c r="I476" s="88" t="str">
        <f t="shared" si="177"/>
        <v/>
      </c>
      <c r="J476" s="44" t="str">
        <f t="shared" si="178"/>
        <v/>
      </c>
      <c r="K476" s="118"/>
      <c r="L476" s="34" t="str">
        <f t="shared" si="179"/>
        <v/>
      </c>
      <c r="M476" s="118"/>
      <c r="N476" s="121"/>
      <c r="O476" s="122" t="str">
        <f t="shared" si="188"/>
        <v/>
      </c>
      <c r="P476" s="35" t="str">
        <f t="shared" si="189"/>
        <v/>
      </c>
      <c r="Q476" s="124"/>
      <c r="R476" s="36" t="str">
        <f t="shared" si="190"/>
        <v/>
      </c>
      <c r="S476" s="37" t="str">
        <f t="shared" si="180"/>
        <v/>
      </c>
      <c r="T476" s="38" t="str">
        <f t="shared" si="181"/>
        <v/>
      </c>
      <c r="U476" s="39" t="str">
        <f t="shared" si="182"/>
        <v/>
      </c>
      <c r="V476" s="40" t="str">
        <f t="shared" si="183"/>
        <v/>
      </c>
      <c r="W476" s="39" t="str">
        <f t="shared" si="184"/>
        <v/>
      </c>
      <c r="X476" s="34" t="str">
        <f t="shared" si="185"/>
        <v/>
      </c>
      <c r="Y476" s="41" t="str">
        <f t="shared" si="191"/>
        <v/>
      </c>
      <c r="Z476" s="98" t="str">
        <f t="shared" si="186"/>
        <v/>
      </c>
      <c r="AA476" s="81" t="str">
        <f t="shared" si="192"/>
        <v/>
      </c>
      <c r="AC476" s="139"/>
      <c r="AD476" s="110" t="str">
        <f t="shared" si="193"/>
        <v/>
      </c>
      <c r="AE476" s="111" t="str">
        <f t="shared" si="194"/>
        <v/>
      </c>
      <c r="AF476" s="111" t="str">
        <f t="shared" si="187"/>
        <v/>
      </c>
      <c r="AG476" s="111" t="str">
        <f t="shared" si="195"/>
        <v/>
      </c>
      <c r="AH476" s="111" t="str">
        <f t="shared" si="196"/>
        <v/>
      </c>
      <c r="AI476" s="112" t="str">
        <f t="shared" si="197"/>
        <v/>
      </c>
      <c r="AJ476" t="str">
        <f t="shared" si="198"/>
        <v/>
      </c>
      <c r="AK476" t="str">
        <f t="shared" si="199"/>
        <v/>
      </c>
    </row>
    <row r="477" spans="1:37" ht="15" customHeight="1" x14ac:dyDescent="0.25">
      <c r="A477" s="114"/>
      <c r="B477" s="116"/>
      <c r="C477" s="116"/>
      <c r="D477" s="42" t="str">
        <f t="shared" si="175"/>
        <v/>
      </c>
      <c r="E477" s="43"/>
      <c r="F477" s="83"/>
      <c r="G477" s="118"/>
      <c r="H477" s="34" t="str">
        <f t="shared" si="176"/>
        <v/>
      </c>
      <c r="I477" s="88" t="str">
        <f t="shared" si="177"/>
        <v/>
      </c>
      <c r="J477" s="44" t="str">
        <f t="shared" si="178"/>
        <v/>
      </c>
      <c r="K477" s="118"/>
      <c r="L477" s="34" t="str">
        <f t="shared" si="179"/>
        <v/>
      </c>
      <c r="M477" s="118"/>
      <c r="N477" s="121"/>
      <c r="O477" s="122" t="str">
        <f t="shared" si="188"/>
        <v/>
      </c>
      <c r="P477" s="35" t="str">
        <f t="shared" si="189"/>
        <v/>
      </c>
      <c r="Q477" s="124"/>
      <c r="R477" s="36" t="str">
        <f t="shared" si="190"/>
        <v/>
      </c>
      <c r="S477" s="37" t="str">
        <f t="shared" si="180"/>
        <v/>
      </c>
      <c r="T477" s="38" t="str">
        <f t="shared" si="181"/>
        <v/>
      </c>
      <c r="U477" s="39" t="str">
        <f t="shared" si="182"/>
        <v/>
      </c>
      <c r="V477" s="40" t="str">
        <f t="shared" si="183"/>
        <v/>
      </c>
      <c r="W477" s="39" t="str">
        <f t="shared" si="184"/>
        <v/>
      </c>
      <c r="X477" s="34" t="str">
        <f t="shared" si="185"/>
        <v/>
      </c>
      <c r="Y477" s="41" t="str">
        <f t="shared" si="191"/>
        <v/>
      </c>
      <c r="Z477" s="98" t="str">
        <f t="shared" si="186"/>
        <v/>
      </c>
      <c r="AA477" s="81" t="str">
        <f t="shared" si="192"/>
        <v/>
      </c>
      <c r="AC477" s="139"/>
      <c r="AD477" s="110" t="str">
        <f t="shared" si="193"/>
        <v/>
      </c>
      <c r="AE477" s="111" t="str">
        <f t="shared" si="194"/>
        <v/>
      </c>
      <c r="AF477" s="111" t="str">
        <f t="shared" si="187"/>
        <v/>
      </c>
      <c r="AG477" s="111" t="str">
        <f t="shared" si="195"/>
        <v/>
      </c>
      <c r="AH477" s="111" t="str">
        <f t="shared" si="196"/>
        <v/>
      </c>
      <c r="AI477" s="112" t="str">
        <f t="shared" si="197"/>
        <v/>
      </c>
      <c r="AJ477" t="str">
        <f t="shared" si="198"/>
        <v/>
      </c>
      <c r="AK477" t="str">
        <f t="shared" si="199"/>
        <v/>
      </c>
    </row>
    <row r="478" spans="1:37" ht="15" customHeight="1" x14ac:dyDescent="0.25">
      <c r="A478" s="114"/>
      <c r="B478" s="116"/>
      <c r="C478" s="116"/>
      <c r="D478" s="42" t="str">
        <f t="shared" si="175"/>
        <v/>
      </c>
      <c r="E478" s="43"/>
      <c r="F478" s="83"/>
      <c r="G478" s="118"/>
      <c r="H478" s="34" t="str">
        <f t="shared" si="176"/>
        <v/>
      </c>
      <c r="I478" s="88" t="str">
        <f t="shared" si="177"/>
        <v/>
      </c>
      <c r="J478" s="44" t="str">
        <f t="shared" si="178"/>
        <v/>
      </c>
      <c r="K478" s="118"/>
      <c r="L478" s="34" t="str">
        <f t="shared" si="179"/>
        <v/>
      </c>
      <c r="M478" s="118"/>
      <c r="N478" s="121"/>
      <c r="O478" s="122" t="str">
        <f t="shared" si="188"/>
        <v/>
      </c>
      <c r="P478" s="35" t="str">
        <f t="shared" si="189"/>
        <v/>
      </c>
      <c r="Q478" s="124"/>
      <c r="R478" s="36" t="str">
        <f t="shared" si="190"/>
        <v/>
      </c>
      <c r="S478" s="37" t="str">
        <f t="shared" si="180"/>
        <v/>
      </c>
      <c r="T478" s="38" t="str">
        <f t="shared" si="181"/>
        <v/>
      </c>
      <c r="U478" s="39" t="str">
        <f t="shared" si="182"/>
        <v/>
      </c>
      <c r="V478" s="40" t="str">
        <f t="shared" si="183"/>
        <v/>
      </c>
      <c r="W478" s="39" t="str">
        <f t="shared" si="184"/>
        <v/>
      </c>
      <c r="X478" s="34" t="str">
        <f t="shared" si="185"/>
        <v/>
      </c>
      <c r="Y478" s="41" t="str">
        <f t="shared" si="191"/>
        <v/>
      </c>
      <c r="Z478" s="98" t="str">
        <f t="shared" si="186"/>
        <v/>
      </c>
      <c r="AA478" s="81" t="str">
        <f t="shared" si="192"/>
        <v/>
      </c>
      <c r="AC478" s="139"/>
      <c r="AD478" s="110" t="str">
        <f t="shared" si="193"/>
        <v/>
      </c>
      <c r="AE478" s="111" t="str">
        <f t="shared" si="194"/>
        <v/>
      </c>
      <c r="AF478" s="111" t="str">
        <f t="shared" si="187"/>
        <v/>
      </c>
      <c r="AG478" s="111" t="str">
        <f t="shared" si="195"/>
        <v/>
      </c>
      <c r="AH478" s="111" t="str">
        <f t="shared" si="196"/>
        <v/>
      </c>
      <c r="AI478" s="112" t="str">
        <f t="shared" si="197"/>
        <v/>
      </c>
      <c r="AJ478" t="str">
        <f t="shared" si="198"/>
        <v/>
      </c>
      <c r="AK478" t="str">
        <f t="shared" si="199"/>
        <v/>
      </c>
    </row>
    <row r="479" spans="1:37" ht="15" customHeight="1" x14ac:dyDescent="0.25">
      <c r="A479" s="114"/>
      <c r="B479" s="116"/>
      <c r="C479" s="116"/>
      <c r="D479" s="42" t="str">
        <f t="shared" si="175"/>
        <v/>
      </c>
      <c r="E479" s="43"/>
      <c r="F479" s="83"/>
      <c r="G479" s="118"/>
      <c r="H479" s="34" t="str">
        <f t="shared" si="176"/>
        <v/>
      </c>
      <c r="I479" s="88" t="str">
        <f t="shared" si="177"/>
        <v/>
      </c>
      <c r="J479" s="44" t="str">
        <f t="shared" si="178"/>
        <v/>
      </c>
      <c r="K479" s="118"/>
      <c r="L479" s="34" t="str">
        <f t="shared" si="179"/>
        <v/>
      </c>
      <c r="M479" s="118"/>
      <c r="N479" s="121"/>
      <c r="O479" s="122" t="str">
        <f t="shared" si="188"/>
        <v/>
      </c>
      <c r="P479" s="35" t="str">
        <f t="shared" si="189"/>
        <v/>
      </c>
      <c r="Q479" s="124"/>
      <c r="R479" s="36" t="str">
        <f t="shared" si="190"/>
        <v/>
      </c>
      <c r="S479" s="37" t="str">
        <f t="shared" si="180"/>
        <v/>
      </c>
      <c r="T479" s="38" t="str">
        <f t="shared" si="181"/>
        <v/>
      </c>
      <c r="U479" s="39" t="str">
        <f t="shared" si="182"/>
        <v/>
      </c>
      <c r="V479" s="40" t="str">
        <f t="shared" si="183"/>
        <v/>
      </c>
      <c r="W479" s="39" t="str">
        <f t="shared" si="184"/>
        <v/>
      </c>
      <c r="X479" s="34" t="str">
        <f t="shared" si="185"/>
        <v/>
      </c>
      <c r="Y479" s="41" t="str">
        <f t="shared" si="191"/>
        <v/>
      </c>
      <c r="Z479" s="98" t="str">
        <f t="shared" si="186"/>
        <v/>
      </c>
      <c r="AA479" s="81" t="str">
        <f t="shared" si="192"/>
        <v/>
      </c>
      <c r="AC479" s="139"/>
      <c r="AD479" s="110" t="str">
        <f t="shared" si="193"/>
        <v/>
      </c>
      <c r="AE479" s="111" t="str">
        <f t="shared" si="194"/>
        <v/>
      </c>
      <c r="AF479" s="111" t="str">
        <f t="shared" si="187"/>
        <v/>
      </c>
      <c r="AG479" s="111" t="str">
        <f t="shared" si="195"/>
        <v/>
      </c>
      <c r="AH479" s="111" t="str">
        <f t="shared" si="196"/>
        <v/>
      </c>
      <c r="AI479" s="112" t="str">
        <f t="shared" si="197"/>
        <v/>
      </c>
      <c r="AJ479" t="str">
        <f t="shared" si="198"/>
        <v/>
      </c>
      <c r="AK479" t="str">
        <f t="shared" si="199"/>
        <v/>
      </c>
    </row>
    <row r="480" spans="1:37" ht="15" customHeight="1" x14ac:dyDescent="0.25">
      <c r="A480" s="114"/>
      <c r="B480" s="116"/>
      <c r="C480" s="116"/>
      <c r="D480" s="42" t="str">
        <f t="shared" si="175"/>
        <v/>
      </c>
      <c r="E480" s="43"/>
      <c r="F480" s="83"/>
      <c r="G480" s="118"/>
      <c r="H480" s="34" t="str">
        <f t="shared" si="176"/>
        <v/>
      </c>
      <c r="I480" s="88" t="str">
        <f t="shared" si="177"/>
        <v/>
      </c>
      <c r="J480" s="44" t="str">
        <f t="shared" si="178"/>
        <v/>
      </c>
      <c r="K480" s="118"/>
      <c r="L480" s="34" t="str">
        <f t="shared" si="179"/>
        <v/>
      </c>
      <c r="M480" s="118"/>
      <c r="N480" s="121"/>
      <c r="O480" s="122" t="str">
        <f t="shared" si="188"/>
        <v/>
      </c>
      <c r="P480" s="35" t="str">
        <f t="shared" si="189"/>
        <v/>
      </c>
      <c r="Q480" s="124"/>
      <c r="R480" s="36" t="str">
        <f t="shared" si="190"/>
        <v/>
      </c>
      <c r="S480" s="37" t="str">
        <f t="shared" si="180"/>
        <v/>
      </c>
      <c r="T480" s="38" t="str">
        <f t="shared" si="181"/>
        <v/>
      </c>
      <c r="U480" s="39" t="str">
        <f t="shared" si="182"/>
        <v/>
      </c>
      <c r="V480" s="40" t="str">
        <f t="shared" si="183"/>
        <v/>
      </c>
      <c r="W480" s="39" t="str">
        <f t="shared" si="184"/>
        <v/>
      </c>
      <c r="X480" s="34" t="str">
        <f t="shared" si="185"/>
        <v/>
      </c>
      <c r="Y480" s="41" t="str">
        <f t="shared" si="191"/>
        <v/>
      </c>
      <c r="Z480" s="98" t="str">
        <f t="shared" si="186"/>
        <v/>
      </c>
      <c r="AA480" s="81" t="str">
        <f t="shared" si="192"/>
        <v/>
      </c>
      <c r="AC480" s="139"/>
      <c r="AD480" s="110" t="str">
        <f t="shared" si="193"/>
        <v/>
      </c>
      <c r="AE480" s="111" t="str">
        <f t="shared" si="194"/>
        <v/>
      </c>
      <c r="AF480" s="111" t="str">
        <f t="shared" si="187"/>
        <v/>
      </c>
      <c r="AG480" s="111" t="str">
        <f t="shared" si="195"/>
        <v/>
      </c>
      <c r="AH480" s="111" t="str">
        <f t="shared" si="196"/>
        <v/>
      </c>
      <c r="AI480" s="112" t="str">
        <f t="shared" si="197"/>
        <v/>
      </c>
      <c r="AJ480" t="str">
        <f t="shared" si="198"/>
        <v/>
      </c>
      <c r="AK480" t="str">
        <f t="shared" si="199"/>
        <v/>
      </c>
    </row>
    <row r="481" spans="1:37" ht="15" customHeight="1" x14ac:dyDescent="0.25">
      <c r="A481" s="114"/>
      <c r="B481" s="116"/>
      <c r="C481" s="116"/>
      <c r="D481" s="42" t="str">
        <f t="shared" si="175"/>
        <v/>
      </c>
      <c r="E481" s="43"/>
      <c r="F481" s="83"/>
      <c r="G481" s="118"/>
      <c r="H481" s="34" t="str">
        <f t="shared" si="176"/>
        <v/>
      </c>
      <c r="I481" s="88" t="str">
        <f t="shared" si="177"/>
        <v/>
      </c>
      <c r="J481" s="44" t="str">
        <f t="shared" si="178"/>
        <v/>
      </c>
      <c r="K481" s="118"/>
      <c r="L481" s="34" t="str">
        <f t="shared" si="179"/>
        <v/>
      </c>
      <c r="M481" s="118"/>
      <c r="N481" s="121"/>
      <c r="O481" s="122" t="str">
        <f t="shared" si="188"/>
        <v/>
      </c>
      <c r="P481" s="35" t="str">
        <f t="shared" si="189"/>
        <v/>
      </c>
      <c r="Q481" s="124"/>
      <c r="R481" s="36" t="str">
        <f t="shared" si="190"/>
        <v/>
      </c>
      <c r="S481" s="37" t="str">
        <f t="shared" si="180"/>
        <v/>
      </c>
      <c r="T481" s="38" t="str">
        <f t="shared" si="181"/>
        <v/>
      </c>
      <c r="U481" s="39" t="str">
        <f t="shared" si="182"/>
        <v/>
      </c>
      <c r="V481" s="40" t="str">
        <f t="shared" si="183"/>
        <v/>
      </c>
      <c r="W481" s="39" t="str">
        <f t="shared" si="184"/>
        <v/>
      </c>
      <c r="X481" s="34" t="str">
        <f t="shared" si="185"/>
        <v/>
      </c>
      <c r="Y481" s="41" t="str">
        <f t="shared" si="191"/>
        <v/>
      </c>
      <c r="Z481" s="98" t="str">
        <f t="shared" si="186"/>
        <v/>
      </c>
      <c r="AA481" s="81" t="str">
        <f t="shared" si="192"/>
        <v/>
      </c>
      <c r="AC481" s="139"/>
      <c r="AD481" s="110" t="str">
        <f t="shared" si="193"/>
        <v/>
      </c>
      <c r="AE481" s="111" t="str">
        <f t="shared" si="194"/>
        <v/>
      </c>
      <c r="AF481" s="111" t="str">
        <f t="shared" si="187"/>
        <v/>
      </c>
      <c r="AG481" s="111" t="str">
        <f t="shared" si="195"/>
        <v/>
      </c>
      <c r="AH481" s="111" t="str">
        <f t="shared" si="196"/>
        <v/>
      </c>
      <c r="AI481" s="112" t="str">
        <f t="shared" si="197"/>
        <v/>
      </c>
      <c r="AJ481" t="str">
        <f t="shared" si="198"/>
        <v/>
      </c>
      <c r="AK481" t="str">
        <f t="shared" si="199"/>
        <v/>
      </c>
    </row>
    <row r="482" spans="1:37" ht="15" customHeight="1" x14ac:dyDescent="0.25">
      <c r="A482" s="114"/>
      <c r="B482" s="116"/>
      <c r="C482" s="116"/>
      <c r="D482" s="42" t="str">
        <f t="shared" si="175"/>
        <v/>
      </c>
      <c r="E482" s="43"/>
      <c r="F482" s="83"/>
      <c r="G482" s="118"/>
      <c r="H482" s="34" t="str">
        <f t="shared" si="176"/>
        <v/>
      </c>
      <c r="I482" s="88" t="str">
        <f t="shared" si="177"/>
        <v/>
      </c>
      <c r="J482" s="44" t="str">
        <f t="shared" si="178"/>
        <v/>
      </c>
      <c r="K482" s="118"/>
      <c r="L482" s="34" t="str">
        <f t="shared" si="179"/>
        <v/>
      </c>
      <c r="M482" s="118"/>
      <c r="N482" s="121"/>
      <c r="O482" s="122" t="str">
        <f t="shared" si="188"/>
        <v/>
      </c>
      <c r="P482" s="35" t="str">
        <f t="shared" si="189"/>
        <v/>
      </c>
      <c r="Q482" s="124"/>
      <c r="R482" s="36" t="str">
        <f t="shared" si="190"/>
        <v/>
      </c>
      <c r="S482" s="37" t="str">
        <f t="shared" si="180"/>
        <v/>
      </c>
      <c r="T482" s="38" t="str">
        <f t="shared" si="181"/>
        <v/>
      </c>
      <c r="U482" s="39" t="str">
        <f t="shared" si="182"/>
        <v/>
      </c>
      <c r="V482" s="40" t="str">
        <f t="shared" si="183"/>
        <v/>
      </c>
      <c r="W482" s="39" t="str">
        <f t="shared" si="184"/>
        <v/>
      </c>
      <c r="X482" s="34" t="str">
        <f t="shared" si="185"/>
        <v/>
      </c>
      <c r="Y482" s="41" t="str">
        <f t="shared" si="191"/>
        <v/>
      </c>
      <c r="Z482" s="98" t="str">
        <f t="shared" si="186"/>
        <v/>
      </c>
      <c r="AA482" s="81" t="str">
        <f t="shared" si="192"/>
        <v/>
      </c>
      <c r="AC482" s="139"/>
      <c r="AD482" s="110" t="str">
        <f t="shared" si="193"/>
        <v/>
      </c>
      <c r="AE482" s="111" t="str">
        <f t="shared" si="194"/>
        <v/>
      </c>
      <c r="AF482" s="111" t="str">
        <f t="shared" si="187"/>
        <v/>
      </c>
      <c r="AG482" s="111" t="str">
        <f t="shared" si="195"/>
        <v/>
      </c>
      <c r="AH482" s="111" t="str">
        <f t="shared" si="196"/>
        <v/>
      </c>
      <c r="AI482" s="112" t="str">
        <f t="shared" si="197"/>
        <v/>
      </c>
      <c r="AJ482" t="str">
        <f t="shared" si="198"/>
        <v/>
      </c>
      <c r="AK482" t="str">
        <f t="shared" si="199"/>
        <v/>
      </c>
    </row>
    <row r="483" spans="1:37" ht="15" customHeight="1" x14ac:dyDescent="0.25">
      <c r="A483" s="114"/>
      <c r="B483" s="116"/>
      <c r="C483" s="116"/>
      <c r="D483" s="42" t="str">
        <f t="shared" si="175"/>
        <v/>
      </c>
      <c r="E483" s="43"/>
      <c r="F483" s="83"/>
      <c r="G483" s="118"/>
      <c r="H483" s="34" t="str">
        <f t="shared" si="176"/>
        <v/>
      </c>
      <c r="I483" s="88" t="str">
        <f t="shared" si="177"/>
        <v/>
      </c>
      <c r="J483" s="44" t="str">
        <f t="shared" si="178"/>
        <v/>
      </c>
      <c r="K483" s="118"/>
      <c r="L483" s="34" t="str">
        <f t="shared" si="179"/>
        <v/>
      </c>
      <c r="M483" s="118"/>
      <c r="N483" s="121"/>
      <c r="O483" s="122" t="str">
        <f t="shared" si="188"/>
        <v/>
      </c>
      <c r="P483" s="35" t="str">
        <f t="shared" si="189"/>
        <v/>
      </c>
      <c r="Q483" s="124"/>
      <c r="R483" s="36" t="str">
        <f t="shared" si="190"/>
        <v/>
      </c>
      <c r="S483" s="37" t="str">
        <f t="shared" si="180"/>
        <v/>
      </c>
      <c r="T483" s="38" t="str">
        <f t="shared" si="181"/>
        <v/>
      </c>
      <c r="U483" s="39" t="str">
        <f t="shared" si="182"/>
        <v/>
      </c>
      <c r="V483" s="40" t="str">
        <f t="shared" si="183"/>
        <v/>
      </c>
      <c r="W483" s="39" t="str">
        <f t="shared" si="184"/>
        <v/>
      </c>
      <c r="X483" s="34" t="str">
        <f t="shared" si="185"/>
        <v/>
      </c>
      <c r="Y483" s="41" t="str">
        <f t="shared" si="191"/>
        <v/>
      </c>
      <c r="Z483" s="98" t="str">
        <f t="shared" si="186"/>
        <v/>
      </c>
      <c r="AA483" s="81" t="str">
        <f t="shared" si="192"/>
        <v/>
      </c>
      <c r="AC483" s="139"/>
      <c r="AD483" s="110" t="str">
        <f t="shared" si="193"/>
        <v/>
      </c>
      <c r="AE483" s="111" t="str">
        <f t="shared" si="194"/>
        <v/>
      </c>
      <c r="AF483" s="111" t="str">
        <f t="shared" si="187"/>
        <v/>
      </c>
      <c r="AG483" s="111" t="str">
        <f t="shared" si="195"/>
        <v/>
      </c>
      <c r="AH483" s="111" t="str">
        <f t="shared" si="196"/>
        <v/>
      </c>
      <c r="AI483" s="112" t="str">
        <f t="shared" si="197"/>
        <v/>
      </c>
      <c r="AJ483" t="str">
        <f t="shared" si="198"/>
        <v/>
      </c>
      <c r="AK483" t="str">
        <f t="shared" si="199"/>
        <v/>
      </c>
    </row>
    <row r="484" spans="1:37" ht="15" customHeight="1" x14ac:dyDescent="0.25">
      <c r="A484" s="114"/>
      <c r="B484" s="116"/>
      <c r="C484" s="116"/>
      <c r="D484" s="42" t="str">
        <f t="shared" si="175"/>
        <v/>
      </c>
      <c r="E484" s="43"/>
      <c r="F484" s="83"/>
      <c r="G484" s="118"/>
      <c r="H484" s="34" t="str">
        <f t="shared" si="176"/>
        <v/>
      </c>
      <c r="I484" s="88" t="str">
        <f t="shared" si="177"/>
        <v/>
      </c>
      <c r="J484" s="44" t="str">
        <f t="shared" si="178"/>
        <v/>
      </c>
      <c r="K484" s="118"/>
      <c r="L484" s="34" t="str">
        <f t="shared" si="179"/>
        <v/>
      </c>
      <c r="M484" s="118"/>
      <c r="N484" s="121"/>
      <c r="O484" s="122" t="str">
        <f t="shared" si="188"/>
        <v/>
      </c>
      <c r="P484" s="35" t="str">
        <f t="shared" si="189"/>
        <v/>
      </c>
      <c r="Q484" s="124"/>
      <c r="R484" s="36" t="str">
        <f t="shared" si="190"/>
        <v/>
      </c>
      <c r="S484" s="37" t="str">
        <f t="shared" si="180"/>
        <v/>
      </c>
      <c r="T484" s="38" t="str">
        <f t="shared" si="181"/>
        <v/>
      </c>
      <c r="U484" s="39" t="str">
        <f t="shared" si="182"/>
        <v/>
      </c>
      <c r="V484" s="40" t="str">
        <f t="shared" si="183"/>
        <v/>
      </c>
      <c r="W484" s="39" t="str">
        <f t="shared" si="184"/>
        <v/>
      </c>
      <c r="X484" s="34" t="str">
        <f t="shared" si="185"/>
        <v/>
      </c>
      <c r="Y484" s="41" t="str">
        <f t="shared" si="191"/>
        <v/>
      </c>
      <c r="Z484" s="98" t="str">
        <f t="shared" si="186"/>
        <v/>
      </c>
      <c r="AA484" s="81" t="str">
        <f t="shared" si="192"/>
        <v/>
      </c>
      <c r="AC484" s="139"/>
      <c r="AD484" s="110" t="str">
        <f t="shared" si="193"/>
        <v/>
      </c>
      <c r="AE484" s="111" t="str">
        <f t="shared" si="194"/>
        <v/>
      </c>
      <c r="AF484" s="111" t="str">
        <f t="shared" si="187"/>
        <v/>
      </c>
      <c r="AG484" s="111" t="str">
        <f t="shared" si="195"/>
        <v/>
      </c>
      <c r="AH484" s="111" t="str">
        <f t="shared" si="196"/>
        <v/>
      </c>
      <c r="AI484" s="112" t="str">
        <f t="shared" si="197"/>
        <v/>
      </c>
      <c r="AJ484" t="str">
        <f t="shared" si="198"/>
        <v/>
      </c>
      <c r="AK484" t="str">
        <f t="shared" si="199"/>
        <v/>
      </c>
    </row>
    <row r="485" spans="1:37" ht="15" customHeight="1" x14ac:dyDescent="0.25">
      <c r="A485" s="114"/>
      <c r="B485" s="116"/>
      <c r="C485" s="116"/>
      <c r="D485" s="42" t="str">
        <f t="shared" si="175"/>
        <v/>
      </c>
      <c r="E485" s="43"/>
      <c r="F485" s="83"/>
      <c r="G485" s="118"/>
      <c r="H485" s="34" t="str">
        <f t="shared" si="176"/>
        <v/>
      </c>
      <c r="I485" s="88" t="str">
        <f t="shared" si="177"/>
        <v/>
      </c>
      <c r="J485" s="44" t="str">
        <f t="shared" si="178"/>
        <v/>
      </c>
      <c r="K485" s="118"/>
      <c r="L485" s="34" t="str">
        <f t="shared" si="179"/>
        <v/>
      </c>
      <c r="M485" s="118"/>
      <c r="N485" s="121"/>
      <c r="O485" s="122" t="str">
        <f t="shared" si="188"/>
        <v/>
      </c>
      <c r="P485" s="35" t="str">
        <f t="shared" si="189"/>
        <v/>
      </c>
      <c r="Q485" s="124"/>
      <c r="R485" s="36" t="str">
        <f t="shared" si="190"/>
        <v/>
      </c>
      <c r="S485" s="37" t="str">
        <f t="shared" si="180"/>
        <v/>
      </c>
      <c r="T485" s="38" t="str">
        <f t="shared" si="181"/>
        <v/>
      </c>
      <c r="U485" s="39" t="str">
        <f t="shared" si="182"/>
        <v/>
      </c>
      <c r="V485" s="40" t="str">
        <f t="shared" si="183"/>
        <v/>
      </c>
      <c r="W485" s="39" t="str">
        <f t="shared" si="184"/>
        <v/>
      </c>
      <c r="X485" s="34" t="str">
        <f t="shared" si="185"/>
        <v/>
      </c>
      <c r="Y485" s="41" t="str">
        <f t="shared" si="191"/>
        <v/>
      </c>
      <c r="Z485" s="98" t="str">
        <f t="shared" si="186"/>
        <v/>
      </c>
      <c r="AA485" s="81" t="str">
        <f t="shared" si="192"/>
        <v/>
      </c>
      <c r="AC485" s="139"/>
      <c r="AD485" s="110" t="str">
        <f t="shared" si="193"/>
        <v/>
      </c>
      <c r="AE485" s="111" t="str">
        <f t="shared" si="194"/>
        <v/>
      </c>
      <c r="AF485" s="111" t="str">
        <f t="shared" si="187"/>
        <v/>
      </c>
      <c r="AG485" s="111" t="str">
        <f t="shared" si="195"/>
        <v/>
      </c>
      <c r="AH485" s="111" t="str">
        <f t="shared" si="196"/>
        <v/>
      </c>
      <c r="AI485" s="112" t="str">
        <f t="shared" si="197"/>
        <v/>
      </c>
      <c r="AJ485" t="str">
        <f t="shared" si="198"/>
        <v/>
      </c>
      <c r="AK485" t="str">
        <f t="shared" si="199"/>
        <v/>
      </c>
    </row>
    <row r="486" spans="1:37" ht="15" customHeight="1" x14ac:dyDescent="0.25">
      <c r="A486" s="114"/>
      <c r="B486" s="116"/>
      <c r="C486" s="116"/>
      <c r="D486" s="42" t="str">
        <f t="shared" si="175"/>
        <v/>
      </c>
      <c r="E486" s="43"/>
      <c r="F486" s="83"/>
      <c r="G486" s="118"/>
      <c r="H486" s="34" t="str">
        <f t="shared" si="176"/>
        <v/>
      </c>
      <c r="I486" s="88" t="str">
        <f t="shared" si="177"/>
        <v/>
      </c>
      <c r="J486" s="44" t="str">
        <f t="shared" si="178"/>
        <v/>
      </c>
      <c r="K486" s="118"/>
      <c r="L486" s="34" t="str">
        <f t="shared" si="179"/>
        <v/>
      </c>
      <c r="M486" s="118"/>
      <c r="N486" s="121"/>
      <c r="O486" s="122" t="str">
        <f t="shared" si="188"/>
        <v/>
      </c>
      <c r="P486" s="35" t="str">
        <f t="shared" si="189"/>
        <v/>
      </c>
      <c r="Q486" s="124"/>
      <c r="R486" s="36" t="str">
        <f t="shared" si="190"/>
        <v/>
      </c>
      <c r="S486" s="37" t="str">
        <f t="shared" si="180"/>
        <v/>
      </c>
      <c r="T486" s="38" t="str">
        <f t="shared" si="181"/>
        <v/>
      </c>
      <c r="U486" s="39" t="str">
        <f t="shared" si="182"/>
        <v/>
      </c>
      <c r="V486" s="40" t="str">
        <f t="shared" si="183"/>
        <v/>
      </c>
      <c r="W486" s="39" t="str">
        <f t="shared" si="184"/>
        <v/>
      </c>
      <c r="X486" s="34" t="str">
        <f t="shared" si="185"/>
        <v/>
      </c>
      <c r="Y486" s="41" t="str">
        <f t="shared" si="191"/>
        <v/>
      </c>
      <c r="Z486" s="98" t="str">
        <f t="shared" si="186"/>
        <v/>
      </c>
      <c r="AA486" s="81" t="str">
        <f t="shared" si="192"/>
        <v/>
      </c>
      <c r="AC486" s="139"/>
      <c r="AD486" s="110" t="str">
        <f t="shared" si="193"/>
        <v/>
      </c>
      <c r="AE486" s="111" t="str">
        <f t="shared" si="194"/>
        <v/>
      </c>
      <c r="AF486" s="111" t="str">
        <f t="shared" si="187"/>
        <v/>
      </c>
      <c r="AG486" s="111" t="str">
        <f t="shared" si="195"/>
        <v/>
      </c>
      <c r="AH486" s="111" t="str">
        <f t="shared" si="196"/>
        <v/>
      </c>
      <c r="AI486" s="112" t="str">
        <f t="shared" si="197"/>
        <v/>
      </c>
      <c r="AJ486" t="str">
        <f t="shared" si="198"/>
        <v/>
      </c>
      <c r="AK486" t="str">
        <f t="shared" si="199"/>
        <v/>
      </c>
    </row>
    <row r="487" spans="1:37" ht="15" customHeight="1" x14ac:dyDescent="0.25">
      <c r="A487" s="114"/>
      <c r="B487" s="116"/>
      <c r="C487" s="116"/>
      <c r="D487" s="42" t="str">
        <f t="shared" si="175"/>
        <v/>
      </c>
      <c r="E487" s="43"/>
      <c r="F487" s="83"/>
      <c r="G487" s="118"/>
      <c r="H487" s="34" t="str">
        <f t="shared" si="176"/>
        <v/>
      </c>
      <c r="I487" s="88" t="str">
        <f t="shared" si="177"/>
        <v/>
      </c>
      <c r="J487" s="44" t="str">
        <f t="shared" si="178"/>
        <v/>
      </c>
      <c r="K487" s="118"/>
      <c r="L487" s="34" t="str">
        <f t="shared" si="179"/>
        <v/>
      </c>
      <c r="M487" s="118"/>
      <c r="N487" s="121"/>
      <c r="O487" s="122" t="str">
        <f t="shared" si="188"/>
        <v/>
      </c>
      <c r="P487" s="35" t="str">
        <f t="shared" si="189"/>
        <v/>
      </c>
      <c r="Q487" s="124"/>
      <c r="R487" s="36" t="str">
        <f t="shared" si="190"/>
        <v/>
      </c>
      <c r="S487" s="37" t="str">
        <f t="shared" si="180"/>
        <v/>
      </c>
      <c r="T487" s="38" t="str">
        <f t="shared" si="181"/>
        <v/>
      </c>
      <c r="U487" s="39" t="str">
        <f t="shared" si="182"/>
        <v/>
      </c>
      <c r="V487" s="40" t="str">
        <f t="shared" si="183"/>
        <v/>
      </c>
      <c r="W487" s="39" t="str">
        <f t="shared" si="184"/>
        <v/>
      </c>
      <c r="X487" s="34" t="str">
        <f t="shared" si="185"/>
        <v/>
      </c>
      <c r="Y487" s="41" t="str">
        <f t="shared" si="191"/>
        <v/>
      </c>
      <c r="Z487" s="98" t="str">
        <f t="shared" si="186"/>
        <v/>
      </c>
      <c r="AA487" s="81" t="str">
        <f t="shared" si="192"/>
        <v/>
      </c>
      <c r="AC487" s="139"/>
      <c r="AD487" s="110" t="str">
        <f t="shared" si="193"/>
        <v/>
      </c>
      <c r="AE487" s="111" t="str">
        <f t="shared" si="194"/>
        <v/>
      </c>
      <c r="AF487" s="111" t="str">
        <f t="shared" si="187"/>
        <v/>
      </c>
      <c r="AG487" s="111" t="str">
        <f t="shared" si="195"/>
        <v/>
      </c>
      <c r="AH487" s="111" t="str">
        <f t="shared" si="196"/>
        <v/>
      </c>
      <c r="AI487" s="112" t="str">
        <f t="shared" si="197"/>
        <v/>
      </c>
      <c r="AJ487" t="str">
        <f t="shared" si="198"/>
        <v/>
      </c>
      <c r="AK487" t="str">
        <f t="shared" si="199"/>
        <v/>
      </c>
    </row>
    <row r="488" spans="1:37" ht="15" customHeight="1" x14ac:dyDescent="0.25">
      <c r="A488" s="114"/>
      <c r="B488" s="116"/>
      <c r="C488" s="116"/>
      <c r="D488" s="42" t="str">
        <f t="shared" si="175"/>
        <v/>
      </c>
      <c r="E488" s="43"/>
      <c r="F488" s="83"/>
      <c r="G488" s="118"/>
      <c r="H488" s="34" t="str">
        <f t="shared" si="176"/>
        <v/>
      </c>
      <c r="I488" s="88" t="str">
        <f t="shared" si="177"/>
        <v/>
      </c>
      <c r="J488" s="44" t="str">
        <f t="shared" si="178"/>
        <v/>
      </c>
      <c r="K488" s="118"/>
      <c r="L488" s="34" t="str">
        <f t="shared" si="179"/>
        <v/>
      </c>
      <c r="M488" s="118"/>
      <c r="N488" s="121"/>
      <c r="O488" s="122" t="str">
        <f t="shared" si="188"/>
        <v/>
      </c>
      <c r="P488" s="35" t="str">
        <f t="shared" si="189"/>
        <v/>
      </c>
      <c r="Q488" s="124"/>
      <c r="R488" s="36" t="str">
        <f t="shared" si="190"/>
        <v/>
      </c>
      <c r="S488" s="37" t="str">
        <f t="shared" si="180"/>
        <v/>
      </c>
      <c r="T488" s="38" t="str">
        <f t="shared" si="181"/>
        <v/>
      </c>
      <c r="U488" s="39" t="str">
        <f t="shared" si="182"/>
        <v/>
      </c>
      <c r="V488" s="40" t="str">
        <f t="shared" si="183"/>
        <v/>
      </c>
      <c r="W488" s="39" t="str">
        <f t="shared" si="184"/>
        <v/>
      </c>
      <c r="X488" s="34" t="str">
        <f t="shared" si="185"/>
        <v/>
      </c>
      <c r="Y488" s="41" t="str">
        <f t="shared" si="191"/>
        <v/>
      </c>
      <c r="Z488" s="98" t="str">
        <f t="shared" si="186"/>
        <v/>
      </c>
      <c r="AA488" s="81" t="str">
        <f t="shared" si="192"/>
        <v/>
      </c>
      <c r="AC488" s="139"/>
      <c r="AD488" s="110" t="str">
        <f t="shared" si="193"/>
        <v/>
      </c>
      <c r="AE488" s="111" t="str">
        <f t="shared" si="194"/>
        <v/>
      </c>
      <c r="AF488" s="111" t="str">
        <f t="shared" si="187"/>
        <v/>
      </c>
      <c r="AG488" s="111" t="str">
        <f t="shared" si="195"/>
        <v/>
      </c>
      <c r="AH488" s="111" t="str">
        <f t="shared" si="196"/>
        <v/>
      </c>
      <c r="AI488" s="112" t="str">
        <f t="shared" si="197"/>
        <v/>
      </c>
      <c r="AJ488" t="str">
        <f t="shared" si="198"/>
        <v/>
      </c>
      <c r="AK488" t="str">
        <f t="shared" si="199"/>
        <v/>
      </c>
    </row>
    <row r="489" spans="1:37" ht="15" customHeight="1" x14ac:dyDescent="0.25">
      <c r="A489" s="114"/>
      <c r="B489" s="116"/>
      <c r="C489" s="116"/>
      <c r="D489" s="42" t="str">
        <f t="shared" si="175"/>
        <v/>
      </c>
      <c r="E489" s="43"/>
      <c r="F489" s="83"/>
      <c r="G489" s="118"/>
      <c r="H489" s="34" t="str">
        <f t="shared" si="176"/>
        <v/>
      </c>
      <c r="I489" s="88" t="str">
        <f t="shared" si="177"/>
        <v/>
      </c>
      <c r="J489" s="44" t="str">
        <f t="shared" si="178"/>
        <v/>
      </c>
      <c r="K489" s="118"/>
      <c r="L489" s="34" t="str">
        <f t="shared" si="179"/>
        <v/>
      </c>
      <c r="M489" s="118"/>
      <c r="N489" s="121"/>
      <c r="O489" s="122" t="str">
        <f t="shared" si="188"/>
        <v/>
      </c>
      <c r="P489" s="35" t="str">
        <f t="shared" si="189"/>
        <v/>
      </c>
      <c r="Q489" s="124"/>
      <c r="R489" s="36" t="str">
        <f t="shared" si="190"/>
        <v/>
      </c>
      <c r="S489" s="37" t="str">
        <f t="shared" si="180"/>
        <v/>
      </c>
      <c r="T489" s="38" t="str">
        <f t="shared" si="181"/>
        <v/>
      </c>
      <c r="U489" s="39" t="str">
        <f t="shared" si="182"/>
        <v/>
      </c>
      <c r="V489" s="40" t="str">
        <f t="shared" si="183"/>
        <v/>
      </c>
      <c r="W489" s="39" t="str">
        <f t="shared" si="184"/>
        <v/>
      </c>
      <c r="X489" s="34" t="str">
        <f t="shared" si="185"/>
        <v/>
      </c>
      <c r="Y489" s="41" t="str">
        <f t="shared" si="191"/>
        <v/>
      </c>
      <c r="Z489" s="98" t="str">
        <f t="shared" si="186"/>
        <v/>
      </c>
      <c r="AA489" s="81" t="str">
        <f t="shared" si="192"/>
        <v/>
      </c>
      <c r="AC489" s="139"/>
      <c r="AD489" s="110" t="str">
        <f t="shared" si="193"/>
        <v/>
      </c>
      <c r="AE489" s="111" t="str">
        <f t="shared" si="194"/>
        <v/>
      </c>
      <c r="AF489" s="111" t="str">
        <f t="shared" si="187"/>
        <v/>
      </c>
      <c r="AG489" s="111" t="str">
        <f t="shared" si="195"/>
        <v/>
      </c>
      <c r="AH489" s="111" t="str">
        <f t="shared" si="196"/>
        <v/>
      </c>
      <c r="AI489" s="112" t="str">
        <f t="shared" si="197"/>
        <v/>
      </c>
      <c r="AJ489" t="str">
        <f t="shared" si="198"/>
        <v/>
      </c>
      <c r="AK489" t="str">
        <f t="shared" si="199"/>
        <v/>
      </c>
    </row>
    <row r="490" spans="1:37" ht="15" customHeight="1" x14ac:dyDescent="0.25">
      <c r="A490" s="114"/>
      <c r="B490" s="116"/>
      <c r="C490" s="116"/>
      <c r="D490" s="42" t="str">
        <f t="shared" si="175"/>
        <v/>
      </c>
      <c r="E490" s="43"/>
      <c r="F490" s="83"/>
      <c r="G490" s="118"/>
      <c r="H490" s="34" t="str">
        <f t="shared" si="176"/>
        <v/>
      </c>
      <c r="I490" s="88" t="str">
        <f t="shared" si="177"/>
        <v/>
      </c>
      <c r="J490" s="44" t="str">
        <f t="shared" si="178"/>
        <v/>
      </c>
      <c r="K490" s="118"/>
      <c r="L490" s="34" t="str">
        <f t="shared" si="179"/>
        <v/>
      </c>
      <c r="M490" s="118"/>
      <c r="N490" s="121"/>
      <c r="O490" s="122" t="str">
        <f t="shared" si="188"/>
        <v/>
      </c>
      <c r="P490" s="35" t="str">
        <f t="shared" si="189"/>
        <v/>
      </c>
      <c r="Q490" s="124"/>
      <c r="R490" s="36" t="str">
        <f t="shared" si="190"/>
        <v/>
      </c>
      <c r="S490" s="37" t="str">
        <f t="shared" si="180"/>
        <v/>
      </c>
      <c r="T490" s="38" t="str">
        <f t="shared" si="181"/>
        <v/>
      </c>
      <c r="U490" s="39" t="str">
        <f t="shared" si="182"/>
        <v/>
      </c>
      <c r="V490" s="40" t="str">
        <f t="shared" si="183"/>
        <v/>
      </c>
      <c r="W490" s="39" t="str">
        <f t="shared" si="184"/>
        <v/>
      </c>
      <c r="X490" s="34" t="str">
        <f t="shared" si="185"/>
        <v/>
      </c>
      <c r="Y490" s="41" t="str">
        <f t="shared" si="191"/>
        <v/>
      </c>
      <c r="Z490" s="98" t="str">
        <f t="shared" si="186"/>
        <v/>
      </c>
      <c r="AA490" s="81" t="str">
        <f t="shared" si="192"/>
        <v/>
      </c>
      <c r="AC490" s="139"/>
      <c r="AD490" s="110" t="str">
        <f t="shared" si="193"/>
        <v/>
      </c>
      <c r="AE490" s="111" t="str">
        <f t="shared" si="194"/>
        <v/>
      </c>
      <c r="AF490" s="111" t="str">
        <f t="shared" si="187"/>
        <v/>
      </c>
      <c r="AG490" s="111" t="str">
        <f t="shared" si="195"/>
        <v/>
      </c>
      <c r="AH490" s="111" t="str">
        <f t="shared" si="196"/>
        <v/>
      </c>
      <c r="AI490" s="112" t="str">
        <f t="shared" si="197"/>
        <v/>
      </c>
      <c r="AJ490" t="str">
        <f t="shared" si="198"/>
        <v/>
      </c>
      <c r="AK490" t="str">
        <f t="shared" si="199"/>
        <v/>
      </c>
    </row>
    <row r="491" spans="1:37" ht="15" customHeight="1" x14ac:dyDescent="0.25">
      <c r="A491" s="114"/>
      <c r="B491" s="116"/>
      <c r="C491" s="116"/>
      <c r="D491" s="42" t="str">
        <f t="shared" si="175"/>
        <v/>
      </c>
      <c r="E491" s="43"/>
      <c r="F491" s="83"/>
      <c r="G491" s="118"/>
      <c r="H491" s="34" t="str">
        <f t="shared" si="176"/>
        <v/>
      </c>
      <c r="I491" s="88" t="str">
        <f t="shared" si="177"/>
        <v/>
      </c>
      <c r="J491" s="44" t="str">
        <f t="shared" si="178"/>
        <v/>
      </c>
      <c r="K491" s="118"/>
      <c r="L491" s="34" t="str">
        <f t="shared" si="179"/>
        <v/>
      </c>
      <c r="M491" s="118"/>
      <c r="N491" s="121"/>
      <c r="O491" s="122" t="str">
        <f t="shared" si="188"/>
        <v/>
      </c>
      <c r="P491" s="35" t="str">
        <f t="shared" si="189"/>
        <v/>
      </c>
      <c r="Q491" s="124"/>
      <c r="R491" s="36" t="str">
        <f t="shared" si="190"/>
        <v/>
      </c>
      <c r="S491" s="37" t="str">
        <f t="shared" si="180"/>
        <v/>
      </c>
      <c r="T491" s="38" t="str">
        <f t="shared" si="181"/>
        <v/>
      </c>
      <c r="U491" s="39" t="str">
        <f t="shared" si="182"/>
        <v/>
      </c>
      <c r="V491" s="40" t="str">
        <f t="shared" si="183"/>
        <v/>
      </c>
      <c r="W491" s="39" t="str">
        <f t="shared" si="184"/>
        <v/>
      </c>
      <c r="X491" s="34" t="str">
        <f t="shared" si="185"/>
        <v/>
      </c>
      <c r="Y491" s="41" t="str">
        <f t="shared" si="191"/>
        <v/>
      </c>
      <c r="Z491" s="98" t="str">
        <f t="shared" si="186"/>
        <v/>
      </c>
      <c r="AA491" s="81" t="str">
        <f t="shared" si="192"/>
        <v/>
      </c>
      <c r="AC491" s="139"/>
      <c r="AD491" s="110" t="str">
        <f t="shared" si="193"/>
        <v/>
      </c>
      <c r="AE491" s="111" t="str">
        <f t="shared" si="194"/>
        <v/>
      </c>
      <c r="AF491" s="111" t="str">
        <f t="shared" si="187"/>
        <v/>
      </c>
      <c r="AG491" s="111" t="str">
        <f t="shared" si="195"/>
        <v/>
      </c>
      <c r="AH491" s="111" t="str">
        <f t="shared" si="196"/>
        <v/>
      </c>
      <c r="AI491" s="112" t="str">
        <f t="shared" si="197"/>
        <v/>
      </c>
      <c r="AJ491" t="str">
        <f t="shared" si="198"/>
        <v/>
      </c>
      <c r="AK491" t="str">
        <f t="shared" si="199"/>
        <v/>
      </c>
    </row>
    <row r="492" spans="1:37" ht="15" customHeight="1" x14ac:dyDescent="0.25">
      <c r="A492" s="114"/>
      <c r="B492" s="116"/>
      <c r="C492" s="116"/>
      <c r="D492" s="42" t="str">
        <f t="shared" si="175"/>
        <v/>
      </c>
      <c r="E492" s="43"/>
      <c r="F492" s="83"/>
      <c r="G492" s="118"/>
      <c r="H492" s="34" t="str">
        <f t="shared" si="176"/>
        <v/>
      </c>
      <c r="I492" s="88" t="str">
        <f t="shared" si="177"/>
        <v/>
      </c>
      <c r="J492" s="44" t="str">
        <f t="shared" si="178"/>
        <v/>
      </c>
      <c r="K492" s="118"/>
      <c r="L492" s="34" t="str">
        <f t="shared" si="179"/>
        <v/>
      </c>
      <c r="M492" s="118"/>
      <c r="N492" s="121"/>
      <c r="O492" s="122" t="str">
        <f t="shared" si="188"/>
        <v/>
      </c>
      <c r="P492" s="35" t="str">
        <f t="shared" si="189"/>
        <v/>
      </c>
      <c r="Q492" s="124"/>
      <c r="R492" s="36" t="str">
        <f t="shared" si="190"/>
        <v/>
      </c>
      <c r="S492" s="37" t="str">
        <f t="shared" si="180"/>
        <v/>
      </c>
      <c r="T492" s="38" t="str">
        <f t="shared" si="181"/>
        <v/>
      </c>
      <c r="U492" s="39" t="str">
        <f t="shared" si="182"/>
        <v/>
      </c>
      <c r="V492" s="40" t="str">
        <f t="shared" si="183"/>
        <v/>
      </c>
      <c r="W492" s="39" t="str">
        <f t="shared" si="184"/>
        <v/>
      </c>
      <c r="X492" s="34" t="str">
        <f t="shared" si="185"/>
        <v/>
      </c>
      <c r="Y492" s="41" t="str">
        <f t="shared" si="191"/>
        <v/>
      </c>
      <c r="Z492" s="98" t="str">
        <f t="shared" si="186"/>
        <v/>
      </c>
      <c r="AA492" s="81" t="str">
        <f t="shared" si="192"/>
        <v/>
      </c>
      <c r="AC492" s="139"/>
      <c r="AD492" s="110" t="str">
        <f t="shared" si="193"/>
        <v/>
      </c>
      <c r="AE492" s="111" t="str">
        <f t="shared" si="194"/>
        <v/>
      </c>
      <c r="AF492" s="111" t="str">
        <f t="shared" si="187"/>
        <v/>
      </c>
      <c r="AG492" s="111" t="str">
        <f t="shared" si="195"/>
        <v/>
      </c>
      <c r="AH492" s="111" t="str">
        <f t="shared" si="196"/>
        <v/>
      </c>
      <c r="AI492" s="112" t="str">
        <f t="shared" si="197"/>
        <v/>
      </c>
      <c r="AJ492" t="str">
        <f t="shared" si="198"/>
        <v/>
      </c>
      <c r="AK492" t="str">
        <f t="shared" si="199"/>
        <v/>
      </c>
    </row>
    <row r="493" spans="1:37" ht="15" customHeight="1" x14ac:dyDescent="0.25">
      <c r="A493" s="114"/>
      <c r="B493" s="116"/>
      <c r="C493" s="116"/>
      <c r="D493" s="42" t="str">
        <f t="shared" si="175"/>
        <v/>
      </c>
      <c r="E493" s="43"/>
      <c r="F493" s="83"/>
      <c r="G493" s="118"/>
      <c r="H493" s="34" t="str">
        <f t="shared" si="176"/>
        <v/>
      </c>
      <c r="I493" s="88" t="str">
        <f t="shared" si="177"/>
        <v/>
      </c>
      <c r="J493" s="44" t="str">
        <f t="shared" si="178"/>
        <v/>
      </c>
      <c r="K493" s="118"/>
      <c r="L493" s="34" t="str">
        <f t="shared" si="179"/>
        <v/>
      </c>
      <c r="M493" s="118"/>
      <c r="N493" s="121"/>
      <c r="O493" s="122" t="str">
        <f t="shared" si="188"/>
        <v/>
      </c>
      <c r="P493" s="35" t="str">
        <f t="shared" si="189"/>
        <v/>
      </c>
      <c r="Q493" s="124"/>
      <c r="R493" s="36" t="str">
        <f t="shared" si="190"/>
        <v/>
      </c>
      <c r="S493" s="37" t="str">
        <f t="shared" si="180"/>
        <v/>
      </c>
      <c r="T493" s="38" t="str">
        <f t="shared" si="181"/>
        <v/>
      </c>
      <c r="U493" s="39" t="str">
        <f t="shared" si="182"/>
        <v/>
      </c>
      <c r="V493" s="40" t="str">
        <f t="shared" si="183"/>
        <v/>
      </c>
      <c r="W493" s="39" t="str">
        <f t="shared" si="184"/>
        <v/>
      </c>
      <c r="X493" s="34" t="str">
        <f t="shared" si="185"/>
        <v/>
      </c>
      <c r="Y493" s="41" t="str">
        <f t="shared" si="191"/>
        <v/>
      </c>
      <c r="Z493" s="98" t="str">
        <f t="shared" si="186"/>
        <v/>
      </c>
      <c r="AA493" s="81" t="str">
        <f t="shared" si="192"/>
        <v/>
      </c>
      <c r="AC493" s="139"/>
      <c r="AD493" s="110" t="str">
        <f t="shared" si="193"/>
        <v/>
      </c>
      <c r="AE493" s="111" t="str">
        <f t="shared" si="194"/>
        <v/>
      </c>
      <c r="AF493" s="111" t="str">
        <f t="shared" si="187"/>
        <v/>
      </c>
      <c r="AG493" s="111" t="str">
        <f t="shared" si="195"/>
        <v/>
      </c>
      <c r="AH493" s="111" t="str">
        <f t="shared" si="196"/>
        <v/>
      </c>
      <c r="AI493" s="112" t="str">
        <f t="shared" si="197"/>
        <v/>
      </c>
      <c r="AJ493" t="str">
        <f t="shared" si="198"/>
        <v/>
      </c>
      <c r="AK493" t="str">
        <f t="shared" si="199"/>
        <v/>
      </c>
    </row>
    <row r="494" spans="1:37" ht="15" customHeight="1" x14ac:dyDescent="0.25">
      <c r="A494" s="114"/>
      <c r="B494" s="116"/>
      <c r="C494" s="116"/>
      <c r="D494" s="42" t="str">
        <f t="shared" si="175"/>
        <v/>
      </c>
      <c r="E494" s="43"/>
      <c r="F494" s="83"/>
      <c r="G494" s="118"/>
      <c r="H494" s="34" t="str">
        <f t="shared" si="176"/>
        <v/>
      </c>
      <c r="I494" s="88" t="str">
        <f t="shared" si="177"/>
        <v/>
      </c>
      <c r="J494" s="44" t="str">
        <f t="shared" si="178"/>
        <v/>
      </c>
      <c r="K494" s="118"/>
      <c r="L494" s="34" t="str">
        <f t="shared" si="179"/>
        <v/>
      </c>
      <c r="M494" s="118"/>
      <c r="N494" s="121"/>
      <c r="O494" s="122" t="str">
        <f t="shared" si="188"/>
        <v/>
      </c>
      <c r="P494" s="35" t="str">
        <f t="shared" si="189"/>
        <v/>
      </c>
      <c r="Q494" s="124"/>
      <c r="R494" s="36" t="str">
        <f t="shared" si="190"/>
        <v/>
      </c>
      <c r="S494" s="37" t="str">
        <f t="shared" si="180"/>
        <v/>
      </c>
      <c r="T494" s="38" t="str">
        <f t="shared" si="181"/>
        <v/>
      </c>
      <c r="U494" s="39" t="str">
        <f t="shared" si="182"/>
        <v/>
      </c>
      <c r="V494" s="40" t="str">
        <f t="shared" si="183"/>
        <v/>
      </c>
      <c r="W494" s="39" t="str">
        <f t="shared" si="184"/>
        <v/>
      </c>
      <c r="X494" s="34" t="str">
        <f t="shared" si="185"/>
        <v/>
      </c>
      <c r="Y494" s="41" t="str">
        <f t="shared" si="191"/>
        <v/>
      </c>
      <c r="Z494" s="98" t="str">
        <f t="shared" si="186"/>
        <v/>
      </c>
      <c r="AA494" s="81" t="str">
        <f t="shared" si="192"/>
        <v/>
      </c>
      <c r="AC494" s="139"/>
      <c r="AD494" s="110" t="str">
        <f t="shared" si="193"/>
        <v/>
      </c>
      <c r="AE494" s="111" t="str">
        <f t="shared" si="194"/>
        <v/>
      </c>
      <c r="AF494" s="111" t="str">
        <f t="shared" si="187"/>
        <v/>
      </c>
      <c r="AG494" s="111" t="str">
        <f t="shared" si="195"/>
        <v/>
      </c>
      <c r="AH494" s="111" t="str">
        <f t="shared" si="196"/>
        <v/>
      </c>
      <c r="AI494" s="112" t="str">
        <f t="shared" si="197"/>
        <v/>
      </c>
      <c r="AJ494" t="str">
        <f t="shared" si="198"/>
        <v/>
      </c>
      <c r="AK494" t="str">
        <f t="shared" si="199"/>
        <v/>
      </c>
    </row>
    <row r="495" spans="1:37" ht="15" customHeight="1" x14ac:dyDescent="0.25">
      <c r="A495" s="114"/>
      <c r="B495" s="116"/>
      <c r="C495" s="116"/>
      <c r="D495" s="42" t="str">
        <f t="shared" si="175"/>
        <v/>
      </c>
      <c r="E495" s="43"/>
      <c r="F495" s="83"/>
      <c r="G495" s="118"/>
      <c r="H495" s="34" t="str">
        <f t="shared" si="176"/>
        <v/>
      </c>
      <c r="I495" s="88" t="str">
        <f t="shared" si="177"/>
        <v/>
      </c>
      <c r="J495" s="44" t="str">
        <f t="shared" si="178"/>
        <v/>
      </c>
      <c r="K495" s="118"/>
      <c r="L495" s="34" t="str">
        <f t="shared" si="179"/>
        <v/>
      </c>
      <c r="M495" s="118"/>
      <c r="N495" s="121"/>
      <c r="O495" s="122" t="str">
        <f t="shared" si="188"/>
        <v/>
      </c>
      <c r="P495" s="35" t="str">
        <f t="shared" si="189"/>
        <v/>
      </c>
      <c r="Q495" s="124"/>
      <c r="R495" s="36" t="str">
        <f t="shared" si="190"/>
        <v/>
      </c>
      <c r="S495" s="37" t="str">
        <f t="shared" si="180"/>
        <v/>
      </c>
      <c r="T495" s="38" t="str">
        <f t="shared" si="181"/>
        <v/>
      </c>
      <c r="U495" s="39" t="str">
        <f t="shared" si="182"/>
        <v/>
      </c>
      <c r="V495" s="40" t="str">
        <f t="shared" si="183"/>
        <v/>
      </c>
      <c r="W495" s="39" t="str">
        <f t="shared" si="184"/>
        <v/>
      </c>
      <c r="X495" s="34" t="str">
        <f t="shared" si="185"/>
        <v/>
      </c>
      <c r="Y495" s="41" t="str">
        <f t="shared" si="191"/>
        <v/>
      </c>
      <c r="Z495" s="98" t="str">
        <f t="shared" si="186"/>
        <v/>
      </c>
      <c r="AA495" s="81" t="str">
        <f t="shared" si="192"/>
        <v/>
      </c>
      <c r="AC495" s="139"/>
      <c r="AD495" s="110" t="str">
        <f t="shared" si="193"/>
        <v/>
      </c>
      <c r="AE495" s="111" t="str">
        <f t="shared" si="194"/>
        <v/>
      </c>
      <c r="AF495" s="111" t="str">
        <f t="shared" si="187"/>
        <v/>
      </c>
      <c r="AG495" s="111" t="str">
        <f t="shared" si="195"/>
        <v/>
      </c>
      <c r="AH495" s="111" t="str">
        <f t="shared" si="196"/>
        <v/>
      </c>
      <c r="AI495" s="112" t="str">
        <f t="shared" si="197"/>
        <v/>
      </c>
      <c r="AJ495" t="str">
        <f t="shared" si="198"/>
        <v/>
      </c>
      <c r="AK495" t="str">
        <f t="shared" si="199"/>
        <v/>
      </c>
    </row>
    <row r="496" spans="1:37" ht="15" customHeight="1" x14ac:dyDescent="0.25">
      <c r="A496" s="114"/>
      <c r="B496" s="116"/>
      <c r="C496" s="116"/>
      <c r="D496" s="42" t="str">
        <f t="shared" si="175"/>
        <v/>
      </c>
      <c r="E496" s="43"/>
      <c r="F496" s="83"/>
      <c r="G496" s="118"/>
      <c r="H496" s="34" t="str">
        <f t="shared" si="176"/>
        <v/>
      </c>
      <c r="I496" s="88" t="str">
        <f t="shared" si="177"/>
        <v/>
      </c>
      <c r="J496" s="44" t="str">
        <f t="shared" si="178"/>
        <v/>
      </c>
      <c r="K496" s="118"/>
      <c r="L496" s="34" t="str">
        <f t="shared" si="179"/>
        <v/>
      </c>
      <c r="M496" s="118"/>
      <c r="N496" s="121"/>
      <c r="O496" s="122" t="str">
        <f t="shared" si="188"/>
        <v/>
      </c>
      <c r="P496" s="35" t="str">
        <f t="shared" si="189"/>
        <v/>
      </c>
      <c r="Q496" s="124"/>
      <c r="R496" s="36" t="str">
        <f t="shared" si="190"/>
        <v/>
      </c>
      <c r="S496" s="37" t="str">
        <f t="shared" si="180"/>
        <v/>
      </c>
      <c r="T496" s="38" t="str">
        <f t="shared" si="181"/>
        <v/>
      </c>
      <c r="U496" s="39" t="str">
        <f t="shared" si="182"/>
        <v/>
      </c>
      <c r="V496" s="40" t="str">
        <f t="shared" si="183"/>
        <v/>
      </c>
      <c r="W496" s="39" t="str">
        <f t="shared" si="184"/>
        <v/>
      </c>
      <c r="X496" s="34" t="str">
        <f t="shared" si="185"/>
        <v/>
      </c>
      <c r="Y496" s="41" t="str">
        <f t="shared" si="191"/>
        <v/>
      </c>
      <c r="Z496" s="98" t="str">
        <f t="shared" si="186"/>
        <v/>
      </c>
      <c r="AA496" s="81" t="str">
        <f t="shared" si="192"/>
        <v/>
      </c>
      <c r="AC496" s="139"/>
      <c r="AD496" s="110" t="str">
        <f t="shared" si="193"/>
        <v/>
      </c>
      <c r="AE496" s="111" t="str">
        <f t="shared" si="194"/>
        <v/>
      </c>
      <c r="AF496" s="111" t="str">
        <f t="shared" si="187"/>
        <v/>
      </c>
      <c r="AG496" s="111" t="str">
        <f t="shared" si="195"/>
        <v/>
      </c>
      <c r="AH496" s="111" t="str">
        <f t="shared" si="196"/>
        <v/>
      </c>
      <c r="AI496" s="112" t="str">
        <f t="shared" si="197"/>
        <v/>
      </c>
      <c r="AJ496" t="str">
        <f t="shared" si="198"/>
        <v/>
      </c>
      <c r="AK496" t="str">
        <f t="shared" si="199"/>
        <v/>
      </c>
    </row>
    <row r="497" spans="1:37" ht="15" customHeight="1" x14ac:dyDescent="0.25">
      <c r="A497" s="114"/>
      <c r="B497" s="116"/>
      <c r="C497" s="116"/>
      <c r="D497" s="42" t="str">
        <f t="shared" si="175"/>
        <v/>
      </c>
      <c r="E497" s="43"/>
      <c r="F497" s="83"/>
      <c r="G497" s="118"/>
      <c r="H497" s="34" t="str">
        <f t="shared" si="176"/>
        <v/>
      </c>
      <c r="I497" s="88" t="str">
        <f t="shared" si="177"/>
        <v/>
      </c>
      <c r="J497" s="44" t="str">
        <f t="shared" si="178"/>
        <v/>
      </c>
      <c r="K497" s="118"/>
      <c r="L497" s="34" t="str">
        <f t="shared" si="179"/>
        <v/>
      </c>
      <c r="M497" s="118"/>
      <c r="N497" s="121"/>
      <c r="O497" s="122" t="str">
        <f t="shared" si="188"/>
        <v/>
      </c>
      <c r="P497" s="35" t="str">
        <f t="shared" si="189"/>
        <v/>
      </c>
      <c r="Q497" s="124"/>
      <c r="R497" s="36" t="str">
        <f t="shared" si="190"/>
        <v/>
      </c>
      <c r="S497" s="37" t="str">
        <f t="shared" si="180"/>
        <v/>
      </c>
      <c r="T497" s="38" t="str">
        <f t="shared" si="181"/>
        <v/>
      </c>
      <c r="U497" s="39" t="str">
        <f t="shared" si="182"/>
        <v/>
      </c>
      <c r="V497" s="40" t="str">
        <f t="shared" si="183"/>
        <v/>
      </c>
      <c r="W497" s="39" t="str">
        <f t="shared" si="184"/>
        <v/>
      </c>
      <c r="X497" s="34" t="str">
        <f t="shared" si="185"/>
        <v/>
      </c>
      <c r="Y497" s="41" t="str">
        <f t="shared" si="191"/>
        <v/>
      </c>
      <c r="Z497" s="98" t="str">
        <f t="shared" si="186"/>
        <v/>
      </c>
      <c r="AA497" s="81" t="str">
        <f t="shared" si="192"/>
        <v/>
      </c>
      <c r="AC497" s="139"/>
      <c r="AD497" s="110" t="str">
        <f t="shared" si="193"/>
        <v/>
      </c>
      <c r="AE497" s="111" t="str">
        <f t="shared" si="194"/>
        <v/>
      </c>
      <c r="AF497" s="111" t="str">
        <f t="shared" si="187"/>
        <v/>
      </c>
      <c r="AG497" s="111" t="str">
        <f t="shared" si="195"/>
        <v/>
      </c>
      <c r="AH497" s="111" t="str">
        <f t="shared" si="196"/>
        <v/>
      </c>
      <c r="AI497" s="112" t="str">
        <f t="shared" si="197"/>
        <v/>
      </c>
      <c r="AJ497" t="str">
        <f t="shared" si="198"/>
        <v/>
      </c>
      <c r="AK497" t="str">
        <f t="shared" si="199"/>
        <v/>
      </c>
    </row>
    <row r="498" spans="1:37" ht="15" customHeight="1" x14ac:dyDescent="0.25">
      <c r="A498" s="114"/>
      <c r="B498" s="116"/>
      <c r="C498" s="116"/>
      <c r="D498" s="42" t="str">
        <f t="shared" si="175"/>
        <v/>
      </c>
      <c r="E498" s="43"/>
      <c r="F498" s="83"/>
      <c r="G498" s="118"/>
      <c r="H498" s="34" t="str">
        <f t="shared" si="176"/>
        <v/>
      </c>
      <c r="I498" s="88" t="str">
        <f t="shared" si="177"/>
        <v/>
      </c>
      <c r="J498" s="44" t="str">
        <f t="shared" si="178"/>
        <v/>
      </c>
      <c r="K498" s="118"/>
      <c r="L498" s="34" t="str">
        <f t="shared" si="179"/>
        <v/>
      </c>
      <c r="M498" s="118"/>
      <c r="N498" s="121"/>
      <c r="O498" s="122" t="str">
        <f t="shared" si="188"/>
        <v/>
      </c>
      <c r="P498" s="35" t="str">
        <f t="shared" si="189"/>
        <v/>
      </c>
      <c r="Q498" s="124"/>
      <c r="R498" s="36" t="str">
        <f t="shared" si="190"/>
        <v/>
      </c>
      <c r="S498" s="37" t="str">
        <f t="shared" si="180"/>
        <v/>
      </c>
      <c r="T498" s="38" t="str">
        <f t="shared" si="181"/>
        <v/>
      </c>
      <c r="U498" s="39" t="str">
        <f t="shared" si="182"/>
        <v/>
      </c>
      <c r="V498" s="40" t="str">
        <f t="shared" si="183"/>
        <v/>
      </c>
      <c r="W498" s="39" t="str">
        <f t="shared" si="184"/>
        <v/>
      </c>
      <c r="X498" s="34" t="str">
        <f t="shared" si="185"/>
        <v/>
      </c>
      <c r="Y498" s="41" t="str">
        <f t="shared" si="191"/>
        <v/>
      </c>
      <c r="Z498" s="98" t="str">
        <f t="shared" si="186"/>
        <v/>
      </c>
      <c r="AA498" s="81" t="str">
        <f t="shared" si="192"/>
        <v/>
      </c>
      <c r="AC498" s="139"/>
      <c r="AD498" s="110" t="str">
        <f t="shared" si="193"/>
        <v/>
      </c>
      <c r="AE498" s="111" t="str">
        <f t="shared" si="194"/>
        <v/>
      </c>
      <c r="AF498" s="111" t="str">
        <f t="shared" si="187"/>
        <v/>
      </c>
      <c r="AG498" s="111" t="str">
        <f t="shared" si="195"/>
        <v/>
      </c>
      <c r="AH498" s="111" t="str">
        <f t="shared" si="196"/>
        <v/>
      </c>
      <c r="AI498" s="112" t="str">
        <f t="shared" si="197"/>
        <v/>
      </c>
      <c r="AJ498" t="str">
        <f t="shared" si="198"/>
        <v/>
      </c>
      <c r="AK498" t="str">
        <f t="shared" si="199"/>
        <v/>
      </c>
    </row>
    <row r="499" spans="1:37" ht="15" customHeight="1" x14ac:dyDescent="0.25">
      <c r="A499" s="114"/>
      <c r="B499" s="116"/>
      <c r="C499" s="116"/>
      <c r="D499" s="42" t="str">
        <f t="shared" si="175"/>
        <v/>
      </c>
      <c r="E499" s="43"/>
      <c r="F499" s="83"/>
      <c r="G499" s="118"/>
      <c r="H499" s="34" t="str">
        <f t="shared" si="176"/>
        <v/>
      </c>
      <c r="I499" s="88" t="str">
        <f t="shared" si="177"/>
        <v/>
      </c>
      <c r="J499" s="44" t="str">
        <f t="shared" si="178"/>
        <v/>
      </c>
      <c r="K499" s="118"/>
      <c r="L499" s="34" t="str">
        <f t="shared" si="179"/>
        <v/>
      </c>
      <c r="M499" s="118"/>
      <c r="N499" s="121"/>
      <c r="O499" s="122" t="str">
        <f t="shared" si="188"/>
        <v/>
      </c>
      <c r="P499" s="35" t="str">
        <f t="shared" si="189"/>
        <v/>
      </c>
      <c r="Q499" s="124"/>
      <c r="R499" s="36" t="str">
        <f t="shared" si="190"/>
        <v/>
      </c>
      <c r="S499" s="37" t="str">
        <f t="shared" si="180"/>
        <v/>
      </c>
      <c r="T499" s="38" t="str">
        <f t="shared" si="181"/>
        <v/>
      </c>
      <c r="U499" s="39" t="str">
        <f t="shared" si="182"/>
        <v/>
      </c>
      <c r="V499" s="40" t="str">
        <f t="shared" si="183"/>
        <v/>
      </c>
      <c r="W499" s="39" t="str">
        <f t="shared" si="184"/>
        <v/>
      </c>
      <c r="X499" s="34" t="str">
        <f t="shared" si="185"/>
        <v/>
      </c>
      <c r="Y499" s="41" t="str">
        <f t="shared" si="191"/>
        <v/>
      </c>
      <c r="Z499" s="98" t="str">
        <f t="shared" si="186"/>
        <v/>
      </c>
      <c r="AA499" s="81" t="str">
        <f t="shared" si="192"/>
        <v/>
      </c>
      <c r="AC499" s="139"/>
      <c r="AD499" s="110" t="str">
        <f t="shared" si="193"/>
        <v/>
      </c>
      <c r="AE499" s="111" t="str">
        <f t="shared" si="194"/>
        <v/>
      </c>
      <c r="AF499" s="111" t="str">
        <f t="shared" si="187"/>
        <v/>
      </c>
      <c r="AG499" s="111" t="str">
        <f t="shared" si="195"/>
        <v/>
      </c>
      <c r="AH499" s="111" t="str">
        <f t="shared" si="196"/>
        <v/>
      </c>
      <c r="AI499" s="112" t="str">
        <f t="shared" si="197"/>
        <v/>
      </c>
      <c r="AJ499" t="str">
        <f t="shared" si="198"/>
        <v/>
      </c>
      <c r="AK499" t="str">
        <f t="shared" si="199"/>
        <v/>
      </c>
    </row>
    <row r="500" spans="1:37" ht="15" customHeight="1" x14ac:dyDescent="0.25">
      <c r="A500" s="114"/>
      <c r="B500" s="116"/>
      <c r="C500" s="116"/>
      <c r="D500" s="42" t="str">
        <f t="shared" si="175"/>
        <v/>
      </c>
      <c r="E500" s="43"/>
      <c r="F500" s="83"/>
      <c r="G500" s="118"/>
      <c r="H500" s="34" t="str">
        <f t="shared" si="176"/>
        <v/>
      </c>
      <c r="I500" s="88" t="str">
        <f t="shared" si="177"/>
        <v/>
      </c>
      <c r="J500" s="44" t="str">
        <f t="shared" si="178"/>
        <v/>
      </c>
      <c r="K500" s="118"/>
      <c r="L500" s="34" t="str">
        <f t="shared" si="179"/>
        <v/>
      </c>
      <c r="M500" s="118"/>
      <c r="N500" s="121"/>
      <c r="O500" s="122" t="str">
        <f t="shared" si="188"/>
        <v/>
      </c>
      <c r="P500" s="35" t="str">
        <f t="shared" si="189"/>
        <v/>
      </c>
      <c r="Q500" s="124"/>
      <c r="R500" s="36" t="str">
        <f t="shared" si="190"/>
        <v/>
      </c>
      <c r="S500" s="37" t="str">
        <f t="shared" si="180"/>
        <v/>
      </c>
      <c r="T500" s="38" t="str">
        <f t="shared" si="181"/>
        <v/>
      </c>
      <c r="U500" s="39" t="str">
        <f t="shared" si="182"/>
        <v/>
      </c>
      <c r="V500" s="40" t="str">
        <f t="shared" si="183"/>
        <v/>
      </c>
      <c r="W500" s="39" t="str">
        <f t="shared" si="184"/>
        <v/>
      </c>
      <c r="X500" s="34" t="str">
        <f t="shared" si="185"/>
        <v/>
      </c>
      <c r="Y500" s="41" t="str">
        <f t="shared" si="191"/>
        <v/>
      </c>
      <c r="Z500" s="98" t="str">
        <f t="shared" si="186"/>
        <v/>
      </c>
      <c r="AA500" s="81" t="str">
        <f t="shared" si="192"/>
        <v/>
      </c>
      <c r="AC500" s="139"/>
      <c r="AD500" s="110" t="str">
        <f t="shared" si="193"/>
        <v/>
      </c>
      <c r="AE500" s="111" t="str">
        <f t="shared" si="194"/>
        <v/>
      </c>
      <c r="AF500" s="111" t="str">
        <f t="shared" si="187"/>
        <v/>
      </c>
      <c r="AG500" s="111" t="str">
        <f t="shared" si="195"/>
        <v/>
      </c>
      <c r="AH500" s="111" t="str">
        <f t="shared" si="196"/>
        <v/>
      </c>
      <c r="AI500" s="112" t="str">
        <f t="shared" si="197"/>
        <v/>
      </c>
      <c r="AJ500" t="str">
        <f t="shared" si="198"/>
        <v/>
      </c>
      <c r="AK500" t="str">
        <f t="shared" si="199"/>
        <v/>
      </c>
    </row>
    <row r="501" spans="1:37" ht="15" customHeight="1" x14ac:dyDescent="0.25">
      <c r="A501" s="114"/>
      <c r="B501" s="116"/>
      <c r="C501" s="116"/>
      <c r="D501" s="42" t="str">
        <f t="shared" si="175"/>
        <v/>
      </c>
      <c r="E501" s="43"/>
      <c r="F501" s="83"/>
      <c r="G501" s="118"/>
      <c r="H501" s="34" t="str">
        <f t="shared" si="176"/>
        <v/>
      </c>
      <c r="I501" s="88" t="str">
        <f t="shared" si="177"/>
        <v/>
      </c>
      <c r="J501" s="44" t="str">
        <f t="shared" si="178"/>
        <v/>
      </c>
      <c r="K501" s="118"/>
      <c r="L501" s="34" t="str">
        <f t="shared" si="179"/>
        <v/>
      </c>
      <c r="M501" s="118"/>
      <c r="N501" s="121"/>
      <c r="O501" s="122" t="str">
        <f t="shared" si="188"/>
        <v/>
      </c>
      <c r="P501" s="35" t="str">
        <f t="shared" si="189"/>
        <v/>
      </c>
      <c r="Q501" s="124"/>
      <c r="R501" s="36" t="str">
        <f t="shared" si="190"/>
        <v/>
      </c>
      <c r="S501" s="37" t="str">
        <f t="shared" si="180"/>
        <v/>
      </c>
      <c r="T501" s="38" t="str">
        <f t="shared" si="181"/>
        <v/>
      </c>
      <c r="U501" s="39" t="str">
        <f t="shared" si="182"/>
        <v/>
      </c>
      <c r="V501" s="40" t="str">
        <f t="shared" si="183"/>
        <v/>
      </c>
      <c r="W501" s="39" t="str">
        <f t="shared" si="184"/>
        <v/>
      </c>
      <c r="X501" s="34" t="str">
        <f t="shared" si="185"/>
        <v/>
      </c>
      <c r="Y501" s="41" t="str">
        <f t="shared" si="191"/>
        <v/>
      </c>
      <c r="Z501" s="98" t="str">
        <f t="shared" si="186"/>
        <v/>
      </c>
      <c r="AA501" s="81" t="str">
        <f t="shared" si="192"/>
        <v/>
      </c>
      <c r="AC501" s="139"/>
      <c r="AD501" s="110" t="str">
        <f t="shared" si="193"/>
        <v/>
      </c>
      <c r="AE501" s="111" t="str">
        <f t="shared" si="194"/>
        <v/>
      </c>
      <c r="AF501" s="111" t="str">
        <f t="shared" si="187"/>
        <v/>
      </c>
      <c r="AG501" s="111" t="str">
        <f t="shared" si="195"/>
        <v/>
      </c>
      <c r="AH501" s="111" t="str">
        <f t="shared" si="196"/>
        <v/>
      </c>
      <c r="AI501" s="112" t="str">
        <f t="shared" si="197"/>
        <v/>
      </c>
      <c r="AJ501" t="str">
        <f t="shared" si="198"/>
        <v/>
      </c>
      <c r="AK501" t="str">
        <f t="shared" si="199"/>
        <v/>
      </c>
    </row>
    <row r="502" spans="1:37" ht="15" customHeight="1" x14ac:dyDescent="0.25">
      <c r="A502" s="114"/>
      <c r="B502" s="116"/>
      <c r="C502" s="116"/>
      <c r="D502" s="42" t="str">
        <f t="shared" si="175"/>
        <v/>
      </c>
      <c r="E502" s="43"/>
      <c r="F502" s="83"/>
      <c r="G502" s="118"/>
      <c r="H502" s="34" t="str">
        <f t="shared" si="176"/>
        <v/>
      </c>
      <c r="I502" s="88" t="str">
        <f t="shared" si="177"/>
        <v/>
      </c>
      <c r="J502" s="44" t="str">
        <f t="shared" si="178"/>
        <v/>
      </c>
      <c r="K502" s="118"/>
      <c r="L502" s="34" t="str">
        <f t="shared" si="179"/>
        <v/>
      </c>
      <c r="M502" s="118"/>
      <c r="N502" s="121"/>
      <c r="O502" s="122" t="str">
        <f t="shared" si="188"/>
        <v/>
      </c>
      <c r="P502" s="35" t="str">
        <f t="shared" si="189"/>
        <v/>
      </c>
      <c r="Q502" s="124"/>
      <c r="R502" s="36" t="str">
        <f t="shared" si="190"/>
        <v/>
      </c>
      <c r="S502" s="37" t="str">
        <f t="shared" si="180"/>
        <v/>
      </c>
      <c r="T502" s="38" t="str">
        <f t="shared" si="181"/>
        <v/>
      </c>
      <c r="U502" s="39" t="str">
        <f t="shared" si="182"/>
        <v/>
      </c>
      <c r="V502" s="40" t="str">
        <f t="shared" si="183"/>
        <v/>
      </c>
      <c r="W502" s="39" t="str">
        <f t="shared" si="184"/>
        <v/>
      </c>
      <c r="X502" s="34" t="str">
        <f t="shared" si="185"/>
        <v/>
      </c>
      <c r="Y502" s="41" t="str">
        <f t="shared" si="191"/>
        <v/>
      </c>
      <c r="Z502" s="98" t="str">
        <f t="shared" si="186"/>
        <v/>
      </c>
      <c r="AA502" s="81" t="str">
        <f t="shared" si="192"/>
        <v/>
      </c>
      <c r="AC502" s="139"/>
      <c r="AD502" s="110" t="str">
        <f t="shared" si="193"/>
        <v/>
      </c>
      <c r="AE502" s="111" t="str">
        <f t="shared" si="194"/>
        <v/>
      </c>
      <c r="AF502" s="111" t="str">
        <f t="shared" si="187"/>
        <v/>
      </c>
      <c r="AG502" s="111" t="str">
        <f t="shared" si="195"/>
        <v/>
      </c>
      <c r="AH502" s="111" t="str">
        <f t="shared" si="196"/>
        <v/>
      </c>
      <c r="AI502" s="112" t="str">
        <f t="shared" si="197"/>
        <v/>
      </c>
      <c r="AJ502" t="str">
        <f t="shared" si="198"/>
        <v/>
      </c>
      <c r="AK502" t="str">
        <f t="shared" si="199"/>
        <v/>
      </c>
    </row>
    <row r="503" spans="1:37" ht="15" customHeight="1" x14ac:dyDescent="0.25">
      <c r="A503" s="114"/>
      <c r="B503" s="116"/>
      <c r="C503" s="116"/>
      <c r="D503" s="42" t="str">
        <f t="shared" si="175"/>
        <v/>
      </c>
      <c r="E503" s="43"/>
      <c r="F503" s="83"/>
      <c r="G503" s="118"/>
      <c r="H503" s="34" t="str">
        <f t="shared" si="176"/>
        <v/>
      </c>
      <c r="I503" s="88" t="str">
        <f t="shared" si="177"/>
        <v/>
      </c>
      <c r="J503" s="44" t="str">
        <f t="shared" si="178"/>
        <v/>
      </c>
      <c r="K503" s="118"/>
      <c r="L503" s="34" t="str">
        <f t="shared" si="179"/>
        <v/>
      </c>
      <c r="M503" s="118"/>
      <c r="N503" s="121"/>
      <c r="O503" s="122" t="str">
        <f t="shared" si="188"/>
        <v/>
      </c>
      <c r="P503" s="35" t="str">
        <f t="shared" si="189"/>
        <v/>
      </c>
      <c r="Q503" s="124"/>
      <c r="R503" s="36" t="str">
        <f t="shared" si="190"/>
        <v/>
      </c>
      <c r="S503" s="37" t="str">
        <f t="shared" si="180"/>
        <v/>
      </c>
      <c r="T503" s="38" t="str">
        <f t="shared" si="181"/>
        <v/>
      </c>
      <c r="U503" s="39" t="str">
        <f t="shared" si="182"/>
        <v/>
      </c>
      <c r="V503" s="40" t="str">
        <f t="shared" si="183"/>
        <v/>
      </c>
      <c r="W503" s="39" t="str">
        <f t="shared" si="184"/>
        <v/>
      </c>
      <c r="X503" s="34" t="str">
        <f t="shared" si="185"/>
        <v/>
      </c>
      <c r="Y503" s="41" t="str">
        <f t="shared" si="191"/>
        <v/>
      </c>
      <c r="Z503" s="98" t="str">
        <f t="shared" si="186"/>
        <v/>
      </c>
      <c r="AA503" s="81" t="str">
        <f t="shared" si="192"/>
        <v/>
      </c>
      <c r="AC503" s="139"/>
      <c r="AD503" s="110" t="str">
        <f t="shared" si="193"/>
        <v/>
      </c>
      <c r="AE503" s="111" t="str">
        <f t="shared" si="194"/>
        <v/>
      </c>
      <c r="AF503" s="111" t="str">
        <f t="shared" si="187"/>
        <v/>
      </c>
      <c r="AG503" s="111" t="str">
        <f t="shared" si="195"/>
        <v/>
      </c>
      <c r="AH503" s="111" t="str">
        <f t="shared" si="196"/>
        <v/>
      </c>
      <c r="AI503" s="112" t="str">
        <f t="shared" si="197"/>
        <v/>
      </c>
      <c r="AJ503" t="str">
        <f t="shared" si="198"/>
        <v/>
      </c>
      <c r="AK503" t="str">
        <f t="shared" si="199"/>
        <v/>
      </c>
    </row>
    <row r="504" spans="1:37" ht="15" customHeight="1" x14ac:dyDescent="0.25">
      <c r="A504" s="114"/>
      <c r="B504" s="116"/>
      <c r="C504" s="116"/>
      <c r="D504" s="42" t="str">
        <f t="shared" si="175"/>
        <v/>
      </c>
      <c r="E504" s="43"/>
      <c r="F504" s="83"/>
      <c r="G504" s="118"/>
      <c r="H504" s="34" t="str">
        <f t="shared" si="176"/>
        <v/>
      </c>
      <c r="I504" s="88" t="str">
        <f t="shared" si="177"/>
        <v/>
      </c>
      <c r="J504" s="44" t="str">
        <f t="shared" si="178"/>
        <v/>
      </c>
      <c r="K504" s="118"/>
      <c r="L504" s="34" t="str">
        <f t="shared" si="179"/>
        <v/>
      </c>
      <c r="M504" s="118"/>
      <c r="N504" s="121"/>
      <c r="O504" s="122" t="str">
        <f t="shared" si="188"/>
        <v/>
      </c>
      <c r="P504" s="35" t="str">
        <f t="shared" si="189"/>
        <v/>
      </c>
      <c r="Q504" s="124"/>
      <c r="R504" s="36" t="str">
        <f t="shared" si="190"/>
        <v/>
      </c>
      <c r="S504" s="37" t="str">
        <f t="shared" si="180"/>
        <v/>
      </c>
      <c r="T504" s="38" t="str">
        <f t="shared" si="181"/>
        <v/>
      </c>
      <c r="U504" s="39" t="str">
        <f t="shared" si="182"/>
        <v/>
      </c>
      <c r="V504" s="40" t="str">
        <f t="shared" si="183"/>
        <v/>
      </c>
      <c r="W504" s="39" t="str">
        <f t="shared" si="184"/>
        <v/>
      </c>
      <c r="X504" s="34" t="str">
        <f t="shared" si="185"/>
        <v/>
      </c>
      <c r="Y504" s="41" t="str">
        <f t="shared" si="191"/>
        <v/>
      </c>
      <c r="Z504" s="98" t="str">
        <f t="shared" si="186"/>
        <v/>
      </c>
      <c r="AA504" s="81" t="str">
        <f t="shared" si="192"/>
        <v/>
      </c>
      <c r="AC504" s="139"/>
      <c r="AD504" s="110" t="str">
        <f t="shared" si="193"/>
        <v/>
      </c>
      <c r="AE504" s="111" t="str">
        <f t="shared" si="194"/>
        <v/>
      </c>
      <c r="AF504" s="111" t="str">
        <f t="shared" si="187"/>
        <v/>
      </c>
      <c r="AG504" s="111" t="str">
        <f t="shared" si="195"/>
        <v/>
      </c>
      <c r="AH504" s="111" t="str">
        <f t="shared" si="196"/>
        <v/>
      </c>
      <c r="AI504" s="112" t="str">
        <f t="shared" si="197"/>
        <v/>
      </c>
      <c r="AJ504" t="str">
        <f t="shared" si="198"/>
        <v/>
      </c>
      <c r="AK504" t="str">
        <f t="shared" si="199"/>
        <v/>
      </c>
    </row>
    <row r="505" spans="1:37" ht="15" customHeight="1" x14ac:dyDescent="0.25">
      <c r="A505" s="114"/>
      <c r="B505" s="116"/>
      <c r="C505" s="116"/>
      <c r="D505" s="42" t="str">
        <f t="shared" si="175"/>
        <v/>
      </c>
      <c r="E505" s="43"/>
      <c r="F505" s="83"/>
      <c r="G505" s="118"/>
      <c r="H505" s="34" t="str">
        <f t="shared" si="176"/>
        <v/>
      </c>
      <c r="I505" s="88" t="str">
        <f t="shared" si="177"/>
        <v/>
      </c>
      <c r="J505" s="44" t="str">
        <f t="shared" si="178"/>
        <v/>
      </c>
      <c r="K505" s="118"/>
      <c r="L505" s="34" t="str">
        <f t="shared" si="179"/>
        <v/>
      </c>
      <c r="M505" s="118"/>
      <c r="N505" s="121"/>
      <c r="O505" s="122" t="str">
        <f t="shared" si="188"/>
        <v/>
      </c>
      <c r="P505" s="35" t="str">
        <f t="shared" si="189"/>
        <v/>
      </c>
      <c r="Q505" s="124"/>
      <c r="R505" s="36" t="str">
        <f t="shared" si="190"/>
        <v/>
      </c>
      <c r="S505" s="37" t="str">
        <f t="shared" si="180"/>
        <v/>
      </c>
      <c r="T505" s="38" t="str">
        <f t="shared" si="181"/>
        <v/>
      </c>
      <c r="U505" s="39" t="str">
        <f t="shared" si="182"/>
        <v/>
      </c>
      <c r="V505" s="40" t="str">
        <f t="shared" si="183"/>
        <v/>
      </c>
      <c r="W505" s="39" t="str">
        <f t="shared" si="184"/>
        <v/>
      </c>
      <c r="X505" s="34" t="str">
        <f t="shared" si="185"/>
        <v/>
      </c>
      <c r="Y505" s="41" t="str">
        <f t="shared" si="191"/>
        <v/>
      </c>
      <c r="Z505" s="98" t="str">
        <f t="shared" si="186"/>
        <v/>
      </c>
      <c r="AA505" s="81" t="str">
        <f t="shared" si="192"/>
        <v/>
      </c>
      <c r="AC505" s="139"/>
      <c r="AD505" s="110" t="str">
        <f t="shared" si="193"/>
        <v/>
      </c>
      <c r="AE505" s="111" t="str">
        <f t="shared" si="194"/>
        <v/>
      </c>
      <c r="AF505" s="111" t="str">
        <f t="shared" si="187"/>
        <v/>
      </c>
      <c r="AG505" s="111" t="str">
        <f t="shared" si="195"/>
        <v/>
      </c>
      <c r="AH505" s="111" t="str">
        <f t="shared" si="196"/>
        <v/>
      </c>
      <c r="AI505" s="112" t="str">
        <f t="shared" si="197"/>
        <v/>
      </c>
      <c r="AJ505" t="str">
        <f t="shared" si="198"/>
        <v/>
      </c>
      <c r="AK505" t="str">
        <f t="shared" si="199"/>
        <v/>
      </c>
    </row>
    <row r="506" spans="1:37" ht="15" customHeight="1" x14ac:dyDescent="0.25">
      <c r="A506" s="114"/>
      <c r="B506" s="116"/>
      <c r="C506" s="116"/>
      <c r="D506" s="42" t="str">
        <f t="shared" si="175"/>
        <v/>
      </c>
      <c r="E506" s="43"/>
      <c r="F506" s="83"/>
      <c r="G506" s="118"/>
      <c r="H506" s="34" t="str">
        <f t="shared" si="176"/>
        <v/>
      </c>
      <c r="I506" s="88" t="str">
        <f t="shared" si="177"/>
        <v/>
      </c>
      <c r="J506" s="44" t="str">
        <f t="shared" si="178"/>
        <v/>
      </c>
      <c r="K506" s="118"/>
      <c r="L506" s="34" t="str">
        <f t="shared" si="179"/>
        <v/>
      </c>
      <c r="M506" s="118"/>
      <c r="N506" s="121"/>
      <c r="O506" s="122" t="str">
        <f t="shared" si="188"/>
        <v/>
      </c>
      <c r="P506" s="35" t="str">
        <f t="shared" si="189"/>
        <v/>
      </c>
      <c r="Q506" s="124"/>
      <c r="R506" s="36" t="str">
        <f t="shared" si="190"/>
        <v/>
      </c>
      <c r="S506" s="37" t="str">
        <f t="shared" si="180"/>
        <v/>
      </c>
      <c r="T506" s="38" t="str">
        <f t="shared" si="181"/>
        <v/>
      </c>
      <c r="U506" s="39" t="str">
        <f t="shared" si="182"/>
        <v/>
      </c>
      <c r="V506" s="40" t="str">
        <f t="shared" si="183"/>
        <v/>
      </c>
      <c r="W506" s="39" t="str">
        <f t="shared" si="184"/>
        <v/>
      </c>
      <c r="X506" s="34" t="str">
        <f t="shared" si="185"/>
        <v/>
      </c>
      <c r="Y506" s="41" t="str">
        <f t="shared" si="191"/>
        <v/>
      </c>
      <c r="Z506" s="98" t="str">
        <f t="shared" si="186"/>
        <v/>
      </c>
      <c r="AA506" s="81" t="str">
        <f t="shared" si="192"/>
        <v/>
      </c>
      <c r="AC506" s="139"/>
      <c r="AD506" s="110" t="str">
        <f t="shared" si="193"/>
        <v/>
      </c>
      <c r="AE506" s="111" t="str">
        <f t="shared" si="194"/>
        <v/>
      </c>
      <c r="AF506" s="111" t="str">
        <f t="shared" si="187"/>
        <v/>
      </c>
      <c r="AG506" s="111" t="str">
        <f t="shared" si="195"/>
        <v/>
      </c>
      <c r="AH506" s="111" t="str">
        <f t="shared" si="196"/>
        <v/>
      </c>
      <c r="AI506" s="112" t="str">
        <f t="shared" si="197"/>
        <v/>
      </c>
      <c r="AJ506" t="str">
        <f t="shared" si="198"/>
        <v/>
      </c>
      <c r="AK506" t="str">
        <f t="shared" si="199"/>
        <v/>
      </c>
    </row>
    <row r="507" spans="1:37" ht="15" customHeight="1" x14ac:dyDescent="0.25">
      <c r="A507" s="114"/>
      <c r="B507" s="116"/>
      <c r="C507" s="116"/>
      <c r="D507" s="42" t="str">
        <f t="shared" si="175"/>
        <v/>
      </c>
      <c r="E507" s="43"/>
      <c r="F507" s="83"/>
      <c r="G507" s="118"/>
      <c r="H507" s="34" t="str">
        <f t="shared" si="176"/>
        <v/>
      </c>
      <c r="I507" s="88" t="str">
        <f t="shared" si="177"/>
        <v/>
      </c>
      <c r="J507" s="44" t="str">
        <f t="shared" si="178"/>
        <v/>
      </c>
      <c r="K507" s="118"/>
      <c r="L507" s="34" t="str">
        <f t="shared" si="179"/>
        <v/>
      </c>
      <c r="M507" s="118"/>
      <c r="N507" s="121"/>
      <c r="O507" s="122" t="str">
        <f t="shared" si="188"/>
        <v/>
      </c>
      <c r="P507" s="35" t="str">
        <f t="shared" si="189"/>
        <v/>
      </c>
      <c r="Q507" s="124"/>
      <c r="R507" s="36" t="str">
        <f t="shared" si="190"/>
        <v/>
      </c>
      <c r="S507" s="37" t="str">
        <f t="shared" si="180"/>
        <v/>
      </c>
      <c r="T507" s="38" t="str">
        <f t="shared" si="181"/>
        <v/>
      </c>
      <c r="U507" s="39" t="str">
        <f t="shared" si="182"/>
        <v/>
      </c>
      <c r="V507" s="40" t="str">
        <f t="shared" si="183"/>
        <v/>
      </c>
      <c r="W507" s="39" t="str">
        <f t="shared" si="184"/>
        <v/>
      </c>
      <c r="X507" s="34" t="str">
        <f t="shared" si="185"/>
        <v/>
      </c>
      <c r="Y507" s="41" t="str">
        <f t="shared" si="191"/>
        <v/>
      </c>
      <c r="Z507" s="98" t="str">
        <f t="shared" si="186"/>
        <v/>
      </c>
      <c r="AA507" s="81" t="str">
        <f t="shared" si="192"/>
        <v/>
      </c>
      <c r="AC507" s="139"/>
      <c r="AD507" s="110" t="str">
        <f t="shared" si="193"/>
        <v/>
      </c>
      <c r="AE507" s="111" t="str">
        <f t="shared" si="194"/>
        <v/>
      </c>
      <c r="AF507" s="111" t="str">
        <f t="shared" si="187"/>
        <v/>
      </c>
      <c r="AG507" s="111" t="str">
        <f t="shared" si="195"/>
        <v/>
      </c>
      <c r="AH507" s="111" t="str">
        <f t="shared" si="196"/>
        <v/>
      </c>
      <c r="AI507" s="112" t="str">
        <f t="shared" si="197"/>
        <v/>
      </c>
      <c r="AJ507" t="str">
        <f t="shared" si="198"/>
        <v/>
      </c>
      <c r="AK507" t="str">
        <f t="shared" si="199"/>
        <v/>
      </c>
    </row>
    <row r="508" spans="1:37" ht="15" customHeight="1" x14ac:dyDescent="0.25">
      <c r="A508" s="114"/>
      <c r="B508" s="116"/>
      <c r="C508" s="116"/>
      <c r="D508" s="42" t="str">
        <f t="shared" si="175"/>
        <v/>
      </c>
      <c r="E508" s="43"/>
      <c r="F508" s="83"/>
      <c r="G508" s="118"/>
      <c r="H508" s="34" t="str">
        <f t="shared" si="176"/>
        <v/>
      </c>
      <c r="I508" s="88" t="str">
        <f t="shared" si="177"/>
        <v/>
      </c>
      <c r="J508" s="44" t="str">
        <f t="shared" si="178"/>
        <v/>
      </c>
      <c r="K508" s="118"/>
      <c r="L508" s="34" t="str">
        <f t="shared" si="179"/>
        <v/>
      </c>
      <c r="M508" s="118"/>
      <c r="N508" s="121"/>
      <c r="O508" s="122" t="str">
        <f t="shared" si="188"/>
        <v/>
      </c>
      <c r="P508" s="35" t="str">
        <f t="shared" si="189"/>
        <v/>
      </c>
      <c r="Q508" s="124"/>
      <c r="R508" s="36" t="str">
        <f t="shared" si="190"/>
        <v/>
      </c>
      <c r="S508" s="37" t="str">
        <f t="shared" si="180"/>
        <v/>
      </c>
      <c r="T508" s="38" t="str">
        <f t="shared" si="181"/>
        <v/>
      </c>
      <c r="U508" s="39" t="str">
        <f t="shared" si="182"/>
        <v/>
      </c>
      <c r="V508" s="40" t="str">
        <f t="shared" si="183"/>
        <v/>
      </c>
      <c r="W508" s="39" t="str">
        <f t="shared" si="184"/>
        <v/>
      </c>
      <c r="X508" s="34" t="str">
        <f t="shared" si="185"/>
        <v/>
      </c>
      <c r="Y508" s="41" t="str">
        <f t="shared" si="191"/>
        <v/>
      </c>
      <c r="Z508" s="98" t="str">
        <f t="shared" si="186"/>
        <v/>
      </c>
      <c r="AA508" s="81" t="str">
        <f t="shared" si="192"/>
        <v/>
      </c>
      <c r="AC508" s="139"/>
      <c r="AD508" s="110" t="str">
        <f t="shared" si="193"/>
        <v/>
      </c>
      <c r="AE508" s="111" t="str">
        <f t="shared" si="194"/>
        <v/>
      </c>
      <c r="AF508" s="111" t="str">
        <f t="shared" si="187"/>
        <v/>
      </c>
      <c r="AG508" s="111" t="str">
        <f t="shared" si="195"/>
        <v/>
      </c>
      <c r="AH508" s="111" t="str">
        <f t="shared" si="196"/>
        <v/>
      </c>
      <c r="AI508" s="112" t="str">
        <f t="shared" si="197"/>
        <v/>
      </c>
      <c r="AJ508" t="str">
        <f t="shared" si="198"/>
        <v/>
      </c>
      <c r="AK508" t="str">
        <f t="shared" si="199"/>
        <v/>
      </c>
    </row>
    <row r="509" spans="1:37" ht="15" customHeight="1" x14ac:dyDescent="0.25">
      <c r="A509" s="114"/>
      <c r="B509" s="116"/>
      <c r="C509" s="116"/>
      <c r="D509" s="42" t="str">
        <f t="shared" si="175"/>
        <v/>
      </c>
      <c r="E509" s="43"/>
      <c r="F509" s="83"/>
      <c r="G509" s="118"/>
      <c r="H509" s="34" t="str">
        <f t="shared" si="176"/>
        <v/>
      </c>
      <c r="I509" s="88" t="str">
        <f t="shared" si="177"/>
        <v/>
      </c>
      <c r="J509" s="44" t="str">
        <f t="shared" si="178"/>
        <v/>
      </c>
      <c r="K509" s="118"/>
      <c r="L509" s="34" t="str">
        <f t="shared" si="179"/>
        <v/>
      </c>
      <c r="M509" s="118"/>
      <c r="N509" s="121"/>
      <c r="O509" s="122" t="str">
        <f t="shared" si="188"/>
        <v/>
      </c>
      <c r="P509" s="35" t="str">
        <f t="shared" si="189"/>
        <v/>
      </c>
      <c r="Q509" s="124"/>
      <c r="R509" s="36" t="str">
        <f t="shared" si="190"/>
        <v/>
      </c>
      <c r="S509" s="37" t="str">
        <f t="shared" si="180"/>
        <v/>
      </c>
      <c r="T509" s="38" t="str">
        <f t="shared" si="181"/>
        <v/>
      </c>
      <c r="U509" s="39" t="str">
        <f t="shared" si="182"/>
        <v/>
      </c>
      <c r="V509" s="40" t="str">
        <f t="shared" si="183"/>
        <v/>
      </c>
      <c r="W509" s="39" t="str">
        <f t="shared" si="184"/>
        <v/>
      </c>
      <c r="X509" s="34" t="str">
        <f t="shared" si="185"/>
        <v/>
      </c>
      <c r="Y509" s="41" t="str">
        <f t="shared" si="191"/>
        <v/>
      </c>
      <c r="Z509" s="98" t="str">
        <f t="shared" si="186"/>
        <v/>
      </c>
      <c r="AA509" s="81" t="str">
        <f t="shared" si="192"/>
        <v/>
      </c>
      <c r="AC509" s="139"/>
      <c r="AD509" s="110" t="str">
        <f t="shared" si="193"/>
        <v/>
      </c>
      <c r="AE509" s="111" t="str">
        <f t="shared" si="194"/>
        <v/>
      </c>
      <c r="AF509" s="111" t="str">
        <f t="shared" si="187"/>
        <v/>
      </c>
      <c r="AG509" s="111" t="str">
        <f t="shared" si="195"/>
        <v/>
      </c>
      <c r="AH509" s="111" t="str">
        <f t="shared" si="196"/>
        <v/>
      </c>
      <c r="AI509" s="112" t="str">
        <f t="shared" si="197"/>
        <v/>
      </c>
      <c r="AJ509" t="str">
        <f t="shared" si="198"/>
        <v/>
      </c>
      <c r="AK509" t="str">
        <f t="shared" si="199"/>
        <v/>
      </c>
    </row>
    <row r="510" spans="1:37" ht="15" customHeight="1" x14ac:dyDescent="0.25">
      <c r="A510" s="114"/>
      <c r="B510" s="116"/>
      <c r="C510" s="116"/>
      <c r="D510" s="42" t="str">
        <f t="shared" si="175"/>
        <v/>
      </c>
      <c r="E510" s="43"/>
      <c r="F510" s="83"/>
      <c r="G510" s="118"/>
      <c r="H510" s="34" t="str">
        <f t="shared" si="176"/>
        <v/>
      </c>
      <c r="I510" s="88" t="str">
        <f t="shared" si="177"/>
        <v/>
      </c>
      <c r="J510" s="44" t="str">
        <f t="shared" si="178"/>
        <v/>
      </c>
      <c r="K510" s="118"/>
      <c r="L510" s="34" t="str">
        <f t="shared" si="179"/>
        <v/>
      </c>
      <c r="M510" s="118"/>
      <c r="N510" s="121"/>
      <c r="O510" s="122" t="str">
        <f t="shared" si="188"/>
        <v/>
      </c>
      <c r="P510" s="35" t="str">
        <f t="shared" si="189"/>
        <v/>
      </c>
      <c r="Q510" s="124"/>
      <c r="R510" s="36" t="str">
        <f t="shared" si="190"/>
        <v/>
      </c>
      <c r="S510" s="37" t="str">
        <f t="shared" si="180"/>
        <v/>
      </c>
      <c r="T510" s="38" t="str">
        <f t="shared" si="181"/>
        <v/>
      </c>
      <c r="U510" s="39" t="str">
        <f t="shared" si="182"/>
        <v/>
      </c>
      <c r="V510" s="40" t="str">
        <f t="shared" si="183"/>
        <v/>
      </c>
      <c r="W510" s="39" t="str">
        <f t="shared" si="184"/>
        <v/>
      </c>
      <c r="X510" s="34" t="str">
        <f t="shared" si="185"/>
        <v/>
      </c>
      <c r="Y510" s="41" t="str">
        <f t="shared" si="191"/>
        <v/>
      </c>
      <c r="Z510" s="98" t="str">
        <f t="shared" si="186"/>
        <v/>
      </c>
      <c r="AA510" s="81" t="str">
        <f t="shared" si="192"/>
        <v/>
      </c>
      <c r="AC510" s="139"/>
      <c r="AD510" s="110" t="str">
        <f t="shared" si="193"/>
        <v/>
      </c>
      <c r="AE510" s="111" t="str">
        <f t="shared" si="194"/>
        <v/>
      </c>
      <c r="AF510" s="111" t="str">
        <f t="shared" si="187"/>
        <v/>
      </c>
      <c r="AG510" s="111" t="str">
        <f t="shared" si="195"/>
        <v/>
      </c>
      <c r="AH510" s="111" t="str">
        <f t="shared" si="196"/>
        <v/>
      </c>
      <c r="AI510" s="112" t="str">
        <f t="shared" si="197"/>
        <v/>
      </c>
      <c r="AJ510" t="str">
        <f t="shared" si="198"/>
        <v/>
      </c>
      <c r="AK510" t="str">
        <f t="shared" si="199"/>
        <v/>
      </c>
    </row>
    <row r="511" spans="1:37" ht="15" customHeight="1" x14ac:dyDescent="0.25">
      <c r="A511" s="114"/>
      <c r="B511" s="116"/>
      <c r="C511" s="116"/>
      <c r="D511" s="42" t="str">
        <f t="shared" si="175"/>
        <v/>
      </c>
      <c r="E511" s="43"/>
      <c r="F511" s="83"/>
      <c r="G511" s="118"/>
      <c r="H511" s="34" t="str">
        <f t="shared" si="176"/>
        <v/>
      </c>
      <c r="I511" s="88" t="str">
        <f t="shared" si="177"/>
        <v/>
      </c>
      <c r="J511" s="44" t="str">
        <f t="shared" si="178"/>
        <v/>
      </c>
      <c r="K511" s="118"/>
      <c r="L511" s="34" t="str">
        <f t="shared" si="179"/>
        <v/>
      </c>
      <c r="M511" s="118"/>
      <c r="N511" s="121"/>
      <c r="O511" s="122" t="str">
        <f t="shared" si="188"/>
        <v/>
      </c>
      <c r="P511" s="35" t="str">
        <f t="shared" si="189"/>
        <v/>
      </c>
      <c r="Q511" s="124"/>
      <c r="R511" s="36" t="str">
        <f t="shared" si="190"/>
        <v/>
      </c>
      <c r="S511" s="37" t="str">
        <f t="shared" si="180"/>
        <v/>
      </c>
      <c r="T511" s="38" t="str">
        <f t="shared" si="181"/>
        <v/>
      </c>
      <c r="U511" s="39" t="str">
        <f t="shared" si="182"/>
        <v/>
      </c>
      <c r="V511" s="40" t="str">
        <f t="shared" si="183"/>
        <v/>
      </c>
      <c r="W511" s="39" t="str">
        <f t="shared" si="184"/>
        <v/>
      </c>
      <c r="X511" s="34" t="str">
        <f t="shared" si="185"/>
        <v/>
      </c>
      <c r="Y511" s="41" t="str">
        <f t="shared" si="191"/>
        <v/>
      </c>
      <c r="Z511" s="98" t="str">
        <f t="shared" si="186"/>
        <v/>
      </c>
      <c r="AA511" s="81" t="str">
        <f t="shared" si="192"/>
        <v/>
      </c>
      <c r="AC511" s="139"/>
      <c r="AD511" s="110" t="str">
        <f t="shared" si="193"/>
        <v/>
      </c>
      <c r="AE511" s="111" t="str">
        <f t="shared" si="194"/>
        <v/>
      </c>
      <c r="AF511" s="111" t="str">
        <f t="shared" si="187"/>
        <v/>
      </c>
      <c r="AG511" s="111" t="str">
        <f t="shared" si="195"/>
        <v/>
      </c>
      <c r="AH511" s="111" t="str">
        <f t="shared" si="196"/>
        <v/>
      </c>
      <c r="AI511" s="112" t="str">
        <f t="shared" si="197"/>
        <v/>
      </c>
      <c r="AJ511" t="str">
        <f t="shared" si="198"/>
        <v/>
      </c>
      <c r="AK511" t="str">
        <f t="shared" si="199"/>
        <v/>
      </c>
    </row>
    <row r="512" spans="1:37" ht="15" customHeight="1" x14ac:dyDescent="0.25">
      <c r="A512" s="114"/>
      <c r="B512" s="116"/>
      <c r="C512" s="116"/>
      <c r="D512" s="42" t="str">
        <f t="shared" si="175"/>
        <v/>
      </c>
      <c r="E512" s="43"/>
      <c r="F512" s="83"/>
      <c r="G512" s="118"/>
      <c r="H512" s="34" t="str">
        <f t="shared" si="176"/>
        <v/>
      </c>
      <c r="I512" s="88" t="str">
        <f t="shared" si="177"/>
        <v/>
      </c>
      <c r="J512" s="44" t="str">
        <f t="shared" si="178"/>
        <v/>
      </c>
      <c r="K512" s="118"/>
      <c r="L512" s="34" t="str">
        <f t="shared" si="179"/>
        <v/>
      </c>
      <c r="M512" s="118"/>
      <c r="N512" s="121"/>
      <c r="O512" s="122" t="str">
        <f t="shared" si="188"/>
        <v/>
      </c>
      <c r="P512" s="35" t="str">
        <f t="shared" si="189"/>
        <v/>
      </c>
      <c r="Q512" s="124"/>
      <c r="R512" s="36" t="str">
        <f t="shared" si="190"/>
        <v/>
      </c>
      <c r="S512" s="37" t="str">
        <f t="shared" si="180"/>
        <v/>
      </c>
      <c r="T512" s="38" t="str">
        <f t="shared" si="181"/>
        <v/>
      </c>
      <c r="U512" s="39" t="str">
        <f t="shared" si="182"/>
        <v/>
      </c>
      <c r="V512" s="40" t="str">
        <f t="shared" si="183"/>
        <v/>
      </c>
      <c r="W512" s="39" t="str">
        <f t="shared" si="184"/>
        <v/>
      </c>
      <c r="X512" s="34" t="str">
        <f t="shared" si="185"/>
        <v/>
      </c>
      <c r="Y512" s="41" t="str">
        <f t="shared" si="191"/>
        <v/>
      </c>
      <c r="Z512" s="98" t="str">
        <f t="shared" si="186"/>
        <v/>
      </c>
      <c r="AA512" s="81" t="str">
        <f t="shared" si="192"/>
        <v/>
      </c>
      <c r="AC512" s="139"/>
      <c r="AD512" s="110" t="str">
        <f t="shared" si="193"/>
        <v/>
      </c>
      <c r="AE512" s="111" t="str">
        <f t="shared" si="194"/>
        <v/>
      </c>
      <c r="AF512" s="111" t="str">
        <f t="shared" si="187"/>
        <v/>
      </c>
      <c r="AG512" s="111" t="str">
        <f t="shared" si="195"/>
        <v/>
      </c>
      <c r="AH512" s="111" t="str">
        <f t="shared" si="196"/>
        <v/>
      </c>
      <c r="AI512" s="112" t="str">
        <f t="shared" si="197"/>
        <v/>
      </c>
      <c r="AJ512" t="str">
        <f t="shared" si="198"/>
        <v/>
      </c>
      <c r="AK512" t="str">
        <f t="shared" si="199"/>
        <v/>
      </c>
    </row>
    <row r="513" spans="1:37" ht="15" customHeight="1" x14ac:dyDescent="0.25">
      <c r="A513" s="114"/>
      <c r="B513" s="116"/>
      <c r="C513" s="116"/>
      <c r="D513" s="42" t="str">
        <f t="shared" si="175"/>
        <v/>
      </c>
      <c r="E513" s="43"/>
      <c r="F513" s="83"/>
      <c r="G513" s="118"/>
      <c r="H513" s="34" t="str">
        <f t="shared" si="176"/>
        <v/>
      </c>
      <c r="I513" s="88" t="str">
        <f t="shared" si="177"/>
        <v/>
      </c>
      <c r="J513" s="44" t="str">
        <f t="shared" si="178"/>
        <v/>
      </c>
      <c r="K513" s="118"/>
      <c r="L513" s="34" t="str">
        <f t="shared" si="179"/>
        <v/>
      </c>
      <c r="M513" s="118"/>
      <c r="N513" s="121"/>
      <c r="O513" s="122" t="str">
        <f t="shared" si="188"/>
        <v/>
      </c>
      <c r="P513" s="35" t="str">
        <f t="shared" si="189"/>
        <v/>
      </c>
      <c r="Q513" s="124"/>
      <c r="R513" s="36" t="str">
        <f t="shared" si="190"/>
        <v/>
      </c>
      <c r="S513" s="37" t="str">
        <f t="shared" si="180"/>
        <v/>
      </c>
      <c r="T513" s="38" t="str">
        <f t="shared" si="181"/>
        <v/>
      </c>
      <c r="U513" s="39" t="str">
        <f t="shared" si="182"/>
        <v/>
      </c>
      <c r="V513" s="40" t="str">
        <f t="shared" si="183"/>
        <v/>
      </c>
      <c r="W513" s="39" t="str">
        <f t="shared" si="184"/>
        <v/>
      </c>
      <c r="X513" s="34" t="str">
        <f t="shared" si="185"/>
        <v/>
      </c>
      <c r="Y513" s="41" t="str">
        <f t="shared" si="191"/>
        <v/>
      </c>
      <c r="Z513" s="98" t="str">
        <f t="shared" si="186"/>
        <v/>
      </c>
      <c r="AA513" s="81" t="str">
        <f t="shared" si="192"/>
        <v/>
      </c>
      <c r="AC513" s="139"/>
      <c r="AD513" s="110" t="str">
        <f t="shared" si="193"/>
        <v/>
      </c>
      <c r="AE513" s="111" t="str">
        <f t="shared" si="194"/>
        <v/>
      </c>
      <c r="AF513" s="111" t="str">
        <f t="shared" si="187"/>
        <v/>
      </c>
      <c r="AG513" s="111" t="str">
        <f t="shared" si="195"/>
        <v/>
      </c>
      <c r="AH513" s="111" t="str">
        <f t="shared" si="196"/>
        <v/>
      </c>
      <c r="AI513" s="112" t="str">
        <f t="shared" si="197"/>
        <v/>
      </c>
      <c r="AJ513" t="str">
        <f t="shared" si="198"/>
        <v/>
      </c>
      <c r="AK513" t="str">
        <f t="shared" si="199"/>
        <v/>
      </c>
    </row>
    <row r="514" spans="1:37" ht="15" customHeight="1" x14ac:dyDescent="0.25">
      <c r="A514" s="114"/>
      <c r="B514" s="116"/>
      <c r="C514" s="116"/>
      <c r="D514" s="42" t="str">
        <f t="shared" si="175"/>
        <v/>
      </c>
      <c r="E514" s="43"/>
      <c r="F514" s="83"/>
      <c r="G514" s="118"/>
      <c r="H514" s="34" t="str">
        <f t="shared" si="176"/>
        <v/>
      </c>
      <c r="I514" s="88" t="str">
        <f t="shared" si="177"/>
        <v/>
      </c>
      <c r="J514" s="44" t="str">
        <f t="shared" si="178"/>
        <v/>
      </c>
      <c r="K514" s="118"/>
      <c r="L514" s="34" t="str">
        <f t="shared" si="179"/>
        <v/>
      </c>
      <c r="M514" s="118"/>
      <c r="N514" s="121"/>
      <c r="O514" s="122" t="str">
        <f t="shared" si="188"/>
        <v/>
      </c>
      <c r="P514" s="35" t="str">
        <f t="shared" si="189"/>
        <v/>
      </c>
      <c r="Q514" s="124"/>
      <c r="R514" s="36" t="str">
        <f t="shared" si="190"/>
        <v/>
      </c>
      <c r="S514" s="37" t="str">
        <f t="shared" si="180"/>
        <v/>
      </c>
      <c r="T514" s="38" t="str">
        <f t="shared" si="181"/>
        <v/>
      </c>
      <c r="U514" s="39" t="str">
        <f t="shared" si="182"/>
        <v/>
      </c>
      <c r="V514" s="40" t="str">
        <f t="shared" si="183"/>
        <v/>
      </c>
      <c r="W514" s="39" t="str">
        <f t="shared" si="184"/>
        <v/>
      </c>
      <c r="X514" s="34" t="str">
        <f t="shared" si="185"/>
        <v/>
      </c>
      <c r="Y514" s="41" t="str">
        <f t="shared" si="191"/>
        <v/>
      </c>
      <c r="Z514" s="98" t="str">
        <f t="shared" si="186"/>
        <v/>
      </c>
      <c r="AA514" s="81" t="str">
        <f t="shared" si="192"/>
        <v/>
      </c>
      <c r="AC514" s="139"/>
      <c r="AD514" s="110" t="str">
        <f t="shared" si="193"/>
        <v/>
      </c>
      <c r="AE514" s="111" t="str">
        <f t="shared" si="194"/>
        <v/>
      </c>
      <c r="AF514" s="111" t="str">
        <f t="shared" si="187"/>
        <v/>
      </c>
      <c r="AG514" s="111" t="str">
        <f t="shared" si="195"/>
        <v/>
      </c>
      <c r="AH514" s="111" t="str">
        <f t="shared" si="196"/>
        <v/>
      </c>
      <c r="AI514" s="112" t="str">
        <f t="shared" si="197"/>
        <v/>
      </c>
      <c r="AJ514" t="str">
        <f t="shared" si="198"/>
        <v/>
      </c>
      <c r="AK514" t="str">
        <f t="shared" si="199"/>
        <v/>
      </c>
    </row>
    <row r="515" spans="1:37" ht="15" customHeight="1" x14ac:dyDescent="0.25">
      <c r="A515" s="114"/>
      <c r="B515" s="116"/>
      <c r="C515" s="116"/>
      <c r="D515" s="42" t="str">
        <f t="shared" si="175"/>
        <v/>
      </c>
      <c r="E515" s="43"/>
      <c r="F515" s="83"/>
      <c r="G515" s="118"/>
      <c r="H515" s="34" t="str">
        <f t="shared" si="176"/>
        <v/>
      </c>
      <c r="I515" s="88" t="str">
        <f t="shared" si="177"/>
        <v/>
      </c>
      <c r="J515" s="44" t="str">
        <f t="shared" si="178"/>
        <v/>
      </c>
      <c r="K515" s="118"/>
      <c r="L515" s="34" t="str">
        <f t="shared" si="179"/>
        <v/>
      </c>
      <c r="M515" s="118"/>
      <c r="N515" s="121"/>
      <c r="O515" s="122" t="str">
        <f t="shared" si="188"/>
        <v/>
      </c>
      <c r="P515" s="35" t="str">
        <f t="shared" si="189"/>
        <v/>
      </c>
      <c r="Q515" s="124"/>
      <c r="R515" s="36" t="str">
        <f t="shared" si="190"/>
        <v/>
      </c>
      <c r="S515" s="37" t="str">
        <f t="shared" si="180"/>
        <v/>
      </c>
      <c r="T515" s="38" t="str">
        <f t="shared" si="181"/>
        <v/>
      </c>
      <c r="U515" s="39" t="str">
        <f t="shared" si="182"/>
        <v/>
      </c>
      <c r="V515" s="40" t="str">
        <f t="shared" si="183"/>
        <v/>
      </c>
      <c r="W515" s="39" t="str">
        <f t="shared" si="184"/>
        <v/>
      </c>
      <c r="X515" s="34" t="str">
        <f t="shared" si="185"/>
        <v/>
      </c>
      <c r="Y515" s="41" t="str">
        <f t="shared" si="191"/>
        <v/>
      </c>
      <c r="Z515" s="98" t="str">
        <f t="shared" si="186"/>
        <v/>
      </c>
      <c r="AA515" s="81" t="str">
        <f t="shared" si="192"/>
        <v/>
      </c>
      <c r="AC515" s="139"/>
      <c r="AD515" s="110" t="str">
        <f t="shared" si="193"/>
        <v/>
      </c>
      <c r="AE515" s="111" t="str">
        <f t="shared" si="194"/>
        <v/>
      </c>
      <c r="AF515" s="111" t="str">
        <f t="shared" si="187"/>
        <v/>
      </c>
      <c r="AG515" s="111" t="str">
        <f t="shared" si="195"/>
        <v/>
      </c>
      <c r="AH515" s="111" t="str">
        <f t="shared" si="196"/>
        <v/>
      </c>
      <c r="AI515" s="112" t="str">
        <f t="shared" si="197"/>
        <v/>
      </c>
      <c r="AJ515" t="str">
        <f t="shared" si="198"/>
        <v/>
      </c>
      <c r="AK515" t="str">
        <f t="shared" si="199"/>
        <v/>
      </c>
    </row>
    <row r="516" spans="1:37" ht="15" customHeight="1" x14ac:dyDescent="0.25">
      <c r="A516" s="114"/>
      <c r="B516" s="116"/>
      <c r="C516" s="116"/>
      <c r="D516" s="42" t="str">
        <f t="shared" si="175"/>
        <v/>
      </c>
      <c r="E516" s="43"/>
      <c r="F516" s="83"/>
      <c r="G516" s="118"/>
      <c r="H516" s="34" t="str">
        <f t="shared" si="176"/>
        <v/>
      </c>
      <c r="I516" s="88" t="str">
        <f t="shared" si="177"/>
        <v/>
      </c>
      <c r="J516" s="44" t="str">
        <f t="shared" si="178"/>
        <v/>
      </c>
      <c r="K516" s="118"/>
      <c r="L516" s="34" t="str">
        <f t="shared" si="179"/>
        <v/>
      </c>
      <c r="M516" s="118"/>
      <c r="N516" s="121"/>
      <c r="O516" s="122" t="str">
        <f t="shared" si="188"/>
        <v/>
      </c>
      <c r="P516" s="35" t="str">
        <f t="shared" si="189"/>
        <v/>
      </c>
      <c r="Q516" s="124"/>
      <c r="R516" s="36" t="str">
        <f t="shared" si="190"/>
        <v/>
      </c>
      <c r="S516" s="37" t="str">
        <f t="shared" si="180"/>
        <v/>
      </c>
      <c r="T516" s="38" t="str">
        <f t="shared" si="181"/>
        <v/>
      </c>
      <c r="U516" s="39" t="str">
        <f t="shared" si="182"/>
        <v/>
      </c>
      <c r="V516" s="40" t="str">
        <f t="shared" si="183"/>
        <v/>
      </c>
      <c r="W516" s="39" t="str">
        <f t="shared" si="184"/>
        <v/>
      </c>
      <c r="X516" s="34" t="str">
        <f t="shared" si="185"/>
        <v/>
      </c>
      <c r="Y516" s="41" t="str">
        <f t="shared" si="191"/>
        <v/>
      </c>
      <c r="Z516" s="98" t="str">
        <f t="shared" si="186"/>
        <v/>
      </c>
      <c r="AA516" s="81" t="str">
        <f t="shared" si="192"/>
        <v/>
      </c>
      <c r="AC516" s="139"/>
      <c r="AD516" s="110" t="str">
        <f t="shared" si="193"/>
        <v/>
      </c>
      <c r="AE516" s="111" t="str">
        <f t="shared" si="194"/>
        <v/>
      </c>
      <c r="AF516" s="111" t="str">
        <f t="shared" si="187"/>
        <v/>
      </c>
      <c r="AG516" s="111" t="str">
        <f t="shared" si="195"/>
        <v/>
      </c>
      <c r="AH516" s="111" t="str">
        <f t="shared" si="196"/>
        <v/>
      </c>
      <c r="AI516" s="112" t="str">
        <f t="shared" si="197"/>
        <v/>
      </c>
      <c r="AJ516" t="str">
        <f t="shared" si="198"/>
        <v/>
      </c>
      <c r="AK516" t="str">
        <f t="shared" si="199"/>
        <v/>
      </c>
    </row>
    <row r="517" spans="1:37" ht="15" customHeight="1" x14ac:dyDescent="0.25">
      <c r="A517" s="114"/>
      <c r="B517" s="116"/>
      <c r="C517" s="116"/>
      <c r="D517" s="42" t="str">
        <f t="shared" si="175"/>
        <v/>
      </c>
      <c r="E517" s="43"/>
      <c r="F517" s="83"/>
      <c r="G517" s="118"/>
      <c r="H517" s="34" t="str">
        <f t="shared" si="176"/>
        <v/>
      </c>
      <c r="I517" s="88" t="str">
        <f t="shared" si="177"/>
        <v/>
      </c>
      <c r="J517" s="44" t="str">
        <f t="shared" si="178"/>
        <v/>
      </c>
      <c r="K517" s="118"/>
      <c r="L517" s="34" t="str">
        <f t="shared" si="179"/>
        <v/>
      </c>
      <c r="M517" s="118"/>
      <c r="N517" s="121"/>
      <c r="O517" s="122" t="str">
        <f t="shared" si="188"/>
        <v/>
      </c>
      <c r="P517" s="35" t="str">
        <f t="shared" si="189"/>
        <v/>
      </c>
      <c r="Q517" s="124"/>
      <c r="R517" s="36" t="str">
        <f t="shared" si="190"/>
        <v/>
      </c>
      <c r="S517" s="37" t="str">
        <f t="shared" si="180"/>
        <v/>
      </c>
      <c r="T517" s="38" t="str">
        <f t="shared" si="181"/>
        <v/>
      </c>
      <c r="U517" s="39" t="str">
        <f t="shared" si="182"/>
        <v/>
      </c>
      <c r="V517" s="40" t="str">
        <f t="shared" si="183"/>
        <v/>
      </c>
      <c r="W517" s="39" t="str">
        <f t="shared" si="184"/>
        <v/>
      </c>
      <c r="X517" s="34" t="str">
        <f t="shared" si="185"/>
        <v/>
      </c>
      <c r="Y517" s="41" t="str">
        <f t="shared" si="191"/>
        <v/>
      </c>
      <c r="Z517" s="98" t="str">
        <f t="shared" si="186"/>
        <v/>
      </c>
      <c r="AA517" s="81" t="str">
        <f t="shared" si="192"/>
        <v/>
      </c>
      <c r="AC517" s="139"/>
      <c r="AD517" s="110" t="str">
        <f t="shared" si="193"/>
        <v/>
      </c>
      <c r="AE517" s="111" t="str">
        <f t="shared" si="194"/>
        <v/>
      </c>
      <c r="AF517" s="111" t="str">
        <f t="shared" si="187"/>
        <v/>
      </c>
      <c r="AG517" s="111" t="str">
        <f t="shared" si="195"/>
        <v/>
      </c>
      <c r="AH517" s="111" t="str">
        <f t="shared" si="196"/>
        <v/>
      </c>
      <c r="AI517" s="112" t="str">
        <f t="shared" si="197"/>
        <v/>
      </c>
      <c r="AJ517" t="str">
        <f t="shared" si="198"/>
        <v/>
      </c>
      <c r="AK517" t="str">
        <f t="shared" si="199"/>
        <v/>
      </c>
    </row>
    <row r="518" spans="1:37" ht="15" customHeight="1" x14ac:dyDescent="0.25">
      <c r="A518" s="114"/>
      <c r="B518" s="116"/>
      <c r="C518" s="116"/>
      <c r="D518" s="42" t="str">
        <f t="shared" si="175"/>
        <v/>
      </c>
      <c r="E518" s="43"/>
      <c r="F518" s="83"/>
      <c r="G518" s="118"/>
      <c r="H518" s="34" t="str">
        <f t="shared" si="176"/>
        <v/>
      </c>
      <c r="I518" s="88" t="str">
        <f t="shared" si="177"/>
        <v/>
      </c>
      <c r="J518" s="44" t="str">
        <f t="shared" si="178"/>
        <v/>
      </c>
      <c r="K518" s="118"/>
      <c r="L518" s="34" t="str">
        <f t="shared" si="179"/>
        <v/>
      </c>
      <c r="M518" s="118"/>
      <c r="N518" s="121"/>
      <c r="O518" s="122" t="str">
        <f t="shared" si="188"/>
        <v/>
      </c>
      <c r="P518" s="35" t="str">
        <f t="shared" si="189"/>
        <v/>
      </c>
      <c r="Q518" s="124"/>
      <c r="R518" s="36" t="str">
        <f t="shared" si="190"/>
        <v/>
      </c>
      <c r="S518" s="37" t="str">
        <f t="shared" si="180"/>
        <v/>
      </c>
      <c r="T518" s="38" t="str">
        <f t="shared" si="181"/>
        <v/>
      </c>
      <c r="U518" s="39" t="str">
        <f t="shared" si="182"/>
        <v/>
      </c>
      <c r="V518" s="40" t="str">
        <f t="shared" si="183"/>
        <v/>
      </c>
      <c r="W518" s="39" t="str">
        <f t="shared" si="184"/>
        <v/>
      </c>
      <c r="X518" s="34" t="str">
        <f t="shared" si="185"/>
        <v/>
      </c>
      <c r="Y518" s="41" t="str">
        <f t="shared" si="191"/>
        <v/>
      </c>
      <c r="Z518" s="98" t="str">
        <f t="shared" si="186"/>
        <v/>
      </c>
      <c r="AA518" s="81" t="str">
        <f t="shared" si="192"/>
        <v/>
      </c>
      <c r="AC518" s="139"/>
      <c r="AD518" s="110" t="str">
        <f t="shared" si="193"/>
        <v/>
      </c>
      <c r="AE518" s="111" t="str">
        <f t="shared" si="194"/>
        <v/>
      </c>
      <c r="AF518" s="111" t="str">
        <f t="shared" si="187"/>
        <v/>
      </c>
      <c r="AG518" s="111" t="str">
        <f t="shared" si="195"/>
        <v/>
      </c>
      <c r="AH518" s="111" t="str">
        <f t="shared" si="196"/>
        <v/>
      </c>
      <c r="AI518" s="112" t="str">
        <f t="shared" si="197"/>
        <v/>
      </c>
      <c r="AJ518" t="str">
        <f t="shared" si="198"/>
        <v/>
      </c>
      <c r="AK518" t="str">
        <f t="shared" si="199"/>
        <v/>
      </c>
    </row>
    <row r="519" spans="1:37" ht="15" customHeight="1" x14ac:dyDescent="0.25">
      <c r="A519" s="114"/>
      <c r="B519" s="116"/>
      <c r="C519" s="116"/>
      <c r="D519" s="42" t="str">
        <f t="shared" si="175"/>
        <v/>
      </c>
      <c r="E519" s="43"/>
      <c r="F519" s="83"/>
      <c r="G519" s="118"/>
      <c r="H519" s="34" t="str">
        <f t="shared" si="176"/>
        <v/>
      </c>
      <c r="I519" s="88" t="str">
        <f t="shared" si="177"/>
        <v/>
      </c>
      <c r="J519" s="44" t="str">
        <f t="shared" si="178"/>
        <v/>
      </c>
      <c r="K519" s="118"/>
      <c r="L519" s="34" t="str">
        <f t="shared" si="179"/>
        <v/>
      </c>
      <c r="M519" s="118"/>
      <c r="N519" s="121"/>
      <c r="O519" s="122" t="str">
        <f t="shared" si="188"/>
        <v/>
      </c>
      <c r="P519" s="35" t="str">
        <f t="shared" si="189"/>
        <v/>
      </c>
      <c r="Q519" s="124"/>
      <c r="R519" s="36" t="str">
        <f t="shared" si="190"/>
        <v/>
      </c>
      <c r="S519" s="37" t="str">
        <f t="shared" si="180"/>
        <v/>
      </c>
      <c r="T519" s="38" t="str">
        <f t="shared" si="181"/>
        <v/>
      </c>
      <c r="U519" s="39" t="str">
        <f t="shared" si="182"/>
        <v/>
      </c>
      <c r="V519" s="40" t="str">
        <f t="shared" si="183"/>
        <v/>
      </c>
      <c r="W519" s="39" t="str">
        <f t="shared" si="184"/>
        <v/>
      </c>
      <c r="X519" s="34" t="str">
        <f t="shared" si="185"/>
        <v/>
      </c>
      <c r="Y519" s="41" t="str">
        <f t="shared" si="191"/>
        <v/>
      </c>
      <c r="Z519" s="98" t="str">
        <f t="shared" si="186"/>
        <v/>
      </c>
      <c r="AA519" s="81" t="str">
        <f t="shared" si="192"/>
        <v/>
      </c>
      <c r="AC519" s="139"/>
      <c r="AD519" s="110" t="str">
        <f t="shared" si="193"/>
        <v/>
      </c>
      <c r="AE519" s="111" t="str">
        <f t="shared" si="194"/>
        <v/>
      </c>
      <c r="AF519" s="111" t="str">
        <f t="shared" si="187"/>
        <v/>
      </c>
      <c r="AG519" s="111" t="str">
        <f t="shared" si="195"/>
        <v/>
      </c>
      <c r="AH519" s="111" t="str">
        <f t="shared" si="196"/>
        <v/>
      </c>
      <c r="AI519" s="112" t="str">
        <f t="shared" si="197"/>
        <v/>
      </c>
      <c r="AJ519" t="str">
        <f t="shared" si="198"/>
        <v/>
      </c>
      <c r="AK519" t="str">
        <f t="shared" si="199"/>
        <v/>
      </c>
    </row>
    <row r="520" spans="1:37" ht="15" customHeight="1" x14ac:dyDescent="0.25">
      <c r="A520" s="114"/>
      <c r="B520" s="116"/>
      <c r="C520" s="116"/>
      <c r="D520" s="42" t="str">
        <f t="shared" ref="D520:D583" si="200">IF(A520="","",B520*C520)</f>
        <v/>
      </c>
      <c r="E520" s="43"/>
      <c r="F520" s="83"/>
      <c r="G520" s="118"/>
      <c r="H520" s="34" t="str">
        <f t="shared" ref="H520:H583" si="201">IF(OR(G520=0,C520=0,G520="",C520=""),"",G520/C520)</f>
        <v/>
      </c>
      <c r="I520" s="88" t="str">
        <f t="shared" ref="I520:I583" si="202">IF(OR(G520="",F520=""),"",G520*(1-F520))</f>
        <v/>
      </c>
      <c r="J520" s="44" t="str">
        <f t="shared" ref="J520:J583" si="203">IF(A520="","",I520*B520)</f>
        <v/>
      </c>
      <c r="K520" s="118"/>
      <c r="L520" s="34" t="str">
        <f t="shared" ref="L520:L583" si="204">IF(OR(K520=0,C520=0,K520="",C520=""),"",K520/C520)</f>
        <v/>
      </c>
      <c r="M520" s="118"/>
      <c r="N520" s="121"/>
      <c r="O520" s="122" t="str">
        <f t="shared" si="188"/>
        <v/>
      </c>
      <c r="P520" s="35" t="str">
        <f t="shared" si="189"/>
        <v/>
      </c>
      <c r="Q520" s="124"/>
      <c r="R520" s="36" t="str">
        <f t="shared" si="190"/>
        <v/>
      </c>
      <c r="S520" s="37" t="str">
        <f t="shared" ref="S520:S583" si="205">IF(OR(A520="",R520=""),"",R520*C520)</f>
        <v/>
      </c>
      <c r="T520" s="38" t="str">
        <f t="shared" ref="T520:T583" si="206">IF(OR(A520="",G520&lt;=0,S520=""),"",(G520-S520)/G520)</f>
        <v/>
      </c>
      <c r="U520" s="39" t="str">
        <f t="shared" ref="U520:U583" si="207">IF(OR(G520=0,S520=0,G520="",S520=""),"",G520-S520)</f>
        <v/>
      </c>
      <c r="V520" s="40" t="str">
        <f t="shared" ref="V520:V583" si="208">IF(OR(A520="",K520&lt;=0,S520=""),"",(K520-S520)/K520)</f>
        <v/>
      </c>
      <c r="W520" s="39" t="str">
        <f t="shared" ref="W520:W583" si="209">IF(OR(K520=0,S520=0,K520="",S520=""),"",K520-S520)</f>
        <v/>
      </c>
      <c r="X520" s="34" t="str">
        <f t="shared" ref="X520:X583" si="210">IF(OR(J520="",J520=0,$N$5="",$L$3=0),"",($N$5/$L$3)*J520)</f>
        <v/>
      </c>
      <c r="Y520" s="41" t="str">
        <f t="shared" si="191"/>
        <v/>
      </c>
      <c r="Z520" s="98" t="str">
        <f t="shared" ref="Z520:Z583" si="211">IF(OR(R520=0,R520="",D520=0,D520=""),"",R520*(D520+E520))</f>
        <v/>
      </c>
      <c r="AA520" s="81" t="str">
        <f t="shared" si="192"/>
        <v/>
      </c>
      <c r="AC520" s="139"/>
      <c r="AD520" s="110" t="str">
        <f t="shared" si="193"/>
        <v/>
      </c>
      <c r="AE520" s="111" t="str">
        <f t="shared" si="194"/>
        <v/>
      </c>
      <c r="AF520" s="111" t="str">
        <f t="shared" ref="AF520:AF583" si="212">IF(AE520="","",AE520*$AD$1+IF(SUM($AE$8:$AE$1007)=0,0,$AD$2*AE520/SUM($AE$8:$AE$1007)))</f>
        <v/>
      </c>
      <c r="AG520" s="111" t="str">
        <f t="shared" si="195"/>
        <v/>
      </c>
      <c r="AH520" s="111" t="str">
        <f t="shared" si="196"/>
        <v/>
      </c>
      <c r="AI520" s="112" t="str">
        <f t="shared" si="197"/>
        <v/>
      </c>
      <c r="AJ520" t="str">
        <f t="shared" si="198"/>
        <v/>
      </c>
      <c r="AK520" t="str">
        <f t="shared" si="199"/>
        <v/>
      </c>
    </row>
    <row r="521" spans="1:37" ht="15" customHeight="1" x14ac:dyDescent="0.25">
      <c r="A521" s="114"/>
      <c r="B521" s="116"/>
      <c r="C521" s="116"/>
      <c r="D521" s="42" t="str">
        <f t="shared" si="200"/>
        <v/>
      </c>
      <c r="E521" s="43"/>
      <c r="F521" s="83"/>
      <c r="G521" s="118"/>
      <c r="H521" s="34" t="str">
        <f t="shared" si="201"/>
        <v/>
      </c>
      <c r="I521" s="88" t="str">
        <f t="shared" si="202"/>
        <v/>
      </c>
      <c r="J521" s="44" t="str">
        <f t="shared" si="203"/>
        <v/>
      </c>
      <c r="K521" s="118"/>
      <c r="L521" s="34" t="str">
        <f t="shared" si="204"/>
        <v/>
      </c>
      <c r="M521" s="118"/>
      <c r="N521" s="121"/>
      <c r="O521" s="122" t="str">
        <f t="shared" ref="O521:O584" si="213">IF(A521="","",IF(Q521&gt;0,IF(J521&gt;0,Q521/J521,0),IF(E521&gt;0,0,IF($J$3&gt;0,IF($J$4&gt;0,MAX($J$3-SUM($Q$8:$Q$1007),0)/$J$4,0),$J$2))))</f>
        <v/>
      </c>
      <c r="P521" s="35" t="str">
        <f t="shared" ref="P521:P584" si="214">IF(A521="","",IF(Q521&gt;0,Q521,IF(E521&gt;0,0,J521*IF($J$3&gt;0,IF($J$4&gt;0,MAX($J$3-SUM($Q$8:$Q$1007),0)/$J$4,0),$J$2))))</f>
        <v/>
      </c>
      <c r="Q521" s="124"/>
      <c r="R521" s="36" t="str">
        <f t="shared" ref="R521:R584" si="215">IF(A521="","",IF(OR(B521=0,B521="",C521&lt;=0,D521+E521&lt;=0),"",(J521-P521)/(D521+E521)-IF(X521&gt;=0,X521/D521,0)+IF(ISNUMBER(Y521),Y521/(D521+E521),0)))</f>
        <v/>
      </c>
      <c r="S521" s="37" t="str">
        <f t="shared" si="205"/>
        <v/>
      </c>
      <c r="T521" s="38" t="str">
        <f t="shared" si="206"/>
        <v/>
      </c>
      <c r="U521" s="39" t="str">
        <f t="shared" si="207"/>
        <v/>
      </c>
      <c r="V521" s="40" t="str">
        <f t="shared" si="208"/>
        <v/>
      </c>
      <c r="W521" s="39" t="str">
        <f t="shared" si="209"/>
        <v/>
      </c>
      <c r="X521" s="34" t="str">
        <f t="shared" si="210"/>
        <v/>
      </c>
      <c r="Y521" s="41" t="str">
        <f t="shared" ref="Y521:Y584" si="216">IF(OR(J521="",J521=0,($L$3-$L$2)=0),"",($J$1/($L$3-$L$2))*(J521-P521))</f>
        <v/>
      </c>
      <c r="Z521" s="98" t="str">
        <f t="shared" si="211"/>
        <v/>
      </c>
      <c r="AA521" s="81" t="str">
        <f t="shared" ref="AA521:AA584" si="217">IF(OR(B521=0,B521=""),"",J521)</f>
        <v/>
      </c>
      <c r="AC521" s="139"/>
      <c r="AD521" s="110" t="str">
        <f t="shared" ref="AD521:AD584" si="218">IF(AC521="","",R521)</f>
        <v/>
      </c>
      <c r="AE521" s="111" t="str">
        <f t="shared" ref="AE521:AE584" si="219">IF(OR(AC521="",AD521=""),"",AC521*AD521)</f>
        <v/>
      </c>
      <c r="AF521" s="111" t="str">
        <f t="shared" si="212"/>
        <v/>
      </c>
      <c r="AG521" s="111" t="str">
        <f t="shared" ref="AG521:AG584" si="220">IF(AE521="","",AE521-AF521)</f>
        <v/>
      </c>
      <c r="AH521" s="111" t="str">
        <f t="shared" ref="AH521:AH584" si="221">IF(AG521="","",AI521-AG521)</f>
        <v/>
      </c>
      <c r="AI521" s="112" t="str">
        <f t="shared" ref="AI521:AI584" si="222">IF(AG521="","",ROUND(AG521,0))</f>
        <v/>
      </c>
      <c r="AJ521" t="str">
        <f t="shared" ref="AJ521:AJ584" si="223">IF(OR(AC521=0,AC521=""),"",AF521/AC521)</f>
        <v/>
      </c>
      <c r="AK521" t="str">
        <f t="shared" ref="AK521:AK584" si="224">IF(OR(AC521=0,AC521=""),"",AD521*C521)</f>
        <v/>
      </c>
    </row>
    <row r="522" spans="1:37" ht="15" customHeight="1" x14ac:dyDescent="0.25">
      <c r="A522" s="114"/>
      <c r="B522" s="116"/>
      <c r="C522" s="116"/>
      <c r="D522" s="42" t="str">
        <f t="shared" si="200"/>
        <v/>
      </c>
      <c r="E522" s="43"/>
      <c r="F522" s="83"/>
      <c r="G522" s="118"/>
      <c r="H522" s="34" t="str">
        <f t="shared" si="201"/>
        <v/>
      </c>
      <c r="I522" s="88" t="str">
        <f t="shared" si="202"/>
        <v/>
      </c>
      <c r="J522" s="44" t="str">
        <f t="shared" si="203"/>
        <v/>
      </c>
      <c r="K522" s="118"/>
      <c r="L522" s="34" t="str">
        <f t="shared" si="204"/>
        <v/>
      </c>
      <c r="M522" s="118"/>
      <c r="N522" s="121"/>
      <c r="O522" s="122" t="str">
        <f t="shared" si="213"/>
        <v/>
      </c>
      <c r="P522" s="35" t="str">
        <f t="shared" si="214"/>
        <v/>
      </c>
      <c r="Q522" s="124"/>
      <c r="R522" s="36" t="str">
        <f t="shared" si="215"/>
        <v/>
      </c>
      <c r="S522" s="37" t="str">
        <f t="shared" si="205"/>
        <v/>
      </c>
      <c r="T522" s="38" t="str">
        <f t="shared" si="206"/>
        <v/>
      </c>
      <c r="U522" s="39" t="str">
        <f t="shared" si="207"/>
        <v/>
      </c>
      <c r="V522" s="40" t="str">
        <f t="shared" si="208"/>
        <v/>
      </c>
      <c r="W522" s="39" t="str">
        <f t="shared" si="209"/>
        <v/>
      </c>
      <c r="X522" s="34" t="str">
        <f t="shared" si="210"/>
        <v/>
      </c>
      <c r="Y522" s="41" t="str">
        <f t="shared" si="216"/>
        <v/>
      </c>
      <c r="Z522" s="98" t="str">
        <f t="shared" si="211"/>
        <v/>
      </c>
      <c r="AA522" s="81" t="str">
        <f t="shared" si="217"/>
        <v/>
      </c>
      <c r="AC522" s="139"/>
      <c r="AD522" s="110" t="str">
        <f t="shared" si="218"/>
        <v/>
      </c>
      <c r="AE522" s="111" t="str">
        <f t="shared" si="219"/>
        <v/>
      </c>
      <c r="AF522" s="111" t="str">
        <f t="shared" si="212"/>
        <v/>
      </c>
      <c r="AG522" s="111" t="str">
        <f t="shared" si="220"/>
        <v/>
      </c>
      <c r="AH522" s="111" t="str">
        <f t="shared" si="221"/>
        <v/>
      </c>
      <c r="AI522" s="112" t="str">
        <f t="shared" si="222"/>
        <v/>
      </c>
      <c r="AJ522" t="str">
        <f t="shared" si="223"/>
        <v/>
      </c>
      <c r="AK522" t="str">
        <f t="shared" si="224"/>
        <v/>
      </c>
    </row>
    <row r="523" spans="1:37" ht="15" customHeight="1" x14ac:dyDescent="0.25">
      <c r="A523" s="114"/>
      <c r="B523" s="116"/>
      <c r="C523" s="116"/>
      <c r="D523" s="42" t="str">
        <f t="shared" si="200"/>
        <v/>
      </c>
      <c r="E523" s="43"/>
      <c r="F523" s="83"/>
      <c r="G523" s="118"/>
      <c r="H523" s="34" t="str">
        <f t="shared" si="201"/>
        <v/>
      </c>
      <c r="I523" s="88" t="str">
        <f t="shared" si="202"/>
        <v/>
      </c>
      <c r="J523" s="44" t="str">
        <f t="shared" si="203"/>
        <v/>
      </c>
      <c r="K523" s="118"/>
      <c r="L523" s="34" t="str">
        <f t="shared" si="204"/>
        <v/>
      </c>
      <c r="M523" s="118"/>
      <c r="N523" s="121"/>
      <c r="O523" s="122" t="str">
        <f t="shared" si="213"/>
        <v/>
      </c>
      <c r="P523" s="35" t="str">
        <f t="shared" si="214"/>
        <v/>
      </c>
      <c r="Q523" s="124"/>
      <c r="R523" s="36" t="str">
        <f t="shared" si="215"/>
        <v/>
      </c>
      <c r="S523" s="37" t="str">
        <f t="shared" si="205"/>
        <v/>
      </c>
      <c r="T523" s="38" t="str">
        <f t="shared" si="206"/>
        <v/>
      </c>
      <c r="U523" s="39" t="str">
        <f t="shared" si="207"/>
        <v/>
      </c>
      <c r="V523" s="40" t="str">
        <f t="shared" si="208"/>
        <v/>
      </c>
      <c r="W523" s="39" t="str">
        <f t="shared" si="209"/>
        <v/>
      </c>
      <c r="X523" s="34" t="str">
        <f t="shared" si="210"/>
        <v/>
      </c>
      <c r="Y523" s="41" t="str">
        <f t="shared" si="216"/>
        <v/>
      </c>
      <c r="Z523" s="98" t="str">
        <f t="shared" si="211"/>
        <v/>
      </c>
      <c r="AA523" s="81" t="str">
        <f t="shared" si="217"/>
        <v/>
      </c>
      <c r="AC523" s="139"/>
      <c r="AD523" s="110" t="str">
        <f t="shared" si="218"/>
        <v/>
      </c>
      <c r="AE523" s="111" t="str">
        <f t="shared" si="219"/>
        <v/>
      </c>
      <c r="AF523" s="111" t="str">
        <f t="shared" si="212"/>
        <v/>
      </c>
      <c r="AG523" s="111" t="str">
        <f t="shared" si="220"/>
        <v/>
      </c>
      <c r="AH523" s="111" t="str">
        <f t="shared" si="221"/>
        <v/>
      </c>
      <c r="AI523" s="112" t="str">
        <f t="shared" si="222"/>
        <v/>
      </c>
      <c r="AJ523" t="str">
        <f t="shared" si="223"/>
        <v/>
      </c>
      <c r="AK523" t="str">
        <f t="shared" si="224"/>
        <v/>
      </c>
    </row>
    <row r="524" spans="1:37" ht="15" customHeight="1" x14ac:dyDescent="0.25">
      <c r="A524" s="114"/>
      <c r="B524" s="116"/>
      <c r="C524" s="116"/>
      <c r="D524" s="42" t="str">
        <f t="shared" si="200"/>
        <v/>
      </c>
      <c r="E524" s="43"/>
      <c r="F524" s="83"/>
      <c r="G524" s="118"/>
      <c r="H524" s="34" t="str">
        <f t="shared" si="201"/>
        <v/>
      </c>
      <c r="I524" s="88" t="str">
        <f t="shared" si="202"/>
        <v/>
      </c>
      <c r="J524" s="44" t="str">
        <f t="shared" si="203"/>
        <v/>
      </c>
      <c r="K524" s="118"/>
      <c r="L524" s="34" t="str">
        <f t="shared" si="204"/>
        <v/>
      </c>
      <c r="M524" s="118"/>
      <c r="N524" s="121"/>
      <c r="O524" s="122" t="str">
        <f t="shared" si="213"/>
        <v/>
      </c>
      <c r="P524" s="35" t="str">
        <f t="shared" si="214"/>
        <v/>
      </c>
      <c r="Q524" s="124"/>
      <c r="R524" s="36" t="str">
        <f t="shared" si="215"/>
        <v/>
      </c>
      <c r="S524" s="37" t="str">
        <f t="shared" si="205"/>
        <v/>
      </c>
      <c r="T524" s="38" t="str">
        <f t="shared" si="206"/>
        <v/>
      </c>
      <c r="U524" s="39" t="str">
        <f t="shared" si="207"/>
        <v/>
      </c>
      <c r="V524" s="40" t="str">
        <f t="shared" si="208"/>
        <v/>
      </c>
      <c r="W524" s="39" t="str">
        <f t="shared" si="209"/>
        <v/>
      </c>
      <c r="X524" s="34" t="str">
        <f t="shared" si="210"/>
        <v/>
      </c>
      <c r="Y524" s="41" t="str">
        <f t="shared" si="216"/>
        <v/>
      </c>
      <c r="Z524" s="98" t="str">
        <f t="shared" si="211"/>
        <v/>
      </c>
      <c r="AA524" s="81" t="str">
        <f t="shared" si="217"/>
        <v/>
      </c>
      <c r="AC524" s="139"/>
      <c r="AD524" s="110" t="str">
        <f t="shared" si="218"/>
        <v/>
      </c>
      <c r="AE524" s="111" t="str">
        <f t="shared" si="219"/>
        <v/>
      </c>
      <c r="AF524" s="111" t="str">
        <f t="shared" si="212"/>
        <v/>
      </c>
      <c r="AG524" s="111" t="str">
        <f t="shared" si="220"/>
        <v/>
      </c>
      <c r="AH524" s="111" t="str">
        <f t="shared" si="221"/>
        <v/>
      </c>
      <c r="AI524" s="112" t="str">
        <f t="shared" si="222"/>
        <v/>
      </c>
      <c r="AJ524" t="str">
        <f t="shared" si="223"/>
        <v/>
      </c>
      <c r="AK524" t="str">
        <f t="shared" si="224"/>
        <v/>
      </c>
    </row>
    <row r="525" spans="1:37" ht="15" customHeight="1" x14ac:dyDescent="0.25">
      <c r="A525" s="114"/>
      <c r="B525" s="116"/>
      <c r="C525" s="116"/>
      <c r="D525" s="42" t="str">
        <f t="shared" si="200"/>
        <v/>
      </c>
      <c r="E525" s="43"/>
      <c r="F525" s="83"/>
      <c r="G525" s="118"/>
      <c r="H525" s="34" t="str">
        <f t="shared" si="201"/>
        <v/>
      </c>
      <c r="I525" s="88" t="str">
        <f t="shared" si="202"/>
        <v/>
      </c>
      <c r="J525" s="44" t="str">
        <f t="shared" si="203"/>
        <v/>
      </c>
      <c r="K525" s="118"/>
      <c r="L525" s="34" t="str">
        <f t="shared" si="204"/>
        <v/>
      </c>
      <c r="M525" s="118"/>
      <c r="N525" s="121"/>
      <c r="O525" s="122" t="str">
        <f t="shared" si="213"/>
        <v/>
      </c>
      <c r="P525" s="35" t="str">
        <f t="shared" si="214"/>
        <v/>
      </c>
      <c r="Q525" s="124"/>
      <c r="R525" s="36" t="str">
        <f t="shared" si="215"/>
        <v/>
      </c>
      <c r="S525" s="37" t="str">
        <f t="shared" si="205"/>
        <v/>
      </c>
      <c r="T525" s="38" t="str">
        <f t="shared" si="206"/>
        <v/>
      </c>
      <c r="U525" s="39" t="str">
        <f t="shared" si="207"/>
        <v/>
      </c>
      <c r="V525" s="40" t="str">
        <f t="shared" si="208"/>
        <v/>
      </c>
      <c r="W525" s="39" t="str">
        <f t="shared" si="209"/>
        <v/>
      </c>
      <c r="X525" s="34" t="str">
        <f t="shared" si="210"/>
        <v/>
      </c>
      <c r="Y525" s="41" t="str">
        <f t="shared" si="216"/>
        <v/>
      </c>
      <c r="Z525" s="98" t="str">
        <f t="shared" si="211"/>
        <v/>
      </c>
      <c r="AA525" s="81" t="str">
        <f t="shared" si="217"/>
        <v/>
      </c>
      <c r="AC525" s="139"/>
      <c r="AD525" s="110" t="str">
        <f t="shared" si="218"/>
        <v/>
      </c>
      <c r="AE525" s="111" t="str">
        <f t="shared" si="219"/>
        <v/>
      </c>
      <c r="AF525" s="111" t="str">
        <f t="shared" si="212"/>
        <v/>
      </c>
      <c r="AG525" s="111" t="str">
        <f t="shared" si="220"/>
        <v/>
      </c>
      <c r="AH525" s="111" t="str">
        <f t="shared" si="221"/>
        <v/>
      </c>
      <c r="AI525" s="112" t="str">
        <f t="shared" si="222"/>
        <v/>
      </c>
      <c r="AJ525" t="str">
        <f t="shared" si="223"/>
        <v/>
      </c>
      <c r="AK525" t="str">
        <f t="shared" si="224"/>
        <v/>
      </c>
    </row>
    <row r="526" spans="1:37" ht="15" customHeight="1" x14ac:dyDescent="0.25">
      <c r="A526" s="114"/>
      <c r="B526" s="116"/>
      <c r="C526" s="116"/>
      <c r="D526" s="42" t="str">
        <f t="shared" si="200"/>
        <v/>
      </c>
      <c r="E526" s="43"/>
      <c r="F526" s="83"/>
      <c r="G526" s="118"/>
      <c r="H526" s="34" t="str">
        <f t="shared" si="201"/>
        <v/>
      </c>
      <c r="I526" s="88" t="str">
        <f t="shared" si="202"/>
        <v/>
      </c>
      <c r="J526" s="44" t="str">
        <f t="shared" si="203"/>
        <v/>
      </c>
      <c r="K526" s="118"/>
      <c r="L526" s="34" t="str">
        <f t="shared" si="204"/>
        <v/>
      </c>
      <c r="M526" s="118"/>
      <c r="N526" s="121"/>
      <c r="O526" s="122" t="str">
        <f t="shared" si="213"/>
        <v/>
      </c>
      <c r="P526" s="35" t="str">
        <f t="shared" si="214"/>
        <v/>
      </c>
      <c r="Q526" s="124"/>
      <c r="R526" s="36" t="str">
        <f t="shared" si="215"/>
        <v/>
      </c>
      <c r="S526" s="37" t="str">
        <f t="shared" si="205"/>
        <v/>
      </c>
      <c r="T526" s="38" t="str">
        <f t="shared" si="206"/>
        <v/>
      </c>
      <c r="U526" s="39" t="str">
        <f t="shared" si="207"/>
        <v/>
      </c>
      <c r="V526" s="40" t="str">
        <f t="shared" si="208"/>
        <v/>
      </c>
      <c r="W526" s="39" t="str">
        <f t="shared" si="209"/>
        <v/>
      </c>
      <c r="X526" s="34" t="str">
        <f t="shared" si="210"/>
        <v/>
      </c>
      <c r="Y526" s="41" t="str">
        <f t="shared" si="216"/>
        <v/>
      </c>
      <c r="Z526" s="98" t="str">
        <f t="shared" si="211"/>
        <v/>
      </c>
      <c r="AA526" s="81" t="str">
        <f t="shared" si="217"/>
        <v/>
      </c>
      <c r="AC526" s="139"/>
      <c r="AD526" s="110" t="str">
        <f t="shared" si="218"/>
        <v/>
      </c>
      <c r="AE526" s="111" t="str">
        <f t="shared" si="219"/>
        <v/>
      </c>
      <c r="AF526" s="111" t="str">
        <f t="shared" si="212"/>
        <v/>
      </c>
      <c r="AG526" s="111" t="str">
        <f t="shared" si="220"/>
        <v/>
      </c>
      <c r="AH526" s="111" t="str">
        <f t="shared" si="221"/>
        <v/>
      </c>
      <c r="AI526" s="112" t="str">
        <f t="shared" si="222"/>
        <v/>
      </c>
      <c r="AJ526" t="str">
        <f t="shared" si="223"/>
        <v/>
      </c>
      <c r="AK526" t="str">
        <f t="shared" si="224"/>
        <v/>
      </c>
    </row>
    <row r="527" spans="1:37" ht="15" customHeight="1" x14ac:dyDescent="0.25">
      <c r="A527" s="114"/>
      <c r="B527" s="116"/>
      <c r="C527" s="116"/>
      <c r="D527" s="42" t="str">
        <f t="shared" si="200"/>
        <v/>
      </c>
      <c r="E527" s="43"/>
      <c r="F527" s="83"/>
      <c r="G527" s="118"/>
      <c r="H527" s="34" t="str">
        <f t="shared" si="201"/>
        <v/>
      </c>
      <c r="I527" s="88" t="str">
        <f t="shared" si="202"/>
        <v/>
      </c>
      <c r="J527" s="44" t="str">
        <f t="shared" si="203"/>
        <v/>
      </c>
      <c r="K527" s="118"/>
      <c r="L527" s="34" t="str">
        <f t="shared" si="204"/>
        <v/>
      </c>
      <c r="M527" s="118"/>
      <c r="N527" s="121"/>
      <c r="O527" s="122" t="str">
        <f t="shared" si="213"/>
        <v/>
      </c>
      <c r="P527" s="35" t="str">
        <f t="shared" si="214"/>
        <v/>
      </c>
      <c r="Q527" s="124"/>
      <c r="R527" s="36" t="str">
        <f t="shared" si="215"/>
        <v/>
      </c>
      <c r="S527" s="37" t="str">
        <f t="shared" si="205"/>
        <v/>
      </c>
      <c r="T527" s="38" t="str">
        <f t="shared" si="206"/>
        <v/>
      </c>
      <c r="U527" s="39" t="str">
        <f t="shared" si="207"/>
        <v/>
      </c>
      <c r="V527" s="40" t="str">
        <f t="shared" si="208"/>
        <v/>
      </c>
      <c r="W527" s="39" t="str">
        <f t="shared" si="209"/>
        <v/>
      </c>
      <c r="X527" s="34" t="str">
        <f t="shared" si="210"/>
        <v/>
      </c>
      <c r="Y527" s="41" t="str">
        <f t="shared" si="216"/>
        <v/>
      </c>
      <c r="Z527" s="98" t="str">
        <f t="shared" si="211"/>
        <v/>
      </c>
      <c r="AA527" s="81" t="str">
        <f t="shared" si="217"/>
        <v/>
      </c>
      <c r="AC527" s="139"/>
      <c r="AD527" s="110" t="str">
        <f t="shared" si="218"/>
        <v/>
      </c>
      <c r="AE527" s="111" t="str">
        <f t="shared" si="219"/>
        <v/>
      </c>
      <c r="AF527" s="111" t="str">
        <f t="shared" si="212"/>
        <v/>
      </c>
      <c r="AG527" s="111" t="str">
        <f t="shared" si="220"/>
        <v/>
      </c>
      <c r="AH527" s="111" t="str">
        <f t="shared" si="221"/>
        <v/>
      </c>
      <c r="AI527" s="112" t="str">
        <f t="shared" si="222"/>
        <v/>
      </c>
      <c r="AJ527" t="str">
        <f t="shared" si="223"/>
        <v/>
      </c>
      <c r="AK527" t="str">
        <f t="shared" si="224"/>
        <v/>
      </c>
    </row>
    <row r="528" spans="1:37" ht="15" customHeight="1" x14ac:dyDescent="0.25">
      <c r="A528" s="114"/>
      <c r="B528" s="116"/>
      <c r="C528" s="116"/>
      <c r="D528" s="42" t="str">
        <f t="shared" si="200"/>
        <v/>
      </c>
      <c r="E528" s="43"/>
      <c r="F528" s="83"/>
      <c r="G528" s="118"/>
      <c r="H528" s="34" t="str">
        <f t="shared" si="201"/>
        <v/>
      </c>
      <c r="I528" s="88" t="str">
        <f t="shared" si="202"/>
        <v/>
      </c>
      <c r="J528" s="44" t="str">
        <f t="shared" si="203"/>
        <v/>
      </c>
      <c r="K528" s="118"/>
      <c r="L528" s="34" t="str">
        <f t="shared" si="204"/>
        <v/>
      </c>
      <c r="M528" s="118"/>
      <c r="N528" s="121"/>
      <c r="O528" s="122" t="str">
        <f t="shared" si="213"/>
        <v/>
      </c>
      <c r="P528" s="35" t="str">
        <f t="shared" si="214"/>
        <v/>
      </c>
      <c r="Q528" s="124"/>
      <c r="R528" s="36" t="str">
        <f t="shared" si="215"/>
        <v/>
      </c>
      <c r="S528" s="37" t="str">
        <f t="shared" si="205"/>
        <v/>
      </c>
      <c r="T528" s="38" t="str">
        <f t="shared" si="206"/>
        <v/>
      </c>
      <c r="U528" s="39" t="str">
        <f t="shared" si="207"/>
        <v/>
      </c>
      <c r="V528" s="40" t="str">
        <f t="shared" si="208"/>
        <v/>
      </c>
      <c r="W528" s="39" t="str">
        <f t="shared" si="209"/>
        <v/>
      </c>
      <c r="X528" s="34" t="str">
        <f t="shared" si="210"/>
        <v/>
      </c>
      <c r="Y528" s="41" t="str">
        <f t="shared" si="216"/>
        <v/>
      </c>
      <c r="Z528" s="98" t="str">
        <f t="shared" si="211"/>
        <v/>
      </c>
      <c r="AA528" s="81" t="str">
        <f t="shared" si="217"/>
        <v/>
      </c>
      <c r="AC528" s="139"/>
      <c r="AD528" s="110" t="str">
        <f t="shared" si="218"/>
        <v/>
      </c>
      <c r="AE528" s="111" t="str">
        <f t="shared" si="219"/>
        <v/>
      </c>
      <c r="AF528" s="111" t="str">
        <f t="shared" si="212"/>
        <v/>
      </c>
      <c r="AG528" s="111" t="str">
        <f t="shared" si="220"/>
        <v/>
      </c>
      <c r="AH528" s="111" t="str">
        <f t="shared" si="221"/>
        <v/>
      </c>
      <c r="AI528" s="112" t="str">
        <f t="shared" si="222"/>
        <v/>
      </c>
      <c r="AJ528" t="str">
        <f t="shared" si="223"/>
        <v/>
      </c>
      <c r="AK528" t="str">
        <f t="shared" si="224"/>
        <v/>
      </c>
    </row>
    <row r="529" spans="1:37" ht="15" customHeight="1" x14ac:dyDescent="0.25">
      <c r="A529" s="114"/>
      <c r="B529" s="116"/>
      <c r="C529" s="116"/>
      <c r="D529" s="42" t="str">
        <f t="shared" si="200"/>
        <v/>
      </c>
      <c r="E529" s="43"/>
      <c r="F529" s="83"/>
      <c r="G529" s="118"/>
      <c r="H529" s="34" t="str">
        <f t="shared" si="201"/>
        <v/>
      </c>
      <c r="I529" s="88" t="str">
        <f t="shared" si="202"/>
        <v/>
      </c>
      <c r="J529" s="44" t="str">
        <f t="shared" si="203"/>
        <v/>
      </c>
      <c r="K529" s="118"/>
      <c r="L529" s="34" t="str">
        <f t="shared" si="204"/>
        <v/>
      </c>
      <c r="M529" s="118"/>
      <c r="N529" s="121"/>
      <c r="O529" s="122" t="str">
        <f t="shared" si="213"/>
        <v/>
      </c>
      <c r="P529" s="35" t="str">
        <f t="shared" si="214"/>
        <v/>
      </c>
      <c r="Q529" s="124"/>
      <c r="R529" s="36" t="str">
        <f t="shared" si="215"/>
        <v/>
      </c>
      <c r="S529" s="37" t="str">
        <f t="shared" si="205"/>
        <v/>
      </c>
      <c r="T529" s="38" t="str">
        <f t="shared" si="206"/>
        <v/>
      </c>
      <c r="U529" s="39" t="str">
        <f t="shared" si="207"/>
        <v/>
      </c>
      <c r="V529" s="40" t="str">
        <f t="shared" si="208"/>
        <v/>
      </c>
      <c r="W529" s="39" t="str">
        <f t="shared" si="209"/>
        <v/>
      </c>
      <c r="X529" s="34" t="str">
        <f t="shared" si="210"/>
        <v/>
      </c>
      <c r="Y529" s="41" t="str">
        <f t="shared" si="216"/>
        <v/>
      </c>
      <c r="Z529" s="98" t="str">
        <f t="shared" si="211"/>
        <v/>
      </c>
      <c r="AA529" s="81" t="str">
        <f t="shared" si="217"/>
        <v/>
      </c>
      <c r="AC529" s="139"/>
      <c r="AD529" s="110" t="str">
        <f t="shared" si="218"/>
        <v/>
      </c>
      <c r="AE529" s="111" t="str">
        <f t="shared" si="219"/>
        <v/>
      </c>
      <c r="AF529" s="111" t="str">
        <f t="shared" si="212"/>
        <v/>
      </c>
      <c r="AG529" s="111" t="str">
        <f t="shared" si="220"/>
        <v/>
      </c>
      <c r="AH529" s="111" t="str">
        <f t="shared" si="221"/>
        <v/>
      </c>
      <c r="AI529" s="112" t="str">
        <f t="shared" si="222"/>
        <v/>
      </c>
      <c r="AJ529" t="str">
        <f t="shared" si="223"/>
        <v/>
      </c>
      <c r="AK529" t="str">
        <f t="shared" si="224"/>
        <v/>
      </c>
    </row>
    <row r="530" spans="1:37" ht="15" customHeight="1" x14ac:dyDescent="0.25">
      <c r="A530" s="114"/>
      <c r="B530" s="116"/>
      <c r="C530" s="116"/>
      <c r="D530" s="42" t="str">
        <f t="shared" si="200"/>
        <v/>
      </c>
      <c r="E530" s="43"/>
      <c r="F530" s="83"/>
      <c r="G530" s="118"/>
      <c r="H530" s="34" t="str">
        <f t="shared" si="201"/>
        <v/>
      </c>
      <c r="I530" s="88" t="str">
        <f t="shared" si="202"/>
        <v/>
      </c>
      <c r="J530" s="44" t="str">
        <f t="shared" si="203"/>
        <v/>
      </c>
      <c r="K530" s="118"/>
      <c r="L530" s="34" t="str">
        <f t="shared" si="204"/>
        <v/>
      </c>
      <c r="M530" s="118"/>
      <c r="N530" s="121"/>
      <c r="O530" s="122" t="str">
        <f t="shared" si="213"/>
        <v/>
      </c>
      <c r="P530" s="35" t="str">
        <f t="shared" si="214"/>
        <v/>
      </c>
      <c r="Q530" s="124"/>
      <c r="R530" s="36" t="str">
        <f t="shared" si="215"/>
        <v/>
      </c>
      <c r="S530" s="37" t="str">
        <f t="shared" si="205"/>
        <v/>
      </c>
      <c r="T530" s="38" t="str">
        <f t="shared" si="206"/>
        <v/>
      </c>
      <c r="U530" s="39" t="str">
        <f t="shared" si="207"/>
        <v/>
      </c>
      <c r="V530" s="40" t="str">
        <f t="shared" si="208"/>
        <v/>
      </c>
      <c r="W530" s="39" t="str">
        <f t="shared" si="209"/>
        <v/>
      </c>
      <c r="X530" s="34" t="str">
        <f t="shared" si="210"/>
        <v/>
      </c>
      <c r="Y530" s="41" t="str">
        <f t="shared" si="216"/>
        <v/>
      </c>
      <c r="Z530" s="98" t="str">
        <f t="shared" si="211"/>
        <v/>
      </c>
      <c r="AA530" s="81" t="str">
        <f t="shared" si="217"/>
        <v/>
      </c>
      <c r="AC530" s="139"/>
      <c r="AD530" s="110" t="str">
        <f t="shared" si="218"/>
        <v/>
      </c>
      <c r="AE530" s="111" t="str">
        <f t="shared" si="219"/>
        <v/>
      </c>
      <c r="AF530" s="111" t="str">
        <f t="shared" si="212"/>
        <v/>
      </c>
      <c r="AG530" s="111" t="str">
        <f t="shared" si="220"/>
        <v/>
      </c>
      <c r="AH530" s="111" t="str">
        <f t="shared" si="221"/>
        <v/>
      </c>
      <c r="AI530" s="112" t="str">
        <f t="shared" si="222"/>
        <v/>
      </c>
      <c r="AJ530" t="str">
        <f t="shared" si="223"/>
        <v/>
      </c>
      <c r="AK530" t="str">
        <f t="shared" si="224"/>
        <v/>
      </c>
    </row>
    <row r="531" spans="1:37" ht="15" customHeight="1" x14ac:dyDescent="0.25">
      <c r="A531" s="114"/>
      <c r="B531" s="116"/>
      <c r="C531" s="116"/>
      <c r="D531" s="42" t="str">
        <f t="shared" si="200"/>
        <v/>
      </c>
      <c r="E531" s="43"/>
      <c r="F531" s="83"/>
      <c r="G531" s="118"/>
      <c r="H531" s="34" t="str">
        <f t="shared" si="201"/>
        <v/>
      </c>
      <c r="I531" s="88" t="str">
        <f t="shared" si="202"/>
        <v/>
      </c>
      <c r="J531" s="44" t="str">
        <f t="shared" si="203"/>
        <v/>
      </c>
      <c r="K531" s="118"/>
      <c r="L531" s="34" t="str">
        <f t="shared" si="204"/>
        <v/>
      </c>
      <c r="M531" s="118"/>
      <c r="N531" s="121"/>
      <c r="O531" s="122" t="str">
        <f t="shared" si="213"/>
        <v/>
      </c>
      <c r="P531" s="35" t="str">
        <f t="shared" si="214"/>
        <v/>
      </c>
      <c r="Q531" s="124"/>
      <c r="R531" s="36" t="str">
        <f t="shared" si="215"/>
        <v/>
      </c>
      <c r="S531" s="37" t="str">
        <f t="shared" si="205"/>
        <v/>
      </c>
      <c r="T531" s="38" t="str">
        <f t="shared" si="206"/>
        <v/>
      </c>
      <c r="U531" s="39" t="str">
        <f t="shared" si="207"/>
        <v/>
      </c>
      <c r="V531" s="40" t="str">
        <f t="shared" si="208"/>
        <v/>
      </c>
      <c r="W531" s="39" t="str">
        <f t="shared" si="209"/>
        <v/>
      </c>
      <c r="X531" s="34" t="str">
        <f t="shared" si="210"/>
        <v/>
      </c>
      <c r="Y531" s="41" t="str">
        <f t="shared" si="216"/>
        <v/>
      </c>
      <c r="Z531" s="98" t="str">
        <f t="shared" si="211"/>
        <v/>
      </c>
      <c r="AA531" s="81" t="str">
        <f t="shared" si="217"/>
        <v/>
      </c>
      <c r="AC531" s="139"/>
      <c r="AD531" s="110" t="str">
        <f t="shared" si="218"/>
        <v/>
      </c>
      <c r="AE531" s="111" t="str">
        <f t="shared" si="219"/>
        <v/>
      </c>
      <c r="AF531" s="111" t="str">
        <f t="shared" si="212"/>
        <v/>
      </c>
      <c r="AG531" s="111" t="str">
        <f t="shared" si="220"/>
        <v/>
      </c>
      <c r="AH531" s="111" t="str">
        <f t="shared" si="221"/>
        <v/>
      </c>
      <c r="AI531" s="112" t="str">
        <f t="shared" si="222"/>
        <v/>
      </c>
      <c r="AJ531" t="str">
        <f t="shared" si="223"/>
        <v/>
      </c>
      <c r="AK531" t="str">
        <f t="shared" si="224"/>
        <v/>
      </c>
    </row>
    <row r="532" spans="1:37" ht="15" customHeight="1" x14ac:dyDescent="0.25">
      <c r="A532" s="114"/>
      <c r="B532" s="116"/>
      <c r="C532" s="116"/>
      <c r="D532" s="42" t="str">
        <f t="shared" si="200"/>
        <v/>
      </c>
      <c r="E532" s="43"/>
      <c r="F532" s="83"/>
      <c r="G532" s="118"/>
      <c r="H532" s="34" t="str">
        <f t="shared" si="201"/>
        <v/>
      </c>
      <c r="I532" s="88" t="str">
        <f t="shared" si="202"/>
        <v/>
      </c>
      <c r="J532" s="44" t="str">
        <f t="shared" si="203"/>
        <v/>
      </c>
      <c r="K532" s="118"/>
      <c r="L532" s="34" t="str">
        <f t="shared" si="204"/>
        <v/>
      </c>
      <c r="M532" s="118"/>
      <c r="N532" s="121"/>
      <c r="O532" s="122" t="str">
        <f t="shared" si="213"/>
        <v/>
      </c>
      <c r="P532" s="35" t="str">
        <f t="shared" si="214"/>
        <v/>
      </c>
      <c r="Q532" s="124"/>
      <c r="R532" s="36" t="str">
        <f t="shared" si="215"/>
        <v/>
      </c>
      <c r="S532" s="37" t="str">
        <f t="shared" si="205"/>
        <v/>
      </c>
      <c r="T532" s="38" t="str">
        <f t="shared" si="206"/>
        <v/>
      </c>
      <c r="U532" s="39" t="str">
        <f t="shared" si="207"/>
        <v/>
      </c>
      <c r="V532" s="40" t="str">
        <f t="shared" si="208"/>
        <v/>
      </c>
      <c r="W532" s="39" t="str">
        <f t="shared" si="209"/>
        <v/>
      </c>
      <c r="X532" s="34" t="str">
        <f t="shared" si="210"/>
        <v/>
      </c>
      <c r="Y532" s="41" t="str">
        <f t="shared" si="216"/>
        <v/>
      </c>
      <c r="Z532" s="98" t="str">
        <f t="shared" si="211"/>
        <v/>
      </c>
      <c r="AA532" s="81" t="str">
        <f t="shared" si="217"/>
        <v/>
      </c>
      <c r="AC532" s="139"/>
      <c r="AD532" s="110" t="str">
        <f t="shared" si="218"/>
        <v/>
      </c>
      <c r="AE532" s="111" t="str">
        <f t="shared" si="219"/>
        <v/>
      </c>
      <c r="AF532" s="111" t="str">
        <f t="shared" si="212"/>
        <v/>
      </c>
      <c r="AG532" s="111" t="str">
        <f t="shared" si="220"/>
        <v/>
      </c>
      <c r="AH532" s="111" t="str">
        <f t="shared" si="221"/>
        <v/>
      </c>
      <c r="AI532" s="112" t="str">
        <f t="shared" si="222"/>
        <v/>
      </c>
      <c r="AJ532" t="str">
        <f t="shared" si="223"/>
        <v/>
      </c>
      <c r="AK532" t="str">
        <f t="shared" si="224"/>
        <v/>
      </c>
    </row>
    <row r="533" spans="1:37" ht="15" customHeight="1" x14ac:dyDescent="0.25">
      <c r="A533" s="114"/>
      <c r="B533" s="116"/>
      <c r="C533" s="116"/>
      <c r="D533" s="42" t="str">
        <f t="shared" si="200"/>
        <v/>
      </c>
      <c r="E533" s="43"/>
      <c r="F533" s="83"/>
      <c r="G533" s="118"/>
      <c r="H533" s="34" t="str">
        <f t="shared" si="201"/>
        <v/>
      </c>
      <c r="I533" s="88" t="str">
        <f t="shared" si="202"/>
        <v/>
      </c>
      <c r="J533" s="44" t="str">
        <f t="shared" si="203"/>
        <v/>
      </c>
      <c r="K533" s="118"/>
      <c r="L533" s="34" t="str">
        <f t="shared" si="204"/>
        <v/>
      </c>
      <c r="M533" s="118"/>
      <c r="N533" s="121"/>
      <c r="O533" s="122" t="str">
        <f t="shared" si="213"/>
        <v/>
      </c>
      <c r="P533" s="35" t="str">
        <f t="shared" si="214"/>
        <v/>
      </c>
      <c r="Q533" s="124"/>
      <c r="R533" s="36" t="str">
        <f t="shared" si="215"/>
        <v/>
      </c>
      <c r="S533" s="37" t="str">
        <f t="shared" si="205"/>
        <v/>
      </c>
      <c r="T533" s="38" t="str">
        <f t="shared" si="206"/>
        <v/>
      </c>
      <c r="U533" s="39" t="str">
        <f t="shared" si="207"/>
        <v/>
      </c>
      <c r="V533" s="40" t="str">
        <f t="shared" si="208"/>
        <v/>
      </c>
      <c r="W533" s="39" t="str">
        <f t="shared" si="209"/>
        <v/>
      </c>
      <c r="X533" s="34" t="str">
        <f t="shared" si="210"/>
        <v/>
      </c>
      <c r="Y533" s="41" t="str">
        <f t="shared" si="216"/>
        <v/>
      </c>
      <c r="Z533" s="98" t="str">
        <f t="shared" si="211"/>
        <v/>
      </c>
      <c r="AA533" s="81" t="str">
        <f t="shared" si="217"/>
        <v/>
      </c>
      <c r="AC533" s="139"/>
      <c r="AD533" s="110" t="str">
        <f t="shared" si="218"/>
        <v/>
      </c>
      <c r="AE533" s="111" t="str">
        <f t="shared" si="219"/>
        <v/>
      </c>
      <c r="AF533" s="111" t="str">
        <f t="shared" si="212"/>
        <v/>
      </c>
      <c r="AG533" s="111" t="str">
        <f t="shared" si="220"/>
        <v/>
      </c>
      <c r="AH533" s="111" t="str">
        <f t="shared" si="221"/>
        <v/>
      </c>
      <c r="AI533" s="112" t="str">
        <f t="shared" si="222"/>
        <v/>
      </c>
      <c r="AJ533" t="str">
        <f t="shared" si="223"/>
        <v/>
      </c>
      <c r="AK533" t="str">
        <f t="shared" si="224"/>
        <v/>
      </c>
    </row>
    <row r="534" spans="1:37" ht="15" customHeight="1" x14ac:dyDescent="0.25">
      <c r="A534" s="114"/>
      <c r="B534" s="116"/>
      <c r="C534" s="116"/>
      <c r="D534" s="42" t="str">
        <f t="shared" si="200"/>
        <v/>
      </c>
      <c r="E534" s="43"/>
      <c r="F534" s="83"/>
      <c r="G534" s="118"/>
      <c r="H534" s="34" t="str">
        <f t="shared" si="201"/>
        <v/>
      </c>
      <c r="I534" s="88" t="str">
        <f t="shared" si="202"/>
        <v/>
      </c>
      <c r="J534" s="44" t="str">
        <f t="shared" si="203"/>
        <v/>
      </c>
      <c r="K534" s="118"/>
      <c r="L534" s="34" t="str">
        <f t="shared" si="204"/>
        <v/>
      </c>
      <c r="M534" s="118"/>
      <c r="N534" s="121"/>
      <c r="O534" s="122" t="str">
        <f t="shared" si="213"/>
        <v/>
      </c>
      <c r="P534" s="35" t="str">
        <f t="shared" si="214"/>
        <v/>
      </c>
      <c r="Q534" s="124"/>
      <c r="R534" s="36" t="str">
        <f t="shared" si="215"/>
        <v/>
      </c>
      <c r="S534" s="37" t="str">
        <f t="shared" si="205"/>
        <v/>
      </c>
      <c r="T534" s="38" t="str">
        <f t="shared" si="206"/>
        <v/>
      </c>
      <c r="U534" s="39" t="str">
        <f t="shared" si="207"/>
        <v/>
      </c>
      <c r="V534" s="40" t="str">
        <f t="shared" si="208"/>
        <v/>
      </c>
      <c r="W534" s="39" t="str">
        <f t="shared" si="209"/>
        <v/>
      </c>
      <c r="X534" s="34" t="str">
        <f t="shared" si="210"/>
        <v/>
      </c>
      <c r="Y534" s="41" t="str">
        <f t="shared" si="216"/>
        <v/>
      </c>
      <c r="Z534" s="98" t="str">
        <f t="shared" si="211"/>
        <v/>
      </c>
      <c r="AA534" s="81" t="str">
        <f t="shared" si="217"/>
        <v/>
      </c>
      <c r="AC534" s="139"/>
      <c r="AD534" s="110" t="str">
        <f t="shared" si="218"/>
        <v/>
      </c>
      <c r="AE534" s="111" t="str">
        <f t="shared" si="219"/>
        <v/>
      </c>
      <c r="AF534" s="111" t="str">
        <f t="shared" si="212"/>
        <v/>
      </c>
      <c r="AG534" s="111" t="str">
        <f t="shared" si="220"/>
        <v/>
      </c>
      <c r="AH534" s="111" t="str">
        <f t="shared" si="221"/>
        <v/>
      </c>
      <c r="AI534" s="112" t="str">
        <f t="shared" si="222"/>
        <v/>
      </c>
      <c r="AJ534" t="str">
        <f t="shared" si="223"/>
        <v/>
      </c>
      <c r="AK534" t="str">
        <f t="shared" si="224"/>
        <v/>
      </c>
    </row>
    <row r="535" spans="1:37" ht="15" customHeight="1" x14ac:dyDescent="0.25">
      <c r="A535" s="114"/>
      <c r="B535" s="116"/>
      <c r="C535" s="116"/>
      <c r="D535" s="42" t="str">
        <f t="shared" si="200"/>
        <v/>
      </c>
      <c r="E535" s="43"/>
      <c r="F535" s="83"/>
      <c r="G535" s="118"/>
      <c r="H535" s="34" t="str">
        <f t="shared" si="201"/>
        <v/>
      </c>
      <c r="I535" s="88" t="str">
        <f t="shared" si="202"/>
        <v/>
      </c>
      <c r="J535" s="44" t="str">
        <f t="shared" si="203"/>
        <v/>
      </c>
      <c r="K535" s="118"/>
      <c r="L535" s="34" t="str">
        <f t="shared" si="204"/>
        <v/>
      </c>
      <c r="M535" s="118"/>
      <c r="N535" s="121"/>
      <c r="O535" s="122" t="str">
        <f t="shared" si="213"/>
        <v/>
      </c>
      <c r="P535" s="35" t="str">
        <f t="shared" si="214"/>
        <v/>
      </c>
      <c r="Q535" s="124"/>
      <c r="R535" s="36" t="str">
        <f t="shared" si="215"/>
        <v/>
      </c>
      <c r="S535" s="37" t="str">
        <f t="shared" si="205"/>
        <v/>
      </c>
      <c r="T535" s="38" t="str">
        <f t="shared" si="206"/>
        <v/>
      </c>
      <c r="U535" s="39" t="str">
        <f t="shared" si="207"/>
        <v/>
      </c>
      <c r="V535" s="40" t="str">
        <f t="shared" si="208"/>
        <v/>
      </c>
      <c r="W535" s="39" t="str">
        <f t="shared" si="209"/>
        <v/>
      </c>
      <c r="X535" s="34" t="str">
        <f t="shared" si="210"/>
        <v/>
      </c>
      <c r="Y535" s="41" t="str">
        <f t="shared" si="216"/>
        <v/>
      </c>
      <c r="Z535" s="98" t="str">
        <f t="shared" si="211"/>
        <v/>
      </c>
      <c r="AA535" s="81" t="str">
        <f t="shared" si="217"/>
        <v/>
      </c>
      <c r="AC535" s="139"/>
      <c r="AD535" s="110" t="str">
        <f t="shared" si="218"/>
        <v/>
      </c>
      <c r="AE535" s="111" t="str">
        <f t="shared" si="219"/>
        <v/>
      </c>
      <c r="AF535" s="111" t="str">
        <f t="shared" si="212"/>
        <v/>
      </c>
      <c r="AG535" s="111" t="str">
        <f t="shared" si="220"/>
        <v/>
      </c>
      <c r="AH535" s="111" t="str">
        <f t="shared" si="221"/>
        <v/>
      </c>
      <c r="AI535" s="112" t="str">
        <f t="shared" si="222"/>
        <v/>
      </c>
      <c r="AJ535" t="str">
        <f t="shared" si="223"/>
        <v/>
      </c>
      <c r="AK535" t="str">
        <f t="shared" si="224"/>
        <v/>
      </c>
    </row>
    <row r="536" spans="1:37" ht="15" customHeight="1" x14ac:dyDescent="0.25">
      <c r="A536" s="114"/>
      <c r="B536" s="116"/>
      <c r="C536" s="116"/>
      <c r="D536" s="42" t="str">
        <f t="shared" si="200"/>
        <v/>
      </c>
      <c r="E536" s="43"/>
      <c r="F536" s="83"/>
      <c r="G536" s="118"/>
      <c r="H536" s="34" t="str">
        <f t="shared" si="201"/>
        <v/>
      </c>
      <c r="I536" s="88" t="str">
        <f t="shared" si="202"/>
        <v/>
      </c>
      <c r="J536" s="44" t="str">
        <f t="shared" si="203"/>
        <v/>
      </c>
      <c r="K536" s="118"/>
      <c r="L536" s="34" t="str">
        <f t="shared" si="204"/>
        <v/>
      </c>
      <c r="M536" s="118"/>
      <c r="N536" s="121"/>
      <c r="O536" s="122" t="str">
        <f t="shared" si="213"/>
        <v/>
      </c>
      <c r="P536" s="35" t="str">
        <f t="shared" si="214"/>
        <v/>
      </c>
      <c r="Q536" s="124"/>
      <c r="R536" s="36" t="str">
        <f t="shared" si="215"/>
        <v/>
      </c>
      <c r="S536" s="37" t="str">
        <f t="shared" si="205"/>
        <v/>
      </c>
      <c r="T536" s="38" t="str">
        <f t="shared" si="206"/>
        <v/>
      </c>
      <c r="U536" s="39" t="str">
        <f t="shared" si="207"/>
        <v/>
      </c>
      <c r="V536" s="40" t="str">
        <f t="shared" si="208"/>
        <v/>
      </c>
      <c r="W536" s="39" t="str">
        <f t="shared" si="209"/>
        <v/>
      </c>
      <c r="X536" s="34" t="str">
        <f t="shared" si="210"/>
        <v/>
      </c>
      <c r="Y536" s="41" t="str">
        <f t="shared" si="216"/>
        <v/>
      </c>
      <c r="Z536" s="98" t="str">
        <f t="shared" si="211"/>
        <v/>
      </c>
      <c r="AA536" s="81" t="str">
        <f t="shared" si="217"/>
        <v/>
      </c>
      <c r="AC536" s="139"/>
      <c r="AD536" s="110" t="str">
        <f t="shared" si="218"/>
        <v/>
      </c>
      <c r="AE536" s="111" t="str">
        <f t="shared" si="219"/>
        <v/>
      </c>
      <c r="AF536" s="111" t="str">
        <f t="shared" si="212"/>
        <v/>
      </c>
      <c r="AG536" s="111" t="str">
        <f t="shared" si="220"/>
        <v/>
      </c>
      <c r="AH536" s="111" t="str">
        <f t="shared" si="221"/>
        <v/>
      </c>
      <c r="AI536" s="112" t="str">
        <f t="shared" si="222"/>
        <v/>
      </c>
      <c r="AJ536" t="str">
        <f t="shared" si="223"/>
        <v/>
      </c>
      <c r="AK536" t="str">
        <f t="shared" si="224"/>
        <v/>
      </c>
    </row>
    <row r="537" spans="1:37" ht="15" customHeight="1" x14ac:dyDescent="0.25">
      <c r="A537" s="114"/>
      <c r="B537" s="116"/>
      <c r="C537" s="116"/>
      <c r="D537" s="42" t="str">
        <f t="shared" si="200"/>
        <v/>
      </c>
      <c r="E537" s="43"/>
      <c r="F537" s="83"/>
      <c r="G537" s="118"/>
      <c r="H537" s="34" t="str">
        <f t="shared" si="201"/>
        <v/>
      </c>
      <c r="I537" s="88" t="str">
        <f t="shared" si="202"/>
        <v/>
      </c>
      <c r="J537" s="44" t="str">
        <f t="shared" si="203"/>
        <v/>
      </c>
      <c r="K537" s="118"/>
      <c r="L537" s="34" t="str">
        <f t="shared" si="204"/>
        <v/>
      </c>
      <c r="M537" s="118"/>
      <c r="N537" s="121"/>
      <c r="O537" s="122" t="str">
        <f t="shared" si="213"/>
        <v/>
      </c>
      <c r="P537" s="35" t="str">
        <f t="shared" si="214"/>
        <v/>
      </c>
      <c r="Q537" s="124"/>
      <c r="R537" s="36" t="str">
        <f t="shared" si="215"/>
        <v/>
      </c>
      <c r="S537" s="37" t="str">
        <f t="shared" si="205"/>
        <v/>
      </c>
      <c r="T537" s="38" t="str">
        <f t="shared" si="206"/>
        <v/>
      </c>
      <c r="U537" s="39" t="str">
        <f t="shared" si="207"/>
        <v/>
      </c>
      <c r="V537" s="40" t="str">
        <f t="shared" si="208"/>
        <v/>
      </c>
      <c r="W537" s="39" t="str">
        <f t="shared" si="209"/>
        <v/>
      </c>
      <c r="X537" s="34" t="str">
        <f t="shared" si="210"/>
        <v/>
      </c>
      <c r="Y537" s="41" t="str">
        <f t="shared" si="216"/>
        <v/>
      </c>
      <c r="Z537" s="98" t="str">
        <f t="shared" si="211"/>
        <v/>
      </c>
      <c r="AA537" s="81" t="str">
        <f t="shared" si="217"/>
        <v/>
      </c>
      <c r="AC537" s="139"/>
      <c r="AD537" s="110" t="str">
        <f t="shared" si="218"/>
        <v/>
      </c>
      <c r="AE537" s="111" t="str">
        <f t="shared" si="219"/>
        <v/>
      </c>
      <c r="AF537" s="111" t="str">
        <f t="shared" si="212"/>
        <v/>
      </c>
      <c r="AG537" s="111" t="str">
        <f t="shared" si="220"/>
        <v/>
      </c>
      <c r="AH537" s="111" t="str">
        <f t="shared" si="221"/>
        <v/>
      </c>
      <c r="AI537" s="112" t="str">
        <f t="shared" si="222"/>
        <v/>
      </c>
      <c r="AJ537" t="str">
        <f t="shared" si="223"/>
        <v/>
      </c>
      <c r="AK537" t="str">
        <f t="shared" si="224"/>
        <v/>
      </c>
    </row>
    <row r="538" spans="1:37" ht="15" customHeight="1" x14ac:dyDescent="0.25">
      <c r="A538" s="114"/>
      <c r="B538" s="116"/>
      <c r="C538" s="116"/>
      <c r="D538" s="42" t="str">
        <f t="shared" si="200"/>
        <v/>
      </c>
      <c r="E538" s="43"/>
      <c r="F538" s="83"/>
      <c r="G538" s="118"/>
      <c r="H538" s="34" t="str">
        <f t="shared" si="201"/>
        <v/>
      </c>
      <c r="I538" s="88" t="str">
        <f t="shared" si="202"/>
        <v/>
      </c>
      <c r="J538" s="44" t="str">
        <f t="shared" si="203"/>
        <v/>
      </c>
      <c r="K538" s="118"/>
      <c r="L538" s="34" t="str">
        <f t="shared" si="204"/>
        <v/>
      </c>
      <c r="M538" s="118"/>
      <c r="N538" s="121"/>
      <c r="O538" s="122" t="str">
        <f t="shared" si="213"/>
        <v/>
      </c>
      <c r="P538" s="35" t="str">
        <f t="shared" si="214"/>
        <v/>
      </c>
      <c r="Q538" s="124"/>
      <c r="R538" s="36" t="str">
        <f t="shared" si="215"/>
        <v/>
      </c>
      <c r="S538" s="37" t="str">
        <f t="shared" si="205"/>
        <v/>
      </c>
      <c r="T538" s="38" t="str">
        <f t="shared" si="206"/>
        <v/>
      </c>
      <c r="U538" s="39" t="str">
        <f t="shared" si="207"/>
        <v/>
      </c>
      <c r="V538" s="40" t="str">
        <f t="shared" si="208"/>
        <v/>
      </c>
      <c r="W538" s="39" t="str">
        <f t="shared" si="209"/>
        <v/>
      </c>
      <c r="X538" s="34" t="str">
        <f t="shared" si="210"/>
        <v/>
      </c>
      <c r="Y538" s="41" t="str">
        <f t="shared" si="216"/>
        <v/>
      </c>
      <c r="Z538" s="98" t="str">
        <f t="shared" si="211"/>
        <v/>
      </c>
      <c r="AA538" s="81" t="str">
        <f t="shared" si="217"/>
        <v/>
      </c>
      <c r="AC538" s="139"/>
      <c r="AD538" s="110" t="str">
        <f t="shared" si="218"/>
        <v/>
      </c>
      <c r="AE538" s="111" t="str">
        <f t="shared" si="219"/>
        <v/>
      </c>
      <c r="AF538" s="111" t="str">
        <f t="shared" si="212"/>
        <v/>
      </c>
      <c r="AG538" s="111" t="str">
        <f t="shared" si="220"/>
        <v/>
      </c>
      <c r="AH538" s="111" t="str">
        <f t="shared" si="221"/>
        <v/>
      </c>
      <c r="AI538" s="112" t="str">
        <f t="shared" si="222"/>
        <v/>
      </c>
      <c r="AJ538" t="str">
        <f t="shared" si="223"/>
        <v/>
      </c>
      <c r="AK538" t="str">
        <f t="shared" si="224"/>
        <v/>
      </c>
    </row>
    <row r="539" spans="1:37" ht="15" customHeight="1" x14ac:dyDescent="0.25">
      <c r="A539" s="114"/>
      <c r="B539" s="116"/>
      <c r="C539" s="116"/>
      <c r="D539" s="42" t="str">
        <f t="shared" si="200"/>
        <v/>
      </c>
      <c r="E539" s="43"/>
      <c r="F539" s="83"/>
      <c r="G539" s="118"/>
      <c r="H539" s="34" t="str">
        <f t="shared" si="201"/>
        <v/>
      </c>
      <c r="I539" s="88" t="str">
        <f t="shared" si="202"/>
        <v/>
      </c>
      <c r="J539" s="44" t="str">
        <f t="shared" si="203"/>
        <v/>
      </c>
      <c r="K539" s="118"/>
      <c r="L539" s="34" t="str">
        <f t="shared" si="204"/>
        <v/>
      </c>
      <c r="M539" s="118"/>
      <c r="N539" s="121"/>
      <c r="O539" s="122" t="str">
        <f t="shared" si="213"/>
        <v/>
      </c>
      <c r="P539" s="35" t="str">
        <f t="shared" si="214"/>
        <v/>
      </c>
      <c r="Q539" s="124"/>
      <c r="R539" s="36" t="str">
        <f t="shared" si="215"/>
        <v/>
      </c>
      <c r="S539" s="37" t="str">
        <f t="shared" si="205"/>
        <v/>
      </c>
      <c r="T539" s="38" t="str">
        <f t="shared" si="206"/>
        <v/>
      </c>
      <c r="U539" s="39" t="str">
        <f t="shared" si="207"/>
        <v/>
      </c>
      <c r="V539" s="40" t="str">
        <f t="shared" si="208"/>
        <v/>
      </c>
      <c r="W539" s="39" t="str">
        <f t="shared" si="209"/>
        <v/>
      </c>
      <c r="X539" s="34" t="str">
        <f t="shared" si="210"/>
        <v/>
      </c>
      <c r="Y539" s="41" t="str">
        <f t="shared" si="216"/>
        <v/>
      </c>
      <c r="Z539" s="98" t="str">
        <f t="shared" si="211"/>
        <v/>
      </c>
      <c r="AA539" s="81" t="str">
        <f t="shared" si="217"/>
        <v/>
      </c>
      <c r="AC539" s="139"/>
      <c r="AD539" s="110" t="str">
        <f t="shared" si="218"/>
        <v/>
      </c>
      <c r="AE539" s="111" t="str">
        <f t="shared" si="219"/>
        <v/>
      </c>
      <c r="AF539" s="111" t="str">
        <f t="shared" si="212"/>
        <v/>
      </c>
      <c r="AG539" s="111" t="str">
        <f t="shared" si="220"/>
        <v/>
      </c>
      <c r="AH539" s="111" t="str">
        <f t="shared" si="221"/>
        <v/>
      </c>
      <c r="AI539" s="112" t="str">
        <f t="shared" si="222"/>
        <v/>
      </c>
      <c r="AJ539" t="str">
        <f t="shared" si="223"/>
        <v/>
      </c>
      <c r="AK539" t="str">
        <f t="shared" si="224"/>
        <v/>
      </c>
    </row>
    <row r="540" spans="1:37" ht="15" customHeight="1" x14ac:dyDescent="0.25">
      <c r="A540" s="114"/>
      <c r="B540" s="116"/>
      <c r="C540" s="116"/>
      <c r="D540" s="42" t="str">
        <f t="shared" si="200"/>
        <v/>
      </c>
      <c r="E540" s="43"/>
      <c r="F540" s="83"/>
      <c r="G540" s="118"/>
      <c r="H540" s="34" t="str">
        <f t="shared" si="201"/>
        <v/>
      </c>
      <c r="I540" s="88" t="str">
        <f t="shared" si="202"/>
        <v/>
      </c>
      <c r="J540" s="44" t="str">
        <f t="shared" si="203"/>
        <v/>
      </c>
      <c r="K540" s="118"/>
      <c r="L540" s="34" t="str">
        <f t="shared" si="204"/>
        <v/>
      </c>
      <c r="M540" s="118"/>
      <c r="N540" s="121"/>
      <c r="O540" s="122" t="str">
        <f t="shared" si="213"/>
        <v/>
      </c>
      <c r="P540" s="35" t="str">
        <f t="shared" si="214"/>
        <v/>
      </c>
      <c r="Q540" s="124"/>
      <c r="R540" s="36" t="str">
        <f t="shared" si="215"/>
        <v/>
      </c>
      <c r="S540" s="37" t="str">
        <f t="shared" si="205"/>
        <v/>
      </c>
      <c r="T540" s="38" t="str">
        <f t="shared" si="206"/>
        <v/>
      </c>
      <c r="U540" s="39" t="str">
        <f t="shared" si="207"/>
        <v/>
      </c>
      <c r="V540" s="40" t="str">
        <f t="shared" si="208"/>
        <v/>
      </c>
      <c r="W540" s="39" t="str">
        <f t="shared" si="209"/>
        <v/>
      </c>
      <c r="X540" s="34" t="str">
        <f t="shared" si="210"/>
        <v/>
      </c>
      <c r="Y540" s="41" t="str">
        <f t="shared" si="216"/>
        <v/>
      </c>
      <c r="Z540" s="98" t="str">
        <f t="shared" si="211"/>
        <v/>
      </c>
      <c r="AA540" s="81" t="str">
        <f t="shared" si="217"/>
        <v/>
      </c>
      <c r="AC540" s="139"/>
      <c r="AD540" s="110" t="str">
        <f t="shared" si="218"/>
        <v/>
      </c>
      <c r="AE540" s="111" t="str">
        <f t="shared" si="219"/>
        <v/>
      </c>
      <c r="AF540" s="111" t="str">
        <f t="shared" si="212"/>
        <v/>
      </c>
      <c r="AG540" s="111" t="str">
        <f t="shared" si="220"/>
        <v/>
      </c>
      <c r="AH540" s="111" t="str">
        <f t="shared" si="221"/>
        <v/>
      </c>
      <c r="AI540" s="112" t="str">
        <f t="shared" si="222"/>
        <v/>
      </c>
      <c r="AJ540" t="str">
        <f t="shared" si="223"/>
        <v/>
      </c>
      <c r="AK540" t="str">
        <f t="shared" si="224"/>
        <v/>
      </c>
    </row>
    <row r="541" spans="1:37" ht="15" customHeight="1" x14ac:dyDescent="0.25">
      <c r="A541" s="114"/>
      <c r="B541" s="116"/>
      <c r="C541" s="116"/>
      <c r="D541" s="42" t="str">
        <f t="shared" si="200"/>
        <v/>
      </c>
      <c r="E541" s="43"/>
      <c r="F541" s="83"/>
      <c r="G541" s="118"/>
      <c r="H541" s="34" t="str">
        <f t="shared" si="201"/>
        <v/>
      </c>
      <c r="I541" s="88" t="str">
        <f t="shared" si="202"/>
        <v/>
      </c>
      <c r="J541" s="44" t="str">
        <f t="shared" si="203"/>
        <v/>
      </c>
      <c r="K541" s="118"/>
      <c r="L541" s="34" t="str">
        <f t="shared" si="204"/>
        <v/>
      </c>
      <c r="M541" s="118"/>
      <c r="N541" s="121"/>
      <c r="O541" s="122" t="str">
        <f t="shared" si="213"/>
        <v/>
      </c>
      <c r="P541" s="35" t="str">
        <f t="shared" si="214"/>
        <v/>
      </c>
      <c r="Q541" s="124"/>
      <c r="R541" s="36" t="str">
        <f t="shared" si="215"/>
        <v/>
      </c>
      <c r="S541" s="37" t="str">
        <f t="shared" si="205"/>
        <v/>
      </c>
      <c r="T541" s="38" t="str">
        <f t="shared" si="206"/>
        <v/>
      </c>
      <c r="U541" s="39" t="str">
        <f t="shared" si="207"/>
        <v/>
      </c>
      <c r="V541" s="40" t="str">
        <f t="shared" si="208"/>
        <v/>
      </c>
      <c r="W541" s="39" t="str">
        <f t="shared" si="209"/>
        <v/>
      </c>
      <c r="X541" s="34" t="str">
        <f t="shared" si="210"/>
        <v/>
      </c>
      <c r="Y541" s="41" t="str">
        <f t="shared" si="216"/>
        <v/>
      </c>
      <c r="Z541" s="98" t="str">
        <f t="shared" si="211"/>
        <v/>
      </c>
      <c r="AA541" s="81" t="str">
        <f t="shared" si="217"/>
        <v/>
      </c>
      <c r="AC541" s="139"/>
      <c r="AD541" s="110" t="str">
        <f t="shared" si="218"/>
        <v/>
      </c>
      <c r="AE541" s="111" t="str">
        <f t="shared" si="219"/>
        <v/>
      </c>
      <c r="AF541" s="111" t="str">
        <f t="shared" si="212"/>
        <v/>
      </c>
      <c r="AG541" s="111" t="str">
        <f t="shared" si="220"/>
        <v/>
      </c>
      <c r="AH541" s="111" t="str">
        <f t="shared" si="221"/>
        <v/>
      </c>
      <c r="AI541" s="112" t="str">
        <f t="shared" si="222"/>
        <v/>
      </c>
      <c r="AJ541" t="str">
        <f t="shared" si="223"/>
        <v/>
      </c>
      <c r="AK541" t="str">
        <f t="shared" si="224"/>
        <v/>
      </c>
    </row>
    <row r="542" spans="1:37" ht="15" customHeight="1" x14ac:dyDescent="0.25">
      <c r="A542" s="114"/>
      <c r="B542" s="116"/>
      <c r="C542" s="116"/>
      <c r="D542" s="42" t="str">
        <f t="shared" si="200"/>
        <v/>
      </c>
      <c r="E542" s="43"/>
      <c r="F542" s="83"/>
      <c r="G542" s="118"/>
      <c r="H542" s="34" t="str">
        <f t="shared" si="201"/>
        <v/>
      </c>
      <c r="I542" s="88" t="str">
        <f t="shared" si="202"/>
        <v/>
      </c>
      <c r="J542" s="44" t="str">
        <f t="shared" si="203"/>
        <v/>
      </c>
      <c r="K542" s="118"/>
      <c r="L542" s="34" t="str">
        <f t="shared" si="204"/>
        <v/>
      </c>
      <c r="M542" s="118"/>
      <c r="N542" s="121"/>
      <c r="O542" s="122" t="str">
        <f t="shared" si="213"/>
        <v/>
      </c>
      <c r="P542" s="35" t="str">
        <f t="shared" si="214"/>
        <v/>
      </c>
      <c r="Q542" s="124"/>
      <c r="R542" s="36" t="str">
        <f t="shared" si="215"/>
        <v/>
      </c>
      <c r="S542" s="37" t="str">
        <f t="shared" si="205"/>
        <v/>
      </c>
      <c r="T542" s="38" t="str">
        <f t="shared" si="206"/>
        <v/>
      </c>
      <c r="U542" s="39" t="str">
        <f t="shared" si="207"/>
        <v/>
      </c>
      <c r="V542" s="40" t="str">
        <f t="shared" si="208"/>
        <v/>
      </c>
      <c r="W542" s="39" t="str">
        <f t="shared" si="209"/>
        <v/>
      </c>
      <c r="X542" s="34" t="str">
        <f t="shared" si="210"/>
        <v/>
      </c>
      <c r="Y542" s="41" t="str">
        <f t="shared" si="216"/>
        <v/>
      </c>
      <c r="Z542" s="98" t="str">
        <f t="shared" si="211"/>
        <v/>
      </c>
      <c r="AA542" s="81" t="str">
        <f t="shared" si="217"/>
        <v/>
      </c>
      <c r="AC542" s="139"/>
      <c r="AD542" s="110" t="str">
        <f t="shared" si="218"/>
        <v/>
      </c>
      <c r="AE542" s="111" t="str">
        <f t="shared" si="219"/>
        <v/>
      </c>
      <c r="AF542" s="111" t="str">
        <f t="shared" si="212"/>
        <v/>
      </c>
      <c r="AG542" s="111" t="str">
        <f t="shared" si="220"/>
        <v/>
      </c>
      <c r="AH542" s="111" t="str">
        <f t="shared" si="221"/>
        <v/>
      </c>
      <c r="AI542" s="112" t="str">
        <f t="shared" si="222"/>
        <v/>
      </c>
      <c r="AJ542" t="str">
        <f t="shared" si="223"/>
        <v/>
      </c>
      <c r="AK542" t="str">
        <f t="shared" si="224"/>
        <v/>
      </c>
    </row>
    <row r="543" spans="1:37" ht="15" customHeight="1" x14ac:dyDescent="0.25">
      <c r="A543" s="114"/>
      <c r="B543" s="116"/>
      <c r="C543" s="116"/>
      <c r="D543" s="42" t="str">
        <f t="shared" si="200"/>
        <v/>
      </c>
      <c r="E543" s="43"/>
      <c r="F543" s="83"/>
      <c r="G543" s="118"/>
      <c r="H543" s="34" t="str">
        <f t="shared" si="201"/>
        <v/>
      </c>
      <c r="I543" s="88" t="str">
        <f t="shared" si="202"/>
        <v/>
      </c>
      <c r="J543" s="44" t="str">
        <f t="shared" si="203"/>
        <v/>
      </c>
      <c r="K543" s="118"/>
      <c r="L543" s="34" t="str">
        <f t="shared" si="204"/>
        <v/>
      </c>
      <c r="M543" s="118"/>
      <c r="N543" s="121"/>
      <c r="O543" s="122" t="str">
        <f t="shared" si="213"/>
        <v/>
      </c>
      <c r="P543" s="35" t="str">
        <f t="shared" si="214"/>
        <v/>
      </c>
      <c r="Q543" s="124"/>
      <c r="R543" s="36" t="str">
        <f t="shared" si="215"/>
        <v/>
      </c>
      <c r="S543" s="37" t="str">
        <f t="shared" si="205"/>
        <v/>
      </c>
      <c r="T543" s="38" t="str">
        <f t="shared" si="206"/>
        <v/>
      </c>
      <c r="U543" s="39" t="str">
        <f t="shared" si="207"/>
        <v/>
      </c>
      <c r="V543" s="40" t="str">
        <f t="shared" si="208"/>
        <v/>
      </c>
      <c r="W543" s="39" t="str">
        <f t="shared" si="209"/>
        <v/>
      </c>
      <c r="X543" s="34" t="str">
        <f t="shared" si="210"/>
        <v/>
      </c>
      <c r="Y543" s="41" t="str">
        <f t="shared" si="216"/>
        <v/>
      </c>
      <c r="Z543" s="98" t="str">
        <f t="shared" si="211"/>
        <v/>
      </c>
      <c r="AA543" s="81" t="str">
        <f t="shared" si="217"/>
        <v/>
      </c>
      <c r="AC543" s="139"/>
      <c r="AD543" s="110" t="str">
        <f t="shared" si="218"/>
        <v/>
      </c>
      <c r="AE543" s="111" t="str">
        <f t="shared" si="219"/>
        <v/>
      </c>
      <c r="AF543" s="111" t="str">
        <f t="shared" si="212"/>
        <v/>
      </c>
      <c r="AG543" s="111" t="str">
        <f t="shared" si="220"/>
        <v/>
      </c>
      <c r="AH543" s="111" t="str">
        <f t="shared" si="221"/>
        <v/>
      </c>
      <c r="AI543" s="112" t="str">
        <f t="shared" si="222"/>
        <v/>
      </c>
      <c r="AJ543" t="str">
        <f t="shared" si="223"/>
        <v/>
      </c>
      <c r="AK543" t="str">
        <f t="shared" si="224"/>
        <v/>
      </c>
    </row>
    <row r="544" spans="1:37" ht="15" customHeight="1" x14ac:dyDescent="0.25">
      <c r="A544" s="114"/>
      <c r="B544" s="116"/>
      <c r="C544" s="116"/>
      <c r="D544" s="42" t="str">
        <f t="shared" si="200"/>
        <v/>
      </c>
      <c r="E544" s="43"/>
      <c r="F544" s="83"/>
      <c r="G544" s="118"/>
      <c r="H544" s="34" t="str">
        <f t="shared" si="201"/>
        <v/>
      </c>
      <c r="I544" s="88" t="str">
        <f t="shared" si="202"/>
        <v/>
      </c>
      <c r="J544" s="44" t="str">
        <f t="shared" si="203"/>
        <v/>
      </c>
      <c r="K544" s="118"/>
      <c r="L544" s="34" t="str">
        <f t="shared" si="204"/>
        <v/>
      </c>
      <c r="M544" s="118"/>
      <c r="N544" s="121"/>
      <c r="O544" s="122" t="str">
        <f t="shared" si="213"/>
        <v/>
      </c>
      <c r="P544" s="35" t="str">
        <f t="shared" si="214"/>
        <v/>
      </c>
      <c r="Q544" s="124"/>
      <c r="R544" s="36" t="str">
        <f t="shared" si="215"/>
        <v/>
      </c>
      <c r="S544" s="37" t="str">
        <f t="shared" si="205"/>
        <v/>
      </c>
      <c r="T544" s="38" t="str">
        <f t="shared" si="206"/>
        <v/>
      </c>
      <c r="U544" s="39" t="str">
        <f t="shared" si="207"/>
        <v/>
      </c>
      <c r="V544" s="40" t="str">
        <f t="shared" si="208"/>
        <v/>
      </c>
      <c r="W544" s="39" t="str">
        <f t="shared" si="209"/>
        <v/>
      </c>
      <c r="X544" s="34" t="str">
        <f t="shared" si="210"/>
        <v/>
      </c>
      <c r="Y544" s="41" t="str">
        <f t="shared" si="216"/>
        <v/>
      </c>
      <c r="Z544" s="98" t="str">
        <f t="shared" si="211"/>
        <v/>
      </c>
      <c r="AA544" s="81" t="str">
        <f t="shared" si="217"/>
        <v/>
      </c>
      <c r="AC544" s="139"/>
      <c r="AD544" s="110" t="str">
        <f t="shared" si="218"/>
        <v/>
      </c>
      <c r="AE544" s="111" t="str">
        <f t="shared" si="219"/>
        <v/>
      </c>
      <c r="AF544" s="111" t="str">
        <f t="shared" si="212"/>
        <v/>
      </c>
      <c r="AG544" s="111" t="str">
        <f t="shared" si="220"/>
        <v/>
      </c>
      <c r="AH544" s="111" t="str">
        <f t="shared" si="221"/>
        <v/>
      </c>
      <c r="AI544" s="112" t="str">
        <f t="shared" si="222"/>
        <v/>
      </c>
      <c r="AJ544" t="str">
        <f t="shared" si="223"/>
        <v/>
      </c>
      <c r="AK544" t="str">
        <f t="shared" si="224"/>
        <v/>
      </c>
    </row>
    <row r="545" spans="1:37" ht="15" customHeight="1" x14ac:dyDescent="0.25">
      <c r="A545" s="114"/>
      <c r="B545" s="116"/>
      <c r="C545" s="116"/>
      <c r="D545" s="42" t="str">
        <f t="shared" si="200"/>
        <v/>
      </c>
      <c r="E545" s="43"/>
      <c r="F545" s="83"/>
      <c r="G545" s="118"/>
      <c r="H545" s="34" t="str">
        <f t="shared" si="201"/>
        <v/>
      </c>
      <c r="I545" s="88" t="str">
        <f t="shared" si="202"/>
        <v/>
      </c>
      <c r="J545" s="44" t="str">
        <f t="shared" si="203"/>
        <v/>
      </c>
      <c r="K545" s="118"/>
      <c r="L545" s="34" t="str">
        <f t="shared" si="204"/>
        <v/>
      </c>
      <c r="M545" s="118"/>
      <c r="N545" s="121"/>
      <c r="O545" s="122" t="str">
        <f t="shared" si="213"/>
        <v/>
      </c>
      <c r="P545" s="35" t="str">
        <f t="shared" si="214"/>
        <v/>
      </c>
      <c r="Q545" s="124"/>
      <c r="R545" s="36" t="str">
        <f t="shared" si="215"/>
        <v/>
      </c>
      <c r="S545" s="37" t="str">
        <f t="shared" si="205"/>
        <v/>
      </c>
      <c r="T545" s="38" t="str">
        <f t="shared" si="206"/>
        <v/>
      </c>
      <c r="U545" s="39" t="str">
        <f t="shared" si="207"/>
        <v/>
      </c>
      <c r="V545" s="40" t="str">
        <f t="shared" si="208"/>
        <v/>
      </c>
      <c r="W545" s="39" t="str">
        <f t="shared" si="209"/>
        <v/>
      </c>
      <c r="X545" s="34" t="str">
        <f t="shared" si="210"/>
        <v/>
      </c>
      <c r="Y545" s="41" t="str">
        <f t="shared" si="216"/>
        <v/>
      </c>
      <c r="Z545" s="98" t="str">
        <f t="shared" si="211"/>
        <v/>
      </c>
      <c r="AA545" s="81" t="str">
        <f t="shared" si="217"/>
        <v/>
      </c>
      <c r="AC545" s="139"/>
      <c r="AD545" s="110" t="str">
        <f t="shared" si="218"/>
        <v/>
      </c>
      <c r="AE545" s="111" t="str">
        <f t="shared" si="219"/>
        <v/>
      </c>
      <c r="AF545" s="111" t="str">
        <f t="shared" si="212"/>
        <v/>
      </c>
      <c r="AG545" s="111" t="str">
        <f t="shared" si="220"/>
        <v/>
      </c>
      <c r="AH545" s="111" t="str">
        <f t="shared" si="221"/>
        <v/>
      </c>
      <c r="AI545" s="112" t="str">
        <f t="shared" si="222"/>
        <v/>
      </c>
      <c r="AJ545" t="str">
        <f t="shared" si="223"/>
        <v/>
      </c>
      <c r="AK545" t="str">
        <f t="shared" si="224"/>
        <v/>
      </c>
    </row>
    <row r="546" spans="1:37" ht="15" customHeight="1" x14ac:dyDescent="0.25">
      <c r="A546" s="114"/>
      <c r="B546" s="116"/>
      <c r="C546" s="116"/>
      <c r="D546" s="42" t="str">
        <f t="shared" si="200"/>
        <v/>
      </c>
      <c r="E546" s="43"/>
      <c r="F546" s="83"/>
      <c r="G546" s="118"/>
      <c r="H546" s="34" t="str">
        <f t="shared" si="201"/>
        <v/>
      </c>
      <c r="I546" s="88" t="str">
        <f t="shared" si="202"/>
        <v/>
      </c>
      <c r="J546" s="44" t="str">
        <f t="shared" si="203"/>
        <v/>
      </c>
      <c r="K546" s="118"/>
      <c r="L546" s="34" t="str">
        <f t="shared" si="204"/>
        <v/>
      </c>
      <c r="M546" s="118"/>
      <c r="N546" s="121"/>
      <c r="O546" s="122" t="str">
        <f t="shared" si="213"/>
        <v/>
      </c>
      <c r="P546" s="35" t="str">
        <f t="shared" si="214"/>
        <v/>
      </c>
      <c r="Q546" s="124"/>
      <c r="R546" s="36" t="str">
        <f t="shared" si="215"/>
        <v/>
      </c>
      <c r="S546" s="37" t="str">
        <f t="shared" si="205"/>
        <v/>
      </c>
      <c r="T546" s="38" t="str">
        <f t="shared" si="206"/>
        <v/>
      </c>
      <c r="U546" s="39" t="str">
        <f t="shared" si="207"/>
        <v/>
      </c>
      <c r="V546" s="40" t="str">
        <f t="shared" si="208"/>
        <v/>
      </c>
      <c r="W546" s="39" t="str">
        <f t="shared" si="209"/>
        <v/>
      </c>
      <c r="X546" s="34" t="str">
        <f t="shared" si="210"/>
        <v/>
      </c>
      <c r="Y546" s="41" t="str">
        <f t="shared" si="216"/>
        <v/>
      </c>
      <c r="Z546" s="98" t="str">
        <f t="shared" si="211"/>
        <v/>
      </c>
      <c r="AA546" s="81" t="str">
        <f t="shared" si="217"/>
        <v/>
      </c>
      <c r="AC546" s="139"/>
      <c r="AD546" s="110" t="str">
        <f t="shared" si="218"/>
        <v/>
      </c>
      <c r="AE546" s="111" t="str">
        <f t="shared" si="219"/>
        <v/>
      </c>
      <c r="AF546" s="111" t="str">
        <f t="shared" si="212"/>
        <v/>
      </c>
      <c r="AG546" s="111" t="str">
        <f t="shared" si="220"/>
        <v/>
      </c>
      <c r="AH546" s="111" t="str">
        <f t="shared" si="221"/>
        <v/>
      </c>
      <c r="AI546" s="112" t="str">
        <f t="shared" si="222"/>
        <v/>
      </c>
      <c r="AJ546" t="str">
        <f t="shared" si="223"/>
        <v/>
      </c>
      <c r="AK546" t="str">
        <f t="shared" si="224"/>
        <v/>
      </c>
    </row>
    <row r="547" spans="1:37" ht="15" customHeight="1" x14ac:dyDescent="0.25">
      <c r="A547" s="114"/>
      <c r="B547" s="116"/>
      <c r="C547" s="116"/>
      <c r="D547" s="42" t="str">
        <f t="shared" si="200"/>
        <v/>
      </c>
      <c r="E547" s="43"/>
      <c r="F547" s="83"/>
      <c r="G547" s="118"/>
      <c r="H547" s="34" t="str">
        <f t="shared" si="201"/>
        <v/>
      </c>
      <c r="I547" s="88" t="str">
        <f t="shared" si="202"/>
        <v/>
      </c>
      <c r="J547" s="44" t="str">
        <f t="shared" si="203"/>
        <v/>
      </c>
      <c r="K547" s="118"/>
      <c r="L547" s="34" t="str">
        <f t="shared" si="204"/>
        <v/>
      </c>
      <c r="M547" s="118"/>
      <c r="N547" s="121"/>
      <c r="O547" s="122" t="str">
        <f t="shared" si="213"/>
        <v/>
      </c>
      <c r="P547" s="35" t="str">
        <f t="shared" si="214"/>
        <v/>
      </c>
      <c r="Q547" s="124"/>
      <c r="R547" s="36" t="str">
        <f t="shared" si="215"/>
        <v/>
      </c>
      <c r="S547" s="37" t="str">
        <f t="shared" si="205"/>
        <v/>
      </c>
      <c r="T547" s="38" t="str">
        <f t="shared" si="206"/>
        <v/>
      </c>
      <c r="U547" s="39" t="str">
        <f t="shared" si="207"/>
        <v/>
      </c>
      <c r="V547" s="40" t="str">
        <f t="shared" si="208"/>
        <v/>
      </c>
      <c r="W547" s="39" t="str">
        <f t="shared" si="209"/>
        <v/>
      </c>
      <c r="X547" s="34" t="str">
        <f t="shared" si="210"/>
        <v/>
      </c>
      <c r="Y547" s="41" t="str">
        <f t="shared" si="216"/>
        <v/>
      </c>
      <c r="Z547" s="98" t="str">
        <f t="shared" si="211"/>
        <v/>
      </c>
      <c r="AA547" s="81" t="str">
        <f t="shared" si="217"/>
        <v/>
      </c>
      <c r="AC547" s="139"/>
      <c r="AD547" s="110" t="str">
        <f t="shared" si="218"/>
        <v/>
      </c>
      <c r="AE547" s="111" t="str">
        <f t="shared" si="219"/>
        <v/>
      </c>
      <c r="AF547" s="111" t="str">
        <f t="shared" si="212"/>
        <v/>
      </c>
      <c r="AG547" s="111" t="str">
        <f t="shared" si="220"/>
        <v/>
      </c>
      <c r="AH547" s="111" t="str">
        <f t="shared" si="221"/>
        <v/>
      </c>
      <c r="AI547" s="112" t="str">
        <f t="shared" si="222"/>
        <v/>
      </c>
      <c r="AJ547" t="str">
        <f t="shared" si="223"/>
        <v/>
      </c>
      <c r="AK547" t="str">
        <f t="shared" si="224"/>
        <v/>
      </c>
    </row>
    <row r="548" spans="1:37" ht="15" customHeight="1" x14ac:dyDescent="0.25">
      <c r="A548" s="114"/>
      <c r="B548" s="116"/>
      <c r="C548" s="116"/>
      <c r="D548" s="42" t="str">
        <f t="shared" si="200"/>
        <v/>
      </c>
      <c r="E548" s="43"/>
      <c r="F548" s="83"/>
      <c r="G548" s="118"/>
      <c r="H548" s="34" t="str">
        <f t="shared" si="201"/>
        <v/>
      </c>
      <c r="I548" s="88" t="str">
        <f t="shared" si="202"/>
        <v/>
      </c>
      <c r="J548" s="44" t="str">
        <f t="shared" si="203"/>
        <v/>
      </c>
      <c r="K548" s="118"/>
      <c r="L548" s="34" t="str">
        <f t="shared" si="204"/>
        <v/>
      </c>
      <c r="M548" s="118"/>
      <c r="N548" s="121"/>
      <c r="O548" s="122" t="str">
        <f t="shared" si="213"/>
        <v/>
      </c>
      <c r="P548" s="35" t="str">
        <f t="shared" si="214"/>
        <v/>
      </c>
      <c r="Q548" s="124"/>
      <c r="R548" s="36" t="str">
        <f t="shared" si="215"/>
        <v/>
      </c>
      <c r="S548" s="37" t="str">
        <f t="shared" si="205"/>
        <v/>
      </c>
      <c r="T548" s="38" t="str">
        <f t="shared" si="206"/>
        <v/>
      </c>
      <c r="U548" s="39" t="str">
        <f t="shared" si="207"/>
        <v/>
      </c>
      <c r="V548" s="40" t="str">
        <f t="shared" si="208"/>
        <v/>
      </c>
      <c r="W548" s="39" t="str">
        <f t="shared" si="209"/>
        <v/>
      </c>
      <c r="X548" s="34" t="str">
        <f t="shared" si="210"/>
        <v/>
      </c>
      <c r="Y548" s="41" t="str">
        <f t="shared" si="216"/>
        <v/>
      </c>
      <c r="Z548" s="98" t="str">
        <f t="shared" si="211"/>
        <v/>
      </c>
      <c r="AA548" s="81" t="str">
        <f t="shared" si="217"/>
        <v/>
      </c>
      <c r="AC548" s="139"/>
      <c r="AD548" s="110" t="str">
        <f t="shared" si="218"/>
        <v/>
      </c>
      <c r="AE548" s="111" t="str">
        <f t="shared" si="219"/>
        <v/>
      </c>
      <c r="AF548" s="111" t="str">
        <f t="shared" si="212"/>
        <v/>
      </c>
      <c r="AG548" s="111" t="str">
        <f t="shared" si="220"/>
        <v/>
      </c>
      <c r="AH548" s="111" t="str">
        <f t="shared" si="221"/>
        <v/>
      </c>
      <c r="AI548" s="112" t="str">
        <f t="shared" si="222"/>
        <v/>
      </c>
      <c r="AJ548" t="str">
        <f t="shared" si="223"/>
        <v/>
      </c>
      <c r="AK548" t="str">
        <f t="shared" si="224"/>
        <v/>
      </c>
    </row>
    <row r="549" spans="1:37" ht="15" customHeight="1" x14ac:dyDescent="0.25">
      <c r="A549" s="114"/>
      <c r="B549" s="116"/>
      <c r="C549" s="116"/>
      <c r="D549" s="42" t="str">
        <f t="shared" si="200"/>
        <v/>
      </c>
      <c r="E549" s="43"/>
      <c r="F549" s="83"/>
      <c r="G549" s="118"/>
      <c r="H549" s="34" t="str">
        <f t="shared" si="201"/>
        <v/>
      </c>
      <c r="I549" s="88" t="str">
        <f t="shared" si="202"/>
        <v/>
      </c>
      <c r="J549" s="44" t="str">
        <f t="shared" si="203"/>
        <v/>
      </c>
      <c r="K549" s="118"/>
      <c r="L549" s="34" t="str">
        <f t="shared" si="204"/>
        <v/>
      </c>
      <c r="M549" s="118"/>
      <c r="N549" s="121"/>
      <c r="O549" s="122" t="str">
        <f t="shared" si="213"/>
        <v/>
      </c>
      <c r="P549" s="35" t="str">
        <f t="shared" si="214"/>
        <v/>
      </c>
      <c r="Q549" s="124"/>
      <c r="R549" s="36" t="str">
        <f t="shared" si="215"/>
        <v/>
      </c>
      <c r="S549" s="37" t="str">
        <f t="shared" si="205"/>
        <v/>
      </c>
      <c r="T549" s="38" t="str">
        <f t="shared" si="206"/>
        <v/>
      </c>
      <c r="U549" s="39" t="str">
        <f t="shared" si="207"/>
        <v/>
      </c>
      <c r="V549" s="40" t="str">
        <f t="shared" si="208"/>
        <v/>
      </c>
      <c r="W549" s="39" t="str">
        <f t="shared" si="209"/>
        <v/>
      </c>
      <c r="X549" s="34" t="str">
        <f t="shared" si="210"/>
        <v/>
      </c>
      <c r="Y549" s="41" t="str">
        <f t="shared" si="216"/>
        <v/>
      </c>
      <c r="Z549" s="98" t="str">
        <f t="shared" si="211"/>
        <v/>
      </c>
      <c r="AA549" s="81" t="str">
        <f t="shared" si="217"/>
        <v/>
      </c>
      <c r="AC549" s="139"/>
      <c r="AD549" s="110" t="str">
        <f t="shared" si="218"/>
        <v/>
      </c>
      <c r="AE549" s="111" t="str">
        <f t="shared" si="219"/>
        <v/>
      </c>
      <c r="AF549" s="111" t="str">
        <f t="shared" si="212"/>
        <v/>
      </c>
      <c r="AG549" s="111" t="str">
        <f t="shared" si="220"/>
        <v/>
      </c>
      <c r="AH549" s="111" t="str">
        <f t="shared" si="221"/>
        <v/>
      </c>
      <c r="AI549" s="112" t="str">
        <f t="shared" si="222"/>
        <v/>
      </c>
      <c r="AJ549" t="str">
        <f t="shared" si="223"/>
        <v/>
      </c>
      <c r="AK549" t="str">
        <f t="shared" si="224"/>
        <v/>
      </c>
    </row>
    <row r="550" spans="1:37" ht="15" customHeight="1" x14ac:dyDescent="0.25">
      <c r="A550" s="114"/>
      <c r="B550" s="116"/>
      <c r="C550" s="116"/>
      <c r="D550" s="42" t="str">
        <f t="shared" si="200"/>
        <v/>
      </c>
      <c r="E550" s="43"/>
      <c r="F550" s="83"/>
      <c r="G550" s="118"/>
      <c r="H550" s="34" t="str">
        <f t="shared" si="201"/>
        <v/>
      </c>
      <c r="I550" s="88" t="str">
        <f t="shared" si="202"/>
        <v/>
      </c>
      <c r="J550" s="44" t="str">
        <f t="shared" si="203"/>
        <v/>
      </c>
      <c r="K550" s="118"/>
      <c r="L550" s="34" t="str">
        <f t="shared" si="204"/>
        <v/>
      </c>
      <c r="M550" s="118"/>
      <c r="N550" s="121"/>
      <c r="O550" s="122" t="str">
        <f t="shared" si="213"/>
        <v/>
      </c>
      <c r="P550" s="35" t="str">
        <f t="shared" si="214"/>
        <v/>
      </c>
      <c r="Q550" s="124"/>
      <c r="R550" s="36" t="str">
        <f t="shared" si="215"/>
        <v/>
      </c>
      <c r="S550" s="37" t="str">
        <f t="shared" si="205"/>
        <v/>
      </c>
      <c r="T550" s="38" t="str">
        <f t="shared" si="206"/>
        <v/>
      </c>
      <c r="U550" s="39" t="str">
        <f t="shared" si="207"/>
        <v/>
      </c>
      <c r="V550" s="40" t="str">
        <f t="shared" si="208"/>
        <v/>
      </c>
      <c r="W550" s="39" t="str">
        <f t="shared" si="209"/>
        <v/>
      </c>
      <c r="X550" s="34" t="str">
        <f t="shared" si="210"/>
        <v/>
      </c>
      <c r="Y550" s="41" t="str">
        <f t="shared" si="216"/>
        <v/>
      </c>
      <c r="Z550" s="98" t="str">
        <f t="shared" si="211"/>
        <v/>
      </c>
      <c r="AA550" s="81" t="str">
        <f t="shared" si="217"/>
        <v/>
      </c>
      <c r="AC550" s="139"/>
      <c r="AD550" s="110" t="str">
        <f t="shared" si="218"/>
        <v/>
      </c>
      <c r="AE550" s="111" t="str">
        <f t="shared" si="219"/>
        <v/>
      </c>
      <c r="AF550" s="111" t="str">
        <f t="shared" si="212"/>
        <v/>
      </c>
      <c r="AG550" s="111" t="str">
        <f t="shared" si="220"/>
        <v/>
      </c>
      <c r="AH550" s="111" t="str">
        <f t="shared" si="221"/>
        <v/>
      </c>
      <c r="AI550" s="112" t="str">
        <f t="shared" si="222"/>
        <v/>
      </c>
      <c r="AJ550" t="str">
        <f t="shared" si="223"/>
        <v/>
      </c>
      <c r="AK550" t="str">
        <f t="shared" si="224"/>
        <v/>
      </c>
    </row>
    <row r="551" spans="1:37" ht="15" customHeight="1" x14ac:dyDescent="0.25">
      <c r="A551" s="114"/>
      <c r="B551" s="116"/>
      <c r="C551" s="116"/>
      <c r="D551" s="42" t="str">
        <f t="shared" si="200"/>
        <v/>
      </c>
      <c r="E551" s="43"/>
      <c r="F551" s="83"/>
      <c r="G551" s="118"/>
      <c r="H551" s="34" t="str">
        <f t="shared" si="201"/>
        <v/>
      </c>
      <c r="I551" s="88" t="str">
        <f t="shared" si="202"/>
        <v/>
      </c>
      <c r="J551" s="44" t="str">
        <f t="shared" si="203"/>
        <v/>
      </c>
      <c r="K551" s="118"/>
      <c r="L551" s="34" t="str">
        <f t="shared" si="204"/>
        <v/>
      </c>
      <c r="M551" s="118"/>
      <c r="N551" s="121"/>
      <c r="O551" s="122" t="str">
        <f t="shared" si="213"/>
        <v/>
      </c>
      <c r="P551" s="35" t="str">
        <f t="shared" si="214"/>
        <v/>
      </c>
      <c r="Q551" s="124"/>
      <c r="R551" s="36" t="str">
        <f t="shared" si="215"/>
        <v/>
      </c>
      <c r="S551" s="37" t="str">
        <f t="shared" si="205"/>
        <v/>
      </c>
      <c r="T551" s="38" t="str">
        <f t="shared" si="206"/>
        <v/>
      </c>
      <c r="U551" s="39" t="str">
        <f t="shared" si="207"/>
        <v/>
      </c>
      <c r="V551" s="40" t="str">
        <f t="shared" si="208"/>
        <v/>
      </c>
      <c r="W551" s="39" t="str">
        <f t="shared" si="209"/>
        <v/>
      </c>
      <c r="X551" s="34" t="str">
        <f t="shared" si="210"/>
        <v/>
      </c>
      <c r="Y551" s="41" t="str">
        <f t="shared" si="216"/>
        <v/>
      </c>
      <c r="Z551" s="98" t="str">
        <f t="shared" si="211"/>
        <v/>
      </c>
      <c r="AA551" s="81" t="str">
        <f t="shared" si="217"/>
        <v/>
      </c>
      <c r="AC551" s="139"/>
      <c r="AD551" s="110" t="str">
        <f t="shared" si="218"/>
        <v/>
      </c>
      <c r="AE551" s="111" t="str">
        <f t="shared" si="219"/>
        <v/>
      </c>
      <c r="AF551" s="111" t="str">
        <f t="shared" si="212"/>
        <v/>
      </c>
      <c r="AG551" s="111" t="str">
        <f t="shared" si="220"/>
        <v/>
      </c>
      <c r="AH551" s="111" t="str">
        <f t="shared" si="221"/>
        <v/>
      </c>
      <c r="AI551" s="112" t="str">
        <f t="shared" si="222"/>
        <v/>
      </c>
      <c r="AJ551" t="str">
        <f t="shared" si="223"/>
        <v/>
      </c>
      <c r="AK551" t="str">
        <f t="shared" si="224"/>
        <v/>
      </c>
    </row>
    <row r="552" spans="1:37" ht="15" customHeight="1" x14ac:dyDescent="0.25">
      <c r="A552" s="114"/>
      <c r="B552" s="116"/>
      <c r="C552" s="116"/>
      <c r="D552" s="42" t="str">
        <f t="shared" si="200"/>
        <v/>
      </c>
      <c r="E552" s="43"/>
      <c r="F552" s="83"/>
      <c r="G552" s="118"/>
      <c r="H552" s="34" t="str">
        <f t="shared" si="201"/>
        <v/>
      </c>
      <c r="I552" s="88" t="str">
        <f t="shared" si="202"/>
        <v/>
      </c>
      <c r="J552" s="44" t="str">
        <f t="shared" si="203"/>
        <v/>
      </c>
      <c r="K552" s="118"/>
      <c r="L552" s="34" t="str">
        <f t="shared" si="204"/>
        <v/>
      </c>
      <c r="M552" s="118"/>
      <c r="N552" s="121"/>
      <c r="O552" s="122" t="str">
        <f t="shared" si="213"/>
        <v/>
      </c>
      <c r="P552" s="35" t="str">
        <f t="shared" si="214"/>
        <v/>
      </c>
      <c r="Q552" s="124"/>
      <c r="R552" s="36" t="str">
        <f t="shared" si="215"/>
        <v/>
      </c>
      <c r="S552" s="37" t="str">
        <f t="shared" si="205"/>
        <v/>
      </c>
      <c r="T552" s="38" t="str">
        <f t="shared" si="206"/>
        <v/>
      </c>
      <c r="U552" s="39" t="str">
        <f t="shared" si="207"/>
        <v/>
      </c>
      <c r="V552" s="40" t="str">
        <f t="shared" si="208"/>
        <v/>
      </c>
      <c r="W552" s="39" t="str">
        <f t="shared" si="209"/>
        <v/>
      </c>
      <c r="X552" s="34" t="str">
        <f t="shared" si="210"/>
        <v/>
      </c>
      <c r="Y552" s="41" t="str">
        <f t="shared" si="216"/>
        <v/>
      </c>
      <c r="Z552" s="98" t="str">
        <f t="shared" si="211"/>
        <v/>
      </c>
      <c r="AA552" s="81" t="str">
        <f t="shared" si="217"/>
        <v/>
      </c>
      <c r="AC552" s="139"/>
      <c r="AD552" s="110" t="str">
        <f t="shared" si="218"/>
        <v/>
      </c>
      <c r="AE552" s="111" t="str">
        <f t="shared" si="219"/>
        <v/>
      </c>
      <c r="AF552" s="111" t="str">
        <f t="shared" si="212"/>
        <v/>
      </c>
      <c r="AG552" s="111" t="str">
        <f t="shared" si="220"/>
        <v/>
      </c>
      <c r="AH552" s="111" t="str">
        <f t="shared" si="221"/>
        <v/>
      </c>
      <c r="AI552" s="112" t="str">
        <f t="shared" si="222"/>
        <v/>
      </c>
      <c r="AJ552" t="str">
        <f t="shared" si="223"/>
        <v/>
      </c>
      <c r="AK552" t="str">
        <f t="shared" si="224"/>
        <v/>
      </c>
    </row>
    <row r="553" spans="1:37" ht="15" customHeight="1" x14ac:dyDescent="0.25">
      <c r="A553" s="114"/>
      <c r="B553" s="116"/>
      <c r="C553" s="116"/>
      <c r="D553" s="42" t="str">
        <f t="shared" si="200"/>
        <v/>
      </c>
      <c r="E553" s="43"/>
      <c r="F553" s="83"/>
      <c r="G553" s="118"/>
      <c r="H553" s="34" t="str">
        <f t="shared" si="201"/>
        <v/>
      </c>
      <c r="I553" s="88" t="str">
        <f t="shared" si="202"/>
        <v/>
      </c>
      <c r="J553" s="44" t="str">
        <f t="shared" si="203"/>
        <v/>
      </c>
      <c r="K553" s="118"/>
      <c r="L553" s="34" t="str">
        <f t="shared" si="204"/>
        <v/>
      </c>
      <c r="M553" s="118"/>
      <c r="N553" s="121"/>
      <c r="O553" s="122" t="str">
        <f t="shared" si="213"/>
        <v/>
      </c>
      <c r="P553" s="35" t="str">
        <f t="shared" si="214"/>
        <v/>
      </c>
      <c r="Q553" s="124"/>
      <c r="R553" s="36" t="str">
        <f t="shared" si="215"/>
        <v/>
      </c>
      <c r="S553" s="37" t="str">
        <f t="shared" si="205"/>
        <v/>
      </c>
      <c r="T553" s="38" t="str">
        <f t="shared" si="206"/>
        <v/>
      </c>
      <c r="U553" s="39" t="str">
        <f t="shared" si="207"/>
        <v/>
      </c>
      <c r="V553" s="40" t="str">
        <f t="shared" si="208"/>
        <v/>
      </c>
      <c r="W553" s="39" t="str">
        <f t="shared" si="209"/>
        <v/>
      </c>
      <c r="X553" s="34" t="str">
        <f t="shared" si="210"/>
        <v/>
      </c>
      <c r="Y553" s="41" t="str">
        <f t="shared" si="216"/>
        <v/>
      </c>
      <c r="Z553" s="98" t="str">
        <f t="shared" si="211"/>
        <v/>
      </c>
      <c r="AA553" s="81" t="str">
        <f t="shared" si="217"/>
        <v/>
      </c>
      <c r="AC553" s="139"/>
      <c r="AD553" s="110" t="str">
        <f t="shared" si="218"/>
        <v/>
      </c>
      <c r="AE553" s="111" t="str">
        <f t="shared" si="219"/>
        <v/>
      </c>
      <c r="AF553" s="111" t="str">
        <f t="shared" si="212"/>
        <v/>
      </c>
      <c r="AG553" s="111" t="str">
        <f t="shared" si="220"/>
        <v/>
      </c>
      <c r="AH553" s="111" t="str">
        <f t="shared" si="221"/>
        <v/>
      </c>
      <c r="AI553" s="112" t="str">
        <f t="shared" si="222"/>
        <v/>
      </c>
      <c r="AJ553" t="str">
        <f t="shared" si="223"/>
        <v/>
      </c>
      <c r="AK553" t="str">
        <f t="shared" si="224"/>
        <v/>
      </c>
    </row>
    <row r="554" spans="1:37" ht="15" customHeight="1" x14ac:dyDescent="0.25">
      <c r="A554" s="114"/>
      <c r="B554" s="116"/>
      <c r="C554" s="116"/>
      <c r="D554" s="42" t="str">
        <f t="shared" si="200"/>
        <v/>
      </c>
      <c r="E554" s="43"/>
      <c r="F554" s="83"/>
      <c r="G554" s="118"/>
      <c r="H554" s="34" t="str">
        <f t="shared" si="201"/>
        <v/>
      </c>
      <c r="I554" s="88" t="str">
        <f t="shared" si="202"/>
        <v/>
      </c>
      <c r="J554" s="44" t="str">
        <f t="shared" si="203"/>
        <v/>
      </c>
      <c r="K554" s="118"/>
      <c r="L554" s="34" t="str">
        <f t="shared" si="204"/>
        <v/>
      </c>
      <c r="M554" s="118"/>
      <c r="N554" s="121"/>
      <c r="O554" s="122" t="str">
        <f t="shared" si="213"/>
        <v/>
      </c>
      <c r="P554" s="35" t="str">
        <f t="shared" si="214"/>
        <v/>
      </c>
      <c r="Q554" s="124"/>
      <c r="R554" s="36" t="str">
        <f t="shared" si="215"/>
        <v/>
      </c>
      <c r="S554" s="37" t="str">
        <f t="shared" si="205"/>
        <v/>
      </c>
      <c r="T554" s="38" t="str">
        <f t="shared" si="206"/>
        <v/>
      </c>
      <c r="U554" s="39" t="str">
        <f t="shared" si="207"/>
        <v/>
      </c>
      <c r="V554" s="40" t="str">
        <f t="shared" si="208"/>
        <v/>
      </c>
      <c r="W554" s="39" t="str">
        <f t="shared" si="209"/>
        <v/>
      </c>
      <c r="X554" s="34" t="str">
        <f t="shared" si="210"/>
        <v/>
      </c>
      <c r="Y554" s="41" t="str">
        <f t="shared" si="216"/>
        <v/>
      </c>
      <c r="Z554" s="98" t="str">
        <f t="shared" si="211"/>
        <v/>
      </c>
      <c r="AA554" s="81" t="str">
        <f t="shared" si="217"/>
        <v/>
      </c>
      <c r="AC554" s="139"/>
      <c r="AD554" s="110" t="str">
        <f t="shared" si="218"/>
        <v/>
      </c>
      <c r="AE554" s="111" t="str">
        <f t="shared" si="219"/>
        <v/>
      </c>
      <c r="AF554" s="111" t="str">
        <f t="shared" si="212"/>
        <v/>
      </c>
      <c r="AG554" s="111" t="str">
        <f t="shared" si="220"/>
        <v/>
      </c>
      <c r="AH554" s="111" t="str">
        <f t="shared" si="221"/>
        <v/>
      </c>
      <c r="AI554" s="112" t="str">
        <f t="shared" si="222"/>
        <v/>
      </c>
      <c r="AJ554" t="str">
        <f t="shared" si="223"/>
        <v/>
      </c>
      <c r="AK554" t="str">
        <f t="shared" si="224"/>
        <v/>
      </c>
    </row>
    <row r="555" spans="1:37" ht="15" customHeight="1" x14ac:dyDescent="0.25">
      <c r="A555" s="114"/>
      <c r="B555" s="116"/>
      <c r="C555" s="116"/>
      <c r="D555" s="42" t="str">
        <f t="shared" si="200"/>
        <v/>
      </c>
      <c r="E555" s="43"/>
      <c r="F555" s="83"/>
      <c r="G555" s="118"/>
      <c r="H555" s="34" t="str">
        <f t="shared" si="201"/>
        <v/>
      </c>
      <c r="I555" s="88" t="str">
        <f t="shared" si="202"/>
        <v/>
      </c>
      <c r="J555" s="44" t="str">
        <f t="shared" si="203"/>
        <v/>
      </c>
      <c r="K555" s="118"/>
      <c r="L555" s="34" t="str">
        <f t="shared" si="204"/>
        <v/>
      </c>
      <c r="M555" s="118"/>
      <c r="N555" s="121"/>
      <c r="O555" s="122" t="str">
        <f t="shared" si="213"/>
        <v/>
      </c>
      <c r="P555" s="35" t="str">
        <f t="shared" si="214"/>
        <v/>
      </c>
      <c r="Q555" s="124"/>
      <c r="R555" s="36" t="str">
        <f t="shared" si="215"/>
        <v/>
      </c>
      <c r="S555" s="37" t="str">
        <f t="shared" si="205"/>
        <v/>
      </c>
      <c r="T555" s="38" t="str">
        <f t="shared" si="206"/>
        <v/>
      </c>
      <c r="U555" s="39" t="str">
        <f t="shared" si="207"/>
        <v/>
      </c>
      <c r="V555" s="40" t="str">
        <f t="shared" si="208"/>
        <v/>
      </c>
      <c r="W555" s="39" t="str">
        <f t="shared" si="209"/>
        <v/>
      </c>
      <c r="X555" s="34" t="str">
        <f t="shared" si="210"/>
        <v/>
      </c>
      <c r="Y555" s="41" t="str">
        <f t="shared" si="216"/>
        <v/>
      </c>
      <c r="Z555" s="98" t="str">
        <f t="shared" si="211"/>
        <v/>
      </c>
      <c r="AA555" s="81" t="str">
        <f t="shared" si="217"/>
        <v/>
      </c>
      <c r="AC555" s="139"/>
      <c r="AD555" s="110" t="str">
        <f t="shared" si="218"/>
        <v/>
      </c>
      <c r="AE555" s="111" t="str">
        <f t="shared" si="219"/>
        <v/>
      </c>
      <c r="AF555" s="111" t="str">
        <f t="shared" si="212"/>
        <v/>
      </c>
      <c r="AG555" s="111" t="str">
        <f t="shared" si="220"/>
        <v/>
      </c>
      <c r="AH555" s="111" t="str">
        <f t="shared" si="221"/>
        <v/>
      </c>
      <c r="AI555" s="112" t="str">
        <f t="shared" si="222"/>
        <v/>
      </c>
      <c r="AJ555" t="str">
        <f t="shared" si="223"/>
        <v/>
      </c>
      <c r="AK555" t="str">
        <f t="shared" si="224"/>
        <v/>
      </c>
    </row>
    <row r="556" spans="1:37" ht="15" customHeight="1" x14ac:dyDescent="0.25">
      <c r="A556" s="114"/>
      <c r="B556" s="116"/>
      <c r="C556" s="116"/>
      <c r="D556" s="42" t="str">
        <f t="shared" si="200"/>
        <v/>
      </c>
      <c r="E556" s="43"/>
      <c r="F556" s="83"/>
      <c r="G556" s="118"/>
      <c r="H556" s="34" t="str">
        <f t="shared" si="201"/>
        <v/>
      </c>
      <c r="I556" s="88" t="str">
        <f t="shared" si="202"/>
        <v/>
      </c>
      <c r="J556" s="44" t="str">
        <f t="shared" si="203"/>
        <v/>
      </c>
      <c r="K556" s="118"/>
      <c r="L556" s="34" t="str">
        <f t="shared" si="204"/>
        <v/>
      </c>
      <c r="M556" s="118"/>
      <c r="N556" s="121"/>
      <c r="O556" s="122" t="str">
        <f t="shared" si="213"/>
        <v/>
      </c>
      <c r="P556" s="35" t="str">
        <f t="shared" si="214"/>
        <v/>
      </c>
      <c r="Q556" s="124"/>
      <c r="R556" s="36" t="str">
        <f t="shared" si="215"/>
        <v/>
      </c>
      <c r="S556" s="37" t="str">
        <f t="shared" si="205"/>
        <v/>
      </c>
      <c r="T556" s="38" t="str">
        <f t="shared" si="206"/>
        <v/>
      </c>
      <c r="U556" s="39" t="str">
        <f t="shared" si="207"/>
        <v/>
      </c>
      <c r="V556" s="40" t="str">
        <f t="shared" si="208"/>
        <v/>
      </c>
      <c r="W556" s="39" t="str">
        <f t="shared" si="209"/>
        <v/>
      </c>
      <c r="X556" s="34" t="str">
        <f t="shared" si="210"/>
        <v/>
      </c>
      <c r="Y556" s="41" t="str">
        <f t="shared" si="216"/>
        <v/>
      </c>
      <c r="Z556" s="98" t="str">
        <f t="shared" si="211"/>
        <v/>
      </c>
      <c r="AA556" s="81" t="str">
        <f t="shared" si="217"/>
        <v/>
      </c>
      <c r="AC556" s="139"/>
      <c r="AD556" s="110" t="str">
        <f t="shared" si="218"/>
        <v/>
      </c>
      <c r="AE556" s="111" t="str">
        <f t="shared" si="219"/>
        <v/>
      </c>
      <c r="AF556" s="111" t="str">
        <f t="shared" si="212"/>
        <v/>
      </c>
      <c r="AG556" s="111" t="str">
        <f t="shared" si="220"/>
        <v/>
      </c>
      <c r="AH556" s="111" t="str">
        <f t="shared" si="221"/>
        <v/>
      </c>
      <c r="AI556" s="112" t="str">
        <f t="shared" si="222"/>
        <v/>
      </c>
      <c r="AJ556" t="str">
        <f t="shared" si="223"/>
        <v/>
      </c>
      <c r="AK556" t="str">
        <f t="shared" si="224"/>
        <v/>
      </c>
    </row>
    <row r="557" spans="1:37" ht="15" customHeight="1" x14ac:dyDescent="0.25">
      <c r="A557" s="114"/>
      <c r="B557" s="116"/>
      <c r="C557" s="116"/>
      <c r="D557" s="42" t="str">
        <f t="shared" si="200"/>
        <v/>
      </c>
      <c r="E557" s="43"/>
      <c r="F557" s="83"/>
      <c r="G557" s="118"/>
      <c r="H557" s="34" t="str">
        <f t="shared" si="201"/>
        <v/>
      </c>
      <c r="I557" s="88" t="str">
        <f t="shared" si="202"/>
        <v/>
      </c>
      <c r="J557" s="44" t="str">
        <f t="shared" si="203"/>
        <v/>
      </c>
      <c r="K557" s="118"/>
      <c r="L557" s="34" t="str">
        <f t="shared" si="204"/>
        <v/>
      </c>
      <c r="M557" s="118"/>
      <c r="N557" s="121"/>
      <c r="O557" s="122" t="str">
        <f t="shared" si="213"/>
        <v/>
      </c>
      <c r="P557" s="35" t="str">
        <f t="shared" si="214"/>
        <v/>
      </c>
      <c r="Q557" s="124"/>
      <c r="R557" s="36" t="str">
        <f t="shared" si="215"/>
        <v/>
      </c>
      <c r="S557" s="37" t="str">
        <f t="shared" si="205"/>
        <v/>
      </c>
      <c r="T557" s="38" t="str">
        <f t="shared" si="206"/>
        <v/>
      </c>
      <c r="U557" s="39" t="str">
        <f t="shared" si="207"/>
        <v/>
      </c>
      <c r="V557" s="40" t="str">
        <f t="shared" si="208"/>
        <v/>
      </c>
      <c r="W557" s="39" t="str">
        <f t="shared" si="209"/>
        <v/>
      </c>
      <c r="X557" s="34" t="str">
        <f t="shared" si="210"/>
        <v/>
      </c>
      <c r="Y557" s="41" t="str">
        <f t="shared" si="216"/>
        <v/>
      </c>
      <c r="Z557" s="98" t="str">
        <f t="shared" si="211"/>
        <v/>
      </c>
      <c r="AA557" s="81" t="str">
        <f t="shared" si="217"/>
        <v/>
      </c>
      <c r="AC557" s="139"/>
      <c r="AD557" s="110" t="str">
        <f t="shared" si="218"/>
        <v/>
      </c>
      <c r="AE557" s="111" t="str">
        <f t="shared" si="219"/>
        <v/>
      </c>
      <c r="AF557" s="111" t="str">
        <f t="shared" si="212"/>
        <v/>
      </c>
      <c r="AG557" s="111" t="str">
        <f t="shared" si="220"/>
        <v/>
      </c>
      <c r="AH557" s="111" t="str">
        <f t="shared" si="221"/>
        <v/>
      </c>
      <c r="AI557" s="112" t="str">
        <f t="shared" si="222"/>
        <v/>
      </c>
      <c r="AJ557" t="str">
        <f t="shared" si="223"/>
        <v/>
      </c>
      <c r="AK557" t="str">
        <f t="shared" si="224"/>
        <v/>
      </c>
    </row>
    <row r="558" spans="1:37" ht="15" customHeight="1" x14ac:dyDescent="0.25">
      <c r="A558" s="114"/>
      <c r="B558" s="116"/>
      <c r="C558" s="116"/>
      <c r="D558" s="42" t="str">
        <f t="shared" si="200"/>
        <v/>
      </c>
      <c r="E558" s="43"/>
      <c r="F558" s="83"/>
      <c r="G558" s="118"/>
      <c r="H558" s="34" t="str">
        <f t="shared" si="201"/>
        <v/>
      </c>
      <c r="I558" s="88" t="str">
        <f t="shared" si="202"/>
        <v/>
      </c>
      <c r="J558" s="44" t="str">
        <f t="shared" si="203"/>
        <v/>
      </c>
      <c r="K558" s="118"/>
      <c r="L558" s="34" t="str">
        <f t="shared" si="204"/>
        <v/>
      </c>
      <c r="M558" s="118"/>
      <c r="N558" s="121"/>
      <c r="O558" s="122" t="str">
        <f t="shared" si="213"/>
        <v/>
      </c>
      <c r="P558" s="35" t="str">
        <f t="shared" si="214"/>
        <v/>
      </c>
      <c r="Q558" s="124"/>
      <c r="R558" s="36" t="str">
        <f t="shared" si="215"/>
        <v/>
      </c>
      <c r="S558" s="37" t="str">
        <f t="shared" si="205"/>
        <v/>
      </c>
      <c r="T558" s="38" t="str">
        <f t="shared" si="206"/>
        <v/>
      </c>
      <c r="U558" s="39" t="str">
        <f t="shared" si="207"/>
        <v/>
      </c>
      <c r="V558" s="40" t="str">
        <f t="shared" si="208"/>
        <v/>
      </c>
      <c r="W558" s="39" t="str">
        <f t="shared" si="209"/>
        <v/>
      </c>
      <c r="X558" s="34" t="str">
        <f t="shared" si="210"/>
        <v/>
      </c>
      <c r="Y558" s="41" t="str">
        <f t="shared" si="216"/>
        <v/>
      </c>
      <c r="Z558" s="98" t="str">
        <f t="shared" si="211"/>
        <v/>
      </c>
      <c r="AA558" s="81" t="str">
        <f t="shared" si="217"/>
        <v/>
      </c>
      <c r="AC558" s="139"/>
      <c r="AD558" s="110" t="str">
        <f t="shared" si="218"/>
        <v/>
      </c>
      <c r="AE558" s="111" t="str">
        <f t="shared" si="219"/>
        <v/>
      </c>
      <c r="AF558" s="111" t="str">
        <f t="shared" si="212"/>
        <v/>
      </c>
      <c r="AG558" s="111" t="str">
        <f t="shared" si="220"/>
        <v/>
      </c>
      <c r="AH558" s="111" t="str">
        <f t="shared" si="221"/>
        <v/>
      </c>
      <c r="AI558" s="112" t="str">
        <f t="shared" si="222"/>
        <v/>
      </c>
      <c r="AJ558" t="str">
        <f t="shared" si="223"/>
        <v/>
      </c>
      <c r="AK558" t="str">
        <f t="shared" si="224"/>
        <v/>
      </c>
    </row>
    <row r="559" spans="1:37" ht="15" customHeight="1" x14ac:dyDescent="0.25">
      <c r="A559" s="114"/>
      <c r="B559" s="116"/>
      <c r="C559" s="116"/>
      <c r="D559" s="42" t="str">
        <f t="shared" si="200"/>
        <v/>
      </c>
      <c r="E559" s="43"/>
      <c r="F559" s="83"/>
      <c r="G559" s="118"/>
      <c r="H559" s="34" t="str">
        <f t="shared" si="201"/>
        <v/>
      </c>
      <c r="I559" s="88" t="str">
        <f t="shared" si="202"/>
        <v/>
      </c>
      <c r="J559" s="44" t="str">
        <f t="shared" si="203"/>
        <v/>
      </c>
      <c r="K559" s="118"/>
      <c r="L559" s="34" t="str">
        <f t="shared" si="204"/>
        <v/>
      </c>
      <c r="M559" s="118"/>
      <c r="N559" s="121"/>
      <c r="O559" s="122" t="str">
        <f t="shared" si="213"/>
        <v/>
      </c>
      <c r="P559" s="35" t="str">
        <f t="shared" si="214"/>
        <v/>
      </c>
      <c r="Q559" s="124"/>
      <c r="R559" s="36" t="str">
        <f t="shared" si="215"/>
        <v/>
      </c>
      <c r="S559" s="37" t="str">
        <f t="shared" si="205"/>
        <v/>
      </c>
      <c r="T559" s="38" t="str">
        <f t="shared" si="206"/>
        <v/>
      </c>
      <c r="U559" s="39" t="str">
        <f t="shared" si="207"/>
        <v/>
      </c>
      <c r="V559" s="40" t="str">
        <f t="shared" si="208"/>
        <v/>
      </c>
      <c r="W559" s="39" t="str">
        <f t="shared" si="209"/>
        <v/>
      </c>
      <c r="X559" s="34" t="str">
        <f t="shared" si="210"/>
        <v/>
      </c>
      <c r="Y559" s="41" t="str">
        <f t="shared" si="216"/>
        <v/>
      </c>
      <c r="Z559" s="98" t="str">
        <f t="shared" si="211"/>
        <v/>
      </c>
      <c r="AA559" s="81" t="str">
        <f t="shared" si="217"/>
        <v/>
      </c>
      <c r="AC559" s="139"/>
      <c r="AD559" s="110" t="str">
        <f t="shared" si="218"/>
        <v/>
      </c>
      <c r="AE559" s="111" t="str">
        <f t="shared" si="219"/>
        <v/>
      </c>
      <c r="AF559" s="111" t="str">
        <f t="shared" si="212"/>
        <v/>
      </c>
      <c r="AG559" s="111" t="str">
        <f t="shared" si="220"/>
        <v/>
      </c>
      <c r="AH559" s="111" t="str">
        <f t="shared" si="221"/>
        <v/>
      </c>
      <c r="AI559" s="112" t="str">
        <f t="shared" si="222"/>
        <v/>
      </c>
      <c r="AJ559" t="str">
        <f t="shared" si="223"/>
        <v/>
      </c>
      <c r="AK559" t="str">
        <f t="shared" si="224"/>
        <v/>
      </c>
    </row>
    <row r="560" spans="1:37" ht="15" customHeight="1" x14ac:dyDescent="0.25">
      <c r="A560" s="114"/>
      <c r="B560" s="116"/>
      <c r="C560" s="116"/>
      <c r="D560" s="42" t="str">
        <f t="shared" si="200"/>
        <v/>
      </c>
      <c r="E560" s="43"/>
      <c r="F560" s="83"/>
      <c r="G560" s="118"/>
      <c r="H560" s="34" t="str">
        <f t="shared" si="201"/>
        <v/>
      </c>
      <c r="I560" s="88" t="str">
        <f t="shared" si="202"/>
        <v/>
      </c>
      <c r="J560" s="44" t="str">
        <f t="shared" si="203"/>
        <v/>
      </c>
      <c r="K560" s="118"/>
      <c r="L560" s="34" t="str">
        <f t="shared" si="204"/>
        <v/>
      </c>
      <c r="M560" s="118"/>
      <c r="N560" s="121"/>
      <c r="O560" s="122" t="str">
        <f t="shared" si="213"/>
        <v/>
      </c>
      <c r="P560" s="35" t="str">
        <f t="shared" si="214"/>
        <v/>
      </c>
      <c r="Q560" s="124"/>
      <c r="R560" s="36" t="str">
        <f t="shared" si="215"/>
        <v/>
      </c>
      <c r="S560" s="37" t="str">
        <f t="shared" si="205"/>
        <v/>
      </c>
      <c r="T560" s="38" t="str">
        <f t="shared" si="206"/>
        <v/>
      </c>
      <c r="U560" s="39" t="str">
        <f t="shared" si="207"/>
        <v/>
      </c>
      <c r="V560" s="40" t="str">
        <f t="shared" si="208"/>
        <v/>
      </c>
      <c r="W560" s="39" t="str">
        <f t="shared" si="209"/>
        <v/>
      </c>
      <c r="X560" s="34" t="str">
        <f t="shared" si="210"/>
        <v/>
      </c>
      <c r="Y560" s="41" t="str">
        <f t="shared" si="216"/>
        <v/>
      </c>
      <c r="Z560" s="98" t="str">
        <f t="shared" si="211"/>
        <v/>
      </c>
      <c r="AA560" s="81" t="str">
        <f t="shared" si="217"/>
        <v/>
      </c>
      <c r="AC560" s="139"/>
      <c r="AD560" s="110" t="str">
        <f t="shared" si="218"/>
        <v/>
      </c>
      <c r="AE560" s="111" t="str">
        <f t="shared" si="219"/>
        <v/>
      </c>
      <c r="AF560" s="111" t="str">
        <f t="shared" si="212"/>
        <v/>
      </c>
      <c r="AG560" s="111" t="str">
        <f t="shared" si="220"/>
        <v/>
      </c>
      <c r="AH560" s="111" t="str">
        <f t="shared" si="221"/>
        <v/>
      </c>
      <c r="AI560" s="112" t="str">
        <f t="shared" si="222"/>
        <v/>
      </c>
      <c r="AJ560" t="str">
        <f t="shared" si="223"/>
        <v/>
      </c>
      <c r="AK560" t="str">
        <f t="shared" si="224"/>
        <v/>
      </c>
    </row>
    <row r="561" spans="1:37" ht="15" customHeight="1" x14ac:dyDescent="0.25">
      <c r="A561" s="114"/>
      <c r="B561" s="116"/>
      <c r="C561" s="116"/>
      <c r="D561" s="42" t="str">
        <f t="shared" si="200"/>
        <v/>
      </c>
      <c r="E561" s="43"/>
      <c r="F561" s="83"/>
      <c r="G561" s="118"/>
      <c r="H561" s="34" t="str">
        <f t="shared" si="201"/>
        <v/>
      </c>
      <c r="I561" s="88" t="str">
        <f t="shared" si="202"/>
        <v/>
      </c>
      <c r="J561" s="44" t="str">
        <f t="shared" si="203"/>
        <v/>
      </c>
      <c r="K561" s="118"/>
      <c r="L561" s="34" t="str">
        <f t="shared" si="204"/>
        <v/>
      </c>
      <c r="M561" s="118"/>
      <c r="N561" s="121"/>
      <c r="O561" s="122" t="str">
        <f t="shared" si="213"/>
        <v/>
      </c>
      <c r="P561" s="35" t="str">
        <f t="shared" si="214"/>
        <v/>
      </c>
      <c r="Q561" s="124"/>
      <c r="R561" s="36" t="str">
        <f t="shared" si="215"/>
        <v/>
      </c>
      <c r="S561" s="37" t="str">
        <f t="shared" si="205"/>
        <v/>
      </c>
      <c r="T561" s="38" t="str">
        <f t="shared" si="206"/>
        <v/>
      </c>
      <c r="U561" s="39" t="str">
        <f t="shared" si="207"/>
        <v/>
      </c>
      <c r="V561" s="40" t="str">
        <f t="shared" si="208"/>
        <v/>
      </c>
      <c r="W561" s="39" t="str">
        <f t="shared" si="209"/>
        <v/>
      </c>
      <c r="X561" s="34" t="str">
        <f t="shared" si="210"/>
        <v/>
      </c>
      <c r="Y561" s="41" t="str">
        <f t="shared" si="216"/>
        <v/>
      </c>
      <c r="Z561" s="98" t="str">
        <f t="shared" si="211"/>
        <v/>
      </c>
      <c r="AA561" s="81" t="str">
        <f t="shared" si="217"/>
        <v/>
      </c>
      <c r="AC561" s="139"/>
      <c r="AD561" s="110" t="str">
        <f t="shared" si="218"/>
        <v/>
      </c>
      <c r="AE561" s="111" t="str">
        <f t="shared" si="219"/>
        <v/>
      </c>
      <c r="AF561" s="111" t="str">
        <f t="shared" si="212"/>
        <v/>
      </c>
      <c r="AG561" s="111" t="str">
        <f t="shared" si="220"/>
        <v/>
      </c>
      <c r="AH561" s="111" t="str">
        <f t="shared" si="221"/>
        <v/>
      </c>
      <c r="AI561" s="112" t="str">
        <f t="shared" si="222"/>
        <v/>
      </c>
      <c r="AJ561" t="str">
        <f t="shared" si="223"/>
        <v/>
      </c>
      <c r="AK561" t="str">
        <f t="shared" si="224"/>
        <v/>
      </c>
    </row>
    <row r="562" spans="1:37" ht="15" customHeight="1" x14ac:dyDescent="0.25">
      <c r="A562" s="114"/>
      <c r="B562" s="116"/>
      <c r="C562" s="116"/>
      <c r="D562" s="42" t="str">
        <f t="shared" si="200"/>
        <v/>
      </c>
      <c r="E562" s="43"/>
      <c r="F562" s="83"/>
      <c r="G562" s="118"/>
      <c r="H562" s="34" t="str">
        <f t="shared" si="201"/>
        <v/>
      </c>
      <c r="I562" s="88" t="str">
        <f t="shared" si="202"/>
        <v/>
      </c>
      <c r="J562" s="44" t="str">
        <f t="shared" si="203"/>
        <v/>
      </c>
      <c r="K562" s="118"/>
      <c r="L562" s="34" t="str">
        <f t="shared" si="204"/>
        <v/>
      </c>
      <c r="M562" s="118"/>
      <c r="N562" s="121"/>
      <c r="O562" s="122" t="str">
        <f t="shared" si="213"/>
        <v/>
      </c>
      <c r="P562" s="35" t="str">
        <f t="shared" si="214"/>
        <v/>
      </c>
      <c r="Q562" s="124"/>
      <c r="R562" s="36" t="str">
        <f t="shared" si="215"/>
        <v/>
      </c>
      <c r="S562" s="37" t="str">
        <f t="shared" si="205"/>
        <v/>
      </c>
      <c r="T562" s="38" t="str">
        <f t="shared" si="206"/>
        <v/>
      </c>
      <c r="U562" s="39" t="str">
        <f t="shared" si="207"/>
        <v/>
      </c>
      <c r="V562" s="40" t="str">
        <f t="shared" si="208"/>
        <v/>
      </c>
      <c r="W562" s="39" t="str">
        <f t="shared" si="209"/>
        <v/>
      </c>
      <c r="X562" s="34" t="str">
        <f t="shared" si="210"/>
        <v/>
      </c>
      <c r="Y562" s="41" t="str">
        <f t="shared" si="216"/>
        <v/>
      </c>
      <c r="Z562" s="98" t="str">
        <f t="shared" si="211"/>
        <v/>
      </c>
      <c r="AA562" s="81" t="str">
        <f t="shared" si="217"/>
        <v/>
      </c>
      <c r="AC562" s="139"/>
      <c r="AD562" s="110" t="str">
        <f t="shared" si="218"/>
        <v/>
      </c>
      <c r="AE562" s="111" t="str">
        <f t="shared" si="219"/>
        <v/>
      </c>
      <c r="AF562" s="111" t="str">
        <f t="shared" si="212"/>
        <v/>
      </c>
      <c r="AG562" s="111" t="str">
        <f t="shared" si="220"/>
        <v/>
      </c>
      <c r="AH562" s="111" t="str">
        <f t="shared" si="221"/>
        <v/>
      </c>
      <c r="AI562" s="112" t="str">
        <f t="shared" si="222"/>
        <v/>
      </c>
      <c r="AJ562" t="str">
        <f t="shared" si="223"/>
        <v/>
      </c>
      <c r="AK562" t="str">
        <f t="shared" si="224"/>
        <v/>
      </c>
    </row>
    <row r="563" spans="1:37" ht="15" customHeight="1" x14ac:dyDescent="0.25">
      <c r="A563" s="114"/>
      <c r="B563" s="116"/>
      <c r="C563" s="116"/>
      <c r="D563" s="42" t="str">
        <f t="shared" si="200"/>
        <v/>
      </c>
      <c r="E563" s="43"/>
      <c r="F563" s="83"/>
      <c r="G563" s="118"/>
      <c r="H563" s="34" t="str">
        <f t="shared" si="201"/>
        <v/>
      </c>
      <c r="I563" s="88" t="str">
        <f t="shared" si="202"/>
        <v/>
      </c>
      <c r="J563" s="44" t="str">
        <f t="shared" si="203"/>
        <v/>
      </c>
      <c r="K563" s="118"/>
      <c r="L563" s="34" t="str">
        <f t="shared" si="204"/>
        <v/>
      </c>
      <c r="M563" s="118"/>
      <c r="N563" s="121"/>
      <c r="O563" s="122" t="str">
        <f t="shared" si="213"/>
        <v/>
      </c>
      <c r="P563" s="35" t="str">
        <f t="shared" si="214"/>
        <v/>
      </c>
      <c r="Q563" s="124"/>
      <c r="R563" s="36" t="str">
        <f t="shared" si="215"/>
        <v/>
      </c>
      <c r="S563" s="37" t="str">
        <f t="shared" si="205"/>
        <v/>
      </c>
      <c r="T563" s="38" t="str">
        <f t="shared" si="206"/>
        <v/>
      </c>
      <c r="U563" s="39" t="str">
        <f t="shared" si="207"/>
        <v/>
      </c>
      <c r="V563" s="40" t="str">
        <f t="shared" si="208"/>
        <v/>
      </c>
      <c r="W563" s="39" t="str">
        <f t="shared" si="209"/>
        <v/>
      </c>
      <c r="X563" s="34" t="str">
        <f t="shared" si="210"/>
        <v/>
      </c>
      <c r="Y563" s="41" t="str">
        <f t="shared" si="216"/>
        <v/>
      </c>
      <c r="Z563" s="98" t="str">
        <f t="shared" si="211"/>
        <v/>
      </c>
      <c r="AA563" s="81" t="str">
        <f t="shared" si="217"/>
        <v/>
      </c>
      <c r="AC563" s="139"/>
      <c r="AD563" s="110" t="str">
        <f t="shared" si="218"/>
        <v/>
      </c>
      <c r="AE563" s="111" t="str">
        <f t="shared" si="219"/>
        <v/>
      </c>
      <c r="AF563" s="111" t="str">
        <f t="shared" si="212"/>
        <v/>
      </c>
      <c r="AG563" s="111" t="str">
        <f t="shared" si="220"/>
        <v/>
      </c>
      <c r="AH563" s="111" t="str">
        <f t="shared" si="221"/>
        <v/>
      </c>
      <c r="AI563" s="112" t="str">
        <f t="shared" si="222"/>
        <v/>
      </c>
      <c r="AJ563" t="str">
        <f t="shared" si="223"/>
        <v/>
      </c>
      <c r="AK563" t="str">
        <f t="shared" si="224"/>
        <v/>
      </c>
    </row>
    <row r="564" spans="1:37" ht="15" customHeight="1" x14ac:dyDescent="0.25">
      <c r="A564" s="114"/>
      <c r="B564" s="116"/>
      <c r="C564" s="116"/>
      <c r="D564" s="42" t="str">
        <f t="shared" si="200"/>
        <v/>
      </c>
      <c r="E564" s="43"/>
      <c r="F564" s="83"/>
      <c r="G564" s="118"/>
      <c r="H564" s="34" t="str">
        <f t="shared" si="201"/>
        <v/>
      </c>
      <c r="I564" s="88" t="str">
        <f t="shared" si="202"/>
        <v/>
      </c>
      <c r="J564" s="44" t="str">
        <f t="shared" si="203"/>
        <v/>
      </c>
      <c r="K564" s="118"/>
      <c r="L564" s="34" t="str">
        <f t="shared" si="204"/>
        <v/>
      </c>
      <c r="M564" s="118"/>
      <c r="N564" s="121"/>
      <c r="O564" s="122" t="str">
        <f t="shared" si="213"/>
        <v/>
      </c>
      <c r="P564" s="35" t="str">
        <f t="shared" si="214"/>
        <v/>
      </c>
      <c r="Q564" s="124"/>
      <c r="R564" s="36" t="str">
        <f t="shared" si="215"/>
        <v/>
      </c>
      <c r="S564" s="37" t="str">
        <f t="shared" si="205"/>
        <v/>
      </c>
      <c r="T564" s="38" t="str">
        <f t="shared" si="206"/>
        <v/>
      </c>
      <c r="U564" s="39" t="str">
        <f t="shared" si="207"/>
        <v/>
      </c>
      <c r="V564" s="40" t="str">
        <f t="shared" si="208"/>
        <v/>
      </c>
      <c r="W564" s="39" t="str">
        <f t="shared" si="209"/>
        <v/>
      </c>
      <c r="X564" s="34" t="str">
        <f t="shared" si="210"/>
        <v/>
      </c>
      <c r="Y564" s="41" t="str">
        <f t="shared" si="216"/>
        <v/>
      </c>
      <c r="Z564" s="98" t="str">
        <f t="shared" si="211"/>
        <v/>
      </c>
      <c r="AA564" s="81" t="str">
        <f t="shared" si="217"/>
        <v/>
      </c>
      <c r="AC564" s="139"/>
      <c r="AD564" s="110" t="str">
        <f t="shared" si="218"/>
        <v/>
      </c>
      <c r="AE564" s="111" t="str">
        <f t="shared" si="219"/>
        <v/>
      </c>
      <c r="AF564" s="111" t="str">
        <f t="shared" si="212"/>
        <v/>
      </c>
      <c r="AG564" s="111" t="str">
        <f t="shared" si="220"/>
        <v/>
      </c>
      <c r="AH564" s="111" t="str">
        <f t="shared" si="221"/>
        <v/>
      </c>
      <c r="AI564" s="112" t="str">
        <f t="shared" si="222"/>
        <v/>
      </c>
      <c r="AJ564" t="str">
        <f t="shared" si="223"/>
        <v/>
      </c>
      <c r="AK564" t="str">
        <f t="shared" si="224"/>
        <v/>
      </c>
    </row>
    <row r="565" spans="1:37" ht="15" customHeight="1" x14ac:dyDescent="0.25">
      <c r="A565" s="114"/>
      <c r="B565" s="116"/>
      <c r="C565" s="116"/>
      <c r="D565" s="42" t="str">
        <f t="shared" si="200"/>
        <v/>
      </c>
      <c r="E565" s="43"/>
      <c r="F565" s="83"/>
      <c r="G565" s="118"/>
      <c r="H565" s="34" t="str">
        <f t="shared" si="201"/>
        <v/>
      </c>
      <c r="I565" s="88" t="str">
        <f t="shared" si="202"/>
        <v/>
      </c>
      <c r="J565" s="44" t="str">
        <f t="shared" si="203"/>
        <v/>
      </c>
      <c r="K565" s="118"/>
      <c r="L565" s="34" t="str">
        <f t="shared" si="204"/>
        <v/>
      </c>
      <c r="M565" s="118"/>
      <c r="N565" s="121"/>
      <c r="O565" s="122" t="str">
        <f t="shared" si="213"/>
        <v/>
      </c>
      <c r="P565" s="35" t="str">
        <f t="shared" si="214"/>
        <v/>
      </c>
      <c r="Q565" s="124"/>
      <c r="R565" s="36" t="str">
        <f t="shared" si="215"/>
        <v/>
      </c>
      <c r="S565" s="37" t="str">
        <f t="shared" si="205"/>
        <v/>
      </c>
      <c r="T565" s="38" t="str">
        <f t="shared" si="206"/>
        <v/>
      </c>
      <c r="U565" s="39" t="str">
        <f t="shared" si="207"/>
        <v/>
      </c>
      <c r="V565" s="40" t="str">
        <f t="shared" si="208"/>
        <v/>
      </c>
      <c r="W565" s="39" t="str">
        <f t="shared" si="209"/>
        <v/>
      </c>
      <c r="X565" s="34" t="str">
        <f t="shared" si="210"/>
        <v/>
      </c>
      <c r="Y565" s="41" t="str">
        <f t="shared" si="216"/>
        <v/>
      </c>
      <c r="Z565" s="98" t="str">
        <f t="shared" si="211"/>
        <v/>
      </c>
      <c r="AA565" s="81" t="str">
        <f t="shared" si="217"/>
        <v/>
      </c>
      <c r="AC565" s="139"/>
      <c r="AD565" s="110" t="str">
        <f t="shared" si="218"/>
        <v/>
      </c>
      <c r="AE565" s="111" t="str">
        <f t="shared" si="219"/>
        <v/>
      </c>
      <c r="AF565" s="111" t="str">
        <f t="shared" si="212"/>
        <v/>
      </c>
      <c r="AG565" s="111" t="str">
        <f t="shared" si="220"/>
        <v/>
      </c>
      <c r="AH565" s="111" t="str">
        <f t="shared" si="221"/>
        <v/>
      </c>
      <c r="AI565" s="112" t="str">
        <f t="shared" si="222"/>
        <v/>
      </c>
      <c r="AJ565" t="str">
        <f t="shared" si="223"/>
        <v/>
      </c>
      <c r="AK565" t="str">
        <f t="shared" si="224"/>
        <v/>
      </c>
    </row>
    <row r="566" spans="1:37" ht="15" customHeight="1" x14ac:dyDescent="0.25">
      <c r="A566" s="114"/>
      <c r="B566" s="116"/>
      <c r="C566" s="116"/>
      <c r="D566" s="42" t="str">
        <f t="shared" si="200"/>
        <v/>
      </c>
      <c r="E566" s="43"/>
      <c r="F566" s="83"/>
      <c r="G566" s="118"/>
      <c r="H566" s="34" t="str">
        <f t="shared" si="201"/>
        <v/>
      </c>
      <c r="I566" s="88" t="str">
        <f t="shared" si="202"/>
        <v/>
      </c>
      <c r="J566" s="44" t="str">
        <f t="shared" si="203"/>
        <v/>
      </c>
      <c r="K566" s="118"/>
      <c r="L566" s="34" t="str">
        <f t="shared" si="204"/>
        <v/>
      </c>
      <c r="M566" s="118"/>
      <c r="N566" s="121"/>
      <c r="O566" s="122" t="str">
        <f t="shared" si="213"/>
        <v/>
      </c>
      <c r="P566" s="35" t="str">
        <f t="shared" si="214"/>
        <v/>
      </c>
      <c r="Q566" s="124"/>
      <c r="R566" s="36" t="str">
        <f t="shared" si="215"/>
        <v/>
      </c>
      <c r="S566" s="37" t="str">
        <f t="shared" si="205"/>
        <v/>
      </c>
      <c r="T566" s="38" t="str">
        <f t="shared" si="206"/>
        <v/>
      </c>
      <c r="U566" s="39" t="str">
        <f t="shared" si="207"/>
        <v/>
      </c>
      <c r="V566" s="40" t="str">
        <f t="shared" si="208"/>
        <v/>
      </c>
      <c r="W566" s="39" t="str">
        <f t="shared" si="209"/>
        <v/>
      </c>
      <c r="X566" s="34" t="str">
        <f t="shared" si="210"/>
        <v/>
      </c>
      <c r="Y566" s="41" t="str">
        <f t="shared" si="216"/>
        <v/>
      </c>
      <c r="Z566" s="98" t="str">
        <f t="shared" si="211"/>
        <v/>
      </c>
      <c r="AA566" s="81" t="str">
        <f t="shared" si="217"/>
        <v/>
      </c>
      <c r="AC566" s="139"/>
      <c r="AD566" s="110" t="str">
        <f t="shared" si="218"/>
        <v/>
      </c>
      <c r="AE566" s="111" t="str">
        <f t="shared" si="219"/>
        <v/>
      </c>
      <c r="AF566" s="111" t="str">
        <f t="shared" si="212"/>
        <v/>
      </c>
      <c r="AG566" s="111" t="str">
        <f t="shared" si="220"/>
        <v/>
      </c>
      <c r="AH566" s="111" t="str">
        <f t="shared" si="221"/>
        <v/>
      </c>
      <c r="AI566" s="112" t="str">
        <f t="shared" si="222"/>
        <v/>
      </c>
      <c r="AJ566" t="str">
        <f t="shared" si="223"/>
        <v/>
      </c>
      <c r="AK566" t="str">
        <f t="shared" si="224"/>
        <v/>
      </c>
    </row>
    <row r="567" spans="1:37" ht="15" customHeight="1" x14ac:dyDescent="0.25">
      <c r="A567" s="114"/>
      <c r="B567" s="116"/>
      <c r="C567" s="116"/>
      <c r="D567" s="42" t="str">
        <f t="shared" si="200"/>
        <v/>
      </c>
      <c r="E567" s="43"/>
      <c r="F567" s="83"/>
      <c r="G567" s="118"/>
      <c r="H567" s="34" t="str">
        <f t="shared" si="201"/>
        <v/>
      </c>
      <c r="I567" s="88" t="str">
        <f t="shared" si="202"/>
        <v/>
      </c>
      <c r="J567" s="44" t="str">
        <f t="shared" si="203"/>
        <v/>
      </c>
      <c r="K567" s="118"/>
      <c r="L567" s="34" t="str">
        <f t="shared" si="204"/>
        <v/>
      </c>
      <c r="M567" s="118"/>
      <c r="N567" s="121"/>
      <c r="O567" s="122" t="str">
        <f t="shared" si="213"/>
        <v/>
      </c>
      <c r="P567" s="35" t="str">
        <f t="shared" si="214"/>
        <v/>
      </c>
      <c r="Q567" s="124"/>
      <c r="R567" s="36" t="str">
        <f t="shared" si="215"/>
        <v/>
      </c>
      <c r="S567" s="37" t="str">
        <f t="shared" si="205"/>
        <v/>
      </c>
      <c r="T567" s="38" t="str">
        <f t="shared" si="206"/>
        <v/>
      </c>
      <c r="U567" s="39" t="str">
        <f t="shared" si="207"/>
        <v/>
      </c>
      <c r="V567" s="40" t="str">
        <f t="shared" si="208"/>
        <v/>
      </c>
      <c r="W567" s="39" t="str">
        <f t="shared" si="209"/>
        <v/>
      </c>
      <c r="X567" s="34" t="str">
        <f t="shared" si="210"/>
        <v/>
      </c>
      <c r="Y567" s="41" t="str">
        <f t="shared" si="216"/>
        <v/>
      </c>
      <c r="Z567" s="98" t="str">
        <f t="shared" si="211"/>
        <v/>
      </c>
      <c r="AA567" s="81" t="str">
        <f t="shared" si="217"/>
        <v/>
      </c>
      <c r="AC567" s="139"/>
      <c r="AD567" s="110" t="str">
        <f t="shared" si="218"/>
        <v/>
      </c>
      <c r="AE567" s="111" t="str">
        <f t="shared" si="219"/>
        <v/>
      </c>
      <c r="AF567" s="111" t="str">
        <f t="shared" si="212"/>
        <v/>
      </c>
      <c r="AG567" s="111" t="str">
        <f t="shared" si="220"/>
        <v/>
      </c>
      <c r="AH567" s="111" t="str">
        <f t="shared" si="221"/>
        <v/>
      </c>
      <c r="AI567" s="112" t="str">
        <f t="shared" si="222"/>
        <v/>
      </c>
      <c r="AJ567" t="str">
        <f t="shared" si="223"/>
        <v/>
      </c>
      <c r="AK567" t="str">
        <f t="shared" si="224"/>
        <v/>
      </c>
    </row>
    <row r="568" spans="1:37" ht="15" customHeight="1" x14ac:dyDescent="0.25">
      <c r="A568" s="114"/>
      <c r="B568" s="116"/>
      <c r="C568" s="116"/>
      <c r="D568" s="42" t="str">
        <f t="shared" si="200"/>
        <v/>
      </c>
      <c r="E568" s="43"/>
      <c r="F568" s="83"/>
      <c r="G568" s="118"/>
      <c r="H568" s="34" t="str">
        <f t="shared" si="201"/>
        <v/>
      </c>
      <c r="I568" s="88" t="str">
        <f t="shared" si="202"/>
        <v/>
      </c>
      <c r="J568" s="44" t="str">
        <f t="shared" si="203"/>
        <v/>
      </c>
      <c r="K568" s="118"/>
      <c r="L568" s="34" t="str">
        <f t="shared" si="204"/>
        <v/>
      </c>
      <c r="M568" s="118"/>
      <c r="N568" s="121"/>
      <c r="O568" s="122" t="str">
        <f t="shared" si="213"/>
        <v/>
      </c>
      <c r="P568" s="35" t="str">
        <f t="shared" si="214"/>
        <v/>
      </c>
      <c r="Q568" s="124"/>
      <c r="R568" s="36" t="str">
        <f t="shared" si="215"/>
        <v/>
      </c>
      <c r="S568" s="37" t="str">
        <f t="shared" si="205"/>
        <v/>
      </c>
      <c r="T568" s="38" t="str">
        <f t="shared" si="206"/>
        <v/>
      </c>
      <c r="U568" s="39" t="str">
        <f t="shared" si="207"/>
        <v/>
      </c>
      <c r="V568" s="40" t="str">
        <f t="shared" si="208"/>
        <v/>
      </c>
      <c r="W568" s="39" t="str">
        <f t="shared" si="209"/>
        <v/>
      </c>
      <c r="X568" s="34" t="str">
        <f t="shared" si="210"/>
        <v/>
      </c>
      <c r="Y568" s="41" t="str">
        <f t="shared" si="216"/>
        <v/>
      </c>
      <c r="Z568" s="98" t="str">
        <f t="shared" si="211"/>
        <v/>
      </c>
      <c r="AA568" s="81" t="str">
        <f t="shared" si="217"/>
        <v/>
      </c>
      <c r="AC568" s="139"/>
      <c r="AD568" s="110" t="str">
        <f t="shared" si="218"/>
        <v/>
      </c>
      <c r="AE568" s="111" t="str">
        <f t="shared" si="219"/>
        <v/>
      </c>
      <c r="AF568" s="111" t="str">
        <f t="shared" si="212"/>
        <v/>
      </c>
      <c r="AG568" s="111" t="str">
        <f t="shared" si="220"/>
        <v/>
      </c>
      <c r="AH568" s="111" t="str">
        <f t="shared" si="221"/>
        <v/>
      </c>
      <c r="AI568" s="112" t="str">
        <f t="shared" si="222"/>
        <v/>
      </c>
      <c r="AJ568" t="str">
        <f t="shared" si="223"/>
        <v/>
      </c>
      <c r="AK568" t="str">
        <f t="shared" si="224"/>
        <v/>
      </c>
    </row>
    <row r="569" spans="1:37" ht="15" customHeight="1" x14ac:dyDescent="0.25">
      <c r="A569" s="114"/>
      <c r="B569" s="116"/>
      <c r="C569" s="116"/>
      <c r="D569" s="42" t="str">
        <f t="shared" si="200"/>
        <v/>
      </c>
      <c r="E569" s="43"/>
      <c r="F569" s="83"/>
      <c r="G569" s="118"/>
      <c r="H569" s="34" t="str">
        <f t="shared" si="201"/>
        <v/>
      </c>
      <c r="I569" s="88" t="str">
        <f t="shared" si="202"/>
        <v/>
      </c>
      <c r="J569" s="44" t="str">
        <f t="shared" si="203"/>
        <v/>
      </c>
      <c r="K569" s="118"/>
      <c r="L569" s="34" t="str">
        <f t="shared" si="204"/>
        <v/>
      </c>
      <c r="M569" s="118"/>
      <c r="N569" s="121"/>
      <c r="O569" s="122" t="str">
        <f t="shared" si="213"/>
        <v/>
      </c>
      <c r="P569" s="35" t="str">
        <f t="shared" si="214"/>
        <v/>
      </c>
      <c r="Q569" s="124"/>
      <c r="R569" s="36" t="str">
        <f t="shared" si="215"/>
        <v/>
      </c>
      <c r="S569" s="37" t="str">
        <f t="shared" si="205"/>
        <v/>
      </c>
      <c r="T569" s="38" t="str">
        <f t="shared" si="206"/>
        <v/>
      </c>
      <c r="U569" s="39" t="str">
        <f t="shared" si="207"/>
        <v/>
      </c>
      <c r="V569" s="40" t="str">
        <f t="shared" si="208"/>
        <v/>
      </c>
      <c r="W569" s="39" t="str">
        <f t="shared" si="209"/>
        <v/>
      </c>
      <c r="X569" s="34" t="str">
        <f t="shared" si="210"/>
        <v/>
      </c>
      <c r="Y569" s="41" t="str">
        <f t="shared" si="216"/>
        <v/>
      </c>
      <c r="Z569" s="98" t="str">
        <f t="shared" si="211"/>
        <v/>
      </c>
      <c r="AA569" s="81" t="str">
        <f t="shared" si="217"/>
        <v/>
      </c>
      <c r="AC569" s="139"/>
      <c r="AD569" s="110" t="str">
        <f t="shared" si="218"/>
        <v/>
      </c>
      <c r="AE569" s="111" t="str">
        <f t="shared" si="219"/>
        <v/>
      </c>
      <c r="AF569" s="111" t="str">
        <f t="shared" si="212"/>
        <v/>
      </c>
      <c r="AG569" s="111" t="str">
        <f t="shared" si="220"/>
        <v/>
      </c>
      <c r="AH569" s="111" t="str">
        <f t="shared" si="221"/>
        <v/>
      </c>
      <c r="AI569" s="112" t="str">
        <f t="shared" si="222"/>
        <v/>
      </c>
      <c r="AJ569" t="str">
        <f t="shared" si="223"/>
        <v/>
      </c>
      <c r="AK569" t="str">
        <f t="shared" si="224"/>
        <v/>
      </c>
    </row>
    <row r="570" spans="1:37" ht="15" customHeight="1" x14ac:dyDescent="0.25">
      <c r="A570" s="114"/>
      <c r="B570" s="116"/>
      <c r="C570" s="116"/>
      <c r="D570" s="42" t="str">
        <f t="shared" si="200"/>
        <v/>
      </c>
      <c r="E570" s="43"/>
      <c r="F570" s="83"/>
      <c r="G570" s="118"/>
      <c r="H570" s="34" t="str">
        <f t="shared" si="201"/>
        <v/>
      </c>
      <c r="I570" s="88" t="str">
        <f t="shared" si="202"/>
        <v/>
      </c>
      <c r="J570" s="44" t="str">
        <f t="shared" si="203"/>
        <v/>
      </c>
      <c r="K570" s="118"/>
      <c r="L570" s="34" t="str">
        <f t="shared" si="204"/>
        <v/>
      </c>
      <c r="M570" s="118"/>
      <c r="N570" s="121"/>
      <c r="O570" s="122" t="str">
        <f t="shared" si="213"/>
        <v/>
      </c>
      <c r="P570" s="35" t="str">
        <f t="shared" si="214"/>
        <v/>
      </c>
      <c r="Q570" s="124"/>
      <c r="R570" s="36" t="str">
        <f t="shared" si="215"/>
        <v/>
      </c>
      <c r="S570" s="37" t="str">
        <f t="shared" si="205"/>
        <v/>
      </c>
      <c r="T570" s="38" t="str">
        <f t="shared" si="206"/>
        <v/>
      </c>
      <c r="U570" s="39" t="str">
        <f t="shared" si="207"/>
        <v/>
      </c>
      <c r="V570" s="40" t="str">
        <f t="shared" si="208"/>
        <v/>
      </c>
      <c r="W570" s="39" t="str">
        <f t="shared" si="209"/>
        <v/>
      </c>
      <c r="X570" s="34" t="str">
        <f t="shared" si="210"/>
        <v/>
      </c>
      <c r="Y570" s="41" t="str">
        <f t="shared" si="216"/>
        <v/>
      </c>
      <c r="Z570" s="98" t="str">
        <f t="shared" si="211"/>
        <v/>
      </c>
      <c r="AA570" s="81" t="str">
        <f t="shared" si="217"/>
        <v/>
      </c>
      <c r="AC570" s="139"/>
      <c r="AD570" s="110" t="str">
        <f t="shared" si="218"/>
        <v/>
      </c>
      <c r="AE570" s="111" t="str">
        <f t="shared" si="219"/>
        <v/>
      </c>
      <c r="AF570" s="111" t="str">
        <f t="shared" si="212"/>
        <v/>
      </c>
      <c r="AG570" s="111" t="str">
        <f t="shared" si="220"/>
        <v/>
      </c>
      <c r="AH570" s="111" t="str">
        <f t="shared" si="221"/>
        <v/>
      </c>
      <c r="AI570" s="112" t="str">
        <f t="shared" si="222"/>
        <v/>
      </c>
      <c r="AJ570" t="str">
        <f t="shared" si="223"/>
        <v/>
      </c>
      <c r="AK570" t="str">
        <f t="shared" si="224"/>
        <v/>
      </c>
    </row>
    <row r="571" spans="1:37" ht="15" customHeight="1" x14ac:dyDescent="0.25">
      <c r="A571" s="114"/>
      <c r="B571" s="116"/>
      <c r="C571" s="116"/>
      <c r="D571" s="42" t="str">
        <f t="shared" si="200"/>
        <v/>
      </c>
      <c r="E571" s="43"/>
      <c r="F571" s="83"/>
      <c r="G571" s="118"/>
      <c r="H571" s="34" t="str">
        <f t="shared" si="201"/>
        <v/>
      </c>
      <c r="I571" s="88" t="str">
        <f t="shared" si="202"/>
        <v/>
      </c>
      <c r="J571" s="44" t="str">
        <f t="shared" si="203"/>
        <v/>
      </c>
      <c r="K571" s="118"/>
      <c r="L571" s="34" t="str">
        <f t="shared" si="204"/>
        <v/>
      </c>
      <c r="M571" s="118"/>
      <c r="N571" s="121"/>
      <c r="O571" s="122" t="str">
        <f t="shared" si="213"/>
        <v/>
      </c>
      <c r="P571" s="35" t="str">
        <f t="shared" si="214"/>
        <v/>
      </c>
      <c r="Q571" s="124"/>
      <c r="R571" s="36" t="str">
        <f t="shared" si="215"/>
        <v/>
      </c>
      <c r="S571" s="37" t="str">
        <f t="shared" si="205"/>
        <v/>
      </c>
      <c r="T571" s="38" t="str">
        <f t="shared" si="206"/>
        <v/>
      </c>
      <c r="U571" s="39" t="str">
        <f t="shared" si="207"/>
        <v/>
      </c>
      <c r="V571" s="40" t="str">
        <f t="shared" si="208"/>
        <v/>
      </c>
      <c r="W571" s="39" t="str">
        <f t="shared" si="209"/>
        <v/>
      </c>
      <c r="X571" s="34" t="str">
        <f t="shared" si="210"/>
        <v/>
      </c>
      <c r="Y571" s="41" t="str">
        <f t="shared" si="216"/>
        <v/>
      </c>
      <c r="Z571" s="98" t="str">
        <f t="shared" si="211"/>
        <v/>
      </c>
      <c r="AA571" s="81" t="str">
        <f t="shared" si="217"/>
        <v/>
      </c>
      <c r="AC571" s="139"/>
      <c r="AD571" s="110" t="str">
        <f t="shared" si="218"/>
        <v/>
      </c>
      <c r="AE571" s="111" t="str">
        <f t="shared" si="219"/>
        <v/>
      </c>
      <c r="AF571" s="111" t="str">
        <f t="shared" si="212"/>
        <v/>
      </c>
      <c r="AG571" s="111" t="str">
        <f t="shared" si="220"/>
        <v/>
      </c>
      <c r="AH571" s="111" t="str">
        <f t="shared" si="221"/>
        <v/>
      </c>
      <c r="AI571" s="112" t="str">
        <f t="shared" si="222"/>
        <v/>
      </c>
      <c r="AJ571" t="str">
        <f t="shared" si="223"/>
        <v/>
      </c>
      <c r="AK571" t="str">
        <f t="shared" si="224"/>
        <v/>
      </c>
    </row>
    <row r="572" spans="1:37" ht="15" customHeight="1" x14ac:dyDescent="0.25">
      <c r="A572" s="114"/>
      <c r="B572" s="116"/>
      <c r="C572" s="116"/>
      <c r="D572" s="42" t="str">
        <f t="shared" si="200"/>
        <v/>
      </c>
      <c r="E572" s="43"/>
      <c r="F572" s="83"/>
      <c r="G572" s="118"/>
      <c r="H572" s="34" t="str">
        <f t="shared" si="201"/>
        <v/>
      </c>
      <c r="I572" s="88" t="str">
        <f t="shared" si="202"/>
        <v/>
      </c>
      <c r="J572" s="44" t="str">
        <f t="shared" si="203"/>
        <v/>
      </c>
      <c r="K572" s="118"/>
      <c r="L572" s="34" t="str">
        <f t="shared" si="204"/>
        <v/>
      </c>
      <c r="M572" s="118"/>
      <c r="N572" s="121"/>
      <c r="O572" s="122" t="str">
        <f t="shared" si="213"/>
        <v/>
      </c>
      <c r="P572" s="35" t="str">
        <f t="shared" si="214"/>
        <v/>
      </c>
      <c r="Q572" s="124"/>
      <c r="R572" s="36" t="str">
        <f t="shared" si="215"/>
        <v/>
      </c>
      <c r="S572" s="37" t="str">
        <f t="shared" si="205"/>
        <v/>
      </c>
      <c r="T572" s="38" t="str">
        <f t="shared" si="206"/>
        <v/>
      </c>
      <c r="U572" s="39" t="str">
        <f t="shared" si="207"/>
        <v/>
      </c>
      <c r="V572" s="40" t="str">
        <f t="shared" si="208"/>
        <v/>
      </c>
      <c r="W572" s="39" t="str">
        <f t="shared" si="209"/>
        <v/>
      </c>
      <c r="X572" s="34" t="str">
        <f t="shared" si="210"/>
        <v/>
      </c>
      <c r="Y572" s="41" t="str">
        <f t="shared" si="216"/>
        <v/>
      </c>
      <c r="Z572" s="98" t="str">
        <f t="shared" si="211"/>
        <v/>
      </c>
      <c r="AA572" s="81" t="str">
        <f t="shared" si="217"/>
        <v/>
      </c>
      <c r="AC572" s="139"/>
      <c r="AD572" s="110" t="str">
        <f t="shared" si="218"/>
        <v/>
      </c>
      <c r="AE572" s="111" t="str">
        <f t="shared" si="219"/>
        <v/>
      </c>
      <c r="AF572" s="111" t="str">
        <f t="shared" si="212"/>
        <v/>
      </c>
      <c r="AG572" s="111" t="str">
        <f t="shared" si="220"/>
        <v/>
      </c>
      <c r="AH572" s="111" t="str">
        <f t="shared" si="221"/>
        <v/>
      </c>
      <c r="AI572" s="112" t="str">
        <f t="shared" si="222"/>
        <v/>
      </c>
      <c r="AJ572" t="str">
        <f t="shared" si="223"/>
        <v/>
      </c>
      <c r="AK572" t="str">
        <f t="shared" si="224"/>
        <v/>
      </c>
    </row>
    <row r="573" spans="1:37" ht="15" customHeight="1" x14ac:dyDescent="0.25">
      <c r="A573" s="114"/>
      <c r="B573" s="116"/>
      <c r="C573" s="116"/>
      <c r="D573" s="42" t="str">
        <f t="shared" si="200"/>
        <v/>
      </c>
      <c r="E573" s="43"/>
      <c r="F573" s="83"/>
      <c r="G573" s="118"/>
      <c r="H573" s="34" t="str">
        <f t="shared" si="201"/>
        <v/>
      </c>
      <c r="I573" s="88" t="str">
        <f t="shared" si="202"/>
        <v/>
      </c>
      <c r="J573" s="44" t="str">
        <f t="shared" si="203"/>
        <v/>
      </c>
      <c r="K573" s="118"/>
      <c r="L573" s="34" t="str">
        <f t="shared" si="204"/>
        <v/>
      </c>
      <c r="M573" s="118"/>
      <c r="N573" s="121"/>
      <c r="O573" s="122" t="str">
        <f t="shared" si="213"/>
        <v/>
      </c>
      <c r="P573" s="35" t="str">
        <f t="shared" si="214"/>
        <v/>
      </c>
      <c r="Q573" s="124"/>
      <c r="R573" s="36" t="str">
        <f t="shared" si="215"/>
        <v/>
      </c>
      <c r="S573" s="37" t="str">
        <f t="shared" si="205"/>
        <v/>
      </c>
      <c r="T573" s="38" t="str">
        <f t="shared" si="206"/>
        <v/>
      </c>
      <c r="U573" s="39" t="str">
        <f t="shared" si="207"/>
        <v/>
      </c>
      <c r="V573" s="40" t="str">
        <f t="shared" si="208"/>
        <v/>
      </c>
      <c r="W573" s="39" t="str">
        <f t="shared" si="209"/>
        <v/>
      </c>
      <c r="X573" s="34" t="str">
        <f t="shared" si="210"/>
        <v/>
      </c>
      <c r="Y573" s="41" t="str">
        <f t="shared" si="216"/>
        <v/>
      </c>
      <c r="Z573" s="98" t="str">
        <f t="shared" si="211"/>
        <v/>
      </c>
      <c r="AA573" s="81" t="str">
        <f t="shared" si="217"/>
        <v/>
      </c>
      <c r="AC573" s="139"/>
      <c r="AD573" s="110" t="str">
        <f t="shared" si="218"/>
        <v/>
      </c>
      <c r="AE573" s="111" t="str">
        <f t="shared" si="219"/>
        <v/>
      </c>
      <c r="AF573" s="111" t="str">
        <f t="shared" si="212"/>
        <v/>
      </c>
      <c r="AG573" s="111" t="str">
        <f t="shared" si="220"/>
        <v/>
      </c>
      <c r="AH573" s="111" t="str">
        <f t="shared" si="221"/>
        <v/>
      </c>
      <c r="AI573" s="112" t="str">
        <f t="shared" si="222"/>
        <v/>
      </c>
      <c r="AJ573" t="str">
        <f t="shared" si="223"/>
        <v/>
      </c>
      <c r="AK573" t="str">
        <f t="shared" si="224"/>
        <v/>
      </c>
    </row>
    <row r="574" spans="1:37" ht="15" customHeight="1" x14ac:dyDescent="0.25">
      <c r="A574" s="114"/>
      <c r="B574" s="116"/>
      <c r="C574" s="116"/>
      <c r="D574" s="42" t="str">
        <f t="shared" si="200"/>
        <v/>
      </c>
      <c r="E574" s="43"/>
      <c r="F574" s="83"/>
      <c r="G574" s="118"/>
      <c r="H574" s="34" t="str">
        <f t="shared" si="201"/>
        <v/>
      </c>
      <c r="I574" s="88" t="str">
        <f t="shared" si="202"/>
        <v/>
      </c>
      <c r="J574" s="44" t="str">
        <f t="shared" si="203"/>
        <v/>
      </c>
      <c r="K574" s="118"/>
      <c r="L574" s="34" t="str">
        <f t="shared" si="204"/>
        <v/>
      </c>
      <c r="M574" s="118"/>
      <c r="N574" s="121"/>
      <c r="O574" s="122" t="str">
        <f t="shared" si="213"/>
        <v/>
      </c>
      <c r="P574" s="35" t="str">
        <f t="shared" si="214"/>
        <v/>
      </c>
      <c r="Q574" s="124"/>
      <c r="R574" s="36" t="str">
        <f t="shared" si="215"/>
        <v/>
      </c>
      <c r="S574" s="37" t="str">
        <f t="shared" si="205"/>
        <v/>
      </c>
      <c r="T574" s="38" t="str">
        <f t="shared" si="206"/>
        <v/>
      </c>
      <c r="U574" s="39" t="str">
        <f t="shared" si="207"/>
        <v/>
      </c>
      <c r="V574" s="40" t="str">
        <f t="shared" si="208"/>
        <v/>
      </c>
      <c r="W574" s="39" t="str">
        <f t="shared" si="209"/>
        <v/>
      </c>
      <c r="X574" s="34" t="str">
        <f t="shared" si="210"/>
        <v/>
      </c>
      <c r="Y574" s="41" t="str">
        <f t="shared" si="216"/>
        <v/>
      </c>
      <c r="Z574" s="98" t="str">
        <f t="shared" si="211"/>
        <v/>
      </c>
      <c r="AA574" s="81" t="str">
        <f t="shared" si="217"/>
        <v/>
      </c>
      <c r="AC574" s="139"/>
      <c r="AD574" s="110" t="str">
        <f t="shared" si="218"/>
        <v/>
      </c>
      <c r="AE574" s="111" t="str">
        <f t="shared" si="219"/>
        <v/>
      </c>
      <c r="AF574" s="111" t="str">
        <f t="shared" si="212"/>
        <v/>
      </c>
      <c r="AG574" s="111" t="str">
        <f t="shared" si="220"/>
        <v/>
      </c>
      <c r="AH574" s="111" t="str">
        <f t="shared" si="221"/>
        <v/>
      </c>
      <c r="AI574" s="112" t="str">
        <f t="shared" si="222"/>
        <v/>
      </c>
      <c r="AJ574" t="str">
        <f t="shared" si="223"/>
        <v/>
      </c>
      <c r="AK574" t="str">
        <f t="shared" si="224"/>
        <v/>
      </c>
    </row>
    <row r="575" spans="1:37" ht="15" customHeight="1" x14ac:dyDescent="0.25">
      <c r="A575" s="114"/>
      <c r="B575" s="116"/>
      <c r="C575" s="116"/>
      <c r="D575" s="42" t="str">
        <f t="shared" si="200"/>
        <v/>
      </c>
      <c r="E575" s="43"/>
      <c r="F575" s="83"/>
      <c r="G575" s="118"/>
      <c r="H575" s="34" t="str">
        <f t="shared" si="201"/>
        <v/>
      </c>
      <c r="I575" s="88" t="str">
        <f t="shared" si="202"/>
        <v/>
      </c>
      <c r="J575" s="44" t="str">
        <f t="shared" si="203"/>
        <v/>
      </c>
      <c r="K575" s="118"/>
      <c r="L575" s="34" t="str">
        <f t="shared" si="204"/>
        <v/>
      </c>
      <c r="M575" s="118"/>
      <c r="N575" s="121"/>
      <c r="O575" s="122" t="str">
        <f t="shared" si="213"/>
        <v/>
      </c>
      <c r="P575" s="35" t="str">
        <f t="shared" si="214"/>
        <v/>
      </c>
      <c r="Q575" s="124"/>
      <c r="R575" s="36" t="str">
        <f t="shared" si="215"/>
        <v/>
      </c>
      <c r="S575" s="37" t="str">
        <f t="shared" si="205"/>
        <v/>
      </c>
      <c r="T575" s="38" t="str">
        <f t="shared" si="206"/>
        <v/>
      </c>
      <c r="U575" s="39" t="str">
        <f t="shared" si="207"/>
        <v/>
      </c>
      <c r="V575" s="40" t="str">
        <f t="shared" si="208"/>
        <v/>
      </c>
      <c r="W575" s="39" t="str">
        <f t="shared" si="209"/>
        <v/>
      </c>
      <c r="X575" s="34" t="str">
        <f t="shared" si="210"/>
        <v/>
      </c>
      <c r="Y575" s="41" t="str">
        <f t="shared" si="216"/>
        <v/>
      </c>
      <c r="Z575" s="98" t="str">
        <f t="shared" si="211"/>
        <v/>
      </c>
      <c r="AA575" s="81" t="str">
        <f t="shared" si="217"/>
        <v/>
      </c>
      <c r="AC575" s="139"/>
      <c r="AD575" s="110" t="str">
        <f t="shared" si="218"/>
        <v/>
      </c>
      <c r="AE575" s="111" t="str">
        <f t="shared" si="219"/>
        <v/>
      </c>
      <c r="AF575" s="111" t="str">
        <f t="shared" si="212"/>
        <v/>
      </c>
      <c r="AG575" s="111" t="str">
        <f t="shared" si="220"/>
        <v/>
      </c>
      <c r="AH575" s="111" t="str">
        <f t="shared" si="221"/>
        <v/>
      </c>
      <c r="AI575" s="112" t="str">
        <f t="shared" si="222"/>
        <v/>
      </c>
      <c r="AJ575" t="str">
        <f t="shared" si="223"/>
        <v/>
      </c>
      <c r="AK575" t="str">
        <f t="shared" si="224"/>
        <v/>
      </c>
    </row>
    <row r="576" spans="1:37" ht="15" customHeight="1" x14ac:dyDescent="0.25">
      <c r="A576" s="114"/>
      <c r="B576" s="116"/>
      <c r="C576" s="116"/>
      <c r="D576" s="42" t="str">
        <f t="shared" si="200"/>
        <v/>
      </c>
      <c r="E576" s="43"/>
      <c r="F576" s="83"/>
      <c r="G576" s="118"/>
      <c r="H576" s="34" t="str">
        <f t="shared" si="201"/>
        <v/>
      </c>
      <c r="I576" s="88" t="str">
        <f t="shared" si="202"/>
        <v/>
      </c>
      <c r="J576" s="44" t="str">
        <f t="shared" si="203"/>
        <v/>
      </c>
      <c r="K576" s="118"/>
      <c r="L576" s="34" t="str">
        <f t="shared" si="204"/>
        <v/>
      </c>
      <c r="M576" s="118"/>
      <c r="N576" s="121"/>
      <c r="O576" s="122" t="str">
        <f t="shared" si="213"/>
        <v/>
      </c>
      <c r="P576" s="35" t="str">
        <f t="shared" si="214"/>
        <v/>
      </c>
      <c r="Q576" s="124"/>
      <c r="R576" s="36" t="str">
        <f t="shared" si="215"/>
        <v/>
      </c>
      <c r="S576" s="37" t="str">
        <f t="shared" si="205"/>
        <v/>
      </c>
      <c r="T576" s="38" t="str">
        <f t="shared" si="206"/>
        <v/>
      </c>
      <c r="U576" s="39" t="str">
        <f t="shared" si="207"/>
        <v/>
      </c>
      <c r="V576" s="40" t="str">
        <f t="shared" si="208"/>
        <v/>
      </c>
      <c r="W576" s="39" t="str">
        <f t="shared" si="209"/>
        <v/>
      </c>
      <c r="X576" s="34" t="str">
        <f t="shared" si="210"/>
        <v/>
      </c>
      <c r="Y576" s="41" t="str">
        <f t="shared" si="216"/>
        <v/>
      </c>
      <c r="Z576" s="98" t="str">
        <f t="shared" si="211"/>
        <v/>
      </c>
      <c r="AA576" s="81" t="str">
        <f t="shared" si="217"/>
        <v/>
      </c>
      <c r="AC576" s="139"/>
      <c r="AD576" s="110" t="str">
        <f t="shared" si="218"/>
        <v/>
      </c>
      <c r="AE576" s="111" t="str">
        <f t="shared" si="219"/>
        <v/>
      </c>
      <c r="AF576" s="111" t="str">
        <f t="shared" si="212"/>
        <v/>
      </c>
      <c r="AG576" s="111" t="str">
        <f t="shared" si="220"/>
        <v/>
      </c>
      <c r="AH576" s="111" t="str">
        <f t="shared" si="221"/>
        <v/>
      </c>
      <c r="AI576" s="112" t="str">
        <f t="shared" si="222"/>
        <v/>
      </c>
      <c r="AJ576" t="str">
        <f t="shared" si="223"/>
        <v/>
      </c>
      <c r="AK576" t="str">
        <f t="shared" si="224"/>
        <v/>
      </c>
    </row>
    <row r="577" spans="1:37" ht="15" customHeight="1" x14ac:dyDescent="0.25">
      <c r="A577" s="114"/>
      <c r="B577" s="116"/>
      <c r="C577" s="116"/>
      <c r="D577" s="42" t="str">
        <f t="shared" si="200"/>
        <v/>
      </c>
      <c r="E577" s="43"/>
      <c r="F577" s="83"/>
      <c r="G577" s="118"/>
      <c r="H577" s="34" t="str">
        <f t="shared" si="201"/>
        <v/>
      </c>
      <c r="I577" s="88" t="str">
        <f t="shared" si="202"/>
        <v/>
      </c>
      <c r="J577" s="44" t="str">
        <f t="shared" si="203"/>
        <v/>
      </c>
      <c r="K577" s="118"/>
      <c r="L577" s="34" t="str">
        <f t="shared" si="204"/>
        <v/>
      </c>
      <c r="M577" s="118"/>
      <c r="N577" s="121"/>
      <c r="O577" s="122" t="str">
        <f t="shared" si="213"/>
        <v/>
      </c>
      <c r="P577" s="35" t="str">
        <f t="shared" si="214"/>
        <v/>
      </c>
      <c r="Q577" s="124"/>
      <c r="R577" s="36" t="str">
        <f t="shared" si="215"/>
        <v/>
      </c>
      <c r="S577" s="37" t="str">
        <f t="shared" si="205"/>
        <v/>
      </c>
      <c r="T577" s="38" t="str">
        <f t="shared" si="206"/>
        <v/>
      </c>
      <c r="U577" s="39" t="str">
        <f t="shared" si="207"/>
        <v/>
      </c>
      <c r="V577" s="40" t="str">
        <f t="shared" si="208"/>
        <v/>
      </c>
      <c r="W577" s="39" t="str">
        <f t="shared" si="209"/>
        <v/>
      </c>
      <c r="X577" s="34" t="str">
        <f t="shared" si="210"/>
        <v/>
      </c>
      <c r="Y577" s="41" t="str">
        <f t="shared" si="216"/>
        <v/>
      </c>
      <c r="Z577" s="98" t="str">
        <f t="shared" si="211"/>
        <v/>
      </c>
      <c r="AA577" s="81" t="str">
        <f t="shared" si="217"/>
        <v/>
      </c>
      <c r="AC577" s="139"/>
      <c r="AD577" s="110" t="str">
        <f t="shared" si="218"/>
        <v/>
      </c>
      <c r="AE577" s="111" t="str">
        <f t="shared" si="219"/>
        <v/>
      </c>
      <c r="AF577" s="111" t="str">
        <f t="shared" si="212"/>
        <v/>
      </c>
      <c r="AG577" s="111" t="str">
        <f t="shared" si="220"/>
        <v/>
      </c>
      <c r="AH577" s="111" t="str">
        <f t="shared" si="221"/>
        <v/>
      </c>
      <c r="AI577" s="112" t="str">
        <f t="shared" si="222"/>
        <v/>
      </c>
      <c r="AJ577" t="str">
        <f t="shared" si="223"/>
        <v/>
      </c>
      <c r="AK577" t="str">
        <f t="shared" si="224"/>
        <v/>
      </c>
    </row>
    <row r="578" spans="1:37" ht="15" customHeight="1" x14ac:dyDescent="0.25">
      <c r="A578" s="114"/>
      <c r="B578" s="116"/>
      <c r="C578" s="116"/>
      <c r="D578" s="42" t="str">
        <f t="shared" si="200"/>
        <v/>
      </c>
      <c r="E578" s="43"/>
      <c r="F578" s="83"/>
      <c r="G578" s="118"/>
      <c r="H578" s="34" t="str">
        <f t="shared" si="201"/>
        <v/>
      </c>
      <c r="I578" s="88" t="str">
        <f t="shared" si="202"/>
        <v/>
      </c>
      <c r="J578" s="44" t="str">
        <f t="shared" si="203"/>
        <v/>
      </c>
      <c r="K578" s="118"/>
      <c r="L578" s="34" t="str">
        <f t="shared" si="204"/>
        <v/>
      </c>
      <c r="M578" s="118"/>
      <c r="N578" s="121"/>
      <c r="O578" s="122" t="str">
        <f t="shared" si="213"/>
        <v/>
      </c>
      <c r="P578" s="35" t="str">
        <f t="shared" si="214"/>
        <v/>
      </c>
      <c r="Q578" s="124"/>
      <c r="R578" s="36" t="str">
        <f t="shared" si="215"/>
        <v/>
      </c>
      <c r="S578" s="37" t="str">
        <f t="shared" si="205"/>
        <v/>
      </c>
      <c r="T578" s="38" t="str">
        <f t="shared" si="206"/>
        <v/>
      </c>
      <c r="U578" s="39" t="str">
        <f t="shared" si="207"/>
        <v/>
      </c>
      <c r="V578" s="40" t="str">
        <f t="shared" si="208"/>
        <v/>
      </c>
      <c r="W578" s="39" t="str">
        <f t="shared" si="209"/>
        <v/>
      </c>
      <c r="X578" s="34" t="str">
        <f t="shared" si="210"/>
        <v/>
      </c>
      <c r="Y578" s="41" t="str">
        <f t="shared" si="216"/>
        <v/>
      </c>
      <c r="Z578" s="98" t="str">
        <f t="shared" si="211"/>
        <v/>
      </c>
      <c r="AA578" s="81" t="str">
        <f t="shared" si="217"/>
        <v/>
      </c>
      <c r="AC578" s="139"/>
      <c r="AD578" s="110" t="str">
        <f t="shared" si="218"/>
        <v/>
      </c>
      <c r="AE578" s="111" t="str">
        <f t="shared" si="219"/>
        <v/>
      </c>
      <c r="AF578" s="111" t="str">
        <f t="shared" si="212"/>
        <v/>
      </c>
      <c r="AG578" s="111" t="str">
        <f t="shared" si="220"/>
        <v/>
      </c>
      <c r="AH578" s="111" t="str">
        <f t="shared" si="221"/>
        <v/>
      </c>
      <c r="AI578" s="112" t="str">
        <f t="shared" si="222"/>
        <v/>
      </c>
      <c r="AJ578" t="str">
        <f t="shared" si="223"/>
        <v/>
      </c>
      <c r="AK578" t="str">
        <f t="shared" si="224"/>
        <v/>
      </c>
    </row>
    <row r="579" spans="1:37" ht="15" customHeight="1" x14ac:dyDescent="0.25">
      <c r="A579" s="114"/>
      <c r="B579" s="116"/>
      <c r="C579" s="116"/>
      <c r="D579" s="42" t="str">
        <f t="shared" si="200"/>
        <v/>
      </c>
      <c r="E579" s="43"/>
      <c r="F579" s="83"/>
      <c r="G579" s="118"/>
      <c r="H579" s="34" t="str">
        <f t="shared" si="201"/>
        <v/>
      </c>
      <c r="I579" s="88" t="str">
        <f t="shared" si="202"/>
        <v/>
      </c>
      <c r="J579" s="44" t="str">
        <f t="shared" si="203"/>
        <v/>
      </c>
      <c r="K579" s="118"/>
      <c r="L579" s="34" t="str">
        <f t="shared" si="204"/>
        <v/>
      </c>
      <c r="M579" s="118"/>
      <c r="N579" s="121"/>
      <c r="O579" s="122" t="str">
        <f t="shared" si="213"/>
        <v/>
      </c>
      <c r="P579" s="35" t="str">
        <f t="shared" si="214"/>
        <v/>
      </c>
      <c r="Q579" s="124"/>
      <c r="R579" s="36" t="str">
        <f t="shared" si="215"/>
        <v/>
      </c>
      <c r="S579" s="37" t="str">
        <f t="shared" si="205"/>
        <v/>
      </c>
      <c r="T579" s="38" t="str">
        <f t="shared" si="206"/>
        <v/>
      </c>
      <c r="U579" s="39" t="str">
        <f t="shared" si="207"/>
        <v/>
      </c>
      <c r="V579" s="40" t="str">
        <f t="shared" si="208"/>
        <v/>
      </c>
      <c r="W579" s="39" t="str">
        <f t="shared" si="209"/>
        <v/>
      </c>
      <c r="X579" s="34" t="str">
        <f t="shared" si="210"/>
        <v/>
      </c>
      <c r="Y579" s="41" t="str">
        <f t="shared" si="216"/>
        <v/>
      </c>
      <c r="Z579" s="98" t="str">
        <f t="shared" si="211"/>
        <v/>
      </c>
      <c r="AA579" s="81" t="str">
        <f t="shared" si="217"/>
        <v/>
      </c>
      <c r="AC579" s="139"/>
      <c r="AD579" s="110" t="str">
        <f t="shared" si="218"/>
        <v/>
      </c>
      <c r="AE579" s="111" t="str">
        <f t="shared" si="219"/>
        <v/>
      </c>
      <c r="AF579" s="111" t="str">
        <f t="shared" si="212"/>
        <v/>
      </c>
      <c r="AG579" s="111" t="str">
        <f t="shared" si="220"/>
        <v/>
      </c>
      <c r="AH579" s="111" t="str">
        <f t="shared" si="221"/>
        <v/>
      </c>
      <c r="AI579" s="112" t="str">
        <f t="shared" si="222"/>
        <v/>
      </c>
      <c r="AJ579" t="str">
        <f t="shared" si="223"/>
        <v/>
      </c>
      <c r="AK579" t="str">
        <f t="shared" si="224"/>
        <v/>
      </c>
    </row>
    <row r="580" spans="1:37" ht="15" customHeight="1" x14ac:dyDescent="0.25">
      <c r="A580" s="114"/>
      <c r="B580" s="116"/>
      <c r="C580" s="116"/>
      <c r="D580" s="42" t="str">
        <f t="shared" si="200"/>
        <v/>
      </c>
      <c r="E580" s="43"/>
      <c r="F580" s="83"/>
      <c r="G580" s="118"/>
      <c r="H580" s="34" t="str">
        <f t="shared" si="201"/>
        <v/>
      </c>
      <c r="I580" s="88" t="str">
        <f t="shared" si="202"/>
        <v/>
      </c>
      <c r="J580" s="44" t="str">
        <f t="shared" si="203"/>
        <v/>
      </c>
      <c r="K580" s="118"/>
      <c r="L580" s="34" t="str">
        <f t="shared" si="204"/>
        <v/>
      </c>
      <c r="M580" s="118"/>
      <c r="N580" s="121"/>
      <c r="O580" s="122" t="str">
        <f t="shared" si="213"/>
        <v/>
      </c>
      <c r="P580" s="35" t="str">
        <f t="shared" si="214"/>
        <v/>
      </c>
      <c r="Q580" s="124"/>
      <c r="R580" s="36" t="str">
        <f t="shared" si="215"/>
        <v/>
      </c>
      <c r="S580" s="37" t="str">
        <f t="shared" si="205"/>
        <v/>
      </c>
      <c r="T580" s="38" t="str">
        <f t="shared" si="206"/>
        <v/>
      </c>
      <c r="U580" s="39" t="str">
        <f t="shared" si="207"/>
        <v/>
      </c>
      <c r="V580" s="40" t="str">
        <f t="shared" si="208"/>
        <v/>
      </c>
      <c r="W580" s="39" t="str">
        <f t="shared" si="209"/>
        <v/>
      </c>
      <c r="X580" s="34" t="str">
        <f t="shared" si="210"/>
        <v/>
      </c>
      <c r="Y580" s="41" t="str">
        <f t="shared" si="216"/>
        <v/>
      </c>
      <c r="Z580" s="98" t="str">
        <f t="shared" si="211"/>
        <v/>
      </c>
      <c r="AA580" s="81" t="str">
        <f t="shared" si="217"/>
        <v/>
      </c>
      <c r="AC580" s="139"/>
      <c r="AD580" s="110" t="str">
        <f t="shared" si="218"/>
        <v/>
      </c>
      <c r="AE580" s="111" t="str">
        <f t="shared" si="219"/>
        <v/>
      </c>
      <c r="AF580" s="111" t="str">
        <f t="shared" si="212"/>
        <v/>
      </c>
      <c r="AG580" s="111" t="str">
        <f t="shared" si="220"/>
        <v/>
      </c>
      <c r="AH580" s="111" t="str">
        <f t="shared" si="221"/>
        <v/>
      </c>
      <c r="AI580" s="112" t="str">
        <f t="shared" si="222"/>
        <v/>
      </c>
      <c r="AJ580" t="str">
        <f t="shared" si="223"/>
        <v/>
      </c>
      <c r="AK580" t="str">
        <f t="shared" si="224"/>
        <v/>
      </c>
    </row>
    <row r="581" spans="1:37" ht="15" customHeight="1" x14ac:dyDescent="0.25">
      <c r="A581" s="114"/>
      <c r="B581" s="116"/>
      <c r="C581" s="116"/>
      <c r="D581" s="42" t="str">
        <f t="shared" si="200"/>
        <v/>
      </c>
      <c r="E581" s="43"/>
      <c r="F581" s="83"/>
      <c r="G581" s="118"/>
      <c r="H581" s="34" t="str">
        <f t="shared" si="201"/>
        <v/>
      </c>
      <c r="I581" s="88" t="str">
        <f t="shared" si="202"/>
        <v/>
      </c>
      <c r="J581" s="44" t="str">
        <f t="shared" si="203"/>
        <v/>
      </c>
      <c r="K581" s="118"/>
      <c r="L581" s="34" t="str">
        <f t="shared" si="204"/>
        <v/>
      </c>
      <c r="M581" s="118"/>
      <c r="N581" s="121"/>
      <c r="O581" s="122" t="str">
        <f t="shared" si="213"/>
        <v/>
      </c>
      <c r="P581" s="35" t="str">
        <f t="shared" si="214"/>
        <v/>
      </c>
      <c r="Q581" s="124"/>
      <c r="R581" s="36" t="str">
        <f t="shared" si="215"/>
        <v/>
      </c>
      <c r="S581" s="37" t="str">
        <f t="shared" si="205"/>
        <v/>
      </c>
      <c r="T581" s="38" t="str">
        <f t="shared" si="206"/>
        <v/>
      </c>
      <c r="U581" s="39" t="str">
        <f t="shared" si="207"/>
        <v/>
      </c>
      <c r="V581" s="40" t="str">
        <f t="shared" si="208"/>
        <v/>
      </c>
      <c r="W581" s="39" t="str">
        <f t="shared" si="209"/>
        <v/>
      </c>
      <c r="X581" s="34" t="str">
        <f t="shared" si="210"/>
        <v/>
      </c>
      <c r="Y581" s="41" t="str">
        <f t="shared" si="216"/>
        <v/>
      </c>
      <c r="Z581" s="98" t="str">
        <f t="shared" si="211"/>
        <v/>
      </c>
      <c r="AA581" s="81" t="str">
        <f t="shared" si="217"/>
        <v/>
      </c>
      <c r="AC581" s="139"/>
      <c r="AD581" s="110" t="str">
        <f t="shared" si="218"/>
        <v/>
      </c>
      <c r="AE581" s="111" t="str">
        <f t="shared" si="219"/>
        <v/>
      </c>
      <c r="AF581" s="111" t="str">
        <f t="shared" si="212"/>
        <v/>
      </c>
      <c r="AG581" s="111" t="str">
        <f t="shared" si="220"/>
        <v/>
      </c>
      <c r="AH581" s="111" t="str">
        <f t="shared" si="221"/>
        <v/>
      </c>
      <c r="AI581" s="112" t="str">
        <f t="shared" si="222"/>
        <v/>
      </c>
      <c r="AJ581" t="str">
        <f t="shared" si="223"/>
        <v/>
      </c>
      <c r="AK581" t="str">
        <f t="shared" si="224"/>
        <v/>
      </c>
    </row>
    <row r="582" spans="1:37" ht="15" customHeight="1" x14ac:dyDescent="0.25">
      <c r="A582" s="114"/>
      <c r="B582" s="116"/>
      <c r="C582" s="116"/>
      <c r="D582" s="42" t="str">
        <f t="shared" si="200"/>
        <v/>
      </c>
      <c r="E582" s="43"/>
      <c r="F582" s="83"/>
      <c r="G582" s="118"/>
      <c r="H582" s="34" t="str">
        <f t="shared" si="201"/>
        <v/>
      </c>
      <c r="I582" s="88" t="str">
        <f t="shared" si="202"/>
        <v/>
      </c>
      <c r="J582" s="44" t="str">
        <f t="shared" si="203"/>
        <v/>
      </c>
      <c r="K582" s="118"/>
      <c r="L582" s="34" t="str">
        <f t="shared" si="204"/>
        <v/>
      </c>
      <c r="M582" s="118"/>
      <c r="N582" s="121"/>
      <c r="O582" s="122" t="str">
        <f t="shared" si="213"/>
        <v/>
      </c>
      <c r="P582" s="35" t="str">
        <f t="shared" si="214"/>
        <v/>
      </c>
      <c r="Q582" s="124"/>
      <c r="R582" s="36" t="str">
        <f t="shared" si="215"/>
        <v/>
      </c>
      <c r="S582" s="37" t="str">
        <f t="shared" si="205"/>
        <v/>
      </c>
      <c r="T582" s="38" t="str">
        <f t="shared" si="206"/>
        <v/>
      </c>
      <c r="U582" s="39" t="str">
        <f t="shared" si="207"/>
        <v/>
      </c>
      <c r="V582" s="40" t="str">
        <f t="shared" si="208"/>
        <v/>
      </c>
      <c r="W582" s="39" t="str">
        <f t="shared" si="209"/>
        <v/>
      </c>
      <c r="X582" s="34" t="str">
        <f t="shared" si="210"/>
        <v/>
      </c>
      <c r="Y582" s="41" t="str">
        <f t="shared" si="216"/>
        <v/>
      </c>
      <c r="Z582" s="98" t="str">
        <f t="shared" si="211"/>
        <v/>
      </c>
      <c r="AA582" s="81" t="str">
        <f t="shared" si="217"/>
        <v/>
      </c>
      <c r="AC582" s="139"/>
      <c r="AD582" s="110" t="str">
        <f t="shared" si="218"/>
        <v/>
      </c>
      <c r="AE582" s="111" t="str">
        <f t="shared" si="219"/>
        <v/>
      </c>
      <c r="AF582" s="111" t="str">
        <f t="shared" si="212"/>
        <v/>
      </c>
      <c r="AG582" s="111" t="str">
        <f t="shared" si="220"/>
        <v/>
      </c>
      <c r="AH582" s="111" t="str">
        <f t="shared" si="221"/>
        <v/>
      </c>
      <c r="AI582" s="112" t="str">
        <f t="shared" si="222"/>
        <v/>
      </c>
      <c r="AJ582" t="str">
        <f t="shared" si="223"/>
        <v/>
      </c>
      <c r="AK582" t="str">
        <f t="shared" si="224"/>
        <v/>
      </c>
    </row>
    <row r="583" spans="1:37" ht="15" customHeight="1" x14ac:dyDescent="0.25">
      <c r="A583" s="114"/>
      <c r="B583" s="116"/>
      <c r="C583" s="116"/>
      <c r="D583" s="42" t="str">
        <f t="shared" si="200"/>
        <v/>
      </c>
      <c r="E583" s="43"/>
      <c r="F583" s="83"/>
      <c r="G583" s="118"/>
      <c r="H583" s="34" t="str">
        <f t="shared" si="201"/>
        <v/>
      </c>
      <c r="I583" s="88" t="str">
        <f t="shared" si="202"/>
        <v/>
      </c>
      <c r="J583" s="44" t="str">
        <f t="shared" si="203"/>
        <v/>
      </c>
      <c r="K583" s="118"/>
      <c r="L583" s="34" t="str">
        <f t="shared" si="204"/>
        <v/>
      </c>
      <c r="M583" s="118"/>
      <c r="N583" s="121"/>
      <c r="O583" s="122" t="str">
        <f t="shared" si="213"/>
        <v/>
      </c>
      <c r="P583" s="35" t="str">
        <f t="shared" si="214"/>
        <v/>
      </c>
      <c r="Q583" s="124"/>
      <c r="R583" s="36" t="str">
        <f t="shared" si="215"/>
        <v/>
      </c>
      <c r="S583" s="37" t="str">
        <f t="shared" si="205"/>
        <v/>
      </c>
      <c r="T583" s="38" t="str">
        <f t="shared" si="206"/>
        <v/>
      </c>
      <c r="U583" s="39" t="str">
        <f t="shared" si="207"/>
        <v/>
      </c>
      <c r="V583" s="40" t="str">
        <f t="shared" si="208"/>
        <v/>
      </c>
      <c r="W583" s="39" t="str">
        <f t="shared" si="209"/>
        <v/>
      </c>
      <c r="X583" s="34" t="str">
        <f t="shared" si="210"/>
        <v/>
      </c>
      <c r="Y583" s="41" t="str">
        <f t="shared" si="216"/>
        <v/>
      </c>
      <c r="Z583" s="98" t="str">
        <f t="shared" si="211"/>
        <v/>
      </c>
      <c r="AA583" s="81" t="str">
        <f t="shared" si="217"/>
        <v/>
      </c>
      <c r="AC583" s="139"/>
      <c r="AD583" s="110" t="str">
        <f t="shared" si="218"/>
        <v/>
      </c>
      <c r="AE583" s="111" t="str">
        <f t="shared" si="219"/>
        <v/>
      </c>
      <c r="AF583" s="111" t="str">
        <f t="shared" si="212"/>
        <v/>
      </c>
      <c r="AG583" s="111" t="str">
        <f t="shared" si="220"/>
        <v/>
      </c>
      <c r="AH583" s="111" t="str">
        <f t="shared" si="221"/>
        <v/>
      </c>
      <c r="AI583" s="112" t="str">
        <f t="shared" si="222"/>
        <v/>
      </c>
      <c r="AJ583" t="str">
        <f t="shared" si="223"/>
        <v/>
      </c>
      <c r="AK583" t="str">
        <f t="shared" si="224"/>
        <v/>
      </c>
    </row>
    <row r="584" spans="1:37" ht="15" customHeight="1" x14ac:dyDescent="0.25">
      <c r="A584" s="114"/>
      <c r="B584" s="116"/>
      <c r="C584" s="116"/>
      <c r="D584" s="42" t="str">
        <f t="shared" ref="D584:D647" si="225">IF(A584="","",B584*C584)</f>
        <v/>
      </c>
      <c r="E584" s="43"/>
      <c r="F584" s="83"/>
      <c r="G584" s="118"/>
      <c r="H584" s="34" t="str">
        <f t="shared" ref="H584:H647" si="226">IF(OR(G584=0,C584=0,G584="",C584=""),"",G584/C584)</f>
        <v/>
      </c>
      <c r="I584" s="88" t="str">
        <f t="shared" ref="I584:I647" si="227">IF(OR(G584="",F584=""),"",G584*(1-F584))</f>
        <v/>
      </c>
      <c r="J584" s="44" t="str">
        <f t="shared" ref="J584:J647" si="228">IF(A584="","",I584*B584)</f>
        <v/>
      </c>
      <c r="K584" s="118"/>
      <c r="L584" s="34" t="str">
        <f t="shared" ref="L584:L647" si="229">IF(OR(K584=0,C584=0,K584="",C584=""),"",K584/C584)</f>
        <v/>
      </c>
      <c r="M584" s="118"/>
      <c r="N584" s="121"/>
      <c r="O584" s="122" t="str">
        <f t="shared" si="213"/>
        <v/>
      </c>
      <c r="P584" s="35" t="str">
        <f t="shared" si="214"/>
        <v/>
      </c>
      <c r="Q584" s="124"/>
      <c r="R584" s="36" t="str">
        <f t="shared" si="215"/>
        <v/>
      </c>
      <c r="S584" s="37" t="str">
        <f t="shared" ref="S584:S647" si="230">IF(OR(A584="",R584=""),"",R584*C584)</f>
        <v/>
      </c>
      <c r="T584" s="38" t="str">
        <f t="shared" ref="T584:T647" si="231">IF(OR(A584="",G584&lt;=0,S584=""),"",(G584-S584)/G584)</f>
        <v/>
      </c>
      <c r="U584" s="39" t="str">
        <f t="shared" ref="U584:U647" si="232">IF(OR(G584=0,S584=0,G584="",S584=""),"",G584-S584)</f>
        <v/>
      </c>
      <c r="V584" s="40" t="str">
        <f t="shared" ref="V584:V647" si="233">IF(OR(A584="",K584&lt;=0,S584=""),"",(K584-S584)/K584)</f>
        <v/>
      </c>
      <c r="W584" s="39" t="str">
        <f t="shared" ref="W584:W647" si="234">IF(OR(K584=0,S584=0,K584="",S584=""),"",K584-S584)</f>
        <v/>
      </c>
      <c r="X584" s="34" t="str">
        <f t="shared" ref="X584:X647" si="235">IF(OR(J584="",J584=0,$N$5="",$L$3=0),"",($N$5/$L$3)*J584)</f>
        <v/>
      </c>
      <c r="Y584" s="41" t="str">
        <f t="shared" si="216"/>
        <v/>
      </c>
      <c r="Z584" s="98" t="str">
        <f t="shared" ref="Z584:Z647" si="236">IF(OR(R584=0,R584="",D584=0,D584=""),"",R584*(D584+E584))</f>
        <v/>
      </c>
      <c r="AA584" s="81" t="str">
        <f t="shared" si="217"/>
        <v/>
      </c>
      <c r="AC584" s="139"/>
      <c r="AD584" s="110" t="str">
        <f t="shared" si="218"/>
        <v/>
      </c>
      <c r="AE584" s="111" t="str">
        <f t="shared" si="219"/>
        <v/>
      </c>
      <c r="AF584" s="111" t="str">
        <f t="shared" ref="AF584:AF647" si="237">IF(AE584="","",AE584*$AD$1+IF(SUM($AE$8:$AE$1007)=0,0,$AD$2*AE584/SUM($AE$8:$AE$1007)))</f>
        <v/>
      </c>
      <c r="AG584" s="111" t="str">
        <f t="shared" si="220"/>
        <v/>
      </c>
      <c r="AH584" s="111" t="str">
        <f t="shared" si="221"/>
        <v/>
      </c>
      <c r="AI584" s="112" t="str">
        <f t="shared" si="222"/>
        <v/>
      </c>
      <c r="AJ584" t="str">
        <f t="shared" si="223"/>
        <v/>
      </c>
      <c r="AK584" t="str">
        <f t="shared" si="224"/>
        <v/>
      </c>
    </row>
    <row r="585" spans="1:37" ht="15" customHeight="1" x14ac:dyDescent="0.25">
      <c r="A585" s="114"/>
      <c r="B585" s="116"/>
      <c r="C585" s="116"/>
      <c r="D585" s="42" t="str">
        <f t="shared" si="225"/>
        <v/>
      </c>
      <c r="E585" s="43"/>
      <c r="F585" s="83"/>
      <c r="G585" s="118"/>
      <c r="H585" s="34" t="str">
        <f t="shared" si="226"/>
        <v/>
      </c>
      <c r="I585" s="88" t="str">
        <f t="shared" si="227"/>
        <v/>
      </c>
      <c r="J585" s="44" t="str">
        <f t="shared" si="228"/>
        <v/>
      </c>
      <c r="K585" s="118"/>
      <c r="L585" s="34" t="str">
        <f t="shared" si="229"/>
        <v/>
      </c>
      <c r="M585" s="118"/>
      <c r="N585" s="121"/>
      <c r="O585" s="122" t="str">
        <f t="shared" ref="O585:O648" si="238">IF(A585="","",IF(Q585&gt;0,IF(J585&gt;0,Q585/J585,0),IF(E585&gt;0,0,IF($J$3&gt;0,IF($J$4&gt;0,MAX($J$3-SUM($Q$8:$Q$1007),0)/$J$4,0),$J$2))))</f>
        <v/>
      </c>
      <c r="P585" s="35" t="str">
        <f t="shared" ref="P585:P648" si="239">IF(A585="","",IF(Q585&gt;0,Q585,IF(E585&gt;0,0,J585*IF($J$3&gt;0,IF($J$4&gt;0,MAX($J$3-SUM($Q$8:$Q$1007),0)/$J$4,0),$J$2))))</f>
        <v/>
      </c>
      <c r="Q585" s="124"/>
      <c r="R585" s="36" t="str">
        <f t="shared" ref="R585:R648" si="240">IF(A585="","",IF(OR(B585=0,B585="",C585&lt;=0,D585+E585&lt;=0),"",(J585-P585)/(D585+E585)-IF(X585&gt;=0,X585/D585,0)+IF(ISNUMBER(Y585),Y585/(D585+E585),0)))</f>
        <v/>
      </c>
      <c r="S585" s="37" t="str">
        <f t="shared" si="230"/>
        <v/>
      </c>
      <c r="T585" s="38" t="str">
        <f t="shared" si="231"/>
        <v/>
      </c>
      <c r="U585" s="39" t="str">
        <f t="shared" si="232"/>
        <v/>
      </c>
      <c r="V585" s="40" t="str">
        <f t="shared" si="233"/>
        <v/>
      </c>
      <c r="W585" s="39" t="str">
        <f t="shared" si="234"/>
        <v/>
      </c>
      <c r="X585" s="34" t="str">
        <f t="shared" si="235"/>
        <v/>
      </c>
      <c r="Y585" s="41" t="str">
        <f t="shared" ref="Y585:Y648" si="241">IF(OR(J585="",J585=0,($L$3-$L$2)=0),"",($J$1/($L$3-$L$2))*(J585-P585))</f>
        <v/>
      </c>
      <c r="Z585" s="98" t="str">
        <f t="shared" si="236"/>
        <v/>
      </c>
      <c r="AA585" s="81" t="str">
        <f t="shared" ref="AA585:AA648" si="242">IF(OR(B585=0,B585=""),"",J585)</f>
        <v/>
      </c>
      <c r="AC585" s="139"/>
      <c r="AD585" s="110" t="str">
        <f t="shared" ref="AD585:AD648" si="243">IF(AC585="","",R585)</f>
        <v/>
      </c>
      <c r="AE585" s="111" t="str">
        <f t="shared" ref="AE585:AE648" si="244">IF(OR(AC585="",AD585=""),"",AC585*AD585)</f>
        <v/>
      </c>
      <c r="AF585" s="111" t="str">
        <f t="shared" si="237"/>
        <v/>
      </c>
      <c r="AG585" s="111" t="str">
        <f t="shared" ref="AG585:AG648" si="245">IF(AE585="","",AE585-AF585)</f>
        <v/>
      </c>
      <c r="AH585" s="111" t="str">
        <f t="shared" ref="AH585:AH648" si="246">IF(AG585="","",AI585-AG585)</f>
        <v/>
      </c>
      <c r="AI585" s="112" t="str">
        <f t="shared" ref="AI585:AI648" si="247">IF(AG585="","",ROUND(AG585,0))</f>
        <v/>
      </c>
      <c r="AJ585" t="str">
        <f t="shared" ref="AJ585:AJ648" si="248">IF(OR(AC585=0,AC585=""),"",AF585/AC585)</f>
        <v/>
      </c>
      <c r="AK585" t="str">
        <f t="shared" ref="AK585:AK648" si="249">IF(OR(AC585=0,AC585=""),"",AD585*C585)</f>
        <v/>
      </c>
    </row>
    <row r="586" spans="1:37" ht="15" customHeight="1" x14ac:dyDescent="0.25">
      <c r="A586" s="114"/>
      <c r="B586" s="116"/>
      <c r="C586" s="116"/>
      <c r="D586" s="42" t="str">
        <f t="shared" si="225"/>
        <v/>
      </c>
      <c r="E586" s="43"/>
      <c r="F586" s="83"/>
      <c r="G586" s="118"/>
      <c r="H586" s="34" t="str">
        <f t="shared" si="226"/>
        <v/>
      </c>
      <c r="I586" s="88" t="str">
        <f t="shared" si="227"/>
        <v/>
      </c>
      <c r="J586" s="44" t="str">
        <f t="shared" si="228"/>
        <v/>
      </c>
      <c r="K586" s="118"/>
      <c r="L586" s="34" t="str">
        <f t="shared" si="229"/>
        <v/>
      </c>
      <c r="M586" s="118"/>
      <c r="N586" s="121"/>
      <c r="O586" s="122" t="str">
        <f t="shared" si="238"/>
        <v/>
      </c>
      <c r="P586" s="35" t="str">
        <f t="shared" si="239"/>
        <v/>
      </c>
      <c r="Q586" s="124"/>
      <c r="R586" s="36" t="str">
        <f t="shared" si="240"/>
        <v/>
      </c>
      <c r="S586" s="37" t="str">
        <f t="shared" si="230"/>
        <v/>
      </c>
      <c r="T586" s="38" t="str">
        <f t="shared" si="231"/>
        <v/>
      </c>
      <c r="U586" s="39" t="str">
        <f t="shared" si="232"/>
        <v/>
      </c>
      <c r="V586" s="40" t="str">
        <f t="shared" si="233"/>
        <v/>
      </c>
      <c r="W586" s="39" t="str">
        <f t="shared" si="234"/>
        <v/>
      </c>
      <c r="X586" s="34" t="str">
        <f t="shared" si="235"/>
        <v/>
      </c>
      <c r="Y586" s="41" t="str">
        <f t="shared" si="241"/>
        <v/>
      </c>
      <c r="Z586" s="98" t="str">
        <f t="shared" si="236"/>
        <v/>
      </c>
      <c r="AA586" s="81" t="str">
        <f t="shared" si="242"/>
        <v/>
      </c>
      <c r="AC586" s="139"/>
      <c r="AD586" s="110" t="str">
        <f t="shared" si="243"/>
        <v/>
      </c>
      <c r="AE586" s="111" t="str">
        <f t="shared" si="244"/>
        <v/>
      </c>
      <c r="AF586" s="111" t="str">
        <f t="shared" si="237"/>
        <v/>
      </c>
      <c r="AG586" s="111" t="str">
        <f t="shared" si="245"/>
        <v/>
      </c>
      <c r="AH586" s="111" t="str">
        <f t="shared" si="246"/>
        <v/>
      </c>
      <c r="AI586" s="112" t="str">
        <f t="shared" si="247"/>
        <v/>
      </c>
      <c r="AJ586" t="str">
        <f t="shared" si="248"/>
        <v/>
      </c>
      <c r="AK586" t="str">
        <f t="shared" si="249"/>
        <v/>
      </c>
    </row>
    <row r="587" spans="1:37" ht="15" customHeight="1" x14ac:dyDescent="0.25">
      <c r="A587" s="114"/>
      <c r="B587" s="116"/>
      <c r="C587" s="116"/>
      <c r="D587" s="42" t="str">
        <f t="shared" si="225"/>
        <v/>
      </c>
      <c r="E587" s="43"/>
      <c r="F587" s="83"/>
      <c r="G587" s="118"/>
      <c r="H587" s="34" t="str">
        <f t="shared" si="226"/>
        <v/>
      </c>
      <c r="I587" s="88" t="str">
        <f t="shared" si="227"/>
        <v/>
      </c>
      <c r="J587" s="44" t="str">
        <f t="shared" si="228"/>
        <v/>
      </c>
      <c r="K587" s="118"/>
      <c r="L587" s="34" t="str">
        <f t="shared" si="229"/>
        <v/>
      </c>
      <c r="M587" s="118"/>
      <c r="N587" s="121"/>
      <c r="O587" s="122" t="str">
        <f t="shared" si="238"/>
        <v/>
      </c>
      <c r="P587" s="35" t="str">
        <f t="shared" si="239"/>
        <v/>
      </c>
      <c r="Q587" s="124"/>
      <c r="R587" s="36" t="str">
        <f t="shared" si="240"/>
        <v/>
      </c>
      <c r="S587" s="37" t="str">
        <f t="shared" si="230"/>
        <v/>
      </c>
      <c r="T587" s="38" t="str">
        <f t="shared" si="231"/>
        <v/>
      </c>
      <c r="U587" s="39" t="str">
        <f t="shared" si="232"/>
        <v/>
      </c>
      <c r="V587" s="40" t="str">
        <f t="shared" si="233"/>
        <v/>
      </c>
      <c r="W587" s="39" t="str">
        <f t="shared" si="234"/>
        <v/>
      </c>
      <c r="X587" s="34" t="str">
        <f t="shared" si="235"/>
        <v/>
      </c>
      <c r="Y587" s="41" t="str">
        <f t="shared" si="241"/>
        <v/>
      </c>
      <c r="Z587" s="98" t="str">
        <f t="shared" si="236"/>
        <v/>
      </c>
      <c r="AA587" s="81" t="str">
        <f t="shared" si="242"/>
        <v/>
      </c>
      <c r="AC587" s="139"/>
      <c r="AD587" s="110" t="str">
        <f t="shared" si="243"/>
        <v/>
      </c>
      <c r="AE587" s="111" t="str">
        <f t="shared" si="244"/>
        <v/>
      </c>
      <c r="AF587" s="111" t="str">
        <f t="shared" si="237"/>
        <v/>
      </c>
      <c r="AG587" s="111" t="str">
        <f t="shared" si="245"/>
        <v/>
      </c>
      <c r="AH587" s="111" t="str">
        <f t="shared" si="246"/>
        <v/>
      </c>
      <c r="AI587" s="112" t="str">
        <f t="shared" si="247"/>
        <v/>
      </c>
      <c r="AJ587" t="str">
        <f t="shared" si="248"/>
        <v/>
      </c>
      <c r="AK587" t="str">
        <f t="shared" si="249"/>
        <v/>
      </c>
    </row>
    <row r="588" spans="1:37" ht="15" customHeight="1" x14ac:dyDescent="0.25">
      <c r="A588" s="114"/>
      <c r="B588" s="116"/>
      <c r="C588" s="116"/>
      <c r="D588" s="42" t="str">
        <f t="shared" si="225"/>
        <v/>
      </c>
      <c r="E588" s="43"/>
      <c r="F588" s="83"/>
      <c r="G588" s="118"/>
      <c r="H588" s="34" t="str">
        <f t="shared" si="226"/>
        <v/>
      </c>
      <c r="I588" s="88" t="str">
        <f t="shared" si="227"/>
        <v/>
      </c>
      <c r="J588" s="44" t="str">
        <f t="shared" si="228"/>
        <v/>
      </c>
      <c r="K588" s="118"/>
      <c r="L588" s="34" t="str">
        <f t="shared" si="229"/>
        <v/>
      </c>
      <c r="M588" s="118"/>
      <c r="N588" s="121"/>
      <c r="O588" s="122" t="str">
        <f t="shared" si="238"/>
        <v/>
      </c>
      <c r="P588" s="35" t="str">
        <f t="shared" si="239"/>
        <v/>
      </c>
      <c r="Q588" s="124"/>
      <c r="R588" s="36" t="str">
        <f t="shared" si="240"/>
        <v/>
      </c>
      <c r="S588" s="37" t="str">
        <f t="shared" si="230"/>
        <v/>
      </c>
      <c r="T588" s="38" t="str">
        <f t="shared" si="231"/>
        <v/>
      </c>
      <c r="U588" s="39" t="str">
        <f t="shared" si="232"/>
        <v/>
      </c>
      <c r="V588" s="40" t="str">
        <f t="shared" si="233"/>
        <v/>
      </c>
      <c r="W588" s="39" t="str">
        <f t="shared" si="234"/>
        <v/>
      </c>
      <c r="X588" s="34" t="str">
        <f t="shared" si="235"/>
        <v/>
      </c>
      <c r="Y588" s="41" t="str">
        <f t="shared" si="241"/>
        <v/>
      </c>
      <c r="Z588" s="98" t="str">
        <f t="shared" si="236"/>
        <v/>
      </c>
      <c r="AA588" s="81" t="str">
        <f t="shared" si="242"/>
        <v/>
      </c>
      <c r="AC588" s="139"/>
      <c r="AD588" s="110" t="str">
        <f t="shared" si="243"/>
        <v/>
      </c>
      <c r="AE588" s="111" t="str">
        <f t="shared" si="244"/>
        <v/>
      </c>
      <c r="AF588" s="111" t="str">
        <f t="shared" si="237"/>
        <v/>
      </c>
      <c r="AG588" s="111" t="str">
        <f t="shared" si="245"/>
        <v/>
      </c>
      <c r="AH588" s="111" t="str">
        <f t="shared" si="246"/>
        <v/>
      </c>
      <c r="AI588" s="112" t="str">
        <f t="shared" si="247"/>
        <v/>
      </c>
      <c r="AJ588" t="str">
        <f t="shared" si="248"/>
        <v/>
      </c>
      <c r="AK588" t="str">
        <f t="shared" si="249"/>
        <v/>
      </c>
    </row>
    <row r="589" spans="1:37" ht="15" customHeight="1" x14ac:dyDescent="0.25">
      <c r="A589" s="114"/>
      <c r="B589" s="116"/>
      <c r="C589" s="116"/>
      <c r="D589" s="42" t="str">
        <f t="shared" si="225"/>
        <v/>
      </c>
      <c r="E589" s="43"/>
      <c r="F589" s="83"/>
      <c r="G589" s="118"/>
      <c r="H589" s="34" t="str">
        <f t="shared" si="226"/>
        <v/>
      </c>
      <c r="I589" s="88" t="str">
        <f t="shared" si="227"/>
        <v/>
      </c>
      <c r="J589" s="44" t="str">
        <f t="shared" si="228"/>
        <v/>
      </c>
      <c r="K589" s="118"/>
      <c r="L589" s="34" t="str">
        <f t="shared" si="229"/>
        <v/>
      </c>
      <c r="M589" s="118"/>
      <c r="N589" s="121"/>
      <c r="O589" s="122" t="str">
        <f t="shared" si="238"/>
        <v/>
      </c>
      <c r="P589" s="35" t="str">
        <f t="shared" si="239"/>
        <v/>
      </c>
      <c r="Q589" s="124"/>
      <c r="R589" s="36" t="str">
        <f t="shared" si="240"/>
        <v/>
      </c>
      <c r="S589" s="37" t="str">
        <f t="shared" si="230"/>
        <v/>
      </c>
      <c r="T589" s="38" t="str">
        <f t="shared" si="231"/>
        <v/>
      </c>
      <c r="U589" s="39" t="str">
        <f t="shared" si="232"/>
        <v/>
      </c>
      <c r="V589" s="40" t="str">
        <f t="shared" si="233"/>
        <v/>
      </c>
      <c r="W589" s="39" t="str">
        <f t="shared" si="234"/>
        <v/>
      </c>
      <c r="X589" s="34" t="str">
        <f t="shared" si="235"/>
        <v/>
      </c>
      <c r="Y589" s="41" t="str">
        <f t="shared" si="241"/>
        <v/>
      </c>
      <c r="Z589" s="98" t="str">
        <f t="shared" si="236"/>
        <v/>
      </c>
      <c r="AA589" s="81" t="str">
        <f t="shared" si="242"/>
        <v/>
      </c>
      <c r="AC589" s="139"/>
      <c r="AD589" s="110" t="str">
        <f t="shared" si="243"/>
        <v/>
      </c>
      <c r="AE589" s="111" t="str">
        <f t="shared" si="244"/>
        <v/>
      </c>
      <c r="AF589" s="111" t="str">
        <f t="shared" si="237"/>
        <v/>
      </c>
      <c r="AG589" s="111" t="str">
        <f t="shared" si="245"/>
        <v/>
      </c>
      <c r="AH589" s="111" t="str">
        <f t="shared" si="246"/>
        <v/>
      </c>
      <c r="AI589" s="112" t="str">
        <f t="shared" si="247"/>
        <v/>
      </c>
      <c r="AJ589" t="str">
        <f t="shared" si="248"/>
        <v/>
      </c>
      <c r="AK589" t="str">
        <f t="shared" si="249"/>
        <v/>
      </c>
    </row>
    <row r="590" spans="1:37" ht="15" customHeight="1" x14ac:dyDescent="0.25">
      <c r="A590" s="114"/>
      <c r="B590" s="116"/>
      <c r="C590" s="116"/>
      <c r="D590" s="42" t="str">
        <f t="shared" si="225"/>
        <v/>
      </c>
      <c r="E590" s="43"/>
      <c r="F590" s="83"/>
      <c r="G590" s="118"/>
      <c r="H590" s="34" t="str">
        <f t="shared" si="226"/>
        <v/>
      </c>
      <c r="I590" s="88" t="str">
        <f t="shared" si="227"/>
        <v/>
      </c>
      <c r="J590" s="44" t="str">
        <f t="shared" si="228"/>
        <v/>
      </c>
      <c r="K590" s="118"/>
      <c r="L590" s="34" t="str">
        <f t="shared" si="229"/>
        <v/>
      </c>
      <c r="M590" s="118"/>
      <c r="N590" s="121"/>
      <c r="O590" s="122" t="str">
        <f t="shared" si="238"/>
        <v/>
      </c>
      <c r="P590" s="35" t="str">
        <f t="shared" si="239"/>
        <v/>
      </c>
      <c r="Q590" s="124"/>
      <c r="R590" s="36" t="str">
        <f t="shared" si="240"/>
        <v/>
      </c>
      <c r="S590" s="37" t="str">
        <f t="shared" si="230"/>
        <v/>
      </c>
      <c r="T590" s="38" t="str">
        <f t="shared" si="231"/>
        <v/>
      </c>
      <c r="U590" s="39" t="str">
        <f t="shared" si="232"/>
        <v/>
      </c>
      <c r="V590" s="40" t="str">
        <f t="shared" si="233"/>
        <v/>
      </c>
      <c r="W590" s="39" t="str">
        <f t="shared" si="234"/>
        <v/>
      </c>
      <c r="X590" s="34" t="str">
        <f t="shared" si="235"/>
        <v/>
      </c>
      <c r="Y590" s="41" t="str">
        <f t="shared" si="241"/>
        <v/>
      </c>
      <c r="Z590" s="98" t="str">
        <f t="shared" si="236"/>
        <v/>
      </c>
      <c r="AA590" s="81" t="str">
        <f t="shared" si="242"/>
        <v/>
      </c>
      <c r="AC590" s="139"/>
      <c r="AD590" s="110" t="str">
        <f t="shared" si="243"/>
        <v/>
      </c>
      <c r="AE590" s="111" t="str">
        <f t="shared" si="244"/>
        <v/>
      </c>
      <c r="AF590" s="111" t="str">
        <f t="shared" si="237"/>
        <v/>
      </c>
      <c r="AG590" s="111" t="str">
        <f t="shared" si="245"/>
        <v/>
      </c>
      <c r="AH590" s="111" t="str">
        <f t="shared" si="246"/>
        <v/>
      </c>
      <c r="AI590" s="112" t="str">
        <f t="shared" si="247"/>
        <v/>
      </c>
      <c r="AJ590" t="str">
        <f t="shared" si="248"/>
        <v/>
      </c>
      <c r="AK590" t="str">
        <f t="shared" si="249"/>
        <v/>
      </c>
    </row>
    <row r="591" spans="1:37" ht="15" customHeight="1" x14ac:dyDescent="0.25">
      <c r="A591" s="114"/>
      <c r="B591" s="116"/>
      <c r="C591" s="116"/>
      <c r="D591" s="42" t="str">
        <f t="shared" si="225"/>
        <v/>
      </c>
      <c r="E591" s="43"/>
      <c r="F591" s="83"/>
      <c r="G591" s="118"/>
      <c r="H591" s="34" t="str">
        <f t="shared" si="226"/>
        <v/>
      </c>
      <c r="I591" s="88" t="str">
        <f t="shared" si="227"/>
        <v/>
      </c>
      <c r="J591" s="44" t="str">
        <f t="shared" si="228"/>
        <v/>
      </c>
      <c r="K591" s="118"/>
      <c r="L591" s="34" t="str">
        <f t="shared" si="229"/>
        <v/>
      </c>
      <c r="M591" s="118"/>
      <c r="N591" s="121"/>
      <c r="O591" s="122" t="str">
        <f t="shared" si="238"/>
        <v/>
      </c>
      <c r="P591" s="35" t="str">
        <f t="shared" si="239"/>
        <v/>
      </c>
      <c r="Q591" s="124"/>
      <c r="R591" s="36" t="str">
        <f t="shared" si="240"/>
        <v/>
      </c>
      <c r="S591" s="37" t="str">
        <f t="shared" si="230"/>
        <v/>
      </c>
      <c r="T591" s="38" t="str">
        <f t="shared" si="231"/>
        <v/>
      </c>
      <c r="U591" s="39" t="str">
        <f t="shared" si="232"/>
        <v/>
      </c>
      <c r="V591" s="40" t="str">
        <f t="shared" si="233"/>
        <v/>
      </c>
      <c r="W591" s="39" t="str">
        <f t="shared" si="234"/>
        <v/>
      </c>
      <c r="X591" s="34" t="str">
        <f t="shared" si="235"/>
        <v/>
      </c>
      <c r="Y591" s="41" t="str">
        <f t="shared" si="241"/>
        <v/>
      </c>
      <c r="Z591" s="98" t="str">
        <f t="shared" si="236"/>
        <v/>
      </c>
      <c r="AA591" s="81" t="str">
        <f t="shared" si="242"/>
        <v/>
      </c>
      <c r="AC591" s="139"/>
      <c r="AD591" s="110" t="str">
        <f t="shared" si="243"/>
        <v/>
      </c>
      <c r="AE591" s="111" t="str">
        <f t="shared" si="244"/>
        <v/>
      </c>
      <c r="AF591" s="111" t="str">
        <f t="shared" si="237"/>
        <v/>
      </c>
      <c r="AG591" s="111" t="str">
        <f t="shared" si="245"/>
        <v/>
      </c>
      <c r="AH591" s="111" t="str">
        <f t="shared" si="246"/>
        <v/>
      </c>
      <c r="AI591" s="112" t="str">
        <f t="shared" si="247"/>
        <v/>
      </c>
      <c r="AJ591" t="str">
        <f t="shared" si="248"/>
        <v/>
      </c>
      <c r="AK591" t="str">
        <f t="shared" si="249"/>
        <v/>
      </c>
    </row>
    <row r="592" spans="1:37" ht="15" customHeight="1" x14ac:dyDescent="0.25">
      <c r="A592" s="114"/>
      <c r="B592" s="116"/>
      <c r="C592" s="116"/>
      <c r="D592" s="42" t="str">
        <f t="shared" si="225"/>
        <v/>
      </c>
      <c r="E592" s="43"/>
      <c r="F592" s="83"/>
      <c r="G592" s="118"/>
      <c r="H592" s="34" t="str">
        <f t="shared" si="226"/>
        <v/>
      </c>
      <c r="I592" s="88" t="str">
        <f t="shared" si="227"/>
        <v/>
      </c>
      <c r="J592" s="44" t="str">
        <f t="shared" si="228"/>
        <v/>
      </c>
      <c r="K592" s="118"/>
      <c r="L592" s="34" t="str">
        <f t="shared" si="229"/>
        <v/>
      </c>
      <c r="M592" s="118"/>
      <c r="N592" s="121"/>
      <c r="O592" s="122" t="str">
        <f t="shared" si="238"/>
        <v/>
      </c>
      <c r="P592" s="35" t="str">
        <f t="shared" si="239"/>
        <v/>
      </c>
      <c r="Q592" s="124"/>
      <c r="R592" s="36" t="str">
        <f t="shared" si="240"/>
        <v/>
      </c>
      <c r="S592" s="37" t="str">
        <f t="shared" si="230"/>
        <v/>
      </c>
      <c r="T592" s="38" t="str">
        <f t="shared" si="231"/>
        <v/>
      </c>
      <c r="U592" s="39" t="str">
        <f t="shared" si="232"/>
        <v/>
      </c>
      <c r="V592" s="40" t="str">
        <f t="shared" si="233"/>
        <v/>
      </c>
      <c r="W592" s="39" t="str">
        <f t="shared" si="234"/>
        <v/>
      </c>
      <c r="X592" s="34" t="str">
        <f t="shared" si="235"/>
        <v/>
      </c>
      <c r="Y592" s="41" t="str">
        <f t="shared" si="241"/>
        <v/>
      </c>
      <c r="Z592" s="98" t="str">
        <f t="shared" si="236"/>
        <v/>
      </c>
      <c r="AA592" s="81" t="str">
        <f t="shared" si="242"/>
        <v/>
      </c>
      <c r="AC592" s="139"/>
      <c r="AD592" s="110" t="str">
        <f t="shared" si="243"/>
        <v/>
      </c>
      <c r="AE592" s="111" t="str">
        <f t="shared" si="244"/>
        <v/>
      </c>
      <c r="AF592" s="111" t="str">
        <f t="shared" si="237"/>
        <v/>
      </c>
      <c r="AG592" s="111" t="str">
        <f t="shared" si="245"/>
        <v/>
      </c>
      <c r="AH592" s="111" t="str">
        <f t="shared" si="246"/>
        <v/>
      </c>
      <c r="AI592" s="112" t="str">
        <f t="shared" si="247"/>
        <v/>
      </c>
      <c r="AJ592" t="str">
        <f t="shared" si="248"/>
        <v/>
      </c>
      <c r="AK592" t="str">
        <f t="shared" si="249"/>
        <v/>
      </c>
    </row>
    <row r="593" spans="1:37" ht="15" customHeight="1" x14ac:dyDescent="0.25">
      <c r="A593" s="114"/>
      <c r="B593" s="116"/>
      <c r="C593" s="116"/>
      <c r="D593" s="42" t="str">
        <f t="shared" si="225"/>
        <v/>
      </c>
      <c r="E593" s="43"/>
      <c r="F593" s="83"/>
      <c r="G593" s="118"/>
      <c r="H593" s="34" t="str">
        <f t="shared" si="226"/>
        <v/>
      </c>
      <c r="I593" s="88" t="str">
        <f t="shared" si="227"/>
        <v/>
      </c>
      <c r="J593" s="44" t="str">
        <f t="shared" si="228"/>
        <v/>
      </c>
      <c r="K593" s="118"/>
      <c r="L593" s="34" t="str">
        <f t="shared" si="229"/>
        <v/>
      </c>
      <c r="M593" s="118"/>
      <c r="N593" s="121"/>
      <c r="O593" s="122" t="str">
        <f t="shared" si="238"/>
        <v/>
      </c>
      <c r="P593" s="35" t="str">
        <f t="shared" si="239"/>
        <v/>
      </c>
      <c r="Q593" s="124"/>
      <c r="R593" s="36" t="str">
        <f t="shared" si="240"/>
        <v/>
      </c>
      <c r="S593" s="37" t="str">
        <f t="shared" si="230"/>
        <v/>
      </c>
      <c r="T593" s="38" t="str">
        <f t="shared" si="231"/>
        <v/>
      </c>
      <c r="U593" s="39" t="str">
        <f t="shared" si="232"/>
        <v/>
      </c>
      <c r="V593" s="40" t="str">
        <f t="shared" si="233"/>
        <v/>
      </c>
      <c r="W593" s="39" t="str">
        <f t="shared" si="234"/>
        <v/>
      </c>
      <c r="X593" s="34" t="str">
        <f t="shared" si="235"/>
        <v/>
      </c>
      <c r="Y593" s="41" t="str">
        <f t="shared" si="241"/>
        <v/>
      </c>
      <c r="Z593" s="98" t="str">
        <f t="shared" si="236"/>
        <v/>
      </c>
      <c r="AA593" s="81" t="str">
        <f t="shared" si="242"/>
        <v/>
      </c>
      <c r="AC593" s="139"/>
      <c r="AD593" s="110" t="str">
        <f t="shared" si="243"/>
        <v/>
      </c>
      <c r="AE593" s="111" t="str">
        <f t="shared" si="244"/>
        <v/>
      </c>
      <c r="AF593" s="111" t="str">
        <f t="shared" si="237"/>
        <v/>
      </c>
      <c r="AG593" s="111" t="str">
        <f t="shared" si="245"/>
        <v/>
      </c>
      <c r="AH593" s="111" t="str">
        <f t="shared" si="246"/>
        <v/>
      </c>
      <c r="AI593" s="112" t="str">
        <f t="shared" si="247"/>
        <v/>
      </c>
      <c r="AJ593" t="str">
        <f t="shared" si="248"/>
        <v/>
      </c>
      <c r="AK593" t="str">
        <f t="shared" si="249"/>
        <v/>
      </c>
    </row>
    <row r="594" spans="1:37" ht="15" customHeight="1" x14ac:dyDescent="0.25">
      <c r="A594" s="114"/>
      <c r="B594" s="116"/>
      <c r="C594" s="116"/>
      <c r="D594" s="42" t="str">
        <f t="shared" si="225"/>
        <v/>
      </c>
      <c r="E594" s="43"/>
      <c r="F594" s="83"/>
      <c r="G594" s="118"/>
      <c r="H594" s="34" t="str">
        <f t="shared" si="226"/>
        <v/>
      </c>
      <c r="I594" s="88" t="str">
        <f t="shared" si="227"/>
        <v/>
      </c>
      <c r="J594" s="44" t="str">
        <f t="shared" si="228"/>
        <v/>
      </c>
      <c r="K594" s="118"/>
      <c r="L594" s="34" t="str">
        <f t="shared" si="229"/>
        <v/>
      </c>
      <c r="M594" s="118"/>
      <c r="N594" s="121"/>
      <c r="O594" s="122" t="str">
        <f t="shared" si="238"/>
        <v/>
      </c>
      <c r="P594" s="35" t="str">
        <f t="shared" si="239"/>
        <v/>
      </c>
      <c r="Q594" s="124"/>
      <c r="R594" s="36" t="str">
        <f t="shared" si="240"/>
        <v/>
      </c>
      <c r="S594" s="37" t="str">
        <f t="shared" si="230"/>
        <v/>
      </c>
      <c r="T594" s="38" t="str">
        <f t="shared" si="231"/>
        <v/>
      </c>
      <c r="U594" s="39" t="str">
        <f t="shared" si="232"/>
        <v/>
      </c>
      <c r="V594" s="40" t="str">
        <f t="shared" si="233"/>
        <v/>
      </c>
      <c r="W594" s="39" t="str">
        <f t="shared" si="234"/>
        <v/>
      </c>
      <c r="X594" s="34" t="str">
        <f t="shared" si="235"/>
        <v/>
      </c>
      <c r="Y594" s="41" t="str">
        <f t="shared" si="241"/>
        <v/>
      </c>
      <c r="Z594" s="98" t="str">
        <f t="shared" si="236"/>
        <v/>
      </c>
      <c r="AA594" s="81" t="str">
        <f t="shared" si="242"/>
        <v/>
      </c>
      <c r="AC594" s="139"/>
      <c r="AD594" s="110" t="str">
        <f t="shared" si="243"/>
        <v/>
      </c>
      <c r="AE594" s="111" t="str">
        <f t="shared" si="244"/>
        <v/>
      </c>
      <c r="AF594" s="111" t="str">
        <f t="shared" si="237"/>
        <v/>
      </c>
      <c r="AG594" s="111" t="str">
        <f t="shared" si="245"/>
        <v/>
      </c>
      <c r="AH594" s="111" t="str">
        <f t="shared" si="246"/>
        <v/>
      </c>
      <c r="AI594" s="112" t="str">
        <f t="shared" si="247"/>
        <v/>
      </c>
      <c r="AJ594" t="str">
        <f t="shared" si="248"/>
        <v/>
      </c>
      <c r="AK594" t="str">
        <f t="shared" si="249"/>
        <v/>
      </c>
    </row>
    <row r="595" spans="1:37" ht="15" customHeight="1" x14ac:dyDescent="0.25">
      <c r="A595" s="114"/>
      <c r="B595" s="116"/>
      <c r="C595" s="116"/>
      <c r="D595" s="42" t="str">
        <f t="shared" si="225"/>
        <v/>
      </c>
      <c r="E595" s="43"/>
      <c r="F595" s="83"/>
      <c r="G595" s="118"/>
      <c r="H595" s="34" t="str">
        <f t="shared" si="226"/>
        <v/>
      </c>
      <c r="I595" s="88" t="str">
        <f t="shared" si="227"/>
        <v/>
      </c>
      <c r="J595" s="44" t="str">
        <f t="shared" si="228"/>
        <v/>
      </c>
      <c r="K595" s="118"/>
      <c r="L595" s="34" t="str">
        <f t="shared" si="229"/>
        <v/>
      </c>
      <c r="M595" s="118"/>
      <c r="N595" s="121"/>
      <c r="O595" s="122" t="str">
        <f t="shared" si="238"/>
        <v/>
      </c>
      <c r="P595" s="35" t="str">
        <f t="shared" si="239"/>
        <v/>
      </c>
      <c r="Q595" s="124"/>
      <c r="R595" s="36" t="str">
        <f t="shared" si="240"/>
        <v/>
      </c>
      <c r="S595" s="37" t="str">
        <f t="shared" si="230"/>
        <v/>
      </c>
      <c r="T595" s="38" t="str">
        <f t="shared" si="231"/>
        <v/>
      </c>
      <c r="U595" s="39" t="str">
        <f t="shared" si="232"/>
        <v/>
      </c>
      <c r="V595" s="40" t="str">
        <f t="shared" si="233"/>
        <v/>
      </c>
      <c r="W595" s="39" t="str">
        <f t="shared" si="234"/>
        <v/>
      </c>
      <c r="X595" s="34" t="str">
        <f t="shared" si="235"/>
        <v/>
      </c>
      <c r="Y595" s="41" t="str">
        <f t="shared" si="241"/>
        <v/>
      </c>
      <c r="Z595" s="98" t="str">
        <f t="shared" si="236"/>
        <v/>
      </c>
      <c r="AA595" s="81" t="str">
        <f t="shared" si="242"/>
        <v/>
      </c>
      <c r="AC595" s="139"/>
      <c r="AD595" s="110" t="str">
        <f t="shared" si="243"/>
        <v/>
      </c>
      <c r="AE595" s="111" t="str">
        <f t="shared" si="244"/>
        <v/>
      </c>
      <c r="AF595" s="111" t="str">
        <f t="shared" si="237"/>
        <v/>
      </c>
      <c r="AG595" s="111" t="str">
        <f t="shared" si="245"/>
        <v/>
      </c>
      <c r="AH595" s="111" t="str">
        <f t="shared" si="246"/>
        <v/>
      </c>
      <c r="AI595" s="112" t="str">
        <f t="shared" si="247"/>
        <v/>
      </c>
      <c r="AJ595" t="str">
        <f t="shared" si="248"/>
        <v/>
      </c>
      <c r="AK595" t="str">
        <f t="shared" si="249"/>
        <v/>
      </c>
    </row>
    <row r="596" spans="1:37" ht="15" customHeight="1" x14ac:dyDescent="0.25">
      <c r="A596" s="114"/>
      <c r="B596" s="116"/>
      <c r="C596" s="116"/>
      <c r="D596" s="42" t="str">
        <f t="shared" si="225"/>
        <v/>
      </c>
      <c r="E596" s="43"/>
      <c r="F596" s="83"/>
      <c r="G596" s="118"/>
      <c r="H596" s="34" t="str">
        <f t="shared" si="226"/>
        <v/>
      </c>
      <c r="I596" s="88" t="str">
        <f t="shared" si="227"/>
        <v/>
      </c>
      <c r="J596" s="44" t="str">
        <f t="shared" si="228"/>
        <v/>
      </c>
      <c r="K596" s="118"/>
      <c r="L596" s="34" t="str">
        <f t="shared" si="229"/>
        <v/>
      </c>
      <c r="M596" s="118"/>
      <c r="N596" s="121"/>
      <c r="O596" s="122" t="str">
        <f t="shared" si="238"/>
        <v/>
      </c>
      <c r="P596" s="35" t="str">
        <f t="shared" si="239"/>
        <v/>
      </c>
      <c r="Q596" s="124"/>
      <c r="R596" s="36" t="str">
        <f t="shared" si="240"/>
        <v/>
      </c>
      <c r="S596" s="37" t="str">
        <f t="shared" si="230"/>
        <v/>
      </c>
      <c r="T596" s="38" t="str">
        <f t="shared" si="231"/>
        <v/>
      </c>
      <c r="U596" s="39" t="str">
        <f t="shared" si="232"/>
        <v/>
      </c>
      <c r="V596" s="40" t="str">
        <f t="shared" si="233"/>
        <v/>
      </c>
      <c r="W596" s="39" t="str">
        <f t="shared" si="234"/>
        <v/>
      </c>
      <c r="X596" s="34" t="str">
        <f t="shared" si="235"/>
        <v/>
      </c>
      <c r="Y596" s="41" t="str">
        <f t="shared" si="241"/>
        <v/>
      </c>
      <c r="Z596" s="98" t="str">
        <f t="shared" si="236"/>
        <v/>
      </c>
      <c r="AA596" s="81" t="str">
        <f t="shared" si="242"/>
        <v/>
      </c>
      <c r="AC596" s="139"/>
      <c r="AD596" s="110" t="str">
        <f t="shared" si="243"/>
        <v/>
      </c>
      <c r="AE596" s="111" t="str">
        <f t="shared" si="244"/>
        <v/>
      </c>
      <c r="AF596" s="111" t="str">
        <f t="shared" si="237"/>
        <v/>
      </c>
      <c r="AG596" s="111" t="str">
        <f t="shared" si="245"/>
        <v/>
      </c>
      <c r="AH596" s="111" t="str">
        <f t="shared" si="246"/>
        <v/>
      </c>
      <c r="AI596" s="112" t="str">
        <f t="shared" si="247"/>
        <v/>
      </c>
      <c r="AJ596" t="str">
        <f t="shared" si="248"/>
        <v/>
      </c>
      <c r="AK596" t="str">
        <f t="shared" si="249"/>
        <v/>
      </c>
    </row>
    <row r="597" spans="1:37" ht="15" customHeight="1" x14ac:dyDescent="0.25">
      <c r="A597" s="114"/>
      <c r="B597" s="116"/>
      <c r="C597" s="116"/>
      <c r="D597" s="42" t="str">
        <f t="shared" si="225"/>
        <v/>
      </c>
      <c r="E597" s="43"/>
      <c r="F597" s="83"/>
      <c r="G597" s="118"/>
      <c r="H597" s="34" t="str">
        <f t="shared" si="226"/>
        <v/>
      </c>
      <c r="I597" s="88" t="str">
        <f t="shared" si="227"/>
        <v/>
      </c>
      <c r="J597" s="44" t="str">
        <f t="shared" si="228"/>
        <v/>
      </c>
      <c r="K597" s="118"/>
      <c r="L597" s="34" t="str">
        <f t="shared" si="229"/>
        <v/>
      </c>
      <c r="M597" s="118"/>
      <c r="N597" s="121"/>
      <c r="O597" s="122" t="str">
        <f t="shared" si="238"/>
        <v/>
      </c>
      <c r="P597" s="35" t="str">
        <f t="shared" si="239"/>
        <v/>
      </c>
      <c r="Q597" s="124"/>
      <c r="R597" s="36" t="str">
        <f t="shared" si="240"/>
        <v/>
      </c>
      <c r="S597" s="37" t="str">
        <f t="shared" si="230"/>
        <v/>
      </c>
      <c r="T597" s="38" t="str">
        <f t="shared" si="231"/>
        <v/>
      </c>
      <c r="U597" s="39" t="str">
        <f t="shared" si="232"/>
        <v/>
      </c>
      <c r="V597" s="40" t="str">
        <f t="shared" si="233"/>
        <v/>
      </c>
      <c r="W597" s="39" t="str">
        <f t="shared" si="234"/>
        <v/>
      </c>
      <c r="X597" s="34" t="str">
        <f t="shared" si="235"/>
        <v/>
      </c>
      <c r="Y597" s="41" t="str">
        <f t="shared" si="241"/>
        <v/>
      </c>
      <c r="Z597" s="98" t="str">
        <f t="shared" si="236"/>
        <v/>
      </c>
      <c r="AA597" s="81" t="str">
        <f t="shared" si="242"/>
        <v/>
      </c>
      <c r="AC597" s="139"/>
      <c r="AD597" s="110" t="str">
        <f t="shared" si="243"/>
        <v/>
      </c>
      <c r="AE597" s="111" t="str">
        <f t="shared" si="244"/>
        <v/>
      </c>
      <c r="AF597" s="111" t="str">
        <f t="shared" si="237"/>
        <v/>
      </c>
      <c r="AG597" s="111" t="str">
        <f t="shared" si="245"/>
        <v/>
      </c>
      <c r="AH597" s="111" t="str">
        <f t="shared" si="246"/>
        <v/>
      </c>
      <c r="AI597" s="112" t="str">
        <f t="shared" si="247"/>
        <v/>
      </c>
      <c r="AJ597" t="str">
        <f t="shared" si="248"/>
        <v/>
      </c>
      <c r="AK597" t="str">
        <f t="shared" si="249"/>
        <v/>
      </c>
    </row>
    <row r="598" spans="1:37" ht="15" customHeight="1" x14ac:dyDescent="0.25">
      <c r="A598" s="114"/>
      <c r="B598" s="116"/>
      <c r="C598" s="116"/>
      <c r="D598" s="42" t="str">
        <f t="shared" si="225"/>
        <v/>
      </c>
      <c r="E598" s="43"/>
      <c r="F598" s="83"/>
      <c r="G598" s="118"/>
      <c r="H598" s="34" t="str">
        <f t="shared" si="226"/>
        <v/>
      </c>
      <c r="I598" s="88" t="str">
        <f t="shared" si="227"/>
        <v/>
      </c>
      <c r="J598" s="44" t="str">
        <f t="shared" si="228"/>
        <v/>
      </c>
      <c r="K598" s="118"/>
      <c r="L598" s="34" t="str">
        <f t="shared" si="229"/>
        <v/>
      </c>
      <c r="M598" s="118"/>
      <c r="N598" s="121"/>
      <c r="O598" s="122" t="str">
        <f t="shared" si="238"/>
        <v/>
      </c>
      <c r="P598" s="35" t="str">
        <f t="shared" si="239"/>
        <v/>
      </c>
      <c r="Q598" s="124"/>
      <c r="R598" s="36" t="str">
        <f t="shared" si="240"/>
        <v/>
      </c>
      <c r="S598" s="37" t="str">
        <f t="shared" si="230"/>
        <v/>
      </c>
      <c r="T598" s="38" t="str">
        <f t="shared" si="231"/>
        <v/>
      </c>
      <c r="U598" s="39" t="str">
        <f t="shared" si="232"/>
        <v/>
      </c>
      <c r="V598" s="40" t="str">
        <f t="shared" si="233"/>
        <v/>
      </c>
      <c r="W598" s="39" t="str">
        <f t="shared" si="234"/>
        <v/>
      </c>
      <c r="X598" s="34" t="str">
        <f t="shared" si="235"/>
        <v/>
      </c>
      <c r="Y598" s="41" t="str">
        <f t="shared" si="241"/>
        <v/>
      </c>
      <c r="Z598" s="98" t="str">
        <f t="shared" si="236"/>
        <v/>
      </c>
      <c r="AA598" s="81" t="str">
        <f t="shared" si="242"/>
        <v/>
      </c>
      <c r="AC598" s="139"/>
      <c r="AD598" s="110" t="str">
        <f t="shared" si="243"/>
        <v/>
      </c>
      <c r="AE598" s="111" t="str">
        <f t="shared" si="244"/>
        <v/>
      </c>
      <c r="AF598" s="111" t="str">
        <f t="shared" si="237"/>
        <v/>
      </c>
      <c r="AG598" s="111" t="str">
        <f t="shared" si="245"/>
        <v/>
      </c>
      <c r="AH598" s="111" t="str">
        <f t="shared" si="246"/>
        <v/>
      </c>
      <c r="AI598" s="112" t="str">
        <f t="shared" si="247"/>
        <v/>
      </c>
      <c r="AJ598" t="str">
        <f t="shared" si="248"/>
        <v/>
      </c>
      <c r="AK598" t="str">
        <f t="shared" si="249"/>
        <v/>
      </c>
    </row>
    <row r="599" spans="1:37" ht="15" customHeight="1" x14ac:dyDescent="0.25">
      <c r="A599" s="114"/>
      <c r="B599" s="116"/>
      <c r="C599" s="116"/>
      <c r="D599" s="42" t="str">
        <f t="shared" si="225"/>
        <v/>
      </c>
      <c r="E599" s="43"/>
      <c r="F599" s="83"/>
      <c r="G599" s="118"/>
      <c r="H599" s="34" t="str">
        <f t="shared" si="226"/>
        <v/>
      </c>
      <c r="I599" s="88" t="str">
        <f t="shared" si="227"/>
        <v/>
      </c>
      <c r="J599" s="44" t="str">
        <f t="shared" si="228"/>
        <v/>
      </c>
      <c r="K599" s="118"/>
      <c r="L599" s="34" t="str">
        <f t="shared" si="229"/>
        <v/>
      </c>
      <c r="M599" s="118"/>
      <c r="N599" s="121"/>
      <c r="O599" s="122" t="str">
        <f t="shared" si="238"/>
        <v/>
      </c>
      <c r="P599" s="35" t="str">
        <f t="shared" si="239"/>
        <v/>
      </c>
      <c r="Q599" s="124"/>
      <c r="R599" s="36" t="str">
        <f t="shared" si="240"/>
        <v/>
      </c>
      <c r="S599" s="37" t="str">
        <f t="shared" si="230"/>
        <v/>
      </c>
      <c r="T599" s="38" t="str">
        <f t="shared" si="231"/>
        <v/>
      </c>
      <c r="U599" s="39" t="str">
        <f t="shared" si="232"/>
        <v/>
      </c>
      <c r="V599" s="40" t="str">
        <f t="shared" si="233"/>
        <v/>
      </c>
      <c r="W599" s="39" t="str">
        <f t="shared" si="234"/>
        <v/>
      </c>
      <c r="X599" s="34" t="str">
        <f t="shared" si="235"/>
        <v/>
      </c>
      <c r="Y599" s="41" t="str">
        <f t="shared" si="241"/>
        <v/>
      </c>
      <c r="Z599" s="98" t="str">
        <f t="shared" si="236"/>
        <v/>
      </c>
      <c r="AA599" s="81" t="str">
        <f t="shared" si="242"/>
        <v/>
      </c>
      <c r="AC599" s="139"/>
      <c r="AD599" s="110" t="str">
        <f t="shared" si="243"/>
        <v/>
      </c>
      <c r="AE599" s="111" t="str">
        <f t="shared" si="244"/>
        <v/>
      </c>
      <c r="AF599" s="111" t="str">
        <f t="shared" si="237"/>
        <v/>
      </c>
      <c r="AG599" s="111" t="str">
        <f t="shared" si="245"/>
        <v/>
      </c>
      <c r="AH599" s="111" t="str">
        <f t="shared" si="246"/>
        <v/>
      </c>
      <c r="AI599" s="112" t="str">
        <f t="shared" si="247"/>
        <v/>
      </c>
      <c r="AJ599" t="str">
        <f t="shared" si="248"/>
        <v/>
      </c>
      <c r="AK599" t="str">
        <f t="shared" si="249"/>
        <v/>
      </c>
    </row>
    <row r="600" spans="1:37" ht="15" customHeight="1" x14ac:dyDescent="0.25">
      <c r="A600" s="114"/>
      <c r="B600" s="116"/>
      <c r="C600" s="116"/>
      <c r="D600" s="42" t="str">
        <f t="shared" si="225"/>
        <v/>
      </c>
      <c r="E600" s="43"/>
      <c r="F600" s="83"/>
      <c r="G600" s="118"/>
      <c r="H600" s="34" t="str">
        <f t="shared" si="226"/>
        <v/>
      </c>
      <c r="I600" s="88" t="str">
        <f t="shared" si="227"/>
        <v/>
      </c>
      <c r="J600" s="44" t="str">
        <f t="shared" si="228"/>
        <v/>
      </c>
      <c r="K600" s="118"/>
      <c r="L600" s="34" t="str">
        <f t="shared" si="229"/>
        <v/>
      </c>
      <c r="M600" s="118"/>
      <c r="N600" s="121"/>
      <c r="O600" s="122" t="str">
        <f t="shared" si="238"/>
        <v/>
      </c>
      <c r="P600" s="35" t="str">
        <f t="shared" si="239"/>
        <v/>
      </c>
      <c r="Q600" s="124"/>
      <c r="R600" s="36" t="str">
        <f t="shared" si="240"/>
        <v/>
      </c>
      <c r="S600" s="37" t="str">
        <f t="shared" si="230"/>
        <v/>
      </c>
      <c r="T600" s="38" t="str">
        <f t="shared" si="231"/>
        <v/>
      </c>
      <c r="U600" s="39" t="str">
        <f t="shared" si="232"/>
        <v/>
      </c>
      <c r="V600" s="40" t="str">
        <f t="shared" si="233"/>
        <v/>
      </c>
      <c r="W600" s="39" t="str">
        <f t="shared" si="234"/>
        <v/>
      </c>
      <c r="X600" s="34" t="str">
        <f t="shared" si="235"/>
        <v/>
      </c>
      <c r="Y600" s="41" t="str">
        <f t="shared" si="241"/>
        <v/>
      </c>
      <c r="Z600" s="98" t="str">
        <f t="shared" si="236"/>
        <v/>
      </c>
      <c r="AA600" s="81" t="str">
        <f t="shared" si="242"/>
        <v/>
      </c>
      <c r="AC600" s="139"/>
      <c r="AD600" s="110" t="str">
        <f t="shared" si="243"/>
        <v/>
      </c>
      <c r="AE600" s="111" t="str">
        <f t="shared" si="244"/>
        <v/>
      </c>
      <c r="AF600" s="111" t="str">
        <f t="shared" si="237"/>
        <v/>
      </c>
      <c r="AG600" s="111" t="str">
        <f t="shared" si="245"/>
        <v/>
      </c>
      <c r="AH600" s="111" t="str">
        <f t="shared" si="246"/>
        <v/>
      </c>
      <c r="AI600" s="112" t="str">
        <f t="shared" si="247"/>
        <v/>
      </c>
      <c r="AJ600" t="str">
        <f t="shared" si="248"/>
        <v/>
      </c>
      <c r="AK600" t="str">
        <f t="shared" si="249"/>
        <v/>
      </c>
    </row>
    <row r="601" spans="1:37" ht="15" customHeight="1" x14ac:dyDescent="0.25">
      <c r="A601" s="114"/>
      <c r="B601" s="116"/>
      <c r="C601" s="116"/>
      <c r="D601" s="42" t="str">
        <f t="shared" si="225"/>
        <v/>
      </c>
      <c r="E601" s="43"/>
      <c r="F601" s="83"/>
      <c r="G601" s="118"/>
      <c r="H601" s="34" t="str">
        <f t="shared" si="226"/>
        <v/>
      </c>
      <c r="I601" s="88" t="str">
        <f t="shared" si="227"/>
        <v/>
      </c>
      <c r="J601" s="44" t="str">
        <f t="shared" si="228"/>
        <v/>
      </c>
      <c r="K601" s="118"/>
      <c r="L601" s="34" t="str">
        <f t="shared" si="229"/>
        <v/>
      </c>
      <c r="M601" s="118"/>
      <c r="N601" s="121"/>
      <c r="O601" s="122" t="str">
        <f t="shared" si="238"/>
        <v/>
      </c>
      <c r="P601" s="35" t="str">
        <f t="shared" si="239"/>
        <v/>
      </c>
      <c r="Q601" s="124"/>
      <c r="R601" s="36" t="str">
        <f t="shared" si="240"/>
        <v/>
      </c>
      <c r="S601" s="37" t="str">
        <f t="shared" si="230"/>
        <v/>
      </c>
      <c r="T601" s="38" t="str">
        <f t="shared" si="231"/>
        <v/>
      </c>
      <c r="U601" s="39" t="str">
        <f t="shared" si="232"/>
        <v/>
      </c>
      <c r="V601" s="40" t="str">
        <f t="shared" si="233"/>
        <v/>
      </c>
      <c r="W601" s="39" t="str">
        <f t="shared" si="234"/>
        <v/>
      </c>
      <c r="X601" s="34" t="str">
        <f t="shared" si="235"/>
        <v/>
      </c>
      <c r="Y601" s="41" t="str">
        <f t="shared" si="241"/>
        <v/>
      </c>
      <c r="Z601" s="98" t="str">
        <f t="shared" si="236"/>
        <v/>
      </c>
      <c r="AA601" s="81" t="str">
        <f t="shared" si="242"/>
        <v/>
      </c>
      <c r="AC601" s="139"/>
      <c r="AD601" s="110" t="str">
        <f t="shared" si="243"/>
        <v/>
      </c>
      <c r="AE601" s="111" t="str">
        <f t="shared" si="244"/>
        <v/>
      </c>
      <c r="AF601" s="111" t="str">
        <f t="shared" si="237"/>
        <v/>
      </c>
      <c r="AG601" s="111" t="str">
        <f t="shared" si="245"/>
        <v/>
      </c>
      <c r="AH601" s="111" t="str">
        <f t="shared" si="246"/>
        <v/>
      </c>
      <c r="AI601" s="112" t="str">
        <f t="shared" si="247"/>
        <v/>
      </c>
      <c r="AJ601" t="str">
        <f t="shared" si="248"/>
        <v/>
      </c>
      <c r="AK601" t="str">
        <f t="shared" si="249"/>
        <v/>
      </c>
    </row>
    <row r="602" spans="1:37" ht="15" customHeight="1" x14ac:dyDescent="0.25">
      <c r="A602" s="114"/>
      <c r="B602" s="116"/>
      <c r="C602" s="116"/>
      <c r="D602" s="42" t="str">
        <f t="shared" si="225"/>
        <v/>
      </c>
      <c r="E602" s="43"/>
      <c r="F602" s="83"/>
      <c r="G602" s="118"/>
      <c r="H602" s="34" t="str">
        <f t="shared" si="226"/>
        <v/>
      </c>
      <c r="I602" s="88" t="str">
        <f t="shared" si="227"/>
        <v/>
      </c>
      <c r="J602" s="44" t="str">
        <f t="shared" si="228"/>
        <v/>
      </c>
      <c r="K602" s="118"/>
      <c r="L602" s="34" t="str">
        <f t="shared" si="229"/>
        <v/>
      </c>
      <c r="M602" s="118"/>
      <c r="N602" s="121"/>
      <c r="O602" s="122" t="str">
        <f t="shared" si="238"/>
        <v/>
      </c>
      <c r="P602" s="35" t="str">
        <f t="shared" si="239"/>
        <v/>
      </c>
      <c r="Q602" s="124"/>
      <c r="R602" s="36" t="str">
        <f t="shared" si="240"/>
        <v/>
      </c>
      <c r="S602" s="37" t="str">
        <f t="shared" si="230"/>
        <v/>
      </c>
      <c r="T602" s="38" t="str">
        <f t="shared" si="231"/>
        <v/>
      </c>
      <c r="U602" s="39" t="str">
        <f t="shared" si="232"/>
        <v/>
      </c>
      <c r="V602" s="40" t="str">
        <f t="shared" si="233"/>
        <v/>
      </c>
      <c r="W602" s="39" t="str">
        <f t="shared" si="234"/>
        <v/>
      </c>
      <c r="X602" s="34" t="str">
        <f t="shared" si="235"/>
        <v/>
      </c>
      <c r="Y602" s="41" t="str">
        <f t="shared" si="241"/>
        <v/>
      </c>
      <c r="Z602" s="98" t="str">
        <f t="shared" si="236"/>
        <v/>
      </c>
      <c r="AA602" s="81" t="str">
        <f t="shared" si="242"/>
        <v/>
      </c>
      <c r="AC602" s="139"/>
      <c r="AD602" s="110" t="str">
        <f t="shared" si="243"/>
        <v/>
      </c>
      <c r="AE602" s="111" t="str">
        <f t="shared" si="244"/>
        <v/>
      </c>
      <c r="AF602" s="111" t="str">
        <f t="shared" si="237"/>
        <v/>
      </c>
      <c r="AG602" s="111" t="str">
        <f t="shared" si="245"/>
        <v/>
      </c>
      <c r="AH602" s="111" t="str">
        <f t="shared" si="246"/>
        <v/>
      </c>
      <c r="AI602" s="112" t="str">
        <f t="shared" si="247"/>
        <v/>
      </c>
      <c r="AJ602" t="str">
        <f t="shared" si="248"/>
        <v/>
      </c>
      <c r="AK602" t="str">
        <f t="shared" si="249"/>
        <v/>
      </c>
    </row>
    <row r="603" spans="1:37" ht="15" customHeight="1" x14ac:dyDescent="0.25">
      <c r="A603" s="114"/>
      <c r="B603" s="116"/>
      <c r="C603" s="116"/>
      <c r="D603" s="42" t="str">
        <f t="shared" si="225"/>
        <v/>
      </c>
      <c r="E603" s="43"/>
      <c r="F603" s="83"/>
      <c r="G603" s="118"/>
      <c r="H603" s="34" t="str">
        <f t="shared" si="226"/>
        <v/>
      </c>
      <c r="I603" s="88" t="str">
        <f t="shared" si="227"/>
        <v/>
      </c>
      <c r="J603" s="44" t="str">
        <f t="shared" si="228"/>
        <v/>
      </c>
      <c r="K603" s="118"/>
      <c r="L603" s="34" t="str">
        <f t="shared" si="229"/>
        <v/>
      </c>
      <c r="M603" s="118"/>
      <c r="N603" s="121"/>
      <c r="O603" s="122" t="str">
        <f t="shared" si="238"/>
        <v/>
      </c>
      <c r="P603" s="35" t="str">
        <f t="shared" si="239"/>
        <v/>
      </c>
      <c r="Q603" s="124"/>
      <c r="R603" s="36" t="str">
        <f t="shared" si="240"/>
        <v/>
      </c>
      <c r="S603" s="37" t="str">
        <f t="shared" si="230"/>
        <v/>
      </c>
      <c r="T603" s="38" t="str">
        <f t="shared" si="231"/>
        <v/>
      </c>
      <c r="U603" s="39" t="str">
        <f t="shared" si="232"/>
        <v/>
      </c>
      <c r="V603" s="40" t="str">
        <f t="shared" si="233"/>
        <v/>
      </c>
      <c r="W603" s="39" t="str">
        <f t="shared" si="234"/>
        <v/>
      </c>
      <c r="X603" s="34" t="str">
        <f t="shared" si="235"/>
        <v/>
      </c>
      <c r="Y603" s="41" t="str">
        <f t="shared" si="241"/>
        <v/>
      </c>
      <c r="Z603" s="98" t="str">
        <f t="shared" si="236"/>
        <v/>
      </c>
      <c r="AA603" s="81" t="str">
        <f t="shared" si="242"/>
        <v/>
      </c>
      <c r="AC603" s="139"/>
      <c r="AD603" s="110" t="str">
        <f t="shared" si="243"/>
        <v/>
      </c>
      <c r="AE603" s="111" t="str">
        <f t="shared" si="244"/>
        <v/>
      </c>
      <c r="AF603" s="111" t="str">
        <f t="shared" si="237"/>
        <v/>
      </c>
      <c r="AG603" s="111" t="str">
        <f t="shared" si="245"/>
        <v/>
      </c>
      <c r="AH603" s="111" t="str">
        <f t="shared" si="246"/>
        <v/>
      </c>
      <c r="AI603" s="112" t="str">
        <f t="shared" si="247"/>
        <v/>
      </c>
      <c r="AJ603" t="str">
        <f t="shared" si="248"/>
        <v/>
      </c>
      <c r="AK603" t="str">
        <f t="shared" si="249"/>
        <v/>
      </c>
    </row>
    <row r="604" spans="1:37" ht="15" customHeight="1" x14ac:dyDescent="0.25">
      <c r="A604" s="114"/>
      <c r="B604" s="116"/>
      <c r="C604" s="116"/>
      <c r="D604" s="42" t="str">
        <f t="shared" si="225"/>
        <v/>
      </c>
      <c r="E604" s="43"/>
      <c r="F604" s="83"/>
      <c r="G604" s="118"/>
      <c r="H604" s="34" t="str">
        <f t="shared" si="226"/>
        <v/>
      </c>
      <c r="I604" s="88" t="str">
        <f t="shared" si="227"/>
        <v/>
      </c>
      <c r="J604" s="44" t="str">
        <f t="shared" si="228"/>
        <v/>
      </c>
      <c r="K604" s="118"/>
      <c r="L604" s="34" t="str">
        <f t="shared" si="229"/>
        <v/>
      </c>
      <c r="M604" s="118"/>
      <c r="N604" s="121"/>
      <c r="O604" s="122" t="str">
        <f t="shared" si="238"/>
        <v/>
      </c>
      <c r="P604" s="35" t="str">
        <f t="shared" si="239"/>
        <v/>
      </c>
      <c r="Q604" s="124"/>
      <c r="R604" s="36" t="str">
        <f t="shared" si="240"/>
        <v/>
      </c>
      <c r="S604" s="37" t="str">
        <f t="shared" si="230"/>
        <v/>
      </c>
      <c r="T604" s="38" t="str">
        <f t="shared" si="231"/>
        <v/>
      </c>
      <c r="U604" s="39" t="str">
        <f t="shared" si="232"/>
        <v/>
      </c>
      <c r="V604" s="40" t="str">
        <f t="shared" si="233"/>
        <v/>
      </c>
      <c r="W604" s="39" t="str">
        <f t="shared" si="234"/>
        <v/>
      </c>
      <c r="X604" s="34" t="str">
        <f t="shared" si="235"/>
        <v/>
      </c>
      <c r="Y604" s="41" t="str">
        <f t="shared" si="241"/>
        <v/>
      </c>
      <c r="Z604" s="98" t="str">
        <f t="shared" si="236"/>
        <v/>
      </c>
      <c r="AA604" s="81" t="str">
        <f t="shared" si="242"/>
        <v/>
      </c>
      <c r="AC604" s="139"/>
      <c r="AD604" s="110" t="str">
        <f t="shared" si="243"/>
        <v/>
      </c>
      <c r="AE604" s="111" t="str">
        <f t="shared" si="244"/>
        <v/>
      </c>
      <c r="AF604" s="111" t="str">
        <f t="shared" si="237"/>
        <v/>
      </c>
      <c r="AG604" s="111" t="str">
        <f t="shared" si="245"/>
        <v/>
      </c>
      <c r="AH604" s="111" t="str">
        <f t="shared" si="246"/>
        <v/>
      </c>
      <c r="AI604" s="112" t="str">
        <f t="shared" si="247"/>
        <v/>
      </c>
      <c r="AJ604" t="str">
        <f t="shared" si="248"/>
        <v/>
      </c>
      <c r="AK604" t="str">
        <f t="shared" si="249"/>
        <v/>
      </c>
    </row>
    <row r="605" spans="1:37" ht="15" customHeight="1" x14ac:dyDescent="0.25">
      <c r="A605" s="114"/>
      <c r="B605" s="116"/>
      <c r="C605" s="116"/>
      <c r="D605" s="42" t="str">
        <f t="shared" si="225"/>
        <v/>
      </c>
      <c r="E605" s="43"/>
      <c r="F605" s="83"/>
      <c r="G605" s="118"/>
      <c r="H605" s="34" t="str">
        <f t="shared" si="226"/>
        <v/>
      </c>
      <c r="I605" s="88" t="str">
        <f t="shared" si="227"/>
        <v/>
      </c>
      <c r="J605" s="44" t="str">
        <f t="shared" si="228"/>
        <v/>
      </c>
      <c r="K605" s="118"/>
      <c r="L605" s="34" t="str">
        <f t="shared" si="229"/>
        <v/>
      </c>
      <c r="M605" s="118"/>
      <c r="N605" s="121"/>
      <c r="O605" s="122" t="str">
        <f t="shared" si="238"/>
        <v/>
      </c>
      <c r="P605" s="35" t="str">
        <f t="shared" si="239"/>
        <v/>
      </c>
      <c r="Q605" s="124"/>
      <c r="R605" s="36" t="str">
        <f t="shared" si="240"/>
        <v/>
      </c>
      <c r="S605" s="37" t="str">
        <f t="shared" si="230"/>
        <v/>
      </c>
      <c r="T605" s="38" t="str">
        <f t="shared" si="231"/>
        <v/>
      </c>
      <c r="U605" s="39" t="str">
        <f t="shared" si="232"/>
        <v/>
      </c>
      <c r="V605" s="40" t="str">
        <f t="shared" si="233"/>
        <v/>
      </c>
      <c r="W605" s="39" t="str">
        <f t="shared" si="234"/>
        <v/>
      </c>
      <c r="X605" s="34" t="str">
        <f t="shared" si="235"/>
        <v/>
      </c>
      <c r="Y605" s="41" t="str">
        <f t="shared" si="241"/>
        <v/>
      </c>
      <c r="Z605" s="98" t="str">
        <f t="shared" si="236"/>
        <v/>
      </c>
      <c r="AA605" s="81" t="str">
        <f t="shared" si="242"/>
        <v/>
      </c>
      <c r="AC605" s="139"/>
      <c r="AD605" s="110" t="str">
        <f t="shared" si="243"/>
        <v/>
      </c>
      <c r="AE605" s="111" t="str">
        <f t="shared" si="244"/>
        <v/>
      </c>
      <c r="AF605" s="111" t="str">
        <f t="shared" si="237"/>
        <v/>
      </c>
      <c r="AG605" s="111" t="str">
        <f t="shared" si="245"/>
        <v/>
      </c>
      <c r="AH605" s="111" t="str">
        <f t="shared" si="246"/>
        <v/>
      </c>
      <c r="AI605" s="112" t="str">
        <f t="shared" si="247"/>
        <v/>
      </c>
      <c r="AJ605" t="str">
        <f t="shared" si="248"/>
        <v/>
      </c>
      <c r="AK605" t="str">
        <f t="shared" si="249"/>
        <v/>
      </c>
    </row>
    <row r="606" spans="1:37" ht="15" customHeight="1" x14ac:dyDescent="0.25">
      <c r="A606" s="114"/>
      <c r="B606" s="116"/>
      <c r="C606" s="116"/>
      <c r="D606" s="42" t="str">
        <f t="shared" si="225"/>
        <v/>
      </c>
      <c r="E606" s="43"/>
      <c r="F606" s="83"/>
      <c r="G606" s="118"/>
      <c r="H606" s="34" t="str">
        <f t="shared" si="226"/>
        <v/>
      </c>
      <c r="I606" s="88" t="str">
        <f t="shared" si="227"/>
        <v/>
      </c>
      <c r="J606" s="44" t="str">
        <f t="shared" si="228"/>
        <v/>
      </c>
      <c r="K606" s="118"/>
      <c r="L606" s="34" t="str">
        <f t="shared" si="229"/>
        <v/>
      </c>
      <c r="M606" s="118"/>
      <c r="N606" s="121"/>
      <c r="O606" s="122" t="str">
        <f t="shared" si="238"/>
        <v/>
      </c>
      <c r="P606" s="35" t="str">
        <f t="shared" si="239"/>
        <v/>
      </c>
      <c r="Q606" s="124"/>
      <c r="R606" s="36" t="str">
        <f t="shared" si="240"/>
        <v/>
      </c>
      <c r="S606" s="37" t="str">
        <f t="shared" si="230"/>
        <v/>
      </c>
      <c r="T606" s="38" t="str">
        <f t="shared" si="231"/>
        <v/>
      </c>
      <c r="U606" s="39" t="str">
        <f t="shared" si="232"/>
        <v/>
      </c>
      <c r="V606" s="40" t="str">
        <f t="shared" si="233"/>
        <v/>
      </c>
      <c r="W606" s="39" t="str">
        <f t="shared" si="234"/>
        <v/>
      </c>
      <c r="X606" s="34" t="str">
        <f t="shared" si="235"/>
        <v/>
      </c>
      <c r="Y606" s="41" t="str">
        <f t="shared" si="241"/>
        <v/>
      </c>
      <c r="Z606" s="98" t="str">
        <f t="shared" si="236"/>
        <v/>
      </c>
      <c r="AA606" s="81" t="str">
        <f t="shared" si="242"/>
        <v/>
      </c>
      <c r="AC606" s="139"/>
      <c r="AD606" s="110" t="str">
        <f t="shared" si="243"/>
        <v/>
      </c>
      <c r="AE606" s="111" t="str">
        <f t="shared" si="244"/>
        <v/>
      </c>
      <c r="AF606" s="111" t="str">
        <f t="shared" si="237"/>
        <v/>
      </c>
      <c r="AG606" s="111" t="str">
        <f t="shared" si="245"/>
        <v/>
      </c>
      <c r="AH606" s="111" t="str">
        <f t="shared" si="246"/>
        <v/>
      </c>
      <c r="AI606" s="112" t="str">
        <f t="shared" si="247"/>
        <v/>
      </c>
      <c r="AJ606" t="str">
        <f t="shared" si="248"/>
        <v/>
      </c>
      <c r="AK606" t="str">
        <f t="shared" si="249"/>
        <v/>
      </c>
    </row>
    <row r="607" spans="1:37" ht="15" customHeight="1" x14ac:dyDescent="0.25">
      <c r="A607" s="114"/>
      <c r="B607" s="116"/>
      <c r="C607" s="116"/>
      <c r="D607" s="42" t="str">
        <f t="shared" si="225"/>
        <v/>
      </c>
      <c r="E607" s="43"/>
      <c r="F607" s="83"/>
      <c r="G607" s="118"/>
      <c r="H607" s="34" t="str">
        <f t="shared" si="226"/>
        <v/>
      </c>
      <c r="I607" s="88" t="str">
        <f t="shared" si="227"/>
        <v/>
      </c>
      <c r="J607" s="44" t="str">
        <f t="shared" si="228"/>
        <v/>
      </c>
      <c r="K607" s="118"/>
      <c r="L607" s="34" t="str">
        <f t="shared" si="229"/>
        <v/>
      </c>
      <c r="M607" s="118"/>
      <c r="N607" s="121"/>
      <c r="O607" s="122" t="str">
        <f t="shared" si="238"/>
        <v/>
      </c>
      <c r="P607" s="35" t="str">
        <f t="shared" si="239"/>
        <v/>
      </c>
      <c r="Q607" s="124"/>
      <c r="R607" s="36" t="str">
        <f t="shared" si="240"/>
        <v/>
      </c>
      <c r="S607" s="37" t="str">
        <f t="shared" si="230"/>
        <v/>
      </c>
      <c r="T607" s="38" t="str">
        <f t="shared" si="231"/>
        <v/>
      </c>
      <c r="U607" s="39" t="str">
        <f t="shared" si="232"/>
        <v/>
      </c>
      <c r="V607" s="40" t="str">
        <f t="shared" si="233"/>
        <v/>
      </c>
      <c r="W607" s="39" t="str">
        <f t="shared" si="234"/>
        <v/>
      </c>
      <c r="X607" s="34" t="str">
        <f t="shared" si="235"/>
        <v/>
      </c>
      <c r="Y607" s="41" t="str">
        <f t="shared" si="241"/>
        <v/>
      </c>
      <c r="Z607" s="98" t="str">
        <f t="shared" si="236"/>
        <v/>
      </c>
      <c r="AA607" s="81" t="str">
        <f t="shared" si="242"/>
        <v/>
      </c>
      <c r="AC607" s="139"/>
      <c r="AD607" s="110" t="str">
        <f t="shared" si="243"/>
        <v/>
      </c>
      <c r="AE607" s="111" t="str">
        <f t="shared" si="244"/>
        <v/>
      </c>
      <c r="AF607" s="111" t="str">
        <f t="shared" si="237"/>
        <v/>
      </c>
      <c r="AG607" s="111" t="str">
        <f t="shared" si="245"/>
        <v/>
      </c>
      <c r="AH607" s="111" t="str">
        <f t="shared" si="246"/>
        <v/>
      </c>
      <c r="AI607" s="112" t="str">
        <f t="shared" si="247"/>
        <v/>
      </c>
      <c r="AJ607" t="str">
        <f t="shared" si="248"/>
        <v/>
      </c>
      <c r="AK607" t="str">
        <f t="shared" si="249"/>
        <v/>
      </c>
    </row>
    <row r="608" spans="1:37" ht="15" customHeight="1" x14ac:dyDescent="0.25">
      <c r="A608" s="114"/>
      <c r="B608" s="116"/>
      <c r="C608" s="116"/>
      <c r="D608" s="42" t="str">
        <f t="shared" si="225"/>
        <v/>
      </c>
      <c r="E608" s="43"/>
      <c r="F608" s="83"/>
      <c r="G608" s="118"/>
      <c r="H608" s="34" t="str">
        <f t="shared" si="226"/>
        <v/>
      </c>
      <c r="I608" s="88" t="str">
        <f t="shared" si="227"/>
        <v/>
      </c>
      <c r="J608" s="44" t="str">
        <f t="shared" si="228"/>
        <v/>
      </c>
      <c r="K608" s="118"/>
      <c r="L608" s="34" t="str">
        <f t="shared" si="229"/>
        <v/>
      </c>
      <c r="M608" s="118"/>
      <c r="N608" s="121"/>
      <c r="O608" s="122" t="str">
        <f t="shared" si="238"/>
        <v/>
      </c>
      <c r="P608" s="35" t="str">
        <f t="shared" si="239"/>
        <v/>
      </c>
      <c r="Q608" s="124"/>
      <c r="R608" s="36" t="str">
        <f t="shared" si="240"/>
        <v/>
      </c>
      <c r="S608" s="37" t="str">
        <f t="shared" si="230"/>
        <v/>
      </c>
      <c r="T608" s="38" t="str">
        <f t="shared" si="231"/>
        <v/>
      </c>
      <c r="U608" s="39" t="str">
        <f t="shared" si="232"/>
        <v/>
      </c>
      <c r="V608" s="40" t="str">
        <f t="shared" si="233"/>
        <v/>
      </c>
      <c r="W608" s="39" t="str">
        <f t="shared" si="234"/>
        <v/>
      </c>
      <c r="X608" s="34" t="str">
        <f t="shared" si="235"/>
        <v/>
      </c>
      <c r="Y608" s="41" t="str">
        <f t="shared" si="241"/>
        <v/>
      </c>
      <c r="Z608" s="98" t="str">
        <f t="shared" si="236"/>
        <v/>
      </c>
      <c r="AA608" s="81" t="str">
        <f t="shared" si="242"/>
        <v/>
      </c>
      <c r="AC608" s="139"/>
      <c r="AD608" s="110" t="str">
        <f t="shared" si="243"/>
        <v/>
      </c>
      <c r="AE608" s="111" t="str">
        <f t="shared" si="244"/>
        <v/>
      </c>
      <c r="AF608" s="111" t="str">
        <f t="shared" si="237"/>
        <v/>
      </c>
      <c r="AG608" s="111" t="str">
        <f t="shared" si="245"/>
        <v/>
      </c>
      <c r="AH608" s="111" t="str">
        <f t="shared" si="246"/>
        <v/>
      </c>
      <c r="AI608" s="112" t="str">
        <f t="shared" si="247"/>
        <v/>
      </c>
      <c r="AJ608" t="str">
        <f t="shared" si="248"/>
        <v/>
      </c>
      <c r="AK608" t="str">
        <f t="shared" si="249"/>
        <v/>
      </c>
    </row>
    <row r="609" spans="1:37" ht="15" customHeight="1" x14ac:dyDescent="0.25">
      <c r="A609" s="114"/>
      <c r="B609" s="116"/>
      <c r="C609" s="116"/>
      <c r="D609" s="42" t="str">
        <f t="shared" si="225"/>
        <v/>
      </c>
      <c r="E609" s="43"/>
      <c r="F609" s="83"/>
      <c r="G609" s="118"/>
      <c r="H609" s="34" t="str">
        <f t="shared" si="226"/>
        <v/>
      </c>
      <c r="I609" s="88" t="str">
        <f t="shared" si="227"/>
        <v/>
      </c>
      <c r="J609" s="44" t="str">
        <f t="shared" si="228"/>
        <v/>
      </c>
      <c r="K609" s="118"/>
      <c r="L609" s="34" t="str">
        <f t="shared" si="229"/>
        <v/>
      </c>
      <c r="M609" s="118"/>
      <c r="N609" s="121"/>
      <c r="O609" s="122" t="str">
        <f t="shared" si="238"/>
        <v/>
      </c>
      <c r="P609" s="35" t="str">
        <f t="shared" si="239"/>
        <v/>
      </c>
      <c r="Q609" s="124"/>
      <c r="R609" s="36" t="str">
        <f t="shared" si="240"/>
        <v/>
      </c>
      <c r="S609" s="37" t="str">
        <f t="shared" si="230"/>
        <v/>
      </c>
      <c r="T609" s="38" t="str">
        <f t="shared" si="231"/>
        <v/>
      </c>
      <c r="U609" s="39" t="str">
        <f t="shared" si="232"/>
        <v/>
      </c>
      <c r="V609" s="40" t="str">
        <f t="shared" si="233"/>
        <v/>
      </c>
      <c r="W609" s="39" t="str">
        <f t="shared" si="234"/>
        <v/>
      </c>
      <c r="X609" s="34" t="str">
        <f t="shared" si="235"/>
        <v/>
      </c>
      <c r="Y609" s="41" t="str">
        <f t="shared" si="241"/>
        <v/>
      </c>
      <c r="Z609" s="98" t="str">
        <f t="shared" si="236"/>
        <v/>
      </c>
      <c r="AA609" s="81" t="str">
        <f t="shared" si="242"/>
        <v/>
      </c>
      <c r="AC609" s="139"/>
      <c r="AD609" s="110" t="str">
        <f t="shared" si="243"/>
        <v/>
      </c>
      <c r="AE609" s="111" t="str">
        <f t="shared" si="244"/>
        <v/>
      </c>
      <c r="AF609" s="111" t="str">
        <f t="shared" si="237"/>
        <v/>
      </c>
      <c r="AG609" s="111" t="str">
        <f t="shared" si="245"/>
        <v/>
      </c>
      <c r="AH609" s="111" t="str">
        <f t="shared" si="246"/>
        <v/>
      </c>
      <c r="AI609" s="112" t="str">
        <f t="shared" si="247"/>
        <v/>
      </c>
      <c r="AJ609" t="str">
        <f t="shared" si="248"/>
        <v/>
      </c>
      <c r="AK609" t="str">
        <f t="shared" si="249"/>
        <v/>
      </c>
    </row>
    <row r="610" spans="1:37" ht="15" customHeight="1" x14ac:dyDescent="0.25">
      <c r="A610" s="114"/>
      <c r="B610" s="116"/>
      <c r="C610" s="116"/>
      <c r="D610" s="42" t="str">
        <f t="shared" si="225"/>
        <v/>
      </c>
      <c r="E610" s="43"/>
      <c r="F610" s="83"/>
      <c r="G610" s="118"/>
      <c r="H610" s="34" t="str">
        <f t="shared" si="226"/>
        <v/>
      </c>
      <c r="I610" s="88" t="str">
        <f t="shared" si="227"/>
        <v/>
      </c>
      <c r="J610" s="44" t="str">
        <f t="shared" si="228"/>
        <v/>
      </c>
      <c r="K610" s="118"/>
      <c r="L610" s="34" t="str">
        <f t="shared" si="229"/>
        <v/>
      </c>
      <c r="M610" s="118"/>
      <c r="N610" s="121"/>
      <c r="O610" s="122" t="str">
        <f t="shared" si="238"/>
        <v/>
      </c>
      <c r="P610" s="35" t="str">
        <f t="shared" si="239"/>
        <v/>
      </c>
      <c r="Q610" s="124"/>
      <c r="R610" s="36" t="str">
        <f t="shared" si="240"/>
        <v/>
      </c>
      <c r="S610" s="37" t="str">
        <f t="shared" si="230"/>
        <v/>
      </c>
      <c r="T610" s="38" t="str">
        <f t="shared" si="231"/>
        <v/>
      </c>
      <c r="U610" s="39" t="str">
        <f t="shared" si="232"/>
        <v/>
      </c>
      <c r="V610" s="40" t="str">
        <f t="shared" si="233"/>
        <v/>
      </c>
      <c r="W610" s="39" t="str">
        <f t="shared" si="234"/>
        <v/>
      </c>
      <c r="X610" s="34" t="str">
        <f t="shared" si="235"/>
        <v/>
      </c>
      <c r="Y610" s="41" t="str">
        <f t="shared" si="241"/>
        <v/>
      </c>
      <c r="Z610" s="98" t="str">
        <f t="shared" si="236"/>
        <v/>
      </c>
      <c r="AA610" s="81" t="str">
        <f t="shared" si="242"/>
        <v/>
      </c>
      <c r="AC610" s="139"/>
      <c r="AD610" s="110" t="str">
        <f t="shared" si="243"/>
        <v/>
      </c>
      <c r="AE610" s="111" t="str">
        <f t="shared" si="244"/>
        <v/>
      </c>
      <c r="AF610" s="111" t="str">
        <f t="shared" si="237"/>
        <v/>
      </c>
      <c r="AG610" s="111" t="str">
        <f t="shared" si="245"/>
        <v/>
      </c>
      <c r="AH610" s="111" t="str">
        <f t="shared" si="246"/>
        <v/>
      </c>
      <c r="AI610" s="112" t="str">
        <f t="shared" si="247"/>
        <v/>
      </c>
      <c r="AJ610" t="str">
        <f t="shared" si="248"/>
        <v/>
      </c>
      <c r="AK610" t="str">
        <f t="shared" si="249"/>
        <v/>
      </c>
    </row>
    <row r="611" spans="1:37" ht="15" customHeight="1" x14ac:dyDescent="0.25">
      <c r="A611" s="114"/>
      <c r="B611" s="116"/>
      <c r="C611" s="116"/>
      <c r="D611" s="42" t="str">
        <f t="shared" si="225"/>
        <v/>
      </c>
      <c r="E611" s="43"/>
      <c r="F611" s="83"/>
      <c r="G611" s="118"/>
      <c r="H611" s="34" t="str">
        <f t="shared" si="226"/>
        <v/>
      </c>
      <c r="I611" s="88" t="str">
        <f t="shared" si="227"/>
        <v/>
      </c>
      <c r="J611" s="44" t="str">
        <f t="shared" si="228"/>
        <v/>
      </c>
      <c r="K611" s="118"/>
      <c r="L611" s="34" t="str">
        <f t="shared" si="229"/>
        <v/>
      </c>
      <c r="M611" s="118"/>
      <c r="N611" s="121"/>
      <c r="O611" s="122" t="str">
        <f t="shared" si="238"/>
        <v/>
      </c>
      <c r="P611" s="35" t="str">
        <f t="shared" si="239"/>
        <v/>
      </c>
      <c r="Q611" s="124"/>
      <c r="R611" s="36" t="str">
        <f t="shared" si="240"/>
        <v/>
      </c>
      <c r="S611" s="37" t="str">
        <f t="shared" si="230"/>
        <v/>
      </c>
      <c r="T611" s="38" t="str">
        <f t="shared" si="231"/>
        <v/>
      </c>
      <c r="U611" s="39" t="str">
        <f t="shared" si="232"/>
        <v/>
      </c>
      <c r="V611" s="40" t="str">
        <f t="shared" si="233"/>
        <v/>
      </c>
      <c r="W611" s="39" t="str">
        <f t="shared" si="234"/>
        <v/>
      </c>
      <c r="X611" s="34" t="str">
        <f t="shared" si="235"/>
        <v/>
      </c>
      <c r="Y611" s="41" t="str">
        <f t="shared" si="241"/>
        <v/>
      </c>
      <c r="Z611" s="98" t="str">
        <f t="shared" si="236"/>
        <v/>
      </c>
      <c r="AA611" s="81" t="str">
        <f t="shared" si="242"/>
        <v/>
      </c>
      <c r="AC611" s="139"/>
      <c r="AD611" s="110" t="str">
        <f t="shared" si="243"/>
        <v/>
      </c>
      <c r="AE611" s="111" t="str">
        <f t="shared" si="244"/>
        <v/>
      </c>
      <c r="AF611" s="111" t="str">
        <f t="shared" si="237"/>
        <v/>
      </c>
      <c r="AG611" s="111" t="str">
        <f t="shared" si="245"/>
        <v/>
      </c>
      <c r="AH611" s="111" t="str">
        <f t="shared" si="246"/>
        <v/>
      </c>
      <c r="AI611" s="112" t="str">
        <f t="shared" si="247"/>
        <v/>
      </c>
      <c r="AJ611" t="str">
        <f t="shared" si="248"/>
        <v/>
      </c>
      <c r="AK611" t="str">
        <f t="shared" si="249"/>
        <v/>
      </c>
    </row>
    <row r="612" spans="1:37" ht="15" customHeight="1" x14ac:dyDescent="0.25">
      <c r="A612" s="114"/>
      <c r="B612" s="116"/>
      <c r="C612" s="116"/>
      <c r="D612" s="42" t="str">
        <f t="shared" si="225"/>
        <v/>
      </c>
      <c r="E612" s="43"/>
      <c r="F612" s="83"/>
      <c r="G612" s="118"/>
      <c r="H612" s="34" t="str">
        <f t="shared" si="226"/>
        <v/>
      </c>
      <c r="I612" s="88" t="str">
        <f t="shared" si="227"/>
        <v/>
      </c>
      <c r="J612" s="44" t="str">
        <f t="shared" si="228"/>
        <v/>
      </c>
      <c r="K612" s="118"/>
      <c r="L612" s="34" t="str">
        <f t="shared" si="229"/>
        <v/>
      </c>
      <c r="M612" s="118"/>
      <c r="N612" s="121"/>
      <c r="O612" s="122" t="str">
        <f t="shared" si="238"/>
        <v/>
      </c>
      <c r="P612" s="35" t="str">
        <f t="shared" si="239"/>
        <v/>
      </c>
      <c r="Q612" s="124"/>
      <c r="R612" s="36" t="str">
        <f t="shared" si="240"/>
        <v/>
      </c>
      <c r="S612" s="37" t="str">
        <f t="shared" si="230"/>
        <v/>
      </c>
      <c r="T612" s="38" t="str">
        <f t="shared" si="231"/>
        <v/>
      </c>
      <c r="U612" s="39" t="str">
        <f t="shared" si="232"/>
        <v/>
      </c>
      <c r="V612" s="40" t="str">
        <f t="shared" si="233"/>
        <v/>
      </c>
      <c r="W612" s="39" t="str">
        <f t="shared" si="234"/>
        <v/>
      </c>
      <c r="X612" s="34" t="str">
        <f t="shared" si="235"/>
        <v/>
      </c>
      <c r="Y612" s="41" t="str">
        <f t="shared" si="241"/>
        <v/>
      </c>
      <c r="Z612" s="98" t="str">
        <f t="shared" si="236"/>
        <v/>
      </c>
      <c r="AA612" s="81" t="str">
        <f t="shared" si="242"/>
        <v/>
      </c>
      <c r="AC612" s="139"/>
      <c r="AD612" s="110" t="str">
        <f t="shared" si="243"/>
        <v/>
      </c>
      <c r="AE612" s="111" t="str">
        <f t="shared" si="244"/>
        <v/>
      </c>
      <c r="AF612" s="111" t="str">
        <f t="shared" si="237"/>
        <v/>
      </c>
      <c r="AG612" s="111" t="str">
        <f t="shared" si="245"/>
        <v/>
      </c>
      <c r="AH612" s="111" t="str">
        <f t="shared" si="246"/>
        <v/>
      </c>
      <c r="AI612" s="112" t="str">
        <f t="shared" si="247"/>
        <v/>
      </c>
      <c r="AJ612" t="str">
        <f t="shared" si="248"/>
        <v/>
      </c>
      <c r="AK612" t="str">
        <f t="shared" si="249"/>
        <v/>
      </c>
    </row>
    <row r="613" spans="1:37" ht="15" customHeight="1" x14ac:dyDescent="0.25">
      <c r="A613" s="114"/>
      <c r="B613" s="116"/>
      <c r="C613" s="116"/>
      <c r="D613" s="42" t="str">
        <f t="shared" si="225"/>
        <v/>
      </c>
      <c r="E613" s="43"/>
      <c r="F613" s="83"/>
      <c r="G613" s="118"/>
      <c r="H613" s="34" t="str">
        <f t="shared" si="226"/>
        <v/>
      </c>
      <c r="I613" s="88" t="str">
        <f t="shared" si="227"/>
        <v/>
      </c>
      <c r="J613" s="44" t="str">
        <f t="shared" si="228"/>
        <v/>
      </c>
      <c r="K613" s="118"/>
      <c r="L613" s="34" t="str">
        <f t="shared" si="229"/>
        <v/>
      </c>
      <c r="M613" s="118"/>
      <c r="N613" s="121"/>
      <c r="O613" s="122" t="str">
        <f t="shared" si="238"/>
        <v/>
      </c>
      <c r="P613" s="35" t="str">
        <f t="shared" si="239"/>
        <v/>
      </c>
      <c r="Q613" s="124"/>
      <c r="R613" s="36" t="str">
        <f t="shared" si="240"/>
        <v/>
      </c>
      <c r="S613" s="37" t="str">
        <f t="shared" si="230"/>
        <v/>
      </c>
      <c r="T613" s="38" t="str">
        <f t="shared" si="231"/>
        <v/>
      </c>
      <c r="U613" s="39" t="str">
        <f t="shared" si="232"/>
        <v/>
      </c>
      <c r="V613" s="40" t="str">
        <f t="shared" si="233"/>
        <v/>
      </c>
      <c r="W613" s="39" t="str">
        <f t="shared" si="234"/>
        <v/>
      </c>
      <c r="X613" s="34" t="str">
        <f t="shared" si="235"/>
        <v/>
      </c>
      <c r="Y613" s="41" t="str">
        <f t="shared" si="241"/>
        <v/>
      </c>
      <c r="Z613" s="98" t="str">
        <f t="shared" si="236"/>
        <v/>
      </c>
      <c r="AA613" s="81" t="str">
        <f t="shared" si="242"/>
        <v/>
      </c>
      <c r="AC613" s="139"/>
      <c r="AD613" s="110" t="str">
        <f t="shared" si="243"/>
        <v/>
      </c>
      <c r="AE613" s="111" t="str">
        <f t="shared" si="244"/>
        <v/>
      </c>
      <c r="AF613" s="111" t="str">
        <f t="shared" si="237"/>
        <v/>
      </c>
      <c r="AG613" s="111" t="str">
        <f t="shared" si="245"/>
        <v/>
      </c>
      <c r="AH613" s="111" t="str">
        <f t="shared" si="246"/>
        <v/>
      </c>
      <c r="AI613" s="112" t="str">
        <f t="shared" si="247"/>
        <v/>
      </c>
      <c r="AJ613" t="str">
        <f t="shared" si="248"/>
        <v/>
      </c>
      <c r="AK613" t="str">
        <f t="shared" si="249"/>
        <v/>
      </c>
    </row>
    <row r="614" spans="1:37" ht="15" customHeight="1" x14ac:dyDescent="0.25">
      <c r="A614" s="114"/>
      <c r="B614" s="116"/>
      <c r="C614" s="116"/>
      <c r="D614" s="42" t="str">
        <f t="shared" si="225"/>
        <v/>
      </c>
      <c r="E614" s="43"/>
      <c r="F614" s="83"/>
      <c r="G614" s="118"/>
      <c r="H614" s="34" t="str">
        <f t="shared" si="226"/>
        <v/>
      </c>
      <c r="I614" s="88" t="str">
        <f t="shared" si="227"/>
        <v/>
      </c>
      <c r="J614" s="44" t="str">
        <f t="shared" si="228"/>
        <v/>
      </c>
      <c r="K614" s="118"/>
      <c r="L614" s="34" t="str">
        <f t="shared" si="229"/>
        <v/>
      </c>
      <c r="M614" s="118"/>
      <c r="N614" s="121"/>
      <c r="O614" s="122" t="str">
        <f t="shared" si="238"/>
        <v/>
      </c>
      <c r="P614" s="35" t="str">
        <f t="shared" si="239"/>
        <v/>
      </c>
      <c r="Q614" s="124"/>
      <c r="R614" s="36" t="str">
        <f t="shared" si="240"/>
        <v/>
      </c>
      <c r="S614" s="37" t="str">
        <f t="shared" si="230"/>
        <v/>
      </c>
      <c r="T614" s="38" t="str">
        <f t="shared" si="231"/>
        <v/>
      </c>
      <c r="U614" s="39" t="str">
        <f t="shared" si="232"/>
        <v/>
      </c>
      <c r="V614" s="40" t="str">
        <f t="shared" si="233"/>
        <v/>
      </c>
      <c r="W614" s="39" t="str">
        <f t="shared" si="234"/>
        <v/>
      </c>
      <c r="X614" s="34" t="str">
        <f t="shared" si="235"/>
        <v/>
      </c>
      <c r="Y614" s="41" t="str">
        <f t="shared" si="241"/>
        <v/>
      </c>
      <c r="Z614" s="98" t="str">
        <f t="shared" si="236"/>
        <v/>
      </c>
      <c r="AA614" s="81" t="str">
        <f t="shared" si="242"/>
        <v/>
      </c>
      <c r="AC614" s="139"/>
      <c r="AD614" s="110" t="str">
        <f t="shared" si="243"/>
        <v/>
      </c>
      <c r="AE614" s="111" t="str">
        <f t="shared" si="244"/>
        <v/>
      </c>
      <c r="AF614" s="111" t="str">
        <f t="shared" si="237"/>
        <v/>
      </c>
      <c r="AG614" s="111" t="str">
        <f t="shared" si="245"/>
        <v/>
      </c>
      <c r="AH614" s="111" t="str">
        <f t="shared" si="246"/>
        <v/>
      </c>
      <c r="AI614" s="112" t="str">
        <f t="shared" si="247"/>
        <v/>
      </c>
      <c r="AJ614" t="str">
        <f t="shared" si="248"/>
        <v/>
      </c>
      <c r="AK614" t="str">
        <f t="shared" si="249"/>
        <v/>
      </c>
    </row>
    <row r="615" spans="1:37" ht="15" customHeight="1" x14ac:dyDescent="0.25">
      <c r="A615" s="114"/>
      <c r="B615" s="116"/>
      <c r="C615" s="116"/>
      <c r="D615" s="42" t="str">
        <f t="shared" si="225"/>
        <v/>
      </c>
      <c r="E615" s="43"/>
      <c r="F615" s="83"/>
      <c r="G615" s="118"/>
      <c r="H615" s="34" t="str">
        <f t="shared" si="226"/>
        <v/>
      </c>
      <c r="I615" s="88" t="str">
        <f t="shared" si="227"/>
        <v/>
      </c>
      <c r="J615" s="44" t="str">
        <f t="shared" si="228"/>
        <v/>
      </c>
      <c r="K615" s="118"/>
      <c r="L615" s="34" t="str">
        <f t="shared" si="229"/>
        <v/>
      </c>
      <c r="M615" s="118"/>
      <c r="N615" s="121"/>
      <c r="O615" s="122" t="str">
        <f t="shared" si="238"/>
        <v/>
      </c>
      <c r="P615" s="35" t="str">
        <f t="shared" si="239"/>
        <v/>
      </c>
      <c r="Q615" s="124"/>
      <c r="R615" s="36" t="str">
        <f t="shared" si="240"/>
        <v/>
      </c>
      <c r="S615" s="37" t="str">
        <f t="shared" si="230"/>
        <v/>
      </c>
      <c r="T615" s="38" t="str">
        <f t="shared" si="231"/>
        <v/>
      </c>
      <c r="U615" s="39" t="str">
        <f t="shared" si="232"/>
        <v/>
      </c>
      <c r="V615" s="40" t="str">
        <f t="shared" si="233"/>
        <v/>
      </c>
      <c r="W615" s="39" t="str">
        <f t="shared" si="234"/>
        <v/>
      </c>
      <c r="X615" s="34" t="str">
        <f t="shared" si="235"/>
        <v/>
      </c>
      <c r="Y615" s="41" t="str">
        <f t="shared" si="241"/>
        <v/>
      </c>
      <c r="Z615" s="98" t="str">
        <f t="shared" si="236"/>
        <v/>
      </c>
      <c r="AA615" s="81" t="str">
        <f t="shared" si="242"/>
        <v/>
      </c>
      <c r="AC615" s="139"/>
      <c r="AD615" s="110" t="str">
        <f t="shared" si="243"/>
        <v/>
      </c>
      <c r="AE615" s="111" t="str">
        <f t="shared" si="244"/>
        <v/>
      </c>
      <c r="AF615" s="111" t="str">
        <f t="shared" si="237"/>
        <v/>
      </c>
      <c r="AG615" s="111" t="str">
        <f t="shared" si="245"/>
        <v/>
      </c>
      <c r="AH615" s="111" t="str">
        <f t="shared" si="246"/>
        <v/>
      </c>
      <c r="AI615" s="112" t="str">
        <f t="shared" si="247"/>
        <v/>
      </c>
      <c r="AJ615" t="str">
        <f t="shared" si="248"/>
        <v/>
      </c>
      <c r="AK615" t="str">
        <f t="shared" si="249"/>
        <v/>
      </c>
    </row>
    <row r="616" spans="1:37" ht="15" customHeight="1" x14ac:dyDescent="0.25">
      <c r="A616" s="114"/>
      <c r="B616" s="116"/>
      <c r="C616" s="116"/>
      <c r="D616" s="42" t="str">
        <f t="shared" si="225"/>
        <v/>
      </c>
      <c r="E616" s="43"/>
      <c r="F616" s="83"/>
      <c r="G616" s="118"/>
      <c r="H616" s="34" t="str">
        <f t="shared" si="226"/>
        <v/>
      </c>
      <c r="I616" s="88" t="str">
        <f t="shared" si="227"/>
        <v/>
      </c>
      <c r="J616" s="44" t="str">
        <f t="shared" si="228"/>
        <v/>
      </c>
      <c r="K616" s="118"/>
      <c r="L616" s="34" t="str">
        <f t="shared" si="229"/>
        <v/>
      </c>
      <c r="M616" s="118"/>
      <c r="N616" s="121"/>
      <c r="O616" s="122" t="str">
        <f t="shared" si="238"/>
        <v/>
      </c>
      <c r="P616" s="35" t="str">
        <f t="shared" si="239"/>
        <v/>
      </c>
      <c r="Q616" s="124"/>
      <c r="R616" s="36" t="str">
        <f t="shared" si="240"/>
        <v/>
      </c>
      <c r="S616" s="37" t="str">
        <f t="shared" si="230"/>
        <v/>
      </c>
      <c r="T616" s="38" t="str">
        <f t="shared" si="231"/>
        <v/>
      </c>
      <c r="U616" s="39" t="str">
        <f t="shared" si="232"/>
        <v/>
      </c>
      <c r="V616" s="40" t="str">
        <f t="shared" si="233"/>
        <v/>
      </c>
      <c r="W616" s="39" t="str">
        <f t="shared" si="234"/>
        <v/>
      </c>
      <c r="X616" s="34" t="str">
        <f t="shared" si="235"/>
        <v/>
      </c>
      <c r="Y616" s="41" t="str">
        <f t="shared" si="241"/>
        <v/>
      </c>
      <c r="Z616" s="98" t="str">
        <f t="shared" si="236"/>
        <v/>
      </c>
      <c r="AA616" s="81" t="str">
        <f t="shared" si="242"/>
        <v/>
      </c>
      <c r="AC616" s="139"/>
      <c r="AD616" s="110" t="str">
        <f t="shared" si="243"/>
        <v/>
      </c>
      <c r="AE616" s="111" t="str">
        <f t="shared" si="244"/>
        <v/>
      </c>
      <c r="AF616" s="111" t="str">
        <f t="shared" si="237"/>
        <v/>
      </c>
      <c r="AG616" s="111" t="str">
        <f t="shared" si="245"/>
        <v/>
      </c>
      <c r="AH616" s="111" t="str">
        <f t="shared" si="246"/>
        <v/>
      </c>
      <c r="AI616" s="112" t="str">
        <f t="shared" si="247"/>
        <v/>
      </c>
      <c r="AJ616" t="str">
        <f t="shared" si="248"/>
        <v/>
      </c>
      <c r="AK616" t="str">
        <f t="shared" si="249"/>
        <v/>
      </c>
    </row>
    <row r="617" spans="1:37" ht="15" customHeight="1" x14ac:dyDescent="0.25">
      <c r="A617" s="114"/>
      <c r="B617" s="116"/>
      <c r="C617" s="116"/>
      <c r="D617" s="42" t="str">
        <f t="shared" si="225"/>
        <v/>
      </c>
      <c r="E617" s="43"/>
      <c r="F617" s="83"/>
      <c r="G617" s="118"/>
      <c r="H617" s="34" t="str">
        <f t="shared" si="226"/>
        <v/>
      </c>
      <c r="I617" s="88" t="str">
        <f t="shared" si="227"/>
        <v/>
      </c>
      <c r="J617" s="44" t="str">
        <f t="shared" si="228"/>
        <v/>
      </c>
      <c r="K617" s="118"/>
      <c r="L617" s="34" t="str">
        <f t="shared" si="229"/>
        <v/>
      </c>
      <c r="M617" s="118"/>
      <c r="N617" s="121"/>
      <c r="O617" s="122" t="str">
        <f t="shared" si="238"/>
        <v/>
      </c>
      <c r="P617" s="35" t="str">
        <f t="shared" si="239"/>
        <v/>
      </c>
      <c r="Q617" s="124"/>
      <c r="R617" s="36" t="str">
        <f t="shared" si="240"/>
        <v/>
      </c>
      <c r="S617" s="37" t="str">
        <f t="shared" si="230"/>
        <v/>
      </c>
      <c r="T617" s="38" t="str">
        <f t="shared" si="231"/>
        <v/>
      </c>
      <c r="U617" s="39" t="str">
        <f t="shared" si="232"/>
        <v/>
      </c>
      <c r="V617" s="40" t="str">
        <f t="shared" si="233"/>
        <v/>
      </c>
      <c r="W617" s="39" t="str">
        <f t="shared" si="234"/>
        <v/>
      </c>
      <c r="X617" s="34" t="str">
        <f t="shared" si="235"/>
        <v/>
      </c>
      <c r="Y617" s="41" t="str">
        <f t="shared" si="241"/>
        <v/>
      </c>
      <c r="Z617" s="98" t="str">
        <f t="shared" si="236"/>
        <v/>
      </c>
      <c r="AA617" s="81" t="str">
        <f t="shared" si="242"/>
        <v/>
      </c>
      <c r="AC617" s="139"/>
      <c r="AD617" s="110" t="str">
        <f t="shared" si="243"/>
        <v/>
      </c>
      <c r="AE617" s="111" t="str">
        <f t="shared" si="244"/>
        <v/>
      </c>
      <c r="AF617" s="111" t="str">
        <f t="shared" si="237"/>
        <v/>
      </c>
      <c r="AG617" s="111" t="str">
        <f t="shared" si="245"/>
        <v/>
      </c>
      <c r="AH617" s="111" t="str">
        <f t="shared" si="246"/>
        <v/>
      </c>
      <c r="AI617" s="112" t="str">
        <f t="shared" si="247"/>
        <v/>
      </c>
      <c r="AJ617" t="str">
        <f t="shared" si="248"/>
        <v/>
      </c>
      <c r="AK617" t="str">
        <f t="shared" si="249"/>
        <v/>
      </c>
    </row>
    <row r="618" spans="1:37" ht="15" customHeight="1" x14ac:dyDescent="0.25">
      <c r="A618" s="114"/>
      <c r="B618" s="116"/>
      <c r="C618" s="116"/>
      <c r="D618" s="42" t="str">
        <f t="shared" si="225"/>
        <v/>
      </c>
      <c r="E618" s="43"/>
      <c r="F618" s="83"/>
      <c r="G618" s="118"/>
      <c r="H618" s="34" t="str">
        <f t="shared" si="226"/>
        <v/>
      </c>
      <c r="I618" s="88" t="str">
        <f t="shared" si="227"/>
        <v/>
      </c>
      <c r="J618" s="44" t="str">
        <f t="shared" si="228"/>
        <v/>
      </c>
      <c r="K618" s="118"/>
      <c r="L618" s="34" t="str">
        <f t="shared" si="229"/>
        <v/>
      </c>
      <c r="M618" s="118"/>
      <c r="N618" s="121"/>
      <c r="O618" s="122" t="str">
        <f t="shared" si="238"/>
        <v/>
      </c>
      <c r="P618" s="35" t="str">
        <f t="shared" si="239"/>
        <v/>
      </c>
      <c r="Q618" s="124"/>
      <c r="R618" s="36" t="str">
        <f t="shared" si="240"/>
        <v/>
      </c>
      <c r="S618" s="37" t="str">
        <f t="shared" si="230"/>
        <v/>
      </c>
      <c r="T618" s="38" t="str">
        <f t="shared" si="231"/>
        <v/>
      </c>
      <c r="U618" s="39" t="str">
        <f t="shared" si="232"/>
        <v/>
      </c>
      <c r="V618" s="40" t="str">
        <f t="shared" si="233"/>
        <v/>
      </c>
      <c r="W618" s="39" t="str">
        <f t="shared" si="234"/>
        <v/>
      </c>
      <c r="X618" s="34" t="str">
        <f t="shared" si="235"/>
        <v/>
      </c>
      <c r="Y618" s="41" t="str">
        <f t="shared" si="241"/>
        <v/>
      </c>
      <c r="Z618" s="98" t="str">
        <f t="shared" si="236"/>
        <v/>
      </c>
      <c r="AA618" s="81" t="str">
        <f t="shared" si="242"/>
        <v/>
      </c>
      <c r="AC618" s="139"/>
      <c r="AD618" s="110" t="str">
        <f t="shared" si="243"/>
        <v/>
      </c>
      <c r="AE618" s="111" t="str">
        <f t="shared" si="244"/>
        <v/>
      </c>
      <c r="AF618" s="111" t="str">
        <f t="shared" si="237"/>
        <v/>
      </c>
      <c r="AG618" s="111" t="str">
        <f t="shared" si="245"/>
        <v/>
      </c>
      <c r="AH618" s="111" t="str">
        <f t="shared" si="246"/>
        <v/>
      </c>
      <c r="AI618" s="112" t="str">
        <f t="shared" si="247"/>
        <v/>
      </c>
      <c r="AJ618" t="str">
        <f t="shared" si="248"/>
        <v/>
      </c>
      <c r="AK618" t="str">
        <f t="shared" si="249"/>
        <v/>
      </c>
    </row>
    <row r="619" spans="1:37" ht="15" customHeight="1" x14ac:dyDescent="0.25">
      <c r="A619" s="114"/>
      <c r="B619" s="116"/>
      <c r="C619" s="116"/>
      <c r="D619" s="42" t="str">
        <f t="shared" si="225"/>
        <v/>
      </c>
      <c r="E619" s="43"/>
      <c r="F619" s="83"/>
      <c r="G619" s="118"/>
      <c r="H619" s="34" t="str">
        <f t="shared" si="226"/>
        <v/>
      </c>
      <c r="I619" s="88" t="str">
        <f t="shared" si="227"/>
        <v/>
      </c>
      <c r="J619" s="44" t="str">
        <f t="shared" si="228"/>
        <v/>
      </c>
      <c r="K619" s="118"/>
      <c r="L619" s="34" t="str">
        <f t="shared" si="229"/>
        <v/>
      </c>
      <c r="M619" s="118"/>
      <c r="N619" s="121"/>
      <c r="O619" s="122" t="str">
        <f t="shared" si="238"/>
        <v/>
      </c>
      <c r="P619" s="35" t="str">
        <f t="shared" si="239"/>
        <v/>
      </c>
      <c r="Q619" s="124"/>
      <c r="R619" s="36" t="str">
        <f t="shared" si="240"/>
        <v/>
      </c>
      <c r="S619" s="37" t="str">
        <f t="shared" si="230"/>
        <v/>
      </c>
      <c r="T619" s="38" t="str">
        <f t="shared" si="231"/>
        <v/>
      </c>
      <c r="U619" s="39" t="str">
        <f t="shared" si="232"/>
        <v/>
      </c>
      <c r="V619" s="40" t="str">
        <f t="shared" si="233"/>
        <v/>
      </c>
      <c r="W619" s="39" t="str">
        <f t="shared" si="234"/>
        <v/>
      </c>
      <c r="X619" s="34" t="str">
        <f t="shared" si="235"/>
        <v/>
      </c>
      <c r="Y619" s="41" t="str">
        <f t="shared" si="241"/>
        <v/>
      </c>
      <c r="Z619" s="98" t="str">
        <f t="shared" si="236"/>
        <v/>
      </c>
      <c r="AA619" s="81" t="str">
        <f t="shared" si="242"/>
        <v/>
      </c>
      <c r="AC619" s="139"/>
      <c r="AD619" s="110" t="str">
        <f t="shared" si="243"/>
        <v/>
      </c>
      <c r="AE619" s="111" t="str">
        <f t="shared" si="244"/>
        <v/>
      </c>
      <c r="AF619" s="111" t="str">
        <f t="shared" si="237"/>
        <v/>
      </c>
      <c r="AG619" s="111" t="str">
        <f t="shared" si="245"/>
        <v/>
      </c>
      <c r="AH619" s="111" t="str">
        <f t="shared" si="246"/>
        <v/>
      </c>
      <c r="AI619" s="112" t="str">
        <f t="shared" si="247"/>
        <v/>
      </c>
      <c r="AJ619" t="str">
        <f t="shared" si="248"/>
        <v/>
      </c>
      <c r="AK619" t="str">
        <f t="shared" si="249"/>
        <v/>
      </c>
    </row>
    <row r="620" spans="1:37" ht="15" customHeight="1" x14ac:dyDescent="0.25">
      <c r="A620" s="114"/>
      <c r="B620" s="116"/>
      <c r="C620" s="116"/>
      <c r="D620" s="42" t="str">
        <f t="shared" si="225"/>
        <v/>
      </c>
      <c r="E620" s="43"/>
      <c r="F620" s="83"/>
      <c r="G620" s="118"/>
      <c r="H620" s="34" t="str">
        <f t="shared" si="226"/>
        <v/>
      </c>
      <c r="I620" s="88" t="str">
        <f t="shared" si="227"/>
        <v/>
      </c>
      <c r="J620" s="44" t="str">
        <f t="shared" si="228"/>
        <v/>
      </c>
      <c r="K620" s="118"/>
      <c r="L620" s="34" t="str">
        <f t="shared" si="229"/>
        <v/>
      </c>
      <c r="M620" s="118"/>
      <c r="N620" s="121"/>
      <c r="O620" s="122" t="str">
        <f t="shared" si="238"/>
        <v/>
      </c>
      <c r="P620" s="35" t="str">
        <f t="shared" si="239"/>
        <v/>
      </c>
      <c r="Q620" s="124"/>
      <c r="R620" s="36" t="str">
        <f t="shared" si="240"/>
        <v/>
      </c>
      <c r="S620" s="37" t="str">
        <f t="shared" si="230"/>
        <v/>
      </c>
      <c r="T620" s="38" t="str">
        <f t="shared" si="231"/>
        <v/>
      </c>
      <c r="U620" s="39" t="str">
        <f t="shared" si="232"/>
        <v/>
      </c>
      <c r="V620" s="40" t="str">
        <f t="shared" si="233"/>
        <v/>
      </c>
      <c r="W620" s="39" t="str">
        <f t="shared" si="234"/>
        <v/>
      </c>
      <c r="X620" s="34" t="str">
        <f t="shared" si="235"/>
        <v/>
      </c>
      <c r="Y620" s="41" t="str">
        <f t="shared" si="241"/>
        <v/>
      </c>
      <c r="Z620" s="98" t="str">
        <f t="shared" si="236"/>
        <v/>
      </c>
      <c r="AA620" s="81" t="str">
        <f t="shared" si="242"/>
        <v/>
      </c>
      <c r="AC620" s="139"/>
      <c r="AD620" s="110" t="str">
        <f t="shared" si="243"/>
        <v/>
      </c>
      <c r="AE620" s="111" t="str">
        <f t="shared" si="244"/>
        <v/>
      </c>
      <c r="AF620" s="111" t="str">
        <f t="shared" si="237"/>
        <v/>
      </c>
      <c r="AG620" s="111" t="str">
        <f t="shared" si="245"/>
        <v/>
      </c>
      <c r="AH620" s="111" t="str">
        <f t="shared" si="246"/>
        <v/>
      </c>
      <c r="AI620" s="112" t="str">
        <f t="shared" si="247"/>
        <v/>
      </c>
      <c r="AJ620" t="str">
        <f t="shared" si="248"/>
        <v/>
      </c>
      <c r="AK620" t="str">
        <f t="shared" si="249"/>
        <v/>
      </c>
    </row>
    <row r="621" spans="1:37" ht="15" customHeight="1" x14ac:dyDescent="0.25">
      <c r="A621" s="114"/>
      <c r="B621" s="116"/>
      <c r="C621" s="116"/>
      <c r="D621" s="42" t="str">
        <f t="shared" si="225"/>
        <v/>
      </c>
      <c r="E621" s="43"/>
      <c r="F621" s="83"/>
      <c r="G621" s="118"/>
      <c r="H621" s="34" t="str">
        <f t="shared" si="226"/>
        <v/>
      </c>
      <c r="I621" s="88" t="str">
        <f t="shared" si="227"/>
        <v/>
      </c>
      <c r="J621" s="44" t="str">
        <f t="shared" si="228"/>
        <v/>
      </c>
      <c r="K621" s="118"/>
      <c r="L621" s="34" t="str">
        <f t="shared" si="229"/>
        <v/>
      </c>
      <c r="M621" s="118"/>
      <c r="N621" s="121"/>
      <c r="O621" s="122" t="str">
        <f t="shared" si="238"/>
        <v/>
      </c>
      <c r="P621" s="35" t="str">
        <f t="shared" si="239"/>
        <v/>
      </c>
      <c r="Q621" s="124"/>
      <c r="R621" s="36" t="str">
        <f t="shared" si="240"/>
        <v/>
      </c>
      <c r="S621" s="37" t="str">
        <f t="shared" si="230"/>
        <v/>
      </c>
      <c r="T621" s="38" t="str">
        <f t="shared" si="231"/>
        <v/>
      </c>
      <c r="U621" s="39" t="str">
        <f t="shared" si="232"/>
        <v/>
      </c>
      <c r="V621" s="40" t="str">
        <f t="shared" si="233"/>
        <v/>
      </c>
      <c r="W621" s="39" t="str">
        <f t="shared" si="234"/>
        <v/>
      </c>
      <c r="X621" s="34" t="str">
        <f t="shared" si="235"/>
        <v/>
      </c>
      <c r="Y621" s="41" t="str">
        <f t="shared" si="241"/>
        <v/>
      </c>
      <c r="Z621" s="98" t="str">
        <f t="shared" si="236"/>
        <v/>
      </c>
      <c r="AA621" s="81" t="str">
        <f t="shared" si="242"/>
        <v/>
      </c>
      <c r="AC621" s="139"/>
      <c r="AD621" s="110" t="str">
        <f t="shared" si="243"/>
        <v/>
      </c>
      <c r="AE621" s="111" t="str">
        <f t="shared" si="244"/>
        <v/>
      </c>
      <c r="AF621" s="111" t="str">
        <f t="shared" si="237"/>
        <v/>
      </c>
      <c r="AG621" s="111" t="str">
        <f t="shared" si="245"/>
        <v/>
      </c>
      <c r="AH621" s="111" t="str">
        <f t="shared" si="246"/>
        <v/>
      </c>
      <c r="AI621" s="112" t="str">
        <f t="shared" si="247"/>
        <v/>
      </c>
      <c r="AJ621" t="str">
        <f t="shared" si="248"/>
        <v/>
      </c>
      <c r="AK621" t="str">
        <f t="shared" si="249"/>
        <v/>
      </c>
    </row>
    <row r="622" spans="1:37" ht="15" customHeight="1" x14ac:dyDescent="0.25">
      <c r="A622" s="114"/>
      <c r="B622" s="116"/>
      <c r="C622" s="116"/>
      <c r="D622" s="42" t="str">
        <f t="shared" si="225"/>
        <v/>
      </c>
      <c r="E622" s="43"/>
      <c r="F622" s="83"/>
      <c r="G622" s="118"/>
      <c r="H622" s="34" t="str">
        <f t="shared" si="226"/>
        <v/>
      </c>
      <c r="I622" s="88" t="str">
        <f t="shared" si="227"/>
        <v/>
      </c>
      <c r="J622" s="44" t="str">
        <f t="shared" si="228"/>
        <v/>
      </c>
      <c r="K622" s="118"/>
      <c r="L622" s="34" t="str">
        <f t="shared" si="229"/>
        <v/>
      </c>
      <c r="M622" s="118"/>
      <c r="N622" s="121"/>
      <c r="O622" s="122" t="str">
        <f t="shared" si="238"/>
        <v/>
      </c>
      <c r="P622" s="35" t="str">
        <f t="shared" si="239"/>
        <v/>
      </c>
      <c r="Q622" s="124"/>
      <c r="R622" s="36" t="str">
        <f t="shared" si="240"/>
        <v/>
      </c>
      <c r="S622" s="37" t="str">
        <f t="shared" si="230"/>
        <v/>
      </c>
      <c r="T622" s="38" t="str">
        <f t="shared" si="231"/>
        <v/>
      </c>
      <c r="U622" s="39" t="str">
        <f t="shared" si="232"/>
        <v/>
      </c>
      <c r="V622" s="40" t="str">
        <f t="shared" si="233"/>
        <v/>
      </c>
      <c r="W622" s="39" t="str">
        <f t="shared" si="234"/>
        <v/>
      </c>
      <c r="X622" s="34" t="str">
        <f t="shared" si="235"/>
        <v/>
      </c>
      <c r="Y622" s="41" t="str">
        <f t="shared" si="241"/>
        <v/>
      </c>
      <c r="Z622" s="98" t="str">
        <f t="shared" si="236"/>
        <v/>
      </c>
      <c r="AA622" s="81" t="str">
        <f t="shared" si="242"/>
        <v/>
      </c>
      <c r="AC622" s="139"/>
      <c r="AD622" s="110" t="str">
        <f t="shared" si="243"/>
        <v/>
      </c>
      <c r="AE622" s="111" t="str">
        <f t="shared" si="244"/>
        <v/>
      </c>
      <c r="AF622" s="111" t="str">
        <f t="shared" si="237"/>
        <v/>
      </c>
      <c r="AG622" s="111" t="str">
        <f t="shared" si="245"/>
        <v/>
      </c>
      <c r="AH622" s="111" t="str">
        <f t="shared" si="246"/>
        <v/>
      </c>
      <c r="AI622" s="112" t="str">
        <f t="shared" si="247"/>
        <v/>
      </c>
      <c r="AJ622" t="str">
        <f t="shared" si="248"/>
        <v/>
      </c>
      <c r="AK622" t="str">
        <f t="shared" si="249"/>
        <v/>
      </c>
    </row>
    <row r="623" spans="1:37" ht="15" customHeight="1" x14ac:dyDescent="0.25">
      <c r="A623" s="114"/>
      <c r="B623" s="116"/>
      <c r="C623" s="116"/>
      <c r="D623" s="42" t="str">
        <f t="shared" si="225"/>
        <v/>
      </c>
      <c r="E623" s="43"/>
      <c r="F623" s="83"/>
      <c r="G623" s="118"/>
      <c r="H623" s="34" t="str">
        <f t="shared" si="226"/>
        <v/>
      </c>
      <c r="I623" s="88" t="str">
        <f t="shared" si="227"/>
        <v/>
      </c>
      <c r="J623" s="44" t="str">
        <f t="shared" si="228"/>
        <v/>
      </c>
      <c r="K623" s="118"/>
      <c r="L623" s="34" t="str">
        <f t="shared" si="229"/>
        <v/>
      </c>
      <c r="M623" s="118"/>
      <c r="N623" s="121"/>
      <c r="O623" s="122" t="str">
        <f t="shared" si="238"/>
        <v/>
      </c>
      <c r="P623" s="35" t="str">
        <f t="shared" si="239"/>
        <v/>
      </c>
      <c r="Q623" s="124"/>
      <c r="R623" s="36" t="str">
        <f t="shared" si="240"/>
        <v/>
      </c>
      <c r="S623" s="37" t="str">
        <f t="shared" si="230"/>
        <v/>
      </c>
      <c r="T623" s="38" t="str">
        <f t="shared" si="231"/>
        <v/>
      </c>
      <c r="U623" s="39" t="str">
        <f t="shared" si="232"/>
        <v/>
      </c>
      <c r="V623" s="40" t="str">
        <f t="shared" si="233"/>
        <v/>
      </c>
      <c r="W623" s="39" t="str">
        <f t="shared" si="234"/>
        <v/>
      </c>
      <c r="X623" s="34" t="str">
        <f t="shared" si="235"/>
        <v/>
      </c>
      <c r="Y623" s="41" t="str">
        <f t="shared" si="241"/>
        <v/>
      </c>
      <c r="Z623" s="98" t="str">
        <f t="shared" si="236"/>
        <v/>
      </c>
      <c r="AA623" s="81" t="str">
        <f t="shared" si="242"/>
        <v/>
      </c>
      <c r="AC623" s="139"/>
      <c r="AD623" s="110" t="str">
        <f t="shared" si="243"/>
        <v/>
      </c>
      <c r="AE623" s="111" t="str">
        <f t="shared" si="244"/>
        <v/>
      </c>
      <c r="AF623" s="111" t="str">
        <f t="shared" si="237"/>
        <v/>
      </c>
      <c r="AG623" s="111" t="str">
        <f t="shared" si="245"/>
        <v/>
      </c>
      <c r="AH623" s="111" t="str">
        <f t="shared" si="246"/>
        <v/>
      </c>
      <c r="AI623" s="112" t="str">
        <f t="shared" si="247"/>
        <v/>
      </c>
      <c r="AJ623" t="str">
        <f t="shared" si="248"/>
        <v/>
      </c>
      <c r="AK623" t="str">
        <f t="shared" si="249"/>
        <v/>
      </c>
    </row>
    <row r="624" spans="1:37" ht="15" customHeight="1" x14ac:dyDescent="0.25">
      <c r="A624" s="114"/>
      <c r="B624" s="116"/>
      <c r="C624" s="116"/>
      <c r="D624" s="42" t="str">
        <f t="shared" si="225"/>
        <v/>
      </c>
      <c r="E624" s="43"/>
      <c r="F624" s="83"/>
      <c r="G624" s="118"/>
      <c r="H624" s="34" t="str">
        <f t="shared" si="226"/>
        <v/>
      </c>
      <c r="I624" s="88" t="str">
        <f t="shared" si="227"/>
        <v/>
      </c>
      <c r="J624" s="44" t="str">
        <f t="shared" si="228"/>
        <v/>
      </c>
      <c r="K624" s="118"/>
      <c r="L624" s="34" t="str">
        <f t="shared" si="229"/>
        <v/>
      </c>
      <c r="M624" s="118"/>
      <c r="N624" s="121"/>
      <c r="O624" s="122" t="str">
        <f t="shared" si="238"/>
        <v/>
      </c>
      <c r="P624" s="35" t="str">
        <f t="shared" si="239"/>
        <v/>
      </c>
      <c r="Q624" s="124"/>
      <c r="R624" s="36" t="str">
        <f t="shared" si="240"/>
        <v/>
      </c>
      <c r="S624" s="37" t="str">
        <f t="shared" si="230"/>
        <v/>
      </c>
      <c r="T624" s="38" t="str">
        <f t="shared" si="231"/>
        <v/>
      </c>
      <c r="U624" s="39" t="str">
        <f t="shared" si="232"/>
        <v/>
      </c>
      <c r="V624" s="40" t="str">
        <f t="shared" si="233"/>
        <v/>
      </c>
      <c r="W624" s="39" t="str">
        <f t="shared" si="234"/>
        <v/>
      </c>
      <c r="X624" s="34" t="str">
        <f t="shared" si="235"/>
        <v/>
      </c>
      <c r="Y624" s="41" t="str">
        <f t="shared" si="241"/>
        <v/>
      </c>
      <c r="Z624" s="98" t="str">
        <f t="shared" si="236"/>
        <v/>
      </c>
      <c r="AA624" s="81" t="str">
        <f t="shared" si="242"/>
        <v/>
      </c>
      <c r="AC624" s="139"/>
      <c r="AD624" s="110" t="str">
        <f t="shared" si="243"/>
        <v/>
      </c>
      <c r="AE624" s="111" t="str">
        <f t="shared" si="244"/>
        <v/>
      </c>
      <c r="AF624" s="111" t="str">
        <f t="shared" si="237"/>
        <v/>
      </c>
      <c r="AG624" s="111" t="str">
        <f t="shared" si="245"/>
        <v/>
      </c>
      <c r="AH624" s="111" t="str">
        <f t="shared" si="246"/>
        <v/>
      </c>
      <c r="AI624" s="112" t="str">
        <f t="shared" si="247"/>
        <v/>
      </c>
      <c r="AJ624" t="str">
        <f t="shared" si="248"/>
        <v/>
      </c>
      <c r="AK624" t="str">
        <f t="shared" si="249"/>
        <v/>
      </c>
    </row>
    <row r="625" spans="1:37" ht="15" customHeight="1" x14ac:dyDescent="0.25">
      <c r="A625" s="114"/>
      <c r="B625" s="116"/>
      <c r="C625" s="116"/>
      <c r="D625" s="42" t="str">
        <f t="shared" si="225"/>
        <v/>
      </c>
      <c r="E625" s="43"/>
      <c r="F625" s="83"/>
      <c r="G625" s="118"/>
      <c r="H625" s="34" t="str">
        <f t="shared" si="226"/>
        <v/>
      </c>
      <c r="I625" s="88" t="str">
        <f t="shared" si="227"/>
        <v/>
      </c>
      <c r="J625" s="44" t="str">
        <f t="shared" si="228"/>
        <v/>
      </c>
      <c r="K625" s="118"/>
      <c r="L625" s="34" t="str">
        <f t="shared" si="229"/>
        <v/>
      </c>
      <c r="M625" s="118"/>
      <c r="N625" s="121"/>
      <c r="O625" s="122" t="str">
        <f t="shared" si="238"/>
        <v/>
      </c>
      <c r="P625" s="35" t="str">
        <f t="shared" si="239"/>
        <v/>
      </c>
      <c r="Q625" s="124"/>
      <c r="R625" s="36" t="str">
        <f t="shared" si="240"/>
        <v/>
      </c>
      <c r="S625" s="37" t="str">
        <f t="shared" si="230"/>
        <v/>
      </c>
      <c r="T625" s="38" t="str">
        <f t="shared" si="231"/>
        <v/>
      </c>
      <c r="U625" s="39" t="str">
        <f t="shared" si="232"/>
        <v/>
      </c>
      <c r="V625" s="40" t="str">
        <f t="shared" si="233"/>
        <v/>
      </c>
      <c r="W625" s="39" t="str">
        <f t="shared" si="234"/>
        <v/>
      </c>
      <c r="X625" s="34" t="str">
        <f t="shared" si="235"/>
        <v/>
      </c>
      <c r="Y625" s="41" t="str">
        <f t="shared" si="241"/>
        <v/>
      </c>
      <c r="Z625" s="98" t="str">
        <f t="shared" si="236"/>
        <v/>
      </c>
      <c r="AA625" s="81" t="str">
        <f t="shared" si="242"/>
        <v/>
      </c>
      <c r="AC625" s="139"/>
      <c r="AD625" s="110" t="str">
        <f t="shared" si="243"/>
        <v/>
      </c>
      <c r="AE625" s="111" t="str">
        <f t="shared" si="244"/>
        <v/>
      </c>
      <c r="AF625" s="111" t="str">
        <f t="shared" si="237"/>
        <v/>
      </c>
      <c r="AG625" s="111" t="str">
        <f t="shared" si="245"/>
        <v/>
      </c>
      <c r="AH625" s="111" t="str">
        <f t="shared" si="246"/>
        <v/>
      </c>
      <c r="AI625" s="112" t="str">
        <f t="shared" si="247"/>
        <v/>
      </c>
      <c r="AJ625" t="str">
        <f t="shared" si="248"/>
        <v/>
      </c>
      <c r="AK625" t="str">
        <f t="shared" si="249"/>
        <v/>
      </c>
    </row>
    <row r="626" spans="1:37" ht="15" customHeight="1" x14ac:dyDescent="0.25">
      <c r="A626" s="114"/>
      <c r="B626" s="116"/>
      <c r="C626" s="116"/>
      <c r="D626" s="42" t="str">
        <f t="shared" si="225"/>
        <v/>
      </c>
      <c r="E626" s="43"/>
      <c r="F626" s="83"/>
      <c r="G626" s="118"/>
      <c r="H626" s="34" t="str">
        <f t="shared" si="226"/>
        <v/>
      </c>
      <c r="I626" s="88" t="str">
        <f t="shared" si="227"/>
        <v/>
      </c>
      <c r="J626" s="44" t="str">
        <f t="shared" si="228"/>
        <v/>
      </c>
      <c r="K626" s="118"/>
      <c r="L626" s="34" t="str">
        <f t="shared" si="229"/>
        <v/>
      </c>
      <c r="M626" s="118"/>
      <c r="N626" s="121"/>
      <c r="O626" s="122" t="str">
        <f t="shared" si="238"/>
        <v/>
      </c>
      <c r="P626" s="35" t="str">
        <f t="shared" si="239"/>
        <v/>
      </c>
      <c r="Q626" s="124"/>
      <c r="R626" s="36" t="str">
        <f t="shared" si="240"/>
        <v/>
      </c>
      <c r="S626" s="37" t="str">
        <f t="shared" si="230"/>
        <v/>
      </c>
      <c r="T626" s="38" t="str">
        <f t="shared" si="231"/>
        <v/>
      </c>
      <c r="U626" s="39" t="str">
        <f t="shared" si="232"/>
        <v/>
      </c>
      <c r="V626" s="40" t="str">
        <f t="shared" si="233"/>
        <v/>
      </c>
      <c r="W626" s="39" t="str">
        <f t="shared" si="234"/>
        <v/>
      </c>
      <c r="X626" s="34" t="str">
        <f t="shared" si="235"/>
        <v/>
      </c>
      <c r="Y626" s="41" t="str">
        <f t="shared" si="241"/>
        <v/>
      </c>
      <c r="Z626" s="98" t="str">
        <f t="shared" si="236"/>
        <v/>
      </c>
      <c r="AA626" s="81" t="str">
        <f t="shared" si="242"/>
        <v/>
      </c>
      <c r="AC626" s="139"/>
      <c r="AD626" s="110" t="str">
        <f t="shared" si="243"/>
        <v/>
      </c>
      <c r="AE626" s="111" t="str">
        <f t="shared" si="244"/>
        <v/>
      </c>
      <c r="AF626" s="111" t="str">
        <f t="shared" si="237"/>
        <v/>
      </c>
      <c r="AG626" s="111" t="str">
        <f t="shared" si="245"/>
        <v/>
      </c>
      <c r="AH626" s="111" t="str">
        <f t="shared" si="246"/>
        <v/>
      </c>
      <c r="AI626" s="112" t="str">
        <f t="shared" si="247"/>
        <v/>
      </c>
      <c r="AJ626" t="str">
        <f t="shared" si="248"/>
        <v/>
      </c>
      <c r="AK626" t="str">
        <f t="shared" si="249"/>
        <v/>
      </c>
    </row>
    <row r="627" spans="1:37" ht="15" customHeight="1" x14ac:dyDescent="0.25">
      <c r="A627" s="114"/>
      <c r="B627" s="116"/>
      <c r="C627" s="116"/>
      <c r="D627" s="42" t="str">
        <f t="shared" si="225"/>
        <v/>
      </c>
      <c r="E627" s="43"/>
      <c r="F627" s="83"/>
      <c r="G627" s="118"/>
      <c r="H627" s="34" t="str">
        <f t="shared" si="226"/>
        <v/>
      </c>
      <c r="I627" s="88" t="str">
        <f t="shared" si="227"/>
        <v/>
      </c>
      <c r="J627" s="44" t="str">
        <f t="shared" si="228"/>
        <v/>
      </c>
      <c r="K627" s="118"/>
      <c r="L627" s="34" t="str">
        <f t="shared" si="229"/>
        <v/>
      </c>
      <c r="M627" s="118"/>
      <c r="N627" s="121"/>
      <c r="O627" s="122" t="str">
        <f t="shared" si="238"/>
        <v/>
      </c>
      <c r="P627" s="35" t="str">
        <f t="shared" si="239"/>
        <v/>
      </c>
      <c r="Q627" s="124"/>
      <c r="R627" s="36" t="str">
        <f t="shared" si="240"/>
        <v/>
      </c>
      <c r="S627" s="37" t="str">
        <f t="shared" si="230"/>
        <v/>
      </c>
      <c r="T627" s="38" t="str">
        <f t="shared" si="231"/>
        <v/>
      </c>
      <c r="U627" s="39" t="str">
        <f t="shared" si="232"/>
        <v/>
      </c>
      <c r="V627" s="40" t="str">
        <f t="shared" si="233"/>
        <v/>
      </c>
      <c r="W627" s="39" t="str">
        <f t="shared" si="234"/>
        <v/>
      </c>
      <c r="X627" s="34" t="str">
        <f t="shared" si="235"/>
        <v/>
      </c>
      <c r="Y627" s="41" t="str">
        <f t="shared" si="241"/>
        <v/>
      </c>
      <c r="Z627" s="98" t="str">
        <f t="shared" si="236"/>
        <v/>
      </c>
      <c r="AA627" s="81" t="str">
        <f t="shared" si="242"/>
        <v/>
      </c>
      <c r="AC627" s="139"/>
      <c r="AD627" s="110" t="str">
        <f t="shared" si="243"/>
        <v/>
      </c>
      <c r="AE627" s="111" t="str">
        <f t="shared" si="244"/>
        <v/>
      </c>
      <c r="AF627" s="111" t="str">
        <f t="shared" si="237"/>
        <v/>
      </c>
      <c r="AG627" s="111" t="str">
        <f t="shared" si="245"/>
        <v/>
      </c>
      <c r="AH627" s="111" t="str">
        <f t="shared" si="246"/>
        <v/>
      </c>
      <c r="AI627" s="112" t="str">
        <f t="shared" si="247"/>
        <v/>
      </c>
      <c r="AJ627" t="str">
        <f t="shared" si="248"/>
        <v/>
      </c>
      <c r="AK627" t="str">
        <f t="shared" si="249"/>
        <v/>
      </c>
    </row>
    <row r="628" spans="1:37" ht="15" customHeight="1" x14ac:dyDescent="0.25">
      <c r="A628" s="114"/>
      <c r="B628" s="116"/>
      <c r="C628" s="116"/>
      <c r="D628" s="42" t="str">
        <f t="shared" si="225"/>
        <v/>
      </c>
      <c r="E628" s="43"/>
      <c r="F628" s="83"/>
      <c r="G628" s="118"/>
      <c r="H628" s="34" t="str">
        <f t="shared" si="226"/>
        <v/>
      </c>
      <c r="I628" s="88" t="str">
        <f t="shared" si="227"/>
        <v/>
      </c>
      <c r="J628" s="44" t="str">
        <f t="shared" si="228"/>
        <v/>
      </c>
      <c r="K628" s="118"/>
      <c r="L628" s="34" t="str">
        <f t="shared" si="229"/>
        <v/>
      </c>
      <c r="M628" s="118"/>
      <c r="N628" s="121"/>
      <c r="O628" s="122" t="str">
        <f t="shared" si="238"/>
        <v/>
      </c>
      <c r="P628" s="35" t="str">
        <f t="shared" si="239"/>
        <v/>
      </c>
      <c r="Q628" s="124"/>
      <c r="R628" s="36" t="str">
        <f t="shared" si="240"/>
        <v/>
      </c>
      <c r="S628" s="37" t="str">
        <f t="shared" si="230"/>
        <v/>
      </c>
      <c r="T628" s="38" t="str">
        <f t="shared" si="231"/>
        <v/>
      </c>
      <c r="U628" s="39" t="str">
        <f t="shared" si="232"/>
        <v/>
      </c>
      <c r="V628" s="40" t="str">
        <f t="shared" si="233"/>
        <v/>
      </c>
      <c r="W628" s="39" t="str">
        <f t="shared" si="234"/>
        <v/>
      </c>
      <c r="X628" s="34" t="str">
        <f t="shared" si="235"/>
        <v/>
      </c>
      <c r="Y628" s="41" t="str">
        <f t="shared" si="241"/>
        <v/>
      </c>
      <c r="Z628" s="98" t="str">
        <f t="shared" si="236"/>
        <v/>
      </c>
      <c r="AA628" s="81" t="str">
        <f t="shared" si="242"/>
        <v/>
      </c>
      <c r="AC628" s="139"/>
      <c r="AD628" s="110" t="str">
        <f t="shared" si="243"/>
        <v/>
      </c>
      <c r="AE628" s="111" t="str">
        <f t="shared" si="244"/>
        <v/>
      </c>
      <c r="AF628" s="111" t="str">
        <f t="shared" si="237"/>
        <v/>
      </c>
      <c r="AG628" s="111" t="str">
        <f t="shared" si="245"/>
        <v/>
      </c>
      <c r="AH628" s="111" t="str">
        <f t="shared" si="246"/>
        <v/>
      </c>
      <c r="AI628" s="112" t="str">
        <f t="shared" si="247"/>
        <v/>
      </c>
      <c r="AJ628" t="str">
        <f t="shared" si="248"/>
        <v/>
      </c>
      <c r="AK628" t="str">
        <f t="shared" si="249"/>
        <v/>
      </c>
    </row>
    <row r="629" spans="1:37" ht="15" customHeight="1" x14ac:dyDescent="0.25">
      <c r="A629" s="114"/>
      <c r="B629" s="116"/>
      <c r="C629" s="116"/>
      <c r="D629" s="42" t="str">
        <f t="shared" si="225"/>
        <v/>
      </c>
      <c r="E629" s="43"/>
      <c r="F629" s="83"/>
      <c r="G629" s="118"/>
      <c r="H629" s="34" t="str">
        <f t="shared" si="226"/>
        <v/>
      </c>
      <c r="I629" s="88" t="str">
        <f t="shared" si="227"/>
        <v/>
      </c>
      <c r="J629" s="44" t="str">
        <f t="shared" si="228"/>
        <v/>
      </c>
      <c r="K629" s="118"/>
      <c r="L629" s="34" t="str">
        <f t="shared" si="229"/>
        <v/>
      </c>
      <c r="M629" s="118"/>
      <c r="N629" s="121"/>
      <c r="O629" s="122" t="str">
        <f t="shared" si="238"/>
        <v/>
      </c>
      <c r="P629" s="35" t="str">
        <f t="shared" si="239"/>
        <v/>
      </c>
      <c r="Q629" s="124"/>
      <c r="R629" s="36" t="str">
        <f t="shared" si="240"/>
        <v/>
      </c>
      <c r="S629" s="37" t="str">
        <f t="shared" si="230"/>
        <v/>
      </c>
      <c r="T629" s="38" t="str">
        <f t="shared" si="231"/>
        <v/>
      </c>
      <c r="U629" s="39" t="str">
        <f t="shared" si="232"/>
        <v/>
      </c>
      <c r="V629" s="40" t="str">
        <f t="shared" si="233"/>
        <v/>
      </c>
      <c r="W629" s="39" t="str">
        <f t="shared" si="234"/>
        <v/>
      </c>
      <c r="X629" s="34" t="str">
        <f t="shared" si="235"/>
        <v/>
      </c>
      <c r="Y629" s="41" t="str">
        <f t="shared" si="241"/>
        <v/>
      </c>
      <c r="Z629" s="98" t="str">
        <f t="shared" si="236"/>
        <v/>
      </c>
      <c r="AA629" s="81" t="str">
        <f t="shared" si="242"/>
        <v/>
      </c>
      <c r="AC629" s="139"/>
      <c r="AD629" s="110" t="str">
        <f t="shared" si="243"/>
        <v/>
      </c>
      <c r="AE629" s="111" t="str">
        <f t="shared" si="244"/>
        <v/>
      </c>
      <c r="AF629" s="111" t="str">
        <f t="shared" si="237"/>
        <v/>
      </c>
      <c r="AG629" s="111" t="str">
        <f t="shared" si="245"/>
        <v/>
      </c>
      <c r="AH629" s="111" t="str">
        <f t="shared" si="246"/>
        <v/>
      </c>
      <c r="AI629" s="112" t="str">
        <f t="shared" si="247"/>
        <v/>
      </c>
      <c r="AJ629" t="str">
        <f t="shared" si="248"/>
        <v/>
      </c>
      <c r="AK629" t="str">
        <f t="shared" si="249"/>
        <v/>
      </c>
    </row>
    <row r="630" spans="1:37" ht="15" customHeight="1" x14ac:dyDescent="0.25">
      <c r="A630" s="114"/>
      <c r="B630" s="116"/>
      <c r="C630" s="116"/>
      <c r="D630" s="42" t="str">
        <f t="shared" si="225"/>
        <v/>
      </c>
      <c r="E630" s="43"/>
      <c r="F630" s="83"/>
      <c r="G630" s="118"/>
      <c r="H630" s="34" t="str">
        <f t="shared" si="226"/>
        <v/>
      </c>
      <c r="I630" s="88" t="str">
        <f t="shared" si="227"/>
        <v/>
      </c>
      <c r="J630" s="44" t="str">
        <f t="shared" si="228"/>
        <v/>
      </c>
      <c r="K630" s="118"/>
      <c r="L630" s="34" t="str">
        <f t="shared" si="229"/>
        <v/>
      </c>
      <c r="M630" s="118"/>
      <c r="N630" s="121"/>
      <c r="O630" s="122" t="str">
        <f t="shared" si="238"/>
        <v/>
      </c>
      <c r="P630" s="35" t="str">
        <f t="shared" si="239"/>
        <v/>
      </c>
      <c r="Q630" s="124"/>
      <c r="R630" s="36" t="str">
        <f t="shared" si="240"/>
        <v/>
      </c>
      <c r="S630" s="37" t="str">
        <f t="shared" si="230"/>
        <v/>
      </c>
      <c r="T630" s="38" t="str">
        <f t="shared" si="231"/>
        <v/>
      </c>
      <c r="U630" s="39" t="str">
        <f t="shared" si="232"/>
        <v/>
      </c>
      <c r="V630" s="40" t="str">
        <f t="shared" si="233"/>
        <v/>
      </c>
      <c r="W630" s="39" t="str">
        <f t="shared" si="234"/>
        <v/>
      </c>
      <c r="X630" s="34" t="str">
        <f t="shared" si="235"/>
        <v/>
      </c>
      <c r="Y630" s="41" t="str">
        <f t="shared" si="241"/>
        <v/>
      </c>
      <c r="Z630" s="98" t="str">
        <f t="shared" si="236"/>
        <v/>
      </c>
      <c r="AA630" s="81" t="str">
        <f t="shared" si="242"/>
        <v/>
      </c>
      <c r="AC630" s="139"/>
      <c r="AD630" s="110" t="str">
        <f t="shared" si="243"/>
        <v/>
      </c>
      <c r="AE630" s="111" t="str">
        <f t="shared" si="244"/>
        <v/>
      </c>
      <c r="AF630" s="111" t="str">
        <f t="shared" si="237"/>
        <v/>
      </c>
      <c r="AG630" s="111" t="str">
        <f t="shared" si="245"/>
        <v/>
      </c>
      <c r="AH630" s="111" t="str">
        <f t="shared" si="246"/>
        <v/>
      </c>
      <c r="AI630" s="112" t="str">
        <f t="shared" si="247"/>
        <v/>
      </c>
      <c r="AJ630" t="str">
        <f t="shared" si="248"/>
        <v/>
      </c>
      <c r="AK630" t="str">
        <f t="shared" si="249"/>
        <v/>
      </c>
    </row>
    <row r="631" spans="1:37" ht="15" customHeight="1" x14ac:dyDescent="0.25">
      <c r="A631" s="114"/>
      <c r="B631" s="116"/>
      <c r="C631" s="116"/>
      <c r="D631" s="42" t="str">
        <f t="shared" si="225"/>
        <v/>
      </c>
      <c r="E631" s="43"/>
      <c r="F631" s="83"/>
      <c r="G631" s="118"/>
      <c r="H631" s="34" t="str">
        <f t="shared" si="226"/>
        <v/>
      </c>
      <c r="I631" s="88" t="str">
        <f t="shared" si="227"/>
        <v/>
      </c>
      <c r="J631" s="44" t="str">
        <f t="shared" si="228"/>
        <v/>
      </c>
      <c r="K631" s="118"/>
      <c r="L631" s="34" t="str">
        <f t="shared" si="229"/>
        <v/>
      </c>
      <c r="M631" s="118"/>
      <c r="N631" s="121"/>
      <c r="O631" s="122" t="str">
        <f t="shared" si="238"/>
        <v/>
      </c>
      <c r="P631" s="35" t="str">
        <f t="shared" si="239"/>
        <v/>
      </c>
      <c r="Q631" s="124"/>
      <c r="R631" s="36" t="str">
        <f t="shared" si="240"/>
        <v/>
      </c>
      <c r="S631" s="37" t="str">
        <f t="shared" si="230"/>
        <v/>
      </c>
      <c r="T631" s="38" t="str">
        <f t="shared" si="231"/>
        <v/>
      </c>
      <c r="U631" s="39" t="str">
        <f t="shared" si="232"/>
        <v/>
      </c>
      <c r="V631" s="40" t="str">
        <f t="shared" si="233"/>
        <v/>
      </c>
      <c r="W631" s="39" t="str">
        <f t="shared" si="234"/>
        <v/>
      </c>
      <c r="X631" s="34" t="str">
        <f t="shared" si="235"/>
        <v/>
      </c>
      <c r="Y631" s="41" t="str">
        <f t="shared" si="241"/>
        <v/>
      </c>
      <c r="Z631" s="98" t="str">
        <f t="shared" si="236"/>
        <v/>
      </c>
      <c r="AA631" s="81" t="str">
        <f t="shared" si="242"/>
        <v/>
      </c>
      <c r="AC631" s="139"/>
      <c r="AD631" s="110" t="str">
        <f t="shared" si="243"/>
        <v/>
      </c>
      <c r="AE631" s="111" t="str">
        <f t="shared" si="244"/>
        <v/>
      </c>
      <c r="AF631" s="111" t="str">
        <f t="shared" si="237"/>
        <v/>
      </c>
      <c r="AG631" s="111" t="str">
        <f t="shared" si="245"/>
        <v/>
      </c>
      <c r="AH631" s="111" t="str">
        <f t="shared" si="246"/>
        <v/>
      </c>
      <c r="AI631" s="112" t="str">
        <f t="shared" si="247"/>
        <v/>
      </c>
      <c r="AJ631" t="str">
        <f t="shared" si="248"/>
        <v/>
      </c>
      <c r="AK631" t="str">
        <f t="shared" si="249"/>
        <v/>
      </c>
    </row>
    <row r="632" spans="1:37" ht="15" customHeight="1" x14ac:dyDescent="0.25">
      <c r="A632" s="114"/>
      <c r="B632" s="116"/>
      <c r="C632" s="116"/>
      <c r="D632" s="42" t="str">
        <f t="shared" si="225"/>
        <v/>
      </c>
      <c r="E632" s="43"/>
      <c r="F632" s="83"/>
      <c r="G632" s="118"/>
      <c r="H632" s="34" t="str">
        <f t="shared" si="226"/>
        <v/>
      </c>
      <c r="I632" s="88" t="str">
        <f t="shared" si="227"/>
        <v/>
      </c>
      <c r="J632" s="44" t="str">
        <f t="shared" si="228"/>
        <v/>
      </c>
      <c r="K632" s="118"/>
      <c r="L632" s="34" t="str">
        <f t="shared" si="229"/>
        <v/>
      </c>
      <c r="M632" s="118"/>
      <c r="N632" s="121"/>
      <c r="O632" s="122" t="str">
        <f t="shared" si="238"/>
        <v/>
      </c>
      <c r="P632" s="35" t="str">
        <f t="shared" si="239"/>
        <v/>
      </c>
      <c r="Q632" s="124"/>
      <c r="R632" s="36" t="str">
        <f t="shared" si="240"/>
        <v/>
      </c>
      <c r="S632" s="37" t="str">
        <f t="shared" si="230"/>
        <v/>
      </c>
      <c r="T632" s="38" t="str">
        <f t="shared" si="231"/>
        <v/>
      </c>
      <c r="U632" s="39" t="str">
        <f t="shared" si="232"/>
        <v/>
      </c>
      <c r="V632" s="40" t="str">
        <f t="shared" si="233"/>
        <v/>
      </c>
      <c r="W632" s="39" t="str">
        <f t="shared" si="234"/>
        <v/>
      </c>
      <c r="X632" s="34" t="str">
        <f t="shared" si="235"/>
        <v/>
      </c>
      <c r="Y632" s="41" t="str">
        <f t="shared" si="241"/>
        <v/>
      </c>
      <c r="Z632" s="98" t="str">
        <f t="shared" si="236"/>
        <v/>
      </c>
      <c r="AA632" s="81" t="str">
        <f t="shared" si="242"/>
        <v/>
      </c>
      <c r="AC632" s="139"/>
      <c r="AD632" s="110" t="str">
        <f t="shared" si="243"/>
        <v/>
      </c>
      <c r="AE632" s="111" t="str">
        <f t="shared" si="244"/>
        <v/>
      </c>
      <c r="AF632" s="111" t="str">
        <f t="shared" si="237"/>
        <v/>
      </c>
      <c r="AG632" s="111" t="str">
        <f t="shared" si="245"/>
        <v/>
      </c>
      <c r="AH632" s="111" t="str">
        <f t="shared" si="246"/>
        <v/>
      </c>
      <c r="AI632" s="112" t="str">
        <f t="shared" si="247"/>
        <v/>
      </c>
      <c r="AJ632" t="str">
        <f t="shared" si="248"/>
        <v/>
      </c>
      <c r="AK632" t="str">
        <f t="shared" si="249"/>
        <v/>
      </c>
    </row>
    <row r="633" spans="1:37" ht="15" customHeight="1" x14ac:dyDescent="0.25">
      <c r="A633" s="114"/>
      <c r="B633" s="116"/>
      <c r="C633" s="116"/>
      <c r="D633" s="42" t="str">
        <f t="shared" si="225"/>
        <v/>
      </c>
      <c r="E633" s="43"/>
      <c r="F633" s="83"/>
      <c r="G633" s="118"/>
      <c r="H633" s="34" t="str">
        <f t="shared" si="226"/>
        <v/>
      </c>
      <c r="I633" s="88" t="str">
        <f t="shared" si="227"/>
        <v/>
      </c>
      <c r="J633" s="44" t="str">
        <f t="shared" si="228"/>
        <v/>
      </c>
      <c r="K633" s="118"/>
      <c r="L633" s="34" t="str">
        <f t="shared" si="229"/>
        <v/>
      </c>
      <c r="M633" s="118"/>
      <c r="N633" s="121"/>
      <c r="O633" s="122" t="str">
        <f t="shared" si="238"/>
        <v/>
      </c>
      <c r="P633" s="35" t="str">
        <f t="shared" si="239"/>
        <v/>
      </c>
      <c r="Q633" s="124"/>
      <c r="R633" s="36" t="str">
        <f t="shared" si="240"/>
        <v/>
      </c>
      <c r="S633" s="37" t="str">
        <f t="shared" si="230"/>
        <v/>
      </c>
      <c r="T633" s="38" t="str">
        <f t="shared" si="231"/>
        <v/>
      </c>
      <c r="U633" s="39" t="str">
        <f t="shared" si="232"/>
        <v/>
      </c>
      <c r="V633" s="40" t="str">
        <f t="shared" si="233"/>
        <v/>
      </c>
      <c r="W633" s="39" t="str">
        <f t="shared" si="234"/>
        <v/>
      </c>
      <c r="X633" s="34" t="str">
        <f t="shared" si="235"/>
        <v/>
      </c>
      <c r="Y633" s="41" t="str">
        <f t="shared" si="241"/>
        <v/>
      </c>
      <c r="Z633" s="98" t="str">
        <f t="shared" si="236"/>
        <v/>
      </c>
      <c r="AA633" s="81" t="str">
        <f t="shared" si="242"/>
        <v/>
      </c>
      <c r="AC633" s="139"/>
      <c r="AD633" s="110" t="str">
        <f t="shared" si="243"/>
        <v/>
      </c>
      <c r="AE633" s="111" t="str">
        <f t="shared" si="244"/>
        <v/>
      </c>
      <c r="AF633" s="111" t="str">
        <f t="shared" si="237"/>
        <v/>
      </c>
      <c r="AG633" s="111" t="str">
        <f t="shared" si="245"/>
        <v/>
      </c>
      <c r="AH633" s="111" t="str">
        <f t="shared" si="246"/>
        <v/>
      </c>
      <c r="AI633" s="112" t="str">
        <f t="shared" si="247"/>
        <v/>
      </c>
      <c r="AJ633" t="str">
        <f t="shared" si="248"/>
        <v/>
      </c>
      <c r="AK633" t="str">
        <f t="shared" si="249"/>
        <v/>
      </c>
    </row>
    <row r="634" spans="1:37" ht="15" customHeight="1" x14ac:dyDescent="0.25">
      <c r="A634" s="114"/>
      <c r="B634" s="116"/>
      <c r="C634" s="116"/>
      <c r="D634" s="42" t="str">
        <f t="shared" si="225"/>
        <v/>
      </c>
      <c r="E634" s="43"/>
      <c r="F634" s="83"/>
      <c r="G634" s="118"/>
      <c r="H634" s="34" t="str">
        <f t="shared" si="226"/>
        <v/>
      </c>
      <c r="I634" s="88" t="str">
        <f t="shared" si="227"/>
        <v/>
      </c>
      <c r="J634" s="44" t="str">
        <f t="shared" si="228"/>
        <v/>
      </c>
      <c r="K634" s="118"/>
      <c r="L634" s="34" t="str">
        <f t="shared" si="229"/>
        <v/>
      </c>
      <c r="M634" s="118"/>
      <c r="N634" s="121"/>
      <c r="O634" s="122" t="str">
        <f t="shared" si="238"/>
        <v/>
      </c>
      <c r="P634" s="35" t="str">
        <f t="shared" si="239"/>
        <v/>
      </c>
      <c r="Q634" s="124"/>
      <c r="R634" s="36" t="str">
        <f t="shared" si="240"/>
        <v/>
      </c>
      <c r="S634" s="37" t="str">
        <f t="shared" si="230"/>
        <v/>
      </c>
      <c r="T634" s="38" t="str">
        <f t="shared" si="231"/>
        <v/>
      </c>
      <c r="U634" s="39" t="str">
        <f t="shared" si="232"/>
        <v/>
      </c>
      <c r="V634" s="40" t="str">
        <f t="shared" si="233"/>
        <v/>
      </c>
      <c r="W634" s="39" t="str">
        <f t="shared" si="234"/>
        <v/>
      </c>
      <c r="X634" s="34" t="str">
        <f t="shared" si="235"/>
        <v/>
      </c>
      <c r="Y634" s="41" t="str">
        <f t="shared" si="241"/>
        <v/>
      </c>
      <c r="Z634" s="98" t="str">
        <f t="shared" si="236"/>
        <v/>
      </c>
      <c r="AA634" s="81" t="str">
        <f t="shared" si="242"/>
        <v/>
      </c>
      <c r="AC634" s="139"/>
      <c r="AD634" s="110" t="str">
        <f t="shared" si="243"/>
        <v/>
      </c>
      <c r="AE634" s="111" t="str">
        <f t="shared" si="244"/>
        <v/>
      </c>
      <c r="AF634" s="111" t="str">
        <f t="shared" si="237"/>
        <v/>
      </c>
      <c r="AG634" s="111" t="str">
        <f t="shared" si="245"/>
        <v/>
      </c>
      <c r="AH634" s="111" t="str">
        <f t="shared" si="246"/>
        <v/>
      </c>
      <c r="AI634" s="112" t="str">
        <f t="shared" si="247"/>
        <v/>
      </c>
      <c r="AJ634" t="str">
        <f t="shared" si="248"/>
        <v/>
      </c>
      <c r="AK634" t="str">
        <f t="shared" si="249"/>
        <v/>
      </c>
    </row>
    <row r="635" spans="1:37" ht="15" customHeight="1" x14ac:dyDescent="0.25">
      <c r="A635" s="114"/>
      <c r="B635" s="116"/>
      <c r="C635" s="116"/>
      <c r="D635" s="42" t="str">
        <f t="shared" si="225"/>
        <v/>
      </c>
      <c r="E635" s="43"/>
      <c r="F635" s="83"/>
      <c r="G635" s="118"/>
      <c r="H635" s="34" t="str">
        <f t="shared" si="226"/>
        <v/>
      </c>
      <c r="I635" s="88" t="str">
        <f t="shared" si="227"/>
        <v/>
      </c>
      <c r="J635" s="44" t="str">
        <f t="shared" si="228"/>
        <v/>
      </c>
      <c r="K635" s="118"/>
      <c r="L635" s="34" t="str">
        <f t="shared" si="229"/>
        <v/>
      </c>
      <c r="M635" s="118"/>
      <c r="N635" s="121"/>
      <c r="O635" s="122" t="str">
        <f t="shared" si="238"/>
        <v/>
      </c>
      <c r="P635" s="35" t="str">
        <f t="shared" si="239"/>
        <v/>
      </c>
      <c r="Q635" s="124"/>
      <c r="R635" s="36" t="str">
        <f t="shared" si="240"/>
        <v/>
      </c>
      <c r="S635" s="37" t="str">
        <f t="shared" si="230"/>
        <v/>
      </c>
      <c r="T635" s="38" t="str">
        <f t="shared" si="231"/>
        <v/>
      </c>
      <c r="U635" s="39" t="str">
        <f t="shared" si="232"/>
        <v/>
      </c>
      <c r="V635" s="40" t="str">
        <f t="shared" si="233"/>
        <v/>
      </c>
      <c r="W635" s="39" t="str">
        <f t="shared" si="234"/>
        <v/>
      </c>
      <c r="X635" s="34" t="str">
        <f t="shared" si="235"/>
        <v/>
      </c>
      <c r="Y635" s="41" t="str">
        <f t="shared" si="241"/>
        <v/>
      </c>
      <c r="Z635" s="98" t="str">
        <f t="shared" si="236"/>
        <v/>
      </c>
      <c r="AA635" s="81" t="str">
        <f t="shared" si="242"/>
        <v/>
      </c>
      <c r="AC635" s="139"/>
      <c r="AD635" s="110" t="str">
        <f t="shared" si="243"/>
        <v/>
      </c>
      <c r="AE635" s="111" t="str">
        <f t="shared" si="244"/>
        <v/>
      </c>
      <c r="AF635" s="111" t="str">
        <f t="shared" si="237"/>
        <v/>
      </c>
      <c r="AG635" s="111" t="str">
        <f t="shared" si="245"/>
        <v/>
      </c>
      <c r="AH635" s="111" t="str">
        <f t="shared" si="246"/>
        <v/>
      </c>
      <c r="AI635" s="112" t="str">
        <f t="shared" si="247"/>
        <v/>
      </c>
      <c r="AJ635" t="str">
        <f t="shared" si="248"/>
        <v/>
      </c>
      <c r="AK635" t="str">
        <f t="shared" si="249"/>
        <v/>
      </c>
    </row>
    <row r="636" spans="1:37" ht="15" customHeight="1" x14ac:dyDescent="0.25">
      <c r="A636" s="114"/>
      <c r="B636" s="116"/>
      <c r="C636" s="116"/>
      <c r="D636" s="42" t="str">
        <f t="shared" si="225"/>
        <v/>
      </c>
      <c r="E636" s="43"/>
      <c r="F636" s="83"/>
      <c r="G636" s="118"/>
      <c r="H636" s="34" t="str">
        <f t="shared" si="226"/>
        <v/>
      </c>
      <c r="I636" s="88" t="str">
        <f t="shared" si="227"/>
        <v/>
      </c>
      <c r="J636" s="44" t="str">
        <f t="shared" si="228"/>
        <v/>
      </c>
      <c r="K636" s="118"/>
      <c r="L636" s="34" t="str">
        <f t="shared" si="229"/>
        <v/>
      </c>
      <c r="M636" s="118"/>
      <c r="N636" s="121"/>
      <c r="O636" s="122" t="str">
        <f t="shared" si="238"/>
        <v/>
      </c>
      <c r="P636" s="35" t="str">
        <f t="shared" si="239"/>
        <v/>
      </c>
      <c r="Q636" s="124"/>
      <c r="R636" s="36" t="str">
        <f t="shared" si="240"/>
        <v/>
      </c>
      <c r="S636" s="37" t="str">
        <f t="shared" si="230"/>
        <v/>
      </c>
      <c r="T636" s="38" t="str">
        <f t="shared" si="231"/>
        <v/>
      </c>
      <c r="U636" s="39" t="str">
        <f t="shared" si="232"/>
        <v/>
      </c>
      <c r="V636" s="40" t="str">
        <f t="shared" si="233"/>
        <v/>
      </c>
      <c r="W636" s="39" t="str">
        <f t="shared" si="234"/>
        <v/>
      </c>
      <c r="X636" s="34" t="str">
        <f t="shared" si="235"/>
        <v/>
      </c>
      <c r="Y636" s="41" t="str">
        <f t="shared" si="241"/>
        <v/>
      </c>
      <c r="Z636" s="98" t="str">
        <f t="shared" si="236"/>
        <v/>
      </c>
      <c r="AA636" s="81" t="str">
        <f t="shared" si="242"/>
        <v/>
      </c>
      <c r="AC636" s="139"/>
      <c r="AD636" s="110" t="str">
        <f t="shared" si="243"/>
        <v/>
      </c>
      <c r="AE636" s="111" t="str">
        <f t="shared" si="244"/>
        <v/>
      </c>
      <c r="AF636" s="111" t="str">
        <f t="shared" si="237"/>
        <v/>
      </c>
      <c r="AG636" s="111" t="str">
        <f t="shared" si="245"/>
        <v/>
      </c>
      <c r="AH636" s="111" t="str">
        <f t="shared" si="246"/>
        <v/>
      </c>
      <c r="AI636" s="112" t="str">
        <f t="shared" si="247"/>
        <v/>
      </c>
      <c r="AJ636" t="str">
        <f t="shared" si="248"/>
        <v/>
      </c>
      <c r="AK636" t="str">
        <f t="shared" si="249"/>
        <v/>
      </c>
    </row>
    <row r="637" spans="1:37" ht="15" customHeight="1" x14ac:dyDescent="0.25">
      <c r="A637" s="114"/>
      <c r="B637" s="116"/>
      <c r="C637" s="116"/>
      <c r="D637" s="42" t="str">
        <f t="shared" si="225"/>
        <v/>
      </c>
      <c r="E637" s="43"/>
      <c r="F637" s="83"/>
      <c r="G637" s="118"/>
      <c r="H637" s="34" t="str">
        <f t="shared" si="226"/>
        <v/>
      </c>
      <c r="I637" s="88" t="str">
        <f t="shared" si="227"/>
        <v/>
      </c>
      <c r="J637" s="44" t="str">
        <f t="shared" si="228"/>
        <v/>
      </c>
      <c r="K637" s="118"/>
      <c r="L637" s="34" t="str">
        <f t="shared" si="229"/>
        <v/>
      </c>
      <c r="M637" s="118"/>
      <c r="N637" s="121"/>
      <c r="O637" s="122" t="str">
        <f t="shared" si="238"/>
        <v/>
      </c>
      <c r="P637" s="35" t="str">
        <f t="shared" si="239"/>
        <v/>
      </c>
      <c r="Q637" s="124"/>
      <c r="R637" s="36" t="str">
        <f t="shared" si="240"/>
        <v/>
      </c>
      <c r="S637" s="37" t="str">
        <f t="shared" si="230"/>
        <v/>
      </c>
      <c r="T637" s="38" t="str">
        <f t="shared" si="231"/>
        <v/>
      </c>
      <c r="U637" s="39" t="str">
        <f t="shared" si="232"/>
        <v/>
      </c>
      <c r="V637" s="40" t="str">
        <f t="shared" si="233"/>
        <v/>
      </c>
      <c r="W637" s="39" t="str">
        <f t="shared" si="234"/>
        <v/>
      </c>
      <c r="X637" s="34" t="str">
        <f t="shared" si="235"/>
        <v/>
      </c>
      <c r="Y637" s="41" t="str">
        <f t="shared" si="241"/>
        <v/>
      </c>
      <c r="Z637" s="98" t="str">
        <f t="shared" si="236"/>
        <v/>
      </c>
      <c r="AA637" s="81" t="str">
        <f t="shared" si="242"/>
        <v/>
      </c>
      <c r="AC637" s="139"/>
      <c r="AD637" s="110" t="str">
        <f t="shared" si="243"/>
        <v/>
      </c>
      <c r="AE637" s="111" t="str">
        <f t="shared" si="244"/>
        <v/>
      </c>
      <c r="AF637" s="111" t="str">
        <f t="shared" si="237"/>
        <v/>
      </c>
      <c r="AG637" s="111" t="str">
        <f t="shared" si="245"/>
        <v/>
      </c>
      <c r="AH637" s="111" t="str">
        <f t="shared" si="246"/>
        <v/>
      </c>
      <c r="AI637" s="112" t="str">
        <f t="shared" si="247"/>
        <v/>
      </c>
      <c r="AJ637" t="str">
        <f t="shared" si="248"/>
        <v/>
      </c>
      <c r="AK637" t="str">
        <f t="shared" si="249"/>
        <v/>
      </c>
    </row>
    <row r="638" spans="1:37" ht="15" customHeight="1" x14ac:dyDescent="0.25">
      <c r="A638" s="114"/>
      <c r="B638" s="116"/>
      <c r="C638" s="116"/>
      <c r="D638" s="42" t="str">
        <f t="shared" si="225"/>
        <v/>
      </c>
      <c r="E638" s="43"/>
      <c r="F638" s="83"/>
      <c r="G638" s="118"/>
      <c r="H638" s="34" t="str">
        <f t="shared" si="226"/>
        <v/>
      </c>
      <c r="I638" s="88" t="str">
        <f t="shared" si="227"/>
        <v/>
      </c>
      <c r="J638" s="44" t="str">
        <f t="shared" si="228"/>
        <v/>
      </c>
      <c r="K638" s="118"/>
      <c r="L638" s="34" t="str">
        <f t="shared" si="229"/>
        <v/>
      </c>
      <c r="M638" s="118"/>
      <c r="N638" s="121"/>
      <c r="O638" s="122" t="str">
        <f t="shared" si="238"/>
        <v/>
      </c>
      <c r="P638" s="35" t="str">
        <f t="shared" si="239"/>
        <v/>
      </c>
      <c r="Q638" s="124"/>
      <c r="R638" s="36" t="str">
        <f t="shared" si="240"/>
        <v/>
      </c>
      <c r="S638" s="37" t="str">
        <f t="shared" si="230"/>
        <v/>
      </c>
      <c r="T638" s="38" t="str">
        <f t="shared" si="231"/>
        <v/>
      </c>
      <c r="U638" s="39" t="str">
        <f t="shared" si="232"/>
        <v/>
      </c>
      <c r="V638" s="40" t="str">
        <f t="shared" si="233"/>
        <v/>
      </c>
      <c r="W638" s="39" t="str">
        <f t="shared" si="234"/>
        <v/>
      </c>
      <c r="X638" s="34" t="str">
        <f t="shared" si="235"/>
        <v/>
      </c>
      <c r="Y638" s="41" t="str">
        <f t="shared" si="241"/>
        <v/>
      </c>
      <c r="Z638" s="98" t="str">
        <f t="shared" si="236"/>
        <v/>
      </c>
      <c r="AA638" s="81" t="str">
        <f t="shared" si="242"/>
        <v/>
      </c>
      <c r="AC638" s="139"/>
      <c r="AD638" s="110" t="str">
        <f t="shared" si="243"/>
        <v/>
      </c>
      <c r="AE638" s="111" t="str">
        <f t="shared" si="244"/>
        <v/>
      </c>
      <c r="AF638" s="111" t="str">
        <f t="shared" si="237"/>
        <v/>
      </c>
      <c r="AG638" s="111" t="str">
        <f t="shared" si="245"/>
        <v/>
      </c>
      <c r="AH638" s="111" t="str">
        <f t="shared" si="246"/>
        <v/>
      </c>
      <c r="AI638" s="112" t="str">
        <f t="shared" si="247"/>
        <v/>
      </c>
      <c r="AJ638" t="str">
        <f t="shared" si="248"/>
        <v/>
      </c>
      <c r="AK638" t="str">
        <f t="shared" si="249"/>
        <v/>
      </c>
    </row>
    <row r="639" spans="1:37" ht="15" customHeight="1" x14ac:dyDescent="0.25">
      <c r="A639" s="114"/>
      <c r="B639" s="116"/>
      <c r="C639" s="116"/>
      <c r="D639" s="42" t="str">
        <f t="shared" si="225"/>
        <v/>
      </c>
      <c r="E639" s="43"/>
      <c r="F639" s="83"/>
      <c r="G639" s="118"/>
      <c r="H639" s="34" t="str">
        <f t="shared" si="226"/>
        <v/>
      </c>
      <c r="I639" s="88" t="str">
        <f t="shared" si="227"/>
        <v/>
      </c>
      <c r="J639" s="44" t="str">
        <f t="shared" si="228"/>
        <v/>
      </c>
      <c r="K639" s="118"/>
      <c r="L639" s="34" t="str">
        <f t="shared" si="229"/>
        <v/>
      </c>
      <c r="M639" s="118"/>
      <c r="N639" s="121"/>
      <c r="O639" s="122" t="str">
        <f t="shared" si="238"/>
        <v/>
      </c>
      <c r="P639" s="35" t="str">
        <f t="shared" si="239"/>
        <v/>
      </c>
      <c r="Q639" s="124"/>
      <c r="R639" s="36" t="str">
        <f t="shared" si="240"/>
        <v/>
      </c>
      <c r="S639" s="37" t="str">
        <f t="shared" si="230"/>
        <v/>
      </c>
      <c r="T639" s="38" t="str">
        <f t="shared" si="231"/>
        <v/>
      </c>
      <c r="U639" s="39" t="str">
        <f t="shared" si="232"/>
        <v/>
      </c>
      <c r="V639" s="40" t="str">
        <f t="shared" si="233"/>
        <v/>
      </c>
      <c r="W639" s="39" t="str">
        <f t="shared" si="234"/>
        <v/>
      </c>
      <c r="X639" s="34" t="str">
        <f t="shared" si="235"/>
        <v/>
      </c>
      <c r="Y639" s="41" t="str">
        <f t="shared" si="241"/>
        <v/>
      </c>
      <c r="Z639" s="98" t="str">
        <f t="shared" si="236"/>
        <v/>
      </c>
      <c r="AA639" s="81" t="str">
        <f t="shared" si="242"/>
        <v/>
      </c>
      <c r="AC639" s="139"/>
      <c r="AD639" s="110" t="str">
        <f t="shared" si="243"/>
        <v/>
      </c>
      <c r="AE639" s="111" t="str">
        <f t="shared" si="244"/>
        <v/>
      </c>
      <c r="AF639" s="111" t="str">
        <f t="shared" si="237"/>
        <v/>
      </c>
      <c r="AG639" s="111" t="str">
        <f t="shared" si="245"/>
        <v/>
      </c>
      <c r="AH639" s="111" t="str">
        <f t="shared" si="246"/>
        <v/>
      </c>
      <c r="AI639" s="112" t="str">
        <f t="shared" si="247"/>
        <v/>
      </c>
      <c r="AJ639" t="str">
        <f t="shared" si="248"/>
        <v/>
      </c>
      <c r="AK639" t="str">
        <f t="shared" si="249"/>
        <v/>
      </c>
    </row>
    <row r="640" spans="1:37" ht="15" customHeight="1" x14ac:dyDescent="0.25">
      <c r="A640" s="114"/>
      <c r="B640" s="116"/>
      <c r="C640" s="116"/>
      <c r="D640" s="42" t="str">
        <f t="shared" si="225"/>
        <v/>
      </c>
      <c r="E640" s="43"/>
      <c r="F640" s="83"/>
      <c r="G640" s="118"/>
      <c r="H640" s="34" t="str">
        <f t="shared" si="226"/>
        <v/>
      </c>
      <c r="I640" s="88" t="str">
        <f t="shared" si="227"/>
        <v/>
      </c>
      <c r="J640" s="44" t="str">
        <f t="shared" si="228"/>
        <v/>
      </c>
      <c r="K640" s="118"/>
      <c r="L640" s="34" t="str">
        <f t="shared" si="229"/>
        <v/>
      </c>
      <c r="M640" s="118"/>
      <c r="N640" s="121"/>
      <c r="O640" s="122" t="str">
        <f t="shared" si="238"/>
        <v/>
      </c>
      <c r="P640" s="35" t="str">
        <f t="shared" si="239"/>
        <v/>
      </c>
      <c r="Q640" s="124"/>
      <c r="R640" s="36" t="str">
        <f t="shared" si="240"/>
        <v/>
      </c>
      <c r="S640" s="37" t="str">
        <f t="shared" si="230"/>
        <v/>
      </c>
      <c r="T640" s="38" t="str">
        <f t="shared" si="231"/>
        <v/>
      </c>
      <c r="U640" s="39" t="str">
        <f t="shared" si="232"/>
        <v/>
      </c>
      <c r="V640" s="40" t="str">
        <f t="shared" si="233"/>
        <v/>
      </c>
      <c r="W640" s="39" t="str">
        <f t="shared" si="234"/>
        <v/>
      </c>
      <c r="X640" s="34" t="str">
        <f t="shared" si="235"/>
        <v/>
      </c>
      <c r="Y640" s="41" t="str">
        <f t="shared" si="241"/>
        <v/>
      </c>
      <c r="Z640" s="98" t="str">
        <f t="shared" si="236"/>
        <v/>
      </c>
      <c r="AA640" s="81" t="str">
        <f t="shared" si="242"/>
        <v/>
      </c>
      <c r="AC640" s="139"/>
      <c r="AD640" s="110" t="str">
        <f t="shared" si="243"/>
        <v/>
      </c>
      <c r="AE640" s="111" t="str">
        <f t="shared" si="244"/>
        <v/>
      </c>
      <c r="AF640" s="111" t="str">
        <f t="shared" si="237"/>
        <v/>
      </c>
      <c r="AG640" s="111" t="str">
        <f t="shared" si="245"/>
        <v/>
      </c>
      <c r="AH640" s="111" t="str">
        <f t="shared" si="246"/>
        <v/>
      </c>
      <c r="AI640" s="112" t="str">
        <f t="shared" si="247"/>
        <v/>
      </c>
      <c r="AJ640" t="str">
        <f t="shared" si="248"/>
        <v/>
      </c>
      <c r="AK640" t="str">
        <f t="shared" si="249"/>
        <v/>
      </c>
    </row>
    <row r="641" spans="1:37" ht="15" customHeight="1" x14ac:dyDescent="0.25">
      <c r="A641" s="114"/>
      <c r="B641" s="116"/>
      <c r="C641" s="116"/>
      <c r="D641" s="42" t="str">
        <f t="shared" si="225"/>
        <v/>
      </c>
      <c r="E641" s="43"/>
      <c r="F641" s="83"/>
      <c r="G641" s="118"/>
      <c r="H641" s="34" t="str">
        <f t="shared" si="226"/>
        <v/>
      </c>
      <c r="I641" s="88" t="str">
        <f t="shared" si="227"/>
        <v/>
      </c>
      <c r="J641" s="44" t="str">
        <f t="shared" si="228"/>
        <v/>
      </c>
      <c r="K641" s="118"/>
      <c r="L641" s="34" t="str">
        <f t="shared" si="229"/>
        <v/>
      </c>
      <c r="M641" s="118"/>
      <c r="N641" s="121"/>
      <c r="O641" s="122" t="str">
        <f t="shared" si="238"/>
        <v/>
      </c>
      <c r="P641" s="35" t="str">
        <f t="shared" si="239"/>
        <v/>
      </c>
      <c r="Q641" s="124"/>
      <c r="R641" s="36" t="str">
        <f t="shared" si="240"/>
        <v/>
      </c>
      <c r="S641" s="37" t="str">
        <f t="shared" si="230"/>
        <v/>
      </c>
      <c r="T641" s="38" t="str">
        <f t="shared" si="231"/>
        <v/>
      </c>
      <c r="U641" s="39" t="str">
        <f t="shared" si="232"/>
        <v/>
      </c>
      <c r="V641" s="40" t="str">
        <f t="shared" si="233"/>
        <v/>
      </c>
      <c r="W641" s="39" t="str">
        <f t="shared" si="234"/>
        <v/>
      </c>
      <c r="X641" s="34" t="str">
        <f t="shared" si="235"/>
        <v/>
      </c>
      <c r="Y641" s="41" t="str">
        <f t="shared" si="241"/>
        <v/>
      </c>
      <c r="Z641" s="98" t="str">
        <f t="shared" si="236"/>
        <v/>
      </c>
      <c r="AA641" s="81" t="str">
        <f t="shared" si="242"/>
        <v/>
      </c>
      <c r="AC641" s="139"/>
      <c r="AD641" s="110" t="str">
        <f t="shared" si="243"/>
        <v/>
      </c>
      <c r="AE641" s="111" t="str">
        <f t="shared" si="244"/>
        <v/>
      </c>
      <c r="AF641" s="111" t="str">
        <f t="shared" si="237"/>
        <v/>
      </c>
      <c r="AG641" s="111" t="str">
        <f t="shared" si="245"/>
        <v/>
      </c>
      <c r="AH641" s="111" t="str">
        <f t="shared" si="246"/>
        <v/>
      </c>
      <c r="AI641" s="112" t="str">
        <f t="shared" si="247"/>
        <v/>
      </c>
      <c r="AJ641" t="str">
        <f t="shared" si="248"/>
        <v/>
      </c>
      <c r="AK641" t="str">
        <f t="shared" si="249"/>
        <v/>
      </c>
    </row>
    <row r="642" spans="1:37" ht="15" customHeight="1" x14ac:dyDescent="0.25">
      <c r="A642" s="114"/>
      <c r="B642" s="116"/>
      <c r="C642" s="116"/>
      <c r="D642" s="42" t="str">
        <f t="shared" si="225"/>
        <v/>
      </c>
      <c r="E642" s="43"/>
      <c r="F642" s="83"/>
      <c r="G642" s="118"/>
      <c r="H642" s="34" t="str">
        <f t="shared" si="226"/>
        <v/>
      </c>
      <c r="I642" s="88" t="str">
        <f t="shared" si="227"/>
        <v/>
      </c>
      <c r="J642" s="44" t="str">
        <f t="shared" si="228"/>
        <v/>
      </c>
      <c r="K642" s="118"/>
      <c r="L642" s="34" t="str">
        <f t="shared" si="229"/>
        <v/>
      </c>
      <c r="M642" s="118"/>
      <c r="N642" s="121"/>
      <c r="O642" s="122" t="str">
        <f t="shared" si="238"/>
        <v/>
      </c>
      <c r="P642" s="35" t="str">
        <f t="shared" si="239"/>
        <v/>
      </c>
      <c r="Q642" s="124"/>
      <c r="R642" s="36" t="str">
        <f t="shared" si="240"/>
        <v/>
      </c>
      <c r="S642" s="37" t="str">
        <f t="shared" si="230"/>
        <v/>
      </c>
      <c r="T642" s="38" t="str">
        <f t="shared" si="231"/>
        <v/>
      </c>
      <c r="U642" s="39" t="str">
        <f t="shared" si="232"/>
        <v/>
      </c>
      <c r="V642" s="40" t="str">
        <f t="shared" si="233"/>
        <v/>
      </c>
      <c r="W642" s="39" t="str">
        <f t="shared" si="234"/>
        <v/>
      </c>
      <c r="X642" s="34" t="str">
        <f t="shared" si="235"/>
        <v/>
      </c>
      <c r="Y642" s="41" t="str">
        <f t="shared" si="241"/>
        <v/>
      </c>
      <c r="Z642" s="98" t="str">
        <f t="shared" si="236"/>
        <v/>
      </c>
      <c r="AA642" s="81" t="str">
        <f t="shared" si="242"/>
        <v/>
      </c>
      <c r="AC642" s="139"/>
      <c r="AD642" s="110" t="str">
        <f t="shared" si="243"/>
        <v/>
      </c>
      <c r="AE642" s="111" t="str">
        <f t="shared" si="244"/>
        <v/>
      </c>
      <c r="AF642" s="111" t="str">
        <f t="shared" si="237"/>
        <v/>
      </c>
      <c r="AG642" s="111" t="str">
        <f t="shared" si="245"/>
        <v/>
      </c>
      <c r="AH642" s="111" t="str">
        <f t="shared" si="246"/>
        <v/>
      </c>
      <c r="AI642" s="112" t="str">
        <f t="shared" si="247"/>
        <v/>
      </c>
      <c r="AJ642" t="str">
        <f t="shared" si="248"/>
        <v/>
      </c>
      <c r="AK642" t="str">
        <f t="shared" si="249"/>
        <v/>
      </c>
    </row>
    <row r="643" spans="1:37" ht="15" customHeight="1" x14ac:dyDescent="0.25">
      <c r="A643" s="114"/>
      <c r="B643" s="116"/>
      <c r="C643" s="116"/>
      <c r="D643" s="42" t="str">
        <f t="shared" si="225"/>
        <v/>
      </c>
      <c r="E643" s="43"/>
      <c r="F643" s="83"/>
      <c r="G643" s="118"/>
      <c r="H643" s="34" t="str">
        <f t="shared" si="226"/>
        <v/>
      </c>
      <c r="I643" s="88" t="str">
        <f t="shared" si="227"/>
        <v/>
      </c>
      <c r="J643" s="44" t="str">
        <f t="shared" si="228"/>
        <v/>
      </c>
      <c r="K643" s="118"/>
      <c r="L643" s="34" t="str">
        <f t="shared" si="229"/>
        <v/>
      </c>
      <c r="M643" s="118"/>
      <c r="N643" s="121"/>
      <c r="O643" s="122" t="str">
        <f t="shared" si="238"/>
        <v/>
      </c>
      <c r="P643" s="35" t="str">
        <f t="shared" si="239"/>
        <v/>
      </c>
      <c r="Q643" s="124"/>
      <c r="R643" s="36" t="str">
        <f t="shared" si="240"/>
        <v/>
      </c>
      <c r="S643" s="37" t="str">
        <f t="shared" si="230"/>
        <v/>
      </c>
      <c r="T643" s="38" t="str">
        <f t="shared" si="231"/>
        <v/>
      </c>
      <c r="U643" s="39" t="str">
        <f t="shared" si="232"/>
        <v/>
      </c>
      <c r="V643" s="40" t="str">
        <f t="shared" si="233"/>
        <v/>
      </c>
      <c r="W643" s="39" t="str">
        <f t="shared" si="234"/>
        <v/>
      </c>
      <c r="X643" s="34" t="str">
        <f t="shared" si="235"/>
        <v/>
      </c>
      <c r="Y643" s="41" t="str">
        <f t="shared" si="241"/>
        <v/>
      </c>
      <c r="Z643" s="98" t="str">
        <f t="shared" si="236"/>
        <v/>
      </c>
      <c r="AA643" s="81" t="str">
        <f t="shared" si="242"/>
        <v/>
      </c>
      <c r="AC643" s="139"/>
      <c r="AD643" s="110" t="str">
        <f t="shared" si="243"/>
        <v/>
      </c>
      <c r="AE643" s="111" t="str">
        <f t="shared" si="244"/>
        <v/>
      </c>
      <c r="AF643" s="111" t="str">
        <f t="shared" si="237"/>
        <v/>
      </c>
      <c r="AG643" s="111" t="str">
        <f t="shared" si="245"/>
        <v/>
      </c>
      <c r="AH643" s="111" t="str">
        <f t="shared" si="246"/>
        <v/>
      </c>
      <c r="AI643" s="112" t="str">
        <f t="shared" si="247"/>
        <v/>
      </c>
      <c r="AJ643" t="str">
        <f t="shared" si="248"/>
        <v/>
      </c>
      <c r="AK643" t="str">
        <f t="shared" si="249"/>
        <v/>
      </c>
    </row>
    <row r="644" spans="1:37" ht="15" customHeight="1" x14ac:dyDescent="0.25">
      <c r="A644" s="114"/>
      <c r="B644" s="116"/>
      <c r="C644" s="116"/>
      <c r="D644" s="42" t="str">
        <f t="shared" si="225"/>
        <v/>
      </c>
      <c r="E644" s="43"/>
      <c r="F644" s="83"/>
      <c r="G644" s="118"/>
      <c r="H644" s="34" t="str">
        <f t="shared" si="226"/>
        <v/>
      </c>
      <c r="I644" s="88" t="str">
        <f t="shared" si="227"/>
        <v/>
      </c>
      <c r="J644" s="44" t="str">
        <f t="shared" si="228"/>
        <v/>
      </c>
      <c r="K644" s="118"/>
      <c r="L644" s="34" t="str">
        <f t="shared" si="229"/>
        <v/>
      </c>
      <c r="M644" s="118"/>
      <c r="N644" s="121"/>
      <c r="O644" s="122" t="str">
        <f t="shared" si="238"/>
        <v/>
      </c>
      <c r="P644" s="35" t="str">
        <f t="shared" si="239"/>
        <v/>
      </c>
      <c r="Q644" s="124"/>
      <c r="R644" s="36" t="str">
        <f t="shared" si="240"/>
        <v/>
      </c>
      <c r="S644" s="37" t="str">
        <f t="shared" si="230"/>
        <v/>
      </c>
      <c r="T644" s="38" t="str">
        <f t="shared" si="231"/>
        <v/>
      </c>
      <c r="U644" s="39" t="str">
        <f t="shared" si="232"/>
        <v/>
      </c>
      <c r="V644" s="40" t="str">
        <f t="shared" si="233"/>
        <v/>
      </c>
      <c r="W644" s="39" t="str">
        <f t="shared" si="234"/>
        <v/>
      </c>
      <c r="X644" s="34" t="str">
        <f t="shared" si="235"/>
        <v/>
      </c>
      <c r="Y644" s="41" t="str">
        <f t="shared" si="241"/>
        <v/>
      </c>
      <c r="Z644" s="98" t="str">
        <f t="shared" si="236"/>
        <v/>
      </c>
      <c r="AA644" s="81" t="str">
        <f t="shared" si="242"/>
        <v/>
      </c>
      <c r="AC644" s="139"/>
      <c r="AD644" s="110" t="str">
        <f t="shared" si="243"/>
        <v/>
      </c>
      <c r="AE644" s="111" t="str">
        <f t="shared" si="244"/>
        <v/>
      </c>
      <c r="AF644" s="111" t="str">
        <f t="shared" si="237"/>
        <v/>
      </c>
      <c r="AG644" s="111" t="str">
        <f t="shared" si="245"/>
        <v/>
      </c>
      <c r="AH644" s="111" t="str">
        <f t="shared" si="246"/>
        <v/>
      </c>
      <c r="AI644" s="112" t="str">
        <f t="shared" si="247"/>
        <v/>
      </c>
      <c r="AJ644" t="str">
        <f t="shared" si="248"/>
        <v/>
      </c>
      <c r="AK644" t="str">
        <f t="shared" si="249"/>
        <v/>
      </c>
    </row>
    <row r="645" spans="1:37" ht="15" customHeight="1" x14ac:dyDescent="0.25">
      <c r="A645" s="114"/>
      <c r="B645" s="116"/>
      <c r="C645" s="116"/>
      <c r="D645" s="42" t="str">
        <f t="shared" si="225"/>
        <v/>
      </c>
      <c r="E645" s="43"/>
      <c r="F645" s="83"/>
      <c r="G645" s="118"/>
      <c r="H645" s="34" t="str">
        <f t="shared" si="226"/>
        <v/>
      </c>
      <c r="I645" s="88" t="str">
        <f t="shared" si="227"/>
        <v/>
      </c>
      <c r="J645" s="44" t="str">
        <f t="shared" si="228"/>
        <v/>
      </c>
      <c r="K645" s="118"/>
      <c r="L645" s="34" t="str">
        <f t="shared" si="229"/>
        <v/>
      </c>
      <c r="M645" s="118"/>
      <c r="N645" s="121"/>
      <c r="O645" s="122" t="str">
        <f t="shared" si="238"/>
        <v/>
      </c>
      <c r="P645" s="35" t="str">
        <f t="shared" si="239"/>
        <v/>
      </c>
      <c r="Q645" s="124"/>
      <c r="R645" s="36" t="str">
        <f t="shared" si="240"/>
        <v/>
      </c>
      <c r="S645" s="37" t="str">
        <f t="shared" si="230"/>
        <v/>
      </c>
      <c r="T645" s="38" t="str">
        <f t="shared" si="231"/>
        <v/>
      </c>
      <c r="U645" s="39" t="str">
        <f t="shared" si="232"/>
        <v/>
      </c>
      <c r="V645" s="40" t="str">
        <f t="shared" si="233"/>
        <v/>
      </c>
      <c r="W645" s="39" t="str">
        <f t="shared" si="234"/>
        <v/>
      </c>
      <c r="X645" s="34" t="str">
        <f t="shared" si="235"/>
        <v/>
      </c>
      <c r="Y645" s="41" t="str">
        <f t="shared" si="241"/>
        <v/>
      </c>
      <c r="Z645" s="98" t="str">
        <f t="shared" si="236"/>
        <v/>
      </c>
      <c r="AA645" s="81" t="str">
        <f t="shared" si="242"/>
        <v/>
      </c>
      <c r="AC645" s="139"/>
      <c r="AD645" s="110" t="str">
        <f t="shared" si="243"/>
        <v/>
      </c>
      <c r="AE645" s="111" t="str">
        <f t="shared" si="244"/>
        <v/>
      </c>
      <c r="AF645" s="111" t="str">
        <f t="shared" si="237"/>
        <v/>
      </c>
      <c r="AG645" s="111" t="str">
        <f t="shared" si="245"/>
        <v/>
      </c>
      <c r="AH645" s="111" t="str">
        <f t="shared" si="246"/>
        <v/>
      </c>
      <c r="AI645" s="112" t="str">
        <f t="shared" si="247"/>
        <v/>
      </c>
      <c r="AJ645" t="str">
        <f t="shared" si="248"/>
        <v/>
      </c>
      <c r="AK645" t="str">
        <f t="shared" si="249"/>
        <v/>
      </c>
    </row>
    <row r="646" spans="1:37" ht="15" customHeight="1" x14ac:dyDescent="0.25">
      <c r="A646" s="114"/>
      <c r="B646" s="116"/>
      <c r="C646" s="116"/>
      <c r="D646" s="42" t="str">
        <f t="shared" si="225"/>
        <v/>
      </c>
      <c r="E646" s="43"/>
      <c r="F646" s="83"/>
      <c r="G646" s="118"/>
      <c r="H646" s="34" t="str">
        <f t="shared" si="226"/>
        <v/>
      </c>
      <c r="I646" s="88" t="str">
        <f t="shared" si="227"/>
        <v/>
      </c>
      <c r="J646" s="44" t="str">
        <f t="shared" si="228"/>
        <v/>
      </c>
      <c r="K646" s="118"/>
      <c r="L646" s="34" t="str">
        <f t="shared" si="229"/>
        <v/>
      </c>
      <c r="M646" s="118"/>
      <c r="N646" s="121"/>
      <c r="O646" s="122" t="str">
        <f t="shared" si="238"/>
        <v/>
      </c>
      <c r="P646" s="35" t="str">
        <f t="shared" si="239"/>
        <v/>
      </c>
      <c r="Q646" s="124"/>
      <c r="R646" s="36" t="str">
        <f t="shared" si="240"/>
        <v/>
      </c>
      <c r="S646" s="37" t="str">
        <f t="shared" si="230"/>
        <v/>
      </c>
      <c r="T646" s="38" t="str">
        <f t="shared" si="231"/>
        <v/>
      </c>
      <c r="U646" s="39" t="str">
        <f t="shared" si="232"/>
        <v/>
      </c>
      <c r="V646" s="40" t="str">
        <f t="shared" si="233"/>
        <v/>
      </c>
      <c r="W646" s="39" t="str">
        <f t="shared" si="234"/>
        <v/>
      </c>
      <c r="X646" s="34" t="str">
        <f t="shared" si="235"/>
        <v/>
      </c>
      <c r="Y646" s="41" t="str">
        <f t="shared" si="241"/>
        <v/>
      </c>
      <c r="Z646" s="98" t="str">
        <f t="shared" si="236"/>
        <v/>
      </c>
      <c r="AA646" s="81" t="str">
        <f t="shared" si="242"/>
        <v/>
      </c>
      <c r="AC646" s="139"/>
      <c r="AD646" s="110" t="str">
        <f t="shared" si="243"/>
        <v/>
      </c>
      <c r="AE646" s="111" t="str">
        <f t="shared" si="244"/>
        <v/>
      </c>
      <c r="AF646" s="111" t="str">
        <f t="shared" si="237"/>
        <v/>
      </c>
      <c r="AG646" s="111" t="str">
        <f t="shared" si="245"/>
        <v/>
      </c>
      <c r="AH646" s="111" t="str">
        <f t="shared" si="246"/>
        <v/>
      </c>
      <c r="AI646" s="112" t="str">
        <f t="shared" si="247"/>
        <v/>
      </c>
      <c r="AJ646" t="str">
        <f t="shared" si="248"/>
        <v/>
      </c>
      <c r="AK646" t="str">
        <f t="shared" si="249"/>
        <v/>
      </c>
    </row>
    <row r="647" spans="1:37" ht="15" customHeight="1" x14ac:dyDescent="0.25">
      <c r="A647" s="114"/>
      <c r="B647" s="116"/>
      <c r="C647" s="116"/>
      <c r="D647" s="42" t="str">
        <f t="shared" si="225"/>
        <v/>
      </c>
      <c r="E647" s="43"/>
      <c r="F647" s="83"/>
      <c r="G647" s="118"/>
      <c r="H647" s="34" t="str">
        <f t="shared" si="226"/>
        <v/>
      </c>
      <c r="I647" s="88" t="str">
        <f t="shared" si="227"/>
        <v/>
      </c>
      <c r="J647" s="44" t="str">
        <f t="shared" si="228"/>
        <v/>
      </c>
      <c r="K647" s="118"/>
      <c r="L647" s="34" t="str">
        <f t="shared" si="229"/>
        <v/>
      </c>
      <c r="M647" s="118"/>
      <c r="N647" s="121"/>
      <c r="O647" s="122" t="str">
        <f t="shared" si="238"/>
        <v/>
      </c>
      <c r="P647" s="35" t="str">
        <f t="shared" si="239"/>
        <v/>
      </c>
      <c r="Q647" s="124"/>
      <c r="R647" s="36" t="str">
        <f t="shared" si="240"/>
        <v/>
      </c>
      <c r="S647" s="37" t="str">
        <f t="shared" si="230"/>
        <v/>
      </c>
      <c r="T647" s="38" t="str">
        <f t="shared" si="231"/>
        <v/>
      </c>
      <c r="U647" s="39" t="str">
        <f t="shared" si="232"/>
        <v/>
      </c>
      <c r="V647" s="40" t="str">
        <f t="shared" si="233"/>
        <v/>
      </c>
      <c r="W647" s="39" t="str">
        <f t="shared" si="234"/>
        <v/>
      </c>
      <c r="X647" s="34" t="str">
        <f t="shared" si="235"/>
        <v/>
      </c>
      <c r="Y647" s="41" t="str">
        <f t="shared" si="241"/>
        <v/>
      </c>
      <c r="Z647" s="98" t="str">
        <f t="shared" si="236"/>
        <v/>
      </c>
      <c r="AA647" s="81" t="str">
        <f t="shared" si="242"/>
        <v/>
      </c>
      <c r="AC647" s="139"/>
      <c r="AD647" s="110" t="str">
        <f t="shared" si="243"/>
        <v/>
      </c>
      <c r="AE647" s="111" t="str">
        <f t="shared" si="244"/>
        <v/>
      </c>
      <c r="AF647" s="111" t="str">
        <f t="shared" si="237"/>
        <v/>
      </c>
      <c r="AG647" s="111" t="str">
        <f t="shared" si="245"/>
        <v/>
      </c>
      <c r="AH647" s="111" t="str">
        <f t="shared" si="246"/>
        <v/>
      </c>
      <c r="AI647" s="112" t="str">
        <f t="shared" si="247"/>
        <v/>
      </c>
      <c r="AJ647" t="str">
        <f t="shared" si="248"/>
        <v/>
      </c>
      <c r="AK647" t="str">
        <f t="shared" si="249"/>
        <v/>
      </c>
    </row>
    <row r="648" spans="1:37" ht="15" customHeight="1" x14ac:dyDescent="0.25">
      <c r="A648" s="114"/>
      <c r="B648" s="116"/>
      <c r="C648" s="116"/>
      <c r="D648" s="42" t="str">
        <f t="shared" ref="D648:D711" si="250">IF(A648="","",B648*C648)</f>
        <v/>
      </c>
      <c r="E648" s="43"/>
      <c r="F648" s="83"/>
      <c r="G648" s="118"/>
      <c r="H648" s="34" t="str">
        <f t="shared" ref="H648:H711" si="251">IF(OR(G648=0,C648=0,G648="",C648=""),"",G648/C648)</f>
        <v/>
      </c>
      <c r="I648" s="88" t="str">
        <f t="shared" ref="I648:I711" si="252">IF(OR(G648="",F648=""),"",G648*(1-F648))</f>
        <v/>
      </c>
      <c r="J648" s="44" t="str">
        <f t="shared" ref="J648:J711" si="253">IF(A648="","",I648*B648)</f>
        <v/>
      </c>
      <c r="K648" s="118"/>
      <c r="L648" s="34" t="str">
        <f t="shared" ref="L648:L711" si="254">IF(OR(K648=0,C648=0,K648="",C648=""),"",K648/C648)</f>
        <v/>
      </c>
      <c r="M648" s="118"/>
      <c r="N648" s="121"/>
      <c r="O648" s="122" t="str">
        <f t="shared" si="238"/>
        <v/>
      </c>
      <c r="P648" s="35" t="str">
        <f t="shared" si="239"/>
        <v/>
      </c>
      <c r="Q648" s="124"/>
      <c r="R648" s="36" t="str">
        <f t="shared" si="240"/>
        <v/>
      </c>
      <c r="S648" s="37" t="str">
        <f t="shared" ref="S648:S711" si="255">IF(OR(A648="",R648=""),"",R648*C648)</f>
        <v/>
      </c>
      <c r="T648" s="38" t="str">
        <f t="shared" ref="T648:T711" si="256">IF(OR(A648="",G648&lt;=0,S648=""),"",(G648-S648)/G648)</f>
        <v/>
      </c>
      <c r="U648" s="39" t="str">
        <f t="shared" ref="U648:U711" si="257">IF(OR(G648=0,S648=0,G648="",S648=""),"",G648-S648)</f>
        <v/>
      </c>
      <c r="V648" s="40" t="str">
        <f t="shared" ref="V648:V711" si="258">IF(OR(A648="",K648&lt;=0,S648=""),"",(K648-S648)/K648)</f>
        <v/>
      </c>
      <c r="W648" s="39" t="str">
        <f t="shared" ref="W648:W711" si="259">IF(OR(K648=0,S648=0,K648="",S648=""),"",K648-S648)</f>
        <v/>
      </c>
      <c r="X648" s="34" t="str">
        <f t="shared" ref="X648:X711" si="260">IF(OR(J648="",J648=0,$N$5="",$L$3=0),"",($N$5/$L$3)*J648)</f>
        <v/>
      </c>
      <c r="Y648" s="41" t="str">
        <f t="shared" si="241"/>
        <v/>
      </c>
      <c r="Z648" s="98" t="str">
        <f t="shared" ref="Z648:Z711" si="261">IF(OR(R648=0,R648="",D648=0,D648=""),"",R648*(D648+E648))</f>
        <v/>
      </c>
      <c r="AA648" s="81" t="str">
        <f t="shared" si="242"/>
        <v/>
      </c>
      <c r="AC648" s="139"/>
      <c r="AD648" s="110" t="str">
        <f t="shared" si="243"/>
        <v/>
      </c>
      <c r="AE648" s="111" t="str">
        <f t="shared" si="244"/>
        <v/>
      </c>
      <c r="AF648" s="111" t="str">
        <f t="shared" ref="AF648:AF711" si="262">IF(AE648="","",AE648*$AD$1+IF(SUM($AE$8:$AE$1007)=0,0,$AD$2*AE648/SUM($AE$8:$AE$1007)))</f>
        <v/>
      </c>
      <c r="AG648" s="111" t="str">
        <f t="shared" si="245"/>
        <v/>
      </c>
      <c r="AH648" s="111" t="str">
        <f t="shared" si="246"/>
        <v/>
      </c>
      <c r="AI648" s="112" t="str">
        <f t="shared" si="247"/>
        <v/>
      </c>
      <c r="AJ648" t="str">
        <f t="shared" si="248"/>
        <v/>
      </c>
      <c r="AK648" t="str">
        <f t="shared" si="249"/>
        <v/>
      </c>
    </row>
    <row r="649" spans="1:37" ht="15" customHeight="1" x14ac:dyDescent="0.25">
      <c r="A649" s="114"/>
      <c r="B649" s="116"/>
      <c r="C649" s="116"/>
      <c r="D649" s="42" t="str">
        <f t="shared" si="250"/>
        <v/>
      </c>
      <c r="E649" s="43"/>
      <c r="F649" s="83"/>
      <c r="G649" s="118"/>
      <c r="H649" s="34" t="str">
        <f t="shared" si="251"/>
        <v/>
      </c>
      <c r="I649" s="88" t="str">
        <f t="shared" si="252"/>
        <v/>
      </c>
      <c r="J649" s="44" t="str">
        <f t="shared" si="253"/>
        <v/>
      </c>
      <c r="K649" s="118"/>
      <c r="L649" s="34" t="str">
        <f t="shared" si="254"/>
        <v/>
      </c>
      <c r="M649" s="118"/>
      <c r="N649" s="121"/>
      <c r="O649" s="122" t="str">
        <f t="shared" ref="O649:O712" si="263">IF(A649="","",IF(Q649&gt;0,IF(J649&gt;0,Q649/J649,0),IF(E649&gt;0,0,IF($J$3&gt;0,IF($J$4&gt;0,MAX($J$3-SUM($Q$8:$Q$1007),0)/$J$4,0),$J$2))))</f>
        <v/>
      </c>
      <c r="P649" s="35" t="str">
        <f t="shared" ref="P649:P712" si="264">IF(A649="","",IF(Q649&gt;0,Q649,IF(E649&gt;0,0,J649*IF($J$3&gt;0,IF($J$4&gt;0,MAX($J$3-SUM($Q$8:$Q$1007),0)/$J$4,0),$J$2))))</f>
        <v/>
      </c>
      <c r="Q649" s="124"/>
      <c r="R649" s="36" t="str">
        <f t="shared" ref="R649:R712" si="265">IF(A649="","",IF(OR(B649=0,B649="",C649&lt;=0,D649+E649&lt;=0),"",(J649-P649)/(D649+E649)-IF(X649&gt;=0,X649/D649,0)+IF(ISNUMBER(Y649),Y649/(D649+E649),0)))</f>
        <v/>
      </c>
      <c r="S649" s="37" t="str">
        <f t="shared" si="255"/>
        <v/>
      </c>
      <c r="T649" s="38" t="str">
        <f t="shared" si="256"/>
        <v/>
      </c>
      <c r="U649" s="39" t="str">
        <f t="shared" si="257"/>
        <v/>
      </c>
      <c r="V649" s="40" t="str">
        <f t="shared" si="258"/>
        <v/>
      </c>
      <c r="W649" s="39" t="str">
        <f t="shared" si="259"/>
        <v/>
      </c>
      <c r="X649" s="34" t="str">
        <f t="shared" si="260"/>
        <v/>
      </c>
      <c r="Y649" s="41" t="str">
        <f t="shared" ref="Y649:Y712" si="266">IF(OR(J649="",J649=0,($L$3-$L$2)=0),"",($J$1/($L$3-$L$2))*(J649-P649))</f>
        <v/>
      </c>
      <c r="Z649" s="98" t="str">
        <f t="shared" si="261"/>
        <v/>
      </c>
      <c r="AA649" s="81" t="str">
        <f t="shared" ref="AA649:AA712" si="267">IF(OR(B649=0,B649=""),"",J649)</f>
        <v/>
      </c>
      <c r="AC649" s="139"/>
      <c r="AD649" s="110" t="str">
        <f t="shared" ref="AD649:AD712" si="268">IF(AC649="","",R649)</f>
        <v/>
      </c>
      <c r="AE649" s="111" t="str">
        <f t="shared" ref="AE649:AE712" si="269">IF(OR(AC649="",AD649=""),"",AC649*AD649)</f>
        <v/>
      </c>
      <c r="AF649" s="111" t="str">
        <f t="shared" si="262"/>
        <v/>
      </c>
      <c r="AG649" s="111" t="str">
        <f t="shared" ref="AG649:AG712" si="270">IF(AE649="","",AE649-AF649)</f>
        <v/>
      </c>
      <c r="AH649" s="111" t="str">
        <f t="shared" ref="AH649:AH712" si="271">IF(AG649="","",AI649-AG649)</f>
        <v/>
      </c>
      <c r="AI649" s="112" t="str">
        <f t="shared" ref="AI649:AI712" si="272">IF(AG649="","",ROUND(AG649,0))</f>
        <v/>
      </c>
      <c r="AJ649" t="str">
        <f t="shared" ref="AJ649:AJ712" si="273">IF(OR(AC649=0,AC649=""),"",AF649/AC649)</f>
        <v/>
      </c>
      <c r="AK649" t="str">
        <f t="shared" ref="AK649:AK712" si="274">IF(OR(AC649=0,AC649=""),"",AD649*C649)</f>
        <v/>
      </c>
    </row>
    <row r="650" spans="1:37" ht="15" customHeight="1" x14ac:dyDescent="0.25">
      <c r="A650" s="114"/>
      <c r="B650" s="116"/>
      <c r="C650" s="116"/>
      <c r="D650" s="42" t="str">
        <f t="shared" si="250"/>
        <v/>
      </c>
      <c r="E650" s="43"/>
      <c r="F650" s="83"/>
      <c r="G650" s="118"/>
      <c r="H650" s="34" t="str">
        <f t="shared" si="251"/>
        <v/>
      </c>
      <c r="I650" s="88" t="str">
        <f t="shared" si="252"/>
        <v/>
      </c>
      <c r="J650" s="44" t="str">
        <f t="shared" si="253"/>
        <v/>
      </c>
      <c r="K650" s="118"/>
      <c r="L650" s="34" t="str">
        <f t="shared" si="254"/>
        <v/>
      </c>
      <c r="M650" s="118"/>
      <c r="N650" s="121"/>
      <c r="O650" s="122" t="str">
        <f t="shared" si="263"/>
        <v/>
      </c>
      <c r="P650" s="35" t="str">
        <f t="shared" si="264"/>
        <v/>
      </c>
      <c r="Q650" s="124"/>
      <c r="R650" s="36" t="str">
        <f t="shared" si="265"/>
        <v/>
      </c>
      <c r="S650" s="37" t="str">
        <f t="shared" si="255"/>
        <v/>
      </c>
      <c r="T650" s="38" t="str">
        <f t="shared" si="256"/>
        <v/>
      </c>
      <c r="U650" s="39" t="str">
        <f t="shared" si="257"/>
        <v/>
      </c>
      <c r="V650" s="40" t="str">
        <f t="shared" si="258"/>
        <v/>
      </c>
      <c r="W650" s="39" t="str">
        <f t="shared" si="259"/>
        <v/>
      </c>
      <c r="X650" s="34" t="str">
        <f t="shared" si="260"/>
        <v/>
      </c>
      <c r="Y650" s="41" t="str">
        <f t="shared" si="266"/>
        <v/>
      </c>
      <c r="Z650" s="98" t="str">
        <f t="shared" si="261"/>
        <v/>
      </c>
      <c r="AA650" s="81" t="str">
        <f t="shared" si="267"/>
        <v/>
      </c>
      <c r="AC650" s="139"/>
      <c r="AD650" s="110" t="str">
        <f t="shared" si="268"/>
        <v/>
      </c>
      <c r="AE650" s="111" t="str">
        <f t="shared" si="269"/>
        <v/>
      </c>
      <c r="AF650" s="111" t="str">
        <f t="shared" si="262"/>
        <v/>
      </c>
      <c r="AG650" s="111" t="str">
        <f t="shared" si="270"/>
        <v/>
      </c>
      <c r="AH650" s="111" t="str">
        <f t="shared" si="271"/>
        <v/>
      </c>
      <c r="AI650" s="112" t="str">
        <f t="shared" si="272"/>
        <v/>
      </c>
      <c r="AJ650" t="str">
        <f t="shared" si="273"/>
        <v/>
      </c>
      <c r="AK650" t="str">
        <f t="shared" si="274"/>
        <v/>
      </c>
    </row>
    <row r="651" spans="1:37" ht="15" customHeight="1" x14ac:dyDescent="0.25">
      <c r="A651" s="114"/>
      <c r="B651" s="116"/>
      <c r="C651" s="116"/>
      <c r="D651" s="42" t="str">
        <f t="shared" si="250"/>
        <v/>
      </c>
      <c r="E651" s="43"/>
      <c r="F651" s="83"/>
      <c r="G651" s="118"/>
      <c r="H651" s="34" t="str">
        <f t="shared" si="251"/>
        <v/>
      </c>
      <c r="I651" s="88" t="str">
        <f t="shared" si="252"/>
        <v/>
      </c>
      <c r="J651" s="44" t="str">
        <f t="shared" si="253"/>
        <v/>
      </c>
      <c r="K651" s="118"/>
      <c r="L651" s="34" t="str">
        <f t="shared" si="254"/>
        <v/>
      </c>
      <c r="M651" s="118"/>
      <c r="N651" s="121"/>
      <c r="O651" s="122" t="str">
        <f t="shared" si="263"/>
        <v/>
      </c>
      <c r="P651" s="35" t="str">
        <f t="shared" si="264"/>
        <v/>
      </c>
      <c r="Q651" s="124"/>
      <c r="R651" s="36" t="str">
        <f t="shared" si="265"/>
        <v/>
      </c>
      <c r="S651" s="37" t="str">
        <f t="shared" si="255"/>
        <v/>
      </c>
      <c r="T651" s="38" t="str">
        <f t="shared" si="256"/>
        <v/>
      </c>
      <c r="U651" s="39" t="str">
        <f t="shared" si="257"/>
        <v/>
      </c>
      <c r="V651" s="40" t="str">
        <f t="shared" si="258"/>
        <v/>
      </c>
      <c r="W651" s="39" t="str">
        <f t="shared" si="259"/>
        <v/>
      </c>
      <c r="X651" s="34" t="str">
        <f t="shared" si="260"/>
        <v/>
      </c>
      <c r="Y651" s="41" t="str">
        <f t="shared" si="266"/>
        <v/>
      </c>
      <c r="Z651" s="98" t="str">
        <f t="shared" si="261"/>
        <v/>
      </c>
      <c r="AA651" s="81" t="str">
        <f t="shared" si="267"/>
        <v/>
      </c>
      <c r="AC651" s="139"/>
      <c r="AD651" s="110" t="str">
        <f t="shared" si="268"/>
        <v/>
      </c>
      <c r="AE651" s="111" t="str">
        <f t="shared" si="269"/>
        <v/>
      </c>
      <c r="AF651" s="111" t="str">
        <f t="shared" si="262"/>
        <v/>
      </c>
      <c r="AG651" s="111" t="str">
        <f t="shared" si="270"/>
        <v/>
      </c>
      <c r="AH651" s="111" t="str">
        <f t="shared" si="271"/>
        <v/>
      </c>
      <c r="AI651" s="112" t="str">
        <f t="shared" si="272"/>
        <v/>
      </c>
      <c r="AJ651" t="str">
        <f t="shared" si="273"/>
        <v/>
      </c>
      <c r="AK651" t="str">
        <f t="shared" si="274"/>
        <v/>
      </c>
    </row>
    <row r="652" spans="1:37" ht="15" customHeight="1" x14ac:dyDescent="0.25">
      <c r="A652" s="114"/>
      <c r="B652" s="116"/>
      <c r="C652" s="116"/>
      <c r="D652" s="42" t="str">
        <f t="shared" si="250"/>
        <v/>
      </c>
      <c r="E652" s="43"/>
      <c r="F652" s="83"/>
      <c r="G652" s="118"/>
      <c r="H652" s="34" t="str">
        <f t="shared" si="251"/>
        <v/>
      </c>
      <c r="I652" s="88" t="str">
        <f t="shared" si="252"/>
        <v/>
      </c>
      <c r="J652" s="44" t="str">
        <f t="shared" si="253"/>
        <v/>
      </c>
      <c r="K652" s="118"/>
      <c r="L652" s="34" t="str">
        <f t="shared" si="254"/>
        <v/>
      </c>
      <c r="M652" s="118"/>
      <c r="N652" s="121"/>
      <c r="O652" s="122" t="str">
        <f t="shared" si="263"/>
        <v/>
      </c>
      <c r="P652" s="35" t="str">
        <f t="shared" si="264"/>
        <v/>
      </c>
      <c r="Q652" s="124"/>
      <c r="R652" s="36" t="str">
        <f t="shared" si="265"/>
        <v/>
      </c>
      <c r="S652" s="37" t="str">
        <f t="shared" si="255"/>
        <v/>
      </c>
      <c r="T652" s="38" t="str">
        <f t="shared" si="256"/>
        <v/>
      </c>
      <c r="U652" s="39" t="str">
        <f t="shared" si="257"/>
        <v/>
      </c>
      <c r="V652" s="40" t="str">
        <f t="shared" si="258"/>
        <v/>
      </c>
      <c r="W652" s="39" t="str">
        <f t="shared" si="259"/>
        <v/>
      </c>
      <c r="X652" s="34" t="str">
        <f t="shared" si="260"/>
        <v/>
      </c>
      <c r="Y652" s="41" t="str">
        <f t="shared" si="266"/>
        <v/>
      </c>
      <c r="Z652" s="98" t="str">
        <f t="shared" si="261"/>
        <v/>
      </c>
      <c r="AA652" s="81" t="str">
        <f t="shared" si="267"/>
        <v/>
      </c>
      <c r="AC652" s="139"/>
      <c r="AD652" s="110" t="str">
        <f t="shared" si="268"/>
        <v/>
      </c>
      <c r="AE652" s="111" t="str">
        <f t="shared" si="269"/>
        <v/>
      </c>
      <c r="AF652" s="111" t="str">
        <f t="shared" si="262"/>
        <v/>
      </c>
      <c r="AG652" s="111" t="str">
        <f t="shared" si="270"/>
        <v/>
      </c>
      <c r="AH652" s="111" t="str">
        <f t="shared" si="271"/>
        <v/>
      </c>
      <c r="AI652" s="112" t="str">
        <f t="shared" si="272"/>
        <v/>
      </c>
      <c r="AJ652" t="str">
        <f t="shared" si="273"/>
        <v/>
      </c>
      <c r="AK652" t="str">
        <f t="shared" si="274"/>
        <v/>
      </c>
    </row>
    <row r="653" spans="1:37" ht="15" customHeight="1" x14ac:dyDescent="0.25">
      <c r="A653" s="114"/>
      <c r="B653" s="116"/>
      <c r="C653" s="116"/>
      <c r="D653" s="42" t="str">
        <f t="shared" si="250"/>
        <v/>
      </c>
      <c r="E653" s="43"/>
      <c r="F653" s="83"/>
      <c r="G653" s="118"/>
      <c r="H653" s="34" t="str">
        <f t="shared" si="251"/>
        <v/>
      </c>
      <c r="I653" s="88" t="str">
        <f t="shared" si="252"/>
        <v/>
      </c>
      <c r="J653" s="44" t="str">
        <f t="shared" si="253"/>
        <v/>
      </c>
      <c r="K653" s="118"/>
      <c r="L653" s="34" t="str">
        <f t="shared" si="254"/>
        <v/>
      </c>
      <c r="M653" s="118"/>
      <c r="N653" s="121"/>
      <c r="O653" s="122" t="str">
        <f t="shared" si="263"/>
        <v/>
      </c>
      <c r="P653" s="35" t="str">
        <f t="shared" si="264"/>
        <v/>
      </c>
      <c r="Q653" s="124"/>
      <c r="R653" s="36" t="str">
        <f t="shared" si="265"/>
        <v/>
      </c>
      <c r="S653" s="37" t="str">
        <f t="shared" si="255"/>
        <v/>
      </c>
      <c r="T653" s="38" t="str">
        <f t="shared" si="256"/>
        <v/>
      </c>
      <c r="U653" s="39" t="str">
        <f t="shared" si="257"/>
        <v/>
      </c>
      <c r="V653" s="40" t="str">
        <f t="shared" si="258"/>
        <v/>
      </c>
      <c r="W653" s="39" t="str">
        <f t="shared" si="259"/>
        <v/>
      </c>
      <c r="X653" s="34" t="str">
        <f t="shared" si="260"/>
        <v/>
      </c>
      <c r="Y653" s="41" t="str">
        <f t="shared" si="266"/>
        <v/>
      </c>
      <c r="Z653" s="98" t="str">
        <f t="shared" si="261"/>
        <v/>
      </c>
      <c r="AA653" s="81" t="str">
        <f t="shared" si="267"/>
        <v/>
      </c>
      <c r="AC653" s="139"/>
      <c r="AD653" s="110" t="str">
        <f t="shared" si="268"/>
        <v/>
      </c>
      <c r="AE653" s="111" t="str">
        <f t="shared" si="269"/>
        <v/>
      </c>
      <c r="AF653" s="111" t="str">
        <f t="shared" si="262"/>
        <v/>
      </c>
      <c r="AG653" s="111" t="str">
        <f t="shared" si="270"/>
        <v/>
      </c>
      <c r="AH653" s="111" t="str">
        <f t="shared" si="271"/>
        <v/>
      </c>
      <c r="AI653" s="112" t="str">
        <f t="shared" si="272"/>
        <v/>
      </c>
      <c r="AJ653" t="str">
        <f t="shared" si="273"/>
        <v/>
      </c>
      <c r="AK653" t="str">
        <f t="shared" si="274"/>
        <v/>
      </c>
    </row>
    <row r="654" spans="1:37" ht="15" customHeight="1" x14ac:dyDescent="0.25">
      <c r="A654" s="114"/>
      <c r="B654" s="116"/>
      <c r="C654" s="116"/>
      <c r="D654" s="42" t="str">
        <f t="shared" si="250"/>
        <v/>
      </c>
      <c r="E654" s="43"/>
      <c r="F654" s="83"/>
      <c r="G654" s="118"/>
      <c r="H654" s="34" t="str">
        <f t="shared" si="251"/>
        <v/>
      </c>
      <c r="I654" s="88" t="str">
        <f t="shared" si="252"/>
        <v/>
      </c>
      <c r="J654" s="44" t="str">
        <f t="shared" si="253"/>
        <v/>
      </c>
      <c r="K654" s="118"/>
      <c r="L654" s="34" t="str">
        <f t="shared" si="254"/>
        <v/>
      </c>
      <c r="M654" s="118"/>
      <c r="N654" s="121"/>
      <c r="O654" s="122" t="str">
        <f t="shared" si="263"/>
        <v/>
      </c>
      <c r="P654" s="35" t="str">
        <f t="shared" si="264"/>
        <v/>
      </c>
      <c r="Q654" s="124"/>
      <c r="R654" s="36" t="str">
        <f t="shared" si="265"/>
        <v/>
      </c>
      <c r="S654" s="37" t="str">
        <f t="shared" si="255"/>
        <v/>
      </c>
      <c r="T654" s="38" t="str">
        <f t="shared" si="256"/>
        <v/>
      </c>
      <c r="U654" s="39" t="str">
        <f t="shared" si="257"/>
        <v/>
      </c>
      <c r="V654" s="40" t="str">
        <f t="shared" si="258"/>
        <v/>
      </c>
      <c r="W654" s="39" t="str">
        <f t="shared" si="259"/>
        <v/>
      </c>
      <c r="X654" s="34" t="str">
        <f t="shared" si="260"/>
        <v/>
      </c>
      <c r="Y654" s="41" t="str">
        <f t="shared" si="266"/>
        <v/>
      </c>
      <c r="Z654" s="98" t="str">
        <f t="shared" si="261"/>
        <v/>
      </c>
      <c r="AA654" s="81" t="str">
        <f t="shared" si="267"/>
        <v/>
      </c>
      <c r="AC654" s="139"/>
      <c r="AD654" s="110" t="str">
        <f t="shared" si="268"/>
        <v/>
      </c>
      <c r="AE654" s="111" t="str">
        <f t="shared" si="269"/>
        <v/>
      </c>
      <c r="AF654" s="111" t="str">
        <f t="shared" si="262"/>
        <v/>
      </c>
      <c r="AG654" s="111" t="str">
        <f t="shared" si="270"/>
        <v/>
      </c>
      <c r="AH654" s="111" t="str">
        <f t="shared" si="271"/>
        <v/>
      </c>
      <c r="AI654" s="112" t="str">
        <f t="shared" si="272"/>
        <v/>
      </c>
      <c r="AJ654" t="str">
        <f t="shared" si="273"/>
        <v/>
      </c>
      <c r="AK654" t="str">
        <f t="shared" si="274"/>
        <v/>
      </c>
    </row>
    <row r="655" spans="1:37" ht="15" customHeight="1" x14ac:dyDescent="0.25">
      <c r="A655" s="114"/>
      <c r="B655" s="116"/>
      <c r="C655" s="116"/>
      <c r="D655" s="42" t="str">
        <f t="shared" si="250"/>
        <v/>
      </c>
      <c r="E655" s="43"/>
      <c r="F655" s="83"/>
      <c r="G655" s="118"/>
      <c r="H655" s="34" t="str">
        <f t="shared" si="251"/>
        <v/>
      </c>
      <c r="I655" s="88" t="str">
        <f t="shared" si="252"/>
        <v/>
      </c>
      <c r="J655" s="44" t="str">
        <f t="shared" si="253"/>
        <v/>
      </c>
      <c r="K655" s="118"/>
      <c r="L655" s="34" t="str">
        <f t="shared" si="254"/>
        <v/>
      </c>
      <c r="M655" s="118"/>
      <c r="N655" s="121"/>
      <c r="O655" s="122" t="str">
        <f t="shared" si="263"/>
        <v/>
      </c>
      <c r="P655" s="35" t="str">
        <f t="shared" si="264"/>
        <v/>
      </c>
      <c r="Q655" s="124"/>
      <c r="R655" s="36" t="str">
        <f t="shared" si="265"/>
        <v/>
      </c>
      <c r="S655" s="37" t="str">
        <f t="shared" si="255"/>
        <v/>
      </c>
      <c r="T655" s="38" t="str">
        <f t="shared" si="256"/>
        <v/>
      </c>
      <c r="U655" s="39" t="str">
        <f t="shared" si="257"/>
        <v/>
      </c>
      <c r="V655" s="40" t="str">
        <f t="shared" si="258"/>
        <v/>
      </c>
      <c r="W655" s="39" t="str">
        <f t="shared" si="259"/>
        <v/>
      </c>
      <c r="X655" s="34" t="str">
        <f t="shared" si="260"/>
        <v/>
      </c>
      <c r="Y655" s="41" t="str">
        <f t="shared" si="266"/>
        <v/>
      </c>
      <c r="Z655" s="98" t="str">
        <f t="shared" si="261"/>
        <v/>
      </c>
      <c r="AA655" s="81" t="str">
        <f t="shared" si="267"/>
        <v/>
      </c>
      <c r="AC655" s="139"/>
      <c r="AD655" s="110" t="str">
        <f t="shared" si="268"/>
        <v/>
      </c>
      <c r="AE655" s="111" t="str">
        <f t="shared" si="269"/>
        <v/>
      </c>
      <c r="AF655" s="111" t="str">
        <f t="shared" si="262"/>
        <v/>
      </c>
      <c r="AG655" s="111" t="str">
        <f t="shared" si="270"/>
        <v/>
      </c>
      <c r="AH655" s="111" t="str">
        <f t="shared" si="271"/>
        <v/>
      </c>
      <c r="AI655" s="112" t="str">
        <f t="shared" si="272"/>
        <v/>
      </c>
      <c r="AJ655" t="str">
        <f t="shared" si="273"/>
        <v/>
      </c>
      <c r="AK655" t="str">
        <f t="shared" si="274"/>
        <v/>
      </c>
    </row>
    <row r="656" spans="1:37" ht="15" customHeight="1" x14ac:dyDescent="0.25">
      <c r="A656" s="114"/>
      <c r="B656" s="116"/>
      <c r="C656" s="116"/>
      <c r="D656" s="42" t="str">
        <f t="shared" si="250"/>
        <v/>
      </c>
      <c r="E656" s="43"/>
      <c r="F656" s="83"/>
      <c r="G656" s="118"/>
      <c r="H656" s="34" t="str">
        <f t="shared" si="251"/>
        <v/>
      </c>
      <c r="I656" s="88" t="str">
        <f t="shared" si="252"/>
        <v/>
      </c>
      <c r="J656" s="44" t="str">
        <f t="shared" si="253"/>
        <v/>
      </c>
      <c r="K656" s="118"/>
      <c r="L656" s="34" t="str">
        <f t="shared" si="254"/>
        <v/>
      </c>
      <c r="M656" s="118"/>
      <c r="N656" s="121"/>
      <c r="O656" s="122" t="str">
        <f t="shared" si="263"/>
        <v/>
      </c>
      <c r="P656" s="35" t="str">
        <f t="shared" si="264"/>
        <v/>
      </c>
      <c r="Q656" s="124"/>
      <c r="R656" s="36" t="str">
        <f t="shared" si="265"/>
        <v/>
      </c>
      <c r="S656" s="37" t="str">
        <f t="shared" si="255"/>
        <v/>
      </c>
      <c r="T656" s="38" t="str">
        <f t="shared" si="256"/>
        <v/>
      </c>
      <c r="U656" s="39" t="str">
        <f t="shared" si="257"/>
        <v/>
      </c>
      <c r="V656" s="40" t="str">
        <f t="shared" si="258"/>
        <v/>
      </c>
      <c r="W656" s="39" t="str">
        <f t="shared" si="259"/>
        <v/>
      </c>
      <c r="X656" s="34" t="str">
        <f t="shared" si="260"/>
        <v/>
      </c>
      <c r="Y656" s="41" t="str">
        <f t="shared" si="266"/>
        <v/>
      </c>
      <c r="Z656" s="98" t="str">
        <f t="shared" si="261"/>
        <v/>
      </c>
      <c r="AA656" s="81" t="str">
        <f t="shared" si="267"/>
        <v/>
      </c>
      <c r="AC656" s="139"/>
      <c r="AD656" s="110" t="str">
        <f t="shared" si="268"/>
        <v/>
      </c>
      <c r="AE656" s="111" t="str">
        <f t="shared" si="269"/>
        <v/>
      </c>
      <c r="AF656" s="111" t="str">
        <f t="shared" si="262"/>
        <v/>
      </c>
      <c r="AG656" s="111" t="str">
        <f t="shared" si="270"/>
        <v/>
      </c>
      <c r="AH656" s="111" t="str">
        <f t="shared" si="271"/>
        <v/>
      </c>
      <c r="AI656" s="112" t="str">
        <f t="shared" si="272"/>
        <v/>
      </c>
      <c r="AJ656" t="str">
        <f t="shared" si="273"/>
        <v/>
      </c>
      <c r="AK656" t="str">
        <f t="shared" si="274"/>
        <v/>
      </c>
    </row>
    <row r="657" spans="1:37" ht="15" customHeight="1" x14ac:dyDescent="0.25">
      <c r="A657" s="114"/>
      <c r="B657" s="116"/>
      <c r="C657" s="116"/>
      <c r="D657" s="42" t="str">
        <f t="shared" si="250"/>
        <v/>
      </c>
      <c r="E657" s="43"/>
      <c r="F657" s="83"/>
      <c r="G657" s="118"/>
      <c r="H657" s="34" t="str">
        <f t="shared" si="251"/>
        <v/>
      </c>
      <c r="I657" s="88" t="str">
        <f t="shared" si="252"/>
        <v/>
      </c>
      <c r="J657" s="44" t="str">
        <f t="shared" si="253"/>
        <v/>
      </c>
      <c r="K657" s="118"/>
      <c r="L657" s="34" t="str">
        <f t="shared" si="254"/>
        <v/>
      </c>
      <c r="M657" s="118"/>
      <c r="N657" s="121"/>
      <c r="O657" s="122" t="str">
        <f t="shared" si="263"/>
        <v/>
      </c>
      <c r="P657" s="35" t="str">
        <f t="shared" si="264"/>
        <v/>
      </c>
      <c r="Q657" s="124"/>
      <c r="R657" s="36" t="str">
        <f t="shared" si="265"/>
        <v/>
      </c>
      <c r="S657" s="37" t="str">
        <f t="shared" si="255"/>
        <v/>
      </c>
      <c r="T657" s="38" t="str">
        <f t="shared" si="256"/>
        <v/>
      </c>
      <c r="U657" s="39" t="str">
        <f t="shared" si="257"/>
        <v/>
      </c>
      <c r="V657" s="40" t="str">
        <f t="shared" si="258"/>
        <v/>
      </c>
      <c r="W657" s="39" t="str">
        <f t="shared" si="259"/>
        <v/>
      </c>
      <c r="X657" s="34" t="str">
        <f t="shared" si="260"/>
        <v/>
      </c>
      <c r="Y657" s="41" t="str">
        <f t="shared" si="266"/>
        <v/>
      </c>
      <c r="Z657" s="98" t="str">
        <f t="shared" si="261"/>
        <v/>
      </c>
      <c r="AA657" s="81" t="str">
        <f t="shared" si="267"/>
        <v/>
      </c>
      <c r="AC657" s="139"/>
      <c r="AD657" s="110" t="str">
        <f t="shared" si="268"/>
        <v/>
      </c>
      <c r="AE657" s="111" t="str">
        <f t="shared" si="269"/>
        <v/>
      </c>
      <c r="AF657" s="111" t="str">
        <f t="shared" si="262"/>
        <v/>
      </c>
      <c r="AG657" s="111" t="str">
        <f t="shared" si="270"/>
        <v/>
      </c>
      <c r="AH657" s="111" t="str">
        <f t="shared" si="271"/>
        <v/>
      </c>
      <c r="AI657" s="112" t="str">
        <f t="shared" si="272"/>
        <v/>
      </c>
      <c r="AJ657" t="str">
        <f t="shared" si="273"/>
        <v/>
      </c>
      <c r="AK657" t="str">
        <f t="shared" si="274"/>
        <v/>
      </c>
    </row>
    <row r="658" spans="1:37" ht="15" customHeight="1" x14ac:dyDescent="0.25">
      <c r="A658" s="114"/>
      <c r="B658" s="116"/>
      <c r="C658" s="116"/>
      <c r="D658" s="42" t="str">
        <f t="shared" si="250"/>
        <v/>
      </c>
      <c r="E658" s="43"/>
      <c r="F658" s="83"/>
      <c r="G658" s="118"/>
      <c r="H658" s="34" t="str">
        <f t="shared" si="251"/>
        <v/>
      </c>
      <c r="I658" s="88" t="str">
        <f t="shared" si="252"/>
        <v/>
      </c>
      <c r="J658" s="44" t="str">
        <f t="shared" si="253"/>
        <v/>
      </c>
      <c r="K658" s="118"/>
      <c r="L658" s="34" t="str">
        <f t="shared" si="254"/>
        <v/>
      </c>
      <c r="M658" s="118"/>
      <c r="N658" s="121"/>
      <c r="O658" s="122" t="str">
        <f t="shared" si="263"/>
        <v/>
      </c>
      <c r="P658" s="35" t="str">
        <f t="shared" si="264"/>
        <v/>
      </c>
      <c r="Q658" s="124"/>
      <c r="R658" s="36" t="str">
        <f t="shared" si="265"/>
        <v/>
      </c>
      <c r="S658" s="37" t="str">
        <f t="shared" si="255"/>
        <v/>
      </c>
      <c r="T658" s="38" t="str">
        <f t="shared" si="256"/>
        <v/>
      </c>
      <c r="U658" s="39" t="str">
        <f t="shared" si="257"/>
        <v/>
      </c>
      <c r="V658" s="40" t="str">
        <f t="shared" si="258"/>
        <v/>
      </c>
      <c r="W658" s="39" t="str">
        <f t="shared" si="259"/>
        <v/>
      </c>
      <c r="X658" s="34" t="str">
        <f t="shared" si="260"/>
        <v/>
      </c>
      <c r="Y658" s="41" t="str">
        <f t="shared" si="266"/>
        <v/>
      </c>
      <c r="Z658" s="98" t="str">
        <f t="shared" si="261"/>
        <v/>
      </c>
      <c r="AA658" s="81" t="str">
        <f t="shared" si="267"/>
        <v/>
      </c>
      <c r="AC658" s="139"/>
      <c r="AD658" s="110" t="str">
        <f t="shared" si="268"/>
        <v/>
      </c>
      <c r="AE658" s="111" t="str">
        <f t="shared" si="269"/>
        <v/>
      </c>
      <c r="AF658" s="111" t="str">
        <f t="shared" si="262"/>
        <v/>
      </c>
      <c r="AG658" s="111" t="str">
        <f t="shared" si="270"/>
        <v/>
      </c>
      <c r="AH658" s="111" t="str">
        <f t="shared" si="271"/>
        <v/>
      </c>
      <c r="AI658" s="112" t="str">
        <f t="shared" si="272"/>
        <v/>
      </c>
      <c r="AJ658" t="str">
        <f t="shared" si="273"/>
        <v/>
      </c>
      <c r="AK658" t="str">
        <f t="shared" si="274"/>
        <v/>
      </c>
    </row>
    <row r="659" spans="1:37" ht="15" customHeight="1" x14ac:dyDescent="0.25">
      <c r="A659" s="114"/>
      <c r="B659" s="116"/>
      <c r="C659" s="116"/>
      <c r="D659" s="42" t="str">
        <f t="shared" si="250"/>
        <v/>
      </c>
      <c r="E659" s="43"/>
      <c r="F659" s="83"/>
      <c r="G659" s="118"/>
      <c r="H659" s="34" t="str">
        <f t="shared" si="251"/>
        <v/>
      </c>
      <c r="I659" s="88" t="str">
        <f t="shared" si="252"/>
        <v/>
      </c>
      <c r="J659" s="44" t="str">
        <f t="shared" si="253"/>
        <v/>
      </c>
      <c r="K659" s="118"/>
      <c r="L659" s="34" t="str">
        <f t="shared" si="254"/>
        <v/>
      </c>
      <c r="M659" s="118"/>
      <c r="N659" s="121"/>
      <c r="O659" s="122" t="str">
        <f t="shared" si="263"/>
        <v/>
      </c>
      <c r="P659" s="35" t="str">
        <f t="shared" si="264"/>
        <v/>
      </c>
      <c r="Q659" s="124"/>
      <c r="R659" s="36" t="str">
        <f t="shared" si="265"/>
        <v/>
      </c>
      <c r="S659" s="37" t="str">
        <f t="shared" si="255"/>
        <v/>
      </c>
      <c r="T659" s="38" t="str">
        <f t="shared" si="256"/>
        <v/>
      </c>
      <c r="U659" s="39" t="str">
        <f t="shared" si="257"/>
        <v/>
      </c>
      <c r="V659" s="40" t="str">
        <f t="shared" si="258"/>
        <v/>
      </c>
      <c r="W659" s="39" t="str">
        <f t="shared" si="259"/>
        <v/>
      </c>
      <c r="X659" s="34" t="str">
        <f t="shared" si="260"/>
        <v/>
      </c>
      <c r="Y659" s="41" t="str">
        <f t="shared" si="266"/>
        <v/>
      </c>
      <c r="Z659" s="98" t="str">
        <f t="shared" si="261"/>
        <v/>
      </c>
      <c r="AA659" s="81" t="str">
        <f t="shared" si="267"/>
        <v/>
      </c>
      <c r="AC659" s="139"/>
      <c r="AD659" s="110" t="str">
        <f t="shared" si="268"/>
        <v/>
      </c>
      <c r="AE659" s="111" t="str">
        <f t="shared" si="269"/>
        <v/>
      </c>
      <c r="AF659" s="111" t="str">
        <f t="shared" si="262"/>
        <v/>
      </c>
      <c r="AG659" s="111" t="str">
        <f t="shared" si="270"/>
        <v/>
      </c>
      <c r="AH659" s="111" t="str">
        <f t="shared" si="271"/>
        <v/>
      </c>
      <c r="AI659" s="112" t="str">
        <f t="shared" si="272"/>
        <v/>
      </c>
      <c r="AJ659" t="str">
        <f t="shared" si="273"/>
        <v/>
      </c>
      <c r="AK659" t="str">
        <f t="shared" si="274"/>
        <v/>
      </c>
    </row>
    <row r="660" spans="1:37" ht="15" customHeight="1" x14ac:dyDescent="0.25">
      <c r="A660" s="114"/>
      <c r="B660" s="116"/>
      <c r="C660" s="116"/>
      <c r="D660" s="42" t="str">
        <f t="shared" si="250"/>
        <v/>
      </c>
      <c r="E660" s="43"/>
      <c r="F660" s="83"/>
      <c r="G660" s="118"/>
      <c r="H660" s="34" t="str">
        <f t="shared" si="251"/>
        <v/>
      </c>
      <c r="I660" s="88" t="str">
        <f t="shared" si="252"/>
        <v/>
      </c>
      <c r="J660" s="44" t="str">
        <f t="shared" si="253"/>
        <v/>
      </c>
      <c r="K660" s="118"/>
      <c r="L660" s="34" t="str">
        <f t="shared" si="254"/>
        <v/>
      </c>
      <c r="M660" s="118"/>
      <c r="N660" s="121"/>
      <c r="O660" s="122" t="str">
        <f t="shared" si="263"/>
        <v/>
      </c>
      <c r="P660" s="35" t="str">
        <f t="shared" si="264"/>
        <v/>
      </c>
      <c r="Q660" s="124"/>
      <c r="R660" s="36" t="str">
        <f t="shared" si="265"/>
        <v/>
      </c>
      <c r="S660" s="37" t="str">
        <f t="shared" si="255"/>
        <v/>
      </c>
      <c r="T660" s="38" t="str">
        <f t="shared" si="256"/>
        <v/>
      </c>
      <c r="U660" s="39" t="str">
        <f t="shared" si="257"/>
        <v/>
      </c>
      <c r="V660" s="40" t="str">
        <f t="shared" si="258"/>
        <v/>
      </c>
      <c r="W660" s="39" t="str">
        <f t="shared" si="259"/>
        <v/>
      </c>
      <c r="X660" s="34" t="str">
        <f t="shared" si="260"/>
        <v/>
      </c>
      <c r="Y660" s="41" t="str">
        <f t="shared" si="266"/>
        <v/>
      </c>
      <c r="Z660" s="98" t="str">
        <f t="shared" si="261"/>
        <v/>
      </c>
      <c r="AA660" s="81" t="str">
        <f t="shared" si="267"/>
        <v/>
      </c>
      <c r="AC660" s="139"/>
      <c r="AD660" s="110" t="str">
        <f t="shared" si="268"/>
        <v/>
      </c>
      <c r="AE660" s="111" t="str">
        <f t="shared" si="269"/>
        <v/>
      </c>
      <c r="AF660" s="111" t="str">
        <f t="shared" si="262"/>
        <v/>
      </c>
      <c r="AG660" s="111" t="str">
        <f t="shared" si="270"/>
        <v/>
      </c>
      <c r="AH660" s="111" t="str">
        <f t="shared" si="271"/>
        <v/>
      </c>
      <c r="AI660" s="112" t="str">
        <f t="shared" si="272"/>
        <v/>
      </c>
      <c r="AJ660" t="str">
        <f t="shared" si="273"/>
        <v/>
      </c>
      <c r="AK660" t="str">
        <f t="shared" si="274"/>
        <v/>
      </c>
    </row>
    <row r="661" spans="1:37" ht="15" customHeight="1" x14ac:dyDescent="0.25">
      <c r="A661" s="114"/>
      <c r="B661" s="116"/>
      <c r="C661" s="116"/>
      <c r="D661" s="42" t="str">
        <f t="shared" si="250"/>
        <v/>
      </c>
      <c r="E661" s="43"/>
      <c r="F661" s="83"/>
      <c r="G661" s="118"/>
      <c r="H661" s="34" t="str">
        <f t="shared" si="251"/>
        <v/>
      </c>
      <c r="I661" s="88" t="str">
        <f t="shared" si="252"/>
        <v/>
      </c>
      <c r="J661" s="44" t="str">
        <f t="shared" si="253"/>
        <v/>
      </c>
      <c r="K661" s="118"/>
      <c r="L661" s="34" t="str">
        <f t="shared" si="254"/>
        <v/>
      </c>
      <c r="M661" s="118"/>
      <c r="N661" s="121"/>
      <c r="O661" s="122" t="str">
        <f t="shared" si="263"/>
        <v/>
      </c>
      <c r="P661" s="35" t="str">
        <f t="shared" si="264"/>
        <v/>
      </c>
      <c r="Q661" s="124"/>
      <c r="R661" s="36" t="str">
        <f t="shared" si="265"/>
        <v/>
      </c>
      <c r="S661" s="37" t="str">
        <f t="shared" si="255"/>
        <v/>
      </c>
      <c r="T661" s="38" t="str">
        <f t="shared" si="256"/>
        <v/>
      </c>
      <c r="U661" s="39" t="str">
        <f t="shared" si="257"/>
        <v/>
      </c>
      <c r="V661" s="40" t="str">
        <f t="shared" si="258"/>
        <v/>
      </c>
      <c r="W661" s="39" t="str">
        <f t="shared" si="259"/>
        <v/>
      </c>
      <c r="X661" s="34" t="str">
        <f t="shared" si="260"/>
        <v/>
      </c>
      <c r="Y661" s="41" t="str">
        <f t="shared" si="266"/>
        <v/>
      </c>
      <c r="Z661" s="98" t="str">
        <f t="shared" si="261"/>
        <v/>
      </c>
      <c r="AA661" s="81" t="str">
        <f t="shared" si="267"/>
        <v/>
      </c>
      <c r="AC661" s="139"/>
      <c r="AD661" s="110" t="str">
        <f t="shared" si="268"/>
        <v/>
      </c>
      <c r="AE661" s="111" t="str">
        <f t="shared" si="269"/>
        <v/>
      </c>
      <c r="AF661" s="111" t="str">
        <f t="shared" si="262"/>
        <v/>
      </c>
      <c r="AG661" s="111" t="str">
        <f t="shared" si="270"/>
        <v/>
      </c>
      <c r="AH661" s="111" t="str">
        <f t="shared" si="271"/>
        <v/>
      </c>
      <c r="AI661" s="112" t="str">
        <f t="shared" si="272"/>
        <v/>
      </c>
      <c r="AJ661" t="str">
        <f t="shared" si="273"/>
        <v/>
      </c>
      <c r="AK661" t="str">
        <f t="shared" si="274"/>
        <v/>
      </c>
    </row>
    <row r="662" spans="1:37" ht="15" customHeight="1" x14ac:dyDescent="0.25">
      <c r="A662" s="114"/>
      <c r="B662" s="116"/>
      <c r="C662" s="116"/>
      <c r="D662" s="42" t="str">
        <f t="shared" si="250"/>
        <v/>
      </c>
      <c r="E662" s="43"/>
      <c r="F662" s="83"/>
      <c r="G662" s="118"/>
      <c r="H662" s="34" t="str">
        <f t="shared" si="251"/>
        <v/>
      </c>
      <c r="I662" s="88" t="str">
        <f t="shared" si="252"/>
        <v/>
      </c>
      <c r="J662" s="44" t="str">
        <f t="shared" si="253"/>
        <v/>
      </c>
      <c r="K662" s="118"/>
      <c r="L662" s="34" t="str">
        <f t="shared" si="254"/>
        <v/>
      </c>
      <c r="M662" s="118"/>
      <c r="N662" s="121"/>
      <c r="O662" s="122" t="str">
        <f t="shared" si="263"/>
        <v/>
      </c>
      <c r="P662" s="35" t="str">
        <f t="shared" si="264"/>
        <v/>
      </c>
      <c r="Q662" s="124"/>
      <c r="R662" s="36" t="str">
        <f t="shared" si="265"/>
        <v/>
      </c>
      <c r="S662" s="37" t="str">
        <f t="shared" si="255"/>
        <v/>
      </c>
      <c r="T662" s="38" t="str">
        <f t="shared" si="256"/>
        <v/>
      </c>
      <c r="U662" s="39" t="str">
        <f t="shared" si="257"/>
        <v/>
      </c>
      <c r="V662" s="40" t="str">
        <f t="shared" si="258"/>
        <v/>
      </c>
      <c r="W662" s="39" t="str">
        <f t="shared" si="259"/>
        <v/>
      </c>
      <c r="X662" s="34" t="str">
        <f t="shared" si="260"/>
        <v/>
      </c>
      <c r="Y662" s="41" t="str">
        <f t="shared" si="266"/>
        <v/>
      </c>
      <c r="Z662" s="98" t="str">
        <f t="shared" si="261"/>
        <v/>
      </c>
      <c r="AA662" s="81" t="str">
        <f t="shared" si="267"/>
        <v/>
      </c>
      <c r="AC662" s="139"/>
      <c r="AD662" s="110" t="str">
        <f t="shared" si="268"/>
        <v/>
      </c>
      <c r="AE662" s="111" t="str">
        <f t="shared" si="269"/>
        <v/>
      </c>
      <c r="AF662" s="111" t="str">
        <f t="shared" si="262"/>
        <v/>
      </c>
      <c r="AG662" s="111" t="str">
        <f t="shared" si="270"/>
        <v/>
      </c>
      <c r="AH662" s="111" t="str">
        <f t="shared" si="271"/>
        <v/>
      </c>
      <c r="AI662" s="112" t="str">
        <f t="shared" si="272"/>
        <v/>
      </c>
      <c r="AJ662" t="str">
        <f t="shared" si="273"/>
        <v/>
      </c>
      <c r="AK662" t="str">
        <f t="shared" si="274"/>
        <v/>
      </c>
    </row>
    <row r="663" spans="1:37" ht="15" customHeight="1" x14ac:dyDescent="0.25">
      <c r="A663" s="114"/>
      <c r="B663" s="116"/>
      <c r="C663" s="116"/>
      <c r="D663" s="42" t="str">
        <f t="shared" si="250"/>
        <v/>
      </c>
      <c r="E663" s="43"/>
      <c r="F663" s="83"/>
      <c r="G663" s="118"/>
      <c r="H663" s="34" t="str">
        <f t="shared" si="251"/>
        <v/>
      </c>
      <c r="I663" s="88" t="str">
        <f t="shared" si="252"/>
        <v/>
      </c>
      <c r="J663" s="44" t="str">
        <f t="shared" si="253"/>
        <v/>
      </c>
      <c r="K663" s="118"/>
      <c r="L663" s="34" t="str">
        <f t="shared" si="254"/>
        <v/>
      </c>
      <c r="M663" s="118"/>
      <c r="N663" s="121"/>
      <c r="O663" s="122" t="str">
        <f t="shared" si="263"/>
        <v/>
      </c>
      <c r="P663" s="35" t="str">
        <f t="shared" si="264"/>
        <v/>
      </c>
      <c r="Q663" s="124"/>
      <c r="R663" s="36" t="str">
        <f t="shared" si="265"/>
        <v/>
      </c>
      <c r="S663" s="37" t="str">
        <f t="shared" si="255"/>
        <v/>
      </c>
      <c r="T663" s="38" t="str">
        <f t="shared" si="256"/>
        <v/>
      </c>
      <c r="U663" s="39" t="str">
        <f t="shared" si="257"/>
        <v/>
      </c>
      <c r="V663" s="40" t="str">
        <f t="shared" si="258"/>
        <v/>
      </c>
      <c r="W663" s="39" t="str">
        <f t="shared" si="259"/>
        <v/>
      </c>
      <c r="X663" s="34" t="str">
        <f t="shared" si="260"/>
        <v/>
      </c>
      <c r="Y663" s="41" t="str">
        <f t="shared" si="266"/>
        <v/>
      </c>
      <c r="Z663" s="98" t="str">
        <f t="shared" si="261"/>
        <v/>
      </c>
      <c r="AA663" s="81" t="str">
        <f t="shared" si="267"/>
        <v/>
      </c>
      <c r="AC663" s="139"/>
      <c r="AD663" s="110" t="str">
        <f t="shared" si="268"/>
        <v/>
      </c>
      <c r="AE663" s="111" t="str">
        <f t="shared" si="269"/>
        <v/>
      </c>
      <c r="AF663" s="111" t="str">
        <f t="shared" si="262"/>
        <v/>
      </c>
      <c r="AG663" s="111" t="str">
        <f t="shared" si="270"/>
        <v/>
      </c>
      <c r="AH663" s="111" t="str">
        <f t="shared" si="271"/>
        <v/>
      </c>
      <c r="AI663" s="112" t="str">
        <f t="shared" si="272"/>
        <v/>
      </c>
      <c r="AJ663" t="str">
        <f t="shared" si="273"/>
        <v/>
      </c>
      <c r="AK663" t="str">
        <f t="shared" si="274"/>
        <v/>
      </c>
    </row>
    <row r="664" spans="1:37" ht="15" customHeight="1" x14ac:dyDescent="0.25">
      <c r="A664" s="114"/>
      <c r="B664" s="116"/>
      <c r="C664" s="116"/>
      <c r="D664" s="42" t="str">
        <f t="shared" si="250"/>
        <v/>
      </c>
      <c r="E664" s="43"/>
      <c r="F664" s="83"/>
      <c r="G664" s="118"/>
      <c r="H664" s="34" t="str">
        <f t="shared" si="251"/>
        <v/>
      </c>
      <c r="I664" s="88" t="str">
        <f t="shared" si="252"/>
        <v/>
      </c>
      <c r="J664" s="44" t="str">
        <f t="shared" si="253"/>
        <v/>
      </c>
      <c r="K664" s="118"/>
      <c r="L664" s="34" t="str">
        <f t="shared" si="254"/>
        <v/>
      </c>
      <c r="M664" s="118"/>
      <c r="N664" s="121"/>
      <c r="O664" s="122" t="str">
        <f t="shared" si="263"/>
        <v/>
      </c>
      <c r="P664" s="35" t="str">
        <f t="shared" si="264"/>
        <v/>
      </c>
      <c r="Q664" s="124"/>
      <c r="R664" s="36" t="str">
        <f t="shared" si="265"/>
        <v/>
      </c>
      <c r="S664" s="37" t="str">
        <f t="shared" si="255"/>
        <v/>
      </c>
      <c r="T664" s="38" t="str">
        <f t="shared" si="256"/>
        <v/>
      </c>
      <c r="U664" s="39" t="str">
        <f t="shared" si="257"/>
        <v/>
      </c>
      <c r="V664" s="40" t="str">
        <f t="shared" si="258"/>
        <v/>
      </c>
      <c r="W664" s="39" t="str">
        <f t="shared" si="259"/>
        <v/>
      </c>
      <c r="X664" s="34" t="str">
        <f t="shared" si="260"/>
        <v/>
      </c>
      <c r="Y664" s="41" t="str">
        <f t="shared" si="266"/>
        <v/>
      </c>
      <c r="Z664" s="98" t="str">
        <f t="shared" si="261"/>
        <v/>
      </c>
      <c r="AA664" s="81" t="str">
        <f t="shared" si="267"/>
        <v/>
      </c>
      <c r="AC664" s="139"/>
      <c r="AD664" s="110" t="str">
        <f t="shared" si="268"/>
        <v/>
      </c>
      <c r="AE664" s="111" t="str">
        <f t="shared" si="269"/>
        <v/>
      </c>
      <c r="AF664" s="111" t="str">
        <f t="shared" si="262"/>
        <v/>
      </c>
      <c r="AG664" s="111" t="str">
        <f t="shared" si="270"/>
        <v/>
      </c>
      <c r="AH664" s="111" t="str">
        <f t="shared" si="271"/>
        <v/>
      </c>
      <c r="AI664" s="112" t="str">
        <f t="shared" si="272"/>
        <v/>
      </c>
      <c r="AJ664" t="str">
        <f t="shared" si="273"/>
        <v/>
      </c>
      <c r="AK664" t="str">
        <f t="shared" si="274"/>
        <v/>
      </c>
    </row>
    <row r="665" spans="1:37" ht="15" customHeight="1" x14ac:dyDescent="0.25">
      <c r="A665" s="114"/>
      <c r="B665" s="116"/>
      <c r="C665" s="116"/>
      <c r="D665" s="42" t="str">
        <f t="shared" si="250"/>
        <v/>
      </c>
      <c r="E665" s="43"/>
      <c r="F665" s="83"/>
      <c r="G665" s="118"/>
      <c r="H665" s="34" t="str">
        <f t="shared" si="251"/>
        <v/>
      </c>
      <c r="I665" s="88" t="str">
        <f t="shared" si="252"/>
        <v/>
      </c>
      <c r="J665" s="44" t="str">
        <f t="shared" si="253"/>
        <v/>
      </c>
      <c r="K665" s="118"/>
      <c r="L665" s="34" t="str">
        <f t="shared" si="254"/>
        <v/>
      </c>
      <c r="M665" s="118"/>
      <c r="N665" s="121"/>
      <c r="O665" s="122" t="str">
        <f t="shared" si="263"/>
        <v/>
      </c>
      <c r="P665" s="35" t="str">
        <f t="shared" si="264"/>
        <v/>
      </c>
      <c r="Q665" s="124"/>
      <c r="R665" s="36" t="str">
        <f t="shared" si="265"/>
        <v/>
      </c>
      <c r="S665" s="37" t="str">
        <f t="shared" si="255"/>
        <v/>
      </c>
      <c r="T665" s="38" t="str">
        <f t="shared" si="256"/>
        <v/>
      </c>
      <c r="U665" s="39" t="str">
        <f t="shared" si="257"/>
        <v/>
      </c>
      <c r="V665" s="40" t="str">
        <f t="shared" si="258"/>
        <v/>
      </c>
      <c r="W665" s="39" t="str">
        <f t="shared" si="259"/>
        <v/>
      </c>
      <c r="X665" s="34" t="str">
        <f t="shared" si="260"/>
        <v/>
      </c>
      <c r="Y665" s="41" t="str">
        <f t="shared" si="266"/>
        <v/>
      </c>
      <c r="Z665" s="98" t="str">
        <f t="shared" si="261"/>
        <v/>
      </c>
      <c r="AA665" s="81" t="str">
        <f t="shared" si="267"/>
        <v/>
      </c>
      <c r="AC665" s="139"/>
      <c r="AD665" s="110" t="str">
        <f t="shared" si="268"/>
        <v/>
      </c>
      <c r="AE665" s="111" t="str">
        <f t="shared" si="269"/>
        <v/>
      </c>
      <c r="AF665" s="111" t="str">
        <f t="shared" si="262"/>
        <v/>
      </c>
      <c r="AG665" s="111" t="str">
        <f t="shared" si="270"/>
        <v/>
      </c>
      <c r="AH665" s="111" t="str">
        <f t="shared" si="271"/>
        <v/>
      </c>
      <c r="AI665" s="112" t="str">
        <f t="shared" si="272"/>
        <v/>
      </c>
      <c r="AJ665" t="str">
        <f t="shared" si="273"/>
        <v/>
      </c>
      <c r="AK665" t="str">
        <f t="shared" si="274"/>
        <v/>
      </c>
    </row>
    <row r="666" spans="1:37" ht="15" customHeight="1" x14ac:dyDescent="0.25">
      <c r="A666" s="114"/>
      <c r="B666" s="116"/>
      <c r="C666" s="116"/>
      <c r="D666" s="42" t="str">
        <f t="shared" si="250"/>
        <v/>
      </c>
      <c r="E666" s="43"/>
      <c r="F666" s="83"/>
      <c r="G666" s="118"/>
      <c r="H666" s="34" t="str">
        <f t="shared" si="251"/>
        <v/>
      </c>
      <c r="I666" s="88" t="str">
        <f t="shared" si="252"/>
        <v/>
      </c>
      <c r="J666" s="44" t="str">
        <f t="shared" si="253"/>
        <v/>
      </c>
      <c r="K666" s="118"/>
      <c r="L666" s="34" t="str">
        <f t="shared" si="254"/>
        <v/>
      </c>
      <c r="M666" s="118"/>
      <c r="N666" s="121"/>
      <c r="O666" s="122" t="str">
        <f t="shared" si="263"/>
        <v/>
      </c>
      <c r="P666" s="35" t="str">
        <f t="shared" si="264"/>
        <v/>
      </c>
      <c r="Q666" s="124"/>
      <c r="R666" s="36" t="str">
        <f t="shared" si="265"/>
        <v/>
      </c>
      <c r="S666" s="37" t="str">
        <f t="shared" si="255"/>
        <v/>
      </c>
      <c r="T666" s="38" t="str">
        <f t="shared" si="256"/>
        <v/>
      </c>
      <c r="U666" s="39" t="str">
        <f t="shared" si="257"/>
        <v/>
      </c>
      <c r="V666" s="40" t="str">
        <f t="shared" si="258"/>
        <v/>
      </c>
      <c r="W666" s="39" t="str">
        <f t="shared" si="259"/>
        <v/>
      </c>
      <c r="X666" s="34" t="str">
        <f t="shared" si="260"/>
        <v/>
      </c>
      <c r="Y666" s="41" t="str">
        <f t="shared" si="266"/>
        <v/>
      </c>
      <c r="Z666" s="98" t="str">
        <f t="shared" si="261"/>
        <v/>
      </c>
      <c r="AA666" s="81" t="str">
        <f t="shared" si="267"/>
        <v/>
      </c>
      <c r="AC666" s="139"/>
      <c r="AD666" s="110" t="str">
        <f t="shared" si="268"/>
        <v/>
      </c>
      <c r="AE666" s="111" t="str">
        <f t="shared" si="269"/>
        <v/>
      </c>
      <c r="AF666" s="111" t="str">
        <f t="shared" si="262"/>
        <v/>
      </c>
      <c r="AG666" s="111" t="str">
        <f t="shared" si="270"/>
        <v/>
      </c>
      <c r="AH666" s="111" t="str">
        <f t="shared" si="271"/>
        <v/>
      </c>
      <c r="AI666" s="112" t="str">
        <f t="shared" si="272"/>
        <v/>
      </c>
      <c r="AJ666" t="str">
        <f t="shared" si="273"/>
        <v/>
      </c>
      <c r="AK666" t="str">
        <f t="shared" si="274"/>
        <v/>
      </c>
    </row>
    <row r="667" spans="1:37" ht="15" customHeight="1" x14ac:dyDescent="0.25">
      <c r="A667" s="114"/>
      <c r="B667" s="116"/>
      <c r="C667" s="116"/>
      <c r="D667" s="42" t="str">
        <f t="shared" si="250"/>
        <v/>
      </c>
      <c r="E667" s="43"/>
      <c r="F667" s="83"/>
      <c r="G667" s="118"/>
      <c r="H667" s="34" t="str">
        <f t="shared" si="251"/>
        <v/>
      </c>
      <c r="I667" s="88" t="str">
        <f t="shared" si="252"/>
        <v/>
      </c>
      <c r="J667" s="44" t="str">
        <f t="shared" si="253"/>
        <v/>
      </c>
      <c r="K667" s="118"/>
      <c r="L667" s="34" t="str">
        <f t="shared" si="254"/>
        <v/>
      </c>
      <c r="M667" s="118"/>
      <c r="N667" s="121"/>
      <c r="O667" s="122" t="str">
        <f t="shared" si="263"/>
        <v/>
      </c>
      <c r="P667" s="35" t="str">
        <f t="shared" si="264"/>
        <v/>
      </c>
      <c r="Q667" s="124"/>
      <c r="R667" s="36" t="str">
        <f t="shared" si="265"/>
        <v/>
      </c>
      <c r="S667" s="37" t="str">
        <f t="shared" si="255"/>
        <v/>
      </c>
      <c r="T667" s="38" t="str">
        <f t="shared" si="256"/>
        <v/>
      </c>
      <c r="U667" s="39" t="str">
        <f t="shared" si="257"/>
        <v/>
      </c>
      <c r="V667" s="40" t="str">
        <f t="shared" si="258"/>
        <v/>
      </c>
      <c r="W667" s="39" t="str">
        <f t="shared" si="259"/>
        <v/>
      </c>
      <c r="X667" s="34" t="str">
        <f t="shared" si="260"/>
        <v/>
      </c>
      <c r="Y667" s="41" t="str">
        <f t="shared" si="266"/>
        <v/>
      </c>
      <c r="Z667" s="98" t="str">
        <f t="shared" si="261"/>
        <v/>
      </c>
      <c r="AA667" s="81" t="str">
        <f t="shared" si="267"/>
        <v/>
      </c>
      <c r="AC667" s="139"/>
      <c r="AD667" s="110" t="str">
        <f t="shared" si="268"/>
        <v/>
      </c>
      <c r="AE667" s="111" t="str">
        <f t="shared" si="269"/>
        <v/>
      </c>
      <c r="AF667" s="111" t="str">
        <f t="shared" si="262"/>
        <v/>
      </c>
      <c r="AG667" s="111" t="str">
        <f t="shared" si="270"/>
        <v/>
      </c>
      <c r="AH667" s="111" t="str">
        <f t="shared" si="271"/>
        <v/>
      </c>
      <c r="AI667" s="112" t="str">
        <f t="shared" si="272"/>
        <v/>
      </c>
      <c r="AJ667" t="str">
        <f t="shared" si="273"/>
        <v/>
      </c>
      <c r="AK667" t="str">
        <f t="shared" si="274"/>
        <v/>
      </c>
    </row>
    <row r="668" spans="1:37" ht="15" customHeight="1" x14ac:dyDescent="0.25">
      <c r="A668" s="114"/>
      <c r="B668" s="116"/>
      <c r="C668" s="116"/>
      <c r="D668" s="42" t="str">
        <f t="shared" si="250"/>
        <v/>
      </c>
      <c r="E668" s="43"/>
      <c r="F668" s="83"/>
      <c r="G668" s="118"/>
      <c r="H668" s="34" t="str">
        <f t="shared" si="251"/>
        <v/>
      </c>
      <c r="I668" s="88" t="str">
        <f t="shared" si="252"/>
        <v/>
      </c>
      <c r="J668" s="44" t="str">
        <f t="shared" si="253"/>
        <v/>
      </c>
      <c r="K668" s="118"/>
      <c r="L668" s="34" t="str">
        <f t="shared" si="254"/>
        <v/>
      </c>
      <c r="M668" s="118"/>
      <c r="N668" s="121"/>
      <c r="O668" s="122" t="str">
        <f t="shared" si="263"/>
        <v/>
      </c>
      <c r="P668" s="35" t="str">
        <f t="shared" si="264"/>
        <v/>
      </c>
      <c r="Q668" s="124"/>
      <c r="R668" s="36" t="str">
        <f t="shared" si="265"/>
        <v/>
      </c>
      <c r="S668" s="37" t="str">
        <f t="shared" si="255"/>
        <v/>
      </c>
      <c r="T668" s="38" t="str">
        <f t="shared" si="256"/>
        <v/>
      </c>
      <c r="U668" s="39" t="str">
        <f t="shared" si="257"/>
        <v/>
      </c>
      <c r="V668" s="40" t="str">
        <f t="shared" si="258"/>
        <v/>
      </c>
      <c r="W668" s="39" t="str">
        <f t="shared" si="259"/>
        <v/>
      </c>
      <c r="X668" s="34" t="str">
        <f t="shared" si="260"/>
        <v/>
      </c>
      <c r="Y668" s="41" t="str">
        <f t="shared" si="266"/>
        <v/>
      </c>
      <c r="Z668" s="98" t="str">
        <f t="shared" si="261"/>
        <v/>
      </c>
      <c r="AA668" s="81" t="str">
        <f t="shared" si="267"/>
        <v/>
      </c>
      <c r="AC668" s="139"/>
      <c r="AD668" s="110" t="str">
        <f t="shared" si="268"/>
        <v/>
      </c>
      <c r="AE668" s="111" t="str">
        <f t="shared" si="269"/>
        <v/>
      </c>
      <c r="AF668" s="111" t="str">
        <f t="shared" si="262"/>
        <v/>
      </c>
      <c r="AG668" s="111" t="str">
        <f t="shared" si="270"/>
        <v/>
      </c>
      <c r="AH668" s="111" t="str">
        <f t="shared" si="271"/>
        <v/>
      </c>
      <c r="AI668" s="112" t="str">
        <f t="shared" si="272"/>
        <v/>
      </c>
      <c r="AJ668" t="str">
        <f t="shared" si="273"/>
        <v/>
      </c>
      <c r="AK668" t="str">
        <f t="shared" si="274"/>
        <v/>
      </c>
    </row>
    <row r="669" spans="1:37" ht="15" customHeight="1" x14ac:dyDescent="0.25">
      <c r="A669" s="114"/>
      <c r="B669" s="116"/>
      <c r="C669" s="116"/>
      <c r="D669" s="42" t="str">
        <f t="shared" si="250"/>
        <v/>
      </c>
      <c r="E669" s="43"/>
      <c r="F669" s="83"/>
      <c r="G669" s="118"/>
      <c r="H669" s="34" t="str">
        <f t="shared" si="251"/>
        <v/>
      </c>
      <c r="I669" s="88" t="str">
        <f t="shared" si="252"/>
        <v/>
      </c>
      <c r="J669" s="44" t="str">
        <f t="shared" si="253"/>
        <v/>
      </c>
      <c r="K669" s="118"/>
      <c r="L669" s="34" t="str">
        <f t="shared" si="254"/>
        <v/>
      </c>
      <c r="M669" s="118"/>
      <c r="N669" s="121"/>
      <c r="O669" s="122" t="str">
        <f t="shared" si="263"/>
        <v/>
      </c>
      <c r="P669" s="35" t="str">
        <f t="shared" si="264"/>
        <v/>
      </c>
      <c r="Q669" s="124"/>
      <c r="R669" s="36" t="str">
        <f t="shared" si="265"/>
        <v/>
      </c>
      <c r="S669" s="37" t="str">
        <f t="shared" si="255"/>
        <v/>
      </c>
      <c r="T669" s="38" t="str">
        <f t="shared" si="256"/>
        <v/>
      </c>
      <c r="U669" s="39" t="str">
        <f t="shared" si="257"/>
        <v/>
      </c>
      <c r="V669" s="40" t="str">
        <f t="shared" si="258"/>
        <v/>
      </c>
      <c r="W669" s="39" t="str">
        <f t="shared" si="259"/>
        <v/>
      </c>
      <c r="X669" s="34" t="str">
        <f t="shared" si="260"/>
        <v/>
      </c>
      <c r="Y669" s="41" t="str">
        <f t="shared" si="266"/>
        <v/>
      </c>
      <c r="Z669" s="98" t="str">
        <f t="shared" si="261"/>
        <v/>
      </c>
      <c r="AA669" s="81" t="str">
        <f t="shared" si="267"/>
        <v/>
      </c>
      <c r="AC669" s="139"/>
      <c r="AD669" s="110" t="str">
        <f t="shared" si="268"/>
        <v/>
      </c>
      <c r="AE669" s="111" t="str">
        <f t="shared" si="269"/>
        <v/>
      </c>
      <c r="AF669" s="111" t="str">
        <f t="shared" si="262"/>
        <v/>
      </c>
      <c r="AG669" s="111" t="str">
        <f t="shared" si="270"/>
        <v/>
      </c>
      <c r="AH669" s="111" t="str">
        <f t="shared" si="271"/>
        <v/>
      </c>
      <c r="AI669" s="112" t="str">
        <f t="shared" si="272"/>
        <v/>
      </c>
      <c r="AJ669" t="str">
        <f t="shared" si="273"/>
        <v/>
      </c>
      <c r="AK669" t="str">
        <f t="shared" si="274"/>
        <v/>
      </c>
    </row>
    <row r="670" spans="1:37" ht="15" customHeight="1" x14ac:dyDescent="0.25">
      <c r="A670" s="114"/>
      <c r="B670" s="116"/>
      <c r="C670" s="116"/>
      <c r="D670" s="42" t="str">
        <f t="shared" si="250"/>
        <v/>
      </c>
      <c r="E670" s="43"/>
      <c r="F670" s="83"/>
      <c r="G670" s="118"/>
      <c r="H670" s="34" t="str">
        <f t="shared" si="251"/>
        <v/>
      </c>
      <c r="I670" s="88" t="str">
        <f t="shared" si="252"/>
        <v/>
      </c>
      <c r="J670" s="44" t="str">
        <f t="shared" si="253"/>
        <v/>
      </c>
      <c r="K670" s="118"/>
      <c r="L670" s="34" t="str">
        <f t="shared" si="254"/>
        <v/>
      </c>
      <c r="M670" s="118"/>
      <c r="N670" s="121"/>
      <c r="O670" s="122" t="str">
        <f t="shared" si="263"/>
        <v/>
      </c>
      <c r="P670" s="35" t="str">
        <f t="shared" si="264"/>
        <v/>
      </c>
      <c r="Q670" s="124"/>
      <c r="R670" s="36" t="str">
        <f t="shared" si="265"/>
        <v/>
      </c>
      <c r="S670" s="37" t="str">
        <f t="shared" si="255"/>
        <v/>
      </c>
      <c r="T670" s="38" t="str">
        <f t="shared" si="256"/>
        <v/>
      </c>
      <c r="U670" s="39" t="str">
        <f t="shared" si="257"/>
        <v/>
      </c>
      <c r="V670" s="40" t="str">
        <f t="shared" si="258"/>
        <v/>
      </c>
      <c r="W670" s="39" t="str">
        <f t="shared" si="259"/>
        <v/>
      </c>
      <c r="X670" s="34" t="str">
        <f t="shared" si="260"/>
        <v/>
      </c>
      <c r="Y670" s="41" t="str">
        <f t="shared" si="266"/>
        <v/>
      </c>
      <c r="Z670" s="98" t="str">
        <f t="shared" si="261"/>
        <v/>
      </c>
      <c r="AA670" s="81" t="str">
        <f t="shared" si="267"/>
        <v/>
      </c>
      <c r="AC670" s="139"/>
      <c r="AD670" s="110" t="str">
        <f t="shared" si="268"/>
        <v/>
      </c>
      <c r="AE670" s="111" t="str">
        <f t="shared" si="269"/>
        <v/>
      </c>
      <c r="AF670" s="111" t="str">
        <f t="shared" si="262"/>
        <v/>
      </c>
      <c r="AG670" s="111" t="str">
        <f t="shared" si="270"/>
        <v/>
      </c>
      <c r="AH670" s="111" t="str">
        <f t="shared" si="271"/>
        <v/>
      </c>
      <c r="AI670" s="112" t="str">
        <f t="shared" si="272"/>
        <v/>
      </c>
      <c r="AJ670" t="str">
        <f t="shared" si="273"/>
        <v/>
      </c>
      <c r="AK670" t="str">
        <f t="shared" si="274"/>
        <v/>
      </c>
    </row>
    <row r="671" spans="1:37" ht="15" customHeight="1" x14ac:dyDescent="0.25">
      <c r="A671" s="114"/>
      <c r="B671" s="116"/>
      <c r="C671" s="116"/>
      <c r="D671" s="42" t="str">
        <f t="shared" si="250"/>
        <v/>
      </c>
      <c r="E671" s="43"/>
      <c r="F671" s="83"/>
      <c r="G671" s="118"/>
      <c r="H671" s="34" t="str">
        <f t="shared" si="251"/>
        <v/>
      </c>
      <c r="I671" s="88" t="str">
        <f t="shared" si="252"/>
        <v/>
      </c>
      <c r="J671" s="44" t="str">
        <f t="shared" si="253"/>
        <v/>
      </c>
      <c r="K671" s="118"/>
      <c r="L671" s="34" t="str">
        <f t="shared" si="254"/>
        <v/>
      </c>
      <c r="M671" s="118"/>
      <c r="N671" s="121"/>
      <c r="O671" s="122" t="str">
        <f t="shared" si="263"/>
        <v/>
      </c>
      <c r="P671" s="35" t="str">
        <f t="shared" si="264"/>
        <v/>
      </c>
      <c r="Q671" s="124"/>
      <c r="R671" s="36" t="str">
        <f t="shared" si="265"/>
        <v/>
      </c>
      <c r="S671" s="37" t="str">
        <f t="shared" si="255"/>
        <v/>
      </c>
      <c r="T671" s="38" t="str">
        <f t="shared" si="256"/>
        <v/>
      </c>
      <c r="U671" s="39" t="str">
        <f t="shared" si="257"/>
        <v/>
      </c>
      <c r="V671" s="40" t="str">
        <f t="shared" si="258"/>
        <v/>
      </c>
      <c r="W671" s="39" t="str">
        <f t="shared" si="259"/>
        <v/>
      </c>
      <c r="X671" s="34" t="str">
        <f t="shared" si="260"/>
        <v/>
      </c>
      <c r="Y671" s="41" t="str">
        <f t="shared" si="266"/>
        <v/>
      </c>
      <c r="Z671" s="98" t="str">
        <f t="shared" si="261"/>
        <v/>
      </c>
      <c r="AA671" s="81" t="str">
        <f t="shared" si="267"/>
        <v/>
      </c>
      <c r="AC671" s="139"/>
      <c r="AD671" s="110" t="str">
        <f t="shared" si="268"/>
        <v/>
      </c>
      <c r="AE671" s="111" t="str">
        <f t="shared" si="269"/>
        <v/>
      </c>
      <c r="AF671" s="111" t="str">
        <f t="shared" si="262"/>
        <v/>
      </c>
      <c r="AG671" s="111" t="str">
        <f t="shared" si="270"/>
        <v/>
      </c>
      <c r="AH671" s="111" t="str">
        <f t="shared" si="271"/>
        <v/>
      </c>
      <c r="AI671" s="112" t="str">
        <f t="shared" si="272"/>
        <v/>
      </c>
      <c r="AJ671" t="str">
        <f t="shared" si="273"/>
        <v/>
      </c>
      <c r="AK671" t="str">
        <f t="shared" si="274"/>
        <v/>
      </c>
    </row>
    <row r="672" spans="1:37" ht="15" customHeight="1" x14ac:dyDescent="0.25">
      <c r="A672" s="114"/>
      <c r="B672" s="116"/>
      <c r="C672" s="116"/>
      <c r="D672" s="42" t="str">
        <f t="shared" si="250"/>
        <v/>
      </c>
      <c r="E672" s="43"/>
      <c r="F672" s="83"/>
      <c r="G672" s="118"/>
      <c r="H672" s="34" t="str">
        <f t="shared" si="251"/>
        <v/>
      </c>
      <c r="I672" s="88" t="str">
        <f t="shared" si="252"/>
        <v/>
      </c>
      <c r="J672" s="44" t="str">
        <f t="shared" si="253"/>
        <v/>
      </c>
      <c r="K672" s="118"/>
      <c r="L672" s="34" t="str">
        <f t="shared" si="254"/>
        <v/>
      </c>
      <c r="M672" s="118"/>
      <c r="N672" s="121"/>
      <c r="O672" s="122" t="str">
        <f t="shared" si="263"/>
        <v/>
      </c>
      <c r="P672" s="35" t="str">
        <f t="shared" si="264"/>
        <v/>
      </c>
      <c r="Q672" s="124"/>
      <c r="R672" s="36" t="str">
        <f t="shared" si="265"/>
        <v/>
      </c>
      <c r="S672" s="37" t="str">
        <f t="shared" si="255"/>
        <v/>
      </c>
      <c r="T672" s="38" t="str">
        <f t="shared" si="256"/>
        <v/>
      </c>
      <c r="U672" s="39" t="str">
        <f t="shared" si="257"/>
        <v/>
      </c>
      <c r="V672" s="40" t="str">
        <f t="shared" si="258"/>
        <v/>
      </c>
      <c r="W672" s="39" t="str">
        <f t="shared" si="259"/>
        <v/>
      </c>
      <c r="X672" s="34" t="str">
        <f t="shared" si="260"/>
        <v/>
      </c>
      <c r="Y672" s="41" t="str">
        <f t="shared" si="266"/>
        <v/>
      </c>
      <c r="Z672" s="98" t="str">
        <f t="shared" si="261"/>
        <v/>
      </c>
      <c r="AA672" s="81" t="str">
        <f t="shared" si="267"/>
        <v/>
      </c>
      <c r="AC672" s="139"/>
      <c r="AD672" s="110" t="str">
        <f t="shared" si="268"/>
        <v/>
      </c>
      <c r="AE672" s="111" t="str">
        <f t="shared" si="269"/>
        <v/>
      </c>
      <c r="AF672" s="111" t="str">
        <f t="shared" si="262"/>
        <v/>
      </c>
      <c r="AG672" s="111" t="str">
        <f t="shared" si="270"/>
        <v/>
      </c>
      <c r="AH672" s="111" t="str">
        <f t="shared" si="271"/>
        <v/>
      </c>
      <c r="AI672" s="112" t="str">
        <f t="shared" si="272"/>
        <v/>
      </c>
      <c r="AJ672" t="str">
        <f t="shared" si="273"/>
        <v/>
      </c>
      <c r="AK672" t="str">
        <f t="shared" si="274"/>
        <v/>
      </c>
    </row>
    <row r="673" spans="1:37" ht="15" customHeight="1" x14ac:dyDescent="0.25">
      <c r="A673" s="114"/>
      <c r="B673" s="116"/>
      <c r="C673" s="116"/>
      <c r="D673" s="42" t="str">
        <f t="shared" si="250"/>
        <v/>
      </c>
      <c r="E673" s="43"/>
      <c r="F673" s="83"/>
      <c r="G673" s="118"/>
      <c r="H673" s="34" t="str">
        <f t="shared" si="251"/>
        <v/>
      </c>
      <c r="I673" s="88" t="str">
        <f t="shared" si="252"/>
        <v/>
      </c>
      <c r="J673" s="44" t="str">
        <f t="shared" si="253"/>
        <v/>
      </c>
      <c r="K673" s="118"/>
      <c r="L673" s="34" t="str">
        <f t="shared" si="254"/>
        <v/>
      </c>
      <c r="M673" s="118"/>
      <c r="N673" s="121"/>
      <c r="O673" s="122" t="str">
        <f t="shared" si="263"/>
        <v/>
      </c>
      <c r="P673" s="35" t="str">
        <f t="shared" si="264"/>
        <v/>
      </c>
      <c r="Q673" s="124"/>
      <c r="R673" s="36" t="str">
        <f t="shared" si="265"/>
        <v/>
      </c>
      <c r="S673" s="37" t="str">
        <f t="shared" si="255"/>
        <v/>
      </c>
      <c r="T673" s="38" t="str">
        <f t="shared" si="256"/>
        <v/>
      </c>
      <c r="U673" s="39" t="str">
        <f t="shared" si="257"/>
        <v/>
      </c>
      <c r="V673" s="40" t="str">
        <f t="shared" si="258"/>
        <v/>
      </c>
      <c r="W673" s="39" t="str">
        <f t="shared" si="259"/>
        <v/>
      </c>
      <c r="X673" s="34" t="str">
        <f t="shared" si="260"/>
        <v/>
      </c>
      <c r="Y673" s="41" t="str">
        <f t="shared" si="266"/>
        <v/>
      </c>
      <c r="Z673" s="98" t="str">
        <f t="shared" si="261"/>
        <v/>
      </c>
      <c r="AA673" s="81" t="str">
        <f t="shared" si="267"/>
        <v/>
      </c>
      <c r="AC673" s="139"/>
      <c r="AD673" s="110" t="str">
        <f t="shared" si="268"/>
        <v/>
      </c>
      <c r="AE673" s="111" t="str">
        <f t="shared" si="269"/>
        <v/>
      </c>
      <c r="AF673" s="111" t="str">
        <f t="shared" si="262"/>
        <v/>
      </c>
      <c r="AG673" s="111" t="str">
        <f t="shared" si="270"/>
        <v/>
      </c>
      <c r="AH673" s="111" t="str">
        <f t="shared" si="271"/>
        <v/>
      </c>
      <c r="AI673" s="112" t="str">
        <f t="shared" si="272"/>
        <v/>
      </c>
      <c r="AJ673" t="str">
        <f t="shared" si="273"/>
        <v/>
      </c>
      <c r="AK673" t="str">
        <f t="shared" si="274"/>
        <v/>
      </c>
    </row>
    <row r="674" spans="1:37" ht="15" customHeight="1" x14ac:dyDescent="0.25">
      <c r="A674" s="114"/>
      <c r="B674" s="116"/>
      <c r="C674" s="116"/>
      <c r="D674" s="42" t="str">
        <f t="shared" si="250"/>
        <v/>
      </c>
      <c r="E674" s="43"/>
      <c r="F674" s="83"/>
      <c r="G674" s="118"/>
      <c r="H674" s="34" t="str">
        <f t="shared" si="251"/>
        <v/>
      </c>
      <c r="I674" s="88" t="str">
        <f t="shared" si="252"/>
        <v/>
      </c>
      <c r="J674" s="44" t="str">
        <f t="shared" si="253"/>
        <v/>
      </c>
      <c r="K674" s="118"/>
      <c r="L674" s="34" t="str">
        <f t="shared" si="254"/>
        <v/>
      </c>
      <c r="M674" s="118"/>
      <c r="N674" s="121"/>
      <c r="O674" s="122" t="str">
        <f t="shared" si="263"/>
        <v/>
      </c>
      <c r="P674" s="35" t="str">
        <f t="shared" si="264"/>
        <v/>
      </c>
      <c r="Q674" s="124"/>
      <c r="R674" s="36" t="str">
        <f t="shared" si="265"/>
        <v/>
      </c>
      <c r="S674" s="37" t="str">
        <f t="shared" si="255"/>
        <v/>
      </c>
      <c r="T674" s="38" t="str">
        <f t="shared" si="256"/>
        <v/>
      </c>
      <c r="U674" s="39" t="str">
        <f t="shared" si="257"/>
        <v/>
      </c>
      <c r="V674" s="40" t="str">
        <f t="shared" si="258"/>
        <v/>
      </c>
      <c r="W674" s="39" t="str">
        <f t="shared" si="259"/>
        <v/>
      </c>
      <c r="X674" s="34" t="str">
        <f t="shared" si="260"/>
        <v/>
      </c>
      <c r="Y674" s="41" t="str">
        <f t="shared" si="266"/>
        <v/>
      </c>
      <c r="Z674" s="98" t="str">
        <f t="shared" si="261"/>
        <v/>
      </c>
      <c r="AA674" s="81" t="str">
        <f t="shared" si="267"/>
        <v/>
      </c>
      <c r="AC674" s="139"/>
      <c r="AD674" s="110" t="str">
        <f t="shared" si="268"/>
        <v/>
      </c>
      <c r="AE674" s="111" t="str">
        <f t="shared" si="269"/>
        <v/>
      </c>
      <c r="AF674" s="111" t="str">
        <f t="shared" si="262"/>
        <v/>
      </c>
      <c r="AG674" s="111" t="str">
        <f t="shared" si="270"/>
        <v/>
      </c>
      <c r="AH674" s="111" t="str">
        <f t="shared" si="271"/>
        <v/>
      </c>
      <c r="AI674" s="112" t="str">
        <f t="shared" si="272"/>
        <v/>
      </c>
      <c r="AJ674" t="str">
        <f t="shared" si="273"/>
        <v/>
      </c>
      <c r="AK674" t="str">
        <f t="shared" si="274"/>
        <v/>
      </c>
    </row>
    <row r="675" spans="1:37" ht="15" customHeight="1" x14ac:dyDescent="0.25">
      <c r="A675" s="114"/>
      <c r="B675" s="116"/>
      <c r="C675" s="116"/>
      <c r="D675" s="42" t="str">
        <f t="shared" si="250"/>
        <v/>
      </c>
      <c r="E675" s="43"/>
      <c r="F675" s="83"/>
      <c r="G675" s="118"/>
      <c r="H675" s="34" t="str">
        <f t="shared" si="251"/>
        <v/>
      </c>
      <c r="I675" s="88" t="str">
        <f t="shared" si="252"/>
        <v/>
      </c>
      <c r="J675" s="44" t="str">
        <f t="shared" si="253"/>
        <v/>
      </c>
      <c r="K675" s="118"/>
      <c r="L675" s="34" t="str">
        <f t="shared" si="254"/>
        <v/>
      </c>
      <c r="M675" s="118"/>
      <c r="N675" s="121"/>
      <c r="O675" s="122" t="str">
        <f t="shared" si="263"/>
        <v/>
      </c>
      <c r="P675" s="35" t="str">
        <f t="shared" si="264"/>
        <v/>
      </c>
      <c r="Q675" s="124"/>
      <c r="R675" s="36" t="str">
        <f t="shared" si="265"/>
        <v/>
      </c>
      <c r="S675" s="37" t="str">
        <f t="shared" si="255"/>
        <v/>
      </c>
      <c r="T675" s="38" t="str">
        <f t="shared" si="256"/>
        <v/>
      </c>
      <c r="U675" s="39" t="str">
        <f t="shared" si="257"/>
        <v/>
      </c>
      <c r="V675" s="40" t="str">
        <f t="shared" si="258"/>
        <v/>
      </c>
      <c r="W675" s="39" t="str">
        <f t="shared" si="259"/>
        <v/>
      </c>
      <c r="X675" s="34" t="str">
        <f t="shared" si="260"/>
        <v/>
      </c>
      <c r="Y675" s="41" t="str">
        <f t="shared" si="266"/>
        <v/>
      </c>
      <c r="Z675" s="98" t="str">
        <f t="shared" si="261"/>
        <v/>
      </c>
      <c r="AA675" s="81" t="str">
        <f t="shared" si="267"/>
        <v/>
      </c>
      <c r="AC675" s="139"/>
      <c r="AD675" s="110" t="str">
        <f t="shared" si="268"/>
        <v/>
      </c>
      <c r="AE675" s="111" t="str">
        <f t="shared" si="269"/>
        <v/>
      </c>
      <c r="AF675" s="111" t="str">
        <f t="shared" si="262"/>
        <v/>
      </c>
      <c r="AG675" s="111" t="str">
        <f t="shared" si="270"/>
        <v/>
      </c>
      <c r="AH675" s="111" t="str">
        <f t="shared" si="271"/>
        <v/>
      </c>
      <c r="AI675" s="112" t="str">
        <f t="shared" si="272"/>
        <v/>
      </c>
      <c r="AJ675" t="str">
        <f t="shared" si="273"/>
        <v/>
      </c>
      <c r="AK675" t="str">
        <f t="shared" si="274"/>
        <v/>
      </c>
    </row>
    <row r="676" spans="1:37" ht="15" customHeight="1" x14ac:dyDescent="0.25">
      <c r="A676" s="114"/>
      <c r="B676" s="116"/>
      <c r="C676" s="116"/>
      <c r="D676" s="42" t="str">
        <f t="shared" si="250"/>
        <v/>
      </c>
      <c r="E676" s="43"/>
      <c r="F676" s="83"/>
      <c r="G676" s="118"/>
      <c r="H676" s="34" t="str">
        <f t="shared" si="251"/>
        <v/>
      </c>
      <c r="I676" s="88" t="str">
        <f t="shared" si="252"/>
        <v/>
      </c>
      <c r="J676" s="44" t="str">
        <f t="shared" si="253"/>
        <v/>
      </c>
      <c r="K676" s="118"/>
      <c r="L676" s="34" t="str">
        <f t="shared" si="254"/>
        <v/>
      </c>
      <c r="M676" s="118"/>
      <c r="N676" s="121"/>
      <c r="O676" s="122" t="str">
        <f t="shared" si="263"/>
        <v/>
      </c>
      <c r="P676" s="35" t="str">
        <f t="shared" si="264"/>
        <v/>
      </c>
      <c r="Q676" s="124"/>
      <c r="R676" s="36" t="str">
        <f t="shared" si="265"/>
        <v/>
      </c>
      <c r="S676" s="37" t="str">
        <f t="shared" si="255"/>
        <v/>
      </c>
      <c r="T676" s="38" t="str">
        <f t="shared" si="256"/>
        <v/>
      </c>
      <c r="U676" s="39" t="str">
        <f t="shared" si="257"/>
        <v/>
      </c>
      <c r="V676" s="40" t="str">
        <f t="shared" si="258"/>
        <v/>
      </c>
      <c r="W676" s="39" t="str">
        <f t="shared" si="259"/>
        <v/>
      </c>
      <c r="X676" s="34" t="str">
        <f t="shared" si="260"/>
        <v/>
      </c>
      <c r="Y676" s="41" t="str">
        <f t="shared" si="266"/>
        <v/>
      </c>
      <c r="Z676" s="98" t="str">
        <f t="shared" si="261"/>
        <v/>
      </c>
      <c r="AA676" s="81" t="str">
        <f t="shared" si="267"/>
        <v/>
      </c>
      <c r="AC676" s="139"/>
      <c r="AD676" s="110" t="str">
        <f t="shared" si="268"/>
        <v/>
      </c>
      <c r="AE676" s="111" t="str">
        <f t="shared" si="269"/>
        <v/>
      </c>
      <c r="AF676" s="111" t="str">
        <f t="shared" si="262"/>
        <v/>
      </c>
      <c r="AG676" s="111" t="str">
        <f t="shared" si="270"/>
        <v/>
      </c>
      <c r="AH676" s="111" t="str">
        <f t="shared" si="271"/>
        <v/>
      </c>
      <c r="AI676" s="112" t="str">
        <f t="shared" si="272"/>
        <v/>
      </c>
      <c r="AJ676" t="str">
        <f t="shared" si="273"/>
        <v/>
      </c>
      <c r="AK676" t="str">
        <f t="shared" si="274"/>
        <v/>
      </c>
    </row>
    <row r="677" spans="1:37" ht="15" customHeight="1" x14ac:dyDescent="0.25">
      <c r="A677" s="114"/>
      <c r="B677" s="116"/>
      <c r="C677" s="116"/>
      <c r="D677" s="42" t="str">
        <f t="shared" si="250"/>
        <v/>
      </c>
      <c r="E677" s="43"/>
      <c r="F677" s="83"/>
      <c r="G677" s="118"/>
      <c r="H677" s="34" t="str">
        <f t="shared" si="251"/>
        <v/>
      </c>
      <c r="I677" s="88" t="str">
        <f t="shared" si="252"/>
        <v/>
      </c>
      <c r="J677" s="44" t="str">
        <f t="shared" si="253"/>
        <v/>
      </c>
      <c r="K677" s="118"/>
      <c r="L677" s="34" t="str">
        <f t="shared" si="254"/>
        <v/>
      </c>
      <c r="M677" s="118"/>
      <c r="N677" s="121"/>
      <c r="O677" s="122" t="str">
        <f t="shared" si="263"/>
        <v/>
      </c>
      <c r="P677" s="35" t="str">
        <f t="shared" si="264"/>
        <v/>
      </c>
      <c r="Q677" s="124"/>
      <c r="R677" s="36" t="str">
        <f t="shared" si="265"/>
        <v/>
      </c>
      <c r="S677" s="37" t="str">
        <f t="shared" si="255"/>
        <v/>
      </c>
      <c r="T677" s="38" t="str">
        <f t="shared" si="256"/>
        <v/>
      </c>
      <c r="U677" s="39" t="str">
        <f t="shared" si="257"/>
        <v/>
      </c>
      <c r="V677" s="40" t="str">
        <f t="shared" si="258"/>
        <v/>
      </c>
      <c r="W677" s="39" t="str">
        <f t="shared" si="259"/>
        <v/>
      </c>
      <c r="X677" s="34" t="str">
        <f t="shared" si="260"/>
        <v/>
      </c>
      <c r="Y677" s="41" t="str">
        <f t="shared" si="266"/>
        <v/>
      </c>
      <c r="Z677" s="98" t="str">
        <f t="shared" si="261"/>
        <v/>
      </c>
      <c r="AA677" s="81" t="str">
        <f t="shared" si="267"/>
        <v/>
      </c>
      <c r="AC677" s="139"/>
      <c r="AD677" s="110" t="str">
        <f t="shared" si="268"/>
        <v/>
      </c>
      <c r="AE677" s="111" t="str">
        <f t="shared" si="269"/>
        <v/>
      </c>
      <c r="AF677" s="111" t="str">
        <f t="shared" si="262"/>
        <v/>
      </c>
      <c r="AG677" s="111" t="str">
        <f t="shared" si="270"/>
        <v/>
      </c>
      <c r="AH677" s="111" t="str">
        <f t="shared" si="271"/>
        <v/>
      </c>
      <c r="AI677" s="112" t="str">
        <f t="shared" si="272"/>
        <v/>
      </c>
      <c r="AJ677" t="str">
        <f t="shared" si="273"/>
        <v/>
      </c>
      <c r="AK677" t="str">
        <f t="shared" si="274"/>
        <v/>
      </c>
    </row>
    <row r="678" spans="1:37" ht="15" customHeight="1" x14ac:dyDescent="0.25">
      <c r="A678" s="114"/>
      <c r="B678" s="116"/>
      <c r="C678" s="116"/>
      <c r="D678" s="42" t="str">
        <f t="shared" si="250"/>
        <v/>
      </c>
      <c r="E678" s="43"/>
      <c r="F678" s="83"/>
      <c r="G678" s="118"/>
      <c r="H678" s="34" t="str">
        <f t="shared" si="251"/>
        <v/>
      </c>
      <c r="I678" s="88" t="str">
        <f t="shared" si="252"/>
        <v/>
      </c>
      <c r="J678" s="44" t="str">
        <f t="shared" si="253"/>
        <v/>
      </c>
      <c r="K678" s="118"/>
      <c r="L678" s="34" t="str">
        <f t="shared" si="254"/>
        <v/>
      </c>
      <c r="M678" s="118"/>
      <c r="N678" s="121"/>
      <c r="O678" s="122" t="str">
        <f t="shared" si="263"/>
        <v/>
      </c>
      <c r="P678" s="35" t="str">
        <f t="shared" si="264"/>
        <v/>
      </c>
      <c r="Q678" s="124"/>
      <c r="R678" s="36" t="str">
        <f t="shared" si="265"/>
        <v/>
      </c>
      <c r="S678" s="37" t="str">
        <f t="shared" si="255"/>
        <v/>
      </c>
      <c r="T678" s="38" t="str">
        <f t="shared" si="256"/>
        <v/>
      </c>
      <c r="U678" s="39" t="str">
        <f t="shared" si="257"/>
        <v/>
      </c>
      <c r="V678" s="40" t="str">
        <f t="shared" si="258"/>
        <v/>
      </c>
      <c r="W678" s="39" t="str">
        <f t="shared" si="259"/>
        <v/>
      </c>
      <c r="X678" s="34" t="str">
        <f t="shared" si="260"/>
        <v/>
      </c>
      <c r="Y678" s="41" t="str">
        <f t="shared" si="266"/>
        <v/>
      </c>
      <c r="Z678" s="98" t="str">
        <f t="shared" si="261"/>
        <v/>
      </c>
      <c r="AA678" s="81" t="str">
        <f t="shared" si="267"/>
        <v/>
      </c>
      <c r="AC678" s="139"/>
      <c r="AD678" s="110" t="str">
        <f t="shared" si="268"/>
        <v/>
      </c>
      <c r="AE678" s="111" t="str">
        <f t="shared" si="269"/>
        <v/>
      </c>
      <c r="AF678" s="111" t="str">
        <f t="shared" si="262"/>
        <v/>
      </c>
      <c r="AG678" s="111" t="str">
        <f t="shared" si="270"/>
        <v/>
      </c>
      <c r="AH678" s="111" t="str">
        <f t="shared" si="271"/>
        <v/>
      </c>
      <c r="AI678" s="112" t="str">
        <f t="shared" si="272"/>
        <v/>
      </c>
      <c r="AJ678" t="str">
        <f t="shared" si="273"/>
        <v/>
      </c>
      <c r="AK678" t="str">
        <f t="shared" si="274"/>
        <v/>
      </c>
    </row>
    <row r="679" spans="1:37" ht="15" customHeight="1" x14ac:dyDescent="0.25">
      <c r="A679" s="114"/>
      <c r="B679" s="116"/>
      <c r="C679" s="116"/>
      <c r="D679" s="42" t="str">
        <f t="shared" si="250"/>
        <v/>
      </c>
      <c r="E679" s="43"/>
      <c r="F679" s="83"/>
      <c r="G679" s="118"/>
      <c r="H679" s="34" t="str">
        <f t="shared" si="251"/>
        <v/>
      </c>
      <c r="I679" s="88" t="str">
        <f t="shared" si="252"/>
        <v/>
      </c>
      <c r="J679" s="44" t="str">
        <f t="shared" si="253"/>
        <v/>
      </c>
      <c r="K679" s="118"/>
      <c r="L679" s="34" t="str">
        <f t="shared" si="254"/>
        <v/>
      </c>
      <c r="M679" s="118"/>
      <c r="N679" s="121"/>
      <c r="O679" s="122" t="str">
        <f t="shared" si="263"/>
        <v/>
      </c>
      <c r="P679" s="35" t="str">
        <f t="shared" si="264"/>
        <v/>
      </c>
      <c r="Q679" s="124"/>
      <c r="R679" s="36" t="str">
        <f t="shared" si="265"/>
        <v/>
      </c>
      <c r="S679" s="37" t="str">
        <f t="shared" si="255"/>
        <v/>
      </c>
      <c r="T679" s="38" t="str">
        <f t="shared" si="256"/>
        <v/>
      </c>
      <c r="U679" s="39" t="str">
        <f t="shared" si="257"/>
        <v/>
      </c>
      <c r="V679" s="40" t="str">
        <f t="shared" si="258"/>
        <v/>
      </c>
      <c r="W679" s="39" t="str">
        <f t="shared" si="259"/>
        <v/>
      </c>
      <c r="X679" s="34" t="str">
        <f t="shared" si="260"/>
        <v/>
      </c>
      <c r="Y679" s="41" t="str">
        <f t="shared" si="266"/>
        <v/>
      </c>
      <c r="Z679" s="98" t="str">
        <f t="shared" si="261"/>
        <v/>
      </c>
      <c r="AA679" s="81" t="str">
        <f t="shared" si="267"/>
        <v/>
      </c>
      <c r="AC679" s="139"/>
      <c r="AD679" s="110" t="str">
        <f t="shared" si="268"/>
        <v/>
      </c>
      <c r="AE679" s="111" t="str">
        <f t="shared" si="269"/>
        <v/>
      </c>
      <c r="AF679" s="111" t="str">
        <f t="shared" si="262"/>
        <v/>
      </c>
      <c r="AG679" s="111" t="str">
        <f t="shared" si="270"/>
        <v/>
      </c>
      <c r="AH679" s="111" t="str">
        <f t="shared" si="271"/>
        <v/>
      </c>
      <c r="AI679" s="112" t="str">
        <f t="shared" si="272"/>
        <v/>
      </c>
      <c r="AJ679" t="str">
        <f t="shared" si="273"/>
        <v/>
      </c>
      <c r="AK679" t="str">
        <f t="shared" si="274"/>
        <v/>
      </c>
    </row>
    <row r="680" spans="1:37" ht="15" customHeight="1" x14ac:dyDescent="0.25">
      <c r="A680" s="114"/>
      <c r="B680" s="116"/>
      <c r="C680" s="116"/>
      <c r="D680" s="42" t="str">
        <f t="shared" si="250"/>
        <v/>
      </c>
      <c r="E680" s="43"/>
      <c r="F680" s="83"/>
      <c r="G680" s="118"/>
      <c r="H680" s="34" t="str">
        <f t="shared" si="251"/>
        <v/>
      </c>
      <c r="I680" s="88" t="str">
        <f t="shared" si="252"/>
        <v/>
      </c>
      <c r="J680" s="44" t="str">
        <f t="shared" si="253"/>
        <v/>
      </c>
      <c r="K680" s="118"/>
      <c r="L680" s="34" t="str">
        <f t="shared" si="254"/>
        <v/>
      </c>
      <c r="M680" s="118"/>
      <c r="N680" s="121"/>
      <c r="O680" s="122" t="str">
        <f t="shared" si="263"/>
        <v/>
      </c>
      <c r="P680" s="35" t="str">
        <f t="shared" si="264"/>
        <v/>
      </c>
      <c r="Q680" s="124"/>
      <c r="R680" s="36" t="str">
        <f t="shared" si="265"/>
        <v/>
      </c>
      <c r="S680" s="37" t="str">
        <f t="shared" si="255"/>
        <v/>
      </c>
      <c r="T680" s="38" t="str">
        <f t="shared" si="256"/>
        <v/>
      </c>
      <c r="U680" s="39" t="str">
        <f t="shared" si="257"/>
        <v/>
      </c>
      <c r="V680" s="40" t="str">
        <f t="shared" si="258"/>
        <v/>
      </c>
      <c r="W680" s="39" t="str">
        <f t="shared" si="259"/>
        <v/>
      </c>
      <c r="X680" s="34" t="str">
        <f t="shared" si="260"/>
        <v/>
      </c>
      <c r="Y680" s="41" t="str">
        <f t="shared" si="266"/>
        <v/>
      </c>
      <c r="Z680" s="98" t="str">
        <f t="shared" si="261"/>
        <v/>
      </c>
      <c r="AA680" s="81" t="str">
        <f t="shared" si="267"/>
        <v/>
      </c>
      <c r="AC680" s="139"/>
      <c r="AD680" s="110" t="str">
        <f t="shared" si="268"/>
        <v/>
      </c>
      <c r="AE680" s="111" t="str">
        <f t="shared" si="269"/>
        <v/>
      </c>
      <c r="AF680" s="111" t="str">
        <f t="shared" si="262"/>
        <v/>
      </c>
      <c r="AG680" s="111" t="str">
        <f t="shared" si="270"/>
        <v/>
      </c>
      <c r="AH680" s="111" t="str">
        <f t="shared" si="271"/>
        <v/>
      </c>
      <c r="AI680" s="112" t="str">
        <f t="shared" si="272"/>
        <v/>
      </c>
      <c r="AJ680" t="str">
        <f t="shared" si="273"/>
        <v/>
      </c>
      <c r="AK680" t="str">
        <f t="shared" si="274"/>
        <v/>
      </c>
    </row>
    <row r="681" spans="1:37" ht="15" customHeight="1" x14ac:dyDescent="0.25">
      <c r="A681" s="114"/>
      <c r="B681" s="116"/>
      <c r="C681" s="116"/>
      <c r="D681" s="42" t="str">
        <f t="shared" si="250"/>
        <v/>
      </c>
      <c r="E681" s="43"/>
      <c r="F681" s="83"/>
      <c r="G681" s="118"/>
      <c r="H681" s="34" t="str">
        <f t="shared" si="251"/>
        <v/>
      </c>
      <c r="I681" s="88" t="str">
        <f t="shared" si="252"/>
        <v/>
      </c>
      <c r="J681" s="44" t="str">
        <f t="shared" si="253"/>
        <v/>
      </c>
      <c r="K681" s="118"/>
      <c r="L681" s="34" t="str">
        <f t="shared" si="254"/>
        <v/>
      </c>
      <c r="M681" s="118"/>
      <c r="N681" s="121"/>
      <c r="O681" s="122" t="str">
        <f t="shared" si="263"/>
        <v/>
      </c>
      <c r="P681" s="35" t="str">
        <f t="shared" si="264"/>
        <v/>
      </c>
      <c r="Q681" s="124"/>
      <c r="R681" s="36" t="str">
        <f t="shared" si="265"/>
        <v/>
      </c>
      <c r="S681" s="37" t="str">
        <f t="shared" si="255"/>
        <v/>
      </c>
      <c r="T681" s="38" t="str">
        <f t="shared" si="256"/>
        <v/>
      </c>
      <c r="U681" s="39" t="str">
        <f t="shared" si="257"/>
        <v/>
      </c>
      <c r="V681" s="40" t="str">
        <f t="shared" si="258"/>
        <v/>
      </c>
      <c r="W681" s="39" t="str">
        <f t="shared" si="259"/>
        <v/>
      </c>
      <c r="X681" s="34" t="str">
        <f t="shared" si="260"/>
        <v/>
      </c>
      <c r="Y681" s="41" t="str">
        <f t="shared" si="266"/>
        <v/>
      </c>
      <c r="Z681" s="98" t="str">
        <f t="shared" si="261"/>
        <v/>
      </c>
      <c r="AA681" s="81" t="str">
        <f t="shared" si="267"/>
        <v/>
      </c>
      <c r="AC681" s="139"/>
      <c r="AD681" s="110" t="str">
        <f t="shared" si="268"/>
        <v/>
      </c>
      <c r="AE681" s="111" t="str">
        <f t="shared" si="269"/>
        <v/>
      </c>
      <c r="AF681" s="111" t="str">
        <f t="shared" si="262"/>
        <v/>
      </c>
      <c r="AG681" s="111" t="str">
        <f t="shared" si="270"/>
        <v/>
      </c>
      <c r="AH681" s="111" t="str">
        <f t="shared" si="271"/>
        <v/>
      </c>
      <c r="AI681" s="112" t="str">
        <f t="shared" si="272"/>
        <v/>
      </c>
      <c r="AJ681" t="str">
        <f t="shared" si="273"/>
        <v/>
      </c>
      <c r="AK681" t="str">
        <f t="shared" si="274"/>
        <v/>
      </c>
    </row>
    <row r="682" spans="1:37" ht="15" customHeight="1" x14ac:dyDescent="0.25">
      <c r="A682" s="114"/>
      <c r="B682" s="116"/>
      <c r="C682" s="116"/>
      <c r="D682" s="42" t="str">
        <f t="shared" si="250"/>
        <v/>
      </c>
      <c r="E682" s="43"/>
      <c r="F682" s="83"/>
      <c r="G682" s="118"/>
      <c r="H682" s="34" t="str">
        <f t="shared" si="251"/>
        <v/>
      </c>
      <c r="I682" s="88" t="str">
        <f t="shared" si="252"/>
        <v/>
      </c>
      <c r="J682" s="44" t="str">
        <f t="shared" si="253"/>
        <v/>
      </c>
      <c r="K682" s="118"/>
      <c r="L682" s="34" t="str">
        <f t="shared" si="254"/>
        <v/>
      </c>
      <c r="M682" s="118"/>
      <c r="N682" s="121"/>
      <c r="O682" s="122" t="str">
        <f t="shared" si="263"/>
        <v/>
      </c>
      <c r="P682" s="35" t="str">
        <f t="shared" si="264"/>
        <v/>
      </c>
      <c r="Q682" s="124"/>
      <c r="R682" s="36" t="str">
        <f t="shared" si="265"/>
        <v/>
      </c>
      <c r="S682" s="37" t="str">
        <f t="shared" si="255"/>
        <v/>
      </c>
      <c r="T682" s="38" t="str">
        <f t="shared" si="256"/>
        <v/>
      </c>
      <c r="U682" s="39" t="str">
        <f t="shared" si="257"/>
        <v/>
      </c>
      <c r="V682" s="40" t="str">
        <f t="shared" si="258"/>
        <v/>
      </c>
      <c r="W682" s="39" t="str">
        <f t="shared" si="259"/>
        <v/>
      </c>
      <c r="X682" s="34" t="str">
        <f t="shared" si="260"/>
        <v/>
      </c>
      <c r="Y682" s="41" t="str">
        <f t="shared" si="266"/>
        <v/>
      </c>
      <c r="Z682" s="98" t="str">
        <f t="shared" si="261"/>
        <v/>
      </c>
      <c r="AA682" s="81" t="str">
        <f t="shared" si="267"/>
        <v/>
      </c>
      <c r="AC682" s="139"/>
      <c r="AD682" s="110" t="str">
        <f t="shared" si="268"/>
        <v/>
      </c>
      <c r="AE682" s="111" t="str">
        <f t="shared" si="269"/>
        <v/>
      </c>
      <c r="AF682" s="111" t="str">
        <f t="shared" si="262"/>
        <v/>
      </c>
      <c r="AG682" s="111" t="str">
        <f t="shared" si="270"/>
        <v/>
      </c>
      <c r="AH682" s="111" t="str">
        <f t="shared" si="271"/>
        <v/>
      </c>
      <c r="AI682" s="112" t="str">
        <f t="shared" si="272"/>
        <v/>
      </c>
      <c r="AJ682" t="str">
        <f t="shared" si="273"/>
        <v/>
      </c>
      <c r="AK682" t="str">
        <f t="shared" si="274"/>
        <v/>
      </c>
    </row>
    <row r="683" spans="1:37" ht="15" customHeight="1" x14ac:dyDescent="0.25">
      <c r="A683" s="114"/>
      <c r="B683" s="116"/>
      <c r="C683" s="116"/>
      <c r="D683" s="42" t="str">
        <f t="shared" si="250"/>
        <v/>
      </c>
      <c r="E683" s="43"/>
      <c r="F683" s="83"/>
      <c r="G683" s="118"/>
      <c r="H683" s="34" t="str">
        <f t="shared" si="251"/>
        <v/>
      </c>
      <c r="I683" s="88" t="str">
        <f t="shared" si="252"/>
        <v/>
      </c>
      <c r="J683" s="44" t="str">
        <f t="shared" si="253"/>
        <v/>
      </c>
      <c r="K683" s="118"/>
      <c r="L683" s="34" t="str">
        <f t="shared" si="254"/>
        <v/>
      </c>
      <c r="M683" s="118"/>
      <c r="N683" s="121"/>
      <c r="O683" s="122" t="str">
        <f t="shared" si="263"/>
        <v/>
      </c>
      <c r="P683" s="35" t="str">
        <f t="shared" si="264"/>
        <v/>
      </c>
      <c r="Q683" s="124"/>
      <c r="R683" s="36" t="str">
        <f t="shared" si="265"/>
        <v/>
      </c>
      <c r="S683" s="37" t="str">
        <f t="shared" si="255"/>
        <v/>
      </c>
      <c r="T683" s="38" t="str">
        <f t="shared" si="256"/>
        <v/>
      </c>
      <c r="U683" s="39" t="str">
        <f t="shared" si="257"/>
        <v/>
      </c>
      <c r="V683" s="40" t="str">
        <f t="shared" si="258"/>
        <v/>
      </c>
      <c r="W683" s="39" t="str">
        <f t="shared" si="259"/>
        <v/>
      </c>
      <c r="X683" s="34" t="str">
        <f t="shared" si="260"/>
        <v/>
      </c>
      <c r="Y683" s="41" t="str">
        <f t="shared" si="266"/>
        <v/>
      </c>
      <c r="Z683" s="98" t="str">
        <f t="shared" si="261"/>
        <v/>
      </c>
      <c r="AA683" s="81" t="str">
        <f t="shared" si="267"/>
        <v/>
      </c>
      <c r="AC683" s="139"/>
      <c r="AD683" s="110" t="str">
        <f t="shared" si="268"/>
        <v/>
      </c>
      <c r="AE683" s="111" t="str">
        <f t="shared" si="269"/>
        <v/>
      </c>
      <c r="AF683" s="111" t="str">
        <f t="shared" si="262"/>
        <v/>
      </c>
      <c r="AG683" s="111" t="str">
        <f t="shared" si="270"/>
        <v/>
      </c>
      <c r="AH683" s="111" t="str">
        <f t="shared" si="271"/>
        <v/>
      </c>
      <c r="AI683" s="112" t="str">
        <f t="shared" si="272"/>
        <v/>
      </c>
      <c r="AJ683" t="str">
        <f t="shared" si="273"/>
        <v/>
      </c>
      <c r="AK683" t="str">
        <f t="shared" si="274"/>
        <v/>
      </c>
    </row>
    <row r="684" spans="1:37" ht="15" customHeight="1" x14ac:dyDescent="0.25">
      <c r="A684" s="114"/>
      <c r="B684" s="116"/>
      <c r="C684" s="116"/>
      <c r="D684" s="42" t="str">
        <f t="shared" si="250"/>
        <v/>
      </c>
      <c r="E684" s="43"/>
      <c r="F684" s="83"/>
      <c r="G684" s="118"/>
      <c r="H684" s="34" t="str">
        <f t="shared" si="251"/>
        <v/>
      </c>
      <c r="I684" s="88" t="str">
        <f t="shared" si="252"/>
        <v/>
      </c>
      <c r="J684" s="44" t="str">
        <f t="shared" si="253"/>
        <v/>
      </c>
      <c r="K684" s="118"/>
      <c r="L684" s="34" t="str">
        <f t="shared" si="254"/>
        <v/>
      </c>
      <c r="M684" s="118"/>
      <c r="N684" s="121"/>
      <c r="O684" s="122" t="str">
        <f t="shared" si="263"/>
        <v/>
      </c>
      <c r="P684" s="35" t="str">
        <f t="shared" si="264"/>
        <v/>
      </c>
      <c r="Q684" s="124"/>
      <c r="R684" s="36" t="str">
        <f t="shared" si="265"/>
        <v/>
      </c>
      <c r="S684" s="37" t="str">
        <f t="shared" si="255"/>
        <v/>
      </c>
      <c r="T684" s="38" t="str">
        <f t="shared" si="256"/>
        <v/>
      </c>
      <c r="U684" s="39" t="str">
        <f t="shared" si="257"/>
        <v/>
      </c>
      <c r="V684" s="40" t="str">
        <f t="shared" si="258"/>
        <v/>
      </c>
      <c r="W684" s="39" t="str">
        <f t="shared" si="259"/>
        <v/>
      </c>
      <c r="X684" s="34" t="str">
        <f t="shared" si="260"/>
        <v/>
      </c>
      <c r="Y684" s="41" t="str">
        <f t="shared" si="266"/>
        <v/>
      </c>
      <c r="Z684" s="98" t="str">
        <f t="shared" si="261"/>
        <v/>
      </c>
      <c r="AA684" s="81" t="str">
        <f t="shared" si="267"/>
        <v/>
      </c>
      <c r="AC684" s="139"/>
      <c r="AD684" s="110" t="str">
        <f t="shared" si="268"/>
        <v/>
      </c>
      <c r="AE684" s="111" t="str">
        <f t="shared" si="269"/>
        <v/>
      </c>
      <c r="AF684" s="111" t="str">
        <f t="shared" si="262"/>
        <v/>
      </c>
      <c r="AG684" s="111" t="str">
        <f t="shared" si="270"/>
        <v/>
      </c>
      <c r="AH684" s="111" t="str">
        <f t="shared" si="271"/>
        <v/>
      </c>
      <c r="AI684" s="112" t="str">
        <f t="shared" si="272"/>
        <v/>
      </c>
      <c r="AJ684" t="str">
        <f t="shared" si="273"/>
        <v/>
      </c>
      <c r="AK684" t="str">
        <f t="shared" si="274"/>
        <v/>
      </c>
    </row>
    <row r="685" spans="1:37" ht="15" customHeight="1" x14ac:dyDescent="0.25">
      <c r="A685" s="114"/>
      <c r="B685" s="116"/>
      <c r="C685" s="116"/>
      <c r="D685" s="42" t="str">
        <f t="shared" si="250"/>
        <v/>
      </c>
      <c r="E685" s="43"/>
      <c r="F685" s="83"/>
      <c r="G685" s="118"/>
      <c r="H685" s="34" t="str">
        <f t="shared" si="251"/>
        <v/>
      </c>
      <c r="I685" s="88" t="str">
        <f t="shared" si="252"/>
        <v/>
      </c>
      <c r="J685" s="44" t="str">
        <f t="shared" si="253"/>
        <v/>
      </c>
      <c r="K685" s="118"/>
      <c r="L685" s="34" t="str">
        <f t="shared" si="254"/>
        <v/>
      </c>
      <c r="M685" s="118"/>
      <c r="N685" s="121"/>
      <c r="O685" s="122" t="str">
        <f t="shared" si="263"/>
        <v/>
      </c>
      <c r="P685" s="35" t="str">
        <f t="shared" si="264"/>
        <v/>
      </c>
      <c r="Q685" s="124"/>
      <c r="R685" s="36" t="str">
        <f t="shared" si="265"/>
        <v/>
      </c>
      <c r="S685" s="37" t="str">
        <f t="shared" si="255"/>
        <v/>
      </c>
      <c r="T685" s="38" t="str">
        <f t="shared" si="256"/>
        <v/>
      </c>
      <c r="U685" s="39" t="str">
        <f t="shared" si="257"/>
        <v/>
      </c>
      <c r="V685" s="40" t="str">
        <f t="shared" si="258"/>
        <v/>
      </c>
      <c r="W685" s="39" t="str">
        <f t="shared" si="259"/>
        <v/>
      </c>
      <c r="X685" s="34" t="str">
        <f t="shared" si="260"/>
        <v/>
      </c>
      <c r="Y685" s="41" t="str">
        <f t="shared" si="266"/>
        <v/>
      </c>
      <c r="Z685" s="98" t="str">
        <f t="shared" si="261"/>
        <v/>
      </c>
      <c r="AA685" s="81" t="str">
        <f t="shared" si="267"/>
        <v/>
      </c>
      <c r="AC685" s="139"/>
      <c r="AD685" s="110" t="str">
        <f t="shared" si="268"/>
        <v/>
      </c>
      <c r="AE685" s="111" t="str">
        <f t="shared" si="269"/>
        <v/>
      </c>
      <c r="AF685" s="111" t="str">
        <f t="shared" si="262"/>
        <v/>
      </c>
      <c r="AG685" s="111" t="str">
        <f t="shared" si="270"/>
        <v/>
      </c>
      <c r="AH685" s="111" t="str">
        <f t="shared" si="271"/>
        <v/>
      </c>
      <c r="AI685" s="112" t="str">
        <f t="shared" si="272"/>
        <v/>
      </c>
      <c r="AJ685" t="str">
        <f t="shared" si="273"/>
        <v/>
      </c>
      <c r="AK685" t="str">
        <f t="shared" si="274"/>
        <v/>
      </c>
    </row>
    <row r="686" spans="1:37" ht="15" customHeight="1" x14ac:dyDescent="0.25">
      <c r="A686" s="114"/>
      <c r="B686" s="116"/>
      <c r="C686" s="116"/>
      <c r="D686" s="42" t="str">
        <f t="shared" si="250"/>
        <v/>
      </c>
      <c r="E686" s="43"/>
      <c r="F686" s="83"/>
      <c r="G686" s="118"/>
      <c r="H686" s="34" t="str">
        <f t="shared" si="251"/>
        <v/>
      </c>
      <c r="I686" s="88" t="str">
        <f t="shared" si="252"/>
        <v/>
      </c>
      <c r="J686" s="44" t="str">
        <f t="shared" si="253"/>
        <v/>
      </c>
      <c r="K686" s="118"/>
      <c r="L686" s="34" t="str">
        <f t="shared" si="254"/>
        <v/>
      </c>
      <c r="M686" s="118"/>
      <c r="N686" s="121"/>
      <c r="O686" s="122" t="str">
        <f t="shared" si="263"/>
        <v/>
      </c>
      <c r="P686" s="35" t="str">
        <f t="shared" si="264"/>
        <v/>
      </c>
      <c r="Q686" s="124"/>
      <c r="R686" s="36" t="str">
        <f t="shared" si="265"/>
        <v/>
      </c>
      <c r="S686" s="37" t="str">
        <f t="shared" si="255"/>
        <v/>
      </c>
      <c r="T686" s="38" t="str">
        <f t="shared" si="256"/>
        <v/>
      </c>
      <c r="U686" s="39" t="str">
        <f t="shared" si="257"/>
        <v/>
      </c>
      <c r="V686" s="40" t="str">
        <f t="shared" si="258"/>
        <v/>
      </c>
      <c r="W686" s="39" t="str">
        <f t="shared" si="259"/>
        <v/>
      </c>
      <c r="X686" s="34" t="str">
        <f t="shared" si="260"/>
        <v/>
      </c>
      <c r="Y686" s="41" t="str">
        <f t="shared" si="266"/>
        <v/>
      </c>
      <c r="Z686" s="98" t="str">
        <f t="shared" si="261"/>
        <v/>
      </c>
      <c r="AA686" s="81" t="str">
        <f t="shared" si="267"/>
        <v/>
      </c>
      <c r="AC686" s="139"/>
      <c r="AD686" s="110" t="str">
        <f t="shared" si="268"/>
        <v/>
      </c>
      <c r="AE686" s="111" t="str">
        <f t="shared" si="269"/>
        <v/>
      </c>
      <c r="AF686" s="111" t="str">
        <f t="shared" si="262"/>
        <v/>
      </c>
      <c r="AG686" s="111" t="str">
        <f t="shared" si="270"/>
        <v/>
      </c>
      <c r="AH686" s="111" t="str">
        <f t="shared" si="271"/>
        <v/>
      </c>
      <c r="AI686" s="112" t="str">
        <f t="shared" si="272"/>
        <v/>
      </c>
      <c r="AJ686" t="str">
        <f t="shared" si="273"/>
        <v/>
      </c>
      <c r="AK686" t="str">
        <f t="shared" si="274"/>
        <v/>
      </c>
    </row>
    <row r="687" spans="1:37" ht="15" customHeight="1" x14ac:dyDescent="0.25">
      <c r="A687" s="114"/>
      <c r="B687" s="116"/>
      <c r="C687" s="116"/>
      <c r="D687" s="42" t="str">
        <f t="shared" si="250"/>
        <v/>
      </c>
      <c r="E687" s="43"/>
      <c r="F687" s="83"/>
      <c r="G687" s="118"/>
      <c r="H687" s="34" t="str">
        <f t="shared" si="251"/>
        <v/>
      </c>
      <c r="I687" s="88" t="str">
        <f t="shared" si="252"/>
        <v/>
      </c>
      <c r="J687" s="44" t="str">
        <f t="shared" si="253"/>
        <v/>
      </c>
      <c r="K687" s="118"/>
      <c r="L687" s="34" t="str">
        <f t="shared" si="254"/>
        <v/>
      </c>
      <c r="M687" s="118"/>
      <c r="N687" s="121"/>
      <c r="O687" s="122" t="str">
        <f t="shared" si="263"/>
        <v/>
      </c>
      <c r="P687" s="35" t="str">
        <f t="shared" si="264"/>
        <v/>
      </c>
      <c r="Q687" s="124"/>
      <c r="R687" s="36" t="str">
        <f t="shared" si="265"/>
        <v/>
      </c>
      <c r="S687" s="37" t="str">
        <f t="shared" si="255"/>
        <v/>
      </c>
      <c r="T687" s="38" t="str">
        <f t="shared" si="256"/>
        <v/>
      </c>
      <c r="U687" s="39" t="str">
        <f t="shared" si="257"/>
        <v/>
      </c>
      <c r="V687" s="40" t="str">
        <f t="shared" si="258"/>
        <v/>
      </c>
      <c r="W687" s="39" t="str">
        <f t="shared" si="259"/>
        <v/>
      </c>
      <c r="X687" s="34" t="str">
        <f t="shared" si="260"/>
        <v/>
      </c>
      <c r="Y687" s="41" t="str">
        <f t="shared" si="266"/>
        <v/>
      </c>
      <c r="Z687" s="98" t="str">
        <f t="shared" si="261"/>
        <v/>
      </c>
      <c r="AA687" s="81" t="str">
        <f t="shared" si="267"/>
        <v/>
      </c>
      <c r="AC687" s="139"/>
      <c r="AD687" s="110" t="str">
        <f t="shared" si="268"/>
        <v/>
      </c>
      <c r="AE687" s="111" t="str">
        <f t="shared" si="269"/>
        <v/>
      </c>
      <c r="AF687" s="111" t="str">
        <f t="shared" si="262"/>
        <v/>
      </c>
      <c r="AG687" s="111" t="str">
        <f t="shared" si="270"/>
        <v/>
      </c>
      <c r="AH687" s="111" t="str">
        <f t="shared" si="271"/>
        <v/>
      </c>
      <c r="AI687" s="112" t="str">
        <f t="shared" si="272"/>
        <v/>
      </c>
      <c r="AJ687" t="str">
        <f t="shared" si="273"/>
        <v/>
      </c>
      <c r="AK687" t="str">
        <f t="shared" si="274"/>
        <v/>
      </c>
    </row>
    <row r="688" spans="1:37" ht="15" customHeight="1" x14ac:dyDescent="0.25">
      <c r="A688" s="114"/>
      <c r="B688" s="116"/>
      <c r="C688" s="116"/>
      <c r="D688" s="42" t="str">
        <f t="shared" si="250"/>
        <v/>
      </c>
      <c r="E688" s="43"/>
      <c r="F688" s="83"/>
      <c r="G688" s="118"/>
      <c r="H688" s="34" t="str">
        <f t="shared" si="251"/>
        <v/>
      </c>
      <c r="I688" s="88" t="str">
        <f t="shared" si="252"/>
        <v/>
      </c>
      <c r="J688" s="44" t="str">
        <f t="shared" si="253"/>
        <v/>
      </c>
      <c r="K688" s="118"/>
      <c r="L688" s="34" t="str">
        <f t="shared" si="254"/>
        <v/>
      </c>
      <c r="M688" s="118"/>
      <c r="N688" s="121"/>
      <c r="O688" s="122" t="str">
        <f t="shared" si="263"/>
        <v/>
      </c>
      <c r="P688" s="35" t="str">
        <f t="shared" si="264"/>
        <v/>
      </c>
      <c r="Q688" s="124"/>
      <c r="R688" s="36" t="str">
        <f t="shared" si="265"/>
        <v/>
      </c>
      <c r="S688" s="37" t="str">
        <f t="shared" si="255"/>
        <v/>
      </c>
      <c r="T688" s="38" t="str">
        <f t="shared" si="256"/>
        <v/>
      </c>
      <c r="U688" s="39" t="str">
        <f t="shared" si="257"/>
        <v/>
      </c>
      <c r="V688" s="40" t="str">
        <f t="shared" si="258"/>
        <v/>
      </c>
      <c r="W688" s="39" t="str">
        <f t="shared" si="259"/>
        <v/>
      </c>
      <c r="X688" s="34" t="str">
        <f t="shared" si="260"/>
        <v/>
      </c>
      <c r="Y688" s="41" t="str">
        <f t="shared" si="266"/>
        <v/>
      </c>
      <c r="Z688" s="98" t="str">
        <f t="shared" si="261"/>
        <v/>
      </c>
      <c r="AA688" s="81" t="str">
        <f t="shared" si="267"/>
        <v/>
      </c>
      <c r="AC688" s="139"/>
      <c r="AD688" s="110" t="str">
        <f t="shared" si="268"/>
        <v/>
      </c>
      <c r="AE688" s="111" t="str">
        <f t="shared" si="269"/>
        <v/>
      </c>
      <c r="AF688" s="111" t="str">
        <f t="shared" si="262"/>
        <v/>
      </c>
      <c r="AG688" s="111" t="str">
        <f t="shared" si="270"/>
        <v/>
      </c>
      <c r="AH688" s="111" t="str">
        <f t="shared" si="271"/>
        <v/>
      </c>
      <c r="AI688" s="112" t="str">
        <f t="shared" si="272"/>
        <v/>
      </c>
      <c r="AJ688" t="str">
        <f t="shared" si="273"/>
        <v/>
      </c>
      <c r="AK688" t="str">
        <f t="shared" si="274"/>
        <v/>
      </c>
    </row>
    <row r="689" spans="1:37" ht="15" customHeight="1" x14ac:dyDescent="0.25">
      <c r="A689" s="114"/>
      <c r="B689" s="116"/>
      <c r="C689" s="116"/>
      <c r="D689" s="42" t="str">
        <f t="shared" si="250"/>
        <v/>
      </c>
      <c r="E689" s="43"/>
      <c r="F689" s="83"/>
      <c r="G689" s="118"/>
      <c r="H689" s="34" t="str">
        <f t="shared" si="251"/>
        <v/>
      </c>
      <c r="I689" s="88" t="str">
        <f t="shared" si="252"/>
        <v/>
      </c>
      <c r="J689" s="44" t="str">
        <f t="shared" si="253"/>
        <v/>
      </c>
      <c r="K689" s="118"/>
      <c r="L689" s="34" t="str">
        <f t="shared" si="254"/>
        <v/>
      </c>
      <c r="M689" s="118"/>
      <c r="N689" s="121"/>
      <c r="O689" s="122" t="str">
        <f t="shared" si="263"/>
        <v/>
      </c>
      <c r="P689" s="35" t="str">
        <f t="shared" si="264"/>
        <v/>
      </c>
      <c r="Q689" s="124"/>
      <c r="R689" s="36" t="str">
        <f t="shared" si="265"/>
        <v/>
      </c>
      <c r="S689" s="37" t="str">
        <f t="shared" si="255"/>
        <v/>
      </c>
      <c r="T689" s="38" t="str">
        <f t="shared" si="256"/>
        <v/>
      </c>
      <c r="U689" s="39" t="str">
        <f t="shared" si="257"/>
        <v/>
      </c>
      <c r="V689" s="40" t="str">
        <f t="shared" si="258"/>
        <v/>
      </c>
      <c r="W689" s="39" t="str">
        <f t="shared" si="259"/>
        <v/>
      </c>
      <c r="X689" s="34" t="str">
        <f t="shared" si="260"/>
        <v/>
      </c>
      <c r="Y689" s="41" t="str">
        <f t="shared" si="266"/>
        <v/>
      </c>
      <c r="Z689" s="98" t="str">
        <f t="shared" si="261"/>
        <v/>
      </c>
      <c r="AA689" s="81" t="str">
        <f t="shared" si="267"/>
        <v/>
      </c>
      <c r="AC689" s="139"/>
      <c r="AD689" s="110" t="str">
        <f t="shared" si="268"/>
        <v/>
      </c>
      <c r="AE689" s="111" t="str">
        <f t="shared" si="269"/>
        <v/>
      </c>
      <c r="AF689" s="111" t="str">
        <f t="shared" si="262"/>
        <v/>
      </c>
      <c r="AG689" s="111" t="str">
        <f t="shared" si="270"/>
        <v/>
      </c>
      <c r="AH689" s="111" t="str">
        <f t="shared" si="271"/>
        <v/>
      </c>
      <c r="AI689" s="112" t="str">
        <f t="shared" si="272"/>
        <v/>
      </c>
      <c r="AJ689" t="str">
        <f t="shared" si="273"/>
        <v/>
      </c>
      <c r="AK689" t="str">
        <f t="shared" si="274"/>
        <v/>
      </c>
    </row>
    <row r="690" spans="1:37" ht="15" customHeight="1" x14ac:dyDescent="0.25">
      <c r="A690" s="114"/>
      <c r="B690" s="116"/>
      <c r="C690" s="116"/>
      <c r="D690" s="42" t="str">
        <f t="shared" si="250"/>
        <v/>
      </c>
      <c r="E690" s="43"/>
      <c r="F690" s="83"/>
      <c r="G690" s="118"/>
      <c r="H690" s="34" t="str">
        <f t="shared" si="251"/>
        <v/>
      </c>
      <c r="I690" s="88" t="str">
        <f t="shared" si="252"/>
        <v/>
      </c>
      <c r="J690" s="44" t="str">
        <f t="shared" si="253"/>
        <v/>
      </c>
      <c r="K690" s="118"/>
      <c r="L690" s="34" t="str">
        <f t="shared" si="254"/>
        <v/>
      </c>
      <c r="M690" s="118"/>
      <c r="N690" s="121"/>
      <c r="O690" s="122" t="str">
        <f t="shared" si="263"/>
        <v/>
      </c>
      <c r="P690" s="35" t="str">
        <f t="shared" si="264"/>
        <v/>
      </c>
      <c r="Q690" s="124"/>
      <c r="R690" s="36" t="str">
        <f t="shared" si="265"/>
        <v/>
      </c>
      <c r="S690" s="37" t="str">
        <f t="shared" si="255"/>
        <v/>
      </c>
      <c r="T690" s="38" t="str">
        <f t="shared" si="256"/>
        <v/>
      </c>
      <c r="U690" s="39" t="str">
        <f t="shared" si="257"/>
        <v/>
      </c>
      <c r="V690" s="40" t="str">
        <f t="shared" si="258"/>
        <v/>
      </c>
      <c r="W690" s="39" t="str">
        <f t="shared" si="259"/>
        <v/>
      </c>
      <c r="X690" s="34" t="str">
        <f t="shared" si="260"/>
        <v/>
      </c>
      <c r="Y690" s="41" t="str">
        <f t="shared" si="266"/>
        <v/>
      </c>
      <c r="Z690" s="98" t="str">
        <f t="shared" si="261"/>
        <v/>
      </c>
      <c r="AA690" s="81" t="str">
        <f t="shared" si="267"/>
        <v/>
      </c>
      <c r="AC690" s="139"/>
      <c r="AD690" s="110" t="str">
        <f t="shared" si="268"/>
        <v/>
      </c>
      <c r="AE690" s="111" t="str">
        <f t="shared" si="269"/>
        <v/>
      </c>
      <c r="AF690" s="111" t="str">
        <f t="shared" si="262"/>
        <v/>
      </c>
      <c r="AG690" s="111" t="str">
        <f t="shared" si="270"/>
        <v/>
      </c>
      <c r="AH690" s="111" t="str">
        <f t="shared" si="271"/>
        <v/>
      </c>
      <c r="AI690" s="112" t="str">
        <f t="shared" si="272"/>
        <v/>
      </c>
      <c r="AJ690" t="str">
        <f t="shared" si="273"/>
        <v/>
      </c>
      <c r="AK690" t="str">
        <f t="shared" si="274"/>
        <v/>
      </c>
    </row>
    <row r="691" spans="1:37" ht="15" customHeight="1" x14ac:dyDescent="0.25">
      <c r="A691" s="114"/>
      <c r="B691" s="116"/>
      <c r="C691" s="116"/>
      <c r="D691" s="42" t="str">
        <f t="shared" si="250"/>
        <v/>
      </c>
      <c r="E691" s="43"/>
      <c r="F691" s="83"/>
      <c r="G691" s="118"/>
      <c r="H691" s="34" t="str">
        <f t="shared" si="251"/>
        <v/>
      </c>
      <c r="I691" s="88" t="str">
        <f t="shared" si="252"/>
        <v/>
      </c>
      <c r="J691" s="44" t="str">
        <f t="shared" si="253"/>
        <v/>
      </c>
      <c r="K691" s="118"/>
      <c r="L691" s="34" t="str">
        <f t="shared" si="254"/>
        <v/>
      </c>
      <c r="M691" s="118"/>
      <c r="N691" s="121"/>
      <c r="O691" s="122" t="str">
        <f t="shared" si="263"/>
        <v/>
      </c>
      <c r="P691" s="35" t="str">
        <f t="shared" si="264"/>
        <v/>
      </c>
      <c r="Q691" s="124"/>
      <c r="R691" s="36" t="str">
        <f t="shared" si="265"/>
        <v/>
      </c>
      <c r="S691" s="37" t="str">
        <f t="shared" si="255"/>
        <v/>
      </c>
      <c r="T691" s="38" t="str">
        <f t="shared" si="256"/>
        <v/>
      </c>
      <c r="U691" s="39" t="str">
        <f t="shared" si="257"/>
        <v/>
      </c>
      <c r="V691" s="40" t="str">
        <f t="shared" si="258"/>
        <v/>
      </c>
      <c r="W691" s="39" t="str">
        <f t="shared" si="259"/>
        <v/>
      </c>
      <c r="X691" s="34" t="str">
        <f t="shared" si="260"/>
        <v/>
      </c>
      <c r="Y691" s="41" t="str">
        <f t="shared" si="266"/>
        <v/>
      </c>
      <c r="Z691" s="98" t="str">
        <f t="shared" si="261"/>
        <v/>
      </c>
      <c r="AA691" s="81" t="str">
        <f t="shared" si="267"/>
        <v/>
      </c>
      <c r="AC691" s="139"/>
      <c r="AD691" s="110" t="str">
        <f t="shared" si="268"/>
        <v/>
      </c>
      <c r="AE691" s="111" t="str">
        <f t="shared" si="269"/>
        <v/>
      </c>
      <c r="AF691" s="111" t="str">
        <f t="shared" si="262"/>
        <v/>
      </c>
      <c r="AG691" s="111" t="str">
        <f t="shared" si="270"/>
        <v/>
      </c>
      <c r="AH691" s="111" t="str">
        <f t="shared" si="271"/>
        <v/>
      </c>
      <c r="AI691" s="112" t="str">
        <f t="shared" si="272"/>
        <v/>
      </c>
      <c r="AJ691" t="str">
        <f t="shared" si="273"/>
        <v/>
      </c>
      <c r="AK691" t="str">
        <f t="shared" si="274"/>
        <v/>
      </c>
    </row>
    <row r="692" spans="1:37" ht="15" customHeight="1" x14ac:dyDescent="0.25">
      <c r="A692" s="114"/>
      <c r="B692" s="116"/>
      <c r="C692" s="116"/>
      <c r="D692" s="42" t="str">
        <f t="shared" si="250"/>
        <v/>
      </c>
      <c r="E692" s="43"/>
      <c r="F692" s="83"/>
      <c r="G692" s="118"/>
      <c r="H692" s="34" t="str">
        <f t="shared" si="251"/>
        <v/>
      </c>
      <c r="I692" s="88" t="str">
        <f t="shared" si="252"/>
        <v/>
      </c>
      <c r="J692" s="44" t="str">
        <f t="shared" si="253"/>
        <v/>
      </c>
      <c r="K692" s="118"/>
      <c r="L692" s="34" t="str">
        <f t="shared" si="254"/>
        <v/>
      </c>
      <c r="M692" s="118"/>
      <c r="N692" s="121"/>
      <c r="O692" s="122" t="str">
        <f t="shared" si="263"/>
        <v/>
      </c>
      <c r="P692" s="35" t="str">
        <f t="shared" si="264"/>
        <v/>
      </c>
      <c r="Q692" s="124"/>
      <c r="R692" s="36" t="str">
        <f t="shared" si="265"/>
        <v/>
      </c>
      <c r="S692" s="37" t="str">
        <f t="shared" si="255"/>
        <v/>
      </c>
      <c r="T692" s="38" t="str">
        <f t="shared" si="256"/>
        <v/>
      </c>
      <c r="U692" s="39" t="str">
        <f t="shared" si="257"/>
        <v/>
      </c>
      <c r="V692" s="40" t="str">
        <f t="shared" si="258"/>
        <v/>
      </c>
      <c r="W692" s="39" t="str">
        <f t="shared" si="259"/>
        <v/>
      </c>
      <c r="X692" s="34" t="str">
        <f t="shared" si="260"/>
        <v/>
      </c>
      <c r="Y692" s="41" t="str">
        <f t="shared" si="266"/>
        <v/>
      </c>
      <c r="Z692" s="98" t="str">
        <f t="shared" si="261"/>
        <v/>
      </c>
      <c r="AA692" s="81" t="str">
        <f t="shared" si="267"/>
        <v/>
      </c>
      <c r="AC692" s="139"/>
      <c r="AD692" s="110" t="str">
        <f t="shared" si="268"/>
        <v/>
      </c>
      <c r="AE692" s="111" t="str">
        <f t="shared" si="269"/>
        <v/>
      </c>
      <c r="AF692" s="111" t="str">
        <f t="shared" si="262"/>
        <v/>
      </c>
      <c r="AG692" s="111" t="str">
        <f t="shared" si="270"/>
        <v/>
      </c>
      <c r="AH692" s="111" t="str">
        <f t="shared" si="271"/>
        <v/>
      </c>
      <c r="AI692" s="112" t="str">
        <f t="shared" si="272"/>
        <v/>
      </c>
      <c r="AJ692" t="str">
        <f t="shared" si="273"/>
        <v/>
      </c>
      <c r="AK692" t="str">
        <f t="shared" si="274"/>
        <v/>
      </c>
    </row>
    <row r="693" spans="1:37" ht="15" customHeight="1" x14ac:dyDescent="0.25">
      <c r="A693" s="114"/>
      <c r="B693" s="116"/>
      <c r="C693" s="116"/>
      <c r="D693" s="42" t="str">
        <f t="shared" si="250"/>
        <v/>
      </c>
      <c r="E693" s="43"/>
      <c r="F693" s="83"/>
      <c r="G693" s="118"/>
      <c r="H693" s="34" t="str">
        <f t="shared" si="251"/>
        <v/>
      </c>
      <c r="I693" s="88" t="str">
        <f t="shared" si="252"/>
        <v/>
      </c>
      <c r="J693" s="44" t="str">
        <f t="shared" si="253"/>
        <v/>
      </c>
      <c r="K693" s="118"/>
      <c r="L693" s="34" t="str">
        <f t="shared" si="254"/>
        <v/>
      </c>
      <c r="M693" s="118"/>
      <c r="N693" s="121"/>
      <c r="O693" s="122" t="str">
        <f t="shared" si="263"/>
        <v/>
      </c>
      <c r="P693" s="35" t="str">
        <f t="shared" si="264"/>
        <v/>
      </c>
      <c r="Q693" s="124"/>
      <c r="R693" s="36" t="str">
        <f t="shared" si="265"/>
        <v/>
      </c>
      <c r="S693" s="37" t="str">
        <f t="shared" si="255"/>
        <v/>
      </c>
      <c r="T693" s="38" t="str">
        <f t="shared" si="256"/>
        <v/>
      </c>
      <c r="U693" s="39" t="str">
        <f t="shared" si="257"/>
        <v/>
      </c>
      <c r="V693" s="40" t="str">
        <f t="shared" si="258"/>
        <v/>
      </c>
      <c r="W693" s="39" t="str">
        <f t="shared" si="259"/>
        <v/>
      </c>
      <c r="X693" s="34" t="str">
        <f t="shared" si="260"/>
        <v/>
      </c>
      <c r="Y693" s="41" t="str">
        <f t="shared" si="266"/>
        <v/>
      </c>
      <c r="Z693" s="98" t="str">
        <f t="shared" si="261"/>
        <v/>
      </c>
      <c r="AA693" s="81" t="str">
        <f t="shared" si="267"/>
        <v/>
      </c>
      <c r="AC693" s="139"/>
      <c r="AD693" s="110" t="str">
        <f t="shared" si="268"/>
        <v/>
      </c>
      <c r="AE693" s="111" t="str">
        <f t="shared" si="269"/>
        <v/>
      </c>
      <c r="AF693" s="111" t="str">
        <f t="shared" si="262"/>
        <v/>
      </c>
      <c r="AG693" s="111" t="str">
        <f t="shared" si="270"/>
        <v/>
      </c>
      <c r="AH693" s="111" t="str">
        <f t="shared" si="271"/>
        <v/>
      </c>
      <c r="AI693" s="112" t="str">
        <f t="shared" si="272"/>
        <v/>
      </c>
      <c r="AJ693" t="str">
        <f t="shared" si="273"/>
        <v/>
      </c>
      <c r="AK693" t="str">
        <f t="shared" si="274"/>
        <v/>
      </c>
    </row>
    <row r="694" spans="1:37" ht="15" customHeight="1" x14ac:dyDescent="0.25">
      <c r="A694" s="114"/>
      <c r="B694" s="116"/>
      <c r="C694" s="116"/>
      <c r="D694" s="42" t="str">
        <f t="shared" si="250"/>
        <v/>
      </c>
      <c r="E694" s="43"/>
      <c r="F694" s="83"/>
      <c r="G694" s="118"/>
      <c r="H694" s="34" t="str">
        <f t="shared" si="251"/>
        <v/>
      </c>
      <c r="I694" s="88" t="str">
        <f t="shared" si="252"/>
        <v/>
      </c>
      <c r="J694" s="44" t="str">
        <f t="shared" si="253"/>
        <v/>
      </c>
      <c r="K694" s="118"/>
      <c r="L694" s="34" t="str">
        <f t="shared" si="254"/>
        <v/>
      </c>
      <c r="M694" s="118"/>
      <c r="N694" s="121"/>
      <c r="O694" s="122" t="str">
        <f t="shared" si="263"/>
        <v/>
      </c>
      <c r="P694" s="35" t="str">
        <f t="shared" si="264"/>
        <v/>
      </c>
      <c r="Q694" s="124"/>
      <c r="R694" s="36" t="str">
        <f t="shared" si="265"/>
        <v/>
      </c>
      <c r="S694" s="37" t="str">
        <f t="shared" si="255"/>
        <v/>
      </c>
      <c r="T694" s="38" t="str">
        <f t="shared" si="256"/>
        <v/>
      </c>
      <c r="U694" s="39" t="str">
        <f t="shared" si="257"/>
        <v/>
      </c>
      <c r="V694" s="40" t="str">
        <f t="shared" si="258"/>
        <v/>
      </c>
      <c r="W694" s="39" t="str">
        <f t="shared" si="259"/>
        <v/>
      </c>
      <c r="X694" s="34" t="str">
        <f t="shared" si="260"/>
        <v/>
      </c>
      <c r="Y694" s="41" t="str">
        <f t="shared" si="266"/>
        <v/>
      </c>
      <c r="Z694" s="98" t="str">
        <f t="shared" si="261"/>
        <v/>
      </c>
      <c r="AA694" s="81" t="str">
        <f t="shared" si="267"/>
        <v/>
      </c>
      <c r="AC694" s="139"/>
      <c r="AD694" s="110" t="str">
        <f t="shared" si="268"/>
        <v/>
      </c>
      <c r="AE694" s="111" t="str">
        <f t="shared" si="269"/>
        <v/>
      </c>
      <c r="AF694" s="111" t="str">
        <f t="shared" si="262"/>
        <v/>
      </c>
      <c r="AG694" s="111" t="str">
        <f t="shared" si="270"/>
        <v/>
      </c>
      <c r="AH694" s="111" t="str">
        <f t="shared" si="271"/>
        <v/>
      </c>
      <c r="AI694" s="112" t="str">
        <f t="shared" si="272"/>
        <v/>
      </c>
      <c r="AJ694" t="str">
        <f t="shared" si="273"/>
        <v/>
      </c>
      <c r="AK694" t="str">
        <f t="shared" si="274"/>
        <v/>
      </c>
    </row>
    <row r="695" spans="1:37" ht="15" customHeight="1" x14ac:dyDescent="0.25">
      <c r="A695" s="114"/>
      <c r="B695" s="116"/>
      <c r="C695" s="116"/>
      <c r="D695" s="42" t="str">
        <f t="shared" si="250"/>
        <v/>
      </c>
      <c r="E695" s="43"/>
      <c r="F695" s="83"/>
      <c r="G695" s="118"/>
      <c r="H695" s="34" t="str">
        <f t="shared" si="251"/>
        <v/>
      </c>
      <c r="I695" s="88" t="str">
        <f t="shared" si="252"/>
        <v/>
      </c>
      <c r="J695" s="44" t="str">
        <f t="shared" si="253"/>
        <v/>
      </c>
      <c r="K695" s="118"/>
      <c r="L695" s="34" t="str">
        <f t="shared" si="254"/>
        <v/>
      </c>
      <c r="M695" s="118"/>
      <c r="N695" s="121"/>
      <c r="O695" s="122" t="str">
        <f t="shared" si="263"/>
        <v/>
      </c>
      <c r="P695" s="35" t="str">
        <f t="shared" si="264"/>
        <v/>
      </c>
      <c r="Q695" s="124"/>
      <c r="R695" s="36" t="str">
        <f t="shared" si="265"/>
        <v/>
      </c>
      <c r="S695" s="37" t="str">
        <f t="shared" si="255"/>
        <v/>
      </c>
      <c r="T695" s="38" t="str">
        <f t="shared" si="256"/>
        <v/>
      </c>
      <c r="U695" s="39" t="str">
        <f t="shared" si="257"/>
        <v/>
      </c>
      <c r="V695" s="40" t="str">
        <f t="shared" si="258"/>
        <v/>
      </c>
      <c r="W695" s="39" t="str">
        <f t="shared" si="259"/>
        <v/>
      </c>
      <c r="X695" s="34" t="str">
        <f t="shared" si="260"/>
        <v/>
      </c>
      <c r="Y695" s="41" t="str">
        <f t="shared" si="266"/>
        <v/>
      </c>
      <c r="Z695" s="98" t="str">
        <f t="shared" si="261"/>
        <v/>
      </c>
      <c r="AA695" s="81" t="str">
        <f t="shared" si="267"/>
        <v/>
      </c>
      <c r="AC695" s="139"/>
      <c r="AD695" s="110" t="str">
        <f t="shared" si="268"/>
        <v/>
      </c>
      <c r="AE695" s="111" t="str">
        <f t="shared" si="269"/>
        <v/>
      </c>
      <c r="AF695" s="111" t="str">
        <f t="shared" si="262"/>
        <v/>
      </c>
      <c r="AG695" s="111" t="str">
        <f t="shared" si="270"/>
        <v/>
      </c>
      <c r="AH695" s="111" t="str">
        <f t="shared" si="271"/>
        <v/>
      </c>
      <c r="AI695" s="112" t="str">
        <f t="shared" si="272"/>
        <v/>
      </c>
      <c r="AJ695" t="str">
        <f t="shared" si="273"/>
        <v/>
      </c>
      <c r="AK695" t="str">
        <f t="shared" si="274"/>
        <v/>
      </c>
    </row>
    <row r="696" spans="1:37" ht="15" customHeight="1" x14ac:dyDescent="0.25">
      <c r="A696" s="114"/>
      <c r="B696" s="116"/>
      <c r="C696" s="116"/>
      <c r="D696" s="42" t="str">
        <f t="shared" si="250"/>
        <v/>
      </c>
      <c r="E696" s="43"/>
      <c r="F696" s="83"/>
      <c r="G696" s="118"/>
      <c r="H696" s="34" t="str">
        <f t="shared" si="251"/>
        <v/>
      </c>
      <c r="I696" s="88" t="str">
        <f t="shared" si="252"/>
        <v/>
      </c>
      <c r="J696" s="44" t="str">
        <f t="shared" si="253"/>
        <v/>
      </c>
      <c r="K696" s="118"/>
      <c r="L696" s="34" t="str">
        <f t="shared" si="254"/>
        <v/>
      </c>
      <c r="M696" s="118"/>
      <c r="N696" s="121"/>
      <c r="O696" s="122" t="str">
        <f t="shared" si="263"/>
        <v/>
      </c>
      <c r="P696" s="35" t="str">
        <f t="shared" si="264"/>
        <v/>
      </c>
      <c r="Q696" s="124"/>
      <c r="R696" s="36" t="str">
        <f t="shared" si="265"/>
        <v/>
      </c>
      <c r="S696" s="37" t="str">
        <f t="shared" si="255"/>
        <v/>
      </c>
      <c r="T696" s="38" t="str">
        <f t="shared" si="256"/>
        <v/>
      </c>
      <c r="U696" s="39" t="str">
        <f t="shared" si="257"/>
        <v/>
      </c>
      <c r="V696" s="40" t="str">
        <f t="shared" si="258"/>
        <v/>
      </c>
      <c r="W696" s="39" t="str">
        <f t="shared" si="259"/>
        <v/>
      </c>
      <c r="X696" s="34" t="str">
        <f t="shared" si="260"/>
        <v/>
      </c>
      <c r="Y696" s="41" t="str">
        <f t="shared" si="266"/>
        <v/>
      </c>
      <c r="Z696" s="98" t="str">
        <f t="shared" si="261"/>
        <v/>
      </c>
      <c r="AA696" s="81" t="str">
        <f t="shared" si="267"/>
        <v/>
      </c>
      <c r="AC696" s="139"/>
      <c r="AD696" s="110" t="str">
        <f t="shared" si="268"/>
        <v/>
      </c>
      <c r="AE696" s="111" t="str">
        <f t="shared" si="269"/>
        <v/>
      </c>
      <c r="AF696" s="111" t="str">
        <f t="shared" si="262"/>
        <v/>
      </c>
      <c r="AG696" s="111" t="str">
        <f t="shared" si="270"/>
        <v/>
      </c>
      <c r="AH696" s="111" t="str">
        <f t="shared" si="271"/>
        <v/>
      </c>
      <c r="AI696" s="112" t="str">
        <f t="shared" si="272"/>
        <v/>
      </c>
      <c r="AJ696" t="str">
        <f t="shared" si="273"/>
        <v/>
      </c>
      <c r="AK696" t="str">
        <f t="shared" si="274"/>
        <v/>
      </c>
    </row>
    <row r="697" spans="1:37" ht="15" customHeight="1" x14ac:dyDescent="0.25">
      <c r="A697" s="114"/>
      <c r="B697" s="116"/>
      <c r="C697" s="116"/>
      <c r="D697" s="42" t="str">
        <f t="shared" si="250"/>
        <v/>
      </c>
      <c r="E697" s="43"/>
      <c r="F697" s="83"/>
      <c r="G697" s="118"/>
      <c r="H697" s="34" t="str">
        <f t="shared" si="251"/>
        <v/>
      </c>
      <c r="I697" s="88" t="str">
        <f t="shared" si="252"/>
        <v/>
      </c>
      <c r="J697" s="44" t="str">
        <f t="shared" si="253"/>
        <v/>
      </c>
      <c r="K697" s="118"/>
      <c r="L697" s="34" t="str">
        <f t="shared" si="254"/>
        <v/>
      </c>
      <c r="M697" s="118"/>
      <c r="N697" s="121"/>
      <c r="O697" s="122" t="str">
        <f t="shared" si="263"/>
        <v/>
      </c>
      <c r="P697" s="35" t="str">
        <f t="shared" si="264"/>
        <v/>
      </c>
      <c r="Q697" s="124"/>
      <c r="R697" s="36" t="str">
        <f t="shared" si="265"/>
        <v/>
      </c>
      <c r="S697" s="37" t="str">
        <f t="shared" si="255"/>
        <v/>
      </c>
      <c r="T697" s="38" t="str">
        <f t="shared" si="256"/>
        <v/>
      </c>
      <c r="U697" s="39" t="str">
        <f t="shared" si="257"/>
        <v/>
      </c>
      <c r="V697" s="40" t="str">
        <f t="shared" si="258"/>
        <v/>
      </c>
      <c r="W697" s="39" t="str">
        <f t="shared" si="259"/>
        <v/>
      </c>
      <c r="X697" s="34" t="str">
        <f t="shared" si="260"/>
        <v/>
      </c>
      <c r="Y697" s="41" t="str">
        <f t="shared" si="266"/>
        <v/>
      </c>
      <c r="Z697" s="98" t="str">
        <f t="shared" si="261"/>
        <v/>
      </c>
      <c r="AA697" s="81" t="str">
        <f t="shared" si="267"/>
        <v/>
      </c>
      <c r="AC697" s="139"/>
      <c r="AD697" s="110" t="str">
        <f t="shared" si="268"/>
        <v/>
      </c>
      <c r="AE697" s="111" t="str">
        <f t="shared" si="269"/>
        <v/>
      </c>
      <c r="AF697" s="111" t="str">
        <f t="shared" si="262"/>
        <v/>
      </c>
      <c r="AG697" s="111" t="str">
        <f t="shared" si="270"/>
        <v/>
      </c>
      <c r="AH697" s="111" t="str">
        <f t="shared" si="271"/>
        <v/>
      </c>
      <c r="AI697" s="112" t="str">
        <f t="shared" si="272"/>
        <v/>
      </c>
      <c r="AJ697" t="str">
        <f t="shared" si="273"/>
        <v/>
      </c>
      <c r="AK697" t="str">
        <f t="shared" si="274"/>
        <v/>
      </c>
    </row>
    <row r="698" spans="1:37" ht="15" customHeight="1" x14ac:dyDescent="0.25">
      <c r="A698" s="114"/>
      <c r="B698" s="116"/>
      <c r="C698" s="116"/>
      <c r="D698" s="42" t="str">
        <f t="shared" si="250"/>
        <v/>
      </c>
      <c r="E698" s="43"/>
      <c r="F698" s="83"/>
      <c r="G698" s="118"/>
      <c r="H698" s="34" t="str">
        <f t="shared" si="251"/>
        <v/>
      </c>
      <c r="I698" s="88" t="str">
        <f t="shared" si="252"/>
        <v/>
      </c>
      <c r="J698" s="44" t="str">
        <f t="shared" si="253"/>
        <v/>
      </c>
      <c r="K698" s="118"/>
      <c r="L698" s="34" t="str">
        <f t="shared" si="254"/>
        <v/>
      </c>
      <c r="M698" s="118"/>
      <c r="N698" s="121"/>
      <c r="O698" s="122" t="str">
        <f t="shared" si="263"/>
        <v/>
      </c>
      <c r="P698" s="35" t="str">
        <f t="shared" si="264"/>
        <v/>
      </c>
      <c r="Q698" s="124"/>
      <c r="R698" s="36" t="str">
        <f t="shared" si="265"/>
        <v/>
      </c>
      <c r="S698" s="37" t="str">
        <f t="shared" si="255"/>
        <v/>
      </c>
      <c r="T698" s="38" t="str">
        <f t="shared" si="256"/>
        <v/>
      </c>
      <c r="U698" s="39" t="str">
        <f t="shared" si="257"/>
        <v/>
      </c>
      <c r="V698" s="40" t="str">
        <f t="shared" si="258"/>
        <v/>
      </c>
      <c r="W698" s="39" t="str">
        <f t="shared" si="259"/>
        <v/>
      </c>
      <c r="X698" s="34" t="str">
        <f t="shared" si="260"/>
        <v/>
      </c>
      <c r="Y698" s="41" t="str">
        <f t="shared" si="266"/>
        <v/>
      </c>
      <c r="Z698" s="98" t="str">
        <f t="shared" si="261"/>
        <v/>
      </c>
      <c r="AA698" s="81" t="str">
        <f t="shared" si="267"/>
        <v/>
      </c>
      <c r="AC698" s="139"/>
      <c r="AD698" s="110" t="str">
        <f t="shared" si="268"/>
        <v/>
      </c>
      <c r="AE698" s="111" t="str">
        <f t="shared" si="269"/>
        <v/>
      </c>
      <c r="AF698" s="111" t="str">
        <f t="shared" si="262"/>
        <v/>
      </c>
      <c r="AG698" s="111" t="str">
        <f t="shared" si="270"/>
        <v/>
      </c>
      <c r="AH698" s="111" t="str">
        <f t="shared" si="271"/>
        <v/>
      </c>
      <c r="AI698" s="112" t="str">
        <f t="shared" si="272"/>
        <v/>
      </c>
      <c r="AJ698" t="str">
        <f t="shared" si="273"/>
        <v/>
      </c>
      <c r="AK698" t="str">
        <f t="shared" si="274"/>
        <v/>
      </c>
    </row>
    <row r="699" spans="1:37" ht="15" customHeight="1" x14ac:dyDescent="0.25">
      <c r="A699" s="114"/>
      <c r="B699" s="116"/>
      <c r="C699" s="116"/>
      <c r="D699" s="42" t="str">
        <f t="shared" si="250"/>
        <v/>
      </c>
      <c r="E699" s="43"/>
      <c r="F699" s="83"/>
      <c r="G699" s="118"/>
      <c r="H699" s="34" t="str">
        <f t="shared" si="251"/>
        <v/>
      </c>
      <c r="I699" s="88" t="str">
        <f t="shared" si="252"/>
        <v/>
      </c>
      <c r="J699" s="44" t="str">
        <f t="shared" si="253"/>
        <v/>
      </c>
      <c r="K699" s="118"/>
      <c r="L699" s="34" t="str">
        <f t="shared" si="254"/>
        <v/>
      </c>
      <c r="M699" s="118"/>
      <c r="N699" s="121"/>
      <c r="O699" s="122" t="str">
        <f t="shared" si="263"/>
        <v/>
      </c>
      <c r="P699" s="35" t="str">
        <f t="shared" si="264"/>
        <v/>
      </c>
      <c r="Q699" s="124"/>
      <c r="R699" s="36" t="str">
        <f t="shared" si="265"/>
        <v/>
      </c>
      <c r="S699" s="37" t="str">
        <f t="shared" si="255"/>
        <v/>
      </c>
      <c r="T699" s="38" t="str">
        <f t="shared" si="256"/>
        <v/>
      </c>
      <c r="U699" s="39" t="str">
        <f t="shared" si="257"/>
        <v/>
      </c>
      <c r="V699" s="40" t="str">
        <f t="shared" si="258"/>
        <v/>
      </c>
      <c r="W699" s="39" t="str">
        <f t="shared" si="259"/>
        <v/>
      </c>
      <c r="X699" s="34" t="str">
        <f t="shared" si="260"/>
        <v/>
      </c>
      <c r="Y699" s="41" t="str">
        <f t="shared" si="266"/>
        <v/>
      </c>
      <c r="Z699" s="98" t="str">
        <f t="shared" si="261"/>
        <v/>
      </c>
      <c r="AA699" s="81" t="str">
        <f t="shared" si="267"/>
        <v/>
      </c>
      <c r="AC699" s="139"/>
      <c r="AD699" s="110" t="str">
        <f t="shared" si="268"/>
        <v/>
      </c>
      <c r="AE699" s="111" t="str">
        <f t="shared" si="269"/>
        <v/>
      </c>
      <c r="AF699" s="111" t="str">
        <f t="shared" si="262"/>
        <v/>
      </c>
      <c r="AG699" s="111" t="str">
        <f t="shared" si="270"/>
        <v/>
      </c>
      <c r="AH699" s="111" t="str">
        <f t="shared" si="271"/>
        <v/>
      </c>
      <c r="AI699" s="112" t="str">
        <f t="shared" si="272"/>
        <v/>
      </c>
      <c r="AJ699" t="str">
        <f t="shared" si="273"/>
        <v/>
      </c>
      <c r="AK699" t="str">
        <f t="shared" si="274"/>
        <v/>
      </c>
    </row>
    <row r="700" spans="1:37" ht="15" customHeight="1" x14ac:dyDescent="0.25">
      <c r="A700" s="114"/>
      <c r="B700" s="116"/>
      <c r="C700" s="116"/>
      <c r="D700" s="42" t="str">
        <f t="shared" si="250"/>
        <v/>
      </c>
      <c r="E700" s="43"/>
      <c r="F700" s="83"/>
      <c r="G700" s="118"/>
      <c r="H700" s="34" t="str">
        <f t="shared" si="251"/>
        <v/>
      </c>
      <c r="I700" s="88" t="str">
        <f t="shared" si="252"/>
        <v/>
      </c>
      <c r="J700" s="44" t="str">
        <f t="shared" si="253"/>
        <v/>
      </c>
      <c r="K700" s="118"/>
      <c r="L700" s="34" t="str">
        <f t="shared" si="254"/>
        <v/>
      </c>
      <c r="M700" s="118"/>
      <c r="N700" s="121"/>
      <c r="O700" s="122" t="str">
        <f t="shared" si="263"/>
        <v/>
      </c>
      <c r="P700" s="35" t="str">
        <f t="shared" si="264"/>
        <v/>
      </c>
      <c r="Q700" s="124"/>
      <c r="R700" s="36" t="str">
        <f t="shared" si="265"/>
        <v/>
      </c>
      <c r="S700" s="37" t="str">
        <f t="shared" si="255"/>
        <v/>
      </c>
      <c r="T700" s="38" t="str">
        <f t="shared" si="256"/>
        <v/>
      </c>
      <c r="U700" s="39" t="str">
        <f t="shared" si="257"/>
        <v/>
      </c>
      <c r="V700" s="40" t="str">
        <f t="shared" si="258"/>
        <v/>
      </c>
      <c r="W700" s="39" t="str">
        <f t="shared" si="259"/>
        <v/>
      </c>
      <c r="X700" s="34" t="str">
        <f t="shared" si="260"/>
        <v/>
      </c>
      <c r="Y700" s="41" t="str">
        <f t="shared" si="266"/>
        <v/>
      </c>
      <c r="Z700" s="98" t="str">
        <f t="shared" si="261"/>
        <v/>
      </c>
      <c r="AA700" s="81" t="str">
        <f t="shared" si="267"/>
        <v/>
      </c>
      <c r="AC700" s="139"/>
      <c r="AD700" s="110" t="str">
        <f t="shared" si="268"/>
        <v/>
      </c>
      <c r="AE700" s="111" t="str">
        <f t="shared" si="269"/>
        <v/>
      </c>
      <c r="AF700" s="111" t="str">
        <f t="shared" si="262"/>
        <v/>
      </c>
      <c r="AG700" s="111" t="str">
        <f t="shared" si="270"/>
        <v/>
      </c>
      <c r="AH700" s="111" t="str">
        <f t="shared" si="271"/>
        <v/>
      </c>
      <c r="AI700" s="112" t="str">
        <f t="shared" si="272"/>
        <v/>
      </c>
      <c r="AJ700" t="str">
        <f t="shared" si="273"/>
        <v/>
      </c>
      <c r="AK700" t="str">
        <f t="shared" si="274"/>
        <v/>
      </c>
    </row>
    <row r="701" spans="1:37" ht="15" customHeight="1" x14ac:dyDescent="0.25">
      <c r="A701" s="114"/>
      <c r="B701" s="116"/>
      <c r="C701" s="116"/>
      <c r="D701" s="42" t="str">
        <f t="shared" si="250"/>
        <v/>
      </c>
      <c r="E701" s="43"/>
      <c r="F701" s="83"/>
      <c r="G701" s="118"/>
      <c r="H701" s="34" t="str">
        <f t="shared" si="251"/>
        <v/>
      </c>
      <c r="I701" s="88" t="str">
        <f t="shared" si="252"/>
        <v/>
      </c>
      <c r="J701" s="44" t="str">
        <f t="shared" si="253"/>
        <v/>
      </c>
      <c r="K701" s="118"/>
      <c r="L701" s="34" t="str">
        <f t="shared" si="254"/>
        <v/>
      </c>
      <c r="M701" s="118"/>
      <c r="N701" s="121"/>
      <c r="O701" s="122" t="str">
        <f t="shared" si="263"/>
        <v/>
      </c>
      <c r="P701" s="35" t="str">
        <f t="shared" si="264"/>
        <v/>
      </c>
      <c r="Q701" s="124"/>
      <c r="R701" s="36" t="str">
        <f t="shared" si="265"/>
        <v/>
      </c>
      <c r="S701" s="37" t="str">
        <f t="shared" si="255"/>
        <v/>
      </c>
      <c r="T701" s="38" t="str">
        <f t="shared" si="256"/>
        <v/>
      </c>
      <c r="U701" s="39" t="str">
        <f t="shared" si="257"/>
        <v/>
      </c>
      <c r="V701" s="40" t="str">
        <f t="shared" si="258"/>
        <v/>
      </c>
      <c r="W701" s="39" t="str">
        <f t="shared" si="259"/>
        <v/>
      </c>
      <c r="X701" s="34" t="str">
        <f t="shared" si="260"/>
        <v/>
      </c>
      <c r="Y701" s="41" t="str">
        <f t="shared" si="266"/>
        <v/>
      </c>
      <c r="Z701" s="98" t="str">
        <f t="shared" si="261"/>
        <v/>
      </c>
      <c r="AA701" s="81" t="str">
        <f t="shared" si="267"/>
        <v/>
      </c>
      <c r="AC701" s="139"/>
      <c r="AD701" s="110" t="str">
        <f t="shared" si="268"/>
        <v/>
      </c>
      <c r="AE701" s="111" t="str">
        <f t="shared" si="269"/>
        <v/>
      </c>
      <c r="AF701" s="111" t="str">
        <f t="shared" si="262"/>
        <v/>
      </c>
      <c r="AG701" s="111" t="str">
        <f t="shared" si="270"/>
        <v/>
      </c>
      <c r="AH701" s="111" t="str">
        <f t="shared" si="271"/>
        <v/>
      </c>
      <c r="AI701" s="112" t="str">
        <f t="shared" si="272"/>
        <v/>
      </c>
      <c r="AJ701" t="str">
        <f t="shared" si="273"/>
        <v/>
      </c>
      <c r="AK701" t="str">
        <f t="shared" si="274"/>
        <v/>
      </c>
    </row>
    <row r="702" spans="1:37" ht="15" customHeight="1" x14ac:dyDescent="0.25">
      <c r="A702" s="114"/>
      <c r="B702" s="116"/>
      <c r="C702" s="116"/>
      <c r="D702" s="42" t="str">
        <f t="shared" si="250"/>
        <v/>
      </c>
      <c r="E702" s="43"/>
      <c r="F702" s="83"/>
      <c r="G702" s="118"/>
      <c r="H702" s="34" t="str">
        <f t="shared" si="251"/>
        <v/>
      </c>
      <c r="I702" s="88" t="str">
        <f t="shared" si="252"/>
        <v/>
      </c>
      <c r="J702" s="44" t="str">
        <f t="shared" si="253"/>
        <v/>
      </c>
      <c r="K702" s="118"/>
      <c r="L702" s="34" t="str">
        <f t="shared" si="254"/>
        <v/>
      </c>
      <c r="M702" s="118"/>
      <c r="N702" s="121"/>
      <c r="O702" s="122" t="str">
        <f t="shared" si="263"/>
        <v/>
      </c>
      <c r="P702" s="35" t="str">
        <f t="shared" si="264"/>
        <v/>
      </c>
      <c r="Q702" s="124"/>
      <c r="R702" s="36" t="str">
        <f t="shared" si="265"/>
        <v/>
      </c>
      <c r="S702" s="37" t="str">
        <f t="shared" si="255"/>
        <v/>
      </c>
      <c r="T702" s="38" t="str">
        <f t="shared" si="256"/>
        <v/>
      </c>
      <c r="U702" s="39" t="str">
        <f t="shared" si="257"/>
        <v/>
      </c>
      <c r="V702" s="40" t="str">
        <f t="shared" si="258"/>
        <v/>
      </c>
      <c r="W702" s="39" t="str">
        <f t="shared" si="259"/>
        <v/>
      </c>
      <c r="X702" s="34" t="str">
        <f t="shared" si="260"/>
        <v/>
      </c>
      <c r="Y702" s="41" t="str">
        <f t="shared" si="266"/>
        <v/>
      </c>
      <c r="Z702" s="98" t="str">
        <f t="shared" si="261"/>
        <v/>
      </c>
      <c r="AA702" s="81" t="str">
        <f t="shared" si="267"/>
        <v/>
      </c>
      <c r="AC702" s="139"/>
      <c r="AD702" s="110" t="str">
        <f t="shared" si="268"/>
        <v/>
      </c>
      <c r="AE702" s="111" t="str">
        <f t="shared" si="269"/>
        <v/>
      </c>
      <c r="AF702" s="111" t="str">
        <f t="shared" si="262"/>
        <v/>
      </c>
      <c r="AG702" s="111" t="str">
        <f t="shared" si="270"/>
        <v/>
      </c>
      <c r="AH702" s="111" t="str">
        <f t="shared" si="271"/>
        <v/>
      </c>
      <c r="AI702" s="112" t="str">
        <f t="shared" si="272"/>
        <v/>
      </c>
      <c r="AJ702" t="str">
        <f t="shared" si="273"/>
        <v/>
      </c>
      <c r="AK702" t="str">
        <f t="shared" si="274"/>
        <v/>
      </c>
    </row>
    <row r="703" spans="1:37" ht="15" customHeight="1" x14ac:dyDescent="0.25">
      <c r="A703" s="114"/>
      <c r="B703" s="116"/>
      <c r="C703" s="116"/>
      <c r="D703" s="42" t="str">
        <f t="shared" si="250"/>
        <v/>
      </c>
      <c r="E703" s="43"/>
      <c r="F703" s="83"/>
      <c r="G703" s="118"/>
      <c r="H703" s="34" t="str">
        <f t="shared" si="251"/>
        <v/>
      </c>
      <c r="I703" s="88" t="str">
        <f t="shared" si="252"/>
        <v/>
      </c>
      <c r="J703" s="44" t="str">
        <f t="shared" si="253"/>
        <v/>
      </c>
      <c r="K703" s="118"/>
      <c r="L703" s="34" t="str">
        <f t="shared" si="254"/>
        <v/>
      </c>
      <c r="M703" s="118"/>
      <c r="N703" s="121"/>
      <c r="O703" s="122" t="str">
        <f t="shared" si="263"/>
        <v/>
      </c>
      <c r="P703" s="35" t="str">
        <f t="shared" si="264"/>
        <v/>
      </c>
      <c r="Q703" s="124"/>
      <c r="R703" s="36" t="str">
        <f t="shared" si="265"/>
        <v/>
      </c>
      <c r="S703" s="37" t="str">
        <f t="shared" si="255"/>
        <v/>
      </c>
      <c r="T703" s="38" t="str">
        <f t="shared" si="256"/>
        <v/>
      </c>
      <c r="U703" s="39" t="str">
        <f t="shared" si="257"/>
        <v/>
      </c>
      <c r="V703" s="40" t="str">
        <f t="shared" si="258"/>
        <v/>
      </c>
      <c r="W703" s="39" t="str">
        <f t="shared" si="259"/>
        <v/>
      </c>
      <c r="X703" s="34" t="str">
        <f t="shared" si="260"/>
        <v/>
      </c>
      <c r="Y703" s="41" t="str">
        <f t="shared" si="266"/>
        <v/>
      </c>
      <c r="Z703" s="98" t="str">
        <f t="shared" si="261"/>
        <v/>
      </c>
      <c r="AA703" s="81" t="str">
        <f t="shared" si="267"/>
        <v/>
      </c>
      <c r="AC703" s="139"/>
      <c r="AD703" s="110" t="str">
        <f t="shared" si="268"/>
        <v/>
      </c>
      <c r="AE703" s="111" t="str">
        <f t="shared" si="269"/>
        <v/>
      </c>
      <c r="AF703" s="111" t="str">
        <f t="shared" si="262"/>
        <v/>
      </c>
      <c r="AG703" s="111" t="str">
        <f t="shared" si="270"/>
        <v/>
      </c>
      <c r="AH703" s="111" t="str">
        <f t="shared" si="271"/>
        <v/>
      </c>
      <c r="AI703" s="112" t="str">
        <f t="shared" si="272"/>
        <v/>
      </c>
      <c r="AJ703" t="str">
        <f t="shared" si="273"/>
        <v/>
      </c>
      <c r="AK703" t="str">
        <f t="shared" si="274"/>
        <v/>
      </c>
    </row>
    <row r="704" spans="1:37" ht="15" customHeight="1" x14ac:dyDescent="0.25">
      <c r="A704" s="114"/>
      <c r="B704" s="116"/>
      <c r="C704" s="116"/>
      <c r="D704" s="42" t="str">
        <f t="shared" si="250"/>
        <v/>
      </c>
      <c r="E704" s="43"/>
      <c r="F704" s="83"/>
      <c r="G704" s="118"/>
      <c r="H704" s="34" t="str">
        <f t="shared" si="251"/>
        <v/>
      </c>
      <c r="I704" s="88" t="str">
        <f t="shared" si="252"/>
        <v/>
      </c>
      <c r="J704" s="44" t="str">
        <f t="shared" si="253"/>
        <v/>
      </c>
      <c r="K704" s="118"/>
      <c r="L704" s="34" t="str">
        <f t="shared" si="254"/>
        <v/>
      </c>
      <c r="M704" s="118"/>
      <c r="N704" s="121"/>
      <c r="O704" s="122" t="str">
        <f t="shared" si="263"/>
        <v/>
      </c>
      <c r="P704" s="35" t="str">
        <f t="shared" si="264"/>
        <v/>
      </c>
      <c r="Q704" s="124"/>
      <c r="R704" s="36" t="str">
        <f t="shared" si="265"/>
        <v/>
      </c>
      <c r="S704" s="37" t="str">
        <f t="shared" si="255"/>
        <v/>
      </c>
      <c r="T704" s="38" t="str">
        <f t="shared" si="256"/>
        <v/>
      </c>
      <c r="U704" s="39" t="str">
        <f t="shared" si="257"/>
        <v/>
      </c>
      <c r="V704" s="40" t="str">
        <f t="shared" si="258"/>
        <v/>
      </c>
      <c r="W704" s="39" t="str">
        <f t="shared" si="259"/>
        <v/>
      </c>
      <c r="X704" s="34" t="str">
        <f t="shared" si="260"/>
        <v/>
      </c>
      <c r="Y704" s="41" t="str">
        <f t="shared" si="266"/>
        <v/>
      </c>
      <c r="Z704" s="98" t="str">
        <f t="shared" si="261"/>
        <v/>
      </c>
      <c r="AA704" s="81" t="str">
        <f t="shared" si="267"/>
        <v/>
      </c>
      <c r="AC704" s="139"/>
      <c r="AD704" s="110" t="str">
        <f t="shared" si="268"/>
        <v/>
      </c>
      <c r="AE704" s="111" t="str">
        <f t="shared" si="269"/>
        <v/>
      </c>
      <c r="AF704" s="111" t="str">
        <f t="shared" si="262"/>
        <v/>
      </c>
      <c r="AG704" s="111" t="str">
        <f t="shared" si="270"/>
        <v/>
      </c>
      <c r="AH704" s="111" t="str">
        <f t="shared" si="271"/>
        <v/>
      </c>
      <c r="AI704" s="112" t="str">
        <f t="shared" si="272"/>
        <v/>
      </c>
      <c r="AJ704" t="str">
        <f t="shared" si="273"/>
        <v/>
      </c>
      <c r="AK704" t="str">
        <f t="shared" si="274"/>
        <v/>
      </c>
    </row>
    <row r="705" spans="1:37" ht="15" customHeight="1" x14ac:dyDescent="0.25">
      <c r="A705" s="114"/>
      <c r="B705" s="116"/>
      <c r="C705" s="116"/>
      <c r="D705" s="42" t="str">
        <f t="shared" si="250"/>
        <v/>
      </c>
      <c r="E705" s="43"/>
      <c r="F705" s="83"/>
      <c r="G705" s="118"/>
      <c r="H705" s="34" t="str">
        <f t="shared" si="251"/>
        <v/>
      </c>
      <c r="I705" s="88" t="str">
        <f t="shared" si="252"/>
        <v/>
      </c>
      <c r="J705" s="44" t="str">
        <f t="shared" si="253"/>
        <v/>
      </c>
      <c r="K705" s="118"/>
      <c r="L705" s="34" t="str">
        <f t="shared" si="254"/>
        <v/>
      </c>
      <c r="M705" s="118"/>
      <c r="N705" s="121"/>
      <c r="O705" s="122" t="str">
        <f t="shared" si="263"/>
        <v/>
      </c>
      <c r="P705" s="35" t="str">
        <f t="shared" si="264"/>
        <v/>
      </c>
      <c r="Q705" s="124"/>
      <c r="R705" s="36" t="str">
        <f t="shared" si="265"/>
        <v/>
      </c>
      <c r="S705" s="37" t="str">
        <f t="shared" si="255"/>
        <v/>
      </c>
      <c r="T705" s="38" t="str">
        <f t="shared" si="256"/>
        <v/>
      </c>
      <c r="U705" s="39" t="str">
        <f t="shared" si="257"/>
        <v/>
      </c>
      <c r="V705" s="40" t="str">
        <f t="shared" si="258"/>
        <v/>
      </c>
      <c r="W705" s="39" t="str">
        <f t="shared" si="259"/>
        <v/>
      </c>
      <c r="X705" s="34" t="str">
        <f t="shared" si="260"/>
        <v/>
      </c>
      <c r="Y705" s="41" t="str">
        <f t="shared" si="266"/>
        <v/>
      </c>
      <c r="Z705" s="98" t="str">
        <f t="shared" si="261"/>
        <v/>
      </c>
      <c r="AA705" s="81" t="str">
        <f t="shared" si="267"/>
        <v/>
      </c>
      <c r="AC705" s="139"/>
      <c r="AD705" s="110" t="str">
        <f t="shared" si="268"/>
        <v/>
      </c>
      <c r="AE705" s="111" t="str">
        <f t="shared" si="269"/>
        <v/>
      </c>
      <c r="AF705" s="111" t="str">
        <f t="shared" si="262"/>
        <v/>
      </c>
      <c r="AG705" s="111" t="str">
        <f t="shared" si="270"/>
        <v/>
      </c>
      <c r="AH705" s="111" t="str">
        <f t="shared" si="271"/>
        <v/>
      </c>
      <c r="AI705" s="112" t="str">
        <f t="shared" si="272"/>
        <v/>
      </c>
      <c r="AJ705" t="str">
        <f t="shared" si="273"/>
        <v/>
      </c>
      <c r="AK705" t="str">
        <f t="shared" si="274"/>
        <v/>
      </c>
    </row>
    <row r="706" spans="1:37" ht="15" customHeight="1" x14ac:dyDescent="0.25">
      <c r="A706" s="114"/>
      <c r="B706" s="116"/>
      <c r="C706" s="116"/>
      <c r="D706" s="42" t="str">
        <f t="shared" si="250"/>
        <v/>
      </c>
      <c r="E706" s="43"/>
      <c r="F706" s="83"/>
      <c r="G706" s="118"/>
      <c r="H706" s="34" t="str">
        <f t="shared" si="251"/>
        <v/>
      </c>
      <c r="I706" s="88" t="str">
        <f t="shared" si="252"/>
        <v/>
      </c>
      <c r="J706" s="44" t="str">
        <f t="shared" si="253"/>
        <v/>
      </c>
      <c r="K706" s="118"/>
      <c r="L706" s="34" t="str">
        <f t="shared" si="254"/>
        <v/>
      </c>
      <c r="M706" s="118"/>
      <c r="N706" s="121"/>
      <c r="O706" s="122" t="str">
        <f t="shared" si="263"/>
        <v/>
      </c>
      <c r="P706" s="35" t="str">
        <f t="shared" si="264"/>
        <v/>
      </c>
      <c r="Q706" s="124"/>
      <c r="R706" s="36" t="str">
        <f t="shared" si="265"/>
        <v/>
      </c>
      <c r="S706" s="37" t="str">
        <f t="shared" si="255"/>
        <v/>
      </c>
      <c r="T706" s="38" t="str">
        <f t="shared" si="256"/>
        <v/>
      </c>
      <c r="U706" s="39" t="str">
        <f t="shared" si="257"/>
        <v/>
      </c>
      <c r="V706" s="40" t="str">
        <f t="shared" si="258"/>
        <v/>
      </c>
      <c r="W706" s="39" t="str">
        <f t="shared" si="259"/>
        <v/>
      </c>
      <c r="X706" s="34" t="str">
        <f t="shared" si="260"/>
        <v/>
      </c>
      <c r="Y706" s="41" t="str">
        <f t="shared" si="266"/>
        <v/>
      </c>
      <c r="Z706" s="98" t="str">
        <f t="shared" si="261"/>
        <v/>
      </c>
      <c r="AA706" s="81" t="str">
        <f t="shared" si="267"/>
        <v/>
      </c>
      <c r="AC706" s="139"/>
      <c r="AD706" s="110" t="str">
        <f t="shared" si="268"/>
        <v/>
      </c>
      <c r="AE706" s="111" t="str">
        <f t="shared" si="269"/>
        <v/>
      </c>
      <c r="AF706" s="111" t="str">
        <f t="shared" si="262"/>
        <v/>
      </c>
      <c r="AG706" s="111" t="str">
        <f t="shared" si="270"/>
        <v/>
      </c>
      <c r="AH706" s="111" t="str">
        <f t="shared" si="271"/>
        <v/>
      </c>
      <c r="AI706" s="112" t="str">
        <f t="shared" si="272"/>
        <v/>
      </c>
      <c r="AJ706" t="str">
        <f t="shared" si="273"/>
        <v/>
      </c>
      <c r="AK706" t="str">
        <f t="shared" si="274"/>
        <v/>
      </c>
    </row>
    <row r="707" spans="1:37" ht="15" customHeight="1" x14ac:dyDescent="0.25">
      <c r="A707" s="114"/>
      <c r="B707" s="116"/>
      <c r="C707" s="116"/>
      <c r="D707" s="42" t="str">
        <f t="shared" si="250"/>
        <v/>
      </c>
      <c r="E707" s="43"/>
      <c r="F707" s="83"/>
      <c r="G707" s="118"/>
      <c r="H707" s="34" t="str">
        <f t="shared" si="251"/>
        <v/>
      </c>
      <c r="I707" s="88" t="str">
        <f t="shared" si="252"/>
        <v/>
      </c>
      <c r="J707" s="44" t="str">
        <f t="shared" si="253"/>
        <v/>
      </c>
      <c r="K707" s="118"/>
      <c r="L707" s="34" t="str">
        <f t="shared" si="254"/>
        <v/>
      </c>
      <c r="M707" s="118"/>
      <c r="N707" s="121"/>
      <c r="O707" s="122" t="str">
        <f t="shared" si="263"/>
        <v/>
      </c>
      <c r="P707" s="35" t="str">
        <f t="shared" si="264"/>
        <v/>
      </c>
      <c r="Q707" s="124"/>
      <c r="R707" s="36" t="str">
        <f t="shared" si="265"/>
        <v/>
      </c>
      <c r="S707" s="37" t="str">
        <f t="shared" si="255"/>
        <v/>
      </c>
      <c r="T707" s="38" t="str">
        <f t="shared" si="256"/>
        <v/>
      </c>
      <c r="U707" s="39" t="str">
        <f t="shared" si="257"/>
        <v/>
      </c>
      <c r="V707" s="40" t="str">
        <f t="shared" si="258"/>
        <v/>
      </c>
      <c r="W707" s="39" t="str">
        <f t="shared" si="259"/>
        <v/>
      </c>
      <c r="X707" s="34" t="str">
        <f t="shared" si="260"/>
        <v/>
      </c>
      <c r="Y707" s="41" t="str">
        <f t="shared" si="266"/>
        <v/>
      </c>
      <c r="Z707" s="98" t="str">
        <f t="shared" si="261"/>
        <v/>
      </c>
      <c r="AA707" s="81" t="str">
        <f t="shared" si="267"/>
        <v/>
      </c>
      <c r="AC707" s="139"/>
      <c r="AD707" s="110" t="str">
        <f t="shared" si="268"/>
        <v/>
      </c>
      <c r="AE707" s="111" t="str">
        <f t="shared" si="269"/>
        <v/>
      </c>
      <c r="AF707" s="111" t="str">
        <f t="shared" si="262"/>
        <v/>
      </c>
      <c r="AG707" s="111" t="str">
        <f t="shared" si="270"/>
        <v/>
      </c>
      <c r="AH707" s="111" t="str">
        <f t="shared" si="271"/>
        <v/>
      </c>
      <c r="AI707" s="112" t="str">
        <f t="shared" si="272"/>
        <v/>
      </c>
      <c r="AJ707" t="str">
        <f t="shared" si="273"/>
        <v/>
      </c>
      <c r="AK707" t="str">
        <f t="shared" si="274"/>
        <v/>
      </c>
    </row>
    <row r="708" spans="1:37" ht="15" customHeight="1" x14ac:dyDescent="0.25">
      <c r="A708" s="114"/>
      <c r="B708" s="116"/>
      <c r="C708" s="116"/>
      <c r="D708" s="42" t="str">
        <f t="shared" si="250"/>
        <v/>
      </c>
      <c r="E708" s="43"/>
      <c r="F708" s="83"/>
      <c r="G708" s="118"/>
      <c r="H708" s="34" t="str">
        <f t="shared" si="251"/>
        <v/>
      </c>
      <c r="I708" s="88" t="str">
        <f t="shared" si="252"/>
        <v/>
      </c>
      <c r="J708" s="44" t="str">
        <f t="shared" si="253"/>
        <v/>
      </c>
      <c r="K708" s="118"/>
      <c r="L708" s="34" t="str">
        <f t="shared" si="254"/>
        <v/>
      </c>
      <c r="M708" s="118"/>
      <c r="N708" s="121"/>
      <c r="O708" s="122" t="str">
        <f t="shared" si="263"/>
        <v/>
      </c>
      <c r="P708" s="35" t="str">
        <f t="shared" si="264"/>
        <v/>
      </c>
      <c r="Q708" s="124"/>
      <c r="R708" s="36" t="str">
        <f t="shared" si="265"/>
        <v/>
      </c>
      <c r="S708" s="37" t="str">
        <f t="shared" si="255"/>
        <v/>
      </c>
      <c r="T708" s="38" t="str">
        <f t="shared" si="256"/>
        <v/>
      </c>
      <c r="U708" s="39" t="str">
        <f t="shared" si="257"/>
        <v/>
      </c>
      <c r="V708" s="40" t="str">
        <f t="shared" si="258"/>
        <v/>
      </c>
      <c r="W708" s="39" t="str">
        <f t="shared" si="259"/>
        <v/>
      </c>
      <c r="X708" s="34" t="str">
        <f t="shared" si="260"/>
        <v/>
      </c>
      <c r="Y708" s="41" t="str">
        <f t="shared" si="266"/>
        <v/>
      </c>
      <c r="Z708" s="98" t="str">
        <f t="shared" si="261"/>
        <v/>
      </c>
      <c r="AA708" s="81" t="str">
        <f t="shared" si="267"/>
        <v/>
      </c>
      <c r="AC708" s="139"/>
      <c r="AD708" s="110" t="str">
        <f t="shared" si="268"/>
        <v/>
      </c>
      <c r="AE708" s="111" t="str">
        <f t="shared" si="269"/>
        <v/>
      </c>
      <c r="AF708" s="111" t="str">
        <f t="shared" si="262"/>
        <v/>
      </c>
      <c r="AG708" s="111" t="str">
        <f t="shared" si="270"/>
        <v/>
      </c>
      <c r="AH708" s="111" t="str">
        <f t="shared" si="271"/>
        <v/>
      </c>
      <c r="AI708" s="112" t="str">
        <f t="shared" si="272"/>
        <v/>
      </c>
      <c r="AJ708" t="str">
        <f t="shared" si="273"/>
        <v/>
      </c>
      <c r="AK708" t="str">
        <f t="shared" si="274"/>
        <v/>
      </c>
    </row>
    <row r="709" spans="1:37" ht="15" customHeight="1" x14ac:dyDescent="0.25">
      <c r="A709" s="114"/>
      <c r="B709" s="116"/>
      <c r="C709" s="116"/>
      <c r="D709" s="42" t="str">
        <f t="shared" si="250"/>
        <v/>
      </c>
      <c r="E709" s="43"/>
      <c r="F709" s="83"/>
      <c r="G709" s="118"/>
      <c r="H709" s="34" t="str">
        <f t="shared" si="251"/>
        <v/>
      </c>
      <c r="I709" s="88" t="str">
        <f t="shared" si="252"/>
        <v/>
      </c>
      <c r="J709" s="44" t="str">
        <f t="shared" si="253"/>
        <v/>
      </c>
      <c r="K709" s="118"/>
      <c r="L709" s="34" t="str">
        <f t="shared" si="254"/>
        <v/>
      </c>
      <c r="M709" s="118"/>
      <c r="N709" s="121"/>
      <c r="O709" s="122" t="str">
        <f t="shared" si="263"/>
        <v/>
      </c>
      <c r="P709" s="35" t="str">
        <f t="shared" si="264"/>
        <v/>
      </c>
      <c r="Q709" s="124"/>
      <c r="R709" s="36" t="str">
        <f t="shared" si="265"/>
        <v/>
      </c>
      <c r="S709" s="37" t="str">
        <f t="shared" si="255"/>
        <v/>
      </c>
      <c r="T709" s="38" t="str">
        <f t="shared" si="256"/>
        <v/>
      </c>
      <c r="U709" s="39" t="str">
        <f t="shared" si="257"/>
        <v/>
      </c>
      <c r="V709" s="40" t="str">
        <f t="shared" si="258"/>
        <v/>
      </c>
      <c r="W709" s="39" t="str">
        <f t="shared" si="259"/>
        <v/>
      </c>
      <c r="X709" s="34" t="str">
        <f t="shared" si="260"/>
        <v/>
      </c>
      <c r="Y709" s="41" t="str">
        <f t="shared" si="266"/>
        <v/>
      </c>
      <c r="Z709" s="98" t="str">
        <f t="shared" si="261"/>
        <v/>
      </c>
      <c r="AA709" s="81" t="str">
        <f t="shared" si="267"/>
        <v/>
      </c>
      <c r="AC709" s="139"/>
      <c r="AD709" s="110" t="str">
        <f t="shared" si="268"/>
        <v/>
      </c>
      <c r="AE709" s="111" t="str">
        <f t="shared" si="269"/>
        <v/>
      </c>
      <c r="AF709" s="111" t="str">
        <f t="shared" si="262"/>
        <v/>
      </c>
      <c r="AG709" s="111" t="str">
        <f t="shared" si="270"/>
        <v/>
      </c>
      <c r="AH709" s="111" t="str">
        <f t="shared" si="271"/>
        <v/>
      </c>
      <c r="AI709" s="112" t="str">
        <f t="shared" si="272"/>
        <v/>
      </c>
      <c r="AJ709" t="str">
        <f t="shared" si="273"/>
        <v/>
      </c>
      <c r="AK709" t="str">
        <f t="shared" si="274"/>
        <v/>
      </c>
    </row>
    <row r="710" spans="1:37" ht="15" customHeight="1" x14ac:dyDescent="0.25">
      <c r="A710" s="114"/>
      <c r="B710" s="116"/>
      <c r="C710" s="116"/>
      <c r="D710" s="42" t="str">
        <f t="shared" si="250"/>
        <v/>
      </c>
      <c r="E710" s="43"/>
      <c r="F710" s="83"/>
      <c r="G710" s="118"/>
      <c r="H710" s="34" t="str">
        <f t="shared" si="251"/>
        <v/>
      </c>
      <c r="I710" s="88" t="str">
        <f t="shared" si="252"/>
        <v/>
      </c>
      <c r="J710" s="44" t="str">
        <f t="shared" si="253"/>
        <v/>
      </c>
      <c r="K710" s="118"/>
      <c r="L710" s="34" t="str">
        <f t="shared" si="254"/>
        <v/>
      </c>
      <c r="M710" s="118"/>
      <c r="N710" s="121"/>
      <c r="O710" s="122" t="str">
        <f t="shared" si="263"/>
        <v/>
      </c>
      <c r="P710" s="35" t="str">
        <f t="shared" si="264"/>
        <v/>
      </c>
      <c r="Q710" s="124"/>
      <c r="R710" s="36" t="str">
        <f t="shared" si="265"/>
        <v/>
      </c>
      <c r="S710" s="37" t="str">
        <f t="shared" si="255"/>
        <v/>
      </c>
      <c r="T710" s="38" t="str">
        <f t="shared" si="256"/>
        <v/>
      </c>
      <c r="U710" s="39" t="str">
        <f t="shared" si="257"/>
        <v/>
      </c>
      <c r="V710" s="40" t="str">
        <f t="shared" si="258"/>
        <v/>
      </c>
      <c r="W710" s="39" t="str">
        <f t="shared" si="259"/>
        <v/>
      </c>
      <c r="X710" s="34" t="str">
        <f t="shared" si="260"/>
        <v/>
      </c>
      <c r="Y710" s="41" t="str">
        <f t="shared" si="266"/>
        <v/>
      </c>
      <c r="Z710" s="98" t="str">
        <f t="shared" si="261"/>
        <v/>
      </c>
      <c r="AA710" s="81" t="str">
        <f t="shared" si="267"/>
        <v/>
      </c>
      <c r="AC710" s="139"/>
      <c r="AD710" s="110" t="str">
        <f t="shared" si="268"/>
        <v/>
      </c>
      <c r="AE710" s="111" t="str">
        <f t="shared" si="269"/>
        <v/>
      </c>
      <c r="AF710" s="111" t="str">
        <f t="shared" si="262"/>
        <v/>
      </c>
      <c r="AG710" s="111" t="str">
        <f t="shared" si="270"/>
        <v/>
      </c>
      <c r="AH710" s="111" t="str">
        <f t="shared" si="271"/>
        <v/>
      </c>
      <c r="AI710" s="112" t="str">
        <f t="shared" si="272"/>
        <v/>
      </c>
      <c r="AJ710" t="str">
        <f t="shared" si="273"/>
        <v/>
      </c>
      <c r="AK710" t="str">
        <f t="shared" si="274"/>
        <v/>
      </c>
    </row>
    <row r="711" spans="1:37" ht="15" customHeight="1" x14ac:dyDescent="0.25">
      <c r="A711" s="114"/>
      <c r="B711" s="116"/>
      <c r="C711" s="116"/>
      <c r="D711" s="42" t="str">
        <f t="shared" si="250"/>
        <v/>
      </c>
      <c r="E711" s="43"/>
      <c r="F711" s="83"/>
      <c r="G711" s="118"/>
      <c r="H711" s="34" t="str">
        <f t="shared" si="251"/>
        <v/>
      </c>
      <c r="I711" s="88" t="str">
        <f t="shared" si="252"/>
        <v/>
      </c>
      <c r="J711" s="44" t="str">
        <f t="shared" si="253"/>
        <v/>
      </c>
      <c r="K711" s="118"/>
      <c r="L711" s="34" t="str">
        <f t="shared" si="254"/>
        <v/>
      </c>
      <c r="M711" s="118"/>
      <c r="N711" s="121"/>
      <c r="O711" s="122" t="str">
        <f t="shared" si="263"/>
        <v/>
      </c>
      <c r="P711" s="35" t="str">
        <f t="shared" si="264"/>
        <v/>
      </c>
      <c r="Q711" s="124"/>
      <c r="R711" s="36" t="str">
        <f t="shared" si="265"/>
        <v/>
      </c>
      <c r="S711" s="37" t="str">
        <f t="shared" si="255"/>
        <v/>
      </c>
      <c r="T711" s="38" t="str">
        <f t="shared" si="256"/>
        <v/>
      </c>
      <c r="U711" s="39" t="str">
        <f t="shared" si="257"/>
        <v/>
      </c>
      <c r="V711" s="40" t="str">
        <f t="shared" si="258"/>
        <v/>
      </c>
      <c r="W711" s="39" t="str">
        <f t="shared" si="259"/>
        <v/>
      </c>
      <c r="X711" s="34" t="str">
        <f t="shared" si="260"/>
        <v/>
      </c>
      <c r="Y711" s="41" t="str">
        <f t="shared" si="266"/>
        <v/>
      </c>
      <c r="Z711" s="98" t="str">
        <f t="shared" si="261"/>
        <v/>
      </c>
      <c r="AA711" s="81" t="str">
        <f t="shared" si="267"/>
        <v/>
      </c>
      <c r="AC711" s="139"/>
      <c r="AD711" s="110" t="str">
        <f t="shared" si="268"/>
        <v/>
      </c>
      <c r="AE711" s="111" t="str">
        <f t="shared" si="269"/>
        <v/>
      </c>
      <c r="AF711" s="111" t="str">
        <f t="shared" si="262"/>
        <v/>
      </c>
      <c r="AG711" s="111" t="str">
        <f t="shared" si="270"/>
        <v/>
      </c>
      <c r="AH711" s="111" t="str">
        <f t="shared" si="271"/>
        <v/>
      </c>
      <c r="AI711" s="112" t="str">
        <f t="shared" si="272"/>
        <v/>
      </c>
      <c r="AJ711" t="str">
        <f t="shared" si="273"/>
        <v/>
      </c>
      <c r="AK711" t="str">
        <f t="shared" si="274"/>
        <v/>
      </c>
    </row>
    <row r="712" spans="1:37" ht="15" customHeight="1" x14ac:dyDescent="0.25">
      <c r="A712" s="114"/>
      <c r="B712" s="116"/>
      <c r="C712" s="116"/>
      <c r="D712" s="42" t="str">
        <f t="shared" ref="D712:D775" si="275">IF(A712="","",B712*C712)</f>
        <v/>
      </c>
      <c r="E712" s="43"/>
      <c r="F712" s="83"/>
      <c r="G712" s="118"/>
      <c r="H712" s="34" t="str">
        <f t="shared" ref="H712:H775" si="276">IF(OR(G712=0,C712=0,G712="",C712=""),"",G712/C712)</f>
        <v/>
      </c>
      <c r="I712" s="88" t="str">
        <f t="shared" ref="I712:I775" si="277">IF(OR(G712="",F712=""),"",G712*(1-F712))</f>
        <v/>
      </c>
      <c r="J712" s="44" t="str">
        <f t="shared" ref="J712:J775" si="278">IF(A712="","",I712*B712)</f>
        <v/>
      </c>
      <c r="K712" s="118"/>
      <c r="L712" s="34" t="str">
        <f t="shared" ref="L712:L775" si="279">IF(OR(K712=0,C712=0,K712="",C712=""),"",K712/C712)</f>
        <v/>
      </c>
      <c r="M712" s="118"/>
      <c r="N712" s="121"/>
      <c r="O712" s="122" t="str">
        <f t="shared" si="263"/>
        <v/>
      </c>
      <c r="P712" s="35" t="str">
        <f t="shared" si="264"/>
        <v/>
      </c>
      <c r="Q712" s="124"/>
      <c r="R712" s="36" t="str">
        <f t="shared" si="265"/>
        <v/>
      </c>
      <c r="S712" s="37" t="str">
        <f t="shared" ref="S712:S775" si="280">IF(OR(A712="",R712=""),"",R712*C712)</f>
        <v/>
      </c>
      <c r="T712" s="38" t="str">
        <f t="shared" ref="T712:T775" si="281">IF(OR(A712="",G712&lt;=0,S712=""),"",(G712-S712)/G712)</f>
        <v/>
      </c>
      <c r="U712" s="39" t="str">
        <f t="shared" ref="U712:U775" si="282">IF(OR(G712=0,S712=0,G712="",S712=""),"",G712-S712)</f>
        <v/>
      </c>
      <c r="V712" s="40" t="str">
        <f t="shared" ref="V712:V775" si="283">IF(OR(A712="",K712&lt;=0,S712=""),"",(K712-S712)/K712)</f>
        <v/>
      </c>
      <c r="W712" s="39" t="str">
        <f t="shared" ref="W712:W775" si="284">IF(OR(K712=0,S712=0,K712="",S712=""),"",K712-S712)</f>
        <v/>
      </c>
      <c r="X712" s="34" t="str">
        <f t="shared" ref="X712:X775" si="285">IF(OR(J712="",J712=0,$N$5="",$L$3=0),"",($N$5/$L$3)*J712)</f>
        <v/>
      </c>
      <c r="Y712" s="41" t="str">
        <f t="shared" si="266"/>
        <v/>
      </c>
      <c r="Z712" s="98" t="str">
        <f t="shared" ref="Z712:Z775" si="286">IF(OR(R712=0,R712="",D712=0,D712=""),"",R712*(D712+E712))</f>
        <v/>
      </c>
      <c r="AA712" s="81" t="str">
        <f t="shared" si="267"/>
        <v/>
      </c>
      <c r="AC712" s="139"/>
      <c r="AD712" s="110" t="str">
        <f t="shared" si="268"/>
        <v/>
      </c>
      <c r="AE712" s="111" t="str">
        <f t="shared" si="269"/>
        <v/>
      </c>
      <c r="AF712" s="111" t="str">
        <f t="shared" ref="AF712:AF775" si="287">IF(AE712="","",AE712*$AD$1+IF(SUM($AE$8:$AE$1007)=0,0,$AD$2*AE712/SUM($AE$8:$AE$1007)))</f>
        <v/>
      </c>
      <c r="AG712" s="111" t="str">
        <f t="shared" si="270"/>
        <v/>
      </c>
      <c r="AH712" s="111" t="str">
        <f t="shared" si="271"/>
        <v/>
      </c>
      <c r="AI712" s="112" t="str">
        <f t="shared" si="272"/>
        <v/>
      </c>
      <c r="AJ712" t="str">
        <f t="shared" si="273"/>
        <v/>
      </c>
      <c r="AK712" t="str">
        <f t="shared" si="274"/>
        <v/>
      </c>
    </row>
    <row r="713" spans="1:37" ht="15" customHeight="1" x14ac:dyDescent="0.25">
      <c r="A713" s="114"/>
      <c r="B713" s="116"/>
      <c r="C713" s="116"/>
      <c r="D713" s="42" t="str">
        <f t="shared" si="275"/>
        <v/>
      </c>
      <c r="E713" s="43"/>
      <c r="F713" s="83"/>
      <c r="G713" s="118"/>
      <c r="H713" s="34" t="str">
        <f t="shared" si="276"/>
        <v/>
      </c>
      <c r="I713" s="88" t="str">
        <f t="shared" si="277"/>
        <v/>
      </c>
      <c r="J713" s="44" t="str">
        <f t="shared" si="278"/>
        <v/>
      </c>
      <c r="K713" s="118"/>
      <c r="L713" s="34" t="str">
        <f t="shared" si="279"/>
        <v/>
      </c>
      <c r="M713" s="118"/>
      <c r="N713" s="121"/>
      <c r="O713" s="122" t="str">
        <f t="shared" ref="O713:O776" si="288">IF(A713="","",IF(Q713&gt;0,IF(J713&gt;0,Q713/J713,0),IF(E713&gt;0,0,IF($J$3&gt;0,IF($J$4&gt;0,MAX($J$3-SUM($Q$8:$Q$1007),0)/$J$4,0),$J$2))))</f>
        <v/>
      </c>
      <c r="P713" s="35" t="str">
        <f t="shared" ref="P713:P776" si="289">IF(A713="","",IF(Q713&gt;0,Q713,IF(E713&gt;0,0,J713*IF($J$3&gt;0,IF($J$4&gt;0,MAX($J$3-SUM($Q$8:$Q$1007),0)/$J$4,0),$J$2))))</f>
        <v/>
      </c>
      <c r="Q713" s="124"/>
      <c r="R713" s="36" t="str">
        <f t="shared" ref="R713:R776" si="290">IF(A713="","",IF(OR(B713=0,B713="",C713&lt;=0,D713+E713&lt;=0),"",(J713-P713)/(D713+E713)-IF(X713&gt;=0,X713/D713,0)+IF(ISNUMBER(Y713),Y713/(D713+E713),0)))</f>
        <v/>
      </c>
      <c r="S713" s="37" t="str">
        <f t="shared" si="280"/>
        <v/>
      </c>
      <c r="T713" s="38" t="str">
        <f t="shared" si="281"/>
        <v/>
      </c>
      <c r="U713" s="39" t="str">
        <f t="shared" si="282"/>
        <v/>
      </c>
      <c r="V713" s="40" t="str">
        <f t="shared" si="283"/>
        <v/>
      </c>
      <c r="W713" s="39" t="str">
        <f t="shared" si="284"/>
        <v/>
      </c>
      <c r="X713" s="34" t="str">
        <f t="shared" si="285"/>
        <v/>
      </c>
      <c r="Y713" s="41" t="str">
        <f t="shared" ref="Y713:Y776" si="291">IF(OR(J713="",J713=0,($L$3-$L$2)=0),"",($J$1/($L$3-$L$2))*(J713-P713))</f>
        <v/>
      </c>
      <c r="Z713" s="98" t="str">
        <f t="shared" si="286"/>
        <v/>
      </c>
      <c r="AA713" s="81" t="str">
        <f t="shared" ref="AA713:AA776" si="292">IF(OR(B713=0,B713=""),"",J713)</f>
        <v/>
      </c>
      <c r="AC713" s="139"/>
      <c r="AD713" s="110" t="str">
        <f t="shared" ref="AD713:AD776" si="293">IF(AC713="","",R713)</f>
        <v/>
      </c>
      <c r="AE713" s="111" t="str">
        <f t="shared" ref="AE713:AE776" si="294">IF(OR(AC713="",AD713=""),"",AC713*AD713)</f>
        <v/>
      </c>
      <c r="AF713" s="111" t="str">
        <f t="shared" si="287"/>
        <v/>
      </c>
      <c r="AG713" s="111" t="str">
        <f t="shared" ref="AG713:AG776" si="295">IF(AE713="","",AE713-AF713)</f>
        <v/>
      </c>
      <c r="AH713" s="111" t="str">
        <f t="shared" ref="AH713:AH776" si="296">IF(AG713="","",AI713-AG713)</f>
        <v/>
      </c>
      <c r="AI713" s="112" t="str">
        <f t="shared" ref="AI713:AI776" si="297">IF(AG713="","",ROUND(AG713,0))</f>
        <v/>
      </c>
      <c r="AJ713" t="str">
        <f t="shared" ref="AJ713:AJ776" si="298">IF(OR(AC713=0,AC713=""),"",AF713/AC713)</f>
        <v/>
      </c>
      <c r="AK713" t="str">
        <f t="shared" ref="AK713:AK776" si="299">IF(OR(AC713=0,AC713=""),"",AD713*C713)</f>
        <v/>
      </c>
    </row>
    <row r="714" spans="1:37" ht="15" customHeight="1" x14ac:dyDescent="0.25">
      <c r="A714" s="114"/>
      <c r="B714" s="116"/>
      <c r="C714" s="116"/>
      <c r="D714" s="42" t="str">
        <f t="shared" si="275"/>
        <v/>
      </c>
      <c r="E714" s="43"/>
      <c r="F714" s="83"/>
      <c r="G714" s="118"/>
      <c r="H714" s="34" t="str">
        <f t="shared" si="276"/>
        <v/>
      </c>
      <c r="I714" s="88" t="str">
        <f t="shared" si="277"/>
        <v/>
      </c>
      <c r="J714" s="44" t="str">
        <f t="shared" si="278"/>
        <v/>
      </c>
      <c r="K714" s="118"/>
      <c r="L714" s="34" t="str">
        <f t="shared" si="279"/>
        <v/>
      </c>
      <c r="M714" s="118"/>
      <c r="N714" s="121"/>
      <c r="O714" s="122" t="str">
        <f t="shared" si="288"/>
        <v/>
      </c>
      <c r="P714" s="35" t="str">
        <f t="shared" si="289"/>
        <v/>
      </c>
      <c r="Q714" s="124"/>
      <c r="R714" s="36" t="str">
        <f t="shared" si="290"/>
        <v/>
      </c>
      <c r="S714" s="37" t="str">
        <f t="shared" si="280"/>
        <v/>
      </c>
      <c r="T714" s="38" t="str">
        <f t="shared" si="281"/>
        <v/>
      </c>
      <c r="U714" s="39" t="str">
        <f t="shared" si="282"/>
        <v/>
      </c>
      <c r="V714" s="40" t="str">
        <f t="shared" si="283"/>
        <v/>
      </c>
      <c r="W714" s="39" t="str">
        <f t="shared" si="284"/>
        <v/>
      </c>
      <c r="X714" s="34" t="str">
        <f t="shared" si="285"/>
        <v/>
      </c>
      <c r="Y714" s="41" t="str">
        <f t="shared" si="291"/>
        <v/>
      </c>
      <c r="Z714" s="98" t="str">
        <f t="shared" si="286"/>
        <v/>
      </c>
      <c r="AA714" s="81" t="str">
        <f t="shared" si="292"/>
        <v/>
      </c>
      <c r="AC714" s="139"/>
      <c r="AD714" s="110" t="str">
        <f t="shared" si="293"/>
        <v/>
      </c>
      <c r="AE714" s="111" t="str">
        <f t="shared" si="294"/>
        <v/>
      </c>
      <c r="AF714" s="111" t="str">
        <f t="shared" si="287"/>
        <v/>
      </c>
      <c r="AG714" s="111" t="str">
        <f t="shared" si="295"/>
        <v/>
      </c>
      <c r="AH714" s="111" t="str">
        <f t="shared" si="296"/>
        <v/>
      </c>
      <c r="AI714" s="112" t="str">
        <f t="shared" si="297"/>
        <v/>
      </c>
      <c r="AJ714" t="str">
        <f t="shared" si="298"/>
        <v/>
      </c>
      <c r="AK714" t="str">
        <f t="shared" si="299"/>
        <v/>
      </c>
    </row>
    <row r="715" spans="1:37" ht="15" customHeight="1" x14ac:dyDescent="0.25">
      <c r="A715" s="114"/>
      <c r="B715" s="116"/>
      <c r="C715" s="116"/>
      <c r="D715" s="42" t="str">
        <f t="shared" si="275"/>
        <v/>
      </c>
      <c r="E715" s="43"/>
      <c r="F715" s="83"/>
      <c r="G715" s="118"/>
      <c r="H715" s="34" t="str">
        <f t="shared" si="276"/>
        <v/>
      </c>
      <c r="I715" s="88" t="str">
        <f t="shared" si="277"/>
        <v/>
      </c>
      <c r="J715" s="44" t="str">
        <f t="shared" si="278"/>
        <v/>
      </c>
      <c r="K715" s="118"/>
      <c r="L715" s="34" t="str">
        <f t="shared" si="279"/>
        <v/>
      </c>
      <c r="M715" s="118"/>
      <c r="N715" s="121"/>
      <c r="O715" s="122" t="str">
        <f t="shared" si="288"/>
        <v/>
      </c>
      <c r="P715" s="35" t="str">
        <f t="shared" si="289"/>
        <v/>
      </c>
      <c r="Q715" s="124"/>
      <c r="R715" s="36" t="str">
        <f t="shared" si="290"/>
        <v/>
      </c>
      <c r="S715" s="37" t="str">
        <f t="shared" si="280"/>
        <v/>
      </c>
      <c r="T715" s="38" t="str">
        <f t="shared" si="281"/>
        <v/>
      </c>
      <c r="U715" s="39" t="str">
        <f t="shared" si="282"/>
        <v/>
      </c>
      <c r="V715" s="40" t="str">
        <f t="shared" si="283"/>
        <v/>
      </c>
      <c r="W715" s="39" t="str">
        <f t="shared" si="284"/>
        <v/>
      </c>
      <c r="X715" s="34" t="str">
        <f t="shared" si="285"/>
        <v/>
      </c>
      <c r="Y715" s="41" t="str">
        <f t="shared" si="291"/>
        <v/>
      </c>
      <c r="Z715" s="98" t="str">
        <f t="shared" si="286"/>
        <v/>
      </c>
      <c r="AA715" s="81" t="str">
        <f t="shared" si="292"/>
        <v/>
      </c>
      <c r="AC715" s="139"/>
      <c r="AD715" s="110" t="str">
        <f t="shared" si="293"/>
        <v/>
      </c>
      <c r="AE715" s="111" t="str">
        <f t="shared" si="294"/>
        <v/>
      </c>
      <c r="AF715" s="111" t="str">
        <f t="shared" si="287"/>
        <v/>
      </c>
      <c r="AG715" s="111" t="str">
        <f t="shared" si="295"/>
        <v/>
      </c>
      <c r="AH715" s="111" t="str">
        <f t="shared" si="296"/>
        <v/>
      </c>
      <c r="AI715" s="112" t="str">
        <f t="shared" si="297"/>
        <v/>
      </c>
      <c r="AJ715" t="str">
        <f t="shared" si="298"/>
        <v/>
      </c>
      <c r="AK715" t="str">
        <f t="shared" si="299"/>
        <v/>
      </c>
    </row>
    <row r="716" spans="1:37" ht="15" customHeight="1" x14ac:dyDescent="0.25">
      <c r="A716" s="114"/>
      <c r="B716" s="116"/>
      <c r="C716" s="116"/>
      <c r="D716" s="42" t="str">
        <f t="shared" si="275"/>
        <v/>
      </c>
      <c r="E716" s="43"/>
      <c r="F716" s="83"/>
      <c r="G716" s="118"/>
      <c r="H716" s="34" t="str">
        <f t="shared" si="276"/>
        <v/>
      </c>
      <c r="I716" s="88" t="str">
        <f t="shared" si="277"/>
        <v/>
      </c>
      <c r="J716" s="44" t="str">
        <f t="shared" si="278"/>
        <v/>
      </c>
      <c r="K716" s="118"/>
      <c r="L716" s="34" t="str">
        <f t="shared" si="279"/>
        <v/>
      </c>
      <c r="M716" s="118"/>
      <c r="N716" s="121"/>
      <c r="O716" s="122" t="str">
        <f t="shared" si="288"/>
        <v/>
      </c>
      <c r="P716" s="35" t="str">
        <f t="shared" si="289"/>
        <v/>
      </c>
      <c r="Q716" s="124"/>
      <c r="R716" s="36" t="str">
        <f t="shared" si="290"/>
        <v/>
      </c>
      <c r="S716" s="37" t="str">
        <f t="shared" si="280"/>
        <v/>
      </c>
      <c r="T716" s="38" t="str">
        <f t="shared" si="281"/>
        <v/>
      </c>
      <c r="U716" s="39" t="str">
        <f t="shared" si="282"/>
        <v/>
      </c>
      <c r="V716" s="40" t="str">
        <f t="shared" si="283"/>
        <v/>
      </c>
      <c r="W716" s="39" t="str">
        <f t="shared" si="284"/>
        <v/>
      </c>
      <c r="X716" s="34" t="str">
        <f t="shared" si="285"/>
        <v/>
      </c>
      <c r="Y716" s="41" t="str">
        <f t="shared" si="291"/>
        <v/>
      </c>
      <c r="Z716" s="98" t="str">
        <f t="shared" si="286"/>
        <v/>
      </c>
      <c r="AA716" s="81" t="str">
        <f t="shared" si="292"/>
        <v/>
      </c>
      <c r="AC716" s="139"/>
      <c r="AD716" s="110" t="str">
        <f t="shared" si="293"/>
        <v/>
      </c>
      <c r="AE716" s="111" t="str">
        <f t="shared" si="294"/>
        <v/>
      </c>
      <c r="AF716" s="111" t="str">
        <f t="shared" si="287"/>
        <v/>
      </c>
      <c r="AG716" s="111" t="str">
        <f t="shared" si="295"/>
        <v/>
      </c>
      <c r="AH716" s="111" t="str">
        <f t="shared" si="296"/>
        <v/>
      </c>
      <c r="AI716" s="112" t="str">
        <f t="shared" si="297"/>
        <v/>
      </c>
      <c r="AJ716" t="str">
        <f t="shared" si="298"/>
        <v/>
      </c>
      <c r="AK716" t="str">
        <f t="shared" si="299"/>
        <v/>
      </c>
    </row>
    <row r="717" spans="1:37" ht="15" customHeight="1" x14ac:dyDescent="0.25">
      <c r="A717" s="114"/>
      <c r="B717" s="116"/>
      <c r="C717" s="116"/>
      <c r="D717" s="42" t="str">
        <f t="shared" si="275"/>
        <v/>
      </c>
      <c r="E717" s="43"/>
      <c r="F717" s="83"/>
      <c r="G717" s="118"/>
      <c r="H717" s="34" t="str">
        <f t="shared" si="276"/>
        <v/>
      </c>
      <c r="I717" s="88" t="str">
        <f t="shared" si="277"/>
        <v/>
      </c>
      <c r="J717" s="44" t="str">
        <f t="shared" si="278"/>
        <v/>
      </c>
      <c r="K717" s="118"/>
      <c r="L717" s="34" t="str">
        <f t="shared" si="279"/>
        <v/>
      </c>
      <c r="M717" s="118"/>
      <c r="N717" s="121"/>
      <c r="O717" s="122" t="str">
        <f t="shared" si="288"/>
        <v/>
      </c>
      <c r="P717" s="35" t="str">
        <f t="shared" si="289"/>
        <v/>
      </c>
      <c r="Q717" s="124"/>
      <c r="R717" s="36" t="str">
        <f t="shared" si="290"/>
        <v/>
      </c>
      <c r="S717" s="37" t="str">
        <f t="shared" si="280"/>
        <v/>
      </c>
      <c r="T717" s="38" t="str">
        <f t="shared" si="281"/>
        <v/>
      </c>
      <c r="U717" s="39" t="str">
        <f t="shared" si="282"/>
        <v/>
      </c>
      <c r="V717" s="40" t="str">
        <f t="shared" si="283"/>
        <v/>
      </c>
      <c r="W717" s="39" t="str">
        <f t="shared" si="284"/>
        <v/>
      </c>
      <c r="X717" s="34" t="str">
        <f t="shared" si="285"/>
        <v/>
      </c>
      <c r="Y717" s="41" t="str">
        <f t="shared" si="291"/>
        <v/>
      </c>
      <c r="Z717" s="98" t="str">
        <f t="shared" si="286"/>
        <v/>
      </c>
      <c r="AA717" s="81" t="str">
        <f t="shared" si="292"/>
        <v/>
      </c>
      <c r="AC717" s="139"/>
      <c r="AD717" s="110" t="str">
        <f t="shared" si="293"/>
        <v/>
      </c>
      <c r="AE717" s="111" t="str">
        <f t="shared" si="294"/>
        <v/>
      </c>
      <c r="AF717" s="111" t="str">
        <f t="shared" si="287"/>
        <v/>
      </c>
      <c r="AG717" s="111" t="str">
        <f t="shared" si="295"/>
        <v/>
      </c>
      <c r="AH717" s="111" t="str">
        <f t="shared" si="296"/>
        <v/>
      </c>
      <c r="AI717" s="112" t="str">
        <f t="shared" si="297"/>
        <v/>
      </c>
      <c r="AJ717" t="str">
        <f t="shared" si="298"/>
        <v/>
      </c>
      <c r="AK717" t="str">
        <f t="shared" si="299"/>
        <v/>
      </c>
    </row>
    <row r="718" spans="1:37" ht="15" customHeight="1" x14ac:dyDescent="0.25">
      <c r="A718" s="114"/>
      <c r="B718" s="116"/>
      <c r="C718" s="116"/>
      <c r="D718" s="42" t="str">
        <f t="shared" si="275"/>
        <v/>
      </c>
      <c r="E718" s="43"/>
      <c r="F718" s="83"/>
      <c r="G718" s="118"/>
      <c r="H718" s="34" t="str">
        <f t="shared" si="276"/>
        <v/>
      </c>
      <c r="I718" s="88" t="str">
        <f t="shared" si="277"/>
        <v/>
      </c>
      <c r="J718" s="44" t="str">
        <f t="shared" si="278"/>
        <v/>
      </c>
      <c r="K718" s="118"/>
      <c r="L718" s="34" t="str">
        <f t="shared" si="279"/>
        <v/>
      </c>
      <c r="M718" s="118"/>
      <c r="N718" s="121"/>
      <c r="O718" s="122" t="str">
        <f t="shared" si="288"/>
        <v/>
      </c>
      <c r="P718" s="35" t="str">
        <f t="shared" si="289"/>
        <v/>
      </c>
      <c r="Q718" s="124"/>
      <c r="R718" s="36" t="str">
        <f t="shared" si="290"/>
        <v/>
      </c>
      <c r="S718" s="37" t="str">
        <f t="shared" si="280"/>
        <v/>
      </c>
      <c r="T718" s="38" t="str">
        <f t="shared" si="281"/>
        <v/>
      </c>
      <c r="U718" s="39" t="str">
        <f t="shared" si="282"/>
        <v/>
      </c>
      <c r="V718" s="40" t="str">
        <f t="shared" si="283"/>
        <v/>
      </c>
      <c r="W718" s="39" t="str">
        <f t="shared" si="284"/>
        <v/>
      </c>
      <c r="X718" s="34" t="str">
        <f t="shared" si="285"/>
        <v/>
      </c>
      <c r="Y718" s="41" t="str">
        <f t="shared" si="291"/>
        <v/>
      </c>
      <c r="Z718" s="98" t="str">
        <f t="shared" si="286"/>
        <v/>
      </c>
      <c r="AA718" s="81" t="str">
        <f t="shared" si="292"/>
        <v/>
      </c>
      <c r="AC718" s="139"/>
      <c r="AD718" s="110" t="str">
        <f t="shared" si="293"/>
        <v/>
      </c>
      <c r="AE718" s="111" t="str">
        <f t="shared" si="294"/>
        <v/>
      </c>
      <c r="AF718" s="111" t="str">
        <f t="shared" si="287"/>
        <v/>
      </c>
      <c r="AG718" s="111" t="str">
        <f t="shared" si="295"/>
        <v/>
      </c>
      <c r="AH718" s="111" t="str">
        <f t="shared" si="296"/>
        <v/>
      </c>
      <c r="AI718" s="112" t="str">
        <f t="shared" si="297"/>
        <v/>
      </c>
      <c r="AJ718" t="str">
        <f t="shared" si="298"/>
        <v/>
      </c>
      <c r="AK718" t="str">
        <f t="shared" si="299"/>
        <v/>
      </c>
    </row>
    <row r="719" spans="1:37" ht="15" customHeight="1" x14ac:dyDescent="0.25">
      <c r="A719" s="114"/>
      <c r="B719" s="116"/>
      <c r="C719" s="116"/>
      <c r="D719" s="42" t="str">
        <f t="shared" si="275"/>
        <v/>
      </c>
      <c r="E719" s="43"/>
      <c r="F719" s="83"/>
      <c r="G719" s="118"/>
      <c r="H719" s="34" t="str">
        <f t="shared" si="276"/>
        <v/>
      </c>
      <c r="I719" s="88" t="str">
        <f t="shared" si="277"/>
        <v/>
      </c>
      <c r="J719" s="44" t="str">
        <f t="shared" si="278"/>
        <v/>
      </c>
      <c r="K719" s="118"/>
      <c r="L719" s="34" t="str">
        <f t="shared" si="279"/>
        <v/>
      </c>
      <c r="M719" s="118"/>
      <c r="N719" s="121"/>
      <c r="O719" s="122" t="str">
        <f t="shared" si="288"/>
        <v/>
      </c>
      <c r="P719" s="35" t="str">
        <f t="shared" si="289"/>
        <v/>
      </c>
      <c r="Q719" s="124"/>
      <c r="R719" s="36" t="str">
        <f t="shared" si="290"/>
        <v/>
      </c>
      <c r="S719" s="37" t="str">
        <f t="shared" si="280"/>
        <v/>
      </c>
      <c r="T719" s="38" t="str">
        <f t="shared" si="281"/>
        <v/>
      </c>
      <c r="U719" s="39" t="str">
        <f t="shared" si="282"/>
        <v/>
      </c>
      <c r="V719" s="40" t="str">
        <f t="shared" si="283"/>
        <v/>
      </c>
      <c r="W719" s="39" t="str">
        <f t="shared" si="284"/>
        <v/>
      </c>
      <c r="X719" s="34" t="str">
        <f t="shared" si="285"/>
        <v/>
      </c>
      <c r="Y719" s="41" t="str">
        <f t="shared" si="291"/>
        <v/>
      </c>
      <c r="Z719" s="98" t="str">
        <f t="shared" si="286"/>
        <v/>
      </c>
      <c r="AA719" s="81" t="str">
        <f t="shared" si="292"/>
        <v/>
      </c>
      <c r="AC719" s="139"/>
      <c r="AD719" s="110" t="str">
        <f t="shared" si="293"/>
        <v/>
      </c>
      <c r="AE719" s="111" t="str">
        <f t="shared" si="294"/>
        <v/>
      </c>
      <c r="AF719" s="111" t="str">
        <f t="shared" si="287"/>
        <v/>
      </c>
      <c r="AG719" s="111" t="str">
        <f t="shared" si="295"/>
        <v/>
      </c>
      <c r="AH719" s="111" t="str">
        <f t="shared" si="296"/>
        <v/>
      </c>
      <c r="AI719" s="112" t="str">
        <f t="shared" si="297"/>
        <v/>
      </c>
      <c r="AJ719" t="str">
        <f t="shared" si="298"/>
        <v/>
      </c>
      <c r="AK719" t="str">
        <f t="shared" si="299"/>
        <v/>
      </c>
    </row>
    <row r="720" spans="1:37" ht="15" customHeight="1" x14ac:dyDescent="0.25">
      <c r="A720" s="114"/>
      <c r="B720" s="116"/>
      <c r="C720" s="116"/>
      <c r="D720" s="42" t="str">
        <f t="shared" si="275"/>
        <v/>
      </c>
      <c r="E720" s="43"/>
      <c r="F720" s="83"/>
      <c r="G720" s="118"/>
      <c r="H720" s="34" t="str">
        <f t="shared" si="276"/>
        <v/>
      </c>
      <c r="I720" s="88" t="str">
        <f t="shared" si="277"/>
        <v/>
      </c>
      <c r="J720" s="44" t="str">
        <f t="shared" si="278"/>
        <v/>
      </c>
      <c r="K720" s="118"/>
      <c r="L720" s="34" t="str">
        <f t="shared" si="279"/>
        <v/>
      </c>
      <c r="M720" s="118"/>
      <c r="N720" s="121"/>
      <c r="O720" s="122" t="str">
        <f t="shared" si="288"/>
        <v/>
      </c>
      <c r="P720" s="35" t="str">
        <f t="shared" si="289"/>
        <v/>
      </c>
      <c r="Q720" s="124"/>
      <c r="R720" s="36" t="str">
        <f t="shared" si="290"/>
        <v/>
      </c>
      <c r="S720" s="37" t="str">
        <f t="shared" si="280"/>
        <v/>
      </c>
      <c r="T720" s="38" t="str">
        <f t="shared" si="281"/>
        <v/>
      </c>
      <c r="U720" s="39" t="str">
        <f t="shared" si="282"/>
        <v/>
      </c>
      <c r="V720" s="40" t="str">
        <f t="shared" si="283"/>
        <v/>
      </c>
      <c r="W720" s="39" t="str">
        <f t="shared" si="284"/>
        <v/>
      </c>
      <c r="X720" s="34" t="str">
        <f t="shared" si="285"/>
        <v/>
      </c>
      <c r="Y720" s="41" t="str">
        <f t="shared" si="291"/>
        <v/>
      </c>
      <c r="Z720" s="98" t="str">
        <f t="shared" si="286"/>
        <v/>
      </c>
      <c r="AA720" s="81" t="str">
        <f t="shared" si="292"/>
        <v/>
      </c>
      <c r="AC720" s="139"/>
      <c r="AD720" s="110" t="str">
        <f t="shared" si="293"/>
        <v/>
      </c>
      <c r="AE720" s="111" t="str">
        <f t="shared" si="294"/>
        <v/>
      </c>
      <c r="AF720" s="111" t="str">
        <f t="shared" si="287"/>
        <v/>
      </c>
      <c r="AG720" s="111" t="str">
        <f t="shared" si="295"/>
        <v/>
      </c>
      <c r="AH720" s="111" t="str">
        <f t="shared" si="296"/>
        <v/>
      </c>
      <c r="AI720" s="112" t="str">
        <f t="shared" si="297"/>
        <v/>
      </c>
      <c r="AJ720" t="str">
        <f t="shared" si="298"/>
        <v/>
      </c>
      <c r="AK720" t="str">
        <f t="shared" si="299"/>
        <v/>
      </c>
    </row>
    <row r="721" spans="1:37" ht="15" customHeight="1" x14ac:dyDescent="0.25">
      <c r="A721" s="114"/>
      <c r="B721" s="116"/>
      <c r="C721" s="116"/>
      <c r="D721" s="42" t="str">
        <f t="shared" si="275"/>
        <v/>
      </c>
      <c r="E721" s="43"/>
      <c r="F721" s="83"/>
      <c r="G721" s="118"/>
      <c r="H721" s="34" t="str">
        <f t="shared" si="276"/>
        <v/>
      </c>
      <c r="I721" s="88" t="str">
        <f t="shared" si="277"/>
        <v/>
      </c>
      <c r="J721" s="44" t="str">
        <f t="shared" si="278"/>
        <v/>
      </c>
      <c r="K721" s="118"/>
      <c r="L721" s="34" t="str">
        <f t="shared" si="279"/>
        <v/>
      </c>
      <c r="M721" s="118"/>
      <c r="N721" s="121"/>
      <c r="O721" s="122" t="str">
        <f t="shared" si="288"/>
        <v/>
      </c>
      <c r="P721" s="35" t="str">
        <f t="shared" si="289"/>
        <v/>
      </c>
      <c r="Q721" s="124"/>
      <c r="R721" s="36" t="str">
        <f t="shared" si="290"/>
        <v/>
      </c>
      <c r="S721" s="37" t="str">
        <f t="shared" si="280"/>
        <v/>
      </c>
      <c r="T721" s="38" t="str">
        <f t="shared" si="281"/>
        <v/>
      </c>
      <c r="U721" s="39" t="str">
        <f t="shared" si="282"/>
        <v/>
      </c>
      <c r="V721" s="40" t="str">
        <f t="shared" si="283"/>
        <v/>
      </c>
      <c r="W721" s="39" t="str">
        <f t="shared" si="284"/>
        <v/>
      </c>
      <c r="X721" s="34" t="str">
        <f t="shared" si="285"/>
        <v/>
      </c>
      <c r="Y721" s="41" t="str">
        <f t="shared" si="291"/>
        <v/>
      </c>
      <c r="Z721" s="98" t="str">
        <f t="shared" si="286"/>
        <v/>
      </c>
      <c r="AA721" s="81" t="str">
        <f t="shared" si="292"/>
        <v/>
      </c>
      <c r="AC721" s="139"/>
      <c r="AD721" s="110" t="str">
        <f t="shared" si="293"/>
        <v/>
      </c>
      <c r="AE721" s="111" t="str">
        <f t="shared" si="294"/>
        <v/>
      </c>
      <c r="AF721" s="111" t="str">
        <f t="shared" si="287"/>
        <v/>
      </c>
      <c r="AG721" s="111" t="str">
        <f t="shared" si="295"/>
        <v/>
      </c>
      <c r="AH721" s="111" t="str">
        <f t="shared" si="296"/>
        <v/>
      </c>
      <c r="AI721" s="112" t="str">
        <f t="shared" si="297"/>
        <v/>
      </c>
      <c r="AJ721" t="str">
        <f t="shared" si="298"/>
        <v/>
      </c>
      <c r="AK721" t="str">
        <f t="shared" si="299"/>
        <v/>
      </c>
    </row>
    <row r="722" spans="1:37" ht="15" customHeight="1" x14ac:dyDescent="0.25">
      <c r="A722" s="114"/>
      <c r="B722" s="116"/>
      <c r="C722" s="116"/>
      <c r="D722" s="42" t="str">
        <f t="shared" si="275"/>
        <v/>
      </c>
      <c r="E722" s="43"/>
      <c r="F722" s="83"/>
      <c r="G722" s="118"/>
      <c r="H722" s="34" t="str">
        <f t="shared" si="276"/>
        <v/>
      </c>
      <c r="I722" s="88" t="str">
        <f t="shared" si="277"/>
        <v/>
      </c>
      <c r="J722" s="44" t="str">
        <f t="shared" si="278"/>
        <v/>
      </c>
      <c r="K722" s="118"/>
      <c r="L722" s="34" t="str">
        <f t="shared" si="279"/>
        <v/>
      </c>
      <c r="M722" s="118"/>
      <c r="N722" s="121"/>
      <c r="O722" s="122" t="str">
        <f t="shared" si="288"/>
        <v/>
      </c>
      <c r="P722" s="35" t="str">
        <f t="shared" si="289"/>
        <v/>
      </c>
      <c r="Q722" s="124"/>
      <c r="R722" s="36" t="str">
        <f t="shared" si="290"/>
        <v/>
      </c>
      <c r="S722" s="37" t="str">
        <f t="shared" si="280"/>
        <v/>
      </c>
      <c r="T722" s="38" t="str">
        <f t="shared" si="281"/>
        <v/>
      </c>
      <c r="U722" s="39" t="str">
        <f t="shared" si="282"/>
        <v/>
      </c>
      <c r="V722" s="40" t="str">
        <f t="shared" si="283"/>
        <v/>
      </c>
      <c r="W722" s="39" t="str">
        <f t="shared" si="284"/>
        <v/>
      </c>
      <c r="X722" s="34" t="str">
        <f t="shared" si="285"/>
        <v/>
      </c>
      <c r="Y722" s="41" t="str">
        <f t="shared" si="291"/>
        <v/>
      </c>
      <c r="Z722" s="98" t="str">
        <f t="shared" si="286"/>
        <v/>
      </c>
      <c r="AA722" s="81" t="str">
        <f t="shared" si="292"/>
        <v/>
      </c>
      <c r="AC722" s="139"/>
      <c r="AD722" s="110" t="str">
        <f t="shared" si="293"/>
        <v/>
      </c>
      <c r="AE722" s="111" t="str">
        <f t="shared" si="294"/>
        <v/>
      </c>
      <c r="AF722" s="111" t="str">
        <f t="shared" si="287"/>
        <v/>
      </c>
      <c r="AG722" s="111" t="str">
        <f t="shared" si="295"/>
        <v/>
      </c>
      <c r="AH722" s="111" t="str">
        <f t="shared" si="296"/>
        <v/>
      </c>
      <c r="AI722" s="112" t="str">
        <f t="shared" si="297"/>
        <v/>
      </c>
      <c r="AJ722" t="str">
        <f t="shared" si="298"/>
        <v/>
      </c>
      <c r="AK722" t="str">
        <f t="shared" si="299"/>
        <v/>
      </c>
    </row>
    <row r="723" spans="1:37" ht="15" customHeight="1" x14ac:dyDescent="0.25">
      <c r="A723" s="114"/>
      <c r="B723" s="116"/>
      <c r="C723" s="116"/>
      <c r="D723" s="42" t="str">
        <f t="shared" si="275"/>
        <v/>
      </c>
      <c r="E723" s="43"/>
      <c r="F723" s="83"/>
      <c r="G723" s="118"/>
      <c r="H723" s="34" t="str">
        <f t="shared" si="276"/>
        <v/>
      </c>
      <c r="I723" s="88" t="str">
        <f t="shared" si="277"/>
        <v/>
      </c>
      <c r="J723" s="44" t="str">
        <f t="shared" si="278"/>
        <v/>
      </c>
      <c r="K723" s="118"/>
      <c r="L723" s="34" t="str">
        <f t="shared" si="279"/>
        <v/>
      </c>
      <c r="M723" s="118"/>
      <c r="N723" s="121"/>
      <c r="O723" s="122" t="str">
        <f t="shared" si="288"/>
        <v/>
      </c>
      <c r="P723" s="35" t="str">
        <f t="shared" si="289"/>
        <v/>
      </c>
      <c r="Q723" s="124"/>
      <c r="R723" s="36" t="str">
        <f t="shared" si="290"/>
        <v/>
      </c>
      <c r="S723" s="37" t="str">
        <f t="shared" si="280"/>
        <v/>
      </c>
      <c r="T723" s="38" t="str">
        <f t="shared" si="281"/>
        <v/>
      </c>
      <c r="U723" s="39" t="str">
        <f t="shared" si="282"/>
        <v/>
      </c>
      <c r="V723" s="40" t="str">
        <f t="shared" si="283"/>
        <v/>
      </c>
      <c r="W723" s="39" t="str">
        <f t="shared" si="284"/>
        <v/>
      </c>
      <c r="X723" s="34" t="str">
        <f t="shared" si="285"/>
        <v/>
      </c>
      <c r="Y723" s="41" t="str">
        <f t="shared" si="291"/>
        <v/>
      </c>
      <c r="Z723" s="98" t="str">
        <f t="shared" si="286"/>
        <v/>
      </c>
      <c r="AA723" s="81" t="str">
        <f t="shared" si="292"/>
        <v/>
      </c>
      <c r="AC723" s="139"/>
      <c r="AD723" s="110" t="str">
        <f t="shared" si="293"/>
        <v/>
      </c>
      <c r="AE723" s="111" t="str">
        <f t="shared" si="294"/>
        <v/>
      </c>
      <c r="AF723" s="111" t="str">
        <f t="shared" si="287"/>
        <v/>
      </c>
      <c r="AG723" s="111" t="str">
        <f t="shared" si="295"/>
        <v/>
      </c>
      <c r="AH723" s="111" t="str">
        <f t="shared" si="296"/>
        <v/>
      </c>
      <c r="AI723" s="112" t="str">
        <f t="shared" si="297"/>
        <v/>
      </c>
      <c r="AJ723" t="str">
        <f t="shared" si="298"/>
        <v/>
      </c>
      <c r="AK723" t="str">
        <f t="shared" si="299"/>
        <v/>
      </c>
    </row>
    <row r="724" spans="1:37" ht="15" customHeight="1" x14ac:dyDescent="0.25">
      <c r="A724" s="114"/>
      <c r="B724" s="116"/>
      <c r="C724" s="116"/>
      <c r="D724" s="42" t="str">
        <f t="shared" si="275"/>
        <v/>
      </c>
      <c r="E724" s="43"/>
      <c r="F724" s="83"/>
      <c r="G724" s="118"/>
      <c r="H724" s="34" t="str">
        <f t="shared" si="276"/>
        <v/>
      </c>
      <c r="I724" s="88" t="str">
        <f t="shared" si="277"/>
        <v/>
      </c>
      <c r="J724" s="44" t="str">
        <f t="shared" si="278"/>
        <v/>
      </c>
      <c r="K724" s="118"/>
      <c r="L724" s="34" t="str">
        <f t="shared" si="279"/>
        <v/>
      </c>
      <c r="M724" s="118"/>
      <c r="N724" s="121"/>
      <c r="O724" s="122" t="str">
        <f t="shared" si="288"/>
        <v/>
      </c>
      <c r="P724" s="35" t="str">
        <f t="shared" si="289"/>
        <v/>
      </c>
      <c r="Q724" s="124"/>
      <c r="R724" s="36" t="str">
        <f t="shared" si="290"/>
        <v/>
      </c>
      <c r="S724" s="37" t="str">
        <f t="shared" si="280"/>
        <v/>
      </c>
      <c r="T724" s="38" t="str">
        <f t="shared" si="281"/>
        <v/>
      </c>
      <c r="U724" s="39" t="str">
        <f t="shared" si="282"/>
        <v/>
      </c>
      <c r="V724" s="40" t="str">
        <f t="shared" si="283"/>
        <v/>
      </c>
      <c r="W724" s="39" t="str">
        <f t="shared" si="284"/>
        <v/>
      </c>
      <c r="X724" s="34" t="str">
        <f t="shared" si="285"/>
        <v/>
      </c>
      <c r="Y724" s="41" t="str">
        <f t="shared" si="291"/>
        <v/>
      </c>
      <c r="Z724" s="98" t="str">
        <f t="shared" si="286"/>
        <v/>
      </c>
      <c r="AA724" s="81" t="str">
        <f t="shared" si="292"/>
        <v/>
      </c>
      <c r="AC724" s="139"/>
      <c r="AD724" s="110" t="str">
        <f t="shared" si="293"/>
        <v/>
      </c>
      <c r="AE724" s="111" t="str">
        <f t="shared" si="294"/>
        <v/>
      </c>
      <c r="AF724" s="111" t="str">
        <f t="shared" si="287"/>
        <v/>
      </c>
      <c r="AG724" s="111" t="str">
        <f t="shared" si="295"/>
        <v/>
      </c>
      <c r="AH724" s="111" t="str">
        <f t="shared" si="296"/>
        <v/>
      </c>
      <c r="AI724" s="112" t="str">
        <f t="shared" si="297"/>
        <v/>
      </c>
      <c r="AJ724" t="str">
        <f t="shared" si="298"/>
        <v/>
      </c>
      <c r="AK724" t="str">
        <f t="shared" si="299"/>
        <v/>
      </c>
    </row>
    <row r="725" spans="1:37" ht="15" customHeight="1" x14ac:dyDescent="0.25">
      <c r="A725" s="114"/>
      <c r="B725" s="116"/>
      <c r="C725" s="116"/>
      <c r="D725" s="42" t="str">
        <f t="shared" si="275"/>
        <v/>
      </c>
      <c r="E725" s="43"/>
      <c r="F725" s="83"/>
      <c r="G725" s="118"/>
      <c r="H725" s="34" t="str">
        <f t="shared" si="276"/>
        <v/>
      </c>
      <c r="I725" s="88" t="str">
        <f t="shared" si="277"/>
        <v/>
      </c>
      <c r="J725" s="44" t="str">
        <f t="shared" si="278"/>
        <v/>
      </c>
      <c r="K725" s="118"/>
      <c r="L725" s="34" t="str">
        <f t="shared" si="279"/>
        <v/>
      </c>
      <c r="M725" s="118"/>
      <c r="N725" s="121"/>
      <c r="O725" s="122" t="str">
        <f t="shared" si="288"/>
        <v/>
      </c>
      <c r="P725" s="35" t="str">
        <f t="shared" si="289"/>
        <v/>
      </c>
      <c r="Q725" s="124"/>
      <c r="R725" s="36" t="str">
        <f t="shared" si="290"/>
        <v/>
      </c>
      <c r="S725" s="37" t="str">
        <f t="shared" si="280"/>
        <v/>
      </c>
      <c r="T725" s="38" t="str">
        <f t="shared" si="281"/>
        <v/>
      </c>
      <c r="U725" s="39" t="str">
        <f t="shared" si="282"/>
        <v/>
      </c>
      <c r="V725" s="40" t="str">
        <f t="shared" si="283"/>
        <v/>
      </c>
      <c r="W725" s="39" t="str">
        <f t="shared" si="284"/>
        <v/>
      </c>
      <c r="X725" s="34" t="str">
        <f t="shared" si="285"/>
        <v/>
      </c>
      <c r="Y725" s="41" t="str">
        <f t="shared" si="291"/>
        <v/>
      </c>
      <c r="Z725" s="98" t="str">
        <f t="shared" si="286"/>
        <v/>
      </c>
      <c r="AA725" s="81" t="str">
        <f t="shared" si="292"/>
        <v/>
      </c>
      <c r="AC725" s="139"/>
      <c r="AD725" s="110" t="str">
        <f t="shared" si="293"/>
        <v/>
      </c>
      <c r="AE725" s="111" t="str">
        <f t="shared" si="294"/>
        <v/>
      </c>
      <c r="AF725" s="111" t="str">
        <f t="shared" si="287"/>
        <v/>
      </c>
      <c r="AG725" s="111" t="str">
        <f t="shared" si="295"/>
        <v/>
      </c>
      <c r="AH725" s="111" t="str">
        <f t="shared" si="296"/>
        <v/>
      </c>
      <c r="AI725" s="112" t="str">
        <f t="shared" si="297"/>
        <v/>
      </c>
      <c r="AJ725" t="str">
        <f t="shared" si="298"/>
        <v/>
      </c>
      <c r="AK725" t="str">
        <f t="shared" si="299"/>
        <v/>
      </c>
    </row>
    <row r="726" spans="1:37" ht="15" customHeight="1" x14ac:dyDescent="0.25">
      <c r="A726" s="114"/>
      <c r="B726" s="116"/>
      <c r="C726" s="116"/>
      <c r="D726" s="42" t="str">
        <f t="shared" si="275"/>
        <v/>
      </c>
      <c r="E726" s="43"/>
      <c r="F726" s="83"/>
      <c r="G726" s="118"/>
      <c r="H726" s="34" t="str">
        <f t="shared" si="276"/>
        <v/>
      </c>
      <c r="I726" s="88" t="str">
        <f t="shared" si="277"/>
        <v/>
      </c>
      <c r="J726" s="44" t="str">
        <f t="shared" si="278"/>
        <v/>
      </c>
      <c r="K726" s="118"/>
      <c r="L726" s="34" t="str">
        <f t="shared" si="279"/>
        <v/>
      </c>
      <c r="M726" s="118"/>
      <c r="N726" s="121"/>
      <c r="O726" s="122" t="str">
        <f t="shared" si="288"/>
        <v/>
      </c>
      <c r="P726" s="35" t="str">
        <f t="shared" si="289"/>
        <v/>
      </c>
      <c r="Q726" s="124"/>
      <c r="R726" s="36" t="str">
        <f t="shared" si="290"/>
        <v/>
      </c>
      <c r="S726" s="37" t="str">
        <f t="shared" si="280"/>
        <v/>
      </c>
      <c r="T726" s="38" t="str">
        <f t="shared" si="281"/>
        <v/>
      </c>
      <c r="U726" s="39" t="str">
        <f t="shared" si="282"/>
        <v/>
      </c>
      <c r="V726" s="40" t="str">
        <f t="shared" si="283"/>
        <v/>
      </c>
      <c r="W726" s="39" t="str">
        <f t="shared" si="284"/>
        <v/>
      </c>
      <c r="X726" s="34" t="str">
        <f t="shared" si="285"/>
        <v/>
      </c>
      <c r="Y726" s="41" t="str">
        <f t="shared" si="291"/>
        <v/>
      </c>
      <c r="Z726" s="98" t="str">
        <f t="shared" si="286"/>
        <v/>
      </c>
      <c r="AA726" s="81" t="str">
        <f t="shared" si="292"/>
        <v/>
      </c>
      <c r="AC726" s="139"/>
      <c r="AD726" s="110" t="str">
        <f t="shared" si="293"/>
        <v/>
      </c>
      <c r="AE726" s="111" t="str">
        <f t="shared" si="294"/>
        <v/>
      </c>
      <c r="AF726" s="111" t="str">
        <f t="shared" si="287"/>
        <v/>
      </c>
      <c r="AG726" s="111" t="str">
        <f t="shared" si="295"/>
        <v/>
      </c>
      <c r="AH726" s="111" t="str">
        <f t="shared" si="296"/>
        <v/>
      </c>
      <c r="AI726" s="112" t="str">
        <f t="shared" si="297"/>
        <v/>
      </c>
      <c r="AJ726" t="str">
        <f t="shared" si="298"/>
        <v/>
      </c>
      <c r="AK726" t="str">
        <f t="shared" si="299"/>
        <v/>
      </c>
    </row>
    <row r="727" spans="1:37" ht="15" customHeight="1" x14ac:dyDescent="0.25">
      <c r="A727" s="114"/>
      <c r="B727" s="116"/>
      <c r="C727" s="116"/>
      <c r="D727" s="42" t="str">
        <f t="shared" si="275"/>
        <v/>
      </c>
      <c r="E727" s="43"/>
      <c r="F727" s="83"/>
      <c r="G727" s="118"/>
      <c r="H727" s="34" t="str">
        <f t="shared" si="276"/>
        <v/>
      </c>
      <c r="I727" s="88" t="str">
        <f t="shared" si="277"/>
        <v/>
      </c>
      <c r="J727" s="44" t="str">
        <f t="shared" si="278"/>
        <v/>
      </c>
      <c r="K727" s="118"/>
      <c r="L727" s="34" t="str">
        <f t="shared" si="279"/>
        <v/>
      </c>
      <c r="M727" s="118"/>
      <c r="N727" s="121"/>
      <c r="O727" s="122" t="str">
        <f t="shared" si="288"/>
        <v/>
      </c>
      <c r="P727" s="35" t="str">
        <f t="shared" si="289"/>
        <v/>
      </c>
      <c r="Q727" s="124"/>
      <c r="R727" s="36" t="str">
        <f t="shared" si="290"/>
        <v/>
      </c>
      <c r="S727" s="37" t="str">
        <f t="shared" si="280"/>
        <v/>
      </c>
      <c r="T727" s="38" t="str">
        <f t="shared" si="281"/>
        <v/>
      </c>
      <c r="U727" s="39" t="str">
        <f t="shared" si="282"/>
        <v/>
      </c>
      <c r="V727" s="40" t="str">
        <f t="shared" si="283"/>
        <v/>
      </c>
      <c r="W727" s="39" t="str">
        <f t="shared" si="284"/>
        <v/>
      </c>
      <c r="X727" s="34" t="str">
        <f t="shared" si="285"/>
        <v/>
      </c>
      <c r="Y727" s="41" t="str">
        <f t="shared" si="291"/>
        <v/>
      </c>
      <c r="Z727" s="98" t="str">
        <f t="shared" si="286"/>
        <v/>
      </c>
      <c r="AA727" s="81" t="str">
        <f t="shared" si="292"/>
        <v/>
      </c>
      <c r="AC727" s="139"/>
      <c r="AD727" s="110" t="str">
        <f t="shared" si="293"/>
        <v/>
      </c>
      <c r="AE727" s="111" t="str">
        <f t="shared" si="294"/>
        <v/>
      </c>
      <c r="AF727" s="111" t="str">
        <f t="shared" si="287"/>
        <v/>
      </c>
      <c r="AG727" s="111" t="str">
        <f t="shared" si="295"/>
        <v/>
      </c>
      <c r="AH727" s="111" t="str">
        <f t="shared" si="296"/>
        <v/>
      </c>
      <c r="AI727" s="112" t="str">
        <f t="shared" si="297"/>
        <v/>
      </c>
      <c r="AJ727" t="str">
        <f t="shared" si="298"/>
        <v/>
      </c>
      <c r="AK727" t="str">
        <f t="shared" si="299"/>
        <v/>
      </c>
    </row>
    <row r="728" spans="1:37" ht="15" customHeight="1" x14ac:dyDescent="0.25">
      <c r="A728" s="114"/>
      <c r="B728" s="116"/>
      <c r="C728" s="116"/>
      <c r="D728" s="42" t="str">
        <f t="shared" si="275"/>
        <v/>
      </c>
      <c r="E728" s="43"/>
      <c r="F728" s="83"/>
      <c r="G728" s="118"/>
      <c r="H728" s="34" t="str">
        <f t="shared" si="276"/>
        <v/>
      </c>
      <c r="I728" s="88" t="str">
        <f t="shared" si="277"/>
        <v/>
      </c>
      <c r="J728" s="44" t="str">
        <f t="shared" si="278"/>
        <v/>
      </c>
      <c r="K728" s="118"/>
      <c r="L728" s="34" t="str">
        <f t="shared" si="279"/>
        <v/>
      </c>
      <c r="M728" s="118"/>
      <c r="N728" s="121"/>
      <c r="O728" s="122" t="str">
        <f t="shared" si="288"/>
        <v/>
      </c>
      <c r="P728" s="35" t="str">
        <f t="shared" si="289"/>
        <v/>
      </c>
      <c r="Q728" s="124"/>
      <c r="R728" s="36" t="str">
        <f t="shared" si="290"/>
        <v/>
      </c>
      <c r="S728" s="37" t="str">
        <f t="shared" si="280"/>
        <v/>
      </c>
      <c r="T728" s="38" t="str">
        <f t="shared" si="281"/>
        <v/>
      </c>
      <c r="U728" s="39" t="str">
        <f t="shared" si="282"/>
        <v/>
      </c>
      <c r="V728" s="40" t="str">
        <f t="shared" si="283"/>
        <v/>
      </c>
      <c r="W728" s="39" t="str">
        <f t="shared" si="284"/>
        <v/>
      </c>
      <c r="X728" s="34" t="str">
        <f t="shared" si="285"/>
        <v/>
      </c>
      <c r="Y728" s="41" t="str">
        <f t="shared" si="291"/>
        <v/>
      </c>
      <c r="Z728" s="98" t="str">
        <f t="shared" si="286"/>
        <v/>
      </c>
      <c r="AA728" s="81" t="str">
        <f t="shared" si="292"/>
        <v/>
      </c>
      <c r="AC728" s="139"/>
      <c r="AD728" s="110" t="str">
        <f t="shared" si="293"/>
        <v/>
      </c>
      <c r="AE728" s="111" t="str">
        <f t="shared" si="294"/>
        <v/>
      </c>
      <c r="AF728" s="111" t="str">
        <f t="shared" si="287"/>
        <v/>
      </c>
      <c r="AG728" s="111" t="str">
        <f t="shared" si="295"/>
        <v/>
      </c>
      <c r="AH728" s="111" t="str">
        <f t="shared" si="296"/>
        <v/>
      </c>
      <c r="AI728" s="112" t="str">
        <f t="shared" si="297"/>
        <v/>
      </c>
      <c r="AJ728" t="str">
        <f t="shared" si="298"/>
        <v/>
      </c>
      <c r="AK728" t="str">
        <f t="shared" si="299"/>
        <v/>
      </c>
    </row>
    <row r="729" spans="1:37" ht="15" customHeight="1" x14ac:dyDescent="0.25">
      <c r="A729" s="114"/>
      <c r="B729" s="116"/>
      <c r="C729" s="116"/>
      <c r="D729" s="42" t="str">
        <f t="shared" si="275"/>
        <v/>
      </c>
      <c r="E729" s="43"/>
      <c r="F729" s="83"/>
      <c r="G729" s="118"/>
      <c r="H729" s="34" t="str">
        <f t="shared" si="276"/>
        <v/>
      </c>
      <c r="I729" s="88" t="str">
        <f t="shared" si="277"/>
        <v/>
      </c>
      <c r="J729" s="44" t="str">
        <f t="shared" si="278"/>
        <v/>
      </c>
      <c r="K729" s="118"/>
      <c r="L729" s="34" t="str">
        <f t="shared" si="279"/>
        <v/>
      </c>
      <c r="M729" s="118"/>
      <c r="N729" s="121"/>
      <c r="O729" s="122" t="str">
        <f t="shared" si="288"/>
        <v/>
      </c>
      <c r="P729" s="35" t="str">
        <f t="shared" si="289"/>
        <v/>
      </c>
      <c r="Q729" s="124"/>
      <c r="R729" s="36" t="str">
        <f t="shared" si="290"/>
        <v/>
      </c>
      <c r="S729" s="37" t="str">
        <f t="shared" si="280"/>
        <v/>
      </c>
      <c r="T729" s="38" t="str">
        <f t="shared" si="281"/>
        <v/>
      </c>
      <c r="U729" s="39" t="str">
        <f t="shared" si="282"/>
        <v/>
      </c>
      <c r="V729" s="40" t="str">
        <f t="shared" si="283"/>
        <v/>
      </c>
      <c r="W729" s="39" t="str">
        <f t="shared" si="284"/>
        <v/>
      </c>
      <c r="X729" s="34" t="str">
        <f t="shared" si="285"/>
        <v/>
      </c>
      <c r="Y729" s="41" t="str">
        <f t="shared" si="291"/>
        <v/>
      </c>
      <c r="Z729" s="98" t="str">
        <f t="shared" si="286"/>
        <v/>
      </c>
      <c r="AA729" s="81" t="str">
        <f t="shared" si="292"/>
        <v/>
      </c>
      <c r="AC729" s="139"/>
      <c r="AD729" s="110" t="str">
        <f t="shared" si="293"/>
        <v/>
      </c>
      <c r="AE729" s="111" t="str">
        <f t="shared" si="294"/>
        <v/>
      </c>
      <c r="AF729" s="111" t="str">
        <f t="shared" si="287"/>
        <v/>
      </c>
      <c r="AG729" s="111" t="str">
        <f t="shared" si="295"/>
        <v/>
      </c>
      <c r="AH729" s="111" t="str">
        <f t="shared" si="296"/>
        <v/>
      </c>
      <c r="AI729" s="112" t="str">
        <f t="shared" si="297"/>
        <v/>
      </c>
      <c r="AJ729" t="str">
        <f t="shared" si="298"/>
        <v/>
      </c>
      <c r="AK729" t="str">
        <f t="shared" si="299"/>
        <v/>
      </c>
    </row>
    <row r="730" spans="1:37" ht="15" customHeight="1" x14ac:dyDescent="0.25">
      <c r="A730" s="114"/>
      <c r="B730" s="116"/>
      <c r="C730" s="116"/>
      <c r="D730" s="42" t="str">
        <f t="shared" si="275"/>
        <v/>
      </c>
      <c r="E730" s="43"/>
      <c r="F730" s="83"/>
      <c r="G730" s="118"/>
      <c r="H730" s="34" t="str">
        <f t="shared" si="276"/>
        <v/>
      </c>
      <c r="I730" s="88" t="str">
        <f t="shared" si="277"/>
        <v/>
      </c>
      <c r="J730" s="44" t="str">
        <f t="shared" si="278"/>
        <v/>
      </c>
      <c r="K730" s="118"/>
      <c r="L730" s="34" t="str">
        <f t="shared" si="279"/>
        <v/>
      </c>
      <c r="M730" s="118"/>
      <c r="N730" s="121"/>
      <c r="O730" s="122" t="str">
        <f t="shared" si="288"/>
        <v/>
      </c>
      <c r="P730" s="35" t="str">
        <f t="shared" si="289"/>
        <v/>
      </c>
      <c r="Q730" s="124"/>
      <c r="R730" s="36" t="str">
        <f t="shared" si="290"/>
        <v/>
      </c>
      <c r="S730" s="37" t="str">
        <f t="shared" si="280"/>
        <v/>
      </c>
      <c r="T730" s="38" t="str">
        <f t="shared" si="281"/>
        <v/>
      </c>
      <c r="U730" s="39" t="str">
        <f t="shared" si="282"/>
        <v/>
      </c>
      <c r="V730" s="40" t="str">
        <f t="shared" si="283"/>
        <v/>
      </c>
      <c r="W730" s="39" t="str">
        <f t="shared" si="284"/>
        <v/>
      </c>
      <c r="X730" s="34" t="str">
        <f t="shared" si="285"/>
        <v/>
      </c>
      <c r="Y730" s="41" t="str">
        <f t="shared" si="291"/>
        <v/>
      </c>
      <c r="Z730" s="98" t="str">
        <f t="shared" si="286"/>
        <v/>
      </c>
      <c r="AA730" s="81" t="str">
        <f t="shared" si="292"/>
        <v/>
      </c>
      <c r="AC730" s="139"/>
      <c r="AD730" s="110" t="str">
        <f t="shared" si="293"/>
        <v/>
      </c>
      <c r="AE730" s="111" t="str">
        <f t="shared" si="294"/>
        <v/>
      </c>
      <c r="AF730" s="111" t="str">
        <f t="shared" si="287"/>
        <v/>
      </c>
      <c r="AG730" s="111" t="str">
        <f t="shared" si="295"/>
        <v/>
      </c>
      <c r="AH730" s="111" t="str">
        <f t="shared" si="296"/>
        <v/>
      </c>
      <c r="AI730" s="112" t="str">
        <f t="shared" si="297"/>
        <v/>
      </c>
      <c r="AJ730" t="str">
        <f t="shared" si="298"/>
        <v/>
      </c>
      <c r="AK730" t="str">
        <f t="shared" si="299"/>
        <v/>
      </c>
    </row>
    <row r="731" spans="1:37" ht="15" customHeight="1" x14ac:dyDescent="0.25">
      <c r="A731" s="114"/>
      <c r="B731" s="116"/>
      <c r="C731" s="116"/>
      <c r="D731" s="42" t="str">
        <f t="shared" si="275"/>
        <v/>
      </c>
      <c r="E731" s="43"/>
      <c r="F731" s="83"/>
      <c r="G731" s="118"/>
      <c r="H731" s="34" t="str">
        <f t="shared" si="276"/>
        <v/>
      </c>
      <c r="I731" s="88" t="str">
        <f t="shared" si="277"/>
        <v/>
      </c>
      <c r="J731" s="44" t="str">
        <f t="shared" si="278"/>
        <v/>
      </c>
      <c r="K731" s="118"/>
      <c r="L731" s="34" t="str">
        <f t="shared" si="279"/>
        <v/>
      </c>
      <c r="M731" s="118"/>
      <c r="N731" s="121"/>
      <c r="O731" s="122" t="str">
        <f t="shared" si="288"/>
        <v/>
      </c>
      <c r="P731" s="35" t="str">
        <f t="shared" si="289"/>
        <v/>
      </c>
      <c r="Q731" s="124"/>
      <c r="R731" s="36" t="str">
        <f t="shared" si="290"/>
        <v/>
      </c>
      <c r="S731" s="37" t="str">
        <f t="shared" si="280"/>
        <v/>
      </c>
      <c r="T731" s="38" t="str">
        <f t="shared" si="281"/>
        <v/>
      </c>
      <c r="U731" s="39" t="str">
        <f t="shared" si="282"/>
        <v/>
      </c>
      <c r="V731" s="40" t="str">
        <f t="shared" si="283"/>
        <v/>
      </c>
      <c r="W731" s="39" t="str">
        <f t="shared" si="284"/>
        <v/>
      </c>
      <c r="X731" s="34" t="str">
        <f t="shared" si="285"/>
        <v/>
      </c>
      <c r="Y731" s="41" t="str">
        <f t="shared" si="291"/>
        <v/>
      </c>
      <c r="Z731" s="98" t="str">
        <f t="shared" si="286"/>
        <v/>
      </c>
      <c r="AA731" s="81" t="str">
        <f t="shared" si="292"/>
        <v/>
      </c>
      <c r="AC731" s="139"/>
      <c r="AD731" s="110" t="str">
        <f t="shared" si="293"/>
        <v/>
      </c>
      <c r="AE731" s="111" t="str">
        <f t="shared" si="294"/>
        <v/>
      </c>
      <c r="AF731" s="111" t="str">
        <f t="shared" si="287"/>
        <v/>
      </c>
      <c r="AG731" s="111" t="str">
        <f t="shared" si="295"/>
        <v/>
      </c>
      <c r="AH731" s="111" t="str">
        <f t="shared" si="296"/>
        <v/>
      </c>
      <c r="AI731" s="112" t="str">
        <f t="shared" si="297"/>
        <v/>
      </c>
      <c r="AJ731" t="str">
        <f t="shared" si="298"/>
        <v/>
      </c>
      <c r="AK731" t="str">
        <f t="shared" si="299"/>
        <v/>
      </c>
    </row>
    <row r="732" spans="1:37" ht="15" customHeight="1" x14ac:dyDescent="0.25">
      <c r="A732" s="114"/>
      <c r="B732" s="116"/>
      <c r="C732" s="116"/>
      <c r="D732" s="42" t="str">
        <f t="shared" si="275"/>
        <v/>
      </c>
      <c r="E732" s="43"/>
      <c r="F732" s="83"/>
      <c r="G732" s="118"/>
      <c r="H732" s="34" t="str">
        <f t="shared" si="276"/>
        <v/>
      </c>
      <c r="I732" s="88" t="str">
        <f t="shared" si="277"/>
        <v/>
      </c>
      <c r="J732" s="44" t="str">
        <f t="shared" si="278"/>
        <v/>
      </c>
      <c r="K732" s="118"/>
      <c r="L732" s="34" t="str">
        <f t="shared" si="279"/>
        <v/>
      </c>
      <c r="M732" s="118"/>
      <c r="N732" s="121"/>
      <c r="O732" s="122" t="str">
        <f t="shared" si="288"/>
        <v/>
      </c>
      <c r="P732" s="35" t="str">
        <f t="shared" si="289"/>
        <v/>
      </c>
      <c r="Q732" s="124"/>
      <c r="R732" s="36" t="str">
        <f t="shared" si="290"/>
        <v/>
      </c>
      <c r="S732" s="37" t="str">
        <f t="shared" si="280"/>
        <v/>
      </c>
      <c r="T732" s="38" t="str">
        <f t="shared" si="281"/>
        <v/>
      </c>
      <c r="U732" s="39" t="str">
        <f t="shared" si="282"/>
        <v/>
      </c>
      <c r="V732" s="40" t="str">
        <f t="shared" si="283"/>
        <v/>
      </c>
      <c r="W732" s="39" t="str">
        <f t="shared" si="284"/>
        <v/>
      </c>
      <c r="X732" s="34" t="str">
        <f t="shared" si="285"/>
        <v/>
      </c>
      <c r="Y732" s="41" t="str">
        <f t="shared" si="291"/>
        <v/>
      </c>
      <c r="Z732" s="98" t="str">
        <f t="shared" si="286"/>
        <v/>
      </c>
      <c r="AA732" s="81" t="str">
        <f t="shared" si="292"/>
        <v/>
      </c>
      <c r="AC732" s="139"/>
      <c r="AD732" s="110" t="str">
        <f t="shared" si="293"/>
        <v/>
      </c>
      <c r="AE732" s="111" t="str">
        <f t="shared" si="294"/>
        <v/>
      </c>
      <c r="AF732" s="111" t="str">
        <f t="shared" si="287"/>
        <v/>
      </c>
      <c r="AG732" s="111" t="str">
        <f t="shared" si="295"/>
        <v/>
      </c>
      <c r="AH732" s="111" t="str">
        <f t="shared" si="296"/>
        <v/>
      </c>
      <c r="AI732" s="112" t="str">
        <f t="shared" si="297"/>
        <v/>
      </c>
      <c r="AJ732" t="str">
        <f t="shared" si="298"/>
        <v/>
      </c>
      <c r="AK732" t="str">
        <f t="shared" si="299"/>
        <v/>
      </c>
    </row>
    <row r="733" spans="1:37" ht="15" customHeight="1" x14ac:dyDescent="0.25">
      <c r="A733" s="114"/>
      <c r="B733" s="116"/>
      <c r="C733" s="116"/>
      <c r="D733" s="42" t="str">
        <f t="shared" si="275"/>
        <v/>
      </c>
      <c r="E733" s="43"/>
      <c r="F733" s="83"/>
      <c r="G733" s="118"/>
      <c r="H733" s="34" t="str">
        <f t="shared" si="276"/>
        <v/>
      </c>
      <c r="I733" s="88" t="str">
        <f t="shared" si="277"/>
        <v/>
      </c>
      <c r="J733" s="44" t="str">
        <f t="shared" si="278"/>
        <v/>
      </c>
      <c r="K733" s="118"/>
      <c r="L733" s="34" t="str">
        <f t="shared" si="279"/>
        <v/>
      </c>
      <c r="M733" s="118"/>
      <c r="N733" s="121"/>
      <c r="O733" s="122" t="str">
        <f t="shared" si="288"/>
        <v/>
      </c>
      <c r="P733" s="35" t="str">
        <f t="shared" si="289"/>
        <v/>
      </c>
      <c r="Q733" s="124"/>
      <c r="R733" s="36" t="str">
        <f t="shared" si="290"/>
        <v/>
      </c>
      <c r="S733" s="37" t="str">
        <f t="shared" si="280"/>
        <v/>
      </c>
      <c r="T733" s="38" t="str">
        <f t="shared" si="281"/>
        <v/>
      </c>
      <c r="U733" s="39" t="str">
        <f t="shared" si="282"/>
        <v/>
      </c>
      <c r="V733" s="40" t="str">
        <f t="shared" si="283"/>
        <v/>
      </c>
      <c r="W733" s="39" t="str">
        <f t="shared" si="284"/>
        <v/>
      </c>
      <c r="X733" s="34" t="str">
        <f t="shared" si="285"/>
        <v/>
      </c>
      <c r="Y733" s="41" t="str">
        <f t="shared" si="291"/>
        <v/>
      </c>
      <c r="Z733" s="98" t="str">
        <f t="shared" si="286"/>
        <v/>
      </c>
      <c r="AA733" s="81" t="str">
        <f t="shared" si="292"/>
        <v/>
      </c>
      <c r="AC733" s="139"/>
      <c r="AD733" s="110" t="str">
        <f t="shared" si="293"/>
        <v/>
      </c>
      <c r="AE733" s="111" t="str">
        <f t="shared" si="294"/>
        <v/>
      </c>
      <c r="AF733" s="111" t="str">
        <f t="shared" si="287"/>
        <v/>
      </c>
      <c r="AG733" s="111" t="str">
        <f t="shared" si="295"/>
        <v/>
      </c>
      <c r="AH733" s="111" t="str">
        <f t="shared" si="296"/>
        <v/>
      </c>
      <c r="AI733" s="112" t="str">
        <f t="shared" si="297"/>
        <v/>
      </c>
      <c r="AJ733" t="str">
        <f t="shared" si="298"/>
        <v/>
      </c>
      <c r="AK733" t="str">
        <f t="shared" si="299"/>
        <v/>
      </c>
    </row>
    <row r="734" spans="1:37" ht="15" customHeight="1" x14ac:dyDescent="0.25">
      <c r="A734" s="114"/>
      <c r="B734" s="116"/>
      <c r="C734" s="116"/>
      <c r="D734" s="42" t="str">
        <f t="shared" si="275"/>
        <v/>
      </c>
      <c r="E734" s="43"/>
      <c r="F734" s="83"/>
      <c r="G734" s="118"/>
      <c r="H734" s="34" t="str">
        <f t="shared" si="276"/>
        <v/>
      </c>
      <c r="I734" s="88" t="str">
        <f t="shared" si="277"/>
        <v/>
      </c>
      <c r="J734" s="44" t="str">
        <f t="shared" si="278"/>
        <v/>
      </c>
      <c r="K734" s="118"/>
      <c r="L734" s="34" t="str">
        <f t="shared" si="279"/>
        <v/>
      </c>
      <c r="M734" s="118"/>
      <c r="N734" s="121"/>
      <c r="O734" s="122" t="str">
        <f t="shared" si="288"/>
        <v/>
      </c>
      <c r="P734" s="35" t="str">
        <f t="shared" si="289"/>
        <v/>
      </c>
      <c r="Q734" s="124"/>
      <c r="R734" s="36" t="str">
        <f t="shared" si="290"/>
        <v/>
      </c>
      <c r="S734" s="37" t="str">
        <f t="shared" si="280"/>
        <v/>
      </c>
      <c r="T734" s="38" t="str">
        <f t="shared" si="281"/>
        <v/>
      </c>
      <c r="U734" s="39" t="str">
        <f t="shared" si="282"/>
        <v/>
      </c>
      <c r="V734" s="40" t="str">
        <f t="shared" si="283"/>
        <v/>
      </c>
      <c r="W734" s="39" t="str">
        <f t="shared" si="284"/>
        <v/>
      </c>
      <c r="X734" s="34" t="str">
        <f t="shared" si="285"/>
        <v/>
      </c>
      <c r="Y734" s="41" t="str">
        <f t="shared" si="291"/>
        <v/>
      </c>
      <c r="Z734" s="98" t="str">
        <f t="shared" si="286"/>
        <v/>
      </c>
      <c r="AA734" s="81" t="str">
        <f t="shared" si="292"/>
        <v/>
      </c>
      <c r="AC734" s="139"/>
      <c r="AD734" s="110" t="str">
        <f t="shared" si="293"/>
        <v/>
      </c>
      <c r="AE734" s="111" t="str">
        <f t="shared" si="294"/>
        <v/>
      </c>
      <c r="AF734" s="111" t="str">
        <f t="shared" si="287"/>
        <v/>
      </c>
      <c r="AG734" s="111" t="str">
        <f t="shared" si="295"/>
        <v/>
      </c>
      <c r="AH734" s="111" t="str">
        <f t="shared" si="296"/>
        <v/>
      </c>
      <c r="AI734" s="112" t="str">
        <f t="shared" si="297"/>
        <v/>
      </c>
      <c r="AJ734" t="str">
        <f t="shared" si="298"/>
        <v/>
      </c>
      <c r="AK734" t="str">
        <f t="shared" si="299"/>
        <v/>
      </c>
    </row>
    <row r="735" spans="1:37" ht="15" customHeight="1" x14ac:dyDescent="0.25">
      <c r="A735" s="114"/>
      <c r="B735" s="116"/>
      <c r="C735" s="116"/>
      <c r="D735" s="42" t="str">
        <f t="shared" si="275"/>
        <v/>
      </c>
      <c r="E735" s="43"/>
      <c r="F735" s="83"/>
      <c r="G735" s="118"/>
      <c r="H735" s="34" t="str">
        <f t="shared" si="276"/>
        <v/>
      </c>
      <c r="I735" s="88" t="str">
        <f t="shared" si="277"/>
        <v/>
      </c>
      <c r="J735" s="44" t="str">
        <f t="shared" si="278"/>
        <v/>
      </c>
      <c r="K735" s="118"/>
      <c r="L735" s="34" t="str">
        <f t="shared" si="279"/>
        <v/>
      </c>
      <c r="M735" s="118"/>
      <c r="N735" s="121"/>
      <c r="O735" s="122" t="str">
        <f t="shared" si="288"/>
        <v/>
      </c>
      <c r="P735" s="35" t="str">
        <f t="shared" si="289"/>
        <v/>
      </c>
      <c r="Q735" s="124"/>
      <c r="R735" s="36" t="str">
        <f t="shared" si="290"/>
        <v/>
      </c>
      <c r="S735" s="37" t="str">
        <f t="shared" si="280"/>
        <v/>
      </c>
      <c r="T735" s="38" t="str">
        <f t="shared" si="281"/>
        <v/>
      </c>
      <c r="U735" s="39" t="str">
        <f t="shared" si="282"/>
        <v/>
      </c>
      <c r="V735" s="40" t="str">
        <f t="shared" si="283"/>
        <v/>
      </c>
      <c r="W735" s="39" t="str">
        <f t="shared" si="284"/>
        <v/>
      </c>
      <c r="X735" s="34" t="str">
        <f t="shared" si="285"/>
        <v/>
      </c>
      <c r="Y735" s="41" t="str">
        <f t="shared" si="291"/>
        <v/>
      </c>
      <c r="Z735" s="98" t="str">
        <f t="shared" si="286"/>
        <v/>
      </c>
      <c r="AA735" s="81" t="str">
        <f t="shared" si="292"/>
        <v/>
      </c>
      <c r="AC735" s="139"/>
      <c r="AD735" s="110" t="str">
        <f t="shared" si="293"/>
        <v/>
      </c>
      <c r="AE735" s="111" t="str">
        <f t="shared" si="294"/>
        <v/>
      </c>
      <c r="AF735" s="111" t="str">
        <f t="shared" si="287"/>
        <v/>
      </c>
      <c r="AG735" s="111" t="str">
        <f t="shared" si="295"/>
        <v/>
      </c>
      <c r="AH735" s="111" t="str">
        <f t="shared" si="296"/>
        <v/>
      </c>
      <c r="AI735" s="112" t="str">
        <f t="shared" si="297"/>
        <v/>
      </c>
      <c r="AJ735" t="str">
        <f t="shared" si="298"/>
        <v/>
      </c>
      <c r="AK735" t="str">
        <f t="shared" si="299"/>
        <v/>
      </c>
    </row>
    <row r="736" spans="1:37" ht="15" customHeight="1" x14ac:dyDescent="0.25">
      <c r="A736" s="114"/>
      <c r="B736" s="116"/>
      <c r="C736" s="116"/>
      <c r="D736" s="42" t="str">
        <f t="shared" si="275"/>
        <v/>
      </c>
      <c r="E736" s="43"/>
      <c r="F736" s="83"/>
      <c r="G736" s="118"/>
      <c r="H736" s="34" t="str">
        <f t="shared" si="276"/>
        <v/>
      </c>
      <c r="I736" s="88" t="str">
        <f t="shared" si="277"/>
        <v/>
      </c>
      <c r="J736" s="44" t="str">
        <f t="shared" si="278"/>
        <v/>
      </c>
      <c r="K736" s="118"/>
      <c r="L736" s="34" t="str">
        <f t="shared" si="279"/>
        <v/>
      </c>
      <c r="M736" s="118"/>
      <c r="N736" s="121"/>
      <c r="O736" s="122" t="str">
        <f t="shared" si="288"/>
        <v/>
      </c>
      <c r="P736" s="35" t="str">
        <f t="shared" si="289"/>
        <v/>
      </c>
      <c r="Q736" s="124"/>
      <c r="R736" s="36" t="str">
        <f t="shared" si="290"/>
        <v/>
      </c>
      <c r="S736" s="37" t="str">
        <f t="shared" si="280"/>
        <v/>
      </c>
      <c r="T736" s="38" t="str">
        <f t="shared" si="281"/>
        <v/>
      </c>
      <c r="U736" s="39" t="str">
        <f t="shared" si="282"/>
        <v/>
      </c>
      <c r="V736" s="40" t="str">
        <f t="shared" si="283"/>
        <v/>
      </c>
      <c r="W736" s="39" t="str">
        <f t="shared" si="284"/>
        <v/>
      </c>
      <c r="X736" s="34" t="str">
        <f t="shared" si="285"/>
        <v/>
      </c>
      <c r="Y736" s="41" t="str">
        <f t="shared" si="291"/>
        <v/>
      </c>
      <c r="Z736" s="98" t="str">
        <f t="shared" si="286"/>
        <v/>
      </c>
      <c r="AA736" s="81" t="str">
        <f t="shared" si="292"/>
        <v/>
      </c>
      <c r="AC736" s="139"/>
      <c r="AD736" s="110" t="str">
        <f t="shared" si="293"/>
        <v/>
      </c>
      <c r="AE736" s="111" t="str">
        <f t="shared" si="294"/>
        <v/>
      </c>
      <c r="AF736" s="111" t="str">
        <f t="shared" si="287"/>
        <v/>
      </c>
      <c r="AG736" s="111" t="str">
        <f t="shared" si="295"/>
        <v/>
      </c>
      <c r="AH736" s="111" t="str">
        <f t="shared" si="296"/>
        <v/>
      </c>
      <c r="AI736" s="112" t="str">
        <f t="shared" si="297"/>
        <v/>
      </c>
      <c r="AJ736" t="str">
        <f t="shared" si="298"/>
        <v/>
      </c>
      <c r="AK736" t="str">
        <f t="shared" si="299"/>
        <v/>
      </c>
    </row>
    <row r="737" spans="1:37" ht="15" customHeight="1" x14ac:dyDescent="0.25">
      <c r="A737" s="114"/>
      <c r="B737" s="116"/>
      <c r="C737" s="116"/>
      <c r="D737" s="42" t="str">
        <f t="shared" si="275"/>
        <v/>
      </c>
      <c r="E737" s="43"/>
      <c r="F737" s="83"/>
      <c r="G737" s="118"/>
      <c r="H737" s="34" t="str">
        <f t="shared" si="276"/>
        <v/>
      </c>
      <c r="I737" s="88" t="str">
        <f t="shared" si="277"/>
        <v/>
      </c>
      <c r="J737" s="44" t="str">
        <f t="shared" si="278"/>
        <v/>
      </c>
      <c r="K737" s="118"/>
      <c r="L737" s="34" t="str">
        <f t="shared" si="279"/>
        <v/>
      </c>
      <c r="M737" s="118"/>
      <c r="N737" s="121"/>
      <c r="O737" s="122" t="str">
        <f t="shared" si="288"/>
        <v/>
      </c>
      <c r="P737" s="35" t="str">
        <f t="shared" si="289"/>
        <v/>
      </c>
      <c r="Q737" s="124"/>
      <c r="R737" s="36" t="str">
        <f t="shared" si="290"/>
        <v/>
      </c>
      <c r="S737" s="37" t="str">
        <f t="shared" si="280"/>
        <v/>
      </c>
      <c r="T737" s="38" t="str">
        <f t="shared" si="281"/>
        <v/>
      </c>
      <c r="U737" s="39" t="str">
        <f t="shared" si="282"/>
        <v/>
      </c>
      <c r="V737" s="40" t="str">
        <f t="shared" si="283"/>
        <v/>
      </c>
      <c r="W737" s="39" t="str">
        <f t="shared" si="284"/>
        <v/>
      </c>
      <c r="X737" s="34" t="str">
        <f t="shared" si="285"/>
        <v/>
      </c>
      <c r="Y737" s="41" t="str">
        <f t="shared" si="291"/>
        <v/>
      </c>
      <c r="Z737" s="98" t="str">
        <f t="shared" si="286"/>
        <v/>
      </c>
      <c r="AA737" s="81" t="str">
        <f t="shared" si="292"/>
        <v/>
      </c>
      <c r="AC737" s="139"/>
      <c r="AD737" s="110" t="str">
        <f t="shared" si="293"/>
        <v/>
      </c>
      <c r="AE737" s="111" t="str">
        <f t="shared" si="294"/>
        <v/>
      </c>
      <c r="AF737" s="111" t="str">
        <f t="shared" si="287"/>
        <v/>
      </c>
      <c r="AG737" s="111" t="str">
        <f t="shared" si="295"/>
        <v/>
      </c>
      <c r="AH737" s="111" t="str">
        <f t="shared" si="296"/>
        <v/>
      </c>
      <c r="AI737" s="112" t="str">
        <f t="shared" si="297"/>
        <v/>
      </c>
      <c r="AJ737" t="str">
        <f t="shared" si="298"/>
        <v/>
      </c>
      <c r="AK737" t="str">
        <f t="shared" si="299"/>
        <v/>
      </c>
    </row>
    <row r="738" spans="1:37" ht="15" customHeight="1" x14ac:dyDescent="0.25">
      <c r="A738" s="114"/>
      <c r="B738" s="116"/>
      <c r="C738" s="116"/>
      <c r="D738" s="42" t="str">
        <f t="shared" si="275"/>
        <v/>
      </c>
      <c r="E738" s="43"/>
      <c r="F738" s="83"/>
      <c r="G738" s="118"/>
      <c r="H738" s="34" t="str">
        <f t="shared" si="276"/>
        <v/>
      </c>
      <c r="I738" s="88" t="str">
        <f t="shared" si="277"/>
        <v/>
      </c>
      <c r="J738" s="44" t="str">
        <f t="shared" si="278"/>
        <v/>
      </c>
      <c r="K738" s="118"/>
      <c r="L738" s="34" t="str">
        <f t="shared" si="279"/>
        <v/>
      </c>
      <c r="M738" s="118"/>
      <c r="N738" s="121"/>
      <c r="O738" s="122" t="str">
        <f t="shared" si="288"/>
        <v/>
      </c>
      <c r="P738" s="35" t="str">
        <f t="shared" si="289"/>
        <v/>
      </c>
      <c r="Q738" s="124"/>
      <c r="R738" s="36" t="str">
        <f t="shared" si="290"/>
        <v/>
      </c>
      <c r="S738" s="37" t="str">
        <f t="shared" si="280"/>
        <v/>
      </c>
      <c r="T738" s="38" t="str">
        <f t="shared" si="281"/>
        <v/>
      </c>
      <c r="U738" s="39" t="str">
        <f t="shared" si="282"/>
        <v/>
      </c>
      <c r="V738" s="40" t="str">
        <f t="shared" si="283"/>
        <v/>
      </c>
      <c r="W738" s="39" t="str">
        <f t="shared" si="284"/>
        <v/>
      </c>
      <c r="X738" s="34" t="str">
        <f t="shared" si="285"/>
        <v/>
      </c>
      <c r="Y738" s="41" t="str">
        <f t="shared" si="291"/>
        <v/>
      </c>
      <c r="Z738" s="98" t="str">
        <f t="shared" si="286"/>
        <v/>
      </c>
      <c r="AA738" s="81" t="str">
        <f t="shared" si="292"/>
        <v/>
      </c>
      <c r="AC738" s="139"/>
      <c r="AD738" s="110" t="str">
        <f t="shared" si="293"/>
        <v/>
      </c>
      <c r="AE738" s="111" t="str">
        <f t="shared" si="294"/>
        <v/>
      </c>
      <c r="AF738" s="111" t="str">
        <f t="shared" si="287"/>
        <v/>
      </c>
      <c r="AG738" s="111" t="str">
        <f t="shared" si="295"/>
        <v/>
      </c>
      <c r="AH738" s="111" t="str">
        <f t="shared" si="296"/>
        <v/>
      </c>
      <c r="AI738" s="112" t="str">
        <f t="shared" si="297"/>
        <v/>
      </c>
      <c r="AJ738" t="str">
        <f t="shared" si="298"/>
        <v/>
      </c>
      <c r="AK738" t="str">
        <f t="shared" si="299"/>
        <v/>
      </c>
    </row>
    <row r="739" spans="1:37" ht="15" customHeight="1" x14ac:dyDescent="0.25">
      <c r="A739" s="114"/>
      <c r="B739" s="116"/>
      <c r="C739" s="116"/>
      <c r="D739" s="42" t="str">
        <f t="shared" si="275"/>
        <v/>
      </c>
      <c r="E739" s="43"/>
      <c r="F739" s="83"/>
      <c r="G739" s="118"/>
      <c r="H739" s="34" t="str">
        <f t="shared" si="276"/>
        <v/>
      </c>
      <c r="I739" s="88" t="str">
        <f t="shared" si="277"/>
        <v/>
      </c>
      <c r="J739" s="44" t="str">
        <f t="shared" si="278"/>
        <v/>
      </c>
      <c r="K739" s="118"/>
      <c r="L739" s="34" t="str">
        <f t="shared" si="279"/>
        <v/>
      </c>
      <c r="M739" s="118"/>
      <c r="N739" s="121"/>
      <c r="O739" s="122" t="str">
        <f t="shared" si="288"/>
        <v/>
      </c>
      <c r="P739" s="35" t="str">
        <f t="shared" si="289"/>
        <v/>
      </c>
      <c r="Q739" s="124"/>
      <c r="R739" s="36" t="str">
        <f t="shared" si="290"/>
        <v/>
      </c>
      <c r="S739" s="37" t="str">
        <f t="shared" si="280"/>
        <v/>
      </c>
      <c r="T739" s="38" t="str">
        <f t="shared" si="281"/>
        <v/>
      </c>
      <c r="U739" s="39" t="str">
        <f t="shared" si="282"/>
        <v/>
      </c>
      <c r="V739" s="40" t="str">
        <f t="shared" si="283"/>
        <v/>
      </c>
      <c r="W739" s="39" t="str">
        <f t="shared" si="284"/>
        <v/>
      </c>
      <c r="X739" s="34" t="str">
        <f t="shared" si="285"/>
        <v/>
      </c>
      <c r="Y739" s="41" t="str">
        <f t="shared" si="291"/>
        <v/>
      </c>
      <c r="Z739" s="98" t="str">
        <f t="shared" si="286"/>
        <v/>
      </c>
      <c r="AA739" s="81" t="str">
        <f t="shared" si="292"/>
        <v/>
      </c>
      <c r="AC739" s="139"/>
      <c r="AD739" s="110" t="str">
        <f t="shared" si="293"/>
        <v/>
      </c>
      <c r="AE739" s="111" t="str">
        <f t="shared" si="294"/>
        <v/>
      </c>
      <c r="AF739" s="111" t="str">
        <f t="shared" si="287"/>
        <v/>
      </c>
      <c r="AG739" s="111" t="str">
        <f t="shared" si="295"/>
        <v/>
      </c>
      <c r="AH739" s="111" t="str">
        <f t="shared" si="296"/>
        <v/>
      </c>
      <c r="AI739" s="112" t="str">
        <f t="shared" si="297"/>
        <v/>
      </c>
      <c r="AJ739" t="str">
        <f t="shared" si="298"/>
        <v/>
      </c>
      <c r="AK739" t="str">
        <f t="shared" si="299"/>
        <v/>
      </c>
    </row>
    <row r="740" spans="1:37" ht="15" customHeight="1" x14ac:dyDescent="0.25">
      <c r="A740" s="114"/>
      <c r="B740" s="116"/>
      <c r="C740" s="116"/>
      <c r="D740" s="42" t="str">
        <f t="shared" si="275"/>
        <v/>
      </c>
      <c r="E740" s="43"/>
      <c r="F740" s="83"/>
      <c r="G740" s="118"/>
      <c r="H740" s="34" t="str">
        <f t="shared" si="276"/>
        <v/>
      </c>
      <c r="I740" s="88" t="str">
        <f t="shared" si="277"/>
        <v/>
      </c>
      <c r="J740" s="44" t="str">
        <f t="shared" si="278"/>
        <v/>
      </c>
      <c r="K740" s="118"/>
      <c r="L740" s="34" t="str">
        <f t="shared" si="279"/>
        <v/>
      </c>
      <c r="M740" s="118"/>
      <c r="N740" s="121"/>
      <c r="O740" s="122" t="str">
        <f t="shared" si="288"/>
        <v/>
      </c>
      <c r="P740" s="35" t="str">
        <f t="shared" si="289"/>
        <v/>
      </c>
      <c r="Q740" s="124"/>
      <c r="R740" s="36" t="str">
        <f t="shared" si="290"/>
        <v/>
      </c>
      <c r="S740" s="37" t="str">
        <f t="shared" si="280"/>
        <v/>
      </c>
      <c r="T740" s="38" t="str">
        <f t="shared" si="281"/>
        <v/>
      </c>
      <c r="U740" s="39" t="str">
        <f t="shared" si="282"/>
        <v/>
      </c>
      <c r="V740" s="40" t="str">
        <f t="shared" si="283"/>
        <v/>
      </c>
      <c r="W740" s="39" t="str">
        <f t="shared" si="284"/>
        <v/>
      </c>
      <c r="X740" s="34" t="str">
        <f t="shared" si="285"/>
        <v/>
      </c>
      <c r="Y740" s="41" t="str">
        <f t="shared" si="291"/>
        <v/>
      </c>
      <c r="Z740" s="98" t="str">
        <f t="shared" si="286"/>
        <v/>
      </c>
      <c r="AA740" s="81" t="str">
        <f t="shared" si="292"/>
        <v/>
      </c>
      <c r="AC740" s="139"/>
      <c r="AD740" s="110" t="str">
        <f t="shared" si="293"/>
        <v/>
      </c>
      <c r="AE740" s="111" t="str">
        <f t="shared" si="294"/>
        <v/>
      </c>
      <c r="AF740" s="111" t="str">
        <f t="shared" si="287"/>
        <v/>
      </c>
      <c r="AG740" s="111" t="str">
        <f t="shared" si="295"/>
        <v/>
      </c>
      <c r="AH740" s="111" t="str">
        <f t="shared" si="296"/>
        <v/>
      </c>
      <c r="AI740" s="112" t="str">
        <f t="shared" si="297"/>
        <v/>
      </c>
      <c r="AJ740" t="str">
        <f t="shared" si="298"/>
        <v/>
      </c>
      <c r="AK740" t="str">
        <f t="shared" si="299"/>
        <v/>
      </c>
    </row>
    <row r="741" spans="1:37" ht="15" customHeight="1" x14ac:dyDescent="0.25">
      <c r="A741" s="114"/>
      <c r="B741" s="116"/>
      <c r="C741" s="116"/>
      <c r="D741" s="42" t="str">
        <f t="shared" si="275"/>
        <v/>
      </c>
      <c r="E741" s="43"/>
      <c r="F741" s="83"/>
      <c r="G741" s="118"/>
      <c r="H741" s="34" t="str">
        <f t="shared" si="276"/>
        <v/>
      </c>
      <c r="I741" s="88" t="str">
        <f t="shared" si="277"/>
        <v/>
      </c>
      <c r="J741" s="44" t="str">
        <f t="shared" si="278"/>
        <v/>
      </c>
      <c r="K741" s="118"/>
      <c r="L741" s="34" t="str">
        <f t="shared" si="279"/>
        <v/>
      </c>
      <c r="M741" s="118"/>
      <c r="N741" s="121"/>
      <c r="O741" s="122" t="str">
        <f t="shared" si="288"/>
        <v/>
      </c>
      <c r="P741" s="35" t="str">
        <f t="shared" si="289"/>
        <v/>
      </c>
      <c r="Q741" s="124"/>
      <c r="R741" s="36" t="str">
        <f t="shared" si="290"/>
        <v/>
      </c>
      <c r="S741" s="37" t="str">
        <f t="shared" si="280"/>
        <v/>
      </c>
      <c r="T741" s="38" t="str">
        <f t="shared" si="281"/>
        <v/>
      </c>
      <c r="U741" s="39" t="str">
        <f t="shared" si="282"/>
        <v/>
      </c>
      <c r="V741" s="40" t="str">
        <f t="shared" si="283"/>
        <v/>
      </c>
      <c r="W741" s="39" t="str">
        <f t="shared" si="284"/>
        <v/>
      </c>
      <c r="X741" s="34" t="str">
        <f t="shared" si="285"/>
        <v/>
      </c>
      <c r="Y741" s="41" t="str">
        <f t="shared" si="291"/>
        <v/>
      </c>
      <c r="Z741" s="98" t="str">
        <f t="shared" si="286"/>
        <v/>
      </c>
      <c r="AA741" s="81" t="str">
        <f t="shared" si="292"/>
        <v/>
      </c>
      <c r="AC741" s="139"/>
      <c r="AD741" s="110" t="str">
        <f t="shared" si="293"/>
        <v/>
      </c>
      <c r="AE741" s="111" t="str">
        <f t="shared" si="294"/>
        <v/>
      </c>
      <c r="AF741" s="111" t="str">
        <f t="shared" si="287"/>
        <v/>
      </c>
      <c r="AG741" s="111" t="str">
        <f t="shared" si="295"/>
        <v/>
      </c>
      <c r="AH741" s="111" t="str">
        <f t="shared" si="296"/>
        <v/>
      </c>
      <c r="AI741" s="112" t="str">
        <f t="shared" si="297"/>
        <v/>
      </c>
      <c r="AJ741" t="str">
        <f t="shared" si="298"/>
        <v/>
      </c>
      <c r="AK741" t="str">
        <f t="shared" si="299"/>
        <v/>
      </c>
    </row>
    <row r="742" spans="1:37" ht="15" customHeight="1" x14ac:dyDescent="0.25">
      <c r="A742" s="114"/>
      <c r="B742" s="116"/>
      <c r="C742" s="116"/>
      <c r="D742" s="42" t="str">
        <f t="shared" si="275"/>
        <v/>
      </c>
      <c r="E742" s="43"/>
      <c r="F742" s="83"/>
      <c r="G742" s="118"/>
      <c r="H742" s="34" t="str">
        <f t="shared" si="276"/>
        <v/>
      </c>
      <c r="I742" s="88" t="str">
        <f t="shared" si="277"/>
        <v/>
      </c>
      <c r="J742" s="44" t="str">
        <f t="shared" si="278"/>
        <v/>
      </c>
      <c r="K742" s="118"/>
      <c r="L742" s="34" t="str">
        <f t="shared" si="279"/>
        <v/>
      </c>
      <c r="M742" s="118"/>
      <c r="N742" s="121"/>
      <c r="O742" s="122" t="str">
        <f t="shared" si="288"/>
        <v/>
      </c>
      <c r="P742" s="35" t="str">
        <f t="shared" si="289"/>
        <v/>
      </c>
      <c r="Q742" s="124"/>
      <c r="R742" s="36" t="str">
        <f t="shared" si="290"/>
        <v/>
      </c>
      <c r="S742" s="37" t="str">
        <f t="shared" si="280"/>
        <v/>
      </c>
      <c r="T742" s="38" t="str">
        <f t="shared" si="281"/>
        <v/>
      </c>
      <c r="U742" s="39" t="str">
        <f t="shared" si="282"/>
        <v/>
      </c>
      <c r="V742" s="40" t="str">
        <f t="shared" si="283"/>
        <v/>
      </c>
      <c r="W742" s="39" t="str">
        <f t="shared" si="284"/>
        <v/>
      </c>
      <c r="X742" s="34" t="str">
        <f t="shared" si="285"/>
        <v/>
      </c>
      <c r="Y742" s="41" t="str">
        <f t="shared" si="291"/>
        <v/>
      </c>
      <c r="Z742" s="98" t="str">
        <f t="shared" si="286"/>
        <v/>
      </c>
      <c r="AA742" s="81" t="str">
        <f t="shared" si="292"/>
        <v/>
      </c>
      <c r="AC742" s="139"/>
      <c r="AD742" s="110" t="str">
        <f t="shared" si="293"/>
        <v/>
      </c>
      <c r="AE742" s="111" t="str">
        <f t="shared" si="294"/>
        <v/>
      </c>
      <c r="AF742" s="111" t="str">
        <f t="shared" si="287"/>
        <v/>
      </c>
      <c r="AG742" s="111" t="str">
        <f t="shared" si="295"/>
        <v/>
      </c>
      <c r="AH742" s="111" t="str">
        <f t="shared" si="296"/>
        <v/>
      </c>
      <c r="AI742" s="112" t="str">
        <f t="shared" si="297"/>
        <v/>
      </c>
      <c r="AJ742" t="str">
        <f t="shared" si="298"/>
        <v/>
      </c>
      <c r="AK742" t="str">
        <f t="shared" si="299"/>
        <v/>
      </c>
    </row>
    <row r="743" spans="1:37" ht="15" customHeight="1" x14ac:dyDescent="0.25">
      <c r="A743" s="114"/>
      <c r="B743" s="116"/>
      <c r="C743" s="116"/>
      <c r="D743" s="42" t="str">
        <f t="shared" si="275"/>
        <v/>
      </c>
      <c r="E743" s="43"/>
      <c r="F743" s="83"/>
      <c r="G743" s="118"/>
      <c r="H743" s="34" t="str">
        <f t="shared" si="276"/>
        <v/>
      </c>
      <c r="I743" s="88" t="str">
        <f t="shared" si="277"/>
        <v/>
      </c>
      <c r="J743" s="44" t="str">
        <f t="shared" si="278"/>
        <v/>
      </c>
      <c r="K743" s="118"/>
      <c r="L743" s="34" t="str">
        <f t="shared" si="279"/>
        <v/>
      </c>
      <c r="M743" s="118"/>
      <c r="N743" s="121"/>
      <c r="O743" s="122" t="str">
        <f t="shared" si="288"/>
        <v/>
      </c>
      <c r="P743" s="35" t="str">
        <f t="shared" si="289"/>
        <v/>
      </c>
      <c r="Q743" s="124"/>
      <c r="R743" s="36" t="str">
        <f t="shared" si="290"/>
        <v/>
      </c>
      <c r="S743" s="37" t="str">
        <f t="shared" si="280"/>
        <v/>
      </c>
      <c r="T743" s="38" t="str">
        <f t="shared" si="281"/>
        <v/>
      </c>
      <c r="U743" s="39" t="str">
        <f t="shared" si="282"/>
        <v/>
      </c>
      <c r="V743" s="40" t="str">
        <f t="shared" si="283"/>
        <v/>
      </c>
      <c r="W743" s="39" t="str">
        <f t="shared" si="284"/>
        <v/>
      </c>
      <c r="X743" s="34" t="str">
        <f t="shared" si="285"/>
        <v/>
      </c>
      <c r="Y743" s="41" t="str">
        <f t="shared" si="291"/>
        <v/>
      </c>
      <c r="Z743" s="98" t="str">
        <f t="shared" si="286"/>
        <v/>
      </c>
      <c r="AA743" s="81" t="str">
        <f t="shared" si="292"/>
        <v/>
      </c>
      <c r="AC743" s="139"/>
      <c r="AD743" s="110" t="str">
        <f t="shared" si="293"/>
        <v/>
      </c>
      <c r="AE743" s="111" t="str">
        <f t="shared" si="294"/>
        <v/>
      </c>
      <c r="AF743" s="111" t="str">
        <f t="shared" si="287"/>
        <v/>
      </c>
      <c r="AG743" s="111" t="str">
        <f t="shared" si="295"/>
        <v/>
      </c>
      <c r="AH743" s="111" t="str">
        <f t="shared" si="296"/>
        <v/>
      </c>
      <c r="AI743" s="112" t="str">
        <f t="shared" si="297"/>
        <v/>
      </c>
      <c r="AJ743" t="str">
        <f t="shared" si="298"/>
        <v/>
      </c>
      <c r="AK743" t="str">
        <f t="shared" si="299"/>
        <v/>
      </c>
    </row>
    <row r="744" spans="1:37" ht="15" customHeight="1" x14ac:dyDescent="0.25">
      <c r="A744" s="114"/>
      <c r="B744" s="116"/>
      <c r="C744" s="116"/>
      <c r="D744" s="42" t="str">
        <f t="shared" si="275"/>
        <v/>
      </c>
      <c r="E744" s="43"/>
      <c r="F744" s="83"/>
      <c r="G744" s="118"/>
      <c r="H744" s="34" t="str">
        <f t="shared" si="276"/>
        <v/>
      </c>
      <c r="I744" s="88" t="str">
        <f t="shared" si="277"/>
        <v/>
      </c>
      <c r="J744" s="44" t="str">
        <f t="shared" si="278"/>
        <v/>
      </c>
      <c r="K744" s="118"/>
      <c r="L744" s="34" t="str">
        <f t="shared" si="279"/>
        <v/>
      </c>
      <c r="M744" s="118"/>
      <c r="N744" s="121"/>
      <c r="O744" s="122" t="str">
        <f t="shared" si="288"/>
        <v/>
      </c>
      <c r="P744" s="35" t="str">
        <f t="shared" si="289"/>
        <v/>
      </c>
      <c r="Q744" s="124"/>
      <c r="R744" s="36" t="str">
        <f t="shared" si="290"/>
        <v/>
      </c>
      <c r="S744" s="37" t="str">
        <f t="shared" si="280"/>
        <v/>
      </c>
      <c r="T744" s="38" t="str">
        <f t="shared" si="281"/>
        <v/>
      </c>
      <c r="U744" s="39" t="str">
        <f t="shared" si="282"/>
        <v/>
      </c>
      <c r="V744" s="40" t="str">
        <f t="shared" si="283"/>
        <v/>
      </c>
      <c r="W744" s="39" t="str">
        <f t="shared" si="284"/>
        <v/>
      </c>
      <c r="X744" s="34" t="str">
        <f t="shared" si="285"/>
        <v/>
      </c>
      <c r="Y744" s="41" t="str">
        <f t="shared" si="291"/>
        <v/>
      </c>
      <c r="Z744" s="98" t="str">
        <f t="shared" si="286"/>
        <v/>
      </c>
      <c r="AA744" s="81" t="str">
        <f t="shared" si="292"/>
        <v/>
      </c>
      <c r="AC744" s="139"/>
      <c r="AD744" s="110" t="str">
        <f t="shared" si="293"/>
        <v/>
      </c>
      <c r="AE744" s="111" t="str">
        <f t="shared" si="294"/>
        <v/>
      </c>
      <c r="AF744" s="111" t="str">
        <f t="shared" si="287"/>
        <v/>
      </c>
      <c r="AG744" s="111" t="str">
        <f t="shared" si="295"/>
        <v/>
      </c>
      <c r="AH744" s="111" t="str">
        <f t="shared" si="296"/>
        <v/>
      </c>
      <c r="AI744" s="112" t="str">
        <f t="shared" si="297"/>
        <v/>
      </c>
      <c r="AJ744" t="str">
        <f t="shared" si="298"/>
        <v/>
      </c>
      <c r="AK744" t="str">
        <f t="shared" si="299"/>
        <v/>
      </c>
    </row>
    <row r="745" spans="1:37" ht="15" customHeight="1" x14ac:dyDescent="0.25">
      <c r="A745" s="114"/>
      <c r="B745" s="116"/>
      <c r="C745" s="116"/>
      <c r="D745" s="42" t="str">
        <f t="shared" si="275"/>
        <v/>
      </c>
      <c r="E745" s="43"/>
      <c r="F745" s="83"/>
      <c r="G745" s="118"/>
      <c r="H745" s="34" t="str">
        <f t="shared" si="276"/>
        <v/>
      </c>
      <c r="I745" s="88" t="str">
        <f t="shared" si="277"/>
        <v/>
      </c>
      <c r="J745" s="44" t="str">
        <f t="shared" si="278"/>
        <v/>
      </c>
      <c r="K745" s="118"/>
      <c r="L745" s="34" t="str">
        <f t="shared" si="279"/>
        <v/>
      </c>
      <c r="M745" s="118"/>
      <c r="N745" s="121"/>
      <c r="O745" s="122" t="str">
        <f t="shared" si="288"/>
        <v/>
      </c>
      <c r="P745" s="35" t="str">
        <f t="shared" si="289"/>
        <v/>
      </c>
      <c r="Q745" s="124"/>
      <c r="R745" s="36" t="str">
        <f t="shared" si="290"/>
        <v/>
      </c>
      <c r="S745" s="37" t="str">
        <f t="shared" si="280"/>
        <v/>
      </c>
      <c r="T745" s="38" t="str">
        <f t="shared" si="281"/>
        <v/>
      </c>
      <c r="U745" s="39" t="str">
        <f t="shared" si="282"/>
        <v/>
      </c>
      <c r="V745" s="40" t="str">
        <f t="shared" si="283"/>
        <v/>
      </c>
      <c r="W745" s="39" t="str">
        <f t="shared" si="284"/>
        <v/>
      </c>
      <c r="X745" s="34" t="str">
        <f t="shared" si="285"/>
        <v/>
      </c>
      <c r="Y745" s="41" t="str">
        <f t="shared" si="291"/>
        <v/>
      </c>
      <c r="Z745" s="98" t="str">
        <f t="shared" si="286"/>
        <v/>
      </c>
      <c r="AA745" s="81" t="str">
        <f t="shared" si="292"/>
        <v/>
      </c>
      <c r="AC745" s="139"/>
      <c r="AD745" s="110" t="str">
        <f t="shared" si="293"/>
        <v/>
      </c>
      <c r="AE745" s="111" t="str">
        <f t="shared" si="294"/>
        <v/>
      </c>
      <c r="AF745" s="111" t="str">
        <f t="shared" si="287"/>
        <v/>
      </c>
      <c r="AG745" s="111" t="str">
        <f t="shared" si="295"/>
        <v/>
      </c>
      <c r="AH745" s="111" t="str">
        <f t="shared" si="296"/>
        <v/>
      </c>
      <c r="AI745" s="112" t="str">
        <f t="shared" si="297"/>
        <v/>
      </c>
      <c r="AJ745" t="str">
        <f t="shared" si="298"/>
        <v/>
      </c>
      <c r="AK745" t="str">
        <f t="shared" si="299"/>
        <v/>
      </c>
    </row>
    <row r="746" spans="1:37" ht="15" customHeight="1" x14ac:dyDescent="0.25">
      <c r="A746" s="114"/>
      <c r="B746" s="116"/>
      <c r="C746" s="116"/>
      <c r="D746" s="42" t="str">
        <f t="shared" si="275"/>
        <v/>
      </c>
      <c r="E746" s="43"/>
      <c r="F746" s="83"/>
      <c r="G746" s="118"/>
      <c r="H746" s="34" t="str">
        <f t="shared" si="276"/>
        <v/>
      </c>
      <c r="I746" s="88" t="str">
        <f t="shared" si="277"/>
        <v/>
      </c>
      <c r="J746" s="44" t="str">
        <f t="shared" si="278"/>
        <v/>
      </c>
      <c r="K746" s="118"/>
      <c r="L746" s="34" t="str">
        <f t="shared" si="279"/>
        <v/>
      </c>
      <c r="M746" s="118"/>
      <c r="N746" s="121"/>
      <c r="O746" s="122" t="str">
        <f t="shared" si="288"/>
        <v/>
      </c>
      <c r="P746" s="35" t="str">
        <f t="shared" si="289"/>
        <v/>
      </c>
      <c r="Q746" s="124"/>
      <c r="R746" s="36" t="str">
        <f t="shared" si="290"/>
        <v/>
      </c>
      <c r="S746" s="37" t="str">
        <f t="shared" si="280"/>
        <v/>
      </c>
      <c r="T746" s="38" t="str">
        <f t="shared" si="281"/>
        <v/>
      </c>
      <c r="U746" s="39" t="str">
        <f t="shared" si="282"/>
        <v/>
      </c>
      <c r="V746" s="40" t="str">
        <f t="shared" si="283"/>
        <v/>
      </c>
      <c r="W746" s="39" t="str">
        <f t="shared" si="284"/>
        <v/>
      </c>
      <c r="X746" s="34" t="str">
        <f t="shared" si="285"/>
        <v/>
      </c>
      <c r="Y746" s="41" t="str">
        <f t="shared" si="291"/>
        <v/>
      </c>
      <c r="Z746" s="98" t="str">
        <f t="shared" si="286"/>
        <v/>
      </c>
      <c r="AA746" s="81" t="str">
        <f t="shared" si="292"/>
        <v/>
      </c>
      <c r="AC746" s="139"/>
      <c r="AD746" s="110" t="str">
        <f t="shared" si="293"/>
        <v/>
      </c>
      <c r="AE746" s="111" t="str">
        <f t="shared" si="294"/>
        <v/>
      </c>
      <c r="AF746" s="111" t="str">
        <f t="shared" si="287"/>
        <v/>
      </c>
      <c r="AG746" s="111" t="str">
        <f t="shared" si="295"/>
        <v/>
      </c>
      <c r="AH746" s="111" t="str">
        <f t="shared" si="296"/>
        <v/>
      </c>
      <c r="AI746" s="112" t="str">
        <f t="shared" si="297"/>
        <v/>
      </c>
      <c r="AJ746" t="str">
        <f t="shared" si="298"/>
        <v/>
      </c>
      <c r="AK746" t="str">
        <f t="shared" si="299"/>
        <v/>
      </c>
    </row>
    <row r="747" spans="1:37" ht="15" customHeight="1" x14ac:dyDescent="0.25">
      <c r="A747" s="114"/>
      <c r="B747" s="116"/>
      <c r="C747" s="116"/>
      <c r="D747" s="42" t="str">
        <f t="shared" si="275"/>
        <v/>
      </c>
      <c r="E747" s="43"/>
      <c r="F747" s="83"/>
      <c r="G747" s="118"/>
      <c r="H747" s="34" t="str">
        <f t="shared" si="276"/>
        <v/>
      </c>
      <c r="I747" s="88" t="str">
        <f t="shared" si="277"/>
        <v/>
      </c>
      <c r="J747" s="44" t="str">
        <f t="shared" si="278"/>
        <v/>
      </c>
      <c r="K747" s="118"/>
      <c r="L747" s="34" t="str">
        <f t="shared" si="279"/>
        <v/>
      </c>
      <c r="M747" s="118"/>
      <c r="N747" s="121"/>
      <c r="O747" s="122" t="str">
        <f t="shared" si="288"/>
        <v/>
      </c>
      <c r="P747" s="35" t="str">
        <f t="shared" si="289"/>
        <v/>
      </c>
      <c r="Q747" s="124"/>
      <c r="R747" s="36" t="str">
        <f t="shared" si="290"/>
        <v/>
      </c>
      <c r="S747" s="37" t="str">
        <f t="shared" si="280"/>
        <v/>
      </c>
      <c r="T747" s="38" t="str">
        <f t="shared" si="281"/>
        <v/>
      </c>
      <c r="U747" s="39" t="str">
        <f t="shared" si="282"/>
        <v/>
      </c>
      <c r="V747" s="40" t="str">
        <f t="shared" si="283"/>
        <v/>
      </c>
      <c r="W747" s="39" t="str">
        <f t="shared" si="284"/>
        <v/>
      </c>
      <c r="X747" s="34" t="str">
        <f t="shared" si="285"/>
        <v/>
      </c>
      <c r="Y747" s="41" t="str">
        <f t="shared" si="291"/>
        <v/>
      </c>
      <c r="Z747" s="98" t="str">
        <f t="shared" si="286"/>
        <v/>
      </c>
      <c r="AA747" s="81" t="str">
        <f t="shared" si="292"/>
        <v/>
      </c>
      <c r="AC747" s="139"/>
      <c r="AD747" s="110" t="str">
        <f t="shared" si="293"/>
        <v/>
      </c>
      <c r="AE747" s="111" t="str">
        <f t="shared" si="294"/>
        <v/>
      </c>
      <c r="AF747" s="111" t="str">
        <f t="shared" si="287"/>
        <v/>
      </c>
      <c r="AG747" s="111" t="str">
        <f t="shared" si="295"/>
        <v/>
      </c>
      <c r="AH747" s="111" t="str">
        <f t="shared" si="296"/>
        <v/>
      </c>
      <c r="AI747" s="112" t="str">
        <f t="shared" si="297"/>
        <v/>
      </c>
      <c r="AJ747" t="str">
        <f t="shared" si="298"/>
        <v/>
      </c>
      <c r="AK747" t="str">
        <f t="shared" si="299"/>
        <v/>
      </c>
    </row>
    <row r="748" spans="1:37" ht="15" customHeight="1" x14ac:dyDescent="0.25">
      <c r="A748" s="114"/>
      <c r="B748" s="116"/>
      <c r="C748" s="116"/>
      <c r="D748" s="42" t="str">
        <f t="shared" si="275"/>
        <v/>
      </c>
      <c r="E748" s="43"/>
      <c r="F748" s="83"/>
      <c r="G748" s="118"/>
      <c r="H748" s="34" t="str">
        <f t="shared" si="276"/>
        <v/>
      </c>
      <c r="I748" s="88" t="str">
        <f t="shared" si="277"/>
        <v/>
      </c>
      <c r="J748" s="44" t="str">
        <f t="shared" si="278"/>
        <v/>
      </c>
      <c r="K748" s="118"/>
      <c r="L748" s="34" t="str">
        <f t="shared" si="279"/>
        <v/>
      </c>
      <c r="M748" s="118"/>
      <c r="N748" s="121"/>
      <c r="O748" s="122" t="str">
        <f t="shared" si="288"/>
        <v/>
      </c>
      <c r="P748" s="35" t="str">
        <f t="shared" si="289"/>
        <v/>
      </c>
      <c r="Q748" s="124"/>
      <c r="R748" s="36" t="str">
        <f t="shared" si="290"/>
        <v/>
      </c>
      <c r="S748" s="37" t="str">
        <f t="shared" si="280"/>
        <v/>
      </c>
      <c r="T748" s="38" t="str">
        <f t="shared" si="281"/>
        <v/>
      </c>
      <c r="U748" s="39" t="str">
        <f t="shared" si="282"/>
        <v/>
      </c>
      <c r="V748" s="40" t="str">
        <f t="shared" si="283"/>
        <v/>
      </c>
      <c r="W748" s="39" t="str">
        <f t="shared" si="284"/>
        <v/>
      </c>
      <c r="X748" s="34" t="str">
        <f t="shared" si="285"/>
        <v/>
      </c>
      <c r="Y748" s="41" t="str">
        <f t="shared" si="291"/>
        <v/>
      </c>
      <c r="Z748" s="98" t="str">
        <f t="shared" si="286"/>
        <v/>
      </c>
      <c r="AA748" s="81" t="str">
        <f t="shared" si="292"/>
        <v/>
      </c>
      <c r="AC748" s="139"/>
      <c r="AD748" s="110" t="str">
        <f t="shared" si="293"/>
        <v/>
      </c>
      <c r="AE748" s="111" t="str">
        <f t="shared" si="294"/>
        <v/>
      </c>
      <c r="AF748" s="111" t="str">
        <f t="shared" si="287"/>
        <v/>
      </c>
      <c r="AG748" s="111" t="str">
        <f t="shared" si="295"/>
        <v/>
      </c>
      <c r="AH748" s="111" t="str">
        <f t="shared" si="296"/>
        <v/>
      </c>
      <c r="AI748" s="112" t="str">
        <f t="shared" si="297"/>
        <v/>
      </c>
      <c r="AJ748" t="str">
        <f t="shared" si="298"/>
        <v/>
      </c>
      <c r="AK748" t="str">
        <f t="shared" si="299"/>
        <v/>
      </c>
    </row>
    <row r="749" spans="1:37" ht="15" customHeight="1" x14ac:dyDescent="0.25">
      <c r="A749" s="114"/>
      <c r="B749" s="116"/>
      <c r="C749" s="116"/>
      <c r="D749" s="42" t="str">
        <f t="shared" si="275"/>
        <v/>
      </c>
      <c r="E749" s="43"/>
      <c r="F749" s="83"/>
      <c r="G749" s="118"/>
      <c r="H749" s="34" t="str">
        <f t="shared" si="276"/>
        <v/>
      </c>
      <c r="I749" s="88" t="str">
        <f t="shared" si="277"/>
        <v/>
      </c>
      <c r="J749" s="44" t="str">
        <f t="shared" si="278"/>
        <v/>
      </c>
      <c r="K749" s="118"/>
      <c r="L749" s="34" t="str">
        <f t="shared" si="279"/>
        <v/>
      </c>
      <c r="M749" s="118"/>
      <c r="N749" s="121"/>
      <c r="O749" s="122" t="str">
        <f t="shared" si="288"/>
        <v/>
      </c>
      <c r="P749" s="35" t="str">
        <f t="shared" si="289"/>
        <v/>
      </c>
      <c r="Q749" s="124"/>
      <c r="R749" s="36" t="str">
        <f t="shared" si="290"/>
        <v/>
      </c>
      <c r="S749" s="37" t="str">
        <f t="shared" si="280"/>
        <v/>
      </c>
      <c r="T749" s="38" t="str">
        <f t="shared" si="281"/>
        <v/>
      </c>
      <c r="U749" s="39" t="str">
        <f t="shared" si="282"/>
        <v/>
      </c>
      <c r="V749" s="40" t="str">
        <f t="shared" si="283"/>
        <v/>
      </c>
      <c r="W749" s="39" t="str">
        <f t="shared" si="284"/>
        <v/>
      </c>
      <c r="X749" s="34" t="str">
        <f t="shared" si="285"/>
        <v/>
      </c>
      <c r="Y749" s="41" t="str">
        <f t="shared" si="291"/>
        <v/>
      </c>
      <c r="Z749" s="98" t="str">
        <f t="shared" si="286"/>
        <v/>
      </c>
      <c r="AA749" s="81" t="str">
        <f t="shared" si="292"/>
        <v/>
      </c>
      <c r="AC749" s="139"/>
      <c r="AD749" s="110" t="str">
        <f t="shared" si="293"/>
        <v/>
      </c>
      <c r="AE749" s="111" t="str">
        <f t="shared" si="294"/>
        <v/>
      </c>
      <c r="AF749" s="111" t="str">
        <f t="shared" si="287"/>
        <v/>
      </c>
      <c r="AG749" s="111" t="str">
        <f t="shared" si="295"/>
        <v/>
      </c>
      <c r="AH749" s="111" t="str">
        <f t="shared" si="296"/>
        <v/>
      </c>
      <c r="AI749" s="112" t="str">
        <f t="shared" si="297"/>
        <v/>
      </c>
      <c r="AJ749" t="str">
        <f t="shared" si="298"/>
        <v/>
      </c>
      <c r="AK749" t="str">
        <f t="shared" si="299"/>
        <v/>
      </c>
    </row>
    <row r="750" spans="1:37" ht="15" customHeight="1" x14ac:dyDescent="0.25">
      <c r="A750" s="114"/>
      <c r="B750" s="116"/>
      <c r="C750" s="116"/>
      <c r="D750" s="42" t="str">
        <f t="shared" si="275"/>
        <v/>
      </c>
      <c r="E750" s="43"/>
      <c r="F750" s="83"/>
      <c r="G750" s="118"/>
      <c r="H750" s="34" t="str">
        <f t="shared" si="276"/>
        <v/>
      </c>
      <c r="I750" s="88" t="str">
        <f t="shared" si="277"/>
        <v/>
      </c>
      <c r="J750" s="44" t="str">
        <f t="shared" si="278"/>
        <v/>
      </c>
      <c r="K750" s="118"/>
      <c r="L750" s="34" t="str">
        <f t="shared" si="279"/>
        <v/>
      </c>
      <c r="M750" s="118"/>
      <c r="N750" s="121"/>
      <c r="O750" s="122" t="str">
        <f t="shared" si="288"/>
        <v/>
      </c>
      <c r="P750" s="35" t="str">
        <f t="shared" si="289"/>
        <v/>
      </c>
      <c r="Q750" s="124"/>
      <c r="R750" s="36" t="str">
        <f t="shared" si="290"/>
        <v/>
      </c>
      <c r="S750" s="37" t="str">
        <f t="shared" si="280"/>
        <v/>
      </c>
      <c r="T750" s="38" t="str">
        <f t="shared" si="281"/>
        <v/>
      </c>
      <c r="U750" s="39" t="str">
        <f t="shared" si="282"/>
        <v/>
      </c>
      <c r="V750" s="40" t="str">
        <f t="shared" si="283"/>
        <v/>
      </c>
      <c r="W750" s="39" t="str">
        <f t="shared" si="284"/>
        <v/>
      </c>
      <c r="X750" s="34" t="str">
        <f t="shared" si="285"/>
        <v/>
      </c>
      <c r="Y750" s="41" t="str">
        <f t="shared" si="291"/>
        <v/>
      </c>
      <c r="Z750" s="98" t="str">
        <f t="shared" si="286"/>
        <v/>
      </c>
      <c r="AA750" s="81" t="str">
        <f t="shared" si="292"/>
        <v/>
      </c>
      <c r="AC750" s="139"/>
      <c r="AD750" s="110" t="str">
        <f t="shared" si="293"/>
        <v/>
      </c>
      <c r="AE750" s="111" t="str">
        <f t="shared" si="294"/>
        <v/>
      </c>
      <c r="AF750" s="111" t="str">
        <f t="shared" si="287"/>
        <v/>
      </c>
      <c r="AG750" s="111" t="str">
        <f t="shared" si="295"/>
        <v/>
      </c>
      <c r="AH750" s="111" t="str">
        <f t="shared" si="296"/>
        <v/>
      </c>
      <c r="AI750" s="112" t="str">
        <f t="shared" si="297"/>
        <v/>
      </c>
      <c r="AJ750" t="str">
        <f t="shared" si="298"/>
        <v/>
      </c>
      <c r="AK750" t="str">
        <f t="shared" si="299"/>
        <v/>
      </c>
    </row>
    <row r="751" spans="1:37" ht="15" customHeight="1" x14ac:dyDescent="0.25">
      <c r="A751" s="114"/>
      <c r="B751" s="116"/>
      <c r="C751" s="116"/>
      <c r="D751" s="42" t="str">
        <f t="shared" si="275"/>
        <v/>
      </c>
      <c r="E751" s="43"/>
      <c r="F751" s="83"/>
      <c r="G751" s="118"/>
      <c r="H751" s="34" t="str">
        <f t="shared" si="276"/>
        <v/>
      </c>
      <c r="I751" s="88" t="str">
        <f t="shared" si="277"/>
        <v/>
      </c>
      <c r="J751" s="44" t="str">
        <f t="shared" si="278"/>
        <v/>
      </c>
      <c r="K751" s="118"/>
      <c r="L751" s="34" t="str">
        <f t="shared" si="279"/>
        <v/>
      </c>
      <c r="M751" s="118"/>
      <c r="N751" s="121"/>
      <c r="O751" s="122" t="str">
        <f t="shared" si="288"/>
        <v/>
      </c>
      <c r="P751" s="35" t="str">
        <f t="shared" si="289"/>
        <v/>
      </c>
      <c r="Q751" s="124"/>
      <c r="R751" s="36" t="str">
        <f t="shared" si="290"/>
        <v/>
      </c>
      <c r="S751" s="37" t="str">
        <f t="shared" si="280"/>
        <v/>
      </c>
      <c r="T751" s="38" t="str">
        <f t="shared" si="281"/>
        <v/>
      </c>
      <c r="U751" s="39" t="str">
        <f t="shared" si="282"/>
        <v/>
      </c>
      <c r="V751" s="40" t="str">
        <f t="shared" si="283"/>
        <v/>
      </c>
      <c r="W751" s="39" t="str">
        <f t="shared" si="284"/>
        <v/>
      </c>
      <c r="X751" s="34" t="str">
        <f t="shared" si="285"/>
        <v/>
      </c>
      <c r="Y751" s="41" t="str">
        <f t="shared" si="291"/>
        <v/>
      </c>
      <c r="Z751" s="98" t="str">
        <f t="shared" si="286"/>
        <v/>
      </c>
      <c r="AA751" s="81" t="str">
        <f t="shared" si="292"/>
        <v/>
      </c>
      <c r="AC751" s="139"/>
      <c r="AD751" s="110" t="str">
        <f t="shared" si="293"/>
        <v/>
      </c>
      <c r="AE751" s="111" t="str">
        <f t="shared" si="294"/>
        <v/>
      </c>
      <c r="AF751" s="111" t="str">
        <f t="shared" si="287"/>
        <v/>
      </c>
      <c r="AG751" s="111" t="str">
        <f t="shared" si="295"/>
        <v/>
      </c>
      <c r="AH751" s="111" t="str">
        <f t="shared" si="296"/>
        <v/>
      </c>
      <c r="AI751" s="112" t="str">
        <f t="shared" si="297"/>
        <v/>
      </c>
      <c r="AJ751" t="str">
        <f t="shared" si="298"/>
        <v/>
      </c>
      <c r="AK751" t="str">
        <f t="shared" si="299"/>
        <v/>
      </c>
    </row>
    <row r="752" spans="1:37" ht="15" customHeight="1" x14ac:dyDescent="0.25">
      <c r="A752" s="114"/>
      <c r="B752" s="116"/>
      <c r="C752" s="116"/>
      <c r="D752" s="42" t="str">
        <f t="shared" si="275"/>
        <v/>
      </c>
      <c r="E752" s="43"/>
      <c r="F752" s="83"/>
      <c r="G752" s="118"/>
      <c r="H752" s="34" t="str">
        <f t="shared" si="276"/>
        <v/>
      </c>
      <c r="I752" s="88" t="str">
        <f t="shared" si="277"/>
        <v/>
      </c>
      <c r="J752" s="44" t="str">
        <f t="shared" si="278"/>
        <v/>
      </c>
      <c r="K752" s="118"/>
      <c r="L752" s="34" t="str">
        <f t="shared" si="279"/>
        <v/>
      </c>
      <c r="M752" s="118"/>
      <c r="N752" s="121"/>
      <c r="O752" s="122" t="str">
        <f t="shared" si="288"/>
        <v/>
      </c>
      <c r="P752" s="35" t="str">
        <f t="shared" si="289"/>
        <v/>
      </c>
      <c r="Q752" s="124"/>
      <c r="R752" s="36" t="str">
        <f t="shared" si="290"/>
        <v/>
      </c>
      <c r="S752" s="37" t="str">
        <f t="shared" si="280"/>
        <v/>
      </c>
      <c r="T752" s="38" t="str">
        <f t="shared" si="281"/>
        <v/>
      </c>
      <c r="U752" s="39" t="str">
        <f t="shared" si="282"/>
        <v/>
      </c>
      <c r="V752" s="40" t="str">
        <f t="shared" si="283"/>
        <v/>
      </c>
      <c r="W752" s="39" t="str">
        <f t="shared" si="284"/>
        <v/>
      </c>
      <c r="X752" s="34" t="str">
        <f t="shared" si="285"/>
        <v/>
      </c>
      <c r="Y752" s="41" t="str">
        <f t="shared" si="291"/>
        <v/>
      </c>
      <c r="Z752" s="98" t="str">
        <f t="shared" si="286"/>
        <v/>
      </c>
      <c r="AA752" s="81" t="str">
        <f t="shared" si="292"/>
        <v/>
      </c>
      <c r="AC752" s="139"/>
      <c r="AD752" s="110" t="str">
        <f t="shared" si="293"/>
        <v/>
      </c>
      <c r="AE752" s="111" t="str">
        <f t="shared" si="294"/>
        <v/>
      </c>
      <c r="AF752" s="111" t="str">
        <f t="shared" si="287"/>
        <v/>
      </c>
      <c r="AG752" s="111" t="str">
        <f t="shared" si="295"/>
        <v/>
      </c>
      <c r="AH752" s="111" t="str">
        <f t="shared" si="296"/>
        <v/>
      </c>
      <c r="AI752" s="112" t="str">
        <f t="shared" si="297"/>
        <v/>
      </c>
      <c r="AJ752" t="str">
        <f t="shared" si="298"/>
        <v/>
      </c>
      <c r="AK752" t="str">
        <f t="shared" si="299"/>
        <v/>
      </c>
    </row>
    <row r="753" spans="1:37" ht="15" customHeight="1" x14ac:dyDescent="0.25">
      <c r="A753" s="114"/>
      <c r="B753" s="116"/>
      <c r="C753" s="116"/>
      <c r="D753" s="42" t="str">
        <f t="shared" si="275"/>
        <v/>
      </c>
      <c r="E753" s="43"/>
      <c r="F753" s="83"/>
      <c r="G753" s="118"/>
      <c r="H753" s="34" t="str">
        <f t="shared" si="276"/>
        <v/>
      </c>
      <c r="I753" s="88" t="str">
        <f t="shared" si="277"/>
        <v/>
      </c>
      <c r="J753" s="44" t="str">
        <f t="shared" si="278"/>
        <v/>
      </c>
      <c r="K753" s="118"/>
      <c r="L753" s="34" t="str">
        <f t="shared" si="279"/>
        <v/>
      </c>
      <c r="M753" s="118"/>
      <c r="N753" s="121"/>
      <c r="O753" s="122" t="str">
        <f t="shared" si="288"/>
        <v/>
      </c>
      <c r="P753" s="35" t="str">
        <f t="shared" si="289"/>
        <v/>
      </c>
      <c r="Q753" s="124"/>
      <c r="R753" s="36" t="str">
        <f t="shared" si="290"/>
        <v/>
      </c>
      <c r="S753" s="37" t="str">
        <f t="shared" si="280"/>
        <v/>
      </c>
      <c r="T753" s="38" t="str">
        <f t="shared" si="281"/>
        <v/>
      </c>
      <c r="U753" s="39" t="str">
        <f t="shared" si="282"/>
        <v/>
      </c>
      <c r="V753" s="40" t="str">
        <f t="shared" si="283"/>
        <v/>
      </c>
      <c r="W753" s="39" t="str">
        <f t="shared" si="284"/>
        <v/>
      </c>
      <c r="X753" s="34" t="str">
        <f t="shared" si="285"/>
        <v/>
      </c>
      <c r="Y753" s="41" t="str">
        <f t="shared" si="291"/>
        <v/>
      </c>
      <c r="Z753" s="98" t="str">
        <f t="shared" si="286"/>
        <v/>
      </c>
      <c r="AA753" s="81" t="str">
        <f t="shared" si="292"/>
        <v/>
      </c>
      <c r="AC753" s="139"/>
      <c r="AD753" s="110" t="str">
        <f t="shared" si="293"/>
        <v/>
      </c>
      <c r="AE753" s="111" t="str">
        <f t="shared" si="294"/>
        <v/>
      </c>
      <c r="AF753" s="111" t="str">
        <f t="shared" si="287"/>
        <v/>
      </c>
      <c r="AG753" s="111" t="str">
        <f t="shared" si="295"/>
        <v/>
      </c>
      <c r="AH753" s="111" t="str">
        <f t="shared" si="296"/>
        <v/>
      </c>
      <c r="AI753" s="112" t="str">
        <f t="shared" si="297"/>
        <v/>
      </c>
      <c r="AJ753" t="str">
        <f t="shared" si="298"/>
        <v/>
      </c>
      <c r="AK753" t="str">
        <f t="shared" si="299"/>
        <v/>
      </c>
    </row>
    <row r="754" spans="1:37" ht="15" customHeight="1" x14ac:dyDescent="0.25">
      <c r="A754" s="114"/>
      <c r="B754" s="116"/>
      <c r="C754" s="116"/>
      <c r="D754" s="42" t="str">
        <f t="shared" si="275"/>
        <v/>
      </c>
      <c r="E754" s="43"/>
      <c r="F754" s="83"/>
      <c r="G754" s="118"/>
      <c r="H754" s="34" t="str">
        <f t="shared" si="276"/>
        <v/>
      </c>
      <c r="I754" s="88" t="str">
        <f t="shared" si="277"/>
        <v/>
      </c>
      <c r="J754" s="44" t="str">
        <f t="shared" si="278"/>
        <v/>
      </c>
      <c r="K754" s="118"/>
      <c r="L754" s="34" t="str">
        <f t="shared" si="279"/>
        <v/>
      </c>
      <c r="M754" s="118"/>
      <c r="N754" s="121"/>
      <c r="O754" s="122" t="str">
        <f t="shared" si="288"/>
        <v/>
      </c>
      <c r="P754" s="35" t="str">
        <f t="shared" si="289"/>
        <v/>
      </c>
      <c r="Q754" s="124"/>
      <c r="R754" s="36" t="str">
        <f t="shared" si="290"/>
        <v/>
      </c>
      <c r="S754" s="37" t="str">
        <f t="shared" si="280"/>
        <v/>
      </c>
      <c r="T754" s="38" t="str">
        <f t="shared" si="281"/>
        <v/>
      </c>
      <c r="U754" s="39" t="str">
        <f t="shared" si="282"/>
        <v/>
      </c>
      <c r="V754" s="40" t="str">
        <f t="shared" si="283"/>
        <v/>
      </c>
      <c r="W754" s="39" t="str">
        <f t="shared" si="284"/>
        <v/>
      </c>
      <c r="X754" s="34" t="str">
        <f t="shared" si="285"/>
        <v/>
      </c>
      <c r="Y754" s="41" t="str">
        <f t="shared" si="291"/>
        <v/>
      </c>
      <c r="Z754" s="98" t="str">
        <f t="shared" si="286"/>
        <v/>
      </c>
      <c r="AA754" s="81" t="str">
        <f t="shared" si="292"/>
        <v/>
      </c>
      <c r="AC754" s="139"/>
      <c r="AD754" s="110" t="str">
        <f t="shared" si="293"/>
        <v/>
      </c>
      <c r="AE754" s="111" t="str">
        <f t="shared" si="294"/>
        <v/>
      </c>
      <c r="AF754" s="111" t="str">
        <f t="shared" si="287"/>
        <v/>
      </c>
      <c r="AG754" s="111" t="str">
        <f t="shared" si="295"/>
        <v/>
      </c>
      <c r="AH754" s="111" t="str">
        <f t="shared" si="296"/>
        <v/>
      </c>
      <c r="AI754" s="112" t="str">
        <f t="shared" si="297"/>
        <v/>
      </c>
      <c r="AJ754" t="str">
        <f t="shared" si="298"/>
        <v/>
      </c>
      <c r="AK754" t="str">
        <f t="shared" si="299"/>
        <v/>
      </c>
    </row>
    <row r="755" spans="1:37" ht="15" customHeight="1" x14ac:dyDescent="0.25">
      <c r="A755" s="114"/>
      <c r="B755" s="116"/>
      <c r="C755" s="116"/>
      <c r="D755" s="42" t="str">
        <f t="shared" si="275"/>
        <v/>
      </c>
      <c r="E755" s="43"/>
      <c r="F755" s="83"/>
      <c r="G755" s="118"/>
      <c r="H755" s="34" t="str">
        <f t="shared" si="276"/>
        <v/>
      </c>
      <c r="I755" s="88" t="str">
        <f t="shared" si="277"/>
        <v/>
      </c>
      <c r="J755" s="44" t="str">
        <f t="shared" si="278"/>
        <v/>
      </c>
      <c r="K755" s="118"/>
      <c r="L755" s="34" t="str">
        <f t="shared" si="279"/>
        <v/>
      </c>
      <c r="M755" s="118"/>
      <c r="N755" s="121"/>
      <c r="O755" s="122" t="str">
        <f t="shared" si="288"/>
        <v/>
      </c>
      <c r="P755" s="35" t="str">
        <f t="shared" si="289"/>
        <v/>
      </c>
      <c r="Q755" s="124"/>
      <c r="R755" s="36" t="str">
        <f t="shared" si="290"/>
        <v/>
      </c>
      <c r="S755" s="37" t="str">
        <f t="shared" si="280"/>
        <v/>
      </c>
      <c r="T755" s="38" t="str">
        <f t="shared" si="281"/>
        <v/>
      </c>
      <c r="U755" s="39" t="str">
        <f t="shared" si="282"/>
        <v/>
      </c>
      <c r="V755" s="40" t="str">
        <f t="shared" si="283"/>
        <v/>
      </c>
      <c r="W755" s="39" t="str">
        <f t="shared" si="284"/>
        <v/>
      </c>
      <c r="X755" s="34" t="str">
        <f t="shared" si="285"/>
        <v/>
      </c>
      <c r="Y755" s="41" t="str">
        <f t="shared" si="291"/>
        <v/>
      </c>
      <c r="Z755" s="98" t="str">
        <f t="shared" si="286"/>
        <v/>
      </c>
      <c r="AA755" s="81" t="str">
        <f t="shared" si="292"/>
        <v/>
      </c>
      <c r="AC755" s="139"/>
      <c r="AD755" s="110" t="str">
        <f t="shared" si="293"/>
        <v/>
      </c>
      <c r="AE755" s="111" t="str">
        <f t="shared" si="294"/>
        <v/>
      </c>
      <c r="AF755" s="111" t="str">
        <f t="shared" si="287"/>
        <v/>
      </c>
      <c r="AG755" s="111" t="str">
        <f t="shared" si="295"/>
        <v/>
      </c>
      <c r="AH755" s="111" t="str">
        <f t="shared" si="296"/>
        <v/>
      </c>
      <c r="AI755" s="112" t="str">
        <f t="shared" si="297"/>
        <v/>
      </c>
      <c r="AJ755" t="str">
        <f t="shared" si="298"/>
        <v/>
      </c>
      <c r="AK755" t="str">
        <f t="shared" si="299"/>
        <v/>
      </c>
    </row>
    <row r="756" spans="1:37" ht="15" customHeight="1" x14ac:dyDescent="0.25">
      <c r="A756" s="114"/>
      <c r="B756" s="116"/>
      <c r="C756" s="116"/>
      <c r="D756" s="42" t="str">
        <f t="shared" si="275"/>
        <v/>
      </c>
      <c r="E756" s="43"/>
      <c r="F756" s="83"/>
      <c r="G756" s="118"/>
      <c r="H756" s="34" t="str">
        <f t="shared" si="276"/>
        <v/>
      </c>
      <c r="I756" s="88" t="str">
        <f t="shared" si="277"/>
        <v/>
      </c>
      <c r="J756" s="44" t="str">
        <f t="shared" si="278"/>
        <v/>
      </c>
      <c r="K756" s="118"/>
      <c r="L756" s="34" t="str">
        <f t="shared" si="279"/>
        <v/>
      </c>
      <c r="M756" s="118"/>
      <c r="N756" s="121"/>
      <c r="O756" s="122" t="str">
        <f t="shared" si="288"/>
        <v/>
      </c>
      <c r="P756" s="35" t="str">
        <f t="shared" si="289"/>
        <v/>
      </c>
      <c r="Q756" s="124"/>
      <c r="R756" s="36" t="str">
        <f t="shared" si="290"/>
        <v/>
      </c>
      <c r="S756" s="37" t="str">
        <f t="shared" si="280"/>
        <v/>
      </c>
      <c r="T756" s="38" t="str">
        <f t="shared" si="281"/>
        <v/>
      </c>
      <c r="U756" s="39" t="str">
        <f t="shared" si="282"/>
        <v/>
      </c>
      <c r="V756" s="40" t="str">
        <f t="shared" si="283"/>
        <v/>
      </c>
      <c r="W756" s="39" t="str">
        <f t="shared" si="284"/>
        <v/>
      </c>
      <c r="X756" s="34" t="str">
        <f t="shared" si="285"/>
        <v/>
      </c>
      <c r="Y756" s="41" t="str">
        <f t="shared" si="291"/>
        <v/>
      </c>
      <c r="Z756" s="98" t="str">
        <f t="shared" si="286"/>
        <v/>
      </c>
      <c r="AA756" s="81" t="str">
        <f t="shared" si="292"/>
        <v/>
      </c>
      <c r="AC756" s="139"/>
      <c r="AD756" s="110" t="str">
        <f t="shared" si="293"/>
        <v/>
      </c>
      <c r="AE756" s="111" t="str">
        <f t="shared" si="294"/>
        <v/>
      </c>
      <c r="AF756" s="111" t="str">
        <f t="shared" si="287"/>
        <v/>
      </c>
      <c r="AG756" s="111" t="str">
        <f t="shared" si="295"/>
        <v/>
      </c>
      <c r="AH756" s="111" t="str">
        <f t="shared" si="296"/>
        <v/>
      </c>
      <c r="AI756" s="112" t="str">
        <f t="shared" si="297"/>
        <v/>
      </c>
      <c r="AJ756" t="str">
        <f t="shared" si="298"/>
        <v/>
      </c>
      <c r="AK756" t="str">
        <f t="shared" si="299"/>
        <v/>
      </c>
    </row>
    <row r="757" spans="1:37" ht="15" customHeight="1" x14ac:dyDescent="0.25">
      <c r="A757" s="114"/>
      <c r="B757" s="116"/>
      <c r="C757" s="116"/>
      <c r="D757" s="42" t="str">
        <f t="shared" si="275"/>
        <v/>
      </c>
      <c r="E757" s="43"/>
      <c r="F757" s="83"/>
      <c r="G757" s="118"/>
      <c r="H757" s="34" t="str">
        <f t="shared" si="276"/>
        <v/>
      </c>
      <c r="I757" s="88" t="str">
        <f t="shared" si="277"/>
        <v/>
      </c>
      <c r="J757" s="44" t="str">
        <f t="shared" si="278"/>
        <v/>
      </c>
      <c r="K757" s="118"/>
      <c r="L757" s="34" t="str">
        <f t="shared" si="279"/>
        <v/>
      </c>
      <c r="M757" s="118"/>
      <c r="N757" s="121"/>
      <c r="O757" s="122" t="str">
        <f t="shared" si="288"/>
        <v/>
      </c>
      <c r="P757" s="35" t="str">
        <f t="shared" si="289"/>
        <v/>
      </c>
      <c r="Q757" s="124"/>
      <c r="R757" s="36" t="str">
        <f t="shared" si="290"/>
        <v/>
      </c>
      <c r="S757" s="37" t="str">
        <f t="shared" si="280"/>
        <v/>
      </c>
      <c r="T757" s="38" t="str">
        <f t="shared" si="281"/>
        <v/>
      </c>
      <c r="U757" s="39" t="str">
        <f t="shared" si="282"/>
        <v/>
      </c>
      <c r="V757" s="40" t="str">
        <f t="shared" si="283"/>
        <v/>
      </c>
      <c r="W757" s="39" t="str">
        <f t="shared" si="284"/>
        <v/>
      </c>
      <c r="X757" s="34" t="str">
        <f t="shared" si="285"/>
        <v/>
      </c>
      <c r="Y757" s="41" t="str">
        <f t="shared" si="291"/>
        <v/>
      </c>
      <c r="Z757" s="98" t="str">
        <f t="shared" si="286"/>
        <v/>
      </c>
      <c r="AA757" s="81" t="str">
        <f t="shared" si="292"/>
        <v/>
      </c>
      <c r="AC757" s="139"/>
      <c r="AD757" s="110" t="str">
        <f t="shared" si="293"/>
        <v/>
      </c>
      <c r="AE757" s="111" t="str">
        <f t="shared" si="294"/>
        <v/>
      </c>
      <c r="AF757" s="111" t="str">
        <f t="shared" si="287"/>
        <v/>
      </c>
      <c r="AG757" s="111" t="str">
        <f t="shared" si="295"/>
        <v/>
      </c>
      <c r="AH757" s="111" t="str">
        <f t="shared" si="296"/>
        <v/>
      </c>
      <c r="AI757" s="112" t="str">
        <f t="shared" si="297"/>
        <v/>
      </c>
      <c r="AJ757" t="str">
        <f t="shared" si="298"/>
        <v/>
      </c>
      <c r="AK757" t="str">
        <f t="shared" si="299"/>
        <v/>
      </c>
    </row>
    <row r="758" spans="1:37" ht="15" customHeight="1" x14ac:dyDescent="0.25">
      <c r="A758" s="114"/>
      <c r="B758" s="116"/>
      <c r="C758" s="116"/>
      <c r="D758" s="42" t="str">
        <f t="shared" si="275"/>
        <v/>
      </c>
      <c r="E758" s="43"/>
      <c r="F758" s="83"/>
      <c r="G758" s="118"/>
      <c r="H758" s="34" t="str">
        <f t="shared" si="276"/>
        <v/>
      </c>
      <c r="I758" s="88" t="str">
        <f t="shared" si="277"/>
        <v/>
      </c>
      <c r="J758" s="44" t="str">
        <f t="shared" si="278"/>
        <v/>
      </c>
      <c r="K758" s="118"/>
      <c r="L758" s="34" t="str">
        <f t="shared" si="279"/>
        <v/>
      </c>
      <c r="M758" s="118"/>
      <c r="N758" s="121"/>
      <c r="O758" s="122" t="str">
        <f t="shared" si="288"/>
        <v/>
      </c>
      <c r="P758" s="35" t="str">
        <f t="shared" si="289"/>
        <v/>
      </c>
      <c r="Q758" s="124"/>
      <c r="R758" s="36" t="str">
        <f t="shared" si="290"/>
        <v/>
      </c>
      <c r="S758" s="37" t="str">
        <f t="shared" si="280"/>
        <v/>
      </c>
      <c r="T758" s="38" t="str">
        <f t="shared" si="281"/>
        <v/>
      </c>
      <c r="U758" s="39" t="str">
        <f t="shared" si="282"/>
        <v/>
      </c>
      <c r="V758" s="40" t="str">
        <f t="shared" si="283"/>
        <v/>
      </c>
      <c r="W758" s="39" t="str">
        <f t="shared" si="284"/>
        <v/>
      </c>
      <c r="X758" s="34" t="str">
        <f t="shared" si="285"/>
        <v/>
      </c>
      <c r="Y758" s="41" t="str">
        <f t="shared" si="291"/>
        <v/>
      </c>
      <c r="Z758" s="98" t="str">
        <f t="shared" si="286"/>
        <v/>
      </c>
      <c r="AA758" s="81" t="str">
        <f t="shared" si="292"/>
        <v/>
      </c>
      <c r="AC758" s="139"/>
      <c r="AD758" s="110" t="str">
        <f t="shared" si="293"/>
        <v/>
      </c>
      <c r="AE758" s="111" t="str">
        <f t="shared" si="294"/>
        <v/>
      </c>
      <c r="AF758" s="111" t="str">
        <f t="shared" si="287"/>
        <v/>
      </c>
      <c r="AG758" s="111" t="str">
        <f t="shared" si="295"/>
        <v/>
      </c>
      <c r="AH758" s="111" t="str">
        <f t="shared" si="296"/>
        <v/>
      </c>
      <c r="AI758" s="112" t="str">
        <f t="shared" si="297"/>
        <v/>
      </c>
      <c r="AJ758" t="str">
        <f t="shared" si="298"/>
        <v/>
      </c>
      <c r="AK758" t="str">
        <f t="shared" si="299"/>
        <v/>
      </c>
    </row>
    <row r="759" spans="1:37" ht="15" customHeight="1" x14ac:dyDescent="0.25">
      <c r="A759" s="114"/>
      <c r="B759" s="116"/>
      <c r="C759" s="116"/>
      <c r="D759" s="42" t="str">
        <f t="shared" si="275"/>
        <v/>
      </c>
      <c r="E759" s="43"/>
      <c r="F759" s="83"/>
      <c r="G759" s="118"/>
      <c r="H759" s="34" t="str">
        <f t="shared" si="276"/>
        <v/>
      </c>
      <c r="I759" s="88" t="str">
        <f t="shared" si="277"/>
        <v/>
      </c>
      <c r="J759" s="44" t="str">
        <f t="shared" si="278"/>
        <v/>
      </c>
      <c r="K759" s="118"/>
      <c r="L759" s="34" t="str">
        <f t="shared" si="279"/>
        <v/>
      </c>
      <c r="M759" s="118"/>
      <c r="N759" s="121"/>
      <c r="O759" s="122" t="str">
        <f t="shared" si="288"/>
        <v/>
      </c>
      <c r="P759" s="35" t="str">
        <f t="shared" si="289"/>
        <v/>
      </c>
      <c r="Q759" s="124"/>
      <c r="R759" s="36" t="str">
        <f t="shared" si="290"/>
        <v/>
      </c>
      <c r="S759" s="37" t="str">
        <f t="shared" si="280"/>
        <v/>
      </c>
      <c r="T759" s="38" t="str">
        <f t="shared" si="281"/>
        <v/>
      </c>
      <c r="U759" s="39" t="str">
        <f t="shared" si="282"/>
        <v/>
      </c>
      <c r="V759" s="40" t="str">
        <f t="shared" si="283"/>
        <v/>
      </c>
      <c r="W759" s="39" t="str">
        <f t="shared" si="284"/>
        <v/>
      </c>
      <c r="X759" s="34" t="str">
        <f t="shared" si="285"/>
        <v/>
      </c>
      <c r="Y759" s="41" t="str">
        <f t="shared" si="291"/>
        <v/>
      </c>
      <c r="Z759" s="98" t="str">
        <f t="shared" si="286"/>
        <v/>
      </c>
      <c r="AA759" s="81" t="str">
        <f t="shared" si="292"/>
        <v/>
      </c>
      <c r="AC759" s="139"/>
      <c r="AD759" s="110" t="str">
        <f t="shared" si="293"/>
        <v/>
      </c>
      <c r="AE759" s="111" t="str">
        <f t="shared" si="294"/>
        <v/>
      </c>
      <c r="AF759" s="111" t="str">
        <f t="shared" si="287"/>
        <v/>
      </c>
      <c r="AG759" s="111" t="str">
        <f t="shared" si="295"/>
        <v/>
      </c>
      <c r="AH759" s="111" t="str">
        <f t="shared" si="296"/>
        <v/>
      </c>
      <c r="AI759" s="112" t="str">
        <f t="shared" si="297"/>
        <v/>
      </c>
      <c r="AJ759" t="str">
        <f t="shared" si="298"/>
        <v/>
      </c>
      <c r="AK759" t="str">
        <f t="shared" si="299"/>
        <v/>
      </c>
    </row>
    <row r="760" spans="1:37" ht="15" customHeight="1" x14ac:dyDescent="0.25">
      <c r="A760" s="114"/>
      <c r="B760" s="116"/>
      <c r="C760" s="116"/>
      <c r="D760" s="42" t="str">
        <f t="shared" si="275"/>
        <v/>
      </c>
      <c r="E760" s="43"/>
      <c r="F760" s="83"/>
      <c r="G760" s="118"/>
      <c r="H760" s="34" t="str">
        <f t="shared" si="276"/>
        <v/>
      </c>
      <c r="I760" s="88" t="str">
        <f t="shared" si="277"/>
        <v/>
      </c>
      <c r="J760" s="44" t="str">
        <f t="shared" si="278"/>
        <v/>
      </c>
      <c r="K760" s="118"/>
      <c r="L760" s="34" t="str">
        <f t="shared" si="279"/>
        <v/>
      </c>
      <c r="M760" s="118"/>
      <c r="N760" s="121"/>
      <c r="O760" s="122" t="str">
        <f t="shared" si="288"/>
        <v/>
      </c>
      <c r="P760" s="35" t="str">
        <f t="shared" si="289"/>
        <v/>
      </c>
      <c r="Q760" s="124"/>
      <c r="R760" s="36" t="str">
        <f t="shared" si="290"/>
        <v/>
      </c>
      <c r="S760" s="37" t="str">
        <f t="shared" si="280"/>
        <v/>
      </c>
      <c r="T760" s="38" t="str">
        <f t="shared" si="281"/>
        <v/>
      </c>
      <c r="U760" s="39" t="str">
        <f t="shared" si="282"/>
        <v/>
      </c>
      <c r="V760" s="40" t="str">
        <f t="shared" si="283"/>
        <v/>
      </c>
      <c r="W760" s="39" t="str">
        <f t="shared" si="284"/>
        <v/>
      </c>
      <c r="X760" s="34" t="str">
        <f t="shared" si="285"/>
        <v/>
      </c>
      <c r="Y760" s="41" t="str">
        <f t="shared" si="291"/>
        <v/>
      </c>
      <c r="Z760" s="98" t="str">
        <f t="shared" si="286"/>
        <v/>
      </c>
      <c r="AA760" s="81" t="str">
        <f t="shared" si="292"/>
        <v/>
      </c>
      <c r="AC760" s="139"/>
      <c r="AD760" s="110" t="str">
        <f t="shared" si="293"/>
        <v/>
      </c>
      <c r="AE760" s="111" t="str">
        <f t="shared" si="294"/>
        <v/>
      </c>
      <c r="AF760" s="111" t="str">
        <f t="shared" si="287"/>
        <v/>
      </c>
      <c r="AG760" s="111" t="str">
        <f t="shared" si="295"/>
        <v/>
      </c>
      <c r="AH760" s="111" t="str">
        <f t="shared" si="296"/>
        <v/>
      </c>
      <c r="AI760" s="112" t="str">
        <f t="shared" si="297"/>
        <v/>
      </c>
      <c r="AJ760" t="str">
        <f t="shared" si="298"/>
        <v/>
      </c>
      <c r="AK760" t="str">
        <f t="shared" si="299"/>
        <v/>
      </c>
    </row>
    <row r="761" spans="1:37" ht="15" customHeight="1" x14ac:dyDescent="0.25">
      <c r="A761" s="114"/>
      <c r="B761" s="116"/>
      <c r="C761" s="116"/>
      <c r="D761" s="42" t="str">
        <f t="shared" si="275"/>
        <v/>
      </c>
      <c r="E761" s="43"/>
      <c r="F761" s="83"/>
      <c r="G761" s="118"/>
      <c r="H761" s="34" t="str">
        <f t="shared" si="276"/>
        <v/>
      </c>
      <c r="I761" s="88" t="str">
        <f t="shared" si="277"/>
        <v/>
      </c>
      <c r="J761" s="44" t="str">
        <f t="shared" si="278"/>
        <v/>
      </c>
      <c r="K761" s="118"/>
      <c r="L761" s="34" t="str">
        <f t="shared" si="279"/>
        <v/>
      </c>
      <c r="M761" s="118"/>
      <c r="N761" s="121"/>
      <c r="O761" s="122" t="str">
        <f t="shared" si="288"/>
        <v/>
      </c>
      <c r="P761" s="35" t="str">
        <f t="shared" si="289"/>
        <v/>
      </c>
      <c r="Q761" s="124"/>
      <c r="R761" s="36" t="str">
        <f t="shared" si="290"/>
        <v/>
      </c>
      <c r="S761" s="37" t="str">
        <f t="shared" si="280"/>
        <v/>
      </c>
      <c r="T761" s="38" t="str">
        <f t="shared" si="281"/>
        <v/>
      </c>
      <c r="U761" s="39" t="str">
        <f t="shared" si="282"/>
        <v/>
      </c>
      <c r="V761" s="40" t="str">
        <f t="shared" si="283"/>
        <v/>
      </c>
      <c r="W761" s="39" t="str">
        <f t="shared" si="284"/>
        <v/>
      </c>
      <c r="X761" s="34" t="str">
        <f t="shared" si="285"/>
        <v/>
      </c>
      <c r="Y761" s="41" t="str">
        <f t="shared" si="291"/>
        <v/>
      </c>
      <c r="Z761" s="98" t="str">
        <f t="shared" si="286"/>
        <v/>
      </c>
      <c r="AA761" s="81" t="str">
        <f t="shared" si="292"/>
        <v/>
      </c>
      <c r="AC761" s="139"/>
      <c r="AD761" s="110" t="str">
        <f t="shared" si="293"/>
        <v/>
      </c>
      <c r="AE761" s="111" t="str">
        <f t="shared" si="294"/>
        <v/>
      </c>
      <c r="AF761" s="111" t="str">
        <f t="shared" si="287"/>
        <v/>
      </c>
      <c r="AG761" s="111" t="str">
        <f t="shared" si="295"/>
        <v/>
      </c>
      <c r="AH761" s="111" t="str">
        <f t="shared" si="296"/>
        <v/>
      </c>
      <c r="AI761" s="112" t="str">
        <f t="shared" si="297"/>
        <v/>
      </c>
      <c r="AJ761" t="str">
        <f t="shared" si="298"/>
        <v/>
      </c>
      <c r="AK761" t="str">
        <f t="shared" si="299"/>
        <v/>
      </c>
    </row>
    <row r="762" spans="1:37" ht="15" customHeight="1" x14ac:dyDescent="0.25">
      <c r="A762" s="114"/>
      <c r="B762" s="116"/>
      <c r="C762" s="116"/>
      <c r="D762" s="42" t="str">
        <f t="shared" si="275"/>
        <v/>
      </c>
      <c r="E762" s="43"/>
      <c r="F762" s="83"/>
      <c r="G762" s="118"/>
      <c r="H762" s="34" t="str">
        <f t="shared" si="276"/>
        <v/>
      </c>
      <c r="I762" s="88" t="str">
        <f t="shared" si="277"/>
        <v/>
      </c>
      <c r="J762" s="44" t="str">
        <f t="shared" si="278"/>
        <v/>
      </c>
      <c r="K762" s="118"/>
      <c r="L762" s="34" t="str">
        <f t="shared" si="279"/>
        <v/>
      </c>
      <c r="M762" s="118"/>
      <c r="N762" s="121"/>
      <c r="O762" s="122" t="str">
        <f t="shared" si="288"/>
        <v/>
      </c>
      <c r="P762" s="35" t="str">
        <f t="shared" si="289"/>
        <v/>
      </c>
      <c r="Q762" s="124"/>
      <c r="R762" s="36" t="str">
        <f t="shared" si="290"/>
        <v/>
      </c>
      <c r="S762" s="37" t="str">
        <f t="shared" si="280"/>
        <v/>
      </c>
      <c r="T762" s="38" t="str">
        <f t="shared" si="281"/>
        <v/>
      </c>
      <c r="U762" s="39" t="str">
        <f t="shared" si="282"/>
        <v/>
      </c>
      <c r="V762" s="40" t="str">
        <f t="shared" si="283"/>
        <v/>
      </c>
      <c r="W762" s="39" t="str">
        <f t="shared" si="284"/>
        <v/>
      </c>
      <c r="X762" s="34" t="str">
        <f t="shared" si="285"/>
        <v/>
      </c>
      <c r="Y762" s="41" t="str">
        <f t="shared" si="291"/>
        <v/>
      </c>
      <c r="Z762" s="98" t="str">
        <f t="shared" si="286"/>
        <v/>
      </c>
      <c r="AA762" s="81" t="str">
        <f t="shared" si="292"/>
        <v/>
      </c>
      <c r="AC762" s="139"/>
      <c r="AD762" s="110" t="str">
        <f t="shared" si="293"/>
        <v/>
      </c>
      <c r="AE762" s="111" t="str">
        <f t="shared" si="294"/>
        <v/>
      </c>
      <c r="AF762" s="111" t="str">
        <f t="shared" si="287"/>
        <v/>
      </c>
      <c r="AG762" s="111" t="str">
        <f t="shared" si="295"/>
        <v/>
      </c>
      <c r="AH762" s="111" t="str">
        <f t="shared" si="296"/>
        <v/>
      </c>
      <c r="AI762" s="112" t="str">
        <f t="shared" si="297"/>
        <v/>
      </c>
      <c r="AJ762" t="str">
        <f t="shared" si="298"/>
        <v/>
      </c>
      <c r="AK762" t="str">
        <f t="shared" si="299"/>
        <v/>
      </c>
    </row>
    <row r="763" spans="1:37" ht="15" customHeight="1" x14ac:dyDescent="0.25">
      <c r="A763" s="114"/>
      <c r="B763" s="116"/>
      <c r="C763" s="116"/>
      <c r="D763" s="42" t="str">
        <f t="shared" si="275"/>
        <v/>
      </c>
      <c r="E763" s="43"/>
      <c r="F763" s="83"/>
      <c r="G763" s="118"/>
      <c r="H763" s="34" t="str">
        <f t="shared" si="276"/>
        <v/>
      </c>
      <c r="I763" s="88" t="str">
        <f t="shared" si="277"/>
        <v/>
      </c>
      <c r="J763" s="44" t="str">
        <f t="shared" si="278"/>
        <v/>
      </c>
      <c r="K763" s="118"/>
      <c r="L763" s="34" t="str">
        <f t="shared" si="279"/>
        <v/>
      </c>
      <c r="M763" s="118"/>
      <c r="N763" s="121"/>
      <c r="O763" s="122" t="str">
        <f t="shared" si="288"/>
        <v/>
      </c>
      <c r="P763" s="35" t="str">
        <f t="shared" si="289"/>
        <v/>
      </c>
      <c r="Q763" s="124"/>
      <c r="R763" s="36" t="str">
        <f t="shared" si="290"/>
        <v/>
      </c>
      <c r="S763" s="37" t="str">
        <f t="shared" si="280"/>
        <v/>
      </c>
      <c r="T763" s="38" t="str">
        <f t="shared" si="281"/>
        <v/>
      </c>
      <c r="U763" s="39" t="str">
        <f t="shared" si="282"/>
        <v/>
      </c>
      <c r="V763" s="40" t="str">
        <f t="shared" si="283"/>
        <v/>
      </c>
      <c r="W763" s="39" t="str">
        <f t="shared" si="284"/>
        <v/>
      </c>
      <c r="X763" s="34" t="str">
        <f t="shared" si="285"/>
        <v/>
      </c>
      <c r="Y763" s="41" t="str">
        <f t="shared" si="291"/>
        <v/>
      </c>
      <c r="Z763" s="98" t="str">
        <f t="shared" si="286"/>
        <v/>
      </c>
      <c r="AA763" s="81" t="str">
        <f t="shared" si="292"/>
        <v/>
      </c>
      <c r="AC763" s="139"/>
      <c r="AD763" s="110" t="str">
        <f t="shared" si="293"/>
        <v/>
      </c>
      <c r="AE763" s="111" t="str">
        <f t="shared" si="294"/>
        <v/>
      </c>
      <c r="AF763" s="111" t="str">
        <f t="shared" si="287"/>
        <v/>
      </c>
      <c r="AG763" s="111" t="str">
        <f t="shared" si="295"/>
        <v/>
      </c>
      <c r="AH763" s="111" t="str">
        <f t="shared" si="296"/>
        <v/>
      </c>
      <c r="AI763" s="112" t="str">
        <f t="shared" si="297"/>
        <v/>
      </c>
      <c r="AJ763" t="str">
        <f t="shared" si="298"/>
        <v/>
      </c>
      <c r="AK763" t="str">
        <f t="shared" si="299"/>
        <v/>
      </c>
    </row>
    <row r="764" spans="1:37" ht="15" customHeight="1" x14ac:dyDescent="0.25">
      <c r="A764" s="114"/>
      <c r="B764" s="116"/>
      <c r="C764" s="116"/>
      <c r="D764" s="42" t="str">
        <f t="shared" si="275"/>
        <v/>
      </c>
      <c r="E764" s="43"/>
      <c r="F764" s="83"/>
      <c r="G764" s="118"/>
      <c r="H764" s="34" t="str">
        <f t="shared" si="276"/>
        <v/>
      </c>
      <c r="I764" s="88" t="str">
        <f t="shared" si="277"/>
        <v/>
      </c>
      <c r="J764" s="44" t="str">
        <f t="shared" si="278"/>
        <v/>
      </c>
      <c r="K764" s="118"/>
      <c r="L764" s="34" t="str">
        <f t="shared" si="279"/>
        <v/>
      </c>
      <c r="M764" s="118"/>
      <c r="N764" s="121"/>
      <c r="O764" s="122" t="str">
        <f t="shared" si="288"/>
        <v/>
      </c>
      <c r="P764" s="35" t="str">
        <f t="shared" si="289"/>
        <v/>
      </c>
      <c r="Q764" s="124"/>
      <c r="R764" s="36" t="str">
        <f t="shared" si="290"/>
        <v/>
      </c>
      <c r="S764" s="37" t="str">
        <f t="shared" si="280"/>
        <v/>
      </c>
      <c r="T764" s="38" t="str">
        <f t="shared" si="281"/>
        <v/>
      </c>
      <c r="U764" s="39" t="str">
        <f t="shared" si="282"/>
        <v/>
      </c>
      <c r="V764" s="40" t="str">
        <f t="shared" si="283"/>
        <v/>
      </c>
      <c r="W764" s="39" t="str">
        <f t="shared" si="284"/>
        <v/>
      </c>
      <c r="X764" s="34" t="str">
        <f t="shared" si="285"/>
        <v/>
      </c>
      <c r="Y764" s="41" t="str">
        <f t="shared" si="291"/>
        <v/>
      </c>
      <c r="Z764" s="98" t="str">
        <f t="shared" si="286"/>
        <v/>
      </c>
      <c r="AA764" s="81" t="str">
        <f t="shared" si="292"/>
        <v/>
      </c>
      <c r="AC764" s="139"/>
      <c r="AD764" s="110" t="str">
        <f t="shared" si="293"/>
        <v/>
      </c>
      <c r="AE764" s="111" t="str">
        <f t="shared" si="294"/>
        <v/>
      </c>
      <c r="AF764" s="111" t="str">
        <f t="shared" si="287"/>
        <v/>
      </c>
      <c r="AG764" s="111" t="str">
        <f t="shared" si="295"/>
        <v/>
      </c>
      <c r="AH764" s="111" t="str">
        <f t="shared" si="296"/>
        <v/>
      </c>
      <c r="AI764" s="112" t="str">
        <f t="shared" si="297"/>
        <v/>
      </c>
      <c r="AJ764" t="str">
        <f t="shared" si="298"/>
        <v/>
      </c>
      <c r="AK764" t="str">
        <f t="shared" si="299"/>
        <v/>
      </c>
    </row>
    <row r="765" spans="1:37" ht="15" customHeight="1" x14ac:dyDescent="0.25">
      <c r="A765" s="114"/>
      <c r="B765" s="116"/>
      <c r="C765" s="116"/>
      <c r="D765" s="42" t="str">
        <f t="shared" si="275"/>
        <v/>
      </c>
      <c r="E765" s="43"/>
      <c r="F765" s="83"/>
      <c r="G765" s="118"/>
      <c r="H765" s="34" t="str">
        <f t="shared" si="276"/>
        <v/>
      </c>
      <c r="I765" s="88" t="str">
        <f t="shared" si="277"/>
        <v/>
      </c>
      <c r="J765" s="44" t="str">
        <f t="shared" si="278"/>
        <v/>
      </c>
      <c r="K765" s="118"/>
      <c r="L765" s="34" t="str">
        <f t="shared" si="279"/>
        <v/>
      </c>
      <c r="M765" s="118"/>
      <c r="N765" s="121"/>
      <c r="O765" s="122" t="str">
        <f t="shared" si="288"/>
        <v/>
      </c>
      <c r="P765" s="35" t="str">
        <f t="shared" si="289"/>
        <v/>
      </c>
      <c r="Q765" s="124"/>
      <c r="R765" s="36" t="str">
        <f t="shared" si="290"/>
        <v/>
      </c>
      <c r="S765" s="37" t="str">
        <f t="shared" si="280"/>
        <v/>
      </c>
      <c r="T765" s="38" t="str">
        <f t="shared" si="281"/>
        <v/>
      </c>
      <c r="U765" s="39" t="str">
        <f t="shared" si="282"/>
        <v/>
      </c>
      <c r="V765" s="40" t="str">
        <f t="shared" si="283"/>
        <v/>
      </c>
      <c r="W765" s="39" t="str">
        <f t="shared" si="284"/>
        <v/>
      </c>
      <c r="X765" s="34" t="str">
        <f t="shared" si="285"/>
        <v/>
      </c>
      <c r="Y765" s="41" t="str">
        <f t="shared" si="291"/>
        <v/>
      </c>
      <c r="Z765" s="98" t="str">
        <f t="shared" si="286"/>
        <v/>
      </c>
      <c r="AA765" s="81" t="str">
        <f t="shared" si="292"/>
        <v/>
      </c>
      <c r="AC765" s="139"/>
      <c r="AD765" s="110" t="str">
        <f t="shared" si="293"/>
        <v/>
      </c>
      <c r="AE765" s="111" t="str">
        <f t="shared" si="294"/>
        <v/>
      </c>
      <c r="AF765" s="111" t="str">
        <f t="shared" si="287"/>
        <v/>
      </c>
      <c r="AG765" s="111" t="str">
        <f t="shared" si="295"/>
        <v/>
      </c>
      <c r="AH765" s="111" t="str">
        <f t="shared" si="296"/>
        <v/>
      </c>
      <c r="AI765" s="112" t="str">
        <f t="shared" si="297"/>
        <v/>
      </c>
      <c r="AJ765" t="str">
        <f t="shared" si="298"/>
        <v/>
      </c>
      <c r="AK765" t="str">
        <f t="shared" si="299"/>
        <v/>
      </c>
    </row>
    <row r="766" spans="1:37" ht="15" customHeight="1" x14ac:dyDescent="0.25">
      <c r="A766" s="114"/>
      <c r="B766" s="116"/>
      <c r="C766" s="116"/>
      <c r="D766" s="42" t="str">
        <f t="shared" si="275"/>
        <v/>
      </c>
      <c r="E766" s="43"/>
      <c r="F766" s="83"/>
      <c r="G766" s="118"/>
      <c r="H766" s="34" t="str">
        <f t="shared" si="276"/>
        <v/>
      </c>
      <c r="I766" s="88" t="str">
        <f t="shared" si="277"/>
        <v/>
      </c>
      <c r="J766" s="44" t="str">
        <f t="shared" si="278"/>
        <v/>
      </c>
      <c r="K766" s="118"/>
      <c r="L766" s="34" t="str">
        <f t="shared" si="279"/>
        <v/>
      </c>
      <c r="M766" s="118"/>
      <c r="N766" s="121"/>
      <c r="O766" s="122" t="str">
        <f t="shared" si="288"/>
        <v/>
      </c>
      <c r="P766" s="35" t="str">
        <f t="shared" si="289"/>
        <v/>
      </c>
      <c r="Q766" s="124"/>
      <c r="R766" s="36" t="str">
        <f t="shared" si="290"/>
        <v/>
      </c>
      <c r="S766" s="37" t="str">
        <f t="shared" si="280"/>
        <v/>
      </c>
      <c r="T766" s="38" t="str">
        <f t="shared" si="281"/>
        <v/>
      </c>
      <c r="U766" s="39" t="str">
        <f t="shared" si="282"/>
        <v/>
      </c>
      <c r="V766" s="40" t="str">
        <f t="shared" si="283"/>
        <v/>
      </c>
      <c r="W766" s="39" t="str">
        <f t="shared" si="284"/>
        <v/>
      </c>
      <c r="X766" s="34" t="str">
        <f t="shared" si="285"/>
        <v/>
      </c>
      <c r="Y766" s="41" t="str">
        <f t="shared" si="291"/>
        <v/>
      </c>
      <c r="Z766" s="98" t="str">
        <f t="shared" si="286"/>
        <v/>
      </c>
      <c r="AA766" s="81" t="str">
        <f t="shared" si="292"/>
        <v/>
      </c>
      <c r="AC766" s="139"/>
      <c r="AD766" s="110" t="str">
        <f t="shared" si="293"/>
        <v/>
      </c>
      <c r="AE766" s="111" t="str">
        <f t="shared" si="294"/>
        <v/>
      </c>
      <c r="AF766" s="111" t="str">
        <f t="shared" si="287"/>
        <v/>
      </c>
      <c r="AG766" s="111" t="str">
        <f t="shared" si="295"/>
        <v/>
      </c>
      <c r="AH766" s="111" t="str">
        <f t="shared" si="296"/>
        <v/>
      </c>
      <c r="AI766" s="112" t="str">
        <f t="shared" si="297"/>
        <v/>
      </c>
      <c r="AJ766" t="str">
        <f t="shared" si="298"/>
        <v/>
      </c>
      <c r="AK766" t="str">
        <f t="shared" si="299"/>
        <v/>
      </c>
    </row>
    <row r="767" spans="1:37" ht="15" customHeight="1" x14ac:dyDescent="0.25">
      <c r="A767" s="114"/>
      <c r="B767" s="116"/>
      <c r="C767" s="116"/>
      <c r="D767" s="42" t="str">
        <f t="shared" si="275"/>
        <v/>
      </c>
      <c r="E767" s="43"/>
      <c r="F767" s="83"/>
      <c r="G767" s="118"/>
      <c r="H767" s="34" t="str">
        <f t="shared" si="276"/>
        <v/>
      </c>
      <c r="I767" s="88" t="str">
        <f t="shared" si="277"/>
        <v/>
      </c>
      <c r="J767" s="44" t="str">
        <f t="shared" si="278"/>
        <v/>
      </c>
      <c r="K767" s="118"/>
      <c r="L767" s="34" t="str">
        <f t="shared" si="279"/>
        <v/>
      </c>
      <c r="M767" s="118"/>
      <c r="N767" s="121"/>
      <c r="O767" s="122" t="str">
        <f t="shared" si="288"/>
        <v/>
      </c>
      <c r="P767" s="35" t="str">
        <f t="shared" si="289"/>
        <v/>
      </c>
      <c r="Q767" s="124"/>
      <c r="R767" s="36" t="str">
        <f t="shared" si="290"/>
        <v/>
      </c>
      <c r="S767" s="37" t="str">
        <f t="shared" si="280"/>
        <v/>
      </c>
      <c r="T767" s="38" t="str">
        <f t="shared" si="281"/>
        <v/>
      </c>
      <c r="U767" s="39" t="str">
        <f t="shared" si="282"/>
        <v/>
      </c>
      <c r="V767" s="40" t="str">
        <f t="shared" si="283"/>
        <v/>
      </c>
      <c r="W767" s="39" t="str">
        <f t="shared" si="284"/>
        <v/>
      </c>
      <c r="X767" s="34" t="str">
        <f t="shared" si="285"/>
        <v/>
      </c>
      <c r="Y767" s="41" t="str">
        <f t="shared" si="291"/>
        <v/>
      </c>
      <c r="Z767" s="98" t="str">
        <f t="shared" si="286"/>
        <v/>
      </c>
      <c r="AA767" s="81" t="str">
        <f t="shared" si="292"/>
        <v/>
      </c>
      <c r="AC767" s="139"/>
      <c r="AD767" s="110" t="str">
        <f t="shared" si="293"/>
        <v/>
      </c>
      <c r="AE767" s="111" t="str">
        <f t="shared" si="294"/>
        <v/>
      </c>
      <c r="AF767" s="111" t="str">
        <f t="shared" si="287"/>
        <v/>
      </c>
      <c r="AG767" s="111" t="str">
        <f t="shared" si="295"/>
        <v/>
      </c>
      <c r="AH767" s="111" t="str">
        <f t="shared" si="296"/>
        <v/>
      </c>
      <c r="AI767" s="112" t="str">
        <f t="shared" si="297"/>
        <v/>
      </c>
      <c r="AJ767" t="str">
        <f t="shared" si="298"/>
        <v/>
      </c>
      <c r="AK767" t="str">
        <f t="shared" si="299"/>
        <v/>
      </c>
    </row>
    <row r="768" spans="1:37" ht="15" customHeight="1" x14ac:dyDescent="0.25">
      <c r="A768" s="114"/>
      <c r="B768" s="116"/>
      <c r="C768" s="116"/>
      <c r="D768" s="42" t="str">
        <f t="shared" si="275"/>
        <v/>
      </c>
      <c r="E768" s="43"/>
      <c r="F768" s="83"/>
      <c r="G768" s="118"/>
      <c r="H768" s="34" t="str">
        <f t="shared" si="276"/>
        <v/>
      </c>
      <c r="I768" s="88" t="str">
        <f t="shared" si="277"/>
        <v/>
      </c>
      <c r="J768" s="44" t="str">
        <f t="shared" si="278"/>
        <v/>
      </c>
      <c r="K768" s="118"/>
      <c r="L768" s="34" t="str">
        <f t="shared" si="279"/>
        <v/>
      </c>
      <c r="M768" s="118"/>
      <c r="N768" s="121"/>
      <c r="O768" s="122" t="str">
        <f t="shared" si="288"/>
        <v/>
      </c>
      <c r="P768" s="35" t="str">
        <f t="shared" si="289"/>
        <v/>
      </c>
      <c r="Q768" s="124"/>
      <c r="R768" s="36" t="str">
        <f t="shared" si="290"/>
        <v/>
      </c>
      <c r="S768" s="37" t="str">
        <f t="shared" si="280"/>
        <v/>
      </c>
      <c r="T768" s="38" t="str">
        <f t="shared" si="281"/>
        <v/>
      </c>
      <c r="U768" s="39" t="str">
        <f t="shared" si="282"/>
        <v/>
      </c>
      <c r="V768" s="40" t="str">
        <f t="shared" si="283"/>
        <v/>
      </c>
      <c r="W768" s="39" t="str">
        <f t="shared" si="284"/>
        <v/>
      </c>
      <c r="X768" s="34" t="str">
        <f t="shared" si="285"/>
        <v/>
      </c>
      <c r="Y768" s="41" t="str">
        <f t="shared" si="291"/>
        <v/>
      </c>
      <c r="Z768" s="98" t="str">
        <f t="shared" si="286"/>
        <v/>
      </c>
      <c r="AA768" s="81" t="str">
        <f t="shared" si="292"/>
        <v/>
      </c>
      <c r="AC768" s="139"/>
      <c r="AD768" s="110" t="str">
        <f t="shared" si="293"/>
        <v/>
      </c>
      <c r="AE768" s="111" t="str">
        <f t="shared" si="294"/>
        <v/>
      </c>
      <c r="AF768" s="111" t="str">
        <f t="shared" si="287"/>
        <v/>
      </c>
      <c r="AG768" s="111" t="str">
        <f t="shared" si="295"/>
        <v/>
      </c>
      <c r="AH768" s="111" t="str">
        <f t="shared" si="296"/>
        <v/>
      </c>
      <c r="AI768" s="112" t="str">
        <f t="shared" si="297"/>
        <v/>
      </c>
      <c r="AJ768" t="str">
        <f t="shared" si="298"/>
        <v/>
      </c>
      <c r="AK768" t="str">
        <f t="shared" si="299"/>
        <v/>
      </c>
    </row>
    <row r="769" spans="1:37" ht="15" customHeight="1" x14ac:dyDescent="0.25">
      <c r="A769" s="114"/>
      <c r="B769" s="116"/>
      <c r="C769" s="116"/>
      <c r="D769" s="42" t="str">
        <f t="shared" si="275"/>
        <v/>
      </c>
      <c r="E769" s="43"/>
      <c r="F769" s="83"/>
      <c r="G769" s="118"/>
      <c r="H769" s="34" t="str">
        <f t="shared" si="276"/>
        <v/>
      </c>
      <c r="I769" s="88" t="str">
        <f t="shared" si="277"/>
        <v/>
      </c>
      <c r="J769" s="44" t="str">
        <f t="shared" si="278"/>
        <v/>
      </c>
      <c r="K769" s="118"/>
      <c r="L769" s="34" t="str">
        <f t="shared" si="279"/>
        <v/>
      </c>
      <c r="M769" s="118"/>
      <c r="N769" s="121"/>
      <c r="O769" s="122" t="str">
        <f t="shared" si="288"/>
        <v/>
      </c>
      <c r="P769" s="35" t="str">
        <f t="shared" si="289"/>
        <v/>
      </c>
      <c r="Q769" s="124"/>
      <c r="R769" s="36" t="str">
        <f t="shared" si="290"/>
        <v/>
      </c>
      <c r="S769" s="37" t="str">
        <f t="shared" si="280"/>
        <v/>
      </c>
      <c r="T769" s="38" t="str">
        <f t="shared" si="281"/>
        <v/>
      </c>
      <c r="U769" s="39" t="str">
        <f t="shared" si="282"/>
        <v/>
      </c>
      <c r="V769" s="40" t="str">
        <f t="shared" si="283"/>
        <v/>
      </c>
      <c r="W769" s="39" t="str">
        <f t="shared" si="284"/>
        <v/>
      </c>
      <c r="X769" s="34" t="str">
        <f t="shared" si="285"/>
        <v/>
      </c>
      <c r="Y769" s="41" t="str">
        <f t="shared" si="291"/>
        <v/>
      </c>
      <c r="Z769" s="98" t="str">
        <f t="shared" si="286"/>
        <v/>
      </c>
      <c r="AA769" s="81" t="str">
        <f t="shared" si="292"/>
        <v/>
      </c>
      <c r="AC769" s="139"/>
      <c r="AD769" s="110" t="str">
        <f t="shared" si="293"/>
        <v/>
      </c>
      <c r="AE769" s="111" t="str">
        <f t="shared" si="294"/>
        <v/>
      </c>
      <c r="AF769" s="111" t="str">
        <f t="shared" si="287"/>
        <v/>
      </c>
      <c r="AG769" s="111" t="str">
        <f t="shared" si="295"/>
        <v/>
      </c>
      <c r="AH769" s="111" t="str">
        <f t="shared" si="296"/>
        <v/>
      </c>
      <c r="AI769" s="112" t="str">
        <f t="shared" si="297"/>
        <v/>
      </c>
      <c r="AJ769" t="str">
        <f t="shared" si="298"/>
        <v/>
      </c>
      <c r="AK769" t="str">
        <f t="shared" si="299"/>
        <v/>
      </c>
    </row>
    <row r="770" spans="1:37" ht="15" customHeight="1" x14ac:dyDescent="0.25">
      <c r="A770" s="114"/>
      <c r="B770" s="116"/>
      <c r="C770" s="116"/>
      <c r="D770" s="42" t="str">
        <f t="shared" si="275"/>
        <v/>
      </c>
      <c r="E770" s="43"/>
      <c r="F770" s="83"/>
      <c r="G770" s="118"/>
      <c r="H770" s="34" t="str">
        <f t="shared" si="276"/>
        <v/>
      </c>
      <c r="I770" s="88" t="str">
        <f t="shared" si="277"/>
        <v/>
      </c>
      <c r="J770" s="44" t="str">
        <f t="shared" si="278"/>
        <v/>
      </c>
      <c r="K770" s="118"/>
      <c r="L770" s="34" t="str">
        <f t="shared" si="279"/>
        <v/>
      </c>
      <c r="M770" s="118"/>
      <c r="N770" s="121"/>
      <c r="O770" s="122" t="str">
        <f t="shared" si="288"/>
        <v/>
      </c>
      <c r="P770" s="35" t="str">
        <f t="shared" si="289"/>
        <v/>
      </c>
      <c r="Q770" s="124"/>
      <c r="R770" s="36" t="str">
        <f t="shared" si="290"/>
        <v/>
      </c>
      <c r="S770" s="37" t="str">
        <f t="shared" si="280"/>
        <v/>
      </c>
      <c r="T770" s="38" t="str">
        <f t="shared" si="281"/>
        <v/>
      </c>
      <c r="U770" s="39" t="str">
        <f t="shared" si="282"/>
        <v/>
      </c>
      <c r="V770" s="40" t="str">
        <f t="shared" si="283"/>
        <v/>
      </c>
      <c r="W770" s="39" t="str">
        <f t="shared" si="284"/>
        <v/>
      </c>
      <c r="X770" s="34" t="str">
        <f t="shared" si="285"/>
        <v/>
      </c>
      <c r="Y770" s="41" t="str">
        <f t="shared" si="291"/>
        <v/>
      </c>
      <c r="Z770" s="98" t="str">
        <f t="shared" si="286"/>
        <v/>
      </c>
      <c r="AA770" s="81" t="str">
        <f t="shared" si="292"/>
        <v/>
      </c>
      <c r="AC770" s="139"/>
      <c r="AD770" s="110" t="str">
        <f t="shared" si="293"/>
        <v/>
      </c>
      <c r="AE770" s="111" t="str">
        <f t="shared" si="294"/>
        <v/>
      </c>
      <c r="AF770" s="111" t="str">
        <f t="shared" si="287"/>
        <v/>
      </c>
      <c r="AG770" s="111" t="str">
        <f t="shared" si="295"/>
        <v/>
      </c>
      <c r="AH770" s="111" t="str">
        <f t="shared" si="296"/>
        <v/>
      </c>
      <c r="AI770" s="112" t="str">
        <f t="shared" si="297"/>
        <v/>
      </c>
      <c r="AJ770" t="str">
        <f t="shared" si="298"/>
        <v/>
      </c>
      <c r="AK770" t="str">
        <f t="shared" si="299"/>
        <v/>
      </c>
    </row>
    <row r="771" spans="1:37" ht="15" customHeight="1" x14ac:dyDescent="0.25">
      <c r="A771" s="114"/>
      <c r="B771" s="116"/>
      <c r="C771" s="116"/>
      <c r="D771" s="42" t="str">
        <f t="shared" si="275"/>
        <v/>
      </c>
      <c r="E771" s="43"/>
      <c r="F771" s="83"/>
      <c r="G771" s="118"/>
      <c r="H771" s="34" t="str">
        <f t="shared" si="276"/>
        <v/>
      </c>
      <c r="I771" s="88" t="str">
        <f t="shared" si="277"/>
        <v/>
      </c>
      <c r="J771" s="44" t="str">
        <f t="shared" si="278"/>
        <v/>
      </c>
      <c r="K771" s="118"/>
      <c r="L771" s="34" t="str">
        <f t="shared" si="279"/>
        <v/>
      </c>
      <c r="M771" s="118"/>
      <c r="N771" s="121"/>
      <c r="O771" s="122" t="str">
        <f t="shared" si="288"/>
        <v/>
      </c>
      <c r="P771" s="35" t="str">
        <f t="shared" si="289"/>
        <v/>
      </c>
      <c r="Q771" s="124"/>
      <c r="R771" s="36" t="str">
        <f t="shared" si="290"/>
        <v/>
      </c>
      <c r="S771" s="37" t="str">
        <f t="shared" si="280"/>
        <v/>
      </c>
      <c r="T771" s="38" t="str">
        <f t="shared" si="281"/>
        <v/>
      </c>
      <c r="U771" s="39" t="str">
        <f t="shared" si="282"/>
        <v/>
      </c>
      <c r="V771" s="40" t="str">
        <f t="shared" si="283"/>
        <v/>
      </c>
      <c r="W771" s="39" t="str">
        <f t="shared" si="284"/>
        <v/>
      </c>
      <c r="X771" s="34" t="str">
        <f t="shared" si="285"/>
        <v/>
      </c>
      <c r="Y771" s="41" t="str">
        <f t="shared" si="291"/>
        <v/>
      </c>
      <c r="Z771" s="98" t="str">
        <f t="shared" si="286"/>
        <v/>
      </c>
      <c r="AA771" s="81" t="str">
        <f t="shared" si="292"/>
        <v/>
      </c>
      <c r="AC771" s="139"/>
      <c r="AD771" s="110" t="str">
        <f t="shared" si="293"/>
        <v/>
      </c>
      <c r="AE771" s="111" t="str">
        <f t="shared" si="294"/>
        <v/>
      </c>
      <c r="AF771" s="111" t="str">
        <f t="shared" si="287"/>
        <v/>
      </c>
      <c r="AG771" s="111" t="str">
        <f t="shared" si="295"/>
        <v/>
      </c>
      <c r="AH771" s="111" t="str">
        <f t="shared" si="296"/>
        <v/>
      </c>
      <c r="AI771" s="112" t="str">
        <f t="shared" si="297"/>
        <v/>
      </c>
      <c r="AJ771" t="str">
        <f t="shared" si="298"/>
        <v/>
      </c>
      <c r="AK771" t="str">
        <f t="shared" si="299"/>
        <v/>
      </c>
    </row>
    <row r="772" spans="1:37" ht="15" customHeight="1" x14ac:dyDescent="0.25">
      <c r="A772" s="114"/>
      <c r="B772" s="116"/>
      <c r="C772" s="116"/>
      <c r="D772" s="42" t="str">
        <f t="shared" si="275"/>
        <v/>
      </c>
      <c r="E772" s="43"/>
      <c r="F772" s="83"/>
      <c r="G772" s="118"/>
      <c r="H772" s="34" t="str">
        <f t="shared" si="276"/>
        <v/>
      </c>
      <c r="I772" s="88" t="str">
        <f t="shared" si="277"/>
        <v/>
      </c>
      <c r="J772" s="44" t="str">
        <f t="shared" si="278"/>
        <v/>
      </c>
      <c r="K772" s="118"/>
      <c r="L772" s="34" t="str">
        <f t="shared" si="279"/>
        <v/>
      </c>
      <c r="M772" s="118"/>
      <c r="N772" s="121"/>
      <c r="O772" s="122" t="str">
        <f t="shared" si="288"/>
        <v/>
      </c>
      <c r="P772" s="35" t="str">
        <f t="shared" si="289"/>
        <v/>
      </c>
      <c r="Q772" s="124"/>
      <c r="R772" s="36" t="str">
        <f t="shared" si="290"/>
        <v/>
      </c>
      <c r="S772" s="37" t="str">
        <f t="shared" si="280"/>
        <v/>
      </c>
      <c r="T772" s="38" t="str">
        <f t="shared" si="281"/>
        <v/>
      </c>
      <c r="U772" s="39" t="str">
        <f t="shared" si="282"/>
        <v/>
      </c>
      <c r="V772" s="40" t="str">
        <f t="shared" si="283"/>
        <v/>
      </c>
      <c r="W772" s="39" t="str">
        <f t="shared" si="284"/>
        <v/>
      </c>
      <c r="X772" s="34" t="str">
        <f t="shared" si="285"/>
        <v/>
      </c>
      <c r="Y772" s="41" t="str">
        <f t="shared" si="291"/>
        <v/>
      </c>
      <c r="Z772" s="98" t="str">
        <f t="shared" si="286"/>
        <v/>
      </c>
      <c r="AA772" s="81" t="str">
        <f t="shared" si="292"/>
        <v/>
      </c>
      <c r="AC772" s="139"/>
      <c r="AD772" s="110" t="str">
        <f t="shared" si="293"/>
        <v/>
      </c>
      <c r="AE772" s="111" t="str">
        <f t="shared" si="294"/>
        <v/>
      </c>
      <c r="AF772" s="111" t="str">
        <f t="shared" si="287"/>
        <v/>
      </c>
      <c r="AG772" s="111" t="str">
        <f t="shared" si="295"/>
        <v/>
      </c>
      <c r="AH772" s="111" t="str">
        <f t="shared" si="296"/>
        <v/>
      </c>
      <c r="AI772" s="112" t="str">
        <f t="shared" si="297"/>
        <v/>
      </c>
      <c r="AJ772" t="str">
        <f t="shared" si="298"/>
        <v/>
      </c>
      <c r="AK772" t="str">
        <f t="shared" si="299"/>
        <v/>
      </c>
    </row>
    <row r="773" spans="1:37" ht="15" customHeight="1" x14ac:dyDescent="0.25">
      <c r="A773" s="114"/>
      <c r="B773" s="116"/>
      <c r="C773" s="116"/>
      <c r="D773" s="42" t="str">
        <f t="shared" si="275"/>
        <v/>
      </c>
      <c r="E773" s="43"/>
      <c r="F773" s="83"/>
      <c r="G773" s="118"/>
      <c r="H773" s="34" t="str">
        <f t="shared" si="276"/>
        <v/>
      </c>
      <c r="I773" s="88" t="str">
        <f t="shared" si="277"/>
        <v/>
      </c>
      <c r="J773" s="44" t="str">
        <f t="shared" si="278"/>
        <v/>
      </c>
      <c r="K773" s="118"/>
      <c r="L773" s="34" t="str">
        <f t="shared" si="279"/>
        <v/>
      </c>
      <c r="M773" s="118"/>
      <c r="N773" s="121"/>
      <c r="O773" s="122" t="str">
        <f t="shared" si="288"/>
        <v/>
      </c>
      <c r="P773" s="35" t="str">
        <f t="shared" si="289"/>
        <v/>
      </c>
      <c r="Q773" s="124"/>
      <c r="R773" s="36" t="str">
        <f t="shared" si="290"/>
        <v/>
      </c>
      <c r="S773" s="37" t="str">
        <f t="shared" si="280"/>
        <v/>
      </c>
      <c r="T773" s="38" t="str">
        <f t="shared" si="281"/>
        <v/>
      </c>
      <c r="U773" s="39" t="str">
        <f t="shared" si="282"/>
        <v/>
      </c>
      <c r="V773" s="40" t="str">
        <f t="shared" si="283"/>
        <v/>
      </c>
      <c r="W773" s="39" t="str">
        <f t="shared" si="284"/>
        <v/>
      </c>
      <c r="X773" s="34" t="str">
        <f t="shared" si="285"/>
        <v/>
      </c>
      <c r="Y773" s="41" t="str">
        <f t="shared" si="291"/>
        <v/>
      </c>
      <c r="Z773" s="98" t="str">
        <f t="shared" si="286"/>
        <v/>
      </c>
      <c r="AA773" s="81" t="str">
        <f t="shared" si="292"/>
        <v/>
      </c>
      <c r="AC773" s="139"/>
      <c r="AD773" s="110" t="str">
        <f t="shared" si="293"/>
        <v/>
      </c>
      <c r="AE773" s="111" t="str">
        <f t="shared" si="294"/>
        <v/>
      </c>
      <c r="AF773" s="111" t="str">
        <f t="shared" si="287"/>
        <v/>
      </c>
      <c r="AG773" s="111" t="str">
        <f t="shared" si="295"/>
        <v/>
      </c>
      <c r="AH773" s="111" t="str">
        <f t="shared" si="296"/>
        <v/>
      </c>
      <c r="AI773" s="112" t="str">
        <f t="shared" si="297"/>
        <v/>
      </c>
      <c r="AJ773" t="str">
        <f t="shared" si="298"/>
        <v/>
      </c>
      <c r="AK773" t="str">
        <f t="shared" si="299"/>
        <v/>
      </c>
    </row>
    <row r="774" spans="1:37" ht="15" customHeight="1" x14ac:dyDescent="0.25">
      <c r="A774" s="114"/>
      <c r="B774" s="116"/>
      <c r="C774" s="116"/>
      <c r="D774" s="42" t="str">
        <f t="shared" si="275"/>
        <v/>
      </c>
      <c r="E774" s="43"/>
      <c r="F774" s="83"/>
      <c r="G774" s="118"/>
      <c r="H774" s="34" t="str">
        <f t="shared" si="276"/>
        <v/>
      </c>
      <c r="I774" s="88" t="str">
        <f t="shared" si="277"/>
        <v/>
      </c>
      <c r="J774" s="44" t="str">
        <f t="shared" si="278"/>
        <v/>
      </c>
      <c r="K774" s="118"/>
      <c r="L774" s="34" t="str">
        <f t="shared" si="279"/>
        <v/>
      </c>
      <c r="M774" s="118"/>
      <c r="N774" s="121"/>
      <c r="O774" s="122" t="str">
        <f t="shared" si="288"/>
        <v/>
      </c>
      <c r="P774" s="35" t="str">
        <f t="shared" si="289"/>
        <v/>
      </c>
      <c r="Q774" s="124"/>
      <c r="R774" s="36" t="str">
        <f t="shared" si="290"/>
        <v/>
      </c>
      <c r="S774" s="37" t="str">
        <f t="shared" si="280"/>
        <v/>
      </c>
      <c r="T774" s="38" t="str">
        <f t="shared" si="281"/>
        <v/>
      </c>
      <c r="U774" s="39" t="str">
        <f t="shared" si="282"/>
        <v/>
      </c>
      <c r="V774" s="40" t="str">
        <f t="shared" si="283"/>
        <v/>
      </c>
      <c r="W774" s="39" t="str">
        <f t="shared" si="284"/>
        <v/>
      </c>
      <c r="X774" s="34" t="str">
        <f t="shared" si="285"/>
        <v/>
      </c>
      <c r="Y774" s="41" t="str">
        <f t="shared" si="291"/>
        <v/>
      </c>
      <c r="Z774" s="98" t="str">
        <f t="shared" si="286"/>
        <v/>
      </c>
      <c r="AA774" s="81" t="str">
        <f t="shared" si="292"/>
        <v/>
      </c>
      <c r="AC774" s="139"/>
      <c r="AD774" s="110" t="str">
        <f t="shared" si="293"/>
        <v/>
      </c>
      <c r="AE774" s="111" t="str">
        <f t="shared" si="294"/>
        <v/>
      </c>
      <c r="AF774" s="111" t="str">
        <f t="shared" si="287"/>
        <v/>
      </c>
      <c r="AG774" s="111" t="str">
        <f t="shared" si="295"/>
        <v/>
      </c>
      <c r="AH774" s="111" t="str">
        <f t="shared" si="296"/>
        <v/>
      </c>
      <c r="AI774" s="112" t="str">
        <f t="shared" si="297"/>
        <v/>
      </c>
      <c r="AJ774" t="str">
        <f t="shared" si="298"/>
        <v/>
      </c>
      <c r="AK774" t="str">
        <f t="shared" si="299"/>
        <v/>
      </c>
    </row>
    <row r="775" spans="1:37" ht="15" customHeight="1" x14ac:dyDescent="0.25">
      <c r="A775" s="114"/>
      <c r="B775" s="116"/>
      <c r="C775" s="116"/>
      <c r="D775" s="42" t="str">
        <f t="shared" si="275"/>
        <v/>
      </c>
      <c r="E775" s="43"/>
      <c r="F775" s="83"/>
      <c r="G775" s="118"/>
      <c r="H775" s="34" t="str">
        <f t="shared" si="276"/>
        <v/>
      </c>
      <c r="I775" s="88" t="str">
        <f t="shared" si="277"/>
        <v/>
      </c>
      <c r="J775" s="44" t="str">
        <f t="shared" si="278"/>
        <v/>
      </c>
      <c r="K775" s="118"/>
      <c r="L775" s="34" t="str">
        <f t="shared" si="279"/>
        <v/>
      </c>
      <c r="M775" s="118"/>
      <c r="N775" s="121"/>
      <c r="O775" s="122" t="str">
        <f t="shared" si="288"/>
        <v/>
      </c>
      <c r="P775" s="35" t="str">
        <f t="shared" si="289"/>
        <v/>
      </c>
      <c r="Q775" s="124"/>
      <c r="R775" s="36" t="str">
        <f t="shared" si="290"/>
        <v/>
      </c>
      <c r="S775" s="37" t="str">
        <f t="shared" si="280"/>
        <v/>
      </c>
      <c r="T775" s="38" t="str">
        <f t="shared" si="281"/>
        <v/>
      </c>
      <c r="U775" s="39" t="str">
        <f t="shared" si="282"/>
        <v/>
      </c>
      <c r="V775" s="40" t="str">
        <f t="shared" si="283"/>
        <v/>
      </c>
      <c r="W775" s="39" t="str">
        <f t="shared" si="284"/>
        <v/>
      </c>
      <c r="X775" s="34" t="str">
        <f t="shared" si="285"/>
        <v/>
      </c>
      <c r="Y775" s="41" t="str">
        <f t="shared" si="291"/>
        <v/>
      </c>
      <c r="Z775" s="98" t="str">
        <f t="shared" si="286"/>
        <v/>
      </c>
      <c r="AA775" s="81" t="str">
        <f t="shared" si="292"/>
        <v/>
      </c>
      <c r="AC775" s="139"/>
      <c r="AD775" s="110" t="str">
        <f t="shared" si="293"/>
        <v/>
      </c>
      <c r="AE775" s="111" t="str">
        <f t="shared" si="294"/>
        <v/>
      </c>
      <c r="AF775" s="111" t="str">
        <f t="shared" si="287"/>
        <v/>
      </c>
      <c r="AG775" s="111" t="str">
        <f t="shared" si="295"/>
        <v/>
      </c>
      <c r="AH775" s="111" t="str">
        <f t="shared" si="296"/>
        <v/>
      </c>
      <c r="AI775" s="112" t="str">
        <f t="shared" si="297"/>
        <v/>
      </c>
      <c r="AJ775" t="str">
        <f t="shared" si="298"/>
        <v/>
      </c>
      <c r="AK775" t="str">
        <f t="shared" si="299"/>
        <v/>
      </c>
    </row>
    <row r="776" spans="1:37" ht="15" customHeight="1" x14ac:dyDescent="0.25">
      <c r="A776" s="114"/>
      <c r="B776" s="116"/>
      <c r="C776" s="116"/>
      <c r="D776" s="42" t="str">
        <f t="shared" ref="D776:D839" si="300">IF(A776="","",B776*C776)</f>
        <v/>
      </c>
      <c r="E776" s="43"/>
      <c r="F776" s="83"/>
      <c r="G776" s="118"/>
      <c r="H776" s="34" t="str">
        <f t="shared" ref="H776:H839" si="301">IF(OR(G776=0,C776=0,G776="",C776=""),"",G776/C776)</f>
        <v/>
      </c>
      <c r="I776" s="88" t="str">
        <f t="shared" ref="I776:I839" si="302">IF(OR(G776="",F776=""),"",G776*(1-F776))</f>
        <v/>
      </c>
      <c r="J776" s="44" t="str">
        <f t="shared" ref="J776:J839" si="303">IF(A776="","",I776*B776)</f>
        <v/>
      </c>
      <c r="K776" s="118"/>
      <c r="L776" s="34" t="str">
        <f t="shared" ref="L776:L839" si="304">IF(OR(K776=0,C776=0,K776="",C776=""),"",K776/C776)</f>
        <v/>
      </c>
      <c r="M776" s="118"/>
      <c r="N776" s="121"/>
      <c r="O776" s="122" t="str">
        <f t="shared" si="288"/>
        <v/>
      </c>
      <c r="P776" s="35" t="str">
        <f t="shared" si="289"/>
        <v/>
      </c>
      <c r="Q776" s="124"/>
      <c r="R776" s="36" t="str">
        <f t="shared" si="290"/>
        <v/>
      </c>
      <c r="S776" s="37" t="str">
        <f t="shared" ref="S776:S839" si="305">IF(OR(A776="",R776=""),"",R776*C776)</f>
        <v/>
      </c>
      <c r="T776" s="38" t="str">
        <f t="shared" ref="T776:T839" si="306">IF(OR(A776="",G776&lt;=0,S776=""),"",(G776-S776)/G776)</f>
        <v/>
      </c>
      <c r="U776" s="39" t="str">
        <f t="shared" ref="U776:U839" si="307">IF(OR(G776=0,S776=0,G776="",S776=""),"",G776-S776)</f>
        <v/>
      </c>
      <c r="V776" s="40" t="str">
        <f t="shared" ref="V776:V839" si="308">IF(OR(A776="",K776&lt;=0,S776=""),"",(K776-S776)/K776)</f>
        <v/>
      </c>
      <c r="W776" s="39" t="str">
        <f t="shared" ref="W776:W839" si="309">IF(OR(K776=0,S776=0,K776="",S776=""),"",K776-S776)</f>
        <v/>
      </c>
      <c r="X776" s="34" t="str">
        <f t="shared" ref="X776:X839" si="310">IF(OR(J776="",J776=0,$N$5="",$L$3=0),"",($N$5/$L$3)*J776)</f>
        <v/>
      </c>
      <c r="Y776" s="41" t="str">
        <f t="shared" si="291"/>
        <v/>
      </c>
      <c r="Z776" s="98" t="str">
        <f t="shared" ref="Z776:Z839" si="311">IF(OR(R776=0,R776="",D776=0,D776=""),"",R776*(D776+E776))</f>
        <v/>
      </c>
      <c r="AA776" s="81" t="str">
        <f t="shared" si="292"/>
        <v/>
      </c>
      <c r="AC776" s="139"/>
      <c r="AD776" s="110" t="str">
        <f t="shared" si="293"/>
        <v/>
      </c>
      <c r="AE776" s="111" t="str">
        <f t="shared" si="294"/>
        <v/>
      </c>
      <c r="AF776" s="111" t="str">
        <f t="shared" ref="AF776:AF839" si="312">IF(AE776="","",AE776*$AD$1+IF(SUM($AE$8:$AE$1007)=0,0,$AD$2*AE776/SUM($AE$8:$AE$1007)))</f>
        <v/>
      </c>
      <c r="AG776" s="111" t="str">
        <f t="shared" si="295"/>
        <v/>
      </c>
      <c r="AH776" s="111" t="str">
        <f t="shared" si="296"/>
        <v/>
      </c>
      <c r="AI776" s="112" t="str">
        <f t="shared" si="297"/>
        <v/>
      </c>
      <c r="AJ776" t="str">
        <f t="shared" si="298"/>
        <v/>
      </c>
      <c r="AK776" t="str">
        <f t="shared" si="299"/>
        <v/>
      </c>
    </row>
    <row r="777" spans="1:37" ht="15" customHeight="1" x14ac:dyDescent="0.25">
      <c r="A777" s="114"/>
      <c r="B777" s="116"/>
      <c r="C777" s="116"/>
      <c r="D777" s="42" t="str">
        <f t="shared" si="300"/>
        <v/>
      </c>
      <c r="E777" s="43"/>
      <c r="F777" s="83"/>
      <c r="G777" s="118"/>
      <c r="H777" s="34" t="str">
        <f t="shared" si="301"/>
        <v/>
      </c>
      <c r="I777" s="88" t="str">
        <f t="shared" si="302"/>
        <v/>
      </c>
      <c r="J777" s="44" t="str">
        <f t="shared" si="303"/>
        <v/>
      </c>
      <c r="K777" s="118"/>
      <c r="L777" s="34" t="str">
        <f t="shared" si="304"/>
        <v/>
      </c>
      <c r="M777" s="118"/>
      <c r="N777" s="121"/>
      <c r="O777" s="122" t="str">
        <f t="shared" ref="O777:O840" si="313">IF(A777="","",IF(Q777&gt;0,IF(J777&gt;0,Q777/J777,0),IF(E777&gt;0,0,IF($J$3&gt;0,IF($J$4&gt;0,MAX($J$3-SUM($Q$8:$Q$1007),0)/$J$4,0),$J$2))))</f>
        <v/>
      </c>
      <c r="P777" s="35" t="str">
        <f t="shared" ref="P777:P840" si="314">IF(A777="","",IF(Q777&gt;0,Q777,IF(E777&gt;0,0,J777*IF($J$3&gt;0,IF($J$4&gt;0,MAX($J$3-SUM($Q$8:$Q$1007),0)/$J$4,0),$J$2))))</f>
        <v/>
      </c>
      <c r="Q777" s="124"/>
      <c r="R777" s="36" t="str">
        <f t="shared" ref="R777:R840" si="315">IF(A777="","",IF(OR(B777=0,B777="",C777&lt;=0,D777+E777&lt;=0),"",(J777-P777)/(D777+E777)-IF(X777&gt;=0,X777/D777,0)+IF(ISNUMBER(Y777),Y777/(D777+E777),0)))</f>
        <v/>
      </c>
      <c r="S777" s="37" t="str">
        <f t="shared" si="305"/>
        <v/>
      </c>
      <c r="T777" s="38" t="str">
        <f t="shared" si="306"/>
        <v/>
      </c>
      <c r="U777" s="39" t="str">
        <f t="shared" si="307"/>
        <v/>
      </c>
      <c r="V777" s="40" t="str">
        <f t="shared" si="308"/>
        <v/>
      </c>
      <c r="W777" s="39" t="str">
        <f t="shared" si="309"/>
        <v/>
      </c>
      <c r="X777" s="34" t="str">
        <f t="shared" si="310"/>
        <v/>
      </c>
      <c r="Y777" s="41" t="str">
        <f t="shared" ref="Y777:Y840" si="316">IF(OR(J777="",J777=0,($L$3-$L$2)=0),"",($J$1/($L$3-$L$2))*(J777-P777))</f>
        <v/>
      </c>
      <c r="Z777" s="98" t="str">
        <f t="shared" si="311"/>
        <v/>
      </c>
      <c r="AA777" s="81" t="str">
        <f t="shared" ref="AA777:AA840" si="317">IF(OR(B777=0,B777=""),"",J777)</f>
        <v/>
      </c>
      <c r="AC777" s="139"/>
      <c r="AD777" s="110" t="str">
        <f t="shared" ref="AD777:AD840" si="318">IF(AC777="","",R777)</f>
        <v/>
      </c>
      <c r="AE777" s="111" t="str">
        <f t="shared" ref="AE777:AE840" si="319">IF(OR(AC777="",AD777=""),"",AC777*AD777)</f>
        <v/>
      </c>
      <c r="AF777" s="111" t="str">
        <f t="shared" si="312"/>
        <v/>
      </c>
      <c r="AG777" s="111" t="str">
        <f t="shared" ref="AG777:AG840" si="320">IF(AE777="","",AE777-AF777)</f>
        <v/>
      </c>
      <c r="AH777" s="111" t="str">
        <f t="shared" ref="AH777:AH840" si="321">IF(AG777="","",AI777-AG777)</f>
        <v/>
      </c>
      <c r="AI777" s="112" t="str">
        <f t="shared" ref="AI777:AI840" si="322">IF(AG777="","",ROUND(AG777,0))</f>
        <v/>
      </c>
      <c r="AJ777" t="str">
        <f t="shared" ref="AJ777:AJ840" si="323">IF(OR(AC777=0,AC777=""),"",AF777/AC777)</f>
        <v/>
      </c>
      <c r="AK777" t="str">
        <f t="shared" ref="AK777:AK840" si="324">IF(OR(AC777=0,AC777=""),"",AD777*C777)</f>
        <v/>
      </c>
    </row>
    <row r="778" spans="1:37" ht="15" customHeight="1" x14ac:dyDescent="0.25">
      <c r="A778" s="114"/>
      <c r="B778" s="116"/>
      <c r="C778" s="116"/>
      <c r="D778" s="42" t="str">
        <f t="shared" si="300"/>
        <v/>
      </c>
      <c r="E778" s="43"/>
      <c r="F778" s="83"/>
      <c r="G778" s="118"/>
      <c r="H778" s="34" t="str">
        <f t="shared" si="301"/>
        <v/>
      </c>
      <c r="I778" s="88" t="str">
        <f t="shared" si="302"/>
        <v/>
      </c>
      <c r="J778" s="44" t="str">
        <f t="shared" si="303"/>
        <v/>
      </c>
      <c r="K778" s="118"/>
      <c r="L778" s="34" t="str">
        <f t="shared" si="304"/>
        <v/>
      </c>
      <c r="M778" s="118"/>
      <c r="N778" s="121"/>
      <c r="O778" s="122" t="str">
        <f t="shared" si="313"/>
        <v/>
      </c>
      <c r="P778" s="35" t="str">
        <f t="shared" si="314"/>
        <v/>
      </c>
      <c r="Q778" s="124"/>
      <c r="R778" s="36" t="str">
        <f t="shared" si="315"/>
        <v/>
      </c>
      <c r="S778" s="37" t="str">
        <f t="shared" si="305"/>
        <v/>
      </c>
      <c r="T778" s="38" t="str">
        <f t="shared" si="306"/>
        <v/>
      </c>
      <c r="U778" s="39" t="str">
        <f t="shared" si="307"/>
        <v/>
      </c>
      <c r="V778" s="40" t="str">
        <f t="shared" si="308"/>
        <v/>
      </c>
      <c r="W778" s="39" t="str">
        <f t="shared" si="309"/>
        <v/>
      </c>
      <c r="X778" s="34" t="str">
        <f t="shared" si="310"/>
        <v/>
      </c>
      <c r="Y778" s="41" t="str">
        <f t="shared" si="316"/>
        <v/>
      </c>
      <c r="Z778" s="98" t="str">
        <f t="shared" si="311"/>
        <v/>
      </c>
      <c r="AA778" s="81" t="str">
        <f t="shared" si="317"/>
        <v/>
      </c>
      <c r="AC778" s="139"/>
      <c r="AD778" s="110" t="str">
        <f t="shared" si="318"/>
        <v/>
      </c>
      <c r="AE778" s="111" t="str">
        <f t="shared" si="319"/>
        <v/>
      </c>
      <c r="AF778" s="111" t="str">
        <f t="shared" si="312"/>
        <v/>
      </c>
      <c r="AG778" s="111" t="str">
        <f t="shared" si="320"/>
        <v/>
      </c>
      <c r="AH778" s="111" t="str">
        <f t="shared" si="321"/>
        <v/>
      </c>
      <c r="AI778" s="112" t="str">
        <f t="shared" si="322"/>
        <v/>
      </c>
      <c r="AJ778" t="str">
        <f t="shared" si="323"/>
        <v/>
      </c>
      <c r="AK778" t="str">
        <f t="shared" si="324"/>
        <v/>
      </c>
    </row>
    <row r="779" spans="1:37" ht="15" customHeight="1" x14ac:dyDescent="0.25">
      <c r="A779" s="114"/>
      <c r="B779" s="116"/>
      <c r="C779" s="116"/>
      <c r="D779" s="42" t="str">
        <f t="shared" si="300"/>
        <v/>
      </c>
      <c r="E779" s="43"/>
      <c r="F779" s="83"/>
      <c r="G779" s="118"/>
      <c r="H779" s="34" t="str">
        <f t="shared" si="301"/>
        <v/>
      </c>
      <c r="I779" s="88" t="str">
        <f t="shared" si="302"/>
        <v/>
      </c>
      <c r="J779" s="44" t="str">
        <f t="shared" si="303"/>
        <v/>
      </c>
      <c r="K779" s="118"/>
      <c r="L779" s="34" t="str">
        <f t="shared" si="304"/>
        <v/>
      </c>
      <c r="M779" s="118"/>
      <c r="N779" s="121"/>
      <c r="O779" s="122" t="str">
        <f t="shared" si="313"/>
        <v/>
      </c>
      <c r="P779" s="35" t="str">
        <f t="shared" si="314"/>
        <v/>
      </c>
      <c r="Q779" s="124"/>
      <c r="R779" s="36" t="str">
        <f t="shared" si="315"/>
        <v/>
      </c>
      <c r="S779" s="37" t="str">
        <f t="shared" si="305"/>
        <v/>
      </c>
      <c r="T779" s="38" t="str">
        <f t="shared" si="306"/>
        <v/>
      </c>
      <c r="U779" s="39" t="str">
        <f t="shared" si="307"/>
        <v/>
      </c>
      <c r="V779" s="40" t="str">
        <f t="shared" si="308"/>
        <v/>
      </c>
      <c r="W779" s="39" t="str">
        <f t="shared" si="309"/>
        <v/>
      </c>
      <c r="X779" s="34" t="str">
        <f t="shared" si="310"/>
        <v/>
      </c>
      <c r="Y779" s="41" t="str">
        <f t="shared" si="316"/>
        <v/>
      </c>
      <c r="Z779" s="98" t="str">
        <f t="shared" si="311"/>
        <v/>
      </c>
      <c r="AA779" s="81" t="str">
        <f t="shared" si="317"/>
        <v/>
      </c>
      <c r="AC779" s="139"/>
      <c r="AD779" s="110" t="str">
        <f t="shared" si="318"/>
        <v/>
      </c>
      <c r="AE779" s="111" t="str">
        <f t="shared" si="319"/>
        <v/>
      </c>
      <c r="AF779" s="111" t="str">
        <f t="shared" si="312"/>
        <v/>
      </c>
      <c r="AG779" s="111" t="str">
        <f t="shared" si="320"/>
        <v/>
      </c>
      <c r="AH779" s="111" t="str">
        <f t="shared" si="321"/>
        <v/>
      </c>
      <c r="AI779" s="112" t="str">
        <f t="shared" si="322"/>
        <v/>
      </c>
      <c r="AJ779" t="str">
        <f t="shared" si="323"/>
        <v/>
      </c>
      <c r="AK779" t="str">
        <f t="shared" si="324"/>
        <v/>
      </c>
    </row>
    <row r="780" spans="1:37" ht="15" customHeight="1" x14ac:dyDescent="0.25">
      <c r="A780" s="114"/>
      <c r="B780" s="116"/>
      <c r="C780" s="116"/>
      <c r="D780" s="42" t="str">
        <f t="shared" si="300"/>
        <v/>
      </c>
      <c r="E780" s="43"/>
      <c r="F780" s="83"/>
      <c r="G780" s="118"/>
      <c r="H780" s="34" t="str">
        <f t="shared" si="301"/>
        <v/>
      </c>
      <c r="I780" s="88" t="str">
        <f t="shared" si="302"/>
        <v/>
      </c>
      <c r="J780" s="44" t="str">
        <f t="shared" si="303"/>
        <v/>
      </c>
      <c r="K780" s="118"/>
      <c r="L780" s="34" t="str">
        <f t="shared" si="304"/>
        <v/>
      </c>
      <c r="M780" s="118"/>
      <c r="N780" s="121"/>
      <c r="O780" s="122" t="str">
        <f t="shared" si="313"/>
        <v/>
      </c>
      <c r="P780" s="35" t="str">
        <f t="shared" si="314"/>
        <v/>
      </c>
      <c r="Q780" s="124"/>
      <c r="R780" s="36" t="str">
        <f t="shared" si="315"/>
        <v/>
      </c>
      <c r="S780" s="37" t="str">
        <f t="shared" si="305"/>
        <v/>
      </c>
      <c r="T780" s="38" t="str">
        <f t="shared" si="306"/>
        <v/>
      </c>
      <c r="U780" s="39" t="str">
        <f t="shared" si="307"/>
        <v/>
      </c>
      <c r="V780" s="40" t="str">
        <f t="shared" si="308"/>
        <v/>
      </c>
      <c r="W780" s="39" t="str">
        <f t="shared" si="309"/>
        <v/>
      </c>
      <c r="X780" s="34" t="str">
        <f t="shared" si="310"/>
        <v/>
      </c>
      <c r="Y780" s="41" t="str">
        <f t="shared" si="316"/>
        <v/>
      </c>
      <c r="Z780" s="98" t="str">
        <f t="shared" si="311"/>
        <v/>
      </c>
      <c r="AA780" s="81" t="str">
        <f t="shared" si="317"/>
        <v/>
      </c>
      <c r="AC780" s="139"/>
      <c r="AD780" s="110" t="str">
        <f t="shared" si="318"/>
        <v/>
      </c>
      <c r="AE780" s="111" t="str">
        <f t="shared" si="319"/>
        <v/>
      </c>
      <c r="AF780" s="111" t="str">
        <f t="shared" si="312"/>
        <v/>
      </c>
      <c r="AG780" s="111" t="str">
        <f t="shared" si="320"/>
        <v/>
      </c>
      <c r="AH780" s="111" t="str">
        <f t="shared" si="321"/>
        <v/>
      </c>
      <c r="AI780" s="112" t="str">
        <f t="shared" si="322"/>
        <v/>
      </c>
      <c r="AJ780" t="str">
        <f t="shared" si="323"/>
        <v/>
      </c>
      <c r="AK780" t="str">
        <f t="shared" si="324"/>
        <v/>
      </c>
    </row>
    <row r="781" spans="1:37" ht="15" customHeight="1" x14ac:dyDescent="0.25">
      <c r="A781" s="114"/>
      <c r="B781" s="116"/>
      <c r="C781" s="116"/>
      <c r="D781" s="42" t="str">
        <f t="shared" si="300"/>
        <v/>
      </c>
      <c r="E781" s="43"/>
      <c r="F781" s="83"/>
      <c r="G781" s="118"/>
      <c r="H781" s="34" t="str">
        <f t="shared" si="301"/>
        <v/>
      </c>
      <c r="I781" s="88" t="str">
        <f t="shared" si="302"/>
        <v/>
      </c>
      <c r="J781" s="44" t="str">
        <f t="shared" si="303"/>
        <v/>
      </c>
      <c r="K781" s="118"/>
      <c r="L781" s="34" t="str">
        <f t="shared" si="304"/>
        <v/>
      </c>
      <c r="M781" s="118"/>
      <c r="N781" s="121"/>
      <c r="O781" s="122" t="str">
        <f t="shared" si="313"/>
        <v/>
      </c>
      <c r="P781" s="35" t="str">
        <f t="shared" si="314"/>
        <v/>
      </c>
      <c r="Q781" s="124"/>
      <c r="R781" s="36" t="str">
        <f t="shared" si="315"/>
        <v/>
      </c>
      <c r="S781" s="37" t="str">
        <f t="shared" si="305"/>
        <v/>
      </c>
      <c r="T781" s="38" t="str">
        <f t="shared" si="306"/>
        <v/>
      </c>
      <c r="U781" s="39" t="str">
        <f t="shared" si="307"/>
        <v/>
      </c>
      <c r="V781" s="40" t="str">
        <f t="shared" si="308"/>
        <v/>
      </c>
      <c r="W781" s="39" t="str">
        <f t="shared" si="309"/>
        <v/>
      </c>
      <c r="X781" s="34" t="str">
        <f t="shared" si="310"/>
        <v/>
      </c>
      <c r="Y781" s="41" t="str">
        <f t="shared" si="316"/>
        <v/>
      </c>
      <c r="Z781" s="98" t="str">
        <f t="shared" si="311"/>
        <v/>
      </c>
      <c r="AA781" s="81" t="str">
        <f t="shared" si="317"/>
        <v/>
      </c>
      <c r="AC781" s="139"/>
      <c r="AD781" s="110" t="str">
        <f t="shared" si="318"/>
        <v/>
      </c>
      <c r="AE781" s="111" t="str">
        <f t="shared" si="319"/>
        <v/>
      </c>
      <c r="AF781" s="111" t="str">
        <f t="shared" si="312"/>
        <v/>
      </c>
      <c r="AG781" s="111" t="str">
        <f t="shared" si="320"/>
        <v/>
      </c>
      <c r="AH781" s="111" t="str">
        <f t="shared" si="321"/>
        <v/>
      </c>
      <c r="AI781" s="112" t="str">
        <f t="shared" si="322"/>
        <v/>
      </c>
      <c r="AJ781" t="str">
        <f t="shared" si="323"/>
        <v/>
      </c>
      <c r="AK781" t="str">
        <f t="shared" si="324"/>
        <v/>
      </c>
    </row>
    <row r="782" spans="1:37" ht="15" customHeight="1" x14ac:dyDescent="0.25">
      <c r="A782" s="114"/>
      <c r="B782" s="116"/>
      <c r="C782" s="116"/>
      <c r="D782" s="42" t="str">
        <f t="shared" si="300"/>
        <v/>
      </c>
      <c r="E782" s="43"/>
      <c r="F782" s="83"/>
      <c r="G782" s="118"/>
      <c r="H782" s="34" t="str">
        <f t="shared" si="301"/>
        <v/>
      </c>
      <c r="I782" s="88" t="str">
        <f t="shared" si="302"/>
        <v/>
      </c>
      <c r="J782" s="44" t="str">
        <f t="shared" si="303"/>
        <v/>
      </c>
      <c r="K782" s="118"/>
      <c r="L782" s="34" t="str">
        <f t="shared" si="304"/>
        <v/>
      </c>
      <c r="M782" s="118"/>
      <c r="N782" s="121"/>
      <c r="O782" s="122" t="str">
        <f t="shared" si="313"/>
        <v/>
      </c>
      <c r="P782" s="35" t="str">
        <f t="shared" si="314"/>
        <v/>
      </c>
      <c r="Q782" s="124"/>
      <c r="R782" s="36" t="str">
        <f t="shared" si="315"/>
        <v/>
      </c>
      <c r="S782" s="37" t="str">
        <f t="shared" si="305"/>
        <v/>
      </c>
      <c r="T782" s="38" t="str">
        <f t="shared" si="306"/>
        <v/>
      </c>
      <c r="U782" s="39" t="str">
        <f t="shared" si="307"/>
        <v/>
      </c>
      <c r="V782" s="40" t="str">
        <f t="shared" si="308"/>
        <v/>
      </c>
      <c r="W782" s="39" t="str">
        <f t="shared" si="309"/>
        <v/>
      </c>
      <c r="X782" s="34" t="str">
        <f t="shared" si="310"/>
        <v/>
      </c>
      <c r="Y782" s="41" t="str">
        <f t="shared" si="316"/>
        <v/>
      </c>
      <c r="Z782" s="98" t="str">
        <f t="shared" si="311"/>
        <v/>
      </c>
      <c r="AA782" s="81" t="str">
        <f t="shared" si="317"/>
        <v/>
      </c>
      <c r="AC782" s="139"/>
      <c r="AD782" s="110" t="str">
        <f t="shared" si="318"/>
        <v/>
      </c>
      <c r="AE782" s="111" t="str">
        <f t="shared" si="319"/>
        <v/>
      </c>
      <c r="AF782" s="111" t="str">
        <f t="shared" si="312"/>
        <v/>
      </c>
      <c r="AG782" s="111" t="str">
        <f t="shared" si="320"/>
        <v/>
      </c>
      <c r="AH782" s="111" t="str">
        <f t="shared" si="321"/>
        <v/>
      </c>
      <c r="AI782" s="112" t="str">
        <f t="shared" si="322"/>
        <v/>
      </c>
      <c r="AJ782" t="str">
        <f t="shared" si="323"/>
        <v/>
      </c>
      <c r="AK782" t="str">
        <f t="shared" si="324"/>
        <v/>
      </c>
    </row>
    <row r="783" spans="1:37" ht="15" customHeight="1" x14ac:dyDescent="0.25">
      <c r="A783" s="114"/>
      <c r="B783" s="116"/>
      <c r="C783" s="116"/>
      <c r="D783" s="42" t="str">
        <f t="shared" si="300"/>
        <v/>
      </c>
      <c r="E783" s="43"/>
      <c r="F783" s="83"/>
      <c r="G783" s="118"/>
      <c r="H783" s="34" t="str">
        <f t="shared" si="301"/>
        <v/>
      </c>
      <c r="I783" s="88" t="str">
        <f t="shared" si="302"/>
        <v/>
      </c>
      <c r="J783" s="44" t="str">
        <f t="shared" si="303"/>
        <v/>
      </c>
      <c r="K783" s="118"/>
      <c r="L783" s="34" t="str">
        <f t="shared" si="304"/>
        <v/>
      </c>
      <c r="M783" s="118"/>
      <c r="N783" s="121"/>
      <c r="O783" s="122" t="str">
        <f t="shared" si="313"/>
        <v/>
      </c>
      <c r="P783" s="35" t="str">
        <f t="shared" si="314"/>
        <v/>
      </c>
      <c r="Q783" s="124"/>
      <c r="R783" s="36" t="str">
        <f t="shared" si="315"/>
        <v/>
      </c>
      <c r="S783" s="37" t="str">
        <f t="shared" si="305"/>
        <v/>
      </c>
      <c r="T783" s="38" t="str">
        <f t="shared" si="306"/>
        <v/>
      </c>
      <c r="U783" s="39" t="str">
        <f t="shared" si="307"/>
        <v/>
      </c>
      <c r="V783" s="40" t="str">
        <f t="shared" si="308"/>
        <v/>
      </c>
      <c r="W783" s="39" t="str">
        <f t="shared" si="309"/>
        <v/>
      </c>
      <c r="X783" s="34" t="str">
        <f t="shared" si="310"/>
        <v/>
      </c>
      <c r="Y783" s="41" t="str">
        <f t="shared" si="316"/>
        <v/>
      </c>
      <c r="Z783" s="98" t="str">
        <f t="shared" si="311"/>
        <v/>
      </c>
      <c r="AA783" s="81" t="str">
        <f t="shared" si="317"/>
        <v/>
      </c>
      <c r="AC783" s="139"/>
      <c r="AD783" s="110" t="str">
        <f t="shared" si="318"/>
        <v/>
      </c>
      <c r="AE783" s="111" t="str">
        <f t="shared" si="319"/>
        <v/>
      </c>
      <c r="AF783" s="111" t="str">
        <f t="shared" si="312"/>
        <v/>
      </c>
      <c r="AG783" s="111" t="str">
        <f t="shared" si="320"/>
        <v/>
      </c>
      <c r="AH783" s="111" t="str">
        <f t="shared" si="321"/>
        <v/>
      </c>
      <c r="AI783" s="112" t="str">
        <f t="shared" si="322"/>
        <v/>
      </c>
      <c r="AJ783" t="str">
        <f t="shared" si="323"/>
        <v/>
      </c>
      <c r="AK783" t="str">
        <f t="shared" si="324"/>
        <v/>
      </c>
    </row>
    <row r="784" spans="1:37" ht="15" customHeight="1" x14ac:dyDescent="0.25">
      <c r="A784" s="114"/>
      <c r="B784" s="116"/>
      <c r="C784" s="116"/>
      <c r="D784" s="42" t="str">
        <f t="shared" si="300"/>
        <v/>
      </c>
      <c r="E784" s="43"/>
      <c r="F784" s="83"/>
      <c r="G784" s="118"/>
      <c r="H784" s="34" t="str">
        <f t="shared" si="301"/>
        <v/>
      </c>
      <c r="I784" s="88" t="str">
        <f t="shared" si="302"/>
        <v/>
      </c>
      <c r="J784" s="44" t="str">
        <f t="shared" si="303"/>
        <v/>
      </c>
      <c r="K784" s="118"/>
      <c r="L784" s="34" t="str">
        <f t="shared" si="304"/>
        <v/>
      </c>
      <c r="M784" s="118"/>
      <c r="N784" s="121"/>
      <c r="O784" s="122" t="str">
        <f t="shared" si="313"/>
        <v/>
      </c>
      <c r="P784" s="35" t="str">
        <f t="shared" si="314"/>
        <v/>
      </c>
      <c r="Q784" s="124"/>
      <c r="R784" s="36" t="str">
        <f t="shared" si="315"/>
        <v/>
      </c>
      <c r="S784" s="37" t="str">
        <f t="shared" si="305"/>
        <v/>
      </c>
      <c r="T784" s="38" t="str">
        <f t="shared" si="306"/>
        <v/>
      </c>
      <c r="U784" s="39" t="str">
        <f t="shared" si="307"/>
        <v/>
      </c>
      <c r="V784" s="40" t="str">
        <f t="shared" si="308"/>
        <v/>
      </c>
      <c r="W784" s="39" t="str">
        <f t="shared" si="309"/>
        <v/>
      </c>
      <c r="X784" s="34" t="str">
        <f t="shared" si="310"/>
        <v/>
      </c>
      <c r="Y784" s="41" t="str">
        <f t="shared" si="316"/>
        <v/>
      </c>
      <c r="Z784" s="98" t="str">
        <f t="shared" si="311"/>
        <v/>
      </c>
      <c r="AA784" s="81" t="str">
        <f t="shared" si="317"/>
        <v/>
      </c>
      <c r="AC784" s="139"/>
      <c r="AD784" s="110" t="str">
        <f t="shared" si="318"/>
        <v/>
      </c>
      <c r="AE784" s="111" t="str">
        <f t="shared" si="319"/>
        <v/>
      </c>
      <c r="AF784" s="111" t="str">
        <f t="shared" si="312"/>
        <v/>
      </c>
      <c r="AG784" s="111" t="str">
        <f t="shared" si="320"/>
        <v/>
      </c>
      <c r="AH784" s="111" t="str">
        <f t="shared" si="321"/>
        <v/>
      </c>
      <c r="AI784" s="112" t="str">
        <f t="shared" si="322"/>
        <v/>
      </c>
      <c r="AJ784" t="str">
        <f t="shared" si="323"/>
        <v/>
      </c>
      <c r="AK784" t="str">
        <f t="shared" si="324"/>
        <v/>
      </c>
    </row>
    <row r="785" spans="1:37" ht="15" customHeight="1" x14ac:dyDescent="0.25">
      <c r="A785" s="114"/>
      <c r="B785" s="116"/>
      <c r="C785" s="116"/>
      <c r="D785" s="42" t="str">
        <f t="shared" si="300"/>
        <v/>
      </c>
      <c r="E785" s="43"/>
      <c r="F785" s="83"/>
      <c r="G785" s="118"/>
      <c r="H785" s="34" t="str">
        <f t="shared" si="301"/>
        <v/>
      </c>
      <c r="I785" s="88" t="str">
        <f t="shared" si="302"/>
        <v/>
      </c>
      <c r="J785" s="44" t="str">
        <f t="shared" si="303"/>
        <v/>
      </c>
      <c r="K785" s="118"/>
      <c r="L785" s="34" t="str">
        <f t="shared" si="304"/>
        <v/>
      </c>
      <c r="M785" s="118"/>
      <c r="N785" s="121"/>
      <c r="O785" s="122" t="str">
        <f t="shared" si="313"/>
        <v/>
      </c>
      <c r="P785" s="35" t="str">
        <f t="shared" si="314"/>
        <v/>
      </c>
      <c r="Q785" s="124"/>
      <c r="R785" s="36" t="str">
        <f t="shared" si="315"/>
        <v/>
      </c>
      <c r="S785" s="37" t="str">
        <f t="shared" si="305"/>
        <v/>
      </c>
      <c r="T785" s="38" t="str">
        <f t="shared" si="306"/>
        <v/>
      </c>
      <c r="U785" s="39" t="str">
        <f t="shared" si="307"/>
        <v/>
      </c>
      <c r="V785" s="40" t="str">
        <f t="shared" si="308"/>
        <v/>
      </c>
      <c r="W785" s="39" t="str">
        <f t="shared" si="309"/>
        <v/>
      </c>
      <c r="X785" s="34" t="str">
        <f t="shared" si="310"/>
        <v/>
      </c>
      <c r="Y785" s="41" t="str">
        <f t="shared" si="316"/>
        <v/>
      </c>
      <c r="Z785" s="98" t="str">
        <f t="shared" si="311"/>
        <v/>
      </c>
      <c r="AA785" s="81" t="str">
        <f t="shared" si="317"/>
        <v/>
      </c>
      <c r="AC785" s="139"/>
      <c r="AD785" s="110" t="str">
        <f t="shared" si="318"/>
        <v/>
      </c>
      <c r="AE785" s="111" t="str">
        <f t="shared" si="319"/>
        <v/>
      </c>
      <c r="AF785" s="111" t="str">
        <f t="shared" si="312"/>
        <v/>
      </c>
      <c r="AG785" s="111" t="str">
        <f t="shared" si="320"/>
        <v/>
      </c>
      <c r="AH785" s="111" t="str">
        <f t="shared" si="321"/>
        <v/>
      </c>
      <c r="AI785" s="112" t="str">
        <f t="shared" si="322"/>
        <v/>
      </c>
      <c r="AJ785" t="str">
        <f t="shared" si="323"/>
        <v/>
      </c>
      <c r="AK785" t="str">
        <f t="shared" si="324"/>
        <v/>
      </c>
    </row>
    <row r="786" spans="1:37" ht="15" customHeight="1" x14ac:dyDescent="0.25">
      <c r="A786" s="114"/>
      <c r="B786" s="116"/>
      <c r="C786" s="116"/>
      <c r="D786" s="42" t="str">
        <f t="shared" si="300"/>
        <v/>
      </c>
      <c r="E786" s="43"/>
      <c r="F786" s="83"/>
      <c r="G786" s="118"/>
      <c r="H786" s="34" t="str">
        <f t="shared" si="301"/>
        <v/>
      </c>
      <c r="I786" s="88" t="str">
        <f t="shared" si="302"/>
        <v/>
      </c>
      <c r="J786" s="44" t="str">
        <f t="shared" si="303"/>
        <v/>
      </c>
      <c r="K786" s="118"/>
      <c r="L786" s="34" t="str">
        <f t="shared" si="304"/>
        <v/>
      </c>
      <c r="M786" s="118"/>
      <c r="N786" s="121"/>
      <c r="O786" s="122" t="str">
        <f t="shared" si="313"/>
        <v/>
      </c>
      <c r="P786" s="35" t="str">
        <f t="shared" si="314"/>
        <v/>
      </c>
      <c r="Q786" s="124"/>
      <c r="R786" s="36" t="str">
        <f t="shared" si="315"/>
        <v/>
      </c>
      <c r="S786" s="37" t="str">
        <f t="shared" si="305"/>
        <v/>
      </c>
      <c r="T786" s="38" t="str">
        <f t="shared" si="306"/>
        <v/>
      </c>
      <c r="U786" s="39" t="str">
        <f t="shared" si="307"/>
        <v/>
      </c>
      <c r="V786" s="40" t="str">
        <f t="shared" si="308"/>
        <v/>
      </c>
      <c r="W786" s="39" t="str">
        <f t="shared" si="309"/>
        <v/>
      </c>
      <c r="X786" s="34" t="str">
        <f t="shared" si="310"/>
        <v/>
      </c>
      <c r="Y786" s="41" t="str">
        <f t="shared" si="316"/>
        <v/>
      </c>
      <c r="Z786" s="98" t="str">
        <f t="shared" si="311"/>
        <v/>
      </c>
      <c r="AA786" s="81" t="str">
        <f t="shared" si="317"/>
        <v/>
      </c>
      <c r="AC786" s="139"/>
      <c r="AD786" s="110" t="str">
        <f t="shared" si="318"/>
        <v/>
      </c>
      <c r="AE786" s="111" t="str">
        <f t="shared" si="319"/>
        <v/>
      </c>
      <c r="AF786" s="111" t="str">
        <f t="shared" si="312"/>
        <v/>
      </c>
      <c r="AG786" s="111" t="str">
        <f t="shared" si="320"/>
        <v/>
      </c>
      <c r="AH786" s="111" t="str">
        <f t="shared" si="321"/>
        <v/>
      </c>
      <c r="AI786" s="112" t="str">
        <f t="shared" si="322"/>
        <v/>
      </c>
      <c r="AJ786" t="str">
        <f t="shared" si="323"/>
        <v/>
      </c>
      <c r="AK786" t="str">
        <f t="shared" si="324"/>
        <v/>
      </c>
    </row>
    <row r="787" spans="1:37" ht="15" customHeight="1" x14ac:dyDescent="0.25">
      <c r="A787" s="114"/>
      <c r="B787" s="116"/>
      <c r="C787" s="116"/>
      <c r="D787" s="42" t="str">
        <f t="shared" si="300"/>
        <v/>
      </c>
      <c r="E787" s="43"/>
      <c r="F787" s="83"/>
      <c r="G787" s="118"/>
      <c r="H787" s="34" t="str">
        <f t="shared" si="301"/>
        <v/>
      </c>
      <c r="I787" s="88" t="str">
        <f t="shared" si="302"/>
        <v/>
      </c>
      <c r="J787" s="44" t="str">
        <f t="shared" si="303"/>
        <v/>
      </c>
      <c r="K787" s="118"/>
      <c r="L787" s="34" t="str">
        <f t="shared" si="304"/>
        <v/>
      </c>
      <c r="M787" s="118"/>
      <c r="N787" s="121"/>
      <c r="O787" s="122" t="str">
        <f t="shared" si="313"/>
        <v/>
      </c>
      <c r="P787" s="35" t="str">
        <f t="shared" si="314"/>
        <v/>
      </c>
      <c r="Q787" s="124"/>
      <c r="R787" s="36" t="str">
        <f t="shared" si="315"/>
        <v/>
      </c>
      <c r="S787" s="37" t="str">
        <f t="shared" si="305"/>
        <v/>
      </c>
      <c r="T787" s="38" t="str">
        <f t="shared" si="306"/>
        <v/>
      </c>
      <c r="U787" s="39" t="str">
        <f t="shared" si="307"/>
        <v/>
      </c>
      <c r="V787" s="40" t="str">
        <f t="shared" si="308"/>
        <v/>
      </c>
      <c r="W787" s="39" t="str">
        <f t="shared" si="309"/>
        <v/>
      </c>
      <c r="X787" s="34" t="str">
        <f t="shared" si="310"/>
        <v/>
      </c>
      <c r="Y787" s="41" t="str">
        <f t="shared" si="316"/>
        <v/>
      </c>
      <c r="Z787" s="98" t="str">
        <f t="shared" si="311"/>
        <v/>
      </c>
      <c r="AA787" s="81" t="str">
        <f t="shared" si="317"/>
        <v/>
      </c>
      <c r="AC787" s="139"/>
      <c r="AD787" s="110" t="str">
        <f t="shared" si="318"/>
        <v/>
      </c>
      <c r="AE787" s="111" t="str">
        <f t="shared" si="319"/>
        <v/>
      </c>
      <c r="AF787" s="111" t="str">
        <f t="shared" si="312"/>
        <v/>
      </c>
      <c r="AG787" s="111" t="str">
        <f t="shared" si="320"/>
        <v/>
      </c>
      <c r="AH787" s="111" t="str">
        <f t="shared" si="321"/>
        <v/>
      </c>
      <c r="AI787" s="112" t="str">
        <f t="shared" si="322"/>
        <v/>
      </c>
      <c r="AJ787" t="str">
        <f t="shared" si="323"/>
        <v/>
      </c>
      <c r="AK787" t="str">
        <f t="shared" si="324"/>
        <v/>
      </c>
    </row>
    <row r="788" spans="1:37" ht="15" customHeight="1" x14ac:dyDescent="0.25">
      <c r="A788" s="114"/>
      <c r="B788" s="116"/>
      <c r="C788" s="116"/>
      <c r="D788" s="42" t="str">
        <f t="shared" si="300"/>
        <v/>
      </c>
      <c r="E788" s="43"/>
      <c r="F788" s="83"/>
      <c r="G788" s="118"/>
      <c r="H788" s="34" t="str">
        <f t="shared" si="301"/>
        <v/>
      </c>
      <c r="I788" s="88" t="str">
        <f t="shared" si="302"/>
        <v/>
      </c>
      <c r="J788" s="44" t="str">
        <f t="shared" si="303"/>
        <v/>
      </c>
      <c r="K788" s="118"/>
      <c r="L788" s="34" t="str">
        <f t="shared" si="304"/>
        <v/>
      </c>
      <c r="M788" s="118"/>
      <c r="N788" s="121"/>
      <c r="O788" s="122" t="str">
        <f t="shared" si="313"/>
        <v/>
      </c>
      <c r="P788" s="35" t="str">
        <f t="shared" si="314"/>
        <v/>
      </c>
      <c r="Q788" s="124"/>
      <c r="R788" s="36" t="str">
        <f t="shared" si="315"/>
        <v/>
      </c>
      <c r="S788" s="37" t="str">
        <f t="shared" si="305"/>
        <v/>
      </c>
      <c r="T788" s="38" t="str">
        <f t="shared" si="306"/>
        <v/>
      </c>
      <c r="U788" s="39" t="str">
        <f t="shared" si="307"/>
        <v/>
      </c>
      <c r="V788" s="40" t="str">
        <f t="shared" si="308"/>
        <v/>
      </c>
      <c r="W788" s="39" t="str">
        <f t="shared" si="309"/>
        <v/>
      </c>
      <c r="X788" s="34" t="str">
        <f t="shared" si="310"/>
        <v/>
      </c>
      <c r="Y788" s="41" t="str">
        <f t="shared" si="316"/>
        <v/>
      </c>
      <c r="Z788" s="98" t="str">
        <f t="shared" si="311"/>
        <v/>
      </c>
      <c r="AA788" s="81" t="str">
        <f t="shared" si="317"/>
        <v/>
      </c>
      <c r="AC788" s="139"/>
      <c r="AD788" s="110" t="str">
        <f t="shared" si="318"/>
        <v/>
      </c>
      <c r="AE788" s="111" t="str">
        <f t="shared" si="319"/>
        <v/>
      </c>
      <c r="AF788" s="111" t="str">
        <f t="shared" si="312"/>
        <v/>
      </c>
      <c r="AG788" s="111" t="str">
        <f t="shared" si="320"/>
        <v/>
      </c>
      <c r="AH788" s="111" t="str">
        <f t="shared" si="321"/>
        <v/>
      </c>
      <c r="AI788" s="112" t="str">
        <f t="shared" si="322"/>
        <v/>
      </c>
      <c r="AJ788" t="str">
        <f t="shared" si="323"/>
        <v/>
      </c>
      <c r="AK788" t="str">
        <f t="shared" si="324"/>
        <v/>
      </c>
    </row>
    <row r="789" spans="1:37" ht="15" customHeight="1" x14ac:dyDescent="0.25">
      <c r="A789" s="114"/>
      <c r="B789" s="116"/>
      <c r="C789" s="116"/>
      <c r="D789" s="42" t="str">
        <f t="shared" si="300"/>
        <v/>
      </c>
      <c r="E789" s="43"/>
      <c r="F789" s="83"/>
      <c r="G789" s="118"/>
      <c r="H789" s="34" t="str">
        <f t="shared" si="301"/>
        <v/>
      </c>
      <c r="I789" s="88" t="str">
        <f t="shared" si="302"/>
        <v/>
      </c>
      <c r="J789" s="44" t="str">
        <f t="shared" si="303"/>
        <v/>
      </c>
      <c r="K789" s="118"/>
      <c r="L789" s="34" t="str">
        <f t="shared" si="304"/>
        <v/>
      </c>
      <c r="M789" s="118"/>
      <c r="N789" s="121"/>
      <c r="O789" s="122" t="str">
        <f t="shared" si="313"/>
        <v/>
      </c>
      <c r="P789" s="35" t="str">
        <f t="shared" si="314"/>
        <v/>
      </c>
      <c r="Q789" s="124"/>
      <c r="R789" s="36" t="str">
        <f t="shared" si="315"/>
        <v/>
      </c>
      <c r="S789" s="37" t="str">
        <f t="shared" si="305"/>
        <v/>
      </c>
      <c r="T789" s="38" t="str">
        <f t="shared" si="306"/>
        <v/>
      </c>
      <c r="U789" s="39" t="str">
        <f t="shared" si="307"/>
        <v/>
      </c>
      <c r="V789" s="40" t="str">
        <f t="shared" si="308"/>
        <v/>
      </c>
      <c r="W789" s="39" t="str">
        <f t="shared" si="309"/>
        <v/>
      </c>
      <c r="X789" s="34" t="str">
        <f t="shared" si="310"/>
        <v/>
      </c>
      <c r="Y789" s="41" t="str">
        <f t="shared" si="316"/>
        <v/>
      </c>
      <c r="Z789" s="98" t="str">
        <f t="shared" si="311"/>
        <v/>
      </c>
      <c r="AA789" s="81" t="str">
        <f t="shared" si="317"/>
        <v/>
      </c>
      <c r="AC789" s="139"/>
      <c r="AD789" s="110" t="str">
        <f t="shared" si="318"/>
        <v/>
      </c>
      <c r="AE789" s="111" t="str">
        <f t="shared" si="319"/>
        <v/>
      </c>
      <c r="AF789" s="111" t="str">
        <f t="shared" si="312"/>
        <v/>
      </c>
      <c r="AG789" s="111" t="str">
        <f t="shared" si="320"/>
        <v/>
      </c>
      <c r="AH789" s="111" t="str">
        <f t="shared" si="321"/>
        <v/>
      </c>
      <c r="AI789" s="112" t="str">
        <f t="shared" si="322"/>
        <v/>
      </c>
      <c r="AJ789" t="str">
        <f t="shared" si="323"/>
        <v/>
      </c>
      <c r="AK789" t="str">
        <f t="shared" si="324"/>
        <v/>
      </c>
    </row>
    <row r="790" spans="1:37" ht="15" customHeight="1" x14ac:dyDescent="0.25">
      <c r="A790" s="114"/>
      <c r="B790" s="116"/>
      <c r="C790" s="116"/>
      <c r="D790" s="42" t="str">
        <f t="shared" si="300"/>
        <v/>
      </c>
      <c r="E790" s="43"/>
      <c r="F790" s="83"/>
      <c r="G790" s="118"/>
      <c r="H790" s="34" t="str">
        <f t="shared" si="301"/>
        <v/>
      </c>
      <c r="I790" s="88" t="str">
        <f t="shared" si="302"/>
        <v/>
      </c>
      <c r="J790" s="44" t="str">
        <f t="shared" si="303"/>
        <v/>
      </c>
      <c r="K790" s="118"/>
      <c r="L790" s="34" t="str">
        <f t="shared" si="304"/>
        <v/>
      </c>
      <c r="M790" s="118"/>
      <c r="N790" s="121"/>
      <c r="O790" s="122" t="str">
        <f t="shared" si="313"/>
        <v/>
      </c>
      <c r="P790" s="35" t="str">
        <f t="shared" si="314"/>
        <v/>
      </c>
      <c r="Q790" s="124"/>
      <c r="R790" s="36" t="str">
        <f t="shared" si="315"/>
        <v/>
      </c>
      <c r="S790" s="37" t="str">
        <f t="shared" si="305"/>
        <v/>
      </c>
      <c r="T790" s="38" t="str">
        <f t="shared" si="306"/>
        <v/>
      </c>
      <c r="U790" s="39" t="str">
        <f t="shared" si="307"/>
        <v/>
      </c>
      <c r="V790" s="40" t="str">
        <f t="shared" si="308"/>
        <v/>
      </c>
      <c r="W790" s="39" t="str">
        <f t="shared" si="309"/>
        <v/>
      </c>
      <c r="X790" s="34" t="str">
        <f t="shared" si="310"/>
        <v/>
      </c>
      <c r="Y790" s="41" t="str">
        <f t="shared" si="316"/>
        <v/>
      </c>
      <c r="Z790" s="98" t="str">
        <f t="shared" si="311"/>
        <v/>
      </c>
      <c r="AA790" s="81" t="str">
        <f t="shared" si="317"/>
        <v/>
      </c>
      <c r="AC790" s="139"/>
      <c r="AD790" s="110" t="str">
        <f t="shared" si="318"/>
        <v/>
      </c>
      <c r="AE790" s="111" t="str">
        <f t="shared" si="319"/>
        <v/>
      </c>
      <c r="AF790" s="111" t="str">
        <f t="shared" si="312"/>
        <v/>
      </c>
      <c r="AG790" s="111" t="str">
        <f t="shared" si="320"/>
        <v/>
      </c>
      <c r="AH790" s="111" t="str">
        <f t="shared" si="321"/>
        <v/>
      </c>
      <c r="AI790" s="112" t="str">
        <f t="shared" si="322"/>
        <v/>
      </c>
      <c r="AJ790" t="str">
        <f t="shared" si="323"/>
        <v/>
      </c>
      <c r="AK790" t="str">
        <f t="shared" si="324"/>
        <v/>
      </c>
    </row>
    <row r="791" spans="1:37" ht="15" customHeight="1" x14ac:dyDescent="0.25">
      <c r="A791" s="114"/>
      <c r="B791" s="116"/>
      <c r="C791" s="116"/>
      <c r="D791" s="42" t="str">
        <f t="shared" si="300"/>
        <v/>
      </c>
      <c r="E791" s="43"/>
      <c r="F791" s="83"/>
      <c r="G791" s="118"/>
      <c r="H791" s="34" t="str">
        <f t="shared" si="301"/>
        <v/>
      </c>
      <c r="I791" s="88" t="str">
        <f t="shared" si="302"/>
        <v/>
      </c>
      <c r="J791" s="44" t="str">
        <f t="shared" si="303"/>
        <v/>
      </c>
      <c r="K791" s="118"/>
      <c r="L791" s="34" t="str">
        <f t="shared" si="304"/>
        <v/>
      </c>
      <c r="M791" s="118"/>
      <c r="N791" s="121"/>
      <c r="O791" s="122" t="str">
        <f t="shared" si="313"/>
        <v/>
      </c>
      <c r="P791" s="35" t="str">
        <f t="shared" si="314"/>
        <v/>
      </c>
      <c r="Q791" s="124"/>
      <c r="R791" s="36" t="str">
        <f t="shared" si="315"/>
        <v/>
      </c>
      <c r="S791" s="37" t="str">
        <f t="shared" si="305"/>
        <v/>
      </c>
      <c r="T791" s="38" t="str">
        <f t="shared" si="306"/>
        <v/>
      </c>
      <c r="U791" s="39" t="str">
        <f t="shared" si="307"/>
        <v/>
      </c>
      <c r="V791" s="40" t="str">
        <f t="shared" si="308"/>
        <v/>
      </c>
      <c r="W791" s="39" t="str">
        <f t="shared" si="309"/>
        <v/>
      </c>
      <c r="X791" s="34" t="str">
        <f t="shared" si="310"/>
        <v/>
      </c>
      <c r="Y791" s="41" t="str">
        <f t="shared" si="316"/>
        <v/>
      </c>
      <c r="Z791" s="98" t="str">
        <f t="shared" si="311"/>
        <v/>
      </c>
      <c r="AA791" s="81" t="str">
        <f t="shared" si="317"/>
        <v/>
      </c>
      <c r="AC791" s="139"/>
      <c r="AD791" s="110" t="str">
        <f t="shared" si="318"/>
        <v/>
      </c>
      <c r="AE791" s="111" t="str">
        <f t="shared" si="319"/>
        <v/>
      </c>
      <c r="AF791" s="111" t="str">
        <f t="shared" si="312"/>
        <v/>
      </c>
      <c r="AG791" s="111" t="str">
        <f t="shared" si="320"/>
        <v/>
      </c>
      <c r="AH791" s="111" t="str">
        <f t="shared" si="321"/>
        <v/>
      </c>
      <c r="AI791" s="112" t="str">
        <f t="shared" si="322"/>
        <v/>
      </c>
      <c r="AJ791" t="str">
        <f t="shared" si="323"/>
        <v/>
      </c>
      <c r="AK791" t="str">
        <f t="shared" si="324"/>
        <v/>
      </c>
    </row>
    <row r="792" spans="1:37" ht="15" customHeight="1" x14ac:dyDescent="0.25">
      <c r="A792" s="114"/>
      <c r="B792" s="116"/>
      <c r="C792" s="116"/>
      <c r="D792" s="42" t="str">
        <f t="shared" si="300"/>
        <v/>
      </c>
      <c r="E792" s="43"/>
      <c r="F792" s="83"/>
      <c r="G792" s="118"/>
      <c r="H792" s="34" t="str">
        <f t="shared" si="301"/>
        <v/>
      </c>
      <c r="I792" s="88" t="str">
        <f t="shared" si="302"/>
        <v/>
      </c>
      <c r="J792" s="44" t="str">
        <f t="shared" si="303"/>
        <v/>
      </c>
      <c r="K792" s="118"/>
      <c r="L792" s="34" t="str">
        <f t="shared" si="304"/>
        <v/>
      </c>
      <c r="M792" s="118"/>
      <c r="N792" s="121"/>
      <c r="O792" s="122" t="str">
        <f t="shared" si="313"/>
        <v/>
      </c>
      <c r="P792" s="35" t="str">
        <f t="shared" si="314"/>
        <v/>
      </c>
      <c r="Q792" s="124"/>
      <c r="R792" s="36" t="str">
        <f t="shared" si="315"/>
        <v/>
      </c>
      <c r="S792" s="37" t="str">
        <f t="shared" si="305"/>
        <v/>
      </c>
      <c r="T792" s="38" t="str">
        <f t="shared" si="306"/>
        <v/>
      </c>
      <c r="U792" s="39" t="str">
        <f t="shared" si="307"/>
        <v/>
      </c>
      <c r="V792" s="40" t="str">
        <f t="shared" si="308"/>
        <v/>
      </c>
      <c r="W792" s="39" t="str">
        <f t="shared" si="309"/>
        <v/>
      </c>
      <c r="X792" s="34" t="str">
        <f t="shared" si="310"/>
        <v/>
      </c>
      <c r="Y792" s="41" t="str">
        <f t="shared" si="316"/>
        <v/>
      </c>
      <c r="Z792" s="98" t="str">
        <f t="shared" si="311"/>
        <v/>
      </c>
      <c r="AA792" s="81" t="str">
        <f t="shared" si="317"/>
        <v/>
      </c>
      <c r="AC792" s="139"/>
      <c r="AD792" s="110" t="str">
        <f t="shared" si="318"/>
        <v/>
      </c>
      <c r="AE792" s="111" t="str">
        <f t="shared" si="319"/>
        <v/>
      </c>
      <c r="AF792" s="111" t="str">
        <f t="shared" si="312"/>
        <v/>
      </c>
      <c r="AG792" s="111" t="str">
        <f t="shared" si="320"/>
        <v/>
      </c>
      <c r="AH792" s="111" t="str">
        <f t="shared" si="321"/>
        <v/>
      </c>
      <c r="AI792" s="112" t="str">
        <f t="shared" si="322"/>
        <v/>
      </c>
      <c r="AJ792" t="str">
        <f t="shared" si="323"/>
        <v/>
      </c>
      <c r="AK792" t="str">
        <f t="shared" si="324"/>
        <v/>
      </c>
    </row>
    <row r="793" spans="1:37" ht="15" customHeight="1" x14ac:dyDescent="0.25">
      <c r="A793" s="114"/>
      <c r="B793" s="116"/>
      <c r="C793" s="116"/>
      <c r="D793" s="42" t="str">
        <f t="shared" si="300"/>
        <v/>
      </c>
      <c r="E793" s="43"/>
      <c r="F793" s="83"/>
      <c r="G793" s="118"/>
      <c r="H793" s="34" t="str">
        <f t="shared" si="301"/>
        <v/>
      </c>
      <c r="I793" s="88" t="str">
        <f t="shared" si="302"/>
        <v/>
      </c>
      <c r="J793" s="44" t="str">
        <f t="shared" si="303"/>
        <v/>
      </c>
      <c r="K793" s="118"/>
      <c r="L793" s="34" t="str">
        <f t="shared" si="304"/>
        <v/>
      </c>
      <c r="M793" s="118"/>
      <c r="N793" s="121"/>
      <c r="O793" s="122" t="str">
        <f t="shared" si="313"/>
        <v/>
      </c>
      <c r="P793" s="35" t="str">
        <f t="shared" si="314"/>
        <v/>
      </c>
      <c r="Q793" s="124"/>
      <c r="R793" s="36" t="str">
        <f t="shared" si="315"/>
        <v/>
      </c>
      <c r="S793" s="37" t="str">
        <f t="shared" si="305"/>
        <v/>
      </c>
      <c r="T793" s="38" t="str">
        <f t="shared" si="306"/>
        <v/>
      </c>
      <c r="U793" s="39" t="str">
        <f t="shared" si="307"/>
        <v/>
      </c>
      <c r="V793" s="40" t="str">
        <f t="shared" si="308"/>
        <v/>
      </c>
      <c r="W793" s="39" t="str">
        <f t="shared" si="309"/>
        <v/>
      </c>
      <c r="X793" s="34" t="str">
        <f t="shared" si="310"/>
        <v/>
      </c>
      <c r="Y793" s="41" t="str">
        <f t="shared" si="316"/>
        <v/>
      </c>
      <c r="Z793" s="98" t="str">
        <f t="shared" si="311"/>
        <v/>
      </c>
      <c r="AA793" s="81" t="str">
        <f t="shared" si="317"/>
        <v/>
      </c>
      <c r="AC793" s="139"/>
      <c r="AD793" s="110" t="str">
        <f t="shared" si="318"/>
        <v/>
      </c>
      <c r="AE793" s="111" t="str">
        <f t="shared" si="319"/>
        <v/>
      </c>
      <c r="AF793" s="111" t="str">
        <f t="shared" si="312"/>
        <v/>
      </c>
      <c r="AG793" s="111" t="str">
        <f t="shared" si="320"/>
        <v/>
      </c>
      <c r="AH793" s="111" t="str">
        <f t="shared" si="321"/>
        <v/>
      </c>
      <c r="AI793" s="112" t="str">
        <f t="shared" si="322"/>
        <v/>
      </c>
      <c r="AJ793" t="str">
        <f t="shared" si="323"/>
        <v/>
      </c>
      <c r="AK793" t="str">
        <f t="shared" si="324"/>
        <v/>
      </c>
    </row>
    <row r="794" spans="1:37" ht="15" customHeight="1" x14ac:dyDescent="0.25">
      <c r="A794" s="114"/>
      <c r="B794" s="116"/>
      <c r="C794" s="116"/>
      <c r="D794" s="42" t="str">
        <f t="shared" si="300"/>
        <v/>
      </c>
      <c r="E794" s="43"/>
      <c r="F794" s="83"/>
      <c r="G794" s="118"/>
      <c r="H794" s="34" t="str">
        <f t="shared" si="301"/>
        <v/>
      </c>
      <c r="I794" s="88" t="str">
        <f t="shared" si="302"/>
        <v/>
      </c>
      <c r="J794" s="44" t="str">
        <f t="shared" si="303"/>
        <v/>
      </c>
      <c r="K794" s="118"/>
      <c r="L794" s="34" t="str">
        <f t="shared" si="304"/>
        <v/>
      </c>
      <c r="M794" s="118"/>
      <c r="N794" s="121"/>
      <c r="O794" s="122" t="str">
        <f t="shared" si="313"/>
        <v/>
      </c>
      <c r="P794" s="35" t="str">
        <f t="shared" si="314"/>
        <v/>
      </c>
      <c r="Q794" s="124"/>
      <c r="R794" s="36" t="str">
        <f t="shared" si="315"/>
        <v/>
      </c>
      <c r="S794" s="37" t="str">
        <f t="shared" si="305"/>
        <v/>
      </c>
      <c r="T794" s="38" t="str">
        <f t="shared" si="306"/>
        <v/>
      </c>
      <c r="U794" s="39" t="str">
        <f t="shared" si="307"/>
        <v/>
      </c>
      <c r="V794" s="40" t="str">
        <f t="shared" si="308"/>
        <v/>
      </c>
      <c r="W794" s="39" t="str">
        <f t="shared" si="309"/>
        <v/>
      </c>
      <c r="X794" s="34" t="str">
        <f t="shared" si="310"/>
        <v/>
      </c>
      <c r="Y794" s="41" t="str">
        <f t="shared" si="316"/>
        <v/>
      </c>
      <c r="Z794" s="98" t="str">
        <f t="shared" si="311"/>
        <v/>
      </c>
      <c r="AA794" s="81" t="str">
        <f t="shared" si="317"/>
        <v/>
      </c>
      <c r="AC794" s="139"/>
      <c r="AD794" s="110" t="str">
        <f t="shared" si="318"/>
        <v/>
      </c>
      <c r="AE794" s="111" t="str">
        <f t="shared" si="319"/>
        <v/>
      </c>
      <c r="AF794" s="111" t="str">
        <f t="shared" si="312"/>
        <v/>
      </c>
      <c r="AG794" s="111" t="str">
        <f t="shared" si="320"/>
        <v/>
      </c>
      <c r="AH794" s="111" t="str">
        <f t="shared" si="321"/>
        <v/>
      </c>
      <c r="AI794" s="112" t="str">
        <f t="shared" si="322"/>
        <v/>
      </c>
      <c r="AJ794" t="str">
        <f t="shared" si="323"/>
        <v/>
      </c>
      <c r="AK794" t="str">
        <f t="shared" si="324"/>
        <v/>
      </c>
    </row>
    <row r="795" spans="1:37" ht="15" customHeight="1" x14ac:dyDescent="0.25">
      <c r="A795" s="114"/>
      <c r="B795" s="116"/>
      <c r="C795" s="116"/>
      <c r="D795" s="42" t="str">
        <f t="shared" si="300"/>
        <v/>
      </c>
      <c r="E795" s="43"/>
      <c r="F795" s="83"/>
      <c r="G795" s="118"/>
      <c r="H795" s="34" t="str">
        <f t="shared" si="301"/>
        <v/>
      </c>
      <c r="I795" s="88" t="str">
        <f t="shared" si="302"/>
        <v/>
      </c>
      <c r="J795" s="44" t="str">
        <f t="shared" si="303"/>
        <v/>
      </c>
      <c r="K795" s="118"/>
      <c r="L795" s="34" t="str">
        <f t="shared" si="304"/>
        <v/>
      </c>
      <c r="M795" s="118"/>
      <c r="N795" s="121"/>
      <c r="O795" s="122" t="str">
        <f t="shared" si="313"/>
        <v/>
      </c>
      <c r="P795" s="35" t="str">
        <f t="shared" si="314"/>
        <v/>
      </c>
      <c r="Q795" s="124"/>
      <c r="R795" s="36" t="str">
        <f t="shared" si="315"/>
        <v/>
      </c>
      <c r="S795" s="37" t="str">
        <f t="shared" si="305"/>
        <v/>
      </c>
      <c r="T795" s="38" t="str">
        <f t="shared" si="306"/>
        <v/>
      </c>
      <c r="U795" s="39" t="str">
        <f t="shared" si="307"/>
        <v/>
      </c>
      <c r="V795" s="40" t="str">
        <f t="shared" si="308"/>
        <v/>
      </c>
      <c r="W795" s="39" t="str">
        <f t="shared" si="309"/>
        <v/>
      </c>
      <c r="X795" s="34" t="str">
        <f t="shared" si="310"/>
        <v/>
      </c>
      <c r="Y795" s="41" t="str">
        <f t="shared" si="316"/>
        <v/>
      </c>
      <c r="Z795" s="98" t="str">
        <f t="shared" si="311"/>
        <v/>
      </c>
      <c r="AA795" s="81" t="str">
        <f t="shared" si="317"/>
        <v/>
      </c>
      <c r="AC795" s="139"/>
      <c r="AD795" s="110" t="str">
        <f t="shared" si="318"/>
        <v/>
      </c>
      <c r="AE795" s="111" t="str">
        <f t="shared" si="319"/>
        <v/>
      </c>
      <c r="AF795" s="111" t="str">
        <f t="shared" si="312"/>
        <v/>
      </c>
      <c r="AG795" s="111" t="str">
        <f t="shared" si="320"/>
        <v/>
      </c>
      <c r="AH795" s="111" t="str">
        <f t="shared" si="321"/>
        <v/>
      </c>
      <c r="AI795" s="112" t="str">
        <f t="shared" si="322"/>
        <v/>
      </c>
      <c r="AJ795" t="str">
        <f t="shared" si="323"/>
        <v/>
      </c>
      <c r="AK795" t="str">
        <f t="shared" si="324"/>
        <v/>
      </c>
    </row>
    <row r="796" spans="1:37" ht="15" customHeight="1" x14ac:dyDescent="0.25">
      <c r="A796" s="114"/>
      <c r="B796" s="116"/>
      <c r="C796" s="116"/>
      <c r="D796" s="42" t="str">
        <f t="shared" si="300"/>
        <v/>
      </c>
      <c r="E796" s="43"/>
      <c r="F796" s="83"/>
      <c r="G796" s="118"/>
      <c r="H796" s="34" t="str">
        <f t="shared" si="301"/>
        <v/>
      </c>
      <c r="I796" s="88" t="str">
        <f t="shared" si="302"/>
        <v/>
      </c>
      <c r="J796" s="44" t="str">
        <f t="shared" si="303"/>
        <v/>
      </c>
      <c r="K796" s="118"/>
      <c r="L796" s="34" t="str">
        <f t="shared" si="304"/>
        <v/>
      </c>
      <c r="M796" s="118"/>
      <c r="N796" s="121"/>
      <c r="O796" s="122" t="str">
        <f t="shared" si="313"/>
        <v/>
      </c>
      <c r="P796" s="35" t="str">
        <f t="shared" si="314"/>
        <v/>
      </c>
      <c r="Q796" s="124"/>
      <c r="R796" s="36" t="str">
        <f t="shared" si="315"/>
        <v/>
      </c>
      <c r="S796" s="37" t="str">
        <f t="shared" si="305"/>
        <v/>
      </c>
      <c r="T796" s="38" t="str">
        <f t="shared" si="306"/>
        <v/>
      </c>
      <c r="U796" s="39" t="str">
        <f t="shared" si="307"/>
        <v/>
      </c>
      <c r="V796" s="40" t="str">
        <f t="shared" si="308"/>
        <v/>
      </c>
      <c r="W796" s="39" t="str">
        <f t="shared" si="309"/>
        <v/>
      </c>
      <c r="X796" s="34" t="str">
        <f t="shared" si="310"/>
        <v/>
      </c>
      <c r="Y796" s="41" t="str">
        <f t="shared" si="316"/>
        <v/>
      </c>
      <c r="Z796" s="98" t="str">
        <f t="shared" si="311"/>
        <v/>
      </c>
      <c r="AA796" s="81" t="str">
        <f t="shared" si="317"/>
        <v/>
      </c>
      <c r="AC796" s="139"/>
      <c r="AD796" s="110" t="str">
        <f t="shared" si="318"/>
        <v/>
      </c>
      <c r="AE796" s="111" t="str">
        <f t="shared" si="319"/>
        <v/>
      </c>
      <c r="AF796" s="111" t="str">
        <f t="shared" si="312"/>
        <v/>
      </c>
      <c r="AG796" s="111" t="str">
        <f t="shared" si="320"/>
        <v/>
      </c>
      <c r="AH796" s="111" t="str">
        <f t="shared" si="321"/>
        <v/>
      </c>
      <c r="AI796" s="112" t="str">
        <f t="shared" si="322"/>
        <v/>
      </c>
      <c r="AJ796" t="str">
        <f t="shared" si="323"/>
        <v/>
      </c>
      <c r="AK796" t="str">
        <f t="shared" si="324"/>
        <v/>
      </c>
    </row>
    <row r="797" spans="1:37" ht="15" customHeight="1" x14ac:dyDescent="0.25">
      <c r="A797" s="114"/>
      <c r="B797" s="116"/>
      <c r="C797" s="116"/>
      <c r="D797" s="42" t="str">
        <f t="shared" si="300"/>
        <v/>
      </c>
      <c r="E797" s="43"/>
      <c r="F797" s="83"/>
      <c r="G797" s="118"/>
      <c r="H797" s="34" t="str">
        <f t="shared" si="301"/>
        <v/>
      </c>
      <c r="I797" s="88" t="str">
        <f t="shared" si="302"/>
        <v/>
      </c>
      <c r="J797" s="44" t="str">
        <f t="shared" si="303"/>
        <v/>
      </c>
      <c r="K797" s="118"/>
      <c r="L797" s="34" t="str">
        <f t="shared" si="304"/>
        <v/>
      </c>
      <c r="M797" s="118"/>
      <c r="N797" s="121"/>
      <c r="O797" s="122" t="str">
        <f t="shared" si="313"/>
        <v/>
      </c>
      <c r="P797" s="35" t="str">
        <f t="shared" si="314"/>
        <v/>
      </c>
      <c r="Q797" s="124"/>
      <c r="R797" s="36" t="str">
        <f t="shared" si="315"/>
        <v/>
      </c>
      <c r="S797" s="37" t="str">
        <f t="shared" si="305"/>
        <v/>
      </c>
      <c r="T797" s="38" t="str">
        <f t="shared" si="306"/>
        <v/>
      </c>
      <c r="U797" s="39" t="str">
        <f t="shared" si="307"/>
        <v/>
      </c>
      <c r="V797" s="40" t="str">
        <f t="shared" si="308"/>
        <v/>
      </c>
      <c r="W797" s="39" t="str">
        <f t="shared" si="309"/>
        <v/>
      </c>
      <c r="X797" s="34" t="str">
        <f t="shared" si="310"/>
        <v/>
      </c>
      <c r="Y797" s="41" t="str">
        <f t="shared" si="316"/>
        <v/>
      </c>
      <c r="Z797" s="98" t="str">
        <f t="shared" si="311"/>
        <v/>
      </c>
      <c r="AA797" s="81" t="str">
        <f t="shared" si="317"/>
        <v/>
      </c>
      <c r="AC797" s="139"/>
      <c r="AD797" s="110" t="str">
        <f t="shared" si="318"/>
        <v/>
      </c>
      <c r="AE797" s="111" t="str">
        <f t="shared" si="319"/>
        <v/>
      </c>
      <c r="AF797" s="111" t="str">
        <f t="shared" si="312"/>
        <v/>
      </c>
      <c r="AG797" s="111" t="str">
        <f t="shared" si="320"/>
        <v/>
      </c>
      <c r="AH797" s="111" t="str">
        <f t="shared" si="321"/>
        <v/>
      </c>
      <c r="AI797" s="112" t="str">
        <f t="shared" si="322"/>
        <v/>
      </c>
      <c r="AJ797" t="str">
        <f t="shared" si="323"/>
        <v/>
      </c>
      <c r="AK797" t="str">
        <f t="shared" si="324"/>
        <v/>
      </c>
    </row>
    <row r="798" spans="1:37" ht="15" customHeight="1" x14ac:dyDescent="0.25">
      <c r="A798" s="114"/>
      <c r="B798" s="116"/>
      <c r="C798" s="116"/>
      <c r="D798" s="42" t="str">
        <f t="shared" si="300"/>
        <v/>
      </c>
      <c r="E798" s="43"/>
      <c r="F798" s="83"/>
      <c r="G798" s="118"/>
      <c r="H798" s="34" t="str">
        <f t="shared" si="301"/>
        <v/>
      </c>
      <c r="I798" s="88" t="str">
        <f t="shared" si="302"/>
        <v/>
      </c>
      <c r="J798" s="44" t="str">
        <f t="shared" si="303"/>
        <v/>
      </c>
      <c r="K798" s="118"/>
      <c r="L798" s="34" t="str">
        <f t="shared" si="304"/>
        <v/>
      </c>
      <c r="M798" s="118"/>
      <c r="N798" s="121"/>
      <c r="O798" s="122" t="str">
        <f t="shared" si="313"/>
        <v/>
      </c>
      <c r="P798" s="35" t="str">
        <f t="shared" si="314"/>
        <v/>
      </c>
      <c r="Q798" s="124"/>
      <c r="R798" s="36" t="str">
        <f t="shared" si="315"/>
        <v/>
      </c>
      <c r="S798" s="37" t="str">
        <f t="shared" si="305"/>
        <v/>
      </c>
      <c r="T798" s="38" t="str">
        <f t="shared" si="306"/>
        <v/>
      </c>
      <c r="U798" s="39" t="str">
        <f t="shared" si="307"/>
        <v/>
      </c>
      <c r="V798" s="40" t="str">
        <f t="shared" si="308"/>
        <v/>
      </c>
      <c r="W798" s="39" t="str">
        <f t="shared" si="309"/>
        <v/>
      </c>
      <c r="X798" s="34" t="str">
        <f t="shared" si="310"/>
        <v/>
      </c>
      <c r="Y798" s="41" t="str">
        <f t="shared" si="316"/>
        <v/>
      </c>
      <c r="Z798" s="98" t="str">
        <f t="shared" si="311"/>
        <v/>
      </c>
      <c r="AA798" s="81" t="str">
        <f t="shared" si="317"/>
        <v/>
      </c>
      <c r="AC798" s="139"/>
      <c r="AD798" s="110" t="str">
        <f t="shared" si="318"/>
        <v/>
      </c>
      <c r="AE798" s="111" t="str">
        <f t="shared" si="319"/>
        <v/>
      </c>
      <c r="AF798" s="111" t="str">
        <f t="shared" si="312"/>
        <v/>
      </c>
      <c r="AG798" s="111" t="str">
        <f t="shared" si="320"/>
        <v/>
      </c>
      <c r="AH798" s="111" t="str">
        <f t="shared" si="321"/>
        <v/>
      </c>
      <c r="AI798" s="112" t="str">
        <f t="shared" si="322"/>
        <v/>
      </c>
      <c r="AJ798" t="str">
        <f t="shared" si="323"/>
        <v/>
      </c>
      <c r="AK798" t="str">
        <f t="shared" si="324"/>
        <v/>
      </c>
    </row>
    <row r="799" spans="1:37" ht="15" customHeight="1" x14ac:dyDescent="0.25">
      <c r="A799" s="114"/>
      <c r="B799" s="116"/>
      <c r="C799" s="116"/>
      <c r="D799" s="42" t="str">
        <f t="shared" si="300"/>
        <v/>
      </c>
      <c r="E799" s="43"/>
      <c r="F799" s="83"/>
      <c r="G799" s="118"/>
      <c r="H799" s="34" t="str">
        <f t="shared" si="301"/>
        <v/>
      </c>
      <c r="I799" s="88" t="str">
        <f t="shared" si="302"/>
        <v/>
      </c>
      <c r="J799" s="44" t="str">
        <f t="shared" si="303"/>
        <v/>
      </c>
      <c r="K799" s="118"/>
      <c r="L799" s="34" t="str">
        <f t="shared" si="304"/>
        <v/>
      </c>
      <c r="M799" s="118"/>
      <c r="N799" s="121"/>
      <c r="O799" s="122" t="str">
        <f t="shared" si="313"/>
        <v/>
      </c>
      <c r="P799" s="35" t="str">
        <f t="shared" si="314"/>
        <v/>
      </c>
      <c r="Q799" s="124"/>
      <c r="R799" s="36" t="str">
        <f t="shared" si="315"/>
        <v/>
      </c>
      <c r="S799" s="37" t="str">
        <f t="shared" si="305"/>
        <v/>
      </c>
      <c r="T799" s="38" t="str">
        <f t="shared" si="306"/>
        <v/>
      </c>
      <c r="U799" s="39" t="str">
        <f t="shared" si="307"/>
        <v/>
      </c>
      <c r="V799" s="40" t="str">
        <f t="shared" si="308"/>
        <v/>
      </c>
      <c r="W799" s="39" t="str">
        <f t="shared" si="309"/>
        <v/>
      </c>
      <c r="X799" s="34" t="str">
        <f t="shared" si="310"/>
        <v/>
      </c>
      <c r="Y799" s="41" t="str">
        <f t="shared" si="316"/>
        <v/>
      </c>
      <c r="Z799" s="98" t="str">
        <f t="shared" si="311"/>
        <v/>
      </c>
      <c r="AA799" s="81" t="str">
        <f t="shared" si="317"/>
        <v/>
      </c>
      <c r="AC799" s="139"/>
      <c r="AD799" s="110" t="str">
        <f t="shared" si="318"/>
        <v/>
      </c>
      <c r="AE799" s="111" t="str">
        <f t="shared" si="319"/>
        <v/>
      </c>
      <c r="AF799" s="111" t="str">
        <f t="shared" si="312"/>
        <v/>
      </c>
      <c r="AG799" s="111" t="str">
        <f t="shared" si="320"/>
        <v/>
      </c>
      <c r="AH799" s="111" t="str">
        <f t="shared" si="321"/>
        <v/>
      </c>
      <c r="AI799" s="112" t="str">
        <f t="shared" si="322"/>
        <v/>
      </c>
      <c r="AJ799" t="str">
        <f t="shared" si="323"/>
        <v/>
      </c>
      <c r="AK799" t="str">
        <f t="shared" si="324"/>
        <v/>
      </c>
    </row>
    <row r="800" spans="1:37" ht="15" customHeight="1" x14ac:dyDescent="0.25">
      <c r="A800" s="114"/>
      <c r="B800" s="116"/>
      <c r="C800" s="116"/>
      <c r="D800" s="42" t="str">
        <f t="shared" si="300"/>
        <v/>
      </c>
      <c r="E800" s="43"/>
      <c r="F800" s="83"/>
      <c r="G800" s="118"/>
      <c r="H800" s="34" t="str">
        <f t="shared" si="301"/>
        <v/>
      </c>
      <c r="I800" s="88" t="str">
        <f t="shared" si="302"/>
        <v/>
      </c>
      <c r="J800" s="44" t="str">
        <f t="shared" si="303"/>
        <v/>
      </c>
      <c r="K800" s="118"/>
      <c r="L800" s="34" t="str">
        <f t="shared" si="304"/>
        <v/>
      </c>
      <c r="M800" s="118"/>
      <c r="N800" s="121"/>
      <c r="O800" s="122" t="str">
        <f t="shared" si="313"/>
        <v/>
      </c>
      <c r="P800" s="35" t="str">
        <f t="shared" si="314"/>
        <v/>
      </c>
      <c r="Q800" s="124"/>
      <c r="R800" s="36" t="str">
        <f t="shared" si="315"/>
        <v/>
      </c>
      <c r="S800" s="37" t="str">
        <f t="shared" si="305"/>
        <v/>
      </c>
      <c r="T800" s="38" t="str">
        <f t="shared" si="306"/>
        <v/>
      </c>
      <c r="U800" s="39" t="str">
        <f t="shared" si="307"/>
        <v/>
      </c>
      <c r="V800" s="40" t="str">
        <f t="shared" si="308"/>
        <v/>
      </c>
      <c r="W800" s="39" t="str">
        <f t="shared" si="309"/>
        <v/>
      </c>
      <c r="X800" s="34" t="str">
        <f t="shared" si="310"/>
        <v/>
      </c>
      <c r="Y800" s="41" t="str">
        <f t="shared" si="316"/>
        <v/>
      </c>
      <c r="Z800" s="98" t="str">
        <f t="shared" si="311"/>
        <v/>
      </c>
      <c r="AA800" s="81" t="str">
        <f t="shared" si="317"/>
        <v/>
      </c>
      <c r="AC800" s="139"/>
      <c r="AD800" s="110" t="str">
        <f t="shared" si="318"/>
        <v/>
      </c>
      <c r="AE800" s="111" t="str">
        <f t="shared" si="319"/>
        <v/>
      </c>
      <c r="AF800" s="111" t="str">
        <f t="shared" si="312"/>
        <v/>
      </c>
      <c r="AG800" s="111" t="str">
        <f t="shared" si="320"/>
        <v/>
      </c>
      <c r="AH800" s="111" t="str">
        <f t="shared" si="321"/>
        <v/>
      </c>
      <c r="AI800" s="112" t="str">
        <f t="shared" si="322"/>
        <v/>
      </c>
      <c r="AJ800" t="str">
        <f t="shared" si="323"/>
        <v/>
      </c>
      <c r="AK800" t="str">
        <f t="shared" si="324"/>
        <v/>
      </c>
    </row>
    <row r="801" spans="1:37" ht="15" customHeight="1" x14ac:dyDescent="0.25">
      <c r="A801" s="114"/>
      <c r="B801" s="116"/>
      <c r="C801" s="116"/>
      <c r="D801" s="42" t="str">
        <f t="shared" si="300"/>
        <v/>
      </c>
      <c r="E801" s="43"/>
      <c r="F801" s="83"/>
      <c r="G801" s="118"/>
      <c r="H801" s="34" t="str">
        <f t="shared" si="301"/>
        <v/>
      </c>
      <c r="I801" s="88" t="str">
        <f t="shared" si="302"/>
        <v/>
      </c>
      <c r="J801" s="44" t="str">
        <f t="shared" si="303"/>
        <v/>
      </c>
      <c r="K801" s="118"/>
      <c r="L801" s="34" t="str">
        <f t="shared" si="304"/>
        <v/>
      </c>
      <c r="M801" s="118"/>
      <c r="N801" s="121"/>
      <c r="O801" s="122" t="str">
        <f t="shared" si="313"/>
        <v/>
      </c>
      <c r="P801" s="35" t="str">
        <f t="shared" si="314"/>
        <v/>
      </c>
      <c r="Q801" s="124"/>
      <c r="R801" s="36" t="str">
        <f t="shared" si="315"/>
        <v/>
      </c>
      <c r="S801" s="37" t="str">
        <f t="shared" si="305"/>
        <v/>
      </c>
      <c r="T801" s="38" t="str">
        <f t="shared" si="306"/>
        <v/>
      </c>
      <c r="U801" s="39" t="str">
        <f t="shared" si="307"/>
        <v/>
      </c>
      <c r="V801" s="40" t="str">
        <f t="shared" si="308"/>
        <v/>
      </c>
      <c r="W801" s="39" t="str">
        <f t="shared" si="309"/>
        <v/>
      </c>
      <c r="X801" s="34" t="str">
        <f t="shared" si="310"/>
        <v/>
      </c>
      <c r="Y801" s="41" t="str">
        <f t="shared" si="316"/>
        <v/>
      </c>
      <c r="Z801" s="98" t="str">
        <f t="shared" si="311"/>
        <v/>
      </c>
      <c r="AA801" s="81" t="str">
        <f t="shared" si="317"/>
        <v/>
      </c>
      <c r="AC801" s="139"/>
      <c r="AD801" s="110" t="str">
        <f t="shared" si="318"/>
        <v/>
      </c>
      <c r="AE801" s="111" t="str">
        <f t="shared" si="319"/>
        <v/>
      </c>
      <c r="AF801" s="111" t="str">
        <f t="shared" si="312"/>
        <v/>
      </c>
      <c r="AG801" s="111" t="str">
        <f t="shared" si="320"/>
        <v/>
      </c>
      <c r="AH801" s="111" t="str">
        <f t="shared" si="321"/>
        <v/>
      </c>
      <c r="AI801" s="112" t="str">
        <f t="shared" si="322"/>
        <v/>
      </c>
      <c r="AJ801" t="str">
        <f t="shared" si="323"/>
        <v/>
      </c>
      <c r="AK801" t="str">
        <f t="shared" si="324"/>
        <v/>
      </c>
    </row>
    <row r="802" spans="1:37" ht="15" customHeight="1" x14ac:dyDescent="0.25">
      <c r="A802" s="114"/>
      <c r="B802" s="116"/>
      <c r="C802" s="116"/>
      <c r="D802" s="42" t="str">
        <f t="shared" si="300"/>
        <v/>
      </c>
      <c r="E802" s="43"/>
      <c r="F802" s="83"/>
      <c r="G802" s="118"/>
      <c r="H802" s="34" t="str">
        <f t="shared" si="301"/>
        <v/>
      </c>
      <c r="I802" s="88" t="str">
        <f t="shared" si="302"/>
        <v/>
      </c>
      <c r="J802" s="44" t="str">
        <f t="shared" si="303"/>
        <v/>
      </c>
      <c r="K802" s="118"/>
      <c r="L802" s="34" t="str">
        <f t="shared" si="304"/>
        <v/>
      </c>
      <c r="M802" s="118"/>
      <c r="N802" s="121"/>
      <c r="O802" s="122" t="str">
        <f t="shared" si="313"/>
        <v/>
      </c>
      <c r="P802" s="35" t="str">
        <f t="shared" si="314"/>
        <v/>
      </c>
      <c r="Q802" s="124"/>
      <c r="R802" s="36" t="str">
        <f t="shared" si="315"/>
        <v/>
      </c>
      <c r="S802" s="37" t="str">
        <f t="shared" si="305"/>
        <v/>
      </c>
      <c r="T802" s="38" t="str">
        <f t="shared" si="306"/>
        <v/>
      </c>
      <c r="U802" s="39" t="str">
        <f t="shared" si="307"/>
        <v/>
      </c>
      <c r="V802" s="40" t="str">
        <f t="shared" si="308"/>
        <v/>
      </c>
      <c r="W802" s="39" t="str">
        <f t="shared" si="309"/>
        <v/>
      </c>
      <c r="X802" s="34" t="str">
        <f t="shared" si="310"/>
        <v/>
      </c>
      <c r="Y802" s="41" t="str">
        <f t="shared" si="316"/>
        <v/>
      </c>
      <c r="Z802" s="98" t="str">
        <f t="shared" si="311"/>
        <v/>
      </c>
      <c r="AA802" s="81" t="str">
        <f t="shared" si="317"/>
        <v/>
      </c>
      <c r="AC802" s="139"/>
      <c r="AD802" s="110" t="str">
        <f t="shared" si="318"/>
        <v/>
      </c>
      <c r="AE802" s="111" t="str">
        <f t="shared" si="319"/>
        <v/>
      </c>
      <c r="AF802" s="111" t="str">
        <f t="shared" si="312"/>
        <v/>
      </c>
      <c r="AG802" s="111" t="str">
        <f t="shared" si="320"/>
        <v/>
      </c>
      <c r="AH802" s="111" t="str">
        <f t="shared" si="321"/>
        <v/>
      </c>
      <c r="AI802" s="112" t="str">
        <f t="shared" si="322"/>
        <v/>
      </c>
      <c r="AJ802" t="str">
        <f t="shared" si="323"/>
        <v/>
      </c>
      <c r="AK802" t="str">
        <f t="shared" si="324"/>
        <v/>
      </c>
    </row>
    <row r="803" spans="1:37" ht="15" customHeight="1" x14ac:dyDescent="0.25">
      <c r="A803" s="114"/>
      <c r="B803" s="116"/>
      <c r="C803" s="116"/>
      <c r="D803" s="42" t="str">
        <f t="shared" si="300"/>
        <v/>
      </c>
      <c r="E803" s="43"/>
      <c r="F803" s="83"/>
      <c r="G803" s="118"/>
      <c r="H803" s="34" t="str">
        <f t="shared" si="301"/>
        <v/>
      </c>
      <c r="I803" s="88" t="str">
        <f t="shared" si="302"/>
        <v/>
      </c>
      <c r="J803" s="44" t="str">
        <f t="shared" si="303"/>
        <v/>
      </c>
      <c r="K803" s="118"/>
      <c r="L803" s="34" t="str">
        <f t="shared" si="304"/>
        <v/>
      </c>
      <c r="M803" s="118"/>
      <c r="N803" s="121"/>
      <c r="O803" s="122" t="str">
        <f t="shared" si="313"/>
        <v/>
      </c>
      <c r="P803" s="35" t="str">
        <f t="shared" si="314"/>
        <v/>
      </c>
      <c r="Q803" s="124"/>
      <c r="R803" s="36" t="str">
        <f t="shared" si="315"/>
        <v/>
      </c>
      <c r="S803" s="37" t="str">
        <f t="shared" si="305"/>
        <v/>
      </c>
      <c r="T803" s="38" t="str">
        <f t="shared" si="306"/>
        <v/>
      </c>
      <c r="U803" s="39" t="str">
        <f t="shared" si="307"/>
        <v/>
      </c>
      <c r="V803" s="40" t="str">
        <f t="shared" si="308"/>
        <v/>
      </c>
      <c r="W803" s="39" t="str">
        <f t="shared" si="309"/>
        <v/>
      </c>
      <c r="X803" s="34" t="str">
        <f t="shared" si="310"/>
        <v/>
      </c>
      <c r="Y803" s="41" t="str">
        <f t="shared" si="316"/>
        <v/>
      </c>
      <c r="Z803" s="98" t="str">
        <f t="shared" si="311"/>
        <v/>
      </c>
      <c r="AA803" s="81" t="str">
        <f t="shared" si="317"/>
        <v/>
      </c>
      <c r="AC803" s="139"/>
      <c r="AD803" s="110" t="str">
        <f t="shared" si="318"/>
        <v/>
      </c>
      <c r="AE803" s="111" t="str">
        <f t="shared" si="319"/>
        <v/>
      </c>
      <c r="AF803" s="111" t="str">
        <f t="shared" si="312"/>
        <v/>
      </c>
      <c r="AG803" s="111" t="str">
        <f t="shared" si="320"/>
        <v/>
      </c>
      <c r="AH803" s="111" t="str">
        <f t="shared" si="321"/>
        <v/>
      </c>
      <c r="AI803" s="112" t="str">
        <f t="shared" si="322"/>
        <v/>
      </c>
      <c r="AJ803" t="str">
        <f t="shared" si="323"/>
        <v/>
      </c>
      <c r="AK803" t="str">
        <f t="shared" si="324"/>
        <v/>
      </c>
    </row>
    <row r="804" spans="1:37" ht="15" customHeight="1" x14ac:dyDescent="0.25">
      <c r="A804" s="114"/>
      <c r="B804" s="116"/>
      <c r="C804" s="116"/>
      <c r="D804" s="42" t="str">
        <f t="shared" si="300"/>
        <v/>
      </c>
      <c r="E804" s="43"/>
      <c r="F804" s="83"/>
      <c r="G804" s="118"/>
      <c r="H804" s="34" t="str">
        <f t="shared" si="301"/>
        <v/>
      </c>
      <c r="I804" s="88" t="str">
        <f t="shared" si="302"/>
        <v/>
      </c>
      <c r="J804" s="44" t="str">
        <f t="shared" si="303"/>
        <v/>
      </c>
      <c r="K804" s="118"/>
      <c r="L804" s="34" t="str">
        <f t="shared" si="304"/>
        <v/>
      </c>
      <c r="M804" s="118"/>
      <c r="N804" s="121"/>
      <c r="O804" s="122" t="str">
        <f t="shared" si="313"/>
        <v/>
      </c>
      <c r="P804" s="35" t="str">
        <f t="shared" si="314"/>
        <v/>
      </c>
      <c r="Q804" s="124"/>
      <c r="R804" s="36" t="str">
        <f t="shared" si="315"/>
        <v/>
      </c>
      <c r="S804" s="37" t="str">
        <f t="shared" si="305"/>
        <v/>
      </c>
      <c r="T804" s="38" t="str">
        <f t="shared" si="306"/>
        <v/>
      </c>
      <c r="U804" s="39" t="str">
        <f t="shared" si="307"/>
        <v/>
      </c>
      <c r="V804" s="40" t="str">
        <f t="shared" si="308"/>
        <v/>
      </c>
      <c r="W804" s="39" t="str">
        <f t="shared" si="309"/>
        <v/>
      </c>
      <c r="X804" s="34" t="str">
        <f t="shared" si="310"/>
        <v/>
      </c>
      <c r="Y804" s="41" t="str">
        <f t="shared" si="316"/>
        <v/>
      </c>
      <c r="Z804" s="98" t="str">
        <f t="shared" si="311"/>
        <v/>
      </c>
      <c r="AA804" s="81" t="str">
        <f t="shared" si="317"/>
        <v/>
      </c>
      <c r="AC804" s="139"/>
      <c r="AD804" s="110" t="str">
        <f t="shared" si="318"/>
        <v/>
      </c>
      <c r="AE804" s="111" t="str">
        <f t="shared" si="319"/>
        <v/>
      </c>
      <c r="AF804" s="111" t="str">
        <f t="shared" si="312"/>
        <v/>
      </c>
      <c r="AG804" s="111" t="str">
        <f t="shared" si="320"/>
        <v/>
      </c>
      <c r="AH804" s="111" t="str">
        <f t="shared" si="321"/>
        <v/>
      </c>
      <c r="AI804" s="112" t="str">
        <f t="shared" si="322"/>
        <v/>
      </c>
      <c r="AJ804" t="str">
        <f t="shared" si="323"/>
        <v/>
      </c>
      <c r="AK804" t="str">
        <f t="shared" si="324"/>
        <v/>
      </c>
    </row>
    <row r="805" spans="1:37" ht="15" customHeight="1" x14ac:dyDescent="0.25">
      <c r="A805" s="114"/>
      <c r="B805" s="116"/>
      <c r="C805" s="116"/>
      <c r="D805" s="42" t="str">
        <f t="shared" si="300"/>
        <v/>
      </c>
      <c r="E805" s="43"/>
      <c r="F805" s="83"/>
      <c r="G805" s="118"/>
      <c r="H805" s="34" t="str">
        <f t="shared" si="301"/>
        <v/>
      </c>
      <c r="I805" s="88" t="str">
        <f t="shared" si="302"/>
        <v/>
      </c>
      <c r="J805" s="44" t="str">
        <f t="shared" si="303"/>
        <v/>
      </c>
      <c r="K805" s="118"/>
      <c r="L805" s="34" t="str">
        <f t="shared" si="304"/>
        <v/>
      </c>
      <c r="M805" s="118"/>
      <c r="N805" s="121"/>
      <c r="O805" s="122" t="str">
        <f t="shared" si="313"/>
        <v/>
      </c>
      <c r="P805" s="35" t="str">
        <f t="shared" si="314"/>
        <v/>
      </c>
      <c r="Q805" s="124"/>
      <c r="R805" s="36" t="str">
        <f t="shared" si="315"/>
        <v/>
      </c>
      <c r="S805" s="37" t="str">
        <f t="shared" si="305"/>
        <v/>
      </c>
      <c r="T805" s="38" t="str">
        <f t="shared" si="306"/>
        <v/>
      </c>
      <c r="U805" s="39" t="str">
        <f t="shared" si="307"/>
        <v/>
      </c>
      <c r="V805" s="40" t="str">
        <f t="shared" si="308"/>
        <v/>
      </c>
      <c r="W805" s="39" t="str">
        <f t="shared" si="309"/>
        <v/>
      </c>
      <c r="X805" s="34" t="str">
        <f t="shared" si="310"/>
        <v/>
      </c>
      <c r="Y805" s="41" t="str">
        <f t="shared" si="316"/>
        <v/>
      </c>
      <c r="Z805" s="98" t="str">
        <f t="shared" si="311"/>
        <v/>
      </c>
      <c r="AA805" s="81" t="str">
        <f t="shared" si="317"/>
        <v/>
      </c>
      <c r="AC805" s="139"/>
      <c r="AD805" s="110" t="str">
        <f t="shared" si="318"/>
        <v/>
      </c>
      <c r="AE805" s="111" t="str">
        <f t="shared" si="319"/>
        <v/>
      </c>
      <c r="AF805" s="111" t="str">
        <f t="shared" si="312"/>
        <v/>
      </c>
      <c r="AG805" s="111" t="str">
        <f t="shared" si="320"/>
        <v/>
      </c>
      <c r="AH805" s="111" t="str">
        <f t="shared" si="321"/>
        <v/>
      </c>
      <c r="AI805" s="112" t="str">
        <f t="shared" si="322"/>
        <v/>
      </c>
      <c r="AJ805" t="str">
        <f t="shared" si="323"/>
        <v/>
      </c>
      <c r="AK805" t="str">
        <f t="shared" si="324"/>
        <v/>
      </c>
    </row>
    <row r="806" spans="1:37" ht="15" customHeight="1" x14ac:dyDescent="0.25">
      <c r="A806" s="114"/>
      <c r="B806" s="116"/>
      <c r="C806" s="116"/>
      <c r="D806" s="42" t="str">
        <f t="shared" si="300"/>
        <v/>
      </c>
      <c r="E806" s="43"/>
      <c r="F806" s="83"/>
      <c r="G806" s="118"/>
      <c r="H806" s="34" t="str">
        <f t="shared" si="301"/>
        <v/>
      </c>
      <c r="I806" s="88" t="str">
        <f t="shared" si="302"/>
        <v/>
      </c>
      <c r="J806" s="44" t="str">
        <f t="shared" si="303"/>
        <v/>
      </c>
      <c r="K806" s="118"/>
      <c r="L806" s="34" t="str">
        <f t="shared" si="304"/>
        <v/>
      </c>
      <c r="M806" s="118"/>
      <c r="N806" s="121"/>
      <c r="O806" s="122" t="str">
        <f t="shared" si="313"/>
        <v/>
      </c>
      <c r="P806" s="35" t="str">
        <f t="shared" si="314"/>
        <v/>
      </c>
      <c r="Q806" s="124"/>
      <c r="R806" s="36" t="str">
        <f t="shared" si="315"/>
        <v/>
      </c>
      <c r="S806" s="37" t="str">
        <f t="shared" si="305"/>
        <v/>
      </c>
      <c r="T806" s="38" t="str">
        <f t="shared" si="306"/>
        <v/>
      </c>
      <c r="U806" s="39" t="str">
        <f t="shared" si="307"/>
        <v/>
      </c>
      <c r="V806" s="40" t="str">
        <f t="shared" si="308"/>
        <v/>
      </c>
      <c r="W806" s="39" t="str">
        <f t="shared" si="309"/>
        <v/>
      </c>
      <c r="X806" s="34" t="str">
        <f t="shared" si="310"/>
        <v/>
      </c>
      <c r="Y806" s="41" t="str">
        <f t="shared" si="316"/>
        <v/>
      </c>
      <c r="Z806" s="98" t="str">
        <f t="shared" si="311"/>
        <v/>
      </c>
      <c r="AA806" s="81" t="str">
        <f t="shared" si="317"/>
        <v/>
      </c>
      <c r="AC806" s="139"/>
      <c r="AD806" s="110" t="str">
        <f t="shared" si="318"/>
        <v/>
      </c>
      <c r="AE806" s="111" t="str">
        <f t="shared" si="319"/>
        <v/>
      </c>
      <c r="AF806" s="111" t="str">
        <f t="shared" si="312"/>
        <v/>
      </c>
      <c r="AG806" s="111" t="str">
        <f t="shared" si="320"/>
        <v/>
      </c>
      <c r="AH806" s="111" t="str">
        <f t="shared" si="321"/>
        <v/>
      </c>
      <c r="AI806" s="112" t="str">
        <f t="shared" si="322"/>
        <v/>
      </c>
      <c r="AJ806" t="str">
        <f t="shared" si="323"/>
        <v/>
      </c>
      <c r="AK806" t="str">
        <f t="shared" si="324"/>
        <v/>
      </c>
    </row>
    <row r="807" spans="1:37" ht="15" customHeight="1" x14ac:dyDescent="0.25">
      <c r="A807" s="114"/>
      <c r="B807" s="116"/>
      <c r="C807" s="116"/>
      <c r="D807" s="42" t="str">
        <f t="shared" si="300"/>
        <v/>
      </c>
      <c r="E807" s="43"/>
      <c r="F807" s="83"/>
      <c r="G807" s="118"/>
      <c r="H807" s="34" t="str">
        <f t="shared" si="301"/>
        <v/>
      </c>
      <c r="I807" s="88" t="str">
        <f t="shared" si="302"/>
        <v/>
      </c>
      <c r="J807" s="44" t="str">
        <f t="shared" si="303"/>
        <v/>
      </c>
      <c r="K807" s="118"/>
      <c r="L807" s="34" t="str">
        <f t="shared" si="304"/>
        <v/>
      </c>
      <c r="M807" s="118"/>
      <c r="N807" s="121"/>
      <c r="O807" s="122" t="str">
        <f t="shared" si="313"/>
        <v/>
      </c>
      <c r="P807" s="35" t="str">
        <f t="shared" si="314"/>
        <v/>
      </c>
      <c r="Q807" s="124"/>
      <c r="R807" s="36" t="str">
        <f t="shared" si="315"/>
        <v/>
      </c>
      <c r="S807" s="37" t="str">
        <f t="shared" si="305"/>
        <v/>
      </c>
      <c r="T807" s="38" t="str">
        <f t="shared" si="306"/>
        <v/>
      </c>
      <c r="U807" s="39" t="str">
        <f t="shared" si="307"/>
        <v/>
      </c>
      <c r="V807" s="40" t="str">
        <f t="shared" si="308"/>
        <v/>
      </c>
      <c r="W807" s="39" t="str">
        <f t="shared" si="309"/>
        <v/>
      </c>
      <c r="X807" s="34" t="str">
        <f t="shared" si="310"/>
        <v/>
      </c>
      <c r="Y807" s="41" t="str">
        <f t="shared" si="316"/>
        <v/>
      </c>
      <c r="Z807" s="98" t="str">
        <f t="shared" si="311"/>
        <v/>
      </c>
      <c r="AA807" s="81" t="str">
        <f t="shared" si="317"/>
        <v/>
      </c>
      <c r="AC807" s="139"/>
      <c r="AD807" s="110" t="str">
        <f t="shared" si="318"/>
        <v/>
      </c>
      <c r="AE807" s="111" t="str">
        <f t="shared" si="319"/>
        <v/>
      </c>
      <c r="AF807" s="111" t="str">
        <f t="shared" si="312"/>
        <v/>
      </c>
      <c r="AG807" s="111" t="str">
        <f t="shared" si="320"/>
        <v/>
      </c>
      <c r="AH807" s="111" t="str">
        <f t="shared" si="321"/>
        <v/>
      </c>
      <c r="AI807" s="112" t="str">
        <f t="shared" si="322"/>
        <v/>
      </c>
      <c r="AJ807" t="str">
        <f t="shared" si="323"/>
        <v/>
      </c>
      <c r="AK807" t="str">
        <f t="shared" si="324"/>
        <v/>
      </c>
    </row>
    <row r="808" spans="1:37" ht="15" customHeight="1" x14ac:dyDescent="0.25">
      <c r="A808" s="114"/>
      <c r="B808" s="116"/>
      <c r="C808" s="116"/>
      <c r="D808" s="42" t="str">
        <f t="shared" si="300"/>
        <v/>
      </c>
      <c r="E808" s="43"/>
      <c r="F808" s="83"/>
      <c r="G808" s="118"/>
      <c r="H808" s="34" t="str">
        <f t="shared" si="301"/>
        <v/>
      </c>
      <c r="I808" s="88" t="str">
        <f t="shared" si="302"/>
        <v/>
      </c>
      <c r="J808" s="44" t="str">
        <f t="shared" si="303"/>
        <v/>
      </c>
      <c r="K808" s="118"/>
      <c r="L808" s="34" t="str">
        <f t="shared" si="304"/>
        <v/>
      </c>
      <c r="M808" s="118"/>
      <c r="N808" s="121"/>
      <c r="O808" s="122" t="str">
        <f t="shared" si="313"/>
        <v/>
      </c>
      <c r="P808" s="35" t="str">
        <f t="shared" si="314"/>
        <v/>
      </c>
      <c r="Q808" s="124"/>
      <c r="R808" s="36" t="str">
        <f t="shared" si="315"/>
        <v/>
      </c>
      <c r="S808" s="37" t="str">
        <f t="shared" si="305"/>
        <v/>
      </c>
      <c r="T808" s="38" t="str">
        <f t="shared" si="306"/>
        <v/>
      </c>
      <c r="U808" s="39" t="str">
        <f t="shared" si="307"/>
        <v/>
      </c>
      <c r="V808" s="40" t="str">
        <f t="shared" si="308"/>
        <v/>
      </c>
      <c r="W808" s="39" t="str">
        <f t="shared" si="309"/>
        <v/>
      </c>
      <c r="X808" s="34" t="str">
        <f t="shared" si="310"/>
        <v/>
      </c>
      <c r="Y808" s="41" t="str">
        <f t="shared" si="316"/>
        <v/>
      </c>
      <c r="Z808" s="98" t="str">
        <f t="shared" si="311"/>
        <v/>
      </c>
      <c r="AA808" s="81" t="str">
        <f t="shared" si="317"/>
        <v/>
      </c>
      <c r="AC808" s="139"/>
      <c r="AD808" s="110" t="str">
        <f t="shared" si="318"/>
        <v/>
      </c>
      <c r="AE808" s="111" t="str">
        <f t="shared" si="319"/>
        <v/>
      </c>
      <c r="AF808" s="111" t="str">
        <f t="shared" si="312"/>
        <v/>
      </c>
      <c r="AG808" s="111" t="str">
        <f t="shared" si="320"/>
        <v/>
      </c>
      <c r="AH808" s="111" t="str">
        <f t="shared" si="321"/>
        <v/>
      </c>
      <c r="AI808" s="112" t="str">
        <f t="shared" si="322"/>
        <v/>
      </c>
      <c r="AJ808" t="str">
        <f t="shared" si="323"/>
        <v/>
      </c>
      <c r="AK808" t="str">
        <f t="shared" si="324"/>
        <v/>
      </c>
    </row>
    <row r="809" spans="1:37" ht="15" customHeight="1" x14ac:dyDescent="0.25">
      <c r="A809" s="114"/>
      <c r="B809" s="116"/>
      <c r="C809" s="116"/>
      <c r="D809" s="42" t="str">
        <f t="shared" si="300"/>
        <v/>
      </c>
      <c r="E809" s="43"/>
      <c r="F809" s="83"/>
      <c r="G809" s="118"/>
      <c r="H809" s="34" t="str">
        <f t="shared" si="301"/>
        <v/>
      </c>
      <c r="I809" s="88" t="str">
        <f t="shared" si="302"/>
        <v/>
      </c>
      <c r="J809" s="44" t="str">
        <f t="shared" si="303"/>
        <v/>
      </c>
      <c r="K809" s="118"/>
      <c r="L809" s="34" t="str">
        <f t="shared" si="304"/>
        <v/>
      </c>
      <c r="M809" s="118"/>
      <c r="N809" s="121"/>
      <c r="O809" s="122" t="str">
        <f t="shared" si="313"/>
        <v/>
      </c>
      <c r="P809" s="35" t="str">
        <f t="shared" si="314"/>
        <v/>
      </c>
      <c r="Q809" s="124"/>
      <c r="R809" s="36" t="str">
        <f t="shared" si="315"/>
        <v/>
      </c>
      <c r="S809" s="37" t="str">
        <f t="shared" si="305"/>
        <v/>
      </c>
      <c r="T809" s="38" t="str">
        <f t="shared" si="306"/>
        <v/>
      </c>
      <c r="U809" s="39" t="str">
        <f t="shared" si="307"/>
        <v/>
      </c>
      <c r="V809" s="40" t="str">
        <f t="shared" si="308"/>
        <v/>
      </c>
      <c r="W809" s="39" t="str">
        <f t="shared" si="309"/>
        <v/>
      </c>
      <c r="X809" s="34" t="str">
        <f t="shared" si="310"/>
        <v/>
      </c>
      <c r="Y809" s="41" t="str">
        <f t="shared" si="316"/>
        <v/>
      </c>
      <c r="Z809" s="98" t="str">
        <f t="shared" si="311"/>
        <v/>
      </c>
      <c r="AA809" s="81" t="str">
        <f t="shared" si="317"/>
        <v/>
      </c>
      <c r="AC809" s="139"/>
      <c r="AD809" s="110" t="str">
        <f t="shared" si="318"/>
        <v/>
      </c>
      <c r="AE809" s="111" t="str">
        <f t="shared" si="319"/>
        <v/>
      </c>
      <c r="AF809" s="111" t="str">
        <f t="shared" si="312"/>
        <v/>
      </c>
      <c r="AG809" s="111" t="str">
        <f t="shared" si="320"/>
        <v/>
      </c>
      <c r="AH809" s="111" t="str">
        <f t="shared" si="321"/>
        <v/>
      </c>
      <c r="AI809" s="112" t="str">
        <f t="shared" si="322"/>
        <v/>
      </c>
      <c r="AJ809" t="str">
        <f t="shared" si="323"/>
        <v/>
      </c>
      <c r="AK809" t="str">
        <f t="shared" si="324"/>
        <v/>
      </c>
    </row>
    <row r="810" spans="1:37" ht="15" customHeight="1" x14ac:dyDescent="0.25">
      <c r="A810" s="114"/>
      <c r="B810" s="116"/>
      <c r="C810" s="116"/>
      <c r="D810" s="42" t="str">
        <f t="shared" si="300"/>
        <v/>
      </c>
      <c r="E810" s="43"/>
      <c r="F810" s="83"/>
      <c r="G810" s="118"/>
      <c r="H810" s="34" t="str">
        <f t="shared" si="301"/>
        <v/>
      </c>
      <c r="I810" s="88" t="str">
        <f t="shared" si="302"/>
        <v/>
      </c>
      <c r="J810" s="44" t="str">
        <f t="shared" si="303"/>
        <v/>
      </c>
      <c r="K810" s="118"/>
      <c r="L810" s="34" t="str">
        <f t="shared" si="304"/>
        <v/>
      </c>
      <c r="M810" s="118"/>
      <c r="N810" s="121"/>
      <c r="O810" s="122" t="str">
        <f t="shared" si="313"/>
        <v/>
      </c>
      <c r="P810" s="35" t="str">
        <f t="shared" si="314"/>
        <v/>
      </c>
      <c r="Q810" s="124"/>
      <c r="R810" s="36" t="str">
        <f t="shared" si="315"/>
        <v/>
      </c>
      <c r="S810" s="37" t="str">
        <f t="shared" si="305"/>
        <v/>
      </c>
      <c r="T810" s="38" t="str">
        <f t="shared" si="306"/>
        <v/>
      </c>
      <c r="U810" s="39" t="str">
        <f t="shared" si="307"/>
        <v/>
      </c>
      <c r="V810" s="40" t="str">
        <f t="shared" si="308"/>
        <v/>
      </c>
      <c r="W810" s="39" t="str">
        <f t="shared" si="309"/>
        <v/>
      </c>
      <c r="X810" s="34" t="str">
        <f t="shared" si="310"/>
        <v/>
      </c>
      <c r="Y810" s="41" t="str">
        <f t="shared" si="316"/>
        <v/>
      </c>
      <c r="Z810" s="98" t="str">
        <f t="shared" si="311"/>
        <v/>
      </c>
      <c r="AA810" s="81" t="str">
        <f t="shared" si="317"/>
        <v/>
      </c>
      <c r="AC810" s="139"/>
      <c r="AD810" s="110" t="str">
        <f t="shared" si="318"/>
        <v/>
      </c>
      <c r="AE810" s="111" t="str">
        <f t="shared" si="319"/>
        <v/>
      </c>
      <c r="AF810" s="111" t="str">
        <f t="shared" si="312"/>
        <v/>
      </c>
      <c r="AG810" s="111" t="str">
        <f t="shared" si="320"/>
        <v/>
      </c>
      <c r="AH810" s="111" t="str">
        <f t="shared" si="321"/>
        <v/>
      </c>
      <c r="AI810" s="112" t="str">
        <f t="shared" si="322"/>
        <v/>
      </c>
      <c r="AJ810" t="str">
        <f t="shared" si="323"/>
        <v/>
      </c>
      <c r="AK810" t="str">
        <f t="shared" si="324"/>
        <v/>
      </c>
    </row>
    <row r="811" spans="1:37" ht="15" customHeight="1" x14ac:dyDescent="0.25">
      <c r="A811" s="114"/>
      <c r="B811" s="116"/>
      <c r="C811" s="116"/>
      <c r="D811" s="42" t="str">
        <f t="shared" si="300"/>
        <v/>
      </c>
      <c r="E811" s="43"/>
      <c r="F811" s="83"/>
      <c r="G811" s="118"/>
      <c r="H811" s="34" t="str">
        <f t="shared" si="301"/>
        <v/>
      </c>
      <c r="I811" s="88" t="str">
        <f t="shared" si="302"/>
        <v/>
      </c>
      <c r="J811" s="44" t="str">
        <f t="shared" si="303"/>
        <v/>
      </c>
      <c r="K811" s="118"/>
      <c r="L811" s="34" t="str">
        <f t="shared" si="304"/>
        <v/>
      </c>
      <c r="M811" s="118"/>
      <c r="N811" s="121"/>
      <c r="O811" s="122" t="str">
        <f t="shared" si="313"/>
        <v/>
      </c>
      <c r="P811" s="35" t="str">
        <f t="shared" si="314"/>
        <v/>
      </c>
      <c r="Q811" s="124"/>
      <c r="R811" s="36" t="str">
        <f t="shared" si="315"/>
        <v/>
      </c>
      <c r="S811" s="37" t="str">
        <f t="shared" si="305"/>
        <v/>
      </c>
      <c r="T811" s="38" t="str">
        <f t="shared" si="306"/>
        <v/>
      </c>
      <c r="U811" s="39" t="str">
        <f t="shared" si="307"/>
        <v/>
      </c>
      <c r="V811" s="40" t="str">
        <f t="shared" si="308"/>
        <v/>
      </c>
      <c r="W811" s="39" t="str">
        <f t="shared" si="309"/>
        <v/>
      </c>
      <c r="X811" s="34" t="str">
        <f t="shared" si="310"/>
        <v/>
      </c>
      <c r="Y811" s="41" t="str">
        <f t="shared" si="316"/>
        <v/>
      </c>
      <c r="Z811" s="98" t="str">
        <f t="shared" si="311"/>
        <v/>
      </c>
      <c r="AA811" s="81" t="str">
        <f t="shared" si="317"/>
        <v/>
      </c>
      <c r="AC811" s="139"/>
      <c r="AD811" s="110" t="str">
        <f t="shared" si="318"/>
        <v/>
      </c>
      <c r="AE811" s="111" t="str">
        <f t="shared" si="319"/>
        <v/>
      </c>
      <c r="AF811" s="111" t="str">
        <f t="shared" si="312"/>
        <v/>
      </c>
      <c r="AG811" s="111" t="str">
        <f t="shared" si="320"/>
        <v/>
      </c>
      <c r="AH811" s="111" t="str">
        <f t="shared" si="321"/>
        <v/>
      </c>
      <c r="AI811" s="112" t="str">
        <f t="shared" si="322"/>
        <v/>
      </c>
      <c r="AJ811" t="str">
        <f t="shared" si="323"/>
        <v/>
      </c>
      <c r="AK811" t="str">
        <f t="shared" si="324"/>
        <v/>
      </c>
    </row>
    <row r="812" spans="1:37" ht="15" customHeight="1" x14ac:dyDescent="0.25">
      <c r="A812" s="114"/>
      <c r="B812" s="116"/>
      <c r="C812" s="116"/>
      <c r="D812" s="42" t="str">
        <f t="shared" si="300"/>
        <v/>
      </c>
      <c r="E812" s="43"/>
      <c r="F812" s="83"/>
      <c r="G812" s="118"/>
      <c r="H812" s="34" t="str">
        <f t="shared" si="301"/>
        <v/>
      </c>
      <c r="I812" s="88" t="str">
        <f t="shared" si="302"/>
        <v/>
      </c>
      <c r="J812" s="44" t="str">
        <f t="shared" si="303"/>
        <v/>
      </c>
      <c r="K812" s="118"/>
      <c r="L812" s="34" t="str">
        <f t="shared" si="304"/>
        <v/>
      </c>
      <c r="M812" s="118"/>
      <c r="N812" s="121"/>
      <c r="O812" s="122" t="str">
        <f t="shared" si="313"/>
        <v/>
      </c>
      <c r="P812" s="35" t="str">
        <f t="shared" si="314"/>
        <v/>
      </c>
      <c r="Q812" s="124"/>
      <c r="R812" s="36" t="str">
        <f t="shared" si="315"/>
        <v/>
      </c>
      <c r="S812" s="37" t="str">
        <f t="shared" si="305"/>
        <v/>
      </c>
      <c r="T812" s="38" t="str">
        <f t="shared" si="306"/>
        <v/>
      </c>
      <c r="U812" s="39" t="str">
        <f t="shared" si="307"/>
        <v/>
      </c>
      <c r="V812" s="40" t="str">
        <f t="shared" si="308"/>
        <v/>
      </c>
      <c r="W812" s="39" t="str">
        <f t="shared" si="309"/>
        <v/>
      </c>
      <c r="X812" s="34" t="str">
        <f t="shared" si="310"/>
        <v/>
      </c>
      <c r="Y812" s="41" t="str">
        <f t="shared" si="316"/>
        <v/>
      </c>
      <c r="Z812" s="98" t="str">
        <f t="shared" si="311"/>
        <v/>
      </c>
      <c r="AA812" s="81" t="str">
        <f t="shared" si="317"/>
        <v/>
      </c>
      <c r="AC812" s="139"/>
      <c r="AD812" s="110" t="str">
        <f t="shared" si="318"/>
        <v/>
      </c>
      <c r="AE812" s="111" t="str">
        <f t="shared" si="319"/>
        <v/>
      </c>
      <c r="AF812" s="111" t="str">
        <f t="shared" si="312"/>
        <v/>
      </c>
      <c r="AG812" s="111" t="str">
        <f t="shared" si="320"/>
        <v/>
      </c>
      <c r="AH812" s="111" t="str">
        <f t="shared" si="321"/>
        <v/>
      </c>
      <c r="AI812" s="112" t="str">
        <f t="shared" si="322"/>
        <v/>
      </c>
      <c r="AJ812" t="str">
        <f t="shared" si="323"/>
        <v/>
      </c>
      <c r="AK812" t="str">
        <f t="shared" si="324"/>
        <v/>
      </c>
    </row>
    <row r="813" spans="1:37" ht="15" customHeight="1" x14ac:dyDescent="0.25">
      <c r="A813" s="114"/>
      <c r="B813" s="116"/>
      <c r="C813" s="116"/>
      <c r="D813" s="42" t="str">
        <f t="shared" si="300"/>
        <v/>
      </c>
      <c r="E813" s="43"/>
      <c r="F813" s="83"/>
      <c r="G813" s="118"/>
      <c r="H813" s="34" t="str">
        <f t="shared" si="301"/>
        <v/>
      </c>
      <c r="I813" s="88" t="str">
        <f t="shared" si="302"/>
        <v/>
      </c>
      <c r="J813" s="44" t="str">
        <f t="shared" si="303"/>
        <v/>
      </c>
      <c r="K813" s="118"/>
      <c r="L813" s="34" t="str">
        <f t="shared" si="304"/>
        <v/>
      </c>
      <c r="M813" s="118"/>
      <c r="N813" s="121"/>
      <c r="O813" s="122" t="str">
        <f t="shared" si="313"/>
        <v/>
      </c>
      <c r="P813" s="35" t="str">
        <f t="shared" si="314"/>
        <v/>
      </c>
      <c r="Q813" s="124"/>
      <c r="R813" s="36" t="str">
        <f t="shared" si="315"/>
        <v/>
      </c>
      <c r="S813" s="37" t="str">
        <f t="shared" si="305"/>
        <v/>
      </c>
      <c r="T813" s="38" t="str">
        <f t="shared" si="306"/>
        <v/>
      </c>
      <c r="U813" s="39" t="str">
        <f t="shared" si="307"/>
        <v/>
      </c>
      <c r="V813" s="40" t="str">
        <f t="shared" si="308"/>
        <v/>
      </c>
      <c r="W813" s="39" t="str">
        <f t="shared" si="309"/>
        <v/>
      </c>
      <c r="X813" s="34" t="str">
        <f t="shared" si="310"/>
        <v/>
      </c>
      <c r="Y813" s="41" t="str">
        <f t="shared" si="316"/>
        <v/>
      </c>
      <c r="Z813" s="98" t="str">
        <f t="shared" si="311"/>
        <v/>
      </c>
      <c r="AA813" s="81" t="str">
        <f t="shared" si="317"/>
        <v/>
      </c>
      <c r="AC813" s="139"/>
      <c r="AD813" s="110" t="str">
        <f t="shared" si="318"/>
        <v/>
      </c>
      <c r="AE813" s="111" t="str">
        <f t="shared" si="319"/>
        <v/>
      </c>
      <c r="AF813" s="111" t="str">
        <f t="shared" si="312"/>
        <v/>
      </c>
      <c r="AG813" s="111" t="str">
        <f t="shared" si="320"/>
        <v/>
      </c>
      <c r="AH813" s="111" t="str">
        <f t="shared" si="321"/>
        <v/>
      </c>
      <c r="AI813" s="112" t="str">
        <f t="shared" si="322"/>
        <v/>
      </c>
      <c r="AJ813" t="str">
        <f t="shared" si="323"/>
        <v/>
      </c>
      <c r="AK813" t="str">
        <f t="shared" si="324"/>
        <v/>
      </c>
    </row>
    <row r="814" spans="1:37" ht="15" customHeight="1" x14ac:dyDescent="0.25">
      <c r="A814" s="114"/>
      <c r="B814" s="116"/>
      <c r="C814" s="116"/>
      <c r="D814" s="42" t="str">
        <f t="shared" si="300"/>
        <v/>
      </c>
      <c r="E814" s="43"/>
      <c r="F814" s="83"/>
      <c r="G814" s="118"/>
      <c r="H814" s="34" t="str">
        <f t="shared" si="301"/>
        <v/>
      </c>
      <c r="I814" s="88" t="str">
        <f t="shared" si="302"/>
        <v/>
      </c>
      <c r="J814" s="44" t="str">
        <f t="shared" si="303"/>
        <v/>
      </c>
      <c r="K814" s="118"/>
      <c r="L814" s="34" t="str">
        <f t="shared" si="304"/>
        <v/>
      </c>
      <c r="M814" s="118"/>
      <c r="N814" s="121"/>
      <c r="O814" s="122" t="str">
        <f t="shared" si="313"/>
        <v/>
      </c>
      <c r="P814" s="35" t="str">
        <f t="shared" si="314"/>
        <v/>
      </c>
      <c r="Q814" s="124"/>
      <c r="R814" s="36" t="str">
        <f t="shared" si="315"/>
        <v/>
      </c>
      <c r="S814" s="37" t="str">
        <f t="shared" si="305"/>
        <v/>
      </c>
      <c r="T814" s="38" t="str">
        <f t="shared" si="306"/>
        <v/>
      </c>
      <c r="U814" s="39" t="str">
        <f t="shared" si="307"/>
        <v/>
      </c>
      <c r="V814" s="40" t="str">
        <f t="shared" si="308"/>
        <v/>
      </c>
      <c r="W814" s="39" t="str">
        <f t="shared" si="309"/>
        <v/>
      </c>
      <c r="X814" s="34" t="str">
        <f t="shared" si="310"/>
        <v/>
      </c>
      <c r="Y814" s="41" t="str">
        <f t="shared" si="316"/>
        <v/>
      </c>
      <c r="Z814" s="98" t="str">
        <f t="shared" si="311"/>
        <v/>
      </c>
      <c r="AA814" s="81" t="str">
        <f t="shared" si="317"/>
        <v/>
      </c>
      <c r="AC814" s="139"/>
      <c r="AD814" s="110" t="str">
        <f t="shared" si="318"/>
        <v/>
      </c>
      <c r="AE814" s="111" t="str">
        <f t="shared" si="319"/>
        <v/>
      </c>
      <c r="AF814" s="111" t="str">
        <f t="shared" si="312"/>
        <v/>
      </c>
      <c r="AG814" s="111" t="str">
        <f t="shared" si="320"/>
        <v/>
      </c>
      <c r="AH814" s="111" t="str">
        <f t="shared" si="321"/>
        <v/>
      </c>
      <c r="AI814" s="112" t="str">
        <f t="shared" si="322"/>
        <v/>
      </c>
      <c r="AJ814" t="str">
        <f t="shared" si="323"/>
        <v/>
      </c>
      <c r="AK814" t="str">
        <f t="shared" si="324"/>
        <v/>
      </c>
    </row>
    <row r="815" spans="1:37" ht="15" customHeight="1" x14ac:dyDescent="0.25">
      <c r="A815" s="114"/>
      <c r="B815" s="116"/>
      <c r="C815" s="116"/>
      <c r="D815" s="42" t="str">
        <f t="shared" si="300"/>
        <v/>
      </c>
      <c r="E815" s="43"/>
      <c r="F815" s="83"/>
      <c r="G815" s="118"/>
      <c r="H815" s="34" t="str">
        <f t="shared" si="301"/>
        <v/>
      </c>
      <c r="I815" s="88" t="str">
        <f t="shared" si="302"/>
        <v/>
      </c>
      <c r="J815" s="44" t="str">
        <f t="shared" si="303"/>
        <v/>
      </c>
      <c r="K815" s="118"/>
      <c r="L815" s="34" t="str">
        <f t="shared" si="304"/>
        <v/>
      </c>
      <c r="M815" s="118"/>
      <c r="N815" s="121"/>
      <c r="O815" s="122" t="str">
        <f t="shared" si="313"/>
        <v/>
      </c>
      <c r="P815" s="35" t="str">
        <f t="shared" si="314"/>
        <v/>
      </c>
      <c r="Q815" s="124"/>
      <c r="R815" s="36" t="str">
        <f t="shared" si="315"/>
        <v/>
      </c>
      <c r="S815" s="37" t="str">
        <f t="shared" si="305"/>
        <v/>
      </c>
      <c r="T815" s="38" t="str">
        <f t="shared" si="306"/>
        <v/>
      </c>
      <c r="U815" s="39" t="str">
        <f t="shared" si="307"/>
        <v/>
      </c>
      <c r="V815" s="40" t="str">
        <f t="shared" si="308"/>
        <v/>
      </c>
      <c r="W815" s="39" t="str">
        <f t="shared" si="309"/>
        <v/>
      </c>
      <c r="X815" s="34" t="str">
        <f t="shared" si="310"/>
        <v/>
      </c>
      <c r="Y815" s="41" t="str">
        <f t="shared" si="316"/>
        <v/>
      </c>
      <c r="Z815" s="98" t="str">
        <f t="shared" si="311"/>
        <v/>
      </c>
      <c r="AA815" s="81" t="str">
        <f t="shared" si="317"/>
        <v/>
      </c>
      <c r="AC815" s="139"/>
      <c r="AD815" s="110" t="str">
        <f t="shared" si="318"/>
        <v/>
      </c>
      <c r="AE815" s="111" t="str">
        <f t="shared" si="319"/>
        <v/>
      </c>
      <c r="AF815" s="111" t="str">
        <f t="shared" si="312"/>
        <v/>
      </c>
      <c r="AG815" s="111" t="str">
        <f t="shared" si="320"/>
        <v/>
      </c>
      <c r="AH815" s="111" t="str">
        <f t="shared" si="321"/>
        <v/>
      </c>
      <c r="AI815" s="112" t="str">
        <f t="shared" si="322"/>
        <v/>
      </c>
      <c r="AJ815" t="str">
        <f t="shared" si="323"/>
        <v/>
      </c>
      <c r="AK815" t="str">
        <f t="shared" si="324"/>
        <v/>
      </c>
    </row>
    <row r="816" spans="1:37" ht="15" customHeight="1" x14ac:dyDescent="0.25">
      <c r="A816" s="114"/>
      <c r="B816" s="116"/>
      <c r="C816" s="116"/>
      <c r="D816" s="42" t="str">
        <f t="shared" si="300"/>
        <v/>
      </c>
      <c r="E816" s="43"/>
      <c r="F816" s="83"/>
      <c r="G816" s="118"/>
      <c r="H816" s="34" t="str">
        <f t="shared" si="301"/>
        <v/>
      </c>
      <c r="I816" s="88" t="str">
        <f t="shared" si="302"/>
        <v/>
      </c>
      <c r="J816" s="44" t="str">
        <f t="shared" si="303"/>
        <v/>
      </c>
      <c r="K816" s="118"/>
      <c r="L816" s="34" t="str">
        <f t="shared" si="304"/>
        <v/>
      </c>
      <c r="M816" s="118"/>
      <c r="N816" s="121"/>
      <c r="O816" s="122" t="str">
        <f t="shared" si="313"/>
        <v/>
      </c>
      <c r="P816" s="35" t="str">
        <f t="shared" si="314"/>
        <v/>
      </c>
      <c r="Q816" s="124"/>
      <c r="R816" s="36" t="str">
        <f t="shared" si="315"/>
        <v/>
      </c>
      <c r="S816" s="37" t="str">
        <f t="shared" si="305"/>
        <v/>
      </c>
      <c r="T816" s="38" t="str">
        <f t="shared" si="306"/>
        <v/>
      </c>
      <c r="U816" s="39" t="str">
        <f t="shared" si="307"/>
        <v/>
      </c>
      <c r="V816" s="40" t="str">
        <f t="shared" si="308"/>
        <v/>
      </c>
      <c r="W816" s="39" t="str">
        <f t="shared" si="309"/>
        <v/>
      </c>
      <c r="X816" s="34" t="str">
        <f t="shared" si="310"/>
        <v/>
      </c>
      <c r="Y816" s="41" t="str">
        <f t="shared" si="316"/>
        <v/>
      </c>
      <c r="Z816" s="98" t="str">
        <f t="shared" si="311"/>
        <v/>
      </c>
      <c r="AA816" s="81" t="str">
        <f t="shared" si="317"/>
        <v/>
      </c>
      <c r="AC816" s="139"/>
      <c r="AD816" s="110" t="str">
        <f t="shared" si="318"/>
        <v/>
      </c>
      <c r="AE816" s="111" t="str">
        <f t="shared" si="319"/>
        <v/>
      </c>
      <c r="AF816" s="111" t="str">
        <f t="shared" si="312"/>
        <v/>
      </c>
      <c r="AG816" s="111" t="str">
        <f t="shared" si="320"/>
        <v/>
      </c>
      <c r="AH816" s="111" t="str">
        <f t="shared" si="321"/>
        <v/>
      </c>
      <c r="AI816" s="112" t="str">
        <f t="shared" si="322"/>
        <v/>
      </c>
      <c r="AJ816" t="str">
        <f t="shared" si="323"/>
        <v/>
      </c>
      <c r="AK816" t="str">
        <f t="shared" si="324"/>
        <v/>
      </c>
    </row>
    <row r="817" spans="1:37" ht="15" customHeight="1" x14ac:dyDescent="0.25">
      <c r="A817" s="114"/>
      <c r="B817" s="116"/>
      <c r="C817" s="116"/>
      <c r="D817" s="42" t="str">
        <f t="shared" si="300"/>
        <v/>
      </c>
      <c r="E817" s="43"/>
      <c r="F817" s="83"/>
      <c r="G817" s="118"/>
      <c r="H817" s="34" t="str">
        <f t="shared" si="301"/>
        <v/>
      </c>
      <c r="I817" s="88" t="str">
        <f t="shared" si="302"/>
        <v/>
      </c>
      <c r="J817" s="44" t="str">
        <f t="shared" si="303"/>
        <v/>
      </c>
      <c r="K817" s="118"/>
      <c r="L817" s="34" t="str">
        <f t="shared" si="304"/>
        <v/>
      </c>
      <c r="M817" s="118"/>
      <c r="N817" s="121"/>
      <c r="O817" s="122" t="str">
        <f t="shared" si="313"/>
        <v/>
      </c>
      <c r="P817" s="35" t="str">
        <f t="shared" si="314"/>
        <v/>
      </c>
      <c r="Q817" s="124"/>
      <c r="R817" s="36" t="str">
        <f t="shared" si="315"/>
        <v/>
      </c>
      <c r="S817" s="37" t="str">
        <f t="shared" si="305"/>
        <v/>
      </c>
      <c r="T817" s="38" t="str">
        <f t="shared" si="306"/>
        <v/>
      </c>
      <c r="U817" s="39" t="str">
        <f t="shared" si="307"/>
        <v/>
      </c>
      <c r="V817" s="40" t="str">
        <f t="shared" si="308"/>
        <v/>
      </c>
      <c r="W817" s="39" t="str">
        <f t="shared" si="309"/>
        <v/>
      </c>
      <c r="X817" s="34" t="str">
        <f t="shared" si="310"/>
        <v/>
      </c>
      <c r="Y817" s="41" t="str">
        <f t="shared" si="316"/>
        <v/>
      </c>
      <c r="Z817" s="98" t="str">
        <f t="shared" si="311"/>
        <v/>
      </c>
      <c r="AA817" s="81" t="str">
        <f t="shared" si="317"/>
        <v/>
      </c>
      <c r="AC817" s="139"/>
      <c r="AD817" s="110" t="str">
        <f t="shared" si="318"/>
        <v/>
      </c>
      <c r="AE817" s="111" t="str">
        <f t="shared" si="319"/>
        <v/>
      </c>
      <c r="AF817" s="111" t="str">
        <f t="shared" si="312"/>
        <v/>
      </c>
      <c r="AG817" s="111" t="str">
        <f t="shared" si="320"/>
        <v/>
      </c>
      <c r="AH817" s="111" t="str">
        <f t="shared" si="321"/>
        <v/>
      </c>
      <c r="AI817" s="112" t="str">
        <f t="shared" si="322"/>
        <v/>
      </c>
      <c r="AJ817" t="str">
        <f t="shared" si="323"/>
        <v/>
      </c>
      <c r="AK817" t="str">
        <f t="shared" si="324"/>
        <v/>
      </c>
    </row>
    <row r="818" spans="1:37" ht="15" customHeight="1" x14ac:dyDescent="0.25">
      <c r="A818" s="114"/>
      <c r="B818" s="116"/>
      <c r="C818" s="116"/>
      <c r="D818" s="42" t="str">
        <f t="shared" si="300"/>
        <v/>
      </c>
      <c r="E818" s="43"/>
      <c r="F818" s="83"/>
      <c r="G818" s="118"/>
      <c r="H818" s="34" t="str">
        <f t="shared" si="301"/>
        <v/>
      </c>
      <c r="I818" s="88" t="str">
        <f t="shared" si="302"/>
        <v/>
      </c>
      <c r="J818" s="44" t="str">
        <f t="shared" si="303"/>
        <v/>
      </c>
      <c r="K818" s="118"/>
      <c r="L818" s="34" t="str">
        <f t="shared" si="304"/>
        <v/>
      </c>
      <c r="M818" s="118"/>
      <c r="N818" s="121"/>
      <c r="O818" s="122" t="str">
        <f t="shared" si="313"/>
        <v/>
      </c>
      <c r="P818" s="35" t="str">
        <f t="shared" si="314"/>
        <v/>
      </c>
      <c r="Q818" s="124"/>
      <c r="R818" s="36" t="str">
        <f t="shared" si="315"/>
        <v/>
      </c>
      <c r="S818" s="37" t="str">
        <f t="shared" si="305"/>
        <v/>
      </c>
      <c r="T818" s="38" t="str">
        <f t="shared" si="306"/>
        <v/>
      </c>
      <c r="U818" s="39" t="str">
        <f t="shared" si="307"/>
        <v/>
      </c>
      <c r="V818" s="40" t="str">
        <f t="shared" si="308"/>
        <v/>
      </c>
      <c r="W818" s="39" t="str">
        <f t="shared" si="309"/>
        <v/>
      </c>
      <c r="X818" s="34" t="str">
        <f t="shared" si="310"/>
        <v/>
      </c>
      <c r="Y818" s="41" t="str">
        <f t="shared" si="316"/>
        <v/>
      </c>
      <c r="Z818" s="98" t="str">
        <f t="shared" si="311"/>
        <v/>
      </c>
      <c r="AA818" s="81" t="str">
        <f t="shared" si="317"/>
        <v/>
      </c>
      <c r="AC818" s="139"/>
      <c r="AD818" s="110" t="str">
        <f t="shared" si="318"/>
        <v/>
      </c>
      <c r="AE818" s="111" t="str">
        <f t="shared" si="319"/>
        <v/>
      </c>
      <c r="AF818" s="111" t="str">
        <f t="shared" si="312"/>
        <v/>
      </c>
      <c r="AG818" s="111" t="str">
        <f t="shared" si="320"/>
        <v/>
      </c>
      <c r="AH818" s="111" t="str">
        <f t="shared" si="321"/>
        <v/>
      </c>
      <c r="AI818" s="112" t="str">
        <f t="shared" si="322"/>
        <v/>
      </c>
      <c r="AJ818" t="str">
        <f t="shared" si="323"/>
        <v/>
      </c>
      <c r="AK818" t="str">
        <f t="shared" si="324"/>
        <v/>
      </c>
    </row>
    <row r="819" spans="1:37" ht="15" customHeight="1" x14ac:dyDescent="0.25">
      <c r="A819" s="114"/>
      <c r="B819" s="116"/>
      <c r="C819" s="116"/>
      <c r="D819" s="42" t="str">
        <f t="shared" si="300"/>
        <v/>
      </c>
      <c r="E819" s="43"/>
      <c r="F819" s="83"/>
      <c r="G819" s="118"/>
      <c r="H819" s="34" t="str">
        <f t="shared" si="301"/>
        <v/>
      </c>
      <c r="I819" s="88" t="str">
        <f t="shared" si="302"/>
        <v/>
      </c>
      <c r="J819" s="44" t="str">
        <f t="shared" si="303"/>
        <v/>
      </c>
      <c r="K819" s="118"/>
      <c r="L819" s="34" t="str">
        <f t="shared" si="304"/>
        <v/>
      </c>
      <c r="M819" s="118"/>
      <c r="N819" s="121"/>
      <c r="O819" s="122" t="str">
        <f t="shared" si="313"/>
        <v/>
      </c>
      <c r="P819" s="35" t="str">
        <f t="shared" si="314"/>
        <v/>
      </c>
      <c r="Q819" s="124"/>
      <c r="R819" s="36" t="str">
        <f t="shared" si="315"/>
        <v/>
      </c>
      <c r="S819" s="37" t="str">
        <f t="shared" si="305"/>
        <v/>
      </c>
      <c r="T819" s="38" t="str">
        <f t="shared" si="306"/>
        <v/>
      </c>
      <c r="U819" s="39" t="str">
        <f t="shared" si="307"/>
        <v/>
      </c>
      <c r="V819" s="40" t="str">
        <f t="shared" si="308"/>
        <v/>
      </c>
      <c r="W819" s="39" t="str">
        <f t="shared" si="309"/>
        <v/>
      </c>
      <c r="X819" s="34" t="str">
        <f t="shared" si="310"/>
        <v/>
      </c>
      <c r="Y819" s="41" t="str">
        <f t="shared" si="316"/>
        <v/>
      </c>
      <c r="Z819" s="98" t="str">
        <f t="shared" si="311"/>
        <v/>
      </c>
      <c r="AA819" s="81" t="str">
        <f t="shared" si="317"/>
        <v/>
      </c>
      <c r="AC819" s="139"/>
      <c r="AD819" s="110" t="str">
        <f t="shared" si="318"/>
        <v/>
      </c>
      <c r="AE819" s="111" t="str">
        <f t="shared" si="319"/>
        <v/>
      </c>
      <c r="AF819" s="111" t="str">
        <f t="shared" si="312"/>
        <v/>
      </c>
      <c r="AG819" s="111" t="str">
        <f t="shared" si="320"/>
        <v/>
      </c>
      <c r="AH819" s="111" t="str">
        <f t="shared" si="321"/>
        <v/>
      </c>
      <c r="AI819" s="112" t="str">
        <f t="shared" si="322"/>
        <v/>
      </c>
      <c r="AJ819" t="str">
        <f t="shared" si="323"/>
        <v/>
      </c>
      <c r="AK819" t="str">
        <f t="shared" si="324"/>
        <v/>
      </c>
    </row>
    <row r="820" spans="1:37" ht="15" customHeight="1" x14ac:dyDescent="0.25">
      <c r="A820" s="114"/>
      <c r="B820" s="116"/>
      <c r="C820" s="116"/>
      <c r="D820" s="42" t="str">
        <f t="shared" si="300"/>
        <v/>
      </c>
      <c r="E820" s="43"/>
      <c r="F820" s="83"/>
      <c r="G820" s="118"/>
      <c r="H820" s="34" t="str">
        <f t="shared" si="301"/>
        <v/>
      </c>
      <c r="I820" s="88" t="str">
        <f t="shared" si="302"/>
        <v/>
      </c>
      <c r="J820" s="44" t="str">
        <f t="shared" si="303"/>
        <v/>
      </c>
      <c r="K820" s="118"/>
      <c r="L820" s="34" t="str">
        <f t="shared" si="304"/>
        <v/>
      </c>
      <c r="M820" s="118"/>
      <c r="N820" s="121"/>
      <c r="O820" s="122" t="str">
        <f t="shared" si="313"/>
        <v/>
      </c>
      <c r="P820" s="35" t="str">
        <f t="shared" si="314"/>
        <v/>
      </c>
      <c r="Q820" s="124"/>
      <c r="R820" s="36" t="str">
        <f t="shared" si="315"/>
        <v/>
      </c>
      <c r="S820" s="37" t="str">
        <f t="shared" si="305"/>
        <v/>
      </c>
      <c r="T820" s="38" t="str">
        <f t="shared" si="306"/>
        <v/>
      </c>
      <c r="U820" s="39" t="str">
        <f t="shared" si="307"/>
        <v/>
      </c>
      <c r="V820" s="40" t="str">
        <f t="shared" si="308"/>
        <v/>
      </c>
      <c r="W820" s="39" t="str">
        <f t="shared" si="309"/>
        <v/>
      </c>
      <c r="X820" s="34" t="str">
        <f t="shared" si="310"/>
        <v/>
      </c>
      <c r="Y820" s="41" t="str">
        <f t="shared" si="316"/>
        <v/>
      </c>
      <c r="Z820" s="98" t="str">
        <f t="shared" si="311"/>
        <v/>
      </c>
      <c r="AA820" s="81" t="str">
        <f t="shared" si="317"/>
        <v/>
      </c>
      <c r="AC820" s="139"/>
      <c r="AD820" s="110" t="str">
        <f t="shared" si="318"/>
        <v/>
      </c>
      <c r="AE820" s="111" t="str">
        <f t="shared" si="319"/>
        <v/>
      </c>
      <c r="AF820" s="111" t="str">
        <f t="shared" si="312"/>
        <v/>
      </c>
      <c r="AG820" s="111" t="str">
        <f t="shared" si="320"/>
        <v/>
      </c>
      <c r="AH820" s="111" t="str">
        <f t="shared" si="321"/>
        <v/>
      </c>
      <c r="AI820" s="112" t="str">
        <f t="shared" si="322"/>
        <v/>
      </c>
      <c r="AJ820" t="str">
        <f t="shared" si="323"/>
        <v/>
      </c>
      <c r="AK820" t="str">
        <f t="shared" si="324"/>
        <v/>
      </c>
    </row>
    <row r="821" spans="1:37" ht="15" customHeight="1" x14ac:dyDescent="0.25">
      <c r="A821" s="114"/>
      <c r="B821" s="116"/>
      <c r="C821" s="116"/>
      <c r="D821" s="42" t="str">
        <f t="shared" si="300"/>
        <v/>
      </c>
      <c r="E821" s="43"/>
      <c r="F821" s="83"/>
      <c r="G821" s="118"/>
      <c r="H821" s="34" t="str">
        <f t="shared" si="301"/>
        <v/>
      </c>
      <c r="I821" s="88" t="str">
        <f t="shared" si="302"/>
        <v/>
      </c>
      <c r="J821" s="44" t="str">
        <f t="shared" si="303"/>
        <v/>
      </c>
      <c r="K821" s="118"/>
      <c r="L821" s="34" t="str">
        <f t="shared" si="304"/>
        <v/>
      </c>
      <c r="M821" s="118"/>
      <c r="N821" s="121"/>
      <c r="O821" s="122" t="str">
        <f t="shared" si="313"/>
        <v/>
      </c>
      <c r="P821" s="35" t="str">
        <f t="shared" si="314"/>
        <v/>
      </c>
      <c r="Q821" s="124"/>
      <c r="R821" s="36" t="str">
        <f t="shared" si="315"/>
        <v/>
      </c>
      <c r="S821" s="37" t="str">
        <f t="shared" si="305"/>
        <v/>
      </c>
      <c r="T821" s="38" t="str">
        <f t="shared" si="306"/>
        <v/>
      </c>
      <c r="U821" s="39" t="str">
        <f t="shared" si="307"/>
        <v/>
      </c>
      <c r="V821" s="40" t="str">
        <f t="shared" si="308"/>
        <v/>
      </c>
      <c r="W821" s="39" t="str">
        <f t="shared" si="309"/>
        <v/>
      </c>
      <c r="X821" s="34" t="str">
        <f t="shared" si="310"/>
        <v/>
      </c>
      <c r="Y821" s="41" t="str">
        <f t="shared" si="316"/>
        <v/>
      </c>
      <c r="Z821" s="98" t="str">
        <f t="shared" si="311"/>
        <v/>
      </c>
      <c r="AA821" s="81" t="str">
        <f t="shared" si="317"/>
        <v/>
      </c>
      <c r="AC821" s="139"/>
      <c r="AD821" s="110" t="str">
        <f t="shared" si="318"/>
        <v/>
      </c>
      <c r="AE821" s="111" t="str">
        <f t="shared" si="319"/>
        <v/>
      </c>
      <c r="AF821" s="111" t="str">
        <f t="shared" si="312"/>
        <v/>
      </c>
      <c r="AG821" s="111" t="str">
        <f t="shared" si="320"/>
        <v/>
      </c>
      <c r="AH821" s="111" t="str">
        <f t="shared" si="321"/>
        <v/>
      </c>
      <c r="AI821" s="112" t="str">
        <f t="shared" si="322"/>
        <v/>
      </c>
      <c r="AJ821" t="str">
        <f t="shared" si="323"/>
        <v/>
      </c>
      <c r="AK821" t="str">
        <f t="shared" si="324"/>
        <v/>
      </c>
    </row>
    <row r="822" spans="1:37" ht="15" customHeight="1" x14ac:dyDescent="0.25">
      <c r="A822" s="114"/>
      <c r="B822" s="116"/>
      <c r="C822" s="116"/>
      <c r="D822" s="42" t="str">
        <f t="shared" si="300"/>
        <v/>
      </c>
      <c r="E822" s="43"/>
      <c r="F822" s="83"/>
      <c r="G822" s="118"/>
      <c r="H822" s="34" t="str">
        <f t="shared" si="301"/>
        <v/>
      </c>
      <c r="I822" s="88" t="str">
        <f t="shared" si="302"/>
        <v/>
      </c>
      <c r="J822" s="44" t="str">
        <f t="shared" si="303"/>
        <v/>
      </c>
      <c r="K822" s="118"/>
      <c r="L822" s="34" t="str">
        <f t="shared" si="304"/>
        <v/>
      </c>
      <c r="M822" s="118"/>
      <c r="N822" s="121"/>
      <c r="O822" s="122" t="str">
        <f t="shared" si="313"/>
        <v/>
      </c>
      <c r="P822" s="35" t="str">
        <f t="shared" si="314"/>
        <v/>
      </c>
      <c r="Q822" s="124"/>
      <c r="R822" s="36" t="str">
        <f t="shared" si="315"/>
        <v/>
      </c>
      <c r="S822" s="37" t="str">
        <f t="shared" si="305"/>
        <v/>
      </c>
      <c r="T822" s="38" t="str">
        <f t="shared" si="306"/>
        <v/>
      </c>
      <c r="U822" s="39" t="str">
        <f t="shared" si="307"/>
        <v/>
      </c>
      <c r="V822" s="40" t="str">
        <f t="shared" si="308"/>
        <v/>
      </c>
      <c r="W822" s="39" t="str">
        <f t="shared" si="309"/>
        <v/>
      </c>
      <c r="X822" s="34" t="str">
        <f t="shared" si="310"/>
        <v/>
      </c>
      <c r="Y822" s="41" t="str">
        <f t="shared" si="316"/>
        <v/>
      </c>
      <c r="Z822" s="98" t="str">
        <f t="shared" si="311"/>
        <v/>
      </c>
      <c r="AA822" s="81" t="str">
        <f t="shared" si="317"/>
        <v/>
      </c>
      <c r="AC822" s="139"/>
      <c r="AD822" s="110" t="str">
        <f t="shared" si="318"/>
        <v/>
      </c>
      <c r="AE822" s="111" t="str">
        <f t="shared" si="319"/>
        <v/>
      </c>
      <c r="AF822" s="111" t="str">
        <f t="shared" si="312"/>
        <v/>
      </c>
      <c r="AG822" s="111" t="str">
        <f t="shared" si="320"/>
        <v/>
      </c>
      <c r="AH822" s="111" t="str">
        <f t="shared" si="321"/>
        <v/>
      </c>
      <c r="AI822" s="112" t="str">
        <f t="shared" si="322"/>
        <v/>
      </c>
      <c r="AJ822" t="str">
        <f t="shared" si="323"/>
        <v/>
      </c>
      <c r="AK822" t="str">
        <f t="shared" si="324"/>
        <v/>
      </c>
    </row>
    <row r="823" spans="1:37" ht="15" customHeight="1" x14ac:dyDescent="0.25">
      <c r="A823" s="114"/>
      <c r="B823" s="116"/>
      <c r="C823" s="116"/>
      <c r="D823" s="42" t="str">
        <f t="shared" si="300"/>
        <v/>
      </c>
      <c r="E823" s="43"/>
      <c r="F823" s="83"/>
      <c r="G823" s="118"/>
      <c r="H823" s="34" t="str">
        <f t="shared" si="301"/>
        <v/>
      </c>
      <c r="I823" s="88" t="str">
        <f t="shared" si="302"/>
        <v/>
      </c>
      <c r="J823" s="44" t="str">
        <f t="shared" si="303"/>
        <v/>
      </c>
      <c r="K823" s="118"/>
      <c r="L823" s="34" t="str">
        <f t="shared" si="304"/>
        <v/>
      </c>
      <c r="M823" s="118"/>
      <c r="N823" s="121"/>
      <c r="O823" s="122" t="str">
        <f t="shared" si="313"/>
        <v/>
      </c>
      <c r="P823" s="35" t="str">
        <f t="shared" si="314"/>
        <v/>
      </c>
      <c r="Q823" s="124"/>
      <c r="R823" s="36" t="str">
        <f t="shared" si="315"/>
        <v/>
      </c>
      <c r="S823" s="37" t="str">
        <f t="shared" si="305"/>
        <v/>
      </c>
      <c r="T823" s="38" t="str">
        <f t="shared" si="306"/>
        <v/>
      </c>
      <c r="U823" s="39" t="str">
        <f t="shared" si="307"/>
        <v/>
      </c>
      <c r="V823" s="40" t="str">
        <f t="shared" si="308"/>
        <v/>
      </c>
      <c r="W823" s="39" t="str">
        <f t="shared" si="309"/>
        <v/>
      </c>
      <c r="X823" s="34" t="str">
        <f t="shared" si="310"/>
        <v/>
      </c>
      <c r="Y823" s="41" t="str">
        <f t="shared" si="316"/>
        <v/>
      </c>
      <c r="Z823" s="98" t="str">
        <f t="shared" si="311"/>
        <v/>
      </c>
      <c r="AA823" s="81" t="str">
        <f t="shared" si="317"/>
        <v/>
      </c>
      <c r="AC823" s="139"/>
      <c r="AD823" s="110" t="str">
        <f t="shared" si="318"/>
        <v/>
      </c>
      <c r="AE823" s="111" t="str">
        <f t="shared" si="319"/>
        <v/>
      </c>
      <c r="AF823" s="111" t="str">
        <f t="shared" si="312"/>
        <v/>
      </c>
      <c r="AG823" s="111" t="str">
        <f t="shared" si="320"/>
        <v/>
      </c>
      <c r="AH823" s="111" t="str">
        <f t="shared" si="321"/>
        <v/>
      </c>
      <c r="AI823" s="112" t="str">
        <f t="shared" si="322"/>
        <v/>
      </c>
      <c r="AJ823" t="str">
        <f t="shared" si="323"/>
        <v/>
      </c>
      <c r="AK823" t="str">
        <f t="shared" si="324"/>
        <v/>
      </c>
    </row>
    <row r="824" spans="1:37" ht="15" customHeight="1" x14ac:dyDescent="0.25">
      <c r="A824" s="114"/>
      <c r="B824" s="116"/>
      <c r="C824" s="116"/>
      <c r="D824" s="42" t="str">
        <f t="shared" si="300"/>
        <v/>
      </c>
      <c r="E824" s="43"/>
      <c r="F824" s="83"/>
      <c r="G824" s="118"/>
      <c r="H824" s="34" t="str">
        <f t="shared" si="301"/>
        <v/>
      </c>
      <c r="I824" s="88" t="str">
        <f t="shared" si="302"/>
        <v/>
      </c>
      <c r="J824" s="44" t="str">
        <f t="shared" si="303"/>
        <v/>
      </c>
      <c r="K824" s="118"/>
      <c r="L824" s="34" t="str">
        <f t="shared" si="304"/>
        <v/>
      </c>
      <c r="M824" s="118"/>
      <c r="N824" s="121"/>
      <c r="O824" s="122" t="str">
        <f t="shared" si="313"/>
        <v/>
      </c>
      <c r="P824" s="35" t="str">
        <f t="shared" si="314"/>
        <v/>
      </c>
      <c r="Q824" s="124"/>
      <c r="R824" s="36" t="str">
        <f t="shared" si="315"/>
        <v/>
      </c>
      <c r="S824" s="37" t="str">
        <f t="shared" si="305"/>
        <v/>
      </c>
      <c r="T824" s="38" t="str">
        <f t="shared" si="306"/>
        <v/>
      </c>
      <c r="U824" s="39" t="str">
        <f t="shared" si="307"/>
        <v/>
      </c>
      <c r="V824" s="40" t="str">
        <f t="shared" si="308"/>
        <v/>
      </c>
      <c r="W824" s="39" t="str">
        <f t="shared" si="309"/>
        <v/>
      </c>
      <c r="X824" s="34" t="str">
        <f t="shared" si="310"/>
        <v/>
      </c>
      <c r="Y824" s="41" t="str">
        <f t="shared" si="316"/>
        <v/>
      </c>
      <c r="Z824" s="98" t="str">
        <f t="shared" si="311"/>
        <v/>
      </c>
      <c r="AA824" s="81" t="str">
        <f t="shared" si="317"/>
        <v/>
      </c>
      <c r="AC824" s="139"/>
      <c r="AD824" s="110" t="str">
        <f t="shared" si="318"/>
        <v/>
      </c>
      <c r="AE824" s="111" t="str">
        <f t="shared" si="319"/>
        <v/>
      </c>
      <c r="AF824" s="111" t="str">
        <f t="shared" si="312"/>
        <v/>
      </c>
      <c r="AG824" s="111" t="str">
        <f t="shared" si="320"/>
        <v/>
      </c>
      <c r="AH824" s="111" t="str">
        <f t="shared" si="321"/>
        <v/>
      </c>
      <c r="AI824" s="112" t="str">
        <f t="shared" si="322"/>
        <v/>
      </c>
      <c r="AJ824" t="str">
        <f t="shared" si="323"/>
        <v/>
      </c>
      <c r="AK824" t="str">
        <f t="shared" si="324"/>
        <v/>
      </c>
    </row>
    <row r="825" spans="1:37" ht="15" customHeight="1" x14ac:dyDescent="0.25">
      <c r="A825" s="114"/>
      <c r="B825" s="116"/>
      <c r="C825" s="116"/>
      <c r="D825" s="42" t="str">
        <f t="shared" si="300"/>
        <v/>
      </c>
      <c r="E825" s="43"/>
      <c r="F825" s="83"/>
      <c r="G825" s="118"/>
      <c r="H825" s="34" t="str">
        <f t="shared" si="301"/>
        <v/>
      </c>
      <c r="I825" s="88" t="str">
        <f t="shared" si="302"/>
        <v/>
      </c>
      <c r="J825" s="44" t="str">
        <f t="shared" si="303"/>
        <v/>
      </c>
      <c r="K825" s="118"/>
      <c r="L825" s="34" t="str">
        <f t="shared" si="304"/>
        <v/>
      </c>
      <c r="M825" s="118"/>
      <c r="N825" s="121"/>
      <c r="O825" s="122" t="str">
        <f t="shared" si="313"/>
        <v/>
      </c>
      <c r="P825" s="35" t="str">
        <f t="shared" si="314"/>
        <v/>
      </c>
      <c r="Q825" s="124"/>
      <c r="R825" s="36" t="str">
        <f t="shared" si="315"/>
        <v/>
      </c>
      <c r="S825" s="37" t="str">
        <f t="shared" si="305"/>
        <v/>
      </c>
      <c r="T825" s="38" t="str">
        <f t="shared" si="306"/>
        <v/>
      </c>
      <c r="U825" s="39" t="str">
        <f t="shared" si="307"/>
        <v/>
      </c>
      <c r="V825" s="40" t="str">
        <f t="shared" si="308"/>
        <v/>
      </c>
      <c r="W825" s="39" t="str">
        <f t="shared" si="309"/>
        <v/>
      </c>
      <c r="X825" s="34" t="str">
        <f t="shared" si="310"/>
        <v/>
      </c>
      <c r="Y825" s="41" t="str">
        <f t="shared" si="316"/>
        <v/>
      </c>
      <c r="Z825" s="98" t="str">
        <f t="shared" si="311"/>
        <v/>
      </c>
      <c r="AA825" s="81" t="str">
        <f t="shared" si="317"/>
        <v/>
      </c>
      <c r="AC825" s="139"/>
      <c r="AD825" s="110" t="str">
        <f t="shared" si="318"/>
        <v/>
      </c>
      <c r="AE825" s="111" t="str">
        <f t="shared" si="319"/>
        <v/>
      </c>
      <c r="AF825" s="111" t="str">
        <f t="shared" si="312"/>
        <v/>
      </c>
      <c r="AG825" s="111" t="str">
        <f t="shared" si="320"/>
        <v/>
      </c>
      <c r="AH825" s="111" t="str">
        <f t="shared" si="321"/>
        <v/>
      </c>
      <c r="AI825" s="112" t="str">
        <f t="shared" si="322"/>
        <v/>
      </c>
      <c r="AJ825" t="str">
        <f t="shared" si="323"/>
        <v/>
      </c>
      <c r="AK825" t="str">
        <f t="shared" si="324"/>
        <v/>
      </c>
    </row>
    <row r="826" spans="1:37" ht="15" customHeight="1" x14ac:dyDescent="0.25">
      <c r="A826" s="114"/>
      <c r="B826" s="116"/>
      <c r="C826" s="116"/>
      <c r="D826" s="42" t="str">
        <f t="shared" si="300"/>
        <v/>
      </c>
      <c r="E826" s="43"/>
      <c r="F826" s="83"/>
      <c r="G826" s="118"/>
      <c r="H826" s="34" t="str">
        <f t="shared" si="301"/>
        <v/>
      </c>
      <c r="I826" s="88" t="str">
        <f t="shared" si="302"/>
        <v/>
      </c>
      <c r="J826" s="44" t="str">
        <f t="shared" si="303"/>
        <v/>
      </c>
      <c r="K826" s="118"/>
      <c r="L826" s="34" t="str">
        <f t="shared" si="304"/>
        <v/>
      </c>
      <c r="M826" s="118"/>
      <c r="N826" s="121"/>
      <c r="O826" s="122" t="str">
        <f t="shared" si="313"/>
        <v/>
      </c>
      <c r="P826" s="35" t="str">
        <f t="shared" si="314"/>
        <v/>
      </c>
      <c r="Q826" s="124"/>
      <c r="R826" s="36" t="str">
        <f t="shared" si="315"/>
        <v/>
      </c>
      <c r="S826" s="37" t="str">
        <f t="shared" si="305"/>
        <v/>
      </c>
      <c r="T826" s="38" t="str">
        <f t="shared" si="306"/>
        <v/>
      </c>
      <c r="U826" s="39" t="str">
        <f t="shared" si="307"/>
        <v/>
      </c>
      <c r="V826" s="40" t="str">
        <f t="shared" si="308"/>
        <v/>
      </c>
      <c r="W826" s="39" t="str">
        <f t="shared" si="309"/>
        <v/>
      </c>
      <c r="X826" s="34" t="str">
        <f t="shared" si="310"/>
        <v/>
      </c>
      <c r="Y826" s="41" t="str">
        <f t="shared" si="316"/>
        <v/>
      </c>
      <c r="Z826" s="98" t="str">
        <f t="shared" si="311"/>
        <v/>
      </c>
      <c r="AA826" s="81" t="str">
        <f t="shared" si="317"/>
        <v/>
      </c>
      <c r="AC826" s="139"/>
      <c r="AD826" s="110" t="str">
        <f t="shared" si="318"/>
        <v/>
      </c>
      <c r="AE826" s="111" t="str">
        <f t="shared" si="319"/>
        <v/>
      </c>
      <c r="AF826" s="111" t="str">
        <f t="shared" si="312"/>
        <v/>
      </c>
      <c r="AG826" s="111" t="str">
        <f t="shared" si="320"/>
        <v/>
      </c>
      <c r="AH826" s="111" t="str">
        <f t="shared" si="321"/>
        <v/>
      </c>
      <c r="AI826" s="112" t="str">
        <f t="shared" si="322"/>
        <v/>
      </c>
      <c r="AJ826" t="str">
        <f t="shared" si="323"/>
        <v/>
      </c>
      <c r="AK826" t="str">
        <f t="shared" si="324"/>
        <v/>
      </c>
    </row>
    <row r="827" spans="1:37" ht="15" customHeight="1" x14ac:dyDescent="0.25">
      <c r="A827" s="114"/>
      <c r="B827" s="116"/>
      <c r="C827" s="116"/>
      <c r="D827" s="42" t="str">
        <f t="shared" si="300"/>
        <v/>
      </c>
      <c r="E827" s="43"/>
      <c r="F827" s="83"/>
      <c r="G827" s="118"/>
      <c r="H827" s="34" t="str">
        <f t="shared" si="301"/>
        <v/>
      </c>
      <c r="I827" s="88" t="str">
        <f t="shared" si="302"/>
        <v/>
      </c>
      <c r="J827" s="44" t="str">
        <f t="shared" si="303"/>
        <v/>
      </c>
      <c r="K827" s="118"/>
      <c r="L827" s="34" t="str">
        <f t="shared" si="304"/>
        <v/>
      </c>
      <c r="M827" s="118"/>
      <c r="N827" s="121"/>
      <c r="O827" s="122" t="str">
        <f t="shared" si="313"/>
        <v/>
      </c>
      <c r="P827" s="35" t="str">
        <f t="shared" si="314"/>
        <v/>
      </c>
      <c r="Q827" s="124"/>
      <c r="R827" s="36" t="str">
        <f t="shared" si="315"/>
        <v/>
      </c>
      <c r="S827" s="37" t="str">
        <f t="shared" si="305"/>
        <v/>
      </c>
      <c r="T827" s="38" t="str">
        <f t="shared" si="306"/>
        <v/>
      </c>
      <c r="U827" s="39" t="str">
        <f t="shared" si="307"/>
        <v/>
      </c>
      <c r="V827" s="40" t="str">
        <f t="shared" si="308"/>
        <v/>
      </c>
      <c r="W827" s="39" t="str">
        <f t="shared" si="309"/>
        <v/>
      </c>
      <c r="X827" s="34" t="str">
        <f t="shared" si="310"/>
        <v/>
      </c>
      <c r="Y827" s="41" t="str">
        <f t="shared" si="316"/>
        <v/>
      </c>
      <c r="Z827" s="98" t="str">
        <f t="shared" si="311"/>
        <v/>
      </c>
      <c r="AA827" s="81" t="str">
        <f t="shared" si="317"/>
        <v/>
      </c>
      <c r="AC827" s="139"/>
      <c r="AD827" s="110" t="str">
        <f t="shared" si="318"/>
        <v/>
      </c>
      <c r="AE827" s="111" t="str">
        <f t="shared" si="319"/>
        <v/>
      </c>
      <c r="AF827" s="111" t="str">
        <f t="shared" si="312"/>
        <v/>
      </c>
      <c r="AG827" s="111" t="str">
        <f t="shared" si="320"/>
        <v/>
      </c>
      <c r="AH827" s="111" t="str">
        <f t="shared" si="321"/>
        <v/>
      </c>
      <c r="AI827" s="112" t="str">
        <f t="shared" si="322"/>
        <v/>
      </c>
      <c r="AJ827" t="str">
        <f t="shared" si="323"/>
        <v/>
      </c>
      <c r="AK827" t="str">
        <f t="shared" si="324"/>
        <v/>
      </c>
    </row>
    <row r="828" spans="1:37" ht="15" customHeight="1" x14ac:dyDescent="0.25">
      <c r="A828" s="114"/>
      <c r="B828" s="116"/>
      <c r="C828" s="116"/>
      <c r="D828" s="42" t="str">
        <f t="shared" si="300"/>
        <v/>
      </c>
      <c r="E828" s="43"/>
      <c r="F828" s="83"/>
      <c r="G828" s="118"/>
      <c r="H828" s="34" t="str">
        <f t="shared" si="301"/>
        <v/>
      </c>
      <c r="I828" s="88" t="str">
        <f t="shared" si="302"/>
        <v/>
      </c>
      <c r="J828" s="44" t="str">
        <f t="shared" si="303"/>
        <v/>
      </c>
      <c r="K828" s="118"/>
      <c r="L828" s="34" t="str">
        <f t="shared" si="304"/>
        <v/>
      </c>
      <c r="M828" s="118"/>
      <c r="N828" s="121"/>
      <c r="O828" s="122" t="str">
        <f t="shared" si="313"/>
        <v/>
      </c>
      <c r="P828" s="35" t="str">
        <f t="shared" si="314"/>
        <v/>
      </c>
      <c r="Q828" s="124"/>
      <c r="R828" s="36" t="str">
        <f t="shared" si="315"/>
        <v/>
      </c>
      <c r="S828" s="37" t="str">
        <f t="shared" si="305"/>
        <v/>
      </c>
      <c r="T828" s="38" t="str">
        <f t="shared" si="306"/>
        <v/>
      </c>
      <c r="U828" s="39" t="str">
        <f t="shared" si="307"/>
        <v/>
      </c>
      <c r="V828" s="40" t="str">
        <f t="shared" si="308"/>
        <v/>
      </c>
      <c r="W828" s="39" t="str">
        <f t="shared" si="309"/>
        <v/>
      </c>
      <c r="X828" s="34" t="str">
        <f t="shared" si="310"/>
        <v/>
      </c>
      <c r="Y828" s="41" t="str">
        <f t="shared" si="316"/>
        <v/>
      </c>
      <c r="Z828" s="98" t="str">
        <f t="shared" si="311"/>
        <v/>
      </c>
      <c r="AA828" s="81" t="str">
        <f t="shared" si="317"/>
        <v/>
      </c>
      <c r="AC828" s="139"/>
      <c r="AD828" s="110" t="str">
        <f t="shared" si="318"/>
        <v/>
      </c>
      <c r="AE828" s="111" t="str">
        <f t="shared" si="319"/>
        <v/>
      </c>
      <c r="AF828" s="111" t="str">
        <f t="shared" si="312"/>
        <v/>
      </c>
      <c r="AG828" s="111" t="str">
        <f t="shared" si="320"/>
        <v/>
      </c>
      <c r="AH828" s="111" t="str">
        <f t="shared" si="321"/>
        <v/>
      </c>
      <c r="AI828" s="112" t="str">
        <f t="shared" si="322"/>
        <v/>
      </c>
      <c r="AJ828" t="str">
        <f t="shared" si="323"/>
        <v/>
      </c>
      <c r="AK828" t="str">
        <f t="shared" si="324"/>
        <v/>
      </c>
    </row>
    <row r="829" spans="1:37" ht="15" customHeight="1" x14ac:dyDescent="0.25">
      <c r="A829" s="114"/>
      <c r="B829" s="116"/>
      <c r="C829" s="116"/>
      <c r="D829" s="42" t="str">
        <f t="shared" si="300"/>
        <v/>
      </c>
      <c r="E829" s="43"/>
      <c r="F829" s="83"/>
      <c r="G829" s="118"/>
      <c r="H829" s="34" t="str">
        <f t="shared" si="301"/>
        <v/>
      </c>
      <c r="I829" s="88" t="str">
        <f t="shared" si="302"/>
        <v/>
      </c>
      <c r="J829" s="44" t="str">
        <f t="shared" si="303"/>
        <v/>
      </c>
      <c r="K829" s="118"/>
      <c r="L829" s="34" t="str">
        <f t="shared" si="304"/>
        <v/>
      </c>
      <c r="M829" s="118"/>
      <c r="N829" s="121"/>
      <c r="O829" s="122" t="str">
        <f t="shared" si="313"/>
        <v/>
      </c>
      <c r="P829" s="35" t="str">
        <f t="shared" si="314"/>
        <v/>
      </c>
      <c r="Q829" s="124"/>
      <c r="R829" s="36" t="str">
        <f t="shared" si="315"/>
        <v/>
      </c>
      <c r="S829" s="37" t="str">
        <f t="shared" si="305"/>
        <v/>
      </c>
      <c r="T829" s="38" t="str">
        <f t="shared" si="306"/>
        <v/>
      </c>
      <c r="U829" s="39" t="str">
        <f t="shared" si="307"/>
        <v/>
      </c>
      <c r="V829" s="40" t="str">
        <f t="shared" si="308"/>
        <v/>
      </c>
      <c r="W829" s="39" t="str">
        <f t="shared" si="309"/>
        <v/>
      </c>
      <c r="X829" s="34" t="str">
        <f t="shared" si="310"/>
        <v/>
      </c>
      <c r="Y829" s="41" t="str">
        <f t="shared" si="316"/>
        <v/>
      </c>
      <c r="Z829" s="98" t="str">
        <f t="shared" si="311"/>
        <v/>
      </c>
      <c r="AA829" s="81" t="str">
        <f t="shared" si="317"/>
        <v/>
      </c>
      <c r="AC829" s="139"/>
      <c r="AD829" s="110" t="str">
        <f t="shared" si="318"/>
        <v/>
      </c>
      <c r="AE829" s="111" t="str">
        <f t="shared" si="319"/>
        <v/>
      </c>
      <c r="AF829" s="111" t="str">
        <f t="shared" si="312"/>
        <v/>
      </c>
      <c r="AG829" s="111" t="str">
        <f t="shared" si="320"/>
        <v/>
      </c>
      <c r="AH829" s="111" t="str">
        <f t="shared" si="321"/>
        <v/>
      </c>
      <c r="AI829" s="112" t="str">
        <f t="shared" si="322"/>
        <v/>
      </c>
      <c r="AJ829" t="str">
        <f t="shared" si="323"/>
        <v/>
      </c>
      <c r="AK829" t="str">
        <f t="shared" si="324"/>
        <v/>
      </c>
    </row>
    <row r="830" spans="1:37" ht="15" customHeight="1" x14ac:dyDescent="0.25">
      <c r="A830" s="114"/>
      <c r="B830" s="116"/>
      <c r="C830" s="116"/>
      <c r="D830" s="42" t="str">
        <f t="shared" si="300"/>
        <v/>
      </c>
      <c r="E830" s="43"/>
      <c r="F830" s="83"/>
      <c r="G830" s="118"/>
      <c r="H830" s="34" t="str">
        <f t="shared" si="301"/>
        <v/>
      </c>
      <c r="I830" s="88" t="str">
        <f t="shared" si="302"/>
        <v/>
      </c>
      <c r="J830" s="44" t="str">
        <f t="shared" si="303"/>
        <v/>
      </c>
      <c r="K830" s="118"/>
      <c r="L830" s="34" t="str">
        <f t="shared" si="304"/>
        <v/>
      </c>
      <c r="M830" s="118"/>
      <c r="N830" s="121"/>
      <c r="O830" s="122" t="str">
        <f t="shared" si="313"/>
        <v/>
      </c>
      <c r="P830" s="35" t="str">
        <f t="shared" si="314"/>
        <v/>
      </c>
      <c r="Q830" s="124"/>
      <c r="R830" s="36" t="str">
        <f t="shared" si="315"/>
        <v/>
      </c>
      <c r="S830" s="37" t="str">
        <f t="shared" si="305"/>
        <v/>
      </c>
      <c r="T830" s="38" t="str">
        <f t="shared" si="306"/>
        <v/>
      </c>
      <c r="U830" s="39" t="str">
        <f t="shared" si="307"/>
        <v/>
      </c>
      <c r="V830" s="40" t="str">
        <f t="shared" si="308"/>
        <v/>
      </c>
      <c r="W830" s="39" t="str">
        <f t="shared" si="309"/>
        <v/>
      </c>
      <c r="X830" s="34" t="str">
        <f t="shared" si="310"/>
        <v/>
      </c>
      <c r="Y830" s="41" t="str">
        <f t="shared" si="316"/>
        <v/>
      </c>
      <c r="Z830" s="98" t="str">
        <f t="shared" si="311"/>
        <v/>
      </c>
      <c r="AA830" s="81" t="str">
        <f t="shared" si="317"/>
        <v/>
      </c>
      <c r="AC830" s="139"/>
      <c r="AD830" s="110" t="str">
        <f t="shared" si="318"/>
        <v/>
      </c>
      <c r="AE830" s="111" t="str">
        <f t="shared" si="319"/>
        <v/>
      </c>
      <c r="AF830" s="111" t="str">
        <f t="shared" si="312"/>
        <v/>
      </c>
      <c r="AG830" s="111" t="str">
        <f t="shared" si="320"/>
        <v/>
      </c>
      <c r="AH830" s="111" t="str">
        <f t="shared" si="321"/>
        <v/>
      </c>
      <c r="AI830" s="112" t="str">
        <f t="shared" si="322"/>
        <v/>
      </c>
      <c r="AJ830" t="str">
        <f t="shared" si="323"/>
        <v/>
      </c>
      <c r="AK830" t="str">
        <f t="shared" si="324"/>
        <v/>
      </c>
    </row>
    <row r="831" spans="1:37" ht="15" customHeight="1" x14ac:dyDescent="0.25">
      <c r="A831" s="114"/>
      <c r="B831" s="116"/>
      <c r="C831" s="116"/>
      <c r="D831" s="42" t="str">
        <f t="shared" si="300"/>
        <v/>
      </c>
      <c r="E831" s="43"/>
      <c r="F831" s="83"/>
      <c r="G831" s="118"/>
      <c r="H831" s="34" t="str">
        <f t="shared" si="301"/>
        <v/>
      </c>
      <c r="I831" s="88" t="str">
        <f t="shared" si="302"/>
        <v/>
      </c>
      <c r="J831" s="44" t="str">
        <f t="shared" si="303"/>
        <v/>
      </c>
      <c r="K831" s="118"/>
      <c r="L831" s="34" t="str">
        <f t="shared" si="304"/>
        <v/>
      </c>
      <c r="M831" s="118"/>
      <c r="N831" s="121"/>
      <c r="O831" s="122" t="str">
        <f t="shared" si="313"/>
        <v/>
      </c>
      <c r="P831" s="35" t="str">
        <f t="shared" si="314"/>
        <v/>
      </c>
      <c r="Q831" s="124"/>
      <c r="R831" s="36" t="str">
        <f t="shared" si="315"/>
        <v/>
      </c>
      <c r="S831" s="37" t="str">
        <f t="shared" si="305"/>
        <v/>
      </c>
      <c r="T831" s="38" t="str">
        <f t="shared" si="306"/>
        <v/>
      </c>
      <c r="U831" s="39" t="str">
        <f t="shared" si="307"/>
        <v/>
      </c>
      <c r="V831" s="40" t="str">
        <f t="shared" si="308"/>
        <v/>
      </c>
      <c r="W831" s="39" t="str">
        <f t="shared" si="309"/>
        <v/>
      </c>
      <c r="X831" s="34" t="str">
        <f t="shared" si="310"/>
        <v/>
      </c>
      <c r="Y831" s="41" t="str">
        <f t="shared" si="316"/>
        <v/>
      </c>
      <c r="Z831" s="98" t="str">
        <f t="shared" si="311"/>
        <v/>
      </c>
      <c r="AA831" s="81" t="str">
        <f t="shared" si="317"/>
        <v/>
      </c>
      <c r="AC831" s="139"/>
      <c r="AD831" s="110" t="str">
        <f t="shared" si="318"/>
        <v/>
      </c>
      <c r="AE831" s="111" t="str">
        <f t="shared" si="319"/>
        <v/>
      </c>
      <c r="AF831" s="111" t="str">
        <f t="shared" si="312"/>
        <v/>
      </c>
      <c r="AG831" s="111" t="str">
        <f t="shared" si="320"/>
        <v/>
      </c>
      <c r="AH831" s="111" t="str">
        <f t="shared" si="321"/>
        <v/>
      </c>
      <c r="AI831" s="112" t="str">
        <f t="shared" si="322"/>
        <v/>
      </c>
      <c r="AJ831" t="str">
        <f t="shared" si="323"/>
        <v/>
      </c>
      <c r="AK831" t="str">
        <f t="shared" si="324"/>
        <v/>
      </c>
    </row>
    <row r="832" spans="1:37" ht="15" customHeight="1" x14ac:dyDescent="0.25">
      <c r="A832" s="114"/>
      <c r="B832" s="116"/>
      <c r="C832" s="116"/>
      <c r="D832" s="42" t="str">
        <f t="shared" si="300"/>
        <v/>
      </c>
      <c r="E832" s="43"/>
      <c r="F832" s="83"/>
      <c r="G832" s="118"/>
      <c r="H832" s="34" t="str">
        <f t="shared" si="301"/>
        <v/>
      </c>
      <c r="I832" s="88" t="str">
        <f t="shared" si="302"/>
        <v/>
      </c>
      <c r="J832" s="44" t="str">
        <f t="shared" si="303"/>
        <v/>
      </c>
      <c r="K832" s="118"/>
      <c r="L832" s="34" t="str">
        <f t="shared" si="304"/>
        <v/>
      </c>
      <c r="M832" s="118"/>
      <c r="N832" s="121"/>
      <c r="O832" s="122" t="str">
        <f t="shared" si="313"/>
        <v/>
      </c>
      <c r="P832" s="35" t="str">
        <f t="shared" si="314"/>
        <v/>
      </c>
      <c r="Q832" s="124"/>
      <c r="R832" s="36" t="str">
        <f t="shared" si="315"/>
        <v/>
      </c>
      <c r="S832" s="37" t="str">
        <f t="shared" si="305"/>
        <v/>
      </c>
      <c r="T832" s="38" t="str">
        <f t="shared" si="306"/>
        <v/>
      </c>
      <c r="U832" s="39" t="str">
        <f t="shared" si="307"/>
        <v/>
      </c>
      <c r="V832" s="40" t="str">
        <f t="shared" si="308"/>
        <v/>
      </c>
      <c r="W832" s="39" t="str">
        <f t="shared" si="309"/>
        <v/>
      </c>
      <c r="X832" s="34" t="str">
        <f t="shared" si="310"/>
        <v/>
      </c>
      <c r="Y832" s="41" t="str">
        <f t="shared" si="316"/>
        <v/>
      </c>
      <c r="Z832" s="98" t="str">
        <f t="shared" si="311"/>
        <v/>
      </c>
      <c r="AA832" s="81" t="str">
        <f t="shared" si="317"/>
        <v/>
      </c>
      <c r="AC832" s="139"/>
      <c r="AD832" s="110" t="str">
        <f t="shared" si="318"/>
        <v/>
      </c>
      <c r="AE832" s="111" t="str">
        <f t="shared" si="319"/>
        <v/>
      </c>
      <c r="AF832" s="111" t="str">
        <f t="shared" si="312"/>
        <v/>
      </c>
      <c r="AG832" s="111" t="str">
        <f t="shared" si="320"/>
        <v/>
      </c>
      <c r="AH832" s="111" t="str">
        <f t="shared" si="321"/>
        <v/>
      </c>
      <c r="AI832" s="112" t="str">
        <f t="shared" si="322"/>
        <v/>
      </c>
      <c r="AJ832" t="str">
        <f t="shared" si="323"/>
        <v/>
      </c>
      <c r="AK832" t="str">
        <f t="shared" si="324"/>
        <v/>
      </c>
    </row>
    <row r="833" spans="1:37" ht="15" customHeight="1" x14ac:dyDescent="0.25">
      <c r="A833" s="114"/>
      <c r="B833" s="116"/>
      <c r="C833" s="116"/>
      <c r="D833" s="42" t="str">
        <f t="shared" si="300"/>
        <v/>
      </c>
      <c r="E833" s="43"/>
      <c r="F833" s="83"/>
      <c r="G833" s="118"/>
      <c r="H833" s="34" t="str">
        <f t="shared" si="301"/>
        <v/>
      </c>
      <c r="I833" s="88" t="str">
        <f t="shared" si="302"/>
        <v/>
      </c>
      <c r="J833" s="44" t="str">
        <f t="shared" si="303"/>
        <v/>
      </c>
      <c r="K833" s="118"/>
      <c r="L833" s="34" t="str">
        <f t="shared" si="304"/>
        <v/>
      </c>
      <c r="M833" s="118"/>
      <c r="N833" s="121"/>
      <c r="O833" s="122" t="str">
        <f t="shared" si="313"/>
        <v/>
      </c>
      <c r="P833" s="35" t="str">
        <f t="shared" si="314"/>
        <v/>
      </c>
      <c r="Q833" s="124"/>
      <c r="R833" s="36" t="str">
        <f t="shared" si="315"/>
        <v/>
      </c>
      <c r="S833" s="37" t="str">
        <f t="shared" si="305"/>
        <v/>
      </c>
      <c r="T833" s="38" t="str">
        <f t="shared" si="306"/>
        <v/>
      </c>
      <c r="U833" s="39" t="str">
        <f t="shared" si="307"/>
        <v/>
      </c>
      <c r="V833" s="40" t="str">
        <f t="shared" si="308"/>
        <v/>
      </c>
      <c r="W833" s="39" t="str">
        <f t="shared" si="309"/>
        <v/>
      </c>
      <c r="X833" s="34" t="str">
        <f t="shared" si="310"/>
        <v/>
      </c>
      <c r="Y833" s="41" t="str">
        <f t="shared" si="316"/>
        <v/>
      </c>
      <c r="Z833" s="98" t="str">
        <f t="shared" si="311"/>
        <v/>
      </c>
      <c r="AA833" s="81" t="str">
        <f t="shared" si="317"/>
        <v/>
      </c>
      <c r="AC833" s="139"/>
      <c r="AD833" s="110" t="str">
        <f t="shared" si="318"/>
        <v/>
      </c>
      <c r="AE833" s="111" t="str">
        <f t="shared" si="319"/>
        <v/>
      </c>
      <c r="AF833" s="111" t="str">
        <f t="shared" si="312"/>
        <v/>
      </c>
      <c r="AG833" s="111" t="str">
        <f t="shared" si="320"/>
        <v/>
      </c>
      <c r="AH833" s="111" t="str">
        <f t="shared" si="321"/>
        <v/>
      </c>
      <c r="AI833" s="112" t="str">
        <f t="shared" si="322"/>
        <v/>
      </c>
      <c r="AJ833" t="str">
        <f t="shared" si="323"/>
        <v/>
      </c>
      <c r="AK833" t="str">
        <f t="shared" si="324"/>
        <v/>
      </c>
    </row>
    <row r="834" spans="1:37" ht="15" customHeight="1" x14ac:dyDescent="0.25">
      <c r="A834" s="114"/>
      <c r="B834" s="116"/>
      <c r="C834" s="116"/>
      <c r="D834" s="42" t="str">
        <f t="shared" si="300"/>
        <v/>
      </c>
      <c r="E834" s="43"/>
      <c r="F834" s="83"/>
      <c r="G834" s="118"/>
      <c r="H834" s="34" t="str">
        <f t="shared" si="301"/>
        <v/>
      </c>
      <c r="I834" s="88" t="str">
        <f t="shared" si="302"/>
        <v/>
      </c>
      <c r="J834" s="44" t="str">
        <f t="shared" si="303"/>
        <v/>
      </c>
      <c r="K834" s="118"/>
      <c r="L834" s="34" t="str">
        <f t="shared" si="304"/>
        <v/>
      </c>
      <c r="M834" s="118"/>
      <c r="N834" s="121"/>
      <c r="O834" s="122" t="str">
        <f t="shared" si="313"/>
        <v/>
      </c>
      <c r="P834" s="35" t="str">
        <f t="shared" si="314"/>
        <v/>
      </c>
      <c r="Q834" s="124"/>
      <c r="R834" s="36" t="str">
        <f t="shared" si="315"/>
        <v/>
      </c>
      <c r="S834" s="37" t="str">
        <f t="shared" si="305"/>
        <v/>
      </c>
      <c r="T834" s="38" t="str">
        <f t="shared" si="306"/>
        <v/>
      </c>
      <c r="U834" s="39" t="str">
        <f t="shared" si="307"/>
        <v/>
      </c>
      <c r="V834" s="40" t="str">
        <f t="shared" si="308"/>
        <v/>
      </c>
      <c r="W834" s="39" t="str">
        <f t="shared" si="309"/>
        <v/>
      </c>
      <c r="X834" s="34" t="str">
        <f t="shared" si="310"/>
        <v/>
      </c>
      <c r="Y834" s="41" t="str">
        <f t="shared" si="316"/>
        <v/>
      </c>
      <c r="Z834" s="98" t="str">
        <f t="shared" si="311"/>
        <v/>
      </c>
      <c r="AA834" s="81" t="str">
        <f t="shared" si="317"/>
        <v/>
      </c>
      <c r="AC834" s="139"/>
      <c r="AD834" s="110" t="str">
        <f t="shared" si="318"/>
        <v/>
      </c>
      <c r="AE834" s="111" t="str">
        <f t="shared" si="319"/>
        <v/>
      </c>
      <c r="AF834" s="111" t="str">
        <f t="shared" si="312"/>
        <v/>
      </c>
      <c r="AG834" s="111" t="str">
        <f t="shared" si="320"/>
        <v/>
      </c>
      <c r="AH834" s="111" t="str">
        <f t="shared" si="321"/>
        <v/>
      </c>
      <c r="AI834" s="112" t="str">
        <f t="shared" si="322"/>
        <v/>
      </c>
      <c r="AJ834" t="str">
        <f t="shared" si="323"/>
        <v/>
      </c>
      <c r="AK834" t="str">
        <f t="shared" si="324"/>
        <v/>
      </c>
    </row>
    <row r="835" spans="1:37" ht="15" customHeight="1" x14ac:dyDescent="0.25">
      <c r="A835" s="114"/>
      <c r="B835" s="116"/>
      <c r="C835" s="116"/>
      <c r="D835" s="42" t="str">
        <f t="shared" si="300"/>
        <v/>
      </c>
      <c r="E835" s="43"/>
      <c r="F835" s="83"/>
      <c r="G835" s="118"/>
      <c r="H835" s="34" t="str">
        <f t="shared" si="301"/>
        <v/>
      </c>
      <c r="I835" s="88" t="str">
        <f t="shared" si="302"/>
        <v/>
      </c>
      <c r="J835" s="44" t="str">
        <f t="shared" si="303"/>
        <v/>
      </c>
      <c r="K835" s="118"/>
      <c r="L835" s="34" t="str">
        <f t="shared" si="304"/>
        <v/>
      </c>
      <c r="M835" s="118"/>
      <c r="N835" s="121"/>
      <c r="O835" s="122" t="str">
        <f t="shared" si="313"/>
        <v/>
      </c>
      <c r="P835" s="35" t="str">
        <f t="shared" si="314"/>
        <v/>
      </c>
      <c r="Q835" s="124"/>
      <c r="R835" s="36" t="str">
        <f t="shared" si="315"/>
        <v/>
      </c>
      <c r="S835" s="37" t="str">
        <f t="shared" si="305"/>
        <v/>
      </c>
      <c r="T835" s="38" t="str">
        <f t="shared" si="306"/>
        <v/>
      </c>
      <c r="U835" s="39" t="str">
        <f t="shared" si="307"/>
        <v/>
      </c>
      <c r="V835" s="40" t="str">
        <f t="shared" si="308"/>
        <v/>
      </c>
      <c r="W835" s="39" t="str">
        <f t="shared" si="309"/>
        <v/>
      </c>
      <c r="X835" s="34" t="str">
        <f t="shared" si="310"/>
        <v/>
      </c>
      <c r="Y835" s="41" t="str">
        <f t="shared" si="316"/>
        <v/>
      </c>
      <c r="Z835" s="98" t="str">
        <f t="shared" si="311"/>
        <v/>
      </c>
      <c r="AA835" s="81" t="str">
        <f t="shared" si="317"/>
        <v/>
      </c>
      <c r="AC835" s="139"/>
      <c r="AD835" s="110" t="str">
        <f t="shared" si="318"/>
        <v/>
      </c>
      <c r="AE835" s="111" t="str">
        <f t="shared" si="319"/>
        <v/>
      </c>
      <c r="AF835" s="111" t="str">
        <f t="shared" si="312"/>
        <v/>
      </c>
      <c r="AG835" s="111" t="str">
        <f t="shared" si="320"/>
        <v/>
      </c>
      <c r="AH835" s="111" t="str">
        <f t="shared" si="321"/>
        <v/>
      </c>
      <c r="AI835" s="112" t="str">
        <f t="shared" si="322"/>
        <v/>
      </c>
      <c r="AJ835" t="str">
        <f t="shared" si="323"/>
        <v/>
      </c>
      <c r="AK835" t="str">
        <f t="shared" si="324"/>
        <v/>
      </c>
    </row>
    <row r="836" spans="1:37" ht="15" customHeight="1" x14ac:dyDescent="0.25">
      <c r="A836" s="114"/>
      <c r="B836" s="116"/>
      <c r="C836" s="116"/>
      <c r="D836" s="42" t="str">
        <f t="shared" si="300"/>
        <v/>
      </c>
      <c r="E836" s="43"/>
      <c r="F836" s="83"/>
      <c r="G836" s="118"/>
      <c r="H836" s="34" t="str">
        <f t="shared" si="301"/>
        <v/>
      </c>
      <c r="I836" s="88" t="str">
        <f t="shared" si="302"/>
        <v/>
      </c>
      <c r="J836" s="44" t="str">
        <f t="shared" si="303"/>
        <v/>
      </c>
      <c r="K836" s="118"/>
      <c r="L836" s="34" t="str">
        <f t="shared" si="304"/>
        <v/>
      </c>
      <c r="M836" s="118"/>
      <c r="N836" s="121"/>
      <c r="O836" s="122" t="str">
        <f t="shared" si="313"/>
        <v/>
      </c>
      <c r="P836" s="35" t="str">
        <f t="shared" si="314"/>
        <v/>
      </c>
      <c r="Q836" s="124"/>
      <c r="R836" s="36" t="str">
        <f t="shared" si="315"/>
        <v/>
      </c>
      <c r="S836" s="37" t="str">
        <f t="shared" si="305"/>
        <v/>
      </c>
      <c r="T836" s="38" t="str">
        <f t="shared" si="306"/>
        <v/>
      </c>
      <c r="U836" s="39" t="str">
        <f t="shared" si="307"/>
        <v/>
      </c>
      <c r="V836" s="40" t="str">
        <f t="shared" si="308"/>
        <v/>
      </c>
      <c r="W836" s="39" t="str">
        <f t="shared" si="309"/>
        <v/>
      </c>
      <c r="X836" s="34" t="str">
        <f t="shared" si="310"/>
        <v/>
      </c>
      <c r="Y836" s="41" t="str">
        <f t="shared" si="316"/>
        <v/>
      </c>
      <c r="Z836" s="98" t="str">
        <f t="shared" si="311"/>
        <v/>
      </c>
      <c r="AA836" s="81" t="str">
        <f t="shared" si="317"/>
        <v/>
      </c>
      <c r="AC836" s="139"/>
      <c r="AD836" s="110" t="str">
        <f t="shared" si="318"/>
        <v/>
      </c>
      <c r="AE836" s="111" t="str">
        <f t="shared" si="319"/>
        <v/>
      </c>
      <c r="AF836" s="111" t="str">
        <f t="shared" si="312"/>
        <v/>
      </c>
      <c r="AG836" s="111" t="str">
        <f t="shared" si="320"/>
        <v/>
      </c>
      <c r="AH836" s="111" t="str">
        <f t="shared" si="321"/>
        <v/>
      </c>
      <c r="AI836" s="112" t="str">
        <f t="shared" si="322"/>
        <v/>
      </c>
      <c r="AJ836" t="str">
        <f t="shared" si="323"/>
        <v/>
      </c>
      <c r="AK836" t="str">
        <f t="shared" si="324"/>
        <v/>
      </c>
    </row>
    <row r="837" spans="1:37" ht="15" customHeight="1" x14ac:dyDescent="0.25">
      <c r="A837" s="114"/>
      <c r="B837" s="116"/>
      <c r="C837" s="116"/>
      <c r="D837" s="42" t="str">
        <f t="shared" si="300"/>
        <v/>
      </c>
      <c r="E837" s="43"/>
      <c r="F837" s="83"/>
      <c r="G837" s="118"/>
      <c r="H837" s="34" t="str">
        <f t="shared" si="301"/>
        <v/>
      </c>
      <c r="I837" s="88" t="str">
        <f t="shared" si="302"/>
        <v/>
      </c>
      <c r="J837" s="44" t="str">
        <f t="shared" si="303"/>
        <v/>
      </c>
      <c r="K837" s="118"/>
      <c r="L837" s="34" t="str">
        <f t="shared" si="304"/>
        <v/>
      </c>
      <c r="M837" s="118"/>
      <c r="N837" s="121"/>
      <c r="O837" s="122" t="str">
        <f t="shared" si="313"/>
        <v/>
      </c>
      <c r="P837" s="35" t="str">
        <f t="shared" si="314"/>
        <v/>
      </c>
      <c r="Q837" s="124"/>
      <c r="R837" s="36" t="str">
        <f t="shared" si="315"/>
        <v/>
      </c>
      <c r="S837" s="37" t="str">
        <f t="shared" si="305"/>
        <v/>
      </c>
      <c r="T837" s="38" t="str">
        <f t="shared" si="306"/>
        <v/>
      </c>
      <c r="U837" s="39" t="str">
        <f t="shared" si="307"/>
        <v/>
      </c>
      <c r="V837" s="40" t="str">
        <f t="shared" si="308"/>
        <v/>
      </c>
      <c r="W837" s="39" t="str">
        <f t="shared" si="309"/>
        <v/>
      </c>
      <c r="X837" s="34" t="str">
        <f t="shared" si="310"/>
        <v/>
      </c>
      <c r="Y837" s="41" t="str">
        <f t="shared" si="316"/>
        <v/>
      </c>
      <c r="Z837" s="98" t="str">
        <f t="shared" si="311"/>
        <v/>
      </c>
      <c r="AA837" s="81" t="str">
        <f t="shared" si="317"/>
        <v/>
      </c>
      <c r="AC837" s="139"/>
      <c r="AD837" s="110" t="str">
        <f t="shared" si="318"/>
        <v/>
      </c>
      <c r="AE837" s="111" t="str">
        <f t="shared" si="319"/>
        <v/>
      </c>
      <c r="AF837" s="111" t="str">
        <f t="shared" si="312"/>
        <v/>
      </c>
      <c r="AG837" s="111" t="str">
        <f t="shared" si="320"/>
        <v/>
      </c>
      <c r="AH837" s="111" t="str">
        <f t="shared" si="321"/>
        <v/>
      </c>
      <c r="AI837" s="112" t="str">
        <f t="shared" si="322"/>
        <v/>
      </c>
      <c r="AJ837" t="str">
        <f t="shared" si="323"/>
        <v/>
      </c>
      <c r="AK837" t="str">
        <f t="shared" si="324"/>
        <v/>
      </c>
    </row>
    <row r="838" spans="1:37" ht="15" customHeight="1" x14ac:dyDescent="0.25">
      <c r="A838" s="114"/>
      <c r="B838" s="116"/>
      <c r="C838" s="116"/>
      <c r="D838" s="42" t="str">
        <f t="shared" si="300"/>
        <v/>
      </c>
      <c r="E838" s="43"/>
      <c r="F838" s="83"/>
      <c r="G838" s="118"/>
      <c r="H838" s="34" t="str">
        <f t="shared" si="301"/>
        <v/>
      </c>
      <c r="I838" s="88" t="str">
        <f t="shared" si="302"/>
        <v/>
      </c>
      <c r="J838" s="44" t="str">
        <f t="shared" si="303"/>
        <v/>
      </c>
      <c r="K838" s="118"/>
      <c r="L838" s="34" t="str">
        <f t="shared" si="304"/>
        <v/>
      </c>
      <c r="M838" s="118"/>
      <c r="N838" s="121"/>
      <c r="O838" s="122" t="str">
        <f t="shared" si="313"/>
        <v/>
      </c>
      <c r="P838" s="35" t="str">
        <f t="shared" si="314"/>
        <v/>
      </c>
      <c r="Q838" s="124"/>
      <c r="R838" s="36" t="str">
        <f t="shared" si="315"/>
        <v/>
      </c>
      <c r="S838" s="37" t="str">
        <f t="shared" si="305"/>
        <v/>
      </c>
      <c r="T838" s="38" t="str">
        <f t="shared" si="306"/>
        <v/>
      </c>
      <c r="U838" s="39" t="str">
        <f t="shared" si="307"/>
        <v/>
      </c>
      <c r="V838" s="40" t="str">
        <f t="shared" si="308"/>
        <v/>
      </c>
      <c r="W838" s="39" t="str">
        <f t="shared" si="309"/>
        <v/>
      </c>
      <c r="X838" s="34" t="str">
        <f t="shared" si="310"/>
        <v/>
      </c>
      <c r="Y838" s="41" t="str">
        <f t="shared" si="316"/>
        <v/>
      </c>
      <c r="Z838" s="98" t="str">
        <f t="shared" si="311"/>
        <v/>
      </c>
      <c r="AA838" s="81" t="str">
        <f t="shared" si="317"/>
        <v/>
      </c>
      <c r="AC838" s="139"/>
      <c r="AD838" s="110" t="str">
        <f t="shared" si="318"/>
        <v/>
      </c>
      <c r="AE838" s="111" t="str">
        <f t="shared" si="319"/>
        <v/>
      </c>
      <c r="AF838" s="111" t="str">
        <f t="shared" si="312"/>
        <v/>
      </c>
      <c r="AG838" s="111" t="str">
        <f t="shared" si="320"/>
        <v/>
      </c>
      <c r="AH838" s="111" t="str">
        <f t="shared" si="321"/>
        <v/>
      </c>
      <c r="AI838" s="112" t="str">
        <f t="shared" si="322"/>
        <v/>
      </c>
      <c r="AJ838" t="str">
        <f t="shared" si="323"/>
        <v/>
      </c>
      <c r="AK838" t="str">
        <f t="shared" si="324"/>
        <v/>
      </c>
    </row>
    <row r="839" spans="1:37" ht="15" customHeight="1" x14ac:dyDescent="0.25">
      <c r="A839" s="114"/>
      <c r="B839" s="116"/>
      <c r="C839" s="116"/>
      <c r="D839" s="42" t="str">
        <f t="shared" si="300"/>
        <v/>
      </c>
      <c r="E839" s="43"/>
      <c r="F839" s="83"/>
      <c r="G839" s="118"/>
      <c r="H839" s="34" t="str">
        <f t="shared" si="301"/>
        <v/>
      </c>
      <c r="I839" s="88" t="str">
        <f t="shared" si="302"/>
        <v/>
      </c>
      <c r="J839" s="44" t="str">
        <f t="shared" si="303"/>
        <v/>
      </c>
      <c r="K839" s="118"/>
      <c r="L839" s="34" t="str">
        <f t="shared" si="304"/>
        <v/>
      </c>
      <c r="M839" s="118"/>
      <c r="N839" s="121"/>
      <c r="O839" s="122" t="str">
        <f t="shared" si="313"/>
        <v/>
      </c>
      <c r="P839" s="35" t="str">
        <f t="shared" si="314"/>
        <v/>
      </c>
      <c r="Q839" s="124"/>
      <c r="R839" s="36" t="str">
        <f t="shared" si="315"/>
        <v/>
      </c>
      <c r="S839" s="37" t="str">
        <f t="shared" si="305"/>
        <v/>
      </c>
      <c r="T839" s="38" t="str">
        <f t="shared" si="306"/>
        <v/>
      </c>
      <c r="U839" s="39" t="str">
        <f t="shared" si="307"/>
        <v/>
      </c>
      <c r="V839" s="40" t="str">
        <f t="shared" si="308"/>
        <v/>
      </c>
      <c r="W839" s="39" t="str">
        <f t="shared" si="309"/>
        <v/>
      </c>
      <c r="X839" s="34" t="str">
        <f t="shared" si="310"/>
        <v/>
      </c>
      <c r="Y839" s="41" t="str">
        <f t="shared" si="316"/>
        <v/>
      </c>
      <c r="Z839" s="98" t="str">
        <f t="shared" si="311"/>
        <v/>
      </c>
      <c r="AA839" s="81" t="str">
        <f t="shared" si="317"/>
        <v/>
      </c>
      <c r="AC839" s="139"/>
      <c r="AD839" s="110" t="str">
        <f t="shared" si="318"/>
        <v/>
      </c>
      <c r="AE839" s="111" t="str">
        <f t="shared" si="319"/>
        <v/>
      </c>
      <c r="AF839" s="111" t="str">
        <f t="shared" si="312"/>
        <v/>
      </c>
      <c r="AG839" s="111" t="str">
        <f t="shared" si="320"/>
        <v/>
      </c>
      <c r="AH839" s="111" t="str">
        <f t="shared" si="321"/>
        <v/>
      </c>
      <c r="AI839" s="112" t="str">
        <f t="shared" si="322"/>
        <v/>
      </c>
      <c r="AJ839" t="str">
        <f t="shared" si="323"/>
        <v/>
      </c>
      <c r="AK839" t="str">
        <f t="shared" si="324"/>
        <v/>
      </c>
    </row>
    <row r="840" spans="1:37" ht="15" customHeight="1" x14ac:dyDescent="0.25">
      <c r="A840" s="114"/>
      <c r="B840" s="116"/>
      <c r="C840" s="116"/>
      <c r="D840" s="42" t="str">
        <f t="shared" ref="D840:D903" si="325">IF(A840="","",B840*C840)</f>
        <v/>
      </c>
      <c r="E840" s="43"/>
      <c r="F840" s="83"/>
      <c r="G840" s="118"/>
      <c r="H840" s="34" t="str">
        <f t="shared" ref="H840:H903" si="326">IF(OR(G840=0,C840=0,G840="",C840=""),"",G840/C840)</f>
        <v/>
      </c>
      <c r="I840" s="88" t="str">
        <f t="shared" ref="I840:I903" si="327">IF(OR(G840="",F840=""),"",G840*(1-F840))</f>
        <v/>
      </c>
      <c r="J840" s="44" t="str">
        <f t="shared" ref="J840:J903" si="328">IF(A840="","",I840*B840)</f>
        <v/>
      </c>
      <c r="K840" s="118"/>
      <c r="L840" s="34" t="str">
        <f t="shared" ref="L840:L903" si="329">IF(OR(K840=0,C840=0,K840="",C840=""),"",K840/C840)</f>
        <v/>
      </c>
      <c r="M840" s="118"/>
      <c r="N840" s="121"/>
      <c r="O840" s="122" t="str">
        <f t="shared" si="313"/>
        <v/>
      </c>
      <c r="P840" s="35" t="str">
        <f t="shared" si="314"/>
        <v/>
      </c>
      <c r="Q840" s="124"/>
      <c r="R840" s="36" t="str">
        <f t="shared" si="315"/>
        <v/>
      </c>
      <c r="S840" s="37" t="str">
        <f t="shared" ref="S840:S903" si="330">IF(OR(A840="",R840=""),"",R840*C840)</f>
        <v/>
      </c>
      <c r="T840" s="38" t="str">
        <f t="shared" ref="T840:T903" si="331">IF(OR(A840="",G840&lt;=0,S840=""),"",(G840-S840)/G840)</f>
        <v/>
      </c>
      <c r="U840" s="39" t="str">
        <f t="shared" ref="U840:U903" si="332">IF(OR(G840=0,S840=0,G840="",S840=""),"",G840-S840)</f>
        <v/>
      </c>
      <c r="V840" s="40" t="str">
        <f t="shared" ref="V840:V903" si="333">IF(OR(A840="",K840&lt;=0,S840=""),"",(K840-S840)/K840)</f>
        <v/>
      </c>
      <c r="W840" s="39" t="str">
        <f t="shared" ref="W840:W903" si="334">IF(OR(K840=0,S840=0,K840="",S840=""),"",K840-S840)</f>
        <v/>
      </c>
      <c r="X840" s="34" t="str">
        <f t="shared" ref="X840:X903" si="335">IF(OR(J840="",J840=0,$N$5="",$L$3=0),"",($N$5/$L$3)*J840)</f>
        <v/>
      </c>
      <c r="Y840" s="41" t="str">
        <f t="shared" si="316"/>
        <v/>
      </c>
      <c r="Z840" s="98" t="str">
        <f t="shared" ref="Z840:Z903" si="336">IF(OR(R840=0,R840="",D840=0,D840=""),"",R840*(D840+E840))</f>
        <v/>
      </c>
      <c r="AA840" s="81" t="str">
        <f t="shared" si="317"/>
        <v/>
      </c>
      <c r="AC840" s="139"/>
      <c r="AD840" s="110" t="str">
        <f t="shared" si="318"/>
        <v/>
      </c>
      <c r="AE840" s="111" t="str">
        <f t="shared" si="319"/>
        <v/>
      </c>
      <c r="AF840" s="111" t="str">
        <f t="shared" ref="AF840:AF903" si="337">IF(AE840="","",AE840*$AD$1+IF(SUM($AE$8:$AE$1007)=0,0,$AD$2*AE840/SUM($AE$8:$AE$1007)))</f>
        <v/>
      </c>
      <c r="AG840" s="111" t="str">
        <f t="shared" si="320"/>
        <v/>
      </c>
      <c r="AH840" s="111" t="str">
        <f t="shared" si="321"/>
        <v/>
      </c>
      <c r="AI840" s="112" t="str">
        <f t="shared" si="322"/>
        <v/>
      </c>
      <c r="AJ840" t="str">
        <f t="shared" si="323"/>
        <v/>
      </c>
      <c r="AK840" t="str">
        <f t="shared" si="324"/>
        <v/>
      </c>
    </row>
    <row r="841" spans="1:37" ht="15" customHeight="1" x14ac:dyDescent="0.25">
      <c r="A841" s="114"/>
      <c r="B841" s="116"/>
      <c r="C841" s="116"/>
      <c r="D841" s="42" t="str">
        <f t="shared" si="325"/>
        <v/>
      </c>
      <c r="E841" s="43"/>
      <c r="F841" s="83"/>
      <c r="G841" s="118"/>
      <c r="H841" s="34" t="str">
        <f t="shared" si="326"/>
        <v/>
      </c>
      <c r="I841" s="88" t="str">
        <f t="shared" si="327"/>
        <v/>
      </c>
      <c r="J841" s="44" t="str">
        <f t="shared" si="328"/>
        <v/>
      </c>
      <c r="K841" s="118"/>
      <c r="L841" s="34" t="str">
        <f t="shared" si="329"/>
        <v/>
      </c>
      <c r="M841" s="118"/>
      <c r="N841" s="121"/>
      <c r="O841" s="122" t="str">
        <f t="shared" ref="O841:O904" si="338">IF(A841="","",IF(Q841&gt;0,IF(J841&gt;0,Q841/J841,0),IF(E841&gt;0,0,IF($J$3&gt;0,IF($J$4&gt;0,MAX($J$3-SUM($Q$8:$Q$1007),0)/$J$4,0),$J$2))))</f>
        <v/>
      </c>
      <c r="P841" s="35" t="str">
        <f t="shared" ref="P841:P904" si="339">IF(A841="","",IF(Q841&gt;0,Q841,IF(E841&gt;0,0,J841*IF($J$3&gt;0,IF($J$4&gt;0,MAX($J$3-SUM($Q$8:$Q$1007),0)/$J$4,0),$J$2))))</f>
        <v/>
      </c>
      <c r="Q841" s="124"/>
      <c r="R841" s="36" t="str">
        <f t="shared" ref="R841:R904" si="340">IF(A841="","",IF(OR(B841=0,B841="",C841&lt;=0,D841+E841&lt;=0),"",(J841-P841)/(D841+E841)-IF(X841&gt;=0,X841/D841,0)+IF(ISNUMBER(Y841),Y841/(D841+E841),0)))</f>
        <v/>
      </c>
      <c r="S841" s="37" t="str">
        <f t="shared" si="330"/>
        <v/>
      </c>
      <c r="T841" s="38" t="str">
        <f t="shared" si="331"/>
        <v/>
      </c>
      <c r="U841" s="39" t="str">
        <f t="shared" si="332"/>
        <v/>
      </c>
      <c r="V841" s="40" t="str">
        <f t="shared" si="333"/>
        <v/>
      </c>
      <c r="W841" s="39" t="str">
        <f t="shared" si="334"/>
        <v/>
      </c>
      <c r="X841" s="34" t="str">
        <f t="shared" si="335"/>
        <v/>
      </c>
      <c r="Y841" s="41" t="str">
        <f t="shared" ref="Y841:Y904" si="341">IF(OR(J841="",J841=0,($L$3-$L$2)=0),"",($J$1/($L$3-$L$2))*(J841-P841))</f>
        <v/>
      </c>
      <c r="Z841" s="98" t="str">
        <f t="shared" si="336"/>
        <v/>
      </c>
      <c r="AA841" s="81" t="str">
        <f t="shared" ref="AA841:AA904" si="342">IF(OR(B841=0,B841=""),"",J841)</f>
        <v/>
      </c>
      <c r="AC841" s="139"/>
      <c r="AD841" s="110" t="str">
        <f t="shared" ref="AD841:AD904" si="343">IF(AC841="","",R841)</f>
        <v/>
      </c>
      <c r="AE841" s="111" t="str">
        <f t="shared" ref="AE841:AE904" si="344">IF(OR(AC841="",AD841=""),"",AC841*AD841)</f>
        <v/>
      </c>
      <c r="AF841" s="111" t="str">
        <f t="shared" si="337"/>
        <v/>
      </c>
      <c r="AG841" s="111" t="str">
        <f t="shared" ref="AG841:AG904" si="345">IF(AE841="","",AE841-AF841)</f>
        <v/>
      </c>
      <c r="AH841" s="111" t="str">
        <f t="shared" ref="AH841:AH904" si="346">IF(AG841="","",AI841-AG841)</f>
        <v/>
      </c>
      <c r="AI841" s="112" t="str">
        <f t="shared" ref="AI841:AI904" si="347">IF(AG841="","",ROUND(AG841,0))</f>
        <v/>
      </c>
      <c r="AJ841" t="str">
        <f t="shared" ref="AJ841:AJ904" si="348">IF(OR(AC841=0,AC841=""),"",AF841/AC841)</f>
        <v/>
      </c>
      <c r="AK841" t="str">
        <f t="shared" ref="AK841:AK904" si="349">IF(OR(AC841=0,AC841=""),"",AD841*C841)</f>
        <v/>
      </c>
    </row>
    <row r="842" spans="1:37" ht="15" customHeight="1" x14ac:dyDescent="0.25">
      <c r="A842" s="114"/>
      <c r="B842" s="116"/>
      <c r="C842" s="116"/>
      <c r="D842" s="42" t="str">
        <f t="shared" si="325"/>
        <v/>
      </c>
      <c r="E842" s="43"/>
      <c r="F842" s="83"/>
      <c r="G842" s="118"/>
      <c r="H842" s="34" t="str">
        <f t="shared" si="326"/>
        <v/>
      </c>
      <c r="I842" s="88" t="str">
        <f t="shared" si="327"/>
        <v/>
      </c>
      <c r="J842" s="44" t="str">
        <f t="shared" si="328"/>
        <v/>
      </c>
      <c r="K842" s="118"/>
      <c r="L842" s="34" t="str">
        <f t="shared" si="329"/>
        <v/>
      </c>
      <c r="M842" s="118"/>
      <c r="N842" s="121"/>
      <c r="O842" s="122" t="str">
        <f t="shared" si="338"/>
        <v/>
      </c>
      <c r="P842" s="35" t="str">
        <f t="shared" si="339"/>
        <v/>
      </c>
      <c r="Q842" s="124"/>
      <c r="R842" s="36" t="str">
        <f t="shared" si="340"/>
        <v/>
      </c>
      <c r="S842" s="37" t="str">
        <f t="shared" si="330"/>
        <v/>
      </c>
      <c r="T842" s="38" t="str">
        <f t="shared" si="331"/>
        <v/>
      </c>
      <c r="U842" s="39" t="str">
        <f t="shared" si="332"/>
        <v/>
      </c>
      <c r="V842" s="40" t="str">
        <f t="shared" si="333"/>
        <v/>
      </c>
      <c r="W842" s="39" t="str">
        <f t="shared" si="334"/>
        <v/>
      </c>
      <c r="X842" s="34" t="str">
        <f t="shared" si="335"/>
        <v/>
      </c>
      <c r="Y842" s="41" t="str">
        <f t="shared" si="341"/>
        <v/>
      </c>
      <c r="Z842" s="98" t="str">
        <f t="shared" si="336"/>
        <v/>
      </c>
      <c r="AA842" s="81" t="str">
        <f t="shared" si="342"/>
        <v/>
      </c>
      <c r="AC842" s="139"/>
      <c r="AD842" s="110" t="str">
        <f t="shared" si="343"/>
        <v/>
      </c>
      <c r="AE842" s="111" t="str">
        <f t="shared" si="344"/>
        <v/>
      </c>
      <c r="AF842" s="111" t="str">
        <f t="shared" si="337"/>
        <v/>
      </c>
      <c r="AG842" s="111" t="str">
        <f t="shared" si="345"/>
        <v/>
      </c>
      <c r="AH842" s="111" t="str">
        <f t="shared" si="346"/>
        <v/>
      </c>
      <c r="AI842" s="112" t="str">
        <f t="shared" si="347"/>
        <v/>
      </c>
      <c r="AJ842" t="str">
        <f t="shared" si="348"/>
        <v/>
      </c>
      <c r="AK842" t="str">
        <f t="shared" si="349"/>
        <v/>
      </c>
    </row>
    <row r="843" spans="1:37" ht="15" customHeight="1" x14ac:dyDescent="0.25">
      <c r="A843" s="114"/>
      <c r="B843" s="116"/>
      <c r="C843" s="116"/>
      <c r="D843" s="42" t="str">
        <f t="shared" si="325"/>
        <v/>
      </c>
      <c r="E843" s="43"/>
      <c r="F843" s="83"/>
      <c r="G843" s="118"/>
      <c r="H843" s="34" t="str">
        <f t="shared" si="326"/>
        <v/>
      </c>
      <c r="I843" s="88" t="str">
        <f t="shared" si="327"/>
        <v/>
      </c>
      <c r="J843" s="44" t="str">
        <f t="shared" si="328"/>
        <v/>
      </c>
      <c r="K843" s="118"/>
      <c r="L843" s="34" t="str">
        <f t="shared" si="329"/>
        <v/>
      </c>
      <c r="M843" s="118"/>
      <c r="N843" s="121"/>
      <c r="O843" s="122" t="str">
        <f t="shared" si="338"/>
        <v/>
      </c>
      <c r="P843" s="35" t="str">
        <f t="shared" si="339"/>
        <v/>
      </c>
      <c r="Q843" s="124"/>
      <c r="R843" s="36" t="str">
        <f t="shared" si="340"/>
        <v/>
      </c>
      <c r="S843" s="37" t="str">
        <f t="shared" si="330"/>
        <v/>
      </c>
      <c r="T843" s="38" t="str">
        <f t="shared" si="331"/>
        <v/>
      </c>
      <c r="U843" s="39" t="str">
        <f t="shared" si="332"/>
        <v/>
      </c>
      <c r="V843" s="40" t="str">
        <f t="shared" si="333"/>
        <v/>
      </c>
      <c r="W843" s="39" t="str">
        <f t="shared" si="334"/>
        <v/>
      </c>
      <c r="X843" s="34" t="str">
        <f t="shared" si="335"/>
        <v/>
      </c>
      <c r="Y843" s="41" t="str">
        <f t="shared" si="341"/>
        <v/>
      </c>
      <c r="Z843" s="98" t="str">
        <f t="shared" si="336"/>
        <v/>
      </c>
      <c r="AA843" s="81" t="str">
        <f t="shared" si="342"/>
        <v/>
      </c>
      <c r="AC843" s="139"/>
      <c r="AD843" s="110" t="str">
        <f t="shared" si="343"/>
        <v/>
      </c>
      <c r="AE843" s="111" t="str">
        <f t="shared" si="344"/>
        <v/>
      </c>
      <c r="AF843" s="111" t="str">
        <f t="shared" si="337"/>
        <v/>
      </c>
      <c r="AG843" s="111" t="str">
        <f t="shared" si="345"/>
        <v/>
      </c>
      <c r="AH843" s="111" t="str">
        <f t="shared" si="346"/>
        <v/>
      </c>
      <c r="AI843" s="112" t="str">
        <f t="shared" si="347"/>
        <v/>
      </c>
      <c r="AJ843" t="str">
        <f t="shared" si="348"/>
        <v/>
      </c>
      <c r="AK843" t="str">
        <f t="shared" si="349"/>
        <v/>
      </c>
    </row>
    <row r="844" spans="1:37" ht="15" customHeight="1" x14ac:dyDescent="0.25">
      <c r="A844" s="114"/>
      <c r="B844" s="116"/>
      <c r="C844" s="116"/>
      <c r="D844" s="42" t="str">
        <f t="shared" si="325"/>
        <v/>
      </c>
      <c r="E844" s="43"/>
      <c r="F844" s="83"/>
      <c r="G844" s="118"/>
      <c r="H844" s="34" t="str">
        <f t="shared" si="326"/>
        <v/>
      </c>
      <c r="I844" s="88" t="str">
        <f t="shared" si="327"/>
        <v/>
      </c>
      <c r="J844" s="44" t="str">
        <f t="shared" si="328"/>
        <v/>
      </c>
      <c r="K844" s="118"/>
      <c r="L844" s="34" t="str">
        <f t="shared" si="329"/>
        <v/>
      </c>
      <c r="M844" s="118"/>
      <c r="N844" s="121"/>
      <c r="O844" s="122" t="str">
        <f t="shared" si="338"/>
        <v/>
      </c>
      <c r="P844" s="35" t="str">
        <f t="shared" si="339"/>
        <v/>
      </c>
      <c r="Q844" s="124"/>
      <c r="R844" s="36" t="str">
        <f t="shared" si="340"/>
        <v/>
      </c>
      <c r="S844" s="37" t="str">
        <f t="shared" si="330"/>
        <v/>
      </c>
      <c r="T844" s="38" t="str">
        <f t="shared" si="331"/>
        <v/>
      </c>
      <c r="U844" s="39" t="str">
        <f t="shared" si="332"/>
        <v/>
      </c>
      <c r="V844" s="40" t="str">
        <f t="shared" si="333"/>
        <v/>
      </c>
      <c r="W844" s="39" t="str">
        <f t="shared" si="334"/>
        <v/>
      </c>
      <c r="X844" s="34" t="str">
        <f t="shared" si="335"/>
        <v/>
      </c>
      <c r="Y844" s="41" t="str">
        <f t="shared" si="341"/>
        <v/>
      </c>
      <c r="Z844" s="98" t="str">
        <f t="shared" si="336"/>
        <v/>
      </c>
      <c r="AA844" s="81" t="str">
        <f t="shared" si="342"/>
        <v/>
      </c>
      <c r="AC844" s="139"/>
      <c r="AD844" s="110" t="str">
        <f t="shared" si="343"/>
        <v/>
      </c>
      <c r="AE844" s="111" t="str">
        <f t="shared" si="344"/>
        <v/>
      </c>
      <c r="AF844" s="111" t="str">
        <f t="shared" si="337"/>
        <v/>
      </c>
      <c r="AG844" s="111" t="str">
        <f t="shared" si="345"/>
        <v/>
      </c>
      <c r="AH844" s="111" t="str">
        <f t="shared" si="346"/>
        <v/>
      </c>
      <c r="AI844" s="112" t="str">
        <f t="shared" si="347"/>
        <v/>
      </c>
      <c r="AJ844" t="str">
        <f t="shared" si="348"/>
        <v/>
      </c>
      <c r="AK844" t="str">
        <f t="shared" si="349"/>
        <v/>
      </c>
    </row>
    <row r="845" spans="1:37" ht="15" customHeight="1" x14ac:dyDescent="0.25">
      <c r="A845" s="114"/>
      <c r="B845" s="116"/>
      <c r="C845" s="116"/>
      <c r="D845" s="42" t="str">
        <f t="shared" si="325"/>
        <v/>
      </c>
      <c r="E845" s="43"/>
      <c r="F845" s="83"/>
      <c r="G845" s="118"/>
      <c r="H845" s="34" t="str">
        <f t="shared" si="326"/>
        <v/>
      </c>
      <c r="I845" s="88" t="str">
        <f t="shared" si="327"/>
        <v/>
      </c>
      <c r="J845" s="44" t="str">
        <f t="shared" si="328"/>
        <v/>
      </c>
      <c r="K845" s="118"/>
      <c r="L845" s="34" t="str">
        <f t="shared" si="329"/>
        <v/>
      </c>
      <c r="M845" s="118"/>
      <c r="N845" s="121"/>
      <c r="O845" s="122" t="str">
        <f t="shared" si="338"/>
        <v/>
      </c>
      <c r="P845" s="35" t="str">
        <f t="shared" si="339"/>
        <v/>
      </c>
      <c r="Q845" s="124"/>
      <c r="R845" s="36" t="str">
        <f t="shared" si="340"/>
        <v/>
      </c>
      <c r="S845" s="37" t="str">
        <f t="shared" si="330"/>
        <v/>
      </c>
      <c r="T845" s="38" t="str">
        <f t="shared" si="331"/>
        <v/>
      </c>
      <c r="U845" s="39" t="str">
        <f t="shared" si="332"/>
        <v/>
      </c>
      <c r="V845" s="40" t="str">
        <f t="shared" si="333"/>
        <v/>
      </c>
      <c r="W845" s="39" t="str">
        <f t="shared" si="334"/>
        <v/>
      </c>
      <c r="X845" s="34" t="str">
        <f t="shared" si="335"/>
        <v/>
      </c>
      <c r="Y845" s="41" t="str">
        <f t="shared" si="341"/>
        <v/>
      </c>
      <c r="Z845" s="98" t="str">
        <f t="shared" si="336"/>
        <v/>
      </c>
      <c r="AA845" s="81" t="str">
        <f t="shared" si="342"/>
        <v/>
      </c>
      <c r="AC845" s="139"/>
      <c r="AD845" s="110" t="str">
        <f t="shared" si="343"/>
        <v/>
      </c>
      <c r="AE845" s="111" t="str">
        <f t="shared" si="344"/>
        <v/>
      </c>
      <c r="AF845" s="111" t="str">
        <f t="shared" si="337"/>
        <v/>
      </c>
      <c r="AG845" s="111" t="str">
        <f t="shared" si="345"/>
        <v/>
      </c>
      <c r="AH845" s="111" t="str">
        <f t="shared" si="346"/>
        <v/>
      </c>
      <c r="AI845" s="112" t="str">
        <f t="shared" si="347"/>
        <v/>
      </c>
      <c r="AJ845" t="str">
        <f t="shared" si="348"/>
        <v/>
      </c>
      <c r="AK845" t="str">
        <f t="shared" si="349"/>
        <v/>
      </c>
    </row>
    <row r="846" spans="1:37" ht="15" customHeight="1" x14ac:dyDescent="0.25">
      <c r="A846" s="114"/>
      <c r="B846" s="116"/>
      <c r="C846" s="116"/>
      <c r="D846" s="42" t="str">
        <f t="shared" si="325"/>
        <v/>
      </c>
      <c r="E846" s="43"/>
      <c r="F846" s="83"/>
      <c r="G846" s="118"/>
      <c r="H846" s="34" t="str">
        <f t="shared" si="326"/>
        <v/>
      </c>
      <c r="I846" s="88" t="str">
        <f t="shared" si="327"/>
        <v/>
      </c>
      <c r="J846" s="44" t="str">
        <f t="shared" si="328"/>
        <v/>
      </c>
      <c r="K846" s="118"/>
      <c r="L846" s="34" t="str">
        <f t="shared" si="329"/>
        <v/>
      </c>
      <c r="M846" s="118"/>
      <c r="N846" s="121"/>
      <c r="O846" s="122" t="str">
        <f t="shared" si="338"/>
        <v/>
      </c>
      <c r="P846" s="35" t="str">
        <f t="shared" si="339"/>
        <v/>
      </c>
      <c r="Q846" s="124"/>
      <c r="R846" s="36" t="str">
        <f t="shared" si="340"/>
        <v/>
      </c>
      <c r="S846" s="37" t="str">
        <f t="shared" si="330"/>
        <v/>
      </c>
      <c r="T846" s="38" t="str">
        <f t="shared" si="331"/>
        <v/>
      </c>
      <c r="U846" s="39" t="str">
        <f t="shared" si="332"/>
        <v/>
      </c>
      <c r="V846" s="40" t="str">
        <f t="shared" si="333"/>
        <v/>
      </c>
      <c r="W846" s="39" t="str">
        <f t="shared" si="334"/>
        <v/>
      </c>
      <c r="X846" s="34" t="str">
        <f t="shared" si="335"/>
        <v/>
      </c>
      <c r="Y846" s="41" t="str">
        <f t="shared" si="341"/>
        <v/>
      </c>
      <c r="Z846" s="98" t="str">
        <f t="shared" si="336"/>
        <v/>
      </c>
      <c r="AA846" s="81" t="str">
        <f t="shared" si="342"/>
        <v/>
      </c>
      <c r="AC846" s="139"/>
      <c r="AD846" s="110" t="str">
        <f t="shared" si="343"/>
        <v/>
      </c>
      <c r="AE846" s="111" t="str">
        <f t="shared" si="344"/>
        <v/>
      </c>
      <c r="AF846" s="111" t="str">
        <f t="shared" si="337"/>
        <v/>
      </c>
      <c r="AG846" s="111" t="str">
        <f t="shared" si="345"/>
        <v/>
      </c>
      <c r="AH846" s="111" t="str">
        <f t="shared" si="346"/>
        <v/>
      </c>
      <c r="AI846" s="112" t="str">
        <f t="shared" si="347"/>
        <v/>
      </c>
      <c r="AJ846" t="str">
        <f t="shared" si="348"/>
        <v/>
      </c>
      <c r="AK846" t="str">
        <f t="shared" si="349"/>
        <v/>
      </c>
    </row>
    <row r="847" spans="1:37" ht="15" customHeight="1" x14ac:dyDescent="0.25">
      <c r="A847" s="114"/>
      <c r="B847" s="116"/>
      <c r="C847" s="116"/>
      <c r="D847" s="42" t="str">
        <f t="shared" si="325"/>
        <v/>
      </c>
      <c r="E847" s="43"/>
      <c r="F847" s="83"/>
      <c r="G847" s="118"/>
      <c r="H847" s="34" t="str">
        <f t="shared" si="326"/>
        <v/>
      </c>
      <c r="I847" s="88" t="str">
        <f t="shared" si="327"/>
        <v/>
      </c>
      <c r="J847" s="44" t="str">
        <f t="shared" si="328"/>
        <v/>
      </c>
      <c r="K847" s="118"/>
      <c r="L847" s="34" t="str">
        <f t="shared" si="329"/>
        <v/>
      </c>
      <c r="M847" s="118"/>
      <c r="N847" s="121"/>
      <c r="O847" s="122" t="str">
        <f t="shared" si="338"/>
        <v/>
      </c>
      <c r="P847" s="35" t="str">
        <f t="shared" si="339"/>
        <v/>
      </c>
      <c r="Q847" s="124"/>
      <c r="R847" s="36" t="str">
        <f t="shared" si="340"/>
        <v/>
      </c>
      <c r="S847" s="37" t="str">
        <f t="shared" si="330"/>
        <v/>
      </c>
      <c r="T847" s="38" t="str">
        <f t="shared" si="331"/>
        <v/>
      </c>
      <c r="U847" s="39" t="str">
        <f t="shared" si="332"/>
        <v/>
      </c>
      <c r="V847" s="40" t="str">
        <f t="shared" si="333"/>
        <v/>
      </c>
      <c r="W847" s="39" t="str">
        <f t="shared" si="334"/>
        <v/>
      </c>
      <c r="X847" s="34" t="str">
        <f t="shared" si="335"/>
        <v/>
      </c>
      <c r="Y847" s="41" t="str">
        <f t="shared" si="341"/>
        <v/>
      </c>
      <c r="Z847" s="98" t="str">
        <f t="shared" si="336"/>
        <v/>
      </c>
      <c r="AA847" s="81" t="str">
        <f t="shared" si="342"/>
        <v/>
      </c>
      <c r="AC847" s="139"/>
      <c r="AD847" s="110" t="str">
        <f t="shared" si="343"/>
        <v/>
      </c>
      <c r="AE847" s="111" t="str">
        <f t="shared" si="344"/>
        <v/>
      </c>
      <c r="AF847" s="111" t="str">
        <f t="shared" si="337"/>
        <v/>
      </c>
      <c r="AG847" s="111" t="str">
        <f t="shared" si="345"/>
        <v/>
      </c>
      <c r="AH847" s="111" t="str">
        <f t="shared" si="346"/>
        <v/>
      </c>
      <c r="AI847" s="112" t="str">
        <f t="shared" si="347"/>
        <v/>
      </c>
      <c r="AJ847" t="str">
        <f t="shared" si="348"/>
        <v/>
      </c>
      <c r="AK847" t="str">
        <f t="shared" si="349"/>
        <v/>
      </c>
    </row>
    <row r="848" spans="1:37" ht="15" customHeight="1" x14ac:dyDescent="0.25">
      <c r="A848" s="114"/>
      <c r="B848" s="116"/>
      <c r="C848" s="116"/>
      <c r="D848" s="42" t="str">
        <f t="shared" si="325"/>
        <v/>
      </c>
      <c r="E848" s="43"/>
      <c r="F848" s="83"/>
      <c r="G848" s="118"/>
      <c r="H848" s="34" t="str">
        <f t="shared" si="326"/>
        <v/>
      </c>
      <c r="I848" s="88" t="str">
        <f t="shared" si="327"/>
        <v/>
      </c>
      <c r="J848" s="44" t="str">
        <f t="shared" si="328"/>
        <v/>
      </c>
      <c r="K848" s="118"/>
      <c r="L848" s="34" t="str">
        <f t="shared" si="329"/>
        <v/>
      </c>
      <c r="M848" s="118"/>
      <c r="N848" s="121"/>
      <c r="O848" s="122" t="str">
        <f t="shared" si="338"/>
        <v/>
      </c>
      <c r="P848" s="35" t="str">
        <f t="shared" si="339"/>
        <v/>
      </c>
      <c r="Q848" s="124"/>
      <c r="R848" s="36" t="str">
        <f t="shared" si="340"/>
        <v/>
      </c>
      <c r="S848" s="37" t="str">
        <f t="shared" si="330"/>
        <v/>
      </c>
      <c r="T848" s="38" t="str">
        <f t="shared" si="331"/>
        <v/>
      </c>
      <c r="U848" s="39" t="str">
        <f t="shared" si="332"/>
        <v/>
      </c>
      <c r="V848" s="40" t="str">
        <f t="shared" si="333"/>
        <v/>
      </c>
      <c r="W848" s="39" t="str">
        <f t="shared" si="334"/>
        <v/>
      </c>
      <c r="X848" s="34" t="str">
        <f t="shared" si="335"/>
        <v/>
      </c>
      <c r="Y848" s="41" t="str">
        <f t="shared" si="341"/>
        <v/>
      </c>
      <c r="Z848" s="98" t="str">
        <f t="shared" si="336"/>
        <v/>
      </c>
      <c r="AA848" s="81" t="str">
        <f t="shared" si="342"/>
        <v/>
      </c>
      <c r="AC848" s="139"/>
      <c r="AD848" s="110" t="str">
        <f t="shared" si="343"/>
        <v/>
      </c>
      <c r="AE848" s="111" t="str">
        <f t="shared" si="344"/>
        <v/>
      </c>
      <c r="AF848" s="111" t="str">
        <f t="shared" si="337"/>
        <v/>
      </c>
      <c r="AG848" s="111" t="str">
        <f t="shared" si="345"/>
        <v/>
      </c>
      <c r="AH848" s="111" t="str">
        <f t="shared" si="346"/>
        <v/>
      </c>
      <c r="AI848" s="112" t="str">
        <f t="shared" si="347"/>
        <v/>
      </c>
      <c r="AJ848" t="str">
        <f t="shared" si="348"/>
        <v/>
      </c>
      <c r="AK848" t="str">
        <f t="shared" si="349"/>
        <v/>
      </c>
    </row>
    <row r="849" spans="1:37" ht="15" customHeight="1" x14ac:dyDescent="0.25">
      <c r="A849" s="114"/>
      <c r="B849" s="116"/>
      <c r="C849" s="116"/>
      <c r="D849" s="42" t="str">
        <f t="shared" si="325"/>
        <v/>
      </c>
      <c r="E849" s="43"/>
      <c r="F849" s="83"/>
      <c r="G849" s="118"/>
      <c r="H849" s="34" t="str">
        <f t="shared" si="326"/>
        <v/>
      </c>
      <c r="I849" s="88" t="str">
        <f t="shared" si="327"/>
        <v/>
      </c>
      <c r="J849" s="44" t="str">
        <f t="shared" si="328"/>
        <v/>
      </c>
      <c r="K849" s="118"/>
      <c r="L849" s="34" t="str">
        <f t="shared" si="329"/>
        <v/>
      </c>
      <c r="M849" s="118"/>
      <c r="N849" s="121"/>
      <c r="O849" s="122" t="str">
        <f t="shared" si="338"/>
        <v/>
      </c>
      <c r="P849" s="35" t="str">
        <f t="shared" si="339"/>
        <v/>
      </c>
      <c r="Q849" s="124"/>
      <c r="R849" s="36" t="str">
        <f t="shared" si="340"/>
        <v/>
      </c>
      <c r="S849" s="37" t="str">
        <f t="shared" si="330"/>
        <v/>
      </c>
      <c r="T849" s="38" t="str">
        <f t="shared" si="331"/>
        <v/>
      </c>
      <c r="U849" s="39" t="str">
        <f t="shared" si="332"/>
        <v/>
      </c>
      <c r="V849" s="40" t="str">
        <f t="shared" si="333"/>
        <v/>
      </c>
      <c r="W849" s="39" t="str">
        <f t="shared" si="334"/>
        <v/>
      </c>
      <c r="X849" s="34" t="str">
        <f t="shared" si="335"/>
        <v/>
      </c>
      <c r="Y849" s="41" t="str">
        <f t="shared" si="341"/>
        <v/>
      </c>
      <c r="Z849" s="98" t="str">
        <f t="shared" si="336"/>
        <v/>
      </c>
      <c r="AA849" s="81" t="str">
        <f t="shared" si="342"/>
        <v/>
      </c>
      <c r="AC849" s="139"/>
      <c r="AD849" s="110" t="str">
        <f t="shared" si="343"/>
        <v/>
      </c>
      <c r="AE849" s="111" t="str">
        <f t="shared" si="344"/>
        <v/>
      </c>
      <c r="AF849" s="111" t="str">
        <f t="shared" si="337"/>
        <v/>
      </c>
      <c r="AG849" s="111" t="str">
        <f t="shared" si="345"/>
        <v/>
      </c>
      <c r="AH849" s="111" t="str">
        <f t="shared" si="346"/>
        <v/>
      </c>
      <c r="AI849" s="112" t="str">
        <f t="shared" si="347"/>
        <v/>
      </c>
      <c r="AJ849" t="str">
        <f t="shared" si="348"/>
        <v/>
      </c>
      <c r="AK849" t="str">
        <f t="shared" si="349"/>
        <v/>
      </c>
    </row>
    <row r="850" spans="1:37" ht="15" customHeight="1" x14ac:dyDescent="0.25">
      <c r="A850" s="114"/>
      <c r="B850" s="116"/>
      <c r="C850" s="116"/>
      <c r="D850" s="42" t="str">
        <f t="shared" si="325"/>
        <v/>
      </c>
      <c r="E850" s="43"/>
      <c r="F850" s="83"/>
      <c r="G850" s="118"/>
      <c r="H850" s="34" t="str">
        <f t="shared" si="326"/>
        <v/>
      </c>
      <c r="I850" s="88" t="str">
        <f t="shared" si="327"/>
        <v/>
      </c>
      <c r="J850" s="44" t="str">
        <f t="shared" si="328"/>
        <v/>
      </c>
      <c r="K850" s="118"/>
      <c r="L850" s="34" t="str">
        <f t="shared" si="329"/>
        <v/>
      </c>
      <c r="M850" s="118"/>
      <c r="N850" s="121"/>
      <c r="O850" s="122" t="str">
        <f t="shared" si="338"/>
        <v/>
      </c>
      <c r="P850" s="35" t="str">
        <f t="shared" si="339"/>
        <v/>
      </c>
      <c r="Q850" s="124"/>
      <c r="R850" s="36" t="str">
        <f t="shared" si="340"/>
        <v/>
      </c>
      <c r="S850" s="37" t="str">
        <f t="shared" si="330"/>
        <v/>
      </c>
      <c r="T850" s="38" t="str">
        <f t="shared" si="331"/>
        <v/>
      </c>
      <c r="U850" s="39" t="str">
        <f t="shared" si="332"/>
        <v/>
      </c>
      <c r="V850" s="40" t="str">
        <f t="shared" si="333"/>
        <v/>
      </c>
      <c r="W850" s="39" t="str">
        <f t="shared" si="334"/>
        <v/>
      </c>
      <c r="X850" s="34" t="str">
        <f t="shared" si="335"/>
        <v/>
      </c>
      <c r="Y850" s="41" t="str">
        <f t="shared" si="341"/>
        <v/>
      </c>
      <c r="Z850" s="98" t="str">
        <f t="shared" si="336"/>
        <v/>
      </c>
      <c r="AA850" s="81" t="str">
        <f t="shared" si="342"/>
        <v/>
      </c>
      <c r="AC850" s="139"/>
      <c r="AD850" s="110" t="str">
        <f t="shared" si="343"/>
        <v/>
      </c>
      <c r="AE850" s="111" t="str">
        <f t="shared" si="344"/>
        <v/>
      </c>
      <c r="AF850" s="111" t="str">
        <f t="shared" si="337"/>
        <v/>
      </c>
      <c r="AG850" s="111" t="str">
        <f t="shared" si="345"/>
        <v/>
      </c>
      <c r="AH850" s="111" t="str">
        <f t="shared" si="346"/>
        <v/>
      </c>
      <c r="AI850" s="112" t="str">
        <f t="shared" si="347"/>
        <v/>
      </c>
      <c r="AJ850" t="str">
        <f t="shared" si="348"/>
        <v/>
      </c>
      <c r="AK850" t="str">
        <f t="shared" si="349"/>
        <v/>
      </c>
    </row>
    <row r="851" spans="1:37" ht="15" customHeight="1" x14ac:dyDescent="0.25">
      <c r="A851" s="114"/>
      <c r="B851" s="116"/>
      <c r="C851" s="116"/>
      <c r="D851" s="42" t="str">
        <f t="shared" si="325"/>
        <v/>
      </c>
      <c r="E851" s="43"/>
      <c r="F851" s="83"/>
      <c r="G851" s="118"/>
      <c r="H851" s="34" t="str">
        <f t="shared" si="326"/>
        <v/>
      </c>
      <c r="I851" s="88" t="str">
        <f t="shared" si="327"/>
        <v/>
      </c>
      <c r="J851" s="44" t="str">
        <f t="shared" si="328"/>
        <v/>
      </c>
      <c r="K851" s="118"/>
      <c r="L851" s="34" t="str">
        <f t="shared" si="329"/>
        <v/>
      </c>
      <c r="M851" s="118"/>
      <c r="N851" s="121"/>
      <c r="O851" s="122" t="str">
        <f t="shared" si="338"/>
        <v/>
      </c>
      <c r="P851" s="35" t="str">
        <f t="shared" si="339"/>
        <v/>
      </c>
      <c r="Q851" s="124"/>
      <c r="R851" s="36" t="str">
        <f t="shared" si="340"/>
        <v/>
      </c>
      <c r="S851" s="37" t="str">
        <f t="shared" si="330"/>
        <v/>
      </c>
      <c r="T851" s="38" t="str">
        <f t="shared" si="331"/>
        <v/>
      </c>
      <c r="U851" s="39" t="str">
        <f t="shared" si="332"/>
        <v/>
      </c>
      <c r="V851" s="40" t="str">
        <f t="shared" si="333"/>
        <v/>
      </c>
      <c r="W851" s="39" t="str">
        <f t="shared" si="334"/>
        <v/>
      </c>
      <c r="X851" s="34" t="str">
        <f t="shared" si="335"/>
        <v/>
      </c>
      <c r="Y851" s="41" t="str">
        <f t="shared" si="341"/>
        <v/>
      </c>
      <c r="Z851" s="98" t="str">
        <f t="shared" si="336"/>
        <v/>
      </c>
      <c r="AA851" s="81" t="str">
        <f t="shared" si="342"/>
        <v/>
      </c>
      <c r="AC851" s="139"/>
      <c r="AD851" s="110" t="str">
        <f t="shared" si="343"/>
        <v/>
      </c>
      <c r="AE851" s="111" t="str">
        <f t="shared" si="344"/>
        <v/>
      </c>
      <c r="AF851" s="111" t="str">
        <f t="shared" si="337"/>
        <v/>
      </c>
      <c r="AG851" s="111" t="str">
        <f t="shared" si="345"/>
        <v/>
      </c>
      <c r="AH851" s="111" t="str">
        <f t="shared" si="346"/>
        <v/>
      </c>
      <c r="AI851" s="112" t="str">
        <f t="shared" si="347"/>
        <v/>
      </c>
      <c r="AJ851" t="str">
        <f t="shared" si="348"/>
        <v/>
      </c>
      <c r="AK851" t="str">
        <f t="shared" si="349"/>
        <v/>
      </c>
    </row>
    <row r="852" spans="1:37" ht="15" customHeight="1" x14ac:dyDescent="0.25">
      <c r="A852" s="114"/>
      <c r="B852" s="116"/>
      <c r="C852" s="116"/>
      <c r="D852" s="42" t="str">
        <f t="shared" si="325"/>
        <v/>
      </c>
      <c r="E852" s="43"/>
      <c r="F852" s="83"/>
      <c r="G852" s="118"/>
      <c r="H852" s="34" t="str">
        <f t="shared" si="326"/>
        <v/>
      </c>
      <c r="I852" s="88" t="str">
        <f t="shared" si="327"/>
        <v/>
      </c>
      <c r="J852" s="44" t="str">
        <f t="shared" si="328"/>
        <v/>
      </c>
      <c r="K852" s="118"/>
      <c r="L852" s="34" t="str">
        <f t="shared" si="329"/>
        <v/>
      </c>
      <c r="M852" s="118"/>
      <c r="N852" s="121"/>
      <c r="O852" s="122" t="str">
        <f t="shared" si="338"/>
        <v/>
      </c>
      <c r="P852" s="35" t="str">
        <f t="shared" si="339"/>
        <v/>
      </c>
      <c r="Q852" s="124"/>
      <c r="R852" s="36" t="str">
        <f t="shared" si="340"/>
        <v/>
      </c>
      <c r="S852" s="37" t="str">
        <f t="shared" si="330"/>
        <v/>
      </c>
      <c r="T852" s="38" t="str">
        <f t="shared" si="331"/>
        <v/>
      </c>
      <c r="U852" s="39" t="str">
        <f t="shared" si="332"/>
        <v/>
      </c>
      <c r="V852" s="40" t="str">
        <f t="shared" si="333"/>
        <v/>
      </c>
      <c r="W852" s="39" t="str">
        <f t="shared" si="334"/>
        <v/>
      </c>
      <c r="X852" s="34" t="str">
        <f t="shared" si="335"/>
        <v/>
      </c>
      <c r="Y852" s="41" t="str">
        <f t="shared" si="341"/>
        <v/>
      </c>
      <c r="Z852" s="98" t="str">
        <f t="shared" si="336"/>
        <v/>
      </c>
      <c r="AA852" s="81" t="str">
        <f t="shared" si="342"/>
        <v/>
      </c>
      <c r="AC852" s="139"/>
      <c r="AD852" s="110" t="str">
        <f t="shared" si="343"/>
        <v/>
      </c>
      <c r="AE852" s="111" t="str">
        <f t="shared" si="344"/>
        <v/>
      </c>
      <c r="AF852" s="111" t="str">
        <f t="shared" si="337"/>
        <v/>
      </c>
      <c r="AG852" s="111" t="str">
        <f t="shared" si="345"/>
        <v/>
      </c>
      <c r="AH852" s="111" t="str">
        <f t="shared" si="346"/>
        <v/>
      </c>
      <c r="AI852" s="112" t="str">
        <f t="shared" si="347"/>
        <v/>
      </c>
      <c r="AJ852" t="str">
        <f t="shared" si="348"/>
        <v/>
      </c>
      <c r="AK852" t="str">
        <f t="shared" si="349"/>
        <v/>
      </c>
    </row>
    <row r="853" spans="1:37" ht="15" customHeight="1" x14ac:dyDescent="0.25">
      <c r="A853" s="114"/>
      <c r="B853" s="116"/>
      <c r="C853" s="116"/>
      <c r="D853" s="42" t="str">
        <f t="shared" si="325"/>
        <v/>
      </c>
      <c r="E853" s="43"/>
      <c r="F853" s="83"/>
      <c r="G853" s="118"/>
      <c r="H853" s="34" t="str">
        <f t="shared" si="326"/>
        <v/>
      </c>
      <c r="I853" s="88" t="str">
        <f t="shared" si="327"/>
        <v/>
      </c>
      <c r="J853" s="44" t="str">
        <f t="shared" si="328"/>
        <v/>
      </c>
      <c r="K853" s="118"/>
      <c r="L853" s="34" t="str">
        <f t="shared" si="329"/>
        <v/>
      </c>
      <c r="M853" s="118"/>
      <c r="N853" s="121"/>
      <c r="O853" s="122" t="str">
        <f t="shared" si="338"/>
        <v/>
      </c>
      <c r="P853" s="35" t="str">
        <f t="shared" si="339"/>
        <v/>
      </c>
      <c r="Q853" s="124"/>
      <c r="R853" s="36" t="str">
        <f t="shared" si="340"/>
        <v/>
      </c>
      <c r="S853" s="37" t="str">
        <f t="shared" si="330"/>
        <v/>
      </c>
      <c r="T853" s="38" t="str">
        <f t="shared" si="331"/>
        <v/>
      </c>
      <c r="U853" s="39" t="str">
        <f t="shared" si="332"/>
        <v/>
      </c>
      <c r="V853" s="40" t="str">
        <f t="shared" si="333"/>
        <v/>
      </c>
      <c r="W853" s="39" t="str">
        <f t="shared" si="334"/>
        <v/>
      </c>
      <c r="X853" s="34" t="str">
        <f t="shared" si="335"/>
        <v/>
      </c>
      <c r="Y853" s="41" t="str">
        <f t="shared" si="341"/>
        <v/>
      </c>
      <c r="Z853" s="98" t="str">
        <f t="shared" si="336"/>
        <v/>
      </c>
      <c r="AA853" s="81" t="str">
        <f t="shared" si="342"/>
        <v/>
      </c>
      <c r="AC853" s="139"/>
      <c r="AD853" s="110" t="str">
        <f t="shared" si="343"/>
        <v/>
      </c>
      <c r="AE853" s="111" t="str">
        <f t="shared" si="344"/>
        <v/>
      </c>
      <c r="AF853" s="111" t="str">
        <f t="shared" si="337"/>
        <v/>
      </c>
      <c r="AG853" s="111" t="str">
        <f t="shared" si="345"/>
        <v/>
      </c>
      <c r="AH853" s="111" t="str">
        <f t="shared" si="346"/>
        <v/>
      </c>
      <c r="AI853" s="112" t="str">
        <f t="shared" si="347"/>
        <v/>
      </c>
      <c r="AJ853" t="str">
        <f t="shared" si="348"/>
        <v/>
      </c>
      <c r="AK853" t="str">
        <f t="shared" si="349"/>
        <v/>
      </c>
    </row>
    <row r="854" spans="1:37" ht="15" customHeight="1" x14ac:dyDescent="0.25">
      <c r="A854" s="114"/>
      <c r="B854" s="116"/>
      <c r="C854" s="116"/>
      <c r="D854" s="42" t="str">
        <f t="shared" si="325"/>
        <v/>
      </c>
      <c r="E854" s="43"/>
      <c r="F854" s="83"/>
      <c r="G854" s="118"/>
      <c r="H854" s="34" t="str">
        <f t="shared" si="326"/>
        <v/>
      </c>
      <c r="I854" s="88" t="str">
        <f t="shared" si="327"/>
        <v/>
      </c>
      <c r="J854" s="44" t="str">
        <f t="shared" si="328"/>
        <v/>
      </c>
      <c r="K854" s="118"/>
      <c r="L854" s="34" t="str">
        <f t="shared" si="329"/>
        <v/>
      </c>
      <c r="M854" s="118"/>
      <c r="N854" s="121"/>
      <c r="O854" s="122" t="str">
        <f t="shared" si="338"/>
        <v/>
      </c>
      <c r="P854" s="35" t="str">
        <f t="shared" si="339"/>
        <v/>
      </c>
      <c r="Q854" s="124"/>
      <c r="R854" s="36" t="str">
        <f t="shared" si="340"/>
        <v/>
      </c>
      <c r="S854" s="37" t="str">
        <f t="shared" si="330"/>
        <v/>
      </c>
      <c r="T854" s="38" t="str">
        <f t="shared" si="331"/>
        <v/>
      </c>
      <c r="U854" s="39" t="str">
        <f t="shared" si="332"/>
        <v/>
      </c>
      <c r="V854" s="40" t="str">
        <f t="shared" si="333"/>
        <v/>
      </c>
      <c r="W854" s="39" t="str">
        <f t="shared" si="334"/>
        <v/>
      </c>
      <c r="X854" s="34" t="str">
        <f t="shared" si="335"/>
        <v/>
      </c>
      <c r="Y854" s="41" t="str">
        <f t="shared" si="341"/>
        <v/>
      </c>
      <c r="Z854" s="98" t="str">
        <f t="shared" si="336"/>
        <v/>
      </c>
      <c r="AA854" s="81" t="str">
        <f t="shared" si="342"/>
        <v/>
      </c>
      <c r="AC854" s="139"/>
      <c r="AD854" s="110" t="str">
        <f t="shared" si="343"/>
        <v/>
      </c>
      <c r="AE854" s="111" t="str">
        <f t="shared" si="344"/>
        <v/>
      </c>
      <c r="AF854" s="111" t="str">
        <f t="shared" si="337"/>
        <v/>
      </c>
      <c r="AG854" s="111" t="str">
        <f t="shared" si="345"/>
        <v/>
      </c>
      <c r="AH854" s="111" t="str">
        <f t="shared" si="346"/>
        <v/>
      </c>
      <c r="AI854" s="112" t="str">
        <f t="shared" si="347"/>
        <v/>
      </c>
      <c r="AJ854" t="str">
        <f t="shared" si="348"/>
        <v/>
      </c>
      <c r="AK854" t="str">
        <f t="shared" si="349"/>
        <v/>
      </c>
    </row>
    <row r="855" spans="1:37" ht="15" customHeight="1" x14ac:dyDescent="0.25">
      <c r="A855" s="114"/>
      <c r="B855" s="116"/>
      <c r="C855" s="116"/>
      <c r="D855" s="42" t="str">
        <f t="shared" si="325"/>
        <v/>
      </c>
      <c r="E855" s="43"/>
      <c r="F855" s="83"/>
      <c r="G855" s="118"/>
      <c r="H855" s="34" t="str">
        <f t="shared" si="326"/>
        <v/>
      </c>
      <c r="I855" s="88" t="str">
        <f t="shared" si="327"/>
        <v/>
      </c>
      <c r="J855" s="44" t="str">
        <f t="shared" si="328"/>
        <v/>
      </c>
      <c r="K855" s="118"/>
      <c r="L855" s="34" t="str">
        <f t="shared" si="329"/>
        <v/>
      </c>
      <c r="M855" s="118"/>
      <c r="N855" s="121"/>
      <c r="O855" s="122" t="str">
        <f t="shared" si="338"/>
        <v/>
      </c>
      <c r="P855" s="35" t="str">
        <f t="shared" si="339"/>
        <v/>
      </c>
      <c r="Q855" s="124"/>
      <c r="R855" s="36" t="str">
        <f t="shared" si="340"/>
        <v/>
      </c>
      <c r="S855" s="37" t="str">
        <f t="shared" si="330"/>
        <v/>
      </c>
      <c r="T855" s="38" t="str">
        <f t="shared" si="331"/>
        <v/>
      </c>
      <c r="U855" s="39" t="str">
        <f t="shared" si="332"/>
        <v/>
      </c>
      <c r="V855" s="40" t="str">
        <f t="shared" si="333"/>
        <v/>
      </c>
      <c r="W855" s="39" t="str">
        <f t="shared" si="334"/>
        <v/>
      </c>
      <c r="X855" s="34" t="str">
        <f t="shared" si="335"/>
        <v/>
      </c>
      <c r="Y855" s="41" t="str">
        <f t="shared" si="341"/>
        <v/>
      </c>
      <c r="Z855" s="98" t="str">
        <f t="shared" si="336"/>
        <v/>
      </c>
      <c r="AA855" s="81" t="str">
        <f t="shared" si="342"/>
        <v/>
      </c>
      <c r="AC855" s="139"/>
      <c r="AD855" s="110" t="str">
        <f t="shared" si="343"/>
        <v/>
      </c>
      <c r="AE855" s="111" t="str">
        <f t="shared" si="344"/>
        <v/>
      </c>
      <c r="AF855" s="111" t="str">
        <f t="shared" si="337"/>
        <v/>
      </c>
      <c r="AG855" s="111" t="str">
        <f t="shared" si="345"/>
        <v/>
      </c>
      <c r="AH855" s="111" t="str">
        <f t="shared" si="346"/>
        <v/>
      </c>
      <c r="AI855" s="112" t="str">
        <f t="shared" si="347"/>
        <v/>
      </c>
      <c r="AJ855" t="str">
        <f t="shared" si="348"/>
        <v/>
      </c>
      <c r="AK855" t="str">
        <f t="shared" si="349"/>
        <v/>
      </c>
    </row>
    <row r="856" spans="1:37" ht="15" customHeight="1" x14ac:dyDescent="0.25">
      <c r="A856" s="114"/>
      <c r="B856" s="116"/>
      <c r="C856" s="116"/>
      <c r="D856" s="42" t="str">
        <f t="shared" si="325"/>
        <v/>
      </c>
      <c r="E856" s="43"/>
      <c r="F856" s="83"/>
      <c r="G856" s="118"/>
      <c r="H856" s="34" t="str">
        <f t="shared" si="326"/>
        <v/>
      </c>
      <c r="I856" s="88" t="str">
        <f t="shared" si="327"/>
        <v/>
      </c>
      <c r="J856" s="44" t="str">
        <f t="shared" si="328"/>
        <v/>
      </c>
      <c r="K856" s="118"/>
      <c r="L856" s="34" t="str">
        <f t="shared" si="329"/>
        <v/>
      </c>
      <c r="M856" s="118"/>
      <c r="N856" s="121"/>
      <c r="O856" s="122" t="str">
        <f t="shared" si="338"/>
        <v/>
      </c>
      <c r="P856" s="35" t="str">
        <f t="shared" si="339"/>
        <v/>
      </c>
      <c r="Q856" s="124"/>
      <c r="R856" s="36" t="str">
        <f t="shared" si="340"/>
        <v/>
      </c>
      <c r="S856" s="37" t="str">
        <f t="shared" si="330"/>
        <v/>
      </c>
      <c r="T856" s="38" t="str">
        <f t="shared" si="331"/>
        <v/>
      </c>
      <c r="U856" s="39" t="str">
        <f t="shared" si="332"/>
        <v/>
      </c>
      <c r="V856" s="40" t="str">
        <f t="shared" si="333"/>
        <v/>
      </c>
      <c r="W856" s="39" t="str">
        <f t="shared" si="334"/>
        <v/>
      </c>
      <c r="X856" s="34" t="str">
        <f t="shared" si="335"/>
        <v/>
      </c>
      <c r="Y856" s="41" t="str">
        <f t="shared" si="341"/>
        <v/>
      </c>
      <c r="Z856" s="98" t="str">
        <f t="shared" si="336"/>
        <v/>
      </c>
      <c r="AA856" s="81" t="str">
        <f t="shared" si="342"/>
        <v/>
      </c>
      <c r="AC856" s="139"/>
      <c r="AD856" s="110" t="str">
        <f t="shared" si="343"/>
        <v/>
      </c>
      <c r="AE856" s="111" t="str">
        <f t="shared" si="344"/>
        <v/>
      </c>
      <c r="AF856" s="111" t="str">
        <f t="shared" si="337"/>
        <v/>
      </c>
      <c r="AG856" s="111" t="str">
        <f t="shared" si="345"/>
        <v/>
      </c>
      <c r="AH856" s="111" t="str">
        <f t="shared" si="346"/>
        <v/>
      </c>
      <c r="AI856" s="112" t="str">
        <f t="shared" si="347"/>
        <v/>
      </c>
      <c r="AJ856" t="str">
        <f t="shared" si="348"/>
        <v/>
      </c>
      <c r="AK856" t="str">
        <f t="shared" si="349"/>
        <v/>
      </c>
    </row>
    <row r="857" spans="1:37" ht="15" customHeight="1" x14ac:dyDescent="0.25">
      <c r="A857" s="114"/>
      <c r="B857" s="116"/>
      <c r="C857" s="116"/>
      <c r="D857" s="42" t="str">
        <f t="shared" si="325"/>
        <v/>
      </c>
      <c r="E857" s="43"/>
      <c r="F857" s="83"/>
      <c r="G857" s="118"/>
      <c r="H857" s="34" t="str">
        <f t="shared" si="326"/>
        <v/>
      </c>
      <c r="I857" s="88" t="str">
        <f t="shared" si="327"/>
        <v/>
      </c>
      <c r="J857" s="44" t="str">
        <f t="shared" si="328"/>
        <v/>
      </c>
      <c r="K857" s="118"/>
      <c r="L857" s="34" t="str">
        <f t="shared" si="329"/>
        <v/>
      </c>
      <c r="M857" s="118"/>
      <c r="N857" s="121"/>
      <c r="O857" s="122" t="str">
        <f t="shared" si="338"/>
        <v/>
      </c>
      <c r="P857" s="35" t="str">
        <f t="shared" si="339"/>
        <v/>
      </c>
      <c r="Q857" s="124"/>
      <c r="R857" s="36" t="str">
        <f t="shared" si="340"/>
        <v/>
      </c>
      <c r="S857" s="37" t="str">
        <f t="shared" si="330"/>
        <v/>
      </c>
      <c r="T857" s="38" t="str">
        <f t="shared" si="331"/>
        <v/>
      </c>
      <c r="U857" s="39" t="str">
        <f t="shared" si="332"/>
        <v/>
      </c>
      <c r="V857" s="40" t="str">
        <f t="shared" si="333"/>
        <v/>
      </c>
      <c r="W857" s="39" t="str">
        <f t="shared" si="334"/>
        <v/>
      </c>
      <c r="X857" s="34" t="str">
        <f t="shared" si="335"/>
        <v/>
      </c>
      <c r="Y857" s="41" t="str">
        <f t="shared" si="341"/>
        <v/>
      </c>
      <c r="Z857" s="98" t="str">
        <f t="shared" si="336"/>
        <v/>
      </c>
      <c r="AA857" s="81" t="str">
        <f t="shared" si="342"/>
        <v/>
      </c>
      <c r="AC857" s="139"/>
      <c r="AD857" s="110" t="str">
        <f t="shared" si="343"/>
        <v/>
      </c>
      <c r="AE857" s="111" t="str">
        <f t="shared" si="344"/>
        <v/>
      </c>
      <c r="AF857" s="111" t="str">
        <f t="shared" si="337"/>
        <v/>
      </c>
      <c r="AG857" s="111" t="str">
        <f t="shared" si="345"/>
        <v/>
      </c>
      <c r="AH857" s="111" t="str">
        <f t="shared" si="346"/>
        <v/>
      </c>
      <c r="AI857" s="112" t="str">
        <f t="shared" si="347"/>
        <v/>
      </c>
      <c r="AJ857" t="str">
        <f t="shared" si="348"/>
        <v/>
      </c>
      <c r="AK857" t="str">
        <f t="shared" si="349"/>
        <v/>
      </c>
    </row>
    <row r="858" spans="1:37" ht="15" customHeight="1" x14ac:dyDescent="0.25">
      <c r="A858" s="114"/>
      <c r="B858" s="116"/>
      <c r="C858" s="116"/>
      <c r="D858" s="42" t="str">
        <f t="shared" si="325"/>
        <v/>
      </c>
      <c r="E858" s="43"/>
      <c r="F858" s="83"/>
      <c r="G858" s="118"/>
      <c r="H858" s="34" t="str">
        <f t="shared" si="326"/>
        <v/>
      </c>
      <c r="I858" s="88" t="str">
        <f t="shared" si="327"/>
        <v/>
      </c>
      <c r="J858" s="44" t="str">
        <f t="shared" si="328"/>
        <v/>
      </c>
      <c r="K858" s="118"/>
      <c r="L858" s="34" t="str">
        <f t="shared" si="329"/>
        <v/>
      </c>
      <c r="M858" s="118"/>
      <c r="N858" s="121"/>
      <c r="O858" s="122" t="str">
        <f t="shared" si="338"/>
        <v/>
      </c>
      <c r="P858" s="35" t="str">
        <f t="shared" si="339"/>
        <v/>
      </c>
      <c r="Q858" s="124"/>
      <c r="R858" s="36" t="str">
        <f t="shared" si="340"/>
        <v/>
      </c>
      <c r="S858" s="37" t="str">
        <f t="shared" si="330"/>
        <v/>
      </c>
      <c r="T858" s="38" t="str">
        <f t="shared" si="331"/>
        <v/>
      </c>
      <c r="U858" s="39" t="str">
        <f t="shared" si="332"/>
        <v/>
      </c>
      <c r="V858" s="40" t="str">
        <f t="shared" si="333"/>
        <v/>
      </c>
      <c r="W858" s="39" t="str">
        <f t="shared" si="334"/>
        <v/>
      </c>
      <c r="X858" s="34" t="str">
        <f t="shared" si="335"/>
        <v/>
      </c>
      <c r="Y858" s="41" t="str">
        <f t="shared" si="341"/>
        <v/>
      </c>
      <c r="Z858" s="98" t="str">
        <f t="shared" si="336"/>
        <v/>
      </c>
      <c r="AA858" s="81" t="str">
        <f t="shared" si="342"/>
        <v/>
      </c>
      <c r="AC858" s="139"/>
      <c r="AD858" s="110" t="str">
        <f t="shared" si="343"/>
        <v/>
      </c>
      <c r="AE858" s="111" t="str">
        <f t="shared" si="344"/>
        <v/>
      </c>
      <c r="AF858" s="111" t="str">
        <f t="shared" si="337"/>
        <v/>
      </c>
      <c r="AG858" s="111" t="str">
        <f t="shared" si="345"/>
        <v/>
      </c>
      <c r="AH858" s="111" t="str">
        <f t="shared" si="346"/>
        <v/>
      </c>
      <c r="AI858" s="112" t="str">
        <f t="shared" si="347"/>
        <v/>
      </c>
      <c r="AJ858" t="str">
        <f t="shared" si="348"/>
        <v/>
      </c>
      <c r="AK858" t="str">
        <f t="shared" si="349"/>
        <v/>
      </c>
    </row>
    <row r="859" spans="1:37" ht="15" customHeight="1" x14ac:dyDescent="0.25">
      <c r="A859" s="114"/>
      <c r="B859" s="116"/>
      <c r="C859" s="116"/>
      <c r="D859" s="42" t="str">
        <f t="shared" si="325"/>
        <v/>
      </c>
      <c r="E859" s="43"/>
      <c r="F859" s="83"/>
      <c r="G859" s="118"/>
      <c r="H859" s="34" t="str">
        <f t="shared" si="326"/>
        <v/>
      </c>
      <c r="I859" s="88" t="str">
        <f t="shared" si="327"/>
        <v/>
      </c>
      <c r="J859" s="44" t="str">
        <f t="shared" si="328"/>
        <v/>
      </c>
      <c r="K859" s="118"/>
      <c r="L859" s="34" t="str">
        <f t="shared" si="329"/>
        <v/>
      </c>
      <c r="M859" s="118"/>
      <c r="N859" s="121"/>
      <c r="O859" s="122" t="str">
        <f t="shared" si="338"/>
        <v/>
      </c>
      <c r="P859" s="35" t="str">
        <f t="shared" si="339"/>
        <v/>
      </c>
      <c r="Q859" s="124"/>
      <c r="R859" s="36" t="str">
        <f t="shared" si="340"/>
        <v/>
      </c>
      <c r="S859" s="37" t="str">
        <f t="shared" si="330"/>
        <v/>
      </c>
      <c r="T859" s="38" t="str">
        <f t="shared" si="331"/>
        <v/>
      </c>
      <c r="U859" s="39" t="str">
        <f t="shared" si="332"/>
        <v/>
      </c>
      <c r="V859" s="40" t="str">
        <f t="shared" si="333"/>
        <v/>
      </c>
      <c r="W859" s="39" t="str">
        <f t="shared" si="334"/>
        <v/>
      </c>
      <c r="X859" s="34" t="str">
        <f t="shared" si="335"/>
        <v/>
      </c>
      <c r="Y859" s="41" t="str">
        <f t="shared" si="341"/>
        <v/>
      </c>
      <c r="Z859" s="98" t="str">
        <f t="shared" si="336"/>
        <v/>
      </c>
      <c r="AA859" s="81" t="str">
        <f t="shared" si="342"/>
        <v/>
      </c>
      <c r="AC859" s="139"/>
      <c r="AD859" s="110" t="str">
        <f t="shared" si="343"/>
        <v/>
      </c>
      <c r="AE859" s="111" t="str">
        <f t="shared" si="344"/>
        <v/>
      </c>
      <c r="AF859" s="111" t="str">
        <f t="shared" si="337"/>
        <v/>
      </c>
      <c r="AG859" s="111" t="str">
        <f t="shared" si="345"/>
        <v/>
      </c>
      <c r="AH859" s="111" t="str">
        <f t="shared" si="346"/>
        <v/>
      </c>
      <c r="AI859" s="112" t="str">
        <f t="shared" si="347"/>
        <v/>
      </c>
      <c r="AJ859" t="str">
        <f t="shared" si="348"/>
        <v/>
      </c>
      <c r="AK859" t="str">
        <f t="shared" si="349"/>
        <v/>
      </c>
    </row>
    <row r="860" spans="1:37" ht="15" customHeight="1" x14ac:dyDescent="0.25">
      <c r="A860" s="114"/>
      <c r="B860" s="116"/>
      <c r="C860" s="116"/>
      <c r="D860" s="42" t="str">
        <f t="shared" si="325"/>
        <v/>
      </c>
      <c r="E860" s="43"/>
      <c r="F860" s="83"/>
      <c r="G860" s="118"/>
      <c r="H860" s="34" t="str">
        <f t="shared" si="326"/>
        <v/>
      </c>
      <c r="I860" s="88" t="str">
        <f t="shared" si="327"/>
        <v/>
      </c>
      <c r="J860" s="44" t="str">
        <f t="shared" si="328"/>
        <v/>
      </c>
      <c r="K860" s="118"/>
      <c r="L860" s="34" t="str">
        <f t="shared" si="329"/>
        <v/>
      </c>
      <c r="M860" s="118"/>
      <c r="N860" s="121"/>
      <c r="O860" s="122" t="str">
        <f t="shared" si="338"/>
        <v/>
      </c>
      <c r="P860" s="35" t="str">
        <f t="shared" si="339"/>
        <v/>
      </c>
      <c r="Q860" s="124"/>
      <c r="R860" s="36" t="str">
        <f t="shared" si="340"/>
        <v/>
      </c>
      <c r="S860" s="37" t="str">
        <f t="shared" si="330"/>
        <v/>
      </c>
      <c r="T860" s="38" t="str">
        <f t="shared" si="331"/>
        <v/>
      </c>
      <c r="U860" s="39" t="str">
        <f t="shared" si="332"/>
        <v/>
      </c>
      <c r="V860" s="40" t="str">
        <f t="shared" si="333"/>
        <v/>
      </c>
      <c r="W860" s="39" t="str">
        <f t="shared" si="334"/>
        <v/>
      </c>
      <c r="X860" s="34" t="str">
        <f t="shared" si="335"/>
        <v/>
      </c>
      <c r="Y860" s="41" t="str">
        <f t="shared" si="341"/>
        <v/>
      </c>
      <c r="Z860" s="98" t="str">
        <f t="shared" si="336"/>
        <v/>
      </c>
      <c r="AA860" s="81" t="str">
        <f t="shared" si="342"/>
        <v/>
      </c>
      <c r="AC860" s="139"/>
      <c r="AD860" s="110" t="str">
        <f t="shared" si="343"/>
        <v/>
      </c>
      <c r="AE860" s="111" t="str">
        <f t="shared" si="344"/>
        <v/>
      </c>
      <c r="AF860" s="111" t="str">
        <f t="shared" si="337"/>
        <v/>
      </c>
      <c r="AG860" s="111" t="str">
        <f t="shared" si="345"/>
        <v/>
      </c>
      <c r="AH860" s="111" t="str">
        <f t="shared" si="346"/>
        <v/>
      </c>
      <c r="AI860" s="112" t="str">
        <f t="shared" si="347"/>
        <v/>
      </c>
      <c r="AJ860" t="str">
        <f t="shared" si="348"/>
        <v/>
      </c>
      <c r="AK860" t="str">
        <f t="shared" si="349"/>
        <v/>
      </c>
    </row>
    <row r="861" spans="1:37" ht="15" customHeight="1" x14ac:dyDescent="0.25">
      <c r="A861" s="114"/>
      <c r="B861" s="116"/>
      <c r="C861" s="116"/>
      <c r="D861" s="42" t="str">
        <f t="shared" si="325"/>
        <v/>
      </c>
      <c r="E861" s="43"/>
      <c r="F861" s="83"/>
      <c r="G861" s="118"/>
      <c r="H861" s="34" t="str">
        <f t="shared" si="326"/>
        <v/>
      </c>
      <c r="I861" s="88" t="str">
        <f t="shared" si="327"/>
        <v/>
      </c>
      <c r="J861" s="44" t="str">
        <f t="shared" si="328"/>
        <v/>
      </c>
      <c r="K861" s="118"/>
      <c r="L861" s="34" t="str">
        <f t="shared" si="329"/>
        <v/>
      </c>
      <c r="M861" s="118"/>
      <c r="N861" s="121"/>
      <c r="O861" s="122" t="str">
        <f t="shared" si="338"/>
        <v/>
      </c>
      <c r="P861" s="35" t="str">
        <f t="shared" si="339"/>
        <v/>
      </c>
      <c r="Q861" s="124"/>
      <c r="R861" s="36" t="str">
        <f t="shared" si="340"/>
        <v/>
      </c>
      <c r="S861" s="37" t="str">
        <f t="shared" si="330"/>
        <v/>
      </c>
      <c r="T861" s="38" t="str">
        <f t="shared" si="331"/>
        <v/>
      </c>
      <c r="U861" s="39" t="str">
        <f t="shared" si="332"/>
        <v/>
      </c>
      <c r="V861" s="40" t="str">
        <f t="shared" si="333"/>
        <v/>
      </c>
      <c r="W861" s="39" t="str">
        <f t="shared" si="334"/>
        <v/>
      </c>
      <c r="X861" s="34" t="str">
        <f t="shared" si="335"/>
        <v/>
      </c>
      <c r="Y861" s="41" t="str">
        <f t="shared" si="341"/>
        <v/>
      </c>
      <c r="Z861" s="98" t="str">
        <f t="shared" si="336"/>
        <v/>
      </c>
      <c r="AA861" s="81" t="str">
        <f t="shared" si="342"/>
        <v/>
      </c>
      <c r="AC861" s="139"/>
      <c r="AD861" s="110" t="str">
        <f t="shared" si="343"/>
        <v/>
      </c>
      <c r="AE861" s="111" t="str">
        <f t="shared" si="344"/>
        <v/>
      </c>
      <c r="AF861" s="111" t="str">
        <f t="shared" si="337"/>
        <v/>
      </c>
      <c r="AG861" s="111" t="str">
        <f t="shared" si="345"/>
        <v/>
      </c>
      <c r="AH861" s="111" t="str">
        <f t="shared" si="346"/>
        <v/>
      </c>
      <c r="AI861" s="112" t="str">
        <f t="shared" si="347"/>
        <v/>
      </c>
      <c r="AJ861" t="str">
        <f t="shared" si="348"/>
        <v/>
      </c>
      <c r="AK861" t="str">
        <f t="shared" si="349"/>
        <v/>
      </c>
    </row>
    <row r="862" spans="1:37" ht="15" customHeight="1" x14ac:dyDescent="0.25">
      <c r="A862" s="114"/>
      <c r="B862" s="116"/>
      <c r="C862" s="116"/>
      <c r="D862" s="42" t="str">
        <f t="shared" si="325"/>
        <v/>
      </c>
      <c r="E862" s="43"/>
      <c r="F862" s="83"/>
      <c r="G862" s="118"/>
      <c r="H862" s="34" t="str">
        <f t="shared" si="326"/>
        <v/>
      </c>
      <c r="I862" s="88" t="str">
        <f t="shared" si="327"/>
        <v/>
      </c>
      <c r="J862" s="44" t="str">
        <f t="shared" si="328"/>
        <v/>
      </c>
      <c r="K862" s="118"/>
      <c r="L862" s="34" t="str">
        <f t="shared" si="329"/>
        <v/>
      </c>
      <c r="M862" s="118"/>
      <c r="N862" s="121"/>
      <c r="O862" s="122" t="str">
        <f t="shared" si="338"/>
        <v/>
      </c>
      <c r="P862" s="35" t="str">
        <f t="shared" si="339"/>
        <v/>
      </c>
      <c r="Q862" s="124"/>
      <c r="R862" s="36" t="str">
        <f t="shared" si="340"/>
        <v/>
      </c>
      <c r="S862" s="37" t="str">
        <f t="shared" si="330"/>
        <v/>
      </c>
      <c r="T862" s="38" t="str">
        <f t="shared" si="331"/>
        <v/>
      </c>
      <c r="U862" s="39" t="str">
        <f t="shared" si="332"/>
        <v/>
      </c>
      <c r="V862" s="40" t="str">
        <f t="shared" si="333"/>
        <v/>
      </c>
      <c r="W862" s="39" t="str">
        <f t="shared" si="334"/>
        <v/>
      </c>
      <c r="X862" s="34" t="str">
        <f t="shared" si="335"/>
        <v/>
      </c>
      <c r="Y862" s="41" t="str">
        <f t="shared" si="341"/>
        <v/>
      </c>
      <c r="Z862" s="98" t="str">
        <f t="shared" si="336"/>
        <v/>
      </c>
      <c r="AA862" s="81" t="str">
        <f t="shared" si="342"/>
        <v/>
      </c>
      <c r="AC862" s="139"/>
      <c r="AD862" s="110" t="str">
        <f t="shared" si="343"/>
        <v/>
      </c>
      <c r="AE862" s="111" t="str">
        <f t="shared" si="344"/>
        <v/>
      </c>
      <c r="AF862" s="111" t="str">
        <f t="shared" si="337"/>
        <v/>
      </c>
      <c r="AG862" s="111" t="str">
        <f t="shared" si="345"/>
        <v/>
      </c>
      <c r="AH862" s="111" t="str">
        <f t="shared" si="346"/>
        <v/>
      </c>
      <c r="AI862" s="112" t="str">
        <f t="shared" si="347"/>
        <v/>
      </c>
      <c r="AJ862" t="str">
        <f t="shared" si="348"/>
        <v/>
      </c>
      <c r="AK862" t="str">
        <f t="shared" si="349"/>
        <v/>
      </c>
    </row>
    <row r="863" spans="1:37" ht="15" customHeight="1" x14ac:dyDescent="0.25">
      <c r="A863" s="114"/>
      <c r="B863" s="116"/>
      <c r="C863" s="116"/>
      <c r="D863" s="42" t="str">
        <f t="shared" si="325"/>
        <v/>
      </c>
      <c r="E863" s="43"/>
      <c r="F863" s="83"/>
      <c r="G863" s="118"/>
      <c r="H863" s="34" t="str">
        <f t="shared" si="326"/>
        <v/>
      </c>
      <c r="I863" s="88" t="str">
        <f t="shared" si="327"/>
        <v/>
      </c>
      <c r="J863" s="44" t="str">
        <f t="shared" si="328"/>
        <v/>
      </c>
      <c r="K863" s="118"/>
      <c r="L863" s="34" t="str">
        <f t="shared" si="329"/>
        <v/>
      </c>
      <c r="M863" s="118"/>
      <c r="N863" s="121"/>
      <c r="O863" s="122" t="str">
        <f t="shared" si="338"/>
        <v/>
      </c>
      <c r="P863" s="35" t="str">
        <f t="shared" si="339"/>
        <v/>
      </c>
      <c r="Q863" s="124"/>
      <c r="R863" s="36" t="str">
        <f t="shared" si="340"/>
        <v/>
      </c>
      <c r="S863" s="37" t="str">
        <f t="shared" si="330"/>
        <v/>
      </c>
      <c r="T863" s="38" t="str">
        <f t="shared" si="331"/>
        <v/>
      </c>
      <c r="U863" s="39" t="str">
        <f t="shared" si="332"/>
        <v/>
      </c>
      <c r="V863" s="40" t="str">
        <f t="shared" si="333"/>
        <v/>
      </c>
      <c r="W863" s="39" t="str">
        <f t="shared" si="334"/>
        <v/>
      </c>
      <c r="X863" s="34" t="str">
        <f t="shared" si="335"/>
        <v/>
      </c>
      <c r="Y863" s="41" t="str">
        <f t="shared" si="341"/>
        <v/>
      </c>
      <c r="Z863" s="98" t="str">
        <f t="shared" si="336"/>
        <v/>
      </c>
      <c r="AA863" s="81" t="str">
        <f t="shared" si="342"/>
        <v/>
      </c>
      <c r="AC863" s="139"/>
      <c r="AD863" s="110" t="str">
        <f t="shared" si="343"/>
        <v/>
      </c>
      <c r="AE863" s="111" t="str">
        <f t="shared" si="344"/>
        <v/>
      </c>
      <c r="AF863" s="111" t="str">
        <f t="shared" si="337"/>
        <v/>
      </c>
      <c r="AG863" s="111" t="str">
        <f t="shared" si="345"/>
        <v/>
      </c>
      <c r="AH863" s="111" t="str">
        <f t="shared" si="346"/>
        <v/>
      </c>
      <c r="AI863" s="112" t="str">
        <f t="shared" si="347"/>
        <v/>
      </c>
      <c r="AJ863" t="str">
        <f t="shared" si="348"/>
        <v/>
      </c>
      <c r="AK863" t="str">
        <f t="shared" si="349"/>
        <v/>
      </c>
    </row>
    <row r="864" spans="1:37" ht="15" customHeight="1" x14ac:dyDescent="0.25">
      <c r="A864" s="114"/>
      <c r="B864" s="116"/>
      <c r="C864" s="116"/>
      <c r="D864" s="42" t="str">
        <f t="shared" si="325"/>
        <v/>
      </c>
      <c r="E864" s="43"/>
      <c r="F864" s="83"/>
      <c r="G864" s="118"/>
      <c r="H864" s="34" t="str">
        <f t="shared" si="326"/>
        <v/>
      </c>
      <c r="I864" s="88" t="str">
        <f t="shared" si="327"/>
        <v/>
      </c>
      <c r="J864" s="44" t="str">
        <f t="shared" si="328"/>
        <v/>
      </c>
      <c r="K864" s="118"/>
      <c r="L864" s="34" t="str">
        <f t="shared" si="329"/>
        <v/>
      </c>
      <c r="M864" s="118"/>
      <c r="N864" s="121"/>
      <c r="O864" s="122" t="str">
        <f t="shared" si="338"/>
        <v/>
      </c>
      <c r="P864" s="35" t="str">
        <f t="shared" si="339"/>
        <v/>
      </c>
      <c r="Q864" s="124"/>
      <c r="R864" s="36" t="str">
        <f t="shared" si="340"/>
        <v/>
      </c>
      <c r="S864" s="37" t="str">
        <f t="shared" si="330"/>
        <v/>
      </c>
      <c r="T864" s="38" t="str">
        <f t="shared" si="331"/>
        <v/>
      </c>
      <c r="U864" s="39" t="str">
        <f t="shared" si="332"/>
        <v/>
      </c>
      <c r="V864" s="40" t="str">
        <f t="shared" si="333"/>
        <v/>
      </c>
      <c r="W864" s="39" t="str">
        <f t="shared" si="334"/>
        <v/>
      </c>
      <c r="X864" s="34" t="str">
        <f t="shared" si="335"/>
        <v/>
      </c>
      <c r="Y864" s="41" t="str">
        <f t="shared" si="341"/>
        <v/>
      </c>
      <c r="Z864" s="98" t="str">
        <f t="shared" si="336"/>
        <v/>
      </c>
      <c r="AA864" s="81" t="str">
        <f t="shared" si="342"/>
        <v/>
      </c>
      <c r="AC864" s="139"/>
      <c r="AD864" s="110" t="str">
        <f t="shared" si="343"/>
        <v/>
      </c>
      <c r="AE864" s="111" t="str">
        <f t="shared" si="344"/>
        <v/>
      </c>
      <c r="AF864" s="111" t="str">
        <f t="shared" si="337"/>
        <v/>
      </c>
      <c r="AG864" s="111" t="str">
        <f t="shared" si="345"/>
        <v/>
      </c>
      <c r="AH864" s="111" t="str">
        <f t="shared" si="346"/>
        <v/>
      </c>
      <c r="AI864" s="112" t="str">
        <f t="shared" si="347"/>
        <v/>
      </c>
      <c r="AJ864" t="str">
        <f t="shared" si="348"/>
        <v/>
      </c>
      <c r="AK864" t="str">
        <f t="shared" si="349"/>
        <v/>
      </c>
    </row>
    <row r="865" spans="1:37" ht="15" customHeight="1" x14ac:dyDescent="0.25">
      <c r="A865" s="114"/>
      <c r="B865" s="116"/>
      <c r="C865" s="116"/>
      <c r="D865" s="42" t="str">
        <f t="shared" si="325"/>
        <v/>
      </c>
      <c r="E865" s="43"/>
      <c r="F865" s="83"/>
      <c r="G865" s="118"/>
      <c r="H865" s="34" t="str">
        <f t="shared" si="326"/>
        <v/>
      </c>
      <c r="I865" s="88" t="str">
        <f t="shared" si="327"/>
        <v/>
      </c>
      <c r="J865" s="44" t="str">
        <f t="shared" si="328"/>
        <v/>
      </c>
      <c r="K865" s="118"/>
      <c r="L865" s="34" t="str">
        <f t="shared" si="329"/>
        <v/>
      </c>
      <c r="M865" s="118"/>
      <c r="N865" s="121"/>
      <c r="O865" s="122" t="str">
        <f t="shared" si="338"/>
        <v/>
      </c>
      <c r="P865" s="35" t="str">
        <f t="shared" si="339"/>
        <v/>
      </c>
      <c r="Q865" s="124"/>
      <c r="R865" s="36" t="str">
        <f t="shared" si="340"/>
        <v/>
      </c>
      <c r="S865" s="37" t="str">
        <f t="shared" si="330"/>
        <v/>
      </c>
      <c r="T865" s="38" t="str">
        <f t="shared" si="331"/>
        <v/>
      </c>
      <c r="U865" s="39" t="str">
        <f t="shared" si="332"/>
        <v/>
      </c>
      <c r="V865" s="40" t="str">
        <f t="shared" si="333"/>
        <v/>
      </c>
      <c r="W865" s="39" t="str">
        <f t="shared" si="334"/>
        <v/>
      </c>
      <c r="X865" s="34" t="str">
        <f t="shared" si="335"/>
        <v/>
      </c>
      <c r="Y865" s="41" t="str">
        <f t="shared" si="341"/>
        <v/>
      </c>
      <c r="Z865" s="98" t="str">
        <f t="shared" si="336"/>
        <v/>
      </c>
      <c r="AA865" s="81" t="str">
        <f t="shared" si="342"/>
        <v/>
      </c>
      <c r="AC865" s="139"/>
      <c r="AD865" s="110" t="str">
        <f t="shared" si="343"/>
        <v/>
      </c>
      <c r="AE865" s="111" t="str">
        <f t="shared" si="344"/>
        <v/>
      </c>
      <c r="AF865" s="111" t="str">
        <f t="shared" si="337"/>
        <v/>
      </c>
      <c r="AG865" s="111" t="str">
        <f t="shared" si="345"/>
        <v/>
      </c>
      <c r="AH865" s="111" t="str">
        <f t="shared" si="346"/>
        <v/>
      </c>
      <c r="AI865" s="112" t="str">
        <f t="shared" si="347"/>
        <v/>
      </c>
      <c r="AJ865" t="str">
        <f t="shared" si="348"/>
        <v/>
      </c>
      <c r="AK865" t="str">
        <f t="shared" si="349"/>
        <v/>
      </c>
    </row>
    <row r="866" spans="1:37" ht="15" customHeight="1" x14ac:dyDescent="0.25">
      <c r="A866" s="114"/>
      <c r="B866" s="116"/>
      <c r="C866" s="116"/>
      <c r="D866" s="42" t="str">
        <f t="shared" si="325"/>
        <v/>
      </c>
      <c r="E866" s="43"/>
      <c r="F866" s="83"/>
      <c r="G866" s="118"/>
      <c r="H866" s="34" t="str">
        <f t="shared" si="326"/>
        <v/>
      </c>
      <c r="I866" s="88" t="str">
        <f t="shared" si="327"/>
        <v/>
      </c>
      <c r="J866" s="44" t="str">
        <f t="shared" si="328"/>
        <v/>
      </c>
      <c r="K866" s="118"/>
      <c r="L866" s="34" t="str">
        <f t="shared" si="329"/>
        <v/>
      </c>
      <c r="M866" s="118"/>
      <c r="N866" s="121"/>
      <c r="O866" s="122" t="str">
        <f t="shared" si="338"/>
        <v/>
      </c>
      <c r="P866" s="35" t="str">
        <f t="shared" si="339"/>
        <v/>
      </c>
      <c r="Q866" s="124"/>
      <c r="R866" s="36" t="str">
        <f t="shared" si="340"/>
        <v/>
      </c>
      <c r="S866" s="37" t="str">
        <f t="shared" si="330"/>
        <v/>
      </c>
      <c r="T866" s="38" t="str">
        <f t="shared" si="331"/>
        <v/>
      </c>
      <c r="U866" s="39" t="str">
        <f t="shared" si="332"/>
        <v/>
      </c>
      <c r="V866" s="40" t="str">
        <f t="shared" si="333"/>
        <v/>
      </c>
      <c r="W866" s="39" t="str">
        <f t="shared" si="334"/>
        <v/>
      </c>
      <c r="X866" s="34" t="str">
        <f t="shared" si="335"/>
        <v/>
      </c>
      <c r="Y866" s="41" t="str">
        <f t="shared" si="341"/>
        <v/>
      </c>
      <c r="Z866" s="98" t="str">
        <f t="shared" si="336"/>
        <v/>
      </c>
      <c r="AA866" s="81" t="str">
        <f t="shared" si="342"/>
        <v/>
      </c>
      <c r="AC866" s="139"/>
      <c r="AD866" s="110" t="str">
        <f t="shared" si="343"/>
        <v/>
      </c>
      <c r="AE866" s="111" t="str">
        <f t="shared" si="344"/>
        <v/>
      </c>
      <c r="AF866" s="111" t="str">
        <f t="shared" si="337"/>
        <v/>
      </c>
      <c r="AG866" s="111" t="str">
        <f t="shared" si="345"/>
        <v/>
      </c>
      <c r="AH866" s="111" t="str">
        <f t="shared" si="346"/>
        <v/>
      </c>
      <c r="AI866" s="112" t="str">
        <f t="shared" si="347"/>
        <v/>
      </c>
      <c r="AJ866" t="str">
        <f t="shared" si="348"/>
        <v/>
      </c>
      <c r="AK866" t="str">
        <f t="shared" si="349"/>
        <v/>
      </c>
    </row>
    <row r="867" spans="1:37" ht="15" customHeight="1" x14ac:dyDescent="0.25">
      <c r="A867" s="114"/>
      <c r="B867" s="116"/>
      <c r="C867" s="116"/>
      <c r="D867" s="42" t="str">
        <f t="shared" si="325"/>
        <v/>
      </c>
      <c r="E867" s="43"/>
      <c r="F867" s="83"/>
      <c r="G867" s="118"/>
      <c r="H867" s="34" t="str">
        <f t="shared" si="326"/>
        <v/>
      </c>
      <c r="I867" s="88" t="str">
        <f t="shared" si="327"/>
        <v/>
      </c>
      <c r="J867" s="44" t="str">
        <f t="shared" si="328"/>
        <v/>
      </c>
      <c r="K867" s="118"/>
      <c r="L867" s="34" t="str">
        <f t="shared" si="329"/>
        <v/>
      </c>
      <c r="M867" s="118"/>
      <c r="N867" s="121"/>
      <c r="O867" s="122" t="str">
        <f t="shared" si="338"/>
        <v/>
      </c>
      <c r="P867" s="35" t="str">
        <f t="shared" si="339"/>
        <v/>
      </c>
      <c r="Q867" s="124"/>
      <c r="R867" s="36" t="str">
        <f t="shared" si="340"/>
        <v/>
      </c>
      <c r="S867" s="37" t="str">
        <f t="shared" si="330"/>
        <v/>
      </c>
      <c r="T867" s="38" t="str">
        <f t="shared" si="331"/>
        <v/>
      </c>
      <c r="U867" s="39" t="str">
        <f t="shared" si="332"/>
        <v/>
      </c>
      <c r="V867" s="40" t="str">
        <f t="shared" si="333"/>
        <v/>
      </c>
      <c r="W867" s="39" t="str">
        <f t="shared" si="334"/>
        <v/>
      </c>
      <c r="X867" s="34" t="str">
        <f t="shared" si="335"/>
        <v/>
      </c>
      <c r="Y867" s="41" t="str">
        <f t="shared" si="341"/>
        <v/>
      </c>
      <c r="Z867" s="98" t="str">
        <f t="shared" si="336"/>
        <v/>
      </c>
      <c r="AA867" s="81" t="str">
        <f t="shared" si="342"/>
        <v/>
      </c>
      <c r="AC867" s="139"/>
      <c r="AD867" s="110" t="str">
        <f t="shared" si="343"/>
        <v/>
      </c>
      <c r="AE867" s="111" t="str">
        <f t="shared" si="344"/>
        <v/>
      </c>
      <c r="AF867" s="111" t="str">
        <f t="shared" si="337"/>
        <v/>
      </c>
      <c r="AG867" s="111" t="str">
        <f t="shared" si="345"/>
        <v/>
      </c>
      <c r="AH867" s="111" t="str">
        <f t="shared" si="346"/>
        <v/>
      </c>
      <c r="AI867" s="112" t="str">
        <f t="shared" si="347"/>
        <v/>
      </c>
      <c r="AJ867" t="str">
        <f t="shared" si="348"/>
        <v/>
      </c>
      <c r="AK867" t="str">
        <f t="shared" si="349"/>
        <v/>
      </c>
    </row>
    <row r="868" spans="1:37" ht="15" customHeight="1" x14ac:dyDescent="0.25">
      <c r="A868" s="114"/>
      <c r="B868" s="116"/>
      <c r="C868" s="116"/>
      <c r="D868" s="42" t="str">
        <f t="shared" si="325"/>
        <v/>
      </c>
      <c r="E868" s="43"/>
      <c r="F868" s="83"/>
      <c r="G868" s="118"/>
      <c r="H868" s="34" t="str">
        <f t="shared" si="326"/>
        <v/>
      </c>
      <c r="I868" s="88" t="str">
        <f t="shared" si="327"/>
        <v/>
      </c>
      <c r="J868" s="44" t="str">
        <f t="shared" si="328"/>
        <v/>
      </c>
      <c r="K868" s="118"/>
      <c r="L868" s="34" t="str">
        <f t="shared" si="329"/>
        <v/>
      </c>
      <c r="M868" s="118"/>
      <c r="N868" s="121"/>
      <c r="O868" s="122" t="str">
        <f t="shared" si="338"/>
        <v/>
      </c>
      <c r="P868" s="35" t="str">
        <f t="shared" si="339"/>
        <v/>
      </c>
      <c r="Q868" s="124"/>
      <c r="R868" s="36" t="str">
        <f t="shared" si="340"/>
        <v/>
      </c>
      <c r="S868" s="37" t="str">
        <f t="shared" si="330"/>
        <v/>
      </c>
      <c r="T868" s="38" t="str">
        <f t="shared" si="331"/>
        <v/>
      </c>
      <c r="U868" s="39" t="str">
        <f t="shared" si="332"/>
        <v/>
      </c>
      <c r="V868" s="40" t="str">
        <f t="shared" si="333"/>
        <v/>
      </c>
      <c r="W868" s="39" t="str">
        <f t="shared" si="334"/>
        <v/>
      </c>
      <c r="X868" s="34" t="str">
        <f t="shared" si="335"/>
        <v/>
      </c>
      <c r="Y868" s="41" t="str">
        <f t="shared" si="341"/>
        <v/>
      </c>
      <c r="Z868" s="98" t="str">
        <f t="shared" si="336"/>
        <v/>
      </c>
      <c r="AA868" s="81" t="str">
        <f t="shared" si="342"/>
        <v/>
      </c>
      <c r="AC868" s="139"/>
      <c r="AD868" s="110" t="str">
        <f t="shared" si="343"/>
        <v/>
      </c>
      <c r="AE868" s="111" t="str">
        <f t="shared" si="344"/>
        <v/>
      </c>
      <c r="AF868" s="111" t="str">
        <f t="shared" si="337"/>
        <v/>
      </c>
      <c r="AG868" s="111" t="str">
        <f t="shared" si="345"/>
        <v/>
      </c>
      <c r="AH868" s="111" t="str">
        <f t="shared" si="346"/>
        <v/>
      </c>
      <c r="AI868" s="112" t="str">
        <f t="shared" si="347"/>
        <v/>
      </c>
      <c r="AJ868" t="str">
        <f t="shared" si="348"/>
        <v/>
      </c>
      <c r="AK868" t="str">
        <f t="shared" si="349"/>
        <v/>
      </c>
    </row>
    <row r="869" spans="1:37" ht="15" customHeight="1" x14ac:dyDescent="0.25">
      <c r="A869" s="114"/>
      <c r="B869" s="116"/>
      <c r="C869" s="116"/>
      <c r="D869" s="42" t="str">
        <f t="shared" si="325"/>
        <v/>
      </c>
      <c r="E869" s="43"/>
      <c r="F869" s="83"/>
      <c r="G869" s="118"/>
      <c r="H869" s="34" t="str">
        <f t="shared" si="326"/>
        <v/>
      </c>
      <c r="I869" s="88" t="str">
        <f t="shared" si="327"/>
        <v/>
      </c>
      <c r="J869" s="44" t="str">
        <f t="shared" si="328"/>
        <v/>
      </c>
      <c r="K869" s="118"/>
      <c r="L869" s="34" t="str">
        <f t="shared" si="329"/>
        <v/>
      </c>
      <c r="M869" s="118"/>
      <c r="N869" s="121"/>
      <c r="O869" s="122" t="str">
        <f t="shared" si="338"/>
        <v/>
      </c>
      <c r="P869" s="35" t="str">
        <f t="shared" si="339"/>
        <v/>
      </c>
      <c r="Q869" s="124"/>
      <c r="R869" s="36" t="str">
        <f t="shared" si="340"/>
        <v/>
      </c>
      <c r="S869" s="37" t="str">
        <f t="shared" si="330"/>
        <v/>
      </c>
      <c r="T869" s="38" t="str">
        <f t="shared" si="331"/>
        <v/>
      </c>
      <c r="U869" s="39" t="str">
        <f t="shared" si="332"/>
        <v/>
      </c>
      <c r="V869" s="40" t="str">
        <f t="shared" si="333"/>
        <v/>
      </c>
      <c r="W869" s="39" t="str">
        <f t="shared" si="334"/>
        <v/>
      </c>
      <c r="X869" s="34" t="str">
        <f t="shared" si="335"/>
        <v/>
      </c>
      <c r="Y869" s="41" t="str">
        <f t="shared" si="341"/>
        <v/>
      </c>
      <c r="Z869" s="98" t="str">
        <f t="shared" si="336"/>
        <v/>
      </c>
      <c r="AA869" s="81" t="str">
        <f t="shared" si="342"/>
        <v/>
      </c>
      <c r="AC869" s="139"/>
      <c r="AD869" s="110" t="str">
        <f t="shared" si="343"/>
        <v/>
      </c>
      <c r="AE869" s="111" t="str">
        <f t="shared" si="344"/>
        <v/>
      </c>
      <c r="AF869" s="111" t="str">
        <f t="shared" si="337"/>
        <v/>
      </c>
      <c r="AG869" s="111" t="str">
        <f t="shared" si="345"/>
        <v/>
      </c>
      <c r="AH869" s="111" t="str">
        <f t="shared" si="346"/>
        <v/>
      </c>
      <c r="AI869" s="112" t="str">
        <f t="shared" si="347"/>
        <v/>
      </c>
      <c r="AJ869" t="str">
        <f t="shared" si="348"/>
        <v/>
      </c>
      <c r="AK869" t="str">
        <f t="shared" si="349"/>
        <v/>
      </c>
    </row>
    <row r="870" spans="1:37" ht="15" customHeight="1" x14ac:dyDescent="0.25">
      <c r="A870" s="114"/>
      <c r="B870" s="116"/>
      <c r="C870" s="116"/>
      <c r="D870" s="42" t="str">
        <f t="shared" si="325"/>
        <v/>
      </c>
      <c r="E870" s="43"/>
      <c r="F870" s="83"/>
      <c r="G870" s="118"/>
      <c r="H870" s="34" t="str">
        <f t="shared" si="326"/>
        <v/>
      </c>
      <c r="I870" s="88" t="str">
        <f t="shared" si="327"/>
        <v/>
      </c>
      <c r="J870" s="44" t="str">
        <f t="shared" si="328"/>
        <v/>
      </c>
      <c r="K870" s="118"/>
      <c r="L870" s="34" t="str">
        <f t="shared" si="329"/>
        <v/>
      </c>
      <c r="M870" s="118"/>
      <c r="N870" s="121"/>
      <c r="O870" s="122" t="str">
        <f t="shared" si="338"/>
        <v/>
      </c>
      <c r="P870" s="35" t="str">
        <f t="shared" si="339"/>
        <v/>
      </c>
      <c r="Q870" s="124"/>
      <c r="R870" s="36" t="str">
        <f t="shared" si="340"/>
        <v/>
      </c>
      <c r="S870" s="37" t="str">
        <f t="shared" si="330"/>
        <v/>
      </c>
      <c r="T870" s="38" t="str">
        <f t="shared" si="331"/>
        <v/>
      </c>
      <c r="U870" s="39" t="str">
        <f t="shared" si="332"/>
        <v/>
      </c>
      <c r="V870" s="40" t="str">
        <f t="shared" si="333"/>
        <v/>
      </c>
      <c r="W870" s="39" t="str">
        <f t="shared" si="334"/>
        <v/>
      </c>
      <c r="X870" s="34" t="str">
        <f t="shared" si="335"/>
        <v/>
      </c>
      <c r="Y870" s="41" t="str">
        <f t="shared" si="341"/>
        <v/>
      </c>
      <c r="Z870" s="98" t="str">
        <f t="shared" si="336"/>
        <v/>
      </c>
      <c r="AA870" s="81" t="str">
        <f t="shared" si="342"/>
        <v/>
      </c>
      <c r="AC870" s="139"/>
      <c r="AD870" s="110" t="str">
        <f t="shared" si="343"/>
        <v/>
      </c>
      <c r="AE870" s="111" t="str">
        <f t="shared" si="344"/>
        <v/>
      </c>
      <c r="AF870" s="111" t="str">
        <f t="shared" si="337"/>
        <v/>
      </c>
      <c r="AG870" s="111" t="str">
        <f t="shared" si="345"/>
        <v/>
      </c>
      <c r="AH870" s="111" t="str">
        <f t="shared" si="346"/>
        <v/>
      </c>
      <c r="AI870" s="112" t="str">
        <f t="shared" si="347"/>
        <v/>
      </c>
      <c r="AJ870" t="str">
        <f t="shared" si="348"/>
        <v/>
      </c>
      <c r="AK870" t="str">
        <f t="shared" si="349"/>
        <v/>
      </c>
    </row>
    <row r="871" spans="1:37" ht="15" customHeight="1" x14ac:dyDescent="0.25">
      <c r="A871" s="114"/>
      <c r="B871" s="116"/>
      <c r="C871" s="116"/>
      <c r="D871" s="42" t="str">
        <f t="shared" si="325"/>
        <v/>
      </c>
      <c r="E871" s="43"/>
      <c r="F871" s="83"/>
      <c r="G871" s="118"/>
      <c r="H871" s="34" t="str">
        <f t="shared" si="326"/>
        <v/>
      </c>
      <c r="I871" s="88" t="str">
        <f t="shared" si="327"/>
        <v/>
      </c>
      <c r="J871" s="44" t="str">
        <f t="shared" si="328"/>
        <v/>
      </c>
      <c r="K871" s="118"/>
      <c r="L871" s="34" t="str">
        <f t="shared" si="329"/>
        <v/>
      </c>
      <c r="M871" s="118"/>
      <c r="N871" s="121"/>
      <c r="O871" s="122" t="str">
        <f t="shared" si="338"/>
        <v/>
      </c>
      <c r="P871" s="35" t="str">
        <f t="shared" si="339"/>
        <v/>
      </c>
      <c r="Q871" s="124"/>
      <c r="R871" s="36" t="str">
        <f t="shared" si="340"/>
        <v/>
      </c>
      <c r="S871" s="37" t="str">
        <f t="shared" si="330"/>
        <v/>
      </c>
      <c r="T871" s="38" t="str">
        <f t="shared" si="331"/>
        <v/>
      </c>
      <c r="U871" s="39" t="str">
        <f t="shared" si="332"/>
        <v/>
      </c>
      <c r="V871" s="40" t="str">
        <f t="shared" si="333"/>
        <v/>
      </c>
      <c r="W871" s="39" t="str">
        <f t="shared" si="334"/>
        <v/>
      </c>
      <c r="X871" s="34" t="str">
        <f t="shared" si="335"/>
        <v/>
      </c>
      <c r="Y871" s="41" t="str">
        <f t="shared" si="341"/>
        <v/>
      </c>
      <c r="Z871" s="98" t="str">
        <f t="shared" si="336"/>
        <v/>
      </c>
      <c r="AA871" s="81" t="str">
        <f t="shared" si="342"/>
        <v/>
      </c>
      <c r="AC871" s="139"/>
      <c r="AD871" s="110" t="str">
        <f t="shared" si="343"/>
        <v/>
      </c>
      <c r="AE871" s="111" t="str">
        <f t="shared" si="344"/>
        <v/>
      </c>
      <c r="AF871" s="111" t="str">
        <f t="shared" si="337"/>
        <v/>
      </c>
      <c r="AG871" s="111" t="str">
        <f t="shared" si="345"/>
        <v/>
      </c>
      <c r="AH871" s="111" t="str">
        <f t="shared" si="346"/>
        <v/>
      </c>
      <c r="AI871" s="112" t="str">
        <f t="shared" si="347"/>
        <v/>
      </c>
      <c r="AJ871" t="str">
        <f t="shared" si="348"/>
        <v/>
      </c>
      <c r="AK871" t="str">
        <f t="shared" si="349"/>
        <v/>
      </c>
    </row>
    <row r="872" spans="1:37" ht="15" customHeight="1" x14ac:dyDescent="0.25">
      <c r="A872" s="114"/>
      <c r="B872" s="116"/>
      <c r="C872" s="116"/>
      <c r="D872" s="42" t="str">
        <f t="shared" si="325"/>
        <v/>
      </c>
      <c r="E872" s="43"/>
      <c r="F872" s="83"/>
      <c r="G872" s="118"/>
      <c r="H872" s="34" t="str">
        <f t="shared" si="326"/>
        <v/>
      </c>
      <c r="I872" s="88" t="str">
        <f t="shared" si="327"/>
        <v/>
      </c>
      <c r="J872" s="44" t="str">
        <f t="shared" si="328"/>
        <v/>
      </c>
      <c r="K872" s="118"/>
      <c r="L872" s="34" t="str">
        <f t="shared" si="329"/>
        <v/>
      </c>
      <c r="M872" s="118"/>
      <c r="N872" s="121"/>
      <c r="O872" s="122" t="str">
        <f t="shared" si="338"/>
        <v/>
      </c>
      <c r="P872" s="35" t="str">
        <f t="shared" si="339"/>
        <v/>
      </c>
      <c r="Q872" s="124"/>
      <c r="R872" s="36" t="str">
        <f t="shared" si="340"/>
        <v/>
      </c>
      <c r="S872" s="37" t="str">
        <f t="shared" si="330"/>
        <v/>
      </c>
      <c r="T872" s="38" t="str">
        <f t="shared" si="331"/>
        <v/>
      </c>
      <c r="U872" s="39" t="str">
        <f t="shared" si="332"/>
        <v/>
      </c>
      <c r="V872" s="40" t="str">
        <f t="shared" si="333"/>
        <v/>
      </c>
      <c r="W872" s="39" t="str">
        <f t="shared" si="334"/>
        <v/>
      </c>
      <c r="X872" s="34" t="str">
        <f t="shared" si="335"/>
        <v/>
      </c>
      <c r="Y872" s="41" t="str">
        <f t="shared" si="341"/>
        <v/>
      </c>
      <c r="Z872" s="98" t="str">
        <f t="shared" si="336"/>
        <v/>
      </c>
      <c r="AA872" s="81" t="str">
        <f t="shared" si="342"/>
        <v/>
      </c>
      <c r="AC872" s="139"/>
      <c r="AD872" s="110" t="str">
        <f t="shared" si="343"/>
        <v/>
      </c>
      <c r="AE872" s="111" t="str">
        <f t="shared" si="344"/>
        <v/>
      </c>
      <c r="AF872" s="111" t="str">
        <f t="shared" si="337"/>
        <v/>
      </c>
      <c r="AG872" s="111" t="str">
        <f t="shared" si="345"/>
        <v/>
      </c>
      <c r="AH872" s="111" t="str">
        <f t="shared" si="346"/>
        <v/>
      </c>
      <c r="AI872" s="112" t="str">
        <f t="shared" si="347"/>
        <v/>
      </c>
      <c r="AJ872" t="str">
        <f t="shared" si="348"/>
        <v/>
      </c>
      <c r="AK872" t="str">
        <f t="shared" si="349"/>
        <v/>
      </c>
    </row>
    <row r="873" spans="1:37" ht="15" customHeight="1" x14ac:dyDescent="0.25">
      <c r="A873" s="114"/>
      <c r="B873" s="116"/>
      <c r="C873" s="116"/>
      <c r="D873" s="42" t="str">
        <f t="shared" si="325"/>
        <v/>
      </c>
      <c r="E873" s="43"/>
      <c r="F873" s="83"/>
      <c r="G873" s="118"/>
      <c r="H873" s="34" t="str">
        <f t="shared" si="326"/>
        <v/>
      </c>
      <c r="I873" s="88" t="str">
        <f t="shared" si="327"/>
        <v/>
      </c>
      <c r="J873" s="44" t="str">
        <f t="shared" si="328"/>
        <v/>
      </c>
      <c r="K873" s="118"/>
      <c r="L873" s="34" t="str">
        <f t="shared" si="329"/>
        <v/>
      </c>
      <c r="M873" s="118"/>
      <c r="N873" s="121"/>
      <c r="O873" s="122" t="str">
        <f t="shared" si="338"/>
        <v/>
      </c>
      <c r="P873" s="35" t="str">
        <f t="shared" si="339"/>
        <v/>
      </c>
      <c r="Q873" s="124"/>
      <c r="R873" s="36" t="str">
        <f t="shared" si="340"/>
        <v/>
      </c>
      <c r="S873" s="37" t="str">
        <f t="shared" si="330"/>
        <v/>
      </c>
      <c r="T873" s="38" t="str">
        <f t="shared" si="331"/>
        <v/>
      </c>
      <c r="U873" s="39" t="str">
        <f t="shared" si="332"/>
        <v/>
      </c>
      <c r="V873" s="40" t="str">
        <f t="shared" si="333"/>
        <v/>
      </c>
      <c r="W873" s="39" t="str">
        <f t="shared" si="334"/>
        <v/>
      </c>
      <c r="X873" s="34" t="str">
        <f t="shared" si="335"/>
        <v/>
      </c>
      <c r="Y873" s="41" t="str">
        <f t="shared" si="341"/>
        <v/>
      </c>
      <c r="Z873" s="98" t="str">
        <f t="shared" si="336"/>
        <v/>
      </c>
      <c r="AA873" s="81" t="str">
        <f t="shared" si="342"/>
        <v/>
      </c>
      <c r="AC873" s="139"/>
      <c r="AD873" s="110" t="str">
        <f t="shared" si="343"/>
        <v/>
      </c>
      <c r="AE873" s="111" t="str">
        <f t="shared" si="344"/>
        <v/>
      </c>
      <c r="AF873" s="111" t="str">
        <f t="shared" si="337"/>
        <v/>
      </c>
      <c r="AG873" s="111" t="str">
        <f t="shared" si="345"/>
        <v/>
      </c>
      <c r="AH873" s="111" t="str">
        <f t="shared" si="346"/>
        <v/>
      </c>
      <c r="AI873" s="112" t="str">
        <f t="shared" si="347"/>
        <v/>
      </c>
      <c r="AJ873" t="str">
        <f t="shared" si="348"/>
        <v/>
      </c>
      <c r="AK873" t="str">
        <f t="shared" si="349"/>
        <v/>
      </c>
    </row>
    <row r="874" spans="1:37" ht="15" customHeight="1" x14ac:dyDescent="0.25">
      <c r="A874" s="114"/>
      <c r="B874" s="116"/>
      <c r="C874" s="116"/>
      <c r="D874" s="42" t="str">
        <f t="shared" si="325"/>
        <v/>
      </c>
      <c r="E874" s="43"/>
      <c r="F874" s="83"/>
      <c r="G874" s="118"/>
      <c r="H874" s="34" t="str">
        <f t="shared" si="326"/>
        <v/>
      </c>
      <c r="I874" s="88" t="str">
        <f t="shared" si="327"/>
        <v/>
      </c>
      <c r="J874" s="44" t="str">
        <f t="shared" si="328"/>
        <v/>
      </c>
      <c r="K874" s="118"/>
      <c r="L874" s="34" t="str">
        <f t="shared" si="329"/>
        <v/>
      </c>
      <c r="M874" s="118"/>
      <c r="N874" s="121"/>
      <c r="O874" s="122" t="str">
        <f t="shared" si="338"/>
        <v/>
      </c>
      <c r="P874" s="35" t="str">
        <f t="shared" si="339"/>
        <v/>
      </c>
      <c r="Q874" s="124"/>
      <c r="R874" s="36" t="str">
        <f t="shared" si="340"/>
        <v/>
      </c>
      <c r="S874" s="37" t="str">
        <f t="shared" si="330"/>
        <v/>
      </c>
      <c r="T874" s="38" t="str">
        <f t="shared" si="331"/>
        <v/>
      </c>
      <c r="U874" s="39" t="str">
        <f t="shared" si="332"/>
        <v/>
      </c>
      <c r="V874" s="40" t="str">
        <f t="shared" si="333"/>
        <v/>
      </c>
      <c r="W874" s="39" t="str">
        <f t="shared" si="334"/>
        <v/>
      </c>
      <c r="X874" s="34" t="str">
        <f t="shared" si="335"/>
        <v/>
      </c>
      <c r="Y874" s="41" t="str">
        <f t="shared" si="341"/>
        <v/>
      </c>
      <c r="Z874" s="98" t="str">
        <f t="shared" si="336"/>
        <v/>
      </c>
      <c r="AA874" s="81" t="str">
        <f t="shared" si="342"/>
        <v/>
      </c>
      <c r="AC874" s="139"/>
      <c r="AD874" s="110" t="str">
        <f t="shared" si="343"/>
        <v/>
      </c>
      <c r="AE874" s="111" t="str">
        <f t="shared" si="344"/>
        <v/>
      </c>
      <c r="AF874" s="111" t="str">
        <f t="shared" si="337"/>
        <v/>
      </c>
      <c r="AG874" s="111" t="str">
        <f t="shared" si="345"/>
        <v/>
      </c>
      <c r="AH874" s="111" t="str">
        <f t="shared" si="346"/>
        <v/>
      </c>
      <c r="AI874" s="112" t="str">
        <f t="shared" si="347"/>
        <v/>
      </c>
      <c r="AJ874" t="str">
        <f t="shared" si="348"/>
        <v/>
      </c>
      <c r="AK874" t="str">
        <f t="shared" si="349"/>
        <v/>
      </c>
    </row>
    <row r="875" spans="1:37" ht="15" customHeight="1" x14ac:dyDescent="0.25">
      <c r="A875" s="114"/>
      <c r="B875" s="116"/>
      <c r="C875" s="116"/>
      <c r="D875" s="42" t="str">
        <f t="shared" si="325"/>
        <v/>
      </c>
      <c r="E875" s="43"/>
      <c r="F875" s="83"/>
      <c r="G875" s="118"/>
      <c r="H875" s="34" t="str">
        <f t="shared" si="326"/>
        <v/>
      </c>
      <c r="I875" s="88" t="str">
        <f t="shared" si="327"/>
        <v/>
      </c>
      <c r="J875" s="44" t="str">
        <f t="shared" si="328"/>
        <v/>
      </c>
      <c r="K875" s="118"/>
      <c r="L875" s="34" t="str">
        <f t="shared" si="329"/>
        <v/>
      </c>
      <c r="M875" s="118"/>
      <c r="N875" s="121"/>
      <c r="O875" s="122" t="str">
        <f t="shared" si="338"/>
        <v/>
      </c>
      <c r="P875" s="35" t="str">
        <f t="shared" si="339"/>
        <v/>
      </c>
      <c r="Q875" s="124"/>
      <c r="R875" s="36" t="str">
        <f t="shared" si="340"/>
        <v/>
      </c>
      <c r="S875" s="37" t="str">
        <f t="shared" si="330"/>
        <v/>
      </c>
      <c r="T875" s="38" t="str">
        <f t="shared" si="331"/>
        <v/>
      </c>
      <c r="U875" s="39" t="str">
        <f t="shared" si="332"/>
        <v/>
      </c>
      <c r="V875" s="40" t="str">
        <f t="shared" si="333"/>
        <v/>
      </c>
      <c r="W875" s="39" t="str">
        <f t="shared" si="334"/>
        <v/>
      </c>
      <c r="X875" s="34" t="str">
        <f t="shared" si="335"/>
        <v/>
      </c>
      <c r="Y875" s="41" t="str">
        <f t="shared" si="341"/>
        <v/>
      </c>
      <c r="Z875" s="98" t="str">
        <f t="shared" si="336"/>
        <v/>
      </c>
      <c r="AA875" s="81" t="str">
        <f t="shared" si="342"/>
        <v/>
      </c>
      <c r="AC875" s="139"/>
      <c r="AD875" s="110" t="str">
        <f t="shared" si="343"/>
        <v/>
      </c>
      <c r="AE875" s="111" t="str">
        <f t="shared" si="344"/>
        <v/>
      </c>
      <c r="AF875" s="111" t="str">
        <f t="shared" si="337"/>
        <v/>
      </c>
      <c r="AG875" s="111" t="str">
        <f t="shared" si="345"/>
        <v/>
      </c>
      <c r="AH875" s="111" t="str">
        <f t="shared" si="346"/>
        <v/>
      </c>
      <c r="AI875" s="112" t="str">
        <f t="shared" si="347"/>
        <v/>
      </c>
      <c r="AJ875" t="str">
        <f t="shared" si="348"/>
        <v/>
      </c>
      <c r="AK875" t="str">
        <f t="shared" si="349"/>
        <v/>
      </c>
    </row>
    <row r="876" spans="1:37" ht="15" customHeight="1" x14ac:dyDescent="0.25">
      <c r="A876" s="114"/>
      <c r="B876" s="116"/>
      <c r="C876" s="116"/>
      <c r="D876" s="42" t="str">
        <f t="shared" si="325"/>
        <v/>
      </c>
      <c r="E876" s="43"/>
      <c r="F876" s="83"/>
      <c r="G876" s="118"/>
      <c r="H876" s="34" t="str">
        <f t="shared" si="326"/>
        <v/>
      </c>
      <c r="I876" s="88" t="str">
        <f t="shared" si="327"/>
        <v/>
      </c>
      <c r="J876" s="44" t="str">
        <f t="shared" si="328"/>
        <v/>
      </c>
      <c r="K876" s="118"/>
      <c r="L876" s="34" t="str">
        <f t="shared" si="329"/>
        <v/>
      </c>
      <c r="M876" s="118"/>
      <c r="N876" s="121"/>
      <c r="O876" s="122" t="str">
        <f t="shared" si="338"/>
        <v/>
      </c>
      <c r="P876" s="35" t="str">
        <f t="shared" si="339"/>
        <v/>
      </c>
      <c r="Q876" s="124"/>
      <c r="R876" s="36" t="str">
        <f t="shared" si="340"/>
        <v/>
      </c>
      <c r="S876" s="37" t="str">
        <f t="shared" si="330"/>
        <v/>
      </c>
      <c r="T876" s="38" t="str">
        <f t="shared" si="331"/>
        <v/>
      </c>
      <c r="U876" s="39" t="str">
        <f t="shared" si="332"/>
        <v/>
      </c>
      <c r="V876" s="40" t="str">
        <f t="shared" si="333"/>
        <v/>
      </c>
      <c r="W876" s="39" t="str">
        <f t="shared" si="334"/>
        <v/>
      </c>
      <c r="X876" s="34" t="str">
        <f t="shared" si="335"/>
        <v/>
      </c>
      <c r="Y876" s="41" t="str">
        <f t="shared" si="341"/>
        <v/>
      </c>
      <c r="Z876" s="98" t="str">
        <f t="shared" si="336"/>
        <v/>
      </c>
      <c r="AA876" s="81" t="str">
        <f t="shared" si="342"/>
        <v/>
      </c>
      <c r="AC876" s="139"/>
      <c r="AD876" s="110" t="str">
        <f t="shared" si="343"/>
        <v/>
      </c>
      <c r="AE876" s="111" t="str">
        <f t="shared" si="344"/>
        <v/>
      </c>
      <c r="AF876" s="111" t="str">
        <f t="shared" si="337"/>
        <v/>
      </c>
      <c r="AG876" s="111" t="str">
        <f t="shared" si="345"/>
        <v/>
      </c>
      <c r="AH876" s="111" t="str">
        <f t="shared" si="346"/>
        <v/>
      </c>
      <c r="AI876" s="112" t="str">
        <f t="shared" si="347"/>
        <v/>
      </c>
      <c r="AJ876" t="str">
        <f t="shared" si="348"/>
        <v/>
      </c>
      <c r="AK876" t="str">
        <f t="shared" si="349"/>
        <v/>
      </c>
    </row>
    <row r="877" spans="1:37" ht="15" customHeight="1" x14ac:dyDescent="0.25">
      <c r="A877" s="114"/>
      <c r="B877" s="116"/>
      <c r="C877" s="116"/>
      <c r="D877" s="42" t="str">
        <f t="shared" si="325"/>
        <v/>
      </c>
      <c r="E877" s="43"/>
      <c r="F877" s="83"/>
      <c r="G877" s="118"/>
      <c r="H877" s="34" t="str">
        <f t="shared" si="326"/>
        <v/>
      </c>
      <c r="I877" s="88" t="str">
        <f t="shared" si="327"/>
        <v/>
      </c>
      <c r="J877" s="44" t="str">
        <f t="shared" si="328"/>
        <v/>
      </c>
      <c r="K877" s="118"/>
      <c r="L877" s="34" t="str">
        <f t="shared" si="329"/>
        <v/>
      </c>
      <c r="M877" s="118"/>
      <c r="N877" s="121"/>
      <c r="O877" s="122" t="str">
        <f t="shared" si="338"/>
        <v/>
      </c>
      <c r="P877" s="35" t="str">
        <f t="shared" si="339"/>
        <v/>
      </c>
      <c r="Q877" s="124"/>
      <c r="R877" s="36" t="str">
        <f t="shared" si="340"/>
        <v/>
      </c>
      <c r="S877" s="37" t="str">
        <f t="shared" si="330"/>
        <v/>
      </c>
      <c r="T877" s="38" t="str">
        <f t="shared" si="331"/>
        <v/>
      </c>
      <c r="U877" s="39" t="str">
        <f t="shared" si="332"/>
        <v/>
      </c>
      <c r="V877" s="40" t="str">
        <f t="shared" si="333"/>
        <v/>
      </c>
      <c r="W877" s="39" t="str">
        <f t="shared" si="334"/>
        <v/>
      </c>
      <c r="X877" s="34" t="str">
        <f t="shared" si="335"/>
        <v/>
      </c>
      <c r="Y877" s="41" t="str">
        <f t="shared" si="341"/>
        <v/>
      </c>
      <c r="Z877" s="98" t="str">
        <f t="shared" si="336"/>
        <v/>
      </c>
      <c r="AA877" s="81" t="str">
        <f t="shared" si="342"/>
        <v/>
      </c>
      <c r="AC877" s="139"/>
      <c r="AD877" s="110" t="str">
        <f t="shared" si="343"/>
        <v/>
      </c>
      <c r="AE877" s="111" t="str">
        <f t="shared" si="344"/>
        <v/>
      </c>
      <c r="AF877" s="111" t="str">
        <f t="shared" si="337"/>
        <v/>
      </c>
      <c r="AG877" s="111" t="str">
        <f t="shared" si="345"/>
        <v/>
      </c>
      <c r="AH877" s="111" t="str">
        <f t="shared" si="346"/>
        <v/>
      </c>
      <c r="AI877" s="112" t="str">
        <f t="shared" si="347"/>
        <v/>
      </c>
      <c r="AJ877" t="str">
        <f t="shared" si="348"/>
        <v/>
      </c>
      <c r="AK877" t="str">
        <f t="shared" si="349"/>
        <v/>
      </c>
    </row>
    <row r="878" spans="1:37" ht="15" customHeight="1" x14ac:dyDescent="0.25">
      <c r="A878" s="114"/>
      <c r="B878" s="116"/>
      <c r="C878" s="116"/>
      <c r="D878" s="42" t="str">
        <f t="shared" si="325"/>
        <v/>
      </c>
      <c r="E878" s="43"/>
      <c r="F878" s="83"/>
      <c r="G878" s="118"/>
      <c r="H878" s="34" t="str">
        <f t="shared" si="326"/>
        <v/>
      </c>
      <c r="I878" s="88" t="str">
        <f t="shared" si="327"/>
        <v/>
      </c>
      <c r="J878" s="44" t="str">
        <f t="shared" si="328"/>
        <v/>
      </c>
      <c r="K878" s="118"/>
      <c r="L878" s="34" t="str">
        <f t="shared" si="329"/>
        <v/>
      </c>
      <c r="M878" s="118"/>
      <c r="N878" s="121"/>
      <c r="O878" s="122" t="str">
        <f t="shared" si="338"/>
        <v/>
      </c>
      <c r="P878" s="35" t="str">
        <f t="shared" si="339"/>
        <v/>
      </c>
      <c r="Q878" s="124"/>
      <c r="R878" s="36" t="str">
        <f t="shared" si="340"/>
        <v/>
      </c>
      <c r="S878" s="37" t="str">
        <f t="shared" si="330"/>
        <v/>
      </c>
      <c r="T878" s="38" t="str">
        <f t="shared" si="331"/>
        <v/>
      </c>
      <c r="U878" s="39" t="str">
        <f t="shared" si="332"/>
        <v/>
      </c>
      <c r="V878" s="40" t="str">
        <f t="shared" si="333"/>
        <v/>
      </c>
      <c r="W878" s="39" t="str">
        <f t="shared" si="334"/>
        <v/>
      </c>
      <c r="X878" s="34" t="str">
        <f t="shared" si="335"/>
        <v/>
      </c>
      <c r="Y878" s="41" t="str">
        <f t="shared" si="341"/>
        <v/>
      </c>
      <c r="Z878" s="98" t="str">
        <f t="shared" si="336"/>
        <v/>
      </c>
      <c r="AA878" s="81" t="str">
        <f t="shared" si="342"/>
        <v/>
      </c>
      <c r="AC878" s="139"/>
      <c r="AD878" s="110" t="str">
        <f t="shared" si="343"/>
        <v/>
      </c>
      <c r="AE878" s="111" t="str">
        <f t="shared" si="344"/>
        <v/>
      </c>
      <c r="AF878" s="111" t="str">
        <f t="shared" si="337"/>
        <v/>
      </c>
      <c r="AG878" s="111" t="str">
        <f t="shared" si="345"/>
        <v/>
      </c>
      <c r="AH878" s="111" t="str">
        <f t="shared" si="346"/>
        <v/>
      </c>
      <c r="AI878" s="112" t="str">
        <f t="shared" si="347"/>
        <v/>
      </c>
      <c r="AJ878" t="str">
        <f t="shared" si="348"/>
        <v/>
      </c>
      <c r="AK878" t="str">
        <f t="shared" si="349"/>
        <v/>
      </c>
    </row>
    <row r="879" spans="1:37" ht="15" customHeight="1" x14ac:dyDescent="0.25">
      <c r="A879" s="114"/>
      <c r="B879" s="116"/>
      <c r="C879" s="116"/>
      <c r="D879" s="42" t="str">
        <f t="shared" si="325"/>
        <v/>
      </c>
      <c r="E879" s="43"/>
      <c r="F879" s="83"/>
      <c r="G879" s="118"/>
      <c r="H879" s="34" t="str">
        <f t="shared" si="326"/>
        <v/>
      </c>
      <c r="I879" s="88" t="str">
        <f t="shared" si="327"/>
        <v/>
      </c>
      <c r="J879" s="44" t="str">
        <f t="shared" si="328"/>
        <v/>
      </c>
      <c r="K879" s="118"/>
      <c r="L879" s="34" t="str">
        <f t="shared" si="329"/>
        <v/>
      </c>
      <c r="M879" s="118"/>
      <c r="N879" s="121"/>
      <c r="O879" s="122" t="str">
        <f t="shared" si="338"/>
        <v/>
      </c>
      <c r="P879" s="35" t="str">
        <f t="shared" si="339"/>
        <v/>
      </c>
      <c r="Q879" s="124"/>
      <c r="R879" s="36" t="str">
        <f t="shared" si="340"/>
        <v/>
      </c>
      <c r="S879" s="37" t="str">
        <f t="shared" si="330"/>
        <v/>
      </c>
      <c r="T879" s="38" t="str">
        <f t="shared" si="331"/>
        <v/>
      </c>
      <c r="U879" s="39" t="str">
        <f t="shared" si="332"/>
        <v/>
      </c>
      <c r="V879" s="40" t="str">
        <f t="shared" si="333"/>
        <v/>
      </c>
      <c r="W879" s="39" t="str">
        <f t="shared" si="334"/>
        <v/>
      </c>
      <c r="X879" s="34" t="str">
        <f t="shared" si="335"/>
        <v/>
      </c>
      <c r="Y879" s="41" t="str">
        <f t="shared" si="341"/>
        <v/>
      </c>
      <c r="Z879" s="98" t="str">
        <f t="shared" si="336"/>
        <v/>
      </c>
      <c r="AA879" s="81" t="str">
        <f t="shared" si="342"/>
        <v/>
      </c>
      <c r="AC879" s="139"/>
      <c r="AD879" s="110" t="str">
        <f t="shared" si="343"/>
        <v/>
      </c>
      <c r="AE879" s="111" t="str">
        <f t="shared" si="344"/>
        <v/>
      </c>
      <c r="AF879" s="111" t="str">
        <f t="shared" si="337"/>
        <v/>
      </c>
      <c r="AG879" s="111" t="str">
        <f t="shared" si="345"/>
        <v/>
      </c>
      <c r="AH879" s="111" t="str">
        <f t="shared" si="346"/>
        <v/>
      </c>
      <c r="AI879" s="112" t="str">
        <f t="shared" si="347"/>
        <v/>
      </c>
      <c r="AJ879" t="str">
        <f t="shared" si="348"/>
        <v/>
      </c>
      <c r="AK879" t="str">
        <f t="shared" si="349"/>
        <v/>
      </c>
    </row>
    <row r="880" spans="1:37" ht="15" customHeight="1" x14ac:dyDescent="0.25">
      <c r="A880" s="114"/>
      <c r="B880" s="116"/>
      <c r="C880" s="116"/>
      <c r="D880" s="42" t="str">
        <f t="shared" si="325"/>
        <v/>
      </c>
      <c r="E880" s="43"/>
      <c r="F880" s="83"/>
      <c r="G880" s="118"/>
      <c r="H880" s="34" t="str">
        <f t="shared" si="326"/>
        <v/>
      </c>
      <c r="I880" s="88" t="str">
        <f t="shared" si="327"/>
        <v/>
      </c>
      <c r="J880" s="44" t="str">
        <f t="shared" si="328"/>
        <v/>
      </c>
      <c r="K880" s="118"/>
      <c r="L880" s="34" t="str">
        <f t="shared" si="329"/>
        <v/>
      </c>
      <c r="M880" s="118"/>
      <c r="N880" s="121"/>
      <c r="O880" s="122" t="str">
        <f t="shared" si="338"/>
        <v/>
      </c>
      <c r="P880" s="35" t="str">
        <f t="shared" si="339"/>
        <v/>
      </c>
      <c r="Q880" s="124"/>
      <c r="R880" s="36" t="str">
        <f t="shared" si="340"/>
        <v/>
      </c>
      <c r="S880" s="37" t="str">
        <f t="shared" si="330"/>
        <v/>
      </c>
      <c r="T880" s="38" t="str">
        <f t="shared" si="331"/>
        <v/>
      </c>
      <c r="U880" s="39" t="str">
        <f t="shared" si="332"/>
        <v/>
      </c>
      <c r="V880" s="40" t="str">
        <f t="shared" si="333"/>
        <v/>
      </c>
      <c r="W880" s="39" t="str">
        <f t="shared" si="334"/>
        <v/>
      </c>
      <c r="X880" s="34" t="str">
        <f t="shared" si="335"/>
        <v/>
      </c>
      <c r="Y880" s="41" t="str">
        <f t="shared" si="341"/>
        <v/>
      </c>
      <c r="Z880" s="98" t="str">
        <f t="shared" si="336"/>
        <v/>
      </c>
      <c r="AA880" s="81" t="str">
        <f t="shared" si="342"/>
        <v/>
      </c>
      <c r="AC880" s="139"/>
      <c r="AD880" s="110" t="str">
        <f t="shared" si="343"/>
        <v/>
      </c>
      <c r="AE880" s="111" t="str">
        <f t="shared" si="344"/>
        <v/>
      </c>
      <c r="AF880" s="111" t="str">
        <f t="shared" si="337"/>
        <v/>
      </c>
      <c r="AG880" s="111" t="str">
        <f t="shared" si="345"/>
        <v/>
      </c>
      <c r="AH880" s="111" t="str">
        <f t="shared" si="346"/>
        <v/>
      </c>
      <c r="AI880" s="112" t="str">
        <f t="shared" si="347"/>
        <v/>
      </c>
      <c r="AJ880" t="str">
        <f t="shared" si="348"/>
        <v/>
      </c>
      <c r="AK880" t="str">
        <f t="shared" si="349"/>
        <v/>
      </c>
    </row>
    <row r="881" spans="1:37" ht="15" customHeight="1" x14ac:dyDescent="0.25">
      <c r="A881" s="114"/>
      <c r="B881" s="116"/>
      <c r="C881" s="116"/>
      <c r="D881" s="42" t="str">
        <f t="shared" si="325"/>
        <v/>
      </c>
      <c r="E881" s="43"/>
      <c r="F881" s="83"/>
      <c r="G881" s="118"/>
      <c r="H881" s="34" t="str">
        <f t="shared" si="326"/>
        <v/>
      </c>
      <c r="I881" s="88" t="str">
        <f t="shared" si="327"/>
        <v/>
      </c>
      <c r="J881" s="44" t="str">
        <f t="shared" si="328"/>
        <v/>
      </c>
      <c r="K881" s="118"/>
      <c r="L881" s="34" t="str">
        <f t="shared" si="329"/>
        <v/>
      </c>
      <c r="M881" s="118"/>
      <c r="N881" s="121"/>
      <c r="O881" s="122" t="str">
        <f t="shared" si="338"/>
        <v/>
      </c>
      <c r="P881" s="35" t="str">
        <f t="shared" si="339"/>
        <v/>
      </c>
      <c r="Q881" s="124"/>
      <c r="R881" s="36" t="str">
        <f t="shared" si="340"/>
        <v/>
      </c>
      <c r="S881" s="37" t="str">
        <f t="shared" si="330"/>
        <v/>
      </c>
      <c r="T881" s="38" t="str">
        <f t="shared" si="331"/>
        <v/>
      </c>
      <c r="U881" s="39" t="str">
        <f t="shared" si="332"/>
        <v/>
      </c>
      <c r="V881" s="40" t="str">
        <f t="shared" si="333"/>
        <v/>
      </c>
      <c r="W881" s="39" t="str">
        <f t="shared" si="334"/>
        <v/>
      </c>
      <c r="X881" s="34" t="str">
        <f t="shared" si="335"/>
        <v/>
      </c>
      <c r="Y881" s="41" t="str">
        <f t="shared" si="341"/>
        <v/>
      </c>
      <c r="Z881" s="98" t="str">
        <f t="shared" si="336"/>
        <v/>
      </c>
      <c r="AA881" s="81" t="str">
        <f t="shared" si="342"/>
        <v/>
      </c>
      <c r="AC881" s="139"/>
      <c r="AD881" s="110" t="str">
        <f t="shared" si="343"/>
        <v/>
      </c>
      <c r="AE881" s="111" t="str">
        <f t="shared" si="344"/>
        <v/>
      </c>
      <c r="AF881" s="111" t="str">
        <f t="shared" si="337"/>
        <v/>
      </c>
      <c r="AG881" s="111" t="str">
        <f t="shared" si="345"/>
        <v/>
      </c>
      <c r="AH881" s="111" t="str">
        <f t="shared" si="346"/>
        <v/>
      </c>
      <c r="AI881" s="112" t="str">
        <f t="shared" si="347"/>
        <v/>
      </c>
      <c r="AJ881" t="str">
        <f t="shared" si="348"/>
        <v/>
      </c>
      <c r="AK881" t="str">
        <f t="shared" si="349"/>
        <v/>
      </c>
    </row>
    <row r="882" spans="1:37" ht="15" customHeight="1" x14ac:dyDescent="0.25">
      <c r="A882" s="114"/>
      <c r="B882" s="116"/>
      <c r="C882" s="116"/>
      <c r="D882" s="42" t="str">
        <f t="shared" si="325"/>
        <v/>
      </c>
      <c r="E882" s="43"/>
      <c r="F882" s="83"/>
      <c r="G882" s="118"/>
      <c r="H882" s="34" t="str">
        <f t="shared" si="326"/>
        <v/>
      </c>
      <c r="I882" s="88" t="str">
        <f t="shared" si="327"/>
        <v/>
      </c>
      <c r="J882" s="44" t="str">
        <f t="shared" si="328"/>
        <v/>
      </c>
      <c r="K882" s="118"/>
      <c r="L882" s="34" t="str">
        <f t="shared" si="329"/>
        <v/>
      </c>
      <c r="M882" s="118"/>
      <c r="N882" s="121"/>
      <c r="O882" s="122" t="str">
        <f t="shared" si="338"/>
        <v/>
      </c>
      <c r="P882" s="35" t="str">
        <f t="shared" si="339"/>
        <v/>
      </c>
      <c r="Q882" s="124"/>
      <c r="R882" s="36" t="str">
        <f t="shared" si="340"/>
        <v/>
      </c>
      <c r="S882" s="37" t="str">
        <f t="shared" si="330"/>
        <v/>
      </c>
      <c r="T882" s="38" t="str">
        <f t="shared" si="331"/>
        <v/>
      </c>
      <c r="U882" s="39" t="str">
        <f t="shared" si="332"/>
        <v/>
      </c>
      <c r="V882" s="40" t="str">
        <f t="shared" si="333"/>
        <v/>
      </c>
      <c r="W882" s="39" t="str">
        <f t="shared" si="334"/>
        <v/>
      </c>
      <c r="X882" s="34" t="str">
        <f t="shared" si="335"/>
        <v/>
      </c>
      <c r="Y882" s="41" t="str">
        <f t="shared" si="341"/>
        <v/>
      </c>
      <c r="Z882" s="98" t="str">
        <f t="shared" si="336"/>
        <v/>
      </c>
      <c r="AA882" s="81" t="str">
        <f t="shared" si="342"/>
        <v/>
      </c>
      <c r="AC882" s="139"/>
      <c r="AD882" s="110" t="str">
        <f t="shared" si="343"/>
        <v/>
      </c>
      <c r="AE882" s="111" t="str">
        <f t="shared" si="344"/>
        <v/>
      </c>
      <c r="AF882" s="111" t="str">
        <f t="shared" si="337"/>
        <v/>
      </c>
      <c r="AG882" s="111" t="str">
        <f t="shared" si="345"/>
        <v/>
      </c>
      <c r="AH882" s="111" t="str">
        <f t="shared" si="346"/>
        <v/>
      </c>
      <c r="AI882" s="112" t="str">
        <f t="shared" si="347"/>
        <v/>
      </c>
      <c r="AJ882" t="str">
        <f t="shared" si="348"/>
        <v/>
      </c>
      <c r="AK882" t="str">
        <f t="shared" si="349"/>
        <v/>
      </c>
    </row>
    <row r="883" spans="1:37" ht="15" customHeight="1" x14ac:dyDescent="0.25">
      <c r="A883" s="114"/>
      <c r="B883" s="116"/>
      <c r="C883" s="116"/>
      <c r="D883" s="42" t="str">
        <f t="shared" si="325"/>
        <v/>
      </c>
      <c r="E883" s="43"/>
      <c r="F883" s="83"/>
      <c r="G883" s="118"/>
      <c r="H883" s="34" t="str">
        <f t="shared" si="326"/>
        <v/>
      </c>
      <c r="I883" s="88" t="str">
        <f t="shared" si="327"/>
        <v/>
      </c>
      <c r="J883" s="44" t="str">
        <f t="shared" si="328"/>
        <v/>
      </c>
      <c r="K883" s="118"/>
      <c r="L883" s="34" t="str">
        <f t="shared" si="329"/>
        <v/>
      </c>
      <c r="M883" s="118"/>
      <c r="N883" s="121"/>
      <c r="O883" s="122" t="str">
        <f t="shared" si="338"/>
        <v/>
      </c>
      <c r="P883" s="35" t="str">
        <f t="shared" si="339"/>
        <v/>
      </c>
      <c r="Q883" s="124"/>
      <c r="R883" s="36" t="str">
        <f t="shared" si="340"/>
        <v/>
      </c>
      <c r="S883" s="37" t="str">
        <f t="shared" si="330"/>
        <v/>
      </c>
      <c r="T883" s="38" t="str">
        <f t="shared" si="331"/>
        <v/>
      </c>
      <c r="U883" s="39" t="str">
        <f t="shared" si="332"/>
        <v/>
      </c>
      <c r="V883" s="40" t="str">
        <f t="shared" si="333"/>
        <v/>
      </c>
      <c r="W883" s="39" t="str">
        <f t="shared" si="334"/>
        <v/>
      </c>
      <c r="X883" s="34" t="str">
        <f t="shared" si="335"/>
        <v/>
      </c>
      <c r="Y883" s="41" t="str">
        <f t="shared" si="341"/>
        <v/>
      </c>
      <c r="Z883" s="98" t="str">
        <f t="shared" si="336"/>
        <v/>
      </c>
      <c r="AA883" s="81" t="str">
        <f t="shared" si="342"/>
        <v/>
      </c>
      <c r="AC883" s="139"/>
      <c r="AD883" s="110" t="str">
        <f t="shared" si="343"/>
        <v/>
      </c>
      <c r="AE883" s="111" t="str">
        <f t="shared" si="344"/>
        <v/>
      </c>
      <c r="AF883" s="111" t="str">
        <f t="shared" si="337"/>
        <v/>
      </c>
      <c r="AG883" s="111" t="str">
        <f t="shared" si="345"/>
        <v/>
      </c>
      <c r="AH883" s="111" t="str">
        <f t="shared" si="346"/>
        <v/>
      </c>
      <c r="AI883" s="112" t="str">
        <f t="shared" si="347"/>
        <v/>
      </c>
      <c r="AJ883" t="str">
        <f t="shared" si="348"/>
        <v/>
      </c>
      <c r="AK883" t="str">
        <f t="shared" si="349"/>
        <v/>
      </c>
    </row>
    <row r="884" spans="1:37" ht="15" customHeight="1" x14ac:dyDescent="0.25">
      <c r="A884" s="114"/>
      <c r="B884" s="116"/>
      <c r="C884" s="116"/>
      <c r="D884" s="42" t="str">
        <f t="shared" si="325"/>
        <v/>
      </c>
      <c r="E884" s="43"/>
      <c r="F884" s="83"/>
      <c r="G884" s="118"/>
      <c r="H884" s="34" t="str">
        <f t="shared" si="326"/>
        <v/>
      </c>
      <c r="I884" s="88" t="str">
        <f t="shared" si="327"/>
        <v/>
      </c>
      <c r="J884" s="44" t="str">
        <f t="shared" si="328"/>
        <v/>
      </c>
      <c r="K884" s="118"/>
      <c r="L884" s="34" t="str">
        <f t="shared" si="329"/>
        <v/>
      </c>
      <c r="M884" s="118"/>
      <c r="N884" s="121"/>
      <c r="O884" s="122" t="str">
        <f t="shared" si="338"/>
        <v/>
      </c>
      <c r="P884" s="35" t="str">
        <f t="shared" si="339"/>
        <v/>
      </c>
      <c r="Q884" s="124"/>
      <c r="R884" s="36" t="str">
        <f t="shared" si="340"/>
        <v/>
      </c>
      <c r="S884" s="37" t="str">
        <f t="shared" si="330"/>
        <v/>
      </c>
      <c r="T884" s="38" t="str">
        <f t="shared" si="331"/>
        <v/>
      </c>
      <c r="U884" s="39" t="str">
        <f t="shared" si="332"/>
        <v/>
      </c>
      <c r="V884" s="40" t="str">
        <f t="shared" si="333"/>
        <v/>
      </c>
      <c r="W884" s="39" t="str">
        <f t="shared" si="334"/>
        <v/>
      </c>
      <c r="X884" s="34" t="str">
        <f t="shared" si="335"/>
        <v/>
      </c>
      <c r="Y884" s="41" t="str">
        <f t="shared" si="341"/>
        <v/>
      </c>
      <c r="Z884" s="98" t="str">
        <f t="shared" si="336"/>
        <v/>
      </c>
      <c r="AA884" s="81" t="str">
        <f t="shared" si="342"/>
        <v/>
      </c>
      <c r="AC884" s="139"/>
      <c r="AD884" s="110" t="str">
        <f t="shared" si="343"/>
        <v/>
      </c>
      <c r="AE884" s="111" t="str">
        <f t="shared" si="344"/>
        <v/>
      </c>
      <c r="AF884" s="111" t="str">
        <f t="shared" si="337"/>
        <v/>
      </c>
      <c r="AG884" s="111" t="str">
        <f t="shared" si="345"/>
        <v/>
      </c>
      <c r="AH884" s="111" t="str">
        <f t="shared" si="346"/>
        <v/>
      </c>
      <c r="AI884" s="112" t="str">
        <f t="shared" si="347"/>
        <v/>
      </c>
      <c r="AJ884" t="str">
        <f t="shared" si="348"/>
        <v/>
      </c>
      <c r="AK884" t="str">
        <f t="shared" si="349"/>
        <v/>
      </c>
    </row>
    <row r="885" spans="1:37" ht="15" customHeight="1" x14ac:dyDescent="0.25">
      <c r="A885" s="114"/>
      <c r="B885" s="116"/>
      <c r="C885" s="116"/>
      <c r="D885" s="42" t="str">
        <f t="shared" si="325"/>
        <v/>
      </c>
      <c r="E885" s="43"/>
      <c r="F885" s="83"/>
      <c r="G885" s="118"/>
      <c r="H885" s="34" t="str">
        <f t="shared" si="326"/>
        <v/>
      </c>
      <c r="I885" s="88" t="str">
        <f t="shared" si="327"/>
        <v/>
      </c>
      <c r="J885" s="44" t="str">
        <f t="shared" si="328"/>
        <v/>
      </c>
      <c r="K885" s="118"/>
      <c r="L885" s="34" t="str">
        <f t="shared" si="329"/>
        <v/>
      </c>
      <c r="M885" s="118"/>
      <c r="N885" s="121"/>
      <c r="O885" s="122" t="str">
        <f t="shared" si="338"/>
        <v/>
      </c>
      <c r="P885" s="35" t="str">
        <f t="shared" si="339"/>
        <v/>
      </c>
      <c r="Q885" s="124"/>
      <c r="R885" s="36" t="str">
        <f t="shared" si="340"/>
        <v/>
      </c>
      <c r="S885" s="37" t="str">
        <f t="shared" si="330"/>
        <v/>
      </c>
      <c r="T885" s="38" t="str">
        <f t="shared" si="331"/>
        <v/>
      </c>
      <c r="U885" s="39" t="str">
        <f t="shared" si="332"/>
        <v/>
      </c>
      <c r="V885" s="40" t="str">
        <f t="shared" si="333"/>
        <v/>
      </c>
      <c r="W885" s="39" t="str">
        <f t="shared" si="334"/>
        <v/>
      </c>
      <c r="X885" s="34" t="str">
        <f t="shared" si="335"/>
        <v/>
      </c>
      <c r="Y885" s="41" t="str">
        <f t="shared" si="341"/>
        <v/>
      </c>
      <c r="Z885" s="98" t="str">
        <f t="shared" si="336"/>
        <v/>
      </c>
      <c r="AA885" s="81" t="str">
        <f t="shared" si="342"/>
        <v/>
      </c>
      <c r="AC885" s="139"/>
      <c r="AD885" s="110" t="str">
        <f t="shared" si="343"/>
        <v/>
      </c>
      <c r="AE885" s="111" t="str">
        <f t="shared" si="344"/>
        <v/>
      </c>
      <c r="AF885" s="111" t="str">
        <f t="shared" si="337"/>
        <v/>
      </c>
      <c r="AG885" s="111" t="str">
        <f t="shared" si="345"/>
        <v/>
      </c>
      <c r="AH885" s="111" t="str">
        <f t="shared" si="346"/>
        <v/>
      </c>
      <c r="AI885" s="112" t="str">
        <f t="shared" si="347"/>
        <v/>
      </c>
      <c r="AJ885" t="str">
        <f t="shared" si="348"/>
        <v/>
      </c>
      <c r="AK885" t="str">
        <f t="shared" si="349"/>
        <v/>
      </c>
    </row>
    <row r="886" spans="1:37" ht="15" customHeight="1" x14ac:dyDescent="0.25">
      <c r="A886" s="114"/>
      <c r="B886" s="116"/>
      <c r="C886" s="116"/>
      <c r="D886" s="42" t="str">
        <f t="shared" si="325"/>
        <v/>
      </c>
      <c r="E886" s="43"/>
      <c r="F886" s="83"/>
      <c r="G886" s="118"/>
      <c r="H886" s="34" t="str">
        <f t="shared" si="326"/>
        <v/>
      </c>
      <c r="I886" s="88" t="str">
        <f t="shared" si="327"/>
        <v/>
      </c>
      <c r="J886" s="44" t="str">
        <f t="shared" si="328"/>
        <v/>
      </c>
      <c r="K886" s="118"/>
      <c r="L886" s="34" t="str">
        <f t="shared" si="329"/>
        <v/>
      </c>
      <c r="M886" s="118"/>
      <c r="N886" s="121"/>
      <c r="O886" s="122" t="str">
        <f t="shared" si="338"/>
        <v/>
      </c>
      <c r="P886" s="35" t="str">
        <f t="shared" si="339"/>
        <v/>
      </c>
      <c r="Q886" s="124"/>
      <c r="R886" s="36" t="str">
        <f t="shared" si="340"/>
        <v/>
      </c>
      <c r="S886" s="37" t="str">
        <f t="shared" si="330"/>
        <v/>
      </c>
      <c r="T886" s="38" t="str">
        <f t="shared" si="331"/>
        <v/>
      </c>
      <c r="U886" s="39" t="str">
        <f t="shared" si="332"/>
        <v/>
      </c>
      <c r="V886" s="40" t="str">
        <f t="shared" si="333"/>
        <v/>
      </c>
      <c r="W886" s="39" t="str">
        <f t="shared" si="334"/>
        <v/>
      </c>
      <c r="X886" s="34" t="str">
        <f t="shared" si="335"/>
        <v/>
      </c>
      <c r="Y886" s="41" t="str">
        <f t="shared" si="341"/>
        <v/>
      </c>
      <c r="Z886" s="98" t="str">
        <f t="shared" si="336"/>
        <v/>
      </c>
      <c r="AA886" s="81" t="str">
        <f t="shared" si="342"/>
        <v/>
      </c>
      <c r="AC886" s="139"/>
      <c r="AD886" s="110" t="str">
        <f t="shared" si="343"/>
        <v/>
      </c>
      <c r="AE886" s="111" t="str">
        <f t="shared" si="344"/>
        <v/>
      </c>
      <c r="AF886" s="111" t="str">
        <f t="shared" si="337"/>
        <v/>
      </c>
      <c r="AG886" s="111" t="str">
        <f t="shared" si="345"/>
        <v/>
      </c>
      <c r="AH886" s="111" t="str">
        <f t="shared" si="346"/>
        <v/>
      </c>
      <c r="AI886" s="112" t="str">
        <f t="shared" si="347"/>
        <v/>
      </c>
      <c r="AJ886" t="str">
        <f t="shared" si="348"/>
        <v/>
      </c>
      <c r="AK886" t="str">
        <f t="shared" si="349"/>
        <v/>
      </c>
    </row>
    <row r="887" spans="1:37" ht="15" customHeight="1" x14ac:dyDescent="0.25">
      <c r="A887" s="114"/>
      <c r="B887" s="116"/>
      <c r="C887" s="116"/>
      <c r="D887" s="42" t="str">
        <f t="shared" si="325"/>
        <v/>
      </c>
      <c r="E887" s="43"/>
      <c r="F887" s="83"/>
      <c r="G887" s="118"/>
      <c r="H887" s="34" t="str">
        <f t="shared" si="326"/>
        <v/>
      </c>
      <c r="I887" s="88" t="str">
        <f t="shared" si="327"/>
        <v/>
      </c>
      <c r="J887" s="44" t="str">
        <f t="shared" si="328"/>
        <v/>
      </c>
      <c r="K887" s="118"/>
      <c r="L887" s="34" t="str">
        <f t="shared" si="329"/>
        <v/>
      </c>
      <c r="M887" s="118"/>
      <c r="N887" s="121"/>
      <c r="O887" s="122" t="str">
        <f t="shared" si="338"/>
        <v/>
      </c>
      <c r="P887" s="35" t="str">
        <f t="shared" si="339"/>
        <v/>
      </c>
      <c r="Q887" s="124"/>
      <c r="R887" s="36" t="str">
        <f t="shared" si="340"/>
        <v/>
      </c>
      <c r="S887" s="37" t="str">
        <f t="shared" si="330"/>
        <v/>
      </c>
      <c r="T887" s="38" t="str">
        <f t="shared" si="331"/>
        <v/>
      </c>
      <c r="U887" s="39" t="str">
        <f t="shared" si="332"/>
        <v/>
      </c>
      <c r="V887" s="40" t="str">
        <f t="shared" si="333"/>
        <v/>
      </c>
      <c r="W887" s="39" t="str">
        <f t="shared" si="334"/>
        <v/>
      </c>
      <c r="X887" s="34" t="str">
        <f t="shared" si="335"/>
        <v/>
      </c>
      <c r="Y887" s="41" t="str">
        <f t="shared" si="341"/>
        <v/>
      </c>
      <c r="Z887" s="98" t="str">
        <f t="shared" si="336"/>
        <v/>
      </c>
      <c r="AA887" s="81" t="str">
        <f t="shared" si="342"/>
        <v/>
      </c>
      <c r="AC887" s="139"/>
      <c r="AD887" s="110" t="str">
        <f t="shared" si="343"/>
        <v/>
      </c>
      <c r="AE887" s="111" t="str">
        <f t="shared" si="344"/>
        <v/>
      </c>
      <c r="AF887" s="111" t="str">
        <f t="shared" si="337"/>
        <v/>
      </c>
      <c r="AG887" s="111" t="str">
        <f t="shared" si="345"/>
        <v/>
      </c>
      <c r="AH887" s="111" t="str">
        <f t="shared" si="346"/>
        <v/>
      </c>
      <c r="AI887" s="112" t="str">
        <f t="shared" si="347"/>
        <v/>
      </c>
      <c r="AJ887" t="str">
        <f t="shared" si="348"/>
        <v/>
      </c>
      <c r="AK887" t="str">
        <f t="shared" si="349"/>
        <v/>
      </c>
    </row>
    <row r="888" spans="1:37" ht="15" customHeight="1" x14ac:dyDescent="0.25">
      <c r="A888" s="114"/>
      <c r="B888" s="116"/>
      <c r="C888" s="116"/>
      <c r="D888" s="42" t="str">
        <f t="shared" si="325"/>
        <v/>
      </c>
      <c r="E888" s="43"/>
      <c r="F888" s="83"/>
      <c r="G888" s="118"/>
      <c r="H888" s="34" t="str">
        <f t="shared" si="326"/>
        <v/>
      </c>
      <c r="I888" s="88" t="str">
        <f t="shared" si="327"/>
        <v/>
      </c>
      <c r="J888" s="44" t="str">
        <f t="shared" si="328"/>
        <v/>
      </c>
      <c r="K888" s="118"/>
      <c r="L888" s="34" t="str">
        <f t="shared" si="329"/>
        <v/>
      </c>
      <c r="M888" s="118"/>
      <c r="N888" s="121"/>
      <c r="O888" s="122" t="str">
        <f t="shared" si="338"/>
        <v/>
      </c>
      <c r="P888" s="35" t="str">
        <f t="shared" si="339"/>
        <v/>
      </c>
      <c r="Q888" s="124"/>
      <c r="R888" s="36" t="str">
        <f t="shared" si="340"/>
        <v/>
      </c>
      <c r="S888" s="37" t="str">
        <f t="shared" si="330"/>
        <v/>
      </c>
      <c r="T888" s="38" t="str">
        <f t="shared" si="331"/>
        <v/>
      </c>
      <c r="U888" s="39" t="str">
        <f t="shared" si="332"/>
        <v/>
      </c>
      <c r="V888" s="40" t="str">
        <f t="shared" si="333"/>
        <v/>
      </c>
      <c r="W888" s="39" t="str">
        <f t="shared" si="334"/>
        <v/>
      </c>
      <c r="X888" s="34" t="str">
        <f t="shared" si="335"/>
        <v/>
      </c>
      <c r="Y888" s="41" t="str">
        <f t="shared" si="341"/>
        <v/>
      </c>
      <c r="Z888" s="98" t="str">
        <f t="shared" si="336"/>
        <v/>
      </c>
      <c r="AA888" s="81" t="str">
        <f t="shared" si="342"/>
        <v/>
      </c>
      <c r="AC888" s="139"/>
      <c r="AD888" s="110" t="str">
        <f t="shared" si="343"/>
        <v/>
      </c>
      <c r="AE888" s="111" t="str">
        <f t="shared" si="344"/>
        <v/>
      </c>
      <c r="AF888" s="111" t="str">
        <f t="shared" si="337"/>
        <v/>
      </c>
      <c r="AG888" s="111" t="str">
        <f t="shared" si="345"/>
        <v/>
      </c>
      <c r="AH888" s="111" t="str">
        <f t="shared" si="346"/>
        <v/>
      </c>
      <c r="AI888" s="112" t="str">
        <f t="shared" si="347"/>
        <v/>
      </c>
      <c r="AJ888" t="str">
        <f t="shared" si="348"/>
        <v/>
      </c>
      <c r="AK888" t="str">
        <f t="shared" si="349"/>
        <v/>
      </c>
    </row>
    <row r="889" spans="1:37" ht="15" customHeight="1" x14ac:dyDescent="0.25">
      <c r="A889" s="114"/>
      <c r="B889" s="116"/>
      <c r="C889" s="116"/>
      <c r="D889" s="42" t="str">
        <f t="shared" si="325"/>
        <v/>
      </c>
      <c r="E889" s="43"/>
      <c r="F889" s="83"/>
      <c r="G889" s="118"/>
      <c r="H889" s="34" t="str">
        <f t="shared" si="326"/>
        <v/>
      </c>
      <c r="I889" s="88" t="str">
        <f t="shared" si="327"/>
        <v/>
      </c>
      <c r="J889" s="44" t="str">
        <f t="shared" si="328"/>
        <v/>
      </c>
      <c r="K889" s="118"/>
      <c r="L889" s="34" t="str">
        <f t="shared" si="329"/>
        <v/>
      </c>
      <c r="M889" s="118"/>
      <c r="N889" s="121"/>
      <c r="O889" s="122" t="str">
        <f t="shared" si="338"/>
        <v/>
      </c>
      <c r="P889" s="35" t="str">
        <f t="shared" si="339"/>
        <v/>
      </c>
      <c r="Q889" s="124"/>
      <c r="R889" s="36" t="str">
        <f t="shared" si="340"/>
        <v/>
      </c>
      <c r="S889" s="37" t="str">
        <f t="shared" si="330"/>
        <v/>
      </c>
      <c r="T889" s="38" t="str">
        <f t="shared" si="331"/>
        <v/>
      </c>
      <c r="U889" s="39" t="str">
        <f t="shared" si="332"/>
        <v/>
      </c>
      <c r="V889" s="40" t="str">
        <f t="shared" si="333"/>
        <v/>
      </c>
      <c r="W889" s="39" t="str">
        <f t="shared" si="334"/>
        <v/>
      </c>
      <c r="X889" s="34" t="str">
        <f t="shared" si="335"/>
        <v/>
      </c>
      <c r="Y889" s="41" t="str">
        <f t="shared" si="341"/>
        <v/>
      </c>
      <c r="Z889" s="98" t="str">
        <f t="shared" si="336"/>
        <v/>
      </c>
      <c r="AA889" s="81" t="str">
        <f t="shared" si="342"/>
        <v/>
      </c>
      <c r="AC889" s="139"/>
      <c r="AD889" s="110" t="str">
        <f t="shared" si="343"/>
        <v/>
      </c>
      <c r="AE889" s="111" t="str">
        <f t="shared" si="344"/>
        <v/>
      </c>
      <c r="AF889" s="111" t="str">
        <f t="shared" si="337"/>
        <v/>
      </c>
      <c r="AG889" s="111" t="str">
        <f t="shared" si="345"/>
        <v/>
      </c>
      <c r="AH889" s="111" t="str">
        <f t="shared" si="346"/>
        <v/>
      </c>
      <c r="AI889" s="112" t="str">
        <f t="shared" si="347"/>
        <v/>
      </c>
      <c r="AJ889" t="str">
        <f t="shared" si="348"/>
        <v/>
      </c>
      <c r="AK889" t="str">
        <f t="shared" si="349"/>
        <v/>
      </c>
    </row>
    <row r="890" spans="1:37" ht="15" customHeight="1" x14ac:dyDescent="0.25">
      <c r="A890" s="114"/>
      <c r="B890" s="116"/>
      <c r="C890" s="116"/>
      <c r="D890" s="42" t="str">
        <f t="shared" si="325"/>
        <v/>
      </c>
      <c r="E890" s="43"/>
      <c r="F890" s="83"/>
      <c r="G890" s="118"/>
      <c r="H890" s="34" t="str">
        <f t="shared" si="326"/>
        <v/>
      </c>
      <c r="I890" s="88" t="str">
        <f t="shared" si="327"/>
        <v/>
      </c>
      <c r="J890" s="44" t="str">
        <f t="shared" si="328"/>
        <v/>
      </c>
      <c r="K890" s="118"/>
      <c r="L890" s="34" t="str">
        <f t="shared" si="329"/>
        <v/>
      </c>
      <c r="M890" s="118"/>
      <c r="N890" s="121"/>
      <c r="O890" s="122" t="str">
        <f t="shared" si="338"/>
        <v/>
      </c>
      <c r="P890" s="35" t="str">
        <f t="shared" si="339"/>
        <v/>
      </c>
      <c r="Q890" s="124"/>
      <c r="R890" s="36" t="str">
        <f t="shared" si="340"/>
        <v/>
      </c>
      <c r="S890" s="37" t="str">
        <f t="shared" si="330"/>
        <v/>
      </c>
      <c r="T890" s="38" t="str">
        <f t="shared" si="331"/>
        <v/>
      </c>
      <c r="U890" s="39" t="str">
        <f t="shared" si="332"/>
        <v/>
      </c>
      <c r="V890" s="40" t="str">
        <f t="shared" si="333"/>
        <v/>
      </c>
      <c r="W890" s="39" t="str">
        <f t="shared" si="334"/>
        <v/>
      </c>
      <c r="X890" s="34" t="str">
        <f t="shared" si="335"/>
        <v/>
      </c>
      <c r="Y890" s="41" t="str">
        <f t="shared" si="341"/>
        <v/>
      </c>
      <c r="Z890" s="98" t="str">
        <f t="shared" si="336"/>
        <v/>
      </c>
      <c r="AA890" s="81" t="str">
        <f t="shared" si="342"/>
        <v/>
      </c>
      <c r="AC890" s="139"/>
      <c r="AD890" s="110" t="str">
        <f t="shared" si="343"/>
        <v/>
      </c>
      <c r="AE890" s="111" t="str">
        <f t="shared" si="344"/>
        <v/>
      </c>
      <c r="AF890" s="111" t="str">
        <f t="shared" si="337"/>
        <v/>
      </c>
      <c r="AG890" s="111" t="str">
        <f t="shared" si="345"/>
        <v/>
      </c>
      <c r="AH890" s="111" t="str">
        <f t="shared" si="346"/>
        <v/>
      </c>
      <c r="AI890" s="112" t="str">
        <f t="shared" si="347"/>
        <v/>
      </c>
      <c r="AJ890" t="str">
        <f t="shared" si="348"/>
        <v/>
      </c>
      <c r="AK890" t="str">
        <f t="shared" si="349"/>
        <v/>
      </c>
    </row>
    <row r="891" spans="1:37" ht="15" customHeight="1" x14ac:dyDescent="0.25">
      <c r="A891" s="114"/>
      <c r="B891" s="116"/>
      <c r="C891" s="116"/>
      <c r="D891" s="42" t="str">
        <f t="shared" si="325"/>
        <v/>
      </c>
      <c r="E891" s="43"/>
      <c r="F891" s="83"/>
      <c r="G891" s="118"/>
      <c r="H891" s="34" t="str">
        <f t="shared" si="326"/>
        <v/>
      </c>
      <c r="I891" s="88" t="str">
        <f t="shared" si="327"/>
        <v/>
      </c>
      <c r="J891" s="44" t="str">
        <f t="shared" si="328"/>
        <v/>
      </c>
      <c r="K891" s="118"/>
      <c r="L891" s="34" t="str">
        <f t="shared" si="329"/>
        <v/>
      </c>
      <c r="M891" s="118"/>
      <c r="N891" s="121"/>
      <c r="O891" s="122" t="str">
        <f t="shared" si="338"/>
        <v/>
      </c>
      <c r="P891" s="35" t="str">
        <f t="shared" si="339"/>
        <v/>
      </c>
      <c r="Q891" s="124"/>
      <c r="R891" s="36" t="str">
        <f t="shared" si="340"/>
        <v/>
      </c>
      <c r="S891" s="37" t="str">
        <f t="shared" si="330"/>
        <v/>
      </c>
      <c r="T891" s="38" t="str">
        <f t="shared" si="331"/>
        <v/>
      </c>
      <c r="U891" s="39" t="str">
        <f t="shared" si="332"/>
        <v/>
      </c>
      <c r="V891" s="40" t="str">
        <f t="shared" si="333"/>
        <v/>
      </c>
      <c r="W891" s="39" t="str">
        <f t="shared" si="334"/>
        <v/>
      </c>
      <c r="X891" s="34" t="str">
        <f t="shared" si="335"/>
        <v/>
      </c>
      <c r="Y891" s="41" t="str">
        <f t="shared" si="341"/>
        <v/>
      </c>
      <c r="Z891" s="98" t="str">
        <f t="shared" si="336"/>
        <v/>
      </c>
      <c r="AA891" s="81" t="str">
        <f t="shared" si="342"/>
        <v/>
      </c>
      <c r="AC891" s="139"/>
      <c r="AD891" s="110" t="str">
        <f t="shared" si="343"/>
        <v/>
      </c>
      <c r="AE891" s="111" t="str">
        <f t="shared" si="344"/>
        <v/>
      </c>
      <c r="AF891" s="111" t="str">
        <f t="shared" si="337"/>
        <v/>
      </c>
      <c r="AG891" s="111" t="str">
        <f t="shared" si="345"/>
        <v/>
      </c>
      <c r="AH891" s="111" t="str">
        <f t="shared" si="346"/>
        <v/>
      </c>
      <c r="AI891" s="112" t="str">
        <f t="shared" si="347"/>
        <v/>
      </c>
      <c r="AJ891" t="str">
        <f t="shared" si="348"/>
        <v/>
      </c>
      <c r="AK891" t="str">
        <f t="shared" si="349"/>
        <v/>
      </c>
    </row>
    <row r="892" spans="1:37" ht="15" customHeight="1" x14ac:dyDescent="0.25">
      <c r="A892" s="114"/>
      <c r="B892" s="116"/>
      <c r="C892" s="116"/>
      <c r="D892" s="42" t="str">
        <f t="shared" si="325"/>
        <v/>
      </c>
      <c r="E892" s="43"/>
      <c r="F892" s="83"/>
      <c r="G892" s="118"/>
      <c r="H892" s="34" t="str">
        <f t="shared" si="326"/>
        <v/>
      </c>
      <c r="I892" s="88" t="str">
        <f t="shared" si="327"/>
        <v/>
      </c>
      <c r="J892" s="44" t="str">
        <f t="shared" si="328"/>
        <v/>
      </c>
      <c r="K892" s="118"/>
      <c r="L892" s="34" t="str">
        <f t="shared" si="329"/>
        <v/>
      </c>
      <c r="M892" s="118"/>
      <c r="N892" s="121"/>
      <c r="O892" s="122" t="str">
        <f t="shared" si="338"/>
        <v/>
      </c>
      <c r="P892" s="35" t="str">
        <f t="shared" si="339"/>
        <v/>
      </c>
      <c r="Q892" s="124"/>
      <c r="R892" s="36" t="str">
        <f t="shared" si="340"/>
        <v/>
      </c>
      <c r="S892" s="37" t="str">
        <f t="shared" si="330"/>
        <v/>
      </c>
      <c r="T892" s="38" t="str">
        <f t="shared" si="331"/>
        <v/>
      </c>
      <c r="U892" s="39" t="str">
        <f t="shared" si="332"/>
        <v/>
      </c>
      <c r="V892" s="40" t="str">
        <f t="shared" si="333"/>
        <v/>
      </c>
      <c r="W892" s="39" t="str">
        <f t="shared" si="334"/>
        <v/>
      </c>
      <c r="X892" s="34" t="str">
        <f t="shared" si="335"/>
        <v/>
      </c>
      <c r="Y892" s="41" t="str">
        <f t="shared" si="341"/>
        <v/>
      </c>
      <c r="Z892" s="98" t="str">
        <f t="shared" si="336"/>
        <v/>
      </c>
      <c r="AA892" s="81" t="str">
        <f t="shared" si="342"/>
        <v/>
      </c>
      <c r="AC892" s="139"/>
      <c r="AD892" s="110" t="str">
        <f t="shared" si="343"/>
        <v/>
      </c>
      <c r="AE892" s="111" t="str">
        <f t="shared" si="344"/>
        <v/>
      </c>
      <c r="AF892" s="111" t="str">
        <f t="shared" si="337"/>
        <v/>
      </c>
      <c r="AG892" s="111" t="str">
        <f t="shared" si="345"/>
        <v/>
      </c>
      <c r="AH892" s="111" t="str">
        <f t="shared" si="346"/>
        <v/>
      </c>
      <c r="AI892" s="112" t="str">
        <f t="shared" si="347"/>
        <v/>
      </c>
      <c r="AJ892" t="str">
        <f t="shared" si="348"/>
        <v/>
      </c>
      <c r="AK892" t="str">
        <f t="shared" si="349"/>
        <v/>
      </c>
    </row>
    <row r="893" spans="1:37" ht="15" customHeight="1" x14ac:dyDescent="0.25">
      <c r="A893" s="114"/>
      <c r="B893" s="116"/>
      <c r="C893" s="116"/>
      <c r="D893" s="42" t="str">
        <f t="shared" si="325"/>
        <v/>
      </c>
      <c r="E893" s="43"/>
      <c r="F893" s="83"/>
      <c r="G893" s="118"/>
      <c r="H893" s="34" t="str">
        <f t="shared" si="326"/>
        <v/>
      </c>
      <c r="I893" s="88" t="str">
        <f t="shared" si="327"/>
        <v/>
      </c>
      <c r="J893" s="44" t="str">
        <f t="shared" si="328"/>
        <v/>
      </c>
      <c r="K893" s="118"/>
      <c r="L893" s="34" t="str">
        <f t="shared" si="329"/>
        <v/>
      </c>
      <c r="M893" s="118"/>
      <c r="N893" s="121"/>
      <c r="O893" s="122" t="str">
        <f t="shared" si="338"/>
        <v/>
      </c>
      <c r="P893" s="35" t="str">
        <f t="shared" si="339"/>
        <v/>
      </c>
      <c r="Q893" s="124"/>
      <c r="R893" s="36" t="str">
        <f t="shared" si="340"/>
        <v/>
      </c>
      <c r="S893" s="37" t="str">
        <f t="shared" si="330"/>
        <v/>
      </c>
      <c r="T893" s="38" t="str">
        <f t="shared" si="331"/>
        <v/>
      </c>
      <c r="U893" s="39" t="str">
        <f t="shared" si="332"/>
        <v/>
      </c>
      <c r="V893" s="40" t="str">
        <f t="shared" si="333"/>
        <v/>
      </c>
      <c r="W893" s="39" t="str">
        <f t="shared" si="334"/>
        <v/>
      </c>
      <c r="X893" s="34" t="str">
        <f t="shared" si="335"/>
        <v/>
      </c>
      <c r="Y893" s="41" t="str">
        <f t="shared" si="341"/>
        <v/>
      </c>
      <c r="Z893" s="98" t="str">
        <f t="shared" si="336"/>
        <v/>
      </c>
      <c r="AA893" s="81" t="str">
        <f t="shared" si="342"/>
        <v/>
      </c>
      <c r="AC893" s="139"/>
      <c r="AD893" s="110" t="str">
        <f t="shared" si="343"/>
        <v/>
      </c>
      <c r="AE893" s="111" t="str">
        <f t="shared" si="344"/>
        <v/>
      </c>
      <c r="AF893" s="111" t="str">
        <f t="shared" si="337"/>
        <v/>
      </c>
      <c r="AG893" s="111" t="str">
        <f t="shared" si="345"/>
        <v/>
      </c>
      <c r="AH893" s="111" t="str">
        <f t="shared" si="346"/>
        <v/>
      </c>
      <c r="AI893" s="112" t="str">
        <f t="shared" si="347"/>
        <v/>
      </c>
      <c r="AJ893" t="str">
        <f t="shared" si="348"/>
        <v/>
      </c>
      <c r="AK893" t="str">
        <f t="shared" si="349"/>
        <v/>
      </c>
    </row>
    <row r="894" spans="1:37" ht="15" customHeight="1" x14ac:dyDescent="0.25">
      <c r="A894" s="114"/>
      <c r="B894" s="116"/>
      <c r="C894" s="116"/>
      <c r="D894" s="42" t="str">
        <f t="shared" si="325"/>
        <v/>
      </c>
      <c r="E894" s="43"/>
      <c r="F894" s="83"/>
      <c r="G894" s="118"/>
      <c r="H894" s="34" t="str">
        <f t="shared" si="326"/>
        <v/>
      </c>
      <c r="I894" s="88" t="str">
        <f t="shared" si="327"/>
        <v/>
      </c>
      <c r="J894" s="44" t="str">
        <f t="shared" si="328"/>
        <v/>
      </c>
      <c r="K894" s="118"/>
      <c r="L894" s="34" t="str">
        <f t="shared" si="329"/>
        <v/>
      </c>
      <c r="M894" s="118"/>
      <c r="N894" s="121"/>
      <c r="O894" s="122" t="str">
        <f t="shared" si="338"/>
        <v/>
      </c>
      <c r="P894" s="35" t="str">
        <f t="shared" si="339"/>
        <v/>
      </c>
      <c r="Q894" s="124"/>
      <c r="R894" s="36" t="str">
        <f t="shared" si="340"/>
        <v/>
      </c>
      <c r="S894" s="37" t="str">
        <f t="shared" si="330"/>
        <v/>
      </c>
      <c r="T894" s="38" t="str">
        <f t="shared" si="331"/>
        <v/>
      </c>
      <c r="U894" s="39" t="str">
        <f t="shared" si="332"/>
        <v/>
      </c>
      <c r="V894" s="40" t="str">
        <f t="shared" si="333"/>
        <v/>
      </c>
      <c r="W894" s="39" t="str">
        <f t="shared" si="334"/>
        <v/>
      </c>
      <c r="X894" s="34" t="str">
        <f t="shared" si="335"/>
        <v/>
      </c>
      <c r="Y894" s="41" t="str">
        <f t="shared" si="341"/>
        <v/>
      </c>
      <c r="Z894" s="98" t="str">
        <f t="shared" si="336"/>
        <v/>
      </c>
      <c r="AA894" s="81" t="str">
        <f t="shared" si="342"/>
        <v/>
      </c>
      <c r="AC894" s="139"/>
      <c r="AD894" s="110" t="str">
        <f t="shared" si="343"/>
        <v/>
      </c>
      <c r="AE894" s="111" t="str">
        <f t="shared" si="344"/>
        <v/>
      </c>
      <c r="AF894" s="111" t="str">
        <f t="shared" si="337"/>
        <v/>
      </c>
      <c r="AG894" s="111" t="str">
        <f t="shared" si="345"/>
        <v/>
      </c>
      <c r="AH894" s="111" t="str">
        <f t="shared" si="346"/>
        <v/>
      </c>
      <c r="AI894" s="112" t="str">
        <f t="shared" si="347"/>
        <v/>
      </c>
      <c r="AJ894" t="str">
        <f t="shared" si="348"/>
        <v/>
      </c>
      <c r="AK894" t="str">
        <f t="shared" si="349"/>
        <v/>
      </c>
    </row>
    <row r="895" spans="1:37" ht="15" customHeight="1" x14ac:dyDescent="0.25">
      <c r="A895" s="114"/>
      <c r="B895" s="116"/>
      <c r="C895" s="116"/>
      <c r="D895" s="42" t="str">
        <f t="shared" si="325"/>
        <v/>
      </c>
      <c r="E895" s="43"/>
      <c r="F895" s="83"/>
      <c r="G895" s="118"/>
      <c r="H895" s="34" t="str">
        <f t="shared" si="326"/>
        <v/>
      </c>
      <c r="I895" s="88" t="str">
        <f t="shared" si="327"/>
        <v/>
      </c>
      <c r="J895" s="44" t="str">
        <f t="shared" si="328"/>
        <v/>
      </c>
      <c r="K895" s="118"/>
      <c r="L895" s="34" t="str">
        <f t="shared" si="329"/>
        <v/>
      </c>
      <c r="M895" s="118"/>
      <c r="N895" s="121"/>
      <c r="O895" s="122" t="str">
        <f t="shared" si="338"/>
        <v/>
      </c>
      <c r="P895" s="35" t="str">
        <f t="shared" si="339"/>
        <v/>
      </c>
      <c r="Q895" s="124"/>
      <c r="R895" s="36" t="str">
        <f t="shared" si="340"/>
        <v/>
      </c>
      <c r="S895" s="37" t="str">
        <f t="shared" si="330"/>
        <v/>
      </c>
      <c r="T895" s="38" t="str">
        <f t="shared" si="331"/>
        <v/>
      </c>
      <c r="U895" s="39" t="str">
        <f t="shared" si="332"/>
        <v/>
      </c>
      <c r="V895" s="40" t="str">
        <f t="shared" si="333"/>
        <v/>
      </c>
      <c r="W895" s="39" t="str">
        <f t="shared" si="334"/>
        <v/>
      </c>
      <c r="X895" s="34" t="str">
        <f t="shared" si="335"/>
        <v/>
      </c>
      <c r="Y895" s="41" t="str">
        <f t="shared" si="341"/>
        <v/>
      </c>
      <c r="Z895" s="98" t="str">
        <f t="shared" si="336"/>
        <v/>
      </c>
      <c r="AA895" s="81" t="str">
        <f t="shared" si="342"/>
        <v/>
      </c>
      <c r="AC895" s="139"/>
      <c r="AD895" s="110" t="str">
        <f t="shared" si="343"/>
        <v/>
      </c>
      <c r="AE895" s="111" t="str">
        <f t="shared" si="344"/>
        <v/>
      </c>
      <c r="AF895" s="111" t="str">
        <f t="shared" si="337"/>
        <v/>
      </c>
      <c r="AG895" s="111" t="str">
        <f t="shared" si="345"/>
        <v/>
      </c>
      <c r="AH895" s="111" t="str">
        <f t="shared" si="346"/>
        <v/>
      </c>
      <c r="AI895" s="112" t="str">
        <f t="shared" si="347"/>
        <v/>
      </c>
      <c r="AJ895" t="str">
        <f t="shared" si="348"/>
        <v/>
      </c>
      <c r="AK895" t="str">
        <f t="shared" si="349"/>
        <v/>
      </c>
    </row>
    <row r="896" spans="1:37" ht="15" customHeight="1" x14ac:dyDescent="0.25">
      <c r="A896" s="114"/>
      <c r="B896" s="116"/>
      <c r="C896" s="116"/>
      <c r="D896" s="42" t="str">
        <f t="shared" si="325"/>
        <v/>
      </c>
      <c r="E896" s="43"/>
      <c r="F896" s="83"/>
      <c r="G896" s="118"/>
      <c r="H896" s="34" t="str">
        <f t="shared" si="326"/>
        <v/>
      </c>
      <c r="I896" s="88" t="str">
        <f t="shared" si="327"/>
        <v/>
      </c>
      <c r="J896" s="44" t="str">
        <f t="shared" si="328"/>
        <v/>
      </c>
      <c r="K896" s="118"/>
      <c r="L896" s="34" t="str">
        <f t="shared" si="329"/>
        <v/>
      </c>
      <c r="M896" s="118"/>
      <c r="N896" s="121"/>
      <c r="O896" s="122" t="str">
        <f t="shared" si="338"/>
        <v/>
      </c>
      <c r="P896" s="35" t="str">
        <f t="shared" si="339"/>
        <v/>
      </c>
      <c r="Q896" s="124"/>
      <c r="R896" s="36" t="str">
        <f t="shared" si="340"/>
        <v/>
      </c>
      <c r="S896" s="37" t="str">
        <f t="shared" si="330"/>
        <v/>
      </c>
      <c r="T896" s="38" t="str">
        <f t="shared" si="331"/>
        <v/>
      </c>
      <c r="U896" s="39" t="str">
        <f t="shared" si="332"/>
        <v/>
      </c>
      <c r="V896" s="40" t="str">
        <f t="shared" si="333"/>
        <v/>
      </c>
      <c r="W896" s="39" t="str">
        <f t="shared" si="334"/>
        <v/>
      </c>
      <c r="X896" s="34" t="str">
        <f t="shared" si="335"/>
        <v/>
      </c>
      <c r="Y896" s="41" t="str">
        <f t="shared" si="341"/>
        <v/>
      </c>
      <c r="Z896" s="98" t="str">
        <f t="shared" si="336"/>
        <v/>
      </c>
      <c r="AA896" s="81" t="str">
        <f t="shared" si="342"/>
        <v/>
      </c>
      <c r="AC896" s="139"/>
      <c r="AD896" s="110" t="str">
        <f t="shared" si="343"/>
        <v/>
      </c>
      <c r="AE896" s="111" t="str">
        <f t="shared" si="344"/>
        <v/>
      </c>
      <c r="AF896" s="111" t="str">
        <f t="shared" si="337"/>
        <v/>
      </c>
      <c r="AG896" s="111" t="str">
        <f t="shared" si="345"/>
        <v/>
      </c>
      <c r="AH896" s="111" t="str">
        <f t="shared" si="346"/>
        <v/>
      </c>
      <c r="AI896" s="112" t="str">
        <f t="shared" si="347"/>
        <v/>
      </c>
      <c r="AJ896" t="str">
        <f t="shared" si="348"/>
        <v/>
      </c>
      <c r="AK896" t="str">
        <f t="shared" si="349"/>
        <v/>
      </c>
    </row>
    <row r="897" spans="1:37" ht="15" customHeight="1" x14ac:dyDescent="0.25">
      <c r="A897" s="114"/>
      <c r="B897" s="116"/>
      <c r="C897" s="116"/>
      <c r="D897" s="42" t="str">
        <f t="shared" si="325"/>
        <v/>
      </c>
      <c r="E897" s="43"/>
      <c r="F897" s="83"/>
      <c r="G897" s="118"/>
      <c r="H897" s="34" t="str">
        <f t="shared" si="326"/>
        <v/>
      </c>
      <c r="I897" s="88" t="str">
        <f t="shared" si="327"/>
        <v/>
      </c>
      <c r="J897" s="44" t="str">
        <f t="shared" si="328"/>
        <v/>
      </c>
      <c r="K897" s="118"/>
      <c r="L897" s="34" t="str">
        <f t="shared" si="329"/>
        <v/>
      </c>
      <c r="M897" s="118"/>
      <c r="N897" s="121"/>
      <c r="O897" s="122" t="str">
        <f t="shared" si="338"/>
        <v/>
      </c>
      <c r="P897" s="35" t="str">
        <f t="shared" si="339"/>
        <v/>
      </c>
      <c r="Q897" s="124"/>
      <c r="R897" s="36" t="str">
        <f t="shared" si="340"/>
        <v/>
      </c>
      <c r="S897" s="37" t="str">
        <f t="shared" si="330"/>
        <v/>
      </c>
      <c r="T897" s="38" t="str">
        <f t="shared" si="331"/>
        <v/>
      </c>
      <c r="U897" s="39" t="str">
        <f t="shared" si="332"/>
        <v/>
      </c>
      <c r="V897" s="40" t="str">
        <f t="shared" si="333"/>
        <v/>
      </c>
      <c r="W897" s="39" t="str">
        <f t="shared" si="334"/>
        <v/>
      </c>
      <c r="X897" s="34" t="str">
        <f t="shared" si="335"/>
        <v/>
      </c>
      <c r="Y897" s="41" t="str">
        <f t="shared" si="341"/>
        <v/>
      </c>
      <c r="Z897" s="98" t="str">
        <f t="shared" si="336"/>
        <v/>
      </c>
      <c r="AA897" s="81" t="str">
        <f t="shared" si="342"/>
        <v/>
      </c>
      <c r="AC897" s="139"/>
      <c r="AD897" s="110" t="str">
        <f t="shared" si="343"/>
        <v/>
      </c>
      <c r="AE897" s="111" t="str">
        <f t="shared" si="344"/>
        <v/>
      </c>
      <c r="AF897" s="111" t="str">
        <f t="shared" si="337"/>
        <v/>
      </c>
      <c r="AG897" s="111" t="str">
        <f t="shared" si="345"/>
        <v/>
      </c>
      <c r="AH897" s="111" t="str">
        <f t="shared" si="346"/>
        <v/>
      </c>
      <c r="AI897" s="112" t="str">
        <f t="shared" si="347"/>
        <v/>
      </c>
      <c r="AJ897" t="str">
        <f t="shared" si="348"/>
        <v/>
      </c>
      <c r="AK897" t="str">
        <f t="shared" si="349"/>
        <v/>
      </c>
    </row>
    <row r="898" spans="1:37" ht="15" customHeight="1" x14ac:dyDescent="0.25">
      <c r="A898" s="114"/>
      <c r="B898" s="116"/>
      <c r="C898" s="116"/>
      <c r="D898" s="42" t="str">
        <f t="shared" si="325"/>
        <v/>
      </c>
      <c r="E898" s="43"/>
      <c r="F898" s="83"/>
      <c r="G898" s="118"/>
      <c r="H898" s="34" t="str">
        <f t="shared" si="326"/>
        <v/>
      </c>
      <c r="I898" s="88" t="str">
        <f t="shared" si="327"/>
        <v/>
      </c>
      <c r="J898" s="44" t="str">
        <f t="shared" si="328"/>
        <v/>
      </c>
      <c r="K898" s="118"/>
      <c r="L898" s="34" t="str">
        <f t="shared" si="329"/>
        <v/>
      </c>
      <c r="M898" s="118"/>
      <c r="N898" s="121"/>
      <c r="O898" s="122" t="str">
        <f t="shared" si="338"/>
        <v/>
      </c>
      <c r="P898" s="35" t="str">
        <f t="shared" si="339"/>
        <v/>
      </c>
      <c r="Q898" s="124"/>
      <c r="R898" s="36" t="str">
        <f t="shared" si="340"/>
        <v/>
      </c>
      <c r="S898" s="37" t="str">
        <f t="shared" si="330"/>
        <v/>
      </c>
      <c r="T898" s="38" t="str">
        <f t="shared" si="331"/>
        <v/>
      </c>
      <c r="U898" s="39" t="str">
        <f t="shared" si="332"/>
        <v/>
      </c>
      <c r="V898" s="40" t="str">
        <f t="shared" si="333"/>
        <v/>
      </c>
      <c r="W898" s="39" t="str">
        <f t="shared" si="334"/>
        <v/>
      </c>
      <c r="X898" s="34" t="str">
        <f t="shared" si="335"/>
        <v/>
      </c>
      <c r="Y898" s="41" t="str">
        <f t="shared" si="341"/>
        <v/>
      </c>
      <c r="Z898" s="98" t="str">
        <f t="shared" si="336"/>
        <v/>
      </c>
      <c r="AA898" s="81" t="str">
        <f t="shared" si="342"/>
        <v/>
      </c>
      <c r="AC898" s="139"/>
      <c r="AD898" s="110" t="str">
        <f t="shared" si="343"/>
        <v/>
      </c>
      <c r="AE898" s="111" t="str">
        <f t="shared" si="344"/>
        <v/>
      </c>
      <c r="AF898" s="111" t="str">
        <f t="shared" si="337"/>
        <v/>
      </c>
      <c r="AG898" s="111" t="str">
        <f t="shared" si="345"/>
        <v/>
      </c>
      <c r="AH898" s="111" t="str">
        <f t="shared" si="346"/>
        <v/>
      </c>
      <c r="AI898" s="112" t="str">
        <f t="shared" si="347"/>
        <v/>
      </c>
      <c r="AJ898" t="str">
        <f t="shared" si="348"/>
        <v/>
      </c>
      <c r="AK898" t="str">
        <f t="shared" si="349"/>
        <v/>
      </c>
    </row>
    <row r="899" spans="1:37" ht="15" customHeight="1" x14ac:dyDescent="0.25">
      <c r="A899" s="114"/>
      <c r="B899" s="116"/>
      <c r="C899" s="116"/>
      <c r="D899" s="42" t="str">
        <f t="shared" si="325"/>
        <v/>
      </c>
      <c r="E899" s="43"/>
      <c r="F899" s="83"/>
      <c r="G899" s="118"/>
      <c r="H899" s="34" t="str">
        <f t="shared" si="326"/>
        <v/>
      </c>
      <c r="I899" s="88" t="str">
        <f t="shared" si="327"/>
        <v/>
      </c>
      <c r="J899" s="44" t="str">
        <f t="shared" si="328"/>
        <v/>
      </c>
      <c r="K899" s="118"/>
      <c r="L899" s="34" t="str">
        <f t="shared" si="329"/>
        <v/>
      </c>
      <c r="M899" s="118"/>
      <c r="N899" s="121"/>
      <c r="O899" s="122" t="str">
        <f t="shared" si="338"/>
        <v/>
      </c>
      <c r="P899" s="35" t="str">
        <f t="shared" si="339"/>
        <v/>
      </c>
      <c r="Q899" s="124"/>
      <c r="R899" s="36" t="str">
        <f t="shared" si="340"/>
        <v/>
      </c>
      <c r="S899" s="37" t="str">
        <f t="shared" si="330"/>
        <v/>
      </c>
      <c r="T899" s="38" t="str">
        <f t="shared" si="331"/>
        <v/>
      </c>
      <c r="U899" s="39" t="str">
        <f t="shared" si="332"/>
        <v/>
      </c>
      <c r="V899" s="40" t="str">
        <f t="shared" si="333"/>
        <v/>
      </c>
      <c r="W899" s="39" t="str">
        <f t="shared" si="334"/>
        <v/>
      </c>
      <c r="X899" s="34" t="str">
        <f t="shared" si="335"/>
        <v/>
      </c>
      <c r="Y899" s="41" t="str">
        <f t="shared" si="341"/>
        <v/>
      </c>
      <c r="Z899" s="98" t="str">
        <f t="shared" si="336"/>
        <v/>
      </c>
      <c r="AA899" s="81" t="str">
        <f t="shared" si="342"/>
        <v/>
      </c>
      <c r="AC899" s="139"/>
      <c r="AD899" s="110" t="str">
        <f t="shared" si="343"/>
        <v/>
      </c>
      <c r="AE899" s="111" t="str">
        <f t="shared" si="344"/>
        <v/>
      </c>
      <c r="AF899" s="111" t="str">
        <f t="shared" si="337"/>
        <v/>
      </c>
      <c r="AG899" s="111" t="str">
        <f t="shared" si="345"/>
        <v/>
      </c>
      <c r="AH899" s="111" t="str">
        <f t="shared" si="346"/>
        <v/>
      </c>
      <c r="AI899" s="112" t="str">
        <f t="shared" si="347"/>
        <v/>
      </c>
      <c r="AJ899" t="str">
        <f t="shared" si="348"/>
        <v/>
      </c>
      <c r="AK899" t="str">
        <f t="shared" si="349"/>
        <v/>
      </c>
    </row>
    <row r="900" spans="1:37" ht="15" customHeight="1" x14ac:dyDescent="0.25">
      <c r="A900" s="114"/>
      <c r="B900" s="116"/>
      <c r="C900" s="116"/>
      <c r="D900" s="42" t="str">
        <f t="shared" si="325"/>
        <v/>
      </c>
      <c r="E900" s="43"/>
      <c r="F900" s="83"/>
      <c r="G900" s="118"/>
      <c r="H900" s="34" t="str">
        <f t="shared" si="326"/>
        <v/>
      </c>
      <c r="I900" s="88" t="str">
        <f t="shared" si="327"/>
        <v/>
      </c>
      <c r="J900" s="44" t="str">
        <f t="shared" si="328"/>
        <v/>
      </c>
      <c r="K900" s="118"/>
      <c r="L900" s="34" t="str">
        <f t="shared" si="329"/>
        <v/>
      </c>
      <c r="M900" s="118"/>
      <c r="N900" s="121"/>
      <c r="O900" s="122" t="str">
        <f t="shared" si="338"/>
        <v/>
      </c>
      <c r="P900" s="35" t="str">
        <f t="shared" si="339"/>
        <v/>
      </c>
      <c r="Q900" s="124"/>
      <c r="R900" s="36" t="str">
        <f t="shared" si="340"/>
        <v/>
      </c>
      <c r="S900" s="37" t="str">
        <f t="shared" si="330"/>
        <v/>
      </c>
      <c r="T900" s="38" t="str">
        <f t="shared" si="331"/>
        <v/>
      </c>
      <c r="U900" s="39" t="str">
        <f t="shared" si="332"/>
        <v/>
      </c>
      <c r="V900" s="40" t="str">
        <f t="shared" si="333"/>
        <v/>
      </c>
      <c r="W900" s="39" t="str">
        <f t="shared" si="334"/>
        <v/>
      </c>
      <c r="X900" s="34" t="str">
        <f t="shared" si="335"/>
        <v/>
      </c>
      <c r="Y900" s="41" t="str">
        <f t="shared" si="341"/>
        <v/>
      </c>
      <c r="Z900" s="98" t="str">
        <f t="shared" si="336"/>
        <v/>
      </c>
      <c r="AA900" s="81" t="str">
        <f t="shared" si="342"/>
        <v/>
      </c>
      <c r="AC900" s="139"/>
      <c r="AD900" s="110" t="str">
        <f t="shared" si="343"/>
        <v/>
      </c>
      <c r="AE900" s="111" t="str">
        <f t="shared" si="344"/>
        <v/>
      </c>
      <c r="AF900" s="111" t="str">
        <f t="shared" si="337"/>
        <v/>
      </c>
      <c r="AG900" s="111" t="str">
        <f t="shared" si="345"/>
        <v/>
      </c>
      <c r="AH900" s="111" t="str">
        <f t="shared" si="346"/>
        <v/>
      </c>
      <c r="AI900" s="112" t="str">
        <f t="shared" si="347"/>
        <v/>
      </c>
      <c r="AJ900" t="str">
        <f t="shared" si="348"/>
        <v/>
      </c>
      <c r="AK900" t="str">
        <f t="shared" si="349"/>
        <v/>
      </c>
    </row>
    <row r="901" spans="1:37" ht="15" customHeight="1" x14ac:dyDescent="0.25">
      <c r="A901" s="114"/>
      <c r="B901" s="116"/>
      <c r="C901" s="116"/>
      <c r="D901" s="42" t="str">
        <f t="shared" si="325"/>
        <v/>
      </c>
      <c r="E901" s="43"/>
      <c r="F901" s="83"/>
      <c r="G901" s="118"/>
      <c r="H901" s="34" t="str">
        <f t="shared" si="326"/>
        <v/>
      </c>
      <c r="I901" s="88" t="str">
        <f t="shared" si="327"/>
        <v/>
      </c>
      <c r="J901" s="44" t="str">
        <f t="shared" si="328"/>
        <v/>
      </c>
      <c r="K901" s="118"/>
      <c r="L901" s="34" t="str">
        <f t="shared" si="329"/>
        <v/>
      </c>
      <c r="M901" s="118"/>
      <c r="N901" s="121"/>
      <c r="O901" s="122" t="str">
        <f t="shared" si="338"/>
        <v/>
      </c>
      <c r="P901" s="35" t="str">
        <f t="shared" si="339"/>
        <v/>
      </c>
      <c r="Q901" s="124"/>
      <c r="R901" s="36" t="str">
        <f t="shared" si="340"/>
        <v/>
      </c>
      <c r="S901" s="37" t="str">
        <f t="shared" si="330"/>
        <v/>
      </c>
      <c r="T901" s="38" t="str">
        <f t="shared" si="331"/>
        <v/>
      </c>
      <c r="U901" s="39" t="str">
        <f t="shared" si="332"/>
        <v/>
      </c>
      <c r="V901" s="40" t="str">
        <f t="shared" si="333"/>
        <v/>
      </c>
      <c r="W901" s="39" t="str">
        <f t="shared" si="334"/>
        <v/>
      </c>
      <c r="X901" s="34" t="str">
        <f t="shared" si="335"/>
        <v/>
      </c>
      <c r="Y901" s="41" t="str">
        <f t="shared" si="341"/>
        <v/>
      </c>
      <c r="Z901" s="98" t="str">
        <f t="shared" si="336"/>
        <v/>
      </c>
      <c r="AA901" s="81" t="str">
        <f t="shared" si="342"/>
        <v/>
      </c>
      <c r="AC901" s="139"/>
      <c r="AD901" s="110" t="str">
        <f t="shared" si="343"/>
        <v/>
      </c>
      <c r="AE901" s="111" t="str">
        <f t="shared" si="344"/>
        <v/>
      </c>
      <c r="AF901" s="111" t="str">
        <f t="shared" si="337"/>
        <v/>
      </c>
      <c r="AG901" s="111" t="str">
        <f t="shared" si="345"/>
        <v/>
      </c>
      <c r="AH901" s="111" t="str">
        <f t="shared" si="346"/>
        <v/>
      </c>
      <c r="AI901" s="112" t="str">
        <f t="shared" si="347"/>
        <v/>
      </c>
      <c r="AJ901" t="str">
        <f t="shared" si="348"/>
        <v/>
      </c>
      <c r="AK901" t="str">
        <f t="shared" si="349"/>
        <v/>
      </c>
    </row>
    <row r="902" spans="1:37" ht="15" customHeight="1" x14ac:dyDescent="0.25">
      <c r="A902" s="114"/>
      <c r="B902" s="116"/>
      <c r="C902" s="116"/>
      <c r="D902" s="42" t="str">
        <f t="shared" si="325"/>
        <v/>
      </c>
      <c r="E902" s="43"/>
      <c r="F902" s="83"/>
      <c r="G902" s="118"/>
      <c r="H902" s="34" t="str">
        <f t="shared" si="326"/>
        <v/>
      </c>
      <c r="I902" s="88" t="str">
        <f t="shared" si="327"/>
        <v/>
      </c>
      <c r="J902" s="44" t="str">
        <f t="shared" si="328"/>
        <v/>
      </c>
      <c r="K902" s="118"/>
      <c r="L902" s="34" t="str">
        <f t="shared" si="329"/>
        <v/>
      </c>
      <c r="M902" s="118"/>
      <c r="N902" s="121"/>
      <c r="O902" s="122" t="str">
        <f t="shared" si="338"/>
        <v/>
      </c>
      <c r="P902" s="35" t="str">
        <f t="shared" si="339"/>
        <v/>
      </c>
      <c r="Q902" s="124"/>
      <c r="R902" s="36" t="str">
        <f t="shared" si="340"/>
        <v/>
      </c>
      <c r="S902" s="37" t="str">
        <f t="shared" si="330"/>
        <v/>
      </c>
      <c r="T902" s="38" t="str">
        <f t="shared" si="331"/>
        <v/>
      </c>
      <c r="U902" s="39" t="str">
        <f t="shared" si="332"/>
        <v/>
      </c>
      <c r="V902" s="40" t="str">
        <f t="shared" si="333"/>
        <v/>
      </c>
      <c r="W902" s="39" t="str">
        <f t="shared" si="334"/>
        <v/>
      </c>
      <c r="X902" s="34" t="str">
        <f t="shared" si="335"/>
        <v/>
      </c>
      <c r="Y902" s="41" t="str">
        <f t="shared" si="341"/>
        <v/>
      </c>
      <c r="Z902" s="98" t="str">
        <f t="shared" si="336"/>
        <v/>
      </c>
      <c r="AA902" s="81" t="str">
        <f t="shared" si="342"/>
        <v/>
      </c>
      <c r="AC902" s="139"/>
      <c r="AD902" s="110" t="str">
        <f t="shared" si="343"/>
        <v/>
      </c>
      <c r="AE902" s="111" t="str">
        <f t="shared" si="344"/>
        <v/>
      </c>
      <c r="AF902" s="111" t="str">
        <f t="shared" si="337"/>
        <v/>
      </c>
      <c r="AG902" s="111" t="str">
        <f t="shared" si="345"/>
        <v/>
      </c>
      <c r="AH902" s="111" t="str">
        <f t="shared" si="346"/>
        <v/>
      </c>
      <c r="AI902" s="112" t="str">
        <f t="shared" si="347"/>
        <v/>
      </c>
      <c r="AJ902" t="str">
        <f t="shared" si="348"/>
        <v/>
      </c>
      <c r="AK902" t="str">
        <f t="shared" si="349"/>
        <v/>
      </c>
    </row>
    <row r="903" spans="1:37" ht="15" customHeight="1" x14ac:dyDescent="0.25">
      <c r="A903" s="114"/>
      <c r="B903" s="116"/>
      <c r="C903" s="116"/>
      <c r="D903" s="42" t="str">
        <f t="shared" si="325"/>
        <v/>
      </c>
      <c r="E903" s="43"/>
      <c r="F903" s="83"/>
      <c r="G903" s="118"/>
      <c r="H903" s="34" t="str">
        <f t="shared" si="326"/>
        <v/>
      </c>
      <c r="I903" s="88" t="str">
        <f t="shared" si="327"/>
        <v/>
      </c>
      <c r="J903" s="44" t="str">
        <f t="shared" si="328"/>
        <v/>
      </c>
      <c r="K903" s="118"/>
      <c r="L903" s="34" t="str">
        <f t="shared" si="329"/>
        <v/>
      </c>
      <c r="M903" s="118"/>
      <c r="N903" s="121"/>
      <c r="O903" s="122" t="str">
        <f t="shared" si="338"/>
        <v/>
      </c>
      <c r="P903" s="35" t="str">
        <f t="shared" si="339"/>
        <v/>
      </c>
      <c r="Q903" s="124"/>
      <c r="R903" s="36" t="str">
        <f t="shared" si="340"/>
        <v/>
      </c>
      <c r="S903" s="37" t="str">
        <f t="shared" si="330"/>
        <v/>
      </c>
      <c r="T903" s="38" t="str">
        <f t="shared" si="331"/>
        <v/>
      </c>
      <c r="U903" s="39" t="str">
        <f t="shared" si="332"/>
        <v/>
      </c>
      <c r="V903" s="40" t="str">
        <f t="shared" si="333"/>
        <v/>
      </c>
      <c r="W903" s="39" t="str">
        <f t="shared" si="334"/>
        <v/>
      </c>
      <c r="X903" s="34" t="str">
        <f t="shared" si="335"/>
        <v/>
      </c>
      <c r="Y903" s="41" t="str">
        <f t="shared" si="341"/>
        <v/>
      </c>
      <c r="Z903" s="98" t="str">
        <f t="shared" si="336"/>
        <v/>
      </c>
      <c r="AA903" s="81" t="str">
        <f t="shared" si="342"/>
        <v/>
      </c>
      <c r="AC903" s="139"/>
      <c r="AD903" s="110" t="str">
        <f t="shared" si="343"/>
        <v/>
      </c>
      <c r="AE903" s="111" t="str">
        <f t="shared" si="344"/>
        <v/>
      </c>
      <c r="AF903" s="111" t="str">
        <f t="shared" si="337"/>
        <v/>
      </c>
      <c r="AG903" s="111" t="str">
        <f t="shared" si="345"/>
        <v/>
      </c>
      <c r="AH903" s="111" t="str">
        <f t="shared" si="346"/>
        <v/>
      </c>
      <c r="AI903" s="112" t="str">
        <f t="shared" si="347"/>
        <v/>
      </c>
      <c r="AJ903" t="str">
        <f t="shared" si="348"/>
        <v/>
      </c>
      <c r="AK903" t="str">
        <f t="shared" si="349"/>
        <v/>
      </c>
    </row>
    <row r="904" spans="1:37" ht="15" customHeight="1" x14ac:dyDescent="0.25">
      <c r="A904" s="114"/>
      <c r="B904" s="116"/>
      <c r="C904" s="116"/>
      <c r="D904" s="42" t="str">
        <f t="shared" ref="D904:D967" si="350">IF(A904="","",B904*C904)</f>
        <v/>
      </c>
      <c r="E904" s="43"/>
      <c r="F904" s="83"/>
      <c r="G904" s="118"/>
      <c r="H904" s="34" t="str">
        <f t="shared" ref="H904:H967" si="351">IF(OR(G904=0,C904=0,G904="",C904=""),"",G904/C904)</f>
        <v/>
      </c>
      <c r="I904" s="88" t="str">
        <f t="shared" ref="I904:I967" si="352">IF(OR(G904="",F904=""),"",G904*(1-F904))</f>
        <v/>
      </c>
      <c r="J904" s="44" t="str">
        <f t="shared" ref="J904:J967" si="353">IF(A904="","",I904*B904)</f>
        <v/>
      </c>
      <c r="K904" s="118"/>
      <c r="L904" s="34" t="str">
        <f t="shared" ref="L904:L967" si="354">IF(OR(K904=0,C904=0,K904="",C904=""),"",K904/C904)</f>
        <v/>
      </c>
      <c r="M904" s="118"/>
      <c r="N904" s="121"/>
      <c r="O904" s="122" t="str">
        <f t="shared" si="338"/>
        <v/>
      </c>
      <c r="P904" s="35" t="str">
        <f t="shared" si="339"/>
        <v/>
      </c>
      <c r="Q904" s="124"/>
      <c r="R904" s="36" t="str">
        <f t="shared" si="340"/>
        <v/>
      </c>
      <c r="S904" s="37" t="str">
        <f t="shared" ref="S904:S967" si="355">IF(OR(A904="",R904=""),"",R904*C904)</f>
        <v/>
      </c>
      <c r="T904" s="38" t="str">
        <f t="shared" ref="T904:T967" si="356">IF(OR(A904="",G904&lt;=0,S904=""),"",(G904-S904)/G904)</f>
        <v/>
      </c>
      <c r="U904" s="39" t="str">
        <f t="shared" ref="U904:U967" si="357">IF(OR(G904=0,S904=0,G904="",S904=""),"",G904-S904)</f>
        <v/>
      </c>
      <c r="V904" s="40" t="str">
        <f t="shared" ref="V904:V967" si="358">IF(OR(A904="",K904&lt;=0,S904=""),"",(K904-S904)/K904)</f>
        <v/>
      </c>
      <c r="W904" s="39" t="str">
        <f t="shared" ref="W904:W967" si="359">IF(OR(K904=0,S904=0,K904="",S904=""),"",K904-S904)</f>
        <v/>
      </c>
      <c r="X904" s="34" t="str">
        <f t="shared" ref="X904:X967" si="360">IF(OR(J904="",J904=0,$N$5="",$L$3=0),"",($N$5/$L$3)*J904)</f>
        <v/>
      </c>
      <c r="Y904" s="41" t="str">
        <f t="shared" si="341"/>
        <v/>
      </c>
      <c r="Z904" s="98" t="str">
        <f t="shared" ref="Z904:Z967" si="361">IF(OR(R904=0,R904="",D904=0,D904=""),"",R904*(D904+E904))</f>
        <v/>
      </c>
      <c r="AA904" s="81" t="str">
        <f t="shared" si="342"/>
        <v/>
      </c>
      <c r="AC904" s="139"/>
      <c r="AD904" s="110" t="str">
        <f t="shared" si="343"/>
        <v/>
      </c>
      <c r="AE904" s="111" t="str">
        <f t="shared" si="344"/>
        <v/>
      </c>
      <c r="AF904" s="111" t="str">
        <f t="shared" ref="AF904:AF967" si="362">IF(AE904="","",AE904*$AD$1+IF(SUM($AE$8:$AE$1007)=0,0,$AD$2*AE904/SUM($AE$8:$AE$1007)))</f>
        <v/>
      </c>
      <c r="AG904" s="111" t="str">
        <f t="shared" si="345"/>
        <v/>
      </c>
      <c r="AH904" s="111" t="str">
        <f t="shared" si="346"/>
        <v/>
      </c>
      <c r="AI904" s="112" t="str">
        <f t="shared" si="347"/>
        <v/>
      </c>
      <c r="AJ904" t="str">
        <f t="shared" si="348"/>
        <v/>
      </c>
      <c r="AK904" t="str">
        <f t="shared" si="349"/>
        <v/>
      </c>
    </row>
    <row r="905" spans="1:37" ht="15" customHeight="1" x14ac:dyDescent="0.25">
      <c r="A905" s="114"/>
      <c r="B905" s="116"/>
      <c r="C905" s="116"/>
      <c r="D905" s="42" t="str">
        <f t="shared" si="350"/>
        <v/>
      </c>
      <c r="E905" s="43"/>
      <c r="F905" s="83"/>
      <c r="G905" s="118"/>
      <c r="H905" s="34" t="str">
        <f t="shared" si="351"/>
        <v/>
      </c>
      <c r="I905" s="88" t="str">
        <f t="shared" si="352"/>
        <v/>
      </c>
      <c r="J905" s="44" t="str">
        <f t="shared" si="353"/>
        <v/>
      </c>
      <c r="K905" s="118"/>
      <c r="L905" s="34" t="str">
        <f t="shared" si="354"/>
        <v/>
      </c>
      <c r="M905" s="118"/>
      <c r="N905" s="121"/>
      <c r="O905" s="122" t="str">
        <f t="shared" ref="O905:O968" si="363">IF(A905="","",IF(Q905&gt;0,IF(J905&gt;0,Q905/J905,0),IF(E905&gt;0,0,IF($J$3&gt;0,IF($J$4&gt;0,MAX($J$3-SUM($Q$8:$Q$1007),0)/$J$4,0),$J$2))))</f>
        <v/>
      </c>
      <c r="P905" s="35" t="str">
        <f t="shared" ref="P905:P968" si="364">IF(A905="","",IF(Q905&gt;0,Q905,IF(E905&gt;0,0,J905*IF($J$3&gt;0,IF($J$4&gt;0,MAX($J$3-SUM($Q$8:$Q$1007),0)/$J$4,0),$J$2))))</f>
        <v/>
      </c>
      <c r="Q905" s="124"/>
      <c r="R905" s="36" t="str">
        <f t="shared" ref="R905:R968" si="365">IF(A905="","",IF(OR(B905=0,B905="",C905&lt;=0,D905+E905&lt;=0),"",(J905-P905)/(D905+E905)-IF(X905&gt;=0,X905/D905,0)+IF(ISNUMBER(Y905),Y905/(D905+E905),0)))</f>
        <v/>
      </c>
      <c r="S905" s="37" t="str">
        <f t="shared" si="355"/>
        <v/>
      </c>
      <c r="T905" s="38" t="str">
        <f t="shared" si="356"/>
        <v/>
      </c>
      <c r="U905" s="39" t="str">
        <f t="shared" si="357"/>
        <v/>
      </c>
      <c r="V905" s="40" t="str">
        <f t="shared" si="358"/>
        <v/>
      </c>
      <c r="W905" s="39" t="str">
        <f t="shared" si="359"/>
        <v/>
      </c>
      <c r="X905" s="34" t="str">
        <f t="shared" si="360"/>
        <v/>
      </c>
      <c r="Y905" s="41" t="str">
        <f t="shared" ref="Y905:Y968" si="366">IF(OR(J905="",J905=0,($L$3-$L$2)=0),"",($J$1/($L$3-$L$2))*(J905-P905))</f>
        <v/>
      </c>
      <c r="Z905" s="98" t="str">
        <f t="shared" si="361"/>
        <v/>
      </c>
      <c r="AA905" s="81" t="str">
        <f t="shared" ref="AA905:AA968" si="367">IF(OR(B905=0,B905=""),"",J905)</f>
        <v/>
      </c>
      <c r="AC905" s="139"/>
      <c r="AD905" s="110" t="str">
        <f t="shared" ref="AD905:AD968" si="368">IF(AC905="","",R905)</f>
        <v/>
      </c>
      <c r="AE905" s="111" t="str">
        <f t="shared" ref="AE905:AE968" si="369">IF(OR(AC905="",AD905=""),"",AC905*AD905)</f>
        <v/>
      </c>
      <c r="AF905" s="111" t="str">
        <f t="shared" si="362"/>
        <v/>
      </c>
      <c r="AG905" s="111" t="str">
        <f t="shared" ref="AG905:AG968" si="370">IF(AE905="","",AE905-AF905)</f>
        <v/>
      </c>
      <c r="AH905" s="111" t="str">
        <f t="shared" ref="AH905:AH968" si="371">IF(AG905="","",AI905-AG905)</f>
        <v/>
      </c>
      <c r="AI905" s="112" t="str">
        <f t="shared" ref="AI905:AI968" si="372">IF(AG905="","",ROUND(AG905,0))</f>
        <v/>
      </c>
      <c r="AJ905" t="str">
        <f t="shared" ref="AJ905:AJ968" si="373">IF(OR(AC905=0,AC905=""),"",AF905/AC905)</f>
        <v/>
      </c>
      <c r="AK905" t="str">
        <f t="shared" ref="AK905:AK968" si="374">IF(OR(AC905=0,AC905=""),"",AD905*C905)</f>
        <v/>
      </c>
    </row>
    <row r="906" spans="1:37" ht="15" customHeight="1" x14ac:dyDescent="0.25">
      <c r="A906" s="114"/>
      <c r="B906" s="116"/>
      <c r="C906" s="116"/>
      <c r="D906" s="42" t="str">
        <f t="shared" si="350"/>
        <v/>
      </c>
      <c r="E906" s="43"/>
      <c r="F906" s="83"/>
      <c r="G906" s="118"/>
      <c r="H906" s="34" t="str">
        <f t="shared" si="351"/>
        <v/>
      </c>
      <c r="I906" s="88" t="str">
        <f t="shared" si="352"/>
        <v/>
      </c>
      <c r="J906" s="44" t="str">
        <f t="shared" si="353"/>
        <v/>
      </c>
      <c r="K906" s="118"/>
      <c r="L906" s="34" t="str">
        <f t="shared" si="354"/>
        <v/>
      </c>
      <c r="M906" s="118"/>
      <c r="N906" s="121"/>
      <c r="O906" s="122" t="str">
        <f t="shared" si="363"/>
        <v/>
      </c>
      <c r="P906" s="35" t="str">
        <f t="shared" si="364"/>
        <v/>
      </c>
      <c r="Q906" s="124"/>
      <c r="R906" s="36" t="str">
        <f t="shared" si="365"/>
        <v/>
      </c>
      <c r="S906" s="37" t="str">
        <f t="shared" si="355"/>
        <v/>
      </c>
      <c r="T906" s="38" t="str">
        <f t="shared" si="356"/>
        <v/>
      </c>
      <c r="U906" s="39" t="str">
        <f t="shared" si="357"/>
        <v/>
      </c>
      <c r="V906" s="40" t="str">
        <f t="shared" si="358"/>
        <v/>
      </c>
      <c r="W906" s="39" t="str">
        <f t="shared" si="359"/>
        <v/>
      </c>
      <c r="X906" s="34" t="str">
        <f t="shared" si="360"/>
        <v/>
      </c>
      <c r="Y906" s="41" t="str">
        <f t="shared" si="366"/>
        <v/>
      </c>
      <c r="Z906" s="98" t="str">
        <f t="shared" si="361"/>
        <v/>
      </c>
      <c r="AA906" s="81" t="str">
        <f t="shared" si="367"/>
        <v/>
      </c>
      <c r="AC906" s="139"/>
      <c r="AD906" s="110" t="str">
        <f t="shared" si="368"/>
        <v/>
      </c>
      <c r="AE906" s="111" t="str">
        <f t="shared" si="369"/>
        <v/>
      </c>
      <c r="AF906" s="111" t="str">
        <f t="shared" si="362"/>
        <v/>
      </c>
      <c r="AG906" s="111" t="str">
        <f t="shared" si="370"/>
        <v/>
      </c>
      <c r="AH906" s="111" t="str">
        <f t="shared" si="371"/>
        <v/>
      </c>
      <c r="AI906" s="112" t="str">
        <f t="shared" si="372"/>
        <v/>
      </c>
      <c r="AJ906" t="str">
        <f t="shared" si="373"/>
        <v/>
      </c>
      <c r="AK906" t="str">
        <f t="shared" si="374"/>
        <v/>
      </c>
    </row>
    <row r="907" spans="1:37" ht="15" customHeight="1" x14ac:dyDescent="0.25">
      <c r="A907" s="114"/>
      <c r="B907" s="116"/>
      <c r="C907" s="116"/>
      <c r="D907" s="42" t="str">
        <f t="shared" si="350"/>
        <v/>
      </c>
      <c r="E907" s="43"/>
      <c r="F907" s="83"/>
      <c r="G907" s="118"/>
      <c r="H907" s="34" t="str">
        <f t="shared" si="351"/>
        <v/>
      </c>
      <c r="I907" s="88" t="str">
        <f t="shared" si="352"/>
        <v/>
      </c>
      <c r="J907" s="44" t="str">
        <f t="shared" si="353"/>
        <v/>
      </c>
      <c r="K907" s="118"/>
      <c r="L907" s="34" t="str">
        <f t="shared" si="354"/>
        <v/>
      </c>
      <c r="M907" s="118"/>
      <c r="N907" s="121"/>
      <c r="O907" s="122" t="str">
        <f t="shared" si="363"/>
        <v/>
      </c>
      <c r="P907" s="35" t="str">
        <f t="shared" si="364"/>
        <v/>
      </c>
      <c r="Q907" s="124"/>
      <c r="R907" s="36" t="str">
        <f t="shared" si="365"/>
        <v/>
      </c>
      <c r="S907" s="37" t="str">
        <f t="shared" si="355"/>
        <v/>
      </c>
      <c r="T907" s="38" t="str">
        <f t="shared" si="356"/>
        <v/>
      </c>
      <c r="U907" s="39" t="str">
        <f t="shared" si="357"/>
        <v/>
      </c>
      <c r="V907" s="40" t="str">
        <f t="shared" si="358"/>
        <v/>
      </c>
      <c r="W907" s="39" t="str">
        <f t="shared" si="359"/>
        <v/>
      </c>
      <c r="X907" s="34" t="str">
        <f t="shared" si="360"/>
        <v/>
      </c>
      <c r="Y907" s="41" t="str">
        <f t="shared" si="366"/>
        <v/>
      </c>
      <c r="Z907" s="98" t="str">
        <f t="shared" si="361"/>
        <v/>
      </c>
      <c r="AA907" s="81" t="str">
        <f t="shared" si="367"/>
        <v/>
      </c>
      <c r="AC907" s="139"/>
      <c r="AD907" s="110" t="str">
        <f t="shared" si="368"/>
        <v/>
      </c>
      <c r="AE907" s="111" t="str">
        <f t="shared" si="369"/>
        <v/>
      </c>
      <c r="AF907" s="111" t="str">
        <f t="shared" si="362"/>
        <v/>
      </c>
      <c r="AG907" s="111" t="str">
        <f t="shared" si="370"/>
        <v/>
      </c>
      <c r="AH907" s="111" t="str">
        <f t="shared" si="371"/>
        <v/>
      </c>
      <c r="AI907" s="112" t="str">
        <f t="shared" si="372"/>
        <v/>
      </c>
      <c r="AJ907" t="str">
        <f t="shared" si="373"/>
        <v/>
      </c>
      <c r="AK907" t="str">
        <f t="shared" si="374"/>
        <v/>
      </c>
    </row>
    <row r="908" spans="1:37" ht="15" customHeight="1" x14ac:dyDescent="0.25">
      <c r="A908" s="114"/>
      <c r="B908" s="116"/>
      <c r="C908" s="116"/>
      <c r="D908" s="42" t="str">
        <f t="shared" si="350"/>
        <v/>
      </c>
      <c r="E908" s="43"/>
      <c r="F908" s="83"/>
      <c r="G908" s="118"/>
      <c r="H908" s="34" t="str">
        <f t="shared" si="351"/>
        <v/>
      </c>
      <c r="I908" s="88" t="str">
        <f t="shared" si="352"/>
        <v/>
      </c>
      <c r="J908" s="44" t="str">
        <f t="shared" si="353"/>
        <v/>
      </c>
      <c r="K908" s="118"/>
      <c r="L908" s="34" t="str">
        <f t="shared" si="354"/>
        <v/>
      </c>
      <c r="M908" s="118"/>
      <c r="N908" s="121"/>
      <c r="O908" s="122" t="str">
        <f t="shared" si="363"/>
        <v/>
      </c>
      <c r="P908" s="35" t="str">
        <f t="shared" si="364"/>
        <v/>
      </c>
      <c r="Q908" s="124"/>
      <c r="R908" s="36" t="str">
        <f t="shared" si="365"/>
        <v/>
      </c>
      <c r="S908" s="37" t="str">
        <f t="shared" si="355"/>
        <v/>
      </c>
      <c r="T908" s="38" t="str">
        <f t="shared" si="356"/>
        <v/>
      </c>
      <c r="U908" s="39" t="str">
        <f t="shared" si="357"/>
        <v/>
      </c>
      <c r="V908" s="40" t="str">
        <f t="shared" si="358"/>
        <v/>
      </c>
      <c r="W908" s="39" t="str">
        <f t="shared" si="359"/>
        <v/>
      </c>
      <c r="X908" s="34" t="str">
        <f t="shared" si="360"/>
        <v/>
      </c>
      <c r="Y908" s="41" t="str">
        <f t="shared" si="366"/>
        <v/>
      </c>
      <c r="Z908" s="98" t="str">
        <f t="shared" si="361"/>
        <v/>
      </c>
      <c r="AA908" s="81" t="str">
        <f t="shared" si="367"/>
        <v/>
      </c>
      <c r="AC908" s="139"/>
      <c r="AD908" s="110" t="str">
        <f t="shared" si="368"/>
        <v/>
      </c>
      <c r="AE908" s="111" t="str">
        <f t="shared" si="369"/>
        <v/>
      </c>
      <c r="AF908" s="111" t="str">
        <f t="shared" si="362"/>
        <v/>
      </c>
      <c r="AG908" s="111" t="str">
        <f t="shared" si="370"/>
        <v/>
      </c>
      <c r="AH908" s="111" t="str">
        <f t="shared" si="371"/>
        <v/>
      </c>
      <c r="AI908" s="112" t="str">
        <f t="shared" si="372"/>
        <v/>
      </c>
      <c r="AJ908" t="str">
        <f t="shared" si="373"/>
        <v/>
      </c>
      <c r="AK908" t="str">
        <f t="shared" si="374"/>
        <v/>
      </c>
    </row>
    <row r="909" spans="1:37" ht="15" customHeight="1" x14ac:dyDescent="0.25">
      <c r="A909" s="114"/>
      <c r="B909" s="116"/>
      <c r="C909" s="116"/>
      <c r="D909" s="42" t="str">
        <f t="shared" si="350"/>
        <v/>
      </c>
      <c r="E909" s="43"/>
      <c r="F909" s="83"/>
      <c r="G909" s="118"/>
      <c r="H909" s="34" t="str">
        <f t="shared" si="351"/>
        <v/>
      </c>
      <c r="I909" s="88" t="str">
        <f t="shared" si="352"/>
        <v/>
      </c>
      <c r="J909" s="44" t="str">
        <f t="shared" si="353"/>
        <v/>
      </c>
      <c r="K909" s="118"/>
      <c r="L909" s="34" t="str">
        <f t="shared" si="354"/>
        <v/>
      </c>
      <c r="M909" s="118"/>
      <c r="N909" s="121"/>
      <c r="O909" s="122" t="str">
        <f t="shared" si="363"/>
        <v/>
      </c>
      <c r="P909" s="35" t="str">
        <f t="shared" si="364"/>
        <v/>
      </c>
      <c r="Q909" s="124"/>
      <c r="R909" s="36" t="str">
        <f t="shared" si="365"/>
        <v/>
      </c>
      <c r="S909" s="37" t="str">
        <f t="shared" si="355"/>
        <v/>
      </c>
      <c r="T909" s="38" t="str">
        <f t="shared" si="356"/>
        <v/>
      </c>
      <c r="U909" s="39" t="str">
        <f t="shared" si="357"/>
        <v/>
      </c>
      <c r="V909" s="40" t="str">
        <f t="shared" si="358"/>
        <v/>
      </c>
      <c r="W909" s="39" t="str">
        <f t="shared" si="359"/>
        <v/>
      </c>
      <c r="X909" s="34" t="str">
        <f t="shared" si="360"/>
        <v/>
      </c>
      <c r="Y909" s="41" t="str">
        <f t="shared" si="366"/>
        <v/>
      </c>
      <c r="Z909" s="98" t="str">
        <f t="shared" si="361"/>
        <v/>
      </c>
      <c r="AA909" s="81" t="str">
        <f t="shared" si="367"/>
        <v/>
      </c>
      <c r="AC909" s="139"/>
      <c r="AD909" s="110" t="str">
        <f t="shared" si="368"/>
        <v/>
      </c>
      <c r="AE909" s="111" t="str">
        <f t="shared" si="369"/>
        <v/>
      </c>
      <c r="AF909" s="111" t="str">
        <f t="shared" si="362"/>
        <v/>
      </c>
      <c r="AG909" s="111" t="str">
        <f t="shared" si="370"/>
        <v/>
      </c>
      <c r="AH909" s="111" t="str">
        <f t="shared" si="371"/>
        <v/>
      </c>
      <c r="AI909" s="112" t="str">
        <f t="shared" si="372"/>
        <v/>
      </c>
      <c r="AJ909" t="str">
        <f t="shared" si="373"/>
        <v/>
      </c>
      <c r="AK909" t="str">
        <f t="shared" si="374"/>
        <v/>
      </c>
    </row>
    <row r="910" spans="1:37" ht="15" customHeight="1" x14ac:dyDescent="0.25">
      <c r="A910" s="114"/>
      <c r="B910" s="116"/>
      <c r="C910" s="116"/>
      <c r="D910" s="42" t="str">
        <f t="shared" si="350"/>
        <v/>
      </c>
      <c r="E910" s="43"/>
      <c r="F910" s="83"/>
      <c r="G910" s="118"/>
      <c r="H910" s="34" t="str">
        <f t="shared" si="351"/>
        <v/>
      </c>
      <c r="I910" s="88" t="str">
        <f t="shared" si="352"/>
        <v/>
      </c>
      <c r="J910" s="44" t="str">
        <f t="shared" si="353"/>
        <v/>
      </c>
      <c r="K910" s="118"/>
      <c r="L910" s="34" t="str">
        <f t="shared" si="354"/>
        <v/>
      </c>
      <c r="M910" s="118"/>
      <c r="N910" s="121"/>
      <c r="O910" s="122" t="str">
        <f t="shared" si="363"/>
        <v/>
      </c>
      <c r="P910" s="35" t="str">
        <f t="shared" si="364"/>
        <v/>
      </c>
      <c r="Q910" s="124"/>
      <c r="R910" s="36" t="str">
        <f t="shared" si="365"/>
        <v/>
      </c>
      <c r="S910" s="37" t="str">
        <f t="shared" si="355"/>
        <v/>
      </c>
      <c r="T910" s="38" t="str">
        <f t="shared" si="356"/>
        <v/>
      </c>
      <c r="U910" s="39" t="str">
        <f t="shared" si="357"/>
        <v/>
      </c>
      <c r="V910" s="40" t="str">
        <f t="shared" si="358"/>
        <v/>
      </c>
      <c r="W910" s="39" t="str">
        <f t="shared" si="359"/>
        <v/>
      </c>
      <c r="X910" s="34" t="str">
        <f t="shared" si="360"/>
        <v/>
      </c>
      <c r="Y910" s="41" t="str">
        <f t="shared" si="366"/>
        <v/>
      </c>
      <c r="Z910" s="98" t="str">
        <f t="shared" si="361"/>
        <v/>
      </c>
      <c r="AA910" s="81" t="str">
        <f t="shared" si="367"/>
        <v/>
      </c>
      <c r="AC910" s="139"/>
      <c r="AD910" s="110" t="str">
        <f t="shared" si="368"/>
        <v/>
      </c>
      <c r="AE910" s="111" t="str">
        <f t="shared" si="369"/>
        <v/>
      </c>
      <c r="AF910" s="111" t="str">
        <f t="shared" si="362"/>
        <v/>
      </c>
      <c r="AG910" s="111" t="str">
        <f t="shared" si="370"/>
        <v/>
      </c>
      <c r="AH910" s="111" t="str">
        <f t="shared" si="371"/>
        <v/>
      </c>
      <c r="AI910" s="112" t="str">
        <f t="shared" si="372"/>
        <v/>
      </c>
      <c r="AJ910" t="str">
        <f t="shared" si="373"/>
        <v/>
      </c>
      <c r="AK910" t="str">
        <f t="shared" si="374"/>
        <v/>
      </c>
    </row>
    <row r="911" spans="1:37" ht="15" customHeight="1" x14ac:dyDescent="0.25">
      <c r="A911" s="114"/>
      <c r="B911" s="116"/>
      <c r="C911" s="116"/>
      <c r="D911" s="42" t="str">
        <f t="shared" si="350"/>
        <v/>
      </c>
      <c r="E911" s="43"/>
      <c r="F911" s="83"/>
      <c r="G911" s="118"/>
      <c r="H911" s="34" t="str">
        <f t="shared" si="351"/>
        <v/>
      </c>
      <c r="I911" s="88" t="str">
        <f t="shared" si="352"/>
        <v/>
      </c>
      <c r="J911" s="44" t="str">
        <f t="shared" si="353"/>
        <v/>
      </c>
      <c r="K911" s="118"/>
      <c r="L911" s="34" t="str">
        <f t="shared" si="354"/>
        <v/>
      </c>
      <c r="M911" s="118"/>
      <c r="N911" s="121"/>
      <c r="O911" s="122" t="str">
        <f t="shared" si="363"/>
        <v/>
      </c>
      <c r="P911" s="35" t="str">
        <f t="shared" si="364"/>
        <v/>
      </c>
      <c r="Q911" s="124"/>
      <c r="R911" s="36" t="str">
        <f t="shared" si="365"/>
        <v/>
      </c>
      <c r="S911" s="37" t="str">
        <f t="shared" si="355"/>
        <v/>
      </c>
      <c r="T911" s="38" t="str">
        <f t="shared" si="356"/>
        <v/>
      </c>
      <c r="U911" s="39" t="str">
        <f t="shared" si="357"/>
        <v/>
      </c>
      <c r="V911" s="40" t="str">
        <f t="shared" si="358"/>
        <v/>
      </c>
      <c r="W911" s="39" t="str">
        <f t="shared" si="359"/>
        <v/>
      </c>
      <c r="X911" s="34" t="str">
        <f t="shared" si="360"/>
        <v/>
      </c>
      <c r="Y911" s="41" t="str">
        <f t="shared" si="366"/>
        <v/>
      </c>
      <c r="Z911" s="98" t="str">
        <f t="shared" si="361"/>
        <v/>
      </c>
      <c r="AA911" s="81" t="str">
        <f t="shared" si="367"/>
        <v/>
      </c>
      <c r="AC911" s="139"/>
      <c r="AD911" s="110" t="str">
        <f t="shared" si="368"/>
        <v/>
      </c>
      <c r="AE911" s="111" t="str">
        <f t="shared" si="369"/>
        <v/>
      </c>
      <c r="AF911" s="111" t="str">
        <f t="shared" si="362"/>
        <v/>
      </c>
      <c r="AG911" s="111" t="str">
        <f t="shared" si="370"/>
        <v/>
      </c>
      <c r="AH911" s="111" t="str">
        <f t="shared" si="371"/>
        <v/>
      </c>
      <c r="AI911" s="112" t="str">
        <f t="shared" si="372"/>
        <v/>
      </c>
      <c r="AJ911" t="str">
        <f t="shared" si="373"/>
        <v/>
      </c>
      <c r="AK911" t="str">
        <f t="shared" si="374"/>
        <v/>
      </c>
    </row>
    <row r="912" spans="1:37" ht="15" customHeight="1" x14ac:dyDescent="0.25">
      <c r="A912" s="114"/>
      <c r="B912" s="116"/>
      <c r="C912" s="116"/>
      <c r="D912" s="42" t="str">
        <f t="shared" si="350"/>
        <v/>
      </c>
      <c r="E912" s="43"/>
      <c r="F912" s="83"/>
      <c r="G912" s="118"/>
      <c r="H912" s="34" t="str">
        <f t="shared" si="351"/>
        <v/>
      </c>
      <c r="I912" s="88" t="str">
        <f t="shared" si="352"/>
        <v/>
      </c>
      <c r="J912" s="44" t="str">
        <f t="shared" si="353"/>
        <v/>
      </c>
      <c r="K912" s="118"/>
      <c r="L912" s="34" t="str">
        <f t="shared" si="354"/>
        <v/>
      </c>
      <c r="M912" s="118"/>
      <c r="N912" s="121"/>
      <c r="O912" s="122" t="str">
        <f t="shared" si="363"/>
        <v/>
      </c>
      <c r="P912" s="35" t="str">
        <f t="shared" si="364"/>
        <v/>
      </c>
      <c r="Q912" s="124"/>
      <c r="R912" s="36" t="str">
        <f t="shared" si="365"/>
        <v/>
      </c>
      <c r="S912" s="37" t="str">
        <f t="shared" si="355"/>
        <v/>
      </c>
      <c r="T912" s="38" t="str">
        <f t="shared" si="356"/>
        <v/>
      </c>
      <c r="U912" s="39" t="str">
        <f t="shared" si="357"/>
        <v/>
      </c>
      <c r="V912" s="40" t="str">
        <f t="shared" si="358"/>
        <v/>
      </c>
      <c r="W912" s="39" t="str">
        <f t="shared" si="359"/>
        <v/>
      </c>
      <c r="X912" s="34" t="str">
        <f t="shared" si="360"/>
        <v/>
      </c>
      <c r="Y912" s="41" t="str">
        <f t="shared" si="366"/>
        <v/>
      </c>
      <c r="Z912" s="98" t="str">
        <f t="shared" si="361"/>
        <v/>
      </c>
      <c r="AA912" s="81" t="str">
        <f t="shared" si="367"/>
        <v/>
      </c>
      <c r="AC912" s="139"/>
      <c r="AD912" s="110" t="str">
        <f t="shared" si="368"/>
        <v/>
      </c>
      <c r="AE912" s="111" t="str">
        <f t="shared" si="369"/>
        <v/>
      </c>
      <c r="AF912" s="111" t="str">
        <f t="shared" si="362"/>
        <v/>
      </c>
      <c r="AG912" s="111" t="str">
        <f t="shared" si="370"/>
        <v/>
      </c>
      <c r="AH912" s="111" t="str">
        <f t="shared" si="371"/>
        <v/>
      </c>
      <c r="AI912" s="112" t="str">
        <f t="shared" si="372"/>
        <v/>
      </c>
      <c r="AJ912" t="str">
        <f t="shared" si="373"/>
        <v/>
      </c>
      <c r="AK912" t="str">
        <f t="shared" si="374"/>
        <v/>
      </c>
    </row>
    <row r="913" spans="1:37" ht="15" customHeight="1" x14ac:dyDescent="0.25">
      <c r="A913" s="114"/>
      <c r="B913" s="116"/>
      <c r="C913" s="116"/>
      <c r="D913" s="42" t="str">
        <f t="shared" si="350"/>
        <v/>
      </c>
      <c r="E913" s="43"/>
      <c r="F913" s="83"/>
      <c r="G913" s="118"/>
      <c r="H913" s="34" t="str">
        <f t="shared" si="351"/>
        <v/>
      </c>
      <c r="I913" s="88" t="str">
        <f t="shared" si="352"/>
        <v/>
      </c>
      <c r="J913" s="44" t="str">
        <f t="shared" si="353"/>
        <v/>
      </c>
      <c r="K913" s="118"/>
      <c r="L913" s="34" t="str">
        <f t="shared" si="354"/>
        <v/>
      </c>
      <c r="M913" s="118"/>
      <c r="N913" s="121"/>
      <c r="O913" s="122" t="str">
        <f t="shared" si="363"/>
        <v/>
      </c>
      <c r="P913" s="35" t="str">
        <f t="shared" si="364"/>
        <v/>
      </c>
      <c r="Q913" s="124"/>
      <c r="R913" s="36" t="str">
        <f t="shared" si="365"/>
        <v/>
      </c>
      <c r="S913" s="37" t="str">
        <f t="shared" si="355"/>
        <v/>
      </c>
      <c r="T913" s="38" t="str">
        <f t="shared" si="356"/>
        <v/>
      </c>
      <c r="U913" s="39" t="str">
        <f t="shared" si="357"/>
        <v/>
      </c>
      <c r="V913" s="40" t="str">
        <f t="shared" si="358"/>
        <v/>
      </c>
      <c r="W913" s="39" t="str">
        <f t="shared" si="359"/>
        <v/>
      </c>
      <c r="X913" s="34" t="str">
        <f t="shared" si="360"/>
        <v/>
      </c>
      <c r="Y913" s="41" t="str">
        <f t="shared" si="366"/>
        <v/>
      </c>
      <c r="Z913" s="98" t="str">
        <f t="shared" si="361"/>
        <v/>
      </c>
      <c r="AA913" s="81" t="str">
        <f t="shared" si="367"/>
        <v/>
      </c>
      <c r="AC913" s="139"/>
      <c r="AD913" s="110" t="str">
        <f t="shared" si="368"/>
        <v/>
      </c>
      <c r="AE913" s="111" t="str">
        <f t="shared" si="369"/>
        <v/>
      </c>
      <c r="AF913" s="111" t="str">
        <f t="shared" si="362"/>
        <v/>
      </c>
      <c r="AG913" s="111" t="str">
        <f t="shared" si="370"/>
        <v/>
      </c>
      <c r="AH913" s="111" t="str">
        <f t="shared" si="371"/>
        <v/>
      </c>
      <c r="AI913" s="112" t="str">
        <f t="shared" si="372"/>
        <v/>
      </c>
      <c r="AJ913" t="str">
        <f t="shared" si="373"/>
        <v/>
      </c>
      <c r="AK913" t="str">
        <f t="shared" si="374"/>
        <v/>
      </c>
    </row>
    <row r="914" spans="1:37" ht="15" customHeight="1" x14ac:dyDescent="0.25">
      <c r="A914" s="114"/>
      <c r="B914" s="116"/>
      <c r="C914" s="116"/>
      <c r="D914" s="42" t="str">
        <f t="shared" si="350"/>
        <v/>
      </c>
      <c r="E914" s="43"/>
      <c r="F914" s="83"/>
      <c r="G914" s="118"/>
      <c r="H914" s="34" t="str">
        <f t="shared" si="351"/>
        <v/>
      </c>
      <c r="I914" s="88" t="str">
        <f t="shared" si="352"/>
        <v/>
      </c>
      <c r="J914" s="44" t="str">
        <f t="shared" si="353"/>
        <v/>
      </c>
      <c r="K914" s="118"/>
      <c r="L914" s="34" t="str">
        <f t="shared" si="354"/>
        <v/>
      </c>
      <c r="M914" s="118"/>
      <c r="N914" s="121"/>
      <c r="O914" s="122" t="str">
        <f t="shared" si="363"/>
        <v/>
      </c>
      <c r="P914" s="35" t="str">
        <f t="shared" si="364"/>
        <v/>
      </c>
      <c r="Q914" s="124"/>
      <c r="R914" s="36" t="str">
        <f t="shared" si="365"/>
        <v/>
      </c>
      <c r="S914" s="37" t="str">
        <f t="shared" si="355"/>
        <v/>
      </c>
      <c r="T914" s="38" t="str">
        <f t="shared" si="356"/>
        <v/>
      </c>
      <c r="U914" s="39" t="str">
        <f t="shared" si="357"/>
        <v/>
      </c>
      <c r="V914" s="40" t="str">
        <f t="shared" si="358"/>
        <v/>
      </c>
      <c r="W914" s="39" t="str">
        <f t="shared" si="359"/>
        <v/>
      </c>
      <c r="X914" s="34" t="str">
        <f t="shared" si="360"/>
        <v/>
      </c>
      <c r="Y914" s="41" t="str">
        <f t="shared" si="366"/>
        <v/>
      </c>
      <c r="Z914" s="98" t="str">
        <f t="shared" si="361"/>
        <v/>
      </c>
      <c r="AA914" s="81" t="str">
        <f t="shared" si="367"/>
        <v/>
      </c>
      <c r="AC914" s="139"/>
      <c r="AD914" s="110" t="str">
        <f t="shared" si="368"/>
        <v/>
      </c>
      <c r="AE914" s="111" t="str">
        <f t="shared" si="369"/>
        <v/>
      </c>
      <c r="AF914" s="111" t="str">
        <f t="shared" si="362"/>
        <v/>
      </c>
      <c r="AG914" s="111" t="str">
        <f t="shared" si="370"/>
        <v/>
      </c>
      <c r="AH914" s="111" t="str">
        <f t="shared" si="371"/>
        <v/>
      </c>
      <c r="AI914" s="112" t="str">
        <f t="shared" si="372"/>
        <v/>
      </c>
      <c r="AJ914" t="str">
        <f t="shared" si="373"/>
        <v/>
      </c>
      <c r="AK914" t="str">
        <f t="shared" si="374"/>
        <v/>
      </c>
    </row>
    <row r="915" spans="1:37" ht="15" customHeight="1" x14ac:dyDescent="0.25">
      <c r="A915" s="114"/>
      <c r="B915" s="116"/>
      <c r="C915" s="116"/>
      <c r="D915" s="42" t="str">
        <f t="shared" si="350"/>
        <v/>
      </c>
      <c r="E915" s="43"/>
      <c r="F915" s="83"/>
      <c r="G915" s="118"/>
      <c r="H915" s="34" t="str">
        <f t="shared" si="351"/>
        <v/>
      </c>
      <c r="I915" s="88" t="str">
        <f t="shared" si="352"/>
        <v/>
      </c>
      <c r="J915" s="44" t="str">
        <f t="shared" si="353"/>
        <v/>
      </c>
      <c r="K915" s="118"/>
      <c r="L915" s="34" t="str">
        <f t="shared" si="354"/>
        <v/>
      </c>
      <c r="M915" s="118"/>
      <c r="N915" s="121"/>
      <c r="O915" s="122" t="str">
        <f t="shared" si="363"/>
        <v/>
      </c>
      <c r="P915" s="35" t="str">
        <f t="shared" si="364"/>
        <v/>
      </c>
      <c r="Q915" s="124"/>
      <c r="R915" s="36" t="str">
        <f t="shared" si="365"/>
        <v/>
      </c>
      <c r="S915" s="37" t="str">
        <f t="shared" si="355"/>
        <v/>
      </c>
      <c r="T915" s="38" t="str">
        <f t="shared" si="356"/>
        <v/>
      </c>
      <c r="U915" s="39" t="str">
        <f t="shared" si="357"/>
        <v/>
      </c>
      <c r="V915" s="40" t="str">
        <f t="shared" si="358"/>
        <v/>
      </c>
      <c r="W915" s="39" t="str">
        <f t="shared" si="359"/>
        <v/>
      </c>
      <c r="X915" s="34" t="str">
        <f t="shared" si="360"/>
        <v/>
      </c>
      <c r="Y915" s="41" t="str">
        <f t="shared" si="366"/>
        <v/>
      </c>
      <c r="Z915" s="98" t="str">
        <f t="shared" si="361"/>
        <v/>
      </c>
      <c r="AA915" s="81" t="str">
        <f t="shared" si="367"/>
        <v/>
      </c>
      <c r="AC915" s="139"/>
      <c r="AD915" s="110" t="str">
        <f t="shared" si="368"/>
        <v/>
      </c>
      <c r="AE915" s="111" t="str">
        <f t="shared" si="369"/>
        <v/>
      </c>
      <c r="AF915" s="111" t="str">
        <f t="shared" si="362"/>
        <v/>
      </c>
      <c r="AG915" s="111" t="str">
        <f t="shared" si="370"/>
        <v/>
      </c>
      <c r="AH915" s="111" t="str">
        <f t="shared" si="371"/>
        <v/>
      </c>
      <c r="AI915" s="112" t="str">
        <f t="shared" si="372"/>
        <v/>
      </c>
      <c r="AJ915" t="str">
        <f t="shared" si="373"/>
        <v/>
      </c>
      <c r="AK915" t="str">
        <f t="shared" si="374"/>
        <v/>
      </c>
    </row>
    <row r="916" spans="1:37" ht="15" customHeight="1" x14ac:dyDescent="0.25">
      <c r="A916" s="114"/>
      <c r="B916" s="116"/>
      <c r="C916" s="116"/>
      <c r="D916" s="42" t="str">
        <f t="shared" si="350"/>
        <v/>
      </c>
      <c r="E916" s="43"/>
      <c r="F916" s="83"/>
      <c r="G916" s="118"/>
      <c r="H916" s="34" t="str">
        <f t="shared" si="351"/>
        <v/>
      </c>
      <c r="I916" s="88" t="str">
        <f t="shared" si="352"/>
        <v/>
      </c>
      <c r="J916" s="44" t="str">
        <f t="shared" si="353"/>
        <v/>
      </c>
      <c r="K916" s="118"/>
      <c r="L916" s="34" t="str">
        <f t="shared" si="354"/>
        <v/>
      </c>
      <c r="M916" s="118"/>
      <c r="N916" s="121"/>
      <c r="O916" s="122" t="str">
        <f t="shared" si="363"/>
        <v/>
      </c>
      <c r="P916" s="35" t="str">
        <f t="shared" si="364"/>
        <v/>
      </c>
      <c r="Q916" s="124"/>
      <c r="R916" s="36" t="str">
        <f t="shared" si="365"/>
        <v/>
      </c>
      <c r="S916" s="37" t="str">
        <f t="shared" si="355"/>
        <v/>
      </c>
      <c r="T916" s="38" t="str">
        <f t="shared" si="356"/>
        <v/>
      </c>
      <c r="U916" s="39" t="str">
        <f t="shared" si="357"/>
        <v/>
      </c>
      <c r="V916" s="40" t="str">
        <f t="shared" si="358"/>
        <v/>
      </c>
      <c r="W916" s="39" t="str">
        <f t="shared" si="359"/>
        <v/>
      </c>
      <c r="X916" s="34" t="str">
        <f t="shared" si="360"/>
        <v/>
      </c>
      <c r="Y916" s="41" t="str">
        <f t="shared" si="366"/>
        <v/>
      </c>
      <c r="Z916" s="98" t="str">
        <f t="shared" si="361"/>
        <v/>
      </c>
      <c r="AA916" s="81" t="str">
        <f t="shared" si="367"/>
        <v/>
      </c>
      <c r="AC916" s="139"/>
      <c r="AD916" s="110" t="str">
        <f t="shared" si="368"/>
        <v/>
      </c>
      <c r="AE916" s="111" t="str">
        <f t="shared" si="369"/>
        <v/>
      </c>
      <c r="AF916" s="111" t="str">
        <f t="shared" si="362"/>
        <v/>
      </c>
      <c r="AG916" s="111" t="str">
        <f t="shared" si="370"/>
        <v/>
      </c>
      <c r="AH916" s="111" t="str">
        <f t="shared" si="371"/>
        <v/>
      </c>
      <c r="AI916" s="112" t="str">
        <f t="shared" si="372"/>
        <v/>
      </c>
      <c r="AJ916" t="str">
        <f t="shared" si="373"/>
        <v/>
      </c>
      <c r="AK916" t="str">
        <f t="shared" si="374"/>
        <v/>
      </c>
    </row>
    <row r="917" spans="1:37" ht="15" customHeight="1" x14ac:dyDescent="0.25">
      <c r="A917" s="114"/>
      <c r="B917" s="116"/>
      <c r="C917" s="116"/>
      <c r="D917" s="42" t="str">
        <f t="shared" si="350"/>
        <v/>
      </c>
      <c r="E917" s="43"/>
      <c r="F917" s="83"/>
      <c r="G917" s="118"/>
      <c r="H917" s="34" t="str">
        <f t="shared" si="351"/>
        <v/>
      </c>
      <c r="I917" s="88" t="str">
        <f t="shared" si="352"/>
        <v/>
      </c>
      <c r="J917" s="44" t="str">
        <f t="shared" si="353"/>
        <v/>
      </c>
      <c r="K917" s="118"/>
      <c r="L917" s="34" t="str">
        <f t="shared" si="354"/>
        <v/>
      </c>
      <c r="M917" s="118"/>
      <c r="N917" s="121"/>
      <c r="O917" s="122" t="str">
        <f t="shared" si="363"/>
        <v/>
      </c>
      <c r="P917" s="35" t="str">
        <f t="shared" si="364"/>
        <v/>
      </c>
      <c r="Q917" s="124"/>
      <c r="R917" s="36" t="str">
        <f t="shared" si="365"/>
        <v/>
      </c>
      <c r="S917" s="37" t="str">
        <f t="shared" si="355"/>
        <v/>
      </c>
      <c r="T917" s="38" t="str">
        <f t="shared" si="356"/>
        <v/>
      </c>
      <c r="U917" s="39" t="str">
        <f t="shared" si="357"/>
        <v/>
      </c>
      <c r="V917" s="40" t="str">
        <f t="shared" si="358"/>
        <v/>
      </c>
      <c r="W917" s="39" t="str">
        <f t="shared" si="359"/>
        <v/>
      </c>
      <c r="X917" s="34" t="str">
        <f t="shared" si="360"/>
        <v/>
      </c>
      <c r="Y917" s="41" t="str">
        <f t="shared" si="366"/>
        <v/>
      </c>
      <c r="Z917" s="98" t="str">
        <f t="shared" si="361"/>
        <v/>
      </c>
      <c r="AA917" s="81" t="str">
        <f t="shared" si="367"/>
        <v/>
      </c>
      <c r="AC917" s="139"/>
      <c r="AD917" s="110" t="str">
        <f t="shared" si="368"/>
        <v/>
      </c>
      <c r="AE917" s="111" t="str">
        <f t="shared" si="369"/>
        <v/>
      </c>
      <c r="AF917" s="111" t="str">
        <f t="shared" si="362"/>
        <v/>
      </c>
      <c r="AG917" s="111" t="str">
        <f t="shared" si="370"/>
        <v/>
      </c>
      <c r="AH917" s="111" t="str">
        <f t="shared" si="371"/>
        <v/>
      </c>
      <c r="AI917" s="112" t="str">
        <f t="shared" si="372"/>
        <v/>
      </c>
      <c r="AJ917" t="str">
        <f t="shared" si="373"/>
        <v/>
      </c>
      <c r="AK917" t="str">
        <f t="shared" si="374"/>
        <v/>
      </c>
    </row>
    <row r="918" spans="1:37" ht="15" customHeight="1" x14ac:dyDescent="0.25">
      <c r="A918" s="114"/>
      <c r="B918" s="116"/>
      <c r="C918" s="116"/>
      <c r="D918" s="42" t="str">
        <f t="shared" si="350"/>
        <v/>
      </c>
      <c r="E918" s="43"/>
      <c r="F918" s="83"/>
      <c r="G918" s="118"/>
      <c r="H918" s="34" t="str">
        <f t="shared" si="351"/>
        <v/>
      </c>
      <c r="I918" s="88" t="str">
        <f t="shared" si="352"/>
        <v/>
      </c>
      <c r="J918" s="44" t="str">
        <f t="shared" si="353"/>
        <v/>
      </c>
      <c r="K918" s="118"/>
      <c r="L918" s="34" t="str">
        <f t="shared" si="354"/>
        <v/>
      </c>
      <c r="M918" s="118"/>
      <c r="N918" s="121"/>
      <c r="O918" s="122" t="str">
        <f t="shared" si="363"/>
        <v/>
      </c>
      <c r="P918" s="35" t="str">
        <f t="shared" si="364"/>
        <v/>
      </c>
      <c r="Q918" s="124"/>
      <c r="R918" s="36" t="str">
        <f t="shared" si="365"/>
        <v/>
      </c>
      <c r="S918" s="37" t="str">
        <f t="shared" si="355"/>
        <v/>
      </c>
      <c r="T918" s="38" t="str">
        <f t="shared" si="356"/>
        <v/>
      </c>
      <c r="U918" s="39" t="str">
        <f t="shared" si="357"/>
        <v/>
      </c>
      <c r="V918" s="40" t="str">
        <f t="shared" si="358"/>
        <v/>
      </c>
      <c r="W918" s="39" t="str">
        <f t="shared" si="359"/>
        <v/>
      </c>
      <c r="X918" s="34" t="str">
        <f t="shared" si="360"/>
        <v/>
      </c>
      <c r="Y918" s="41" t="str">
        <f t="shared" si="366"/>
        <v/>
      </c>
      <c r="Z918" s="98" t="str">
        <f t="shared" si="361"/>
        <v/>
      </c>
      <c r="AA918" s="81" t="str">
        <f t="shared" si="367"/>
        <v/>
      </c>
      <c r="AC918" s="139"/>
      <c r="AD918" s="110" t="str">
        <f t="shared" si="368"/>
        <v/>
      </c>
      <c r="AE918" s="111" t="str">
        <f t="shared" si="369"/>
        <v/>
      </c>
      <c r="AF918" s="111" t="str">
        <f t="shared" si="362"/>
        <v/>
      </c>
      <c r="AG918" s="111" t="str">
        <f t="shared" si="370"/>
        <v/>
      </c>
      <c r="AH918" s="111" t="str">
        <f t="shared" si="371"/>
        <v/>
      </c>
      <c r="AI918" s="112" t="str">
        <f t="shared" si="372"/>
        <v/>
      </c>
      <c r="AJ918" t="str">
        <f t="shared" si="373"/>
        <v/>
      </c>
      <c r="AK918" t="str">
        <f t="shared" si="374"/>
        <v/>
      </c>
    </row>
    <row r="919" spans="1:37" ht="15" customHeight="1" x14ac:dyDescent="0.25">
      <c r="A919" s="114"/>
      <c r="B919" s="116"/>
      <c r="C919" s="116"/>
      <c r="D919" s="42" t="str">
        <f t="shared" si="350"/>
        <v/>
      </c>
      <c r="E919" s="43"/>
      <c r="F919" s="83"/>
      <c r="G919" s="118"/>
      <c r="H919" s="34" t="str">
        <f t="shared" si="351"/>
        <v/>
      </c>
      <c r="I919" s="88" t="str">
        <f t="shared" si="352"/>
        <v/>
      </c>
      <c r="J919" s="44" t="str">
        <f t="shared" si="353"/>
        <v/>
      </c>
      <c r="K919" s="118"/>
      <c r="L919" s="34" t="str">
        <f t="shared" si="354"/>
        <v/>
      </c>
      <c r="M919" s="118"/>
      <c r="N919" s="121"/>
      <c r="O919" s="122" t="str">
        <f t="shared" si="363"/>
        <v/>
      </c>
      <c r="P919" s="35" t="str">
        <f t="shared" si="364"/>
        <v/>
      </c>
      <c r="Q919" s="124"/>
      <c r="R919" s="36" t="str">
        <f t="shared" si="365"/>
        <v/>
      </c>
      <c r="S919" s="37" t="str">
        <f t="shared" si="355"/>
        <v/>
      </c>
      <c r="T919" s="38" t="str">
        <f t="shared" si="356"/>
        <v/>
      </c>
      <c r="U919" s="39" t="str">
        <f t="shared" si="357"/>
        <v/>
      </c>
      <c r="V919" s="40" t="str">
        <f t="shared" si="358"/>
        <v/>
      </c>
      <c r="W919" s="39" t="str">
        <f t="shared" si="359"/>
        <v/>
      </c>
      <c r="X919" s="34" t="str">
        <f t="shared" si="360"/>
        <v/>
      </c>
      <c r="Y919" s="41" t="str">
        <f t="shared" si="366"/>
        <v/>
      </c>
      <c r="Z919" s="98" t="str">
        <f t="shared" si="361"/>
        <v/>
      </c>
      <c r="AA919" s="81" t="str">
        <f t="shared" si="367"/>
        <v/>
      </c>
      <c r="AC919" s="139"/>
      <c r="AD919" s="110" t="str">
        <f t="shared" si="368"/>
        <v/>
      </c>
      <c r="AE919" s="111" t="str">
        <f t="shared" si="369"/>
        <v/>
      </c>
      <c r="AF919" s="111" t="str">
        <f t="shared" si="362"/>
        <v/>
      </c>
      <c r="AG919" s="111" t="str">
        <f t="shared" si="370"/>
        <v/>
      </c>
      <c r="AH919" s="111" t="str">
        <f t="shared" si="371"/>
        <v/>
      </c>
      <c r="AI919" s="112" t="str">
        <f t="shared" si="372"/>
        <v/>
      </c>
      <c r="AJ919" t="str">
        <f t="shared" si="373"/>
        <v/>
      </c>
      <c r="AK919" t="str">
        <f t="shared" si="374"/>
        <v/>
      </c>
    </row>
    <row r="920" spans="1:37" ht="15" customHeight="1" x14ac:dyDescent="0.25">
      <c r="A920" s="114"/>
      <c r="B920" s="116"/>
      <c r="C920" s="116"/>
      <c r="D920" s="42" t="str">
        <f t="shared" si="350"/>
        <v/>
      </c>
      <c r="E920" s="43"/>
      <c r="F920" s="83"/>
      <c r="G920" s="118"/>
      <c r="H920" s="34" t="str">
        <f t="shared" si="351"/>
        <v/>
      </c>
      <c r="I920" s="88" t="str">
        <f t="shared" si="352"/>
        <v/>
      </c>
      <c r="J920" s="44" t="str">
        <f t="shared" si="353"/>
        <v/>
      </c>
      <c r="K920" s="118"/>
      <c r="L920" s="34" t="str">
        <f t="shared" si="354"/>
        <v/>
      </c>
      <c r="M920" s="118"/>
      <c r="N920" s="121"/>
      <c r="O920" s="122" t="str">
        <f t="shared" si="363"/>
        <v/>
      </c>
      <c r="P920" s="35" t="str">
        <f t="shared" si="364"/>
        <v/>
      </c>
      <c r="Q920" s="124"/>
      <c r="R920" s="36" t="str">
        <f t="shared" si="365"/>
        <v/>
      </c>
      <c r="S920" s="37" t="str">
        <f t="shared" si="355"/>
        <v/>
      </c>
      <c r="T920" s="38" t="str">
        <f t="shared" si="356"/>
        <v/>
      </c>
      <c r="U920" s="39" t="str">
        <f t="shared" si="357"/>
        <v/>
      </c>
      <c r="V920" s="40" t="str">
        <f t="shared" si="358"/>
        <v/>
      </c>
      <c r="W920" s="39" t="str">
        <f t="shared" si="359"/>
        <v/>
      </c>
      <c r="X920" s="34" t="str">
        <f t="shared" si="360"/>
        <v/>
      </c>
      <c r="Y920" s="41" t="str">
        <f t="shared" si="366"/>
        <v/>
      </c>
      <c r="Z920" s="98" t="str">
        <f t="shared" si="361"/>
        <v/>
      </c>
      <c r="AA920" s="81" t="str">
        <f t="shared" si="367"/>
        <v/>
      </c>
      <c r="AC920" s="139"/>
      <c r="AD920" s="110" t="str">
        <f t="shared" si="368"/>
        <v/>
      </c>
      <c r="AE920" s="111" t="str">
        <f t="shared" si="369"/>
        <v/>
      </c>
      <c r="AF920" s="111" t="str">
        <f t="shared" si="362"/>
        <v/>
      </c>
      <c r="AG920" s="111" t="str">
        <f t="shared" si="370"/>
        <v/>
      </c>
      <c r="AH920" s="111" t="str">
        <f t="shared" si="371"/>
        <v/>
      </c>
      <c r="AI920" s="112" t="str">
        <f t="shared" si="372"/>
        <v/>
      </c>
      <c r="AJ920" t="str">
        <f t="shared" si="373"/>
        <v/>
      </c>
      <c r="AK920" t="str">
        <f t="shared" si="374"/>
        <v/>
      </c>
    </row>
    <row r="921" spans="1:37" ht="15" customHeight="1" x14ac:dyDescent="0.25">
      <c r="A921" s="114"/>
      <c r="B921" s="116"/>
      <c r="C921" s="116"/>
      <c r="D921" s="42" t="str">
        <f t="shared" si="350"/>
        <v/>
      </c>
      <c r="E921" s="43"/>
      <c r="F921" s="83"/>
      <c r="G921" s="118"/>
      <c r="H921" s="34" t="str">
        <f t="shared" si="351"/>
        <v/>
      </c>
      <c r="I921" s="88" t="str">
        <f t="shared" si="352"/>
        <v/>
      </c>
      <c r="J921" s="44" t="str">
        <f t="shared" si="353"/>
        <v/>
      </c>
      <c r="K921" s="118"/>
      <c r="L921" s="34" t="str">
        <f t="shared" si="354"/>
        <v/>
      </c>
      <c r="M921" s="118"/>
      <c r="N921" s="121"/>
      <c r="O921" s="122" t="str">
        <f t="shared" si="363"/>
        <v/>
      </c>
      <c r="P921" s="35" t="str">
        <f t="shared" si="364"/>
        <v/>
      </c>
      <c r="Q921" s="124"/>
      <c r="R921" s="36" t="str">
        <f t="shared" si="365"/>
        <v/>
      </c>
      <c r="S921" s="37" t="str">
        <f t="shared" si="355"/>
        <v/>
      </c>
      <c r="T921" s="38" t="str">
        <f t="shared" si="356"/>
        <v/>
      </c>
      <c r="U921" s="39" t="str">
        <f t="shared" si="357"/>
        <v/>
      </c>
      <c r="V921" s="40" t="str">
        <f t="shared" si="358"/>
        <v/>
      </c>
      <c r="W921" s="39" t="str">
        <f t="shared" si="359"/>
        <v/>
      </c>
      <c r="X921" s="34" t="str">
        <f t="shared" si="360"/>
        <v/>
      </c>
      <c r="Y921" s="41" t="str">
        <f t="shared" si="366"/>
        <v/>
      </c>
      <c r="Z921" s="98" t="str">
        <f t="shared" si="361"/>
        <v/>
      </c>
      <c r="AA921" s="81" t="str">
        <f t="shared" si="367"/>
        <v/>
      </c>
      <c r="AC921" s="139"/>
      <c r="AD921" s="110" t="str">
        <f t="shared" si="368"/>
        <v/>
      </c>
      <c r="AE921" s="111" t="str">
        <f t="shared" si="369"/>
        <v/>
      </c>
      <c r="AF921" s="111" t="str">
        <f t="shared" si="362"/>
        <v/>
      </c>
      <c r="AG921" s="111" t="str">
        <f t="shared" si="370"/>
        <v/>
      </c>
      <c r="AH921" s="111" t="str">
        <f t="shared" si="371"/>
        <v/>
      </c>
      <c r="AI921" s="112" t="str">
        <f t="shared" si="372"/>
        <v/>
      </c>
      <c r="AJ921" t="str">
        <f t="shared" si="373"/>
        <v/>
      </c>
      <c r="AK921" t="str">
        <f t="shared" si="374"/>
        <v/>
      </c>
    </row>
    <row r="922" spans="1:37" ht="15" customHeight="1" x14ac:dyDescent="0.25">
      <c r="A922" s="114"/>
      <c r="B922" s="116"/>
      <c r="C922" s="116"/>
      <c r="D922" s="42" t="str">
        <f t="shared" si="350"/>
        <v/>
      </c>
      <c r="E922" s="43"/>
      <c r="F922" s="83"/>
      <c r="G922" s="118"/>
      <c r="H922" s="34" t="str">
        <f t="shared" si="351"/>
        <v/>
      </c>
      <c r="I922" s="88" t="str">
        <f t="shared" si="352"/>
        <v/>
      </c>
      <c r="J922" s="44" t="str">
        <f t="shared" si="353"/>
        <v/>
      </c>
      <c r="K922" s="118"/>
      <c r="L922" s="34" t="str">
        <f t="shared" si="354"/>
        <v/>
      </c>
      <c r="M922" s="118"/>
      <c r="N922" s="121"/>
      <c r="O922" s="122" t="str">
        <f t="shared" si="363"/>
        <v/>
      </c>
      <c r="P922" s="35" t="str">
        <f t="shared" si="364"/>
        <v/>
      </c>
      <c r="Q922" s="124"/>
      <c r="R922" s="36" t="str">
        <f t="shared" si="365"/>
        <v/>
      </c>
      <c r="S922" s="37" t="str">
        <f t="shared" si="355"/>
        <v/>
      </c>
      <c r="T922" s="38" t="str">
        <f t="shared" si="356"/>
        <v/>
      </c>
      <c r="U922" s="39" t="str">
        <f t="shared" si="357"/>
        <v/>
      </c>
      <c r="V922" s="40" t="str">
        <f t="shared" si="358"/>
        <v/>
      </c>
      <c r="W922" s="39" t="str">
        <f t="shared" si="359"/>
        <v/>
      </c>
      <c r="X922" s="34" t="str">
        <f t="shared" si="360"/>
        <v/>
      </c>
      <c r="Y922" s="41" t="str">
        <f t="shared" si="366"/>
        <v/>
      </c>
      <c r="Z922" s="98" t="str">
        <f t="shared" si="361"/>
        <v/>
      </c>
      <c r="AA922" s="81" t="str">
        <f t="shared" si="367"/>
        <v/>
      </c>
      <c r="AC922" s="139"/>
      <c r="AD922" s="110" t="str">
        <f t="shared" si="368"/>
        <v/>
      </c>
      <c r="AE922" s="111" t="str">
        <f t="shared" si="369"/>
        <v/>
      </c>
      <c r="AF922" s="111" t="str">
        <f t="shared" si="362"/>
        <v/>
      </c>
      <c r="AG922" s="111" t="str">
        <f t="shared" si="370"/>
        <v/>
      </c>
      <c r="AH922" s="111" t="str">
        <f t="shared" si="371"/>
        <v/>
      </c>
      <c r="AI922" s="112" t="str">
        <f t="shared" si="372"/>
        <v/>
      </c>
      <c r="AJ922" t="str">
        <f t="shared" si="373"/>
        <v/>
      </c>
      <c r="AK922" t="str">
        <f t="shared" si="374"/>
        <v/>
      </c>
    </row>
    <row r="923" spans="1:37" ht="15" customHeight="1" x14ac:dyDescent="0.25">
      <c r="A923" s="114"/>
      <c r="B923" s="116"/>
      <c r="C923" s="116"/>
      <c r="D923" s="42" t="str">
        <f t="shared" si="350"/>
        <v/>
      </c>
      <c r="E923" s="43"/>
      <c r="F923" s="83"/>
      <c r="G923" s="118"/>
      <c r="H923" s="34" t="str">
        <f t="shared" si="351"/>
        <v/>
      </c>
      <c r="I923" s="88" t="str">
        <f t="shared" si="352"/>
        <v/>
      </c>
      <c r="J923" s="44" t="str">
        <f t="shared" si="353"/>
        <v/>
      </c>
      <c r="K923" s="118"/>
      <c r="L923" s="34" t="str">
        <f t="shared" si="354"/>
        <v/>
      </c>
      <c r="M923" s="118"/>
      <c r="N923" s="121"/>
      <c r="O923" s="122" t="str">
        <f t="shared" si="363"/>
        <v/>
      </c>
      <c r="P923" s="35" t="str">
        <f t="shared" si="364"/>
        <v/>
      </c>
      <c r="Q923" s="124"/>
      <c r="R923" s="36" t="str">
        <f t="shared" si="365"/>
        <v/>
      </c>
      <c r="S923" s="37" t="str">
        <f t="shared" si="355"/>
        <v/>
      </c>
      <c r="T923" s="38" t="str">
        <f t="shared" si="356"/>
        <v/>
      </c>
      <c r="U923" s="39" t="str">
        <f t="shared" si="357"/>
        <v/>
      </c>
      <c r="V923" s="40" t="str">
        <f t="shared" si="358"/>
        <v/>
      </c>
      <c r="W923" s="39" t="str">
        <f t="shared" si="359"/>
        <v/>
      </c>
      <c r="X923" s="34" t="str">
        <f t="shared" si="360"/>
        <v/>
      </c>
      <c r="Y923" s="41" t="str">
        <f t="shared" si="366"/>
        <v/>
      </c>
      <c r="Z923" s="98" t="str">
        <f t="shared" si="361"/>
        <v/>
      </c>
      <c r="AA923" s="81" t="str">
        <f t="shared" si="367"/>
        <v/>
      </c>
      <c r="AC923" s="139"/>
      <c r="AD923" s="110" t="str">
        <f t="shared" si="368"/>
        <v/>
      </c>
      <c r="AE923" s="111" t="str">
        <f t="shared" si="369"/>
        <v/>
      </c>
      <c r="AF923" s="111" t="str">
        <f t="shared" si="362"/>
        <v/>
      </c>
      <c r="AG923" s="111" t="str">
        <f t="shared" si="370"/>
        <v/>
      </c>
      <c r="AH923" s="111" t="str">
        <f t="shared" si="371"/>
        <v/>
      </c>
      <c r="AI923" s="112" t="str">
        <f t="shared" si="372"/>
        <v/>
      </c>
      <c r="AJ923" t="str">
        <f t="shared" si="373"/>
        <v/>
      </c>
      <c r="AK923" t="str">
        <f t="shared" si="374"/>
        <v/>
      </c>
    </row>
    <row r="924" spans="1:37" ht="15" customHeight="1" x14ac:dyDescent="0.25">
      <c r="A924" s="114"/>
      <c r="B924" s="116"/>
      <c r="C924" s="116"/>
      <c r="D924" s="42" t="str">
        <f t="shared" si="350"/>
        <v/>
      </c>
      <c r="E924" s="43"/>
      <c r="F924" s="83"/>
      <c r="G924" s="118"/>
      <c r="H924" s="34" t="str">
        <f t="shared" si="351"/>
        <v/>
      </c>
      <c r="I924" s="88" t="str">
        <f t="shared" si="352"/>
        <v/>
      </c>
      <c r="J924" s="44" t="str">
        <f t="shared" si="353"/>
        <v/>
      </c>
      <c r="K924" s="118"/>
      <c r="L924" s="34" t="str">
        <f t="shared" si="354"/>
        <v/>
      </c>
      <c r="M924" s="118"/>
      <c r="N924" s="121"/>
      <c r="O924" s="122" t="str">
        <f t="shared" si="363"/>
        <v/>
      </c>
      <c r="P924" s="35" t="str">
        <f t="shared" si="364"/>
        <v/>
      </c>
      <c r="Q924" s="124"/>
      <c r="R924" s="36" t="str">
        <f t="shared" si="365"/>
        <v/>
      </c>
      <c r="S924" s="37" t="str">
        <f t="shared" si="355"/>
        <v/>
      </c>
      <c r="T924" s="38" t="str">
        <f t="shared" si="356"/>
        <v/>
      </c>
      <c r="U924" s="39" t="str">
        <f t="shared" si="357"/>
        <v/>
      </c>
      <c r="V924" s="40" t="str">
        <f t="shared" si="358"/>
        <v/>
      </c>
      <c r="W924" s="39" t="str">
        <f t="shared" si="359"/>
        <v/>
      </c>
      <c r="X924" s="34" t="str">
        <f t="shared" si="360"/>
        <v/>
      </c>
      <c r="Y924" s="41" t="str">
        <f t="shared" si="366"/>
        <v/>
      </c>
      <c r="Z924" s="98" t="str">
        <f t="shared" si="361"/>
        <v/>
      </c>
      <c r="AA924" s="81" t="str">
        <f t="shared" si="367"/>
        <v/>
      </c>
      <c r="AC924" s="139"/>
      <c r="AD924" s="110" t="str">
        <f t="shared" si="368"/>
        <v/>
      </c>
      <c r="AE924" s="111" t="str">
        <f t="shared" si="369"/>
        <v/>
      </c>
      <c r="AF924" s="111" t="str">
        <f t="shared" si="362"/>
        <v/>
      </c>
      <c r="AG924" s="111" t="str">
        <f t="shared" si="370"/>
        <v/>
      </c>
      <c r="AH924" s="111" t="str">
        <f t="shared" si="371"/>
        <v/>
      </c>
      <c r="AI924" s="112" t="str">
        <f t="shared" si="372"/>
        <v/>
      </c>
      <c r="AJ924" t="str">
        <f t="shared" si="373"/>
        <v/>
      </c>
      <c r="AK924" t="str">
        <f t="shared" si="374"/>
        <v/>
      </c>
    </row>
    <row r="925" spans="1:37" ht="15" customHeight="1" x14ac:dyDescent="0.25">
      <c r="A925" s="114"/>
      <c r="B925" s="116"/>
      <c r="C925" s="116"/>
      <c r="D925" s="42" t="str">
        <f t="shared" si="350"/>
        <v/>
      </c>
      <c r="E925" s="43"/>
      <c r="F925" s="83"/>
      <c r="G925" s="118"/>
      <c r="H925" s="34" t="str">
        <f t="shared" si="351"/>
        <v/>
      </c>
      <c r="I925" s="88" t="str">
        <f t="shared" si="352"/>
        <v/>
      </c>
      <c r="J925" s="44" t="str">
        <f t="shared" si="353"/>
        <v/>
      </c>
      <c r="K925" s="118"/>
      <c r="L925" s="34" t="str">
        <f t="shared" si="354"/>
        <v/>
      </c>
      <c r="M925" s="118"/>
      <c r="N925" s="121"/>
      <c r="O925" s="122" t="str">
        <f t="shared" si="363"/>
        <v/>
      </c>
      <c r="P925" s="35" t="str">
        <f t="shared" si="364"/>
        <v/>
      </c>
      <c r="Q925" s="124"/>
      <c r="R925" s="36" t="str">
        <f t="shared" si="365"/>
        <v/>
      </c>
      <c r="S925" s="37" t="str">
        <f t="shared" si="355"/>
        <v/>
      </c>
      <c r="T925" s="38" t="str">
        <f t="shared" si="356"/>
        <v/>
      </c>
      <c r="U925" s="39" t="str">
        <f t="shared" si="357"/>
        <v/>
      </c>
      <c r="V925" s="40" t="str">
        <f t="shared" si="358"/>
        <v/>
      </c>
      <c r="W925" s="39" t="str">
        <f t="shared" si="359"/>
        <v/>
      </c>
      <c r="X925" s="34" t="str">
        <f t="shared" si="360"/>
        <v/>
      </c>
      <c r="Y925" s="41" t="str">
        <f t="shared" si="366"/>
        <v/>
      </c>
      <c r="Z925" s="98" t="str">
        <f t="shared" si="361"/>
        <v/>
      </c>
      <c r="AA925" s="81" t="str">
        <f t="shared" si="367"/>
        <v/>
      </c>
      <c r="AC925" s="139"/>
      <c r="AD925" s="110" t="str">
        <f t="shared" si="368"/>
        <v/>
      </c>
      <c r="AE925" s="111" t="str">
        <f t="shared" si="369"/>
        <v/>
      </c>
      <c r="AF925" s="111" t="str">
        <f t="shared" si="362"/>
        <v/>
      </c>
      <c r="AG925" s="111" t="str">
        <f t="shared" si="370"/>
        <v/>
      </c>
      <c r="AH925" s="111" t="str">
        <f t="shared" si="371"/>
        <v/>
      </c>
      <c r="AI925" s="112" t="str">
        <f t="shared" si="372"/>
        <v/>
      </c>
      <c r="AJ925" t="str">
        <f t="shared" si="373"/>
        <v/>
      </c>
      <c r="AK925" t="str">
        <f t="shared" si="374"/>
        <v/>
      </c>
    </row>
    <row r="926" spans="1:37" ht="15" customHeight="1" x14ac:dyDescent="0.25">
      <c r="A926" s="114"/>
      <c r="B926" s="116"/>
      <c r="C926" s="116"/>
      <c r="D926" s="42" t="str">
        <f t="shared" si="350"/>
        <v/>
      </c>
      <c r="E926" s="43"/>
      <c r="F926" s="83"/>
      <c r="G926" s="118"/>
      <c r="H926" s="34" t="str">
        <f t="shared" si="351"/>
        <v/>
      </c>
      <c r="I926" s="88" t="str">
        <f t="shared" si="352"/>
        <v/>
      </c>
      <c r="J926" s="44" t="str">
        <f t="shared" si="353"/>
        <v/>
      </c>
      <c r="K926" s="118"/>
      <c r="L926" s="34" t="str">
        <f t="shared" si="354"/>
        <v/>
      </c>
      <c r="M926" s="118"/>
      <c r="N926" s="121"/>
      <c r="O926" s="122" t="str">
        <f t="shared" si="363"/>
        <v/>
      </c>
      <c r="P926" s="35" t="str">
        <f t="shared" si="364"/>
        <v/>
      </c>
      <c r="Q926" s="124"/>
      <c r="R926" s="36" t="str">
        <f t="shared" si="365"/>
        <v/>
      </c>
      <c r="S926" s="37" t="str">
        <f t="shared" si="355"/>
        <v/>
      </c>
      <c r="T926" s="38" t="str">
        <f t="shared" si="356"/>
        <v/>
      </c>
      <c r="U926" s="39" t="str">
        <f t="shared" si="357"/>
        <v/>
      </c>
      <c r="V926" s="40" t="str">
        <f t="shared" si="358"/>
        <v/>
      </c>
      <c r="W926" s="39" t="str">
        <f t="shared" si="359"/>
        <v/>
      </c>
      <c r="X926" s="34" t="str">
        <f t="shared" si="360"/>
        <v/>
      </c>
      <c r="Y926" s="41" t="str">
        <f t="shared" si="366"/>
        <v/>
      </c>
      <c r="Z926" s="98" t="str">
        <f t="shared" si="361"/>
        <v/>
      </c>
      <c r="AA926" s="81" t="str">
        <f t="shared" si="367"/>
        <v/>
      </c>
      <c r="AC926" s="139"/>
      <c r="AD926" s="110" t="str">
        <f t="shared" si="368"/>
        <v/>
      </c>
      <c r="AE926" s="111" t="str">
        <f t="shared" si="369"/>
        <v/>
      </c>
      <c r="AF926" s="111" t="str">
        <f t="shared" si="362"/>
        <v/>
      </c>
      <c r="AG926" s="111" t="str">
        <f t="shared" si="370"/>
        <v/>
      </c>
      <c r="AH926" s="111" t="str">
        <f t="shared" si="371"/>
        <v/>
      </c>
      <c r="AI926" s="112" t="str">
        <f t="shared" si="372"/>
        <v/>
      </c>
      <c r="AJ926" t="str">
        <f t="shared" si="373"/>
        <v/>
      </c>
      <c r="AK926" t="str">
        <f t="shared" si="374"/>
        <v/>
      </c>
    </row>
    <row r="927" spans="1:37" ht="15" customHeight="1" x14ac:dyDescent="0.25">
      <c r="A927" s="114"/>
      <c r="B927" s="116"/>
      <c r="C927" s="116"/>
      <c r="D927" s="42" t="str">
        <f t="shared" si="350"/>
        <v/>
      </c>
      <c r="E927" s="43"/>
      <c r="F927" s="83"/>
      <c r="G927" s="118"/>
      <c r="H927" s="34" t="str">
        <f t="shared" si="351"/>
        <v/>
      </c>
      <c r="I927" s="88" t="str">
        <f t="shared" si="352"/>
        <v/>
      </c>
      <c r="J927" s="44" t="str">
        <f t="shared" si="353"/>
        <v/>
      </c>
      <c r="K927" s="118"/>
      <c r="L927" s="34" t="str">
        <f t="shared" si="354"/>
        <v/>
      </c>
      <c r="M927" s="118"/>
      <c r="N927" s="121"/>
      <c r="O927" s="122" t="str">
        <f t="shared" si="363"/>
        <v/>
      </c>
      <c r="P927" s="35" t="str">
        <f t="shared" si="364"/>
        <v/>
      </c>
      <c r="Q927" s="124"/>
      <c r="R927" s="36" t="str">
        <f t="shared" si="365"/>
        <v/>
      </c>
      <c r="S927" s="37" t="str">
        <f t="shared" si="355"/>
        <v/>
      </c>
      <c r="T927" s="38" t="str">
        <f t="shared" si="356"/>
        <v/>
      </c>
      <c r="U927" s="39" t="str">
        <f t="shared" si="357"/>
        <v/>
      </c>
      <c r="V927" s="40" t="str">
        <f t="shared" si="358"/>
        <v/>
      </c>
      <c r="W927" s="39" t="str">
        <f t="shared" si="359"/>
        <v/>
      </c>
      <c r="X927" s="34" t="str">
        <f t="shared" si="360"/>
        <v/>
      </c>
      <c r="Y927" s="41" t="str">
        <f t="shared" si="366"/>
        <v/>
      </c>
      <c r="Z927" s="98" t="str">
        <f t="shared" si="361"/>
        <v/>
      </c>
      <c r="AA927" s="81" t="str">
        <f t="shared" si="367"/>
        <v/>
      </c>
      <c r="AC927" s="139"/>
      <c r="AD927" s="110" t="str">
        <f t="shared" si="368"/>
        <v/>
      </c>
      <c r="AE927" s="111" t="str">
        <f t="shared" si="369"/>
        <v/>
      </c>
      <c r="AF927" s="111" t="str">
        <f t="shared" si="362"/>
        <v/>
      </c>
      <c r="AG927" s="111" t="str">
        <f t="shared" si="370"/>
        <v/>
      </c>
      <c r="AH927" s="111" t="str">
        <f t="shared" si="371"/>
        <v/>
      </c>
      <c r="AI927" s="112" t="str">
        <f t="shared" si="372"/>
        <v/>
      </c>
      <c r="AJ927" t="str">
        <f t="shared" si="373"/>
        <v/>
      </c>
      <c r="AK927" t="str">
        <f t="shared" si="374"/>
        <v/>
      </c>
    </row>
    <row r="928" spans="1:37" ht="15" customHeight="1" x14ac:dyDescent="0.25">
      <c r="A928" s="114"/>
      <c r="B928" s="116"/>
      <c r="C928" s="116"/>
      <c r="D928" s="42" t="str">
        <f t="shared" si="350"/>
        <v/>
      </c>
      <c r="E928" s="43"/>
      <c r="F928" s="83"/>
      <c r="G928" s="118"/>
      <c r="H928" s="34" t="str">
        <f t="shared" si="351"/>
        <v/>
      </c>
      <c r="I928" s="88" t="str">
        <f t="shared" si="352"/>
        <v/>
      </c>
      <c r="J928" s="44" t="str">
        <f t="shared" si="353"/>
        <v/>
      </c>
      <c r="K928" s="118"/>
      <c r="L928" s="34" t="str">
        <f t="shared" si="354"/>
        <v/>
      </c>
      <c r="M928" s="118"/>
      <c r="N928" s="121"/>
      <c r="O928" s="122" t="str">
        <f t="shared" si="363"/>
        <v/>
      </c>
      <c r="P928" s="35" t="str">
        <f t="shared" si="364"/>
        <v/>
      </c>
      <c r="Q928" s="124"/>
      <c r="R928" s="36" t="str">
        <f t="shared" si="365"/>
        <v/>
      </c>
      <c r="S928" s="37" t="str">
        <f t="shared" si="355"/>
        <v/>
      </c>
      <c r="T928" s="38" t="str">
        <f t="shared" si="356"/>
        <v/>
      </c>
      <c r="U928" s="39" t="str">
        <f t="shared" si="357"/>
        <v/>
      </c>
      <c r="V928" s="40" t="str">
        <f t="shared" si="358"/>
        <v/>
      </c>
      <c r="W928" s="39" t="str">
        <f t="shared" si="359"/>
        <v/>
      </c>
      <c r="X928" s="34" t="str">
        <f t="shared" si="360"/>
        <v/>
      </c>
      <c r="Y928" s="41" t="str">
        <f t="shared" si="366"/>
        <v/>
      </c>
      <c r="Z928" s="98" t="str">
        <f t="shared" si="361"/>
        <v/>
      </c>
      <c r="AA928" s="81" t="str">
        <f t="shared" si="367"/>
        <v/>
      </c>
      <c r="AC928" s="139"/>
      <c r="AD928" s="110" t="str">
        <f t="shared" si="368"/>
        <v/>
      </c>
      <c r="AE928" s="111" t="str">
        <f t="shared" si="369"/>
        <v/>
      </c>
      <c r="AF928" s="111" t="str">
        <f t="shared" si="362"/>
        <v/>
      </c>
      <c r="AG928" s="111" t="str">
        <f t="shared" si="370"/>
        <v/>
      </c>
      <c r="AH928" s="111" t="str">
        <f t="shared" si="371"/>
        <v/>
      </c>
      <c r="AI928" s="112" t="str">
        <f t="shared" si="372"/>
        <v/>
      </c>
      <c r="AJ928" t="str">
        <f t="shared" si="373"/>
        <v/>
      </c>
      <c r="AK928" t="str">
        <f t="shared" si="374"/>
        <v/>
      </c>
    </row>
    <row r="929" spans="1:37" ht="15" customHeight="1" x14ac:dyDescent="0.25">
      <c r="A929" s="114"/>
      <c r="B929" s="116"/>
      <c r="C929" s="116"/>
      <c r="D929" s="42" t="str">
        <f t="shared" si="350"/>
        <v/>
      </c>
      <c r="E929" s="43"/>
      <c r="F929" s="83"/>
      <c r="G929" s="118"/>
      <c r="H929" s="34" t="str">
        <f t="shared" si="351"/>
        <v/>
      </c>
      <c r="I929" s="88" t="str">
        <f t="shared" si="352"/>
        <v/>
      </c>
      <c r="J929" s="44" t="str">
        <f t="shared" si="353"/>
        <v/>
      </c>
      <c r="K929" s="118"/>
      <c r="L929" s="34" t="str">
        <f t="shared" si="354"/>
        <v/>
      </c>
      <c r="M929" s="118"/>
      <c r="N929" s="121"/>
      <c r="O929" s="122" t="str">
        <f t="shared" si="363"/>
        <v/>
      </c>
      <c r="P929" s="35" t="str">
        <f t="shared" si="364"/>
        <v/>
      </c>
      <c r="Q929" s="124"/>
      <c r="R929" s="36" t="str">
        <f t="shared" si="365"/>
        <v/>
      </c>
      <c r="S929" s="37" t="str">
        <f t="shared" si="355"/>
        <v/>
      </c>
      <c r="T929" s="38" t="str">
        <f t="shared" si="356"/>
        <v/>
      </c>
      <c r="U929" s="39" t="str">
        <f t="shared" si="357"/>
        <v/>
      </c>
      <c r="V929" s="40" t="str">
        <f t="shared" si="358"/>
        <v/>
      </c>
      <c r="W929" s="39" t="str">
        <f t="shared" si="359"/>
        <v/>
      </c>
      <c r="X929" s="34" t="str">
        <f t="shared" si="360"/>
        <v/>
      </c>
      <c r="Y929" s="41" t="str">
        <f t="shared" si="366"/>
        <v/>
      </c>
      <c r="Z929" s="98" t="str">
        <f t="shared" si="361"/>
        <v/>
      </c>
      <c r="AA929" s="81" t="str">
        <f t="shared" si="367"/>
        <v/>
      </c>
      <c r="AC929" s="139"/>
      <c r="AD929" s="110" t="str">
        <f t="shared" si="368"/>
        <v/>
      </c>
      <c r="AE929" s="111" t="str">
        <f t="shared" si="369"/>
        <v/>
      </c>
      <c r="AF929" s="111" t="str">
        <f t="shared" si="362"/>
        <v/>
      </c>
      <c r="AG929" s="111" t="str">
        <f t="shared" si="370"/>
        <v/>
      </c>
      <c r="AH929" s="111" t="str">
        <f t="shared" si="371"/>
        <v/>
      </c>
      <c r="AI929" s="112" t="str">
        <f t="shared" si="372"/>
        <v/>
      </c>
      <c r="AJ929" t="str">
        <f t="shared" si="373"/>
        <v/>
      </c>
      <c r="AK929" t="str">
        <f t="shared" si="374"/>
        <v/>
      </c>
    </row>
    <row r="930" spans="1:37" ht="15" customHeight="1" x14ac:dyDescent="0.25">
      <c r="A930" s="114"/>
      <c r="B930" s="116"/>
      <c r="C930" s="116"/>
      <c r="D930" s="42" t="str">
        <f t="shared" si="350"/>
        <v/>
      </c>
      <c r="E930" s="43"/>
      <c r="F930" s="83"/>
      <c r="G930" s="118"/>
      <c r="H930" s="34" t="str">
        <f t="shared" si="351"/>
        <v/>
      </c>
      <c r="I930" s="88" t="str">
        <f t="shared" si="352"/>
        <v/>
      </c>
      <c r="J930" s="44" t="str">
        <f t="shared" si="353"/>
        <v/>
      </c>
      <c r="K930" s="118"/>
      <c r="L930" s="34" t="str">
        <f t="shared" si="354"/>
        <v/>
      </c>
      <c r="M930" s="118"/>
      <c r="N930" s="121"/>
      <c r="O930" s="122" t="str">
        <f t="shared" si="363"/>
        <v/>
      </c>
      <c r="P930" s="35" t="str">
        <f t="shared" si="364"/>
        <v/>
      </c>
      <c r="Q930" s="124"/>
      <c r="R930" s="36" t="str">
        <f t="shared" si="365"/>
        <v/>
      </c>
      <c r="S930" s="37" t="str">
        <f t="shared" si="355"/>
        <v/>
      </c>
      <c r="T930" s="38" t="str">
        <f t="shared" si="356"/>
        <v/>
      </c>
      <c r="U930" s="39" t="str">
        <f t="shared" si="357"/>
        <v/>
      </c>
      <c r="V930" s="40" t="str">
        <f t="shared" si="358"/>
        <v/>
      </c>
      <c r="W930" s="39" t="str">
        <f t="shared" si="359"/>
        <v/>
      </c>
      <c r="X930" s="34" t="str">
        <f t="shared" si="360"/>
        <v/>
      </c>
      <c r="Y930" s="41" t="str">
        <f t="shared" si="366"/>
        <v/>
      </c>
      <c r="Z930" s="98" t="str">
        <f t="shared" si="361"/>
        <v/>
      </c>
      <c r="AA930" s="81" t="str">
        <f t="shared" si="367"/>
        <v/>
      </c>
      <c r="AC930" s="139"/>
      <c r="AD930" s="110" t="str">
        <f t="shared" si="368"/>
        <v/>
      </c>
      <c r="AE930" s="111" t="str">
        <f t="shared" si="369"/>
        <v/>
      </c>
      <c r="AF930" s="111" t="str">
        <f t="shared" si="362"/>
        <v/>
      </c>
      <c r="AG930" s="111" t="str">
        <f t="shared" si="370"/>
        <v/>
      </c>
      <c r="AH930" s="111" t="str">
        <f t="shared" si="371"/>
        <v/>
      </c>
      <c r="AI930" s="112" t="str">
        <f t="shared" si="372"/>
        <v/>
      </c>
      <c r="AJ930" t="str">
        <f t="shared" si="373"/>
        <v/>
      </c>
      <c r="AK930" t="str">
        <f t="shared" si="374"/>
        <v/>
      </c>
    </row>
    <row r="931" spans="1:37" ht="15" customHeight="1" x14ac:dyDescent="0.25">
      <c r="A931" s="114"/>
      <c r="B931" s="116"/>
      <c r="C931" s="116"/>
      <c r="D931" s="42" t="str">
        <f t="shared" si="350"/>
        <v/>
      </c>
      <c r="E931" s="43"/>
      <c r="F931" s="83"/>
      <c r="G931" s="118"/>
      <c r="H931" s="34" t="str">
        <f t="shared" si="351"/>
        <v/>
      </c>
      <c r="I931" s="88" t="str">
        <f t="shared" si="352"/>
        <v/>
      </c>
      <c r="J931" s="44" t="str">
        <f t="shared" si="353"/>
        <v/>
      </c>
      <c r="K931" s="118"/>
      <c r="L931" s="34" t="str">
        <f t="shared" si="354"/>
        <v/>
      </c>
      <c r="M931" s="118"/>
      <c r="N931" s="121"/>
      <c r="O931" s="122" t="str">
        <f t="shared" si="363"/>
        <v/>
      </c>
      <c r="P931" s="35" t="str">
        <f t="shared" si="364"/>
        <v/>
      </c>
      <c r="Q931" s="124"/>
      <c r="R931" s="36" t="str">
        <f t="shared" si="365"/>
        <v/>
      </c>
      <c r="S931" s="37" t="str">
        <f t="shared" si="355"/>
        <v/>
      </c>
      <c r="T931" s="38" t="str">
        <f t="shared" si="356"/>
        <v/>
      </c>
      <c r="U931" s="39" t="str">
        <f t="shared" si="357"/>
        <v/>
      </c>
      <c r="V931" s="40" t="str">
        <f t="shared" si="358"/>
        <v/>
      </c>
      <c r="W931" s="39" t="str">
        <f t="shared" si="359"/>
        <v/>
      </c>
      <c r="X931" s="34" t="str">
        <f t="shared" si="360"/>
        <v/>
      </c>
      <c r="Y931" s="41" t="str">
        <f t="shared" si="366"/>
        <v/>
      </c>
      <c r="Z931" s="98" t="str">
        <f t="shared" si="361"/>
        <v/>
      </c>
      <c r="AA931" s="81" t="str">
        <f t="shared" si="367"/>
        <v/>
      </c>
      <c r="AC931" s="139"/>
      <c r="AD931" s="110" t="str">
        <f t="shared" si="368"/>
        <v/>
      </c>
      <c r="AE931" s="111" t="str">
        <f t="shared" si="369"/>
        <v/>
      </c>
      <c r="AF931" s="111" t="str">
        <f t="shared" si="362"/>
        <v/>
      </c>
      <c r="AG931" s="111" t="str">
        <f t="shared" si="370"/>
        <v/>
      </c>
      <c r="AH931" s="111" t="str">
        <f t="shared" si="371"/>
        <v/>
      </c>
      <c r="AI931" s="112" t="str">
        <f t="shared" si="372"/>
        <v/>
      </c>
      <c r="AJ931" t="str">
        <f t="shared" si="373"/>
        <v/>
      </c>
      <c r="AK931" t="str">
        <f t="shared" si="374"/>
        <v/>
      </c>
    </row>
    <row r="932" spans="1:37" ht="15" customHeight="1" x14ac:dyDescent="0.25">
      <c r="A932" s="114"/>
      <c r="B932" s="116"/>
      <c r="C932" s="116"/>
      <c r="D932" s="42" t="str">
        <f t="shared" si="350"/>
        <v/>
      </c>
      <c r="E932" s="43"/>
      <c r="F932" s="83"/>
      <c r="G932" s="118"/>
      <c r="H932" s="34" t="str">
        <f t="shared" si="351"/>
        <v/>
      </c>
      <c r="I932" s="88" t="str">
        <f t="shared" si="352"/>
        <v/>
      </c>
      <c r="J932" s="44" t="str">
        <f t="shared" si="353"/>
        <v/>
      </c>
      <c r="K932" s="118"/>
      <c r="L932" s="34" t="str">
        <f t="shared" si="354"/>
        <v/>
      </c>
      <c r="M932" s="118"/>
      <c r="N932" s="121"/>
      <c r="O932" s="122" t="str">
        <f t="shared" si="363"/>
        <v/>
      </c>
      <c r="P932" s="35" t="str">
        <f t="shared" si="364"/>
        <v/>
      </c>
      <c r="Q932" s="124"/>
      <c r="R932" s="36" t="str">
        <f t="shared" si="365"/>
        <v/>
      </c>
      <c r="S932" s="37" t="str">
        <f t="shared" si="355"/>
        <v/>
      </c>
      <c r="T932" s="38" t="str">
        <f t="shared" si="356"/>
        <v/>
      </c>
      <c r="U932" s="39" t="str">
        <f t="shared" si="357"/>
        <v/>
      </c>
      <c r="V932" s="40" t="str">
        <f t="shared" si="358"/>
        <v/>
      </c>
      <c r="W932" s="39" t="str">
        <f t="shared" si="359"/>
        <v/>
      </c>
      <c r="X932" s="34" t="str">
        <f t="shared" si="360"/>
        <v/>
      </c>
      <c r="Y932" s="41" t="str">
        <f t="shared" si="366"/>
        <v/>
      </c>
      <c r="Z932" s="98" t="str">
        <f t="shared" si="361"/>
        <v/>
      </c>
      <c r="AA932" s="81" t="str">
        <f t="shared" si="367"/>
        <v/>
      </c>
      <c r="AC932" s="139"/>
      <c r="AD932" s="110" t="str">
        <f t="shared" si="368"/>
        <v/>
      </c>
      <c r="AE932" s="111" t="str">
        <f t="shared" si="369"/>
        <v/>
      </c>
      <c r="AF932" s="111" t="str">
        <f t="shared" si="362"/>
        <v/>
      </c>
      <c r="AG932" s="111" t="str">
        <f t="shared" si="370"/>
        <v/>
      </c>
      <c r="AH932" s="111" t="str">
        <f t="shared" si="371"/>
        <v/>
      </c>
      <c r="AI932" s="112" t="str">
        <f t="shared" si="372"/>
        <v/>
      </c>
      <c r="AJ932" t="str">
        <f t="shared" si="373"/>
        <v/>
      </c>
      <c r="AK932" t="str">
        <f t="shared" si="374"/>
        <v/>
      </c>
    </row>
    <row r="933" spans="1:37" ht="15" customHeight="1" x14ac:dyDescent="0.25">
      <c r="A933" s="114"/>
      <c r="B933" s="116"/>
      <c r="C933" s="116"/>
      <c r="D933" s="42" t="str">
        <f t="shared" si="350"/>
        <v/>
      </c>
      <c r="E933" s="43"/>
      <c r="F933" s="83"/>
      <c r="G933" s="118"/>
      <c r="H933" s="34" t="str">
        <f t="shared" si="351"/>
        <v/>
      </c>
      <c r="I933" s="88" t="str">
        <f t="shared" si="352"/>
        <v/>
      </c>
      <c r="J933" s="44" t="str">
        <f t="shared" si="353"/>
        <v/>
      </c>
      <c r="K933" s="118"/>
      <c r="L933" s="34" t="str">
        <f t="shared" si="354"/>
        <v/>
      </c>
      <c r="M933" s="118"/>
      <c r="N933" s="121"/>
      <c r="O933" s="122" t="str">
        <f t="shared" si="363"/>
        <v/>
      </c>
      <c r="P933" s="35" t="str">
        <f t="shared" si="364"/>
        <v/>
      </c>
      <c r="Q933" s="124"/>
      <c r="R933" s="36" t="str">
        <f t="shared" si="365"/>
        <v/>
      </c>
      <c r="S933" s="37" t="str">
        <f t="shared" si="355"/>
        <v/>
      </c>
      <c r="T933" s="38" t="str">
        <f t="shared" si="356"/>
        <v/>
      </c>
      <c r="U933" s="39" t="str">
        <f t="shared" si="357"/>
        <v/>
      </c>
      <c r="V933" s="40" t="str">
        <f t="shared" si="358"/>
        <v/>
      </c>
      <c r="W933" s="39" t="str">
        <f t="shared" si="359"/>
        <v/>
      </c>
      <c r="X933" s="34" t="str">
        <f t="shared" si="360"/>
        <v/>
      </c>
      <c r="Y933" s="41" t="str">
        <f t="shared" si="366"/>
        <v/>
      </c>
      <c r="Z933" s="98" t="str">
        <f t="shared" si="361"/>
        <v/>
      </c>
      <c r="AA933" s="81" t="str">
        <f t="shared" si="367"/>
        <v/>
      </c>
      <c r="AC933" s="139"/>
      <c r="AD933" s="110" t="str">
        <f t="shared" si="368"/>
        <v/>
      </c>
      <c r="AE933" s="111" t="str">
        <f t="shared" si="369"/>
        <v/>
      </c>
      <c r="AF933" s="111" t="str">
        <f t="shared" si="362"/>
        <v/>
      </c>
      <c r="AG933" s="111" t="str">
        <f t="shared" si="370"/>
        <v/>
      </c>
      <c r="AH933" s="111" t="str">
        <f t="shared" si="371"/>
        <v/>
      </c>
      <c r="AI933" s="112" t="str">
        <f t="shared" si="372"/>
        <v/>
      </c>
      <c r="AJ933" t="str">
        <f t="shared" si="373"/>
        <v/>
      </c>
      <c r="AK933" t="str">
        <f t="shared" si="374"/>
        <v/>
      </c>
    </row>
    <row r="934" spans="1:37" ht="15" customHeight="1" x14ac:dyDescent="0.25">
      <c r="A934" s="114"/>
      <c r="B934" s="116"/>
      <c r="C934" s="116"/>
      <c r="D934" s="42" t="str">
        <f t="shared" si="350"/>
        <v/>
      </c>
      <c r="E934" s="43"/>
      <c r="F934" s="83"/>
      <c r="G934" s="118"/>
      <c r="H934" s="34" t="str">
        <f t="shared" si="351"/>
        <v/>
      </c>
      <c r="I934" s="88" t="str">
        <f t="shared" si="352"/>
        <v/>
      </c>
      <c r="J934" s="44" t="str">
        <f t="shared" si="353"/>
        <v/>
      </c>
      <c r="K934" s="118"/>
      <c r="L934" s="34" t="str">
        <f t="shared" si="354"/>
        <v/>
      </c>
      <c r="M934" s="118"/>
      <c r="N934" s="121"/>
      <c r="O934" s="122" t="str">
        <f t="shared" si="363"/>
        <v/>
      </c>
      <c r="P934" s="35" t="str">
        <f t="shared" si="364"/>
        <v/>
      </c>
      <c r="Q934" s="124"/>
      <c r="R934" s="36" t="str">
        <f t="shared" si="365"/>
        <v/>
      </c>
      <c r="S934" s="37" t="str">
        <f t="shared" si="355"/>
        <v/>
      </c>
      <c r="T934" s="38" t="str">
        <f t="shared" si="356"/>
        <v/>
      </c>
      <c r="U934" s="39" t="str">
        <f t="shared" si="357"/>
        <v/>
      </c>
      <c r="V934" s="40" t="str">
        <f t="shared" si="358"/>
        <v/>
      </c>
      <c r="W934" s="39" t="str">
        <f t="shared" si="359"/>
        <v/>
      </c>
      <c r="X934" s="34" t="str">
        <f t="shared" si="360"/>
        <v/>
      </c>
      <c r="Y934" s="41" t="str">
        <f t="shared" si="366"/>
        <v/>
      </c>
      <c r="Z934" s="98" t="str">
        <f t="shared" si="361"/>
        <v/>
      </c>
      <c r="AA934" s="81" t="str">
        <f t="shared" si="367"/>
        <v/>
      </c>
      <c r="AC934" s="139"/>
      <c r="AD934" s="110" t="str">
        <f t="shared" si="368"/>
        <v/>
      </c>
      <c r="AE934" s="111" t="str">
        <f t="shared" si="369"/>
        <v/>
      </c>
      <c r="AF934" s="111" t="str">
        <f t="shared" si="362"/>
        <v/>
      </c>
      <c r="AG934" s="111" t="str">
        <f t="shared" si="370"/>
        <v/>
      </c>
      <c r="AH934" s="111" t="str">
        <f t="shared" si="371"/>
        <v/>
      </c>
      <c r="AI934" s="112" t="str">
        <f t="shared" si="372"/>
        <v/>
      </c>
      <c r="AJ934" t="str">
        <f t="shared" si="373"/>
        <v/>
      </c>
      <c r="AK934" t="str">
        <f t="shared" si="374"/>
        <v/>
      </c>
    </row>
    <row r="935" spans="1:37" ht="15" customHeight="1" x14ac:dyDescent="0.25">
      <c r="A935" s="114"/>
      <c r="B935" s="116"/>
      <c r="C935" s="116"/>
      <c r="D935" s="42" t="str">
        <f t="shared" si="350"/>
        <v/>
      </c>
      <c r="E935" s="43"/>
      <c r="F935" s="83"/>
      <c r="G935" s="118"/>
      <c r="H935" s="34" t="str">
        <f t="shared" si="351"/>
        <v/>
      </c>
      <c r="I935" s="88" t="str">
        <f t="shared" si="352"/>
        <v/>
      </c>
      <c r="J935" s="44" t="str">
        <f t="shared" si="353"/>
        <v/>
      </c>
      <c r="K935" s="118"/>
      <c r="L935" s="34" t="str">
        <f t="shared" si="354"/>
        <v/>
      </c>
      <c r="M935" s="118"/>
      <c r="N935" s="121"/>
      <c r="O935" s="122" t="str">
        <f t="shared" si="363"/>
        <v/>
      </c>
      <c r="P935" s="35" t="str">
        <f t="shared" si="364"/>
        <v/>
      </c>
      <c r="Q935" s="124"/>
      <c r="R935" s="36" t="str">
        <f t="shared" si="365"/>
        <v/>
      </c>
      <c r="S935" s="37" t="str">
        <f t="shared" si="355"/>
        <v/>
      </c>
      <c r="T935" s="38" t="str">
        <f t="shared" si="356"/>
        <v/>
      </c>
      <c r="U935" s="39" t="str">
        <f t="shared" si="357"/>
        <v/>
      </c>
      <c r="V935" s="40" t="str">
        <f t="shared" si="358"/>
        <v/>
      </c>
      <c r="W935" s="39" t="str">
        <f t="shared" si="359"/>
        <v/>
      </c>
      <c r="X935" s="34" t="str">
        <f t="shared" si="360"/>
        <v/>
      </c>
      <c r="Y935" s="41" t="str">
        <f t="shared" si="366"/>
        <v/>
      </c>
      <c r="Z935" s="98" t="str">
        <f t="shared" si="361"/>
        <v/>
      </c>
      <c r="AA935" s="81" t="str">
        <f t="shared" si="367"/>
        <v/>
      </c>
      <c r="AC935" s="139"/>
      <c r="AD935" s="110" t="str">
        <f t="shared" si="368"/>
        <v/>
      </c>
      <c r="AE935" s="111" t="str">
        <f t="shared" si="369"/>
        <v/>
      </c>
      <c r="AF935" s="111" t="str">
        <f t="shared" si="362"/>
        <v/>
      </c>
      <c r="AG935" s="111" t="str">
        <f t="shared" si="370"/>
        <v/>
      </c>
      <c r="AH935" s="111" t="str">
        <f t="shared" si="371"/>
        <v/>
      </c>
      <c r="AI935" s="112" t="str">
        <f t="shared" si="372"/>
        <v/>
      </c>
      <c r="AJ935" t="str">
        <f t="shared" si="373"/>
        <v/>
      </c>
      <c r="AK935" t="str">
        <f t="shared" si="374"/>
        <v/>
      </c>
    </row>
    <row r="936" spans="1:37" ht="15" customHeight="1" x14ac:dyDescent="0.25">
      <c r="A936" s="114"/>
      <c r="B936" s="116"/>
      <c r="C936" s="116"/>
      <c r="D936" s="42" t="str">
        <f t="shared" si="350"/>
        <v/>
      </c>
      <c r="E936" s="43"/>
      <c r="F936" s="83"/>
      <c r="G936" s="118"/>
      <c r="H936" s="34" t="str">
        <f t="shared" si="351"/>
        <v/>
      </c>
      <c r="I936" s="88" t="str">
        <f t="shared" si="352"/>
        <v/>
      </c>
      <c r="J936" s="44" t="str">
        <f t="shared" si="353"/>
        <v/>
      </c>
      <c r="K936" s="118"/>
      <c r="L936" s="34" t="str">
        <f t="shared" si="354"/>
        <v/>
      </c>
      <c r="M936" s="118"/>
      <c r="N936" s="121"/>
      <c r="O936" s="122" t="str">
        <f t="shared" si="363"/>
        <v/>
      </c>
      <c r="P936" s="35" t="str">
        <f t="shared" si="364"/>
        <v/>
      </c>
      <c r="Q936" s="124"/>
      <c r="R936" s="36" t="str">
        <f t="shared" si="365"/>
        <v/>
      </c>
      <c r="S936" s="37" t="str">
        <f t="shared" si="355"/>
        <v/>
      </c>
      <c r="T936" s="38" t="str">
        <f t="shared" si="356"/>
        <v/>
      </c>
      <c r="U936" s="39" t="str">
        <f t="shared" si="357"/>
        <v/>
      </c>
      <c r="V936" s="40" t="str">
        <f t="shared" si="358"/>
        <v/>
      </c>
      <c r="W936" s="39" t="str">
        <f t="shared" si="359"/>
        <v/>
      </c>
      <c r="X936" s="34" t="str">
        <f t="shared" si="360"/>
        <v/>
      </c>
      <c r="Y936" s="41" t="str">
        <f t="shared" si="366"/>
        <v/>
      </c>
      <c r="Z936" s="98" t="str">
        <f t="shared" si="361"/>
        <v/>
      </c>
      <c r="AA936" s="81" t="str">
        <f t="shared" si="367"/>
        <v/>
      </c>
      <c r="AC936" s="139"/>
      <c r="AD936" s="110" t="str">
        <f t="shared" si="368"/>
        <v/>
      </c>
      <c r="AE936" s="111" t="str">
        <f t="shared" si="369"/>
        <v/>
      </c>
      <c r="AF936" s="111" t="str">
        <f t="shared" si="362"/>
        <v/>
      </c>
      <c r="AG936" s="111" t="str">
        <f t="shared" si="370"/>
        <v/>
      </c>
      <c r="AH936" s="111" t="str">
        <f t="shared" si="371"/>
        <v/>
      </c>
      <c r="AI936" s="112" t="str">
        <f t="shared" si="372"/>
        <v/>
      </c>
      <c r="AJ936" t="str">
        <f t="shared" si="373"/>
        <v/>
      </c>
      <c r="AK936" t="str">
        <f t="shared" si="374"/>
        <v/>
      </c>
    </row>
    <row r="937" spans="1:37" ht="15" customHeight="1" x14ac:dyDescent="0.25">
      <c r="A937" s="114"/>
      <c r="B937" s="116"/>
      <c r="C937" s="116"/>
      <c r="D937" s="42" t="str">
        <f t="shared" si="350"/>
        <v/>
      </c>
      <c r="E937" s="43"/>
      <c r="F937" s="83"/>
      <c r="G937" s="118"/>
      <c r="H937" s="34" t="str">
        <f t="shared" si="351"/>
        <v/>
      </c>
      <c r="I937" s="88" t="str">
        <f t="shared" si="352"/>
        <v/>
      </c>
      <c r="J937" s="44" t="str">
        <f t="shared" si="353"/>
        <v/>
      </c>
      <c r="K937" s="118"/>
      <c r="L937" s="34" t="str">
        <f t="shared" si="354"/>
        <v/>
      </c>
      <c r="M937" s="118"/>
      <c r="N937" s="121"/>
      <c r="O937" s="122" t="str">
        <f t="shared" si="363"/>
        <v/>
      </c>
      <c r="P937" s="35" t="str">
        <f t="shared" si="364"/>
        <v/>
      </c>
      <c r="Q937" s="124"/>
      <c r="R937" s="36" t="str">
        <f t="shared" si="365"/>
        <v/>
      </c>
      <c r="S937" s="37" t="str">
        <f t="shared" si="355"/>
        <v/>
      </c>
      <c r="T937" s="38" t="str">
        <f t="shared" si="356"/>
        <v/>
      </c>
      <c r="U937" s="39" t="str">
        <f t="shared" si="357"/>
        <v/>
      </c>
      <c r="V937" s="40" t="str">
        <f t="shared" si="358"/>
        <v/>
      </c>
      <c r="W937" s="39" t="str">
        <f t="shared" si="359"/>
        <v/>
      </c>
      <c r="X937" s="34" t="str">
        <f t="shared" si="360"/>
        <v/>
      </c>
      <c r="Y937" s="41" t="str">
        <f t="shared" si="366"/>
        <v/>
      </c>
      <c r="Z937" s="98" t="str">
        <f t="shared" si="361"/>
        <v/>
      </c>
      <c r="AA937" s="81" t="str">
        <f t="shared" si="367"/>
        <v/>
      </c>
      <c r="AC937" s="139"/>
      <c r="AD937" s="110" t="str">
        <f t="shared" si="368"/>
        <v/>
      </c>
      <c r="AE937" s="111" t="str">
        <f t="shared" si="369"/>
        <v/>
      </c>
      <c r="AF937" s="111" t="str">
        <f t="shared" si="362"/>
        <v/>
      </c>
      <c r="AG937" s="111" t="str">
        <f t="shared" si="370"/>
        <v/>
      </c>
      <c r="AH937" s="111" t="str">
        <f t="shared" si="371"/>
        <v/>
      </c>
      <c r="AI937" s="112" t="str">
        <f t="shared" si="372"/>
        <v/>
      </c>
      <c r="AJ937" t="str">
        <f t="shared" si="373"/>
        <v/>
      </c>
      <c r="AK937" t="str">
        <f t="shared" si="374"/>
        <v/>
      </c>
    </row>
    <row r="938" spans="1:37" ht="15" customHeight="1" x14ac:dyDescent="0.25">
      <c r="A938" s="114"/>
      <c r="B938" s="116"/>
      <c r="C938" s="116"/>
      <c r="D938" s="42" t="str">
        <f t="shared" si="350"/>
        <v/>
      </c>
      <c r="E938" s="43"/>
      <c r="F938" s="83"/>
      <c r="G938" s="118"/>
      <c r="H938" s="34" t="str">
        <f t="shared" si="351"/>
        <v/>
      </c>
      <c r="I938" s="88" t="str">
        <f t="shared" si="352"/>
        <v/>
      </c>
      <c r="J938" s="44" t="str">
        <f t="shared" si="353"/>
        <v/>
      </c>
      <c r="K938" s="118"/>
      <c r="L938" s="34" t="str">
        <f t="shared" si="354"/>
        <v/>
      </c>
      <c r="M938" s="118"/>
      <c r="N938" s="121"/>
      <c r="O938" s="122" t="str">
        <f t="shared" si="363"/>
        <v/>
      </c>
      <c r="P938" s="35" t="str">
        <f t="shared" si="364"/>
        <v/>
      </c>
      <c r="Q938" s="124"/>
      <c r="R938" s="36" t="str">
        <f t="shared" si="365"/>
        <v/>
      </c>
      <c r="S938" s="37" t="str">
        <f t="shared" si="355"/>
        <v/>
      </c>
      <c r="T938" s="38" t="str">
        <f t="shared" si="356"/>
        <v/>
      </c>
      <c r="U938" s="39" t="str">
        <f t="shared" si="357"/>
        <v/>
      </c>
      <c r="V938" s="40" t="str">
        <f t="shared" si="358"/>
        <v/>
      </c>
      <c r="W938" s="39" t="str">
        <f t="shared" si="359"/>
        <v/>
      </c>
      <c r="X938" s="34" t="str">
        <f t="shared" si="360"/>
        <v/>
      </c>
      <c r="Y938" s="41" t="str">
        <f t="shared" si="366"/>
        <v/>
      </c>
      <c r="Z938" s="98" t="str">
        <f t="shared" si="361"/>
        <v/>
      </c>
      <c r="AA938" s="81" t="str">
        <f t="shared" si="367"/>
        <v/>
      </c>
      <c r="AC938" s="139"/>
      <c r="AD938" s="110" t="str">
        <f t="shared" si="368"/>
        <v/>
      </c>
      <c r="AE938" s="111" t="str">
        <f t="shared" si="369"/>
        <v/>
      </c>
      <c r="AF938" s="111" t="str">
        <f t="shared" si="362"/>
        <v/>
      </c>
      <c r="AG938" s="111" t="str">
        <f t="shared" si="370"/>
        <v/>
      </c>
      <c r="AH938" s="111" t="str">
        <f t="shared" si="371"/>
        <v/>
      </c>
      <c r="AI938" s="112" t="str">
        <f t="shared" si="372"/>
        <v/>
      </c>
      <c r="AJ938" t="str">
        <f t="shared" si="373"/>
        <v/>
      </c>
      <c r="AK938" t="str">
        <f t="shared" si="374"/>
        <v/>
      </c>
    </row>
    <row r="939" spans="1:37" ht="15" customHeight="1" x14ac:dyDescent="0.25">
      <c r="A939" s="114"/>
      <c r="B939" s="116"/>
      <c r="C939" s="116"/>
      <c r="D939" s="42" t="str">
        <f t="shared" si="350"/>
        <v/>
      </c>
      <c r="E939" s="43"/>
      <c r="F939" s="83"/>
      <c r="G939" s="118"/>
      <c r="H939" s="34" t="str">
        <f t="shared" si="351"/>
        <v/>
      </c>
      <c r="I939" s="88" t="str">
        <f t="shared" si="352"/>
        <v/>
      </c>
      <c r="J939" s="44" t="str">
        <f t="shared" si="353"/>
        <v/>
      </c>
      <c r="K939" s="118"/>
      <c r="L939" s="34" t="str">
        <f t="shared" si="354"/>
        <v/>
      </c>
      <c r="M939" s="118"/>
      <c r="N939" s="121"/>
      <c r="O939" s="122" t="str">
        <f t="shared" si="363"/>
        <v/>
      </c>
      <c r="P939" s="35" t="str">
        <f t="shared" si="364"/>
        <v/>
      </c>
      <c r="Q939" s="124"/>
      <c r="R939" s="36" t="str">
        <f t="shared" si="365"/>
        <v/>
      </c>
      <c r="S939" s="37" t="str">
        <f t="shared" si="355"/>
        <v/>
      </c>
      <c r="T939" s="38" t="str">
        <f t="shared" si="356"/>
        <v/>
      </c>
      <c r="U939" s="39" t="str">
        <f t="shared" si="357"/>
        <v/>
      </c>
      <c r="V939" s="40" t="str">
        <f t="shared" si="358"/>
        <v/>
      </c>
      <c r="W939" s="39" t="str">
        <f t="shared" si="359"/>
        <v/>
      </c>
      <c r="X939" s="34" t="str">
        <f t="shared" si="360"/>
        <v/>
      </c>
      <c r="Y939" s="41" t="str">
        <f t="shared" si="366"/>
        <v/>
      </c>
      <c r="Z939" s="98" t="str">
        <f t="shared" si="361"/>
        <v/>
      </c>
      <c r="AA939" s="81" t="str">
        <f t="shared" si="367"/>
        <v/>
      </c>
      <c r="AC939" s="139"/>
      <c r="AD939" s="110" t="str">
        <f t="shared" si="368"/>
        <v/>
      </c>
      <c r="AE939" s="111" t="str">
        <f t="shared" si="369"/>
        <v/>
      </c>
      <c r="AF939" s="111" t="str">
        <f t="shared" si="362"/>
        <v/>
      </c>
      <c r="AG939" s="111" t="str">
        <f t="shared" si="370"/>
        <v/>
      </c>
      <c r="AH939" s="111" t="str">
        <f t="shared" si="371"/>
        <v/>
      </c>
      <c r="AI939" s="112" t="str">
        <f t="shared" si="372"/>
        <v/>
      </c>
      <c r="AJ939" t="str">
        <f t="shared" si="373"/>
        <v/>
      </c>
      <c r="AK939" t="str">
        <f t="shared" si="374"/>
        <v/>
      </c>
    </row>
    <row r="940" spans="1:37" ht="15" customHeight="1" x14ac:dyDescent="0.25">
      <c r="A940" s="114"/>
      <c r="B940" s="116"/>
      <c r="C940" s="116"/>
      <c r="D940" s="42" t="str">
        <f t="shared" si="350"/>
        <v/>
      </c>
      <c r="E940" s="43"/>
      <c r="F940" s="83"/>
      <c r="G940" s="118"/>
      <c r="H940" s="34" t="str">
        <f t="shared" si="351"/>
        <v/>
      </c>
      <c r="I940" s="88" t="str">
        <f t="shared" si="352"/>
        <v/>
      </c>
      <c r="J940" s="44" t="str">
        <f t="shared" si="353"/>
        <v/>
      </c>
      <c r="K940" s="118"/>
      <c r="L940" s="34" t="str">
        <f t="shared" si="354"/>
        <v/>
      </c>
      <c r="M940" s="118"/>
      <c r="N940" s="121"/>
      <c r="O940" s="122" t="str">
        <f t="shared" si="363"/>
        <v/>
      </c>
      <c r="P940" s="35" t="str">
        <f t="shared" si="364"/>
        <v/>
      </c>
      <c r="Q940" s="124"/>
      <c r="R940" s="36" t="str">
        <f t="shared" si="365"/>
        <v/>
      </c>
      <c r="S940" s="37" t="str">
        <f t="shared" si="355"/>
        <v/>
      </c>
      <c r="T940" s="38" t="str">
        <f t="shared" si="356"/>
        <v/>
      </c>
      <c r="U940" s="39" t="str">
        <f t="shared" si="357"/>
        <v/>
      </c>
      <c r="V940" s="40" t="str">
        <f t="shared" si="358"/>
        <v/>
      </c>
      <c r="W940" s="39" t="str">
        <f t="shared" si="359"/>
        <v/>
      </c>
      <c r="X940" s="34" t="str">
        <f t="shared" si="360"/>
        <v/>
      </c>
      <c r="Y940" s="41" t="str">
        <f t="shared" si="366"/>
        <v/>
      </c>
      <c r="Z940" s="98" t="str">
        <f t="shared" si="361"/>
        <v/>
      </c>
      <c r="AA940" s="81" t="str">
        <f t="shared" si="367"/>
        <v/>
      </c>
      <c r="AC940" s="139"/>
      <c r="AD940" s="110" t="str">
        <f t="shared" si="368"/>
        <v/>
      </c>
      <c r="AE940" s="111" t="str">
        <f t="shared" si="369"/>
        <v/>
      </c>
      <c r="AF940" s="111" t="str">
        <f t="shared" si="362"/>
        <v/>
      </c>
      <c r="AG940" s="111" t="str">
        <f t="shared" si="370"/>
        <v/>
      </c>
      <c r="AH940" s="111" t="str">
        <f t="shared" si="371"/>
        <v/>
      </c>
      <c r="AI940" s="112" t="str">
        <f t="shared" si="372"/>
        <v/>
      </c>
      <c r="AJ940" t="str">
        <f t="shared" si="373"/>
        <v/>
      </c>
      <c r="AK940" t="str">
        <f t="shared" si="374"/>
        <v/>
      </c>
    </row>
    <row r="941" spans="1:37" ht="15" customHeight="1" x14ac:dyDescent="0.25">
      <c r="A941" s="114"/>
      <c r="B941" s="116"/>
      <c r="C941" s="116"/>
      <c r="D941" s="42" t="str">
        <f t="shared" si="350"/>
        <v/>
      </c>
      <c r="E941" s="43"/>
      <c r="F941" s="83"/>
      <c r="G941" s="118"/>
      <c r="H941" s="34" t="str">
        <f t="shared" si="351"/>
        <v/>
      </c>
      <c r="I941" s="88" t="str">
        <f t="shared" si="352"/>
        <v/>
      </c>
      <c r="J941" s="44" t="str">
        <f t="shared" si="353"/>
        <v/>
      </c>
      <c r="K941" s="118"/>
      <c r="L941" s="34" t="str">
        <f t="shared" si="354"/>
        <v/>
      </c>
      <c r="M941" s="118"/>
      <c r="N941" s="121"/>
      <c r="O941" s="122" t="str">
        <f t="shared" si="363"/>
        <v/>
      </c>
      <c r="P941" s="35" t="str">
        <f t="shared" si="364"/>
        <v/>
      </c>
      <c r="Q941" s="124"/>
      <c r="R941" s="36" t="str">
        <f t="shared" si="365"/>
        <v/>
      </c>
      <c r="S941" s="37" t="str">
        <f t="shared" si="355"/>
        <v/>
      </c>
      <c r="T941" s="38" t="str">
        <f t="shared" si="356"/>
        <v/>
      </c>
      <c r="U941" s="39" t="str">
        <f t="shared" si="357"/>
        <v/>
      </c>
      <c r="V941" s="40" t="str">
        <f t="shared" si="358"/>
        <v/>
      </c>
      <c r="W941" s="39" t="str">
        <f t="shared" si="359"/>
        <v/>
      </c>
      <c r="X941" s="34" t="str">
        <f t="shared" si="360"/>
        <v/>
      </c>
      <c r="Y941" s="41" t="str">
        <f t="shared" si="366"/>
        <v/>
      </c>
      <c r="Z941" s="98" t="str">
        <f t="shared" si="361"/>
        <v/>
      </c>
      <c r="AA941" s="81" t="str">
        <f t="shared" si="367"/>
        <v/>
      </c>
      <c r="AC941" s="139"/>
      <c r="AD941" s="110" t="str">
        <f t="shared" si="368"/>
        <v/>
      </c>
      <c r="AE941" s="111" t="str">
        <f t="shared" si="369"/>
        <v/>
      </c>
      <c r="AF941" s="111" t="str">
        <f t="shared" si="362"/>
        <v/>
      </c>
      <c r="AG941" s="111" t="str">
        <f t="shared" si="370"/>
        <v/>
      </c>
      <c r="AH941" s="111" t="str">
        <f t="shared" si="371"/>
        <v/>
      </c>
      <c r="AI941" s="112" t="str">
        <f t="shared" si="372"/>
        <v/>
      </c>
      <c r="AJ941" t="str">
        <f t="shared" si="373"/>
        <v/>
      </c>
      <c r="AK941" t="str">
        <f t="shared" si="374"/>
        <v/>
      </c>
    </row>
    <row r="942" spans="1:37" ht="15" customHeight="1" x14ac:dyDescent="0.25">
      <c r="A942" s="114"/>
      <c r="B942" s="116"/>
      <c r="C942" s="116"/>
      <c r="D942" s="42" t="str">
        <f t="shared" si="350"/>
        <v/>
      </c>
      <c r="E942" s="43"/>
      <c r="F942" s="83"/>
      <c r="G942" s="118"/>
      <c r="H942" s="34" t="str">
        <f t="shared" si="351"/>
        <v/>
      </c>
      <c r="I942" s="88" t="str">
        <f t="shared" si="352"/>
        <v/>
      </c>
      <c r="J942" s="44" t="str">
        <f t="shared" si="353"/>
        <v/>
      </c>
      <c r="K942" s="118"/>
      <c r="L942" s="34" t="str">
        <f t="shared" si="354"/>
        <v/>
      </c>
      <c r="M942" s="118"/>
      <c r="N942" s="121"/>
      <c r="O942" s="122" t="str">
        <f t="shared" si="363"/>
        <v/>
      </c>
      <c r="P942" s="35" t="str">
        <f t="shared" si="364"/>
        <v/>
      </c>
      <c r="Q942" s="124"/>
      <c r="R942" s="36" t="str">
        <f t="shared" si="365"/>
        <v/>
      </c>
      <c r="S942" s="37" t="str">
        <f t="shared" si="355"/>
        <v/>
      </c>
      <c r="T942" s="38" t="str">
        <f t="shared" si="356"/>
        <v/>
      </c>
      <c r="U942" s="39" t="str">
        <f t="shared" si="357"/>
        <v/>
      </c>
      <c r="V942" s="40" t="str">
        <f t="shared" si="358"/>
        <v/>
      </c>
      <c r="W942" s="39" t="str">
        <f t="shared" si="359"/>
        <v/>
      </c>
      <c r="X942" s="34" t="str">
        <f t="shared" si="360"/>
        <v/>
      </c>
      <c r="Y942" s="41" t="str">
        <f t="shared" si="366"/>
        <v/>
      </c>
      <c r="Z942" s="98" t="str">
        <f t="shared" si="361"/>
        <v/>
      </c>
      <c r="AA942" s="81" t="str">
        <f t="shared" si="367"/>
        <v/>
      </c>
      <c r="AC942" s="139"/>
      <c r="AD942" s="110" t="str">
        <f t="shared" si="368"/>
        <v/>
      </c>
      <c r="AE942" s="111" t="str">
        <f t="shared" si="369"/>
        <v/>
      </c>
      <c r="AF942" s="111" t="str">
        <f t="shared" si="362"/>
        <v/>
      </c>
      <c r="AG942" s="111" t="str">
        <f t="shared" si="370"/>
        <v/>
      </c>
      <c r="AH942" s="111" t="str">
        <f t="shared" si="371"/>
        <v/>
      </c>
      <c r="AI942" s="112" t="str">
        <f t="shared" si="372"/>
        <v/>
      </c>
      <c r="AJ942" t="str">
        <f t="shared" si="373"/>
        <v/>
      </c>
      <c r="AK942" t="str">
        <f t="shared" si="374"/>
        <v/>
      </c>
    </row>
    <row r="943" spans="1:37" ht="15" customHeight="1" x14ac:dyDescent="0.25">
      <c r="A943" s="114"/>
      <c r="B943" s="116"/>
      <c r="C943" s="116"/>
      <c r="D943" s="42" t="str">
        <f t="shared" si="350"/>
        <v/>
      </c>
      <c r="E943" s="43"/>
      <c r="F943" s="83"/>
      <c r="G943" s="118"/>
      <c r="H943" s="34" t="str">
        <f t="shared" si="351"/>
        <v/>
      </c>
      <c r="I943" s="88" t="str">
        <f t="shared" si="352"/>
        <v/>
      </c>
      <c r="J943" s="44" t="str">
        <f t="shared" si="353"/>
        <v/>
      </c>
      <c r="K943" s="118"/>
      <c r="L943" s="34" t="str">
        <f t="shared" si="354"/>
        <v/>
      </c>
      <c r="M943" s="118"/>
      <c r="N943" s="121"/>
      <c r="O943" s="122" t="str">
        <f t="shared" si="363"/>
        <v/>
      </c>
      <c r="P943" s="35" t="str">
        <f t="shared" si="364"/>
        <v/>
      </c>
      <c r="Q943" s="124"/>
      <c r="R943" s="36" t="str">
        <f t="shared" si="365"/>
        <v/>
      </c>
      <c r="S943" s="37" t="str">
        <f t="shared" si="355"/>
        <v/>
      </c>
      <c r="T943" s="38" t="str">
        <f t="shared" si="356"/>
        <v/>
      </c>
      <c r="U943" s="39" t="str">
        <f t="shared" si="357"/>
        <v/>
      </c>
      <c r="V943" s="40" t="str">
        <f t="shared" si="358"/>
        <v/>
      </c>
      <c r="W943" s="39" t="str">
        <f t="shared" si="359"/>
        <v/>
      </c>
      <c r="X943" s="34" t="str">
        <f t="shared" si="360"/>
        <v/>
      </c>
      <c r="Y943" s="41" t="str">
        <f t="shared" si="366"/>
        <v/>
      </c>
      <c r="Z943" s="98" t="str">
        <f t="shared" si="361"/>
        <v/>
      </c>
      <c r="AA943" s="81" t="str">
        <f t="shared" si="367"/>
        <v/>
      </c>
      <c r="AC943" s="139"/>
      <c r="AD943" s="110" t="str">
        <f t="shared" si="368"/>
        <v/>
      </c>
      <c r="AE943" s="111" t="str">
        <f t="shared" si="369"/>
        <v/>
      </c>
      <c r="AF943" s="111" t="str">
        <f t="shared" si="362"/>
        <v/>
      </c>
      <c r="AG943" s="111" t="str">
        <f t="shared" si="370"/>
        <v/>
      </c>
      <c r="AH943" s="111" t="str">
        <f t="shared" si="371"/>
        <v/>
      </c>
      <c r="AI943" s="112" t="str">
        <f t="shared" si="372"/>
        <v/>
      </c>
      <c r="AJ943" t="str">
        <f t="shared" si="373"/>
        <v/>
      </c>
      <c r="AK943" t="str">
        <f t="shared" si="374"/>
        <v/>
      </c>
    </row>
    <row r="944" spans="1:37" ht="15" customHeight="1" x14ac:dyDescent="0.25">
      <c r="A944" s="114"/>
      <c r="B944" s="116"/>
      <c r="C944" s="116"/>
      <c r="D944" s="42" t="str">
        <f t="shared" si="350"/>
        <v/>
      </c>
      <c r="E944" s="43"/>
      <c r="F944" s="83"/>
      <c r="G944" s="118"/>
      <c r="H944" s="34" t="str">
        <f t="shared" si="351"/>
        <v/>
      </c>
      <c r="I944" s="88" t="str">
        <f t="shared" si="352"/>
        <v/>
      </c>
      <c r="J944" s="44" t="str">
        <f t="shared" si="353"/>
        <v/>
      </c>
      <c r="K944" s="118"/>
      <c r="L944" s="34" t="str">
        <f t="shared" si="354"/>
        <v/>
      </c>
      <c r="M944" s="118"/>
      <c r="N944" s="121"/>
      <c r="O944" s="122" t="str">
        <f t="shared" si="363"/>
        <v/>
      </c>
      <c r="P944" s="35" t="str">
        <f t="shared" si="364"/>
        <v/>
      </c>
      <c r="Q944" s="124"/>
      <c r="R944" s="36" t="str">
        <f t="shared" si="365"/>
        <v/>
      </c>
      <c r="S944" s="37" t="str">
        <f t="shared" si="355"/>
        <v/>
      </c>
      <c r="T944" s="38" t="str">
        <f t="shared" si="356"/>
        <v/>
      </c>
      <c r="U944" s="39" t="str">
        <f t="shared" si="357"/>
        <v/>
      </c>
      <c r="V944" s="40" t="str">
        <f t="shared" si="358"/>
        <v/>
      </c>
      <c r="W944" s="39" t="str">
        <f t="shared" si="359"/>
        <v/>
      </c>
      <c r="X944" s="34" t="str">
        <f t="shared" si="360"/>
        <v/>
      </c>
      <c r="Y944" s="41" t="str">
        <f t="shared" si="366"/>
        <v/>
      </c>
      <c r="Z944" s="98" t="str">
        <f t="shared" si="361"/>
        <v/>
      </c>
      <c r="AA944" s="81" t="str">
        <f t="shared" si="367"/>
        <v/>
      </c>
      <c r="AC944" s="139"/>
      <c r="AD944" s="110" t="str">
        <f t="shared" si="368"/>
        <v/>
      </c>
      <c r="AE944" s="111" t="str">
        <f t="shared" si="369"/>
        <v/>
      </c>
      <c r="AF944" s="111" t="str">
        <f t="shared" si="362"/>
        <v/>
      </c>
      <c r="AG944" s="111" t="str">
        <f t="shared" si="370"/>
        <v/>
      </c>
      <c r="AH944" s="111" t="str">
        <f t="shared" si="371"/>
        <v/>
      </c>
      <c r="AI944" s="112" t="str">
        <f t="shared" si="372"/>
        <v/>
      </c>
      <c r="AJ944" t="str">
        <f t="shared" si="373"/>
        <v/>
      </c>
      <c r="AK944" t="str">
        <f t="shared" si="374"/>
        <v/>
      </c>
    </row>
    <row r="945" spans="1:37" ht="15" customHeight="1" x14ac:dyDescent="0.25">
      <c r="A945" s="114"/>
      <c r="B945" s="116"/>
      <c r="C945" s="116"/>
      <c r="D945" s="42" t="str">
        <f t="shared" si="350"/>
        <v/>
      </c>
      <c r="E945" s="43"/>
      <c r="F945" s="83"/>
      <c r="G945" s="118"/>
      <c r="H945" s="34" t="str">
        <f t="shared" si="351"/>
        <v/>
      </c>
      <c r="I945" s="88" t="str">
        <f t="shared" si="352"/>
        <v/>
      </c>
      <c r="J945" s="44" t="str">
        <f t="shared" si="353"/>
        <v/>
      </c>
      <c r="K945" s="118"/>
      <c r="L945" s="34" t="str">
        <f t="shared" si="354"/>
        <v/>
      </c>
      <c r="M945" s="118"/>
      <c r="N945" s="121"/>
      <c r="O945" s="122" t="str">
        <f t="shared" si="363"/>
        <v/>
      </c>
      <c r="P945" s="35" t="str">
        <f t="shared" si="364"/>
        <v/>
      </c>
      <c r="Q945" s="124"/>
      <c r="R945" s="36" t="str">
        <f t="shared" si="365"/>
        <v/>
      </c>
      <c r="S945" s="37" t="str">
        <f t="shared" si="355"/>
        <v/>
      </c>
      <c r="T945" s="38" t="str">
        <f t="shared" si="356"/>
        <v/>
      </c>
      <c r="U945" s="39" t="str">
        <f t="shared" si="357"/>
        <v/>
      </c>
      <c r="V945" s="40" t="str">
        <f t="shared" si="358"/>
        <v/>
      </c>
      <c r="W945" s="39" t="str">
        <f t="shared" si="359"/>
        <v/>
      </c>
      <c r="X945" s="34" t="str">
        <f t="shared" si="360"/>
        <v/>
      </c>
      <c r="Y945" s="41" t="str">
        <f t="shared" si="366"/>
        <v/>
      </c>
      <c r="Z945" s="98" t="str">
        <f t="shared" si="361"/>
        <v/>
      </c>
      <c r="AA945" s="81" t="str">
        <f t="shared" si="367"/>
        <v/>
      </c>
      <c r="AC945" s="139"/>
      <c r="AD945" s="110" t="str">
        <f t="shared" si="368"/>
        <v/>
      </c>
      <c r="AE945" s="111" t="str">
        <f t="shared" si="369"/>
        <v/>
      </c>
      <c r="AF945" s="111" t="str">
        <f t="shared" si="362"/>
        <v/>
      </c>
      <c r="AG945" s="111" t="str">
        <f t="shared" si="370"/>
        <v/>
      </c>
      <c r="AH945" s="111" t="str">
        <f t="shared" si="371"/>
        <v/>
      </c>
      <c r="AI945" s="112" t="str">
        <f t="shared" si="372"/>
        <v/>
      </c>
      <c r="AJ945" t="str">
        <f t="shared" si="373"/>
        <v/>
      </c>
      <c r="AK945" t="str">
        <f t="shared" si="374"/>
        <v/>
      </c>
    </row>
    <row r="946" spans="1:37" ht="15" customHeight="1" x14ac:dyDescent="0.25">
      <c r="A946" s="114"/>
      <c r="B946" s="116"/>
      <c r="C946" s="116"/>
      <c r="D946" s="42" t="str">
        <f t="shared" si="350"/>
        <v/>
      </c>
      <c r="E946" s="43"/>
      <c r="F946" s="83"/>
      <c r="G946" s="118"/>
      <c r="H946" s="34" t="str">
        <f t="shared" si="351"/>
        <v/>
      </c>
      <c r="I946" s="88" t="str">
        <f t="shared" si="352"/>
        <v/>
      </c>
      <c r="J946" s="44" t="str">
        <f t="shared" si="353"/>
        <v/>
      </c>
      <c r="K946" s="118"/>
      <c r="L946" s="34" t="str">
        <f t="shared" si="354"/>
        <v/>
      </c>
      <c r="M946" s="118"/>
      <c r="N946" s="121"/>
      <c r="O946" s="122" t="str">
        <f t="shared" si="363"/>
        <v/>
      </c>
      <c r="P946" s="35" t="str">
        <f t="shared" si="364"/>
        <v/>
      </c>
      <c r="Q946" s="124"/>
      <c r="R946" s="36" t="str">
        <f t="shared" si="365"/>
        <v/>
      </c>
      <c r="S946" s="37" t="str">
        <f t="shared" si="355"/>
        <v/>
      </c>
      <c r="T946" s="38" t="str">
        <f t="shared" si="356"/>
        <v/>
      </c>
      <c r="U946" s="39" t="str">
        <f t="shared" si="357"/>
        <v/>
      </c>
      <c r="V946" s="40" t="str">
        <f t="shared" si="358"/>
        <v/>
      </c>
      <c r="W946" s="39" t="str">
        <f t="shared" si="359"/>
        <v/>
      </c>
      <c r="X946" s="34" t="str">
        <f t="shared" si="360"/>
        <v/>
      </c>
      <c r="Y946" s="41" t="str">
        <f t="shared" si="366"/>
        <v/>
      </c>
      <c r="Z946" s="98" t="str">
        <f t="shared" si="361"/>
        <v/>
      </c>
      <c r="AA946" s="81" t="str">
        <f t="shared" si="367"/>
        <v/>
      </c>
      <c r="AC946" s="139"/>
      <c r="AD946" s="110" t="str">
        <f t="shared" si="368"/>
        <v/>
      </c>
      <c r="AE946" s="111" t="str">
        <f t="shared" si="369"/>
        <v/>
      </c>
      <c r="AF946" s="111" t="str">
        <f t="shared" si="362"/>
        <v/>
      </c>
      <c r="AG946" s="111" t="str">
        <f t="shared" si="370"/>
        <v/>
      </c>
      <c r="AH946" s="111" t="str">
        <f t="shared" si="371"/>
        <v/>
      </c>
      <c r="AI946" s="112" t="str">
        <f t="shared" si="372"/>
        <v/>
      </c>
      <c r="AJ946" t="str">
        <f t="shared" si="373"/>
        <v/>
      </c>
      <c r="AK946" t="str">
        <f t="shared" si="374"/>
        <v/>
      </c>
    </row>
    <row r="947" spans="1:37" ht="15" customHeight="1" x14ac:dyDescent="0.25">
      <c r="A947" s="114"/>
      <c r="B947" s="116"/>
      <c r="C947" s="116"/>
      <c r="D947" s="42" t="str">
        <f t="shared" si="350"/>
        <v/>
      </c>
      <c r="E947" s="43"/>
      <c r="F947" s="83"/>
      <c r="G947" s="118"/>
      <c r="H947" s="34" t="str">
        <f t="shared" si="351"/>
        <v/>
      </c>
      <c r="I947" s="88" t="str">
        <f t="shared" si="352"/>
        <v/>
      </c>
      <c r="J947" s="44" t="str">
        <f t="shared" si="353"/>
        <v/>
      </c>
      <c r="K947" s="118"/>
      <c r="L947" s="34" t="str">
        <f t="shared" si="354"/>
        <v/>
      </c>
      <c r="M947" s="118"/>
      <c r="N947" s="121"/>
      <c r="O947" s="122" t="str">
        <f t="shared" si="363"/>
        <v/>
      </c>
      <c r="P947" s="35" t="str">
        <f t="shared" si="364"/>
        <v/>
      </c>
      <c r="Q947" s="124"/>
      <c r="R947" s="36" t="str">
        <f t="shared" si="365"/>
        <v/>
      </c>
      <c r="S947" s="37" t="str">
        <f t="shared" si="355"/>
        <v/>
      </c>
      <c r="T947" s="38" t="str">
        <f t="shared" si="356"/>
        <v/>
      </c>
      <c r="U947" s="39" t="str">
        <f t="shared" si="357"/>
        <v/>
      </c>
      <c r="V947" s="40" t="str">
        <f t="shared" si="358"/>
        <v/>
      </c>
      <c r="W947" s="39" t="str">
        <f t="shared" si="359"/>
        <v/>
      </c>
      <c r="X947" s="34" t="str">
        <f t="shared" si="360"/>
        <v/>
      </c>
      <c r="Y947" s="41" t="str">
        <f t="shared" si="366"/>
        <v/>
      </c>
      <c r="Z947" s="98" t="str">
        <f t="shared" si="361"/>
        <v/>
      </c>
      <c r="AA947" s="81" t="str">
        <f t="shared" si="367"/>
        <v/>
      </c>
      <c r="AC947" s="139"/>
      <c r="AD947" s="110" t="str">
        <f t="shared" si="368"/>
        <v/>
      </c>
      <c r="AE947" s="111" t="str">
        <f t="shared" si="369"/>
        <v/>
      </c>
      <c r="AF947" s="111" t="str">
        <f t="shared" si="362"/>
        <v/>
      </c>
      <c r="AG947" s="111" t="str">
        <f t="shared" si="370"/>
        <v/>
      </c>
      <c r="AH947" s="111" t="str">
        <f t="shared" si="371"/>
        <v/>
      </c>
      <c r="AI947" s="112" t="str">
        <f t="shared" si="372"/>
        <v/>
      </c>
      <c r="AJ947" t="str">
        <f t="shared" si="373"/>
        <v/>
      </c>
      <c r="AK947" t="str">
        <f t="shared" si="374"/>
        <v/>
      </c>
    </row>
    <row r="948" spans="1:37" ht="15" customHeight="1" x14ac:dyDescent="0.25">
      <c r="A948" s="114"/>
      <c r="B948" s="116"/>
      <c r="C948" s="116"/>
      <c r="D948" s="42" t="str">
        <f t="shared" si="350"/>
        <v/>
      </c>
      <c r="E948" s="43"/>
      <c r="F948" s="83"/>
      <c r="G948" s="118"/>
      <c r="H948" s="34" t="str">
        <f t="shared" si="351"/>
        <v/>
      </c>
      <c r="I948" s="88" t="str">
        <f t="shared" si="352"/>
        <v/>
      </c>
      <c r="J948" s="44" t="str">
        <f t="shared" si="353"/>
        <v/>
      </c>
      <c r="K948" s="118"/>
      <c r="L948" s="34" t="str">
        <f t="shared" si="354"/>
        <v/>
      </c>
      <c r="M948" s="118"/>
      <c r="N948" s="121"/>
      <c r="O948" s="122" t="str">
        <f t="shared" si="363"/>
        <v/>
      </c>
      <c r="P948" s="35" t="str">
        <f t="shared" si="364"/>
        <v/>
      </c>
      <c r="Q948" s="124"/>
      <c r="R948" s="36" t="str">
        <f t="shared" si="365"/>
        <v/>
      </c>
      <c r="S948" s="37" t="str">
        <f t="shared" si="355"/>
        <v/>
      </c>
      <c r="T948" s="38" t="str">
        <f t="shared" si="356"/>
        <v/>
      </c>
      <c r="U948" s="39" t="str">
        <f t="shared" si="357"/>
        <v/>
      </c>
      <c r="V948" s="40" t="str">
        <f t="shared" si="358"/>
        <v/>
      </c>
      <c r="W948" s="39" t="str">
        <f t="shared" si="359"/>
        <v/>
      </c>
      <c r="X948" s="34" t="str">
        <f t="shared" si="360"/>
        <v/>
      </c>
      <c r="Y948" s="41" t="str">
        <f t="shared" si="366"/>
        <v/>
      </c>
      <c r="Z948" s="98" t="str">
        <f t="shared" si="361"/>
        <v/>
      </c>
      <c r="AA948" s="81" t="str">
        <f t="shared" si="367"/>
        <v/>
      </c>
      <c r="AC948" s="139"/>
      <c r="AD948" s="110" t="str">
        <f t="shared" si="368"/>
        <v/>
      </c>
      <c r="AE948" s="111" t="str">
        <f t="shared" si="369"/>
        <v/>
      </c>
      <c r="AF948" s="111" t="str">
        <f t="shared" si="362"/>
        <v/>
      </c>
      <c r="AG948" s="111" t="str">
        <f t="shared" si="370"/>
        <v/>
      </c>
      <c r="AH948" s="111" t="str">
        <f t="shared" si="371"/>
        <v/>
      </c>
      <c r="AI948" s="112" t="str">
        <f t="shared" si="372"/>
        <v/>
      </c>
      <c r="AJ948" t="str">
        <f t="shared" si="373"/>
        <v/>
      </c>
      <c r="AK948" t="str">
        <f t="shared" si="374"/>
        <v/>
      </c>
    </row>
    <row r="949" spans="1:37" ht="15" customHeight="1" x14ac:dyDescent="0.25">
      <c r="A949" s="114"/>
      <c r="B949" s="116"/>
      <c r="C949" s="116"/>
      <c r="D949" s="42" t="str">
        <f t="shared" si="350"/>
        <v/>
      </c>
      <c r="E949" s="43"/>
      <c r="F949" s="83"/>
      <c r="G949" s="118"/>
      <c r="H949" s="34" t="str">
        <f t="shared" si="351"/>
        <v/>
      </c>
      <c r="I949" s="88" t="str">
        <f t="shared" si="352"/>
        <v/>
      </c>
      <c r="J949" s="44" t="str">
        <f t="shared" si="353"/>
        <v/>
      </c>
      <c r="K949" s="118"/>
      <c r="L949" s="34" t="str">
        <f t="shared" si="354"/>
        <v/>
      </c>
      <c r="M949" s="118"/>
      <c r="N949" s="121"/>
      <c r="O949" s="122" t="str">
        <f t="shared" si="363"/>
        <v/>
      </c>
      <c r="P949" s="35" t="str">
        <f t="shared" si="364"/>
        <v/>
      </c>
      <c r="Q949" s="124"/>
      <c r="R949" s="36" t="str">
        <f t="shared" si="365"/>
        <v/>
      </c>
      <c r="S949" s="37" t="str">
        <f t="shared" si="355"/>
        <v/>
      </c>
      <c r="T949" s="38" t="str">
        <f t="shared" si="356"/>
        <v/>
      </c>
      <c r="U949" s="39" t="str">
        <f t="shared" si="357"/>
        <v/>
      </c>
      <c r="V949" s="40" t="str">
        <f t="shared" si="358"/>
        <v/>
      </c>
      <c r="W949" s="39" t="str">
        <f t="shared" si="359"/>
        <v/>
      </c>
      <c r="X949" s="34" t="str">
        <f t="shared" si="360"/>
        <v/>
      </c>
      <c r="Y949" s="41" t="str">
        <f t="shared" si="366"/>
        <v/>
      </c>
      <c r="Z949" s="98" t="str">
        <f t="shared" si="361"/>
        <v/>
      </c>
      <c r="AA949" s="81" t="str">
        <f t="shared" si="367"/>
        <v/>
      </c>
      <c r="AC949" s="139"/>
      <c r="AD949" s="110" t="str">
        <f t="shared" si="368"/>
        <v/>
      </c>
      <c r="AE949" s="111" t="str">
        <f t="shared" si="369"/>
        <v/>
      </c>
      <c r="AF949" s="111" t="str">
        <f t="shared" si="362"/>
        <v/>
      </c>
      <c r="AG949" s="111" t="str">
        <f t="shared" si="370"/>
        <v/>
      </c>
      <c r="AH949" s="111" t="str">
        <f t="shared" si="371"/>
        <v/>
      </c>
      <c r="AI949" s="112" t="str">
        <f t="shared" si="372"/>
        <v/>
      </c>
      <c r="AJ949" t="str">
        <f t="shared" si="373"/>
        <v/>
      </c>
      <c r="AK949" t="str">
        <f t="shared" si="374"/>
        <v/>
      </c>
    </row>
    <row r="950" spans="1:37" ht="15" customHeight="1" x14ac:dyDescent="0.25">
      <c r="A950" s="114"/>
      <c r="B950" s="116"/>
      <c r="C950" s="116"/>
      <c r="D950" s="42" t="str">
        <f t="shared" si="350"/>
        <v/>
      </c>
      <c r="E950" s="43"/>
      <c r="F950" s="83"/>
      <c r="G950" s="118"/>
      <c r="H950" s="34" t="str">
        <f t="shared" si="351"/>
        <v/>
      </c>
      <c r="I950" s="88" t="str">
        <f t="shared" si="352"/>
        <v/>
      </c>
      <c r="J950" s="44" t="str">
        <f t="shared" si="353"/>
        <v/>
      </c>
      <c r="K950" s="118"/>
      <c r="L950" s="34" t="str">
        <f t="shared" si="354"/>
        <v/>
      </c>
      <c r="M950" s="118"/>
      <c r="N950" s="121"/>
      <c r="O950" s="122" t="str">
        <f t="shared" si="363"/>
        <v/>
      </c>
      <c r="P950" s="35" t="str">
        <f t="shared" si="364"/>
        <v/>
      </c>
      <c r="Q950" s="124"/>
      <c r="R950" s="36" t="str">
        <f t="shared" si="365"/>
        <v/>
      </c>
      <c r="S950" s="37" t="str">
        <f t="shared" si="355"/>
        <v/>
      </c>
      <c r="T950" s="38" t="str">
        <f t="shared" si="356"/>
        <v/>
      </c>
      <c r="U950" s="39" t="str">
        <f t="shared" si="357"/>
        <v/>
      </c>
      <c r="V950" s="40" t="str">
        <f t="shared" si="358"/>
        <v/>
      </c>
      <c r="W950" s="39" t="str">
        <f t="shared" si="359"/>
        <v/>
      </c>
      <c r="X950" s="34" t="str">
        <f t="shared" si="360"/>
        <v/>
      </c>
      <c r="Y950" s="41" t="str">
        <f t="shared" si="366"/>
        <v/>
      </c>
      <c r="Z950" s="98" t="str">
        <f t="shared" si="361"/>
        <v/>
      </c>
      <c r="AA950" s="81" t="str">
        <f t="shared" si="367"/>
        <v/>
      </c>
      <c r="AC950" s="139"/>
      <c r="AD950" s="110" t="str">
        <f t="shared" si="368"/>
        <v/>
      </c>
      <c r="AE950" s="111" t="str">
        <f t="shared" si="369"/>
        <v/>
      </c>
      <c r="AF950" s="111" t="str">
        <f t="shared" si="362"/>
        <v/>
      </c>
      <c r="AG950" s="111" t="str">
        <f t="shared" si="370"/>
        <v/>
      </c>
      <c r="AH950" s="111" t="str">
        <f t="shared" si="371"/>
        <v/>
      </c>
      <c r="AI950" s="112" t="str">
        <f t="shared" si="372"/>
        <v/>
      </c>
      <c r="AJ950" t="str">
        <f t="shared" si="373"/>
        <v/>
      </c>
      <c r="AK950" t="str">
        <f t="shared" si="374"/>
        <v/>
      </c>
    </row>
    <row r="951" spans="1:37" ht="15" customHeight="1" x14ac:dyDescent="0.25">
      <c r="A951" s="114"/>
      <c r="B951" s="116"/>
      <c r="C951" s="116"/>
      <c r="D951" s="42" t="str">
        <f t="shared" si="350"/>
        <v/>
      </c>
      <c r="E951" s="43"/>
      <c r="F951" s="83"/>
      <c r="G951" s="118"/>
      <c r="H951" s="34" t="str">
        <f t="shared" si="351"/>
        <v/>
      </c>
      <c r="I951" s="88" t="str">
        <f t="shared" si="352"/>
        <v/>
      </c>
      <c r="J951" s="44" t="str">
        <f t="shared" si="353"/>
        <v/>
      </c>
      <c r="K951" s="118"/>
      <c r="L951" s="34" t="str">
        <f t="shared" si="354"/>
        <v/>
      </c>
      <c r="M951" s="118"/>
      <c r="N951" s="121"/>
      <c r="O951" s="122" t="str">
        <f t="shared" si="363"/>
        <v/>
      </c>
      <c r="P951" s="35" t="str">
        <f t="shared" si="364"/>
        <v/>
      </c>
      <c r="Q951" s="124"/>
      <c r="R951" s="36" t="str">
        <f t="shared" si="365"/>
        <v/>
      </c>
      <c r="S951" s="37" t="str">
        <f t="shared" si="355"/>
        <v/>
      </c>
      <c r="T951" s="38" t="str">
        <f t="shared" si="356"/>
        <v/>
      </c>
      <c r="U951" s="39" t="str">
        <f t="shared" si="357"/>
        <v/>
      </c>
      <c r="V951" s="40" t="str">
        <f t="shared" si="358"/>
        <v/>
      </c>
      <c r="W951" s="39" t="str">
        <f t="shared" si="359"/>
        <v/>
      </c>
      <c r="X951" s="34" t="str">
        <f t="shared" si="360"/>
        <v/>
      </c>
      <c r="Y951" s="41" t="str">
        <f t="shared" si="366"/>
        <v/>
      </c>
      <c r="Z951" s="98" t="str">
        <f t="shared" si="361"/>
        <v/>
      </c>
      <c r="AA951" s="81" t="str">
        <f t="shared" si="367"/>
        <v/>
      </c>
      <c r="AC951" s="139"/>
      <c r="AD951" s="110" t="str">
        <f t="shared" si="368"/>
        <v/>
      </c>
      <c r="AE951" s="111" t="str">
        <f t="shared" si="369"/>
        <v/>
      </c>
      <c r="AF951" s="111" t="str">
        <f t="shared" si="362"/>
        <v/>
      </c>
      <c r="AG951" s="111" t="str">
        <f t="shared" si="370"/>
        <v/>
      </c>
      <c r="AH951" s="111" t="str">
        <f t="shared" si="371"/>
        <v/>
      </c>
      <c r="AI951" s="112" t="str">
        <f t="shared" si="372"/>
        <v/>
      </c>
      <c r="AJ951" t="str">
        <f t="shared" si="373"/>
        <v/>
      </c>
      <c r="AK951" t="str">
        <f t="shared" si="374"/>
        <v/>
      </c>
    </row>
    <row r="952" spans="1:37" ht="15" customHeight="1" x14ac:dyDescent="0.25">
      <c r="A952" s="114"/>
      <c r="B952" s="116"/>
      <c r="C952" s="116"/>
      <c r="D952" s="42" t="str">
        <f t="shared" si="350"/>
        <v/>
      </c>
      <c r="E952" s="43"/>
      <c r="F952" s="83"/>
      <c r="G952" s="118"/>
      <c r="H952" s="34" t="str">
        <f t="shared" si="351"/>
        <v/>
      </c>
      <c r="I952" s="88" t="str">
        <f t="shared" si="352"/>
        <v/>
      </c>
      <c r="J952" s="44" t="str">
        <f t="shared" si="353"/>
        <v/>
      </c>
      <c r="K952" s="118"/>
      <c r="L952" s="34" t="str">
        <f t="shared" si="354"/>
        <v/>
      </c>
      <c r="M952" s="118"/>
      <c r="N952" s="121"/>
      <c r="O952" s="122" t="str">
        <f t="shared" si="363"/>
        <v/>
      </c>
      <c r="P952" s="35" t="str">
        <f t="shared" si="364"/>
        <v/>
      </c>
      <c r="Q952" s="124"/>
      <c r="R952" s="36" t="str">
        <f t="shared" si="365"/>
        <v/>
      </c>
      <c r="S952" s="37" t="str">
        <f t="shared" si="355"/>
        <v/>
      </c>
      <c r="T952" s="38" t="str">
        <f t="shared" si="356"/>
        <v/>
      </c>
      <c r="U952" s="39" t="str">
        <f t="shared" si="357"/>
        <v/>
      </c>
      <c r="V952" s="40" t="str">
        <f t="shared" si="358"/>
        <v/>
      </c>
      <c r="W952" s="39" t="str">
        <f t="shared" si="359"/>
        <v/>
      </c>
      <c r="X952" s="34" t="str">
        <f t="shared" si="360"/>
        <v/>
      </c>
      <c r="Y952" s="41" t="str">
        <f t="shared" si="366"/>
        <v/>
      </c>
      <c r="Z952" s="98" t="str">
        <f t="shared" si="361"/>
        <v/>
      </c>
      <c r="AA952" s="81" t="str">
        <f t="shared" si="367"/>
        <v/>
      </c>
      <c r="AC952" s="139"/>
      <c r="AD952" s="110" t="str">
        <f t="shared" si="368"/>
        <v/>
      </c>
      <c r="AE952" s="111" t="str">
        <f t="shared" si="369"/>
        <v/>
      </c>
      <c r="AF952" s="111" t="str">
        <f t="shared" si="362"/>
        <v/>
      </c>
      <c r="AG952" s="111" t="str">
        <f t="shared" si="370"/>
        <v/>
      </c>
      <c r="AH952" s="111" t="str">
        <f t="shared" si="371"/>
        <v/>
      </c>
      <c r="AI952" s="112" t="str">
        <f t="shared" si="372"/>
        <v/>
      </c>
      <c r="AJ952" t="str">
        <f t="shared" si="373"/>
        <v/>
      </c>
      <c r="AK952" t="str">
        <f t="shared" si="374"/>
        <v/>
      </c>
    </row>
    <row r="953" spans="1:37" ht="15" customHeight="1" x14ac:dyDescent="0.25">
      <c r="A953" s="114"/>
      <c r="B953" s="116"/>
      <c r="C953" s="116"/>
      <c r="D953" s="42" t="str">
        <f t="shared" si="350"/>
        <v/>
      </c>
      <c r="E953" s="43"/>
      <c r="F953" s="83"/>
      <c r="G953" s="118"/>
      <c r="H953" s="34" t="str">
        <f t="shared" si="351"/>
        <v/>
      </c>
      <c r="I953" s="88" t="str">
        <f t="shared" si="352"/>
        <v/>
      </c>
      <c r="J953" s="44" t="str">
        <f t="shared" si="353"/>
        <v/>
      </c>
      <c r="K953" s="118"/>
      <c r="L953" s="34" t="str">
        <f t="shared" si="354"/>
        <v/>
      </c>
      <c r="M953" s="118"/>
      <c r="N953" s="121"/>
      <c r="O953" s="122" t="str">
        <f t="shared" si="363"/>
        <v/>
      </c>
      <c r="P953" s="35" t="str">
        <f t="shared" si="364"/>
        <v/>
      </c>
      <c r="Q953" s="124"/>
      <c r="R953" s="36" t="str">
        <f t="shared" si="365"/>
        <v/>
      </c>
      <c r="S953" s="37" t="str">
        <f t="shared" si="355"/>
        <v/>
      </c>
      <c r="T953" s="38" t="str">
        <f t="shared" si="356"/>
        <v/>
      </c>
      <c r="U953" s="39" t="str">
        <f t="shared" si="357"/>
        <v/>
      </c>
      <c r="V953" s="40" t="str">
        <f t="shared" si="358"/>
        <v/>
      </c>
      <c r="W953" s="39" t="str">
        <f t="shared" si="359"/>
        <v/>
      </c>
      <c r="X953" s="34" t="str">
        <f t="shared" si="360"/>
        <v/>
      </c>
      <c r="Y953" s="41" t="str">
        <f t="shared" si="366"/>
        <v/>
      </c>
      <c r="Z953" s="98" t="str">
        <f t="shared" si="361"/>
        <v/>
      </c>
      <c r="AA953" s="81" t="str">
        <f t="shared" si="367"/>
        <v/>
      </c>
      <c r="AC953" s="139"/>
      <c r="AD953" s="110" t="str">
        <f t="shared" si="368"/>
        <v/>
      </c>
      <c r="AE953" s="111" t="str">
        <f t="shared" si="369"/>
        <v/>
      </c>
      <c r="AF953" s="111" t="str">
        <f t="shared" si="362"/>
        <v/>
      </c>
      <c r="AG953" s="111" t="str">
        <f t="shared" si="370"/>
        <v/>
      </c>
      <c r="AH953" s="111" t="str">
        <f t="shared" si="371"/>
        <v/>
      </c>
      <c r="AI953" s="112" t="str">
        <f t="shared" si="372"/>
        <v/>
      </c>
      <c r="AJ953" t="str">
        <f t="shared" si="373"/>
        <v/>
      </c>
      <c r="AK953" t="str">
        <f t="shared" si="374"/>
        <v/>
      </c>
    </row>
    <row r="954" spans="1:37" ht="15" customHeight="1" x14ac:dyDescent="0.25">
      <c r="A954" s="114"/>
      <c r="B954" s="116"/>
      <c r="C954" s="116"/>
      <c r="D954" s="42" t="str">
        <f t="shared" si="350"/>
        <v/>
      </c>
      <c r="E954" s="43"/>
      <c r="F954" s="83"/>
      <c r="G954" s="118"/>
      <c r="H954" s="34" t="str">
        <f t="shared" si="351"/>
        <v/>
      </c>
      <c r="I954" s="88" t="str">
        <f t="shared" si="352"/>
        <v/>
      </c>
      <c r="J954" s="44" t="str">
        <f t="shared" si="353"/>
        <v/>
      </c>
      <c r="K954" s="118"/>
      <c r="L954" s="34" t="str">
        <f t="shared" si="354"/>
        <v/>
      </c>
      <c r="M954" s="118"/>
      <c r="N954" s="121"/>
      <c r="O954" s="122" t="str">
        <f t="shared" si="363"/>
        <v/>
      </c>
      <c r="P954" s="35" t="str">
        <f t="shared" si="364"/>
        <v/>
      </c>
      <c r="Q954" s="124"/>
      <c r="R954" s="36" t="str">
        <f t="shared" si="365"/>
        <v/>
      </c>
      <c r="S954" s="37" t="str">
        <f t="shared" si="355"/>
        <v/>
      </c>
      <c r="T954" s="38" t="str">
        <f t="shared" si="356"/>
        <v/>
      </c>
      <c r="U954" s="39" t="str">
        <f t="shared" si="357"/>
        <v/>
      </c>
      <c r="V954" s="40" t="str">
        <f t="shared" si="358"/>
        <v/>
      </c>
      <c r="W954" s="39" t="str">
        <f t="shared" si="359"/>
        <v/>
      </c>
      <c r="X954" s="34" t="str">
        <f t="shared" si="360"/>
        <v/>
      </c>
      <c r="Y954" s="41" t="str">
        <f t="shared" si="366"/>
        <v/>
      </c>
      <c r="Z954" s="98" t="str">
        <f t="shared" si="361"/>
        <v/>
      </c>
      <c r="AA954" s="81" t="str">
        <f t="shared" si="367"/>
        <v/>
      </c>
      <c r="AC954" s="139"/>
      <c r="AD954" s="110" t="str">
        <f t="shared" si="368"/>
        <v/>
      </c>
      <c r="AE954" s="111" t="str">
        <f t="shared" si="369"/>
        <v/>
      </c>
      <c r="AF954" s="111" t="str">
        <f t="shared" si="362"/>
        <v/>
      </c>
      <c r="AG954" s="111" t="str">
        <f t="shared" si="370"/>
        <v/>
      </c>
      <c r="AH954" s="111" t="str">
        <f t="shared" si="371"/>
        <v/>
      </c>
      <c r="AI954" s="112" t="str">
        <f t="shared" si="372"/>
        <v/>
      </c>
      <c r="AJ954" t="str">
        <f t="shared" si="373"/>
        <v/>
      </c>
      <c r="AK954" t="str">
        <f t="shared" si="374"/>
        <v/>
      </c>
    </row>
    <row r="955" spans="1:37" ht="15" customHeight="1" x14ac:dyDescent="0.25">
      <c r="A955" s="114"/>
      <c r="B955" s="116"/>
      <c r="C955" s="116"/>
      <c r="D955" s="42" t="str">
        <f t="shared" si="350"/>
        <v/>
      </c>
      <c r="E955" s="43"/>
      <c r="F955" s="83"/>
      <c r="G955" s="118"/>
      <c r="H955" s="34" t="str">
        <f t="shared" si="351"/>
        <v/>
      </c>
      <c r="I955" s="88" t="str">
        <f t="shared" si="352"/>
        <v/>
      </c>
      <c r="J955" s="44" t="str">
        <f t="shared" si="353"/>
        <v/>
      </c>
      <c r="K955" s="118"/>
      <c r="L955" s="34" t="str">
        <f t="shared" si="354"/>
        <v/>
      </c>
      <c r="M955" s="118"/>
      <c r="N955" s="121"/>
      <c r="O955" s="122" t="str">
        <f t="shared" si="363"/>
        <v/>
      </c>
      <c r="P955" s="35" t="str">
        <f t="shared" si="364"/>
        <v/>
      </c>
      <c r="Q955" s="124"/>
      <c r="R955" s="36" t="str">
        <f t="shared" si="365"/>
        <v/>
      </c>
      <c r="S955" s="37" t="str">
        <f t="shared" si="355"/>
        <v/>
      </c>
      <c r="T955" s="38" t="str">
        <f t="shared" si="356"/>
        <v/>
      </c>
      <c r="U955" s="39" t="str">
        <f t="shared" si="357"/>
        <v/>
      </c>
      <c r="V955" s="40" t="str">
        <f t="shared" si="358"/>
        <v/>
      </c>
      <c r="W955" s="39" t="str">
        <f t="shared" si="359"/>
        <v/>
      </c>
      <c r="X955" s="34" t="str">
        <f t="shared" si="360"/>
        <v/>
      </c>
      <c r="Y955" s="41" t="str">
        <f t="shared" si="366"/>
        <v/>
      </c>
      <c r="Z955" s="98" t="str">
        <f t="shared" si="361"/>
        <v/>
      </c>
      <c r="AA955" s="81" t="str">
        <f t="shared" si="367"/>
        <v/>
      </c>
      <c r="AC955" s="139"/>
      <c r="AD955" s="110" t="str">
        <f t="shared" si="368"/>
        <v/>
      </c>
      <c r="AE955" s="111" t="str">
        <f t="shared" si="369"/>
        <v/>
      </c>
      <c r="AF955" s="111" t="str">
        <f t="shared" si="362"/>
        <v/>
      </c>
      <c r="AG955" s="111" t="str">
        <f t="shared" si="370"/>
        <v/>
      </c>
      <c r="AH955" s="111" t="str">
        <f t="shared" si="371"/>
        <v/>
      </c>
      <c r="AI955" s="112" t="str">
        <f t="shared" si="372"/>
        <v/>
      </c>
      <c r="AJ955" t="str">
        <f t="shared" si="373"/>
        <v/>
      </c>
      <c r="AK955" t="str">
        <f t="shared" si="374"/>
        <v/>
      </c>
    </row>
    <row r="956" spans="1:37" ht="15" customHeight="1" x14ac:dyDescent="0.25">
      <c r="A956" s="114"/>
      <c r="B956" s="116"/>
      <c r="C956" s="116"/>
      <c r="D956" s="42" t="str">
        <f t="shared" si="350"/>
        <v/>
      </c>
      <c r="E956" s="43"/>
      <c r="F956" s="83"/>
      <c r="G956" s="118"/>
      <c r="H956" s="34" t="str">
        <f t="shared" si="351"/>
        <v/>
      </c>
      <c r="I956" s="88" t="str">
        <f t="shared" si="352"/>
        <v/>
      </c>
      <c r="J956" s="44" t="str">
        <f t="shared" si="353"/>
        <v/>
      </c>
      <c r="K956" s="118"/>
      <c r="L956" s="34" t="str">
        <f t="shared" si="354"/>
        <v/>
      </c>
      <c r="M956" s="118"/>
      <c r="N956" s="121"/>
      <c r="O956" s="122" t="str">
        <f t="shared" si="363"/>
        <v/>
      </c>
      <c r="P956" s="35" t="str">
        <f t="shared" si="364"/>
        <v/>
      </c>
      <c r="Q956" s="124"/>
      <c r="R956" s="36" t="str">
        <f t="shared" si="365"/>
        <v/>
      </c>
      <c r="S956" s="37" t="str">
        <f t="shared" si="355"/>
        <v/>
      </c>
      <c r="T956" s="38" t="str">
        <f t="shared" si="356"/>
        <v/>
      </c>
      <c r="U956" s="39" t="str">
        <f t="shared" si="357"/>
        <v/>
      </c>
      <c r="V956" s="40" t="str">
        <f t="shared" si="358"/>
        <v/>
      </c>
      <c r="W956" s="39" t="str">
        <f t="shared" si="359"/>
        <v/>
      </c>
      <c r="X956" s="34" t="str">
        <f t="shared" si="360"/>
        <v/>
      </c>
      <c r="Y956" s="41" t="str">
        <f t="shared" si="366"/>
        <v/>
      </c>
      <c r="Z956" s="98" t="str">
        <f t="shared" si="361"/>
        <v/>
      </c>
      <c r="AA956" s="81" t="str">
        <f t="shared" si="367"/>
        <v/>
      </c>
      <c r="AC956" s="139"/>
      <c r="AD956" s="110" t="str">
        <f t="shared" si="368"/>
        <v/>
      </c>
      <c r="AE956" s="111" t="str">
        <f t="shared" si="369"/>
        <v/>
      </c>
      <c r="AF956" s="111" t="str">
        <f t="shared" si="362"/>
        <v/>
      </c>
      <c r="AG956" s="111" t="str">
        <f t="shared" si="370"/>
        <v/>
      </c>
      <c r="AH956" s="111" t="str">
        <f t="shared" si="371"/>
        <v/>
      </c>
      <c r="AI956" s="112" t="str">
        <f t="shared" si="372"/>
        <v/>
      </c>
      <c r="AJ956" t="str">
        <f t="shared" si="373"/>
        <v/>
      </c>
      <c r="AK956" t="str">
        <f t="shared" si="374"/>
        <v/>
      </c>
    </row>
    <row r="957" spans="1:37" ht="15" customHeight="1" x14ac:dyDescent="0.25">
      <c r="A957" s="114"/>
      <c r="B957" s="116"/>
      <c r="C957" s="116"/>
      <c r="D957" s="42" t="str">
        <f t="shared" si="350"/>
        <v/>
      </c>
      <c r="E957" s="43"/>
      <c r="F957" s="83"/>
      <c r="G957" s="118"/>
      <c r="H957" s="34" t="str">
        <f t="shared" si="351"/>
        <v/>
      </c>
      <c r="I957" s="88" t="str">
        <f t="shared" si="352"/>
        <v/>
      </c>
      <c r="J957" s="44" t="str">
        <f t="shared" si="353"/>
        <v/>
      </c>
      <c r="K957" s="118"/>
      <c r="L957" s="34" t="str">
        <f t="shared" si="354"/>
        <v/>
      </c>
      <c r="M957" s="118"/>
      <c r="N957" s="121"/>
      <c r="O957" s="122" t="str">
        <f t="shared" si="363"/>
        <v/>
      </c>
      <c r="P957" s="35" t="str">
        <f t="shared" si="364"/>
        <v/>
      </c>
      <c r="Q957" s="124"/>
      <c r="R957" s="36" t="str">
        <f t="shared" si="365"/>
        <v/>
      </c>
      <c r="S957" s="37" t="str">
        <f t="shared" si="355"/>
        <v/>
      </c>
      <c r="T957" s="38" t="str">
        <f t="shared" si="356"/>
        <v/>
      </c>
      <c r="U957" s="39" t="str">
        <f t="shared" si="357"/>
        <v/>
      </c>
      <c r="V957" s="40" t="str">
        <f t="shared" si="358"/>
        <v/>
      </c>
      <c r="W957" s="39" t="str">
        <f t="shared" si="359"/>
        <v/>
      </c>
      <c r="X957" s="34" t="str">
        <f t="shared" si="360"/>
        <v/>
      </c>
      <c r="Y957" s="41" t="str">
        <f t="shared" si="366"/>
        <v/>
      </c>
      <c r="Z957" s="98" t="str">
        <f t="shared" si="361"/>
        <v/>
      </c>
      <c r="AA957" s="81" t="str">
        <f t="shared" si="367"/>
        <v/>
      </c>
      <c r="AC957" s="139"/>
      <c r="AD957" s="110" t="str">
        <f t="shared" si="368"/>
        <v/>
      </c>
      <c r="AE957" s="111" t="str">
        <f t="shared" si="369"/>
        <v/>
      </c>
      <c r="AF957" s="111" t="str">
        <f t="shared" si="362"/>
        <v/>
      </c>
      <c r="AG957" s="111" t="str">
        <f t="shared" si="370"/>
        <v/>
      </c>
      <c r="AH957" s="111" t="str">
        <f t="shared" si="371"/>
        <v/>
      </c>
      <c r="AI957" s="112" t="str">
        <f t="shared" si="372"/>
        <v/>
      </c>
      <c r="AJ957" t="str">
        <f t="shared" si="373"/>
        <v/>
      </c>
      <c r="AK957" t="str">
        <f t="shared" si="374"/>
        <v/>
      </c>
    </row>
    <row r="958" spans="1:37" ht="15" customHeight="1" x14ac:dyDescent="0.25">
      <c r="A958" s="114"/>
      <c r="B958" s="116"/>
      <c r="C958" s="116"/>
      <c r="D958" s="42" t="str">
        <f t="shared" si="350"/>
        <v/>
      </c>
      <c r="E958" s="43"/>
      <c r="F958" s="83"/>
      <c r="G958" s="118"/>
      <c r="H958" s="34" t="str">
        <f t="shared" si="351"/>
        <v/>
      </c>
      <c r="I958" s="88" t="str">
        <f t="shared" si="352"/>
        <v/>
      </c>
      <c r="J958" s="44" t="str">
        <f t="shared" si="353"/>
        <v/>
      </c>
      <c r="K958" s="118"/>
      <c r="L958" s="34" t="str">
        <f t="shared" si="354"/>
        <v/>
      </c>
      <c r="M958" s="118"/>
      <c r="N958" s="121"/>
      <c r="O958" s="122" t="str">
        <f t="shared" si="363"/>
        <v/>
      </c>
      <c r="P958" s="35" t="str">
        <f t="shared" si="364"/>
        <v/>
      </c>
      <c r="Q958" s="124"/>
      <c r="R958" s="36" t="str">
        <f t="shared" si="365"/>
        <v/>
      </c>
      <c r="S958" s="37" t="str">
        <f t="shared" si="355"/>
        <v/>
      </c>
      <c r="T958" s="38" t="str">
        <f t="shared" si="356"/>
        <v/>
      </c>
      <c r="U958" s="39" t="str">
        <f t="shared" si="357"/>
        <v/>
      </c>
      <c r="V958" s="40" t="str">
        <f t="shared" si="358"/>
        <v/>
      </c>
      <c r="W958" s="39" t="str">
        <f t="shared" si="359"/>
        <v/>
      </c>
      <c r="X958" s="34" t="str">
        <f t="shared" si="360"/>
        <v/>
      </c>
      <c r="Y958" s="41" t="str">
        <f t="shared" si="366"/>
        <v/>
      </c>
      <c r="Z958" s="98" t="str">
        <f t="shared" si="361"/>
        <v/>
      </c>
      <c r="AA958" s="81" t="str">
        <f t="shared" si="367"/>
        <v/>
      </c>
      <c r="AC958" s="139"/>
      <c r="AD958" s="110" t="str">
        <f t="shared" si="368"/>
        <v/>
      </c>
      <c r="AE958" s="111" t="str">
        <f t="shared" si="369"/>
        <v/>
      </c>
      <c r="AF958" s="111" t="str">
        <f t="shared" si="362"/>
        <v/>
      </c>
      <c r="AG958" s="111" t="str">
        <f t="shared" si="370"/>
        <v/>
      </c>
      <c r="AH958" s="111" t="str">
        <f t="shared" si="371"/>
        <v/>
      </c>
      <c r="AI958" s="112" t="str">
        <f t="shared" si="372"/>
        <v/>
      </c>
      <c r="AJ958" t="str">
        <f t="shared" si="373"/>
        <v/>
      </c>
      <c r="AK958" t="str">
        <f t="shared" si="374"/>
        <v/>
      </c>
    </row>
    <row r="959" spans="1:37" ht="15" customHeight="1" x14ac:dyDescent="0.25">
      <c r="A959" s="114"/>
      <c r="B959" s="116"/>
      <c r="C959" s="116"/>
      <c r="D959" s="42" t="str">
        <f t="shared" si="350"/>
        <v/>
      </c>
      <c r="E959" s="43"/>
      <c r="F959" s="83"/>
      <c r="G959" s="118"/>
      <c r="H959" s="34" t="str">
        <f t="shared" si="351"/>
        <v/>
      </c>
      <c r="I959" s="88" t="str">
        <f t="shared" si="352"/>
        <v/>
      </c>
      <c r="J959" s="44" t="str">
        <f t="shared" si="353"/>
        <v/>
      </c>
      <c r="K959" s="118"/>
      <c r="L959" s="34" t="str">
        <f t="shared" si="354"/>
        <v/>
      </c>
      <c r="M959" s="118"/>
      <c r="N959" s="121"/>
      <c r="O959" s="122" t="str">
        <f t="shared" si="363"/>
        <v/>
      </c>
      <c r="P959" s="35" t="str">
        <f t="shared" si="364"/>
        <v/>
      </c>
      <c r="Q959" s="124"/>
      <c r="R959" s="36" t="str">
        <f t="shared" si="365"/>
        <v/>
      </c>
      <c r="S959" s="37" t="str">
        <f t="shared" si="355"/>
        <v/>
      </c>
      <c r="T959" s="38" t="str">
        <f t="shared" si="356"/>
        <v/>
      </c>
      <c r="U959" s="39" t="str">
        <f t="shared" si="357"/>
        <v/>
      </c>
      <c r="V959" s="40" t="str">
        <f t="shared" si="358"/>
        <v/>
      </c>
      <c r="W959" s="39" t="str">
        <f t="shared" si="359"/>
        <v/>
      </c>
      <c r="X959" s="34" t="str">
        <f t="shared" si="360"/>
        <v/>
      </c>
      <c r="Y959" s="41" t="str">
        <f t="shared" si="366"/>
        <v/>
      </c>
      <c r="Z959" s="98" t="str">
        <f t="shared" si="361"/>
        <v/>
      </c>
      <c r="AA959" s="81" t="str">
        <f t="shared" si="367"/>
        <v/>
      </c>
      <c r="AC959" s="139"/>
      <c r="AD959" s="110" t="str">
        <f t="shared" si="368"/>
        <v/>
      </c>
      <c r="AE959" s="111" t="str">
        <f t="shared" si="369"/>
        <v/>
      </c>
      <c r="AF959" s="111" t="str">
        <f t="shared" si="362"/>
        <v/>
      </c>
      <c r="AG959" s="111" t="str">
        <f t="shared" si="370"/>
        <v/>
      </c>
      <c r="AH959" s="111" t="str">
        <f t="shared" si="371"/>
        <v/>
      </c>
      <c r="AI959" s="112" t="str">
        <f t="shared" si="372"/>
        <v/>
      </c>
      <c r="AJ959" t="str">
        <f t="shared" si="373"/>
        <v/>
      </c>
      <c r="AK959" t="str">
        <f t="shared" si="374"/>
        <v/>
      </c>
    </row>
    <row r="960" spans="1:37" ht="15" customHeight="1" x14ac:dyDescent="0.25">
      <c r="A960" s="114"/>
      <c r="B960" s="116"/>
      <c r="C960" s="116"/>
      <c r="D960" s="42" t="str">
        <f t="shared" si="350"/>
        <v/>
      </c>
      <c r="E960" s="43"/>
      <c r="F960" s="83"/>
      <c r="G960" s="118"/>
      <c r="H960" s="34" t="str">
        <f t="shared" si="351"/>
        <v/>
      </c>
      <c r="I960" s="88" t="str">
        <f t="shared" si="352"/>
        <v/>
      </c>
      <c r="J960" s="44" t="str">
        <f t="shared" si="353"/>
        <v/>
      </c>
      <c r="K960" s="118"/>
      <c r="L960" s="34" t="str">
        <f t="shared" si="354"/>
        <v/>
      </c>
      <c r="M960" s="118"/>
      <c r="N960" s="121"/>
      <c r="O960" s="122" t="str">
        <f t="shared" si="363"/>
        <v/>
      </c>
      <c r="P960" s="35" t="str">
        <f t="shared" si="364"/>
        <v/>
      </c>
      <c r="Q960" s="124"/>
      <c r="R960" s="36" t="str">
        <f t="shared" si="365"/>
        <v/>
      </c>
      <c r="S960" s="37" t="str">
        <f t="shared" si="355"/>
        <v/>
      </c>
      <c r="T960" s="38" t="str">
        <f t="shared" si="356"/>
        <v/>
      </c>
      <c r="U960" s="39" t="str">
        <f t="shared" si="357"/>
        <v/>
      </c>
      <c r="V960" s="40" t="str">
        <f t="shared" si="358"/>
        <v/>
      </c>
      <c r="W960" s="39" t="str">
        <f t="shared" si="359"/>
        <v/>
      </c>
      <c r="X960" s="34" t="str">
        <f t="shared" si="360"/>
        <v/>
      </c>
      <c r="Y960" s="41" t="str">
        <f t="shared" si="366"/>
        <v/>
      </c>
      <c r="Z960" s="98" t="str">
        <f t="shared" si="361"/>
        <v/>
      </c>
      <c r="AA960" s="81" t="str">
        <f t="shared" si="367"/>
        <v/>
      </c>
      <c r="AC960" s="139"/>
      <c r="AD960" s="110" t="str">
        <f t="shared" si="368"/>
        <v/>
      </c>
      <c r="AE960" s="111" t="str">
        <f t="shared" si="369"/>
        <v/>
      </c>
      <c r="AF960" s="111" t="str">
        <f t="shared" si="362"/>
        <v/>
      </c>
      <c r="AG960" s="111" t="str">
        <f t="shared" si="370"/>
        <v/>
      </c>
      <c r="AH960" s="111" t="str">
        <f t="shared" si="371"/>
        <v/>
      </c>
      <c r="AI960" s="112" t="str">
        <f t="shared" si="372"/>
        <v/>
      </c>
      <c r="AJ960" t="str">
        <f t="shared" si="373"/>
        <v/>
      </c>
      <c r="AK960" t="str">
        <f t="shared" si="374"/>
        <v/>
      </c>
    </row>
    <row r="961" spans="1:37" ht="15" customHeight="1" x14ac:dyDescent="0.25">
      <c r="A961" s="114"/>
      <c r="B961" s="116"/>
      <c r="C961" s="116"/>
      <c r="D961" s="42" t="str">
        <f t="shared" si="350"/>
        <v/>
      </c>
      <c r="E961" s="43"/>
      <c r="F961" s="83"/>
      <c r="G961" s="118"/>
      <c r="H961" s="34" t="str">
        <f t="shared" si="351"/>
        <v/>
      </c>
      <c r="I961" s="88" t="str">
        <f t="shared" si="352"/>
        <v/>
      </c>
      <c r="J961" s="44" t="str">
        <f t="shared" si="353"/>
        <v/>
      </c>
      <c r="K961" s="118"/>
      <c r="L961" s="34" t="str">
        <f t="shared" si="354"/>
        <v/>
      </c>
      <c r="M961" s="118"/>
      <c r="N961" s="121"/>
      <c r="O961" s="122" t="str">
        <f t="shared" si="363"/>
        <v/>
      </c>
      <c r="P961" s="35" t="str">
        <f t="shared" si="364"/>
        <v/>
      </c>
      <c r="Q961" s="124"/>
      <c r="R961" s="36" t="str">
        <f t="shared" si="365"/>
        <v/>
      </c>
      <c r="S961" s="37" t="str">
        <f t="shared" si="355"/>
        <v/>
      </c>
      <c r="T961" s="38" t="str">
        <f t="shared" si="356"/>
        <v/>
      </c>
      <c r="U961" s="39" t="str">
        <f t="shared" si="357"/>
        <v/>
      </c>
      <c r="V961" s="40" t="str">
        <f t="shared" si="358"/>
        <v/>
      </c>
      <c r="W961" s="39" t="str">
        <f t="shared" si="359"/>
        <v/>
      </c>
      <c r="X961" s="34" t="str">
        <f t="shared" si="360"/>
        <v/>
      </c>
      <c r="Y961" s="41" t="str">
        <f t="shared" si="366"/>
        <v/>
      </c>
      <c r="Z961" s="98" t="str">
        <f t="shared" si="361"/>
        <v/>
      </c>
      <c r="AA961" s="81" t="str">
        <f t="shared" si="367"/>
        <v/>
      </c>
      <c r="AC961" s="139"/>
      <c r="AD961" s="110" t="str">
        <f t="shared" si="368"/>
        <v/>
      </c>
      <c r="AE961" s="111" t="str">
        <f t="shared" si="369"/>
        <v/>
      </c>
      <c r="AF961" s="111" t="str">
        <f t="shared" si="362"/>
        <v/>
      </c>
      <c r="AG961" s="111" t="str">
        <f t="shared" si="370"/>
        <v/>
      </c>
      <c r="AH961" s="111" t="str">
        <f t="shared" si="371"/>
        <v/>
      </c>
      <c r="AI961" s="112" t="str">
        <f t="shared" si="372"/>
        <v/>
      </c>
      <c r="AJ961" t="str">
        <f t="shared" si="373"/>
        <v/>
      </c>
      <c r="AK961" t="str">
        <f t="shared" si="374"/>
        <v/>
      </c>
    </row>
    <row r="962" spans="1:37" ht="15" customHeight="1" x14ac:dyDescent="0.25">
      <c r="A962" s="114"/>
      <c r="B962" s="116"/>
      <c r="C962" s="116"/>
      <c r="D962" s="42" t="str">
        <f t="shared" si="350"/>
        <v/>
      </c>
      <c r="E962" s="43"/>
      <c r="F962" s="83"/>
      <c r="G962" s="118"/>
      <c r="H962" s="34" t="str">
        <f t="shared" si="351"/>
        <v/>
      </c>
      <c r="I962" s="88" t="str">
        <f t="shared" si="352"/>
        <v/>
      </c>
      <c r="J962" s="44" t="str">
        <f t="shared" si="353"/>
        <v/>
      </c>
      <c r="K962" s="118"/>
      <c r="L962" s="34" t="str">
        <f t="shared" si="354"/>
        <v/>
      </c>
      <c r="M962" s="118"/>
      <c r="N962" s="121"/>
      <c r="O962" s="122" t="str">
        <f t="shared" si="363"/>
        <v/>
      </c>
      <c r="P962" s="35" t="str">
        <f t="shared" si="364"/>
        <v/>
      </c>
      <c r="Q962" s="124"/>
      <c r="R962" s="36" t="str">
        <f t="shared" si="365"/>
        <v/>
      </c>
      <c r="S962" s="37" t="str">
        <f t="shared" si="355"/>
        <v/>
      </c>
      <c r="T962" s="38" t="str">
        <f t="shared" si="356"/>
        <v/>
      </c>
      <c r="U962" s="39" t="str">
        <f t="shared" si="357"/>
        <v/>
      </c>
      <c r="V962" s="40" t="str">
        <f t="shared" si="358"/>
        <v/>
      </c>
      <c r="W962" s="39" t="str">
        <f t="shared" si="359"/>
        <v/>
      </c>
      <c r="X962" s="34" t="str">
        <f t="shared" si="360"/>
        <v/>
      </c>
      <c r="Y962" s="41" t="str">
        <f t="shared" si="366"/>
        <v/>
      </c>
      <c r="Z962" s="98" t="str">
        <f t="shared" si="361"/>
        <v/>
      </c>
      <c r="AA962" s="81" t="str">
        <f t="shared" si="367"/>
        <v/>
      </c>
      <c r="AC962" s="139"/>
      <c r="AD962" s="110" t="str">
        <f t="shared" si="368"/>
        <v/>
      </c>
      <c r="AE962" s="111" t="str">
        <f t="shared" si="369"/>
        <v/>
      </c>
      <c r="AF962" s="111" t="str">
        <f t="shared" si="362"/>
        <v/>
      </c>
      <c r="AG962" s="111" t="str">
        <f t="shared" si="370"/>
        <v/>
      </c>
      <c r="AH962" s="111" t="str">
        <f t="shared" si="371"/>
        <v/>
      </c>
      <c r="AI962" s="112" t="str">
        <f t="shared" si="372"/>
        <v/>
      </c>
      <c r="AJ962" t="str">
        <f t="shared" si="373"/>
        <v/>
      </c>
      <c r="AK962" t="str">
        <f t="shared" si="374"/>
        <v/>
      </c>
    </row>
    <row r="963" spans="1:37" ht="15" customHeight="1" x14ac:dyDescent="0.25">
      <c r="A963" s="114"/>
      <c r="B963" s="116"/>
      <c r="C963" s="116"/>
      <c r="D963" s="42" t="str">
        <f t="shared" si="350"/>
        <v/>
      </c>
      <c r="E963" s="43"/>
      <c r="F963" s="83"/>
      <c r="G963" s="118"/>
      <c r="H963" s="34" t="str">
        <f t="shared" si="351"/>
        <v/>
      </c>
      <c r="I963" s="88" t="str">
        <f t="shared" si="352"/>
        <v/>
      </c>
      <c r="J963" s="44" t="str">
        <f t="shared" si="353"/>
        <v/>
      </c>
      <c r="K963" s="118"/>
      <c r="L963" s="34" t="str">
        <f t="shared" si="354"/>
        <v/>
      </c>
      <c r="M963" s="118"/>
      <c r="N963" s="121"/>
      <c r="O963" s="122" t="str">
        <f t="shared" si="363"/>
        <v/>
      </c>
      <c r="P963" s="35" t="str">
        <f t="shared" si="364"/>
        <v/>
      </c>
      <c r="Q963" s="124"/>
      <c r="R963" s="36" t="str">
        <f t="shared" si="365"/>
        <v/>
      </c>
      <c r="S963" s="37" t="str">
        <f t="shared" si="355"/>
        <v/>
      </c>
      <c r="T963" s="38" t="str">
        <f t="shared" si="356"/>
        <v/>
      </c>
      <c r="U963" s="39" t="str">
        <f t="shared" si="357"/>
        <v/>
      </c>
      <c r="V963" s="40" t="str">
        <f t="shared" si="358"/>
        <v/>
      </c>
      <c r="W963" s="39" t="str">
        <f t="shared" si="359"/>
        <v/>
      </c>
      <c r="X963" s="34" t="str">
        <f t="shared" si="360"/>
        <v/>
      </c>
      <c r="Y963" s="41" t="str">
        <f t="shared" si="366"/>
        <v/>
      </c>
      <c r="Z963" s="98" t="str">
        <f t="shared" si="361"/>
        <v/>
      </c>
      <c r="AA963" s="81" t="str">
        <f t="shared" si="367"/>
        <v/>
      </c>
      <c r="AC963" s="139"/>
      <c r="AD963" s="110" t="str">
        <f t="shared" si="368"/>
        <v/>
      </c>
      <c r="AE963" s="111" t="str">
        <f t="shared" si="369"/>
        <v/>
      </c>
      <c r="AF963" s="111" t="str">
        <f t="shared" si="362"/>
        <v/>
      </c>
      <c r="AG963" s="111" t="str">
        <f t="shared" si="370"/>
        <v/>
      </c>
      <c r="AH963" s="111" t="str">
        <f t="shared" si="371"/>
        <v/>
      </c>
      <c r="AI963" s="112" t="str">
        <f t="shared" si="372"/>
        <v/>
      </c>
      <c r="AJ963" t="str">
        <f t="shared" si="373"/>
        <v/>
      </c>
      <c r="AK963" t="str">
        <f t="shared" si="374"/>
        <v/>
      </c>
    </row>
    <row r="964" spans="1:37" ht="15" customHeight="1" x14ac:dyDescent="0.25">
      <c r="A964" s="114"/>
      <c r="B964" s="116"/>
      <c r="C964" s="116"/>
      <c r="D964" s="42" t="str">
        <f t="shared" si="350"/>
        <v/>
      </c>
      <c r="E964" s="43"/>
      <c r="F964" s="83"/>
      <c r="G964" s="118"/>
      <c r="H964" s="34" t="str">
        <f t="shared" si="351"/>
        <v/>
      </c>
      <c r="I964" s="88" t="str">
        <f t="shared" si="352"/>
        <v/>
      </c>
      <c r="J964" s="44" t="str">
        <f t="shared" si="353"/>
        <v/>
      </c>
      <c r="K964" s="118"/>
      <c r="L964" s="34" t="str">
        <f t="shared" si="354"/>
        <v/>
      </c>
      <c r="M964" s="118"/>
      <c r="N964" s="121"/>
      <c r="O964" s="122" t="str">
        <f t="shared" si="363"/>
        <v/>
      </c>
      <c r="P964" s="35" t="str">
        <f t="shared" si="364"/>
        <v/>
      </c>
      <c r="Q964" s="124"/>
      <c r="R964" s="36" t="str">
        <f t="shared" si="365"/>
        <v/>
      </c>
      <c r="S964" s="37" t="str">
        <f t="shared" si="355"/>
        <v/>
      </c>
      <c r="T964" s="38" t="str">
        <f t="shared" si="356"/>
        <v/>
      </c>
      <c r="U964" s="39" t="str">
        <f t="shared" si="357"/>
        <v/>
      </c>
      <c r="V964" s="40" t="str">
        <f t="shared" si="358"/>
        <v/>
      </c>
      <c r="W964" s="39" t="str">
        <f t="shared" si="359"/>
        <v/>
      </c>
      <c r="X964" s="34" t="str">
        <f t="shared" si="360"/>
        <v/>
      </c>
      <c r="Y964" s="41" t="str">
        <f t="shared" si="366"/>
        <v/>
      </c>
      <c r="Z964" s="98" t="str">
        <f t="shared" si="361"/>
        <v/>
      </c>
      <c r="AA964" s="81" t="str">
        <f t="shared" si="367"/>
        <v/>
      </c>
      <c r="AC964" s="139"/>
      <c r="AD964" s="110" t="str">
        <f t="shared" si="368"/>
        <v/>
      </c>
      <c r="AE964" s="111" t="str">
        <f t="shared" si="369"/>
        <v/>
      </c>
      <c r="AF964" s="111" t="str">
        <f t="shared" si="362"/>
        <v/>
      </c>
      <c r="AG964" s="111" t="str">
        <f t="shared" si="370"/>
        <v/>
      </c>
      <c r="AH964" s="111" t="str">
        <f t="shared" si="371"/>
        <v/>
      </c>
      <c r="AI964" s="112" t="str">
        <f t="shared" si="372"/>
        <v/>
      </c>
      <c r="AJ964" t="str">
        <f t="shared" si="373"/>
        <v/>
      </c>
      <c r="AK964" t="str">
        <f t="shared" si="374"/>
        <v/>
      </c>
    </row>
    <row r="965" spans="1:37" ht="15" customHeight="1" x14ac:dyDescent="0.25">
      <c r="A965" s="114"/>
      <c r="B965" s="116"/>
      <c r="C965" s="116"/>
      <c r="D965" s="42" t="str">
        <f t="shared" si="350"/>
        <v/>
      </c>
      <c r="E965" s="43"/>
      <c r="F965" s="83"/>
      <c r="G965" s="118"/>
      <c r="H965" s="34" t="str">
        <f t="shared" si="351"/>
        <v/>
      </c>
      <c r="I965" s="88" t="str">
        <f t="shared" si="352"/>
        <v/>
      </c>
      <c r="J965" s="44" t="str">
        <f t="shared" si="353"/>
        <v/>
      </c>
      <c r="K965" s="118"/>
      <c r="L965" s="34" t="str">
        <f t="shared" si="354"/>
        <v/>
      </c>
      <c r="M965" s="118"/>
      <c r="N965" s="121"/>
      <c r="O965" s="122" t="str">
        <f t="shared" si="363"/>
        <v/>
      </c>
      <c r="P965" s="35" t="str">
        <f t="shared" si="364"/>
        <v/>
      </c>
      <c r="Q965" s="124"/>
      <c r="R965" s="36" t="str">
        <f t="shared" si="365"/>
        <v/>
      </c>
      <c r="S965" s="37" t="str">
        <f t="shared" si="355"/>
        <v/>
      </c>
      <c r="T965" s="38" t="str">
        <f t="shared" si="356"/>
        <v/>
      </c>
      <c r="U965" s="39" t="str">
        <f t="shared" si="357"/>
        <v/>
      </c>
      <c r="V965" s="40" t="str">
        <f t="shared" si="358"/>
        <v/>
      </c>
      <c r="W965" s="39" t="str">
        <f t="shared" si="359"/>
        <v/>
      </c>
      <c r="X965" s="34" t="str">
        <f t="shared" si="360"/>
        <v/>
      </c>
      <c r="Y965" s="41" t="str">
        <f t="shared" si="366"/>
        <v/>
      </c>
      <c r="Z965" s="98" t="str">
        <f t="shared" si="361"/>
        <v/>
      </c>
      <c r="AA965" s="81" t="str">
        <f t="shared" si="367"/>
        <v/>
      </c>
      <c r="AC965" s="139"/>
      <c r="AD965" s="110" t="str">
        <f t="shared" si="368"/>
        <v/>
      </c>
      <c r="AE965" s="111" t="str">
        <f t="shared" si="369"/>
        <v/>
      </c>
      <c r="AF965" s="111" t="str">
        <f t="shared" si="362"/>
        <v/>
      </c>
      <c r="AG965" s="111" t="str">
        <f t="shared" si="370"/>
        <v/>
      </c>
      <c r="AH965" s="111" t="str">
        <f t="shared" si="371"/>
        <v/>
      </c>
      <c r="AI965" s="112" t="str">
        <f t="shared" si="372"/>
        <v/>
      </c>
      <c r="AJ965" t="str">
        <f t="shared" si="373"/>
        <v/>
      </c>
      <c r="AK965" t="str">
        <f t="shared" si="374"/>
        <v/>
      </c>
    </row>
    <row r="966" spans="1:37" ht="15" customHeight="1" x14ac:dyDescent="0.25">
      <c r="A966" s="114"/>
      <c r="B966" s="116"/>
      <c r="C966" s="116"/>
      <c r="D966" s="42" t="str">
        <f t="shared" si="350"/>
        <v/>
      </c>
      <c r="E966" s="43"/>
      <c r="F966" s="83"/>
      <c r="G966" s="118"/>
      <c r="H966" s="34" t="str">
        <f t="shared" si="351"/>
        <v/>
      </c>
      <c r="I966" s="88" t="str">
        <f t="shared" si="352"/>
        <v/>
      </c>
      <c r="J966" s="44" t="str">
        <f t="shared" si="353"/>
        <v/>
      </c>
      <c r="K966" s="118"/>
      <c r="L966" s="34" t="str">
        <f t="shared" si="354"/>
        <v/>
      </c>
      <c r="M966" s="118"/>
      <c r="N966" s="121"/>
      <c r="O966" s="122" t="str">
        <f t="shared" si="363"/>
        <v/>
      </c>
      <c r="P966" s="35" t="str">
        <f t="shared" si="364"/>
        <v/>
      </c>
      <c r="Q966" s="124"/>
      <c r="R966" s="36" t="str">
        <f t="shared" si="365"/>
        <v/>
      </c>
      <c r="S966" s="37" t="str">
        <f t="shared" si="355"/>
        <v/>
      </c>
      <c r="T966" s="38" t="str">
        <f t="shared" si="356"/>
        <v/>
      </c>
      <c r="U966" s="39" t="str">
        <f t="shared" si="357"/>
        <v/>
      </c>
      <c r="V966" s="40" t="str">
        <f t="shared" si="358"/>
        <v/>
      </c>
      <c r="W966" s="39" t="str">
        <f t="shared" si="359"/>
        <v/>
      </c>
      <c r="X966" s="34" t="str">
        <f t="shared" si="360"/>
        <v/>
      </c>
      <c r="Y966" s="41" t="str">
        <f t="shared" si="366"/>
        <v/>
      </c>
      <c r="Z966" s="98" t="str">
        <f t="shared" si="361"/>
        <v/>
      </c>
      <c r="AA966" s="81" t="str">
        <f t="shared" si="367"/>
        <v/>
      </c>
      <c r="AC966" s="139"/>
      <c r="AD966" s="110" t="str">
        <f t="shared" si="368"/>
        <v/>
      </c>
      <c r="AE966" s="111" t="str">
        <f t="shared" si="369"/>
        <v/>
      </c>
      <c r="AF966" s="111" t="str">
        <f t="shared" si="362"/>
        <v/>
      </c>
      <c r="AG966" s="111" t="str">
        <f t="shared" si="370"/>
        <v/>
      </c>
      <c r="AH966" s="111" t="str">
        <f t="shared" si="371"/>
        <v/>
      </c>
      <c r="AI966" s="112" t="str">
        <f t="shared" si="372"/>
        <v/>
      </c>
      <c r="AJ966" t="str">
        <f t="shared" si="373"/>
        <v/>
      </c>
      <c r="AK966" t="str">
        <f t="shared" si="374"/>
        <v/>
      </c>
    </row>
    <row r="967" spans="1:37" ht="15" customHeight="1" x14ac:dyDescent="0.25">
      <c r="A967" s="114"/>
      <c r="B967" s="116"/>
      <c r="C967" s="116"/>
      <c r="D967" s="42" t="str">
        <f t="shared" si="350"/>
        <v/>
      </c>
      <c r="E967" s="43"/>
      <c r="F967" s="83"/>
      <c r="G967" s="118"/>
      <c r="H967" s="34" t="str">
        <f t="shared" si="351"/>
        <v/>
      </c>
      <c r="I967" s="88" t="str">
        <f t="shared" si="352"/>
        <v/>
      </c>
      <c r="J967" s="44" t="str">
        <f t="shared" si="353"/>
        <v/>
      </c>
      <c r="K967" s="118"/>
      <c r="L967" s="34" t="str">
        <f t="shared" si="354"/>
        <v/>
      </c>
      <c r="M967" s="118"/>
      <c r="N967" s="121"/>
      <c r="O967" s="122" t="str">
        <f t="shared" si="363"/>
        <v/>
      </c>
      <c r="P967" s="35" t="str">
        <f t="shared" si="364"/>
        <v/>
      </c>
      <c r="Q967" s="124"/>
      <c r="R967" s="36" t="str">
        <f t="shared" si="365"/>
        <v/>
      </c>
      <c r="S967" s="37" t="str">
        <f t="shared" si="355"/>
        <v/>
      </c>
      <c r="T967" s="38" t="str">
        <f t="shared" si="356"/>
        <v/>
      </c>
      <c r="U967" s="39" t="str">
        <f t="shared" si="357"/>
        <v/>
      </c>
      <c r="V967" s="40" t="str">
        <f t="shared" si="358"/>
        <v/>
      </c>
      <c r="W967" s="39" t="str">
        <f t="shared" si="359"/>
        <v/>
      </c>
      <c r="X967" s="34" t="str">
        <f t="shared" si="360"/>
        <v/>
      </c>
      <c r="Y967" s="41" t="str">
        <f t="shared" si="366"/>
        <v/>
      </c>
      <c r="Z967" s="98" t="str">
        <f t="shared" si="361"/>
        <v/>
      </c>
      <c r="AA967" s="81" t="str">
        <f t="shared" si="367"/>
        <v/>
      </c>
      <c r="AC967" s="139"/>
      <c r="AD967" s="110" t="str">
        <f t="shared" si="368"/>
        <v/>
      </c>
      <c r="AE967" s="111" t="str">
        <f t="shared" si="369"/>
        <v/>
      </c>
      <c r="AF967" s="111" t="str">
        <f t="shared" si="362"/>
        <v/>
      </c>
      <c r="AG967" s="111" t="str">
        <f t="shared" si="370"/>
        <v/>
      </c>
      <c r="AH967" s="111" t="str">
        <f t="shared" si="371"/>
        <v/>
      </c>
      <c r="AI967" s="112" t="str">
        <f t="shared" si="372"/>
        <v/>
      </c>
      <c r="AJ967" t="str">
        <f t="shared" si="373"/>
        <v/>
      </c>
      <c r="AK967" t="str">
        <f t="shared" si="374"/>
        <v/>
      </c>
    </row>
    <row r="968" spans="1:37" ht="15" customHeight="1" x14ac:dyDescent="0.25">
      <c r="A968" s="114"/>
      <c r="B968" s="116"/>
      <c r="C968" s="116"/>
      <c r="D968" s="42" t="str">
        <f t="shared" ref="D968:D1007" si="375">IF(A968="","",B968*C968)</f>
        <v/>
      </c>
      <c r="E968" s="43"/>
      <c r="F968" s="83"/>
      <c r="G968" s="118"/>
      <c r="H968" s="34" t="str">
        <f t="shared" ref="H968:H1007" si="376">IF(OR(G968=0,C968=0,G968="",C968=""),"",G968/C968)</f>
        <v/>
      </c>
      <c r="I968" s="88" t="str">
        <f t="shared" ref="I968:I1007" si="377">IF(OR(G968="",F968=""),"",G968*(1-F968))</f>
        <v/>
      </c>
      <c r="J968" s="44" t="str">
        <f t="shared" ref="J968:J1007" si="378">IF(A968="","",I968*B968)</f>
        <v/>
      </c>
      <c r="K968" s="118"/>
      <c r="L968" s="34" t="str">
        <f t="shared" ref="L968:L1007" si="379">IF(OR(K968=0,C968=0,K968="",C968=""),"",K968/C968)</f>
        <v/>
      </c>
      <c r="M968" s="118"/>
      <c r="N968" s="121"/>
      <c r="O968" s="122" t="str">
        <f t="shared" si="363"/>
        <v/>
      </c>
      <c r="P968" s="35" t="str">
        <f t="shared" si="364"/>
        <v/>
      </c>
      <c r="Q968" s="124"/>
      <c r="R968" s="36" t="str">
        <f t="shared" si="365"/>
        <v/>
      </c>
      <c r="S968" s="37" t="str">
        <f t="shared" ref="S968:S1007" si="380">IF(OR(A968="",R968=""),"",R968*C968)</f>
        <v/>
      </c>
      <c r="T968" s="38" t="str">
        <f t="shared" ref="T968:T1007" si="381">IF(OR(A968="",G968&lt;=0,S968=""),"",(G968-S968)/G968)</f>
        <v/>
      </c>
      <c r="U968" s="39" t="str">
        <f t="shared" ref="U968:U1007" si="382">IF(OR(G968=0,S968=0,G968="",S968=""),"",G968-S968)</f>
        <v/>
      </c>
      <c r="V968" s="40" t="str">
        <f t="shared" ref="V968:V1007" si="383">IF(OR(A968="",K968&lt;=0,S968=""),"",(K968-S968)/K968)</f>
        <v/>
      </c>
      <c r="W968" s="39" t="str">
        <f t="shared" ref="W968:W1007" si="384">IF(OR(K968=0,S968=0,K968="",S968=""),"",K968-S968)</f>
        <v/>
      </c>
      <c r="X968" s="34" t="str">
        <f t="shared" ref="X968:X1007" si="385">IF(OR(J968="",J968=0,$N$5="",$L$3=0),"",($N$5/$L$3)*J968)</f>
        <v/>
      </c>
      <c r="Y968" s="41" t="str">
        <f t="shared" si="366"/>
        <v/>
      </c>
      <c r="Z968" s="98" t="str">
        <f t="shared" ref="Z968:Z1007" si="386">IF(OR(R968=0,R968="",D968=0,D968=""),"",R968*(D968+E968))</f>
        <v/>
      </c>
      <c r="AA968" s="81" t="str">
        <f t="shared" si="367"/>
        <v/>
      </c>
      <c r="AC968" s="139"/>
      <c r="AD968" s="110" t="str">
        <f t="shared" si="368"/>
        <v/>
      </c>
      <c r="AE968" s="111" t="str">
        <f t="shared" si="369"/>
        <v/>
      </c>
      <c r="AF968" s="111" t="str">
        <f t="shared" ref="AF968:AF1007" si="387">IF(AE968="","",AE968*$AD$1+IF(SUM($AE$8:$AE$1007)=0,0,$AD$2*AE968/SUM($AE$8:$AE$1007)))</f>
        <v/>
      </c>
      <c r="AG968" s="111" t="str">
        <f t="shared" si="370"/>
        <v/>
      </c>
      <c r="AH968" s="111" t="str">
        <f t="shared" si="371"/>
        <v/>
      </c>
      <c r="AI968" s="112" t="str">
        <f t="shared" si="372"/>
        <v/>
      </c>
      <c r="AJ968" t="str">
        <f t="shared" si="373"/>
        <v/>
      </c>
      <c r="AK968" t="str">
        <f t="shared" si="374"/>
        <v/>
      </c>
    </row>
    <row r="969" spans="1:37" ht="15" customHeight="1" x14ac:dyDescent="0.25">
      <c r="A969" s="114"/>
      <c r="B969" s="116"/>
      <c r="C969" s="116"/>
      <c r="D969" s="42" t="str">
        <f t="shared" si="375"/>
        <v/>
      </c>
      <c r="E969" s="43"/>
      <c r="F969" s="83"/>
      <c r="G969" s="118"/>
      <c r="H969" s="34" t="str">
        <f t="shared" si="376"/>
        <v/>
      </c>
      <c r="I969" s="88" t="str">
        <f t="shared" si="377"/>
        <v/>
      </c>
      <c r="J969" s="44" t="str">
        <f t="shared" si="378"/>
        <v/>
      </c>
      <c r="K969" s="118"/>
      <c r="L969" s="34" t="str">
        <f t="shared" si="379"/>
        <v/>
      </c>
      <c r="M969" s="118"/>
      <c r="N969" s="121"/>
      <c r="O969" s="122" t="str">
        <f t="shared" ref="O969:O1007" si="388">IF(A969="","",IF(Q969&gt;0,IF(J969&gt;0,Q969/J969,0),IF(E969&gt;0,0,IF($J$3&gt;0,IF($J$4&gt;0,MAX($J$3-SUM($Q$8:$Q$1007),0)/$J$4,0),$J$2))))</f>
        <v/>
      </c>
      <c r="P969" s="35" t="str">
        <f t="shared" ref="P969:P1007" si="389">IF(A969="","",IF(Q969&gt;0,Q969,IF(E969&gt;0,0,J969*IF($J$3&gt;0,IF($J$4&gt;0,MAX($J$3-SUM($Q$8:$Q$1007),0)/$J$4,0),$J$2))))</f>
        <v/>
      </c>
      <c r="Q969" s="124"/>
      <c r="R969" s="36" t="str">
        <f t="shared" ref="R969:R1007" si="390">IF(A969="","",IF(OR(B969=0,B969="",C969&lt;=0,D969+E969&lt;=0),"",(J969-P969)/(D969+E969)-IF(X969&gt;=0,X969/D969,0)+IF(ISNUMBER(Y969),Y969/(D969+E969),0)))</f>
        <v/>
      </c>
      <c r="S969" s="37" t="str">
        <f t="shared" si="380"/>
        <v/>
      </c>
      <c r="T969" s="38" t="str">
        <f t="shared" si="381"/>
        <v/>
      </c>
      <c r="U969" s="39" t="str">
        <f t="shared" si="382"/>
        <v/>
      </c>
      <c r="V969" s="40" t="str">
        <f t="shared" si="383"/>
        <v/>
      </c>
      <c r="W969" s="39" t="str">
        <f t="shared" si="384"/>
        <v/>
      </c>
      <c r="X969" s="34" t="str">
        <f t="shared" si="385"/>
        <v/>
      </c>
      <c r="Y969" s="41" t="str">
        <f t="shared" ref="Y969:Y1007" si="391">IF(OR(J969="",J969=0,($L$3-$L$2)=0),"",($J$1/($L$3-$L$2))*(J969-P969))</f>
        <v/>
      </c>
      <c r="Z969" s="98" t="str">
        <f t="shared" si="386"/>
        <v/>
      </c>
      <c r="AA969" s="81" t="str">
        <f t="shared" ref="AA969:AA1007" si="392">IF(OR(B969=0,B969=""),"",J969)</f>
        <v/>
      </c>
      <c r="AC969" s="139"/>
      <c r="AD969" s="110" t="str">
        <f t="shared" ref="AD969:AD1007" si="393">IF(AC969="","",R969)</f>
        <v/>
      </c>
      <c r="AE969" s="111" t="str">
        <f t="shared" ref="AE969:AE1007" si="394">IF(OR(AC969="",AD969=""),"",AC969*AD969)</f>
        <v/>
      </c>
      <c r="AF969" s="111" t="str">
        <f t="shared" si="387"/>
        <v/>
      </c>
      <c r="AG969" s="111" t="str">
        <f t="shared" ref="AG969:AG1007" si="395">IF(AE969="","",AE969-AF969)</f>
        <v/>
      </c>
      <c r="AH969" s="111" t="str">
        <f t="shared" ref="AH969:AH1007" si="396">IF(AG969="","",AI969-AG969)</f>
        <v/>
      </c>
      <c r="AI969" s="112" t="str">
        <f t="shared" ref="AI969:AI1007" si="397">IF(AG969="","",ROUND(AG969,0))</f>
        <v/>
      </c>
      <c r="AJ969" t="str">
        <f t="shared" ref="AJ969:AJ1007" si="398">IF(OR(AC969=0,AC969=""),"",AF969/AC969)</f>
        <v/>
      </c>
      <c r="AK969" t="str">
        <f t="shared" ref="AK969:AK1007" si="399">IF(OR(AC969=0,AC969=""),"",AD969*C969)</f>
        <v/>
      </c>
    </row>
    <row r="970" spans="1:37" ht="15" customHeight="1" x14ac:dyDescent="0.25">
      <c r="A970" s="114"/>
      <c r="B970" s="116"/>
      <c r="C970" s="116"/>
      <c r="D970" s="42" t="str">
        <f t="shared" si="375"/>
        <v/>
      </c>
      <c r="E970" s="43"/>
      <c r="F970" s="83"/>
      <c r="G970" s="118"/>
      <c r="H970" s="34" t="str">
        <f t="shared" si="376"/>
        <v/>
      </c>
      <c r="I970" s="88" t="str">
        <f t="shared" si="377"/>
        <v/>
      </c>
      <c r="J970" s="44" t="str">
        <f t="shared" si="378"/>
        <v/>
      </c>
      <c r="K970" s="118"/>
      <c r="L970" s="34" t="str">
        <f t="shared" si="379"/>
        <v/>
      </c>
      <c r="M970" s="118"/>
      <c r="N970" s="121"/>
      <c r="O970" s="122" t="str">
        <f t="shared" si="388"/>
        <v/>
      </c>
      <c r="P970" s="35" t="str">
        <f t="shared" si="389"/>
        <v/>
      </c>
      <c r="Q970" s="124"/>
      <c r="R970" s="36" t="str">
        <f t="shared" si="390"/>
        <v/>
      </c>
      <c r="S970" s="37" t="str">
        <f t="shared" si="380"/>
        <v/>
      </c>
      <c r="T970" s="38" t="str">
        <f t="shared" si="381"/>
        <v/>
      </c>
      <c r="U970" s="39" t="str">
        <f t="shared" si="382"/>
        <v/>
      </c>
      <c r="V970" s="40" t="str">
        <f t="shared" si="383"/>
        <v/>
      </c>
      <c r="W970" s="39" t="str">
        <f t="shared" si="384"/>
        <v/>
      </c>
      <c r="X970" s="34" t="str">
        <f t="shared" si="385"/>
        <v/>
      </c>
      <c r="Y970" s="41" t="str">
        <f t="shared" si="391"/>
        <v/>
      </c>
      <c r="Z970" s="98" t="str">
        <f t="shared" si="386"/>
        <v/>
      </c>
      <c r="AA970" s="81" t="str">
        <f t="shared" si="392"/>
        <v/>
      </c>
      <c r="AC970" s="139"/>
      <c r="AD970" s="110" t="str">
        <f t="shared" si="393"/>
        <v/>
      </c>
      <c r="AE970" s="111" t="str">
        <f t="shared" si="394"/>
        <v/>
      </c>
      <c r="AF970" s="111" t="str">
        <f t="shared" si="387"/>
        <v/>
      </c>
      <c r="AG970" s="111" t="str">
        <f t="shared" si="395"/>
        <v/>
      </c>
      <c r="AH970" s="111" t="str">
        <f t="shared" si="396"/>
        <v/>
      </c>
      <c r="AI970" s="112" t="str">
        <f t="shared" si="397"/>
        <v/>
      </c>
      <c r="AJ970" t="str">
        <f t="shared" si="398"/>
        <v/>
      </c>
      <c r="AK970" t="str">
        <f t="shared" si="399"/>
        <v/>
      </c>
    </row>
    <row r="971" spans="1:37" ht="15" customHeight="1" x14ac:dyDescent="0.25">
      <c r="A971" s="114"/>
      <c r="B971" s="116"/>
      <c r="C971" s="116"/>
      <c r="D971" s="42" t="str">
        <f t="shared" si="375"/>
        <v/>
      </c>
      <c r="E971" s="43"/>
      <c r="F971" s="83"/>
      <c r="G971" s="118"/>
      <c r="H971" s="34" t="str">
        <f t="shared" si="376"/>
        <v/>
      </c>
      <c r="I971" s="88" t="str">
        <f t="shared" si="377"/>
        <v/>
      </c>
      <c r="J971" s="44" t="str">
        <f t="shared" si="378"/>
        <v/>
      </c>
      <c r="K971" s="118"/>
      <c r="L971" s="34" t="str">
        <f t="shared" si="379"/>
        <v/>
      </c>
      <c r="M971" s="118"/>
      <c r="N971" s="121"/>
      <c r="O971" s="122" t="str">
        <f t="shared" si="388"/>
        <v/>
      </c>
      <c r="P971" s="35" t="str">
        <f t="shared" si="389"/>
        <v/>
      </c>
      <c r="Q971" s="124"/>
      <c r="R971" s="36" t="str">
        <f t="shared" si="390"/>
        <v/>
      </c>
      <c r="S971" s="37" t="str">
        <f t="shared" si="380"/>
        <v/>
      </c>
      <c r="T971" s="38" t="str">
        <f t="shared" si="381"/>
        <v/>
      </c>
      <c r="U971" s="39" t="str">
        <f t="shared" si="382"/>
        <v/>
      </c>
      <c r="V971" s="40" t="str">
        <f t="shared" si="383"/>
        <v/>
      </c>
      <c r="W971" s="39" t="str">
        <f t="shared" si="384"/>
        <v/>
      </c>
      <c r="X971" s="34" t="str">
        <f t="shared" si="385"/>
        <v/>
      </c>
      <c r="Y971" s="41" t="str">
        <f t="shared" si="391"/>
        <v/>
      </c>
      <c r="Z971" s="98" t="str">
        <f t="shared" si="386"/>
        <v/>
      </c>
      <c r="AA971" s="81" t="str">
        <f t="shared" si="392"/>
        <v/>
      </c>
      <c r="AC971" s="139"/>
      <c r="AD971" s="110" t="str">
        <f t="shared" si="393"/>
        <v/>
      </c>
      <c r="AE971" s="111" t="str">
        <f t="shared" si="394"/>
        <v/>
      </c>
      <c r="AF971" s="111" t="str">
        <f t="shared" si="387"/>
        <v/>
      </c>
      <c r="AG971" s="111" t="str">
        <f t="shared" si="395"/>
        <v/>
      </c>
      <c r="AH971" s="111" t="str">
        <f t="shared" si="396"/>
        <v/>
      </c>
      <c r="AI971" s="112" t="str">
        <f t="shared" si="397"/>
        <v/>
      </c>
      <c r="AJ971" t="str">
        <f t="shared" si="398"/>
        <v/>
      </c>
      <c r="AK971" t="str">
        <f t="shared" si="399"/>
        <v/>
      </c>
    </row>
    <row r="972" spans="1:37" ht="15" customHeight="1" x14ac:dyDescent="0.25">
      <c r="A972" s="114"/>
      <c r="B972" s="116"/>
      <c r="C972" s="116"/>
      <c r="D972" s="42" t="str">
        <f t="shared" si="375"/>
        <v/>
      </c>
      <c r="E972" s="43"/>
      <c r="F972" s="83"/>
      <c r="G972" s="118"/>
      <c r="H972" s="34" t="str">
        <f t="shared" si="376"/>
        <v/>
      </c>
      <c r="I972" s="88" t="str">
        <f t="shared" si="377"/>
        <v/>
      </c>
      <c r="J972" s="44" t="str">
        <f t="shared" si="378"/>
        <v/>
      </c>
      <c r="K972" s="118"/>
      <c r="L972" s="34" t="str">
        <f t="shared" si="379"/>
        <v/>
      </c>
      <c r="M972" s="118"/>
      <c r="N972" s="121"/>
      <c r="O972" s="122" t="str">
        <f t="shared" si="388"/>
        <v/>
      </c>
      <c r="P972" s="35" t="str">
        <f t="shared" si="389"/>
        <v/>
      </c>
      <c r="Q972" s="124"/>
      <c r="R972" s="36" t="str">
        <f t="shared" si="390"/>
        <v/>
      </c>
      <c r="S972" s="37" t="str">
        <f t="shared" si="380"/>
        <v/>
      </c>
      <c r="T972" s="38" t="str">
        <f t="shared" si="381"/>
        <v/>
      </c>
      <c r="U972" s="39" t="str">
        <f t="shared" si="382"/>
        <v/>
      </c>
      <c r="V972" s="40" t="str">
        <f t="shared" si="383"/>
        <v/>
      </c>
      <c r="W972" s="39" t="str">
        <f t="shared" si="384"/>
        <v/>
      </c>
      <c r="X972" s="34" t="str">
        <f t="shared" si="385"/>
        <v/>
      </c>
      <c r="Y972" s="41" t="str">
        <f t="shared" si="391"/>
        <v/>
      </c>
      <c r="Z972" s="98" t="str">
        <f t="shared" si="386"/>
        <v/>
      </c>
      <c r="AA972" s="81" t="str">
        <f t="shared" si="392"/>
        <v/>
      </c>
      <c r="AC972" s="139"/>
      <c r="AD972" s="110" t="str">
        <f t="shared" si="393"/>
        <v/>
      </c>
      <c r="AE972" s="111" t="str">
        <f t="shared" si="394"/>
        <v/>
      </c>
      <c r="AF972" s="111" t="str">
        <f t="shared" si="387"/>
        <v/>
      </c>
      <c r="AG972" s="111" t="str">
        <f t="shared" si="395"/>
        <v/>
      </c>
      <c r="AH972" s="111" t="str">
        <f t="shared" si="396"/>
        <v/>
      </c>
      <c r="AI972" s="112" t="str">
        <f t="shared" si="397"/>
        <v/>
      </c>
      <c r="AJ972" t="str">
        <f t="shared" si="398"/>
        <v/>
      </c>
      <c r="AK972" t="str">
        <f t="shared" si="399"/>
        <v/>
      </c>
    </row>
    <row r="973" spans="1:37" ht="15" customHeight="1" x14ac:dyDescent="0.25">
      <c r="A973" s="114"/>
      <c r="B973" s="116"/>
      <c r="C973" s="116"/>
      <c r="D973" s="42" t="str">
        <f t="shared" si="375"/>
        <v/>
      </c>
      <c r="E973" s="43"/>
      <c r="F973" s="83"/>
      <c r="G973" s="118"/>
      <c r="H973" s="34" t="str">
        <f t="shared" si="376"/>
        <v/>
      </c>
      <c r="I973" s="88" t="str">
        <f t="shared" si="377"/>
        <v/>
      </c>
      <c r="J973" s="44" t="str">
        <f t="shared" si="378"/>
        <v/>
      </c>
      <c r="K973" s="118"/>
      <c r="L973" s="34" t="str">
        <f t="shared" si="379"/>
        <v/>
      </c>
      <c r="M973" s="118"/>
      <c r="N973" s="121"/>
      <c r="O973" s="122" t="str">
        <f t="shared" si="388"/>
        <v/>
      </c>
      <c r="P973" s="35" t="str">
        <f t="shared" si="389"/>
        <v/>
      </c>
      <c r="Q973" s="124"/>
      <c r="R973" s="36" t="str">
        <f t="shared" si="390"/>
        <v/>
      </c>
      <c r="S973" s="37" t="str">
        <f t="shared" si="380"/>
        <v/>
      </c>
      <c r="T973" s="38" t="str">
        <f t="shared" si="381"/>
        <v/>
      </c>
      <c r="U973" s="39" t="str">
        <f t="shared" si="382"/>
        <v/>
      </c>
      <c r="V973" s="40" t="str">
        <f t="shared" si="383"/>
        <v/>
      </c>
      <c r="W973" s="39" t="str">
        <f t="shared" si="384"/>
        <v/>
      </c>
      <c r="X973" s="34" t="str">
        <f t="shared" si="385"/>
        <v/>
      </c>
      <c r="Y973" s="41" t="str">
        <f t="shared" si="391"/>
        <v/>
      </c>
      <c r="Z973" s="98" t="str">
        <f t="shared" si="386"/>
        <v/>
      </c>
      <c r="AA973" s="81" t="str">
        <f t="shared" si="392"/>
        <v/>
      </c>
      <c r="AC973" s="139"/>
      <c r="AD973" s="110" t="str">
        <f t="shared" si="393"/>
        <v/>
      </c>
      <c r="AE973" s="111" t="str">
        <f t="shared" si="394"/>
        <v/>
      </c>
      <c r="AF973" s="111" t="str">
        <f t="shared" si="387"/>
        <v/>
      </c>
      <c r="AG973" s="111" t="str">
        <f t="shared" si="395"/>
        <v/>
      </c>
      <c r="AH973" s="111" t="str">
        <f t="shared" si="396"/>
        <v/>
      </c>
      <c r="AI973" s="112" t="str">
        <f t="shared" si="397"/>
        <v/>
      </c>
      <c r="AJ973" t="str">
        <f t="shared" si="398"/>
        <v/>
      </c>
      <c r="AK973" t="str">
        <f t="shared" si="399"/>
        <v/>
      </c>
    </row>
    <row r="974" spans="1:37" ht="15" customHeight="1" x14ac:dyDescent="0.25">
      <c r="A974" s="114"/>
      <c r="B974" s="116"/>
      <c r="C974" s="116"/>
      <c r="D974" s="42" t="str">
        <f t="shared" si="375"/>
        <v/>
      </c>
      <c r="E974" s="43"/>
      <c r="F974" s="83"/>
      <c r="G974" s="118"/>
      <c r="H974" s="34" t="str">
        <f t="shared" si="376"/>
        <v/>
      </c>
      <c r="I974" s="88" t="str">
        <f t="shared" si="377"/>
        <v/>
      </c>
      <c r="J974" s="44" t="str">
        <f t="shared" si="378"/>
        <v/>
      </c>
      <c r="K974" s="118"/>
      <c r="L974" s="34" t="str">
        <f t="shared" si="379"/>
        <v/>
      </c>
      <c r="M974" s="118"/>
      <c r="N974" s="121"/>
      <c r="O974" s="122" t="str">
        <f t="shared" si="388"/>
        <v/>
      </c>
      <c r="P974" s="35" t="str">
        <f t="shared" si="389"/>
        <v/>
      </c>
      <c r="Q974" s="124"/>
      <c r="R974" s="36" t="str">
        <f t="shared" si="390"/>
        <v/>
      </c>
      <c r="S974" s="37" t="str">
        <f t="shared" si="380"/>
        <v/>
      </c>
      <c r="T974" s="38" t="str">
        <f t="shared" si="381"/>
        <v/>
      </c>
      <c r="U974" s="39" t="str">
        <f t="shared" si="382"/>
        <v/>
      </c>
      <c r="V974" s="40" t="str">
        <f t="shared" si="383"/>
        <v/>
      </c>
      <c r="W974" s="39" t="str">
        <f t="shared" si="384"/>
        <v/>
      </c>
      <c r="X974" s="34" t="str">
        <f t="shared" si="385"/>
        <v/>
      </c>
      <c r="Y974" s="41" t="str">
        <f t="shared" si="391"/>
        <v/>
      </c>
      <c r="Z974" s="98" t="str">
        <f t="shared" si="386"/>
        <v/>
      </c>
      <c r="AA974" s="81" t="str">
        <f t="shared" si="392"/>
        <v/>
      </c>
      <c r="AC974" s="139"/>
      <c r="AD974" s="110" t="str">
        <f t="shared" si="393"/>
        <v/>
      </c>
      <c r="AE974" s="111" t="str">
        <f t="shared" si="394"/>
        <v/>
      </c>
      <c r="AF974" s="111" t="str">
        <f t="shared" si="387"/>
        <v/>
      </c>
      <c r="AG974" s="111" t="str">
        <f t="shared" si="395"/>
        <v/>
      </c>
      <c r="AH974" s="111" t="str">
        <f t="shared" si="396"/>
        <v/>
      </c>
      <c r="AI974" s="112" t="str">
        <f t="shared" si="397"/>
        <v/>
      </c>
      <c r="AJ974" t="str">
        <f t="shared" si="398"/>
        <v/>
      </c>
      <c r="AK974" t="str">
        <f t="shared" si="399"/>
        <v/>
      </c>
    </row>
    <row r="975" spans="1:37" ht="15" customHeight="1" x14ac:dyDescent="0.25">
      <c r="A975" s="114"/>
      <c r="B975" s="116"/>
      <c r="C975" s="116"/>
      <c r="D975" s="42" t="str">
        <f t="shared" si="375"/>
        <v/>
      </c>
      <c r="E975" s="43"/>
      <c r="F975" s="83"/>
      <c r="G975" s="118"/>
      <c r="H975" s="34" t="str">
        <f t="shared" si="376"/>
        <v/>
      </c>
      <c r="I975" s="88" t="str">
        <f t="shared" si="377"/>
        <v/>
      </c>
      <c r="J975" s="44" t="str">
        <f t="shared" si="378"/>
        <v/>
      </c>
      <c r="K975" s="118"/>
      <c r="L975" s="34" t="str">
        <f t="shared" si="379"/>
        <v/>
      </c>
      <c r="M975" s="118"/>
      <c r="N975" s="121"/>
      <c r="O975" s="122" t="str">
        <f t="shared" si="388"/>
        <v/>
      </c>
      <c r="P975" s="35" t="str">
        <f t="shared" si="389"/>
        <v/>
      </c>
      <c r="Q975" s="124"/>
      <c r="R975" s="36" t="str">
        <f t="shared" si="390"/>
        <v/>
      </c>
      <c r="S975" s="37" t="str">
        <f t="shared" si="380"/>
        <v/>
      </c>
      <c r="T975" s="38" t="str">
        <f t="shared" si="381"/>
        <v/>
      </c>
      <c r="U975" s="39" t="str">
        <f t="shared" si="382"/>
        <v/>
      </c>
      <c r="V975" s="40" t="str">
        <f t="shared" si="383"/>
        <v/>
      </c>
      <c r="W975" s="39" t="str">
        <f t="shared" si="384"/>
        <v/>
      </c>
      <c r="X975" s="34" t="str">
        <f t="shared" si="385"/>
        <v/>
      </c>
      <c r="Y975" s="41" t="str">
        <f t="shared" si="391"/>
        <v/>
      </c>
      <c r="Z975" s="98" t="str">
        <f t="shared" si="386"/>
        <v/>
      </c>
      <c r="AA975" s="81" t="str">
        <f t="shared" si="392"/>
        <v/>
      </c>
      <c r="AC975" s="139"/>
      <c r="AD975" s="110" t="str">
        <f t="shared" si="393"/>
        <v/>
      </c>
      <c r="AE975" s="111" t="str">
        <f t="shared" si="394"/>
        <v/>
      </c>
      <c r="AF975" s="111" t="str">
        <f t="shared" si="387"/>
        <v/>
      </c>
      <c r="AG975" s="111" t="str">
        <f t="shared" si="395"/>
        <v/>
      </c>
      <c r="AH975" s="111" t="str">
        <f t="shared" si="396"/>
        <v/>
      </c>
      <c r="AI975" s="112" t="str">
        <f t="shared" si="397"/>
        <v/>
      </c>
      <c r="AJ975" t="str">
        <f t="shared" si="398"/>
        <v/>
      </c>
      <c r="AK975" t="str">
        <f t="shared" si="399"/>
        <v/>
      </c>
    </row>
    <row r="976" spans="1:37" ht="15" customHeight="1" x14ac:dyDescent="0.25">
      <c r="A976" s="114"/>
      <c r="B976" s="116"/>
      <c r="C976" s="116"/>
      <c r="D976" s="42" t="str">
        <f t="shared" si="375"/>
        <v/>
      </c>
      <c r="E976" s="43"/>
      <c r="F976" s="83"/>
      <c r="G976" s="118"/>
      <c r="H976" s="34" t="str">
        <f t="shared" si="376"/>
        <v/>
      </c>
      <c r="I976" s="88" t="str">
        <f t="shared" si="377"/>
        <v/>
      </c>
      <c r="J976" s="44" t="str">
        <f t="shared" si="378"/>
        <v/>
      </c>
      <c r="K976" s="118"/>
      <c r="L976" s="34" t="str">
        <f t="shared" si="379"/>
        <v/>
      </c>
      <c r="M976" s="118"/>
      <c r="N976" s="121"/>
      <c r="O976" s="122" t="str">
        <f t="shared" si="388"/>
        <v/>
      </c>
      <c r="P976" s="35" t="str">
        <f t="shared" si="389"/>
        <v/>
      </c>
      <c r="Q976" s="124"/>
      <c r="R976" s="36" t="str">
        <f t="shared" si="390"/>
        <v/>
      </c>
      <c r="S976" s="37" t="str">
        <f t="shared" si="380"/>
        <v/>
      </c>
      <c r="T976" s="38" t="str">
        <f t="shared" si="381"/>
        <v/>
      </c>
      <c r="U976" s="39" t="str">
        <f t="shared" si="382"/>
        <v/>
      </c>
      <c r="V976" s="40" t="str">
        <f t="shared" si="383"/>
        <v/>
      </c>
      <c r="W976" s="39" t="str">
        <f t="shared" si="384"/>
        <v/>
      </c>
      <c r="X976" s="34" t="str">
        <f t="shared" si="385"/>
        <v/>
      </c>
      <c r="Y976" s="41" t="str">
        <f t="shared" si="391"/>
        <v/>
      </c>
      <c r="Z976" s="98" t="str">
        <f t="shared" si="386"/>
        <v/>
      </c>
      <c r="AA976" s="81" t="str">
        <f t="shared" si="392"/>
        <v/>
      </c>
      <c r="AC976" s="139"/>
      <c r="AD976" s="110" t="str">
        <f t="shared" si="393"/>
        <v/>
      </c>
      <c r="AE976" s="111" t="str">
        <f t="shared" si="394"/>
        <v/>
      </c>
      <c r="AF976" s="111" t="str">
        <f t="shared" si="387"/>
        <v/>
      </c>
      <c r="AG976" s="111" t="str">
        <f t="shared" si="395"/>
        <v/>
      </c>
      <c r="AH976" s="111" t="str">
        <f t="shared" si="396"/>
        <v/>
      </c>
      <c r="AI976" s="112" t="str">
        <f t="shared" si="397"/>
        <v/>
      </c>
      <c r="AJ976" t="str">
        <f t="shared" si="398"/>
        <v/>
      </c>
      <c r="AK976" t="str">
        <f t="shared" si="399"/>
        <v/>
      </c>
    </row>
    <row r="977" spans="1:37" ht="15" customHeight="1" x14ac:dyDescent="0.25">
      <c r="A977" s="114"/>
      <c r="B977" s="116"/>
      <c r="C977" s="116"/>
      <c r="D977" s="42" t="str">
        <f t="shared" si="375"/>
        <v/>
      </c>
      <c r="E977" s="43"/>
      <c r="F977" s="83"/>
      <c r="G977" s="118"/>
      <c r="H977" s="34" t="str">
        <f t="shared" si="376"/>
        <v/>
      </c>
      <c r="I977" s="88" t="str">
        <f t="shared" si="377"/>
        <v/>
      </c>
      <c r="J977" s="44" t="str">
        <f t="shared" si="378"/>
        <v/>
      </c>
      <c r="K977" s="118"/>
      <c r="L977" s="34" t="str">
        <f t="shared" si="379"/>
        <v/>
      </c>
      <c r="M977" s="118"/>
      <c r="N977" s="121"/>
      <c r="O977" s="122" t="str">
        <f t="shared" si="388"/>
        <v/>
      </c>
      <c r="P977" s="35" t="str">
        <f t="shared" si="389"/>
        <v/>
      </c>
      <c r="Q977" s="124"/>
      <c r="R977" s="36" t="str">
        <f t="shared" si="390"/>
        <v/>
      </c>
      <c r="S977" s="37" t="str">
        <f t="shared" si="380"/>
        <v/>
      </c>
      <c r="T977" s="38" t="str">
        <f t="shared" si="381"/>
        <v/>
      </c>
      <c r="U977" s="39" t="str">
        <f t="shared" si="382"/>
        <v/>
      </c>
      <c r="V977" s="40" t="str">
        <f t="shared" si="383"/>
        <v/>
      </c>
      <c r="W977" s="39" t="str">
        <f t="shared" si="384"/>
        <v/>
      </c>
      <c r="X977" s="34" t="str">
        <f t="shared" si="385"/>
        <v/>
      </c>
      <c r="Y977" s="41" t="str">
        <f t="shared" si="391"/>
        <v/>
      </c>
      <c r="Z977" s="98" t="str">
        <f t="shared" si="386"/>
        <v/>
      </c>
      <c r="AA977" s="81" t="str">
        <f t="shared" si="392"/>
        <v/>
      </c>
      <c r="AC977" s="139"/>
      <c r="AD977" s="110" t="str">
        <f t="shared" si="393"/>
        <v/>
      </c>
      <c r="AE977" s="111" t="str">
        <f t="shared" si="394"/>
        <v/>
      </c>
      <c r="AF977" s="111" t="str">
        <f t="shared" si="387"/>
        <v/>
      </c>
      <c r="AG977" s="111" t="str">
        <f t="shared" si="395"/>
        <v/>
      </c>
      <c r="AH977" s="111" t="str">
        <f t="shared" si="396"/>
        <v/>
      </c>
      <c r="AI977" s="112" t="str">
        <f t="shared" si="397"/>
        <v/>
      </c>
      <c r="AJ977" t="str">
        <f t="shared" si="398"/>
        <v/>
      </c>
      <c r="AK977" t="str">
        <f t="shared" si="399"/>
        <v/>
      </c>
    </row>
    <row r="978" spans="1:37" ht="15" customHeight="1" x14ac:dyDescent="0.25">
      <c r="A978" s="114"/>
      <c r="B978" s="116"/>
      <c r="C978" s="116"/>
      <c r="D978" s="42" t="str">
        <f t="shared" si="375"/>
        <v/>
      </c>
      <c r="E978" s="43"/>
      <c r="F978" s="83"/>
      <c r="G978" s="118"/>
      <c r="H978" s="34" t="str">
        <f t="shared" si="376"/>
        <v/>
      </c>
      <c r="I978" s="88" t="str">
        <f t="shared" si="377"/>
        <v/>
      </c>
      <c r="J978" s="44" t="str">
        <f t="shared" si="378"/>
        <v/>
      </c>
      <c r="K978" s="118"/>
      <c r="L978" s="34" t="str">
        <f t="shared" si="379"/>
        <v/>
      </c>
      <c r="M978" s="118"/>
      <c r="N978" s="121"/>
      <c r="O978" s="122" t="str">
        <f t="shared" si="388"/>
        <v/>
      </c>
      <c r="P978" s="35" t="str">
        <f t="shared" si="389"/>
        <v/>
      </c>
      <c r="Q978" s="124"/>
      <c r="R978" s="36" t="str">
        <f t="shared" si="390"/>
        <v/>
      </c>
      <c r="S978" s="37" t="str">
        <f t="shared" si="380"/>
        <v/>
      </c>
      <c r="T978" s="38" t="str">
        <f t="shared" si="381"/>
        <v/>
      </c>
      <c r="U978" s="39" t="str">
        <f t="shared" si="382"/>
        <v/>
      </c>
      <c r="V978" s="40" t="str">
        <f t="shared" si="383"/>
        <v/>
      </c>
      <c r="W978" s="39" t="str">
        <f t="shared" si="384"/>
        <v/>
      </c>
      <c r="X978" s="34" t="str">
        <f t="shared" si="385"/>
        <v/>
      </c>
      <c r="Y978" s="41" t="str">
        <f t="shared" si="391"/>
        <v/>
      </c>
      <c r="Z978" s="98" t="str">
        <f t="shared" si="386"/>
        <v/>
      </c>
      <c r="AA978" s="81" t="str">
        <f t="shared" si="392"/>
        <v/>
      </c>
      <c r="AC978" s="139"/>
      <c r="AD978" s="110" t="str">
        <f t="shared" si="393"/>
        <v/>
      </c>
      <c r="AE978" s="111" t="str">
        <f t="shared" si="394"/>
        <v/>
      </c>
      <c r="AF978" s="111" t="str">
        <f t="shared" si="387"/>
        <v/>
      </c>
      <c r="AG978" s="111" t="str">
        <f t="shared" si="395"/>
        <v/>
      </c>
      <c r="AH978" s="111" t="str">
        <f t="shared" si="396"/>
        <v/>
      </c>
      <c r="AI978" s="112" t="str">
        <f t="shared" si="397"/>
        <v/>
      </c>
      <c r="AJ978" t="str">
        <f t="shared" si="398"/>
        <v/>
      </c>
      <c r="AK978" t="str">
        <f t="shared" si="399"/>
        <v/>
      </c>
    </row>
    <row r="979" spans="1:37" ht="15" customHeight="1" x14ac:dyDescent="0.25">
      <c r="A979" s="114"/>
      <c r="B979" s="116"/>
      <c r="C979" s="116"/>
      <c r="D979" s="42" t="str">
        <f t="shared" si="375"/>
        <v/>
      </c>
      <c r="E979" s="43"/>
      <c r="F979" s="83"/>
      <c r="G979" s="118"/>
      <c r="H979" s="34" t="str">
        <f t="shared" si="376"/>
        <v/>
      </c>
      <c r="I979" s="88" t="str">
        <f t="shared" si="377"/>
        <v/>
      </c>
      <c r="J979" s="44" t="str">
        <f t="shared" si="378"/>
        <v/>
      </c>
      <c r="K979" s="118"/>
      <c r="L979" s="34" t="str">
        <f t="shared" si="379"/>
        <v/>
      </c>
      <c r="M979" s="118"/>
      <c r="N979" s="121"/>
      <c r="O979" s="122" t="str">
        <f t="shared" si="388"/>
        <v/>
      </c>
      <c r="P979" s="35" t="str">
        <f t="shared" si="389"/>
        <v/>
      </c>
      <c r="Q979" s="124"/>
      <c r="R979" s="36" t="str">
        <f t="shared" si="390"/>
        <v/>
      </c>
      <c r="S979" s="37" t="str">
        <f t="shared" si="380"/>
        <v/>
      </c>
      <c r="T979" s="38" t="str">
        <f t="shared" si="381"/>
        <v/>
      </c>
      <c r="U979" s="39" t="str">
        <f t="shared" si="382"/>
        <v/>
      </c>
      <c r="V979" s="40" t="str">
        <f t="shared" si="383"/>
        <v/>
      </c>
      <c r="W979" s="39" t="str">
        <f t="shared" si="384"/>
        <v/>
      </c>
      <c r="X979" s="34" t="str">
        <f t="shared" si="385"/>
        <v/>
      </c>
      <c r="Y979" s="41" t="str">
        <f t="shared" si="391"/>
        <v/>
      </c>
      <c r="Z979" s="98" t="str">
        <f t="shared" si="386"/>
        <v/>
      </c>
      <c r="AA979" s="81" t="str">
        <f t="shared" si="392"/>
        <v/>
      </c>
      <c r="AC979" s="139"/>
      <c r="AD979" s="110" t="str">
        <f t="shared" si="393"/>
        <v/>
      </c>
      <c r="AE979" s="111" t="str">
        <f t="shared" si="394"/>
        <v/>
      </c>
      <c r="AF979" s="111" t="str">
        <f t="shared" si="387"/>
        <v/>
      </c>
      <c r="AG979" s="111" t="str">
        <f t="shared" si="395"/>
        <v/>
      </c>
      <c r="AH979" s="111" t="str">
        <f t="shared" si="396"/>
        <v/>
      </c>
      <c r="AI979" s="112" t="str">
        <f t="shared" si="397"/>
        <v/>
      </c>
      <c r="AJ979" t="str">
        <f t="shared" si="398"/>
        <v/>
      </c>
      <c r="AK979" t="str">
        <f t="shared" si="399"/>
        <v/>
      </c>
    </row>
    <row r="980" spans="1:37" ht="15" customHeight="1" x14ac:dyDescent="0.25">
      <c r="A980" s="114"/>
      <c r="B980" s="116"/>
      <c r="C980" s="116"/>
      <c r="D980" s="42" t="str">
        <f t="shared" si="375"/>
        <v/>
      </c>
      <c r="E980" s="43"/>
      <c r="F980" s="83"/>
      <c r="G980" s="118"/>
      <c r="H980" s="34" t="str">
        <f t="shared" si="376"/>
        <v/>
      </c>
      <c r="I980" s="88" t="str">
        <f t="shared" si="377"/>
        <v/>
      </c>
      <c r="J980" s="44" t="str">
        <f t="shared" si="378"/>
        <v/>
      </c>
      <c r="K980" s="118"/>
      <c r="L980" s="34" t="str">
        <f t="shared" si="379"/>
        <v/>
      </c>
      <c r="M980" s="118"/>
      <c r="N980" s="121"/>
      <c r="O980" s="122" t="str">
        <f t="shared" si="388"/>
        <v/>
      </c>
      <c r="P980" s="35" t="str">
        <f t="shared" si="389"/>
        <v/>
      </c>
      <c r="Q980" s="124"/>
      <c r="R980" s="36" t="str">
        <f t="shared" si="390"/>
        <v/>
      </c>
      <c r="S980" s="37" t="str">
        <f t="shared" si="380"/>
        <v/>
      </c>
      <c r="T980" s="38" t="str">
        <f t="shared" si="381"/>
        <v/>
      </c>
      <c r="U980" s="39" t="str">
        <f t="shared" si="382"/>
        <v/>
      </c>
      <c r="V980" s="40" t="str">
        <f t="shared" si="383"/>
        <v/>
      </c>
      <c r="W980" s="39" t="str">
        <f t="shared" si="384"/>
        <v/>
      </c>
      <c r="X980" s="34" t="str">
        <f t="shared" si="385"/>
        <v/>
      </c>
      <c r="Y980" s="41" t="str">
        <f t="shared" si="391"/>
        <v/>
      </c>
      <c r="Z980" s="98" t="str">
        <f t="shared" si="386"/>
        <v/>
      </c>
      <c r="AA980" s="81" t="str">
        <f t="shared" si="392"/>
        <v/>
      </c>
      <c r="AC980" s="139"/>
      <c r="AD980" s="110" t="str">
        <f t="shared" si="393"/>
        <v/>
      </c>
      <c r="AE980" s="111" t="str">
        <f t="shared" si="394"/>
        <v/>
      </c>
      <c r="AF980" s="111" t="str">
        <f t="shared" si="387"/>
        <v/>
      </c>
      <c r="AG980" s="111" t="str">
        <f t="shared" si="395"/>
        <v/>
      </c>
      <c r="AH980" s="111" t="str">
        <f t="shared" si="396"/>
        <v/>
      </c>
      <c r="AI980" s="112" t="str">
        <f t="shared" si="397"/>
        <v/>
      </c>
      <c r="AJ980" t="str">
        <f t="shared" si="398"/>
        <v/>
      </c>
      <c r="AK980" t="str">
        <f t="shared" si="399"/>
        <v/>
      </c>
    </row>
    <row r="981" spans="1:37" ht="15" customHeight="1" x14ac:dyDescent="0.25">
      <c r="A981" s="114"/>
      <c r="B981" s="116"/>
      <c r="C981" s="116"/>
      <c r="D981" s="42" t="str">
        <f t="shared" si="375"/>
        <v/>
      </c>
      <c r="E981" s="43"/>
      <c r="F981" s="83"/>
      <c r="G981" s="118"/>
      <c r="H981" s="34" t="str">
        <f t="shared" si="376"/>
        <v/>
      </c>
      <c r="I981" s="88" t="str">
        <f t="shared" si="377"/>
        <v/>
      </c>
      <c r="J981" s="44" t="str">
        <f t="shared" si="378"/>
        <v/>
      </c>
      <c r="K981" s="118"/>
      <c r="L981" s="34" t="str">
        <f t="shared" si="379"/>
        <v/>
      </c>
      <c r="M981" s="118"/>
      <c r="N981" s="121"/>
      <c r="O981" s="122" t="str">
        <f t="shared" si="388"/>
        <v/>
      </c>
      <c r="P981" s="35" t="str">
        <f t="shared" si="389"/>
        <v/>
      </c>
      <c r="Q981" s="124"/>
      <c r="R981" s="36" t="str">
        <f t="shared" si="390"/>
        <v/>
      </c>
      <c r="S981" s="37" t="str">
        <f t="shared" si="380"/>
        <v/>
      </c>
      <c r="T981" s="38" t="str">
        <f t="shared" si="381"/>
        <v/>
      </c>
      <c r="U981" s="39" t="str">
        <f t="shared" si="382"/>
        <v/>
      </c>
      <c r="V981" s="40" t="str">
        <f t="shared" si="383"/>
        <v/>
      </c>
      <c r="W981" s="39" t="str">
        <f t="shared" si="384"/>
        <v/>
      </c>
      <c r="X981" s="34" t="str">
        <f t="shared" si="385"/>
        <v/>
      </c>
      <c r="Y981" s="41" t="str">
        <f t="shared" si="391"/>
        <v/>
      </c>
      <c r="Z981" s="98" t="str">
        <f t="shared" si="386"/>
        <v/>
      </c>
      <c r="AA981" s="81" t="str">
        <f t="shared" si="392"/>
        <v/>
      </c>
      <c r="AC981" s="139"/>
      <c r="AD981" s="110" t="str">
        <f t="shared" si="393"/>
        <v/>
      </c>
      <c r="AE981" s="111" t="str">
        <f t="shared" si="394"/>
        <v/>
      </c>
      <c r="AF981" s="111" t="str">
        <f t="shared" si="387"/>
        <v/>
      </c>
      <c r="AG981" s="111" t="str">
        <f t="shared" si="395"/>
        <v/>
      </c>
      <c r="AH981" s="111" t="str">
        <f t="shared" si="396"/>
        <v/>
      </c>
      <c r="AI981" s="112" t="str">
        <f t="shared" si="397"/>
        <v/>
      </c>
      <c r="AJ981" t="str">
        <f t="shared" si="398"/>
        <v/>
      </c>
      <c r="AK981" t="str">
        <f t="shared" si="399"/>
        <v/>
      </c>
    </row>
    <row r="982" spans="1:37" ht="15" customHeight="1" x14ac:dyDescent="0.25">
      <c r="A982" s="114"/>
      <c r="B982" s="116"/>
      <c r="C982" s="116"/>
      <c r="D982" s="42" t="str">
        <f t="shared" si="375"/>
        <v/>
      </c>
      <c r="E982" s="43"/>
      <c r="F982" s="83"/>
      <c r="G982" s="118"/>
      <c r="H982" s="34" t="str">
        <f t="shared" si="376"/>
        <v/>
      </c>
      <c r="I982" s="88" t="str">
        <f t="shared" si="377"/>
        <v/>
      </c>
      <c r="J982" s="44" t="str">
        <f t="shared" si="378"/>
        <v/>
      </c>
      <c r="K982" s="118"/>
      <c r="L982" s="34" t="str">
        <f t="shared" si="379"/>
        <v/>
      </c>
      <c r="M982" s="118"/>
      <c r="N982" s="121"/>
      <c r="O982" s="122" t="str">
        <f t="shared" si="388"/>
        <v/>
      </c>
      <c r="P982" s="35" t="str">
        <f t="shared" si="389"/>
        <v/>
      </c>
      <c r="Q982" s="124"/>
      <c r="R982" s="36" t="str">
        <f t="shared" si="390"/>
        <v/>
      </c>
      <c r="S982" s="37" t="str">
        <f t="shared" si="380"/>
        <v/>
      </c>
      <c r="T982" s="38" t="str">
        <f t="shared" si="381"/>
        <v/>
      </c>
      <c r="U982" s="39" t="str">
        <f t="shared" si="382"/>
        <v/>
      </c>
      <c r="V982" s="40" t="str">
        <f t="shared" si="383"/>
        <v/>
      </c>
      <c r="W982" s="39" t="str">
        <f t="shared" si="384"/>
        <v/>
      </c>
      <c r="X982" s="34" t="str">
        <f t="shared" si="385"/>
        <v/>
      </c>
      <c r="Y982" s="41" t="str">
        <f t="shared" si="391"/>
        <v/>
      </c>
      <c r="Z982" s="98" t="str">
        <f t="shared" si="386"/>
        <v/>
      </c>
      <c r="AA982" s="81" t="str">
        <f t="shared" si="392"/>
        <v/>
      </c>
      <c r="AC982" s="139"/>
      <c r="AD982" s="110" t="str">
        <f t="shared" si="393"/>
        <v/>
      </c>
      <c r="AE982" s="111" t="str">
        <f t="shared" si="394"/>
        <v/>
      </c>
      <c r="AF982" s="111" t="str">
        <f t="shared" si="387"/>
        <v/>
      </c>
      <c r="AG982" s="111" t="str">
        <f t="shared" si="395"/>
        <v/>
      </c>
      <c r="AH982" s="111" t="str">
        <f t="shared" si="396"/>
        <v/>
      </c>
      <c r="AI982" s="112" t="str">
        <f t="shared" si="397"/>
        <v/>
      </c>
      <c r="AJ982" t="str">
        <f t="shared" si="398"/>
        <v/>
      </c>
      <c r="AK982" t="str">
        <f t="shared" si="399"/>
        <v/>
      </c>
    </row>
    <row r="983" spans="1:37" ht="15" customHeight="1" x14ac:dyDescent="0.25">
      <c r="A983" s="114"/>
      <c r="B983" s="116"/>
      <c r="C983" s="116"/>
      <c r="D983" s="42" t="str">
        <f t="shared" si="375"/>
        <v/>
      </c>
      <c r="E983" s="43"/>
      <c r="F983" s="83"/>
      <c r="G983" s="118"/>
      <c r="H983" s="34" t="str">
        <f t="shared" si="376"/>
        <v/>
      </c>
      <c r="I983" s="88" t="str">
        <f t="shared" si="377"/>
        <v/>
      </c>
      <c r="J983" s="44" t="str">
        <f t="shared" si="378"/>
        <v/>
      </c>
      <c r="K983" s="118"/>
      <c r="L983" s="34" t="str">
        <f t="shared" si="379"/>
        <v/>
      </c>
      <c r="M983" s="118"/>
      <c r="N983" s="121"/>
      <c r="O983" s="122" t="str">
        <f t="shared" si="388"/>
        <v/>
      </c>
      <c r="P983" s="35" t="str">
        <f t="shared" si="389"/>
        <v/>
      </c>
      <c r="Q983" s="124"/>
      <c r="R983" s="36" t="str">
        <f t="shared" si="390"/>
        <v/>
      </c>
      <c r="S983" s="37" t="str">
        <f t="shared" si="380"/>
        <v/>
      </c>
      <c r="T983" s="38" t="str">
        <f t="shared" si="381"/>
        <v/>
      </c>
      <c r="U983" s="39" t="str">
        <f t="shared" si="382"/>
        <v/>
      </c>
      <c r="V983" s="40" t="str">
        <f t="shared" si="383"/>
        <v/>
      </c>
      <c r="W983" s="39" t="str">
        <f t="shared" si="384"/>
        <v/>
      </c>
      <c r="X983" s="34" t="str">
        <f t="shared" si="385"/>
        <v/>
      </c>
      <c r="Y983" s="41" t="str">
        <f t="shared" si="391"/>
        <v/>
      </c>
      <c r="Z983" s="98" t="str">
        <f t="shared" si="386"/>
        <v/>
      </c>
      <c r="AA983" s="81" t="str">
        <f t="shared" si="392"/>
        <v/>
      </c>
      <c r="AC983" s="139"/>
      <c r="AD983" s="110" t="str">
        <f t="shared" si="393"/>
        <v/>
      </c>
      <c r="AE983" s="111" t="str">
        <f t="shared" si="394"/>
        <v/>
      </c>
      <c r="AF983" s="111" t="str">
        <f t="shared" si="387"/>
        <v/>
      </c>
      <c r="AG983" s="111" t="str">
        <f t="shared" si="395"/>
        <v/>
      </c>
      <c r="AH983" s="111" t="str">
        <f t="shared" si="396"/>
        <v/>
      </c>
      <c r="AI983" s="112" t="str">
        <f t="shared" si="397"/>
        <v/>
      </c>
      <c r="AJ983" t="str">
        <f t="shared" si="398"/>
        <v/>
      </c>
      <c r="AK983" t="str">
        <f t="shared" si="399"/>
        <v/>
      </c>
    </row>
    <row r="984" spans="1:37" ht="15" customHeight="1" x14ac:dyDescent="0.25">
      <c r="A984" s="114"/>
      <c r="B984" s="116"/>
      <c r="C984" s="116"/>
      <c r="D984" s="42" t="str">
        <f t="shared" si="375"/>
        <v/>
      </c>
      <c r="E984" s="43"/>
      <c r="F984" s="83"/>
      <c r="G984" s="118"/>
      <c r="H984" s="34" t="str">
        <f t="shared" si="376"/>
        <v/>
      </c>
      <c r="I984" s="88" t="str">
        <f t="shared" si="377"/>
        <v/>
      </c>
      <c r="J984" s="44" t="str">
        <f t="shared" si="378"/>
        <v/>
      </c>
      <c r="K984" s="118"/>
      <c r="L984" s="34" t="str">
        <f t="shared" si="379"/>
        <v/>
      </c>
      <c r="M984" s="118"/>
      <c r="N984" s="121"/>
      <c r="O984" s="122" t="str">
        <f t="shared" si="388"/>
        <v/>
      </c>
      <c r="P984" s="35" t="str">
        <f t="shared" si="389"/>
        <v/>
      </c>
      <c r="Q984" s="124"/>
      <c r="R984" s="36" t="str">
        <f t="shared" si="390"/>
        <v/>
      </c>
      <c r="S984" s="37" t="str">
        <f t="shared" si="380"/>
        <v/>
      </c>
      <c r="T984" s="38" t="str">
        <f t="shared" si="381"/>
        <v/>
      </c>
      <c r="U984" s="39" t="str">
        <f t="shared" si="382"/>
        <v/>
      </c>
      <c r="V984" s="40" t="str">
        <f t="shared" si="383"/>
        <v/>
      </c>
      <c r="W984" s="39" t="str">
        <f t="shared" si="384"/>
        <v/>
      </c>
      <c r="X984" s="34" t="str">
        <f t="shared" si="385"/>
        <v/>
      </c>
      <c r="Y984" s="41" t="str">
        <f t="shared" si="391"/>
        <v/>
      </c>
      <c r="Z984" s="98" t="str">
        <f t="shared" si="386"/>
        <v/>
      </c>
      <c r="AA984" s="81" t="str">
        <f t="shared" si="392"/>
        <v/>
      </c>
      <c r="AC984" s="139"/>
      <c r="AD984" s="110" t="str">
        <f t="shared" si="393"/>
        <v/>
      </c>
      <c r="AE984" s="111" t="str">
        <f t="shared" si="394"/>
        <v/>
      </c>
      <c r="AF984" s="111" t="str">
        <f t="shared" si="387"/>
        <v/>
      </c>
      <c r="AG984" s="111" t="str">
        <f t="shared" si="395"/>
        <v/>
      </c>
      <c r="AH984" s="111" t="str">
        <f t="shared" si="396"/>
        <v/>
      </c>
      <c r="AI984" s="112" t="str">
        <f t="shared" si="397"/>
        <v/>
      </c>
      <c r="AJ984" t="str">
        <f t="shared" si="398"/>
        <v/>
      </c>
      <c r="AK984" t="str">
        <f t="shared" si="399"/>
        <v/>
      </c>
    </row>
    <row r="985" spans="1:37" ht="15" customHeight="1" x14ac:dyDescent="0.25">
      <c r="A985" s="114"/>
      <c r="B985" s="116"/>
      <c r="C985" s="116"/>
      <c r="D985" s="42" t="str">
        <f t="shared" si="375"/>
        <v/>
      </c>
      <c r="E985" s="43"/>
      <c r="F985" s="83"/>
      <c r="G985" s="118"/>
      <c r="H985" s="34" t="str">
        <f t="shared" si="376"/>
        <v/>
      </c>
      <c r="I985" s="88" t="str">
        <f t="shared" si="377"/>
        <v/>
      </c>
      <c r="J985" s="44" t="str">
        <f t="shared" si="378"/>
        <v/>
      </c>
      <c r="K985" s="118"/>
      <c r="L985" s="34" t="str">
        <f t="shared" si="379"/>
        <v/>
      </c>
      <c r="M985" s="118"/>
      <c r="N985" s="121"/>
      <c r="O985" s="122" t="str">
        <f t="shared" si="388"/>
        <v/>
      </c>
      <c r="P985" s="35" t="str">
        <f t="shared" si="389"/>
        <v/>
      </c>
      <c r="Q985" s="124"/>
      <c r="R985" s="36" t="str">
        <f t="shared" si="390"/>
        <v/>
      </c>
      <c r="S985" s="37" t="str">
        <f t="shared" si="380"/>
        <v/>
      </c>
      <c r="T985" s="38" t="str">
        <f t="shared" si="381"/>
        <v/>
      </c>
      <c r="U985" s="39" t="str">
        <f t="shared" si="382"/>
        <v/>
      </c>
      <c r="V985" s="40" t="str">
        <f t="shared" si="383"/>
        <v/>
      </c>
      <c r="W985" s="39" t="str">
        <f t="shared" si="384"/>
        <v/>
      </c>
      <c r="X985" s="34" t="str">
        <f t="shared" si="385"/>
        <v/>
      </c>
      <c r="Y985" s="41" t="str">
        <f t="shared" si="391"/>
        <v/>
      </c>
      <c r="Z985" s="98" t="str">
        <f t="shared" si="386"/>
        <v/>
      </c>
      <c r="AA985" s="81" t="str">
        <f t="shared" si="392"/>
        <v/>
      </c>
      <c r="AC985" s="139"/>
      <c r="AD985" s="110" t="str">
        <f t="shared" si="393"/>
        <v/>
      </c>
      <c r="AE985" s="111" t="str">
        <f t="shared" si="394"/>
        <v/>
      </c>
      <c r="AF985" s="111" t="str">
        <f t="shared" si="387"/>
        <v/>
      </c>
      <c r="AG985" s="111" t="str">
        <f t="shared" si="395"/>
        <v/>
      </c>
      <c r="AH985" s="111" t="str">
        <f t="shared" si="396"/>
        <v/>
      </c>
      <c r="AI985" s="112" t="str">
        <f t="shared" si="397"/>
        <v/>
      </c>
      <c r="AJ985" t="str">
        <f t="shared" si="398"/>
        <v/>
      </c>
      <c r="AK985" t="str">
        <f t="shared" si="399"/>
        <v/>
      </c>
    </row>
    <row r="986" spans="1:37" ht="15" customHeight="1" x14ac:dyDescent="0.25">
      <c r="A986" s="114"/>
      <c r="B986" s="116"/>
      <c r="C986" s="116"/>
      <c r="D986" s="42" t="str">
        <f t="shared" si="375"/>
        <v/>
      </c>
      <c r="E986" s="43"/>
      <c r="F986" s="83"/>
      <c r="G986" s="118"/>
      <c r="H986" s="34" t="str">
        <f t="shared" si="376"/>
        <v/>
      </c>
      <c r="I986" s="88" t="str">
        <f t="shared" si="377"/>
        <v/>
      </c>
      <c r="J986" s="44" t="str">
        <f t="shared" si="378"/>
        <v/>
      </c>
      <c r="K986" s="118"/>
      <c r="L986" s="34" t="str">
        <f t="shared" si="379"/>
        <v/>
      </c>
      <c r="M986" s="118"/>
      <c r="N986" s="121"/>
      <c r="O986" s="122" t="str">
        <f t="shared" si="388"/>
        <v/>
      </c>
      <c r="P986" s="35" t="str">
        <f t="shared" si="389"/>
        <v/>
      </c>
      <c r="Q986" s="124"/>
      <c r="R986" s="36" t="str">
        <f t="shared" si="390"/>
        <v/>
      </c>
      <c r="S986" s="37" t="str">
        <f t="shared" si="380"/>
        <v/>
      </c>
      <c r="T986" s="38" t="str">
        <f t="shared" si="381"/>
        <v/>
      </c>
      <c r="U986" s="39" t="str">
        <f t="shared" si="382"/>
        <v/>
      </c>
      <c r="V986" s="40" t="str">
        <f t="shared" si="383"/>
        <v/>
      </c>
      <c r="W986" s="39" t="str">
        <f t="shared" si="384"/>
        <v/>
      </c>
      <c r="X986" s="34" t="str">
        <f t="shared" si="385"/>
        <v/>
      </c>
      <c r="Y986" s="41" t="str">
        <f t="shared" si="391"/>
        <v/>
      </c>
      <c r="Z986" s="98" t="str">
        <f t="shared" si="386"/>
        <v/>
      </c>
      <c r="AA986" s="81" t="str">
        <f t="shared" si="392"/>
        <v/>
      </c>
      <c r="AC986" s="139"/>
      <c r="AD986" s="110" t="str">
        <f t="shared" si="393"/>
        <v/>
      </c>
      <c r="AE986" s="111" t="str">
        <f t="shared" si="394"/>
        <v/>
      </c>
      <c r="AF986" s="111" t="str">
        <f t="shared" si="387"/>
        <v/>
      </c>
      <c r="AG986" s="111" t="str">
        <f t="shared" si="395"/>
        <v/>
      </c>
      <c r="AH986" s="111" t="str">
        <f t="shared" si="396"/>
        <v/>
      </c>
      <c r="AI986" s="112" t="str">
        <f t="shared" si="397"/>
        <v/>
      </c>
      <c r="AJ986" t="str">
        <f t="shared" si="398"/>
        <v/>
      </c>
      <c r="AK986" t="str">
        <f t="shared" si="399"/>
        <v/>
      </c>
    </row>
    <row r="987" spans="1:37" ht="15" customHeight="1" x14ac:dyDescent="0.25">
      <c r="A987" s="114"/>
      <c r="B987" s="116"/>
      <c r="C987" s="116"/>
      <c r="D987" s="42" t="str">
        <f t="shared" si="375"/>
        <v/>
      </c>
      <c r="E987" s="43"/>
      <c r="F987" s="83"/>
      <c r="G987" s="118"/>
      <c r="H987" s="34" t="str">
        <f t="shared" si="376"/>
        <v/>
      </c>
      <c r="I987" s="88" t="str">
        <f t="shared" si="377"/>
        <v/>
      </c>
      <c r="J987" s="44" t="str">
        <f t="shared" si="378"/>
        <v/>
      </c>
      <c r="K987" s="118"/>
      <c r="L987" s="34" t="str">
        <f t="shared" si="379"/>
        <v/>
      </c>
      <c r="M987" s="118"/>
      <c r="N987" s="121"/>
      <c r="O987" s="122" t="str">
        <f t="shared" si="388"/>
        <v/>
      </c>
      <c r="P987" s="35" t="str">
        <f t="shared" si="389"/>
        <v/>
      </c>
      <c r="Q987" s="124"/>
      <c r="R987" s="36" t="str">
        <f t="shared" si="390"/>
        <v/>
      </c>
      <c r="S987" s="37" t="str">
        <f t="shared" si="380"/>
        <v/>
      </c>
      <c r="T987" s="38" t="str">
        <f t="shared" si="381"/>
        <v/>
      </c>
      <c r="U987" s="39" t="str">
        <f t="shared" si="382"/>
        <v/>
      </c>
      <c r="V987" s="40" t="str">
        <f t="shared" si="383"/>
        <v/>
      </c>
      <c r="W987" s="39" t="str">
        <f t="shared" si="384"/>
        <v/>
      </c>
      <c r="X987" s="34" t="str">
        <f t="shared" si="385"/>
        <v/>
      </c>
      <c r="Y987" s="41" t="str">
        <f t="shared" si="391"/>
        <v/>
      </c>
      <c r="Z987" s="98" t="str">
        <f t="shared" si="386"/>
        <v/>
      </c>
      <c r="AA987" s="81" t="str">
        <f t="shared" si="392"/>
        <v/>
      </c>
      <c r="AC987" s="139"/>
      <c r="AD987" s="110" t="str">
        <f t="shared" si="393"/>
        <v/>
      </c>
      <c r="AE987" s="111" t="str">
        <f t="shared" si="394"/>
        <v/>
      </c>
      <c r="AF987" s="111" t="str">
        <f t="shared" si="387"/>
        <v/>
      </c>
      <c r="AG987" s="111" t="str">
        <f t="shared" si="395"/>
        <v/>
      </c>
      <c r="AH987" s="111" t="str">
        <f t="shared" si="396"/>
        <v/>
      </c>
      <c r="AI987" s="112" t="str">
        <f t="shared" si="397"/>
        <v/>
      </c>
      <c r="AJ987" t="str">
        <f t="shared" si="398"/>
        <v/>
      </c>
      <c r="AK987" t="str">
        <f t="shared" si="399"/>
        <v/>
      </c>
    </row>
    <row r="988" spans="1:37" ht="15" customHeight="1" x14ac:dyDescent="0.25">
      <c r="A988" s="114"/>
      <c r="B988" s="116"/>
      <c r="C988" s="116"/>
      <c r="D988" s="42" t="str">
        <f t="shared" si="375"/>
        <v/>
      </c>
      <c r="E988" s="43"/>
      <c r="F988" s="83"/>
      <c r="G988" s="118"/>
      <c r="H988" s="34" t="str">
        <f t="shared" si="376"/>
        <v/>
      </c>
      <c r="I988" s="88" t="str">
        <f t="shared" si="377"/>
        <v/>
      </c>
      <c r="J988" s="44" t="str">
        <f t="shared" si="378"/>
        <v/>
      </c>
      <c r="K988" s="118"/>
      <c r="L988" s="34" t="str">
        <f t="shared" si="379"/>
        <v/>
      </c>
      <c r="M988" s="118"/>
      <c r="N988" s="121"/>
      <c r="O988" s="122" t="str">
        <f t="shared" si="388"/>
        <v/>
      </c>
      <c r="P988" s="35" t="str">
        <f t="shared" si="389"/>
        <v/>
      </c>
      <c r="Q988" s="124"/>
      <c r="R988" s="36" t="str">
        <f t="shared" si="390"/>
        <v/>
      </c>
      <c r="S988" s="37" t="str">
        <f t="shared" si="380"/>
        <v/>
      </c>
      <c r="T988" s="38" t="str">
        <f t="shared" si="381"/>
        <v/>
      </c>
      <c r="U988" s="39" t="str">
        <f t="shared" si="382"/>
        <v/>
      </c>
      <c r="V988" s="40" t="str">
        <f t="shared" si="383"/>
        <v/>
      </c>
      <c r="W988" s="39" t="str">
        <f t="shared" si="384"/>
        <v/>
      </c>
      <c r="X988" s="34" t="str">
        <f t="shared" si="385"/>
        <v/>
      </c>
      <c r="Y988" s="41" t="str">
        <f t="shared" si="391"/>
        <v/>
      </c>
      <c r="Z988" s="98" t="str">
        <f t="shared" si="386"/>
        <v/>
      </c>
      <c r="AA988" s="81" t="str">
        <f t="shared" si="392"/>
        <v/>
      </c>
      <c r="AC988" s="139"/>
      <c r="AD988" s="110" t="str">
        <f t="shared" si="393"/>
        <v/>
      </c>
      <c r="AE988" s="111" t="str">
        <f t="shared" si="394"/>
        <v/>
      </c>
      <c r="AF988" s="111" t="str">
        <f t="shared" si="387"/>
        <v/>
      </c>
      <c r="AG988" s="111" t="str">
        <f t="shared" si="395"/>
        <v/>
      </c>
      <c r="AH988" s="111" t="str">
        <f t="shared" si="396"/>
        <v/>
      </c>
      <c r="AI988" s="112" t="str">
        <f t="shared" si="397"/>
        <v/>
      </c>
      <c r="AJ988" t="str">
        <f t="shared" si="398"/>
        <v/>
      </c>
      <c r="AK988" t="str">
        <f t="shared" si="399"/>
        <v/>
      </c>
    </row>
    <row r="989" spans="1:37" ht="15" customHeight="1" x14ac:dyDescent="0.25">
      <c r="A989" s="114"/>
      <c r="B989" s="116"/>
      <c r="C989" s="116"/>
      <c r="D989" s="42" t="str">
        <f t="shared" si="375"/>
        <v/>
      </c>
      <c r="E989" s="43"/>
      <c r="F989" s="83"/>
      <c r="G989" s="118"/>
      <c r="H989" s="34" t="str">
        <f t="shared" si="376"/>
        <v/>
      </c>
      <c r="I989" s="88" t="str">
        <f t="shared" si="377"/>
        <v/>
      </c>
      <c r="J989" s="44" t="str">
        <f t="shared" si="378"/>
        <v/>
      </c>
      <c r="K989" s="118"/>
      <c r="L989" s="34" t="str">
        <f t="shared" si="379"/>
        <v/>
      </c>
      <c r="M989" s="118"/>
      <c r="N989" s="121"/>
      <c r="O989" s="122" t="str">
        <f t="shared" si="388"/>
        <v/>
      </c>
      <c r="P989" s="35" t="str">
        <f t="shared" si="389"/>
        <v/>
      </c>
      <c r="Q989" s="124"/>
      <c r="R989" s="36" t="str">
        <f t="shared" si="390"/>
        <v/>
      </c>
      <c r="S989" s="37" t="str">
        <f t="shared" si="380"/>
        <v/>
      </c>
      <c r="T989" s="38" t="str">
        <f t="shared" si="381"/>
        <v/>
      </c>
      <c r="U989" s="39" t="str">
        <f t="shared" si="382"/>
        <v/>
      </c>
      <c r="V989" s="40" t="str">
        <f t="shared" si="383"/>
        <v/>
      </c>
      <c r="W989" s="39" t="str">
        <f t="shared" si="384"/>
        <v/>
      </c>
      <c r="X989" s="34" t="str">
        <f t="shared" si="385"/>
        <v/>
      </c>
      <c r="Y989" s="41" t="str">
        <f t="shared" si="391"/>
        <v/>
      </c>
      <c r="Z989" s="98" t="str">
        <f t="shared" si="386"/>
        <v/>
      </c>
      <c r="AA989" s="81" t="str">
        <f t="shared" si="392"/>
        <v/>
      </c>
      <c r="AC989" s="139"/>
      <c r="AD989" s="110" t="str">
        <f t="shared" si="393"/>
        <v/>
      </c>
      <c r="AE989" s="111" t="str">
        <f t="shared" si="394"/>
        <v/>
      </c>
      <c r="AF989" s="111" t="str">
        <f t="shared" si="387"/>
        <v/>
      </c>
      <c r="AG989" s="111" t="str">
        <f t="shared" si="395"/>
        <v/>
      </c>
      <c r="AH989" s="111" t="str">
        <f t="shared" si="396"/>
        <v/>
      </c>
      <c r="AI989" s="112" t="str">
        <f t="shared" si="397"/>
        <v/>
      </c>
      <c r="AJ989" t="str">
        <f t="shared" si="398"/>
        <v/>
      </c>
      <c r="AK989" t="str">
        <f t="shared" si="399"/>
        <v/>
      </c>
    </row>
    <row r="990" spans="1:37" ht="15" customHeight="1" x14ac:dyDescent="0.25">
      <c r="A990" s="114"/>
      <c r="B990" s="116"/>
      <c r="C990" s="116"/>
      <c r="D990" s="42" t="str">
        <f t="shared" si="375"/>
        <v/>
      </c>
      <c r="E990" s="43"/>
      <c r="F990" s="83"/>
      <c r="G990" s="118"/>
      <c r="H990" s="34" t="str">
        <f t="shared" si="376"/>
        <v/>
      </c>
      <c r="I990" s="88" t="str">
        <f t="shared" si="377"/>
        <v/>
      </c>
      <c r="J990" s="44" t="str">
        <f t="shared" si="378"/>
        <v/>
      </c>
      <c r="K990" s="118"/>
      <c r="L990" s="34" t="str">
        <f t="shared" si="379"/>
        <v/>
      </c>
      <c r="M990" s="118"/>
      <c r="N990" s="121"/>
      <c r="O990" s="122" t="str">
        <f t="shared" si="388"/>
        <v/>
      </c>
      <c r="P990" s="35" t="str">
        <f t="shared" si="389"/>
        <v/>
      </c>
      <c r="Q990" s="124"/>
      <c r="R990" s="36" t="str">
        <f t="shared" si="390"/>
        <v/>
      </c>
      <c r="S990" s="37" t="str">
        <f t="shared" si="380"/>
        <v/>
      </c>
      <c r="T990" s="38" t="str">
        <f t="shared" si="381"/>
        <v/>
      </c>
      <c r="U990" s="39" t="str">
        <f t="shared" si="382"/>
        <v/>
      </c>
      <c r="V990" s="40" t="str">
        <f t="shared" si="383"/>
        <v/>
      </c>
      <c r="W990" s="39" t="str">
        <f t="shared" si="384"/>
        <v/>
      </c>
      <c r="X990" s="34" t="str">
        <f t="shared" si="385"/>
        <v/>
      </c>
      <c r="Y990" s="41" t="str">
        <f t="shared" si="391"/>
        <v/>
      </c>
      <c r="Z990" s="98" t="str">
        <f t="shared" si="386"/>
        <v/>
      </c>
      <c r="AA990" s="81" t="str">
        <f t="shared" si="392"/>
        <v/>
      </c>
      <c r="AC990" s="139"/>
      <c r="AD990" s="110" t="str">
        <f t="shared" si="393"/>
        <v/>
      </c>
      <c r="AE990" s="111" t="str">
        <f t="shared" si="394"/>
        <v/>
      </c>
      <c r="AF990" s="111" t="str">
        <f t="shared" si="387"/>
        <v/>
      </c>
      <c r="AG990" s="111" t="str">
        <f t="shared" si="395"/>
        <v/>
      </c>
      <c r="AH990" s="111" t="str">
        <f t="shared" si="396"/>
        <v/>
      </c>
      <c r="AI990" s="112" t="str">
        <f t="shared" si="397"/>
        <v/>
      </c>
      <c r="AJ990" t="str">
        <f t="shared" si="398"/>
        <v/>
      </c>
      <c r="AK990" t="str">
        <f t="shared" si="399"/>
        <v/>
      </c>
    </row>
    <row r="991" spans="1:37" ht="15" customHeight="1" x14ac:dyDescent="0.25">
      <c r="A991" s="114"/>
      <c r="B991" s="116"/>
      <c r="C991" s="116"/>
      <c r="D991" s="42" t="str">
        <f t="shared" si="375"/>
        <v/>
      </c>
      <c r="E991" s="43"/>
      <c r="F991" s="83"/>
      <c r="G991" s="118"/>
      <c r="H991" s="34" t="str">
        <f t="shared" si="376"/>
        <v/>
      </c>
      <c r="I991" s="88" t="str">
        <f t="shared" si="377"/>
        <v/>
      </c>
      <c r="J991" s="44" t="str">
        <f t="shared" si="378"/>
        <v/>
      </c>
      <c r="K991" s="118"/>
      <c r="L991" s="34" t="str">
        <f t="shared" si="379"/>
        <v/>
      </c>
      <c r="M991" s="118"/>
      <c r="N991" s="121"/>
      <c r="O991" s="122" t="str">
        <f t="shared" si="388"/>
        <v/>
      </c>
      <c r="P991" s="35" t="str">
        <f t="shared" si="389"/>
        <v/>
      </c>
      <c r="Q991" s="124"/>
      <c r="R991" s="36" t="str">
        <f t="shared" si="390"/>
        <v/>
      </c>
      <c r="S991" s="37" t="str">
        <f t="shared" si="380"/>
        <v/>
      </c>
      <c r="T991" s="38" t="str">
        <f t="shared" si="381"/>
        <v/>
      </c>
      <c r="U991" s="39" t="str">
        <f t="shared" si="382"/>
        <v/>
      </c>
      <c r="V991" s="40" t="str">
        <f t="shared" si="383"/>
        <v/>
      </c>
      <c r="W991" s="39" t="str">
        <f t="shared" si="384"/>
        <v/>
      </c>
      <c r="X991" s="34" t="str">
        <f t="shared" si="385"/>
        <v/>
      </c>
      <c r="Y991" s="41" t="str">
        <f t="shared" si="391"/>
        <v/>
      </c>
      <c r="Z991" s="98" t="str">
        <f t="shared" si="386"/>
        <v/>
      </c>
      <c r="AA991" s="81" t="str">
        <f t="shared" si="392"/>
        <v/>
      </c>
      <c r="AC991" s="139"/>
      <c r="AD991" s="110" t="str">
        <f t="shared" si="393"/>
        <v/>
      </c>
      <c r="AE991" s="111" t="str">
        <f t="shared" si="394"/>
        <v/>
      </c>
      <c r="AF991" s="111" t="str">
        <f t="shared" si="387"/>
        <v/>
      </c>
      <c r="AG991" s="111" t="str">
        <f t="shared" si="395"/>
        <v/>
      </c>
      <c r="AH991" s="111" t="str">
        <f t="shared" si="396"/>
        <v/>
      </c>
      <c r="AI991" s="112" t="str">
        <f t="shared" si="397"/>
        <v/>
      </c>
      <c r="AJ991" t="str">
        <f t="shared" si="398"/>
        <v/>
      </c>
      <c r="AK991" t="str">
        <f t="shared" si="399"/>
        <v/>
      </c>
    </row>
    <row r="992" spans="1:37" ht="15" customHeight="1" x14ac:dyDescent="0.25">
      <c r="A992" s="114"/>
      <c r="B992" s="116"/>
      <c r="C992" s="116"/>
      <c r="D992" s="42" t="str">
        <f t="shared" si="375"/>
        <v/>
      </c>
      <c r="E992" s="43"/>
      <c r="F992" s="83"/>
      <c r="G992" s="118"/>
      <c r="H992" s="34" t="str">
        <f t="shared" si="376"/>
        <v/>
      </c>
      <c r="I992" s="88" t="str">
        <f t="shared" si="377"/>
        <v/>
      </c>
      <c r="J992" s="44" t="str">
        <f t="shared" si="378"/>
        <v/>
      </c>
      <c r="K992" s="118"/>
      <c r="L992" s="34" t="str">
        <f t="shared" si="379"/>
        <v/>
      </c>
      <c r="M992" s="118"/>
      <c r="N992" s="121"/>
      <c r="O992" s="122" t="str">
        <f t="shared" si="388"/>
        <v/>
      </c>
      <c r="P992" s="35" t="str">
        <f t="shared" si="389"/>
        <v/>
      </c>
      <c r="Q992" s="124"/>
      <c r="R992" s="36" t="str">
        <f t="shared" si="390"/>
        <v/>
      </c>
      <c r="S992" s="37" t="str">
        <f t="shared" si="380"/>
        <v/>
      </c>
      <c r="T992" s="38" t="str">
        <f t="shared" si="381"/>
        <v/>
      </c>
      <c r="U992" s="39" t="str">
        <f t="shared" si="382"/>
        <v/>
      </c>
      <c r="V992" s="40" t="str">
        <f t="shared" si="383"/>
        <v/>
      </c>
      <c r="W992" s="39" t="str">
        <f t="shared" si="384"/>
        <v/>
      </c>
      <c r="X992" s="34" t="str">
        <f t="shared" si="385"/>
        <v/>
      </c>
      <c r="Y992" s="41" t="str">
        <f t="shared" si="391"/>
        <v/>
      </c>
      <c r="Z992" s="98" t="str">
        <f t="shared" si="386"/>
        <v/>
      </c>
      <c r="AA992" s="81" t="str">
        <f t="shared" si="392"/>
        <v/>
      </c>
      <c r="AC992" s="139"/>
      <c r="AD992" s="110" t="str">
        <f t="shared" si="393"/>
        <v/>
      </c>
      <c r="AE992" s="111" t="str">
        <f t="shared" si="394"/>
        <v/>
      </c>
      <c r="AF992" s="111" t="str">
        <f t="shared" si="387"/>
        <v/>
      </c>
      <c r="AG992" s="111" t="str">
        <f t="shared" si="395"/>
        <v/>
      </c>
      <c r="AH992" s="111" t="str">
        <f t="shared" si="396"/>
        <v/>
      </c>
      <c r="AI992" s="112" t="str">
        <f t="shared" si="397"/>
        <v/>
      </c>
      <c r="AJ992" t="str">
        <f t="shared" si="398"/>
        <v/>
      </c>
      <c r="AK992" t="str">
        <f t="shared" si="399"/>
        <v/>
      </c>
    </row>
    <row r="993" spans="1:37" ht="15" customHeight="1" x14ac:dyDescent="0.25">
      <c r="A993" s="114"/>
      <c r="B993" s="116"/>
      <c r="C993" s="116"/>
      <c r="D993" s="42" t="str">
        <f t="shared" si="375"/>
        <v/>
      </c>
      <c r="E993" s="43"/>
      <c r="F993" s="83"/>
      <c r="G993" s="118"/>
      <c r="H993" s="34" t="str">
        <f t="shared" si="376"/>
        <v/>
      </c>
      <c r="I993" s="88" t="str">
        <f t="shared" si="377"/>
        <v/>
      </c>
      <c r="J993" s="44" t="str">
        <f t="shared" si="378"/>
        <v/>
      </c>
      <c r="K993" s="118"/>
      <c r="L993" s="34" t="str">
        <f t="shared" si="379"/>
        <v/>
      </c>
      <c r="M993" s="118"/>
      <c r="N993" s="121"/>
      <c r="O993" s="122" t="str">
        <f t="shared" si="388"/>
        <v/>
      </c>
      <c r="P993" s="35" t="str">
        <f t="shared" si="389"/>
        <v/>
      </c>
      <c r="Q993" s="124"/>
      <c r="R993" s="36" t="str">
        <f t="shared" si="390"/>
        <v/>
      </c>
      <c r="S993" s="37" t="str">
        <f t="shared" si="380"/>
        <v/>
      </c>
      <c r="T993" s="38" t="str">
        <f t="shared" si="381"/>
        <v/>
      </c>
      <c r="U993" s="39" t="str">
        <f t="shared" si="382"/>
        <v/>
      </c>
      <c r="V993" s="40" t="str">
        <f t="shared" si="383"/>
        <v/>
      </c>
      <c r="W993" s="39" t="str">
        <f t="shared" si="384"/>
        <v/>
      </c>
      <c r="X993" s="34" t="str">
        <f t="shared" si="385"/>
        <v/>
      </c>
      <c r="Y993" s="41" t="str">
        <f t="shared" si="391"/>
        <v/>
      </c>
      <c r="Z993" s="98" t="str">
        <f t="shared" si="386"/>
        <v/>
      </c>
      <c r="AA993" s="81" t="str">
        <f t="shared" si="392"/>
        <v/>
      </c>
      <c r="AC993" s="139"/>
      <c r="AD993" s="110" t="str">
        <f t="shared" si="393"/>
        <v/>
      </c>
      <c r="AE993" s="111" t="str">
        <f t="shared" si="394"/>
        <v/>
      </c>
      <c r="AF993" s="111" t="str">
        <f t="shared" si="387"/>
        <v/>
      </c>
      <c r="AG993" s="111" t="str">
        <f t="shared" si="395"/>
        <v/>
      </c>
      <c r="AH993" s="111" t="str">
        <f t="shared" si="396"/>
        <v/>
      </c>
      <c r="AI993" s="112" t="str">
        <f t="shared" si="397"/>
        <v/>
      </c>
      <c r="AJ993" t="str">
        <f t="shared" si="398"/>
        <v/>
      </c>
      <c r="AK993" t="str">
        <f t="shared" si="399"/>
        <v/>
      </c>
    </row>
    <row r="994" spans="1:37" ht="15" customHeight="1" x14ac:dyDescent="0.25">
      <c r="A994" s="114"/>
      <c r="B994" s="116"/>
      <c r="C994" s="116"/>
      <c r="D994" s="42" t="str">
        <f t="shared" si="375"/>
        <v/>
      </c>
      <c r="E994" s="43"/>
      <c r="F994" s="83"/>
      <c r="G994" s="118"/>
      <c r="H994" s="34" t="str">
        <f t="shared" si="376"/>
        <v/>
      </c>
      <c r="I994" s="88" t="str">
        <f t="shared" si="377"/>
        <v/>
      </c>
      <c r="J994" s="44" t="str">
        <f t="shared" si="378"/>
        <v/>
      </c>
      <c r="K994" s="118"/>
      <c r="L994" s="34" t="str">
        <f t="shared" si="379"/>
        <v/>
      </c>
      <c r="M994" s="118"/>
      <c r="N994" s="121"/>
      <c r="O994" s="122" t="str">
        <f t="shared" si="388"/>
        <v/>
      </c>
      <c r="P994" s="35" t="str">
        <f t="shared" si="389"/>
        <v/>
      </c>
      <c r="Q994" s="124"/>
      <c r="R994" s="36" t="str">
        <f t="shared" si="390"/>
        <v/>
      </c>
      <c r="S994" s="37" t="str">
        <f t="shared" si="380"/>
        <v/>
      </c>
      <c r="T994" s="38" t="str">
        <f t="shared" si="381"/>
        <v/>
      </c>
      <c r="U994" s="39" t="str">
        <f t="shared" si="382"/>
        <v/>
      </c>
      <c r="V994" s="40" t="str">
        <f t="shared" si="383"/>
        <v/>
      </c>
      <c r="W994" s="39" t="str">
        <f t="shared" si="384"/>
        <v/>
      </c>
      <c r="X994" s="34" t="str">
        <f t="shared" si="385"/>
        <v/>
      </c>
      <c r="Y994" s="41" t="str">
        <f t="shared" si="391"/>
        <v/>
      </c>
      <c r="Z994" s="98" t="str">
        <f t="shared" si="386"/>
        <v/>
      </c>
      <c r="AA994" s="81" t="str">
        <f t="shared" si="392"/>
        <v/>
      </c>
      <c r="AC994" s="139"/>
      <c r="AD994" s="110" t="str">
        <f t="shared" si="393"/>
        <v/>
      </c>
      <c r="AE994" s="111" t="str">
        <f t="shared" si="394"/>
        <v/>
      </c>
      <c r="AF994" s="111" t="str">
        <f t="shared" si="387"/>
        <v/>
      </c>
      <c r="AG994" s="111" t="str">
        <f t="shared" si="395"/>
        <v/>
      </c>
      <c r="AH994" s="111" t="str">
        <f t="shared" si="396"/>
        <v/>
      </c>
      <c r="AI994" s="112" t="str">
        <f t="shared" si="397"/>
        <v/>
      </c>
      <c r="AJ994" t="str">
        <f t="shared" si="398"/>
        <v/>
      </c>
      <c r="AK994" t="str">
        <f t="shared" si="399"/>
        <v/>
      </c>
    </row>
    <row r="995" spans="1:37" ht="15" customHeight="1" x14ac:dyDescent="0.25">
      <c r="A995" s="114"/>
      <c r="B995" s="116"/>
      <c r="C995" s="116"/>
      <c r="D995" s="42" t="str">
        <f t="shared" si="375"/>
        <v/>
      </c>
      <c r="E995" s="43"/>
      <c r="F995" s="83"/>
      <c r="G995" s="118"/>
      <c r="H995" s="34" t="str">
        <f t="shared" si="376"/>
        <v/>
      </c>
      <c r="I995" s="88" t="str">
        <f t="shared" si="377"/>
        <v/>
      </c>
      <c r="J995" s="44" t="str">
        <f t="shared" si="378"/>
        <v/>
      </c>
      <c r="K995" s="118"/>
      <c r="L995" s="34" t="str">
        <f t="shared" si="379"/>
        <v/>
      </c>
      <c r="M995" s="118"/>
      <c r="N995" s="121"/>
      <c r="O995" s="122" t="str">
        <f t="shared" si="388"/>
        <v/>
      </c>
      <c r="P995" s="35" t="str">
        <f t="shared" si="389"/>
        <v/>
      </c>
      <c r="Q995" s="124"/>
      <c r="R995" s="36" t="str">
        <f t="shared" si="390"/>
        <v/>
      </c>
      <c r="S995" s="37" t="str">
        <f t="shared" si="380"/>
        <v/>
      </c>
      <c r="T995" s="38" t="str">
        <f t="shared" si="381"/>
        <v/>
      </c>
      <c r="U995" s="39" t="str">
        <f t="shared" si="382"/>
        <v/>
      </c>
      <c r="V995" s="40" t="str">
        <f t="shared" si="383"/>
        <v/>
      </c>
      <c r="W995" s="39" t="str">
        <f t="shared" si="384"/>
        <v/>
      </c>
      <c r="X995" s="34" t="str">
        <f t="shared" si="385"/>
        <v/>
      </c>
      <c r="Y995" s="41" t="str">
        <f t="shared" si="391"/>
        <v/>
      </c>
      <c r="Z995" s="98" t="str">
        <f t="shared" si="386"/>
        <v/>
      </c>
      <c r="AA995" s="81" t="str">
        <f t="shared" si="392"/>
        <v/>
      </c>
      <c r="AC995" s="139"/>
      <c r="AD995" s="110" t="str">
        <f t="shared" si="393"/>
        <v/>
      </c>
      <c r="AE995" s="111" t="str">
        <f t="shared" si="394"/>
        <v/>
      </c>
      <c r="AF995" s="111" t="str">
        <f t="shared" si="387"/>
        <v/>
      </c>
      <c r="AG995" s="111" t="str">
        <f t="shared" si="395"/>
        <v/>
      </c>
      <c r="AH995" s="111" t="str">
        <f t="shared" si="396"/>
        <v/>
      </c>
      <c r="AI995" s="112" t="str">
        <f t="shared" si="397"/>
        <v/>
      </c>
      <c r="AJ995" t="str">
        <f t="shared" si="398"/>
        <v/>
      </c>
      <c r="AK995" t="str">
        <f t="shared" si="399"/>
        <v/>
      </c>
    </row>
    <row r="996" spans="1:37" ht="15" customHeight="1" x14ac:dyDescent="0.25">
      <c r="A996" s="114"/>
      <c r="B996" s="116"/>
      <c r="C996" s="116"/>
      <c r="D996" s="42" t="str">
        <f t="shared" si="375"/>
        <v/>
      </c>
      <c r="E996" s="43"/>
      <c r="F996" s="83"/>
      <c r="G996" s="118"/>
      <c r="H996" s="34" t="str">
        <f t="shared" si="376"/>
        <v/>
      </c>
      <c r="I996" s="88" t="str">
        <f t="shared" si="377"/>
        <v/>
      </c>
      <c r="J996" s="44" t="str">
        <f t="shared" si="378"/>
        <v/>
      </c>
      <c r="K996" s="118"/>
      <c r="L996" s="34" t="str">
        <f t="shared" si="379"/>
        <v/>
      </c>
      <c r="M996" s="118"/>
      <c r="N996" s="121"/>
      <c r="O996" s="122" t="str">
        <f t="shared" si="388"/>
        <v/>
      </c>
      <c r="P996" s="35" t="str">
        <f t="shared" si="389"/>
        <v/>
      </c>
      <c r="Q996" s="124"/>
      <c r="R996" s="36" t="str">
        <f t="shared" si="390"/>
        <v/>
      </c>
      <c r="S996" s="37" t="str">
        <f t="shared" si="380"/>
        <v/>
      </c>
      <c r="T996" s="38" t="str">
        <f t="shared" si="381"/>
        <v/>
      </c>
      <c r="U996" s="39" t="str">
        <f t="shared" si="382"/>
        <v/>
      </c>
      <c r="V996" s="40" t="str">
        <f t="shared" si="383"/>
        <v/>
      </c>
      <c r="W996" s="39" t="str">
        <f t="shared" si="384"/>
        <v/>
      </c>
      <c r="X996" s="34" t="str">
        <f t="shared" si="385"/>
        <v/>
      </c>
      <c r="Y996" s="41" t="str">
        <f t="shared" si="391"/>
        <v/>
      </c>
      <c r="Z996" s="98" t="str">
        <f t="shared" si="386"/>
        <v/>
      </c>
      <c r="AA996" s="81" t="str">
        <f t="shared" si="392"/>
        <v/>
      </c>
      <c r="AC996" s="139"/>
      <c r="AD996" s="110" t="str">
        <f t="shared" si="393"/>
        <v/>
      </c>
      <c r="AE996" s="111" t="str">
        <f t="shared" si="394"/>
        <v/>
      </c>
      <c r="AF996" s="111" t="str">
        <f t="shared" si="387"/>
        <v/>
      </c>
      <c r="AG996" s="111" t="str">
        <f t="shared" si="395"/>
        <v/>
      </c>
      <c r="AH996" s="111" t="str">
        <f t="shared" si="396"/>
        <v/>
      </c>
      <c r="AI996" s="112" t="str">
        <f t="shared" si="397"/>
        <v/>
      </c>
      <c r="AJ996" t="str">
        <f t="shared" si="398"/>
        <v/>
      </c>
      <c r="AK996" t="str">
        <f t="shared" si="399"/>
        <v/>
      </c>
    </row>
    <row r="997" spans="1:37" ht="15" customHeight="1" x14ac:dyDescent="0.25">
      <c r="A997" s="114"/>
      <c r="B997" s="116"/>
      <c r="C997" s="116"/>
      <c r="D997" s="42" t="str">
        <f t="shared" si="375"/>
        <v/>
      </c>
      <c r="E997" s="43"/>
      <c r="F997" s="83"/>
      <c r="G997" s="118"/>
      <c r="H997" s="34" t="str">
        <f t="shared" si="376"/>
        <v/>
      </c>
      <c r="I997" s="88" t="str">
        <f t="shared" si="377"/>
        <v/>
      </c>
      <c r="J997" s="44" t="str">
        <f t="shared" si="378"/>
        <v/>
      </c>
      <c r="K997" s="118"/>
      <c r="L997" s="34" t="str">
        <f t="shared" si="379"/>
        <v/>
      </c>
      <c r="M997" s="118"/>
      <c r="N997" s="121"/>
      <c r="O997" s="122" t="str">
        <f t="shared" si="388"/>
        <v/>
      </c>
      <c r="P997" s="35" t="str">
        <f t="shared" si="389"/>
        <v/>
      </c>
      <c r="Q997" s="124"/>
      <c r="R997" s="36" t="str">
        <f t="shared" si="390"/>
        <v/>
      </c>
      <c r="S997" s="37" t="str">
        <f t="shared" si="380"/>
        <v/>
      </c>
      <c r="T997" s="38" t="str">
        <f t="shared" si="381"/>
        <v/>
      </c>
      <c r="U997" s="39" t="str">
        <f t="shared" si="382"/>
        <v/>
      </c>
      <c r="V997" s="40" t="str">
        <f t="shared" si="383"/>
        <v/>
      </c>
      <c r="W997" s="39" t="str">
        <f t="shared" si="384"/>
        <v/>
      </c>
      <c r="X997" s="34" t="str">
        <f t="shared" si="385"/>
        <v/>
      </c>
      <c r="Y997" s="41" t="str">
        <f t="shared" si="391"/>
        <v/>
      </c>
      <c r="Z997" s="98" t="str">
        <f t="shared" si="386"/>
        <v/>
      </c>
      <c r="AA997" s="81" t="str">
        <f t="shared" si="392"/>
        <v/>
      </c>
      <c r="AC997" s="139"/>
      <c r="AD997" s="110" t="str">
        <f t="shared" si="393"/>
        <v/>
      </c>
      <c r="AE997" s="111" t="str">
        <f t="shared" si="394"/>
        <v/>
      </c>
      <c r="AF997" s="111" t="str">
        <f t="shared" si="387"/>
        <v/>
      </c>
      <c r="AG997" s="111" t="str">
        <f t="shared" si="395"/>
        <v/>
      </c>
      <c r="AH997" s="111" t="str">
        <f t="shared" si="396"/>
        <v/>
      </c>
      <c r="AI997" s="112" t="str">
        <f t="shared" si="397"/>
        <v/>
      </c>
      <c r="AJ997" t="str">
        <f t="shared" si="398"/>
        <v/>
      </c>
      <c r="AK997" t="str">
        <f t="shared" si="399"/>
        <v/>
      </c>
    </row>
    <row r="998" spans="1:37" ht="15" customHeight="1" x14ac:dyDescent="0.25">
      <c r="A998" s="114"/>
      <c r="B998" s="116"/>
      <c r="C998" s="116"/>
      <c r="D998" s="42" t="str">
        <f t="shared" si="375"/>
        <v/>
      </c>
      <c r="E998" s="43"/>
      <c r="F998" s="83"/>
      <c r="G998" s="118"/>
      <c r="H998" s="34" t="str">
        <f t="shared" si="376"/>
        <v/>
      </c>
      <c r="I998" s="88" t="str">
        <f t="shared" si="377"/>
        <v/>
      </c>
      <c r="J998" s="44" t="str">
        <f t="shared" si="378"/>
        <v/>
      </c>
      <c r="K998" s="118"/>
      <c r="L998" s="34" t="str">
        <f t="shared" si="379"/>
        <v/>
      </c>
      <c r="M998" s="118"/>
      <c r="N998" s="121"/>
      <c r="O998" s="122" t="str">
        <f t="shared" si="388"/>
        <v/>
      </c>
      <c r="P998" s="35" t="str">
        <f t="shared" si="389"/>
        <v/>
      </c>
      <c r="Q998" s="124"/>
      <c r="R998" s="36" t="str">
        <f t="shared" si="390"/>
        <v/>
      </c>
      <c r="S998" s="37" t="str">
        <f t="shared" si="380"/>
        <v/>
      </c>
      <c r="T998" s="38" t="str">
        <f t="shared" si="381"/>
        <v/>
      </c>
      <c r="U998" s="39" t="str">
        <f t="shared" si="382"/>
        <v/>
      </c>
      <c r="V998" s="40" t="str">
        <f t="shared" si="383"/>
        <v/>
      </c>
      <c r="W998" s="39" t="str">
        <f t="shared" si="384"/>
        <v/>
      </c>
      <c r="X998" s="34" t="str">
        <f t="shared" si="385"/>
        <v/>
      </c>
      <c r="Y998" s="41" t="str">
        <f t="shared" si="391"/>
        <v/>
      </c>
      <c r="Z998" s="98" t="str">
        <f t="shared" si="386"/>
        <v/>
      </c>
      <c r="AA998" s="81" t="str">
        <f t="shared" si="392"/>
        <v/>
      </c>
      <c r="AC998" s="139"/>
      <c r="AD998" s="110" t="str">
        <f t="shared" si="393"/>
        <v/>
      </c>
      <c r="AE998" s="111" t="str">
        <f t="shared" si="394"/>
        <v/>
      </c>
      <c r="AF998" s="111" t="str">
        <f t="shared" si="387"/>
        <v/>
      </c>
      <c r="AG998" s="111" t="str">
        <f t="shared" si="395"/>
        <v/>
      </c>
      <c r="AH998" s="111" t="str">
        <f t="shared" si="396"/>
        <v/>
      </c>
      <c r="AI998" s="112" t="str">
        <f t="shared" si="397"/>
        <v/>
      </c>
      <c r="AJ998" t="str">
        <f t="shared" si="398"/>
        <v/>
      </c>
      <c r="AK998" t="str">
        <f t="shared" si="399"/>
        <v/>
      </c>
    </row>
    <row r="999" spans="1:37" ht="15" customHeight="1" x14ac:dyDescent="0.25">
      <c r="A999" s="114"/>
      <c r="B999" s="116"/>
      <c r="C999" s="116"/>
      <c r="D999" s="42" t="str">
        <f t="shared" si="375"/>
        <v/>
      </c>
      <c r="E999" s="43"/>
      <c r="F999" s="83"/>
      <c r="G999" s="118"/>
      <c r="H999" s="34" t="str">
        <f t="shared" si="376"/>
        <v/>
      </c>
      <c r="I999" s="88" t="str">
        <f t="shared" si="377"/>
        <v/>
      </c>
      <c r="J999" s="44" t="str">
        <f t="shared" si="378"/>
        <v/>
      </c>
      <c r="K999" s="118"/>
      <c r="L999" s="34" t="str">
        <f t="shared" si="379"/>
        <v/>
      </c>
      <c r="M999" s="118"/>
      <c r="N999" s="121"/>
      <c r="O999" s="122" t="str">
        <f t="shared" si="388"/>
        <v/>
      </c>
      <c r="P999" s="35" t="str">
        <f t="shared" si="389"/>
        <v/>
      </c>
      <c r="Q999" s="124"/>
      <c r="R999" s="36" t="str">
        <f t="shared" si="390"/>
        <v/>
      </c>
      <c r="S999" s="37" t="str">
        <f t="shared" si="380"/>
        <v/>
      </c>
      <c r="T999" s="38" t="str">
        <f t="shared" si="381"/>
        <v/>
      </c>
      <c r="U999" s="39" t="str">
        <f t="shared" si="382"/>
        <v/>
      </c>
      <c r="V999" s="40" t="str">
        <f t="shared" si="383"/>
        <v/>
      </c>
      <c r="W999" s="39" t="str">
        <f t="shared" si="384"/>
        <v/>
      </c>
      <c r="X999" s="34" t="str">
        <f t="shared" si="385"/>
        <v/>
      </c>
      <c r="Y999" s="41" t="str">
        <f t="shared" si="391"/>
        <v/>
      </c>
      <c r="Z999" s="98" t="str">
        <f t="shared" si="386"/>
        <v/>
      </c>
      <c r="AA999" s="81" t="str">
        <f t="shared" si="392"/>
        <v/>
      </c>
      <c r="AC999" s="139"/>
      <c r="AD999" s="110" t="str">
        <f t="shared" si="393"/>
        <v/>
      </c>
      <c r="AE999" s="111" t="str">
        <f t="shared" si="394"/>
        <v/>
      </c>
      <c r="AF999" s="111" t="str">
        <f t="shared" si="387"/>
        <v/>
      </c>
      <c r="AG999" s="111" t="str">
        <f t="shared" si="395"/>
        <v/>
      </c>
      <c r="AH999" s="111" t="str">
        <f t="shared" si="396"/>
        <v/>
      </c>
      <c r="AI999" s="112" t="str">
        <f t="shared" si="397"/>
        <v/>
      </c>
      <c r="AJ999" t="str">
        <f t="shared" si="398"/>
        <v/>
      </c>
      <c r="AK999" t="str">
        <f t="shared" si="399"/>
        <v/>
      </c>
    </row>
    <row r="1000" spans="1:37" ht="15" customHeight="1" x14ac:dyDescent="0.25">
      <c r="A1000" s="114"/>
      <c r="B1000" s="116"/>
      <c r="C1000" s="116"/>
      <c r="D1000" s="42" t="str">
        <f t="shared" si="375"/>
        <v/>
      </c>
      <c r="E1000" s="43"/>
      <c r="F1000" s="83"/>
      <c r="G1000" s="118"/>
      <c r="H1000" s="34" t="str">
        <f t="shared" si="376"/>
        <v/>
      </c>
      <c r="I1000" s="88" t="str">
        <f t="shared" si="377"/>
        <v/>
      </c>
      <c r="J1000" s="44" t="str">
        <f t="shared" si="378"/>
        <v/>
      </c>
      <c r="K1000" s="118"/>
      <c r="L1000" s="34" t="str">
        <f t="shared" si="379"/>
        <v/>
      </c>
      <c r="M1000" s="118"/>
      <c r="N1000" s="121"/>
      <c r="O1000" s="122" t="str">
        <f t="shared" si="388"/>
        <v/>
      </c>
      <c r="P1000" s="35" t="str">
        <f t="shared" si="389"/>
        <v/>
      </c>
      <c r="Q1000" s="124"/>
      <c r="R1000" s="36" t="str">
        <f t="shared" si="390"/>
        <v/>
      </c>
      <c r="S1000" s="37" t="str">
        <f t="shared" si="380"/>
        <v/>
      </c>
      <c r="T1000" s="38" t="str">
        <f t="shared" si="381"/>
        <v/>
      </c>
      <c r="U1000" s="39" t="str">
        <f t="shared" si="382"/>
        <v/>
      </c>
      <c r="V1000" s="40" t="str">
        <f t="shared" si="383"/>
        <v/>
      </c>
      <c r="W1000" s="39" t="str">
        <f t="shared" si="384"/>
        <v/>
      </c>
      <c r="X1000" s="34" t="str">
        <f t="shared" si="385"/>
        <v/>
      </c>
      <c r="Y1000" s="41" t="str">
        <f t="shared" si="391"/>
        <v/>
      </c>
      <c r="Z1000" s="98" t="str">
        <f t="shared" si="386"/>
        <v/>
      </c>
      <c r="AA1000" s="81" t="str">
        <f t="shared" si="392"/>
        <v/>
      </c>
      <c r="AC1000" s="139"/>
      <c r="AD1000" s="110" t="str">
        <f t="shared" si="393"/>
        <v/>
      </c>
      <c r="AE1000" s="111" t="str">
        <f t="shared" si="394"/>
        <v/>
      </c>
      <c r="AF1000" s="111" t="str">
        <f t="shared" si="387"/>
        <v/>
      </c>
      <c r="AG1000" s="111" t="str">
        <f t="shared" si="395"/>
        <v/>
      </c>
      <c r="AH1000" s="111" t="str">
        <f t="shared" si="396"/>
        <v/>
      </c>
      <c r="AI1000" s="112" t="str">
        <f t="shared" si="397"/>
        <v/>
      </c>
      <c r="AJ1000" t="str">
        <f t="shared" si="398"/>
        <v/>
      </c>
      <c r="AK1000" t="str">
        <f t="shared" si="399"/>
        <v/>
      </c>
    </row>
    <row r="1001" spans="1:37" ht="15" customHeight="1" x14ac:dyDescent="0.25">
      <c r="A1001" s="114"/>
      <c r="B1001" s="116"/>
      <c r="C1001" s="116"/>
      <c r="D1001" s="42" t="str">
        <f t="shared" si="375"/>
        <v/>
      </c>
      <c r="E1001" s="43"/>
      <c r="F1001" s="83"/>
      <c r="G1001" s="118"/>
      <c r="H1001" s="34" t="str">
        <f t="shared" si="376"/>
        <v/>
      </c>
      <c r="I1001" s="88" t="str">
        <f t="shared" si="377"/>
        <v/>
      </c>
      <c r="J1001" s="44" t="str">
        <f t="shared" si="378"/>
        <v/>
      </c>
      <c r="K1001" s="118"/>
      <c r="L1001" s="34" t="str">
        <f t="shared" si="379"/>
        <v/>
      </c>
      <c r="M1001" s="118"/>
      <c r="N1001" s="121"/>
      <c r="O1001" s="122" t="str">
        <f t="shared" si="388"/>
        <v/>
      </c>
      <c r="P1001" s="35" t="str">
        <f t="shared" si="389"/>
        <v/>
      </c>
      <c r="Q1001" s="124"/>
      <c r="R1001" s="36" t="str">
        <f t="shared" si="390"/>
        <v/>
      </c>
      <c r="S1001" s="37" t="str">
        <f t="shared" si="380"/>
        <v/>
      </c>
      <c r="T1001" s="38" t="str">
        <f t="shared" si="381"/>
        <v/>
      </c>
      <c r="U1001" s="39" t="str">
        <f t="shared" si="382"/>
        <v/>
      </c>
      <c r="V1001" s="40" t="str">
        <f t="shared" si="383"/>
        <v/>
      </c>
      <c r="W1001" s="39" t="str">
        <f t="shared" si="384"/>
        <v/>
      </c>
      <c r="X1001" s="34" t="str">
        <f t="shared" si="385"/>
        <v/>
      </c>
      <c r="Y1001" s="41" t="str">
        <f t="shared" si="391"/>
        <v/>
      </c>
      <c r="Z1001" s="98" t="str">
        <f t="shared" si="386"/>
        <v/>
      </c>
      <c r="AA1001" s="81" t="str">
        <f t="shared" si="392"/>
        <v/>
      </c>
      <c r="AC1001" s="139"/>
      <c r="AD1001" s="110" t="str">
        <f t="shared" si="393"/>
        <v/>
      </c>
      <c r="AE1001" s="111" t="str">
        <f t="shared" si="394"/>
        <v/>
      </c>
      <c r="AF1001" s="111" t="str">
        <f t="shared" si="387"/>
        <v/>
      </c>
      <c r="AG1001" s="111" t="str">
        <f t="shared" si="395"/>
        <v/>
      </c>
      <c r="AH1001" s="111" t="str">
        <f t="shared" si="396"/>
        <v/>
      </c>
      <c r="AI1001" s="112" t="str">
        <f t="shared" si="397"/>
        <v/>
      </c>
      <c r="AJ1001" t="str">
        <f t="shared" si="398"/>
        <v/>
      </c>
      <c r="AK1001" t="str">
        <f t="shared" si="399"/>
        <v/>
      </c>
    </row>
    <row r="1002" spans="1:37" ht="15" customHeight="1" x14ac:dyDescent="0.25">
      <c r="A1002" s="114"/>
      <c r="B1002" s="116"/>
      <c r="C1002" s="116"/>
      <c r="D1002" s="42" t="str">
        <f t="shared" si="375"/>
        <v/>
      </c>
      <c r="E1002" s="43"/>
      <c r="F1002" s="83"/>
      <c r="G1002" s="118"/>
      <c r="H1002" s="34" t="str">
        <f t="shared" si="376"/>
        <v/>
      </c>
      <c r="I1002" s="88" t="str">
        <f t="shared" si="377"/>
        <v/>
      </c>
      <c r="J1002" s="44" t="str">
        <f t="shared" si="378"/>
        <v/>
      </c>
      <c r="K1002" s="118"/>
      <c r="L1002" s="34" t="str">
        <f t="shared" si="379"/>
        <v/>
      </c>
      <c r="M1002" s="118"/>
      <c r="N1002" s="121"/>
      <c r="O1002" s="122" t="str">
        <f t="shared" si="388"/>
        <v/>
      </c>
      <c r="P1002" s="35" t="str">
        <f t="shared" si="389"/>
        <v/>
      </c>
      <c r="Q1002" s="124"/>
      <c r="R1002" s="36" t="str">
        <f t="shared" si="390"/>
        <v/>
      </c>
      <c r="S1002" s="37" t="str">
        <f t="shared" si="380"/>
        <v/>
      </c>
      <c r="T1002" s="38" t="str">
        <f t="shared" si="381"/>
        <v/>
      </c>
      <c r="U1002" s="39" t="str">
        <f t="shared" si="382"/>
        <v/>
      </c>
      <c r="V1002" s="40" t="str">
        <f t="shared" si="383"/>
        <v/>
      </c>
      <c r="W1002" s="39" t="str">
        <f t="shared" si="384"/>
        <v/>
      </c>
      <c r="X1002" s="34" t="str">
        <f t="shared" si="385"/>
        <v/>
      </c>
      <c r="Y1002" s="41" t="str">
        <f t="shared" si="391"/>
        <v/>
      </c>
      <c r="Z1002" s="98" t="str">
        <f t="shared" si="386"/>
        <v/>
      </c>
      <c r="AA1002" s="81" t="str">
        <f t="shared" si="392"/>
        <v/>
      </c>
      <c r="AC1002" s="139"/>
      <c r="AD1002" s="110" t="str">
        <f t="shared" si="393"/>
        <v/>
      </c>
      <c r="AE1002" s="111" t="str">
        <f t="shared" si="394"/>
        <v/>
      </c>
      <c r="AF1002" s="111" t="str">
        <f t="shared" si="387"/>
        <v/>
      </c>
      <c r="AG1002" s="111" t="str">
        <f t="shared" si="395"/>
        <v/>
      </c>
      <c r="AH1002" s="111" t="str">
        <f t="shared" si="396"/>
        <v/>
      </c>
      <c r="AI1002" s="112" t="str">
        <f t="shared" si="397"/>
        <v/>
      </c>
      <c r="AJ1002" t="str">
        <f t="shared" si="398"/>
        <v/>
      </c>
      <c r="AK1002" t="str">
        <f t="shared" si="399"/>
        <v/>
      </c>
    </row>
    <row r="1003" spans="1:37" ht="15" customHeight="1" x14ac:dyDescent="0.25">
      <c r="A1003" s="114"/>
      <c r="B1003" s="116"/>
      <c r="C1003" s="116"/>
      <c r="D1003" s="42" t="str">
        <f t="shared" si="375"/>
        <v/>
      </c>
      <c r="E1003" s="43"/>
      <c r="F1003" s="83"/>
      <c r="G1003" s="118"/>
      <c r="H1003" s="34" t="str">
        <f t="shared" si="376"/>
        <v/>
      </c>
      <c r="I1003" s="88" t="str">
        <f t="shared" si="377"/>
        <v/>
      </c>
      <c r="J1003" s="44" t="str">
        <f t="shared" si="378"/>
        <v/>
      </c>
      <c r="K1003" s="118"/>
      <c r="L1003" s="34" t="str">
        <f t="shared" si="379"/>
        <v/>
      </c>
      <c r="M1003" s="118"/>
      <c r="N1003" s="121"/>
      <c r="O1003" s="122" t="str">
        <f t="shared" si="388"/>
        <v/>
      </c>
      <c r="P1003" s="35" t="str">
        <f t="shared" si="389"/>
        <v/>
      </c>
      <c r="Q1003" s="124"/>
      <c r="R1003" s="36" t="str">
        <f t="shared" si="390"/>
        <v/>
      </c>
      <c r="S1003" s="37" t="str">
        <f t="shared" si="380"/>
        <v/>
      </c>
      <c r="T1003" s="38" t="str">
        <f t="shared" si="381"/>
        <v/>
      </c>
      <c r="U1003" s="39" t="str">
        <f t="shared" si="382"/>
        <v/>
      </c>
      <c r="V1003" s="40" t="str">
        <f t="shared" si="383"/>
        <v/>
      </c>
      <c r="W1003" s="39" t="str">
        <f t="shared" si="384"/>
        <v/>
      </c>
      <c r="X1003" s="34" t="str">
        <f t="shared" si="385"/>
        <v/>
      </c>
      <c r="Y1003" s="41" t="str">
        <f t="shared" si="391"/>
        <v/>
      </c>
      <c r="Z1003" s="98" t="str">
        <f t="shared" si="386"/>
        <v/>
      </c>
      <c r="AA1003" s="81" t="str">
        <f t="shared" si="392"/>
        <v/>
      </c>
      <c r="AC1003" s="139"/>
      <c r="AD1003" s="110" t="str">
        <f t="shared" si="393"/>
        <v/>
      </c>
      <c r="AE1003" s="111" t="str">
        <f t="shared" si="394"/>
        <v/>
      </c>
      <c r="AF1003" s="111" t="str">
        <f t="shared" si="387"/>
        <v/>
      </c>
      <c r="AG1003" s="111" t="str">
        <f t="shared" si="395"/>
        <v/>
      </c>
      <c r="AH1003" s="111" t="str">
        <f t="shared" si="396"/>
        <v/>
      </c>
      <c r="AI1003" s="112" t="str">
        <f t="shared" si="397"/>
        <v/>
      </c>
      <c r="AJ1003" t="str">
        <f t="shared" si="398"/>
        <v/>
      </c>
      <c r="AK1003" t="str">
        <f t="shared" si="399"/>
        <v/>
      </c>
    </row>
    <row r="1004" spans="1:37" ht="15" customHeight="1" x14ac:dyDescent="0.25">
      <c r="A1004" s="114"/>
      <c r="B1004" s="116"/>
      <c r="C1004" s="116"/>
      <c r="D1004" s="42" t="str">
        <f t="shared" si="375"/>
        <v/>
      </c>
      <c r="E1004" s="43"/>
      <c r="F1004" s="83"/>
      <c r="G1004" s="118"/>
      <c r="H1004" s="34" t="str">
        <f t="shared" si="376"/>
        <v/>
      </c>
      <c r="I1004" s="88" t="str">
        <f t="shared" si="377"/>
        <v/>
      </c>
      <c r="J1004" s="44" t="str">
        <f t="shared" si="378"/>
        <v/>
      </c>
      <c r="K1004" s="118"/>
      <c r="L1004" s="34" t="str">
        <f t="shared" si="379"/>
        <v/>
      </c>
      <c r="M1004" s="118"/>
      <c r="N1004" s="121"/>
      <c r="O1004" s="122" t="str">
        <f t="shared" si="388"/>
        <v/>
      </c>
      <c r="P1004" s="35" t="str">
        <f t="shared" si="389"/>
        <v/>
      </c>
      <c r="Q1004" s="124"/>
      <c r="R1004" s="36" t="str">
        <f t="shared" si="390"/>
        <v/>
      </c>
      <c r="S1004" s="37" t="str">
        <f t="shared" si="380"/>
        <v/>
      </c>
      <c r="T1004" s="38" t="str">
        <f t="shared" si="381"/>
        <v/>
      </c>
      <c r="U1004" s="39" t="str">
        <f t="shared" si="382"/>
        <v/>
      </c>
      <c r="V1004" s="40" t="str">
        <f t="shared" si="383"/>
        <v/>
      </c>
      <c r="W1004" s="39" t="str">
        <f t="shared" si="384"/>
        <v/>
      </c>
      <c r="X1004" s="34" t="str">
        <f t="shared" si="385"/>
        <v/>
      </c>
      <c r="Y1004" s="41" t="str">
        <f t="shared" si="391"/>
        <v/>
      </c>
      <c r="Z1004" s="98" t="str">
        <f t="shared" si="386"/>
        <v/>
      </c>
      <c r="AA1004" s="81" t="str">
        <f t="shared" si="392"/>
        <v/>
      </c>
      <c r="AC1004" s="139"/>
      <c r="AD1004" s="110" t="str">
        <f t="shared" si="393"/>
        <v/>
      </c>
      <c r="AE1004" s="111" t="str">
        <f t="shared" si="394"/>
        <v/>
      </c>
      <c r="AF1004" s="111" t="str">
        <f t="shared" si="387"/>
        <v/>
      </c>
      <c r="AG1004" s="111" t="str">
        <f t="shared" si="395"/>
        <v/>
      </c>
      <c r="AH1004" s="111" t="str">
        <f t="shared" si="396"/>
        <v/>
      </c>
      <c r="AI1004" s="112" t="str">
        <f t="shared" si="397"/>
        <v/>
      </c>
      <c r="AJ1004" t="str">
        <f t="shared" si="398"/>
        <v/>
      </c>
      <c r="AK1004" t="str">
        <f t="shared" si="399"/>
        <v/>
      </c>
    </row>
    <row r="1005" spans="1:37" ht="15" customHeight="1" x14ac:dyDescent="0.25">
      <c r="A1005" s="114"/>
      <c r="B1005" s="116"/>
      <c r="C1005" s="116"/>
      <c r="D1005" s="42" t="str">
        <f t="shared" si="375"/>
        <v/>
      </c>
      <c r="E1005" s="43"/>
      <c r="F1005" s="83"/>
      <c r="G1005" s="118"/>
      <c r="H1005" s="34" t="str">
        <f t="shared" si="376"/>
        <v/>
      </c>
      <c r="I1005" s="88" t="str">
        <f t="shared" si="377"/>
        <v/>
      </c>
      <c r="J1005" s="44" t="str">
        <f t="shared" si="378"/>
        <v/>
      </c>
      <c r="K1005" s="118"/>
      <c r="L1005" s="34" t="str">
        <f t="shared" si="379"/>
        <v/>
      </c>
      <c r="M1005" s="118"/>
      <c r="N1005" s="121"/>
      <c r="O1005" s="122" t="str">
        <f t="shared" si="388"/>
        <v/>
      </c>
      <c r="P1005" s="35" t="str">
        <f t="shared" si="389"/>
        <v/>
      </c>
      <c r="Q1005" s="124"/>
      <c r="R1005" s="36" t="str">
        <f t="shared" si="390"/>
        <v/>
      </c>
      <c r="S1005" s="37" t="str">
        <f t="shared" si="380"/>
        <v/>
      </c>
      <c r="T1005" s="38" t="str">
        <f t="shared" si="381"/>
        <v/>
      </c>
      <c r="U1005" s="39" t="str">
        <f t="shared" si="382"/>
        <v/>
      </c>
      <c r="V1005" s="40" t="str">
        <f t="shared" si="383"/>
        <v/>
      </c>
      <c r="W1005" s="39" t="str">
        <f t="shared" si="384"/>
        <v/>
      </c>
      <c r="X1005" s="34" t="str">
        <f t="shared" si="385"/>
        <v/>
      </c>
      <c r="Y1005" s="41" t="str">
        <f t="shared" si="391"/>
        <v/>
      </c>
      <c r="Z1005" s="98" t="str">
        <f t="shared" si="386"/>
        <v/>
      </c>
      <c r="AA1005" s="81" t="str">
        <f t="shared" si="392"/>
        <v/>
      </c>
      <c r="AC1005" s="139"/>
      <c r="AD1005" s="110" t="str">
        <f t="shared" si="393"/>
        <v/>
      </c>
      <c r="AE1005" s="111" t="str">
        <f t="shared" si="394"/>
        <v/>
      </c>
      <c r="AF1005" s="111" t="str">
        <f t="shared" si="387"/>
        <v/>
      </c>
      <c r="AG1005" s="111" t="str">
        <f t="shared" si="395"/>
        <v/>
      </c>
      <c r="AH1005" s="111" t="str">
        <f t="shared" si="396"/>
        <v/>
      </c>
      <c r="AI1005" s="112" t="str">
        <f t="shared" si="397"/>
        <v/>
      </c>
      <c r="AJ1005" t="str">
        <f t="shared" si="398"/>
        <v/>
      </c>
      <c r="AK1005" t="str">
        <f t="shared" si="399"/>
        <v/>
      </c>
    </row>
    <row r="1006" spans="1:37" ht="15" customHeight="1" x14ac:dyDescent="0.25">
      <c r="A1006" s="114"/>
      <c r="B1006" s="116"/>
      <c r="C1006" s="116"/>
      <c r="D1006" s="42" t="str">
        <f t="shared" si="375"/>
        <v/>
      </c>
      <c r="E1006" s="43"/>
      <c r="F1006" s="83"/>
      <c r="G1006" s="118"/>
      <c r="H1006" s="34" t="str">
        <f t="shared" si="376"/>
        <v/>
      </c>
      <c r="I1006" s="88" t="str">
        <f t="shared" si="377"/>
        <v/>
      </c>
      <c r="J1006" s="44" t="str">
        <f t="shared" si="378"/>
        <v/>
      </c>
      <c r="K1006" s="118"/>
      <c r="L1006" s="34" t="str">
        <f t="shared" si="379"/>
        <v/>
      </c>
      <c r="M1006" s="118"/>
      <c r="N1006" s="121"/>
      <c r="O1006" s="122" t="str">
        <f t="shared" si="388"/>
        <v/>
      </c>
      <c r="P1006" s="35" t="str">
        <f t="shared" si="389"/>
        <v/>
      </c>
      <c r="Q1006" s="124"/>
      <c r="R1006" s="36" t="str">
        <f t="shared" si="390"/>
        <v/>
      </c>
      <c r="S1006" s="37" t="str">
        <f t="shared" si="380"/>
        <v/>
      </c>
      <c r="T1006" s="38" t="str">
        <f t="shared" si="381"/>
        <v/>
      </c>
      <c r="U1006" s="39" t="str">
        <f t="shared" si="382"/>
        <v/>
      </c>
      <c r="V1006" s="40" t="str">
        <f t="shared" si="383"/>
        <v/>
      </c>
      <c r="W1006" s="39" t="str">
        <f t="shared" si="384"/>
        <v/>
      </c>
      <c r="X1006" s="34" t="str">
        <f t="shared" si="385"/>
        <v/>
      </c>
      <c r="Y1006" s="41" t="str">
        <f t="shared" si="391"/>
        <v/>
      </c>
      <c r="Z1006" s="98" t="str">
        <f t="shared" si="386"/>
        <v/>
      </c>
      <c r="AA1006" s="81" t="str">
        <f t="shared" si="392"/>
        <v/>
      </c>
      <c r="AC1006" s="139"/>
      <c r="AD1006" s="110" t="str">
        <f t="shared" si="393"/>
        <v/>
      </c>
      <c r="AE1006" s="111" t="str">
        <f t="shared" si="394"/>
        <v/>
      </c>
      <c r="AF1006" s="111" t="str">
        <f t="shared" si="387"/>
        <v/>
      </c>
      <c r="AG1006" s="111" t="str">
        <f t="shared" si="395"/>
        <v/>
      </c>
      <c r="AH1006" s="111" t="str">
        <f t="shared" si="396"/>
        <v/>
      </c>
      <c r="AI1006" s="112" t="str">
        <f t="shared" si="397"/>
        <v/>
      </c>
      <c r="AJ1006" t="str">
        <f t="shared" si="398"/>
        <v/>
      </c>
      <c r="AK1006" t="str">
        <f t="shared" si="399"/>
        <v/>
      </c>
    </row>
    <row r="1007" spans="1:37" ht="15" customHeight="1" x14ac:dyDescent="0.25">
      <c r="A1007" s="114"/>
      <c r="B1007" s="116"/>
      <c r="C1007" s="116"/>
      <c r="D1007" s="42" t="str">
        <f t="shared" si="375"/>
        <v/>
      </c>
      <c r="E1007" s="43"/>
      <c r="F1007" s="83"/>
      <c r="G1007" s="118"/>
      <c r="H1007" s="34" t="str">
        <f t="shared" si="376"/>
        <v/>
      </c>
      <c r="I1007" s="88" t="str">
        <f t="shared" si="377"/>
        <v/>
      </c>
      <c r="J1007" s="44" t="str">
        <f t="shared" si="378"/>
        <v/>
      </c>
      <c r="K1007" s="118"/>
      <c r="L1007" s="34" t="str">
        <f t="shared" si="379"/>
        <v/>
      </c>
      <c r="M1007" s="118"/>
      <c r="N1007" s="121"/>
      <c r="O1007" s="122" t="str">
        <f t="shared" si="388"/>
        <v/>
      </c>
      <c r="P1007" s="35" t="str">
        <f t="shared" si="389"/>
        <v/>
      </c>
      <c r="Q1007" s="124"/>
      <c r="R1007" s="36" t="str">
        <f t="shared" si="390"/>
        <v/>
      </c>
      <c r="S1007" s="37" t="str">
        <f t="shared" si="380"/>
        <v/>
      </c>
      <c r="T1007" s="38" t="str">
        <f t="shared" si="381"/>
        <v/>
      </c>
      <c r="U1007" s="39" t="str">
        <f t="shared" si="382"/>
        <v/>
      </c>
      <c r="V1007" s="40" t="str">
        <f t="shared" si="383"/>
        <v/>
      </c>
      <c r="W1007" s="39" t="str">
        <f t="shared" si="384"/>
        <v/>
      </c>
      <c r="X1007" s="34" t="str">
        <f t="shared" si="385"/>
        <v/>
      </c>
      <c r="Y1007" s="41" t="str">
        <f t="shared" si="391"/>
        <v/>
      </c>
      <c r="Z1007" s="98" t="str">
        <f t="shared" si="386"/>
        <v/>
      </c>
      <c r="AA1007" s="81" t="str">
        <f t="shared" si="392"/>
        <v/>
      </c>
      <c r="AC1007" s="139"/>
      <c r="AD1007" s="110" t="str">
        <f t="shared" si="393"/>
        <v/>
      </c>
      <c r="AE1007" s="111" t="str">
        <f t="shared" si="394"/>
        <v/>
      </c>
      <c r="AF1007" s="111" t="str">
        <f t="shared" si="387"/>
        <v/>
      </c>
      <c r="AG1007" s="111" t="str">
        <f t="shared" si="395"/>
        <v/>
      </c>
      <c r="AH1007" s="111" t="str">
        <f t="shared" si="396"/>
        <v/>
      </c>
      <c r="AI1007" s="112" t="str">
        <f t="shared" si="397"/>
        <v/>
      </c>
      <c r="AJ1007" t="str">
        <f t="shared" si="398"/>
        <v/>
      </c>
      <c r="AK1007" t="str">
        <f t="shared" si="399"/>
        <v/>
      </c>
    </row>
  </sheetData>
  <mergeCells count="23">
    <mergeCell ref="AC6:AK6"/>
    <mergeCell ref="AD6:AK6"/>
    <mergeCell ref="AE6:AK6"/>
    <mergeCell ref="AF6:AK6"/>
    <mergeCell ref="AG6:AK6"/>
    <mergeCell ref="AH6:AK6"/>
    <mergeCell ref="AI6:AK6"/>
    <mergeCell ref="AJ6:AK6"/>
    <mergeCell ref="AA6:AA7"/>
    <mergeCell ref="A1:D2"/>
    <mergeCell ref="A6:A7"/>
    <mergeCell ref="B6:E6"/>
    <mergeCell ref="I6:J6"/>
    <mergeCell ref="G6:H6"/>
    <mergeCell ref="Z6:Z7"/>
    <mergeCell ref="F6:F7"/>
    <mergeCell ref="M6:N6"/>
    <mergeCell ref="O6:Q6"/>
    <mergeCell ref="R6:S6"/>
    <mergeCell ref="T6:W6"/>
    <mergeCell ref="X6:X7"/>
    <mergeCell ref="Y6:Y7"/>
    <mergeCell ref="K6:L6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7D0C91-04B6-47F1-A9F7-02958A037A07}">
          <x14:formula1>
            <xm:f>Supplier!$A$3:$A$1000</xm:f>
          </x14:formula1>
          <xm:sqref>N1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Normal="100" workbookViewId="0">
      <selection activeCell="B6" sqref="B6"/>
    </sheetView>
  </sheetViews>
  <sheetFormatPr defaultColWidth="8.5703125" defaultRowHeight="15" x14ac:dyDescent="0.25"/>
  <cols>
    <col min="1" max="1" width="24" customWidth="1"/>
    <col min="2" max="2" width="14" customWidth="1"/>
    <col min="4" max="4" width="47.28515625" customWidth="1"/>
    <col min="5" max="5" width="9.140625" bestFit="1" customWidth="1"/>
  </cols>
  <sheetData>
    <row r="1" spans="1:5" ht="15" customHeight="1" x14ac:dyDescent="0.25">
      <c r="D1" s="56" t="s">
        <v>70</v>
      </c>
    </row>
    <row r="2" spans="1:5" ht="15" customHeight="1" x14ac:dyDescent="0.25">
      <c r="A2" s="57" t="s">
        <v>71</v>
      </c>
      <c r="B2" s="57" t="s">
        <v>72</v>
      </c>
      <c r="D2" s="56" t="s">
        <v>73</v>
      </c>
    </row>
    <row r="3" spans="1:5" ht="15" customHeight="1" x14ac:dyDescent="0.25">
      <c r="A3" s="58" t="s">
        <v>55</v>
      </c>
      <c r="B3" s="59">
        <v>-16342</v>
      </c>
    </row>
    <row r="4" spans="1:5" ht="15" customHeight="1" x14ac:dyDescent="0.25">
      <c r="A4" s="58" t="s">
        <v>69</v>
      </c>
      <c r="B4" s="59">
        <v>-500</v>
      </c>
    </row>
    <row r="5" spans="1:5" ht="15" customHeight="1" x14ac:dyDescent="0.25">
      <c r="A5" s="56" t="s">
        <v>4</v>
      </c>
      <c r="B5" s="59">
        <v>2000</v>
      </c>
    </row>
    <row r="8" spans="1:5" x14ac:dyDescent="0.25">
      <c r="E8" s="1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 Mode</vt:lpstr>
      <vt:lpstr>TP per vat mode</vt:lpstr>
      <vt:lpstr>Opening Stock</vt:lpstr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Manik</dc:creator>
  <dc:description/>
  <cp:lastModifiedBy>Manik Hossain</cp:lastModifiedBy>
  <cp:revision>0</cp:revision>
  <dcterms:created xsi:type="dcterms:W3CDTF">2026-09-20T10:08:19Z</dcterms:created>
  <dcterms:modified xsi:type="dcterms:W3CDTF">2026-10-18T09:10:40Z</dcterms:modified>
  <dc:language>en-US</dc:language>
</cp:coreProperties>
</file>